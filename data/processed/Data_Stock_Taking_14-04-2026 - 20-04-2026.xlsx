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raping_data" sheetId="1" r:id="rId5"/>
    <sheet state="visible" name="Pivot_table" sheetId="2" r:id="rId6"/>
    <sheet state="visible" name="Rule" sheetId="3" r:id="rId7"/>
    <sheet state="visible" name="Rule_CVGTN" sheetId="4" r:id="rId8"/>
    <sheet state="visible" name="Đền_CVG" sheetId="5" r:id="rId9"/>
    <sheet state="visible" name="Đền_CVGTN" sheetId="6" r:id="rId10"/>
    <sheet state="visible" name="Đền_CVH" sheetId="7" r:id="rId11"/>
    <sheet state="visible" name="Đền_RC" sheetId="8" r:id="rId12"/>
    <sheet state="visible" name="Đền_THU" sheetId="9" r:id="rId13"/>
    <sheet state="visible" name="Đền_PSX" sheetId="10" r:id="rId14"/>
  </sheets>
  <definedNames>
    <definedName hidden="1" localSheetId="0" name="_xlnm._FilterDatabase">Scraping_data!$A$1:$P$49062</definedName>
  </definedNames>
  <calcPr/>
  <pivotCaches>
    <pivotCache cacheId="0" r:id="rId15"/>
  </pivotCaches>
</workbook>
</file>

<file path=xl/sharedStrings.xml><?xml version="1.0" encoding="utf-8"?>
<sst xmlns="http://schemas.openxmlformats.org/spreadsheetml/2006/main" count="5023" uniqueCount="602">
  <si>
    <t>Chi nhánh</t>
  </si>
  <si>
    <t>Mã phiếu</t>
  </si>
  <si>
    <t>Thời gian kiểm kê</t>
  </si>
  <si>
    <t>Ghi chú</t>
  </si>
  <si>
    <t>Mã hàng</t>
  </si>
  <si>
    <t>Tên hàng</t>
  </si>
  <si>
    <t>Mã đơn vị</t>
  </si>
  <si>
    <t>Đơn vị</t>
  </si>
  <si>
    <t>Số lượng tồn kho</t>
  </si>
  <si>
    <t>Số lượng kiểm kê</t>
  </si>
  <si>
    <t>Số lượng chênh lệch</t>
  </si>
  <si>
    <t>Giá trị chênh lệch</t>
  </si>
  <si>
    <t>Đơn giá</t>
  </si>
  <si>
    <t>Dung sai cho phép</t>
  </si>
  <si>
    <t>SL vượt quá dung sai</t>
  </si>
  <si>
    <t>Giá trị phạt</t>
  </si>
  <si>
    <t xml:space="preserve"> </t>
  </si>
  <si>
    <t>Chạng Vạng Hàng Xanh</t>
  </si>
  <si>
    <t>KK00000346</t>
  </si>
  <si>
    <t>đồ ăn</t>
  </si>
  <si>
    <t>NVLCHABO</t>
  </si>
  <si>
    <t>DAB - Chả Bò</t>
  </si>
  <si>
    <t>KG</t>
  </si>
  <si>
    <t>Kg</t>
  </si>
  <si>
    <t>NVLDACATRUNGMUOI</t>
  </si>
  <si>
    <t>DAB - Da cá Trứng Muối</t>
  </si>
  <si>
    <t>NVLDOISUN</t>
  </si>
  <si>
    <t>DAB - Dồi sụn</t>
  </si>
  <si>
    <t>NVLGALAC</t>
  </si>
  <si>
    <t>DAB - Gà Lắc</t>
  </si>
  <si>
    <t>NVLHOLOCHIEN</t>
  </si>
  <si>
    <t>DAB - Hồ lô chiên/nướng</t>
  </si>
  <si>
    <t>NVLKHOAILANGKEN</t>
  </si>
  <si>
    <t>DAB - Khoai lang kén</t>
  </si>
  <si>
    <t>NVLKHOBOSOICAY</t>
  </si>
  <si>
    <t>DAB - Khô bò sợi cay</t>
  </si>
  <si>
    <t>NVLKHOHEO</t>
  </si>
  <si>
    <t>DAB - Khô heo</t>
  </si>
  <si>
    <t>NVLMANDU</t>
  </si>
  <si>
    <t>DAB - Mandu</t>
  </si>
  <si>
    <t>CAI</t>
  </si>
  <si>
    <t>Cái</t>
  </si>
  <si>
    <t>NVLMIYXUCXICHSOTBOBAM</t>
  </si>
  <si>
    <t>DAB - Mì Ý xúc xích sốt bò bằm</t>
  </si>
  <si>
    <t>PHAN</t>
  </si>
  <si>
    <t>Phần</t>
  </si>
  <si>
    <t>NVLSUICAO</t>
  </si>
  <si>
    <t>DAB - Sủi cảo</t>
  </si>
  <si>
    <t>NVLXUCXICHDUC</t>
  </si>
  <si>
    <t>DAB - Xúc xích Đức</t>
  </si>
  <si>
    <t>NVLDAUPHONGCHAYTOI</t>
  </si>
  <si>
    <t>DAB - Đậu phộng cháy tỏi</t>
  </si>
  <si>
    <t>BICH</t>
  </si>
  <si>
    <t>Bịch</t>
  </si>
  <si>
    <t>NVLGACUONRONGBIEN</t>
  </si>
  <si>
    <t>DAB - Gà cuộn rong biển</t>
  </si>
  <si>
    <t>NVLHOANHTHANH</t>
  </si>
  <si>
    <t>DAB - Hoành thánh</t>
  </si>
  <si>
    <t>NVLKIMBAP</t>
  </si>
  <si>
    <t>DAB - KimBap</t>
  </si>
  <si>
    <t>CAY</t>
  </si>
  <si>
    <t>Cây</t>
  </si>
  <si>
    <t>NVLPIZZAHAISANPHOMAISIZE18</t>
  </si>
  <si>
    <t>DAB - Pizza hải sản phô mai</t>
  </si>
  <si>
    <t>NVLTOPMO</t>
  </si>
  <si>
    <t>DAB - Tóp mỡ</t>
  </si>
  <si>
    <t>NVLKHOAITAYCHIEN</t>
  </si>
  <si>
    <t>DAB - Khoai tây chiên</t>
  </si>
  <si>
    <t>NVLCHARAMTOMDAT</t>
  </si>
  <si>
    <t>DAB - Chả Ram tôm đất</t>
  </si>
  <si>
    <t>Thương</t>
  </si>
  <si>
    <t>KK00000351</t>
  </si>
  <si>
    <t>Hoàn thành kiểm bia 14/04</t>
  </si>
  <si>
    <t>BEERSHEFEWEIZEN</t>
  </si>
  <si>
    <t>Summer Hefeweizen</t>
  </si>
  <si>
    <t>CHAI</t>
  </si>
  <si>
    <t>Chai</t>
  </si>
  <si>
    <t>BEERSAIGONROSE</t>
  </si>
  <si>
    <t>Saigon Rose</t>
  </si>
  <si>
    <t>BEERPALEALE</t>
  </si>
  <si>
    <t>Pale Ale</t>
  </si>
  <si>
    <t>BEERPACIFICPILSN</t>
  </si>
  <si>
    <t>Pacific Pilsner</t>
  </si>
  <si>
    <t>BEERBELGOSESSION</t>
  </si>
  <si>
    <t>Belgo Session IPA</t>
  </si>
  <si>
    <t>BEERSPINEAPPLE</t>
  </si>
  <si>
    <t>Spirit Pineapple</t>
  </si>
  <si>
    <t>BEER1664</t>
  </si>
  <si>
    <t>Blanc 1664</t>
  </si>
  <si>
    <t>BEERBUDWEISER</t>
  </si>
  <si>
    <t>Budweiser</t>
  </si>
  <si>
    <t>BEERBELGOAMBER</t>
  </si>
  <si>
    <t>Belgo Amber</t>
  </si>
  <si>
    <t>BEERCORONA</t>
  </si>
  <si>
    <t>Corona</t>
  </si>
  <si>
    <t>BEERKENXANH</t>
  </si>
  <si>
    <t>Heineiken Original</t>
  </si>
  <si>
    <t>BEERSGRAPEFRUIT</t>
  </si>
  <si>
    <t>Spirit Vodka Grapefruit</t>
  </si>
  <si>
    <t>BEERTIGERBAC</t>
  </si>
  <si>
    <t>Tiger Crystal</t>
  </si>
  <si>
    <t>BEERKENBAC</t>
  </si>
  <si>
    <t>Heineiken Silver</t>
  </si>
  <si>
    <t>BEERTIGERNAU</t>
  </si>
  <si>
    <t>Tiger World Acclaimed</t>
  </si>
  <si>
    <t>NUOCSUOI</t>
  </si>
  <si>
    <t>Nước Suối</t>
  </si>
  <si>
    <t>KK00000352</t>
  </si>
  <si>
    <t>NVLDAULONG</t>
  </si>
  <si>
    <t>DAB - Đậu lông</t>
  </si>
  <si>
    <t>NVLDUACHUA</t>
  </si>
  <si>
    <t>DAB - Dưa chua</t>
  </si>
  <si>
    <t>HOP</t>
  </si>
  <si>
    <t>Hộp</t>
  </si>
  <si>
    <t>NVLPHOMAIHUNKHOI</t>
  </si>
  <si>
    <t>DAB - Phô mai hun khói</t>
  </si>
  <si>
    <t>NVLTRAUGAPBEP</t>
  </si>
  <si>
    <t>DAB - Trâu gác bếp</t>
  </si>
  <si>
    <t>BEERSHOIHANOI</t>
  </si>
  <si>
    <t>Bia hơi Hà Nội</t>
  </si>
  <si>
    <t>LON</t>
  </si>
  <si>
    <t>Lon</t>
  </si>
  <si>
    <t>NVLDAUHUSINGAPORE</t>
  </si>
  <si>
    <t>DAB - Đậu hũ Singapore</t>
  </si>
  <si>
    <t>NVLDAUHALANWASABI</t>
  </si>
  <si>
    <t>DAB - Đậu hà lan wasabi</t>
  </si>
  <si>
    <t>NVLBANHGA</t>
  </si>
  <si>
    <t>DAB - Bánh gà</t>
  </si>
  <si>
    <t>NVLNEMLUI</t>
  </si>
  <si>
    <t>DAB - Nem lụi</t>
  </si>
  <si>
    <t>NVLSUNGA</t>
  </si>
  <si>
    <t>DAB - Sụn gà</t>
  </si>
  <si>
    <t>BTPBANHFLAN</t>
  </si>
  <si>
    <t>DAB - Bánh Flan</t>
  </si>
  <si>
    <t>NVLBAPBONGAMNAM</t>
  </si>
  <si>
    <t>DAB - Bắp bò ngâm mắm</t>
  </si>
  <si>
    <t>KK00000353</t>
  </si>
  <si>
    <t>Hoàn thành kiểm trái cây 14/04</t>
  </si>
  <si>
    <t>NVLTAO</t>
  </si>
  <si>
    <t>DTN - Táo đỏ</t>
  </si>
  <si>
    <t>NVLTRAIDUAHAU</t>
  </si>
  <si>
    <t>DTN - Dưa hấu</t>
  </si>
  <si>
    <t>NVLTRUNGGA</t>
  </si>
  <si>
    <t>DTN - Trứng gà</t>
  </si>
  <si>
    <t>TRAI</t>
  </si>
  <si>
    <t>Trái</t>
  </si>
  <si>
    <t>NVLXALACH</t>
  </si>
  <si>
    <t>DTN - Xà lách</t>
  </si>
  <si>
    <t>NVLSUADACLIT</t>
  </si>
  <si>
    <t>DTN - Sữa đặc</t>
  </si>
  <si>
    <t>NVLDUALEO</t>
  </si>
  <si>
    <t>DTN - Dưa leo</t>
  </si>
  <si>
    <t>NVLCAM</t>
  </si>
  <si>
    <t>DTN - Cam xanh</t>
  </si>
  <si>
    <t>BTPCOTTRAMIXOLONGLAI</t>
  </si>
  <si>
    <t>DTN - Cốt trà mix ô long + lài</t>
  </si>
  <si>
    <t>LIT</t>
  </si>
  <si>
    <t>Lít</t>
  </si>
  <si>
    <t>NVLDAUTAYTRAI</t>
  </si>
  <si>
    <t>DTN - Dâu tây</t>
  </si>
  <si>
    <t>BTPNUOCDUONG</t>
  </si>
  <si>
    <t>DTN - Nước đường</t>
  </si>
  <si>
    <t>NVLCAPHEBOT</t>
  </si>
  <si>
    <t>DTN - Cà phê bột</t>
  </si>
  <si>
    <t>NVLCAROT</t>
  </si>
  <si>
    <t>DTN - Cà rốt</t>
  </si>
  <si>
    <t>NVLCHANH</t>
  </si>
  <si>
    <t>DTN - Chanh</t>
  </si>
  <si>
    <t>NVLCHANHDAY</t>
  </si>
  <si>
    <t>DTN - Chanh dây</t>
  </si>
  <si>
    <t>NVLQUYT</t>
  </si>
  <si>
    <t>DTN - Quýt</t>
  </si>
  <si>
    <t>NVLTHOM</t>
  </si>
  <si>
    <t>DTN - Thơm</t>
  </si>
  <si>
    <t>NVLTRAICAYKHO</t>
  </si>
  <si>
    <t>DTN - Trái cây khô trang trí</t>
  </si>
  <si>
    <t>NVLTRAIDUALUOI</t>
  </si>
  <si>
    <t>DTN - Dưa lưới</t>
  </si>
  <si>
    <t>NVLTRAIOI</t>
  </si>
  <si>
    <t>DTN - Ổi</t>
  </si>
  <si>
    <t>NVLTRAITAC</t>
  </si>
  <si>
    <t>DTN - Trái tắc</t>
  </si>
  <si>
    <t>NVLXOAI</t>
  </si>
  <si>
    <t>DTN - Xoài</t>
  </si>
  <si>
    <t>NVLCAMVANG</t>
  </si>
  <si>
    <t>DTN - Cam vàng</t>
  </si>
  <si>
    <t>NVLLADUA</t>
  </si>
  <si>
    <t>DTN - Lá dứa</t>
  </si>
  <si>
    <t>Ráng Chiều</t>
  </si>
  <si>
    <t>KK00000362</t>
  </si>
  <si>
    <t>kiểm chéo bia - trái cây - đồ ăn</t>
  </si>
  <si>
    <t>NVLSUACHUA</t>
  </si>
  <si>
    <t>DTN - Yogurt</t>
  </si>
  <si>
    <t>NVLNHO</t>
  </si>
  <si>
    <t>DTN - Nho</t>
  </si>
  <si>
    <t>NVLNHAN</t>
  </si>
  <si>
    <t>DTN - Nhãn</t>
  </si>
  <si>
    <t>NVLHONG</t>
  </si>
  <si>
    <t>DTN - Hồng</t>
  </si>
  <si>
    <t>NVLCHACADAUDUA</t>
  </si>
  <si>
    <t>DAB - Chả cá đậu đũa</t>
  </si>
  <si>
    <t>BTPPANNACOTTA</t>
  </si>
  <si>
    <t>DAB - Pannacotta</t>
  </si>
  <si>
    <t>BTPHATDACDECOR</t>
  </si>
  <si>
    <t>MSN - Hạt đác rim</t>
  </si>
  <si>
    <t>NVLCHERRYNGAM</t>
  </si>
  <si>
    <t>DTN - Cherry ngâm</t>
  </si>
  <si>
    <t>HU</t>
  </si>
  <si>
    <t>Hũ</t>
  </si>
  <si>
    <t>BEERWEISSBIER</t>
  </si>
  <si>
    <t>Kaiserdom Weissbier</t>
  </si>
  <si>
    <t>BEERKELLERBIER</t>
  </si>
  <si>
    <t>Kaiserdom Kellerbier</t>
  </si>
  <si>
    <t>BEERFAREASTIPA</t>
  </si>
  <si>
    <t>Far East IPA</t>
  </si>
  <si>
    <t>BEERBELGOROYALE</t>
  </si>
  <si>
    <t>Belgo Royale</t>
  </si>
  <si>
    <t>BEERBELGOFULLMON</t>
  </si>
  <si>
    <t>Belgo Full Moon</t>
  </si>
  <si>
    <t>BEERSBYAPPLE</t>
  </si>
  <si>
    <t>Somersby Apple</t>
  </si>
  <si>
    <t>BEERSBLUEBERRY</t>
  </si>
  <si>
    <t>Spirit Vodka Blueberry</t>
  </si>
  <si>
    <t>BEERSBBLACKBERRY</t>
  </si>
  <si>
    <t>Somersby Blackberry</t>
  </si>
  <si>
    <t>BEERHGDWHITE</t>
  </si>
  <si>
    <t>Hoegaarden white</t>
  </si>
  <si>
    <t>BEERHGDROSEE</t>
  </si>
  <si>
    <t>Hoegaarden Rose</t>
  </si>
  <si>
    <t>NVLSA</t>
  </si>
  <si>
    <t>DTN - Sả</t>
  </si>
  <si>
    <t>NVLRAUHUNG</t>
  </si>
  <si>
    <t>DTN - Rau húng</t>
  </si>
  <si>
    <t>KK00000348</t>
  </si>
  <si>
    <t>TRÁI CÂY</t>
  </si>
  <si>
    <t>KK00000349</t>
  </si>
  <si>
    <t>MỨT</t>
  </si>
  <si>
    <t>BTPMUTTUOICHANHDAYVER2</t>
  </si>
  <si>
    <t>MSN -  Mứt tươi chanh dây</t>
  </si>
  <si>
    <t>BTPMUTTUOIDAUTAYVER2</t>
  </si>
  <si>
    <t>MSN -  Mứt tươi dâu tây</t>
  </si>
  <si>
    <t>BTPMUTTUOIOI</t>
  </si>
  <si>
    <t>MSN -  Mứt tươi ổi</t>
  </si>
  <si>
    <t>BTPMUTTUOINHIETDOIVER2</t>
  </si>
  <si>
    <t>MSN -  Mứt tươi nhiệt đới</t>
  </si>
  <si>
    <t>BTPMUTTUOIQUYT</t>
  </si>
  <si>
    <t>MSN -  Mứt tươi quýt</t>
  </si>
  <si>
    <t>NVLMUTVIETQUAT</t>
  </si>
  <si>
    <t>MSN - Mứt việt quất Osterberg</t>
  </si>
  <si>
    <t>NVLMUTDAO</t>
  </si>
  <si>
    <t>MSN - Mứt đào Osterberg</t>
  </si>
  <si>
    <t>BTPMUTTUOIXOAI</t>
  </si>
  <si>
    <t>MSN -  Mứt tươi xoài</t>
  </si>
  <si>
    <t>NVLTRANCHAUTRANG</t>
  </si>
  <si>
    <t>MSN - Trân châu trắng</t>
  </si>
  <si>
    <t>NVLTRANCHAUOLONG1</t>
  </si>
  <si>
    <t>MSN - Trân châu olong</t>
  </si>
  <si>
    <t>NVLSYRUPVIETQUAT</t>
  </si>
  <si>
    <t>MSN - Syrup Blueberry/Việt quất</t>
  </si>
  <si>
    <t>NVLSYRUPMOJITOMINT</t>
  </si>
  <si>
    <t>MSN - Syrup mojito mint</t>
  </si>
  <si>
    <t>NVLSYRUPLUUDO</t>
  </si>
  <si>
    <t>MSN - Syrup Grenadine/Lựu</t>
  </si>
  <si>
    <t>NVLSYRUPCHANHDAY</t>
  </si>
  <si>
    <t>MSN - Syrup Passion Fruit/Chanh dây</t>
  </si>
  <si>
    <t>NVLNUOCEPTHOM</t>
  </si>
  <si>
    <t>MSN - Nước ép thơm đóng chai</t>
  </si>
  <si>
    <t>NVLSYRUPDAO</t>
  </si>
  <si>
    <t>MSN - Syrup Peach/ Đào</t>
  </si>
  <si>
    <t>NVLMUTKIWIDONGLANH</t>
  </si>
  <si>
    <t>MSN - Mứt Kiwi đông lạnh</t>
  </si>
  <si>
    <t>NVLMUTDAU</t>
  </si>
  <si>
    <t>MSN - Mứt dâu đóng chai</t>
  </si>
  <si>
    <t>NVLMUTCHANHDAY</t>
  </si>
  <si>
    <t>MSN - Mứt chanh dây Osterberg</t>
  </si>
  <si>
    <t>BTPKOMBUCHA</t>
  </si>
  <si>
    <t>MSN - Kombucha thành  phẩm</t>
  </si>
  <si>
    <t>NVLSYRUPDAU</t>
  </si>
  <si>
    <t>MSN - Syrup Strawberry/Dâu</t>
  </si>
  <si>
    <t>NVLSYRUPBLUECURACAO</t>
  </si>
  <si>
    <t>MSN - Syrup Blue Curacao</t>
  </si>
  <si>
    <t>NVLMUTKIWI</t>
  </si>
  <si>
    <t>MSN - Mứt Kiwi Osterberg</t>
  </si>
  <si>
    <t>NVLMUTVIETQUATDONGLANH</t>
  </si>
  <si>
    <t>MSN - Mứt việt quất đông lạnh</t>
  </si>
  <si>
    <t>KK00000350</t>
  </si>
  <si>
    <t>bia</t>
  </si>
  <si>
    <t>KK00000357</t>
  </si>
  <si>
    <t>Hoàn thành kiểm mứt 15/04</t>
  </si>
  <si>
    <t>NVLTRADAUBIEC</t>
  </si>
  <si>
    <t>MSN - Trà hoa đậu biếc</t>
  </si>
  <si>
    <t>BTPMUTTUOIMANGCAUVER2</t>
  </si>
  <si>
    <t>MSN -  Mứt tươi mãng cầu</t>
  </si>
  <si>
    <t>Chạng Vạng Trần Não</t>
  </si>
  <si>
    <t>KK00000359</t>
  </si>
  <si>
    <t>BẾP 15/4</t>
  </si>
  <si>
    <t>NVLGAVONG</t>
  </si>
  <si>
    <t>DAB - Gà vòng</t>
  </si>
  <si>
    <t>NVLCHACAY</t>
  </si>
  <si>
    <t>DAB - Chả cây</t>
  </si>
  <si>
    <t>NVLCAYTRE</t>
  </si>
  <si>
    <t>DAB - Cây tré</t>
  </si>
  <si>
    <t>NVLBANHSUA</t>
  </si>
  <si>
    <t>DAB - Bánh sữa chiên</t>
  </si>
  <si>
    <t>NVLXUCXICHVONG</t>
  </si>
  <si>
    <t>DAB - Xúc xích vòng Kielbasa</t>
  </si>
  <si>
    <t>NVLXOAISAYMUOIOT</t>
  </si>
  <si>
    <t>DAB - Xoài sấy dẻo</t>
  </si>
  <si>
    <t>KK00000358</t>
  </si>
  <si>
    <t>Hoàn thành kiểm công cụ dụng cụ, phần ly cửa hàng sẽ bổ sung kiểm lại sau ạ.</t>
  </si>
  <si>
    <t>CCDCOCAMDIEN</t>
  </si>
  <si>
    <t>CCDC - Ổ cắm điện</t>
  </si>
  <si>
    <t>CCDMAYEPCAM</t>
  </si>
  <si>
    <t>CCDC - Máy ép cam</t>
  </si>
  <si>
    <t>CCDCDUNGCUVATCHANH</t>
  </si>
  <si>
    <t>CCDC - Dụng cụ vắt chanh</t>
  </si>
  <si>
    <t>CCDCGIORAC</t>
  </si>
  <si>
    <t>CCDC - Thùng rác</t>
  </si>
  <si>
    <t>CCDCHOPNHUA100407TANLAPTHANH</t>
  </si>
  <si>
    <t>CCDC - Hộp nhựa 100407 Tân Lập Thành</t>
  </si>
  <si>
    <t>CCDCHOPNHUACHUNHAT</t>
  </si>
  <si>
    <t>CCDC - Hộp nhựa chữ nhật</t>
  </si>
  <si>
    <t>CCDCHOPNHUADAIDONGTIENL508</t>
  </si>
  <si>
    <t>CCDC - Hộp nhựa Đại Đồng Tiến L-508 (1L)</t>
  </si>
  <si>
    <t>CCDCHUGIAVITHUYTINH</t>
  </si>
  <si>
    <t>CCDC - Hủ gia vị thủy tinh</t>
  </si>
  <si>
    <t>CCDCGATTAN</t>
  </si>
  <si>
    <t>CCDC - Gạt tàn</t>
  </si>
  <si>
    <t>CCDCJIGGER</t>
  </si>
  <si>
    <t>CCDC - Ly đong - Jigger</t>
  </si>
  <si>
    <t>CCDCKENHUA3NGAN</t>
  </si>
  <si>
    <t>CCDC - Kệ nhựa 3 ngăn</t>
  </si>
  <si>
    <t>CCDCKEOLAMBEP</t>
  </si>
  <si>
    <t>CCDC - Kéo làm bếp</t>
  </si>
  <si>
    <t>CCDCKEORANGCUA</t>
  </si>
  <si>
    <t>CCDC - Kéo răng cưa</t>
  </si>
  <si>
    <t>CCDCKEPGAPDA</t>
  </si>
  <si>
    <t>CCDC - Kẹp gắp đá</t>
  </si>
  <si>
    <t>CCDCKHANLAU</t>
  </si>
  <si>
    <t>CCDC - Khăn lau</t>
  </si>
  <si>
    <t>CCDCDUNGCUCATKEO</t>
  </si>
  <si>
    <t>CCDC - Dụng cụ cắt băng keo</t>
  </si>
  <si>
    <t>CCDCKHAYDOAN</t>
  </si>
  <si>
    <t>CCDC - Khay đồ ăn</t>
  </si>
  <si>
    <t>CCDCKHAYTRAINOXCOLO</t>
  </si>
  <si>
    <t>CCDC - Khay trà inox có lỗ</t>
  </si>
  <si>
    <t>CCDCKHO</t>
  </si>
  <si>
    <t>CCDC - Khò</t>
  </si>
  <si>
    <t>CCDCKHUIBIA</t>
  </si>
  <si>
    <t>CCDC - Khui bia</t>
  </si>
  <si>
    <t>CCDCKYXUCRA</t>
  </si>
  <si>
    <t>CCDC - Ky xúc rác</t>
  </si>
  <si>
    <t>CCDCLOCRACMOVIT</t>
  </si>
  <si>
    <t>CCDC - Lọc rác mỏ vịt</t>
  </si>
  <si>
    <t>CCDCLOTLY</t>
  </si>
  <si>
    <t>CCDC - Lót ly</t>
  </si>
  <si>
    <t>CCDCLOVISONG</t>
  </si>
  <si>
    <t>CCDC - Lò vi sóng</t>
  </si>
  <si>
    <t>CCDCMAMPHUCVU</t>
  </si>
  <si>
    <t>CCDC - Mâm phục vụ</t>
  </si>
  <si>
    <t>CCDCMAYDANHTRUNG</t>
  </si>
  <si>
    <t>CCDC - Máy đánh trứng</t>
  </si>
  <si>
    <t>CCDCMIENGCAONUOC</t>
  </si>
  <si>
    <t>CCDC - Miếng cào nước</t>
  </si>
  <si>
    <t>CCDCMUONGBAR</t>
  </si>
  <si>
    <t>CCDC - Muỗng Bar</t>
  </si>
  <si>
    <t>CCDCMUONGXUCDA</t>
  </si>
  <si>
    <t>CCDC - Muỗng xúc đá</t>
  </si>
  <si>
    <t>CCDCNHIPGAPDECOR</t>
  </si>
  <si>
    <t>CCDC - Nhíp gắp decor</t>
  </si>
  <si>
    <t>CCDCKHAYDUNGTOPPINGDECOR</t>
  </si>
  <si>
    <t>CCDC - Khay đựng topping decor</t>
  </si>
  <si>
    <t>CCDCDAOBAO</t>
  </si>
  <si>
    <t>CCDC - Dao bào</t>
  </si>
  <si>
    <t>CCDCDAO</t>
  </si>
  <si>
    <t>CCDC - Dao</t>
  </si>
  <si>
    <t>CCDCDAMAIDAO</t>
  </si>
  <si>
    <t>CCDC - Đá mài dao</t>
  </si>
  <si>
    <t>CCDCBANCHAIDANHRANG</t>
  </si>
  <si>
    <t>CCDC - Bàn chải đánh răng</t>
  </si>
  <si>
    <t>CCDCBINHDUNSIEUTOC</t>
  </si>
  <si>
    <t>CCDC - Bình đun siêu tốc</t>
  </si>
  <si>
    <t>CCDCBINHNHUADUNGNUOC</t>
  </si>
  <si>
    <t>CCDC - Bình nhựa đựng nước</t>
  </si>
  <si>
    <t>CCDCBODAMKENWOOD</t>
  </si>
  <si>
    <t>CCDC - Bộ đàm Kenwood</t>
  </si>
  <si>
    <t>CCDCBONGDENLEDBO</t>
  </si>
  <si>
    <t>CCDC - Bóng đèn led bơ</t>
  </si>
  <si>
    <t>CCDCBUADAPTHI</t>
  </si>
  <si>
    <t>CCDC - Búa đập thịt</t>
  </si>
  <si>
    <t>CCDCCADONG100ML</t>
  </si>
  <si>
    <t>CCDC - Ca đong 100ml</t>
  </si>
  <si>
    <t>CCDCCADONG250ML</t>
  </si>
  <si>
    <t>CCDC - Ca đong 250ml</t>
  </si>
  <si>
    <t>CCDCCADONG2L</t>
  </si>
  <si>
    <t>CCDC - Ca đong nhựa 2L</t>
  </si>
  <si>
    <t>CCDCCANCO</t>
  </si>
  <si>
    <t>CCDC - Cân cơ</t>
  </si>
  <si>
    <t>CCDCCANHUA</t>
  </si>
  <si>
    <t>CCDC - Ca nhựa</t>
  </si>
  <si>
    <t>CCDCCANTIEULI</t>
  </si>
  <si>
    <t>CCDC - Cân tiểu li</t>
  </si>
  <si>
    <t>CCDCCAPSACLIGHTNING</t>
  </si>
  <si>
    <t>CCDC - Cáp sạc</t>
  </si>
  <si>
    <t>CCDCCAYCAONUOC</t>
  </si>
  <si>
    <t>CCDC - Cây cào nước</t>
  </si>
  <si>
    <t>CCDCCAYCHASAN</t>
  </si>
  <si>
    <t>CCDC - Cây chà sàn</t>
  </si>
  <si>
    <t>CCDCCAYCHATOILET</t>
  </si>
  <si>
    <t>CCDC - Cây chà toilet</t>
  </si>
  <si>
    <t>CCDCCAYGATKINH</t>
  </si>
  <si>
    <t>CCDC - Cây gạt kính</t>
  </si>
  <si>
    <t>CCDCCAYGHIMBILL</t>
  </si>
  <si>
    <t>CCDC - Cây ghim bill</t>
  </si>
  <si>
    <t>CCDCCAYLAUNHA</t>
  </si>
  <si>
    <t>CCDC - Cây lau nhà</t>
  </si>
  <si>
    <t>CCDCCAYRUALY</t>
  </si>
  <si>
    <t>CCDC - Cây rửa ly</t>
  </si>
  <si>
    <t>CCDCCHAINHOGIOT10ML</t>
  </si>
  <si>
    <t>CCDC - Chai nhỏ giọt 10 ml</t>
  </si>
  <si>
    <t>CCDCCHANDA</t>
  </si>
  <si>
    <t>CCDC - Chặn đá</t>
  </si>
  <si>
    <t>CCDCCHAYBARINOX</t>
  </si>
  <si>
    <t>CCDC - Chày bar inox</t>
  </si>
  <si>
    <t>CCDCCHENTUONG</t>
  </si>
  <si>
    <t>CCDC - Chén tương</t>
  </si>
  <si>
    <t>CCDCCHOI</t>
  </si>
  <si>
    <t>CCDC - Chổi</t>
  </si>
  <si>
    <t>CCDCCHOICHA</t>
  </si>
  <si>
    <t>CCDC - Chổi chà (chổi quét sân)</t>
  </si>
  <si>
    <t>CCDCCHOILONGGA</t>
  </si>
  <si>
    <t>CCDC - Chổi lông gà</t>
  </si>
  <si>
    <t>CCDCCHOIQUETNUOC</t>
  </si>
  <si>
    <t>CCDC - Chổi quét nước</t>
  </si>
  <si>
    <t>CCDCCORUACHAI</t>
  </si>
  <si>
    <t>CCDC - Cọ rửa chai</t>
  </si>
  <si>
    <t>CCDCOKHOA</t>
  </si>
  <si>
    <t>CCDC - Ổ khoá</t>
  </si>
  <si>
    <t>CCDCONGDUNGDUAINOX</t>
  </si>
  <si>
    <t>CCDC - Ống đựng đũa inox</t>
  </si>
  <si>
    <t>CCDCHUNHUA</t>
  </si>
  <si>
    <t>CCDC - Hũ nhựa</t>
  </si>
  <si>
    <t>CCDCPUMP</t>
  </si>
  <si>
    <t>CCDC - Pump</t>
  </si>
  <si>
    <t>CCDCTOSU</t>
  </si>
  <si>
    <t>CCDC - Tô sứ</t>
  </si>
  <si>
    <t>CCDCTUIUTRALOC</t>
  </si>
  <si>
    <t>CCDC - Túi ủ trà lọc</t>
  </si>
  <si>
    <t>CCDCVAINOX</t>
  </si>
  <si>
    <t>CCDC - Vá Inox</t>
  </si>
  <si>
    <t>CCDCVAINOXCOLO</t>
  </si>
  <si>
    <t>CCDC - Vá inox có lỗ</t>
  </si>
  <si>
    <t>CCDCVOIROTRUOU</t>
  </si>
  <si>
    <t>CCDC - Vòi rót rượu</t>
  </si>
  <si>
    <t>CCDCVOTVOTDAU</t>
  </si>
  <si>
    <t>CCDC - Vợt vớt dầu</t>
  </si>
  <si>
    <t>CCDCXODA</t>
  </si>
  <si>
    <t>CCDC - Xô đá</t>
  </si>
  <si>
    <t>CCDCBANTENNHUA</t>
  </si>
  <si>
    <t>CCDC - Bảng tên nhựa</t>
  </si>
  <si>
    <t>CCDCPHEU</t>
  </si>
  <si>
    <t>CCDC - Phễu</t>
  </si>
  <si>
    <t>CCDCBINHUTRA</t>
  </si>
  <si>
    <t>CCDC - Bình ủ trà</t>
  </si>
  <si>
    <t>BINH</t>
  </si>
  <si>
    <t>Bình</t>
  </si>
  <si>
    <t>CCDCCAYDANHBOT</t>
  </si>
  <si>
    <t>CCDC - Cây đánh bọt cà phê</t>
  </si>
  <si>
    <t>CCDCCHAITUONG</t>
  </si>
  <si>
    <t>CCDC - Chai đựng mứt</t>
  </si>
  <si>
    <t>CCDCCONTAINERDUNGDODECORINOX</t>
  </si>
  <si>
    <t>CCDC - Container đựng đồ decor inox</t>
  </si>
  <si>
    <t>CCDCKEPGODECOR</t>
  </si>
  <si>
    <t>CCDC - Kẹp gỗ decor</t>
  </si>
  <si>
    <t>CCDCVOITUOICAY</t>
  </si>
  <si>
    <t>CCDC - Vòi tưới cây</t>
  </si>
  <si>
    <t>CCDCTHUNGNHUA20L</t>
  </si>
  <si>
    <t>CCDC - Thùng nhựa</t>
  </si>
  <si>
    <t>CCDCTHOT</t>
  </si>
  <si>
    <t>CCDC - Thớt</t>
  </si>
  <si>
    <t>CCDCBINHDUNGMUT</t>
  </si>
  <si>
    <t>CCDC - Bình nhựa đựng mứt</t>
  </si>
  <si>
    <t>CCDCTHANHGHIMBILLINOX</t>
  </si>
  <si>
    <t>CCDC - Thanh ghim bill</t>
  </si>
  <si>
    <t>CCDCTHAUINOX</t>
  </si>
  <si>
    <t>CCDC - Thau Inox</t>
  </si>
  <si>
    <t>CCDCTHAMBAR</t>
  </si>
  <si>
    <t>CCDC - Thảm bar</t>
  </si>
  <si>
    <t>CCDCTAPDE</t>
  </si>
  <si>
    <t>CCDC - Tạp dề</t>
  </si>
  <si>
    <t>CCDCSHAKER</t>
  </si>
  <si>
    <t>CCDC - Shaker</t>
  </si>
  <si>
    <t>CCDCRONHUA</t>
  </si>
  <si>
    <t>CCDC - Rổ nhựa</t>
  </si>
  <si>
    <t>CCDCTHAMLAUCHANVAI</t>
  </si>
  <si>
    <t>CCDC - Thảm lau chân vải</t>
  </si>
  <si>
    <t>CCDCROCHIENINOX</t>
  </si>
  <si>
    <t>CCDC - Rổ chiên inox</t>
  </si>
  <si>
    <t>CCDCRAYLOCBEP</t>
  </si>
  <si>
    <t>CCDC - Rây lọc bếp</t>
  </si>
  <si>
    <t>CCDCRAYLOC</t>
  </si>
  <si>
    <t>CCDC - Rây lọc</t>
  </si>
  <si>
    <t>CCDCROCHUNHAT</t>
  </si>
  <si>
    <t>CCDC - Rổ chữ nhật</t>
  </si>
  <si>
    <t>KK00000360</t>
  </si>
  <si>
    <t>Mứt tươi, Mứt CN &amp; Syrup 16/4</t>
  </si>
  <si>
    <t>NVLSYRUPPOPCORN</t>
  </si>
  <si>
    <t>MSN - Syrup popcorn/ Bắp rang bơ</t>
  </si>
  <si>
    <t>NVLTRAOLONG</t>
  </si>
  <si>
    <t>MSN - Trà ô long</t>
  </si>
  <si>
    <t>NVLTRAXANHLAI</t>
  </si>
  <si>
    <t>MSN - Trà xanh lài</t>
  </si>
  <si>
    <t>NVLSYRUPVAI</t>
  </si>
  <si>
    <t>MSN - Syrup Vải</t>
  </si>
  <si>
    <t>NVLSYRUPHIBICUS</t>
  </si>
  <si>
    <t>MSN - Syrup Hibicus</t>
  </si>
  <si>
    <t>NVLSYRUPDUA</t>
  </si>
  <si>
    <t>MSN - Syrup Dừa</t>
  </si>
  <si>
    <t>NVLNUOCEPTAO</t>
  </si>
  <si>
    <t>MSN - Nước ép táo đóng chai</t>
  </si>
  <si>
    <t>NVLNUOCEPCHERRY</t>
  </si>
  <si>
    <t>MSN - Nước ép cherry đóng chai</t>
  </si>
  <si>
    <t>NVLCHUNKYVAIHOAHONG</t>
  </si>
  <si>
    <t>MSN - Chunky Vải Hoa hồng</t>
  </si>
  <si>
    <t>NVLCASCARA</t>
  </si>
  <si>
    <t>MSN - Cascara</t>
  </si>
  <si>
    <t>NVLSYRUPVANILLA</t>
  </si>
  <si>
    <t>MSN - Syrup Vanilla</t>
  </si>
  <si>
    <t>KK00000361</t>
  </si>
  <si>
    <t>Trân châu 17/4</t>
  </si>
  <si>
    <t>Chênh Vênh</t>
  </si>
  <si>
    <t>KK00000363</t>
  </si>
  <si>
    <t>rượu, mứt, syrup</t>
  </si>
  <si>
    <t>NVLRUOUGIN</t>
  </si>
  <si>
    <t>RUU - Rượu Gin (Gordon, Beefeater)</t>
  </si>
  <si>
    <t>NVLRUOUDUAMIDORI</t>
  </si>
  <si>
    <t>RUU - Rượu dưa Midori</t>
  </si>
  <si>
    <t>NVLRUOUBOLSTRIPLESEC</t>
  </si>
  <si>
    <t>RUU - Rượu Bols Triple Sec</t>
  </si>
  <si>
    <t>NVLRUOUBOLSAMARETTO</t>
  </si>
  <si>
    <t>RUU - Rượu Bols Amaretto</t>
  </si>
  <si>
    <t>NVLNUOCEPCAM</t>
  </si>
  <si>
    <t>MSN - Nước ép cam đóng chai</t>
  </si>
  <si>
    <t>NVLNUOCEPBUOI</t>
  </si>
  <si>
    <t>MSN - Nước ép bưởi đóng chai</t>
  </si>
  <si>
    <t>NVLRUOUJAGERMEISTER</t>
  </si>
  <si>
    <t>RUU - Rượu Jagermeister</t>
  </si>
  <si>
    <t>NVLRUOURUMDUAMALIBU</t>
  </si>
  <si>
    <t>RUU - Rượu Malibu</t>
  </si>
  <si>
    <t>GOI2KG</t>
  </si>
  <si>
    <t>Gói 2Kg</t>
  </si>
  <si>
    <t>NVLSODA</t>
  </si>
  <si>
    <t>RUU - Soda</t>
  </si>
  <si>
    <t>NVLSYRUPHOAHONG</t>
  </si>
  <si>
    <t>MSN - Syrup Rose/Hoa hồng</t>
  </si>
  <si>
    <t>NVLSYRUPTAO</t>
  </si>
  <si>
    <t>MSN - Syrup Green Apple/Táo xanh</t>
  </si>
  <si>
    <t>NVLTEQUILA</t>
  </si>
  <si>
    <t>RUU - Rượu Tequila</t>
  </si>
  <si>
    <t>NVLTONIC</t>
  </si>
  <si>
    <t>RUU- Tonic water</t>
  </si>
  <si>
    <t>NVLRUOUWHISKY</t>
  </si>
  <si>
    <t>RUU - Rượu Whisky</t>
  </si>
  <si>
    <t>NVLKAHLUA</t>
  </si>
  <si>
    <t>RUU - Rượu Kahlua</t>
  </si>
  <si>
    <t>NVLCHUNKYLEHOACUC</t>
  </si>
  <si>
    <t>MSN - Chunky Lê &amp; Hoa cúc</t>
  </si>
  <si>
    <t>NVLCHUNKYTHOM</t>
  </si>
  <si>
    <t>MSN - Chunky thơm</t>
  </si>
  <si>
    <t>NVLREDBULLLON</t>
  </si>
  <si>
    <t>RUU - Redbull</t>
  </si>
  <si>
    <t>NVLSYRUPDUALUOI</t>
  </si>
  <si>
    <t>MSN - Syrup Melon/Dưa lưới</t>
  </si>
  <si>
    <t>NVLSYRUPELDERFLOWER</t>
  </si>
  <si>
    <t>MSN - Syrup Elderflower/Hoa cơm cháy</t>
  </si>
  <si>
    <t>NVLANGOSTURABITTERS</t>
  </si>
  <si>
    <t>RUU - Rượu Angostura</t>
  </si>
  <si>
    <t>NVLBAILEY</t>
  </si>
  <si>
    <t>RUU - Rượu Bailey</t>
  </si>
  <si>
    <t>NVLBARCADI</t>
  </si>
  <si>
    <t>RUU - Rượu Rum (Barcadi/Havana)</t>
  </si>
  <si>
    <t>NVLBOLSBLUECURACAO</t>
  </si>
  <si>
    <t>RUU - Rượu Bols Blue Curacao</t>
  </si>
  <si>
    <t>NVLCHUNKYOI</t>
  </si>
  <si>
    <t>MSN - chunky Ổi</t>
  </si>
  <si>
    <t>NVLCOCACOLA</t>
  </si>
  <si>
    <t>RUU - Cocacola</t>
  </si>
  <si>
    <t>NVLVODKA</t>
  </si>
  <si>
    <t>RUU - Rượu Vodka</t>
  </si>
  <si>
    <t>ĐVT sử dụng</t>
  </si>
  <si>
    <t>ML</t>
  </si>
  <si>
    <t>Gram</t>
  </si>
  <si>
    <t>Gói</t>
  </si>
  <si>
    <t>Cuộn</t>
  </si>
  <si>
    <t>Can</t>
  </si>
  <si>
    <t>Đôi</t>
  </si>
  <si>
    <t>Miếng</t>
  </si>
  <si>
    <t>Bao</t>
  </si>
  <si>
    <t>Lốc</t>
  </si>
  <si>
    <t>Bộ</t>
  </si>
  <si>
    <t>Chai 830g</t>
  </si>
  <si>
    <t>Cục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</si>
</sst>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 h:mm:ss"/>
    <numFmt numFmtId="165" formatCode="dd/mm/yyyy"/>
  </numFmts>
  <fonts count="6">
    <font>
      <sz val="10.0"/>
      <color theme="1"/>
      <name val="Calibri"/>
      <scheme val="minor"/>
    </font>
    <font>
      <b/>
      <sz val="10.0"/>
      <color rgb="FF000000"/>
      <name val="Calibri"/>
    </font>
    <font>
      <color theme="1"/>
      <name val="Calibri"/>
      <scheme val="minor"/>
    </font>
    <font>
      <b/>
      <sz val="9.0"/>
      <color rgb="FF000000"/>
      <name val="Calibri"/>
    </font>
    <font>
      <sz val="9.0"/>
      <color rgb="FF000000"/>
      <name val="Calibri"/>
    </font>
    <font>
      <sz val="9.0"/>
      <color rgb="FF3370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  <fill>
      <patternFill patternType="solid">
        <fgColor rgb="FFFFF258"/>
        <bgColor rgb="FFFFF258"/>
      </patternFill>
    </fill>
  </fills>
  <borders count="7">
    <border/>
    <border>
      <left style="thin">
        <color rgb="FF95B3D7"/>
      </left>
      <right/>
      <top style="thin">
        <color rgb="FF95B3D7"/>
      </top>
      <bottom style="thin">
        <color rgb="FF95B3D7"/>
      </bottom>
    </border>
    <border>
      <left/>
      <right/>
      <top style="thin">
        <color rgb="FF95B3D7"/>
      </top>
      <bottom style="thin">
        <color rgb="FF95B3D7"/>
      </bottom>
    </border>
    <border>
      <left/>
      <top style="thin">
        <color rgb="FF95B3D7"/>
      </top>
      <bottom style="thin">
        <color rgb="FF95B3D7"/>
      </bottom>
    </border>
    <border>
      <left style="thin">
        <color rgb="FF1F2329"/>
      </left>
      <right/>
      <top style="thin">
        <color rgb="FF1F2329"/>
      </top>
      <bottom style="thin">
        <color rgb="FF1F2329"/>
      </bottom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</border>
    <border>
      <left style="thin">
        <color rgb="FF1F2329"/>
      </left>
      <top style="thin">
        <color rgb="FF1F2329"/>
      </top>
      <bottom style="thin">
        <color rgb="FF1F2329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readingOrder="0" vertical="bottom"/>
    </xf>
    <xf borderId="2" fillId="2" fontId="1" numFmtId="49" xfId="0" applyAlignment="1" applyBorder="1" applyFont="1" applyNumberFormat="1">
      <alignment horizontal="center" readingOrder="0" vertical="bottom"/>
    </xf>
    <xf borderId="2" fillId="2" fontId="1" numFmtId="0" xfId="0" applyAlignment="1" applyBorder="1" applyFont="1">
      <alignment horizontal="center" readingOrder="0" vertical="bottom"/>
    </xf>
    <xf borderId="2" fillId="2" fontId="1" numFmtId="3" xfId="0" applyAlignment="1" applyBorder="1" applyFont="1" applyNumberFormat="1">
      <alignment horizontal="center" readingOrder="0" vertical="bottom"/>
    </xf>
    <xf borderId="3" fillId="2" fontId="1" numFmtId="4" xfId="0" applyAlignment="1" applyBorder="1" applyFont="1" applyNumberFormat="1">
      <alignment horizontal="center" readingOrder="0" vertical="bottom"/>
    </xf>
    <xf borderId="3" fillId="2" fontId="1" numFmtId="3" xfId="0" applyAlignment="1" applyBorder="1" applyFont="1" applyNumberFormat="1">
      <alignment horizontal="center" readingOrder="0" vertical="bottom"/>
    </xf>
    <xf borderId="3" fillId="2" fontId="1" numFmtId="0" xfId="0" applyAlignment="1" applyBorder="1" applyFont="1">
      <alignment horizontal="center" readingOrder="0" vertical="bottom"/>
    </xf>
    <xf borderId="0" fillId="0" fontId="2" numFmtId="0" xfId="0" applyAlignment="1" applyFont="1">
      <alignment readingOrder="0" vertical="center"/>
    </xf>
    <xf borderId="0" fillId="0" fontId="2" numFmtId="164" xfId="0" applyAlignment="1" applyFont="1" applyNumberFormat="1">
      <alignment readingOrder="0" vertical="center"/>
    </xf>
    <xf borderId="0" fillId="0" fontId="2" numFmtId="0" xfId="0" applyAlignment="1" applyFont="1">
      <alignment readingOrder="0" vertical="center"/>
    </xf>
    <xf borderId="0" fillId="0" fontId="2" numFmtId="3" xfId="0" applyAlignment="1" applyFont="1" applyNumberFormat="1">
      <alignment readingOrder="0" vertical="center"/>
    </xf>
    <xf borderId="0" fillId="0" fontId="2" numFmtId="4" xfId="0" applyAlignment="1" applyFont="1" applyNumberFormat="1">
      <alignment readingOrder="0" vertical="center"/>
    </xf>
    <xf borderId="0" fillId="0" fontId="2" numFmtId="3" xfId="0" applyAlignment="1" applyFont="1" applyNumberFormat="1">
      <alignment vertical="center"/>
    </xf>
    <xf borderId="0" fillId="0" fontId="2" numFmtId="4" xfId="0" applyAlignment="1" applyFont="1" applyNumberFormat="1">
      <alignment vertical="center"/>
    </xf>
    <xf borderId="0" fillId="0" fontId="2" numFmtId="0" xfId="0" applyAlignment="1" applyFont="1">
      <alignment vertical="center"/>
    </xf>
    <xf borderId="0" fillId="0" fontId="2" numFmtId="49" xfId="0" applyAlignment="1" applyFont="1" applyNumberFormat="1">
      <alignment vertical="center"/>
    </xf>
    <xf borderId="0" fillId="0" fontId="2" numFmtId="164" xfId="0" applyAlignment="1" applyFont="1" applyNumberFormat="1">
      <alignment vertical="center"/>
    </xf>
    <xf borderId="4" fillId="3" fontId="3" numFmtId="0" xfId="0" applyAlignment="1" applyBorder="1" applyFill="1" applyFont="1">
      <alignment horizontal="center" vertical="center"/>
    </xf>
    <xf borderId="5" fillId="3" fontId="3" numFmtId="0" xfId="0" applyAlignment="1" applyBorder="1" applyFont="1">
      <alignment horizontal="center" vertical="center"/>
    </xf>
    <xf borderId="6" fillId="0" fontId="4" numFmtId="0" xfId="0" applyAlignment="1" applyBorder="1" applyFont="1">
      <alignment vertical="center"/>
    </xf>
    <xf borderId="5" fillId="0" fontId="4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0" fillId="0" fontId="4" numFmtId="4" xfId="0" applyAlignment="1" applyFont="1" applyNumberFormat="1">
      <alignment vertical="center"/>
    </xf>
    <xf borderId="0" fillId="0" fontId="5" numFmtId="0" xfId="0" applyAlignment="1" applyFont="1">
      <alignment vertical="center"/>
    </xf>
    <xf borderId="0" fillId="0" fontId="4" numFmtId="165" xfId="0" applyAlignment="1" applyFont="1" applyNumberFormat="1">
      <alignment vertical="center"/>
    </xf>
    <xf borderId="0" fillId="0" fontId="4" numFmtId="3" xfId="0" applyAlignment="1" applyFont="1" applyNumberFormat="1">
      <alignment vertical="center"/>
    </xf>
    <xf borderId="0" fillId="0" fontId="4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Q49062" sheet="Scraping_data"/>
  </cacheSource>
  <cacheFields>
    <cacheField name="Chi nhánh" numFmtId="0">
      <sharedItems containsBlank="1">
        <s v="Chạng Vạng Hàng Xanh"/>
        <s v="Thương"/>
        <s v="Ráng Chiều"/>
        <s v="Chạng Vạng Trần Não"/>
        <s v="Chênh Vênh"/>
        <m/>
      </sharedItems>
    </cacheField>
    <cacheField name="Mã phiếu" numFmtId="0">
      <sharedItems containsBlank="1">
        <s v="KK00000346"/>
        <s v="KK00000351"/>
        <s v="KK00000352"/>
        <s v="KK00000353"/>
        <s v="KK00000362"/>
        <s v="KK00000348"/>
        <s v="KK00000349"/>
        <s v="KK00000350"/>
        <s v="KK00000357"/>
        <s v="KK00000359"/>
        <s v="KK00000358"/>
        <s v="KK00000360"/>
        <s v="KK00000361"/>
        <s v="KK00000363"/>
        <m/>
      </sharedItems>
    </cacheField>
    <cacheField name="Thời gian kiểm kê" numFmtId="164">
      <sharedItems containsDate="1" containsString="0" containsBlank="1">
        <d v="2026-04-14T23:59:59Z"/>
        <d v="2026-04-15T17:39:16Z"/>
        <d v="2026-04-15T17:47:05Z"/>
        <d v="2026-04-15T19:35:01Z"/>
        <d v="2026-04-15T23:59:59Z"/>
        <d v="2026-04-16T19:12:52Z"/>
        <d v="2026-04-16T23:59:59Z"/>
        <d v="2026-04-17T23:59:59Z"/>
        <d v="2026-04-20T18:43:54Z"/>
        <m/>
      </sharedItems>
    </cacheField>
    <cacheField name="Ghi chú" numFmtId="0">
      <sharedItems containsBlank="1">
        <s v="đồ ăn"/>
        <s v="Hoàn thành kiểm bia 14/04"/>
        <m/>
        <s v="Hoàn thành kiểm trái cây 14/04"/>
        <s v="kiểm chéo bia - trái cây - đồ ăn"/>
        <s v="TRÁI CÂY"/>
        <s v="MỨT"/>
        <s v="bia"/>
        <s v="Hoàn thành kiểm mứt 15/04"/>
        <s v="BẾP 15/4"/>
        <s v="Hoàn thành kiểm công cụ dụng cụ, phần ly cửa hàng sẽ bổ sung kiểm lại sau ạ."/>
        <s v="Mứt tươi, Mứt CN &amp; Syrup 16/4"/>
        <s v="Trân châu 17/4"/>
        <s v="rượu, mứt, syrup"/>
      </sharedItems>
    </cacheField>
    <cacheField name="Mã hàng" numFmtId="0">
      <sharedItems containsBlank="1">
        <s v="NVLCHABO"/>
        <s v="NVLDACATRUNGMUOI"/>
        <s v="NVLDOISUN"/>
        <s v="NVLGALAC"/>
        <s v="NVLHOLOCHIEN"/>
        <s v="NVLKHOAILANGKEN"/>
        <s v="NVLKHOBOSOICAY"/>
        <s v="NVLKHOHEO"/>
        <s v="NVLMANDU"/>
        <s v="NVLMIYXUCXICHSOTBOBAM"/>
        <s v="NVLSUICAO"/>
        <s v="NVLXUCXICHDUC"/>
        <s v="NVLDAUPHONGCHAYTOI"/>
        <s v="NVLGACUONRONGBIEN"/>
        <s v="NVLHOANHTHANH"/>
        <s v="NVLKIMBAP"/>
        <s v="NVLPIZZAHAISANPHOMAISIZE18"/>
        <s v="NVLTOPMO"/>
        <s v="NVLKHOAITAYCHIEN"/>
        <s v="NVLCHARAMTOMDAT"/>
        <s v="BEERSHEFEWEIZEN"/>
        <s v="BEERSAIGONROSE"/>
        <s v="BEERPALEALE"/>
        <s v="BEERPACIFICPILSN"/>
        <s v="BEERBELGOSESSION"/>
        <s v="BEERSPINEAPPLE"/>
        <s v="BEER1664"/>
        <s v="BEERBUDWEISER"/>
        <s v="BEERBELGOAMBER"/>
        <s v="BEERCORONA"/>
        <s v="BEERKENXANH"/>
        <s v="BEERSGRAPEFRUIT"/>
        <s v="BEERTIGERBAC"/>
        <s v="BEERKENBAC"/>
        <s v="BEERTIGERNAU"/>
        <s v="NUOCSUOI"/>
        <s v="NVLDAULONG"/>
        <s v="NVLDUACHUA"/>
        <s v="NVLPHOMAIHUNKHOI"/>
        <s v="NVLTRAUGAPBEP"/>
        <s v="BEERSHOIHANOI"/>
        <s v="NVLDAUHUSINGAPORE"/>
        <s v="NVLDAUHALANWASABI"/>
        <s v="NVLBANHGA"/>
        <s v="NVLNEMLUI"/>
        <s v="NVLSUNGA"/>
        <s v="BTPBANHFLAN"/>
        <s v="NVLBAPBONGAMNAM"/>
        <s v="NVLTAO"/>
        <s v="NVLTRAIDUAHAU"/>
        <s v="NVLTRUNGGA"/>
        <s v="NVLXALACH"/>
        <s v="NVLSUADACLIT"/>
        <s v="NVLDUALEO"/>
        <s v="NVLCAM"/>
        <s v="BTPCOTTRAMIXOLONGLAI"/>
        <s v="NVLDAUTAYTRAI"/>
        <s v="BTPNUOCDUONG"/>
        <s v="NVLCAPHEBOT"/>
        <s v="NVLCAROT"/>
        <s v="NVLCHANH"/>
        <s v="NVLCHANHDAY"/>
        <s v="NVLQUYT"/>
        <s v="NVLTHOM"/>
        <s v="NVLTRAICAYKHO"/>
        <s v="NVLTRAIDUALUOI"/>
        <s v="NVLTRAIOI"/>
        <s v="NVLTRAITAC"/>
        <s v="NVLXOAI"/>
        <s v="NVLCAMVANG"/>
        <s v="NVLLADUA"/>
        <s v="NVLSUACHUA"/>
        <s v="NVLNHO"/>
        <s v="NVLNHAN"/>
        <s v="NVLHONG"/>
        <s v="NVLCHACADAUDUA"/>
        <s v="BTPPANNACOTTA"/>
        <s v="BTPHATDACDECOR"/>
        <s v="NVLCHERRYNGAM"/>
        <s v="BEERWEISSBIER"/>
        <s v="BEERKELLERBIER"/>
        <s v="BEERFAREASTIPA"/>
        <s v="BEERBELGOROYALE"/>
        <s v="BEERBELGOFULLMON"/>
        <s v="BEERSBYAPPLE"/>
        <s v="BEERSBLUEBERRY"/>
        <s v="BEERSBBLACKBERRY"/>
        <s v="BEERHGDWHITE"/>
        <s v="BEERHGDROSEE"/>
        <s v="NVLSA"/>
        <s v="NVLRAUHUNG"/>
        <s v="BTPMUTTUOICHANHDAYVER2"/>
        <s v="BTPMUTTUOIDAUTAYVER2"/>
        <s v="BTPMUTTUOIOI"/>
        <s v="BTPMUTTUOINHIETDOIVER2"/>
        <s v="BTPMUTTUOIQUYT"/>
        <s v="NVLMUTVIETQUAT"/>
        <s v="NVLMUTDAO"/>
        <s v="BTPMUTTUOIXOAI"/>
        <s v="NVLTRANCHAUTRANG"/>
        <s v="NVLTRANCHAUOLONG1"/>
        <s v="NVLSYRUPVIETQUAT"/>
        <s v="NVLSYRUPMOJITOMINT"/>
        <s v="NVLSYRUPLUUDO"/>
        <s v="NVLSYRUPCHANHDAY"/>
        <s v="NVLNUOCEPTHOM"/>
        <s v="NVLSYRUPDAO"/>
        <s v="NVLMUTKIWIDONGLANH"/>
        <s v="NVLMUTDAU"/>
        <s v="NVLMUTCHANHDAY"/>
        <s v="BTPKOMBUCHA"/>
        <s v="NVLSYRUPDAU"/>
        <s v="NVLSYRUPBLUECURACAO"/>
        <s v="NVLMUTKIWI"/>
        <s v="NVLMUTVIETQUATDONGLANH"/>
        <s v="NVLTRADAUBIEC"/>
        <s v="BTPMUTTUOIMANGCAUVER2"/>
        <s v="NVLGAVONG"/>
        <s v="NVLCHACAY"/>
        <s v="NVLCAYTRE"/>
        <s v="NVLBANHSUA"/>
        <s v="NVLXUCXICHVONG"/>
        <s v="NVLXOAISAYMUOIOT"/>
        <s v="CCDCOCAMDIEN"/>
        <s v="CCDMAYEPCAM"/>
        <s v="CCDCDUNGCUVATCHANH"/>
        <s v="CCDCGIORAC"/>
        <s v="CCDCHOPNHUA100407TANLAPTHANH"/>
        <s v="CCDCHOPNHUACHUNHAT"/>
        <s v="CCDCHOPNHUADAIDONGTIENL508"/>
        <s v="CCDCHUGIAVITHUYTINH"/>
        <s v="CCDCGATTAN"/>
        <s v="CCDCJIGGER"/>
        <s v="CCDCKENHUA3NGAN"/>
        <s v="CCDCKEOLAMBEP"/>
        <s v="CCDCKEORANGCUA"/>
        <s v="CCDCKEPGAPDA"/>
        <s v="CCDCKHANLAU"/>
        <s v="CCDCDUNGCUCATKEO"/>
        <s v="CCDCKHAYDOAN"/>
        <s v="CCDCKHAYTRAINOXCOLO"/>
        <s v="CCDCKHO"/>
        <s v="CCDCKHUIBIA"/>
        <s v="CCDCKYXUCRA"/>
        <s v="CCDCLOCRACMOVIT"/>
        <s v="CCDCLOTLY"/>
        <s v="CCDCLOVISONG"/>
        <s v="CCDCMAMPHUCVU"/>
        <s v="CCDCMAYDANHTRUNG"/>
        <s v="CCDCMIENGCAONUOC"/>
        <s v="CCDCMUONGBAR"/>
        <s v="CCDCMUONGXUCDA"/>
        <s v="CCDCNHIPGAPDECOR"/>
        <s v="CCDCKHAYDUNGTOPPINGDECOR"/>
        <s v="CCDCDAOBAO"/>
        <s v="CCDCDAO"/>
        <s v="CCDCDAMAIDAO"/>
        <s v="CCDCBANCHAIDANHRANG"/>
        <s v="CCDCBINHDUNSIEUTOC"/>
        <s v="CCDCBINHNHUADUNGNUOC"/>
        <s v="CCDCBODAMKENWOOD"/>
        <s v="CCDCBONGDENLEDBO"/>
        <s v="CCDCBUADAPTHI"/>
        <s v="CCDCCADONG100ML"/>
        <s v="CCDCCADONG250ML"/>
        <s v="CCDCCADONG2L"/>
        <s v="CCDCCANCO"/>
        <s v="CCDCCANHUA"/>
        <s v="CCDCCANTIEULI"/>
        <s v="CCDCCAPSACLIGHTNING"/>
        <s v="CCDCCAYCAONUOC"/>
        <s v="CCDCCAYCHASAN"/>
        <s v="CCDCCAYCHATOILET"/>
        <s v="CCDCCAYGATKINH"/>
        <s v="CCDCCAYGHIMBILL"/>
        <s v="CCDCCAYLAUNHA"/>
        <s v="CCDCCAYRUALY"/>
        <s v="CCDCCHAINHOGIOT10ML"/>
        <s v="CCDCCHANDA"/>
        <s v="CCDCCHAYBARINOX"/>
        <s v="CCDCCHENTUONG"/>
        <s v="CCDCCHOI"/>
        <s v="CCDCCHOICHA"/>
        <s v="CCDCCHOILONGGA"/>
        <s v="CCDCCHOIQUETNUOC"/>
        <s v="CCDCCORUACHAI"/>
        <s v="CCDCOKHOA"/>
        <s v="CCDCONGDUNGDUAINOX"/>
        <s v="CCDCHUNHUA"/>
        <s v="CCDCPUMP"/>
        <s v="CCDCTOSU"/>
        <s v="CCDCTUIUTRALOC"/>
        <s v="CCDCVAINOX"/>
        <s v="CCDCVAINOXCOLO"/>
        <s v="CCDCVOIROTRUOU"/>
        <s v="CCDCVOTVOTDAU"/>
        <s v="CCDCXODA"/>
        <s v="CCDCBANTENNHUA"/>
        <s v="CCDCPHEU"/>
        <s v="CCDCBINHUTRA"/>
        <s v="CCDCCAYDANHBOT"/>
        <s v="CCDCCHAITUONG"/>
        <s v="CCDCCONTAINERDUNGDODECORINOX"/>
        <s v="CCDCKEPGODECOR"/>
        <s v="CCDCVOITUOICAY"/>
        <s v="CCDCTHUNGNHUA20L"/>
        <s v="CCDCTHOT"/>
        <s v="CCDCBINHDUNGMUT"/>
        <s v="CCDCTHANHGHIMBILLINOX"/>
        <s v="CCDCTHAUINOX"/>
        <s v="CCDCTHAMBAR"/>
        <s v="CCDCTAPDE"/>
        <s v="CCDCSHAKER"/>
        <s v="CCDCRONHUA"/>
        <s v="CCDCTHAMLAUCHANVAI"/>
        <s v="CCDCROCHIENINOX"/>
        <s v="CCDCRAYLOCBEP"/>
        <s v="CCDCRAYLOC"/>
        <s v="CCDCROCHUNHAT"/>
        <s v="NVLSYRUPPOPCORN"/>
        <s v="NVLTRAOLONG"/>
        <s v="NVLTRAXANHLAI"/>
        <s v="NVLSYRUPVAI"/>
        <s v="NVLSYRUPHIBICUS"/>
        <s v="NVLSYRUPDUA"/>
        <s v="NVLNUOCEPTAO"/>
        <s v="NVLNUOCEPCHERRY"/>
        <s v="NVLCHUNKYVAIHOAHONG"/>
        <s v="NVLCASCARA"/>
        <s v="NVLSYRUPVANILLA"/>
        <s v="NVLRUOUGIN"/>
        <s v="NVLRUOUDUAMIDORI"/>
        <s v="NVLRUOUBOLSTRIPLESEC"/>
        <s v="NVLRUOUBOLSAMARETTO"/>
        <s v="NVLNUOCEPCAM"/>
        <s v="NVLNUOCEPBUOI"/>
        <s v="NVLRUOUJAGERMEISTER"/>
        <s v="NVLRUOURUMDUAMALIBU"/>
        <s v="NVLSODA"/>
        <s v="NVLSYRUPHOAHONG"/>
        <s v="NVLSYRUPTAO"/>
        <s v="NVLTEQUILA"/>
        <s v="NVLTONIC"/>
        <s v="NVLRUOUWHISKY"/>
        <s v="NVLKAHLUA"/>
        <s v="NVLCHUNKYLEHOACUC"/>
        <s v="NVLCHUNKYTHOM"/>
        <s v="NVLREDBULLLON"/>
        <s v="NVLSYRUPDUALUOI"/>
        <s v="NVLSYRUPELDERFLOWER"/>
        <s v="NVLANGOSTURABITTERS"/>
        <s v="NVLBAILEY"/>
        <s v="NVLBARCADI"/>
        <s v="NVLBOLSBLUECURACAO"/>
        <s v="NVLCHUNKYOI"/>
        <s v="NVLCOCACOLA"/>
        <s v="NVLVODKA"/>
        <m/>
      </sharedItems>
    </cacheField>
    <cacheField name="Tên hàng" numFmtId="0">
      <sharedItems containsBlank="1">
        <s v="DAB - Chả Bò"/>
        <s v="DAB - Da cá Trứng Muối"/>
        <s v="DAB - Dồi sụn"/>
        <s v="DAB - Gà Lắc"/>
        <s v="DAB - Hồ lô chiên/nướng"/>
        <s v="DAB - Khoai lang kén"/>
        <s v="DAB - Khô bò sợi cay"/>
        <s v="DAB - Khô heo"/>
        <s v="DAB - Mandu"/>
        <s v="DAB - Mì Ý xúc xích sốt bò bằm"/>
        <s v="DAB - Sủi cảo"/>
        <s v="DAB - Xúc xích Đức"/>
        <s v="DAB - Đậu phộng cháy tỏi"/>
        <s v="DAB - Gà cuộn rong biển"/>
        <s v="DAB - Hoành thánh"/>
        <s v="DAB - KimBap"/>
        <s v="DAB - Pizza hải sản phô mai"/>
        <s v="DAB - Tóp mỡ"/>
        <s v="DAB - Khoai tây chiên"/>
        <s v="DAB - Chả Ram tôm đất"/>
        <s v="Summer Hefeweizen"/>
        <s v="Saigon Rose"/>
        <s v="Pale Ale"/>
        <s v="Pacific Pilsner"/>
        <s v="Belgo Session IPA"/>
        <s v="Spirit Pineapple"/>
        <s v="Blanc 1664"/>
        <s v="Budweiser"/>
        <s v="Belgo Amber"/>
        <s v="Corona"/>
        <s v="Heineiken Original"/>
        <s v="Spirit Vodka Grapefruit"/>
        <s v="Tiger Crystal"/>
        <s v="Heineiken Silver"/>
        <s v="Tiger World Acclaimed"/>
        <s v="Nước Suối"/>
        <s v="DAB - Đậu lông"/>
        <s v="DAB - Dưa chua"/>
        <s v="DAB - Phô mai hun khói"/>
        <s v="DAB - Trâu gác bếp"/>
        <s v="Bia hơi Hà Nội"/>
        <s v="DAB - Đậu hũ Singapore"/>
        <s v="DAB - Đậu hà lan wasabi"/>
        <s v="DAB - Bánh gà"/>
        <s v="DAB - Nem lụi"/>
        <s v="DAB - Sụn gà"/>
        <s v="DAB - Bánh Flan"/>
        <s v="DAB - Bắp bò ngâm mắm"/>
        <s v="DTN - Táo đỏ"/>
        <s v="DTN - Dưa hấu"/>
        <s v="DTN - Trứng gà"/>
        <s v="DTN - Xà lách"/>
        <s v="DTN - Sữa đặc"/>
        <s v="DTN - Dưa leo"/>
        <s v="DTN - Cam xanh"/>
        <s v="DTN - Cốt trà mix ô long + lài"/>
        <s v="DTN - Dâu tây"/>
        <s v="DTN - Nước đường"/>
        <s v="DTN - Cà phê bột"/>
        <s v="DTN - Cà rốt"/>
        <s v="DTN - Chanh"/>
        <s v="DTN - Chanh dây"/>
        <s v="DTN - Quýt"/>
        <s v="DTN - Thơm"/>
        <s v="DTN - Trái cây khô trang trí"/>
        <s v="DTN - Dưa lưới"/>
        <s v="DTN - Ổi"/>
        <s v="DTN - Trái tắc"/>
        <s v="DTN - Xoài"/>
        <s v="DTN - Cam vàng"/>
        <s v="DTN - Lá dứa"/>
        <s v="DTN - Yogurt"/>
        <s v="DTN - Nho"/>
        <s v="DTN - Nhãn"/>
        <s v="DTN - Hồng"/>
        <s v="DAB - Chả cá đậu đũa"/>
        <s v="DAB - Pannacotta"/>
        <s v="MSN - Hạt đác rim"/>
        <s v="DTN - Cherry ngâm"/>
        <s v="Kaiserdom Weissbier"/>
        <s v="Kaiserdom Kellerbier"/>
        <s v="Far East IPA"/>
        <s v="Belgo Royale"/>
        <s v="Belgo Full Moon"/>
        <s v="Somersby Apple"/>
        <s v="Spirit Vodka Blueberry"/>
        <s v="Somersby Blackberry"/>
        <s v="Hoegaarden white"/>
        <s v="Hoegaarden Rose"/>
        <s v="DTN - Sả"/>
        <s v="DTN - Rau húng"/>
        <s v="MSN -  Mứt tươi chanh dây"/>
        <s v="MSN -  Mứt tươi dâu tây"/>
        <s v="MSN -  Mứt tươi ổi"/>
        <s v="MSN -  Mứt tươi nhiệt đới"/>
        <s v="MSN -  Mứt tươi quýt"/>
        <s v="MSN - Mứt việt quất Osterberg"/>
        <s v="MSN - Mứt đào Osterberg"/>
        <s v="MSN -  Mứt tươi xoài"/>
        <s v="MSN - Trân châu trắng"/>
        <s v="MSN - Trân châu olong"/>
        <s v="MSN - Syrup Blueberry/Việt quất"/>
        <s v="MSN - Syrup mojito mint"/>
        <s v="MSN - Syrup Grenadine/Lựu"/>
        <s v="MSN - Syrup Passion Fruit/Chanh dây"/>
        <s v="MSN - Nước ép thơm đóng chai"/>
        <s v="MSN - Syrup Peach/ Đào"/>
        <s v="MSN - Mứt Kiwi đông lạnh"/>
        <s v="MSN - Mứt dâu đóng chai"/>
        <s v="MSN - Mứt chanh dây Osterberg"/>
        <s v="MSN - Kombucha thành  phẩm"/>
        <s v="MSN - Syrup Strawberry/Dâu"/>
        <s v="MSN - Syrup Blue Curacao"/>
        <s v="MSN - Mứt Kiwi Osterberg"/>
        <s v="MSN - Mứt việt quất đông lạnh"/>
        <s v="MSN - Trà hoa đậu biếc"/>
        <s v="MSN -  Mứt tươi mãng cầu"/>
        <s v="DAB - Gà vòng"/>
        <s v="DAB - Chả cây"/>
        <s v="DAB - Cây tré"/>
        <s v="DAB - Bánh sữa chiên"/>
        <s v="DAB - Xúc xích vòng Kielbasa"/>
        <s v="DAB - Xoài sấy dẻo"/>
        <s v="CCDC - Ổ cắm điện"/>
        <s v="CCDC - Máy ép cam"/>
        <s v="CCDC - Dụng cụ vắt chanh"/>
        <s v="CCDC - Thùng rác"/>
        <s v="CCDC - Hộp nhựa 100407 Tân Lập Thành"/>
        <s v="CCDC - Hộp nhựa chữ nhật"/>
        <s v="CCDC - Hộp nhựa Đại Đồng Tiến L-508 (1L)"/>
        <s v="CCDC - Hủ gia vị thủy tinh"/>
        <s v="CCDC - Gạt tàn"/>
        <s v="CCDC - Ly đong - Jigger"/>
        <s v="CCDC - Kệ nhựa 3 ngăn"/>
        <s v="CCDC - Kéo làm bếp"/>
        <s v="CCDC - Kéo răng cưa"/>
        <s v="CCDC - Kẹp gắp đá"/>
        <s v="CCDC - Khăn lau"/>
        <s v="CCDC - Dụng cụ cắt băng keo"/>
        <s v="CCDC - Khay đồ ăn"/>
        <s v="CCDC - Khay trà inox có lỗ"/>
        <s v="CCDC - Khò"/>
        <s v="CCDC - Khui bia"/>
        <s v="CCDC - Ky xúc rác"/>
        <s v="CCDC - Lọc rác mỏ vịt"/>
        <s v="CCDC - Lót ly"/>
        <s v="CCDC - Lò vi sóng"/>
        <s v="CCDC - Mâm phục vụ"/>
        <s v="CCDC - Máy đánh trứng"/>
        <s v="CCDC - Miếng cào nước"/>
        <s v="CCDC - Muỗng Bar"/>
        <s v="CCDC - Muỗng xúc đá"/>
        <s v="CCDC - Nhíp gắp decor"/>
        <s v="CCDC - Khay đựng topping decor"/>
        <s v="CCDC - Dao bào"/>
        <s v="CCDC - Dao"/>
        <s v="CCDC - Đá mài dao"/>
        <s v="CCDC - Bàn chải đánh răng"/>
        <s v="CCDC - Bình đun siêu tốc"/>
        <s v="CCDC - Bình nhựa đựng nước"/>
        <s v="CCDC - Bộ đàm Kenwood"/>
        <s v="CCDC - Bóng đèn led bơ"/>
        <s v="CCDC - Búa đập thịt"/>
        <s v="CCDC - Ca đong 100ml"/>
        <s v="CCDC - Ca đong 250ml"/>
        <s v="CCDC - Ca đong nhựa 2L"/>
        <s v="CCDC - Cân cơ"/>
        <s v="CCDC - Ca nhựa"/>
        <s v="CCDC - Cân tiểu li"/>
        <s v="CCDC - Cáp sạc"/>
        <s v="CCDC - Cây cào nước"/>
        <s v="CCDC - Cây chà sàn"/>
        <s v="CCDC - Cây chà toilet"/>
        <s v="CCDC - Cây gạt kính"/>
        <s v="CCDC - Cây ghim bill"/>
        <s v="CCDC - Cây lau nhà"/>
        <s v="CCDC - Cây rửa ly"/>
        <s v="CCDC - Chai nhỏ giọt 10 ml"/>
        <s v="CCDC - Chặn đá"/>
        <s v="CCDC - Chày bar inox"/>
        <s v="CCDC - Chén tương"/>
        <s v="CCDC - Chổi"/>
        <s v="CCDC - Chổi chà (chổi quét sân)"/>
        <s v="CCDC - Chổi lông gà"/>
        <s v="CCDC - Chổi quét nước"/>
        <s v="CCDC - Cọ rửa chai"/>
        <s v="CCDC - Ổ khoá"/>
        <s v="CCDC - Ống đựng đũa inox"/>
        <s v="CCDC - Hũ nhựa"/>
        <s v="CCDC - Pump"/>
        <s v="CCDC - Tô sứ"/>
        <s v="CCDC - Túi ủ trà lọc"/>
        <s v="CCDC - Vá Inox"/>
        <s v="CCDC - Vá inox có lỗ"/>
        <s v="CCDC - Vòi rót rượu"/>
        <s v="CCDC - Vợt vớt dầu"/>
        <s v="CCDC - Xô đá"/>
        <s v="CCDC - Bảng tên nhựa"/>
        <s v="CCDC - Phễu"/>
        <s v="CCDC - Bình ủ trà"/>
        <s v="CCDC - Cây đánh bọt cà phê"/>
        <s v="CCDC - Chai đựng mứt"/>
        <s v="CCDC - Container đựng đồ decor inox"/>
        <s v="CCDC - Kẹp gỗ decor"/>
        <s v="CCDC - Vòi tưới cây"/>
        <s v="CCDC - Thùng nhựa"/>
        <s v="CCDC - Thớt"/>
        <s v="CCDC - Bình nhựa đựng mứt"/>
        <s v="CCDC - Thanh ghim bill"/>
        <s v="CCDC - Thau Inox"/>
        <s v="CCDC - Thảm bar"/>
        <s v="CCDC - Tạp dề"/>
        <s v="CCDC - Shaker"/>
        <s v="CCDC - Rổ nhựa"/>
        <s v="CCDC - Thảm lau chân vải"/>
        <s v="CCDC - Rổ chiên inox"/>
        <s v="CCDC - Rây lọc bếp"/>
        <s v="CCDC - Rây lọc"/>
        <s v="CCDC - Rổ chữ nhật"/>
        <s v="MSN - Syrup popcorn/ Bắp rang bơ"/>
        <s v="MSN - Trà ô long"/>
        <s v="MSN - Trà xanh lài"/>
        <s v="MSN - Syrup Vải"/>
        <s v="MSN - Syrup Hibicus"/>
        <s v="MSN - Syrup Dừa"/>
        <s v="MSN - Nước ép táo đóng chai"/>
        <s v="MSN - Nước ép cherry đóng chai"/>
        <s v="MSN - Chunky Vải Hoa hồng"/>
        <s v="MSN - Cascara"/>
        <s v="MSN - Syrup Vanilla"/>
        <s v="RUU - Rượu Gin (Gordon, Beefeater)"/>
        <s v="RUU - Rượu dưa Midori"/>
        <s v="RUU - Rượu Bols Triple Sec"/>
        <s v="RUU - Rượu Bols Amaretto"/>
        <s v="MSN - Nước ép cam đóng chai"/>
        <s v="MSN - Nước ép bưởi đóng chai"/>
        <s v="RUU - Rượu Jagermeister"/>
        <s v="RUU - Rượu Malibu"/>
        <s v="RUU - Soda"/>
        <s v="MSN - Syrup Rose/Hoa hồng"/>
        <s v="MSN - Syrup Green Apple/Táo xanh"/>
        <s v="RUU - Rượu Tequila"/>
        <s v="RUU- Tonic water"/>
        <s v="RUU - Rượu Whisky"/>
        <s v="RUU - Rượu Kahlua"/>
        <s v="MSN - Chunky Lê &amp; Hoa cúc"/>
        <s v="MSN - Chunky thơm"/>
        <s v="RUU - Redbull"/>
        <s v="MSN - Syrup Melon/Dưa lưới"/>
        <s v="MSN - Syrup Elderflower/Hoa cơm cháy"/>
        <s v="RUU - Rượu Angostura"/>
        <s v="RUU - Rượu Bailey"/>
        <s v="RUU - Rượu Rum (Barcadi/Havana)"/>
        <s v="RUU - Rượu Bols Blue Curacao"/>
        <s v="MSN - chunky Ổi"/>
        <s v="RUU - Cocacola"/>
        <s v="RUU - Rượu Vodka"/>
        <m/>
      </sharedItems>
    </cacheField>
    <cacheField name="Mã đơn vị" numFmtId="0">
      <sharedItems containsBlank="1">
        <s v="KG"/>
        <s v="CAI"/>
        <s v="PHAN"/>
        <s v="BICH"/>
        <s v="CAY"/>
        <s v="CHAI"/>
        <s v="HOP"/>
        <s v="LON"/>
        <s v="TRAI"/>
        <s v="LIT"/>
        <s v="HU"/>
        <s v="BINH"/>
        <s v="GOI2KG"/>
        <m/>
      </sharedItems>
    </cacheField>
    <cacheField name="Đơn vị" numFmtId="0">
      <sharedItems containsBlank="1">
        <s v="Kg"/>
        <s v="Cái"/>
        <s v="Phần"/>
        <s v="Bịch"/>
        <s v="Cây"/>
        <s v="Chai"/>
        <s v="Hộp"/>
        <s v="Lon"/>
        <s v="Trái"/>
        <s v="Lít"/>
        <s v="Hũ"/>
        <s v="Bình"/>
        <s v="Gói 2Kg"/>
        <m/>
      </sharedItems>
    </cacheField>
    <cacheField name="Số lượng tồn kho" numFmtId="0">
      <sharedItems containsString="0" containsBlank="1" containsNumber="1">
        <n v="1.75"/>
        <n v="1.851"/>
        <n v="1.315"/>
        <n v="1.86"/>
        <n v="2.905"/>
        <n v="1.875"/>
        <n v="1.69"/>
        <n v="1.233"/>
        <n v="8.0"/>
        <n v="10.0"/>
        <n v="0.8"/>
        <n v="1.55"/>
        <n v="44.0"/>
        <n v="0.68"/>
        <n v="0.9"/>
        <n v="7.0"/>
        <n v="0.579"/>
        <n v="1.723"/>
        <n v="2.266"/>
        <n v="0.0"/>
        <n v="16.0"/>
        <n v="14.0"/>
        <n v="48.0"/>
        <n v="104.0"/>
        <n v="19.0"/>
        <n v="50.0"/>
        <n v="62.0"/>
        <n v="89.0"/>
        <n v="57.0"/>
        <n v="169.0"/>
        <n v="149.0"/>
        <n v="1.2"/>
        <n v="53.0"/>
        <n v="2.29"/>
        <n v="1.7"/>
        <n v="1.0"/>
        <n v="1.05"/>
        <n v="28.0"/>
        <n v="1.25"/>
        <n v="1.07"/>
        <n v="15.0"/>
        <n v="2.05"/>
        <n v="1.08"/>
        <n v="2.2"/>
        <n v="20.0"/>
        <n v="6.6"/>
        <n v="1.99"/>
        <n v="1.56"/>
        <n v="11.65"/>
        <n v="2.72"/>
        <n v="2.8"/>
        <n v="1.8"/>
        <n v="1.94"/>
        <n v="6.35"/>
        <n v="2.4"/>
        <n v="2.77"/>
        <n v="1.9"/>
        <n v="1.18"/>
        <n v="3.0"/>
        <n v="2.0"/>
        <n v="3.375"/>
        <n v="3.3"/>
        <n v="0.885"/>
        <n v="-5.84"/>
        <n v="-2.365"/>
        <n v="-0.045"/>
        <n v="2.099692"/>
        <n v="1.3"/>
        <n v="1.02"/>
        <n v="0.64"/>
        <n v="0.435"/>
        <n v="-0.44"/>
        <n v="0.92"/>
        <n v="1.224"/>
        <n v="1.42"/>
        <n v="-0.35"/>
        <n v="2.62"/>
        <n v="1.436"/>
        <n v="3.25"/>
        <n v="3.29"/>
        <n v="0.4"/>
        <n v="0.91"/>
        <n v="-3.5"/>
        <n v="0.2"/>
        <n v="2.18"/>
        <n v="0.875"/>
        <n v="22.0"/>
        <n v="52.0"/>
        <n v="0.06"/>
        <n v="2.6"/>
        <n v="2.25"/>
        <n v="2.91"/>
        <n v="1.95"/>
        <n v="0.628"/>
        <n v="-0.22"/>
        <n v="2.275"/>
        <n v="1.91"/>
        <n v="5.983"/>
        <n v="1.44"/>
        <n v="0.499942"/>
        <n v="2.14"/>
        <n v="-0.3"/>
        <n v="4.0"/>
        <n v="31.0"/>
        <n v="3.713"/>
        <n v="1.261"/>
        <n v="24.0"/>
        <n v="30.0"/>
        <n v="-0.073"/>
        <n v="3.245"/>
        <n v="1.38"/>
        <n v="1.89"/>
        <n v="-0.12"/>
        <n v="-0.177"/>
        <n v="0.525"/>
        <n v="2.193002"/>
        <n v="1.521"/>
        <n v="0.75"/>
        <n v="1.4"/>
        <n v="-0.639"/>
        <n v="5.358"/>
        <n v="0.485714"/>
        <n v="0.682"/>
        <n v="3.573"/>
        <n v="1.789"/>
        <n v="-0.372"/>
        <n v="0.261"/>
        <n v="0.16"/>
        <n v="0.63"/>
        <n v="4.165"/>
        <n v="2.499892"/>
        <n v="2.015"/>
        <n v="1.77"/>
        <n v="4.28"/>
        <n v="3.44"/>
        <n v="3.68"/>
        <n v="3.45"/>
        <n v="2.200712"/>
        <n v="2.950712"/>
        <n v="3.96"/>
        <n v="-0.14"/>
        <n v="0.41"/>
        <n v="1.45"/>
        <n v="1.855"/>
        <n v="2.775"/>
        <n v="2.28"/>
        <n v="3.785712"/>
        <n v="-0.004288"/>
        <n v="7.155556"/>
        <n v="3.59"/>
        <n v="3.97"/>
        <n v="23.0"/>
        <n v="34.0"/>
        <n v="58.0"/>
        <n v="49.0"/>
        <n v="29.0"/>
        <n v="6.0"/>
        <n v="120.0"/>
        <n v="0.19991"/>
        <n v="22.22"/>
        <n v="0.46"/>
        <n v="4.26"/>
        <n v="5.76"/>
        <n v="4.1"/>
        <n v="3.98"/>
        <n v="1.72"/>
        <n v="3.46"/>
        <n v="1.97"/>
        <n v="2.22"/>
        <n v="0.22"/>
        <n v="4.86"/>
        <n v="75.0"/>
        <n v="1.85"/>
        <n v="5.78"/>
        <n v="4.83"/>
        <n v="5.4"/>
        <n v="5.694"/>
        <n v="4.14"/>
        <n v="0.38"/>
        <n v="1.6"/>
        <n v="5.85"/>
        <n v="1.88"/>
        <n v="8.6"/>
        <n v="4.625"/>
        <n v="3.78"/>
        <n v="14.05"/>
        <n v="3.5"/>
        <n v="19.33"/>
        <n v="9.0"/>
        <n v="5.0"/>
        <n v="115.0"/>
        <n v="36.0"/>
        <n v="12.0"/>
        <n v="35.0"/>
        <n v="9.75"/>
        <n v="6.66"/>
        <n v="5.099"/>
        <n v="4.342"/>
        <n v="1.675"/>
        <n v="5.66"/>
        <n v="17.32"/>
        <n v="10.72"/>
        <n v="6.69"/>
        <n v="10.38"/>
        <n v="10.58928"/>
        <n v="8.97"/>
        <n v="3.64"/>
        <n v="0.83"/>
        <n v="2.15"/>
        <n v="35.38"/>
        <n v="23.82"/>
        <n v="4.74928"/>
        <n v="4.59"/>
        <n v="4.24"/>
        <n v="0.67"/>
        <n v="7.65"/>
        <n v="-0.84"/>
        <n v="0.09919"/>
        <n v="3.28"/>
        <n v="-0.01072"/>
        <n v="0.98928"/>
        <n v="18.16"/>
        <n v="22.15"/>
        <n v="7.06"/>
        <n v="6.41"/>
        <n v="6.99"/>
        <n v="5.14"/>
        <n v="9.04"/>
        <n v="2.63"/>
        <n v="4.07"/>
        <n v="14.4"/>
        <n v="7.44"/>
        <n v="2.55"/>
        <n v="65.625"/>
        <n v="4.02"/>
        <n v="5.47"/>
        <n v="4.48"/>
        <n v="56.625"/>
        <n v="3.925"/>
        <n v="3.9844"/>
        <n v="9.68"/>
        <n v="8.16"/>
        <n v="8.48"/>
        <n v="4.79"/>
        <n v="4.9844"/>
        <n v="5.88"/>
        <n v="5.2"/>
        <n v="1.84"/>
        <n v="5.6"/>
        <n v="3.2"/>
        <n v="5.56"/>
        <n v="2.89"/>
        <n v="3.88"/>
        <n v="28.8"/>
        <n v="2.24"/>
        <n v="8.54"/>
        <n v="2.36"/>
        <n v="10.84"/>
        <n v="4.9"/>
        <n v="8.35"/>
        <n v="1.23"/>
        <n v="47.71875"/>
        <n v="1.93"/>
        <m/>
      </sharedItems>
    </cacheField>
    <cacheField name="Số lượng kiểm kê" numFmtId="0">
      <sharedItems containsString="0" containsBlank="1" containsNumber="1">
        <n v="1.75"/>
        <n v="1.857"/>
        <n v="1.342"/>
        <n v="1.9"/>
        <n v="2.942"/>
        <n v="1.8"/>
        <n v="1.635"/>
        <n v="1.273"/>
        <n v="8.0"/>
        <n v="10.0"/>
        <n v="0.8"/>
        <n v="1.6"/>
        <n v="44.0"/>
        <n v="0.7"/>
        <n v="0.893"/>
        <n v="7.0"/>
        <n v="0.557"/>
        <n v="1.667"/>
        <n v="2.315"/>
        <n v="0.0"/>
        <n v="16.0"/>
        <n v="14.0"/>
        <n v="48.0"/>
        <n v="104.0"/>
        <n v="19.0"/>
        <n v="50.0"/>
        <n v="62.0"/>
        <n v="89.0"/>
        <n v="57.0"/>
        <n v="169.0"/>
        <n v="149.0"/>
        <n v="1.2"/>
        <n v="53.0"/>
        <n v="0.1"/>
        <n v="1.64"/>
        <n v="1.0"/>
        <n v="1.1"/>
        <n v="28.0"/>
        <n v="1.7"/>
        <n v="15.0"/>
        <n v="2.1"/>
        <n v="2.3"/>
        <n v="20.0"/>
        <n v="6.6"/>
        <n v="1.99"/>
        <n v="1.5"/>
        <n v="11.5"/>
        <n v="2.7"/>
        <n v="2.8"/>
        <n v="0.875"/>
        <n v="6.4"/>
        <n v="2.4"/>
        <n v="2.5"/>
        <n v="3.2"/>
        <n v="0.6"/>
        <n v="0.9"/>
        <n v="2.0"/>
        <n v="2.2"/>
        <n v="3.5"/>
        <n v="2.9"/>
        <n v="0.35"/>
        <n v="0.85"/>
        <n v="0.4"/>
        <n v="0.65"/>
        <n v="2.15"/>
        <n v="2.45"/>
        <n v="22.0"/>
        <n v="52.0"/>
        <n v="0.37"/>
        <n v="2.6"/>
        <n v="3.1"/>
        <n v="1.85"/>
        <n v="0.92"/>
        <n v="1.25"/>
        <n v="4.25"/>
        <n v="4.0"/>
        <n v="31.0"/>
        <n v="3.8"/>
        <n v="0.43"/>
        <n v="0.2"/>
        <n v="24.0"/>
        <n v="30.0"/>
        <n v="1.65"/>
        <n v="0.5"/>
        <n v="3.15"/>
        <n v="1.19"/>
        <n v="9.0"/>
        <n v="0.3"/>
        <n v="1.675"/>
        <n v="1.55"/>
        <n v="2.238"/>
        <n v="4.1"/>
        <n v="3.7"/>
        <n v="3.9"/>
        <n v="3.18"/>
        <n v="4.05"/>
        <n v="1.81"/>
        <n v="3.61"/>
        <n v="23.0"/>
        <n v="34.0"/>
        <n v="58.0"/>
        <n v="49.0"/>
        <n v="29.0"/>
        <n v="6.0"/>
        <n v="120.0"/>
        <n v="5.4"/>
        <n v="5.6"/>
        <n v="4.2"/>
        <n v="1.4"/>
        <n v="5.0"/>
        <n v="75.0"/>
        <n v="5.65"/>
        <n v="4.57"/>
        <n v="5.3"/>
        <n v="5.71"/>
        <n v="3.22"/>
        <n v="8.2"/>
        <n v="1.91"/>
        <n v="4.75"/>
        <n v="3.3"/>
        <n v="14.12"/>
        <n v="3.41"/>
        <n v="19.21"/>
        <n v="3.0"/>
        <n v="96.0"/>
        <n v="36.0"/>
        <n v="12.0"/>
        <n v="10.1"/>
        <n v="6.66"/>
        <n v="4.926"/>
        <n v="4.226"/>
        <n v="5.8"/>
        <n v="16.73"/>
        <n v="9.6"/>
        <n v="8.1"/>
        <n v="10.55"/>
        <n v="2.42"/>
        <n v="9.43"/>
        <n v="3.77"/>
        <n v="0.73"/>
        <n v="35.38"/>
        <n v="23.97"/>
        <n v="4.55"/>
        <n v="4.6"/>
        <n v="4.19"/>
        <n v="0.16"/>
        <n v="7.6"/>
        <n v="3.28"/>
        <n v="18.718458"/>
        <n v="20.308"/>
        <n v="8.05"/>
        <n v="6.35"/>
        <n v="5.2"/>
        <n v="10.05"/>
        <n v="4.3"/>
        <n v="15.2"/>
        <n v="7.8"/>
        <n v="65.0"/>
        <n v="5.5"/>
        <n v="4.85"/>
        <n v="56.0"/>
        <n v="3.6"/>
        <n v="10.3"/>
        <n v="8.3"/>
        <n v="8.4"/>
        <n v="4.95"/>
        <n v="4.5"/>
        <n v="2.36"/>
        <n v="8.55"/>
        <n v="18.0"/>
        <n v="8.7"/>
        <n v="47.0"/>
        <n v="4.48"/>
        <m/>
      </sharedItems>
    </cacheField>
    <cacheField name="Số lượng chênh lệch" numFmtId="0">
      <sharedItems containsString="0" containsBlank="1" containsNumber="1">
        <n v="0.0"/>
        <n v="0.006"/>
        <n v="0.027"/>
        <n v="0.04"/>
        <n v="0.037"/>
        <n v="-0.075"/>
        <n v="-0.055"/>
        <n v="0.05"/>
        <n v="0.02"/>
        <n v="-0.007"/>
        <n v="-0.022"/>
        <n v="-0.056"/>
        <n v="0.049"/>
        <n v="-2.19"/>
        <n v="-0.06"/>
        <n v="-0.05"/>
        <n v="-0.07"/>
        <n v="-0.08"/>
        <n v="0.1"/>
        <n v="-0.15"/>
        <n v="-0.02"/>
        <n v="-0.14"/>
        <n v="-0.125"/>
        <n v="-0.27"/>
        <n v="-1.18"/>
        <n v="-2.0"/>
        <n v="-0.175"/>
        <n v="-2.1"/>
        <n v="-0.285"/>
        <n v="5.84"/>
        <n v="3.265"/>
        <n v="2.045"/>
        <n v="-0.099692"/>
        <n v="0.7"/>
        <n v="0.48"/>
        <n v="0.86"/>
        <n v="1.065"/>
        <n v="0.44"/>
        <n v="1.28"/>
        <n v="0.476"/>
        <n v="1.08"/>
        <n v="3.15"/>
        <n v="-0.32"/>
        <n v="-0.236"/>
        <n v="1.0"/>
        <n v="0.25"/>
        <n v="-0.39"/>
        <n v="3.5"/>
        <n v="-1.3"/>
        <n v="0.2"/>
        <n v="1.09"/>
        <n v="-0.03"/>
        <n v="1.575"/>
        <n v="0.31"/>
        <n v="0.19"/>
        <n v="-0.1"/>
        <n v="0.372"/>
        <n v="0.22"/>
        <n v="-0.275"/>
        <n v="-0.66"/>
        <n v="-1.733"/>
        <n v="0.06"/>
        <n v="-0.099942"/>
        <n v="-0.04"/>
        <n v="0.4"/>
        <n v="0.087"/>
        <n v="-0.12"/>
        <n v="-0.831"/>
        <n v="3.273"/>
        <n v="-0.945"/>
        <n v="-0.13"/>
        <n v="0.01"/>
        <n v="0.12"/>
        <n v="0.677"/>
        <n v="0.125"/>
        <n v="0.956998"/>
        <n v="-0.331"/>
        <n v="-0.35"/>
        <n v="-1.1"/>
        <n v="0.739"/>
        <n v="-3.368"/>
        <n v="0.014286"/>
        <n v="-0.082"/>
        <n v="-1.898"/>
        <n v="-0.239"/>
        <n v="-0.161"/>
        <n v="-0.16"/>
        <n v="-0.53"/>
        <n v="-1.927"/>
        <n v="-0.349892"/>
        <n v="-0.215"/>
        <n v="-0.3"/>
        <n v="-0.18"/>
        <n v="0.26"/>
        <n v="0.199288"/>
        <n v="0.149288"/>
        <n v="0.09"/>
        <n v="0.14"/>
        <n v="-0.01"/>
        <n v="-0.045"/>
        <n v="0.214288"/>
        <n v="0.004288"/>
        <n v="1.844444"/>
        <n v="0.03"/>
        <n v="-0.09991"/>
        <n v="-2.22"/>
        <n v="1.14"/>
        <n v="0.54"/>
        <n v="0.83"/>
        <n v="2.38"/>
        <n v="-0.61"/>
        <n v="0.15"/>
        <n v="-0.26"/>
        <n v="0.016"/>
        <n v="-0.92"/>
        <n v="-0.94"/>
        <n v="-0.28"/>
        <n v="-0.4"/>
        <n v="0.16"/>
        <n v="-0.48"/>
        <n v="0.07"/>
        <n v="-0.09"/>
        <n v="-1.0"/>
        <n v="-19.0"/>
        <n v="-6.0"/>
        <n v="0.35"/>
        <n v="-0.173"/>
        <n v="-0.116"/>
        <n v="-0.59"/>
        <n v="-1.12"/>
        <n v="1.41"/>
        <n v="-0.03928"/>
        <n v="0.46"/>
        <n v="0.13"/>
        <n v="-0.19928"/>
        <n v="-0.51"/>
        <n v="1.84"/>
        <n v="8.1E-4"/>
        <n v="0.01072"/>
        <n v="0.558458"/>
        <n v="-1.842"/>
        <n v="0.99"/>
        <n v="1.01"/>
        <n v="0.17"/>
        <n v="0.23"/>
        <n v="0.8"/>
        <n v="0.36"/>
        <n v="-0.625"/>
        <n v="0.37"/>
        <n v="-0.325"/>
        <n v="0.0156"/>
        <n v="0.62"/>
        <n v="-0.9844"/>
        <n v="3.16"/>
        <n v="-0.6"/>
        <n v="0.41"/>
        <n v="7.16"/>
        <n v="0.3"/>
        <n v="0.27"/>
        <n v="-0.71875"/>
        <n v="2.55"/>
        <m/>
      </sharedItems>
    </cacheField>
    <cacheField name="Giá trị chênh lệch" numFmtId="3">
      <sharedItems containsString="0" containsBlank="1" containsNumber="1" containsInteger="1">
        <n v="0.0"/>
        <n v="1740.0"/>
        <n v="3240.0"/>
        <n v="3790.0"/>
        <n v="4079.0"/>
        <n v="-4125.0"/>
        <n v="-39341.0"/>
        <n v="19000.0"/>
        <n v="4506.0"/>
        <n v="2927.0"/>
        <n v="-931.0"/>
        <n v="-8869.0"/>
        <n v="-2968.0"/>
        <n v="7119.0"/>
        <n v="-52013.0"/>
        <n v="-8875.0"/>
        <n v="27500.0"/>
        <n v="-20156.0"/>
        <n v="-31415.0"/>
        <n v="-6009.0"/>
        <n v="4499.0"/>
        <n v="-7193.0"/>
        <n v="7640.0"/>
        <n v="-42000.0"/>
        <n v="-7303.0"/>
        <n v="-2207.0"/>
        <n v="-40600.0"/>
        <n v="-6875.0"/>
        <n v="7000.0"/>
        <n v="-94500.0"/>
        <n v="-18048.0"/>
        <n v="-5953.0"/>
        <n v="-40000.0"/>
        <n v="-3718.0"/>
        <n v="-35861.0"/>
        <n v="-4510.0"/>
        <n v="34934.0"/>
        <n v="25486.0"/>
        <n v="-17943.0"/>
        <n v="14000.0"/>
        <n v="19120.0"/>
        <n v="34066.0"/>
        <n v="31172.0"/>
        <n v="47341.0"/>
        <n v="5874.0"/>
        <n v="22077.0"/>
        <n v="88739.0"/>
        <n v="-11026.0"/>
        <n v="-3491.0"/>
        <n v="3000.0"/>
        <n v="157500.0"/>
        <n v="-6017.0"/>
        <n v="-3977.0"/>
        <n v="177178.0"/>
        <n v="2923.0"/>
        <n v="-22531.0"/>
        <n v="6000.0"/>
        <n v="147118.0"/>
        <n v="-2850.0"/>
        <n v="23543.0"/>
        <n v="22116.0"/>
        <n v="2750.0"/>
        <n v="20869.0"/>
        <n v="-9485.0"/>
        <n v="44638.0"/>
        <n v="14299.0"/>
        <n v="-39735.0"/>
        <n v="-24871.0"/>
        <n v="-69764.0"/>
        <n v="42917.0"/>
        <n v="-16991.0"/>
        <n v="-14000.0"/>
        <n v="3792.0"/>
        <n v="-56457.0"/>
        <n v="-12468.0"/>
        <n v="8961.0"/>
        <n v="99401.0"/>
        <n v="-19457.0"/>
        <n v="-5462.0"/>
        <n v="3500.0"/>
        <n v="23160.0"/>
        <n v="-5600.0"/>
        <n v="42732.0"/>
        <n v="4848.0"/>
        <n v="-7997.0"/>
        <n v="28745.0"/>
        <n v="-5225.0"/>
        <n v="-21635.0"/>
        <n v="45400.0"/>
        <n v="-19332.0"/>
        <n v="160469.0"/>
        <n v="-50223.0"/>
        <n v="724.0"/>
        <n v="-1483.0"/>
        <n v="-91982.0"/>
        <n v="-83650.0"/>
        <n v="35207.0"/>
        <n v="-2531.0"/>
        <n v="-10400.0"/>
        <n v="-23242.0"/>
        <n v="-72673.0"/>
        <n v="-59490.0"/>
        <n v="-3041.0"/>
        <n v="-12551.0"/>
        <n v="-4303.0"/>
        <n v="-6577.0"/>
        <n v="45563.0"/>
        <n v="12596.0"/>
        <n v="-56540.0"/>
        <n v="26504.0"/>
        <n v="14632.0"/>
        <n v="7070.0"/>
        <n v="3850.0"/>
        <n v="-400.0"/>
        <n v="13213.0"/>
        <n v="-10336.0"/>
        <n v="26277.0"/>
        <n v="-21638.0"/>
        <n v="1312.0"/>
        <n v="26888.0"/>
        <n v="20572.0"/>
        <n v="516.0"/>
        <n v="7673.0"/>
        <n v="4879.0"/>
        <n v="8623.0"/>
        <n v="-52539.0"/>
        <n v="-174543.0"/>
        <n v="779.0"/>
        <n v="5250.0"/>
        <n v="-4400.0"/>
        <n v="4001.0"/>
        <n v="-7155.0"/>
        <n v="7878.0"/>
        <n v="-61938.0"/>
        <n v="-56392.0"/>
        <n v="32651.0"/>
        <n v="30389.0"/>
        <n v="30710.0"/>
        <n v="135305.0"/>
        <n v="-19463.0"/>
        <n v="12019.0"/>
        <n v="-12345.0"/>
        <n v="-185991.0"/>
        <n v="-4496.0"/>
        <n v="1280.0"/>
        <n v="-322027.0"/>
        <n v="-134214.0"/>
        <n v="-81200.0"/>
        <n v="24004.0"/>
        <n v="16650.0"/>
        <n v="16800.0"/>
        <n v="-17200.0"/>
        <n v="88000.0"/>
        <n v="6875.0"/>
        <n v="-97824.0"/>
        <n v="43434.0"/>
        <n v="-36281.0"/>
        <n v="-6285.0"/>
        <n v="-10000.0"/>
        <n v="-58234.0"/>
        <n v="-25000.0"/>
        <n v="-20000.0"/>
        <n v="-90000.0"/>
        <n v="-27000.0"/>
        <n v="61666.0"/>
        <n v="-57049.0"/>
        <n v="-18351.0"/>
        <n v="9010.0"/>
        <n v="-21008.0"/>
        <n v="-68123.0"/>
        <n v="78897.0"/>
        <n v="-57657.0"/>
        <n v="-3850.0"/>
        <n v="36516.0"/>
        <n v="36240.0"/>
        <n v="29692.0"/>
        <n v="-32811.0"/>
        <n v="6391.0"/>
        <n v="-19131.0"/>
        <n v="358.0"/>
        <n v="-13085.0"/>
        <n v="-89952.0"/>
        <n v="-39007.0"/>
        <n v="8556.0"/>
        <n v="1440.0"/>
        <n v="15357.0"/>
        <n v="-73663.0"/>
        <n v="374978.0"/>
        <n v="-37479.0"/>
        <n v="4267.0"/>
        <n v="26543.0"/>
        <n v="47022.0"/>
        <n v="9059.0"/>
        <n v="115301.0"/>
        <n v="33805.0"/>
        <n v="164193.0"/>
        <n v="-2750.0"/>
        <n v="-3599.0"/>
        <n v="-34216.0"/>
        <n v="7142.0"/>
        <n v="-44918.0"/>
        <n v="7109.0"/>
        <n v="199531.0"/>
        <n v="-4036.0"/>
        <n v="-25800.0"/>
        <n v="5160.0"/>
        <n v="221035.0"/>
        <n v="13440.0"/>
        <n v="-4945.0"/>
        <n v="60768.0"/>
        <n v="-152948.0"/>
        <n v="8099.0"/>
        <n v="183616.0"/>
        <n v="-70320.0"/>
        <n v="-123105.0"/>
        <n v="-12807.0"/>
        <n v="72618.0"/>
        <n v="99776.0"/>
        <n v="3322.0"/>
        <n v="28241.0"/>
        <n v="2965.0"/>
        <n v="22802.0"/>
        <n v="31325.0"/>
        <n v="129617.0"/>
        <n v="83639.0"/>
        <n v="138787.0"/>
        <n v="42637.0"/>
        <n v="-5200.0"/>
        <n v="896085.0"/>
        <m/>
      </sharedItems>
    </cacheField>
    <cacheField name="Đơn giá" numFmtId="4">
      <sharedItems containsString="0" containsBlank="1" containsNumber="1">
        <n v="0.0"/>
        <n v="290000.0"/>
        <n v="120000.0"/>
        <n v="94750.0"/>
        <n v="110243.24"/>
        <n v="55000.0"/>
        <n v="715290.91"/>
        <n v="475000.0"/>
        <n v="90120.0"/>
        <n v="146350.0"/>
        <n v="133000.0"/>
        <n v="403136.36"/>
        <n v="53000.0"/>
        <n v="145285.71"/>
        <n v="23750.23"/>
        <n v="147916.67"/>
        <n v="550000.0"/>
        <n v="403120.0"/>
        <n v="628300.0"/>
        <n v="85842.86"/>
        <n v="89980.0"/>
        <n v="89912.5"/>
        <n v="76400.0"/>
        <n v="700000.0"/>
        <n v="48686.67"/>
        <n v="110350.0"/>
        <n v="140000.0"/>
        <n v="350000.0"/>
        <n v="15294.92"/>
        <n v="2976.5"/>
        <n v="20000.0"/>
        <n v="21245.71"/>
        <n v="17076.67"/>
        <n v="15824.56"/>
        <n v="5981.85"/>
        <n v="12462.59"/>
        <n v="179984.35"/>
        <n v="39833.33"/>
        <n v="39611.63"/>
        <n v="29269.48"/>
        <n v="36985.16"/>
        <n v="12340.34"/>
        <n v="20441.67"/>
        <n v="28171.11"/>
        <n v="34456.25"/>
        <n v="14792.37"/>
        <n v="3000.0"/>
        <n v="630000.0"/>
        <n v="15428.21"/>
        <n v="66283.33"/>
        <n v="50622.29"/>
        <n v="146150.0"/>
        <n v="17331.54"/>
        <n v="30000.0"/>
        <n v="134970.64"/>
        <n v="95000.0"/>
        <n v="14947.94"/>
        <n v="71341.94"/>
        <n v="109836.84"/>
        <n v="94850.0"/>
        <n v="119994.62"/>
        <n v="64995.45"/>
        <n v="144490.91"/>
        <n v="37683.33"/>
        <n v="40256.2"/>
        <n v="715283.33"/>
        <n v="170008.6"/>
        <n v="43586.21"/>
        <n v="470475.0"/>
        <n v="15003.61"/>
        <n v="89610.0"/>
        <n v="30370.0"/>
        <n v="20589.42"/>
        <n v="42015.38"/>
        <n v="193000.0"/>
        <n v="63119.65"/>
        <n v="38784.0"/>
        <n v="79970.0"/>
        <n v="30036.64"/>
        <n v="15785.5"/>
        <n v="61814.29"/>
        <n v="45400.0"/>
        <n v="17574.55"/>
        <n v="217143.44"/>
        <n v="14911.82"/>
        <n v="50678.99"/>
        <n v="18085.37"/>
        <n v="48462.59"/>
        <n v="94642.47"/>
        <n v="15720.5"/>
        <n v="65000.0"/>
        <n v="43852.83"/>
        <n v="37713.03"/>
        <n v="170023.89"/>
        <n v="14144.19"/>
        <n v="41836.67"/>
        <n v="61471.43"/>
        <n v="36538.89"/>
        <n v="175242.31"/>
        <n v="57254.55"/>
        <n v="209407.41"/>
        <n v="132993.46"/>
        <n v="98011.9"/>
        <n v="78555.56"/>
        <n v="27500.0"/>
        <n v="40000.0"/>
        <n v="264260.0"/>
        <n v="229688.89"/>
        <n v="262770.0"/>
        <n v="288506.67"/>
        <n v="65600.0"/>
        <n v="268880.0"/>
        <n v="96001.64"/>
        <n v="120335.82"/>
        <n v="4160.06"/>
        <n v="243950.0"/>
        <n v="287433.33"/>
        <n v="525863.28"/>
        <n v="78622.97"/>
        <n v="19475.0"/>
        <n v="4605.26"/>
        <n v="40010.0"/>
        <n v="89437.5"/>
        <n v="78780.0"/>
        <n v="206460.0"/>
        <n v="176225.0"/>
        <n v="60464.81"/>
        <n v="36613.25"/>
        <n v="63979.17"/>
        <n v="56850.84"/>
        <n v="100000.0"/>
        <n v="31906.56"/>
        <n v="80126.67"/>
        <n v="94961.54"/>
        <n v="715350.0"/>
        <n v="44960.0"/>
        <n v="80000.0"/>
        <n v="350029.35"/>
        <n v="142780.85"/>
        <n v="120020.0"/>
        <n v="111000.0"/>
        <n v="43000.0"/>
        <n v="203800.0"/>
        <n v="620485.71"/>
        <n v="403122.22"/>
        <n v="52375.0"/>
        <n v="10000.0"/>
        <n v="3064.95"/>
        <n v="25000.0"/>
        <n v="15000.0"/>
        <n v="27000.0"/>
        <n v="176188.57"/>
        <n v="329763.01"/>
        <n v="158198.28"/>
        <n v="64357.14"/>
        <n v="35606.78"/>
        <n v="60824.11"/>
        <n v="55955.32"/>
        <n v="205917.86"/>
        <n v="98014.26"/>
        <n v="260828.57"/>
        <n v="78782.61"/>
        <n v="228400.0"/>
        <n v="328110.0"/>
        <n v="42606.67"/>
        <n v="96000.6"/>
        <n v="35800.0"/>
        <n v="261700.0"/>
        <n v="176376.47"/>
        <n v="780140.0"/>
        <n v="4650.0"/>
        <n v="134328.36"/>
        <n v="27498.93"/>
        <n v="39990.77"/>
        <n v="378765.66"/>
        <n v="624650.0"/>
        <n v="426700.0"/>
        <n v="442383.33"/>
        <n v="46556.44"/>
        <n v="53288.24"/>
        <n v="501308.7"/>
        <n v="42256.25"/>
        <n v="456091.67"/>
        <n v="5758.4"/>
        <n v="244400.0"/>
        <n v="238066.67"/>
        <n v="299453.33"/>
        <n v="236966.67"/>
        <n v="539272.97"/>
        <n v="6457.6"/>
        <n v="79384.62"/>
        <n v="330769.23"/>
        <n v="356508.06"/>
        <n v="96000.0"/>
        <n v="61812.5"/>
        <n v="379800.0"/>
        <n v="155371.8"/>
        <n v="67491.67"/>
        <n v="58106.33"/>
        <n v="175800.0"/>
        <n v="205175.0"/>
        <n v="80043.75"/>
        <n v="177117.07"/>
        <n v="160929.03"/>
        <n v="16610.0"/>
        <n v="235341.67"/>
        <n v="296500.0"/>
        <n v="253355.56"/>
        <n v="4375.0"/>
        <n v="432056.67"/>
        <n v="380177.27"/>
        <n v="396534.29"/>
        <n v="157914.81"/>
        <n v="7234.78"/>
        <n v="351405.88"/>
        <m/>
      </sharedItems>
    </cacheField>
    <cacheField name="Dung sai cho phép" numFmtId="4">
      <sharedItems containsString="0" containsBlank="1" containsNumber="1">
        <n v="0.3"/>
        <n v="0.0"/>
        <n v="2.0"/>
        <n v="0.5"/>
        <m/>
      </sharedItems>
    </cacheField>
    <cacheField name="SL vượt quá dung sai" numFmtId="4">
      <sharedItems containsString="0" containsBlank="1" containsNumber="1">
        <n v="0.0"/>
        <n v="1.89"/>
        <n v="0.8799999999999999"/>
        <n v="2.0"/>
        <n v="1.7"/>
        <n v="0.175"/>
        <n v="1.8"/>
        <n v="5.54"/>
        <n v="2.9650000000000003"/>
        <n v="1.7449999999999999"/>
        <n v="0.39999999999999997"/>
        <n v="0.18"/>
        <n v="0.56"/>
        <n v="0.7649999999999999"/>
        <n v="0.14"/>
        <n v="0.98"/>
        <n v="0.176"/>
        <n v="0.78"/>
        <n v="2.85"/>
        <n v="0.020000000000000018"/>
        <n v="1.0"/>
        <n v="0.09000000000000002"/>
        <n v="3.2"/>
        <n v="0.79"/>
        <n v="1.275"/>
        <n v="0.010000000000000009"/>
        <n v="0.07200000000000001"/>
        <n v="0.36000000000000004"/>
        <n v="1.433"/>
        <n v="0.10000000000000003"/>
        <n v="0.5309999999999999"/>
        <n v="2.9730000000000003"/>
        <n v="0.645"/>
        <n v="0.37700000000000006"/>
        <n v="0.656998"/>
        <n v="0.031000000000000028"/>
        <n v="0.04999999999999999"/>
        <n v="0.8"/>
        <n v="0.439"/>
        <n v="3.068"/>
        <n v="0.014286"/>
        <n v="1.5979999999999999"/>
        <n v="0.23000000000000004"/>
        <n v="1.627"/>
        <n v="0.04989199999999999"/>
        <n v="1.844444"/>
        <n v="1.7200000000000002"/>
        <n v="0.8399999999999999"/>
        <n v="0.24000000000000005"/>
        <n v="0.53"/>
        <n v="2.08"/>
        <n v="0.10999999999999999"/>
        <n v="0.1"/>
        <n v="0.42000000000000004"/>
        <n v="0.43999999999999995"/>
        <n v="0.4"/>
        <n v="19.0"/>
        <n v="6.0"/>
        <n v="0.08999999999999997"/>
        <n v="0.6200000000000001"/>
        <n v="0.9099999999999999"/>
        <n v="1.34"/>
        <n v="0.05845800000000001"/>
        <n v="1.342"/>
        <n v="0.69"/>
        <n v="0.71"/>
        <n v="0.5"/>
        <n v="0.06"/>
        <n v="0.05"/>
        <n v="0.07"/>
        <n v="0.325"/>
        <n v="0.32"/>
        <n v="0.6844000000000001"/>
        <n v="2.8600000000000003"/>
        <n v="0.3"/>
        <n v="6.86"/>
        <n v="2.25"/>
        <m/>
      </sharedItems>
    </cacheField>
    <cacheField name="Giá trị phạt" numFmtId="3">
      <sharedItems containsString="0" containsBlank="1" containsNumber="1">
        <n v="0.0"/>
        <n v="44887.9347"/>
        <n v="13459.529599999998"/>
        <n v="5953.0"/>
        <n v="34000.0"/>
        <n v="3717.9992499999994"/>
        <n v="30738.005999999998"/>
        <n v="33139.449"/>
        <n v="21747.219549999998"/>
        <n v="7999.999999999999"/>
        <n v="7169.9994"/>
        <n v="22182.5128"/>
        <n v="22391.152199999997"/>
        <n v="36245.4568"/>
        <n v="2171.89984"/>
        <n v="15944.5026"/>
        <n v="80287.66350000001"/>
        <n v="689.1250000000006"/>
        <n v="3000.0"/>
        <n v="1388.5389000000002"/>
        <n v="161991.328"/>
        <n v="17331.54"/>
        <n v="106626.80560000002"/>
        <n v="19058.623499999998"/>
        <n v="713.4194000000007"/>
        <n v="8639.612640000001"/>
        <n v="13565.998800000003"/>
        <n v="57687.1346"/>
        <n v="7966.916909999999"/>
        <n v="90290.01000000001"/>
        <n v="13280.175899999998"/>
        <n v="23796.108050000003"/>
        <n v="19734.012406719998"/>
        <n v="489.3505000000004"/>
        <n v="3090.714499999999"/>
        <n v="45400.0"/>
        <n v="14059.64"/>
        <n v="95325.97016"/>
        <n v="45749.46376"/>
        <n v="724.00005114"/>
        <n v="77443.21882"/>
        <n v="6814.257840000001"/>
        <n v="10086.150900000002"/>
        <n v="61359.09981"/>
        <n v="8482.83191988"/>
        <n v="7672.997706640001"/>
        <n v="135231.50840000002"/>
        <n v="3868.4183999999996"/>
        <n v="3524.500000000003"/>
        <n v="14511.554400000003"/>
        <n v="19405.022500000003"/>
        <n v="11516.2506"/>
        <n v="118249.7472"/>
        <n v="3509.7216"/>
        <n v="4496.0"/>
        <n v="147012.327"/>
        <n v="62823.57399999999"/>
        <n v="17200.0"/>
        <n v="10000.0"/>
        <n v="58234.049999999996"/>
        <n v="25000.0"/>
        <n v="20000.0"/>
        <n v="90000.0"/>
        <n v="27000.0"/>
        <n v="3204.6101999999987"/>
        <n v="37710.948200000006"/>
        <n v="50919.341199999995"/>
        <n v="1763.7647000000015"/>
        <n v="6231.0"/>
        <n v="1607.5324499400003"/>
        <n v="53667.613339999996"/>
        <n v="261348.30539999995"/>
        <n v="33055.0724"/>
        <n v="21128.125"/>
        <n v="27365.5002"/>
        <n v="2750.0"/>
        <n v="37749.1079"/>
        <n v="25800.0015"/>
        <n v="114082.57920000001"/>
        <n v="106336.45992000001"/>
        <n v="166184.1038"/>
        <n v="17580.000000000007"/>
        <n v="61552.5"/>
        <n v="19482.877699999997"/>
        <n v="51497.289600000004"/>
        <n v="30012.5"/>
        <n v="19826.714499999995"/>
        <n v="790663.23"/>
        <m/>
      </sharedItems>
    </cacheField>
    <cacheField name=" 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_table" cacheId="0" dataCaption="" rowGrandTotals="0" compact="0" compactData="0">
  <location ref="A1:K449" firstHeaderRow="0" firstDataRow="10" firstDataCol="0"/>
  <pivotFields>
    <pivotField name="Chi nhánh" axis="axisRow" compact="0" outline="0" multipleItemSelectionAllowed="1" showAll="0" sortType="ascending" defaultSubtotal="0">
      <items>
        <item x="5"/>
        <item x="0"/>
        <item x="3"/>
        <item x="4"/>
        <item x="2"/>
        <item x="1"/>
      </items>
    </pivotField>
    <pivotField name="Mã phiếu" axis="axisRow" compact="0" outline="0" multipleItemSelectionAllowed="1" showAll="0" sortType="ascending" defaultSubtotal="0">
      <items>
        <item x="14"/>
        <item x="0"/>
        <item x="5"/>
        <item x="6"/>
        <item x="7"/>
        <item x="1"/>
        <item x="2"/>
        <item x="3"/>
        <item x="8"/>
        <item x="10"/>
        <item x="9"/>
        <item x="11"/>
        <item x="12"/>
        <item x="4"/>
        <item x="13"/>
      </items>
    </pivotField>
    <pivotField name="Thời gian kiểm kê" axis="axisRow" compact="0" numFmtId="164" outline="0" multipleItemSelectionAllowed="1" showAll="0" sortType="ascending" defaultSubtotal="0">
      <items>
        <item x="9"/>
        <item x="0"/>
        <item x="1"/>
        <item x="2"/>
        <item x="3"/>
        <item x="4"/>
        <item x="5"/>
        <item x="6"/>
        <item x="7"/>
        <item x="8"/>
      </items>
    </pivotField>
    <pivotField name="Ghi chú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Mã hà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t="default"/>
      </items>
    </pivotField>
    <pivotField name="Tên hàng" axis="axisRow" compact="0" outline="0" multipleItemSelectionAllowed="1" showAll="0" sortType="ascending" defaultSubtotal="0">
      <items>
        <item x="257"/>
        <item x="28"/>
        <item x="83"/>
        <item x="82"/>
        <item x="24"/>
        <item x="40"/>
        <item x="26"/>
        <item x="27"/>
        <item x="157"/>
        <item x="197"/>
        <item x="158"/>
        <item x="207"/>
        <item x="159"/>
        <item x="199"/>
        <item x="160"/>
        <item x="161"/>
        <item x="162"/>
        <item x="163"/>
        <item x="164"/>
        <item x="165"/>
        <item x="167"/>
        <item x="166"/>
        <item x="168"/>
        <item x="169"/>
        <item x="170"/>
        <item x="171"/>
        <item x="172"/>
        <item x="200"/>
        <item x="173"/>
        <item x="174"/>
        <item x="175"/>
        <item x="176"/>
        <item x="201"/>
        <item x="177"/>
        <item x="178"/>
        <item x="179"/>
        <item x="180"/>
        <item x="181"/>
        <item x="182"/>
        <item x="183"/>
        <item x="184"/>
        <item x="185"/>
        <item x="202"/>
        <item x="156"/>
        <item x="155"/>
        <item x="154"/>
        <item x="138"/>
        <item x="125"/>
        <item x="131"/>
        <item x="127"/>
        <item x="128"/>
        <item x="129"/>
        <item x="130"/>
        <item x="188"/>
        <item x="133"/>
        <item x="134"/>
        <item x="135"/>
        <item x="136"/>
        <item x="203"/>
        <item x="137"/>
        <item x="139"/>
        <item x="153"/>
        <item x="140"/>
        <item x="141"/>
        <item x="142"/>
        <item x="143"/>
        <item x="146"/>
        <item x="144"/>
        <item x="145"/>
        <item x="132"/>
        <item x="147"/>
        <item x="148"/>
        <item x="124"/>
        <item x="149"/>
        <item x="150"/>
        <item x="151"/>
        <item x="152"/>
        <item x="123"/>
        <item x="186"/>
        <item x="187"/>
        <item x="198"/>
        <item x="189"/>
        <item x="217"/>
        <item x="216"/>
        <item x="215"/>
        <item x="218"/>
        <item x="213"/>
        <item x="212"/>
        <item x="211"/>
        <item x="210"/>
        <item x="214"/>
        <item x="208"/>
        <item x="209"/>
        <item x="206"/>
        <item x="205"/>
        <item x="126"/>
        <item x="190"/>
        <item x="191"/>
        <item x="192"/>
        <item x="193"/>
        <item x="194"/>
        <item x="204"/>
        <item x="195"/>
        <item x="196"/>
        <item x="29"/>
        <item x="46"/>
        <item x="43"/>
        <item x="120"/>
        <item x="47"/>
        <item x="119"/>
        <item x="0"/>
        <item x="75"/>
        <item x="118"/>
        <item x="19"/>
        <item x="1"/>
        <item x="42"/>
        <item x="41"/>
        <item x="36"/>
        <item x="12"/>
        <item x="2"/>
        <item x="37"/>
        <item x="13"/>
        <item x="3"/>
        <item x="117"/>
        <item x="4"/>
        <item x="14"/>
        <item x="6"/>
        <item x="7"/>
        <item x="5"/>
        <item x="18"/>
        <item x="15"/>
        <item x="8"/>
        <item x="9"/>
        <item x="44"/>
        <item x="76"/>
        <item x="38"/>
        <item x="16"/>
        <item x="10"/>
        <item x="45"/>
        <item x="17"/>
        <item x="39"/>
        <item x="122"/>
        <item x="11"/>
        <item x="121"/>
        <item x="58"/>
        <item x="59"/>
        <item x="69"/>
        <item x="54"/>
        <item x="60"/>
        <item x="61"/>
        <item x="78"/>
        <item x="55"/>
        <item x="56"/>
        <item x="49"/>
        <item x="53"/>
        <item x="65"/>
        <item x="74"/>
        <item x="70"/>
        <item x="73"/>
        <item x="72"/>
        <item x="57"/>
        <item x="66"/>
        <item x="62"/>
        <item x="90"/>
        <item x="89"/>
        <item x="52"/>
        <item x="48"/>
        <item x="63"/>
        <item x="64"/>
        <item x="67"/>
        <item x="50"/>
        <item x="51"/>
        <item x="68"/>
        <item x="71"/>
        <item x="81"/>
        <item x="30"/>
        <item x="33"/>
        <item x="88"/>
        <item x="87"/>
        <item x="80"/>
        <item x="79"/>
        <item x="91"/>
        <item x="92"/>
        <item x="116"/>
        <item x="94"/>
        <item x="93"/>
        <item x="95"/>
        <item x="98"/>
        <item x="228"/>
        <item x="245"/>
        <item x="254"/>
        <item x="246"/>
        <item x="227"/>
        <item x="77"/>
        <item x="110"/>
        <item x="109"/>
        <item x="97"/>
        <item x="108"/>
        <item x="107"/>
        <item x="113"/>
        <item x="114"/>
        <item x="96"/>
        <item x="235"/>
        <item x="234"/>
        <item x="226"/>
        <item x="225"/>
        <item x="105"/>
        <item x="112"/>
        <item x="101"/>
        <item x="224"/>
        <item x="249"/>
        <item x="240"/>
        <item x="103"/>
        <item x="223"/>
        <item x="248"/>
        <item x="102"/>
        <item x="104"/>
        <item x="106"/>
        <item x="219"/>
        <item x="239"/>
        <item x="111"/>
        <item x="222"/>
        <item x="229"/>
        <item x="115"/>
        <item x="220"/>
        <item x="221"/>
        <item x="100"/>
        <item x="99"/>
        <item x="35"/>
        <item x="23"/>
        <item x="22"/>
        <item x="255"/>
        <item x="247"/>
        <item x="250"/>
        <item x="251"/>
        <item x="233"/>
        <item x="253"/>
        <item x="232"/>
        <item x="231"/>
        <item x="230"/>
        <item x="236"/>
        <item x="244"/>
        <item x="237"/>
        <item x="252"/>
        <item x="241"/>
        <item x="256"/>
        <item x="243"/>
        <item x="238"/>
        <item x="242"/>
        <item x="21"/>
        <item x="84"/>
        <item x="86"/>
        <item x="25"/>
        <item x="85"/>
        <item x="31"/>
        <item x="20"/>
        <item x="32"/>
        <item x="34"/>
      </items>
    </pivotField>
    <pivotField name="Mã đơn vị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Đơn vị" axis="axisRow" compact="0" outline="0" multipleItemSelectionAllowed="1" showAll="0" sortType="ascending" defaultSubtotal="0">
      <items>
        <item x="13"/>
        <item x="3"/>
        <item x="11"/>
        <item x="1"/>
        <item x="4"/>
        <item x="5"/>
        <item x="12"/>
        <item x="6"/>
        <item x="10"/>
        <item x="0"/>
        <item x="9"/>
        <item x="7"/>
        <item x="2"/>
        <item x="8"/>
      </items>
    </pivotField>
    <pivotField name="Số lượng tồn kh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t="default"/>
      </items>
    </pivotField>
    <pivotField name="Số lượng kiểm kê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t="default"/>
      </items>
    </pivotField>
    <pivotField name="Số lượng chênh lệch" axis="axisRow" compact="0" outline="0" multipleItemSelectionAllowed="1" showAll="0" sortType="ascending" defaultSubtotal="0">
      <items>
        <item x="161"/>
        <item x="123"/>
        <item x="124"/>
        <item x="80"/>
        <item x="105"/>
        <item x="13"/>
        <item x="27"/>
        <item x="25"/>
        <item x="88"/>
        <item x="83"/>
        <item x="140"/>
        <item x="60"/>
        <item x="48"/>
        <item x="24"/>
        <item x="129"/>
        <item x="78"/>
        <item x="122"/>
        <item x="152"/>
        <item x="69"/>
        <item x="115"/>
        <item x="114"/>
        <item x="67"/>
        <item x="159"/>
        <item x="59"/>
        <item x="147"/>
        <item x="110"/>
        <item x="154"/>
        <item x="128"/>
        <item x="87"/>
        <item x="135"/>
        <item x="119"/>
        <item x="117"/>
        <item x="46"/>
        <item x="77"/>
        <item x="89"/>
        <item x="76"/>
        <item x="149"/>
        <item x="42"/>
        <item x="91"/>
        <item x="28"/>
        <item x="116"/>
        <item x="58"/>
        <item x="23"/>
        <item x="112"/>
        <item x="84"/>
        <item x="43"/>
        <item x="90"/>
        <item x="134"/>
        <item x="92"/>
        <item x="26"/>
        <item x="126"/>
        <item x="85"/>
        <item x="86"/>
        <item x="19"/>
        <item x="21"/>
        <item x="70"/>
        <item x="22"/>
        <item x="66"/>
        <item x="127"/>
        <item x="55"/>
        <item x="62"/>
        <item x="104"/>
        <item x="32"/>
        <item x="121"/>
        <item x="82"/>
        <item x="17"/>
        <item x="5"/>
        <item x="16"/>
        <item x="14"/>
        <item x="11"/>
        <item x="6"/>
        <item x="15"/>
        <item x="99"/>
        <item x="63"/>
        <item x="131"/>
        <item x="51"/>
        <item x="10"/>
        <item x="20"/>
        <item x="98"/>
        <item x="9"/>
        <item x="0"/>
        <item x="137"/>
        <item x="101"/>
        <item x="1"/>
        <item x="71"/>
        <item x="138"/>
        <item x="81"/>
        <item x="150"/>
        <item x="113"/>
        <item x="8"/>
        <item x="2"/>
        <item x="103"/>
        <item x="4"/>
        <item x="3"/>
        <item x="12"/>
        <item x="7"/>
        <item x="61"/>
        <item x="120"/>
        <item x="65"/>
        <item x="96"/>
        <item x="18"/>
        <item x="72"/>
        <item x="74"/>
        <item x="133"/>
        <item x="97"/>
        <item x="95"/>
        <item x="111"/>
        <item x="118"/>
        <item x="143"/>
        <item x="54"/>
        <item x="94"/>
        <item x="49"/>
        <item x="100"/>
        <item x="57"/>
        <item x="144"/>
        <item x="45"/>
        <item x="93"/>
        <item x="158"/>
        <item x="157"/>
        <item x="53"/>
        <item x="125"/>
        <item x="146"/>
        <item x="148"/>
        <item x="56"/>
        <item x="64"/>
        <item x="155"/>
        <item x="37"/>
        <item x="132"/>
        <item x="39"/>
        <item x="34"/>
        <item x="107"/>
        <item x="139"/>
        <item x="151"/>
        <item x="73"/>
        <item x="33"/>
        <item x="79"/>
        <item x="145"/>
        <item x="108"/>
        <item x="35"/>
        <item x="75"/>
        <item x="141"/>
        <item x="44"/>
        <item x="142"/>
        <item x="36"/>
        <item x="40"/>
        <item x="50"/>
        <item x="106"/>
        <item x="38"/>
        <item x="130"/>
        <item x="52"/>
        <item x="136"/>
        <item x="102"/>
        <item x="31"/>
        <item x="109"/>
        <item x="160"/>
        <item x="41"/>
        <item x="153"/>
        <item x="30"/>
        <item x="68"/>
        <item x="47"/>
        <item x="29"/>
        <item x="156"/>
      </items>
    </pivotField>
    <pivotField name="Giá trị chênh lệch" axis="axisRow" compact="0" numFmtId="3" outline="0" multipleItemSelectionAllowed="1" showAll="0" sortType="ascending" defaultSubtotal="0">
      <items>
        <item x="229"/>
        <item x="145"/>
        <item x="142"/>
        <item x="126"/>
        <item x="210"/>
        <item x="146"/>
        <item x="214"/>
        <item x="154"/>
        <item x="29"/>
        <item x="94"/>
        <item x="162"/>
        <item x="181"/>
        <item x="95"/>
        <item x="147"/>
        <item x="186"/>
        <item x="100"/>
        <item x="213"/>
        <item x="68"/>
        <item x="169"/>
        <item x="133"/>
        <item x="101"/>
        <item x="159"/>
        <item x="171"/>
        <item x="165"/>
        <item x="108"/>
        <item x="73"/>
        <item x="134"/>
        <item x="125"/>
        <item x="14"/>
        <item x="91"/>
        <item x="200"/>
        <item x="23"/>
        <item x="26"/>
        <item x="32"/>
        <item x="66"/>
        <item x="6"/>
        <item x="182"/>
        <item x="188"/>
        <item x="156"/>
        <item x="34"/>
        <item x="198"/>
        <item x="176"/>
        <item x="18"/>
        <item x="163"/>
        <item x="204"/>
        <item x="160"/>
        <item x="67"/>
        <item x="99"/>
        <item x="55"/>
        <item x="117"/>
        <item x="87"/>
        <item x="168"/>
        <item x="17"/>
        <item x="161"/>
        <item x="139"/>
        <item x="77"/>
        <item x="89"/>
        <item x="178"/>
        <item x="166"/>
        <item x="30"/>
        <item x="38"/>
        <item x="151"/>
        <item x="70"/>
        <item x="71"/>
        <item x="180"/>
        <item x="215"/>
        <item x="103"/>
        <item x="74"/>
        <item x="141"/>
        <item x="47"/>
        <item x="98"/>
        <item x="115"/>
        <item x="158"/>
        <item x="63"/>
        <item x="15"/>
        <item x="11"/>
        <item x="84"/>
        <item x="24"/>
        <item x="21"/>
        <item x="131"/>
        <item x="27"/>
        <item x="105"/>
        <item x="157"/>
        <item x="51"/>
        <item x="19"/>
        <item x="31"/>
        <item x="81"/>
        <item x="78"/>
        <item x="86"/>
        <item x="227"/>
        <item x="208"/>
        <item x="35"/>
        <item x="143"/>
        <item x="129"/>
        <item x="104"/>
        <item x="5"/>
        <item x="203"/>
        <item x="52"/>
        <item x="172"/>
        <item x="33"/>
        <item x="197"/>
        <item x="48"/>
        <item x="102"/>
        <item x="12"/>
        <item x="58"/>
        <item x="196"/>
        <item x="97"/>
        <item x="25"/>
        <item x="93"/>
        <item x="10"/>
        <item x="113"/>
        <item x="0"/>
        <item x="179"/>
        <item x="121"/>
        <item x="92"/>
        <item x="127"/>
        <item x="144"/>
        <item x="118"/>
        <item x="184"/>
        <item x="1"/>
        <item x="61"/>
        <item x="54"/>
        <item x="9"/>
        <item x="220"/>
        <item x="49"/>
        <item x="2"/>
        <item x="218"/>
        <item x="79"/>
        <item x="3"/>
        <item x="72"/>
        <item x="112"/>
        <item x="130"/>
        <item x="4"/>
        <item x="189"/>
        <item x="20"/>
        <item x="8"/>
        <item x="83"/>
        <item x="123"/>
        <item x="205"/>
        <item x="128"/>
        <item x="44"/>
        <item x="56"/>
        <item x="177"/>
        <item x="153"/>
        <item x="28"/>
        <item x="111"/>
        <item x="201"/>
        <item x="13"/>
        <item x="199"/>
        <item x="22"/>
        <item x="122"/>
        <item x="132"/>
        <item x="211"/>
        <item x="183"/>
        <item x="124"/>
        <item x="75"/>
        <item x="167"/>
        <item x="192"/>
        <item x="140"/>
        <item x="107"/>
        <item x="114"/>
        <item x="207"/>
        <item x="39"/>
        <item x="65"/>
        <item x="110"/>
        <item x="185"/>
        <item x="149"/>
        <item x="150"/>
        <item x="7"/>
        <item x="40"/>
        <item x="120"/>
        <item x="62"/>
        <item x="45"/>
        <item x="60"/>
        <item x="221"/>
        <item x="80"/>
        <item x="59"/>
        <item x="148"/>
        <item x="37"/>
        <item x="116"/>
        <item x="109"/>
        <item x="190"/>
        <item x="119"/>
        <item x="16"/>
        <item x="219"/>
        <item x="85"/>
        <item x="175"/>
        <item x="136"/>
        <item x="137"/>
        <item x="42"/>
        <item x="222"/>
        <item x="135"/>
        <item x="194"/>
        <item x="41"/>
        <item x="36"/>
        <item x="96"/>
        <item x="174"/>
        <item x="173"/>
        <item x="226"/>
        <item x="82"/>
        <item x="69"/>
        <item x="155"/>
        <item x="64"/>
        <item x="88"/>
        <item x="106"/>
        <item x="191"/>
        <item x="43"/>
        <item x="209"/>
        <item x="164"/>
        <item x="216"/>
        <item x="170"/>
        <item x="224"/>
        <item x="152"/>
        <item x="46"/>
        <item x="76"/>
        <item x="217"/>
        <item x="193"/>
        <item x="223"/>
        <item x="138"/>
        <item x="225"/>
        <item x="57"/>
        <item x="50"/>
        <item x="90"/>
        <item x="195"/>
        <item x="53"/>
        <item x="212"/>
        <item x="202"/>
        <item x="206"/>
        <item x="187"/>
        <item x="228"/>
      </items>
    </pivotField>
    <pivotField name="Đơn giá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t="default"/>
      </items>
    </pivotField>
    <pivotField name="Dung sai cho phép" axis="axisRow" compact="0" numFmtId="4" outline="0" multipleItemSelectionAllowed="1" showAll="0" sortType="ascending" defaultSubtotal="0">
      <items>
        <item x="4"/>
        <item x="1"/>
        <item x="0"/>
        <item x="3"/>
        <item x="2"/>
      </items>
    </pivotField>
    <pivotField name="SL vượt quá dung sai" axis="axisRow" compact="0" numFmtId="4" outline="0" multipleItemSelectionAllowed="1" showAll="0" sortType="ascending" defaultSubtotal="0">
      <items>
        <item x="77"/>
        <item x="0"/>
        <item x="25"/>
        <item x="40"/>
        <item x="19"/>
        <item x="35"/>
        <item x="44"/>
        <item x="36"/>
        <item x="68"/>
        <item x="62"/>
        <item x="67"/>
        <item x="69"/>
        <item x="26"/>
        <item x="58"/>
        <item x="21"/>
        <item x="52"/>
        <item x="29"/>
        <item x="51"/>
        <item x="14"/>
        <item x="5"/>
        <item x="16"/>
        <item x="11"/>
        <item x="42"/>
        <item x="48"/>
        <item x="74"/>
        <item x="71"/>
        <item x="70"/>
        <item x="27"/>
        <item x="33"/>
        <item x="10"/>
        <item x="55"/>
        <item x="53"/>
        <item x="38"/>
        <item x="54"/>
        <item x="66"/>
        <item x="49"/>
        <item x="30"/>
        <item x="12"/>
        <item x="59"/>
        <item x="32"/>
        <item x="34"/>
        <item x="72"/>
        <item x="64"/>
        <item x="65"/>
        <item x="13"/>
        <item x="17"/>
        <item x="23"/>
        <item x="37"/>
        <item x="47"/>
        <item x="2"/>
        <item x="60"/>
        <item x="15"/>
        <item x="20"/>
        <item x="24"/>
        <item x="61"/>
        <item x="63"/>
        <item x="28"/>
        <item x="41"/>
        <item x="43"/>
        <item x="4"/>
        <item x="46"/>
        <item x="9"/>
        <item x="6"/>
        <item x="45"/>
        <item x="1"/>
        <item x="3"/>
        <item x="50"/>
        <item x="76"/>
        <item x="18"/>
        <item x="73"/>
        <item x="8"/>
        <item x="31"/>
        <item x="39"/>
        <item x="22"/>
        <item x="7"/>
        <item x="57"/>
        <item x="75"/>
        <item x="56"/>
      </items>
    </pivotField>
    <pivotField name="Giá trị phạt" axis="axisRow" compact="0" numFmtId="3" outline="0" multipleItemSelectionAllowed="1" showAll="0" sortType="ascending">
      <items>
        <item x="88"/>
        <item x="0"/>
        <item x="33"/>
        <item x="17"/>
        <item x="24"/>
        <item x="39"/>
        <item x="19"/>
        <item x="69"/>
        <item x="67"/>
        <item x="14"/>
        <item x="75"/>
        <item x="18"/>
        <item x="34"/>
        <item x="64"/>
        <item x="53"/>
        <item x="48"/>
        <item x="5"/>
        <item x="47"/>
        <item x="54"/>
        <item x="3"/>
        <item x="68"/>
        <item x="41"/>
        <item x="10"/>
        <item x="45"/>
        <item x="28"/>
        <item x="9"/>
        <item x="44"/>
        <item x="25"/>
        <item x="58"/>
        <item x="42"/>
        <item x="51"/>
        <item x="30"/>
        <item x="2"/>
        <item x="26"/>
        <item x="36"/>
        <item x="49"/>
        <item x="15"/>
        <item x="57"/>
        <item x="21"/>
        <item x="81"/>
        <item x="23"/>
        <item x="50"/>
        <item x="83"/>
        <item x="32"/>
        <item x="86"/>
        <item x="61"/>
        <item x="73"/>
        <item x="8"/>
        <item x="11"/>
        <item x="12"/>
        <item x="31"/>
        <item x="60"/>
        <item x="77"/>
        <item x="63"/>
        <item x="74"/>
        <item x="85"/>
        <item x="6"/>
        <item x="72"/>
        <item x="7"/>
        <item x="4"/>
        <item x="13"/>
        <item x="65"/>
        <item x="76"/>
        <item x="1"/>
        <item x="35"/>
        <item x="38"/>
        <item x="66"/>
        <item x="84"/>
        <item x="70"/>
        <item x="27"/>
        <item x="59"/>
        <item x="43"/>
        <item x="82"/>
        <item x="56"/>
        <item x="40"/>
        <item x="16"/>
        <item x="62"/>
        <item x="29"/>
        <item x="37"/>
        <item x="79"/>
        <item x="22"/>
        <item x="78"/>
        <item x="52"/>
        <item x="46"/>
        <item x="55"/>
        <item x="20"/>
        <item x="80"/>
        <item x="71"/>
        <item x="87"/>
        <item t="default"/>
      </items>
    </pivotField>
    <pivotField name=" " compact="0" outline="0" multipleItemSelectionAllowed="1" showAll="0">
      <items>
        <item x="0"/>
        <item t="default"/>
      </items>
    </pivotField>
  </pivotFields>
  <rowFields>
    <field x="0"/>
    <field x="1"/>
    <field x="2"/>
    <field x="5"/>
    <field x="7"/>
    <field x="10"/>
    <field x="11"/>
    <field x="13"/>
    <field x="14"/>
    <field x="15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10.86"/>
    <col customWidth="1" min="3" max="3" width="17.57"/>
    <col customWidth="1" min="4" max="4" width="28.71"/>
    <col customWidth="1" min="5" max="5" width="26.29"/>
    <col customWidth="1" min="6" max="6" width="29.86"/>
    <col customWidth="1" min="7" max="7" width="9.29"/>
    <col customWidth="1" min="8" max="8" width="6.43"/>
    <col customWidth="1" min="9" max="10" width="14.86"/>
    <col customWidth="1" min="11" max="11" width="17.29"/>
    <col customWidth="1" min="12" max="12" width="14.86"/>
    <col customWidth="1" min="13" max="13" width="11.29"/>
    <col customWidth="1" min="14" max="14" width="15.57"/>
    <col customWidth="1" min="15" max="15" width="17.71"/>
    <col customWidth="1" min="16" max="16" width="10.0"/>
    <col customWidth="1" min="17" max="17" width="21.43"/>
  </cols>
  <sheetData>
    <row r="1" ht="18.7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>
      <c r="A2" s="8" t="s">
        <v>17</v>
      </c>
      <c r="B2" s="8" t="s">
        <v>18</v>
      </c>
      <c r="C2" s="9">
        <v>46126.99998842592</v>
      </c>
      <c r="D2" s="8" t="s">
        <v>19</v>
      </c>
      <c r="E2" s="8" t="s">
        <v>20</v>
      </c>
      <c r="F2" s="8" t="s">
        <v>21</v>
      </c>
      <c r="G2" s="8" t="s">
        <v>22</v>
      </c>
      <c r="H2" s="8" t="s">
        <v>23</v>
      </c>
      <c r="I2" s="10">
        <v>1.75</v>
      </c>
      <c r="J2" s="10">
        <v>1.75</v>
      </c>
      <c r="K2" s="10">
        <v>0.0</v>
      </c>
      <c r="L2" s="11">
        <v>0.0</v>
      </c>
      <c r="M2" s="12">
        <v>0.0</v>
      </c>
      <c r="N2" s="12">
        <v>0.3</v>
      </c>
      <c r="O2" s="12">
        <v>0.0</v>
      </c>
      <c r="P2" s="11">
        <v>0.0</v>
      </c>
    </row>
    <row r="3">
      <c r="A3" s="8" t="s">
        <v>17</v>
      </c>
      <c r="B3" s="8" t="s">
        <v>18</v>
      </c>
      <c r="C3" s="9">
        <v>46126.99998842592</v>
      </c>
      <c r="D3" s="8" t="s">
        <v>19</v>
      </c>
      <c r="E3" s="8" t="s">
        <v>24</v>
      </c>
      <c r="F3" s="8" t="s">
        <v>25</v>
      </c>
      <c r="G3" s="8" t="s">
        <v>22</v>
      </c>
      <c r="H3" s="8" t="s">
        <v>23</v>
      </c>
      <c r="I3" s="10">
        <v>1.851</v>
      </c>
      <c r="J3" s="10">
        <v>1.857</v>
      </c>
      <c r="K3" s="10">
        <v>0.006</v>
      </c>
      <c r="L3" s="11">
        <v>1740.0</v>
      </c>
      <c r="M3" s="12">
        <v>290000.0</v>
      </c>
      <c r="N3" s="12">
        <v>0.3</v>
      </c>
      <c r="O3" s="12">
        <v>0.0</v>
      </c>
      <c r="P3" s="11">
        <v>0.0</v>
      </c>
    </row>
    <row r="4">
      <c r="A4" s="8" t="s">
        <v>17</v>
      </c>
      <c r="B4" s="8" t="s">
        <v>18</v>
      </c>
      <c r="C4" s="9">
        <v>46126.99998842592</v>
      </c>
      <c r="D4" s="8" t="s">
        <v>19</v>
      </c>
      <c r="E4" s="8" t="s">
        <v>26</v>
      </c>
      <c r="F4" s="8" t="s">
        <v>27</v>
      </c>
      <c r="G4" s="8" t="s">
        <v>22</v>
      </c>
      <c r="H4" s="8" t="s">
        <v>23</v>
      </c>
      <c r="I4" s="10">
        <v>1.315</v>
      </c>
      <c r="J4" s="10">
        <v>1.342</v>
      </c>
      <c r="K4" s="10">
        <v>0.027</v>
      </c>
      <c r="L4" s="11">
        <v>3240.0</v>
      </c>
      <c r="M4" s="12">
        <v>120000.0</v>
      </c>
      <c r="N4" s="12">
        <v>0.3</v>
      </c>
      <c r="O4" s="12">
        <v>0.0</v>
      </c>
      <c r="P4" s="11">
        <v>0.0</v>
      </c>
    </row>
    <row r="5">
      <c r="A5" s="8" t="s">
        <v>17</v>
      </c>
      <c r="B5" s="8" t="s">
        <v>18</v>
      </c>
      <c r="C5" s="9">
        <v>46126.99998842592</v>
      </c>
      <c r="D5" s="8" t="s">
        <v>19</v>
      </c>
      <c r="E5" s="8" t="s">
        <v>28</v>
      </c>
      <c r="F5" s="8" t="s">
        <v>29</v>
      </c>
      <c r="G5" s="8" t="s">
        <v>22</v>
      </c>
      <c r="H5" s="8" t="s">
        <v>23</v>
      </c>
      <c r="I5" s="10">
        <v>1.86</v>
      </c>
      <c r="J5" s="10">
        <v>1.9</v>
      </c>
      <c r="K5" s="10">
        <v>0.04</v>
      </c>
      <c r="L5" s="11">
        <v>3790.0</v>
      </c>
      <c r="M5" s="12">
        <v>94750.0</v>
      </c>
      <c r="N5" s="12">
        <v>0.3</v>
      </c>
      <c r="O5" s="12">
        <v>0.0</v>
      </c>
      <c r="P5" s="11">
        <v>0.0</v>
      </c>
    </row>
    <row r="6">
      <c r="A6" s="8" t="s">
        <v>17</v>
      </c>
      <c r="B6" s="8" t="s">
        <v>18</v>
      </c>
      <c r="C6" s="9">
        <v>46126.99998842592</v>
      </c>
      <c r="D6" s="8" t="s">
        <v>19</v>
      </c>
      <c r="E6" s="8" t="s">
        <v>30</v>
      </c>
      <c r="F6" s="8" t="s">
        <v>31</v>
      </c>
      <c r="G6" s="8" t="s">
        <v>22</v>
      </c>
      <c r="H6" s="8" t="s">
        <v>23</v>
      </c>
      <c r="I6" s="10">
        <v>2.905</v>
      </c>
      <c r="J6" s="10">
        <v>2.942</v>
      </c>
      <c r="K6" s="10">
        <v>0.037</v>
      </c>
      <c r="L6" s="11">
        <v>4079.0</v>
      </c>
      <c r="M6" s="12">
        <v>110243.24</v>
      </c>
      <c r="N6" s="12">
        <v>0.3</v>
      </c>
      <c r="O6" s="12">
        <v>0.0</v>
      </c>
      <c r="P6" s="11">
        <v>0.0</v>
      </c>
    </row>
    <row r="7">
      <c r="A7" s="8" t="s">
        <v>17</v>
      </c>
      <c r="B7" s="8" t="s">
        <v>18</v>
      </c>
      <c r="C7" s="9">
        <v>46126.99998842592</v>
      </c>
      <c r="D7" s="8" t="s">
        <v>19</v>
      </c>
      <c r="E7" s="8" t="s">
        <v>32</v>
      </c>
      <c r="F7" s="8" t="s">
        <v>33</v>
      </c>
      <c r="G7" s="8" t="s">
        <v>22</v>
      </c>
      <c r="H7" s="8" t="s">
        <v>23</v>
      </c>
      <c r="I7" s="10">
        <v>1.875</v>
      </c>
      <c r="J7" s="10">
        <v>1.8</v>
      </c>
      <c r="K7" s="10">
        <v>-0.075</v>
      </c>
      <c r="L7" s="11">
        <v>-4125.0</v>
      </c>
      <c r="M7" s="12">
        <v>55000.0</v>
      </c>
      <c r="N7" s="12">
        <v>0.3</v>
      </c>
      <c r="O7" s="12">
        <v>0.0</v>
      </c>
      <c r="P7" s="11">
        <v>0.0</v>
      </c>
    </row>
    <row r="8">
      <c r="A8" s="8" t="s">
        <v>17</v>
      </c>
      <c r="B8" s="8" t="s">
        <v>18</v>
      </c>
      <c r="C8" s="9">
        <v>46126.99998842592</v>
      </c>
      <c r="D8" s="8" t="s">
        <v>19</v>
      </c>
      <c r="E8" s="8" t="s">
        <v>34</v>
      </c>
      <c r="F8" s="8" t="s">
        <v>35</v>
      </c>
      <c r="G8" s="8" t="s">
        <v>22</v>
      </c>
      <c r="H8" s="8" t="s">
        <v>23</v>
      </c>
      <c r="I8" s="10">
        <v>1.69</v>
      </c>
      <c r="J8" s="10">
        <v>1.635</v>
      </c>
      <c r="K8" s="10">
        <v>-0.055</v>
      </c>
      <c r="L8" s="11">
        <v>-39341.0</v>
      </c>
      <c r="M8" s="12">
        <v>715290.91</v>
      </c>
      <c r="N8" s="12">
        <v>0.3</v>
      </c>
      <c r="O8" s="12">
        <v>0.0</v>
      </c>
      <c r="P8" s="11">
        <v>0.0</v>
      </c>
    </row>
    <row r="9">
      <c r="A9" s="8" t="s">
        <v>17</v>
      </c>
      <c r="B9" s="8" t="s">
        <v>18</v>
      </c>
      <c r="C9" s="9">
        <v>46126.99998842592</v>
      </c>
      <c r="D9" s="8" t="s">
        <v>19</v>
      </c>
      <c r="E9" s="8" t="s">
        <v>36</v>
      </c>
      <c r="F9" s="8" t="s">
        <v>37</v>
      </c>
      <c r="G9" s="8" t="s">
        <v>22</v>
      </c>
      <c r="H9" s="8" t="s">
        <v>23</v>
      </c>
      <c r="I9" s="10">
        <v>1.233</v>
      </c>
      <c r="J9" s="10">
        <v>1.273</v>
      </c>
      <c r="K9" s="10">
        <v>0.04</v>
      </c>
      <c r="L9" s="11">
        <v>19000.0</v>
      </c>
      <c r="M9" s="12">
        <v>475000.0</v>
      </c>
      <c r="N9" s="12">
        <v>0.3</v>
      </c>
      <c r="O9" s="12">
        <v>0.0</v>
      </c>
      <c r="P9" s="11">
        <v>0.0</v>
      </c>
    </row>
    <row r="10">
      <c r="A10" s="8" t="s">
        <v>17</v>
      </c>
      <c r="B10" s="8" t="s">
        <v>18</v>
      </c>
      <c r="C10" s="9">
        <v>46126.99998842592</v>
      </c>
      <c r="D10" s="8" t="s">
        <v>19</v>
      </c>
      <c r="E10" s="8" t="s">
        <v>38</v>
      </c>
      <c r="F10" s="8" t="s">
        <v>39</v>
      </c>
      <c r="G10" s="8" t="s">
        <v>40</v>
      </c>
      <c r="H10" s="8" t="s">
        <v>41</v>
      </c>
      <c r="I10" s="10">
        <v>8.0</v>
      </c>
      <c r="J10" s="10">
        <v>8.0</v>
      </c>
      <c r="K10" s="10">
        <v>0.0</v>
      </c>
      <c r="L10" s="11">
        <v>0.0</v>
      </c>
      <c r="M10" s="12">
        <v>0.0</v>
      </c>
      <c r="N10" s="12">
        <v>0.0</v>
      </c>
      <c r="O10" s="12">
        <v>0.0</v>
      </c>
      <c r="P10" s="11">
        <v>0.0</v>
      </c>
    </row>
    <row r="11">
      <c r="A11" s="8" t="s">
        <v>17</v>
      </c>
      <c r="B11" s="8" t="s">
        <v>18</v>
      </c>
      <c r="C11" s="9">
        <v>46126.99998842592</v>
      </c>
      <c r="D11" s="8" t="s">
        <v>19</v>
      </c>
      <c r="E11" s="8" t="s">
        <v>42</v>
      </c>
      <c r="F11" s="8" t="s">
        <v>43</v>
      </c>
      <c r="G11" s="8" t="s">
        <v>44</v>
      </c>
      <c r="H11" s="8" t="s">
        <v>45</v>
      </c>
      <c r="I11" s="10">
        <v>10.0</v>
      </c>
      <c r="J11" s="10">
        <v>10.0</v>
      </c>
      <c r="K11" s="10">
        <v>0.0</v>
      </c>
      <c r="L11" s="11">
        <v>0.0</v>
      </c>
      <c r="M11" s="12">
        <v>0.0</v>
      </c>
      <c r="N11" s="12">
        <v>0.0</v>
      </c>
      <c r="O11" s="12">
        <v>0.0</v>
      </c>
      <c r="P11" s="11">
        <v>0.0</v>
      </c>
    </row>
    <row r="12">
      <c r="A12" s="8" t="s">
        <v>17</v>
      </c>
      <c r="B12" s="8" t="s">
        <v>18</v>
      </c>
      <c r="C12" s="9">
        <v>46126.99998842592</v>
      </c>
      <c r="D12" s="8" t="s">
        <v>19</v>
      </c>
      <c r="E12" s="8" t="s">
        <v>46</v>
      </c>
      <c r="F12" s="8" t="s">
        <v>47</v>
      </c>
      <c r="G12" s="8" t="s">
        <v>22</v>
      </c>
      <c r="H12" s="8" t="s">
        <v>23</v>
      </c>
      <c r="I12" s="10">
        <v>0.8</v>
      </c>
      <c r="J12" s="10">
        <v>0.8</v>
      </c>
      <c r="K12" s="10">
        <v>0.0</v>
      </c>
      <c r="L12" s="11">
        <v>0.0</v>
      </c>
      <c r="M12" s="12">
        <v>0.0</v>
      </c>
      <c r="N12" s="12">
        <v>0.3</v>
      </c>
      <c r="O12" s="12">
        <v>0.0</v>
      </c>
      <c r="P12" s="11">
        <v>0.0</v>
      </c>
    </row>
    <row r="13">
      <c r="A13" s="8" t="s">
        <v>17</v>
      </c>
      <c r="B13" s="8" t="s">
        <v>18</v>
      </c>
      <c r="C13" s="9">
        <v>46126.99998842592</v>
      </c>
      <c r="D13" s="8" t="s">
        <v>19</v>
      </c>
      <c r="E13" s="8" t="s">
        <v>48</v>
      </c>
      <c r="F13" s="8" t="s">
        <v>49</v>
      </c>
      <c r="G13" s="8" t="s">
        <v>22</v>
      </c>
      <c r="H13" s="8" t="s">
        <v>23</v>
      </c>
      <c r="I13" s="10">
        <v>1.55</v>
      </c>
      <c r="J13" s="10">
        <v>1.6</v>
      </c>
      <c r="K13" s="10">
        <v>0.05</v>
      </c>
      <c r="L13" s="11">
        <v>4506.0</v>
      </c>
      <c r="M13" s="12">
        <v>90120.0</v>
      </c>
      <c r="N13" s="12">
        <v>0.3</v>
      </c>
      <c r="O13" s="12">
        <v>0.0</v>
      </c>
      <c r="P13" s="11">
        <v>0.0</v>
      </c>
    </row>
    <row r="14">
      <c r="A14" s="8" t="s">
        <v>17</v>
      </c>
      <c r="B14" s="8" t="s">
        <v>18</v>
      </c>
      <c r="C14" s="9">
        <v>46126.99998842592</v>
      </c>
      <c r="D14" s="8" t="s">
        <v>19</v>
      </c>
      <c r="E14" s="8" t="s">
        <v>50</v>
      </c>
      <c r="F14" s="8" t="s">
        <v>51</v>
      </c>
      <c r="G14" s="8" t="s">
        <v>52</v>
      </c>
      <c r="H14" s="8" t="s">
        <v>53</v>
      </c>
      <c r="I14" s="10">
        <v>44.0</v>
      </c>
      <c r="J14" s="10">
        <v>44.0</v>
      </c>
      <c r="K14" s="10">
        <v>0.0</v>
      </c>
      <c r="L14" s="11">
        <v>0.0</v>
      </c>
      <c r="M14" s="12">
        <v>0.0</v>
      </c>
      <c r="N14" s="12">
        <v>0.0</v>
      </c>
      <c r="O14" s="12">
        <v>0.0</v>
      </c>
      <c r="P14" s="11">
        <v>0.0</v>
      </c>
    </row>
    <row r="15">
      <c r="A15" s="8" t="s">
        <v>17</v>
      </c>
      <c r="B15" s="8" t="s">
        <v>18</v>
      </c>
      <c r="C15" s="9">
        <v>46126.99998842592</v>
      </c>
      <c r="D15" s="8" t="s">
        <v>19</v>
      </c>
      <c r="E15" s="8" t="s">
        <v>54</v>
      </c>
      <c r="F15" s="8" t="s">
        <v>55</v>
      </c>
      <c r="G15" s="8" t="s">
        <v>22</v>
      </c>
      <c r="H15" s="8" t="s">
        <v>23</v>
      </c>
      <c r="I15" s="10">
        <v>0.68</v>
      </c>
      <c r="J15" s="10">
        <v>0.7</v>
      </c>
      <c r="K15" s="10">
        <v>0.02</v>
      </c>
      <c r="L15" s="11">
        <v>2927.0</v>
      </c>
      <c r="M15" s="12">
        <v>146350.0</v>
      </c>
      <c r="N15" s="12">
        <v>0.3</v>
      </c>
      <c r="O15" s="12">
        <v>0.0</v>
      </c>
      <c r="P15" s="11">
        <v>0.0</v>
      </c>
    </row>
    <row r="16">
      <c r="A16" s="8" t="s">
        <v>17</v>
      </c>
      <c r="B16" s="8" t="s">
        <v>18</v>
      </c>
      <c r="C16" s="9">
        <v>46126.99998842592</v>
      </c>
      <c r="D16" s="8" t="s">
        <v>19</v>
      </c>
      <c r="E16" s="8" t="s">
        <v>56</v>
      </c>
      <c r="F16" s="8" t="s">
        <v>57</v>
      </c>
      <c r="G16" s="8" t="s">
        <v>22</v>
      </c>
      <c r="H16" s="8" t="s">
        <v>23</v>
      </c>
      <c r="I16" s="10">
        <v>0.9</v>
      </c>
      <c r="J16" s="10">
        <v>0.893</v>
      </c>
      <c r="K16" s="10">
        <v>-0.007</v>
      </c>
      <c r="L16" s="11">
        <v>-931.0</v>
      </c>
      <c r="M16" s="12">
        <v>133000.0</v>
      </c>
      <c r="N16" s="12">
        <v>0.3</v>
      </c>
      <c r="O16" s="12">
        <v>0.0</v>
      </c>
      <c r="P16" s="11">
        <v>0.0</v>
      </c>
    </row>
    <row r="17">
      <c r="A17" s="8" t="s">
        <v>17</v>
      </c>
      <c r="B17" s="8" t="s">
        <v>18</v>
      </c>
      <c r="C17" s="9">
        <v>46126.99998842592</v>
      </c>
      <c r="D17" s="8" t="s">
        <v>19</v>
      </c>
      <c r="E17" s="8" t="s">
        <v>58</v>
      </c>
      <c r="F17" s="8" t="s">
        <v>59</v>
      </c>
      <c r="G17" s="8" t="s">
        <v>60</v>
      </c>
      <c r="H17" s="8" t="s">
        <v>61</v>
      </c>
      <c r="I17" s="10">
        <v>8.0</v>
      </c>
      <c r="J17" s="10">
        <v>8.0</v>
      </c>
      <c r="K17" s="10">
        <v>0.0</v>
      </c>
      <c r="L17" s="11">
        <v>0.0</v>
      </c>
      <c r="M17" s="12">
        <v>0.0</v>
      </c>
      <c r="N17" s="12">
        <v>0.0</v>
      </c>
      <c r="O17" s="12">
        <v>0.0</v>
      </c>
      <c r="P17" s="11">
        <v>0.0</v>
      </c>
    </row>
    <row r="18">
      <c r="A18" s="8" t="s">
        <v>17</v>
      </c>
      <c r="B18" s="8" t="s">
        <v>18</v>
      </c>
      <c r="C18" s="9">
        <v>46126.99998842592</v>
      </c>
      <c r="D18" s="8" t="s">
        <v>19</v>
      </c>
      <c r="E18" s="8" t="s">
        <v>62</v>
      </c>
      <c r="F18" s="8" t="s">
        <v>63</v>
      </c>
      <c r="G18" s="8" t="s">
        <v>40</v>
      </c>
      <c r="H18" s="8" t="s">
        <v>41</v>
      </c>
      <c r="I18" s="10">
        <v>7.0</v>
      </c>
      <c r="J18" s="10">
        <v>7.0</v>
      </c>
      <c r="K18" s="10">
        <v>0.0</v>
      </c>
      <c r="L18" s="11">
        <v>0.0</v>
      </c>
      <c r="M18" s="12">
        <v>0.0</v>
      </c>
      <c r="N18" s="12">
        <v>0.0</v>
      </c>
      <c r="O18" s="12">
        <v>0.0</v>
      </c>
      <c r="P18" s="11">
        <v>0.0</v>
      </c>
    </row>
    <row r="19">
      <c r="A19" s="8" t="s">
        <v>17</v>
      </c>
      <c r="B19" s="8" t="s">
        <v>18</v>
      </c>
      <c r="C19" s="9">
        <v>46126.99998842592</v>
      </c>
      <c r="D19" s="8" t="s">
        <v>19</v>
      </c>
      <c r="E19" s="8" t="s">
        <v>64</v>
      </c>
      <c r="F19" s="8" t="s">
        <v>65</v>
      </c>
      <c r="G19" s="8" t="s">
        <v>22</v>
      </c>
      <c r="H19" s="8" t="s">
        <v>23</v>
      </c>
      <c r="I19" s="10">
        <v>0.579</v>
      </c>
      <c r="J19" s="10">
        <v>0.557</v>
      </c>
      <c r="K19" s="10">
        <v>-0.022</v>
      </c>
      <c r="L19" s="11">
        <v>-8869.0</v>
      </c>
      <c r="M19" s="12">
        <v>403136.36</v>
      </c>
      <c r="N19" s="12">
        <v>0.3</v>
      </c>
      <c r="O19" s="12">
        <v>0.0</v>
      </c>
      <c r="P19" s="11">
        <v>0.0</v>
      </c>
    </row>
    <row r="20">
      <c r="A20" s="8" t="s">
        <v>17</v>
      </c>
      <c r="B20" s="8" t="s">
        <v>18</v>
      </c>
      <c r="C20" s="9">
        <v>46126.99998842592</v>
      </c>
      <c r="D20" s="8" t="s">
        <v>19</v>
      </c>
      <c r="E20" s="8" t="s">
        <v>66</v>
      </c>
      <c r="F20" s="8" t="s">
        <v>67</v>
      </c>
      <c r="G20" s="8" t="s">
        <v>22</v>
      </c>
      <c r="H20" s="8" t="s">
        <v>23</v>
      </c>
      <c r="I20" s="10">
        <v>1.723</v>
      </c>
      <c r="J20" s="10">
        <v>1.667</v>
      </c>
      <c r="K20" s="10">
        <v>-0.056</v>
      </c>
      <c r="L20" s="11">
        <v>-2968.0</v>
      </c>
      <c r="M20" s="12">
        <v>53000.0</v>
      </c>
      <c r="N20" s="12">
        <v>0.3</v>
      </c>
      <c r="O20" s="12">
        <v>0.0</v>
      </c>
      <c r="P20" s="11">
        <v>0.0</v>
      </c>
    </row>
    <row r="21">
      <c r="A21" s="8" t="s">
        <v>17</v>
      </c>
      <c r="B21" s="8" t="s">
        <v>18</v>
      </c>
      <c r="C21" s="9">
        <v>46126.99998842592</v>
      </c>
      <c r="D21" s="8" t="s">
        <v>19</v>
      </c>
      <c r="E21" s="8" t="s">
        <v>68</v>
      </c>
      <c r="F21" s="8" t="s">
        <v>69</v>
      </c>
      <c r="G21" s="8" t="s">
        <v>22</v>
      </c>
      <c r="H21" s="8" t="s">
        <v>23</v>
      </c>
      <c r="I21" s="10">
        <v>2.266</v>
      </c>
      <c r="J21" s="10">
        <v>2.315</v>
      </c>
      <c r="K21" s="10">
        <v>0.049</v>
      </c>
      <c r="L21" s="11">
        <v>7119.0</v>
      </c>
      <c r="M21" s="12">
        <v>145285.71</v>
      </c>
      <c r="N21" s="12">
        <v>0.3</v>
      </c>
      <c r="O21" s="12">
        <v>0.0</v>
      </c>
      <c r="P21" s="11">
        <v>0.0</v>
      </c>
    </row>
    <row r="22">
      <c r="A22" s="8" t="s">
        <v>70</v>
      </c>
      <c r="B22" s="8" t="s">
        <v>71</v>
      </c>
      <c r="C22" s="9">
        <v>46126.99998842592</v>
      </c>
      <c r="D22" s="8" t="s">
        <v>72</v>
      </c>
      <c r="E22" s="8" t="s">
        <v>73</v>
      </c>
      <c r="F22" s="8" t="s">
        <v>74</v>
      </c>
      <c r="G22" s="8" t="s">
        <v>75</v>
      </c>
      <c r="H22" s="8" t="s">
        <v>76</v>
      </c>
      <c r="I22" s="10">
        <v>0.0</v>
      </c>
      <c r="J22" s="10">
        <v>0.0</v>
      </c>
      <c r="K22" s="10">
        <v>0.0</v>
      </c>
      <c r="L22" s="11">
        <v>0.0</v>
      </c>
      <c r="M22" s="12">
        <v>0.0</v>
      </c>
      <c r="N22" s="12">
        <v>0.0</v>
      </c>
      <c r="O22" s="12">
        <v>0.0</v>
      </c>
      <c r="P22" s="11">
        <v>0.0</v>
      </c>
    </row>
    <row r="23">
      <c r="A23" s="8" t="s">
        <v>70</v>
      </c>
      <c r="B23" s="8" t="s">
        <v>71</v>
      </c>
      <c r="C23" s="9">
        <v>46126.99998842592</v>
      </c>
      <c r="D23" s="8" t="s">
        <v>72</v>
      </c>
      <c r="E23" s="8" t="s">
        <v>77</v>
      </c>
      <c r="F23" s="8" t="s">
        <v>78</v>
      </c>
      <c r="G23" s="8" t="s">
        <v>75</v>
      </c>
      <c r="H23" s="8" t="s">
        <v>76</v>
      </c>
      <c r="I23" s="10">
        <v>16.0</v>
      </c>
      <c r="J23" s="10">
        <v>16.0</v>
      </c>
      <c r="K23" s="10">
        <v>0.0</v>
      </c>
      <c r="L23" s="11">
        <v>0.0</v>
      </c>
      <c r="M23" s="12">
        <v>0.0</v>
      </c>
      <c r="N23" s="12">
        <v>0.0</v>
      </c>
      <c r="O23" s="12">
        <v>0.0</v>
      </c>
      <c r="P23" s="11">
        <v>0.0</v>
      </c>
    </row>
    <row r="24">
      <c r="A24" s="8" t="s">
        <v>70</v>
      </c>
      <c r="B24" s="8" t="s">
        <v>71</v>
      </c>
      <c r="C24" s="9">
        <v>46126.99998842592</v>
      </c>
      <c r="D24" s="8" t="s">
        <v>72</v>
      </c>
      <c r="E24" s="8" t="s">
        <v>79</v>
      </c>
      <c r="F24" s="8" t="s">
        <v>80</v>
      </c>
      <c r="G24" s="8" t="s">
        <v>75</v>
      </c>
      <c r="H24" s="8" t="s">
        <v>76</v>
      </c>
      <c r="I24" s="10">
        <v>8.0</v>
      </c>
      <c r="J24" s="10">
        <v>8.0</v>
      </c>
      <c r="K24" s="10">
        <v>0.0</v>
      </c>
      <c r="L24" s="11">
        <v>0.0</v>
      </c>
      <c r="M24" s="12">
        <v>0.0</v>
      </c>
      <c r="N24" s="12">
        <v>0.0</v>
      </c>
      <c r="O24" s="12">
        <v>0.0</v>
      </c>
      <c r="P24" s="11">
        <v>0.0</v>
      </c>
    </row>
    <row r="25">
      <c r="A25" s="8" t="s">
        <v>70</v>
      </c>
      <c r="B25" s="8" t="s">
        <v>71</v>
      </c>
      <c r="C25" s="9">
        <v>46126.99998842592</v>
      </c>
      <c r="D25" s="8" t="s">
        <v>72</v>
      </c>
      <c r="E25" s="8" t="s">
        <v>81</v>
      </c>
      <c r="F25" s="8" t="s">
        <v>82</v>
      </c>
      <c r="G25" s="8" t="s">
        <v>75</v>
      </c>
      <c r="H25" s="8" t="s">
        <v>76</v>
      </c>
      <c r="I25" s="10">
        <v>16.0</v>
      </c>
      <c r="J25" s="10">
        <v>16.0</v>
      </c>
      <c r="K25" s="10">
        <v>0.0</v>
      </c>
      <c r="L25" s="11">
        <v>0.0</v>
      </c>
      <c r="M25" s="12">
        <v>0.0</v>
      </c>
      <c r="N25" s="12">
        <v>0.0</v>
      </c>
      <c r="O25" s="12">
        <v>0.0</v>
      </c>
      <c r="P25" s="11">
        <v>0.0</v>
      </c>
    </row>
    <row r="26">
      <c r="A26" s="8" t="s">
        <v>70</v>
      </c>
      <c r="B26" s="8" t="s">
        <v>71</v>
      </c>
      <c r="C26" s="9">
        <v>46126.99998842592</v>
      </c>
      <c r="D26" s="8" t="s">
        <v>72</v>
      </c>
      <c r="E26" s="8" t="s">
        <v>83</v>
      </c>
      <c r="F26" s="8" t="s">
        <v>84</v>
      </c>
      <c r="G26" s="8" t="s">
        <v>75</v>
      </c>
      <c r="H26" s="8" t="s">
        <v>76</v>
      </c>
      <c r="I26" s="10">
        <v>14.0</v>
      </c>
      <c r="J26" s="10">
        <v>14.0</v>
      </c>
      <c r="K26" s="10">
        <v>0.0</v>
      </c>
      <c r="L26" s="11">
        <v>0.0</v>
      </c>
      <c r="M26" s="12">
        <v>0.0</v>
      </c>
      <c r="N26" s="12">
        <v>0.0</v>
      </c>
      <c r="O26" s="12">
        <v>0.0</v>
      </c>
      <c r="P26" s="11">
        <v>0.0</v>
      </c>
    </row>
    <row r="27">
      <c r="A27" s="8" t="s">
        <v>70</v>
      </c>
      <c r="B27" s="8" t="s">
        <v>71</v>
      </c>
      <c r="C27" s="9">
        <v>46126.99998842592</v>
      </c>
      <c r="D27" s="8" t="s">
        <v>72</v>
      </c>
      <c r="E27" s="8" t="s">
        <v>85</v>
      </c>
      <c r="F27" s="8" t="s">
        <v>86</v>
      </c>
      <c r="G27" s="8" t="s">
        <v>75</v>
      </c>
      <c r="H27" s="8" t="s">
        <v>76</v>
      </c>
      <c r="I27" s="10">
        <v>0.0</v>
      </c>
      <c r="J27" s="10">
        <v>0.0</v>
      </c>
      <c r="K27" s="10">
        <v>0.0</v>
      </c>
      <c r="L27" s="11">
        <v>0.0</v>
      </c>
      <c r="M27" s="12">
        <v>0.0</v>
      </c>
      <c r="N27" s="12">
        <v>0.0</v>
      </c>
      <c r="O27" s="12">
        <v>0.0</v>
      </c>
      <c r="P27" s="11">
        <v>0.0</v>
      </c>
    </row>
    <row r="28">
      <c r="A28" s="8" t="s">
        <v>70</v>
      </c>
      <c r="B28" s="8" t="s">
        <v>71</v>
      </c>
      <c r="C28" s="9">
        <v>46126.99998842592</v>
      </c>
      <c r="D28" s="8" t="s">
        <v>72</v>
      </c>
      <c r="E28" s="8" t="s">
        <v>87</v>
      </c>
      <c r="F28" s="8" t="s">
        <v>88</v>
      </c>
      <c r="G28" s="8" t="s">
        <v>75</v>
      </c>
      <c r="H28" s="8" t="s">
        <v>76</v>
      </c>
      <c r="I28" s="10">
        <v>48.0</v>
      </c>
      <c r="J28" s="10">
        <v>48.0</v>
      </c>
      <c r="K28" s="10">
        <v>0.0</v>
      </c>
      <c r="L28" s="11">
        <v>0.0</v>
      </c>
      <c r="M28" s="12">
        <v>0.0</v>
      </c>
      <c r="N28" s="12">
        <v>0.0</v>
      </c>
      <c r="O28" s="12">
        <v>0.0</v>
      </c>
      <c r="P28" s="11">
        <v>0.0</v>
      </c>
    </row>
    <row r="29">
      <c r="A29" s="8" t="s">
        <v>70</v>
      </c>
      <c r="B29" s="8" t="s">
        <v>71</v>
      </c>
      <c r="C29" s="9">
        <v>46126.99998842592</v>
      </c>
      <c r="D29" s="8" t="s">
        <v>72</v>
      </c>
      <c r="E29" s="8" t="s">
        <v>89</v>
      </c>
      <c r="F29" s="8" t="s">
        <v>90</v>
      </c>
      <c r="G29" s="8" t="s">
        <v>75</v>
      </c>
      <c r="H29" s="8" t="s">
        <v>76</v>
      </c>
      <c r="I29" s="10">
        <v>104.0</v>
      </c>
      <c r="J29" s="10">
        <v>104.0</v>
      </c>
      <c r="K29" s="10">
        <v>0.0</v>
      </c>
      <c r="L29" s="11">
        <v>0.0</v>
      </c>
      <c r="M29" s="12">
        <v>0.0</v>
      </c>
      <c r="N29" s="12">
        <v>0.0</v>
      </c>
      <c r="O29" s="12">
        <v>0.0</v>
      </c>
      <c r="P29" s="11">
        <v>0.0</v>
      </c>
    </row>
    <row r="30">
      <c r="A30" s="8" t="s">
        <v>70</v>
      </c>
      <c r="B30" s="8" t="s">
        <v>71</v>
      </c>
      <c r="C30" s="9">
        <v>46126.99998842592</v>
      </c>
      <c r="D30" s="8" t="s">
        <v>72</v>
      </c>
      <c r="E30" s="8" t="s">
        <v>91</v>
      </c>
      <c r="F30" s="8" t="s">
        <v>92</v>
      </c>
      <c r="G30" s="8" t="s">
        <v>75</v>
      </c>
      <c r="H30" s="8" t="s">
        <v>76</v>
      </c>
      <c r="I30" s="10">
        <v>19.0</v>
      </c>
      <c r="J30" s="10">
        <v>19.0</v>
      </c>
      <c r="K30" s="10">
        <v>0.0</v>
      </c>
      <c r="L30" s="11">
        <v>0.0</v>
      </c>
      <c r="M30" s="12">
        <v>0.0</v>
      </c>
      <c r="N30" s="12">
        <v>0.0</v>
      </c>
      <c r="O30" s="12">
        <v>0.0</v>
      </c>
      <c r="P30" s="11">
        <v>0.0</v>
      </c>
    </row>
    <row r="31">
      <c r="A31" s="8" t="s">
        <v>70</v>
      </c>
      <c r="B31" s="8" t="s">
        <v>71</v>
      </c>
      <c r="C31" s="9">
        <v>46126.99998842592</v>
      </c>
      <c r="D31" s="8" t="s">
        <v>72</v>
      </c>
      <c r="E31" s="8" t="s">
        <v>93</v>
      </c>
      <c r="F31" s="8" t="s">
        <v>94</v>
      </c>
      <c r="G31" s="8" t="s">
        <v>75</v>
      </c>
      <c r="H31" s="8" t="s">
        <v>76</v>
      </c>
      <c r="I31" s="10">
        <v>50.0</v>
      </c>
      <c r="J31" s="10">
        <v>50.0</v>
      </c>
      <c r="K31" s="10">
        <v>0.0</v>
      </c>
      <c r="L31" s="11">
        <v>0.0</v>
      </c>
      <c r="M31" s="12">
        <v>0.0</v>
      </c>
      <c r="N31" s="12">
        <v>0.0</v>
      </c>
      <c r="O31" s="12">
        <v>0.0</v>
      </c>
      <c r="P31" s="11">
        <v>0.0</v>
      </c>
    </row>
    <row r="32">
      <c r="A32" s="8" t="s">
        <v>70</v>
      </c>
      <c r="B32" s="8" t="s">
        <v>71</v>
      </c>
      <c r="C32" s="9">
        <v>46126.99998842592</v>
      </c>
      <c r="D32" s="8" t="s">
        <v>72</v>
      </c>
      <c r="E32" s="8" t="s">
        <v>95</v>
      </c>
      <c r="F32" s="8" t="s">
        <v>96</v>
      </c>
      <c r="G32" s="8" t="s">
        <v>75</v>
      </c>
      <c r="H32" s="8" t="s">
        <v>76</v>
      </c>
      <c r="I32" s="10">
        <v>62.0</v>
      </c>
      <c r="J32" s="10">
        <v>62.0</v>
      </c>
      <c r="K32" s="10">
        <v>0.0</v>
      </c>
      <c r="L32" s="11">
        <v>0.0</v>
      </c>
      <c r="M32" s="12">
        <v>0.0</v>
      </c>
      <c r="N32" s="12">
        <v>0.0</v>
      </c>
      <c r="O32" s="12">
        <v>0.0</v>
      </c>
      <c r="P32" s="11">
        <v>0.0</v>
      </c>
    </row>
    <row r="33">
      <c r="A33" s="8" t="s">
        <v>70</v>
      </c>
      <c r="B33" s="8" t="s">
        <v>71</v>
      </c>
      <c r="C33" s="9">
        <v>46126.99998842592</v>
      </c>
      <c r="D33" s="8" t="s">
        <v>72</v>
      </c>
      <c r="E33" s="8" t="s">
        <v>97</v>
      </c>
      <c r="F33" s="8" t="s">
        <v>98</v>
      </c>
      <c r="G33" s="8" t="s">
        <v>75</v>
      </c>
      <c r="H33" s="8" t="s">
        <v>76</v>
      </c>
      <c r="I33" s="10">
        <v>89.0</v>
      </c>
      <c r="J33" s="10">
        <v>89.0</v>
      </c>
      <c r="K33" s="10">
        <v>0.0</v>
      </c>
      <c r="L33" s="11">
        <v>0.0</v>
      </c>
      <c r="M33" s="12">
        <v>0.0</v>
      </c>
      <c r="N33" s="12">
        <v>0.0</v>
      </c>
      <c r="O33" s="12">
        <v>0.0</v>
      </c>
      <c r="P33" s="11">
        <v>0.0</v>
      </c>
    </row>
    <row r="34">
      <c r="A34" s="8" t="s">
        <v>70</v>
      </c>
      <c r="B34" s="8" t="s">
        <v>71</v>
      </c>
      <c r="C34" s="9">
        <v>46126.99998842592</v>
      </c>
      <c r="D34" s="8" t="s">
        <v>72</v>
      </c>
      <c r="E34" s="8" t="s">
        <v>99</v>
      </c>
      <c r="F34" s="8" t="s">
        <v>100</v>
      </c>
      <c r="G34" s="8" t="s">
        <v>75</v>
      </c>
      <c r="H34" s="8" t="s">
        <v>76</v>
      </c>
      <c r="I34" s="10">
        <v>57.0</v>
      </c>
      <c r="J34" s="10">
        <v>57.0</v>
      </c>
      <c r="K34" s="10">
        <v>0.0</v>
      </c>
      <c r="L34" s="11">
        <v>0.0</v>
      </c>
      <c r="M34" s="12">
        <v>0.0</v>
      </c>
      <c r="N34" s="12">
        <v>0.0</v>
      </c>
      <c r="O34" s="12">
        <v>0.0</v>
      </c>
      <c r="P34" s="11">
        <v>0.0</v>
      </c>
    </row>
    <row r="35">
      <c r="A35" s="8" t="s">
        <v>70</v>
      </c>
      <c r="B35" s="8" t="s">
        <v>71</v>
      </c>
      <c r="C35" s="9">
        <v>46126.99998842592</v>
      </c>
      <c r="D35" s="8" t="s">
        <v>72</v>
      </c>
      <c r="E35" s="8" t="s">
        <v>101</v>
      </c>
      <c r="F35" s="8" t="s">
        <v>102</v>
      </c>
      <c r="G35" s="8" t="s">
        <v>75</v>
      </c>
      <c r="H35" s="8" t="s">
        <v>76</v>
      </c>
      <c r="I35" s="10">
        <v>48.0</v>
      </c>
      <c r="J35" s="10">
        <v>48.0</v>
      </c>
      <c r="K35" s="10">
        <v>0.0</v>
      </c>
      <c r="L35" s="11">
        <v>0.0</v>
      </c>
      <c r="M35" s="12">
        <v>0.0</v>
      </c>
      <c r="N35" s="12">
        <v>0.0</v>
      </c>
      <c r="O35" s="12">
        <v>0.0</v>
      </c>
      <c r="P35" s="11">
        <v>0.0</v>
      </c>
    </row>
    <row r="36">
      <c r="A36" s="8" t="s">
        <v>70</v>
      </c>
      <c r="B36" s="8" t="s">
        <v>71</v>
      </c>
      <c r="C36" s="9">
        <v>46126.99998842592</v>
      </c>
      <c r="D36" s="8" t="s">
        <v>72</v>
      </c>
      <c r="E36" s="8" t="s">
        <v>103</v>
      </c>
      <c r="F36" s="8" t="s">
        <v>104</v>
      </c>
      <c r="G36" s="8" t="s">
        <v>75</v>
      </c>
      <c r="H36" s="8" t="s">
        <v>76</v>
      </c>
      <c r="I36" s="10">
        <v>169.0</v>
      </c>
      <c r="J36" s="10">
        <v>169.0</v>
      </c>
      <c r="K36" s="10">
        <v>0.0</v>
      </c>
      <c r="L36" s="11">
        <v>0.0</v>
      </c>
      <c r="M36" s="12">
        <v>0.0</v>
      </c>
      <c r="N36" s="12">
        <v>0.0</v>
      </c>
      <c r="O36" s="12">
        <v>0.0</v>
      </c>
      <c r="P36" s="11">
        <v>0.0</v>
      </c>
    </row>
    <row r="37">
      <c r="A37" s="8" t="s">
        <v>70</v>
      </c>
      <c r="B37" s="8" t="s">
        <v>71</v>
      </c>
      <c r="C37" s="9">
        <v>46126.99998842592</v>
      </c>
      <c r="D37" s="8" t="s">
        <v>72</v>
      </c>
      <c r="E37" s="8" t="s">
        <v>105</v>
      </c>
      <c r="F37" s="8" t="s">
        <v>106</v>
      </c>
      <c r="G37" s="8" t="s">
        <v>75</v>
      </c>
      <c r="H37" s="8" t="s">
        <v>76</v>
      </c>
      <c r="I37" s="10">
        <v>149.0</v>
      </c>
      <c r="J37" s="10">
        <v>149.0</v>
      </c>
      <c r="K37" s="10">
        <v>0.0</v>
      </c>
      <c r="L37" s="11">
        <v>0.0</v>
      </c>
      <c r="M37" s="12">
        <v>0.0</v>
      </c>
      <c r="N37" s="12">
        <v>0.0</v>
      </c>
      <c r="O37" s="12">
        <v>0.0</v>
      </c>
      <c r="P37" s="11">
        <v>0.0</v>
      </c>
    </row>
    <row r="38">
      <c r="A38" s="8" t="s">
        <v>70</v>
      </c>
      <c r="B38" s="8" t="s">
        <v>107</v>
      </c>
      <c r="C38" s="9">
        <v>46126.99998842592</v>
      </c>
      <c r="E38" s="8" t="s">
        <v>108</v>
      </c>
      <c r="F38" s="8" t="s">
        <v>109</v>
      </c>
      <c r="G38" s="8" t="s">
        <v>22</v>
      </c>
      <c r="H38" s="8" t="s">
        <v>23</v>
      </c>
      <c r="I38" s="10">
        <v>1.2</v>
      </c>
      <c r="J38" s="10">
        <v>1.2</v>
      </c>
      <c r="K38" s="10">
        <v>0.0</v>
      </c>
      <c r="L38" s="11">
        <v>0.0</v>
      </c>
      <c r="M38" s="12">
        <v>0.0</v>
      </c>
      <c r="N38" s="12">
        <v>0.3</v>
      </c>
      <c r="O38" s="12">
        <v>0.0</v>
      </c>
      <c r="P38" s="11">
        <v>0.0</v>
      </c>
    </row>
    <row r="39">
      <c r="A39" s="8" t="s">
        <v>70</v>
      </c>
      <c r="B39" s="8" t="s">
        <v>107</v>
      </c>
      <c r="C39" s="9">
        <v>46126.99998842592</v>
      </c>
      <c r="E39" s="8" t="s">
        <v>50</v>
      </c>
      <c r="F39" s="8" t="s">
        <v>51</v>
      </c>
      <c r="G39" s="8" t="s">
        <v>52</v>
      </c>
      <c r="H39" s="8" t="s">
        <v>53</v>
      </c>
      <c r="I39" s="10">
        <v>53.0</v>
      </c>
      <c r="J39" s="10">
        <v>53.0</v>
      </c>
      <c r="K39" s="10">
        <v>0.0</v>
      </c>
      <c r="L39" s="11">
        <v>0.0</v>
      </c>
      <c r="M39" s="12">
        <v>0.0</v>
      </c>
      <c r="N39" s="12">
        <v>0.0</v>
      </c>
      <c r="O39" s="12">
        <v>0.0</v>
      </c>
      <c r="P39" s="11">
        <v>0.0</v>
      </c>
    </row>
    <row r="40">
      <c r="A40" s="8" t="s">
        <v>70</v>
      </c>
      <c r="B40" s="8" t="s">
        <v>107</v>
      </c>
      <c r="C40" s="9">
        <v>46126.99998842592</v>
      </c>
      <c r="E40" s="8" t="s">
        <v>110</v>
      </c>
      <c r="F40" s="8" t="s">
        <v>111</v>
      </c>
      <c r="G40" s="8" t="s">
        <v>22</v>
      </c>
      <c r="H40" s="8" t="s">
        <v>23</v>
      </c>
      <c r="I40" s="10">
        <v>2.29</v>
      </c>
      <c r="J40" s="10">
        <v>0.1</v>
      </c>
      <c r="K40" s="10">
        <v>-2.19</v>
      </c>
      <c r="L40" s="11">
        <v>-52013.0</v>
      </c>
      <c r="M40" s="12">
        <v>23750.23</v>
      </c>
      <c r="N40" s="12">
        <v>0.3</v>
      </c>
      <c r="O40" s="12">
        <v>1.89</v>
      </c>
      <c r="P40" s="11">
        <v>44887.9347</v>
      </c>
    </row>
    <row r="41">
      <c r="A41" s="8" t="s">
        <v>70</v>
      </c>
      <c r="B41" s="8" t="s">
        <v>107</v>
      </c>
      <c r="C41" s="9">
        <v>46126.99998842592</v>
      </c>
      <c r="E41" s="8" t="s">
        <v>54</v>
      </c>
      <c r="F41" s="8" t="s">
        <v>55</v>
      </c>
      <c r="G41" s="8" t="s">
        <v>22</v>
      </c>
      <c r="H41" s="8" t="s">
        <v>23</v>
      </c>
      <c r="I41" s="10">
        <v>1.7</v>
      </c>
      <c r="J41" s="10">
        <v>1.64</v>
      </c>
      <c r="K41" s="10">
        <v>-0.06</v>
      </c>
      <c r="L41" s="11">
        <v>-8875.0</v>
      </c>
      <c r="M41" s="12">
        <v>147916.67</v>
      </c>
      <c r="N41" s="12">
        <v>0.3</v>
      </c>
      <c r="O41" s="12">
        <v>0.0</v>
      </c>
      <c r="P41" s="11">
        <v>0.0</v>
      </c>
    </row>
    <row r="42">
      <c r="A42" s="8" t="s">
        <v>70</v>
      </c>
      <c r="B42" s="8" t="s">
        <v>107</v>
      </c>
      <c r="C42" s="9">
        <v>46126.99998842592</v>
      </c>
      <c r="E42" s="8" t="s">
        <v>58</v>
      </c>
      <c r="F42" s="8" t="s">
        <v>59</v>
      </c>
      <c r="G42" s="8" t="s">
        <v>112</v>
      </c>
      <c r="H42" s="8" t="s">
        <v>113</v>
      </c>
      <c r="I42" s="10">
        <v>1.0</v>
      </c>
      <c r="J42" s="10">
        <v>1.0</v>
      </c>
      <c r="K42" s="10">
        <v>0.0</v>
      </c>
      <c r="L42" s="11">
        <v>0.0</v>
      </c>
      <c r="M42" s="12">
        <v>0.0</v>
      </c>
      <c r="N42" s="12">
        <v>0.0</v>
      </c>
      <c r="O42" s="12">
        <v>0.0</v>
      </c>
      <c r="P42" s="11">
        <v>0.0</v>
      </c>
    </row>
    <row r="43">
      <c r="A43" s="8" t="s">
        <v>70</v>
      </c>
      <c r="B43" s="8" t="s">
        <v>107</v>
      </c>
      <c r="C43" s="9">
        <v>46126.99998842592</v>
      </c>
      <c r="E43" s="8" t="s">
        <v>114</v>
      </c>
      <c r="F43" s="8" t="s">
        <v>115</v>
      </c>
      <c r="G43" s="8" t="s">
        <v>22</v>
      </c>
      <c r="H43" s="8" t="s">
        <v>23</v>
      </c>
      <c r="I43" s="10">
        <v>1.05</v>
      </c>
      <c r="J43" s="10">
        <v>1.1</v>
      </c>
      <c r="K43" s="10">
        <v>0.05</v>
      </c>
      <c r="L43" s="11">
        <v>27500.0</v>
      </c>
      <c r="M43" s="12">
        <v>550000.0</v>
      </c>
      <c r="N43" s="12">
        <v>0.3</v>
      </c>
      <c r="O43" s="12">
        <v>0.0</v>
      </c>
      <c r="P43" s="11">
        <v>0.0</v>
      </c>
    </row>
    <row r="44">
      <c r="A44" s="8" t="s">
        <v>70</v>
      </c>
      <c r="B44" s="8" t="s">
        <v>107</v>
      </c>
      <c r="C44" s="9">
        <v>46126.99998842592</v>
      </c>
      <c r="E44" s="8" t="s">
        <v>62</v>
      </c>
      <c r="F44" s="8" t="s">
        <v>63</v>
      </c>
      <c r="G44" s="8" t="s">
        <v>40</v>
      </c>
      <c r="H44" s="8" t="s">
        <v>41</v>
      </c>
      <c r="I44" s="10">
        <v>28.0</v>
      </c>
      <c r="J44" s="10">
        <v>28.0</v>
      </c>
      <c r="K44" s="10">
        <v>0.0</v>
      </c>
      <c r="L44" s="11">
        <v>0.0</v>
      </c>
      <c r="M44" s="12">
        <v>0.0</v>
      </c>
      <c r="N44" s="12">
        <v>0.0</v>
      </c>
      <c r="O44" s="12">
        <v>0.0</v>
      </c>
      <c r="P44" s="11">
        <v>0.0</v>
      </c>
    </row>
    <row r="45">
      <c r="A45" s="8" t="s">
        <v>70</v>
      </c>
      <c r="B45" s="8" t="s">
        <v>107</v>
      </c>
      <c r="C45" s="9">
        <v>46126.99998842592</v>
      </c>
      <c r="E45" s="8" t="s">
        <v>64</v>
      </c>
      <c r="F45" s="8" t="s">
        <v>65</v>
      </c>
      <c r="G45" s="8" t="s">
        <v>22</v>
      </c>
      <c r="H45" s="8" t="s">
        <v>23</v>
      </c>
      <c r="I45" s="10">
        <v>1.75</v>
      </c>
      <c r="J45" s="10">
        <v>1.7</v>
      </c>
      <c r="K45" s="10">
        <v>-0.05</v>
      </c>
      <c r="L45" s="11">
        <v>-20156.0</v>
      </c>
      <c r="M45" s="12">
        <v>403120.0</v>
      </c>
      <c r="N45" s="12">
        <v>0.3</v>
      </c>
      <c r="O45" s="12">
        <v>0.0</v>
      </c>
      <c r="P45" s="11">
        <v>0.0</v>
      </c>
    </row>
    <row r="46">
      <c r="A46" s="8" t="s">
        <v>70</v>
      </c>
      <c r="B46" s="8" t="s">
        <v>107</v>
      </c>
      <c r="C46" s="9">
        <v>46126.99998842592</v>
      </c>
      <c r="E46" s="8" t="s">
        <v>116</v>
      </c>
      <c r="F46" s="8" t="s">
        <v>117</v>
      </c>
      <c r="G46" s="8" t="s">
        <v>22</v>
      </c>
      <c r="H46" s="8" t="s">
        <v>23</v>
      </c>
      <c r="I46" s="10">
        <v>1.25</v>
      </c>
      <c r="J46" s="10">
        <v>1.2</v>
      </c>
      <c r="K46" s="10">
        <v>-0.05</v>
      </c>
      <c r="L46" s="11">
        <v>-31415.0</v>
      </c>
      <c r="M46" s="12">
        <v>628300.0</v>
      </c>
      <c r="N46" s="12">
        <v>0.3</v>
      </c>
      <c r="O46" s="12">
        <v>0.0</v>
      </c>
      <c r="P46" s="11">
        <v>0.0</v>
      </c>
    </row>
    <row r="47">
      <c r="A47" s="8" t="s">
        <v>70</v>
      </c>
      <c r="B47" s="8" t="s">
        <v>107</v>
      </c>
      <c r="C47" s="9">
        <v>46126.99998842592</v>
      </c>
      <c r="E47" s="8" t="s">
        <v>118</v>
      </c>
      <c r="F47" s="8" t="s">
        <v>119</v>
      </c>
      <c r="G47" s="8" t="s">
        <v>120</v>
      </c>
      <c r="H47" s="8" t="s">
        <v>121</v>
      </c>
      <c r="I47" s="10">
        <v>28.0</v>
      </c>
      <c r="J47" s="10">
        <v>28.0</v>
      </c>
      <c r="K47" s="10">
        <v>0.0</v>
      </c>
      <c r="L47" s="11">
        <v>0.0</v>
      </c>
      <c r="M47" s="12">
        <v>0.0</v>
      </c>
      <c r="N47" s="12">
        <v>2.0</v>
      </c>
      <c r="O47" s="12">
        <v>0.0</v>
      </c>
      <c r="P47" s="11">
        <v>0.0</v>
      </c>
    </row>
    <row r="48">
      <c r="A48" s="8" t="s">
        <v>70</v>
      </c>
      <c r="B48" s="8" t="s">
        <v>107</v>
      </c>
      <c r="C48" s="9">
        <v>46126.99998842592</v>
      </c>
      <c r="E48" s="8" t="s">
        <v>122</v>
      </c>
      <c r="F48" s="8" t="s">
        <v>123</v>
      </c>
      <c r="G48" s="8" t="s">
        <v>22</v>
      </c>
      <c r="H48" s="8" t="s">
        <v>23</v>
      </c>
      <c r="I48" s="10">
        <v>1.07</v>
      </c>
      <c r="J48" s="10">
        <v>1.0</v>
      </c>
      <c r="K48" s="10">
        <v>-0.07</v>
      </c>
      <c r="L48" s="11">
        <v>-6009.0</v>
      </c>
      <c r="M48" s="12">
        <v>85842.86</v>
      </c>
      <c r="N48" s="12">
        <v>0.3</v>
      </c>
      <c r="O48" s="12">
        <v>0.0</v>
      </c>
      <c r="P48" s="11">
        <v>0.0</v>
      </c>
    </row>
    <row r="49">
      <c r="A49" s="8" t="s">
        <v>70</v>
      </c>
      <c r="B49" s="8" t="s">
        <v>107</v>
      </c>
      <c r="C49" s="9">
        <v>46126.99998842592</v>
      </c>
      <c r="E49" s="8" t="s">
        <v>124</v>
      </c>
      <c r="F49" s="8" t="s">
        <v>125</v>
      </c>
      <c r="G49" s="8" t="s">
        <v>52</v>
      </c>
      <c r="H49" s="8" t="s">
        <v>53</v>
      </c>
      <c r="I49" s="10">
        <v>15.0</v>
      </c>
      <c r="J49" s="10">
        <v>15.0</v>
      </c>
      <c r="K49" s="10">
        <v>0.0</v>
      </c>
      <c r="L49" s="11">
        <v>0.0</v>
      </c>
      <c r="M49" s="12">
        <v>0.0</v>
      </c>
      <c r="N49" s="12">
        <v>0.0</v>
      </c>
      <c r="O49" s="12">
        <v>0.0</v>
      </c>
      <c r="P49" s="11">
        <v>0.0</v>
      </c>
    </row>
    <row r="50">
      <c r="A50" s="8" t="s">
        <v>70</v>
      </c>
      <c r="B50" s="8" t="s">
        <v>107</v>
      </c>
      <c r="C50" s="9">
        <v>46126.99998842592</v>
      </c>
      <c r="E50" s="8" t="s">
        <v>48</v>
      </c>
      <c r="F50" s="8" t="s">
        <v>49</v>
      </c>
      <c r="G50" s="8" t="s">
        <v>22</v>
      </c>
      <c r="H50" s="8" t="s">
        <v>23</v>
      </c>
      <c r="I50" s="10">
        <v>2.05</v>
      </c>
      <c r="J50" s="10">
        <v>2.1</v>
      </c>
      <c r="K50" s="10">
        <v>0.05</v>
      </c>
      <c r="L50" s="11">
        <v>4499.0</v>
      </c>
      <c r="M50" s="12">
        <v>89980.0</v>
      </c>
      <c r="N50" s="12">
        <v>0.3</v>
      </c>
      <c r="O50" s="12">
        <v>0.0</v>
      </c>
      <c r="P50" s="11">
        <v>0.0</v>
      </c>
    </row>
    <row r="51">
      <c r="A51" s="8" t="s">
        <v>70</v>
      </c>
      <c r="B51" s="8" t="s">
        <v>107</v>
      </c>
      <c r="C51" s="9">
        <v>46126.99998842592</v>
      </c>
      <c r="E51" s="8" t="s">
        <v>126</v>
      </c>
      <c r="F51" s="8" t="s">
        <v>127</v>
      </c>
      <c r="G51" s="8" t="s">
        <v>22</v>
      </c>
      <c r="H51" s="8" t="s">
        <v>23</v>
      </c>
      <c r="I51" s="10">
        <v>1.08</v>
      </c>
      <c r="J51" s="10">
        <v>1.0</v>
      </c>
      <c r="K51" s="10">
        <v>-0.08</v>
      </c>
      <c r="L51" s="11">
        <v>-7193.0</v>
      </c>
      <c r="M51" s="12">
        <v>89912.5</v>
      </c>
      <c r="N51" s="12">
        <v>0.3</v>
      </c>
      <c r="O51" s="12">
        <v>0.0</v>
      </c>
      <c r="P51" s="11">
        <v>0.0</v>
      </c>
    </row>
    <row r="52">
      <c r="A52" s="8" t="s">
        <v>70</v>
      </c>
      <c r="B52" s="8" t="s">
        <v>107</v>
      </c>
      <c r="C52" s="9">
        <v>46126.99998842592</v>
      </c>
      <c r="E52" s="8" t="s">
        <v>46</v>
      </c>
      <c r="F52" s="8" t="s">
        <v>47</v>
      </c>
      <c r="G52" s="8" t="s">
        <v>22</v>
      </c>
      <c r="H52" s="8" t="s">
        <v>23</v>
      </c>
      <c r="I52" s="10">
        <v>2.2</v>
      </c>
      <c r="J52" s="10">
        <v>2.3</v>
      </c>
      <c r="K52" s="10">
        <v>0.1</v>
      </c>
      <c r="L52" s="11">
        <v>7640.0</v>
      </c>
      <c r="M52" s="12">
        <v>76400.0</v>
      </c>
      <c r="N52" s="12">
        <v>0.3</v>
      </c>
      <c r="O52" s="12">
        <v>0.0</v>
      </c>
      <c r="P52" s="11">
        <v>0.0</v>
      </c>
    </row>
    <row r="53">
      <c r="A53" s="8" t="s">
        <v>70</v>
      </c>
      <c r="B53" s="8" t="s">
        <v>107</v>
      </c>
      <c r="C53" s="9">
        <v>46126.99998842592</v>
      </c>
      <c r="E53" s="8" t="s">
        <v>128</v>
      </c>
      <c r="F53" s="8" t="s">
        <v>129</v>
      </c>
      <c r="G53" s="8" t="s">
        <v>22</v>
      </c>
      <c r="H53" s="8" t="s">
        <v>23</v>
      </c>
      <c r="I53" s="10">
        <v>1.7</v>
      </c>
      <c r="J53" s="10">
        <v>1.7</v>
      </c>
      <c r="K53" s="10">
        <v>0.0</v>
      </c>
      <c r="L53" s="11">
        <v>0.0</v>
      </c>
      <c r="M53" s="12">
        <v>0.0</v>
      </c>
      <c r="N53" s="12">
        <v>0.3</v>
      </c>
      <c r="O53" s="12">
        <v>0.0</v>
      </c>
      <c r="P53" s="11">
        <v>0.0</v>
      </c>
    </row>
    <row r="54">
      <c r="A54" s="8" t="s">
        <v>70</v>
      </c>
      <c r="B54" s="8" t="s">
        <v>107</v>
      </c>
      <c r="C54" s="9">
        <v>46126.99998842592</v>
      </c>
      <c r="E54" s="8" t="s">
        <v>42</v>
      </c>
      <c r="F54" s="8" t="s">
        <v>43</v>
      </c>
      <c r="G54" s="8" t="s">
        <v>44</v>
      </c>
      <c r="H54" s="8" t="s">
        <v>45</v>
      </c>
      <c r="I54" s="10">
        <v>20.0</v>
      </c>
      <c r="J54" s="10">
        <v>20.0</v>
      </c>
      <c r="K54" s="10">
        <v>0.0</v>
      </c>
      <c r="L54" s="11">
        <v>0.0</v>
      </c>
      <c r="M54" s="12">
        <v>0.0</v>
      </c>
      <c r="N54" s="12">
        <v>0.0</v>
      </c>
      <c r="O54" s="12">
        <v>0.0</v>
      </c>
      <c r="P54" s="11">
        <v>0.0</v>
      </c>
    </row>
    <row r="55">
      <c r="A55" s="8" t="s">
        <v>70</v>
      </c>
      <c r="B55" s="8" t="s">
        <v>107</v>
      </c>
      <c r="C55" s="9">
        <v>46126.99998842592</v>
      </c>
      <c r="E55" s="8" t="s">
        <v>38</v>
      </c>
      <c r="F55" s="8" t="s">
        <v>39</v>
      </c>
      <c r="G55" s="8" t="s">
        <v>52</v>
      </c>
      <c r="H55" s="8" t="s">
        <v>53</v>
      </c>
      <c r="I55" s="10">
        <v>6.6</v>
      </c>
      <c r="J55" s="10">
        <v>6.6</v>
      </c>
      <c r="K55" s="10">
        <v>0.0</v>
      </c>
      <c r="L55" s="11">
        <v>0.0</v>
      </c>
      <c r="M55" s="12">
        <v>0.0</v>
      </c>
      <c r="N55" s="12">
        <v>0.0</v>
      </c>
      <c r="O55" s="12">
        <v>0.0</v>
      </c>
      <c r="P55" s="11">
        <v>0.0</v>
      </c>
    </row>
    <row r="56">
      <c r="A56" s="8" t="s">
        <v>70</v>
      </c>
      <c r="B56" s="8" t="s">
        <v>107</v>
      </c>
      <c r="C56" s="9">
        <v>46126.99998842592</v>
      </c>
      <c r="E56" s="8" t="s">
        <v>36</v>
      </c>
      <c r="F56" s="8" t="s">
        <v>37</v>
      </c>
      <c r="G56" s="8" t="s">
        <v>22</v>
      </c>
      <c r="H56" s="8" t="s">
        <v>23</v>
      </c>
      <c r="I56" s="10">
        <v>1.99</v>
      </c>
      <c r="J56" s="10">
        <v>1.99</v>
      </c>
      <c r="K56" s="10">
        <v>0.0</v>
      </c>
      <c r="L56" s="11">
        <v>0.0</v>
      </c>
      <c r="M56" s="12">
        <v>0.0</v>
      </c>
      <c r="N56" s="12">
        <v>0.3</v>
      </c>
      <c r="O56" s="12">
        <v>0.0</v>
      </c>
      <c r="P56" s="11">
        <v>0.0</v>
      </c>
    </row>
    <row r="57">
      <c r="A57" s="8" t="s">
        <v>70</v>
      </c>
      <c r="B57" s="8" t="s">
        <v>107</v>
      </c>
      <c r="C57" s="9">
        <v>46126.99998842592</v>
      </c>
      <c r="E57" s="8" t="s">
        <v>34</v>
      </c>
      <c r="F57" s="8" t="s">
        <v>35</v>
      </c>
      <c r="G57" s="8" t="s">
        <v>22</v>
      </c>
      <c r="H57" s="8" t="s">
        <v>23</v>
      </c>
      <c r="I57" s="10">
        <v>1.56</v>
      </c>
      <c r="J57" s="10">
        <v>1.5</v>
      </c>
      <c r="K57" s="10">
        <v>-0.06</v>
      </c>
      <c r="L57" s="11">
        <v>-42000.0</v>
      </c>
      <c r="M57" s="12">
        <v>700000.0</v>
      </c>
      <c r="N57" s="12">
        <v>0.3</v>
      </c>
      <c r="O57" s="12">
        <v>0.0</v>
      </c>
      <c r="P57" s="11">
        <v>0.0</v>
      </c>
    </row>
    <row r="58">
      <c r="A58" s="8" t="s">
        <v>70</v>
      </c>
      <c r="B58" s="8" t="s">
        <v>107</v>
      </c>
      <c r="C58" s="9">
        <v>46126.99998842592</v>
      </c>
      <c r="E58" s="8" t="s">
        <v>66</v>
      </c>
      <c r="F58" s="8" t="s">
        <v>67</v>
      </c>
      <c r="G58" s="8" t="s">
        <v>22</v>
      </c>
      <c r="H58" s="8" t="s">
        <v>23</v>
      </c>
      <c r="I58" s="10">
        <v>11.65</v>
      </c>
      <c r="J58" s="10">
        <v>11.5</v>
      </c>
      <c r="K58" s="10">
        <v>-0.15</v>
      </c>
      <c r="L58" s="11">
        <v>-7303.0</v>
      </c>
      <c r="M58" s="12">
        <v>48686.67</v>
      </c>
      <c r="N58" s="12">
        <v>0.3</v>
      </c>
      <c r="O58" s="12">
        <v>0.0</v>
      </c>
      <c r="P58" s="11">
        <v>0.0</v>
      </c>
    </row>
    <row r="59">
      <c r="A59" s="8" t="s">
        <v>70</v>
      </c>
      <c r="B59" s="8" t="s">
        <v>107</v>
      </c>
      <c r="C59" s="9">
        <v>46126.99998842592</v>
      </c>
      <c r="E59" s="8" t="s">
        <v>30</v>
      </c>
      <c r="F59" s="8" t="s">
        <v>31</v>
      </c>
      <c r="G59" s="8" t="s">
        <v>22</v>
      </c>
      <c r="H59" s="8" t="s">
        <v>23</v>
      </c>
      <c r="I59" s="10">
        <v>2.72</v>
      </c>
      <c r="J59" s="10">
        <v>2.7</v>
      </c>
      <c r="K59" s="10">
        <v>-0.02</v>
      </c>
      <c r="L59" s="11">
        <v>-2207.0</v>
      </c>
      <c r="M59" s="12">
        <v>110350.0</v>
      </c>
      <c r="N59" s="12">
        <v>0.3</v>
      </c>
      <c r="O59" s="12">
        <v>0.0</v>
      </c>
      <c r="P59" s="11">
        <v>0.0</v>
      </c>
    </row>
    <row r="60">
      <c r="A60" s="8" t="s">
        <v>70</v>
      </c>
      <c r="B60" s="8" t="s">
        <v>107</v>
      </c>
      <c r="C60" s="9">
        <v>46126.99998842592</v>
      </c>
      <c r="E60" s="8" t="s">
        <v>28</v>
      </c>
      <c r="F60" s="8" t="s">
        <v>29</v>
      </c>
      <c r="G60" s="8" t="s">
        <v>22</v>
      </c>
      <c r="H60" s="8" t="s">
        <v>23</v>
      </c>
      <c r="I60" s="10">
        <v>2.8</v>
      </c>
      <c r="J60" s="10">
        <v>2.8</v>
      </c>
      <c r="K60" s="10">
        <v>0.0</v>
      </c>
      <c r="L60" s="11">
        <v>0.0</v>
      </c>
      <c r="M60" s="12">
        <v>0.0</v>
      </c>
      <c r="N60" s="12">
        <v>0.3</v>
      </c>
      <c r="O60" s="12">
        <v>0.0</v>
      </c>
      <c r="P60" s="11">
        <v>0.0</v>
      </c>
    </row>
    <row r="61">
      <c r="A61" s="8" t="s">
        <v>70</v>
      </c>
      <c r="B61" s="8" t="s">
        <v>107</v>
      </c>
      <c r="C61" s="9">
        <v>46126.99998842592</v>
      </c>
      <c r="E61" s="8" t="s">
        <v>26</v>
      </c>
      <c r="F61" s="8" t="s">
        <v>27</v>
      </c>
      <c r="G61" s="8" t="s">
        <v>22</v>
      </c>
      <c r="H61" s="8" t="s">
        <v>23</v>
      </c>
      <c r="I61" s="10">
        <v>1.8</v>
      </c>
      <c r="J61" s="10">
        <v>1.8</v>
      </c>
      <c r="K61" s="10">
        <v>0.0</v>
      </c>
      <c r="L61" s="11">
        <v>0.0</v>
      </c>
      <c r="M61" s="12">
        <v>0.0</v>
      </c>
      <c r="N61" s="12">
        <v>0.3</v>
      </c>
      <c r="O61" s="12">
        <v>0.0</v>
      </c>
      <c r="P61" s="11">
        <v>0.0</v>
      </c>
    </row>
    <row r="62">
      <c r="A62" s="8" t="s">
        <v>70</v>
      </c>
      <c r="B62" s="8" t="s">
        <v>107</v>
      </c>
      <c r="C62" s="9">
        <v>46126.99998842592</v>
      </c>
      <c r="E62" s="8" t="s">
        <v>24</v>
      </c>
      <c r="F62" s="8" t="s">
        <v>25</v>
      </c>
      <c r="G62" s="8" t="s">
        <v>22</v>
      </c>
      <c r="H62" s="8" t="s">
        <v>23</v>
      </c>
      <c r="I62" s="10">
        <v>1.94</v>
      </c>
      <c r="J62" s="10">
        <v>1.8</v>
      </c>
      <c r="K62" s="10">
        <v>-0.14</v>
      </c>
      <c r="L62" s="11">
        <v>-40600.0</v>
      </c>
      <c r="M62" s="12">
        <v>290000.0</v>
      </c>
      <c r="N62" s="12">
        <v>0.3</v>
      </c>
      <c r="O62" s="12">
        <v>0.0</v>
      </c>
      <c r="P62" s="11">
        <v>0.0</v>
      </c>
    </row>
    <row r="63">
      <c r="A63" s="8" t="s">
        <v>70</v>
      </c>
      <c r="B63" s="8" t="s">
        <v>107</v>
      </c>
      <c r="C63" s="9">
        <v>46126.99998842592</v>
      </c>
      <c r="E63" s="8" t="s">
        <v>32</v>
      </c>
      <c r="F63" s="8" t="s">
        <v>33</v>
      </c>
      <c r="G63" s="8" t="s">
        <v>22</v>
      </c>
      <c r="H63" s="8" t="s">
        <v>23</v>
      </c>
      <c r="I63" s="10">
        <v>1.0</v>
      </c>
      <c r="J63" s="10">
        <v>0.875</v>
      </c>
      <c r="K63" s="10">
        <v>-0.125</v>
      </c>
      <c r="L63" s="11">
        <v>-6875.0</v>
      </c>
      <c r="M63" s="12">
        <v>55000.0</v>
      </c>
      <c r="N63" s="12">
        <v>0.3</v>
      </c>
      <c r="O63" s="12">
        <v>0.0</v>
      </c>
      <c r="P63" s="11">
        <v>0.0</v>
      </c>
    </row>
    <row r="64">
      <c r="A64" s="8" t="s">
        <v>70</v>
      </c>
      <c r="B64" s="8" t="s">
        <v>107</v>
      </c>
      <c r="C64" s="9">
        <v>46126.99998842592</v>
      </c>
      <c r="E64" s="8" t="s">
        <v>68</v>
      </c>
      <c r="F64" s="8" t="s">
        <v>69</v>
      </c>
      <c r="G64" s="8" t="s">
        <v>22</v>
      </c>
      <c r="H64" s="8" t="s">
        <v>23</v>
      </c>
      <c r="I64" s="10">
        <v>6.35</v>
      </c>
      <c r="J64" s="10">
        <v>6.4</v>
      </c>
      <c r="K64" s="10">
        <v>0.05</v>
      </c>
      <c r="L64" s="11">
        <v>7000.0</v>
      </c>
      <c r="M64" s="12">
        <v>140000.0</v>
      </c>
      <c r="N64" s="12">
        <v>0.3</v>
      </c>
      <c r="O64" s="12">
        <v>0.0</v>
      </c>
      <c r="P64" s="11">
        <v>0.0</v>
      </c>
    </row>
    <row r="65">
      <c r="A65" s="8" t="s">
        <v>70</v>
      </c>
      <c r="B65" s="8" t="s">
        <v>107</v>
      </c>
      <c r="C65" s="9">
        <v>46126.99998842592</v>
      </c>
      <c r="E65" s="8" t="s">
        <v>130</v>
      </c>
      <c r="F65" s="8" t="s">
        <v>131</v>
      </c>
      <c r="G65" s="8" t="s">
        <v>22</v>
      </c>
      <c r="H65" s="8" t="s">
        <v>23</v>
      </c>
      <c r="I65" s="10">
        <v>2.4</v>
      </c>
      <c r="J65" s="10">
        <v>2.4</v>
      </c>
      <c r="K65" s="10">
        <v>0.0</v>
      </c>
      <c r="L65" s="11">
        <v>0.0</v>
      </c>
      <c r="M65" s="12">
        <v>0.0</v>
      </c>
      <c r="N65" s="12">
        <v>0.3</v>
      </c>
      <c r="O65" s="12">
        <v>0.0</v>
      </c>
      <c r="P65" s="11">
        <v>0.0</v>
      </c>
    </row>
    <row r="66">
      <c r="A66" s="8" t="s">
        <v>70</v>
      </c>
      <c r="B66" s="8" t="s">
        <v>107</v>
      </c>
      <c r="C66" s="9">
        <v>46126.99998842592</v>
      </c>
      <c r="E66" s="8" t="s">
        <v>132</v>
      </c>
      <c r="F66" s="8" t="s">
        <v>133</v>
      </c>
      <c r="G66" s="8" t="s">
        <v>40</v>
      </c>
      <c r="H66" s="8" t="s">
        <v>41</v>
      </c>
      <c r="I66" s="10">
        <v>50.0</v>
      </c>
      <c r="J66" s="10">
        <v>50.0</v>
      </c>
      <c r="K66" s="10">
        <v>0.0</v>
      </c>
      <c r="L66" s="11">
        <v>0.0</v>
      </c>
      <c r="M66" s="12">
        <v>0.0</v>
      </c>
      <c r="N66" s="12">
        <v>0.0</v>
      </c>
      <c r="O66" s="12">
        <v>0.0</v>
      </c>
      <c r="P66" s="11">
        <v>0.0</v>
      </c>
    </row>
    <row r="67">
      <c r="A67" s="8" t="s">
        <v>70</v>
      </c>
      <c r="B67" s="8" t="s">
        <v>107</v>
      </c>
      <c r="C67" s="9">
        <v>46126.99998842592</v>
      </c>
      <c r="E67" s="8" t="s">
        <v>134</v>
      </c>
      <c r="F67" s="8" t="s">
        <v>135</v>
      </c>
      <c r="G67" s="8" t="s">
        <v>22</v>
      </c>
      <c r="H67" s="8" t="s">
        <v>23</v>
      </c>
      <c r="I67" s="10">
        <v>2.77</v>
      </c>
      <c r="J67" s="10">
        <v>2.5</v>
      </c>
      <c r="K67" s="10">
        <v>-0.27</v>
      </c>
      <c r="L67" s="11">
        <v>-94500.0</v>
      </c>
      <c r="M67" s="12">
        <v>350000.0</v>
      </c>
      <c r="N67" s="12">
        <v>0.3</v>
      </c>
      <c r="O67" s="12">
        <v>0.0</v>
      </c>
      <c r="P67" s="11">
        <v>0.0</v>
      </c>
    </row>
    <row r="68">
      <c r="A68" s="8" t="s">
        <v>70</v>
      </c>
      <c r="B68" s="8" t="s">
        <v>136</v>
      </c>
      <c r="C68" s="9">
        <v>46126.99998842592</v>
      </c>
      <c r="D68" s="8" t="s">
        <v>137</v>
      </c>
      <c r="E68" s="8" t="s">
        <v>138</v>
      </c>
      <c r="F68" s="8" t="s">
        <v>139</v>
      </c>
      <c r="G68" s="8" t="s">
        <v>22</v>
      </c>
      <c r="H68" s="8" t="s">
        <v>23</v>
      </c>
      <c r="I68" s="10">
        <v>1.9</v>
      </c>
      <c r="J68" s="10">
        <v>1.9</v>
      </c>
      <c r="K68" s="10">
        <v>0.0</v>
      </c>
      <c r="L68" s="11">
        <v>0.0</v>
      </c>
      <c r="M68" s="12">
        <v>0.0</v>
      </c>
      <c r="N68" s="12">
        <v>0.3</v>
      </c>
      <c r="O68" s="12">
        <v>0.0</v>
      </c>
      <c r="P68" s="11">
        <v>0.0</v>
      </c>
    </row>
    <row r="69">
      <c r="A69" s="8" t="s">
        <v>70</v>
      </c>
      <c r="B69" s="8" t="s">
        <v>136</v>
      </c>
      <c r="C69" s="9">
        <v>46126.99998842592</v>
      </c>
      <c r="D69" s="8" t="s">
        <v>137</v>
      </c>
      <c r="E69" s="8" t="s">
        <v>140</v>
      </c>
      <c r="F69" s="8" t="s">
        <v>141</v>
      </c>
      <c r="G69" s="8" t="s">
        <v>22</v>
      </c>
      <c r="H69" s="8" t="s">
        <v>23</v>
      </c>
      <c r="I69" s="10">
        <v>1.18</v>
      </c>
      <c r="J69" s="10">
        <v>0.0</v>
      </c>
      <c r="K69" s="10">
        <v>-1.18</v>
      </c>
      <c r="L69" s="11">
        <v>-18048.0</v>
      </c>
      <c r="M69" s="12">
        <v>15294.92</v>
      </c>
      <c r="N69" s="12">
        <v>0.3</v>
      </c>
      <c r="O69" s="12">
        <v>0.8799999999999999</v>
      </c>
      <c r="P69" s="11">
        <v>13459.529599999998</v>
      </c>
    </row>
    <row r="70">
      <c r="A70" s="8" t="s">
        <v>70</v>
      </c>
      <c r="B70" s="8" t="s">
        <v>136</v>
      </c>
      <c r="C70" s="9">
        <v>46126.99998842592</v>
      </c>
      <c r="D70" s="8" t="s">
        <v>137</v>
      </c>
      <c r="E70" s="8" t="s">
        <v>142</v>
      </c>
      <c r="F70" s="8" t="s">
        <v>143</v>
      </c>
      <c r="G70" s="8" t="s">
        <v>144</v>
      </c>
      <c r="H70" s="8" t="s">
        <v>145</v>
      </c>
      <c r="I70" s="10">
        <v>3.0</v>
      </c>
      <c r="J70" s="10">
        <v>1.0</v>
      </c>
      <c r="K70" s="10">
        <v>-2.0</v>
      </c>
      <c r="L70" s="11">
        <v>-5953.0</v>
      </c>
      <c r="M70" s="12">
        <v>2976.5</v>
      </c>
      <c r="N70" s="12">
        <v>0.0</v>
      </c>
      <c r="O70" s="12">
        <v>2.0</v>
      </c>
      <c r="P70" s="11">
        <v>5953.0</v>
      </c>
    </row>
    <row r="71">
      <c r="A71" s="8" t="s">
        <v>70</v>
      </c>
      <c r="B71" s="8" t="s">
        <v>136</v>
      </c>
      <c r="C71" s="9">
        <v>46126.99998842592</v>
      </c>
      <c r="D71" s="8" t="s">
        <v>137</v>
      </c>
      <c r="E71" s="8" t="s">
        <v>146</v>
      </c>
      <c r="F71" s="8" t="s">
        <v>147</v>
      </c>
      <c r="G71" s="8" t="s">
        <v>22</v>
      </c>
      <c r="H71" s="8" t="s">
        <v>23</v>
      </c>
      <c r="I71" s="10">
        <v>2.0</v>
      </c>
      <c r="J71" s="10">
        <v>0.0</v>
      </c>
      <c r="K71" s="10">
        <v>-2.0</v>
      </c>
      <c r="L71" s="11">
        <v>-40000.0</v>
      </c>
      <c r="M71" s="12">
        <v>20000.0</v>
      </c>
      <c r="N71" s="12">
        <v>0.3</v>
      </c>
      <c r="O71" s="12">
        <v>1.7</v>
      </c>
      <c r="P71" s="11">
        <v>34000.0</v>
      </c>
    </row>
    <row r="72">
      <c r="A72" s="8" t="s">
        <v>70</v>
      </c>
      <c r="B72" s="8" t="s">
        <v>136</v>
      </c>
      <c r="C72" s="9">
        <v>46126.99998842592</v>
      </c>
      <c r="D72" s="8" t="s">
        <v>137</v>
      </c>
      <c r="E72" s="8" t="s">
        <v>148</v>
      </c>
      <c r="F72" s="8" t="s">
        <v>149</v>
      </c>
      <c r="G72" s="8" t="s">
        <v>112</v>
      </c>
      <c r="H72" s="8" t="s">
        <v>113</v>
      </c>
      <c r="I72" s="10">
        <v>3.375</v>
      </c>
      <c r="J72" s="10">
        <v>3.2</v>
      </c>
      <c r="K72" s="10">
        <v>-0.175</v>
      </c>
      <c r="L72" s="11">
        <v>-3718.0</v>
      </c>
      <c r="M72" s="12">
        <v>21245.71</v>
      </c>
      <c r="N72" s="12">
        <v>0.0</v>
      </c>
      <c r="O72" s="12">
        <v>0.175</v>
      </c>
      <c r="P72" s="11">
        <v>3717.9992499999994</v>
      </c>
    </row>
    <row r="73">
      <c r="A73" s="8" t="s">
        <v>70</v>
      </c>
      <c r="B73" s="8" t="s">
        <v>136</v>
      </c>
      <c r="C73" s="9">
        <v>46126.99998842592</v>
      </c>
      <c r="D73" s="8" t="s">
        <v>137</v>
      </c>
      <c r="E73" s="8" t="s">
        <v>150</v>
      </c>
      <c r="F73" s="8" t="s">
        <v>151</v>
      </c>
      <c r="G73" s="8" t="s">
        <v>22</v>
      </c>
      <c r="H73" s="8" t="s">
        <v>23</v>
      </c>
      <c r="I73" s="10">
        <v>3.3</v>
      </c>
      <c r="J73" s="10">
        <v>1.2</v>
      </c>
      <c r="K73" s="10">
        <v>-2.1</v>
      </c>
      <c r="L73" s="11">
        <v>-35861.0</v>
      </c>
      <c r="M73" s="12">
        <v>17076.67</v>
      </c>
      <c r="N73" s="12">
        <v>0.3</v>
      </c>
      <c r="O73" s="12">
        <v>1.8</v>
      </c>
      <c r="P73" s="11">
        <v>30738.005999999998</v>
      </c>
    </row>
    <row r="74">
      <c r="A74" s="8" t="s">
        <v>70</v>
      </c>
      <c r="B74" s="8" t="s">
        <v>136</v>
      </c>
      <c r="C74" s="9">
        <v>46126.99998842592</v>
      </c>
      <c r="D74" s="8" t="s">
        <v>137</v>
      </c>
      <c r="E74" s="8" t="s">
        <v>152</v>
      </c>
      <c r="F74" s="8" t="s">
        <v>153</v>
      </c>
      <c r="G74" s="8" t="s">
        <v>22</v>
      </c>
      <c r="H74" s="8" t="s">
        <v>23</v>
      </c>
      <c r="I74" s="10">
        <v>0.885</v>
      </c>
      <c r="J74" s="10">
        <v>0.6</v>
      </c>
      <c r="K74" s="10">
        <v>-0.285</v>
      </c>
      <c r="L74" s="11">
        <v>-4510.0</v>
      </c>
      <c r="M74" s="12">
        <v>15824.56</v>
      </c>
      <c r="N74" s="12">
        <v>0.3</v>
      </c>
      <c r="O74" s="12">
        <v>0.0</v>
      </c>
      <c r="P74" s="11">
        <v>0.0</v>
      </c>
    </row>
    <row r="75">
      <c r="A75" s="8" t="s">
        <v>70</v>
      </c>
      <c r="B75" s="8" t="s">
        <v>136</v>
      </c>
      <c r="C75" s="9">
        <v>46126.99998842592</v>
      </c>
      <c r="D75" s="8" t="s">
        <v>137</v>
      </c>
      <c r="E75" s="8" t="s">
        <v>154</v>
      </c>
      <c r="F75" s="8" t="s">
        <v>155</v>
      </c>
      <c r="G75" s="8" t="s">
        <v>156</v>
      </c>
      <c r="H75" s="8" t="s">
        <v>157</v>
      </c>
      <c r="I75" s="10">
        <v>-5.84</v>
      </c>
      <c r="J75" s="10">
        <v>0.0</v>
      </c>
      <c r="K75" s="10">
        <v>5.84</v>
      </c>
      <c r="L75" s="11">
        <v>34934.0</v>
      </c>
      <c r="M75" s="12">
        <v>5981.85</v>
      </c>
      <c r="N75" s="12">
        <v>0.3</v>
      </c>
      <c r="O75" s="12">
        <v>5.54</v>
      </c>
      <c r="P75" s="11">
        <v>33139.449</v>
      </c>
    </row>
    <row r="76">
      <c r="A76" s="8" t="s">
        <v>70</v>
      </c>
      <c r="B76" s="8" t="s">
        <v>136</v>
      </c>
      <c r="C76" s="9">
        <v>46126.99998842592</v>
      </c>
      <c r="D76" s="8" t="s">
        <v>137</v>
      </c>
      <c r="E76" s="8" t="s">
        <v>158</v>
      </c>
      <c r="F76" s="8" t="s">
        <v>159</v>
      </c>
      <c r="G76" s="8" t="s">
        <v>22</v>
      </c>
      <c r="H76" s="8" t="s">
        <v>23</v>
      </c>
      <c r="I76" s="10">
        <v>-2.365</v>
      </c>
      <c r="J76" s="10">
        <v>0.9</v>
      </c>
      <c r="K76" s="10">
        <v>3.265</v>
      </c>
      <c r="L76" s="11">
        <v>0.0</v>
      </c>
      <c r="M76" s="12">
        <v>0.0</v>
      </c>
      <c r="N76" s="12">
        <v>0.3</v>
      </c>
      <c r="O76" s="12">
        <v>2.9650000000000003</v>
      </c>
      <c r="P76" s="11">
        <v>0.0</v>
      </c>
    </row>
    <row r="77">
      <c r="A77" s="8" t="s">
        <v>70</v>
      </c>
      <c r="B77" s="8" t="s">
        <v>136</v>
      </c>
      <c r="C77" s="9">
        <v>46126.99998842592</v>
      </c>
      <c r="D77" s="8" t="s">
        <v>137</v>
      </c>
      <c r="E77" s="8" t="s">
        <v>160</v>
      </c>
      <c r="F77" s="8" t="s">
        <v>161</v>
      </c>
      <c r="G77" s="8" t="s">
        <v>156</v>
      </c>
      <c r="H77" s="8" t="s">
        <v>157</v>
      </c>
      <c r="I77" s="10">
        <v>-0.045</v>
      </c>
      <c r="J77" s="10">
        <v>2.0</v>
      </c>
      <c r="K77" s="10">
        <v>2.045</v>
      </c>
      <c r="L77" s="11">
        <v>25486.0</v>
      </c>
      <c r="M77" s="12">
        <v>12462.59</v>
      </c>
      <c r="N77" s="12">
        <v>0.3</v>
      </c>
      <c r="O77" s="12">
        <v>1.7449999999999999</v>
      </c>
      <c r="P77" s="11">
        <v>21747.219549999998</v>
      </c>
    </row>
    <row r="78">
      <c r="A78" s="8" t="s">
        <v>70</v>
      </c>
      <c r="B78" s="8" t="s">
        <v>136</v>
      </c>
      <c r="C78" s="9">
        <v>46126.99998842592</v>
      </c>
      <c r="D78" s="8" t="s">
        <v>137</v>
      </c>
      <c r="E78" s="8" t="s">
        <v>162</v>
      </c>
      <c r="F78" s="8" t="s">
        <v>163</v>
      </c>
      <c r="G78" s="8" t="s">
        <v>22</v>
      </c>
      <c r="H78" s="8" t="s">
        <v>23</v>
      </c>
      <c r="I78" s="10">
        <v>2.099692</v>
      </c>
      <c r="J78" s="10">
        <v>2.0</v>
      </c>
      <c r="K78" s="10">
        <v>-0.099692</v>
      </c>
      <c r="L78" s="11">
        <v>-17943.0</v>
      </c>
      <c r="M78" s="12">
        <v>179984.35</v>
      </c>
      <c r="N78" s="12">
        <v>0.3</v>
      </c>
      <c r="O78" s="12">
        <v>0.0</v>
      </c>
      <c r="P78" s="11">
        <v>0.0</v>
      </c>
    </row>
    <row r="79">
      <c r="A79" s="8" t="s">
        <v>70</v>
      </c>
      <c r="B79" s="8" t="s">
        <v>136</v>
      </c>
      <c r="C79" s="9">
        <v>46126.99998842592</v>
      </c>
      <c r="D79" s="8" t="s">
        <v>137</v>
      </c>
      <c r="E79" s="8" t="s">
        <v>164</v>
      </c>
      <c r="F79" s="8" t="s">
        <v>165</v>
      </c>
      <c r="G79" s="8" t="s">
        <v>22</v>
      </c>
      <c r="H79" s="8" t="s">
        <v>23</v>
      </c>
      <c r="I79" s="10">
        <v>1.3</v>
      </c>
      <c r="J79" s="10">
        <v>2.0</v>
      </c>
      <c r="K79" s="10">
        <v>0.7</v>
      </c>
      <c r="L79" s="11">
        <v>14000.0</v>
      </c>
      <c r="M79" s="12">
        <v>20000.0</v>
      </c>
      <c r="N79" s="12">
        <v>0.3</v>
      </c>
      <c r="O79" s="12">
        <v>0.39999999999999997</v>
      </c>
      <c r="P79" s="11">
        <v>7999.999999999999</v>
      </c>
    </row>
    <row r="80">
      <c r="A80" s="8" t="s">
        <v>70</v>
      </c>
      <c r="B80" s="8" t="s">
        <v>136</v>
      </c>
      <c r="C80" s="9">
        <v>46126.99998842592</v>
      </c>
      <c r="D80" s="8" t="s">
        <v>137</v>
      </c>
      <c r="E80" s="8" t="s">
        <v>166</v>
      </c>
      <c r="F80" s="8" t="s">
        <v>167</v>
      </c>
      <c r="G80" s="8" t="s">
        <v>22</v>
      </c>
      <c r="H80" s="8" t="s">
        <v>23</v>
      </c>
      <c r="I80" s="10">
        <v>1.02</v>
      </c>
      <c r="J80" s="10">
        <v>1.5</v>
      </c>
      <c r="K80" s="10">
        <v>0.48</v>
      </c>
      <c r="L80" s="11">
        <v>19120.0</v>
      </c>
      <c r="M80" s="12">
        <v>39833.33</v>
      </c>
      <c r="N80" s="12">
        <v>0.3</v>
      </c>
      <c r="O80" s="12">
        <v>0.18</v>
      </c>
      <c r="P80" s="11">
        <v>7169.9994</v>
      </c>
    </row>
    <row r="81">
      <c r="A81" s="8" t="s">
        <v>70</v>
      </c>
      <c r="B81" s="8" t="s">
        <v>136</v>
      </c>
      <c r="C81" s="9">
        <v>46126.99998842592</v>
      </c>
      <c r="D81" s="8" t="s">
        <v>137</v>
      </c>
      <c r="E81" s="8" t="s">
        <v>168</v>
      </c>
      <c r="F81" s="8" t="s">
        <v>169</v>
      </c>
      <c r="G81" s="8" t="s">
        <v>22</v>
      </c>
      <c r="H81" s="8" t="s">
        <v>23</v>
      </c>
      <c r="I81" s="10">
        <v>0.64</v>
      </c>
      <c r="J81" s="10">
        <v>1.5</v>
      </c>
      <c r="K81" s="10">
        <v>0.86</v>
      </c>
      <c r="L81" s="11">
        <v>34066.0</v>
      </c>
      <c r="M81" s="12">
        <v>39611.63</v>
      </c>
      <c r="N81" s="12">
        <v>0.3</v>
      </c>
      <c r="O81" s="12">
        <v>0.56</v>
      </c>
      <c r="P81" s="11">
        <v>22182.5128</v>
      </c>
    </row>
    <row r="82">
      <c r="A82" s="8" t="s">
        <v>70</v>
      </c>
      <c r="B82" s="8" t="s">
        <v>136</v>
      </c>
      <c r="C82" s="9">
        <v>46126.99998842592</v>
      </c>
      <c r="D82" s="8" t="s">
        <v>137</v>
      </c>
      <c r="E82" s="8" t="s">
        <v>170</v>
      </c>
      <c r="F82" s="8" t="s">
        <v>171</v>
      </c>
      <c r="G82" s="8" t="s">
        <v>22</v>
      </c>
      <c r="H82" s="8" t="s">
        <v>23</v>
      </c>
      <c r="I82" s="10">
        <v>0.435</v>
      </c>
      <c r="J82" s="10">
        <v>1.5</v>
      </c>
      <c r="K82" s="10">
        <v>1.065</v>
      </c>
      <c r="L82" s="11">
        <v>31172.0</v>
      </c>
      <c r="M82" s="12">
        <v>29269.48</v>
      </c>
      <c r="N82" s="12">
        <v>0.3</v>
      </c>
      <c r="O82" s="12">
        <v>0.7649999999999999</v>
      </c>
      <c r="P82" s="11">
        <v>22391.152199999997</v>
      </c>
    </row>
    <row r="83">
      <c r="A83" s="8" t="s">
        <v>70</v>
      </c>
      <c r="B83" s="8" t="s">
        <v>136</v>
      </c>
      <c r="C83" s="9">
        <v>46126.99998842592</v>
      </c>
      <c r="D83" s="8" t="s">
        <v>137</v>
      </c>
      <c r="E83" s="8" t="s">
        <v>172</v>
      </c>
      <c r="F83" s="8" t="s">
        <v>173</v>
      </c>
      <c r="G83" s="8" t="s">
        <v>22</v>
      </c>
      <c r="H83" s="8" t="s">
        <v>23</v>
      </c>
      <c r="I83" s="10">
        <v>-0.44</v>
      </c>
      <c r="J83" s="10">
        <v>0.0</v>
      </c>
      <c r="K83" s="10">
        <v>0.44</v>
      </c>
      <c r="L83" s="11">
        <v>0.0</v>
      </c>
      <c r="M83" s="12">
        <v>0.0</v>
      </c>
      <c r="N83" s="12">
        <v>0.3</v>
      </c>
      <c r="O83" s="12">
        <v>0.14</v>
      </c>
      <c r="P83" s="11">
        <v>0.0</v>
      </c>
    </row>
    <row r="84">
      <c r="A84" s="8" t="s">
        <v>70</v>
      </c>
      <c r="B84" s="8" t="s">
        <v>136</v>
      </c>
      <c r="C84" s="9">
        <v>46126.99998842592</v>
      </c>
      <c r="D84" s="8" t="s">
        <v>137</v>
      </c>
      <c r="E84" s="8" t="s">
        <v>174</v>
      </c>
      <c r="F84" s="8" t="s">
        <v>175</v>
      </c>
      <c r="G84" s="8" t="s">
        <v>22</v>
      </c>
      <c r="H84" s="8" t="s">
        <v>23</v>
      </c>
      <c r="I84" s="10">
        <v>1.2</v>
      </c>
      <c r="J84" s="10">
        <v>1.2</v>
      </c>
      <c r="K84" s="10">
        <v>0.0</v>
      </c>
      <c r="L84" s="11">
        <v>0.0</v>
      </c>
      <c r="M84" s="12">
        <v>0.0</v>
      </c>
      <c r="N84" s="12">
        <v>0.3</v>
      </c>
      <c r="O84" s="12">
        <v>0.0</v>
      </c>
      <c r="P84" s="11">
        <v>0.0</v>
      </c>
    </row>
    <row r="85">
      <c r="A85" s="8" t="s">
        <v>70</v>
      </c>
      <c r="B85" s="8" t="s">
        <v>136</v>
      </c>
      <c r="C85" s="9">
        <v>46126.99998842592</v>
      </c>
      <c r="D85" s="8" t="s">
        <v>137</v>
      </c>
      <c r="E85" s="8" t="s">
        <v>176</v>
      </c>
      <c r="F85" s="8" t="s">
        <v>177</v>
      </c>
      <c r="G85" s="8" t="s">
        <v>22</v>
      </c>
      <c r="H85" s="8" t="s">
        <v>23</v>
      </c>
      <c r="I85" s="10">
        <v>0.92</v>
      </c>
      <c r="J85" s="10">
        <v>2.2</v>
      </c>
      <c r="K85" s="10">
        <v>1.28</v>
      </c>
      <c r="L85" s="11">
        <v>47341.0</v>
      </c>
      <c r="M85" s="12">
        <v>36985.16</v>
      </c>
      <c r="N85" s="12">
        <v>0.3</v>
      </c>
      <c r="O85" s="12">
        <v>0.98</v>
      </c>
      <c r="P85" s="11">
        <v>36245.4568</v>
      </c>
    </row>
    <row r="86">
      <c r="A86" s="8" t="s">
        <v>70</v>
      </c>
      <c r="B86" s="8" t="s">
        <v>136</v>
      </c>
      <c r="C86" s="9">
        <v>46126.99998842592</v>
      </c>
      <c r="D86" s="8" t="s">
        <v>137</v>
      </c>
      <c r="E86" s="8" t="s">
        <v>178</v>
      </c>
      <c r="F86" s="8" t="s">
        <v>179</v>
      </c>
      <c r="G86" s="8" t="s">
        <v>22</v>
      </c>
      <c r="H86" s="8" t="s">
        <v>23</v>
      </c>
      <c r="I86" s="10">
        <v>1.224</v>
      </c>
      <c r="J86" s="10">
        <v>1.7</v>
      </c>
      <c r="K86" s="10">
        <v>0.476</v>
      </c>
      <c r="L86" s="11">
        <v>5874.0</v>
      </c>
      <c r="M86" s="12">
        <v>12340.34</v>
      </c>
      <c r="N86" s="12">
        <v>0.3</v>
      </c>
      <c r="O86" s="12">
        <v>0.176</v>
      </c>
      <c r="P86" s="11">
        <v>2171.89984</v>
      </c>
    </row>
    <row r="87">
      <c r="A87" s="8" t="s">
        <v>70</v>
      </c>
      <c r="B87" s="8" t="s">
        <v>136</v>
      </c>
      <c r="C87" s="9">
        <v>46126.99998842592</v>
      </c>
      <c r="D87" s="8" t="s">
        <v>137</v>
      </c>
      <c r="E87" s="8" t="s">
        <v>180</v>
      </c>
      <c r="F87" s="8" t="s">
        <v>181</v>
      </c>
      <c r="G87" s="8" t="s">
        <v>22</v>
      </c>
      <c r="H87" s="8" t="s">
        <v>23</v>
      </c>
      <c r="I87" s="10">
        <v>1.42</v>
      </c>
      <c r="J87" s="10">
        <v>2.5</v>
      </c>
      <c r="K87" s="10">
        <v>1.08</v>
      </c>
      <c r="L87" s="11">
        <v>22077.0</v>
      </c>
      <c r="M87" s="12">
        <v>20441.67</v>
      </c>
      <c r="N87" s="12">
        <v>0.3</v>
      </c>
      <c r="O87" s="12">
        <v>0.78</v>
      </c>
      <c r="P87" s="11">
        <v>15944.5026</v>
      </c>
    </row>
    <row r="88">
      <c r="A88" s="8" t="s">
        <v>70</v>
      </c>
      <c r="B88" s="8" t="s">
        <v>136</v>
      </c>
      <c r="C88" s="9">
        <v>46126.99998842592</v>
      </c>
      <c r="D88" s="8" t="s">
        <v>137</v>
      </c>
      <c r="E88" s="8" t="s">
        <v>182</v>
      </c>
      <c r="F88" s="8" t="s">
        <v>183</v>
      </c>
      <c r="G88" s="8" t="s">
        <v>22</v>
      </c>
      <c r="H88" s="8" t="s">
        <v>23</v>
      </c>
      <c r="I88" s="10">
        <v>-0.35</v>
      </c>
      <c r="J88" s="10">
        <v>2.8</v>
      </c>
      <c r="K88" s="10">
        <v>3.15</v>
      </c>
      <c r="L88" s="11">
        <v>88739.0</v>
      </c>
      <c r="M88" s="12">
        <v>28171.11</v>
      </c>
      <c r="N88" s="12">
        <v>0.3</v>
      </c>
      <c r="O88" s="12">
        <v>2.85</v>
      </c>
      <c r="P88" s="11">
        <v>80287.66350000001</v>
      </c>
    </row>
    <row r="89">
      <c r="A89" s="8" t="s">
        <v>70</v>
      </c>
      <c r="B89" s="8" t="s">
        <v>136</v>
      </c>
      <c r="C89" s="9">
        <v>46126.99998842592</v>
      </c>
      <c r="D89" s="8" t="s">
        <v>137</v>
      </c>
      <c r="E89" s="8" t="s">
        <v>184</v>
      </c>
      <c r="F89" s="8" t="s">
        <v>185</v>
      </c>
      <c r="G89" s="8" t="s">
        <v>22</v>
      </c>
      <c r="H89" s="8" t="s">
        <v>23</v>
      </c>
      <c r="I89" s="10">
        <v>2.62</v>
      </c>
      <c r="J89" s="10">
        <v>2.3</v>
      </c>
      <c r="K89" s="10">
        <v>-0.32</v>
      </c>
      <c r="L89" s="11">
        <v>-11026.0</v>
      </c>
      <c r="M89" s="12">
        <v>34456.25</v>
      </c>
      <c r="N89" s="12">
        <v>0.3</v>
      </c>
      <c r="O89" s="12">
        <v>0.020000000000000018</v>
      </c>
      <c r="P89" s="11">
        <v>689.1250000000006</v>
      </c>
    </row>
    <row r="90">
      <c r="A90" s="8" t="s">
        <v>70</v>
      </c>
      <c r="B90" s="8" t="s">
        <v>136</v>
      </c>
      <c r="C90" s="9">
        <v>46126.99998842592</v>
      </c>
      <c r="D90" s="8" t="s">
        <v>137</v>
      </c>
      <c r="E90" s="8" t="s">
        <v>186</v>
      </c>
      <c r="F90" s="8" t="s">
        <v>187</v>
      </c>
      <c r="G90" s="8" t="s">
        <v>22</v>
      </c>
      <c r="H90" s="8" t="s">
        <v>23</v>
      </c>
      <c r="I90" s="10">
        <v>1.436</v>
      </c>
      <c r="J90" s="10">
        <v>1.2</v>
      </c>
      <c r="K90" s="10">
        <v>-0.236</v>
      </c>
      <c r="L90" s="11">
        <v>-3491.0</v>
      </c>
      <c r="M90" s="12">
        <v>14792.37</v>
      </c>
      <c r="N90" s="12">
        <v>0.3</v>
      </c>
      <c r="O90" s="12">
        <v>0.0</v>
      </c>
      <c r="P90" s="11">
        <v>0.0</v>
      </c>
    </row>
    <row r="91">
      <c r="A91" s="8" t="s">
        <v>188</v>
      </c>
      <c r="B91" s="8" t="s">
        <v>189</v>
      </c>
      <c r="C91" s="9">
        <v>46126.99998842592</v>
      </c>
      <c r="D91" s="8" t="s">
        <v>190</v>
      </c>
      <c r="E91" s="8" t="s">
        <v>142</v>
      </c>
      <c r="F91" s="8" t="s">
        <v>143</v>
      </c>
      <c r="G91" s="8" t="s">
        <v>144</v>
      </c>
      <c r="H91" s="8" t="s">
        <v>145</v>
      </c>
      <c r="I91" s="10">
        <v>15.0</v>
      </c>
      <c r="J91" s="10">
        <v>16.0</v>
      </c>
      <c r="K91" s="10">
        <v>1.0</v>
      </c>
      <c r="L91" s="11">
        <v>3000.0</v>
      </c>
      <c r="M91" s="12">
        <v>3000.0</v>
      </c>
      <c r="N91" s="12">
        <v>0.0</v>
      </c>
      <c r="O91" s="12">
        <v>1.0</v>
      </c>
      <c r="P91" s="11">
        <v>3000.0</v>
      </c>
    </row>
    <row r="92">
      <c r="A92" s="8" t="s">
        <v>188</v>
      </c>
      <c r="B92" s="8" t="s">
        <v>189</v>
      </c>
      <c r="C92" s="9">
        <v>46126.99998842592</v>
      </c>
      <c r="D92" s="8" t="s">
        <v>190</v>
      </c>
      <c r="E92" s="8" t="s">
        <v>116</v>
      </c>
      <c r="F92" s="8" t="s">
        <v>117</v>
      </c>
      <c r="G92" s="8" t="s">
        <v>22</v>
      </c>
      <c r="H92" s="8" t="s">
        <v>23</v>
      </c>
      <c r="I92" s="10">
        <v>3.25</v>
      </c>
      <c r="J92" s="10">
        <v>3.5</v>
      </c>
      <c r="K92" s="10">
        <v>0.25</v>
      </c>
      <c r="L92" s="11">
        <v>157500.0</v>
      </c>
      <c r="M92" s="12">
        <v>630000.0</v>
      </c>
      <c r="N92" s="12">
        <v>0.3</v>
      </c>
      <c r="O92" s="12">
        <v>0.0</v>
      </c>
      <c r="P92" s="11">
        <v>0.0</v>
      </c>
    </row>
    <row r="93">
      <c r="A93" s="8" t="s">
        <v>188</v>
      </c>
      <c r="B93" s="8" t="s">
        <v>189</v>
      </c>
      <c r="C93" s="9">
        <v>46126.99998842592</v>
      </c>
      <c r="D93" s="8" t="s">
        <v>190</v>
      </c>
      <c r="E93" s="8" t="s">
        <v>140</v>
      </c>
      <c r="F93" s="8" t="s">
        <v>141</v>
      </c>
      <c r="G93" s="8" t="s">
        <v>22</v>
      </c>
      <c r="H93" s="8" t="s">
        <v>23</v>
      </c>
      <c r="I93" s="10">
        <v>3.29</v>
      </c>
      <c r="J93" s="10">
        <v>2.9</v>
      </c>
      <c r="K93" s="10">
        <v>-0.39</v>
      </c>
      <c r="L93" s="11">
        <v>-6017.0</v>
      </c>
      <c r="M93" s="12">
        <v>15428.21</v>
      </c>
      <c r="N93" s="12">
        <v>0.3</v>
      </c>
      <c r="O93" s="12">
        <v>0.09000000000000002</v>
      </c>
      <c r="P93" s="11">
        <v>1388.5389000000002</v>
      </c>
    </row>
    <row r="94">
      <c r="A94" s="8" t="s">
        <v>188</v>
      </c>
      <c r="B94" s="8" t="s">
        <v>189</v>
      </c>
      <c r="C94" s="9">
        <v>46126.99998842592</v>
      </c>
      <c r="D94" s="8" t="s">
        <v>190</v>
      </c>
      <c r="E94" s="8" t="s">
        <v>64</v>
      </c>
      <c r="F94" s="8" t="s">
        <v>65</v>
      </c>
      <c r="G94" s="8" t="s">
        <v>22</v>
      </c>
      <c r="H94" s="8" t="s">
        <v>23</v>
      </c>
      <c r="I94" s="10">
        <v>0.4</v>
      </c>
      <c r="J94" s="10">
        <v>0.35</v>
      </c>
      <c r="K94" s="10">
        <v>-0.05</v>
      </c>
      <c r="L94" s="11">
        <v>-20156.0</v>
      </c>
      <c r="M94" s="12">
        <v>403120.0</v>
      </c>
      <c r="N94" s="12">
        <v>0.3</v>
      </c>
      <c r="O94" s="12">
        <v>0.0</v>
      </c>
      <c r="P94" s="11">
        <v>0.0</v>
      </c>
    </row>
    <row r="95">
      <c r="A95" s="8" t="s">
        <v>188</v>
      </c>
      <c r="B95" s="8" t="s">
        <v>189</v>
      </c>
      <c r="C95" s="9">
        <v>46126.99998842592</v>
      </c>
      <c r="D95" s="8" t="s">
        <v>190</v>
      </c>
      <c r="E95" s="8" t="s">
        <v>138</v>
      </c>
      <c r="F95" s="8" t="s">
        <v>139</v>
      </c>
      <c r="G95" s="8" t="s">
        <v>22</v>
      </c>
      <c r="H95" s="8" t="s">
        <v>23</v>
      </c>
      <c r="I95" s="10">
        <v>0.0</v>
      </c>
      <c r="J95" s="10">
        <v>0.0</v>
      </c>
      <c r="K95" s="10">
        <v>0.0</v>
      </c>
      <c r="L95" s="11">
        <v>0.0</v>
      </c>
      <c r="M95" s="12">
        <v>0.0</v>
      </c>
      <c r="N95" s="12">
        <v>0.3</v>
      </c>
      <c r="O95" s="12">
        <v>0.0</v>
      </c>
      <c r="P95" s="11">
        <v>0.0</v>
      </c>
    </row>
    <row r="96">
      <c r="A96" s="8" t="s">
        <v>188</v>
      </c>
      <c r="B96" s="8" t="s">
        <v>189</v>
      </c>
      <c r="C96" s="9">
        <v>46126.99998842592</v>
      </c>
      <c r="D96" s="8" t="s">
        <v>190</v>
      </c>
      <c r="E96" s="8" t="s">
        <v>148</v>
      </c>
      <c r="F96" s="8" t="s">
        <v>149</v>
      </c>
      <c r="G96" s="8" t="s">
        <v>156</v>
      </c>
      <c r="H96" s="8" t="s">
        <v>157</v>
      </c>
      <c r="I96" s="10">
        <v>0.91</v>
      </c>
      <c r="J96" s="10">
        <v>0.85</v>
      </c>
      <c r="K96" s="10">
        <v>-0.06</v>
      </c>
      <c r="L96" s="11">
        <v>-3977.0</v>
      </c>
      <c r="M96" s="12">
        <v>66283.33</v>
      </c>
      <c r="N96" s="12">
        <v>0.3</v>
      </c>
      <c r="O96" s="12">
        <v>0.0</v>
      </c>
      <c r="P96" s="11">
        <v>0.0</v>
      </c>
    </row>
    <row r="97">
      <c r="A97" s="8" t="s">
        <v>188</v>
      </c>
      <c r="B97" s="8" t="s">
        <v>189</v>
      </c>
      <c r="C97" s="9">
        <v>46126.99998842592</v>
      </c>
      <c r="D97" s="8" t="s">
        <v>190</v>
      </c>
      <c r="E97" s="8" t="s">
        <v>191</v>
      </c>
      <c r="F97" s="8" t="s">
        <v>192</v>
      </c>
      <c r="G97" s="8" t="s">
        <v>156</v>
      </c>
      <c r="H97" s="8" t="s">
        <v>157</v>
      </c>
      <c r="I97" s="10">
        <v>-3.5</v>
      </c>
      <c r="J97" s="10">
        <v>0.0</v>
      </c>
      <c r="K97" s="10">
        <v>3.5</v>
      </c>
      <c r="L97" s="11">
        <v>177178.0</v>
      </c>
      <c r="M97" s="12">
        <v>50622.29</v>
      </c>
      <c r="N97" s="12">
        <v>0.3</v>
      </c>
      <c r="O97" s="12">
        <v>3.2</v>
      </c>
      <c r="P97" s="11">
        <v>161991.328</v>
      </c>
    </row>
    <row r="98">
      <c r="A98" s="8" t="s">
        <v>188</v>
      </c>
      <c r="B98" s="8" t="s">
        <v>189</v>
      </c>
      <c r="C98" s="9">
        <v>46126.99998842592</v>
      </c>
      <c r="D98" s="8" t="s">
        <v>190</v>
      </c>
      <c r="E98" s="8" t="s">
        <v>62</v>
      </c>
      <c r="F98" s="8" t="s">
        <v>63</v>
      </c>
      <c r="G98" s="8" t="s">
        <v>40</v>
      </c>
      <c r="H98" s="8" t="s">
        <v>41</v>
      </c>
      <c r="I98" s="10">
        <v>0.0</v>
      </c>
      <c r="J98" s="10">
        <v>0.0</v>
      </c>
      <c r="K98" s="10">
        <v>0.0</v>
      </c>
      <c r="L98" s="11">
        <v>0.0</v>
      </c>
      <c r="M98" s="12">
        <v>0.0</v>
      </c>
      <c r="N98" s="12">
        <v>0.0</v>
      </c>
      <c r="O98" s="12">
        <v>0.0</v>
      </c>
      <c r="P98" s="11">
        <v>0.0</v>
      </c>
    </row>
    <row r="99">
      <c r="A99" s="8" t="s">
        <v>188</v>
      </c>
      <c r="B99" s="8" t="s">
        <v>189</v>
      </c>
      <c r="C99" s="9">
        <v>46126.99998842592</v>
      </c>
      <c r="D99" s="8" t="s">
        <v>190</v>
      </c>
      <c r="E99" s="8" t="s">
        <v>193</v>
      </c>
      <c r="F99" s="8" t="s">
        <v>194</v>
      </c>
      <c r="G99" s="8" t="s">
        <v>22</v>
      </c>
      <c r="H99" s="8" t="s">
        <v>23</v>
      </c>
      <c r="I99" s="10">
        <v>0.0</v>
      </c>
      <c r="J99" s="10">
        <v>0.0</v>
      </c>
      <c r="K99" s="10">
        <v>0.0</v>
      </c>
      <c r="L99" s="11">
        <v>0.0</v>
      </c>
      <c r="M99" s="12">
        <v>0.0</v>
      </c>
      <c r="N99" s="12">
        <v>0.3</v>
      </c>
      <c r="O99" s="12">
        <v>0.0</v>
      </c>
      <c r="P99" s="11">
        <v>0.0</v>
      </c>
    </row>
    <row r="100">
      <c r="A100" s="8" t="s">
        <v>188</v>
      </c>
      <c r="B100" s="8" t="s">
        <v>189</v>
      </c>
      <c r="C100" s="9">
        <v>46126.99998842592</v>
      </c>
      <c r="D100" s="8" t="s">
        <v>190</v>
      </c>
      <c r="E100" s="8" t="s">
        <v>195</v>
      </c>
      <c r="F100" s="8" t="s">
        <v>196</v>
      </c>
      <c r="G100" s="8" t="s">
        <v>22</v>
      </c>
      <c r="H100" s="8" t="s">
        <v>23</v>
      </c>
      <c r="I100" s="10">
        <v>0.0</v>
      </c>
      <c r="J100" s="10">
        <v>0.0</v>
      </c>
      <c r="K100" s="10">
        <v>0.0</v>
      </c>
      <c r="L100" s="11">
        <v>0.0</v>
      </c>
      <c r="M100" s="12">
        <v>0.0</v>
      </c>
      <c r="N100" s="12">
        <v>0.3</v>
      </c>
      <c r="O100" s="12">
        <v>0.0</v>
      </c>
      <c r="P100" s="11">
        <v>0.0</v>
      </c>
    </row>
    <row r="101">
      <c r="A101" s="8" t="s">
        <v>188</v>
      </c>
      <c r="B101" s="8" t="s">
        <v>189</v>
      </c>
      <c r="C101" s="9">
        <v>46126.99998842592</v>
      </c>
      <c r="D101" s="8" t="s">
        <v>190</v>
      </c>
      <c r="E101" s="8" t="s">
        <v>58</v>
      </c>
      <c r="F101" s="8" t="s">
        <v>59</v>
      </c>
      <c r="G101" s="8" t="s">
        <v>112</v>
      </c>
      <c r="H101" s="8" t="s">
        <v>113</v>
      </c>
      <c r="I101" s="10">
        <v>1.2</v>
      </c>
      <c r="J101" s="10">
        <v>1.2</v>
      </c>
      <c r="K101" s="10">
        <v>0.0</v>
      </c>
      <c r="L101" s="11">
        <v>0.0</v>
      </c>
      <c r="M101" s="12">
        <v>0.0</v>
      </c>
      <c r="N101" s="12">
        <v>0.0</v>
      </c>
      <c r="O101" s="12">
        <v>0.0</v>
      </c>
      <c r="P101" s="11">
        <v>0.0</v>
      </c>
    </row>
    <row r="102">
      <c r="A102" s="8" t="s">
        <v>188</v>
      </c>
      <c r="B102" s="8" t="s">
        <v>189</v>
      </c>
      <c r="C102" s="9">
        <v>46126.99998842592</v>
      </c>
      <c r="D102" s="8" t="s">
        <v>190</v>
      </c>
      <c r="E102" s="8" t="s">
        <v>197</v>
      </c>
      <c r="F102" s="8" t="s">
        <v>198</v>
      </c>
      <c r="G102" s="8" t="s">
        <v>22</v>
      </c>
      <c r="H102" s="8" t="s">
        <v>23</v>
      </c>
      <c r="I102" s="10">
        <v>0.0</v>
      </c>
      <c r="J102" s="10">
        <v>0.0</v>
      </c>
      <c r="K102" s="10">
        <v>0.0</v>
      </c>
      <c r="L102" s="11">
        <v>0.0</v>
      </c>
      <c r="M102" s="12">
        <v>0.0</v>
      </c>
      <c r="N102" s="12">
        <v>0.3</v>
      </c>
      <c r="O102" s="12">
        <v>0.0</v>
      </c>
      <c r="P102" s="11">
        <v>0.0</v>
      </c>
    </row>
    <row r="103">
      <c r="A103" s="8" t="s">
        <v>188</v>
      </c>
      <c r="B103" s="8" t="s">
        <v>189</v>
      </c>
      <c r="C103" s="9">
        <v>46126.99998842592</v>
      </c>
      <c r="D103" s="8" t="s">
        <v>190</v>
      </c>
      <c r="E103" s="8" t="s">
        <v>56</v>
      </c>
      <c r="F103" s="8" t="s">
        <v>57</v>
      </c>
      <c r="G103" s="8" t="s">
        <v>22</v>
      </c>
      <c r="H103" s="8" t="s">
        <v>23</v>
      </c>
      <c r="I103" s="10">
        <v>0.8</v>
      </c>
      <c r="J103" s="10">
        <v>0.8</v>
      </c>
      <c r="K103" s="10">
        <v>0.0</v>
      </c>
      <c r="L103" s="11">
        <v>0.0</v>
      </c>
      <c r="M103" s="12">
        <v>0.0</v>
      </c>
      <c r="N103" s="12">
        <v>0.3</v>
      </c>
      <c r="O103" s="12">
        <v>0.0</v>
      </c>
      <c r="P103" s="11">
        <v>0.0</v>
      </c>
    </row>
    <row r="104">
      <c r="A104" s="8" t="s">
        <v>188</v>
      </c>
      <c r="B104" s="8" t="s">
        <v>189</v>
      </c>
      <c r="C104" s="9">
        <v>46126.99998842592</v>
      </c>
      <c r="D104" s="8" t="s">
        <v>190</v>
      </c>
      <c r="E104" s="8" t="s">
        <v>54</v>
      </c>
      <c r="F104" s="8" t="s">
        <v>55</v>
      </c>
      <c r="G104" s="8" t="s">
        <v>22</v>
      </c>
      <c r="H104" s="8" t="s">
        <v>23</v>
      </c>
      <c r="I104" s="10">
        <v>1.18</v>
      </c>
      <c r="J104" s="10">
        <v>1.2</v>
      </c>
      <c r="K104" s="10">
        <v>0.02</v>
      </c>
      <c r="L104" s="11">
        <v>2923.0</v>
      </c>
      <c r="M104" s="12">
        <v>146150.0</v>
      </c>
      <c r="N104" s="12">
        <v>0.3</v>
      </c>
      <c r="O104" s="12">
        <v>0.0</v>
      </c>
      <c r="P104" s="11">
        <v>0.0</v>
      </c>
    </row>
    <row r="105">
      <c r="A105" s="8" t="s">
        <v>188</v>
      </c>
      <c r="B105" s="8" t="s">
        <v>189</v>
      </c>
      <c r="C105" s="9">
        <v>46126.99998842592</v>
      </c>
      <c r="D105" s="8" t="s">
        <v>190</v>
      </c>
      <c r="E105" s="8" t="s">
        <v>150</v>
      </c>
      <c r="F105" s="8" t="s">
        <v>151</v>
      </c>
      <c r="G105" s="8" t="s">
        <v>22</v>
      </c>
      <c r="H105" s="8" t="s">
        <v>23</v>
      </c>
      <c r="I105" s="10">
        <v>2.0</v>
      </c>
      <c r="J105" s="10">
        <v>0.7</v>
      </c>
      <c r="K105" s="10">
        <v>-1.3</v>
      </c>
      <c r="L105" s="11">
        <v>-22531.0</v>
      </c>
      <c r="M105" s="12">
        <v>17331.54</v>
      </c>
      <c r="N105" s="12">
        <v>0.3</v>
      </c>
      <c r="O105" s="12">
        <v>1.0</v>
      </c>
      <c r="P105" s="11">
        <v>17331.54</v>
      </c>
    </row>
    <row r="106">
      <c r="A106" s="8" t="s">
        <v>188</v>
      </c>
      <c r="B106" s="8" t="s">
        <v>189</v>
      </c>
      <c r="C106" s="9">
        <v>46126.99998842592</v>
      </c>
      <c r="D106" s="8" t="s">
        <v>190</v>
      </c>
      <c r="E106" s="8" t="s">
        <v>110</v>
      </c>
      <c r="F106" s="8" t="s">
        <v>111</v>
      </c>
      <c r="G106" s="8" t="s">
        <v>22</v>
      </c>
      <c r="H106" s="8" t="s">
        <v>23</v>
      </c>
      <c r="I106" s="10">
        <v>0.2</v>
      </c>
      <c r="J106" s="10">
        <v>0.4</v>
      </c>
      <c r="K106" s="10">
        <v>0.2</v>
      </c>
      <c r="L106" s="11">
        <v>6000.0</v>
      </c>
      <c r="M106" s="12">
        <v>30000.0</v>
      </c>
      <c r="N106" s="12">
        <v>0.3</v>
      </c>
      <c r="O106" s="12">
        <v>0.0</v>
      </c>
      <c r="P106" s="11">
        <v>0.0</v>
      </c>
    </row>
    <row r="107">
      <c r="A107" s="8" t="s">
        <v>188</v>
      </c>
      <c r="B107" s="8" t="s">
        <v>189</v>
      </c>
      <c r="C107" s="9">
        <v>46126.99998842592</v>
      </c>
      <c r="D107" s="8" t="s">
        <v>190</v>
      </c>
      <c r="E107" s="8" t="s">
        <v>158</v>
      </c>
      <c r="F107" s="8" t="s">
        <v>159</v>
      </c>
      <c r="G107" s="8" t="s">
        <v>22</v>
      </c>
      <c r="H107" s="8" t="s">
        <v>23</v>
      </c>
      <c r="I107" s="10">
        <v>-0.44</v>
      </c>
      <c r="J107" s="10">
        <v>0.65</v>
      </c>
      <c r="K107" s="10">
        <v>1.09</v>
      </c>
      <c r="L107" s="11">
        <v>147118.0</v>
      </c>
      <c r="M107" s="12">
        <v>134970.64</v>
      </c>
      <c r="N107" s="12">
        <v>0.3</v>
      </c>
      <c r="O107" s="12">
        <v>0.79</v>
      </c>
      <c r="P107" s="11">
        <v>106626.80560000002</v>
      </c>
    </row>
    <row r="108">
      <c r="A108" s="8" t="s">
        <v>188</v>
      </c>
      <c r="B108" s="8" t="s">
        <v>189</v>
      </c>
      <c r="C108" s="9">
        <v>46126.99998842592</v>
      </c>
      <c r="D108" s="8" t="s">
        <v>190</v>
      </c>
      <c r="E108" s="8" t="s">
        <v>108</v>
      </c>
      <c r="F108" s="8" t="s">
        <v>109</v>
      </c>
      <c r="G108" s="8" t="s">
        <v>22</v>
      </c>
      <c r="H108" s="8" t="s">
        <v>23</v>
      </c>
      <c r="I108" s="10">
        <v>0.0</v>
      </c>
      <c r="J108" s="10">
        <v>0.0</v>
      </c>
      <c r="K108" s="10">
        <v>0.0</v>
      </c>
      <c r="L108" s="11">
        <v>0.0</v>
      </c>
      <c r="M108" s="12">
        <v>0.0</v>
      </c>
      <c r="N108" s="12">
        <v>0.3</v>
      </c>
      <c r="O108" s="12">
        <v>0.0</v>
      </c>
      <c r="P108" s="11">
        <v>0.0</v>
      </c>
    </row>
    <row r="109">
      <c r="A109" s="8" t="s">
        <v>188</v>
      </c>
      <c r="B109" s="8" t="s">
        <v>189</v>
      </c>
      <c r="C109" s="9">
        <v>46126.99998842592</v>
      </c>
      <c r="D109" s="8" t="s">
        <v>190</v>
      </c>
      <c r="E109" s="8" t="s">
        <v>199</v>
      </c>
      <c r="F109" s="8" t="s">
        <v>200</v>
      </c>
      <c r="G109" s="8" t="s">
        <v>22</v>
      </c>
      <c r="H109" s="8" t="s">
        <v>23</v>
      </c>
      <c r="I109" s="10">
        <v>2.18</v>
      </c>
      <c r="J109" s="10">
        <v>2.15</v>
      </c>
      <c r="K109" s="10">
        <v>-0.03</v>
      </c>
      <c r="L109" s="11">
        <v>-2850.0</v>
      </c>
      <c r="M109" s="12">
        <v>95000.0</v>
      </c>
      <c r="N109" s="12">
        <v>0.3</v>
      </c>
      <c r="O109" s="12">
        <v>0.0</v>
      </c>
      <c r="P109" s="11">
        <v>0.0</v>
      </c>
    </row>
    <row r="110">
      <c r="A110" s="8" t="s">
        <v>188</v>
      </c>
      <c r="B110" s="8" t="s">
        <v>189</v>
      </c>
      <c r="C110" s="9">
        <v>46126.99998842592</v>
      </c>
      <c r="D110" s="8" t="s">
        <v>190</v>
      </c>
      <c r="E110" s="8" t="s">
        <v>114</v>
      </c>
      <c r="F110" s="8" t="s">
        <v>115</v>
      </c>
      <c r="G110" s="8" t="s">
        <v>22</v>
      </c>
      <c r="H110" s="8" t="s">
        <v>23</v>
      </c>
      <c r="I110" s="10">
        <v>0.0</v>
      </c>
      <c r="J110" s="10">
        <v>0.0</v>
      </c>
      <c r="K110" s="10">
        <v>0.0</v>
      </c>
      <c r="L110" s="11">
        <v>0.0</v>
      </c>
      <c r="M110" s="12">
        <v>0.0</v>
      </c>
      <c r="N110" s="12">
        <v>0.3</v>
      </c>
      <c r="O110" s="12">
        <v>0.0</v>
      </c>
      <c r="P110" s="11">
        <v>0.0</v>
      </c>
    </row>
    <row r="111">
      <c r="A111" s="8" t="s">
        <v>188</v>
      </c>
      <c r="B111" s="8" t="s">
        <v>189</v>
      </c>
      <c r="C111" s="9">
        <v>46126.99998842592</v>
      </c>
      <c r="D111" s="8" t="s">
        <v>190</v>
      </c>
      <c r="E111" s="8" t="s">
        <v>152</v>
      </c>
      <c r="F111" s="8" t="s">
        <v>153</v>
      </c>
      <c r="G111" s="8" t="s">
        <v>22</v>
      </c>
      <c r="H111" s="8" t="s">
        <v>23</v>
      </c>
      <c r="I111" s="10">
        <v>0.875</v>
      </c>
      <c r="J111" s="10">
        <v>2.45</v>
      </c>
      <c r="K111" s="10">
        <v>1.575</v>
      </c>
      <c r="L111" s="11">
        <v>23543.0</v>
      </c>
      <c r="M111" s="12">
        <v>14947.94</v>
      </c>
      <c r="N111" s="12">
        <v>0.3</v>
      </c>
      <c r="O111" s="12">
        <v>1.275</v>
      </c>
      <c r="P111" s="11">
        <v>19058.623499999998</v>
      </c>
    </row>
    <row r="112">
      <c r="A112" s="8" t="s">
        <v>188</v>
      </c>
      <c r="B112" s="8" t="s">
        <v>189</v>
      </c>
      <c r="C112" s="9">
        <v>46126.99998842592</v>
      </c>
      <c r="D112" s="8" t="s">
        <v>190</v>
      </c>
      <c r="E112" s="8" t="s">
        <v>105</v>
      </c>
      <c r="F112" s="8" t="s">
        <v>106</v>
      </c>
      <c r="G112" s="8" t="s">
        <v>75</v>
      </c>
      <c r="H112" s="8" t="s">
        <v>76</v>
      </c>
      <c r="I112" s="10">
        <v>22.0</v>
      </c>
      <c r="J112" s="10">
        <v>22.0</v>
      </c>
      <c r="K112" s="10">
        <v>0.0</v>
      </c>
      <c r="L112" s="11">
        <v>0.0</v>
      </c>
      <c r="M112" s="12">
        <v>0.0</v>
      </c>
      <c r="N112" s="12">
        <v>0.0</v>
      </c>
      <c r="O112" s="12">
        <v>0.0</v>
      </c>
      <c r="P112" s="11">
        <v>0.0</v>
      </c>
    </row>
    <row r="113">
      <c r="A113" s="8" t="s">
        <v>188</v>
      </c>
      <c r="B113" s="8" t="s">
        <v>189</v>
      </c>
      <c r="C113" s="9">
        <v>46126.99998842592</v>
      </c>
      <c r="D113" s="8" t="s">
        <v>190</v>
      </c>
      <c r="E113" s="8" t="s">
        <v>201</v>
      </c>
      <c r="F113" s="8" t="s">
        <v>202</v>
      </c>
      <c r="G113" s="8" t="s">
        <v>40</v>
      </c>
      <c r="H113" s="8" t="s">
        <v>41</v>
      </c>
      <c r="I113" s="10">
        <v>52.0</v>
      </c>
      <c r="J113" s="10">
        <v>52.0</v>
      </c>
      <c r="K113" s="10">
        <v>0.0</v>
      </c>
      <c r="L113" s="11">
        <v>0.0</v>
      </c>
      <c r="M113" s="12">
        <v>0.0</v>
      </c>
      <c r="N113" s="12">
        <v>0.0</v>
      </c>
      <c r="O113" s="12">
        <v>0.0</v>
      </c>
      <c r="P113" s="11">
        <v>0.0</v>
      </c>
    </row>
    <row r="114">
      <c r="A114" s="8" t="s">
        <v>188</v>
      </c>
      <c r="B114" s="8" t="s">
        <v>189</v>
      </c>
      <c r="C114" s="9">
        <v>46126.99998842592</v>
      </c>
      <c r="D114" s="8" t="s">
        <v>190</v>
      </c>
      <c r="E114" s="8" t="s">
        <v>203</v>
      </c>
      <c r="F114" s="8" t="s">
        <v>204</v>
      </c>
      <c r="G114" s="8" t="s">
        <v>22</v>
      </c>
      <c r="H114" s="8" t="s">
        <v>23</v>
      </c>
      <c r="I114" s="10">
        <v>0.06</v>
      </c>
      <c r="J114" s="10">
        <v>0.37</v>
      </c>
      <c r="K114" s="10">
        <v>0.31</v>
      </c>
      <c r="L114" s="11">
        <v>22116.0</v>
      </c>
      <c r="M114" s="12">
        <v>71341.94</v>
      </c>
      <c r="N114" s="12">
        <v>0.3</v>
      </c>
      <c r="O114" s="12">
        <v>0.010000000000000009</v>
      </c>
      <c r="P114" s="11">
        <v>713.4194000000007</v>
      </c>
    </row>
    <row r="115">
      <c r="A115" s="8" t="s">
        <v>188</v>
      </c>
      <c r="B115" s="8" t="s">
        <v>189</v>
      </c>
      <c r="C115" s="9">
        <v>46126.99998842592</v>
      </c>
      <c r="D115" s="8" t="s">
        <v>190</v>
      </c>
      <c r="E115" s="8" t="s">
        <v>66</v>
      </c>
      <c r="F115" s="8" t="s">
        <v>67</v>
      </c>
      <c r="G115" s="8" t="s">
        <v>22</v>
      </c>
      <c r="H115" s="8" t="s">
        <v>23</v>
      </c>
      <c r="I115" s="10">
        <v>2.6</v>
      </c>
      <c r="J115" s="10">
        <v>2.6</v>
      </c>
      <c r="K115" s="10">
        <v>0.0</v>
      </c>
      <c r="L115" s="11">
        <v>0.0</v>
      </c>
      <c r="M115" s="12">
        <v>0.0</v>
      </c>
      <c r="N115" s="12">
        <v>0.3</v>
      </c>
      <c r="O115" s="12">
        <v>0.0</v>
      </c>
      <c r="P115" s="11">
        <v>0.0</v>
      </c>
    </row>
    <row r="116">
      <c r="A116" s="8" t="s">
        <v>188</v>
      </c>
      <c r="B116" s="8" t="s">
        <v>189</v>
      </c>
      <c r="C116" s="9">
        <v>46126.99998842592</v>
      </c>
      <c r="D116" s="8" t="s">
        <v>190</v>
      </c>
      <c r="E116" s="8" t="s">
        <v>32</v>
      </c>
      <c r="F116" s="8" t="s">
        <v>33</v>
      </c>
      <c r="G116" s="8" t="s">
        <v>22</v>
      </c>
      <c r="H116" s="8" t="s">
        <v>23</v>
      </c>
      <c r="I116" s="10">
        <v>2.25</v>
      </c>
      <c r="J116" s="10">
        <v>2.3</v>
      </c>
      <c r="K116" s="10">
        <v>0.05</v>
      </c>
      <c r="L116" s="11">
        <v>2750.0</v>
      </c>
      <c r="M116" s="12">
        <v>55000.0</v>
      </c>
      <c r="N116" s="12">
        <v>0.3</v>
      </c>
      <c r="O116" s="12">
        <v>0.0</v>
      </c>
      <c r="P116" s="11">
        <v>0.0</v>
      </c>
    </row>
    <row r="117">
      <c r="A117" s="8" t="s">
        <v>188</v>
      </c>
      <c r="B117" s="8" t="s">
        <v>189</v>
      </c>
      <c r="C117" s="9">
        <v>46126.99998842592</v>
      </c>
      <c r="D117" s="8" t="s">
        <v>190</v>
      </c>
      <c r="E117" s="8" t="s">
        <v>30</v>
      </c>
      <c r="F117" s="8" t="s">
        <v>31</v>
      </c>
      <c r="G117" s="8" t="s">
        <v>22</v>
      </c>
      <c r="H117" s="8" t="s">
        <v>23</v>
      </c>
      <c r="I117" s="10">
        <v>2.91</v>
      </c>
      <c r="J117" s="10">
        <v>3.1</v>
      </c>
      <c r="K117" s="10">
        <v>0.19</v>
      </c>
      <c r="L117" s="11">
        <v>20869.0</v>
      </c>
      <c r="M117" s="12">
        <v>109836.84</v>
      </c>
      <c r="N117" s="12">
        <v>0.3</v>
      </c>
      <c r="O117" s="12">
        <v>0.0</v>
      </c>
      <c r="P117" s="11">
        <v>0.0</v>
      </c>
    </row>
    <row r="118">
      <c r="A118" s="8" t="s">
        <v>188</v>
      </c>
      <c r="B118" s="8" t="s">
        <v>189</v>
      </c>
      <c r="C118" s="9">
        <v>46126.99998842592</v>
      </c>
      <c r="D118" s="8" t="s">
        <v>190</v>
      </c>
      <c r="E118" s="8" t="s">
        <v>28</v>
      </c>
      <c r="F118" s="8" t="s">
        <v>29</v>
      </c>
      <c r="G118" s="8" t="s">
        <v>22</v>
      </c>
      <c r="H118" s="8" t="s">
        <v>23</v>
      </c>
      <c r="I118" s="10">
        <v>1.95</v>
      </c>
      <c r="J118" s="10">
        <v>1.85</v>
      </c>
      <c r="K118" s="10">
        <v>-0.1</v>
      </c>
      <c r="L118" s="11">
        <v>-9485.0</v>
      </c>
      <c r="M118" s="12">
        <v>94850.0</v>
      </c>
      <c r="N118" s="12">
        <v>0.3</v>
      </c>
      <c r="O118" s="12">
        <v>0.0</v>
      </c>
      <c r="P118" s="11">
        <v>0.0</v>
      </c>
    </row>
    <row r="119">
      <c r="A119" s="8" t="s">
        <v>188</v>
      </c>
      <c r="B119" s="8" t="s">
        <v>189</v>
      </c>
      <c r="C119" s="9">
        <v>46126.99998842592</v>
      </c>
      <c r="D119" s="8" t="s">
        <v>190</v>
      </c>
      <c r="E119" s="8" t="s">
        <v>26</v>
      </c>
      <c r="F119" s="8" t="s">
        <v>27</v>
      </c>
      <c r="G119" s="8" t="s">
        <v>22</v>
      </c>
      <c r="H119" s="8" t="s">
        <v>23</v>
      </c>
      <c r="I119" s="10">
        <v>0.628</v>
      </c>
      <c r="J119" s="10">
        <v>1.0</v>
      </c>
      <c r="K119" s="10">
        <v>0.372</v>
      </c>
      <c r="L119" s="11">
        <v>44638.0</v>
      </c>
      <c r="M119" s="12">
        <v>119994.62</v>
      </c>
      <c r="N119" s="12">
        <v>0.3</v>
      </c>
      <c r="O119" s="12">
        <v>0.07200000000000001</v>
      </c>
      <c r="P119" s="11">
        <v>8639.612640000001</v>
      </c>
    </row>
    <row r="120">
      <c r="A120" s="8" t="s">
        <v>188</v>
      </c>
      <c r="B120" s="8" t="s">
        <v>189</v>
      </c>
      <c r="C120" s="9">
        <v>46126.99998842592</v>
      </c>
      <c r="D120" s="8" t="s">
        <v>190</v>
      </c>
      <c r="E120" s="8" t="s">
        <v>24</v>
      </c>
      <c r="F120" s="8" t="s">
        <v>25</v>
      </c>
      <c r="G120" s="8" t="s">
        <v>22</v>
      </c>
      <c r="H120" s="8" t="s">
        <v>23</v>
      </c>
      <c r="I120" s="10">
        <v>0.92</v>
      </c>
      <c r="J120" s="10">
        <v>0.92</v>
      </c>
      <c r="K120" s="10">
        <v>0.0</v>
      </c>
      <c r="L120" s="11">
        <v>0.0</v>
      </c>
      <c r="M120" s="12">
        <v>0.0</v>
      </c>
      <c r="N120" s="12">
        <v>0.3</v>
      </c>
      <c r="O120" s="12">
        <v>0.0</v>
      </c>
      <c r="P120" s="11">
        <v>0.0</v>
      </c>
    </row>
    <row r="121">
      <c r="A121" s="8" t="s">
        <v>188</v>
      </c>
      <c r="B121" s="8" t="s">
        <v>189</v>
      </c>
      <c r="C121" s="9">
        <v>46126.99998842592</v>
      </c>
      <c r="D121" s="8" t="s">
        <v>190</v>
      </c>
      <c r="E121" s="8" t="s">
        <v>205</v>
      </c>
      <c r="F121" s="8" t="s">
        <v>206</v>
      </c>
      <c r="G121" s="8" t="s">
        <v>207</v>
      </c>
      <c r="H121" s="8" t="s">
        <v>208</v>
      </c>
      <c r="I121" s="10">
        <v>-0.22</v>
      </c>
      <c r="J121" s="10">
        <v>0.0</v>
      </c>
      <c r="K121" s="10">
        <v>0.22</v>
      </c>
      <c r="L121" s="11">
        <v>14299.0</v>
      </c>
      <c r="M121" s="12">
        <v>64995.45</v>
      </c>
      <c r="N121" s="12">
        <v>0.5</v>
      </c>
      <c r="O121" s="12">
        <v>0.0</v>
      </c>
      <c r="P121" s="11">
        <v>0.0</v>
      </c>
    </row>
    <row r="122">
      <c r="A122" s="8" t="s">
        <v>188</v>
      </c>
      <c r="B122" s="8" t="s">
        <v>189</v>
      </c>
      <c r="C122" s="9">
        <v>46126.99998842592</v>
      </c>
      <c r="D122" s="8" t="s">
        <v>190</v>
      </c>
      <c r="E122" s="8" t="s">
        <v>68</v>
      </c>
      <c r="F122" s="8" t="s">
        <v>69</v>
      </c>
      <c r="G122" s="8" t="s">
        <v>22</v>
      </c>
      <c r="H122" s="8" t="s">
        <v>23</v>
      </c>
      <c r="I122" s="10">
        <v>2.275</v>
      </c>
      <c r="J122" s="10">
        <v>2.0</v>
      </c>
      <c r="K122" s="10">
        <v>-0.275</v>
      </c>
      <c r="L122" s="11">
        <v>-39735.0</v>
      </c>
      <c r="M122" s="12">
        <v>144490.91</v>
      </c>
      <c r="N122" s="12">
        <v>0.3</v>
      </c>
      <c r="O122" s="12">
        <v>0.0</v>
      </c>
      <c r="P122" s="11">
        <v>0.0</v>
      </c>
    </row>
    <row r="123">
      <c r="A123" s="8" t="s">
        <v>188</v>
      </c>
      <c r="B123" s="8" t="s">
        <v>189</v>
      </c>
      <c r="C123" s="9">
        <v>46126.99998842592</v>
      </c>
      <c r="D123" s="8" t="s">
        <v>190</v>
      </c>
      <c r="E123" s="8" t="s">
        <v>168</v>
      </c>
      <c r="F123" s="8" t="s">
        <v>169</v>
      </c>
      <c r="G123" s="8" t="s">
        <v>22</v>
      </c>
      <c r="H123" s="8" t="s">
        <v>23</v>
      </c>
      <c r="I123" s="10">
        <v>1.91</v>
      </c>
      <c r="J123" s="10">
        <v>1.25</v>
      </c>
      <c r="K123" s="10">
        <v>-0.66</v>
      </c>
      <c r="L123" s="11">
        <v>-24871.0</v>
      </c>
      <c r="M123" s="12">
        <v>37683.33</v>
      </c>
      <c r="N123" s="12">
        <v>0.3</v>
      </c>
      <c r="O123" s="12">
        <v>0.36000000000000004</v>
      </c>
      <c r="P123" s="11">
        <v>13565.998800000003</v>
      </c>
    </row>
    <row r="124">
      <c r="A124" s="8" t="s">
        <v>188</v>
      </c>
      <c r="B124" s="8" t="s">
        <v>189</v>
      </c>
      <c r="C124" s="9">
        <v>46126.99998842592</v>
      </c>
      <c r="D124" s="8" t="s">
        <v>190</v>
      </c>
      <c r="E124" s="8" t="s">
        <v>166</v>
      </c>
      <c r="F124" s="8" t="s">
        <v>167</v>
      </c>
      <c r="G124" s="8" t="s">
        <v>22</v>
      </c>
      <c r="H124" s="8" t="s">
        <v>23</v>
      </c>
      <c r="I124" s="10">
        <v>5.983</v>
      </c>
      <c r="J124" s="10">
        <v>4.25</v>
      </c>
      <c r="K124" s="10">
        <v>-1.733</v>
      </c>
      <c r="L124" s="11">
        <v>-69764.0</v>
      </c>
      <c r="M124" s="12">
        <v>40256.2</v>
      </c>
      <c r="N124" s="12">
        <v>0.3</v>
      </c>
      <c r="O124" s="12">
        <v>1.433</v>
      </c>
      <c r="P124" s="11">
        <v>57687.1346</v>
      </c>
    </row>
    <row r="125">
      <c r="A125" s="8" t="s">
        <v>188</v>
      </c>
      <c r="B125" s="8" t="s">
        <v>189</v>
      </c>
      <c r="C125" s="9">
        <v>46126.99998842592</v>
      </c>
      <c r="D125" s="8" t="s">
        <v>190</v>
      </c>
      <c r="E125" s="8" t="s">
        <v>20</v>
      </c>
      <c r="F125" s="8" t="s">
        <v>21</v>
      </c>
      <c r="G125" s="8" t="s">
        <v>22</v>
      </c>
      <c r="H125" s="8" t="s">
        <v>23</v>
      </c>
      <c r="I125" s="10">
        <v>2.2</v>
      </c>
      <c r="J125" s="10">
        <v>2.2</v>
      </c>
      <c r="K125" s="10">
        <v>0.0</v>
      </c>
      <c r="L125" s="11">
        <v>0.0</v>
      </c>
      <c r="M125" s="12">
        <v>0.0</v>
      </c>
      <c r="N125" s="12">
        <v>0.3</v>
      </c>
      <c r="O125" s="12">
        <v>0.0</v>
      </c>
      <c r="P125" s="11">
        <v>0.0</v>
      </c>
    </row>
    <row r="126">
      <c r="A126" s="8" t="s">
        <v>188</v>
      </c>
      <c r="B126" s="8" t="s">
        <v>189</v>
      </c>
      <c r="C126" s="9">
        <v>46126.99998842592</v>
      </c>
      <c r="D126" s="8" t="s">
        <v>190</v>
      </c>
      <c r="E126" s="8" t="s">
        <v>34</v>
      </c>
      <c r="F126" s="8" t="s">
        <v>35</v>
      </c>
      <c r="G126" s="8" t="s">
        <v>22</v>
      </c>
      <c r="H126" s="8" t="s">
        <v>23</v>
      </c>
      <c r="I126" s="10">
        <v>1.44</v>
      </c>
      <c r="J126" s="10">
        <v>1.5</v>
      </c>
      <c r="K126" s="10">
        <v>0.06</v>
      </c>
      <c r="L126" s="11">
        <v>42917.0</v>
      </c>
      <c r="M126" s="12">
        <v>715283.33</v>
      </c>
      <c r="N126" s="12">
        <v>0.3</v>
      </c>
      <c r="O126" s="12">
        <v>0.0</v>
      </c>
      <c r="P126" s="11">
        <v>0.0</v>
      </c>
    </row>
    <row r="127">
      <c r="A127" s="8" t="s">
        <v>188</v>
      </c>
      <c r="B127" s="8" t="s">
        <v>189</v>
      </c>
      <c r="C127" s="9">
        <v>46126.99998842592</v>
      </c>
      <c r="D127" s="8" t="s">
        <v>190</v>
      </c>
      <c r="E127" s="8" t="s">
        <v>162</v>
      </c>
      <c r="F127" s="8" t="s">
        <v>163</v>
      </c>
      <c r="G127" s="8" t="s">
        <v>22</v>
      </c>
      <c r="H127" s="8" t="s">
        <v>23</v>
      </c>
      <c r="I127" s="10">
        <v>0.499942</v>
      </c>
      <c r="J127" s="10">
        <v>0.4</v>
      </c>
      <c r="K127" s="10">
        <v>-0.099942</v>
      </c>
      <c r="L127" s="11">
        <v>-16991.0</v>
      </c>
      <c r="M127" s="12">
        <v>170008.6</v>
      </c>
      <c r="N127" s="12">
        <v>0.3</v>
      </c>
      <c r="O127" s="12">
        <v>0.0</v>
      </c>
      <c r="P127" s="11">
        <v>0.0</v>
      </c>
    </row>
    <row r="128">
      <c r="A128" s="8" t="s">
        <v>188</v>
      </c>
      <c r="B128" s="8" t="s">
        <v>189</v>
      </c>
      <c r="C128" s="9">
        <v>46126.99998842592</v>
      </c>
      <c r="D128" s="8" t="s">
        <v>190</v>
      </c>
      <c r="E128" s="8" t="s">
        <v>134</v>
      </c>
      <c r="F128" s="8" t="s">
        <v>135</v>
      </c>
      <c r="G128" s="8" t="s">
        <v>22</v>
      </c>
      <c r="H128" s="8" t="s">
        <v>23</v>
      </c>
      <c r="I128" s="10">
        <v>2.14</v>
      </c>
      <c r="J128" s="10">
        <v>2.1</v>
      </c>
      <c r="K128" s="10">
        <v>-0.04</v>
      </c>
      <c r="L128" s="11">
        <v>-14000.0</v>
      </c>
      <c r="M128" s="12">
        <v>350000.0</v>
      </c>
      <c r="N128" s="12">
        <v>0.3</v>
      </c>
      <c r="O128" s="12">
        <v>0.0</v>
      </c>
      <c r="P128" s="11">
        <v>0.0</v>
      </c>
    </row>
    <row r="129">
      <c r="A129" s="8" t="s">
        <v>188</v>
      </c>
      <c r="B129" s="8" t="s">
        <v>189</v>
      </c>
      <c r="C129" s="9">
        <v>46126.99998842592</v>
      </c>
      <c r="D129" s="8" t="s">
        <v>190</v>
      </c>
      <c r="E129" s="8" t="s">
        <v>160</v>
      </c>
      <c r="F129" s="8" t="s">
        <v>161</v>
      </c>
      <c r="G129" s="8" t="s">
        <v>156</v>
      </c>
      <c r="H129" s="8" t="s">
        <v>157</v>
      </c>
      <c r="I129" s="10">
        <v>-0.3</v>
      </c>
      <c r="J129" s="10">
        <v>0.1</v>
      </c>
      <c r="K129" s="10">
        <v>0.4</v>
      </c>
      <c r="L129" s="11">
        <v>0.0</v>
      </c>
      <c r="M129" s="12">
        <v>0.0</v>
      </c>
      <c r="N129" s="12">
        <v>0.3</v>
      </c>
      <c r="O129" s="12">
        <v>0.10000000000000003</v>
      </c>
      <c r="P129" s="11">
        <v>0.0</v>
      </c>
    </row>
    <row r="130">
      <c r="A130" s="8" t="s">
        <v>188</v>
      </c>
      <c r="B130" s="8" t="s">
        <v>189</v>
      </c>
      <c r="C130" s="9">
        <v>46126.99998842592</v>
      </c>
      <c r="D130" s="8" t="s">
        <v>190</v>
      </c>
      <c r="E130" s="8" t="s">
        <v>132</v>
      </c>
      <c r="F130" s="8" t="s">
        <v>133</v>
      </c>
      <c r="G130" s="8" t="s">
        <v>40</v>
      </c>
      <c r="H130" s="8" t="s">
        <v>41</v>
      </c>
      <c r="I130" s="10">
        <v>0.0</v>
      </c>
      <c r="J130" s="10">
        <v>0.0</v>
      </c>
      <c r="K130" s="10">
        <v>0.0</v>
      </c>
      <c r="L130" s="11">
        <v>0.0</v>
      </c>
      <c r="M130" s="12">
        <v>0.0</v>
      </c>
      <c r="N130" s="12">
        <v>0.0</v>
      </c>
      <c r="O130" s="12">
        <v>0.0</v>
      </c>
      <c r="P130" s="11">
        <v>0.0</v>
      </c>
    </row>
    <row r="131">
      <c r="A131" s="8" t="s">
        <v>188</v>
      </c>
      <c r="B131" s="8" t="s">
        <v>189</v>
      </c>
      <c r="C131" s="9">
        <v>46126.99998842592</v>
      </c>
      <c r="D131" s="8" t="s">
        <v>190</v>
      </c>
      <c r="E131" s="8" t="s">
        <v>209</v>
      </c>
      <c r="F131" s="8" t="s">
        <v>210</v>
      </c>
      <c r="G131" s="8" t="s">
        <v>75</v>
      </c>
      <c r="H131" s="8" t="s">
        <v>76</v>
      </c>
      <c r="I131" s="10">
        <v>0.0</v>
      </c>
      <c r="J131" s="10">
        <v>0.0</v>
      </c>
      <c r="K131" s="10">
        <v>0.0</v>
      </c>
      <c r="L131" s="11">
        <v>0.0</v>
      </c>
      <c r="M131" s="12">
        <v>0.0</v>
      </c>
      <c r="N131" s="12">
        <v>0.0</v>
      </c>
      <c r="O131" s="12">
        <v>0.0</v>
      </c>
      <c r="P131" s="11">
        <v>0.0</v>
      </c>
    </row>
    <row r="132">
      <c r="A132" s="8" t="s">
        <v>188</v>
      </c>
      <c r="B132" s="8" t="s">
        <v>189</v>
      </c>
      <c r="C132" s="9">
        <v>46126.99998842592</v>
      </c>
      <c r="D132" s="8" t="s">
        <v>190</v>
      </c>
      <c r="E132" s="8" t="s">
        <v>85</v>
      </c>
      <c r="F132" s="8" t="s">
        <v>86</v>
      </c>
      <c r="G132" s="8" t="s">
        <v>75</v>
      </c>
      <c r="H132" s="8" t="s">
        <v>76</v>
      </c>
      <c r="I132" s="10">
        <v>0.0</v>
      </c>
      <c r="J132" s="10">
        <v>0.0</v>
      </c>
      <c r="K132" s="10">
        <v>0.0</v>
      </c>
      <c r="L132" s="11">
        <v>0.0</v>
      </c>
      <c r="M132" s="12">
        <v>0.0</v>
      </c>
      <c r="N132" s="12">
        <v>0.0</v>
      </c>
      <c r="O132" s="12">
        <v>0.0</v>
      </c>
      <c r="P132" s="11">
        <v>0.0</v>
      </c>
    </row>
    <row r="133">
      <c r="A133" s="8" t="s">
        <v>188</v>
      </c>
      <c r="B133" s="8" t="s">
        <v>189</v>
      </c>
      <c r="C133" s="9">
        <v>46126.99998842592</v>
      </c>
      <c r="D133" s="8" t="s">
        <v>190</v>
      </c>
      <c r="E133" s="8" t="s">
        <v>77</v>
      </c>
      <c r="F133" s="8" t="s">
        <v>78</v>
      </c>
      <c r="G133" s="8" t="s">
        <v>75</v>
      </c>
      <c r="H133" s="8" t="s">
        <v>76</v>
      </c>
      <c r="I133" s="10">
        <v>0.0</v>
      </c>
      <c r="J133" s="10">
        <v>0.0</v>
      </c>
      <c r="K133" s="10">
        <v>0.0</v>
      </c>
      <c r="L133" s="11">
        <v>0.0</v>
      </c>
      <c r="M133" s="12">
        <v>0.0</v>
      </c>
      <c r="N133" s="12">
        <v>0.0</v>
      </c>
      <c r="O133" s="12">
        <v>0.0</v>
      </c>
      <c r="P133" s="11">
        <v>0.0</v>
      </c>
    </row>
    <row r="134">
      <c r="A134" s="8" t="s">
        <v>188</v>
      </c>
      <c r="B134" s="8" t="s">
        <v>189</v>
      </c>
      <c r="C134" s="9">
        <v>46126.99998842592</v>
      </c>
      <c r="D134" s="8" t="s">
        <v>190</v>
      </c>
      <c r="E134" s="8" t="s">
        <v>79</v>
      </c>
      <c r="F134" s="8" t="s">
        <v>80</v>
      </c>
      <c r="G134" s="8" t="s">
        <v>75</v>
      </c>
      <c r="H134" s="8" t="s">
        <v>76</v>
      </c>
      <c r="I134" s="10">
        <v>4.0</v>
      </c>
      <c r="J134" s="10">
        <v>4.0</v>
      </c>
      <c r="K134" s="10">
        <v>0.0</v>
      </c>
      <c r="L134" s="11">
        <v>0.0</v>
      </c>
      <c r="M134" s="12">
        <v>0.0</v>
      </c>
      <c r="N134" s="12">
        <v>0.0</v>
      </c>
      <c r="O134" s="12">
        <v>0.0</v>
      </c>
      <c r="P134" s="11">
        <v>0.0</v>
      </c>
    </row>
    <row r="135">
      <c r="A135" s="8" t="s">
        <v>188</v>
      </c>
      <c r="B135" s="8" t="s">
        <v>189</v>
      </c>
      <c r="C135" s="9">
        <v>46126.99998842592</v>
      </c>
      <c r="D135" s="8" t="s">
        <v>190</v>
      </c>
      <c r="E135" s="8" t="s">
        <v>211</v>
      </c>
      <c r="F135" s="8" t="s">
        <v>212</v>
      </c>
      <c r="G135" s="8" t="s">
        <v>75</v>
      </c>
      <c r="H135" s="8" t="s">
        <v>76</v>
      </c>
      <c r="I135" s="10">
        <v>0.0</v>
      </c>
      <c r="J135" s="10">
        <v>0.0</v>
      </c>
      <c r="K135" s="10">
        <v>0.0</v>
      </c>
      <c r="L135" s="11">
        <v>0.0</v>
      </c>
      <c r="M135" s="12">
        <v>0.0</v>
      </c>
      <c r="N135" s="12">
        <v>0.0</v>
      </c>
      <c r="O135" s="12">
        <v>0.0</v>
      </c>
      <c r="P135" s="11">
        <v>0.0</v>
      </c>
    </row>
    <row r="136">
      <c r="A136" s="8" t="s">
        <v>188</v>
      </c>
      <c r="B136" s="8" t="s">
        <v>189</v>
      </c>
      <c r="C136" s="9">
        <v>46126.99998842592</v>
      </c>
      <c r="D136" s="8" t="s">
        <v>190</v>
      </c>
      <c r="E136" s="8" t="s">
        <v>213</v>
      </c>
      <c r="F136" s="8" t="s">
        <v>214</v>
      </c>
      <c r="G136" s="8" t="s">
        <v>75</v>
      </c>
      <c r="H136" s="8" t="s">
        <v>76</v>
      </c>
      <c r="I136" s="10">
        <v>0.0</v>
      </c>
      <c r="J136" s="10">
        <v>0.0</v>
      </c>
      <c r="K136" s="10">
        <v>0.0</v>
      </c>
      <c r="L136" s="11">
        <v>0.0</v>
      </c>
      <c r="M136" s="12">
        <v>0.0</v>
      </c>
      <c r="N136" s="12">
        <v>0.0</v>
      </c>
      <c r="O136" s="12">
        <v>0.0</v>
      </c>
      <c r="P136" s="11">
        <v>0.0</v>
      </c>
    </row>
    <row r="137">
      <c r="A137" s="8" t="s">
        <v>188</v>
      </c>
      <c r="B137" s="8" t="s">
        <v>189</v>
      </c>
      <c r="C137" s="9">
        <v>46126.99998842592</v>
      </c>
      <c r="D137" s="8" t="s">
        <v>190</v>
      </c>
      <c r="E137" s="8" t="s">
        <v>215</v>
      </c>
      <c r="F137" s="8" t="s">
        <v>216</v>
      </c>
      <c r="G137" s="8" t="s">
        <v>75</v>
      </c>
      <c r="H137" s="8" t="s">
        <v>76</v>
      </c>
      <c r="I137" s="10">
        <v>31.0</v>
      </c>
      <c r="J137" s="10">
        <v>31.0</v>
      </c>
      <c r="K137" s="10">
        <v>0.0</v>
      </c>
      <c r="L137" s="11">
        <v>0.0</v>
      </c>
      <c r="M137" s="12">
        <v>0.0</v>
      </c>
      <c r="N137" s="12">
        <v>0.0</v>
      </c>
      <c r="O137" s="12">
        <v>0.0</v>
      </c>
      <c r="P137" s="11">
        <v>0.0</v>
      </c>
    </row>
    <row r="138">
      <c r="A138" s="8" t="s">
        <v>188</v>
      </c>
      <c r="B138" s="8" t="s">
        <v>189</v>
      </c>
      <c r="C138" s="9">
        <v>46126.99998842592</v>
      </c>
      <c r="D138" s="8" t="s">
        <v>190</v>
      </c>
      <c r="E138" s="8" t="s">
        <v>217</v>
      </c>
      <c r="F138" s="8" t="s">
        <v>218</v>
      </c>
      <c r="G138" s="8" t="s">
        <v>75</v>
      </c>
      <c r="H138" s="8" t="s">
        <v>76</v>
      </c>
      <c r="I138" s="10">
        <v>14.0</v>
      </c>
      <c r="J138" s="10">
        <v>14.0</v>
      </c>
      <c r="K138" s="10">
        <v>0.0</v>
      </c>
      <c r="L138" s="11">
        <v>0.0</v>
      </c>
      <c r="M138" s="12">
        <v>0.0</v>
      </c>
      <c r="N138" s="12">
        <v>0.0</v>
      </c>
      <c r="O138" s="12">
        <v>0.0</v>
      </c>
      <c r="P138" s="11">
        <v>0.0</v>
      </c>
    </row>
    <row r="139">
      <c r="A139" s="8" t="s">
        <v>188</v>
      </c>
      <c r="B139" s="8" t="s">
        <v>189</v>
      </c>
      <c r="C139" s="9">
        <v>46126.99998842592</v>
      </c>
      <c r="D139" s="8" t="s">
        <v>190</v>
      </c>
      <c r="E139" s="8" t="s">
        <v>184</v>
      </c>
      <c r="F139" s="8" t="s">
        <v>185</v>
      </c>
      <c r="G139" s="8" t="s">
        <v>22</v>
      </c>
      <c r="H139" s="8" t="s">
        <v>23</v>
      </c>
      <c r="I139" s="10">
        <v>3.713</v>
      </c>
      <c r="J139" s="10">
        <v>3.8</v>
      </c>
      <c r="K139" s="10">
        <v>0.087</v>
      </c>
      <c r="L139" s="11">
        <v>3792.0</v>
      </c>
      <c r="M139" s="12">
        <v>43586.21</v>
      </c>
      <c r="N139" s="12">
        <v>0.3</v>
      </c>
      <c r="O139" s="12">
        <v>0.0</v>
      </c>
      <c r="P139" s="11">
        <v>0.0</v>
      </c>
    </row>
    <row r="140">
      <c r="A140" s="8" t="s">
        <v>188</v>
      </c>
      <c r="B140" s="8" t="s">
        <v>189</v>
      </c>
      <c r="C140" s="9">
        <v>46126.99998842592</v>
      </c>
      <c r="D140" s="8" t="s">
        <v>190</v>
      </c>
      <c r="E140" s="8" t="s">
        <v>36</v>
      </c>
      <c r="F140" s="8" t="s">
        <v>37</v>
      </c>
      <c r="G140" s="8" t="s">
        <v>22</v>
      </c>
      <c r="H140" s="8" t="s">
        <v>23</v>
      </c>
      <c r="I140" s="10">
        <v>1.02</v>
      </c>
      <c r="J140" s="10">
        <v>0.9</v>
      </c>
      <c r="K140" s="10">
        <v>-0.12</v>
      </c>
      <c r="L140" s="11">
        <v>-56457.0</v>
      </c>
      <c r="M140" s="12">
        <v>470475.0</v>
      </c>
      <c r="N140" s="12">
        <v>0.3</v>
      </c>
      <c r="O140" s="12">
        <v>0.0</v>
      </c>
      <c r="P140" s="11">
        <v>0.0</v>
      </c>
    </row>
    <row r="141">
      <c r="A141" s="8" t="s">
        <v>188</v>
      </c>
      <c r="B141" s="8" t="s">
        <v>189</v>
      </c>
      <c r="C141" s="9">
        <v>46126.99998842592</v>
      </c>
      <c r="D141" s="8" t="s">
        <v>190</v>
      </c>
      <c r="E141" s="8" t="s">
        <v>186</v>
      </c>
      <c r="F141" s="8" t="s">
        <v>187</v>
      </c>
      <c r="G141" s="8" t="s">
        <v>22</v>
      </c>
      <c r="H141" s="8" t="s">
        <v>23</v>
      </c>
      <c r="I141" s="10">
        <v>1.261</v>
      </c>
      <c r="J141" s="10">
        <v>0.43</v>
      </c>
      <c r="K141" s="10">
        <v>-0.831</v>
      </c>
      <c r="L141" s="11">
        <v>-12468.0</v>
      </c>
      <c r="M141" s="12">
        <v>15003.61</v>
      </c>
      <c r="N141" s="12">
        <v>0.3</v>
      </c>
      <c r="O141" s="12">
        <v>0.5309999999999999</v>
      </c>
      <c r="P141" s="11">
        <v>7966.916909999999</v>
      </c>
    </row>
    <row r="142">
      <c r="A142" s="8" t="s">
        <v>188</v>
      </c>
      <c r="B142" s="8" t="s">
        <v>189</v>
      </c>
      <c r="C142" s="9">
        <v>46126.99998842592</v>
      </c>
      <c r="D142" s="8" t="s">
        <v>190</v>
      </c>
      <c r="E142" s="8" t="s">
        <v>38</v>
      </c>
      <c r="F142" s="8" t="s">
        <v>39</v>
      </c>
      <c r="G142" s="8" t="s">
        <v>52</v>
      </c>
      <c r="H142" s="8" t="s">
        <v>53</v>
      </c>
      <c r="I142" s="10">
        <v>0.2</v>
      </c>
      <c r="J142" s="10">
        <v>0.2</v>
      </c>
      <c r="K142" s="10">
        <v>0.0</v>
      </c>
      <c r="L142" s="11">
        <v>0.0</v>
      </c>
      <c r="M142" s="12">
        <v>0.0</v>
      </c>
      <c r="N142" s="12">
        <v>0.0</v>
      </c>
      <c r="O142" s="12">
        <v>0.0</v>
      </c>
      <c r="P142" s="11">
        <v>0.0</v>
      </c>
    </row>
    <row r="143">
      <c r="A143" s="8" t="s">
        <v>188</v>
      </c>
      <c r="B143" s="8" t="s">
        <v>189</v>
      </c>
      <c r="C143" s="9">
        <v>46126.99998842592</v>
      </c>
      <c r="D143" s="8" t="s">
        <v>190</v>
      </c>
      <c r="E143" s="8" t="s">
        <v>103</v>
      </c>
      <c r="F143" s="8" t="s">
        <v>104</v>
      </c>
      <c r="G143" s="8" t="s">
        <v>75</v>
      </c>
      <c r="H143" s="8" t="s">
        <v>76</v>
      </c>
      <c r="I143" s="10">
        <v>20.0</v>
      </c>
      <c r="J143" s="10">
        <v>20.0</v>
      </c>
      <c r="K143" s="10">
        <v>0.0</v>
      </c>
      <c r="L143" s="11">
        <v>0.0</v>
      </c>
      <c r="M143" s="12">
        <v>0.0</v>
      </c>
      <c r="N143" s="12">
        <v>0.0</v>
      </c>
      <c r="O143" s="12">
        <v>0.0</v>
      </c>
      <c r="P143" s="11">
        <v>0.0</v>
      </c>
    </row>
    <row r="144">
      <c r="A144" s="8" t="s">
        <v>188</v>
      </c>
      <c r="B144" s="8" t="s">
        <v>189</v>
      </c>
      <c r="C144" s="9">
        <v>46126.99998842592</v>
      </c>
      <c r="D144" s="8" t="s">
        <v>190</v>
      </c>
      <c r="E144" s="8" t="s">
        <v>97</v>
      </c>
      <c r="F144" s="8" t="s">
        <v>98</v>
      </c>
      <c r="G144" s="8" t="s">
        <v>75</v>
      </c>
      <c r="H144" s="8" t="s">
        <v>76</v>
      </c>
      <c r="I144" s="10">
        <v>0.0</v>
      </c>
      <c r="J144" s="10">
        <v>0.0</v>
      </c>
      <c r="K144" s="10">
        <v>0.0</v>
      </c>
      <c r="L144" s="11">
        <v>0.0</v>
      </c>
      <c r="M144" s="12">
        <v>0.0</v>
      </c>
      <c r="N144" s="12">
        <v>0.0</v>
      </c>
      <c r="O144" s="12">
        <v>0.0</v>
      </c>
      <c r="P144" s="11">
        <v>0.0</v>
      </c>
    </row>
    <row r="145">
      <c r="A145" s="8" t="s">
        <v>188</v>
      </c>
      <c r="B145" s="8" t="s">
        <v>189</v>
      </c>
      <c r="C145" s="9">
        <v>46126.99998842592</v>
      </c>
      <c r="D145" s="8" t="s">
        <v>190</v>
      </c>
      <c r="E145" s="8" t="s">
        <v>219</v>
      </c>
      <c r="F145" s="8" t="s">
        <v>220</v>
      </c>
      <c r="G145" s="8" t="s">
        <v>75</v>
      </c>
      <c r="H145" s="8" t="s">
        <v>76</v>
      </c>
      <c r="I145" s="10">
        <v>0.0</v>
      </c>
      <c r="J145" s="10">
        <v>0.0</v>
      </c>
      <c r="K145" s="10">
        <v>0.0</v>
      </c>
      <c r="L145" s="11">
        <v>0.0</v>
      </c>
      <c r="M145" s="12">
        <v>0.0</v>
      </c>
      <c r="N145" s="12">
        <v>0.0</v>
      </c>
      <c r="O145" s="12">
        <v>0.0</v>
      </c>
      <c r="P145" s="11">
        <v>0.0</v>
      </c>
    </row>
    <row r="146">
      <c r="A146" s="8" t="s">
        <v>188</v>
      </c>
      <c r="B146" s="8" t="s">
        <v>189</v>
      </c>
      <c r="C146" s="9">
        <v>46126.99998842592</v>
      </c>
      <c r="D146" s="8" t="s">
        <v>190</v>
      </c>
      <c r="E146" s="8" t="s">
        <v>221</v>
      </c>
      <c r="F146" s="8" t="s">
        <v>222</v>
      </c>
      <c r="G146" s="8" t="s">
        <v>75</v>
      </c>
      <c r="H146" s="8" t="s">
        <v>76</v>
      </c>
      <c r="I146" s="10">
        <v>0.0</v>
      </c>
      <c r="J146" s="10">
        <v>0.0</v>
      </c>
      <c r="K146" s="10">
        <v>0.0</v>
      </c>
      <c r="L146" s="11">
        <v>0.0</v>
      </c>
      <c r="M146" s="12">
        <v>0.0</v>
      </c>
      <c r="N146" s="12">
        <v>0.0</v>
      </c>
      <c r="O146" s="12">
        <v>0.0</v>
      </c>
      <c r="P146" s="11">
        <v>0.0</v>
      </c>
    </row>
    <row r="147">
      <c r="A147" s="8" t="s">
        <v>188</v>
      </c>
      <c r="B147" s="8" t="s">
        <v>189</v>
      </c>
      <c r="C147" s="9">
        <v>46126.99998842592</v>
      </c>
      <c r="D147" s="8" t="s">
        <v>190</v>
      </c>
      <c r="E147" s="8" t="s">
        <v>223</v>
      </c>
      <c r="F147" s="8" t="s">
        <v>224</v>
      </c>
      <c r="G147" s="8" t="s">
        <v>75</v>
      </c>
      <c r="H147" s="8" t="s">
        <v>76</v>
      </c>
      <c r="I147" s="10">
        <v>0.0</v>
      </c>
      <c r="J147" s="10">
        <v>0.0</v>
      </c>
      <c r="K147" s="10">
        <v>0.0</v>
      </c>
      <c r="L147" s="11">
        <v>0.0</v>
      </c>
      <c r="M147" s="12">
        <v>0.0</v>
      </c>
      <c r="N147" s="12">
        <v>0.0</v>
      </c>
      <c r="O147" s="12">
        <v>0.0</v>
      </c>
      <c r="P147" s="11">
        <v>0.0</v>
      </c>
    </row>
    <row r="148">
      <c r="A148" s="8" t="s">
        <v>188</v>
      </c>
      <c r="B148" s="8" t="s">
        <v>189</v>
      </c>
      <c r="C148" s="9">
        <v>46126.99998842592</v>
      </c>
      <c r="D148" s="8" t="s">
        <v>190</v>
      </c>
      <c r="E148" s="8" t="s">
        <v>101</v>
      </c>
      <c r="F148" s="8" t="s">
        <v>102</v>
      </c>
      <c r="G148" s="8" t="s">
        <v>75</v>
      </c>
      <c r="H148" s="8" t="s">
        <v>76</v>
      </c>
      <c r="I148" s="10">
        <v>24.0</v>
      </c>
      <c r="J148" s="10">
        <v>24.0</v>
      </c>
      <c r="K148" s="10">
        <v>0.0</v>
      </c>
      <c r="L148" s="11">
        <v>0.0</v>
      </c>
      <c r="M148" s="12">
        <v>0.0</v>
      </c>
      <c r="N148" s="12">
        <v>0.0</v>
      </c>
      <c r="O148" s="12">
        <v>0.0</v>
      </c>
      <c r="P148" s="11">
        <v>0.0</v>
      </c>
    </row>
    <row r="149">
      <c r="A149" s="8" t="s">
        <v>188</v>
      </c>
      <c r="B149" s="8" t="s">
        <v>189</v>
      </c>
      <c r="C149" s="9">
        <v>46126.99998842592</v>
      </c>
      <c r="D149" s="8" t="s">
        <v>190</v>
      </c>
      <c r="E149" s="8" t="s">
        <v>225</v>
      </c>
      <c r="F149" s="8" t="s">
        <v>226</v>
      </c>
      <c r="G149" s="8" t="s">
        <v>75</v>
      </c>
      <c r="H149" s="8" t="s">
        <v>76</v>
      </c>
      <c r="I149" s="10">
        <v>0.0</v>
      </c>
      <c r="J149" s="10">
        <v>0.0</v>
      </c>
      <c r="K149" s="10">
        <v>0.0</v>
      </c>
      <c r="L149" s="11">
        <v>0.0</v>
      </c>
      <c r="M149" s="12">
        <v>0.0</v>
      </c>
      <c r="N149" s="12">
        <v>0.0</v>
      </c>
      <c r="O149" s="12">
        <v>0.0</v>
      </c>
      <c r="P149" s="11">
        <v>0.0</v>
      </c>
    </row>
    <row r="150">
      <c r="A150" s="8" t="s">
        <v>188</v>
      </c>
      <c r="B150" s="8" t="s">
        <v>189</v>
      </c>
      <c r="C150" s="9">
        <v>46126.99998842592</v>
      </c>
      <c r="D150" s="8" t="s">
        <v>190</v>
      </c>
      <c r="E150" s="8" t="s">
        <v>227</v>
      </c>
      <c r="F150" s="8" t="s">
        <v>228</v>
      </c>
      <c r="G150" s="8" t="s">
        <v>75</v>
      </c>
      <c r="H150" s="8" t="s">
        <v>76</v>
      </c>
      <c r="I150" s="10">
        <v>0.0</v>
      </c>
      <c r="J150" s="10">
        <v>0.0</v>
      </c>
      <c r="K150" s="10">
        <v>0.0</v>
      </c>
      <c r="L150" s="11">
        <v>0.0</v>
      </c>
      <c r="M150" s="12">
        <v>0.0</v>
      </c>
      <c r="N150" s="12">
        <v>0.0</v>
      </c>
      <c r="O150" s="12">
        <v>0.0</v>
      </c>
      <c r="P150" s="11">
        <v>0.0</v>
      </c>
    </row>
    <row r="151">
      <c r="A151" s="8" t="s">
        <v>188</v>
      </c>
      <c r="B151" s="8" t="s">
        <v>189</v>
      </c>
      <c r="C151" s="9">
        <v>46126.99998842592</v>
      </c>
      <c r="D151" s="8" t="s">
        <v>190</v>
      </c>
      <c r="E151" s="8" t="s">
        <v>93</v>
      </c>
      <c r="F151" s="8" t="s">
        <v>94</v>
      </c>
      <c r="G151" s="8" t="s">
        <v>75</v>
      </c>
      <c r="H151" s="8" t="s">
        <v>76</v>
      </c>
      <c r="I151" s="10">
        <v>14.0</v>
      </c>
      <c r="J151" s="10">
        <v>14.0</v>
      </c>
      <c r="K151" s="10">
        <v>0.0</v>
      </c>
      <c r="L151" s="11">
        <v>0.0</v>
      </c>
      <c r="M151" s="12">
        <v>0.0</v>
      </c>
      <c r="N151" s="12">
        <v>0.0</v>
      </c>
      <c r="O151" s="12">
        <v>0.0</v>
      </c>
      <c r="P151" s="11">
        <v>0.0</v>
      </c>
    </row>
    <row r="152">
      <c r="A152" s="8" t="s">
        <v>188</v>
      </c>
      <c r="B152" s="8" t="s">
        <v>189</v>
      </c>
      <c r="C152" s="9">
        <v>46126.99998842592</v>
      </c>
      <c r="D152" s="8" t="s">
        <v>190</v>
      </c>
      <c r="E152" s="8" t="s">
        <v>89</v>
      </c>
      <c r="F152" s="8" t="s">
        <v>90</v>
      </c>
      <c r="G152" s="8" t="s">
        <v>75</v>
      </c>
      <c r="H152" s="8" t="s">
        <v>76</v>
      </c>
      <c r="I152" s="10">
        <v>0.0</v>
      </c>
      <c r="J152" s="10">
        <v>0.0</v>
      </c>
      <c r="K152" s="10">
        <v>0.0</v>
      </c>
      <c r="L152" s="11">
        <v>0.0</v>
      </c>
      <c r="M152" s="12">
        <v>0.0</v>
      </c>
      <c r="N152" s="12">
        <v>0.0</v>
      </c>
      <c r="O152" s="12">
        <v>0.0</v>
      </c>
      <c r="P152" s="11">
        <v>0.0</v>
      </c>
    </row>
    <row r="153">
      <c r="A153" s="8" t="s">
        <v>188</v>
      </c>
      <c r="B153" s="8" t="s">
        <v>189</v>
      </c>
      <c r="C153" s="9">
        <v>46126.99998842592</v>
      </c>
      <c r="D153" s="8" t="s">
        <v>190</v>
      </c>
      <c r="E153" s="8" t="s">
        <v>91</v>
      </c>
      <c r="F153" s="8" t="s">
        <v>92</v>
      </c>
      <c r="G153" s="8" t="s">
        <v>75</v>
      </c>
      <c r="H153" s="8" t="s">
        <v>76</v>
      </c>
      <c r="I153" s="10">
        <v>0.0</v>
      </c>
      <c r="J153" s="10">
        <v>0.0</v>
      </c>
      <c r="K153" s="10">
        <v>0.0</v>
      </c>
      <c r="L153" s="11">
        <v>0.0</v>
      </c>
      <c r="M153" s="12">
        <v>0.0</v>
      </c>
      <c r="N153" s="12">
        <v>0.0</v>
      </c>
      <c r="O153" s="12">
        <v>0.0</v>
      </c>
      <c r="P153" s="11">
        <v>0.0</v>
      </c>
    </row>
    <row r="154">
      <c r="A154" s="8" t="s">
        <v>188</v>
      </c>
      <c r="B154" s="8" t="s">
        <v>189</v>
      </c>
      <c r="C154" s="9">
        <v>46126.99998842592</v>
      </c>
      <c r="D154" s="8" t="s">
        <v>190</v>
      </c>
      <c r="E154" s="8" t="s">
        <v>87</v>
      </c>
      <c r="F154" s="8" t="s">
        <v>88</v>
      </c>
      <c r="G154" s="8" t="s">
        <v>75</v>
      </c>
      <c r="H154" s="8" t="s">
        <v>76</v>
      </c>
      <c r="I154" s="10">
        <v>30.0</v>
      </c>
      <c r="J154" s="10">
        <v>30.0</v>
      </c>
      <c r="K154" s="10">
        <v>0.0</v>
      </c>
      <c r="L154" s="11">
        <v>0.0</v>
      </c>
      <c r="M154" s="12">
        <v>0.0</v>
      </c>
      <c r="N154" s="12">
        <v>0.0</v>
      </c>
      <c r="O154" s="12">
        <v>0.0</v>
      </c>
      <c r="P154" s="11">
        <v>0.0</v>
      </c>
    </row>
    <row r="155">
      <c r="A155" s="8" t="s">
        <v>188</v>
      </c>
      <c r="B155" s="8" t="s">
        <v>189</v>
      </c>
      <c r="C155" s="9">
        <v>46126.99998842592</v>
      </c>
      <c r="D155" s="8" t="s">
        <v>190</v>
      </c>
      <c r="E155" s="8" t="s">
        <v>48</v>
      </c>
      <c r="F155" s="8" t="s">
        <v>49</v>
      </c>
      <c r="G155" s="8" t="s">
        <v>22</v>
      </c>
      <c r="H155" s="8" t="s">
        <v>23</v>
      </c>
      <c r="I155" s="10">
        <v>2.6</v>
      </c>
      <c r="J155" s="10">
        <v>2.7</v>
      </c>
      <c r="K155" s="10">
        <v>0.1</v>
      </c>
      <c r="L155" s="11">
        <v>8961.0</v>
      </c>
      <c r="M155" s="12">
        <v>89610.0</v>
      </c>
      <c r="N155" s="12">
        <v>0.3</v>
      </c>
      <c r="O155" s="12">
        <v>0.0</v>
      </c>
      <c r="P155" s="11">
        <v>0.0</v>
      </c>
    </row>
    <row r="156">
      <c r="A156" s="8" t="s">
        <v>188</v>
      </c>
      <c r="B156" s="8" t="s">
        <v>189</v>
      </c>
      <c r="C156" s="9">
        <v>46126.99998842592</v>
      </c>
      <c r="D156" s="8" t="s">
        <v>190</v>
      </c>
      <c r="E156" s="8" t="s">
        <v>182</v>
      </c>
      <c r="F156" s="8" t="s">
        <v>183</v>
      </c>
      <c r="G156" s="8" t="s">
        <v>22</v>
      </c>
      <c r="H156" s="8" t="s">
        <v>23</v>
      </c>
      <c r="I156" s="10">
        <v>-0.073</v>
      </c>
      <c r="J156" s="10">
        <v>3.2</v>
      </c>
      <c r="K156" s="10">
        <v>3.273</v>
      </c>
      <c r="L156" s="11">
        <v>99401.0</v>
      </c>
      <c r="M156" s="12">
        <v>30370.0</v>
      </c>
      <c r="N156" s="12">
        <v>0.3</v>
      </c>
      <c r="O156" s="12">
        <v>2.9730000000000003</v>
      </c>
      <c r="P156" s="11">
        <v>90290.01000000001</v>
      </c>
    </row>
    <row r="157">
      <c r="A157" s="8" t="s">
        <v>188</v>
      </c>
      <c r="B157" s="8" t="s">
        <v>189</v>
      </c>
      <c r="C157" s="9">
        <v>46126.99998842592</v>
      </c>
      <c r="D157" s="8" t="s">
        <v>190</v>
      </c>
      <c r="E157" s="8" t="s">
        <v>178</v>
      </c>
      <c r="F157" s="8" t="s">
        <v>179</v>
      </c>
      <c r="G157" s="8" t="s">
        <v>22</v>
      </c>
      <c r="H157" s="8" t="s">
        <v>23</v>
      </c>
      <c r="I157" s="10">
        <v>3.245</v>
      </c>
      <c r="J157" s="10">
        <v>2.3</v>
      </c>
      <c r="K157" s="10">
        <v>-0.945</v>
      </c>
      <c r="L157" s="11">
        <v>-19457.0</v>
      </c>
      <c r="M157" s="12">
        <v>20589.42</v>
      </c>
      <c r="N157" s="12">
        <v>0.3</v>
      </c>
      <c r="O157" s="12">
        <v>0.645</v>
      </c>
      <c r="P157" s="11">
        <v>13280.175899999998</v>
      </c>
    </row>
    <row r="158">
      <c r="A158" s="8" t="s">
        <v>188</v>
      </c>
      <c r="B158" s="8" t="s">
        <v>189</v>
      </c>
      <c r="C158" s="9">
        <v>46126.99998842592</v>
      </c>
      <c r="D158" s="8" t="s">
        <v>190</v>
      </c>
      <c r="E158" s="8" t="s">
        <v>176</v>
      </c>
      <c r="F158" s="8" t="s">
        <v>177</v>
      </c>
      <c r="G158" s="8" t="s">
        <v>22</v>
      </c>
      <c r="H158" s="8" t="s">
        <v>23</v>
      </c>
      <c r="I158" s="10">
        <v>1.38</v>
      </c>
      <c r="J158" s="10">
        <v>1.25</v>
      </c>
      <c r="K158" s="10">
        <v>-0.13</v>
      </c>
      <c r="L158" s="11">
        <v>-5462.0</v>
      </c>
      <c r="M158" s="12">
        <v>42015.38</v>
      </c>
      <c r="N158" s="12">
        <v>0.3</v>
      </c>
      <c r="O158" s="12">
        <v>0.0</v>
      </c>
      <c r="P158" s="11">
        <v>0.0</v>
      </c>
    </row>
    <row r="159">
      <c r="A159" s="8" t="s">
        <v>188</v>
      </c>
      <c r="B159" s="8" t="s">
        <v>189</v>
      </c>
      <c r="C159" s="9">
        <v>46126.99998842592</v>
      </c>
      <c r="D159" s="8" t="s">
        <v>190</v>
      </c>
      <c r="E159" s="8" t="s">
        <v>174</v>
      </c>
      <c r="F159" s="8" t="s">
        <v>175</v>
      </c>
      <c r="G159" s="8" t="s">
        <v>22</v>
      </c>
      <c r="H159" s="8" t="s">
        <v>23</v>
      </c>
      <c r="I159" s="10">
        <v>1.89</v>
      </c>
      <c r="J159" s="10">
        <v>1.9</v>
      </c>
      <c r="K159" s="10">
        <v>0.01</v>
      </c>
      <c r="L159" s="11">
        <v>3500.0</v>
      </c>
      <c r="M159" s="12">
        <v>350000.0</v>
      </c>
      <c r="N159" s="12">
        <v>0.3</v>
      </c>
      <c r="O159" s="12">
        <v>0.0</v>
      </c>
      <c r="P159" s="11">
        <v>0.0</v>
      </c>
    </row>
    <row r="160">
      <c r="A160" s="8" t="s">
        <v>188</v>
      </c>
      <c r="B160" s="8" t="s">
        <v>189</v>
      </c>
      <c r="C160" s="9">
        <v>46126.99998842592</v>
      </c>
      <c r="D160" s="8" t="s">
        <v>190</v>
      </c>
      <c r="E160" s="8" t="s">
        <v>172</v>
      </c>
      <c r="F160" s="8" t="s">
        <v>173</v>
      </c>
      <c r="G160" s="8" t="s">
        <v>22</v>
      </c>
      <c r="H160" s="8" t="s">
        <v>23</v>
      </c>
      <c r="I160" s="10">
        <v>-0.12</v>
      </c>
      <c r="J160" s="10">
        <v>0.0</v>
      </c>
      <c r="K160" s="10">
        <v>0.12</v>
      </c>
      <c r="L160" s="11">
        <v>23160.0</v>
      </c>
      <c r="M160" s="12">
        <v>193000.0</v>
      </c>
      <c r="N160" s="12">
        <v>0.3</v>
      </c>
      <c r="O160" s="12">
        <v>0.0</v>
      </c>
      <c r="P160" s="11">
        <v>0.0</v>
      </c>
    </row>
    <row r="161">
      <c r="A161" s="8" t="s">
        <v>188</v>
      </c>
      <c r="B161" s="8" t="s">
        <v>189</v>
      </c>
      <c r="C161" s="9">
        <v>46126.99998842592</v>
      </c>
      <c r="D161" s="8" t="s">
        <v>190</v>
      </c>
      <c r="E161" s="8" t="s">
        <v>130</v>
      </c>
      <c r="F161" s="8" t="s">
        <v>131</v>
      </c>
      <c r="G161" s="8" t="s">
        <v>22</v>
      </c>
      <c r="H161" s="8" t="s">
        <v>23</v>
      </c>
      <c r="I161" s="10">
        <v>1.69</v>
      </c>
      <c r="J161" s="10">
        <v>1.65</v>
      </c>
      <c r="K161" s="10">
        <v>-0.04</v>
      </c>
      <c r="L161" s="11">
        <v>-5600.0</v>
      </c>
      <c r="M161" s="12">
        <v>140000.0</v>
      </c>
      <c r="N161" s="12">
        <v>0.3</v>
      </c>
      <c r="O161" s="12">
        <v>0.0</v>
      </c>
      <c r="P161" s="11">
        <v>0.0</v>
      </c>
    </row>
    <row r="162">
      <c r="A162" s="8" t="s">
        <v>188</v>
      </c>
      <c r="B162" s="8" t="s">
        <v>189</v>
      </c>
      <c r="C162" s="9">
        <v>46126.99998842592</v>
      </c>
      <c r="D162" s="8" t="s">
        <v>190</v>
      </c>
      <c r="E162" s="8" t="s">
        <v>46</v>
      </c>
      <c r="F162" s="8" t="s">
        <v>47</v>
      </c>
      <c r="G162" s="8" t="s">
        <v>22</v>
      </c>
      <c r="H162" s="8" t="s">
        <v>23</v>
      </c>
      <c r="I162" s="10">
        <v>0.8</v>
      </c>
      <c r="J162" s="10">
        <v>0.8</v>
      </c>
      <c r="K162" s="10">
        <v>0.0</v>
      </c>
      <c r="L162" s="11">
        <v>0.0</v>
      </c>
      <c r="M162" s="12">
        <v>0.0</v>
      </c>
      <c r="N162" s="12">
        <v>0.3</v>
      </c>
      <c r="O162" s="12">
        <v>0.0</v>
      </c>
      <c r="P162" s="11">
        <v>0.0</v>
      </c>
    </row>
    <row r="163">
      <c r="A163" s="8" t="s">
        <v>188</v>
      </c>
      <c r="B163" s="8" t="s">
        <v>189</v>
      </c>
      <c r="C163" s="9">
        <v>46126.99998842592</v>
      </c>
      <c r="D163" s="8" t="s">
        <v>190</v>
      </c>
      <c r="E163" s="8" t="s">
        <v>229</v>
      </c>
      <c r="F163" s="8" t="s">
        <v>230</v>
      </c>
      <c r="G163" s="8" t="s">
        <v>22</v>
      </c>
      <c r="H163" s="8" t="s">
        <v>23</v>
      </c>
      <c r="I163" s="10">
        <v>0.0</v>
      </c>
      <c r="J163" s="10">
        <v>0.0</v>
      </c>
      <c r="K163" s="10">
        <v>0.0</v>
      </c>
      <c r="L163" s="11">
        <v>0.0</v>
      </c>
      <c r="M163" s="12">
        <v>0.0</v>
      </c>
      <c r="N163" s="12">
        <v>0.3</v>
      </c>
      <c r="O163" s="12">
        <v>0.0</v>
      </c>
      <c r="P163" s="11">
        <v>0.0</v>
      </c>
    </row>
    <row r="164">
      <c r="A164" s="8" t="s">
        <v>188</v>
      </c>
      <c r="B164" s="8" t="s">
        <v>189</v>
      </c>
      <c r="C164" s="9">
        <v>46126.99998842592</v>
      </c>
      <c r="D164" s="8" t="s">
        <v>190</v>
      </c>
      <c r="E164" s="8" t="s">
        <v>231</v>
      </c>
      <c r="F164" s="8" t="s">
        <v>232</v>
      </c>
      <c r="G164" s="8" t="s">
        <v>22</v>
      </c>
      <c r="H164" s="8" t="s">
        <v>23</v>
      </c>
      <c r="I164" s="10">
        <v>-0.177</v>
      </c>
      <c r="J164" s="10">
        <v>0.5</v>
      </c>
      <c r="K164" s="10">
        <v>0.677</v>
      </c>
      <c r="L164" s="11">
        <v>42732.0</v>
      </c>
      <c r="M164" s="12">
        <v>63119.65</v>
      </c>
      <c r="N164" s="12">
        <v>0.3</v>
      </c>
      <c r="O164" s="12">
        <v>0.37700000000000006</v>
      </c>
      <c r="P164" s="11">
        <v>23796.108050000003</v>
      </c>
    </row>
    <row r="165">
      <c r="A165" s="8" t="s">
        <v>188</v>
      </c>
      <c r="B165" s="8" t="s">
        <v>189</v>
      </c>
      <c r="C165" s="9">
        <v>46126.99998842592</v>
      </c>
      <c r="D165" s="8" t="s">
        <v>190</v>
      </c>
      <c r="E165" s="8" t="s">
        <v>170</v>
      </c>
      <c r="F165" s="8" t="s">
        <v>171</v>
      </c>
      <c r="G165" s="8" t="s">
        <v>22</v>
      </c>
      <c r="H165" s="8" t="s">
        <v>23</v>
      </c>
      <c r="I165" s="10">
        <v>0.525</v>
      </c>
      <c r="J165" s="10">
        <v>0.65</v>
      </c>
      <c r="K165" s="10">
        <v>0.125</v>
      </c>
      <c r="L165" s="11">
        <v>4848.0</v>
      </c>
      <c r="M165" s="12">
        <v>38784.0</v>
      </c>
      <c r="N165" s="12">
        <v>0.3</v>
      </c>
      <c r="O165" s="12">
        <v>0.0</v>
      </c>
      <c r="P165" s="11">
        <v>0.0</v>
      </c>
    </row>
    <row r="166">
      <c r="A166" s="8" t="s">
        <v>188</v>
      </c>
      <c r="B166" s="8" t="s">
        <v>189</v>
      </c>
      <c r="C166" s="9">
        <v>46126.99998842592</v>
      </c>
      <c r="D166" s="8" t="s">
        <v>190</v>
      </c>
      <c r="E166" s="8" t="s">
        <v>128</v>
      </c>
      <c r="F166" s="8" t="s">
        <v>129</v>
      </c>
      <c r="G166" s="8" t="s">
        <v>22</v>
      </c>
      <c r="H166" s="8" t="s">
        <v>23</v>
      </c>
      <c r="I166" s="10">
        <v>0.8</v>
      </c>
      <c r="J166" s="10">
        <v>0.7</v>
      </c>
      <c r="K166" s="10">
        <v>-0.1</v>
      </c>
      <c r="L166" s="11">
        <v>-7997.0</v>
      </c>
      <c r="M166" s="12">
        <v>79970.0</v>
      </c>
      <c r="N166" s="12">
        <v>0.3</v>
      </c>
      <c r="O166" s="12">
        <v>0.0</v>
      </c>
      <c r="P166" s="11">
        <v>0.0</v>
      </c>
    </row>
    <row r="167">
      <c r="A167" s="8" t="s">
        <v>188</v>
      </c>
      <c r="B167" s="8" t="s">
        <v>189</v>
      </c>
      <c r="C167" s="9">
        <v>46126.99998842592</v>
      </c>
      <c r="D167" s="8" t="s">
        <v>190</v>
      </c>
      <c r="E167" s="8" t="s">
        <v>42</v>
      </c>
      <c r="F167" s="8" t="s">
        <v>43</v>
      </c>
      <c r="G167" s="8" t="s">
        <v>44</v>
      </c>
      <c r="H167" s="8" t="s">
        <v>45</v>
      </c>
      <c r="I167" s="10">
        <v>0.0</v>
      </c>
      <c r="J167" s="10">
        <v>0.0</v>
      </c>
      <c r="K167" s="10">
        <v>0.0</v>
      </c>
      <c r="L167" s="11">
        <v>0.0</v>
      </c>
      <c r="M167" s="12">
        <v>0.0</v>
      </c>
      <c r="N167" s="12">
        <v>0.0</v>
      </c>
      <c r="O167" s="12">
        <v>0.0</v>
      </c>
      <c r="P167" s="11">
        <v>0.0</v>
      </c>
    </row>
    <row r="168">
      <c r="A168" s="8" t="s">
        <v>17</v>
      </c>
      <c r="B168" s="8" t="s">
        <v>233</v>
      </c>
      <c r="C168" s="9">
        <v>46127.735601851855</v>
      </c>
      <c r="D168" s="8" t="s">
        <v>234</v>
      </c>
      <c r="E168" s="8" t="s">
        <v>182</v>
      </c>
      <c r="F168" s="8" t="s">
        <v>183</v>
      </c>
      <c r="G168" s="8" t="s">
        <v>22</v>
      </c>
      <c r="H168" s="8" t="s">
        <v>23</v>
      </c>
      <c r="I168" s="10">
        <v>2.193002</v>
      </c>
      <c r="J168" s="10">
        <v>3.15</v>
      </c>
      <c r="K168" s="10">
        <v>0.956998</v>
      </c>
      <c r="L168" s="11">
        <v>28745.0</v>
      </c>
      <c r="M168" s="12">
        <v>30036.64</v>
      </c>
      <c r="N168" s="12">
        <v>0.3</v>
      </c>
      <c r="O168" s="12">
        <v>0.656998</v>
      </c>
      <c r="P168" s="11">
        <v>19734.012406719998</v>
      </c>
    </row>
    <row r="169">
      <c r="A169" s="8" t="s">
        <v>17</v>
      </c>
      <c r="B169" s="8" t="s">
        <v>233</v>
      </c>
      <c r="C169" s="9">
        <v>46127.735601851855</v>
      </c>
      <c r="D169" s="8" t="s">
        <v>234</v>
      </c>
      <c r="E169" s="8" t="s">
        <v>142</v>
      </c>
      <c r="F169" s="8" t="s">
        <v>143</v>
      </c>
      <c r="G169" s="8" t="s">
        <v>144</v>
      </c>
      <c r="H169" s="8" t="s">
        <v>145</v>
      </c>
      <c r="I169" s="10">
        <v>0.0</v>
      </c>
      <c r="J169" s="10">
        <v>0.0</v>
      </c>
      <c r="K169" s="10">
        <v>0.0</v>
      </c>
      <c r="L169" s="11">
        <v>0.0</v>
      </c>
      <c r="M169" s="12">
        <v>0.0</v>
      </c>
      <c r="N169" s="12">
        <v>0.0</v>
      </c>
      <c r="O169" s="12">
        <v>0.0</v>
      </c>
      <c r="P169" s="11">
        <v>0.0</v>
      </c>
    </row>
    <row r="170">
      <c r="A170" s="8" t="s">
        <v>17</v>
      </c>
      <c r="B170" s="8" t="s">
        <v>233</v>
      </c>
      <c r="C170" s="9">
        <v>46127.735601851855</v>
      </c>
      <c r="D170" s="8" t="s">
        <v>234</v>
      </c>
      <c r="E170" s="8" t="s">
        <v>140</v>
      </c>
      <c r="F170" s="8" t="s">
        <v>141</v>
      </c>
      <c r="G170" s="8" t="s">
        <v>22</v>
      </c>
      <c r="H170" s="8" t="s">
        <v>23</v>
      </c>
      <c r="I170" s="10">
        <v>1.521</v>
      </c>
      <c r="J170" s="10">
        <v>1.19</v>
      </c>
      <c r="K170" s="10">
        <v>-0.331</v>
      </c>
      <c r="L170" s="11">
        <v>-5225.0</v>
      </c>
      <c r="M170" s="12">
        <v>15785.5</v>
      </c>
      <c r="N170" s="12">
        <v>0.3</v>
      </c>
      <c r="O170" s="12">
        <v>0.031000000000000028</v>
      </c>
      <c r="P170" s="11">
        <v>489.3505000000004</v>
      </c>
    </row>
    <row r="171">
      <c r="A171" s="8" t="s">
        <v>17</v>
      </c>
      <c r="B171" s="8" t="s">
        <v>233</v>
      </c>
      <c r="C171" s="9">
        <v>46127.735601851855</v>
      </c>
      <c r="D171" s="8" t="s">
        <v>234</v>
      </c>
      <c r="E171" s="8" t="s">
        <v>148</v>
      </c>
      <c r="F171" s="8" t="s">
        <v>149</v>
      </c>
      <c r="G171" s="8" t="s">
        <v>156</v>
      </c>
      <c r="H171" s="8" t="s">
        <v>157</v>
      </c>
      <c r="I171" s="10">
        <v>0.75</v>
      </c>
      <c r="J171" s="10">
        <v>0.4</v>
      </c>
      <c r="K171" s="10">
        <v>-0.35</v>
      </c>
      <c r="L171" s="11">
        <v>-21635.0</v>
      </c>
      <c r="M171" s="12">
        <v>61814.29</v>
      </c>
      <c r="N171" s="12">
        <v>0.3</v>
      </c>
      <c r="O171" s="12">
        <v>0.04999999999999999</v>
      </c>
      <c r="P171" s="11">
        <v>3090.714499999999</v>
      </c>
    </row>
    <row r="172">
      <c r="A172" s="8" t="s">
        <v>17</v>
      </c>
      <c r="B172" s="8" t="s">
        <v>233</v>
      </c>
      <c r="C172" s="9">
        <v>46127.735601851855</v>
      </c>
      <c r="D172" s="8" t="s">
        <v>234</v>
      </c>
      <c r="E172" s="8" t="s">
        <v>191</v>
      </c>
      <c r="F172" s="8" t="s">
        <v>192</v>
      </c>
      <c r="G172" s="8" t="s">
        <v>75</v>
      </c>
      <c r="H172" s="8" t="s">
        <v>76</v>
      </c>
      <c r="I172" s="10">
        <v>8.0</v>
      </c>
      <c r="J172" s="10">
        <v>9.0</v>
      </c>
      <c r="K172" s="10">
        <v>1.0</v>
      </c>
      <c r="L172" s="11">
        <v>45400.0</v>
      </c>
      <c r="M172" s="12">
        <v>45400.0</v>
      </c>
      <c r="N172" s="12">
        <v>0.0</v>
      </c>
      <c r="O172" s="12">
        <v>1.0</v>
      </c>
      <c r="P172" s="11">
        <v>45400.0</v>
      </c>
    </row>
    <row r="173">
      <c r="A173" s="8" t="s">
        <v>17</v>
      </c>
      <c r="B173" s="8" t="s">
        <v>233</v>
      </c>
      <c r="C173" s="9">
        <v>46127.735601851855</v>
      </c>
      <c r="D173" s="8" t="s">
        <v>234</v>
      </c>
      <c r="E173" s="8" t="s">
        <v>150</v>
      </c>
      <c r="F173" s="8" t="s">
        <v>151</v>
      </c>
      <c r="G173" s="8" t="s">
        <v>22</v>
      </c>
      <c r="H173" s="8" t="s">
        <v>23</v>
      </c>
      <c r="I173" s="10">
        <v>1.4</v>
      </c>
      <c r="J173" s="10">
        <v>0.3</v>
      </c>
      <c r="K173" s="10">
        <v>-1.1</v>
      </c>
      <c r="L173" s="11">
        <v>-19332.0</v>
      </c>
      <c r="M173" s="12">
        <v>17574.55</v>
      </c>
      <c r="N173" s="12">
        <v>0.3</v>
      </c>
      <c r="O173" s="12">
        <v>0.8</v>
      </c>
      <c r="P173" s="11">
        <v>14059.64</v>
      </c>
    </row>
    <row r="174">
      <c r="A174" s="8" t="s">
        <v>17</v>
      </c>
      <c r="B174" s="8" t="s">
        <v>233</v>
      </c>
      <c r="C174" s="9">
        <v>46127.735601851855</v>
      </c>
      <c r="D174" s="8" t="s">
        <v>234</v>
      </c>
      <c r="E174" s="8" t="s">
        <v>158</v>
      </c>
      <c r="F174" s="8" t="s">
        <v>159</v>
      </c>
      <c r="G174" s="8" t="s">
        <v>22</v>
      </c>
      <c r="H174" s="8" t="s">
        <v>23</v>
      </c>
      <c r="I174" s="10">
        <v>-0.639</v>
      </c>
      <c r="J174" s="10">
        <v>0.1</v>
      </c>
      <c r="K174" s="10">
        <v>0.739</v>
      </c>
      <c r="L174" s="11">
        <v>160469.0</v>
      </c>
      <c r="M174" s="12">
        <v>217143.44</v>
      </c>
      <c r="N174" s="12">
        <v>0.3</v>
      </c>
      <c r="O174" s="12">
        <v>0.439</v>
      </c>
      <c r="P174" s="11">
        <v>95325.97016</v>
      </c>
    </row>
    <row r="175">
      <c r="A175" s="8" t="s">
        <v>17</v>
      </c>
      <c r="B175" s="8" t="s">
        <v>233</v>
      </c>
      <c r="C175" s="9">
        <v>46127.735601851855</v>
      </c>
      <c r="D175" s="8" t="s">
        <v>234</v>
      </c>
      <c r="E175" s="8" t="s">
        <v>152</v>
      </c>
      <c r="F175" s="8" t="s">
        <v>153</v>
      </c>
      <c r="G175" s="8" t="s">
        <v>22</v>
      </c>
      <c r="H175" s="8" t="s">
        <v>23</v>
      </c>
      <c r="I175" s="10">
        <v>5.358</v>
      </c>
      <c r="J175" s="10">
        <v>1.99</v>
      </c>
      <c r="K175" s="10">
        <v>-3.368</v>
      </c>
      <c r="L175" s="11">
        <v>-50223.0</v>
      </c>
      <c r="M175" s="12">
        <v>14911.82</v>
      </c>
      <c r="N175" s="12">
        <v>0.3</v>
      </c>
      <c r="O175" s="12">
        <v>3.068</v>
      </c>
      <c r="P175" s="11">
        <v>45749.46376</v>
      </c>
    </row>
    <row r="176">
      <c r="A176" s="8" t="s">
        <v>17</v>
      </c>
      <c r="B176" s="8" t="s">
        <v>233</v>
      </c>
      <c r="C176" s="9">
        <v>46127.735601851855</v>
      </c>
      <c r="D176" s="8" t="s">
        <v>234</v>
      </c>
      <c r="E176" s="8" t="s">
        <v>203</v>
      </c>
      <c r="F176" s="8" t="s">
        <v>204</v>
      </c>
      <c r="G176" s="8" t="s">
        <v>112</v>
      </c>
      <c r="H176" s="8" t="s">
        <v>113</v>
      </c>
      <c r="I176" s="10">
        <v>0.485714</v>
      </c>
      <c r="J176" s="10">
        <v>0.5</v>
      </c>
      <c r="K176" s="10">
        <v>0.014286</v>
      </c>
      <c r="L176" s="11">
        <v>724.0</v>
      </c>
      <c r="M176" s="12">
        <v>50678.99</v>
      </c>
      <c r="N176" s="12">
        <v>0.0</v>
      </c>
      <c r="O176" s="12">
        <v>0.014286</v>
      </c>
      <c r="P176" s="11">
        <v>724.00005114</v>
      </c>
    </row>
    <row r="177">
      <c r="A177" s="8" t="s">
        <v>17</v>
      </c>
      <c r="B177" s="8" t="s">
        <v>233</v>
      </c>
      <c r="C177" s="9">
        <v>46127.735601851855</v>
      </c>
      <c r="D177" s="8" t="s">
        <v>234</v>
      </c>
      <c r="E177" s="8" t="s">
        <v>178</v>
      </c>
      <c r="F177" s="8" t="s">
        <v>179</v>
      </c>
      <c r="G177" s="8" t="s">
        <v>22</v>
      </c>
      <c r="H177" s="8" t="s">
        <v>23</v>
      </c>
      <c r="I177" s="10">
        <v>0.682</v>
      </c>
      <c r="J177" s="10">
        <v>0.6</v>
      </c>
      <c r="K177" s="10">
        <v>-0.082</v>
      </c>
      <c r="L177" s="11">
        <v>-1483.0</v>
      </c>
      <c r="M177" s="12">
        <v>18085.37</v>
      </c>
      <c r="N177" s="12">
        <v>0.3</v>
      </c>
      <c r="O177" s="12">
        <v>0.0</v>
      </c>
      <c r="P177" s="11">
        <v>0.0</v>
      </c>
    </row>
    <row r="178">
      <c r="A178" s="8" t="s">
        <v>17</v>
      </c>
      <c r="B178" s="8" t="s">
        <v>233</v>
      </c>
      <c r="C178" s="9">
        <v>46127.735601851855</v>
      </c>
      <c r="D178" s="8" t="s">
        <v>234</v>
      </c>
      <c r="E178" s="8" t="s">
        <v>184</v>
      </c>
      <c r="F178" s="8" t="s">
        <v>185</v>
      </c>
      <c r="G178" s="8" t="s">
        <v>22</v>
      </c>
      <c r="H178" s="8" t="s">
        <v>23</v>
      </c>
      <c r="I178" s="10">
        <v>3.573</v>
      </c>
      <c r="J178" s="10">
        <v>1.675</v>
      </c>
      <c r="K178" s="10">
        <v>-1.898</v>
      </c>
      <c r="L178" s="11">
        <v>-91982.0</v>
      </c>
      <c r="M178" s="12">
        <v>48462.59</v>
      </c>
      <c r="N178" s="12">
        <v>0.3</v>
      </c>
      <c r="O178" s="12">
        <v>1.5979999999999999</v>
      </c>
      <c r="P178" s="11">
        <v>77443.21882</v>
      </c>
    </row>
    <row r="179">
      <c r="A179" s="8" t="s">
        <v>17</v>
      </c>
      <c r="B179" s="8" t="s">
        <v>233</v>
      </c>
      <c r="C179" s="9">
        <v>46127.735601851855</v>
      </c>
      <c r="D179" s="8" t="s">
        <v>234</v>
      </c>
      <c r="E179" s="8" t="s">
        <v>174</v>
      </c>
      <c r="F179" s="8" t="s">
        <v>175</v>
      </c>
      <c r="G179" s="8" t="s">
        <v>22</v>
      </c>
      <c r="H179" s="8" t="s">
        <v>23</v>
      </c>
      <c r="I179" s="10">
        <v>1.789</v>
      </c>
      <c r="J179" s="10">
        <v>1.55</v>
      </c>
      <c r="K179" s="10">
        <v>-0.239</v>
      </c>
      <c r="L179" s="11">
        <v>-83650.0</v>
      </c>
      <c r="M179" s="12">
        <v>350000.0</v>
      </c>
      <c r="N179" s="12">
        <v>0.3</v>
      </c>
      <c r="O179" s="12">
        <v>0.0</v>
      </c>
      <c r="P179" s="11">
        <v>0.0</v>
      </c>
    </row>
    <row r="180">
      <c r="A180" s="8" t="s">
        <v>17</v>
      </c>
      <c r="B180" s="8" t="s">
        <v>233</v>
      </c>
      <c r="C180" s="9">
        <v>46127.735601851855</v>
      </c>
      <c r="D180" s="8" t="s">
        <v>234</v>
      </c>
      <c r="E180" s="8" t="s">
        <v>172</v>
      </c>
      <c r="F180" s="8" t="s">
        <v>173</v>
      </c>
      <c r="G180" s="8" t="s">
        <v>22</v>
      </c>
      <c r="H180" s="8" t="s">
        <v>23</v>
      </c>
      <c r="I180" s="10">
        <v>-0.12</v>
      </c>
      <c r="J180" s="10">
        <v>0.0</v>
      </c>
      <c r="K180" s="10">
        <v>0.12</v>
      </c>
      <c r="L180" s="11">
        <v>0.0</v>
      </c>
      <c r="M180" s="12">
        <v>0.0</v>
      </c>
      <c r="N180" s="12">
        <v>0.3</v>
      </c>
      <c r="O180" s="12">
        <v>0.0</v>
      </c>
      <c r="P180" s="11">
        <v>0.0</v>
      </c>
    </row>
    <row r="181">
      <c r="A181" s="8" t="s">
        <v>17</v>
      </c>
      <c r="B181" s="8" t="s">
        <v>233</v>
      </c>
      <c r="C181" s="9">
        <v>46127.735601851855</v>
      </c>
      <c r="D181" s="8" t="s">
        <v>234</v>
      </c>
      <c r="E181" s="8" t="s">
        <v>231</v>
      </c>
      <c r="F181" s="8" t="s">
        <v>232</v>
      </c>
      <c r="G181" s="8" t="s">
        <v>22</v>
      </c>
      <c r="H181" s="8" t="s">
        <v>23</v>
      </c>
      <c r="I181" s="10">
        <v>-0.372</v>
      </c>
      <c r="J181" s="10">
        <v>0.0</v>
      </c>
      <c r="K181" s="10">
        <v>0.372</v>
      </c>
      <c r="L181" s="11">
        <v>35207.0</v>
      </c>
      <c r="M181" s="12">
        <v>94642.47</v>
      </c>
      <c r="N181" s="12">
        <v>0.3</v>
      </c>
      <c r="O181" s="12">
        <v>0.07200000000000001</v>
      </c>
      <c r="P181" s="11">
        <v>6814.257840000001</v>
      </c>
    </row>
    <row r="182">
      <c r="A182" s="8" t="s">
        <v>17</v>
      </c>
      <c r="B182" s="8" t="s">
        <v>233</v>
      </c>
      <c r="C182" s="9">
        <v>46127.735601851855</v>
      </c>
      <c r="D182" s="8" t="s">
        <v>234</v>
      </c>
      <c r="E182" s="8" t="s">
        <v>186</v>
      </c>
      <c r="F182" s="8" t="s">
        <v>187</v>
      </c>
      <c r="G182" s="8" t="s">
        <v>22</v>
      </c>
      <c r="H182" s="8" t="s">
        <v>23</v>
      </c>
      <c r="I182" s="10">
        <v>0.261</v>
      </c>
      <c r="J182" s="10">
        <v>0.1</v>
      </c>
      <c r="K182" s="10">
        <v>-0.161</v>
      </c>
      <c r="L182" s="11">
        <v>-2531.0</v>
      </c>
      <c r="M182" s="12">
        <v>15720.5</v>
      </c>
      <c r="N182" s="12">
        <v>0.3</v>
      </c>
      <c r="O182" s="12">
        <v>0.0</v>
      </c>
      <c r="P182" s="11">
        <v>0.0</v>
      </c>
    </row>
    <row r="183">
      <c r="A183" s="8" t="s">
        <v>17</v>
      </c>
      <c r="B183" s="8" t="s">
        <v>233</v>
      </c>
      <c r="C183" s="9">
        <v>46127.735601851855</v>
      </c>
      <c r="D183" s="8" t="s">
        <v>234</v>
      </c>
      <c r="E183" s="8" t="s">
        <v>205</v>
      </c>
      <c r="F183" s="8" t="s">
        <v>206</v>
      </c>
      <c r="G183" s="8" t="s">
        <v>207</v>
      </c>
      <c r="H183" s="8" t="s">
        <v>208</v>
      </c>
      <c r="I183" s="10">
        <v>0.16</v>
      </c>
      <c r="J183" s="10">
        <v>0.0</v>
      </c>
      <c r="K183" s="10">
        <v>-0.16</v>
      </c>
      <c r="L183" s="11">
        <v>-10400.0</v>
      </c>
      <c r="M183" s="12">
        <v>65000.0</v>
      </c>
      <c r="N183" s="12">
        <v>0.5</v>
      </c>
      <c r="O183" s="12">
        <v>0.0</v>
      </c>
      <c r="P183" s="11">
        <v>0.0</v>
      </c>
    </row>
    <row r="184">
      <c r="A184" s="8" t="s">
        <v>17</v>
      </c>
      <c r="B184" s="8" t="s">
        <v>233</v>
      </c>
      <c r="C184" s="9">
        <v>46127.735601851855</v>
      </c>
      <c r="D184" s="8" t="s">
        <v>234</v>
      </c>
      <c r="E184" s="8" t="s">
        <v>168</v>
      </c>
      <c r="F184" s="8" t="s">
        <v>169</v>
      </c>
      <c r="G184" s="8" t="s">
        <v>22</v>
      </c>
      <c r="H184" s="8" t="s">
        <v>23</v>
      </c>
      <c r="I184" s="10">
        <v>0.63</v>
      </c>
      <c r="J184" s="10">
        <v>0.1</v>
      </c>
      <c r="K184" s="10">
        <v>-0.53</v>
      </c>
      <c r="L184" s="11">
        <v>-23242.0</v>
      </c>
      <c r="M184" s="12">
        <v>43852.83</v>
      </c>
      <c r="N184" s="12">
        <v>0.3</v>
      </c>
      <c r="O184" s="12">
        <v>0.23000000000000004</v>
      </c>
      <c r="P184" s="11">
        <v>10086.150900000002</v>
      </c>
    </row>
    <row r="185">
      <c r="A185" s="8" t="s">
        <v>17</v>
      </c>
      <c r="B185" s="8" t="s">
        <v>233</v>
      </c>
      <c r="C185" s="9">
        <v>46127.735601851855</v>
      </c>
      <c r="D185" s="8" t="s">
        <v>234</v>
      </c>
      <c r="E185" s="8" t="s">
        <v>166</v>
      </c>
      <c r="F185" s="8" t="s">
        <v>167</v>
      </c>
      <c r="G185" s="8" t="s">
        <v>22</v>
      </c>
      <c r="H185" s="8" t="s">
        <v>23</v>
      </c>
      <c r="I185" s="10">
        <v>4.165</v>
      </c>
      <c r="J185" s="10">
        <v>2.238</v>
      </c>
      <c r="K185" s="10">
        <v>-1.927</v>
      </c>
      <c r="L185" s="11">
        <v>-72673.0</v>
      </c>
      <c r="M185" s="12">
        <v>37713.03</v>
      </c>
      <c r="N185" s="12">
        <v>0.3</v>
      </c>
      <c r="O185" s="12">
        <v>1.627</v>
      </c>
      <c r="P185" s="11">
        <v>61359.09981</v>
      </c>
    </row>
    <row r="186">
      <c r="A186" s="8" t="s">
        <v>17</v>
      </c>
      <c r="B186" s="8" t="s">
        <v>233</v>
      </c>
      <c r="C186" s="9">
        <v>46127.735601851855</v>
      </c>
      <c r="D186" s="8" t="s">
        <v>234</v>
      </c>
      <c r="E186" s="8" t="s">
        <v>164</v>
      </c>
      <c r="F186" s="8" t="s">
        <v>165</v>
      </c>
      <c r="G186" s="8" t="s">
        <v>22</v>
      </c>
      <c r="H186" s="8" t="s">
        <v>23</v>
      </c>
      <c r="I186" s="10">
        <v>0.0</v>
      </c>
      <c r="J186" s="10">
        <v>0.0</v>
      </c>
      <c r="K186" s="10">
        <v>0.0</v>
      </c>
      <c r="L186" s="11">
        <v>0.0</v>
      </c>
      <c r="M186" s="12">
        <v>0.0</v>
      </c>
      <c r="N186" s="12">
        <v>0.3</v>
      </c>
      <c r="O186" s="12">
        <v>0.0</v>
      </c>
      <c r="P186" s="11">
        <v>0.0</v>
      </c>
    </row>
    <row r="187">
      <c r="A187" s="8" t="s">
        <v>17</v>
      </c>
      <c r="B187" s="8" t="s">
        <v>233</v>
      </c>
      <c r="C187" s="9">
        <v>46127.735601851855</v>
      </c>
      <c r="D187" s="8" t="s">
        <v>234</v>
      </c>
      <c r="E187" s="8" t="s">
        <v>162</v>
      </c>
      <c r="F187" s="8" t="s">
        <v>163</v>
      </c>
      <c r="G187" s="8" t="s">
        <v>22</v>
      </c>
      <c r="H187" s="8" t="s">
        <v>23</v>
      </c>
      <c r="I187" s="10">
        <v>2.499892</v>
      </c>
      <c r="J187" s="10">
        <v>2.15</v>
      </c>
      <c r="K187" s="10">
        <v>-0.349892</v>
      </c>
      <c r="L187" s="11">
        <v>-59490.0</v>
      </c>
      <c r="M187" s="12">
        <v>170023.89</v>
      </c>
      <c r="N187" s="12">
        <v>0.3</v>
      </c>
      <c r="O187" s="12">
        <v>0.04989199999999999</v>
      </c>
      <c r="P187" s="11">
        <v>8482.83191988</v>
      </c>
    </row>
    <row r="188">
      <c r="A188" s="8" t="s">
        <v>17</v>
      </c>
      <c r="B188" s="8" t="s">
        <v>233</v>
      </c>
      <c r="C188" s="9">
        <v>46127.735601851855</v>
      </c>
      <c r="D188" s="8" t="s">
        <v>234</v>
      </c>
      <c r="E188" s="8" t="s">
        <v>160</v>
      </c>
      <c r="F188" s="8" t="s">
        <v>161</v>
      </c>
      <c r="G188" s="8" t="s">
        <v>156</v>
      </c>
      <c r="H188" s="8" t="s">
        <v>157</v>
      </c>
      <c r="I188" s="10">
        <v>2.015</v>
      </c>
      <c r="J188" s="10">
        <v>1.8</v>
      </c>
      <c r="K188" s="10">
        <v>-0.215</v>
      </c>
      <c r="L188" s="11">
        <v>-3041.0</v>
      </c>
      <c r="M188" s="12">
        <v>14144.19</v>
      </c>
      <c r="N188" s="12">
        <v>0.3</v>
      </c>
      <c r="O188" s="12">
        <v>0.0</v>
      </c>
      <c r="P188" s="11">
        <v>0.0</v>
      </c>
    </row>
    <row r="189">
      <c r="A189" s="8" t="s">
        <v>17</v>
      </c>
      <c r="B189" s="8" t="s">
        <v>233</v>
      </c>
      <c r="C189" s="9">
        <v>46127.735601851855</v>
      </c>
      <c r="D189" s="8" t="s">
        <v>234</v>
      </c>
      <c r="E189" s="8" t="s">
        <v>176</v>
      </c>
      <c r="F189" s="8" t="s">
        <v>177</v>
      </c>
      <c r="G189" s="8" t="s">
        <v>22</v>
      </c>
      <c r="H189" s="8" t="s">
        <v>23</v>
      </c>
      <c r="I189" s="10">
        <v>1.9</v>
      </c>
      <c r="J189" s="10">
        <v>1.6</v>
      </c>
      <c r="K189" s="10">
        <v>-0.3</v>
      </c>
      <c r="L189" s="11">
        <v>-12551.0</v>
      </c>
      <c r="M189" s="12">
        <v>41836.67</v>
      </c>
      <c r="N189" s="12">
        <v>0.3</v>
      </c>
      <c r="O189" s="12">
        <v>0.0</v>
      </c>
      <c r="P189" s="11">
        <v>0.0</v>
      </c>
    </row>
    <row r="190">
      <c r="A190" s="8" t="s">
        <v>17</v>
      </c>
      <c r="B190" s="8" t="s">
        <v>235</v>
      </c>
      <c r="C190" s="9">
        <v>46127.74103009259</v>
      </c>
      <c r="D190" s="8" t="s">
        <v>236</v>
      </c>
      <c r="E190" s="8" t="s">
        <v>237</v>
      </c>
      <c r="F190" s="8" t="s">
        <v>238</v>
      </c>
      <c r="G190" s="8" t="s">
        <v>156</v>
      </c>
      <c r="H190" s="8" t="s">
        <v>157</v>
      </c>
      <c r="I190" s="10">
        <v>1.77</v>
      </c>
      <c r="J190" s="10">
        <v>1.7</v>
      </c>
      <c r="K190" s="10">
        <v>-0.07</v>
      </c>
      <c r="L190" s="11">
        <v>-4303.0</v>
      </c>
      <c r="M190" s="12">
        <v>61471.43</v>
      </c>
      <c r="N190" s="12">
        <v>0.3</v>
      </c>
      <c r="O190" s="12">
        <v>0.0</v>
      </c>
      <c r="P190" s="11">
        <v>0.0</v>
      </c>
    </row>
    <row r="191">
      <c r="A191" s="8" t="s">
        <v>17</v>
      </c>
      <c r="B191" s="8" t="s">
        <v>235</v>
      </c>
      <c r="C191" s="9">
        <v>46127.74103009259</v>
      </c>
      <c r="D191" s="8" t="s">
        <v>236</v>
      </c>
      <c r="E191" s="8" t="s">
        <v>239</v>
      </c>
      <c r="F191" s="8" t="s">
        <v>240</v>
      </c>
      <c r="G191" s="8" t="s">
        <v>156</v>
      </c>
      <c r="H191" s="8" t="s">
        <v>157</v>
      </c>
      <c r="I191" s="10">
        <v>4.28</v>
      </c>
      <c r="J191" s="10">
        <v>4.1</v>
      </c>
      <c r="K191" s="10">
        <v>-0.18</v>
      </c>
      <c r="L191" s="11">
        <v>-6577.0</v>
      </c>
      <c r="M191" s="12">
        <v>36538.89</v>
      </c>
      <c r="N191" s="12">
        <v>0.3</v>
      </c>
      <c r="O191" s="12">
        <v>0.0</v>
      </c>
      <c r="P191" s="11">
        <v>0.0</v>
      </c>
    </row>
    <row r="192">
      <c r="A192" s="8" t="s">
        <v>17</v>
      </c>
      <c r="B192" s="8" t="s">
        <v>235</v>
      </c>
      <c r="C192" s="9">
        <v>46127.74103009259</v>
      </c>
      <c r="D192" s="8" t="s">
        <v>236</v>
      </c>
      <c r="E192" s="8" t="s">
        <v>241</v>
      </c>
      <c r="F192" s="8" t="s">
        <v>242</v>
      </c>
      <c r="G192" s="8" t="s">
        <v>156</v>
      </c>
      <c r="H192" s="8" t="s">
        <v>157</v>
      </c>
      <c r="I192" s="10">
        <v>3.44</v>
      </c>
      <c r="J192" s="10">
        <v>3.7</v>
      </c>
      <c r="K192" s="10">
        <v>0.26</v>
      </c>
      <c r="L192" s="11">
        <v>45563.0</v>
      </c>
      <c r="M192" s="12">
        <v>175242.31</v>
      </c>
      <c r="N192" s="12">
        <v>0.3</v>
      </c>
      <c r="O192" s="12">
        <v>0.0</v>
      </c>
      <c r="P192" s="11">
        <v>0.0</v>
      </c>
    </row>
    <row r="193">
      <c r="A193" s="8" t="s">
        <v>17</v>
      </c>
      <c r="B193" s="8" t="s">
        <v>235</v>
      </c>
      <c r="C193" s="9">
        <v>46127.74103009259</v>
      </c>
      <c r="D193" s="8" t="s">
        <v>236</v>
      </c>
      <c r="E193" s="8" t="s">
        <v>243</v>
      </c>
      <c r="F193" s="8" t="s">
        <v>244</v>
      </c>
      <c r="G193" s="8" t="s">
        <v>156</v>
      </c>
      <c r="H193" s="8" t="s">
        <v>157</v>
      </c>
      <c r="I193" s="10">
        <v>3.68</v>
      </c>
      <c r="J193" s="10">
        <v>3.9</v>
      </c>
      <c r="K193" s="10">
        <v>0.22</v>
      </c>
      <c r="L193" s="11">
        <v>12596.0</v>
      </c>
      <c r="M193" s="12">
        <v>57254.55</v>
      </c>
      <c r="N193" s="12">
        <v>0.3</v>
      </c>
      <c r="O193" s="12">
        <v>0.0</v>
      </c>
      <c r="P193" s="11">
        <v>0.0</v>
      </c>
    </row>
    <row r="194">
      <c r="A194" s="8" t="s">
        <v>17</v>
      </c>
      <c r="B194" s="8" t="s">
        <v>235</v>
      </c>
      <c r="C194" s="9">
        <v>46127.74103009259</v>
      </c>
      <c r="D194" s="8" t="s">
        <v>236</v>
      </c>
      <c r="E194" s="8" t="s">
        <v>245</v>
      </c>
      <c r="F194" s="8" t="s">
        <v>246</v>
      </c>
      <c r="G194" s="8" t="s">
        <v>156</v>
      </c>
      <c r="H194" s="8" t="s">
        <v>157</v>
      </c>
      <c r="I194" s="10">
        <v>3.45</v>
      </c>
      <c r="J194" s="10">
        <v>3.18</v>
      </c>
      <c r="K194" s="10">
        <v>-0.27</v>
      </c>
      <c r="L194" s="11">
        <v>-56540.0</v>
      </c>
      <c r="M194" s="12">
        <v>209407.41</v>
      </c>
      <c r="N194" s="12">
        <v>0.3</v>
      </c>
      <c r="O194" s="12">
        <v>0.0</v>
      </c>
      <c r="P194" s="11">
        <v>0.0</v>
      </c>
    </row>
    <row r="195">
      <c r="A195" s="8" t="s">
        <v>17</v>
      </c>
      <c r="B195" s="8" t="s">
        <v>235</v>
      </c>
      <c r="C195" s="9">
        <v>46127.74103009259</v>
      </c>
      <c r="D195" s="8" t="s">
        <v>236</v>
      </c>
      <c r="E195" s="8" t="s">
        <v>247</v>
      </c>
      <c r="F195" s="8" t="s">
        <v>248</v>
      </c>
      <c r="G195" s="8" t="s">
        <v>156</v>
      </c>
      <c r="H195" s="8" t="s">
        <v>157</v>
      </c>
      <c r="I195" s="10">
        <v>2.200712</v>
      </c>
      <c r="J195" s="10">
        <v>2.4</v>
      </c>
      <c r="K195" s="10">
        <v>0.199288</v>
      </c>
      <c r="L195" s="11">
        <v>26504.0</v>
      </c>
      <c r="M195" s="12">
        <v>132993.46</v>
      </c>
      <c r="N195" s="12">
        <v>0.3</v>
      </c>
      <c r="O195" s="12">
        <v>0.0</v>
      </c>
      <c r="P195" s="11">
        <v>0.0</v>
      </c>
    </row>
    <row r="196">
      <c r="A196" s="8" t="s">
        <v>17</v>
      </c>
      <c r="B196" s="8" t="s">
        <v>235</v>
      </c>
      <c r="C196" s="9">
        <v>46127.74103009259</v>
      </c>
      <c r="D196" s="8" t="s">
        <v>236</v>
      </c>
      <c r="E196" s="8" t="s">
        <v>249</v>
      </c>
      <c r="F196" s="8" t="s">
        <v>250</v>
      </c>
      <c r="G196" s="8" t="s">
        <v>156</v>
      </c>
      <c r="H196" s="8" t="s">
        <v>157</v>
      </c>
      <c r="I196" s="10">
        <v>2.950712</v>
      </c>
      <c r="J196" s="10">
        <v>3.1</v>
      </c>
      <c r="K196" s="10">
        <v>0.149288</v>
      </c>
      <c r="L196" s="11">
        <v>14632.0</v>
      </c>
      <c r="M196" s="12">
        <v>98011.9</v>
      </c>
      <c r="N196" s="12">
        <v>0.3</v>
      </c>
      <c r="O196" s="12">
        <v>0.0</v>
      </c>
      <c r="P196" s="11">
        <v>0.0</v>
      </c>
    </row>
    <row r="197">
      <c r="A197" s="8" t="s">
        <v>17</v>
      </c>
      <c r="B197" s="8" t="s">
        <v>235</v>
      </c>
      <c r="C197" s="9">
        <v>46127.74103009259</v>
      </c>
      <c r="D197" s="8" t="s">
        <v>236</v>
      </c>
      <c r="E197" s="8" t="s">
        <v>251</v>
      </c>
      <c r="F197" s="8" t="s">
        <v>252</v>
      </c>
      <c r="G197" s="8" t="s">
        <v>156</v>
      </c>
      <c r="H197" s="8" t="s">
        <v>157</v>
      </c>
      <c r="I197" s="10">
        <v>3.96</v>
      </c>
      <c r="J197" s="10">
        <v>4.05</v>
      </c>
      <c r="K197" s="10">
        <v>0.09</v>
      </c>
      <c r="L197" s="11">
        <v>7070.0</v>
      </c>
      <c r="M197" s="12">
        <v>78555.56</v>
      </c>
      <c r="N197" s="12">
        <v>0.3</v>
      </c>
      <c r="O197" s="12">
        <v>0.0</v>
      </c>
      <c r="P197" s="11">
        <v>0.0</v>
      </c>
    </row>
    <row r="198">
      <c r="A198" s="8" t="s">
        <v>17</v>
      </c>
      <c r="B198" s="8" t="s">
        <v>235</v>
      </c>
      <c r="C198" s="9">
        <v>46127.74103009259</v>
      </c>
      <c r="D198" s="8" t="s">
        <v>236</v>
      </c>
      <c r="E198" s="8" t="s">
        <v>253</v>
      </c>
      <c r="F198" s="8" t="s">
        <v>254</v>
      </c>
      <c r="G198" s="8" t="s">
        <v>22</v>
      </c>
      <c r="H198" s="8" t="s">
        <v>23</v>
      </c>
      <c r="I198" s="10">
        <v>-0.14</v>
      </c>
      <c r="J198" s="10">
        <v>0.0</v>
      </c>
      <c r="K198" s="10">
        <v>0.14</v>
      </c>
      <c r="L198" s="11">
        <v>3850.0</v>
      </c>
      <c r="M198" s="12">
        <v>27500.0</v>
      </c>
      <c r="N198" s="12">
        <v>0.3</v>
      </c>
      <c r="O198" s="12">
        <v>0.0</v>
      </c>
      <c r="P198" s="11">
        <v>0.0</v>
      </c>
    </row>
    <row r="199">
      <c r="A199" s="8" t="s">
        <v>17</v>
      </c>
      <c r="B199" s="8" t="s">
        <v>235</v>
      </c>
      <c r="C199" s="9">
        <v>46127.74103009259</v>
      </c>
      <c r="D199" s="8" t="s">
        <v>236</v>
      </c>
      <c r="E199" s="8" t="s">
        <v>255</v>
      </c>
      <c r="F199" s="8" t="s">
        <v>256</v>
      </c>
      <c r="G199" s="8" t="s">
        <v>22</v>
      </c>
      <c r="H199" s="8" t="s">
        <v>23</v>
      </c>
      <c r="I199" s="10">
        <v>0.41</v>
      </c>
      <c r="J199" s="10">
        <v>0.4</v>
      </c>
      <c r="K199" s="10">
        <v>-0.01</v>
      </c>
      <c r="L199" s="11">
        <v>-400.0</v>
      </c>
      <c r="M199" s="12">
        <v>40000.0</v>
      </c>
      <c r="N199" s="12">
        <v>0.3</v>
      </c>
      <c r="O199" s="12">
        <v>0.0</v>
      </c>
      <c r="P199" s="11">
        <v>0.0</v>
      </c>
    </row>
    <row r="200">
      <c r="A200" s="8" t="s">
        <v>17</v>
      </c>
      <c r="B200" s="8" t="s">
        <v>235</v>
      </c>
      <c r="C200" s="9">
        <v>46127.74103009259</v>
      </c>
      <c r="D200" s="8" t="s">
        <v>236</v>
      </c>
      <c r="E200" s="8" t="s">
        <v>257</v>
      </c>
      <c r="F200" s="8" t="s">
        <v>258</v>
      </c>
      <c r="G200" s="8" t="s">
        <v>156</v>
      </c>
      <c r="H200" s="8" t="s">
        <v>157</v>
      </c>
      <c r="I200" s="10">
        <v>1.45</v>
      </c>
      <c r="J200" s="10">
        <v>1.5</v>
      </c>
      <c r="K200" s="10">
        <v>0.05</v>
      </c>
      <c r="L200" s="11">
        <v>13213.0</v>
      </c>
      <c r="M200" s="12">
        <v>264260.0</v>
      </c>
      <c r="N200" s="12">
        <v>0.3</v>
      </c>
      <c r="O200" s="12">
        <v>0.0</v>
      </c>
      <c r="P200" s="11">
        <v>0.0</v>
      </c>
    </row>
    <row r="201">
      <c r="A201" s="8" t="s">
        <v>17</v>
      </c>
      <c r="B201" s="8" t="s">
        <v>235</v>
      </c>
      <c r="C201" s="9">
        <v>46127.74103009259</v>
      </c>
      <c r="D201" s="8" t="s">
        <v>236</v>
      </c>
      <c r="E201" s="8" t="s">
        <v>259</v>
      </c>
      <c r="F201" s="8" t="s">
        <v>260</v>
      </c>
      <c r="G201" s="8" t="s">
        <v>156</v>
      </c>
      <c r="H201" s="8" t="s">
        <v>157</v>
      </c>
      <c r="I201" s="10">
        <v>1.855</v>
      </c>
      <c r="J201" s="10">
        <v>1.81</v>
      </c>
      <c r="K201" s="10">
        <v>-0.045</v>
      </c>
      <c r="L201" s="11">
        <v>-10336.0</v>
      </c>
      <c r="M201" s="12">
        <v>229688.89</v>
      </c>
      <c r="N201" s="12">
        <v>0.3</v>
      </c>
      <c r="O201" s="12">
        <v>0.0</v>
      </c>
      <c r="P201" s="11">
        <v>0.0</v>
      </c>
    </row>
    <row r="202">
      <c r="A202" s="8" t="s">
        <v>17</v>
      </c>
      <c r="B202" s="8" t="s">
        <v>235</v>
      </c>
      <c r="C202" s="9">
        <v>46127.74103009259</v>
      </c>
      <c r="D202" s="8" t="s">
        <v>236</v>
      </c>
      <c r="E202" s="8" t="s">
        <v>261</v>
      </c>
      <c r="F202" s="8" t="s">
        <v>262</v>
      </c>
      <c r="G202" s="8" t="s">
        <v>156</v>
      </c>
      <c r="H202" s="8" t="s">
        <v>157</v>
      </c>
      <c r="I202" s="10">
        <v>2.8</v>
      </c>
      <c r="J202" s="10">
        <v>2.9</v>
      </c>
      <c r="K202" s="10">
        <v>0.1</v>
      </c>
      <c r="L202" s="11">
        <v>26277.0</v>
      </c>
      <c r="M202" s="12">
        <v>262770.0</v>
      </c>
      <c r="N202" s="12">
        <v>0.3</v>
      </c>
      <c r="O202" s="12">
        <v>0.0</v>
      </c>
      <c r="P202" s="11">
        <v>0.0</v>
      </c>
    </row>
    <row r="203">
      <c r="A203" s="8" t="s">
        <v>17</v>
      </c>
      <c r="B203" s="8" t="s">
        <v>235</v>
      </c>
      <c r="C203" s="9">
        <v>46127.74103009259</v>
      </c>
      <c r="D203" s="8" t="s">
        <v>236</v>
      </c>
      <c r="E203" s="8" t="s">
        <v>263</v>
      </c>
      <c r="F203" s="8" t="s">
        <v>264</v>
      </c>
      <c r="G203" s="8" t="s">
        <v>156</v>
      </c>
      <c r="H203" s="8" t="s">
        <v>157</v>
      </c>
      <c r="I203" s="10">
        <v>2.775</v>
      </c>
      <c r="J203" s="10">
        <v>2.7</v>
      </c>
      <c r="K203" s="10">
        <v>-0.075</v>
      </c>
      <c r="L203" s="11">
        <v>-21638.0</v>
      </c>
      <c r="M203" s="12">
        <v>288506.67</v>
      </c>
      <c r="N203" s="12">
        <v>0.3</v>
      </c>
      <c r="O203" s="12">
        <v>0.0</v>
      </c>
      <c r="P203" s="11">
        <v>0.0</v>
      </c>
    </row>
    <row r="204">
      <c r="A204" s="8" t="s">
        <v>17</v>
      </c>
      <c r="B204" s="8" t="s">
        <v>235</v>
      </c>
      <c r="C204" s="9">
        <v>46127.74103009259</v>
      </c>
      <c r="D204" s="8" t="s">
        <v>236</v>
      </c>
      <c r="E204" s="8" t="s">
        <v>265</v>
      </c>
      <c r="F204" s="8" t="s">
        <v>266</v>
      </c>
      <c r="G204" s="8" t="s">
        <v>156</v>
      </c>
      <c r="H204" s="8" t="s">
        <v>157</v>
      </c>
      <c r="I204" s="10">
        <v>2.28</v>
      </c>
      <c r="J204" s="10">
        <v>2.3</v>
      </c>
      <c r="K204" s="10">
        <v>0.02</v>
      </c>
      <c r="L204" s="11">
        <v>1312.0</v>
      </c>
      <c r="M204" s="12">
        <v>65600.0</v>
      </c>
      <c r="N204" s="12">
        <v>0.3</v>
      </c>
      <c r="O204" s="12">
        <v>0.0</v>
      </c>
      <c r="P204" s="11">
        <v>0.0</v>
      </c>
    </row>
    <row r="205">
      <c r="A205" s="8" t="s">
        <v>17</v>
      </c>
      <c r="B205" s="8" t="s">
        <v>235</v>
      </c>
      <c r="C205" s="9">
        <v>46127.74103009259</v>
      </c>
      <c r="D205" s="8" t="s">
        <v>236</v>
      </c>
      <c r="E205" s="8" t="s">
        <v>267</v>
      </c>
      <c r="F205" s="8" t="s">
        <v>268</v>
      </c>
      <c r="G205" s="8" t="s">
        <v>156</v>
      </c>
      <c r="H205" s="8" t="s">
        <v>157</v>
      </c>
      <c r="I205" s="10">
        <v>1.4</v>
      </c>
      <c r="J205" s="10">
        <v>1.5</v>
      </c>
      <c r="K205" s="10">
        <v>0.1</v>
      </c>
      <c r="L205" s="11">
        <v>26888.0</v>
      </c>
      <c r="M205" s="12">
        <v>268880.0</v>
      </c>
      <c r="N205" s="12">
        <v>0.3</v>
      </c>
      <c r="O205" s="12">
        <v>0.0</v>
      </c>
      <c r="P205" s="11">
        <v>0.0</v>
      </c>
    </row>
    <row r="206">
      <c r="A206" s="8" t="s">
        <v>17</v>
      </c>
      <c r="B206" s="8" t="s">
        <v>235</v>
      </c>
      <c r="C206" s="9">
        <v>46127.74103009259</v>
      </c>
      <c r="D206" s="8" t="s">
        <v>236</v>
      </c>
      <c r="E206" s="8" t="s">
        <v>269</v>
      </c>
      <c r="F206" s="8" t="s">
        <v>270</v>
      </c>
      <c r="G206" s="8" t="s">
        <v>22</v>
      </c>
      <c r="H206" s="8" t="s">
        <v>23</v>
      </c>
      <c r="I206" s="10">
        <v>0.0</v>
      </c>
      <c r="J206" s="10">
        <v>0.0</v>
      </c>
      <c r="K206" s="10">
        <v>0.0</v>
      </c>
      <c r="L206" s="11">
        <v>0.0</v>
      </c>
      <c r="M206" s="12">
        <v>0.0</v>
      </c>
      <c r="N206" s="12">
        <v>0.3</v>
      </c>
      <c r="O206" s="12">
        <v>0.0</v>
      </c>
      <c r="P206" s="11">
        <v>0.0</v>
      </c>
    </row>
    <row r="207">
      <c r="A207" s="8" t="s">
        <v>17</v>
      </c>
      <c r="B207" s="8" t="s">
        <v>235</v>
      </c>
      <c r="C207" s="9">
        <v>46127.74103009259</v>
      </c>
      <c r="D207" s="8" t="s">
        <v>236</v>
      </c>
      <c r="E207" s="8" t="s">
        <v>271</v>
      </c>
      <c r="F207" s="8" t="s">
        <v>272</v>
      </c>
      <c r="G207" s="8" t="s">
        <v>156</v>
      </c>
      <c r="H207" s="8" t="s">
        <v>157</v>
      </c>
      <c r="I207" s="10">
        <v>3.785712</v>
      </c>
      <c r="J207" s="10">
        <v>4.0</v>
      </c>
      <c r="K207" s="10">
        <v>0.214288</v>
      </c>
      <c r="L207" s="11">
        <v>20572.0</v>
      </c>
      <c r="M207" s="12">
        <v>96001.64</v>
      </c>
      <c r="N207" s="12">
        <v>0.3</v>
      </c>
      <c r="O207" s="12">
        <v>0.0</v>
      </c>
      <c r="P207" s="11">
        <v>0.0</v>
      </c>
    </row>
    <row r="208">
      <c r="A208" s="8" t="s">
        <v>17</v>
      </c>
      <c r="B208" s="8" t="s">
        <v>235</v>
      </c>
      <c r="C208" s="9">
        <v>46127.74103009259</v>
      </c>
      <c r="D208" s="8" t="s">
        <v>236</v>
      </c>
      <c r="E208" s="8" t="s">
        <v>273</v>
      </c>
      <c r="F208" s="8" t="s">
        <v>274</v>
      </c>
      <c r="G208" s="8" t="s">
        <v>156</v>
      </c>
      <c r="H208" s="8" t="s">
        <v>157</v>
      </c>
      <c r="I208" s="10">
        <v>-0.004288</v>
      </c>
      <c r="J208" s="10">
        <v>0.0</v>
      </c>
      <c r="K208" s="10">
        <v>0.004288</v>
      </c>
      <c r="L208" s="11">
        <v>516.0</v>
      </c>
      <c r="M208" s="12">
        <v>120335.82</v>
      </c>
      <c r="N208" s="12">
        <v>0.3</v>
      </c>
      <c r="O208" s="12">
        <v>0.0</v>
      </c>
      <c r="P208" s="11">
        <v>0.0</v>
      </c>
    </row>
    <row r="209">
      <c r="A209" s="8" t="s">
        <v>17</v>
      </c>
      <c r="B209" s="8" t="s">
        <v>235</v>
      </c>
      <c r="C209" s="9">
        <v>46127.74103009259</v>
      </c>
      <c r="D209" s="8" t="s">
        <v>236</v>
      </c>
      <c r="E209" s="8" t="s">
        <v>275</v>
      </c>
      <c r="F209" s="8" t="s">
        <v>276</v>
      </c>
      <c r="G209" s="8" t="s">
        <v>75</v>
      </c>
      <c r="H209" s="8" t="s">
        <v>76</v>
      </c>
      <c r="I209" s="10">
        <v>7.155556</v>
      </c>
      <c r="J209" s="10">
        <v>9.0</v>
      </c>
      <c r="K209" s="10">
        <v>1.844444</v>
      </c>
      <c r="L209" s="11">
        <v>7673.0</v>
      </c>
      <c r="M209" s="12">
        <v>4160.06</v>
      </c>
      <c r="N209" s="12">
        <v>0.0</v>
      </c>
      <c r="O209" s="12">
        <v>1.844444</v>
      </c>
      <c r="P209" s="11">
        <v>7672.997706640001</v>
      </c>
    </row>
    <row r="210">
      <c r="A210" s="8" t="s">
        <v>17</v>
      </c>
      <c r="B210" s="8" t="s">
        <v>235</v>
      </c>
      <c r="C210" s="9">
        <v>46127.74103009259</v>
      </c>
      <c r="D210" s="8" t="s">
        <v>236</v>
      </c>
      <c r="E210" s="8" t="s">
        <v>277</v>
      </c>
      <c r="F210" s="8" t="s">
        <v>278</v>
      </c>
      <c r="G210" s="8" t="s">
        <v>156</v>
      </c>
      <c r="H210" s="8" t="s">
        <v>157</v>
      </c>
      <c r="I210" s="10">
        <v>3.59</v>
      </c>
      <c r="J210" s="10">
        <v>3.61</v>
      </c>
      <c r="K210" s="10">
        <v>0.02</v>
      </c>
      <c r="L210" s="11">
        <v>4879.0</v>
      </c>
      <c r="M210" s="12">
        <v>243950.0</v>
      </c>
      <c r="N210" s="12">
        <v>0.3</v>
      </c>
      <c r="O210" s="12">
        <v>0.0</v>
      </c>
      <c r="P210" s="11">
        <v>0.0</v>
      </c>
    </row>
    <row r="211">
      <c r="A211" s="8" t="s">
        <v>17</v>
      </c>
      <c r="B211" s="8" t="s">
        <v>235</v>
      </c>
      <c r="C211" s="9">
        <v>46127.74103009259</v>
      </c>
      <c r="D211" s="8" t="s">
        <v>236</v>
      </c>
      <c r="E211" s="8" t="s">
        <v>279</v>
      </c>
      <c r="F211" s="8" t="s">
        <v>280</v>
      </c>
      <c r="G211" s="8" t="s">
        <v>156</v>
      </c>
      <c r="H211" s="8" t="s">
        <v>157</v>
      </c>
      <c r="I211" s="10">
        <v>3.97</v>
      </c>
      <c r="J211" s="10">
        <v>4.0</v>
      </c>
      <c r="K211" s="10">
        <v>0.03</v>
      </c>
      <c r="L211" s="11">
        <v>8623.0</v>
      </c>
      <c r="M211" s="12">
        <v>287433.33</v>
      </c>
      <c r="N211" s="12">
        <v>0.3</v>
      </c>
      <c r="O211" s="12">
        <v>0.0</v>
      </c>
      <c r="P211" s="11">
        <v>0.0</v>
      </c>
    </row>
    <row r="212">
      <c r="A212" s="8" t="s">
        <v>17</v>
      </c>
      <c r="B212" s="8" t="s">
        <v>235</v>
      </c>
      <c r="C212" s="9">
        <v>46127.74103009259</v>
      </c>
      <c r="D212" s="8" t="s">
        <v>236</v>
      </c>
      <c r="E212" s="8" t="s">
        <v>281</v>
      </c>
      <c r="F212" s="8" t="s">
        <v>282</v>
      </c>
      <c r="G212" s="8" t="s">
        <v>156</v>
      </c>
      <c r="H212" s="8" t="s">
        <v>157</v>
      </c>
      <c r="I212" s="10">
        <v>-0.004288</v>
      </c>
      <c r="J212" s="10">
        <v>0.0</v>
      </c>
      <c r="K212" s="10">
        <v>0.004288</v>
      </c>
      <c r="L212" s="11">
        <v>0.0</v>
      </c>
      <c r="M212" s="12">
        <v>0.0</v>
      </c>
      <c r="N212" s="12">
        <v>0.3</v>
      </c>
      <c r="O212" s="12">
        <v>0.0</v>
      </c>
      <c r="P212" s="11">
        <v>0.0</v>
      </c>
    </row>
    <row r="213">
      <c r="A213" s="8" t="s">
        <v>17</v>
      </c>
      <c r="B213" s="8" t="s">
        <v>235</v>
      </c>
      <c r="C213" s="9">
        <v>46127.74103009259</v>
      </c>
      <c r="D213" s="8" t="s">
        <v>236</v>
      </c>
      <c r="E213" s="8" t="s">
        <v>283</v>
      </c>
      <c r="F213" s="8" t="s">
        <v>284</v>
      </c>
      <c r="G213" s="8" t="s">
        <v>22</v>
      </c>
      <c r="H213" s="8" t="s">
        <v>23</v>
      </c>
      <c r="I213" s="10">
        <v>0.0</v>
      </c>
      <c r="J213" s="10">
        <v>0.0</v>
      </c>
      <c r="K213" s="10">
        <v>0.0</v>
      </c>
      <c r="L213" s="11">
        <v>0.0</v>
      </c>
      <c r="M213" s="12">
        <v>0.0</v>
      </c>
      <c r="N213" s="12">
        <v>0.3</v>
      </c>
      <c r="O213" s="12">
        <v>0.0</v>
      </c>
      <c r="P213" s="11">
        <v>0.0</v>
      </c>
    </row>
    <row r="214">
      <c r="A214" s="8" t="s">
        <v>17</v>
      </c>
      <c r="B214" s="8" t="s">
        <v>285</v>
      </c>
      <c r="C214" s="9">
        <v>46127.815983796296</v>
      </c>
      <c r="D214" s="8" t="s">
        <v>286</v>
      </c>
      <c r="E214" s="8" t="s">
        <v>219</v>
      </c>
      <c r="F214" s="8" t="s">
        <v>220</v>
      </c>
      <c r="G214" s="8" t="s">
        <v>75</v>
      </c>
      <c r="H214" s="8" t="s">
        <v>76</v>
      </c>
      <c r="I214" s="10">
        <v>0.0</v>
      </c>
      <c r="J214" s="10">
        <v>0.0</v>
      </c>
      <c r="K214" s="10">
        <v>0.0</v>
      </c>
      <c r="L214" s="11">
        <v>0.0</v>
      </c>
      <c r="M214" s="12">
        <v>0.0</v>
      </c>
      <c r="N214" s="12">
        <v>0.0</v>
      </c>
      <c r="O214" s="12">
        <v>0.0</v>
      </c>
      <c r="P214" s="11">
        <v>0.0</v>
      </c>
    </row>
    <row r="215">
      <c r="A215" s="8" t="s">
        <v>17</v>
      </c>
      <c r="B215" s="8" t="s">
        <v>285</v>
      </c>
      <c r="C215" s="9">
        <v>46127.815983796296</v>
      </c>
      <c r="D215" s="8" t="s">
        <v>286</v>
      </c>
      <c r="E215" s="8" t="s">
        <v>105</v>
      </c>
      <c r="F215" s="8" t="s">
        <v>106</v>
      </c>
      <c r="G215" s="8" t="s">
        <v>75</v>
      </c>
      <c r="H215" s="8" t="s">
        <v>76</v>
      </c>
      <c r="I215" s="10">
        <v>23.0</v>
      </c>
      <c r="J215" s="10">
        <v>23.0</v>
      </c>
      <c r="K215" s="10">
        <v>0.0</v>
      </c>
      <c r="L215" s="11">
        <v>0.0</v>
      </c>
      <c r="M215" s="12">
        <v>0.0</v>
      </c>
      <c r="N215" s="12">
        <v>0.0</v>
      </c>
      <c r="O215" s="12">
        <v>0.0</v>
      </c>
      <c r="P215" s="11">
        <v>0.0</v>
      </c>
    </row>
    <row r="216">
      <c r="A216" s="8" t="s">
        <v>17</v>
      </c>
      <c r="B216" s="8" t="s">
        <v>285</v>
      </c>
      <c r="C216" s="9">
        <v>46127.815983796296</v>
      </c>
      <c r="D216" s="8" t="s">
        <v>286</v>
      </c>
      <c r="E216" s="8" t="s">
        <v>103</v>
      </c>
      <c r="F216" s="8" t="s">
        <v>104</v>
      </c>
      <c r="G216" s="8" t="s">
        <v>75</v>
      </c>
      <c r="H216" s="8" t="s">
        <v>76</v>
      </c>
      <c r="I216" s="10">
        <v>34.0</v>
      </c>
      <c r="J216" s="10">
        <v>34.0</v>
      </c>
      <c r="K216" s="10">
        <v>0.0</v>
      </c>
      <c r="L216" s="11">
        <v>0.0</v>
      </c>
      <c r="M216" s="12">
        <v>0.0</v>
      </c>
      <c r="N216" s="12">
        <v>0.0</v>
      </c>
      <c r="O216" s="12">
        <v>0.0</v>
      </c>
      <c r="P216" s="11">
        <v>0.0</v>
      </c>
    </row>
    <row r="217">
      <c r="A217" s="8" t="s">
        <v>17</v>
      </c>
      <c r="B217" s="8" t="s">
        <v>285</v>
      </c>
      <c r="C217" s="9">
        <v>46127.815983796296</v>
      </c>
      <c r="D217" s="8" t="s">
        <v>286</v>
      </c>
      <c r="E217" s="8" t="s">
        <v>99</v>
      </c>
      <c r="F217" s="8" t="s">
        <v>100</v>
      </c>
      <c r="G217" s="8" t="s">
        <v>75</v>
      </c>
      <c r="H217" s="8" t="s">
        <v>76</v>
      </c>
      <c r="I217" s="10">
        <v>58.0</v>
      </c>
      <c r="J217" s="10">
        <v>58.0</v>
      </c>
      <c r="K217" s="10">
        <v>0.0</v>
      </c>
      <c r="L217" s="11">
        <v>0.0</v>
      </c>
      <c r="M217" s="12">
        <v>0.0</v>
      </c>
      <c r="N217" s="12">
        <v>0.0</v>
      </c>
      <c r="O217" s="12">
        <v>0.0</v>
      </c>
      <c r="P217" s="11">
        <v>0.0</v>
      </c>
    </row>
    <row r="218">
      <c r="A218" s="8" t="s">
        <v>17</v>
      </c>
      <c r="B218" s="8" t="s">
        <v>285</v>
      </c>
      <c r="C218" s="9">
        <v>46127.815983796296</v>
      </c>
      <c r="D218" s="8" t="s">
        <v>286</v>
      </c>
      <c r="E218" s="8" t="s">
        <v>223</v>
      </c>
      <c r="F218" s="8" t="s">
        <v>224</v>
      </c>
      <c r="G218" s="8" t="s">
        <v>75</v>
      </c>
      <c r="H218" s="8" t="s">
        <v>76</v>
      </c>
      <c r="I218" s="10">
        <v>0.0</v>
      </c>
      <c r="J218" s="10">
        <v>0.0</v>
      </c>
      <c r="K218" s="10">
        <v>0.0</v>
      </c>
      <c r="L218" s="11">
        <v>0.0</v>
      </c>
      <c r="M218" s="12">
        <v>0.0</v>
      </c>
      <c r="N218" s="12">
        <v>0.0</v>
      </c>
      <c r="O218" s="12">
        <v>0.0</v>
      </c>
      <c r="P218" s="11">
        <v>0.0</v>
      </c>
    </row>
    <row r="219">
      <c r="A219" s="8" t="s">
        <v>17</v>
      </c>
      <c r="B219" s="8" t="s">
        <v>285</v>
      </c>
      <c r="C219" s="9">
        <v>46127.815983796296</v>
      </c>
      <c r="D219" s="8" t="s">
        <v>286</v>
      </c>
      <c r="E219" s="8" t="s">
        <v>95</v>
      </c>
      <c r="F219" s="8" t="s">
        <v>96</v>
      </c>
      <c r="G219" s="8" t="s">
        <v>75</v>
      </c>
      <c r="H219" s="8" t="s">
        <v>76</v>
      </c>
      <c r="I219" s="10">
        <v>49.0</v>
      </c>
      <c r="J219" s="10">
        <v>49.0</v>
      </c>
      <c r="K219" s="10">
        <v>0.0</v>
      </c>
      <c r="L219" s="11">
        <v>0.0</v>
      </c>
      <c r="M219" s="12">
        <v>0.0</v>
      </c>
      <c r="N219" s="12">
        <v>0.0</v>
      </c>
      <c r="O219" s="12">
        <v>0.0</v>
      </c>
      <c r="P219" s="11">
        <v>0.0</v>
      </c>
    </row>
    <row r="220">
      <c r="A220" s="8" t="s">
        <v>17</v>
      </c>
      <c r="B220" s="8" t="s">
        <v>285</v>
      </c>
      <c r="C220" s="9">
        <v>46127.815983796296</v>
      </c>
      <c r="D220" s="8" t="s">
        <v>286</v>
      </c>
      <c r="E220" s="8" t="s">
        <v>225</v>
      </c>
      <c r="F220" s="8" t="s">
        <v>226</v>
      </c>
      <c r="G220" s="8" t="s">
        <v>75</v>
      </c>
      <c r="H220" s="8" t="s">
        <v>76</v>
      </c>
      <c r="I220" s="10">
        <v>0.0</v>
      </c>
      <c r="J220" s="10">
        <v>0.0</v>
      </c>
      <c r="K220" s="10">
        <v>0.0</v>
      </c>
      <c r="L220" s="11">
        <v>0.0</v>
      </c>
      <c r="M220" s="12">
        <v>0.0</v>
      </c>
      <c r="N220" s="12">
        <v>0.0</v>
      </c>
      <c r="O220" s="12">
        <v>0.0</v>
      </c>
      <c r="P220" s="11">
        <v>0.0</v>
      </c>
    </row>
    <row r="221">
      <c r="A221" s="8" t="s">
        <v>17</v>
      </c>
      <c r="B221" s="8" t="s">
        <v>285</v>
      </c>
      <c r="C221" s="9">
        <v>46127.815983796296</v>
      </c>
      <c r="D221" s="8" t="s">
        <v>286</v>
      </c>
      <c r="E221" s="8" t="s">
        <v>227</v>
      </c>
      <c r="F221" s="8" t="s">
        <v>228</v>
      </c>
      <c r="G221" s="8" t="s">
        <v>75</v>
      </c>
      <c r="H221" s="8" t="s">
        <v>76</v>
      </c>
      <c r="I221" s="10">
        <v>0.0</v>
      </c>
      <c r="J221" s="10">
        <v>0.0</v>
      </c>
      <c r="K221" s="10">
        <v>0.0</v>
      </c>
      <c r="L221" s="11">
        <v>0.0</v>
      </c>
      <c r="M221" s="12">
        <v>0.0</v>
      </c>
      <c r="N221" s="12">
        <v>0.0</v>
      </c>
      <c r="O221" s="12">
        <v>0.0</v>
      </c>
      <c r="P221" s="11">
        <v>0.0</v>
      </c>
    </row>
    <row r="222">
      <c r="A222" s="8" t="s">
        <v>17</v>
      </c>
      <c r="B222" s="8" t="s">
        <v>285</v>
      </c>
      <c r="C222" s="9">
        <v>46127.815983796296</v>
      </c>
      <c r="D222" s="8" t="s">
        <v>286</v>
      </c>
      <c r="E222" s="8" t="s">
        <v>93</v>
      </c>
      <c r="F222" s="8" t="s">
        <v>94</v>
      </c>
      <c r="G222" s="8" t="s">
        <v>75</v>
      </c>
      <c r="H222" s="8" t="s">
        <v>76</v>
      </c>
      <c r="I222" s="10">
        <v>7.0</v>
      </c>
      <c r="J222" s="10">
        <v>7.0</v>
      </c>
      <c r="K222" s="10">
        <v>0.0</v>
      </c>
      <c r="L222" s="11">
        <v>0.0</v>
      </c>
      <c r="M222" s="12">
        <v>0.0</v>
      </c>
      <c r="N222" s="12">
        <v>0.0</v>
      </c>
      <c r="O222" s="12">
        <v>0.0</v>
      </c>
      <c r="P222" s="11">
        <v>0.0</v>
      </c>
    </row>
    <row r="223">
      <c r="A223" s="8" t="s">
        <v>17</v>
      </c>
      <c r="B223" s="8" t="s">
        <v>285</v>
      </c>
      <c r="C223" s="9">
        <v>46127.815983796296</v>
      </c>
      <c r="D223" s="8" t="s">
        <v>286</v>
      </c>
      <c r="E223" s="8" t="s">
        <v>89</v>
      </c>
      <c r="F223" s="8" t="s">
        <v>90</v>
      </c>
      <c r="G223" s="8" t="s">
        <v>75</v>
      </c>
      <c r="H223" s="8" t="s">
        <v>76</v>
      </c>
      <c r="I223" s="10">
        <v>29.0</v>
      </c>
      <c r="J223" s="10">
        <v>29.0</v>
      </c>
      <c r="K223" s="10">
        <v>0.0</v>
      </c>
      <c r="L223" s="11">
        <v>0.0</v>
      </c>
      <c r="M223" s="12">
        <v>0.0</v>
      </c>
      <c r="N223" s="12">
        <v>0.0</v>
      </c>
      <c r="O223" s="12">
        <v>0.0</v>
      </c>
      <c r="P223" s="11">
        <v>0.0</v>
      </c>
    </row>
    <row r="224">
      <c r="A224" s="8" t="s">
        <v>17</v>
      </c>
      <c r="B224" s="8" t="s">
        <v>285</v>
      </c>
      <c r="C224" s="9">
        <v>46127.815983796296</v>
      </c>
      <c r="D224" s="8" t="s">
        <v>286</v>
      </c>
      <c r="E224" s="8" t="s">
        <v>118</v>
      </c>
      <c r="F224" s="8" t="s">
        <v>119</v>
      </c>
      <c r="G224" s="8" t="s">
        <v>120</v>
      </c>
      <c r="H224" s="8" t="s">
        <v>121</v>
      </c>
      <c r="I224" s="10">
        <v>6.0</v>
      </c>
      <c r="J224" s="10">
        <v>6.0</v>
      </c>
      <c r="K224" s="10">
        <v>0.0</v>
      </c>
      <c r="L224" s="11">
        <v>0.0</v>
      </c>
      <c r="M224" s="12">
        <v>0.0</v>
      </c>
      <c r="N224" s="12">
        <v>2.0</v>
      </c>
      <c r="O224" s="12">
        <v>0.0</v>
      </c>
      <c r="P224" s="11">
        <v>0.0</v>
      </c>
    </row>
    <row r="225">
      <c r="A225" s="8" t="s">
        <v>17</v>
      </c>
      <c r="B225" s="8" t="s">
        <v>285</v>
      </c>
      <c r="C225" s="9">
        <v>46127.815983796296</v>
      </c>
      <c r="D225" s="8" t="s">
        <v>286</v>
      </c>
      <c r="E225" s="8" t="s">
        <v>87</v>
      </c>
      <c r="F225" s="8" t="s">
        <v>88</v>
      </c>
      <c r="G225" s="8" t="s">
        <v>75</v>
      </c>
      <c r="H225" s="8" t="s">
        <v>76</v>
      </c>
      <c r="I225" s="10">
        <v>120.0</v>
      </c>
      <c r="J225" s="10">
        <v>120.0</v>
      </c>
      <c r="K225" s="10">
        <v>0.0</v>
      </c>
      <c r="L225" s="11">
        <v>0.0</v>
      </c>
      <c r="M225" s="12">
        <v>0.0</v>
      </c>
      <c r="N225" s="12">
        <v>0.0</v>
      </c>
      <c r="O225" s="12">
        <v>0.0</v>
      </c>
      <c r="P225" s="11">
        <v>0.0</v>
      </c>
    </row>
    <row r="226">
      <c r="A226" s="8" t="s">
        <v>17</v>
      </c>
      <c r="B226" s="8" t="s">
        <v>285</v>
      </c>
      <c r="C226" s="9">
        <v>46127.815983796296</v>
      </c>
      <c r="D226" s="8" t="s">
        <v>286</v>
      </c>
      <c r="E226" s="8" t="s">
        <v>101</v>
      </c>
      <c r="F226" s="8" t="s">
        <v>102</v>
      </c>
      <c r="G226" s="8" t="s">
        <v>75</v>
      </c>
      <c r="H226" s="8" t="s">
        <v>76</v>
      </c>
      <c r="I226" s="10">
        <v>16.0</v>
      </c>
      <c r="J226" s="10">
        <v>16.0</v>
      </c>
      <c r="K226" s="10">
        <v>0.0</v>
      </c>
      <c r="L226" s="11">
        <v>0.0</v>
      </c>
      <c r="M226" s="12">
        <v>0.0</v>
      </c>
      <c r="N226" s="12">
        <v>0.0</v>
      </c>
      <c r="O226" s="12">
        <v>0.0</v>
      </c>
      <c r="P226" s="11">
        <v>0.0</v>
      </c>
    </row>
    <row r="227">
      <c r="A227" s="8" t="s">
        <v>70</v>
      </c>
      <c r="B227" s="8" t="s">
        <v>287</v>
      </c>
      <c r="C227" s="9">
        <v>46127.99998842592</v>
      </c>
      <c r="D227" s="8" t="s">
        <v>288</v>
      </c>
      <c r="E227" s="8" t="s">
        <v>289</v>
      </c>
      <c r="F227" s="8" t="s">
        <v>290</v>
      </c>
      <c r="G227" s="8" t="s">
        <v>22</v>
      </c>
      <c r="H227" s="8" t="s">
        <v>23</v>
      </c>
      <c r="I227" s="10">
        <v>0.19991</v>
      </c>
      <c r="J227" s="10">
        <v>0.1</v>
      </c>
      <c r="K227" s="10">
        <v>-0.09991</v>
      </c>
      <c r="L227" s="11">
        <v>-52539.0</v>
      </c>
      <c r="M227" s="12">
        <v>525863.28</v>
      </c>
      <c r="N227" s="12">
        <v>0.3</v>
      </c>
      <c r="O227" s="12">
        <v>0.0</v>
      </c>
      <c r="P227" s="11">
        <v>0.0</v>
      </c>
    </row>
    <row r="228">
      <c r="A228" s="8" t="s">
        <v>70</v>
      </c>
      <c r="B228" s="8" t="s">
        <v>287</v>
      </c>
      <c r="C228" s="9">
        <v>46127.99998842592</v>
      </c>
      <c r="D228" s="8" t="s">
        <v>288</v>
      </c>
      <c r="E228" s="8" t="s">
        <v>205</v>
      </c>
      <c r="F228" s="8" t="s">
        <v>206</v>
      </c>
      <c r="G228" s="8" t="s">
        <v>207</v>
      </c>
      <c r="H228" s="8" t="s">
        <v>208</v>
      </c>
      <c r="I228" s="10">
        <v>22.22</v>
      </c>
      <c r="J228" s="10">
        <v>20.0</v>
      </c>
      <c r="K228" s="10">
        <v>-2.22</v>
      </c>
      <c r="L228" s="11">
        <v>-174543.0</v>
      </c>
      <c r="M228" s="12">
        <v>78622.97</v>
      </c>
      <c r="N228" s="12">
        <v>0.5</v>
      </c>
      <c r="O228" s="12">
        <v>1.7200000000000002</v>
      </c>
      <c r="P228" s="11">
        <v>135231.50840000002</v>
      </c>
    </row>
    <row r="229">
      <c r="A229" s="8" t="s">
        <v>70</v>
      </c>
      <c r="B229" s="8" t="s">
        <v>287</v>
      </c>
      <c r="C229" s="9">
        <v>46127.99998842592</v>
      </c>
      <c r="D229" s="8" t="s">
        <v>288</v>
      </c>
      <c r="E229" s="8" t="s">
        <v>203</v>
      </c>
      <c r="F229" s="8" t="s">
        <v>204</v>
      </c>
      <c r="G229" s="8" t="s">
        <v>22</v>
      </c>
      <c r="H229" s="8" t="s">
        <v>23</v>
      </c>
      <c r="I229" s="10">
        <v>0.46</v>
      </c>
      <c r="J229" s="10">
        <v>0.5</v>
      </c>
      <c r="K229" s="10">
        <v>0.04</v>
      </c>
      <c r="L229" s="11">
        <v>779.0</v>
      </c>
      <c r="M229" s="12">
        <v>19475.0</v>
      </c>
      <c r="N229" s="12">
        <v>0.3</v>
      </c>
      <c r="O229" s="12">
        <v>0.0</v>
      </c>
      <c r="P229" s="11">
        <v>0.0</v>
      </c>
    </row>
    <row r="230">
      <c r="A230" s="8" t="s">
        <v>70</v>
      </c>
      <c r="B230" s="8" t="s">
        <v>287</v>
      </c>
      <c r="C230" s="9">
        <v>46127.99998842592</v>
      </c>
      <c r="D230" s="8" t="s">
        <v>288</v>
      </c>
      <c r="E230" s="8" t="s">
        <v>275</v>
      </c>
      <c r="F230" s="8" t="s">
        <v>276</v>
      </c>
      <c r="G230" s="8" t="s">
        <v>156</v>
      </c>
      <c r="H230" s="8" t="s">
        <v>157</v>
      </c>
      <c r="I230" s="10">
        <v>4.26</v>
      </c>
      <c r="J230" s="10">
        <v>5.4</v>
      </c>
      <c r="K230" s="10">
        <v>1.14</v>
      </c>
      <c r="L230" s="11">
        <v>5250.0</v>
      </c>
      <c r="M230" s="12">
        <v>4605.26</v>
      </c>
      <c r="N230" s="12">
        <v>0.3</v>
      </c>
      <c r="O230" s="12">
        <v>0.8399999999999999</v>
      </c>
      <c r="P230" s="11">
        <v>3868.4183999999996</v>
      </c>
    </row>
    <row r="231">
      <c r="A231" s="8" t="s">
        <v>70</v>
      </c>
      <c r="B231" s="8" t="s">
        <v>287</v>
      </c>
      <c r="C231" s="9">
        <v>46127.99998842592</v>
      </c>
      <c r="D231" s="8" t="s">
        <v>288</v>
      </c>
      <c r="E231" s="8" t="s">
        <v>253</v>
      </c>
      <c r="F231" s="8" t="s">
        <v>254</v>
      </c>
      <c r="G231" s="8" t="s">
        <v>22</v>
      </c>
      <c r="H231" s="8" t="s">
        <v>23</v>
      </c>
      <c r="I231" s="10">
        <v>5.76</v>
      </c>
      <c r="J231" s="10">
        <v>5.6</v>
      </c>
      <c r="K231" s="10">
        <v>-0.16</v>
      </c>
      <c r="L231" s="11">
        <v>-4400.0</v>
      </c>
      <c r="M231" s="12">
        <v>27500.0</v>
      </c>
      <c r="N231" s="12">
        <v>0.3</v>
      </c>
      <c r="O231" s="12">
        <v>0.0</v>
      </c>
      <c r="P231" s="11">
        <v>0.0</v>
      </c>
    </row>
    <row r="232">
      <c r="A232" s="8" t="s">
        <v>70</v>
      </c>
      <c r="B232" s="8" t="s">
        <v>287</v>
      </c>
      <c r="C232" s="9">
        <v>46127.99998842592</v>
      </c>
      <c r="D232" s="8" t="s">
        <v>288</v>
      </c>
      <c r="E232" s="8" t="s">
        <v>255</v>
      </c>
      <c r="F232" s="8" t="s">
        <v>256</v>
      </c>
      <c r="G232" s="8" t="s">
        <v>22</v>
      </c>
      <c r="H232" s="8" t="s">
        <v>23</v>
      </c>
      <c r="I232" s="10">
        <v>4.1</v>
      </c>
      <c r="J232" s="10">
        <v>4.2</v>
      </c>
      <c r="K232" s="10">
        <v>0.1</v>
      </c>
      <c r="L232" s="11">
        <v>4001.0</v>
      </c>
      <c r="M232" s="12">
        <v>40010.0</v>
      </c>
      <c r="N232" s="12">
        <v>0.3</v>
      </c>
      <c r="O232" s="12">
        <v>0.0</v>
      </c>
      <c r="P232" s="11">
        <v>0.0</v>
      </c>
    </row>
    <row r="233">
      <c r="A233" s="8" t="s">
        <v>70</v>
      </c>
      <c r="B233" s="8" t="s">
        <v>287</v>
      </c>
      <c r="C233" s="9">
        <v>46127.99998842592</v>
      </c>
      <c r="D233" s="8" t="s">
        <v>288</v>
      </c>
      <c r="E233" s="8" t="s">
        <v>271</v>
      </c>
      <c r="F233" s="8" t="s">
        <v>272</v>
      </c>
      <c r="G233" s="8" t="s">
        <v>156</v>
      </c>
      <c r="H233" s="8" t="s">
        <v>157</v>
      </c>
      <c r="I233" s="10">
        <v>3.98</v>
      </c>
      <c r="J233" s="10">
        <v>3.9</v>
      </c>
      <c r="K233" s="10">
        <v>-0.08</v>
      </c>
      <c r="L233" s="11">
        <v>-7155.0</v>
      </c>
      <c r="M233" s="12">
        <v>89437.5</v>
      </c>
      <c r="N233" s="12">
        <v>0.3</v>
      </c>
      <c r="O233" s="12">
        <v>0.0</v>
      </c>
      <c r="P233" s="11">
        <v>0.0</v>
      </c>
    </row>
    <row r="234">
      <c r="A234" s="8" t="s">
        <v>70</v>
      </c>
      <c r="B234" s="8" t="s">
        <v>287</v>
      </c>
      <c r="C234" s="9">
        <v>46127.99998842592</v>
      </c>
      <c r="D234" s="8" t="s">
        <v>288</v>
      </c>
      <c r="E234" s="8" t="s">
        <v>251</v>
      </c>
      <c r="F234" s="8" t="s">
        <v>252</v>
      </c>
      <c r="G234" s="8" t="s">
        <v>156</v>
      </c>
      <c r="H234" s="8" t="s">
        <v>157</v>
      </c>
      <c r="I234" s="10">
        <v>1.9</v>
      </c>
      <c r="J234" s="10">
        <v>2.0</v>
      </c>
      <c r="K234" s="10">
        <v>0.1</v>
      </c>
      <c r="L234" s="11">
        <v>7878.0</v>
      </c>
      <c r="M234" s="12">
        <v>78780.0</v>
      </c>
      <c r="N234" s="12">
        <v>0.3</v>
      </c>
      <c r="O234" s="12">
        <v>0.0</v>
      </c>
      <c r="P234" s="11">
        <v>0.0</v>
      </c>
    </row>
    <row r="235">
      <c r="A235" s="8" t="s">
        <v>70</v>
      </c>
      <c r="B235" s="8" t="s">
        <v>287</v>
      </c>
      <c r="C235" s="9">
        <v>46127.99998842592</v>
      </c>
      <c r="D235" s="8" t="s">
        <v>288</v>
      </c>
      <c r="E235" s="8" t="s">
        <v>245</v>
      </c>
      <c r="F235" s="8" t="s">
        <v>246</v>
      </c>
      <c r="G235" s="8" t="s">
        <v>156</v>
      </c>
      <c r="H235" s="8" t="s">
        <v>157</v>
      </c>
      <c r="I235" s="10">
        <v>3.0</v>
      </c>
      <c r="J235" s="10">
        <v>2.7</v>
      </c>
      <c r="K235" s="10">
        <v>-0.3</v>
      </c>
      <c r="L235" s="11">
        <v>-61938.0</v>
      </c>
      <c r="M235" s="12">
        <v>206460.0</v>
      </c>
      <c r="N235" s="12">
        <v>0.3</v>
      </c>
      <c r="O235" s="12">
        <v>0.0</v>
      </c>
      <c r="P235" s="11">
        <v>0.0</v>
      </c>
    </row>
    <row r="236">
      <c r="A236" s="8" t="s">
        <v>70</v>
      </c>
      <c r="B236" s="8" t="s">
        <v>287</v>
      </c>
      <c r="C236" s="9">
        <v>46127.99998842592</v>
      </c>
      <c r="D236" s="8" t="s">
        <v>288</v>
      </c>
      <c r="E236" s="8" t="s">
        <v>241</v>
      </c>
      <c r="F236" s="8" t="s">
        <v>242</v>
      </c>
      <c r="G236" s="8" t="s">
        <v>156</v>
      </c>
      <c r="H236" s="8" t="s">
        <v>157</v>
      </c>
      <c r="I236" s="10">
        <v>1.72</v>
      </c>
      <c r="J236" s="10">
        <v>1.4</v>
      </c>
      <c r="K236" s="10">
        <v>-0.32</v>
      </c>
      <c r="L236" s="11">
        <v>-56392.0</v>
      </c>
      <c r="M236" s="12">
        <v>176225.0</v>
      </c>
      <c r="N236" s="12">
        <v>0.3</v>
      </c>
      <c r="O236" s="12">
        <v>0.020000000000000018</v>
      </c>
      <c r="P236" s="11">
        <v>3524.500000000003</v>
      </c>
    </row>
    <row r="237">
      <c r="A237" s="8" t="s">
        <v>70</v>
      </c>
      <c r="B237" s="8" t="s">
        <v>287</v>
      </c>
      <c r="C237" s="9">
        <v>46127.99998842592</v>
      </c>
      <c r="D237" s="8" t="s">
        <v>288</v>
      </c>
      <c r="E237" s="8" t="s">
        <v>291</v>
      </c>
      <c r="F237" s="8" t="s">
        <v>292</v>
      </c>
      <c r="G237" s="8" t="s">
        <v>156</v>
      </c>
      <c r="H237" s="8" t="s">
        <v>157</v>
      </c>
      <c r="I237" s="10">
        <v>3.46</v>
      </c>
      <c r="J237" s="10">
        <v>4.0</v>
      </c>
      <c r="K237" s="10">
        <v>0.54</v>
      </c>
      <c r="L237" s="11">
        <v>32651.0</v>
      </c>
      <c r="M237" s="12">
        <v>60464.81</v>
      </c>
      <c r="N237" s="12">
        <v>0.3</v>
      </c>
      <c r="O237" s="12">
        <v>0.24000000000000005</v>
      </c>
      <c r="P237" s="11">
        <v>14511.554400000003</v>
      </c>
    </row>
    <row r="238">
      <c r="A238" s="8" t="s">
        <v>70</v>
      </c>
      <c r="B238" s="8" t="s">
        <v>287</v>
      </c>
      <c r="C238" s="9">
        <v>46127.99998842592</v>
      </c>
      <c r="D238" s="8" t="s">
        <v>288</v>
      </c>
      <c r="E238" s="8" t="s">
        <v>239</v>
      </c>
      <c r="F238" s="8" t="s">
        <v>240</v>
      </c>
      <c r="G238" s="8" t="s">
        <v>156</v>
      </c>
      <c r="H238" s="8" t="s">
        <v>157</v>
      </c>
      <c r="I238" s="10">
        <v>1.97</v>
      </c>
      <c r="J238" s="10">
        <v>2.8</v>
      </c>
      <c r="K238" s="10">
        <v>0.83</v>
      </c>
      <c r="L238" s="11">
        <v>30389.0</v>
      </c>
      <c r="M238" s="12">
        <v>36613.25</v>
      </c>
      <c r="N238" s="12">
        <v>0.3</v>
      </c>
      <c r="O238" s="12">
        <v>0.53</v>
      </c>
      <c r="P238" s="11">
        <v>19405.022500000003</v>
      </c>
    </row>
    <row r="239">
      <c r="A239" s="8" t="s">
        <v>70</v>
      </c>
      <c r="B239" s="8" t="s">
        <v>287</v>
      </c>
      <c r="C239" s="9">
        <v>46127.99998842592</v>
      </c>
      <c r="D239" s="8" t="s">
        <v>288</v>
      </c>
      <c r="E239" s="8" t="s">
        <v>237</v>
      </c>
      <c r="F239" s="8" t="s">
        <v>238</v>
      </c>
      <c r="G239" s="8" t="s">
        <v>156</v>
      </c>
      <c r="H239" s="8" t="s">
        <v>157</v>
      </c>
      <c r="I239" s="10">
        <v>2.22</v>
      </c>
      <c r="J239" s="10">
        <v>2.7</v>
      </c>
      <c r="K239" s="10">
        <v>0.48</v>
      </c>
      <c r="L239" s="11">
        <v>30710.0</v>
      </c>
      <c r="M239" s="12">
        <v>63979.17</v>
      </c>
      <c r="N239" s="12">
        <v>0.3</v>
      </c>
      <c r="O239" s="12">
        <v>0.18</v>
      </c>
      <c r="P239" s="11">
        <v>11516.2506</v>
      </c>
    </row>
    <row r="240">
      <c r="A240" s="8" t="s">
        <v>70</v>
      </c>
      <c r="B240" s="8" t="s">
        <v>287</v>
      </c>
      <c r="C240" s="9">
        <v>46127.99998842592</v>
      </c>
      <c r="D240" s="8" t="s">
        <v>288</v>
      </c>
      <c r="E240" s="8" t="s">
        <v>243</v>
      </c>
      <c r="F240" s="8" t="s">
        <v>244</v>
      </c>
      <c r="G240" s="8" t="s">
        <v>156</v>
      </c>
      <c r="H240" s="8" t="s">
        <v>157</v>
      </c>
      <c r="I240" s="10">
        <v>0.22</v>
      </c>
      <c r="J240" s="10">
        <v>2.6</v>
      </c>
      <c r="K240" s="10">
        <v>2.38</v>
      </c>
      <c r="L240" s="11">
        <v>135305.0</v>
      </c>
      <c r="M240" s="12">
        <v>56850.84</v>
      </c>
      <c r="N240" s="12">
        <v>0.3</v>
      </c>
      <c r="O240" s="12">
        <v>2.08</v>
      </c>
      <c r="P240" s="11">
        <v>118249.7472</v>
      </c>
    </row>
    <row r="241">
      <c r="A241" s="8" t="s">
        <v>293</v>
      </c>
      <c r="B241" s="8" t="s">
        <v>294</v>
      </c>
      <c r="C241" s="9">
        <v>46127.99998842592</v>
      </c>
      <c r="D241" s="8" t="s">
        <v>295</v>
      </c>
      <c r="E241" s="8" t="s">
        <v>296</v>
      </c>
      <c r="F241" s="8" t="s">
        <v>297</v>
      </c>
      <c r="G241" s="8" t="s">
        <v>22</v>
      </c>
      <c r="H241" s="8" t="s">
        <v>23</v>
      </c>
      <c r="I241" s="10">
        <v>4.86</v>
      </c>
      <c r="J241" s="10">
        <v>5.0</v>
      </c>
      <c r="K241" s="10">
        <v>0.14</v>
      </c>
      <c r="L241" s="11">
        <v>14000.0</v>
      </c>
      <c r="M241" s="12">
        <v>100000.0</v>
      </c>
      <c r="N241" s="12">
        <v>0.5</v>
      </c>
      <c r="O241" s="12">
        <v>0.0</v>
      </c>
      <c r="P241" s="11">
        <v>0.0</v>
      </c>
    </row>
    <row r="242">
      <c r="A242" s="8" t="s">
        <v>293</v>
      </c>
      <c r="B242" s="8" t="s">
        <v>294</v>
      </c>
      <c r="C242" s="9">
        <v>46127.99998842592</v>
      </c>
      <c r="D242" s="8" t="s">
        <v>295</v>
      </c>
      <c r="E242" s="8" t="s">
        <v>110</v>
      </c>
      <c r="F242" s="8" t="s">
        <v>111</v>
      </c>
      <c r="G242" s="8" t="s">
        <v>22</v>
      </c>
      <c r="H242" s="8" t="s">
        <v>23</v>
      </c>
      <c r="I242" s="10">
        <v>2.91</v>
      </c>
      <c r="J242" s="10">
        <v>2.3</v>
      </c>
      <c r="K242" s="10">
        <v>-0.61</v>
      </c>
      <c r="L242" s="11">
        <v>-19463.0</v>
      </c>
      <c r="M242" s="12">
        <v>31906.56</v>
      </c>
      <c r="N242" s="12">
        <v>0.5</v>
      </c>
      <c r="O242" s="12">
        <v>0.10999999999999999</v>
      </c>
      <c r="P242" s="11">
        <v>3509.7216</v>
      </c>
    </row>
    <row r="243">
      <c r="A243" s="8" t="s">
        <v>293</v>
      </c>
      <c r="B243" s="8" t="s">
        <v>294</v>
      </c>
      <c r="C243" s="9">
        <v>46127.99998842592</v>
      </c>
      <c r="D243" s="8" t="s">
        <v>295</v>
      </c>
      <c r="E243" s="8" t="s">
        <v>50</v>
      </c>
      <c r="F243" s="8" t="s">
        <v>51</v>
      </c>
      <c r="G243" s="8" t="s">
        <v>52</v>
      </c>
      <c r="H243" s="8" t="s">
        <v>53</v>
      </c>
      <c r="I243" s="10">
        <v>75.0</v>
      </c>
      <c r="J243" s="10">
        <v>75.0</v>
      </c>
      <c r="K243" s="10">
        <v>0.0</v>
      </c>
      <c r="L243" s="11">
        <v>0.0</v>
      </c>
      <c r="M243" s="12">
        <v>0.0</v>
      </c>
      <c r="N243" s="12">
        <v>0.0</v>
      </c>
      <c r="O243" s="12">
        <v>0.0</v>
      </c>
      <c r="P243" s="11">
        <v>0.0</v>
      </c>
    </row>
    <row r="244">
      <c r="A244" s="8" t="s">
        <v>293</v>
      </c>
      <c r="B244" s="8" t="s">
        <v>294</v>
      </c>
      <c r="C244" s="9">
        <v>46127.99998842592</v>
      </c>
      <c r="D244" s="8" t="s">
        <v>295</v>
      </c>
      <c r="E244" s="8" t="s">
        <v>108</v>
      </c>
      <c r="F244" s="8" t="s">
        <v>109</v>
      </c>
      <c r="G244" s="8" t="s">
        <v>22</v>
      </c>
      <c r="H244" s="8" t="s">
        <v>23</v>
      </c>
      <c r="I244" s="10">
        <v>1.85</v>
      </c>
      <c r="J244" s="10">
        <v>2.0</v>
      </c>
      <c r="K244" s="10">
        <v>0.15</v>
      </c>
      <c r="L244" s="11">
        <v>12019.0</v>
      </c>
      <c r="M244" s="12">
        <v>80126.67</v>
      </c>
      <c r="N244" s="12">
        <v>0.5</v>
      </c>
      <c r="O244" s="12">
        <v>0.0</v>
      </c>
      <c r="P244" s="11">
        <v>0.0</v>
      </c>
    </row>
    <row r="245">
      <c r="A245" s="8" t="s">
        <v>293</v>
      </c>
      <c r="B245" s="8" t="s">
        <v>294</v>
      </c>
      <c r="C245" s="9">
        <v>46127.99998842592</v>
      </c>
      <c r="D245" s="8" t="s">
        <v>295</v>
      </c>
      <c r="E245" s="8" t="s">
        <v>298</v>
      </c>
      <c r="F245" s="8" t="s">
        <v>299</v>
      </c>
      <c r="G245" s="8" t="s">
        <v>60</v>
      </c>
      <c r="H245" s="8" t="s">
        <v>61</v>
      </c>
      <c r="I245" s="10">
        <v>0.0</v>
      </c>
      <c r="J245" s="10">
        <v>0.0</v>
      </c>
      <c r="K245" s="10">
        <v>0.0</v>
      </c>
      <c r="L245" s="11">
        <v>0.0</v>
      </c>
      <c r="M245" s="12">
        <v>0.0</v>
      </c>
      <c r="N245" s="12">
        <v>0.0</v>
      </c>
      <c r="O245" s="12">
        <v>0.0</v>
      </c>
      <c r="P245" s="11">
        <v>0.0</v>
      </c>
    </row>
    <row r="246">
      <c r="A246" s="8" t="s">
        <v>293</v>
      </c>
      <c r="B246" s="8" t="s">
        <v>294</v>
      </c>
      <c r="C246" s="9">
        <v>46127.99998842592</v>
      </c>
      <c r="D246" s="8" t="s">
        <v>295</v>
      </c>
      <c r="E246" s="8" t="s">
        <v>199</v>
      </c>
      <c r="F246" s="8" t="s">
        <v>200</v>
      </c>
      <c r="G246" s="8" t="s">
        <v>22</v>
      </c>
      <c r="H246" s="8" t="s">
        <v>23</v>
      </c>
      <c r="I246" s="10">
        <v>5.78</v>
      </c>
      <c r="J246" s="10">
        <v>5.65</v>
      </c>
      <c r="K246" s="10">
        <v>-0.13</v>
      </c>
      <c r="L246" s="11">
        <v>-12345.0</v>
      </c>
      <c r="M246" s="12">
        <v>94961.54</v>
      </c>
      <c r="N246" s="12">
        <v>0.5</v>
      </c>
      <c r="O246" s="12">
        <v>0.0</v>
      </c>
      <c r="P246" s="11">
        <v>0.0</v>
      </c>
    </row>
    <row r="247">
      <c r="A247" s="8" t="s">
        <v>293</v>
      </c>
      <c r="B247" s="8" t="s">
        <v>294</v>
      </c>
      <c r="C247" s="9">
        <v>46127.99998842592</v>
      </c>
      <c r="D247" s="8" t="s">
        <v>295</v>
      </c>
      <c r="E247" s="8" t="s">
        <v>300</v>
      </c>
      <c r="F247" s="8" t="s">
        <v>301</v>
      </c>
      <c r="G247" s="8" t="s">
        <v>60</v>
      </c>
      <c r="H247" s="8" t="s">
        <v>61</v>
      </c>
      <c r="I247" s="10">
        <v>0.0</v>
      </c>
      <c r="J247" s="10">
        <v>0.0</v>
      </c>
      <c r="K247" s="10">
        <v>0.0</v>
      </c>
      <c r="L247" s="11">
        <v>0.0</v>
      </c>
      <c r="M247" s="12">
        <v>0.0</v>
      </c>
      <c r="N247" s="12">
        <v>0.0</v>
      </c>
      <c r="O247" s="12">
        <v>0.0</v>
      </c>
      <c r="P247" s="11">
        <v>0.0</v>
      </c>
    </row>
    <row r="248">
      <c r="A248" s="8" t="s">
        <v>293</v>
      </c>
      <c r="B248" s="8" t="s">
        <v>294</v>
      </c>
      <c r="C248" s="9">
        <v>46127.99998842592</v>
      </c>
      <c r="D248" s="8" t="s">
        <v>295</v>
      </c>
      <c r="E248" s="8" t="s">
        <v>201</v>
      </c>
      <c r="F248" s="8" t="s">
        <v>202</v>
      </c>
      <c r="G248" s="8" t="s">
        <v>40</v>
      </c>
      <c r="H248" s="8" t="s">
        <v>41</v>
      </c>
      <c r="I248" s="10">
        <v>15.0</v>
      </c>
      <c r="J248" s="10">
        <v>15.0</v>
      </c>
      <c r="K248" s="10">
        <v>0.0</v>
      </c>
      <c r="L248" s="11">
        <v>0.0</v>
      </c>
      <c r="M248" s="12">
        <v>0.0</v>
      </c>
      <c r="N248" s="12">
        <v>0.0</v>
      </c>
      <c r="O248" s="12">
        <v>0.0</v>
      </c>
      <c r="P248" s="11">
        <v>0.0</v>
      </c>
    </row>
    <row r="249">
      <c r="A249" s="8" t="s">
        <v>293</v>
      </c>
      <c r="B249" s="8" t="s">
        <v>294</v>
      </c>
      <c r="C249" s="9">
        <v>46127.99998842592</v>
      </c>
      <c r="D249" s="8" t="s">
        <v>295</v>
      </c>
      <c r="E249" s="8" t="s">
        <v>34</v>
      </c>
      <c r="F249" s="8" t="s">
        <v>35</v>
      </c>
      <c r="G249" s="8" t="s">
        <v>22</v>
      </c>
      <c r="H249" s="8" t="s">
        <v>23</v>
      </c>
      <c r="I249" s="10">
        <v>4.83</v>
      </c>
      <c r="J249" s="10">
        <v>4.57</v>
      </c>
      <c r="K249" s="10">
        <v>-0.26</v>
      </c>
      <c r="L249" s="11">
        <v>-185991.0</v>
      </c>
      <c r="M249" s="12">
        <v>715350.0</v>
      </c>
      <c r="N249" s="12">
        <v>0.5</v>
      </c>
      <c r="O249" s="12">
        <v>0.0</v>
      </c>
      <c r="P249" s="11">
        <v>0.0</v>
      </c>
    </row>
    <row r="250">
      <c r="A250" s="8" t="s">
        <v>293</v>
      </c>
      <c r="B250" s="8" t="s">
        <v>294</v>
      </c>
      <c r="C250" s="9">
        <v>46127.99998842592</v>
      </c>
      <c r="D250" s="8" t="s">
        <v>295</v>
      </c>
      <c r="E250" s="8" t="s">
        <v>42</v>
      </c>
      <c r="F250" s="8" t="s">
        <v>43</v>
      </c>
      <c r="G250" s="8" t="s">
        <v>44</v>
      </c>
      <c r="H250" s="8" t="s">
        <v>45</v>
      </c>
      <c r="I250" s="10">
        <v>0.0</v>
      </c>
      <c r="J250" s="10">
        <v>0.0</v>
      </c>
      <c r="K250" s="10">
        <v>0.0</v>
      </c>
      <c r="L250" s="11">
        <v>0.0</v>
      </c>
      <c r="M250" s="12">
        <v>0.0</v>
      </c>
      <c r="N250" s="12">
        <v>0.0</v>
      </c>
      <c r="O250" s="12">
        <v>0.0</v>
      </c>
      <c r="P250" s="11">
        <v>0.0</v>
      </c>
    </row>
    <row r="251">
      <c r="A251" s="8" t="s">
        <v>293</v>
      </c>
      <c r="B251" s="8" t="s">
        <v>294</v>
      </c>
      <c r="C251" s="9">
        <v>46127.99998842592</v>
      </c>
      <c r="D251" s="8" t="s">
        <v>295</v>
      </c>
      <c r="E251" s="8" t="s">
        <v>38</v>
      </c>
      <c r="F251" s="8" t="s">
        <v>39</v>
      </c>
      <c r="G251" s="8" t="s">
        <v>52</v>
      </c>
      <c r="H251" s="8" t="s">
        <v>53</v>
      </c>
      <c r="I251" s="10">
        <v>5.4</v>
      </c>
      <c r="J251" s="10">
        <v>5.3</v>
      </c>
      <c r="K251" s="10">
        <v>-0.1</v>
      </c>
      <c r="L251" s="11">
        <v>-4496.0</v>
      </c>
      <c r="M251" s="12">
        <v>44960.0</v>
      </c>
      <c r="N251" s="12">
        <v>0.0</v>
      </c>
      <c r="O251" s="12">
        <v>0.1</v>
      </c>
      <c r="P251" s="11">
        <v>4496.0</v>
      </c>
    </row>
    <row r="252">
      <c r="A252" s="8" t="s">
        <v>293</v>
      </c>
      <c r="B252" s="8" t="s">
        <v>294</v>
      </c>
      <c r="C252" s="9">
        <v>46127.99998842592</v>
      </c>
      <c r="D252" s="8" t="s">
        <v>295</v>
      </c>
      <c r="E252" s="8" t="s">
        <v>302</v>
      </c>
      <c r="F252" s="8" t="s">
        <v>303</v>
      </c>
      <c r="G252" s="8" t="s">
        <v>22</v>
      </c>
      <c r="H252" s="8" t="s">
        <v>23</v>
      </c>
      <c r="I252" s="10">
        <v>5.694</v>
      </c>
      <c r="J252" s="10">
        <v>5.71</v>
      </c>
      <c r="K252" s="10">
        <v>0.016</v>
      </c>
      <c r="L252" s="11">
        <v>1280.0</v>
      </c>
      <c r="M252" s="12">
        <v>80000.0</v>
      </c>
      <c r="N252" s="12">
        <v>0.5</v>
      </c>
      <c r="O252" s="12">
        <v>0.0</v>
      </c>
      <c r="P252" s="11">
        <v>0.0</v>
      </c>
    </row>
    <row r="253">
      <c r="A253" s="8" t="s">
        <v>293</v>
      </c>
      <c r="B253" s="8" t="s">
        <v>294</v>
      </c>
      <c r="C253" s="9">
        <v>46127.99998842592</v>
      </c>
      <c r="D253" s="8" t="s">
        <v>295</v>
      </c>
      <c r="E253" s="8" t="s">
        <v>134</v>
      </c>
      <c r="F253" s="8" t="s">
        <v>135</v>
      </c>
      <c r="G253" s="8" t="s">
        <v>22</v>
      </c>
      <c r="H253" s="8" t="s">
        <v>23</v>
      </c>
      <c r="I253" s="10">
        <v>4.14</v>
      </c>
      <c r="J253" s="10">
        <v>3.22</v>
      </c>
      <c r="K253" s="10">
        <v>-0.92</v>
      </c>
      <c r="L253" s="11">
        <v>-322027.0</v>
      </c>
      <c r="M253" s="12">
        <v>350029.35</v>
      </c>
      <c r="N253" s="12">
        <v>0.5</v>
      </c>
      <c r="O253" s="12">
        <v>0.42000000000000004</v>
      </c>
      <c r="P253" s="11">
        <v>147012.327</v>
      </c>
    </row>
    <row r="254">
      <c r="A254" s="8" t="s">
        <v>293</v>
      </c>
      <c r="B254" s="8" t="s">
        <v>294</v>
      </c>
      <c r="C254" s="9">
        <v>46127.99998842592</v>
      </c>
      <c r="D254" s="8" t="s">
        <v>295</v>
      </c>
      <c r="E254" s="8" t="s">
        <v>68</v>
      </c>
      <c r="F254" s="8" t="s">
        <v>69</v>
      </c>
      <c r="G254" s="8" t="s">
        <v>22</v>
      </c>
      <c r="H254" s="8" t="s">
        <v>23</v>
      </c>
      <c r="I254" s="10">
        <v>1.94</v>
      </c>
      <c r="J254" s="10">
        <v>1.0</v>
      </c>
      <c r="K254" s="10">
        <v>-0.94</v>
      </c>
      <c r="L254" s="11">
        <v>-134214.0</v>
      </c>
      <c r="M254" s="12">
        <v>142780.85</v>
      </c>
      <c r="N254" s="12">
        <v>0.5</v>
      </c>
      <c r="O254" s="12">
        <v>0.43999999999999995</v>
      </c>
      <c r="P254" s="11">
        <v>62823.57399999999</v>
      </c>
    </row>
    <row r="255">
      <c r="A255" s="8" t="s">
        <v>293</v>
      </c>
      <c r="B255" s="8" t="s">
        <v>294</v>
      </c>
      <c r="C255" s="9">
        <v>46127.99998842592</v>
      </c>
      <c r="D255" s="8" t="s">
        <v>295</v>
      </c>
      <c r="E255" s="8" t="s">
        <v>24</v>
      </c>
      <c r="F255" s="8" t="s">
        <v>25</v>
      </c>
      <c r="G255" s="8" t="s">
        <v>22</v>
      </c>
      <c r="H255" s="8" t="s">
        <v>23</v>
      </c>
      <c r="I255" s="10">
        <v>0.38</v>
      </c>
      <c r="J255" s="10">
        <v>0.1</v>
      </c>
      <c r="K255" s="10">
        <v>-0.28</v>
      </c>
      <c r="L255" s="11">
        <v>-81200.0</v>
      </c>
      <c r="M255" s="12">
        <v>290000.0</v>
      </c>
      <c r="N255" s="12">
        <v>0.5</v>
      </c>
      <c r="O255" s="12">
        <v>0.0</v>
      </c>
      <c r="P255" s="11">
        <v>0.0</v>
      </c>
    </row>
    <row r="256">
      <c r="A256" s="8" t="s">
        <v>293</v>
      </c>
      <c r="B256" s="8" t="s">
        <v>294</v>
      </c>
      <c r="C256" s="9">
        <v>46127.99998842592</v>
      </c>
      <c r="D256" s="8" t="s">
        <v>295</v>
      </c>
      <c r="E256" s="8" t="s">
        <v>26</v>
      </c>
      <c r="F256" s="8" t="s">
        <v>27</v>
      </c>
      <c r="G256" s="8" t="s">
        <v>22</v>
      </c>
      <c r="H256" s="8" t="s">
        <v>23</v>
      </c>
      <c r="I256" s="10">
        <v>1.6</v>
      </c>
      <c r="J256" s="10">
        <v>1.8</v>
      </c>
      <c r="K256" s="10">
        <v>0.2</v>
      </c>
      <c r="L256" s="11">
        <v>24004.0</v>
      </c>
      <c r="M256" s="12">
        <v>120020.0</v>
      </c>
      <c r="N256" s="12">
        <v>0.5</v>
      </c>
      <c r="O256" s="12">
        <v>0.0</v>
      </c>
      <c r="P256" s="11">
        <v>0.0</v>
      </c>
    </row>
    <row r="257">
      <c r="A257" s="8" t="s">
        <v>293</v>
      </c>
      <c r="B257" s="8" t="s">
        <v>294</v>
      </c>
      <c r="C257" s="9">
        <v>46127.99998842592</v>
      </c>
      <c r="D257" s="8" t="s">
        <v>295</v>
      </c>
      <c r="E257" s="8" t="s">
        <v>30</v>
      </c>
      <c r="F257" s="8" t="s">
        <v>31</v>
      </c>
      <c r="G257" s="8" t="s">
        <v>22</v>
      </c>
      <c r="H257" s="8" t="s">
        <v>23</v>
      </c>
      <c r="I257" s="10">
        <v>5.85</v>
      </c>
      <c r="J257" s="10">
        <v>6.0</v>
      </c>
      <c r="K257" s="10">
        <v>0.15</v>
      </c>
      <c r="L257" s="11">
        <v>16650.0</v>
      </c>
      <c r="M257" s="12">
        <v>111000.0</v>
      </c>
      <c r="N257" s="12">
        <v>0.5</v>
      </c>
      <c r="O257" s="12">
        <v>0.0</v>
      </c>
      <c r="P257" s="11">
        <v>0.0</v>
      </c>
    </row>
    <row r="258">
      <c r="A258" s="8" t="s">
        <v>293</v>
      </c>
      <c r="B258" s="8" t="s">
        <v>294</v>
      </c>
      <c r="C258" s="9">
        <v>46127.99998842592</v>
      </c>
      <c r="D258" s="8" t="s">
        <v>295</v>
      </c>
      <c r="E258" s="8" t="s">
        <v>130</v>
      </c>
      <c r="F258" s="8" t="s">
        <v>131</v>
      </c>
      <c r="G258" s="8" t="s">
        <v>22</v>
      </c>
      <c r="H258" s="8" t="s">
        <v>23</v>
      </c>
      <c r="I258" s="10">
        <v>1.88</v>
      </c>
      <c r="J258" s="10">
        <v>2.0</v>
      </c>
      <c r="K258" s="10">
        <v>0.12</v>
      </c>
      <c r="L258" s="11">
        <v>16800.0</v>
      </c>
      <c r="M258" s="12">
        <v>140000.0</v>
      </c>
      <c r="N258" s="12">
        <v>0.5</v>
      </c>
      <c r="O258" s="12">
        <v>0.0</v>
      </c>
      <c r="P258" s="11">
        <v>0.0</v>
      </c>
    </row>
    <row r="259">
      <c r="A259" s="8" t="s">
        <v>293</v>
      </c>
      <c r="B259" s="8" t="s">
        <v>294</v>
      </c>
      <c r="C259" s="9">
        <v>46127.99998842592</v>
      </c>
      <c r="D259" s="8" t="s">
        <v>295</v>
      </c>
      <c r="E259" s="8" t="s">
        <v>58</v>
      </c>
      <c r="F259" s="8" t="s">
        <v>59</v>
      </c>
      <c r="G259" s="8" t="s">
        <v>112</v>
      </c>
      <c r="H259" s="8" t="s">
        <v>113</v>
      </c>
      <c r="I259" s="10">
        <v>8.6</v>
      </c>
      <c r="J259" s="10">
        <v>8.2</v>
      </c>
      <c r="K259" s="10">
        <v>-0.4</v>
      </c>
      <c r="L259" s="11">
        <v>-17200.0</v>
      </c>
      <c r="M259" s="12">
        <v>43000.0</v>
      </c>
      <c r="N259" s="12">
        <v>0.0</v>
      </c>
      <c r="O259" s="12">
        <v>0.4</v>
      </c>
      <c r="P259" s="11">
        <v>17200.0</v>
      </c>
    </row>
    <row r="260">
      <c r="A260" s="8" t="s">
        <v>293</v>
      </c>
      <c r="B260" s="8" t="s">
        <v>294</v>
      </c>
      <c r="C260" s="9">
        <v>46127.99998842592</v>
      </c>
      <c r="D260" s="8" t="s">
        <v>295</v>
      </c>
      <c r="E260" s="8" t="s">
        <v>62</v>
      </c>
      <c r="F260" s="8" t="s">
        <v>63</v>
      </c>
      <c r="G260" s="8" t="s">
        <v>40</v>
      </c>
      <c r="H260" s="8" t="s">
        <v>41</v>
      </c>
      <c r="I260" s="10">
        <v>1.0</v>
      </c>
      <c r="J260" s="10">
        <v>1.0</v>
      </c>
      <c r="K260" s="10">
        <v>0.0</v>
      </c>
      <c r="L260" s="11">
        <v>0.0</v>
      </c>
      <c r="M260" s="12">
        <v>0.0</v>
      </c>
      <c r="N260" s="12">
        <v>0.0</v>
      </c>
      <c r="O260" s="12">
        <v>0.0</v>
      </c>
      <c r="P260" s="11">
        <v>0.0</v>
      </c>
    </row>
    <row r="261">
      <c r="A261" s="8" t="s">
        <v>293</v>
      </c>
      <c r="B261" s="8" t="s">
        <v>294</v>
      </c>
      <c r="C261" s="9">
        <v>46127.99998842592</v>
      </c>
      <c r="D261" s="8" t="s">
        <v>295</v>
      </c>
      <c r="E261" s="8" t="s">
        <v>114</v>
      </c>
      <c r="F261" s="8" t="s">
        <v>115</v>
      </c>
      <c r="G261" s="8" t="s">
        <v>22</v>
      </c>
      <c r="H261" s="8" t="s">
        <v>23</v>
      </c>
      <c r="I261" s="10">
        <v>1.75</v>
      </c>
      <c r="J261" s="10">
        <v>1.91</v>
      </c>
      <c r="K261" s="10">
        <v>0.16</v>
      </c>
      <c r="L261" s="11">
        <v>88000.0</v>
      </c>
      <c r="M261" s="12">
        <v>550000.0</v>
      </c>
      <c r="N261" s="12">
        <v>0.5</v>
      </c>
      <c r="O261" s="12">
        <v>0.0</v>
      </c>
      <c r="P261" s="11">
        <v>0.0</v>
      </c>
    </row>
    <row r="262">
      <c r="A262" s="8" t="s">
        <v>293</v>
      </c>
      <c r="B262" s="8" t="s">
        <v>294</v>
      </c>
      <c r="C262" s="9">
        <v>46127.99998842592</v>
      </c>
      <c r="D262" s="8" t="s">
        <v>295</v>
      </c>
      <c r="E262" s="8" t="s">
        <v>32</v>
      </c>
      <c r="F262" s="8" t="s">
        <v>33</v>
      </c>
      <c r="G262" s="8" t="s">
        <v>22</v>
      </c>
      <c r="H262" s="8" t="s">
        <v>23</v>
      </c>
      <c r="I262" s="10">
        <v>4.625</v>
      </c>
      <c r="J262" s="10">
        <v>4.75</v>
      </c>
      <c r="K262" s="10">
        <v>0.125</v>
      </c>
      <c r="L262" s="11">
        <v>6875.0</v>
      </c>
      <c r="M262" s="12">
        <v>55000.0</v>
      </c>
      <c r="N262" s="12">
        <v>0.5</v>
      </c>
      <c r="O262" s="12">
        <v>0.0</v>
      </c>
      <c r="P262" s="11">
        <v>0.0</v>
      </c>
    </row>
    <row r="263">
      <c r="A263" s="8" t="s">
        <v>293</v>
      </c>
      <c r="B263" s="8" t="s">
        <v>294</v>
      </c>
      <c r="C263" s="9">
        <v>46127.99998842592</v>
      </c>
      <c r="D263" s="8" t="s">
        <v>295</v>
      </c>
      <c r="E263" s="8" t="s">
        <v>304</v>
      </c>
      <c r="F263" s="8" t="s">
        <v>305</v>
      </c>
      <c r="G263" s="8" t="s">
        <v>22</v>
      </c>
      <c r="H263" s="8" t="s">
        <v>23</v>
      </c>
      <c r="I263" s="10">
        <v>0.0</v>
      </c>
      <c r="J263" s="10">
        <v>0.0</v>
      </c>
      <c r="K263" s="10">
        <v>0.0</v>
      </c>
      <c r="L263" s="11">
        <v>0.0</v>
      </c>
      <c r="M263" s="12">
        <v>0.0</v>
      </c>
      <c r="N263" s="12">
        <v>0.5</v>
      </c>
      <c r="O263" s="12">
        <v>0.0</v>
      </c>
      <c r="P263" s="11">
        <v>0.0</v>
      </c>
    </row>
    <row r="264">
      <c r="A264" s="8" t="s">
        <v>293</v>
      </c>
      <c r="B264" s="8" t="s">
        <v>294</v>
      </c>
      <c r="C264" s="9">
        <v>46127.99998842592</v>
      </c>
      <c r="D264" s="8" t="s">
        <v>295</v>
      </c>
      <c r="E264" s="8" t="s">
        <v>306</v>
      </c>
      <c r="F264" s="8" t="s">
        <v>307</v>
      </c>
      <c r="G264" s="8" t="s">
        <v>22</v>
      </c>
      <c r="H264" s="8" t="s">
        <v>23</v>
      </c>
      <c r="I264" s="10">
        <v>3.78</v>
      </c>
      <c r="J264" s="10">
        <v>3.3</v>
      </c>
      <c r="K264" s="10">
        <v>-0.48</v>
      </c>
      <c r="L264" s="11">
        <v>-97824.0</v>
      </c>
      <c r="M264" s="12">
        <v>203800.0</v>
      </c>
      <c r="N264" s="12">
        <v>0.5</v>
      </c>
      <c r="O264" s="12">
        <v>0.0</v>
      </c>
      <c r="P264" s="11">
        <v>0.0</v>
      </c>
    </row>
    <row r="265">
      <c r="A265" s="8" t="s">
        <v>293</v>
      </c>
      <c r="B265" s="8" t="s">
        <v>294</v>
      </c>
      <c r="C265" s="9">
        <v>46127.99998842592</v>
      </c>
      <c r="D265" s="8" t="s">
        <v>295</v>
      </c>
      <c r="E265" s="8" t="s">
        <v>116</v>
      </c>
      <c r="F265" s="8" t="s">
        <v>117</v>
      </c>
      <c r="G265" s="8" t="s">
        <v>22</v>
      </c>
      <c r="H265" s="8" t="s">
        <v>23</v>
      </c>
      <c r="I265" s="10">
        <v>14.05</v>
      </c>
      <c r="J265" s="10">
        <v>14.12</v>
      </c>
      <c r="K265" s="10">
        <v>0.07</v>
      </c>
      <c r="L265" s="11">
        <v>43434.0</v>
      </c>
      <c r="M265" s="12">
        <v>620485.71</v>
      </c>
      <c r="N265" s="12">
        <v>0.5</v>
      </c>
      <c r="O265" s="12">
        <v>0.0</v>
      </c>
      <c r="P265" s="11">
        <v>0.0</v>
      </c>
    </row>
    <row r="266">
      <c r="A266" s="8" t="s">
        <v>293</v>
      </c>
      <c r="B266" s="8" t="s">
        <v>294</v>
      </c>
      <c r="C266" s="9">
        <v>46127.99998842592</v>
      </c>
      <c r="D266" s="8" t="s">
        <v>295</v>
      </c>
      <c r="E266" s="8" t="s">
        <v>64</v>
      </c>
      <c r="F266" s="8" t="s">
        <v>65</v>
      </c>
      <c r="G266" s="8" t="s">
        <v>22</v>
      </c>
      <c r="H266" s="8" t="s">
        <v>23</v>
      </c>
      <c r="I266" s="10">
        <v>3.5</v>
      </c>
      <c r="J266" s="10">
        <v>3.41</v>
      </c>
      <c r="K266" s="10">
        <v>-0.09</v>
      </c>
      <c r="L266" s="11">
        <v>-36281.0</v>
      </c>
      <c r="M266" s="12">
        <v>403122.22</v>
      </c>
      <c r="N266" s="12">
        <v>0.5</v>
      </c>
      <c r="O266" s="12">
        <v>0.0</v>
      </c>
      <c r="P266" s="11">
        <v>0.0</v>
      </c>
    </row>
    <row r="267">
      <c r="A267" s="8" t="s">
        <v>293</v>
      </c>
      <c r="B267" s="8" t="s">
        <v>294</v>
      </c>
      <c r="C267" s="9">
        <v>46127.99998842592</v>
      </c>
      <c r="D267" s="8" t="s">
        <v>295</v>
      </c>
      <c r="E267" s="8" t="s">
        <v>66</v>
      </c>
      <c r="F267" s="8" t="s">
        <v>67</v>
      </c>
      <c r="G267" s="8" t="s">
        <v>22</v>
      </c>
      <c r="H267" s="8" t="s">
        <v>23</v>
      </c>
      <c r="I267" s="10">
        <v>19.33</v>
      </c>
      <c r="J267" s="10">
        <v>19.21</v>
      </c>
      <c r="K267" s="10">
        <v>-0.12</v>
      </c>
      <c r="L267" s="11">
        <v>-6285.0</v>
      </c>
      <c r="M267" s="12">
        <v>52375.0</v>
      </c>
      <c r="N267" s="12">
        <v>0.5</v>
      </c>
      <c r="O267" s="12">
        <v>0.0</v>
      </c>
      <c r="P267" s="11">
        <v>0.0</v>
      </c>
    </row>
    <row r="268">
      <c r="A268" s="8" t="s">
        <v>70</v>
      </c>
      <c r="B268" s="8" t="s">
        <v>308</v>
      </c>
      <c r="C268" s="9">
        <v>46128.80060185185</v>
      </c>
      <c r="D268" s="8" t="s">
        <v>309</v>
      </c>
      <c r="E268" s="8" t="s">
        <v>310</v>
      </c>
      <c r="F268" s="8" t="s">
        <v>311</v>
      </c>
      <c r="G268" s="8" t="s">
        <v>40</v>
      </c>
      <c r="H268" s="8" t="s">
        <v>41</v>
      </c>
      <c r="I268" s="10">
        <v>0.0</v>
      </c>
      <c r="J268" s="10">
        <v>0.0</v>
      </c>
      <c r="K268" s="10">
        <v>0.0</v>
      </c>
      <c r="L268" s="11">
        <v>0.0</v>
      </c>
      <c r="M268" s="12">
        <v>0.0</v>
      </c>
      <c r="N268" s="12">
        <v>0.0</v>
      </c>
      <c r="O268" s="12">
        <v>0.0</v>
      </c>
      <c r="P268" s="11">
        <v>0.0</v>
      </c>
    </row>
    <row r="269">
      <c r="A269" s="8" t="s">
        <v>70</v>
      </c>
      <c r="B269" s="8" t="s">
        <v>308</v>
      </c>
      <c r="C269" s="9">
        <v>46128.80060185185</v>
      </c>
      <c r="D269" s="8" t="s">
        <v>309</v>
      </c>
      <c r="E269" s="8" t="s">
        <v>312</v>
      </c>
      <c r="F269" s="8" t="s">
        <v>313</v>
      </c>
      <c r="G269" s="8" t="s">
        <v>40</v>
      </c>
      <c r="H269" s="8" t="s">
        <v>41</v>
      </c>
      <c r="I269" s="10">
        <v>0.0</v>
      </c>
      <c r="J269" s="10">
        <v>0.0</v>
      </c>
      <c r="K269" s="10">
        <v>0.0</v>
      </c>
      <c r="L269" s="11">
        <v>0.0</v>
      </c>
      <c r="M269" s="12">
        <v>0.0</v>
      </c>
      <c r="N269" s="12">
        <v>0.0</v>
      </c>
      <c r="O269" s="12">
        <v>0.0</v>
      </c>
      <c r="P269" s="11">
        <v>0.0</v>
      </c>
    </row>
    <row r="270">
      <c r="A270" s="8" t="s">
        <v>70</v>
      </c>
      <c r="B270" s="8" t="s">
        <v>308</v>
      </c>
      <c r="C270" s="9">
        <v>46128.80060185185</v>
      </c>
      <c r="D270" s="8" t="s">
        <v>309</v>
      </c>
      <c r="E270" s="8" t="s">
        <v>314</v>
      </c>
      <c r="F270" s="8" t="s">
        <v>315</v>
      </c>
      <c r="G270" s="8" t="s">
        <v>40</v>
      </c>
      <c r="H270" s="8" t="s">
        <v>41</v>
      </c>
      <c r="I270" s="10">
        <v>1.0</v>
      </c>
      <c r="J270" s="10">
        <v>1.0</v>
      </c>
      <c r="K270" s="10">
        <v>0.0</v>
      </c>
      <c r="L270" s="11">
        <v>0.0</v>
      </c>
      <c r="M270" s="12">
        <v>0.0</v>
      </c>
      <c r="N270" s="12">
        <v>0.0</v>
      </c>
      <c r="O270" s="12">
        <v>0.0</v>
      </c>
      <c r="P270" s="11">
        <v>0.0</v>
      </c>
    </row>
    <row r="271">
      <c r="A271" s="8" t="s">
        <v>70</v>
      </c>
      <c r="B271" s="8" t="s">
        <v>308</v>
      </c>
      <c r="C271" s="9">
        <v>46128.80060185185</v>
      </c>
      <c r="D271" s="8" t="s">
        <v>309</v>
      </c>
      <c r="E271" s="8" t="s">
        <v>316</v>
      </c>
      <c r="F271" s="8" t="s">
        <v>317</v>
      </c>
      <c r="G271" s="8" t="s">
        <v>40</v>
      </c>
      <c r="H271" s="8" t="s">
        <v>41</v>
      </c>
      <c r="I271" s="10">
        <v>3.0</v>
      </c>
      <c r="J271" s="10">
        <v>3.0</v>
      </c>
      <c r="K271" s="10">
        <v>0.0</v>
      </c>
      <c r="L271" s="11">
        <v>0.0</v>
      </c>
      <c r="M271" s="12">
        <v>0.0</v>
      </c>
      <c r="N271" s="12">
        <v>0.0</v>
      </c>
      <c r="O271" s="12">
        <v>0.0</v>
      </c>
      <c r="P271" s="11">
        <v>0.0</v>
      </c>
    </row>
    <row r="272">
      <c r="A272" s="8" t="s">
        <v>70</v>
      </c>
      <c r="B272" s="8" t="s">
        <v>308</v>
      </c>
      <c r="C272" s="9">
        <v>46128.80060185185</v>
      </c>
      <c r="D272" s="8" t="s">
        <v>309</v>
      </c>
      <c r="E272" s="8" t="s">
        <v>318</v>
      </c>
      <c r="F272" s="8" t="s">
        <v>319</v>
      </c>
      <c r="G272" s="8" t="s">
        <v>40</v>
      </c>
      <c r="H272" s="8" t="s">
        <v>41</v>
      </c>
      <c r="I272" s="10">
        <v>0.0</v>
      </c>
      <c r="J272" s="10">
        <v>0.0</v>
      </c>
      <c r="K272" s="10">
        <v>0.0</v>
      </c>
      <c r="L272" s="11">
        <v>0.0</v>
      </c>
      <c r="M272" s="12">
        <v>0.0</v>
      </c>
      <c r="N272" s="12">
        <v>0.0</v>
      </c>
      <c r="O272" s="12">
        <v>0.0</v>
      </c>
      <c r="P272" s="11">
        <v>0.0</v>
      </c>
    </row>
    <row r="273">
      <c r="A273" s="8" t="s">
        <v>70</v>
      </c>
      <c r="B273" s="8" t="s">
        <v>308</v>
      </c>
      <c r="C273" s="9">
        <v>46128.80060185185</v>
      </c>
      <c r="D273" s="8" t="s">
        <v>309</v>
      </c>
      <c r="E273" s="8" t="s">
        <v>320</v>
      </c>
      <c r="F273" s="8" t="s">
        <v>321</v>
      </c>
      <c r="G273" s="8" t="s">
        <v>40</v>
      </c>
      <c r="H273" s="8" t="s">
        <v>41</v>
      </c>
      <c r="I273" s="10">
        <v>9.0</v>
      </c>
      <c r="J273" s="10">
        <v>9.0</v>
      </c>
      <c r="K273" s="10">
        <v>0.0</v>
      </c>
      <c r="L273" s="11">
        <v>0.0</v>
      </c>
      <c r="M273" s="12">
        <v>0.0</v>
      </c>
      <c r="N273" s="12">
        <v>0.0</v>
      </c>
      <c r="O273" s="12">
        <v>0.0</v>
      </c>
      <c r="P273" s="11">
        <v>0.0</v>
      </c>
    </row>
    <row r="274">
      <c r="A274" s="8" t="s">
        <v>70</v>
      </c>
      <c r="B274" s="8" t="s">
        <v>308</v>
      </c>
      <c r="C274" s="9">
        <v>46128.80060185185</v>
      </c>
      <c r="D274" s="8" t="s">
        <v>309</v>
      </c>
      <c r="E274" s="8" t="s">
        <v>322</v>
      </c>
      <c r="F274" s="8" t="s">
        <v>323</v>
      </c>
      <c r="G274" s="8" t="s">
        <v>40</v>
      </c>
      <c r="H274" s="8" t="s">
        <v>41</v>
      </c>
      <c r="I274" s="10">
        <v>0.0</v>
      </c>
      <c r="J274" s="10">
        <v>0.0</v>
      </c>
      <c r="K274" s="10">
        <v>0.0</v>
      </c>
      <c r="L274" s="11">
        <v>0.0</v>
      </c>
      <c r="M274" s="12">
        <v>0.0</v>
      </c>
      <c r="N274" s="12">
        <v>0.0</v>
      </c>
      <c r="O274" s="12">
        <v>0.0</v>
      </c>
      <c r="P274" s="11">
        <v>0.0</v>
      </c>
    </row>
    <row r="275">
      <c r="A275" s="8" t="s">
        <v>70</v>
      </c>
      <c r="B275" s="8" t="s">
        <v>308</v>
      </c>
      <c r="C275" s="9">
        <v>46128.80060185185</v>
      </c>
      <c r="D275" s="8" t="s">
        <v>309</v>
      </c>
      <c r="E275" s="8" t="s">
        <v>324</v>
      </c>
      <c r="F275" s="8" t="s">
        <v>325</v>
      </c>
      <c r="G275" s="8" t="s">
        <v>40</v>
      </c>
      <c r="H275" s="8" t="s">
        <v>41</v>
      </c>
      <c r="I275" s="10">
        <v>4.0</v>
      </c>
      <c r="J275" s="10">
        <v>4.0</v>
      </c>
      <c r="K275" s="10">
        <v>0.0</v>
      </c>
      <c r="L275" s="11">
        <v>0.0</v>
      </c>
      <c r="M275" s="12">
        <v>0.0</v>
      </c>
      <c r="N275" s="12">
        <v>0.0</v>
      </c>
      <c r="O275" s="12">
        <v>0.0</v>
      </c>
      <c r="P275" s="11">
        <v>0.0</v>
      </c>
    </row>
    <row r="276">
      <c r="A276" s="8" t="s">
        <v>70</v>
      </c>
      <c r="B276" s="8" t="s">
        <v>308</v>
      </c>
      <c r="C276" s="9">
        <v>46128.80060185185</v>
      </c>
      <c r="D276" s="8" t="s">
        <v>309</v>
      </c>
      <c r="E276" s="8" t="s">
        <v>326</v>
      </c>
      <c r="F276" s="8" t="s">
        <v>327</v>
      </c>
      <c r="G276" s="8" t="s">
        <v>40</v>
      </c>
      <c r="H276" s="8" t="s">
        <v>41</v>
      </c>
      <c r="I276" s="10">
        <v>19.0</v>
      </c>
      <c r="J276" s="10">
        <v>19.0</v>
      </c>
      <c r="K276" s="10">
        <v>0.0</v>
      </c>
      <c r="L276" s="11">
        <v>0.0</v>
      </c>
      <c r="M276" s="12">
        <v>0.0</v>
      </c>
      <c r="N276" s="12">
        <v>0.0</v>
      </c>
      <c r="O276" s="12">
        <v>0.0</v>
      </c>
      <c r="P276" s="11">
        <v>0.0</v>
      </c>
    </row>
    <row r="277">
      <c r="A277" s="8" t="s">
        <v>70</v>
      </c>
      <c r="B277" s="8" t="s">
        <v>308</v>
      </c>
      <c r="C277" s="9">
        <v>46128.80060185185</v>
      </c>
      <c r="D277" s="8" t="s">
        <v>309</v>
      </c>
      <c r="E277" s="8" t="s">
        <v>328</v>
      </c>
      <c r="F277" s="8" t="s">
        <v>329</v>
      </c>
      <c r="G277" s="8" t="s">
        <v>40</v>
      </c>
      <c r="H277" s="8" t="s">
        <v>41</v>
      </c>
      <c r="I277" s="10">
        <v>3.0</v>
      </c>
      <c r="J277" s="10">
        <v>3.0</v>
      </c>
      <c r="K277" s="10">
        <v>0.0</v>
      </c>
      <c r="L277" s="11">
        <v>0.0</v>
      </c>
      <c r="M277" s="12">
        <v>0.0</v>
      </c>
      <c r="N277" s="12">
        <v>0.0</v>
      </c>
      <c r="O277" s="12">
        <v>0.0</v>
      </c>
      <c r="P277" s="11">
        <v>0.0</v>
      </c>
    </row>
    <row r="278">
      <c r="A278" s="8" t="s">
        <v>70</v>
      </c>
      <c r="B278" s="8" t="s">
        <v>308</v>
      </c>
      <c r="C278" s="9">
        <v>46128.80060185185</v>
      </c>
      <c r="D278" s="8" t="s">
        <v>309</v>
      </c>
      <c r="E278" s="8" t="s">
        <v>330</v>
      </c>
      <c r="F278" s="8" t="s">
        <v>331</v>
      </c>
      <c r="G278" s="8" t="s">
        <v>40</v>
      </c>
      <c r="H278" s="8" t="s">
        <v>41</v>
      </c>
      <c r="I278" s="10">
        <v>0.0</v>
      </c>
      <c r="J278" s="10">
        <v>0.0</v>
      </c>
      <c r="K278" s="10">
        <v>0.0</v>
      </c>
      <c r="L278" s="11">
        <v>0.0</v>
      </c>
      <c r="M278" s="12">
        <v>0.0</v>
      </c>
      <c r="N278" s="12">
        <v>0.0</v>
      </c>
      <c r="O278" s="12">
        <v>0.0</v>
      </c>
      <c r="P278" s="11">
        <v>0.0</v>
      </c>
    </row>
    <row r="279">
      <c r="A279" s="8" t="s">
        <v>70</v>
      </c>
      <c r="B279" s="8" t="s">
        <v>308</v>
      </c>
      <c r="C279" s="9">
        <v>46128.80060185185</v>
      </c>
      <c r="D279" s="8" t="s">
        <v>309</v>
      </c>
      <c r="E279" s="8" t="s">
        <v>332</v>
      </c>
      <c r="F279" s="8" t="s">
        <v>333</v>
      </c>
      <c r="G279" s="8" t="s">
        <v>40</v>
      </c>
      <c r="H279" s="8" t="s">
        <v>41</v>
      </c>
      <c r="I279" s="10">
        <v>5.0</v>
      </c>
      <c r="J279" s="10">
        <v>5.0</v>
      </c>
      <c r="K279" s="10">
        <v>0.0</v>
      </c>
      <c r="L279" s="11">
        <v>0.0</v>
      </c>
      <c r="M279" s="12">
        <v>0.0</v>
      </c>
      <c r="N279" s="12">
        <v>0.0</v>
      </c>
      <c r="O279" s="12">
        <v>0.0</v>
      </c>
      <c r="P279" s="11">
        <v>0.0</v>
      </c>
    </row>
    <row r="280">
      <c r="A280" s="8" t="s">
        <v>70</v>
      </c>
      <c r="B280" s="8" t="s">
        <v>308</v>
      </c>
      <c r="C280" s="9">
        <v>46128.80060185185</v>
      </c>
      <c r="D280" s="8" t="s">
        <v>309</v>
      </c>
      <c r="E280" s="8" t="s">
        <v>334</v>
      </c>
      <c r="F280" s="8" t="s">
        <v>335</v>
      </c>
      <c r="G280" s="8" t="s">
        <v>40</v>
      </c>
      <c r="H280" s="8" t="s">
        <v>41</v>
      </c>
      <c r="I280" s="10">
        <v>1.0</v>
      </c>
      <c r="J280" s="10">
        <v>1.0</v>
      </c>
      <c r="K280" s="10">
        <v>0.0</v>
      </c>
      <c r="L280" s="11">
        <v>0.0</v>
      </c>
      <c r="M280" s="12">
        <v>0.0</v>
      </c>
      <c r="N280" s="12">
        <v>0.0</v>
      </c>
      <c r="O280" s="12">
        <v>0.0</v>
      </c>
      <c r="P280" s="11">
        <v>0.0</v>
      </c>
    </row>
    <row r="281">
      <c r="A281" s="8" t="s">
        <v>70</v>
      </c>
      <c r="B281" s="8" t="s">
        <v>308</v>
      </c>
      <c r="C281" s="9">
        <v>46128.80060185185</v>
      </c>
      <c r="D281" s="8" t="s">
        <v>309</v>
      </c>
      <c r="E281" s="8" t="s">
        <v>336</v>
      </c>
      <c r="F281" s="8" t="s">
        <v>337</v>
      </c>
      <c r="G281" s="8" t="s">
        <v>40</v>
      </c>
      <c r="H281" s="8" t="s">
        <v>41</v>
      </c>
      <c r="I281" s="10">
        <v>4.0</v>
      </c>
      <c r="J281" s="10">
        <v>4.0</v>
      </c>
      <c r="K281" s="10">
        <v>0.0</v>
      </c>
      <c r="L281" s="11">
        <v>0.0</v>
      </c>
      <c r="M281" s="12">
        <v>0.0</v>
      </c>
      <c r="N281" s="12">
        <v>0.0</v>
      </c>
      <c r="O281" s="12">
        <v>0.0</v>
      </c>
      <c r="P281" s="11">
        <v>0.0</v>
      </c>
    </row>
    <row r="282">
      <c r="A282" s="8" t="s">
        <v>70</v>
      </c>
      <c r="B282" s="8" t="s">
        <v>308</v>
      </c>
      <c r="C282" s="9">
        <v>46128.80060185185</v>
      </c>
      <c r="D282" s="8" t="s">
        <v>309</v>
      </c>
      <c r="E282" s="8" t="s">
        <v>338</v>
      </c>
      <c r="F282" s="8" t="s">
        <v>339</v>
      </c>
      <c r="G282" s="8" t="s">
        <v>40</v>
      </c>
      <c r="H282" s="8" t="s">
        <v>41</v>
      </c>
      <c r="I282" s="10">
        <v>4.0</v>
      </c>
      <c r="J282" s="10">
        <v>3.0</v>
      </c>
      <c r="K282" s="10">
        <v>-1.0</v>
      </c>
      <c r="L282" s="11">
        <v>-10000.0</v>
      </c>
      <c r="M282" s="12">
        <v>10000.0</v>
      </c>
      <c r="N282" s="12">
        <v>0.0</v>
      </c>
      <c r="O282" s="12">
        <v>1.0</v>
      </c>
      <c r="P282" s="11">
        <v>10000.0</v>
      </c>
    </row>
    <row r="283">
      <c r="A283" s="8" t="s">
        <v>70</v>
      </c>
      <c r="B283" s="8" t="s">
        <v>308</v>
      </c>
      <c r="C283" s="9">
        <v>46128.80060185185</v>
      </c>
      <c r="D283" s="8" t="s">
        <v>309</v>
      </c>
      <c r="E283" s="8" t="s">
        <v>340</v>
      </c>
      <c r="F283" s="8" t="s">
        <v>341</v>
      </c>
      <c r="G283" s="8" t="s">
        <v>40</v>
      </c>
      <c r="H283" s="8" t="s">
        <v>41</v>
      </c>
      <c r="I283" s="10">
        <v>1.0</v>
      </c>
      <c r="J283" s="10">
        <v>1.0</v>
      </c>
      <c r="K283" s="10">
        <v>0.0</v>
      </c>
      <c r="L283" s="11">
        <v>0.0</v>
      </c>
      <c r="M283" s="12">
        <v>0.0</v>
      </c>
      <c r="N283" s="12">
        <v>0.0</v>
      </c>
      <c r="O283" s="12">
        <v>0.0</v>
      </c>
      <c r="P283" s="11">
        <v>0.0</v>
      </c>
    </row>
    <row r="284">
      <c r="A284" s="8" t="s">
        <v>70</v>
      </c>
      <c r="B284" s="8" t="s">
        <v>308</v>
      </c>
      <c r="C284" s="9">
        <v>46128.80060185185</v>
      </c>
      <c r="D284" s="8" t="s">
        <v>309</v>
      </c>
      <c r="E284" s="8" t="s">
        <v>342</v>
      </c>
      <c r="F284" s="8" t="s">
        <v>343</v>
      </c>
      <c r="G284" s="8" t="s">
        <v>40</v>
      </c>
      <c r="H284" s="8" t="s">
        <v>41</v>
      </c>
      <c r="I284" s="10">
        <v>1.0</v>
      </c>
      <c r="J284" s="10">
        <v>1.0</v>
      </c>
      <c r="K284" s="10">
        <v>0.0</v>
      </c>
      <c r="L284" s="11">
        <v>0.0</v>
      </c>
      <c r="M284" s="12">
        <v>0.0</v>
      </c>
      <c r="N284" s="12">
        <v>0.0</v>
      </c>
      <c r="O284" s="12">
        <v>0.0</v>
      </c>
      <c r="P284" s="11">
        <v>0.0</v>
      </c>
    </row>
    <row r="285">
      <c r="A285" s="8" t="s">
        <v>70</v>
      </c>
      <c r="B285" s="8" t="s">
        <v>308</v>
      </c>
      <c r="C285" s="9">
        <v>46128.80060185185</v>
      </c>
      <c r="D285" s="8" t="s">
        <v>309</v>
      </c>
      <c r="E285" s="8" t="s">
        <v>344</v>
      </c>
      <c r="F285" s="8" t="s">
        <v>345</v>
      </c>
      <c r="G285" s="8" t="s">
        <v>40</v>
      </c>
      <c r="H285" s="8" t="s">
        <v>41</v>
      </c>
      <c r="I285" s="10">
        <v>0.0</v>
      </c>
      <c r="J285" s="10">
        <v>0.0</v>
      </c>
      <c r="K285" s="10">
        <v>0.0</v>
      </c>
      <c r="L285" s="11">
        <v>0.0</v>
      </c>
      <c r="M285" s="12">
        <v>0.0</v>
      </c>
      <c r="N285" s="12">
        <v>0.0</v>
      </c>
      <c r="O285" s="12">
        <v>0.0</v>
      </c>
      <c r="P285" s="11">
        <v>0.0</v>
      </c>
    </row>
    <row r="286">
      <c r="A286" s="8" t="s">
        <v>70</v>
      </c>
      <c r="B286" s="8" t="s">
        <v>308</v>
      </c>
      <c r="C286" s="9">
        <v>46128.80060185185</v>
      </c>
      <c r="D286" s="8" t="s">
        <v>309</v>
      </c>
      <c r="E286" s="8" t="s">
        <v>346</v>
      </c>
      <c r="F286" s="8" t="s">
        <v>347</v>
      </c>
      <c r="G286" s="8" t="s">
        <v>40</v>
      </c>
      <c r="H286" s="8" t="s">
        <v>41</v>
      </c>
      <c r="I286" s="10">
        <v>2.0</v>
      </c>
      <c r="J286" s="10">
        <v>2.0</v>
      </c>
      <c r="K286" s="10">
        <v>0.0</v>
      </c>
      <c r="L286" s="11">
        <v>0.0</v>
      </c>
      <c r="M286" s="12">
        <v>0.0</v>
      </c>
      <c r="N286" s="12">
        <v>0.0</v>
      </c>
      <c r="O286" s="12">
        <v>0.0</v>
      </c>
      <c r="P286" s="11">
        <v>0.0</v>
      </c>
    </row>
    <row r="287">
      <c r="A287" s="8" t="s">
        <v>70</v>
      </c>
      <c r="B287" s="8" t="s">
        <v>308</v>
      </c>
      <c r="C287" s="9">
        <v>46128.80060185185</v>
      </c>
      <c r="D287" s="8" t="s">
        <v>309</v>
      </c>
      <c r="E287" s="8" t="s">
        <v>348</v>
      </c>
      <c r="F287" s="8" t="s">
        <v>349</v>
      </c>
      <c r="G287" s="8" t="s">
        <v>40</v>
      </c>
      <c r="H287" s="8" t="s">
        <v>41</v>
      </c>
      <c r="I287" s="10">
        <v>2.0</v>
      </c>
      <c r="J287" s="10">
        <v>2.0</v>
      </c>
      <c r="K287" s="10">
        <v>0.0</v>
      </c>
      <c r="L287" s="11">
        <v>0.0</v>
      </c>
      <c r="M287" s="12">
        <v>0.0</v>
      </c>
      <c r="N287" s="12">
        <v>0.0</v>
      </c>
      <c r="O287" s="12">
        <v>0.0</v>
      </c>
      <c r="P287" s="11">
        <v>0.0</v>
      </c>
    </row>
    <row r="288">
      <c r="A288" s="8" t="s">
        <v>70</v>
      </c>
      <c r="B288" s="8" t="s">
        <v>308</v>
      </c>
      <c r="C288" s="9">
        <v>46128.80060185185</v>
      </c>
      <c r="D288" s="8" t="s">
        <v>309</v>
      </c>
      <c r="E288" s="8" t="s">
        <v>350</v>
      </c>
      <c r="F288" s="8" t="s">
        <v>351</v>
      </c>
      <c r="G288" s="8" t="s">
        <v>40</v>
      </c>
      <c r="H288" s="8" t="s">
        <v>41</v>
      </c>
      <c r="I288" s="10">
        <v>1.0</v>
      </c>
      <c r="J288" s="10">
        <v>1.0</v>
      </c>
      <c r="K288" s="10">
        <v>0.0</v>
      </c>
      <c r="L288" s="11">
        <v>0.0</v>
      </c>
      <c r="M288" s="12">
        <v>0.0</v>
      </c>
      <c r="N288" s="12">
        <v>0.0</v>
      </c>
      <c r="O288" s="12">
        <v>0.0</v>
      </c>
      <c r="P288" s="11">
        <v>0.0</v>
      </c>
    </row>
    <row r="289">
      <c r="A289" s="8" t="s">
        <v>70</v>
      </c>
      <c r="B289" s="8" t="s">
        <v>308</v>
      </c>
      <c r="C289" s="9">
        <v>46128.80060185185</v>
      </c>
      <c r="D289" s="8" t="s">
        <v>309</v>
      </c>
      <c r="E289" s="8" t="s">
        <v>352</v>
      </c>
      <c r="F289" s="8" t="s">
        <v>353</v>
      </c>
      <c r="G289" s="8" t="s">
        <v>40</v>
      </c>
      <c r="H289" s="8" t="s">
        <v>41</v>
      </c>
      <c r="I289" s="10">
        <v>2.0</v>
      </c>
      <c r="J289" s="10">
        <v>2.0</v>
      </c>
      <c r="K289" s="10">
        <v>0.0</v>
      </c>
      <c r="L289" s="11">
        <v>0.0</v>
      </c>
      <c r="M289" s="12">
        <v>0.0</v>
      </c>
      <c r="N289" s="12">
        <v>0.0</v>
      </c>
      <c r="O289" s="12">
        <v>0.0</v>
      </c>
      <c r="P289" s="11">
        <v>0.0</v>
      </c>
    </row>
    <row r="290">
      <c r="A290" s="8" t="s">
        <v>70</v>
      </c>
      <c r="B290" s="8" t="s">
        <v>308</v>
      </c>
      <c r="C290" s="9">
        <v>46128.80060185185</v>
      </c>
      <c r="D290" s="8" t="s">
        <v>309</v>
      </c>
      <c r="E290" s="8" t="s">
        <v>354</v>
      </c>
      <c r="F290" s="8" t="s">
        <v>355</v>
      </c>
      <c r="G290" s="8" t="s">
        <v>40</v>
      </c>
      <c r="H290" s="8" t="s">
        <v>41</v>
      </c>
      <c r="I290" s="10">
        <v>115.0</v>
      </c>
      <c r="J290" s="10">
        <v>96.0</v>
      </c>
      <c r="K290" s="10">
        <v>-19.0</v>
      </c>
      <c r="L290" s="11">
        <v>-58234.0</v>
      </c>
      <c r="M290" s="12">
        <v>3064.95</v>
      </c>
      <c r="N290" s="12">
        <v>0.0</v>
      </c>
      <c r="O290" s="12">
        <v>19.0</v>
      </c>
      <c r="P290" s="11">
        <v>58234.049999999996</v>
      </c>
    </row>
    <row r="291">
      <c r="A291" s="8" t="s">
        <v>70</v>
      </c>
      <c r="B291" s="8" t="s">
        <v>308</v>
      </c>
      <c r="C291" s="9">
        <v>46128.80060185185</v>
      </c>
      <c r="D291" s="8" t="s">
        <v>309</v>
      </c>
      <c r="E291" s="8" t="s">
        <v>356</v>
      </c>
      <c r="F291" s="8" t="s">
        <v>357</v>
      </c>
      <c r="G291" s="8" t="s">
        <v>40</v>
      </c>
      <c r="H291" s="8" t="s">
        <v>41</v>
      </c>
      <c r="I291" s="10">
        <v>1.0</v>
      </c>
      <c r="J291" s="10">
        <v>1.0</v>
      </c>
      <c r="K291" s="10">
        <v>0.0</v>
      </c>
      <c r="L291" s="11">
        <v>0.0</v>
      </c>
      <c r="M291" s="12">
        <v>0.0</v>
      </c>
      <c r="N291" s="12">
        <v>0.0</v>
      </c>
      <c r="O291" s="12">
        <v>0.0</v>
      </c>
      <c r="P291" s="11">
        <v>0.0</v>
      </c>
    </row>
    <row r="292">
      <c r="A292" s="8" t="s">
        <v>70</v>
      </c>
      <c r="B292" s="8" t="s">
        <v>308</v>
      </c>
      <c r="C292" s="9">
        <v>46128.80060185185</v>
      </c>
      <c r="D292" s="8" t="s">
        <v>309</v>
      </c>
      <c r="E292" s="8" t="s">
        <v>358</v>
      </c>
      <c r="F292" s="8" t="s">
        <v>359</v>
      </c>
      <c r="G292" s="8" t="s">
        <v>40</v>
      </c>
      <c r="H292" s="8" t="s">
        <v>41</v>
      </c>
      <c r="I292" s="10">
        <v>8.0</v>
      </c>
      <c r="J292" s="10">
        <v>8.0</v>
      </c>
      <c r="K292" s="10">
        <v>0.0</v>
      </c>
      <c r="L292" s="11">
        <v>0.0</v>
      </c>
      <c r="M292" s="12">
        <v>0.0</v>
      </c>
      <c r="N292" s="12">
        <v>0.0</v>
      </c>
      <c r="O292" s="12">
        <v>0.0</v>
      </c>
      <c r="P292" s="11">
        <v>0.0</v>
      </c>
    </row>
    <row r="293">
      <c r="A293" s="8" t="s">
        <v>70</v>
      </c>
      <c r="B293" s="8" t="s">
        <v>308</v>
      </c>
      <c r="C293" s="9">
        <v>46128.80060185185</v>
      </c>
      <c r="D293" s="8" t="s">
        <v>309</v>
      </c>
      <c r="E293" s="8" t="s">
        <v>360</v>
      </c>
      <c r="F293" s="8" t="s">
        <v>361</v>
      </c>
      <c r="G293" s="8" t="s">
        <v>40</v>
      </c>
      <c r="H293" s="8" t="s">
        <v>41</v>
      </c>
      <c r="I293" s="10">
        <v>1.0</v>
      </c>
      <c r="J293" s="10">
        <v>1.0</v>
      </c>
      <c r="K293" s="10">
        <v>0.0</v>
      </c>
      <c r="L293" s="11">
        <v>0.0</v>
      </c>
      <c r="M293" s="12">
        <v>0.0</v>
      </c>
      <c r="N293" s="12">
        <v>0.0</v>
      </c>
      <c r="O293" s="12">
        <v>0.0</v>
      </c>
      <c r="P293" s="11">
        <v>0.0</v>
      </c>
    </row>
    <row r="294">
      <c r="A294" s="8" t="s">
        <v>70</v>
      </c>
      <c r="B294" s="8" t="s">
        <v>308</v>
      </c>
      <c r="C294" s="9">
        <v>46128.80060185185</v>
      </c>
      <c r="D294" s="8" t="s">
        <v>309</v>
      </c>
      <c r="E294" s="8" t="s">
        <v>362</v>
      </c>
      <c r="F294" s="8" t="s">
        <v>363</v>
      </c>
      <c r="G294" s="8" t="s">
        <v>40</v>
      </c>
      <c r="H294" s="8" t="s">
        <v>41</v>
      </c>
      <c r="I294" s="10">
        <v>0.0</v>
      </c>
      <c r="J294" s="10">
        <v>0.0</v>
      </c>
      <c r="K294" s="10">
        <v>0.0</v>
      </c>
      <c r="L294" s="11">
        <v>0.0</v>
      </c>
      <c r="M294" s="12">
        <v>0.0</v>
      </c>
      <c r="N294" s="12">
        <v>0.0</v>
      </c>
      <c r="O294" s="12">
        <v>0.0</v>
      </c>
      <c r="P294" s="11">
        <v>0.0</v>
      </c>
    </row>
    <row r="295">
      <c r="A295" s="8" t="s">
        <v>70</v>
      </c>
      <c r="B295" s="8" t="s">
        <v>308</v>
      </c>
      <c r="C295" s="9">
        <v>46128.80060185185</v>
      </c>
      <c r="D295" s="8" t="s">
        <v>309</v>
      </c>
      <c r="E295" s="8" t="s">
        <v>364</v>
      </c>
      <c r="F295" s="8" t="s">
        <v>365</v>
      </c>
      <c r="G295" s="8" t="s">
        <v>40</v>
      </c>
      <c r="H295" s="8" t="s">
        <v>41</v>
      </c>
      <c r="I295" s="10">
        <v>3.0</v>
      </c>
      <c r="J295" s="10">
        <v>3.0</v>
      </c>
      <c r="K295" s="10">
        <v>0.0</v>
      </c>
      <c r="L295" s="11">
        <v>0.0</v>
      </c>
      <c r="M295" s="12">
        <v>0.0</v>
      </c>
      <c r="N295" s="12">
        <v>0.0</v>
      </c>
      <c r="O295" s="12">
        <v>0.0</v>
      </c>
      <c r="P295" s="11">
        <v>0.0</v>
      </c>
    </row>
    <row r="296">
      <c r="A296" s="8" t="s">
        <v>70</v>
      </c>
      <c r="B296" s="8" t="s">
        <v>308</v>
      </c>
      <c r="C296" s="9">
        <v>46128.80060185185</v>
      </c>
      <c r="D296" s="8" t="s">
        <v>309</v>
      </c>
      <c r="E296" s="8" t="s">
        <v>366</v>
      </c>
      <c r="F296" s="8" t="s">
        <v>367</v>
      </c>
      <c r="G296" s="8" t="s">
        <v>40</v>
      </c>
      <c r="H296" s="8" t="s">
        <v>41</v>
      </c>
      <c r="I296" s="10">
        <v>2.0</v>
      </c>
      <c r="J296" s="10">
        <v>2.0</v>
      </c>
      <c r="K296" s="10">
        <v>0.0</v>
      </c>
      <c r="L296" s="11">
        <v>0.0</v>
      </c>
      <c r="M296" s="12">
        <v>0.0</v>
      </c>
      <c r="N296" s="12">
        <v>0.0</v>
      </c>
      <c r="O296" s="12">
        <v>0.0</v>
      </c>
      <c r="P296" s="11">
        <v>0.0</v>
      </c>
    </row>
    <row r="297">
      <c r="A297" s="8" t="s">
        <v>70</v>
      </c>
      <c r="B297" s="8" t="s">
        <v>308</v>
      </c>
      <c r="C297" s="9">
        <v>46128.80060185185</v>
      </c>
      <c r="D297" s="8" t="s">
        <v>309</v>
      </c>
      <c r="E297" s="8" t="s">
        <v>368</v>
      </c>
      <c r="F297" s="8" t="s">
        <v>369</v>
      </c>
      <c r="G297" s="8" t="s">
        <v>40</v>
      </c>
      <c r="H297" s="8" t="s">
        <v>41</v>
      </c>
      <c r="I297" s="10">
        <v>2.0</v>
      </c>
      <c r="J297" s="10">
        <v>2.0</v>
      </c>
      <c r="K297" s="10">
        <v>0.0</v>
      </c>
      <c r="L297" s="11">
        <v>0.0</v>
      </c>
      <c r="M297" s="12">
        <v>0.0</v>
      </c>
      <c r="N297" s="12">
        <v>0.0</v>
      </c>
      <c r="O297" s="12">
        <v>0.0</v>
      </c>
      <c r="P297" s="11">
        <v>0.0</v>
      </c>
    </row>
    <row r="298">
      <c r="A298" s="8" t="s">
        <v>70</v>
      </c>
      <c r="B298" s="8" t="s">
        <v>308</v>
      </c>
      <c r="C298" s="9">
        <v>46128.80060185185</v>
      </c>
      <c r="D298" s="8" t="s">
        <v>309</v>
      </c>
      <c r="E298" s="8" t="s">
        <v>370</v>
      </c>
      <c r="F298" s="8" t="s">
        <v>371</v>
      </c>
      <c r="G298" s="8" t="s">
        <v>40</v>
      </c>
      <c r="H298" s="8" t="s">
        <v>41</v>
      </c>
      <c r="I298" s="10">
        <v>5.0</v>
      </c>
      <c r="J298" s="10">
        <v>5.0</v>
      </c>
      <c r="K298" s="10">
        <v>0.0</v>
      </c>
      <c r="L298" s="11">
        <v>0.0</v>
      </c>
      <c r="M298" s="12">
        <v>0.0</v>
      </c>
      <c r="N298" s="12">
        <v>0.0</v>
      </c>
      <c r="O298" s="12">
        <v>0.0</v>
      </c>
      <c r="P298" s="11">
        <v>0.0</v>
      </c>
    </row>
    <row r="299">
      <c r="A299" s="8" t="s">
        <v>70</v>
      </c>
      <c r="B299" s="8" t="s">
        <v>308</v>
      </c>
      <c r="C299" s="9">
        <v>46128.80060185185</v>
      </c>
      <c r="D299" s="8" t="s">
        <v>309</v>
      </c>
      <c r="E299" s="8" t="s">
        <v>372</v>
      </c>
      <c r="F299" s="8" t="s">
        <v>373</v>
      </c>
      <c r="G299" s="8" t="s">
        <v>40</v>
      </c>
      <c r="H299" s="8" t="s">
        <v>41</v>
      </c>
      <c r="I299" s="10">
        <v>3.0</v>
      </c>
      <c r="J299" s="10">
        <v>3.0</v>
      </c>
      <c r="K299" s="10">
        <v>0.0</v>
      </c>
      <c r="L299" s="11">
        <v>0.0</v>
      </c>
      <c r="M299" s="12">
        <v>0.0</v>
      </c>
      <c r="N299" s="12">
        <v>0.0</v>
      </c>
      <c r="O299" s="12">
        <v>0.0</v>
      </c>
      <c r="P299" s="11">
        <v>0.0</v>
      </c>
    </row>
    <row r="300">
      <c r="A300" s="8" t="s">
        <v>70</v>
      </c>
      <c r="B300" s="8" t="s">
        <v>308</v>
      </c>
      <c r="C300" s="9">
        <v>46128.80060185185</v>
      </c>
      <c r="D300" s="8" t="s">
        <v>309</v>
      </c>
      <c r="E300" s="8" t="s">
        <v>374</v>
      </c>
      <c r="F300" s="8" t="s">
        <v>375</v>
      </c>
      <c r="G300" s="8" t="s">
        <v>40</v>
      </c>
      <c r="H300" s="8" t="s">
        <v>41</v>
      </c>
      <c r="I300" s="10">
        <v>7.0</v>
      </c>
      <c r="J300" s="10">
        <v>7.0</v>
      </c>
      <c r="K300" s="10">
        <v>0.0</v>
      </c>
      <c r="L300" s="11">
        <v>0.0</v>
      </c>
      <c r="M300" s="12">
        <v>0.0</v>
      </c>
      <c r="N300" s="12">
        <v>0.0</v>
      </c>
      <c r="O300" s="12">
        <v>0.0</v>
      </c>
      <c r="P300" s="11">
        <v>0.0</v>
      </c>
    </row>
    <row r="301">
      <c r="A301" s="8" t="s">
        <v>70</v>
      </c>
      <c r="B301" s="8" t="s">
        <v>308</v>
      </c>
      <c r="C301" s="9">
        <v>46128.80060185185</v>
      </c>
      <c r="D301" s="8" t="s">
        <v>309</v>
      </c>
      <c r="E301" s="8" t="s">
        <v>376</v>
      </c>
      <c r="F301" s="8" t="s">
        <v>377</v>
      </c>
      <c r="G301" s="8" t="s">
        <v>40</v>
      </c>
      <c r="H301" s="8" t="s">
        <v>41</v>
      </c>
      <c r="I301" s="10">
        <v>2.0</v>
      </c>
      <c r="J301" s="10">
        <v>2.0</v>
      </c>
      <c r="K301" s="10">
        <v>0.0</v>
      </c>
      <c r="L301" s="11">
        <v>0.0</v>
      </c>
      <c r="M301" s="12">
        <v>0.0</v>
      </c>
      <c r="N301" s="12">
        <v>0.0</v>
      </c>
      <c r="O301" s="12">
        <v>0.0</v>
      </c>
      <c r="P301" s="11">
        <v>0.0</v>
      </c>
    </row>
    <row r="302">
      <c r="A302" s="8" t="s">
        <v>70</v>
      </c>
      <c r="B302" s="8" t="s">
        <v>308</v>
      </c>
      <c r="C302" s="9">
        <v>46128.80060185185</v>
      </c>
      <c r="D302" s="8" t="s">
        <v>309</v>
      </c>
      <c r="E302" s="8" t="s">
        <v>378</v>
      </c>
      <c r="F302" s="8" t="s">
        <v>379</v>
      </c>
      <c r="G302" s="8" t="s">
        <v>40</v>
      </c>
      <c r="H302" s="8" t="s">
        <v>41</v>
      </c>
      <c r="I302" s="10">
        <v>2.0</v>
      </c>
      <c r="J302" s="10">
        <v>1.0</v>
      </c>
      <c r="K302" s="10">
        <v>-1.0</v>
      </c>
      <c r="L302" s="11">
        <v>-25000.0</v>
      </c>
      <c r="M302" s="12">
        <v>25000.0</v>
      </c>
      <c r="N302" s="12">
        <v>0.0</v>
      </c>
      <c r="O302" s="12">
        <v>1.0</v>
      </c>
      <c r="P302" s="11">
        <v>25000.0</v>
      </c>
    </row>
    <row r="303">
      <c r="A303" s="8" t="s">
        <v>70</v>
      </c>
      <c r="B303" s="8" t="s">
        <v>308</v>
      </c>
      <c r="C303" s="9">
        <v>46128.80060185185</v>
      </c>
      <c r="D303" s="8" t="s">
        <v>309</v>
      </c>
      <c r="E303" s="8" t="s">
        <v>380</v>
      </c>
      <c r="F303" s="8" t="s">
        <v>381</v>
      </c>
      <c r="G303" s="8" t="s">
        <v>40</v>
      </c>
      <c r="H303" s="8" t="s">
        <v>41</v>
      </c>
      <c r="I303" s="10">
        <v>1.0</v>
      </c>
      <c r="J303" s="10">
        <v>1.0</v>
      </c>
      <c r="K303" s="10">
        <v>0.0</v>
      </c>
      <c r="L303" s="11">
        <v>0.0</v>
      </c>
      <c r="M303" s="12">
        <v>0.0</v>
      </c>
      <c r="N303" s="12">
        <v>0.0</v>
      </c>
      <c r="O303" s="12">
        <v>0.0</v>
      </c>
      <c r="P303" s="11">
        <v>0.0</v>
      </c>
    </row>
    <row r="304">
      <c r="A304" s="8" t="s">
        <v>70</v>
      </c>
      <c r="B304" s="8" t="s">
        <v>308</v>
      </c>
      <c r="C304" s="9">
        <v>46128.80060185185</v>
      </c>
      <c r="D304" s="8" t="s">
        <v>309</v>
      </c>
      <c r="E304" s="8" t="s">
        <v>382</v>
      </c>
      <c r="F304" s="8" t="s">
        <v>383</v>
      </c>
      <c r="G304" s="8" t="s">
        <v>40</v>
      </c>
      <c r="H304" s="8" t="s">
        <v>41</v>
      </c>
      <c r="I304" s="10">
        <v>3.0</v>
      </c>
      <c r="J304" s="10">
        <v>3.0</v>
      </c>
      <c r="K304" s="10">
        <v>0.0</v>
      </c>
      <c r="L304" s="11">
        <v>0.0</v>
      </c>
      <c r="M304" s="12">
        <v>0.0</v>
      </c>
      <c r="N304" s="12">
        <v>0.0</v>
      </c>
      <c r="O304" s="12">
        <v>0.0</v>
      </c>
      <c r="P304" s="11">
        <v>0.0</v>
      </c>
    </row>
    <row r="305">
      <c r="A305" s="8" t="s">
        <v>70</v>
      </c>
      <c r="B305" s="8" t="s">
        <v>308</v>
      </c>
      <c r="C305" s="9">
        <v>46128.80060185185</v>
      </c>
      <c r="D305" s="8" t="s">
        <v>309</v>
      </c>
      <c r="E305" s="8" t="s">
        <v>384</v>
      </c>
      <c r="F305" s="8" t="s">
        <v>385</v>
      </c>
      <c r="G305" s="8" t="s">
        <v>40</v>
      </c>
      <c r="H305" s="8" t="s">
        <v>41</v>
      </c>
      <c r="I305" s="10">
        <v>3.0</v>
      </c>
      <c r="J305" s="10">
        <v>3.0</v>
      </c>
      <c r="K305" s="10">
        <v>0.0</v>
      </c>
      <c r="L305" s="11">
        <v>0.0</v>
      </c>
      <c r="M305" s="12">
        <v>0.0</v>
      </c>
      <c r="N305" s="12">
        <v>0.0</v>
      </c>
      <c r="O305" s="12">
        <v>0.0</v>
      </c>
      <c r="P305" s="11">
        <v>0.0</v>
      </c>
    </row>
    <row r="306">
      <c r="A306" s="8" t="s">
        <v>70</v>
      </c>
      <c r="B306" s="8" t="s">
        <v>308</v>
      </c>
      <c r="C306" s="9">
        <v>46128.80060185185</v>
      </c>
      <c r="D306" s="8" t="s">
        <v>309</v>
      </c>
      <c r="E306" s="8" t="s">
        <v>386</v>
      </c>
      <c r="F306" s="8" t="s">
        <v>387</v>
      </c>
      <c r="G306" s="8" t="s">
        <v>40</v>
      </c>
      <c r="H306" s="8" t="s">
        <v>41</v>
      </c>
      <c r="I306" s="10">
        <v>0.0</v>
      </c>
      <c r="J306" s="10">
        <v>0.0</v>
      </c>
      <c r="K306" s="10">
        <v>0.0</v>
      </c>
      <c r="L306" s="11">
        <v>0.0</v>
      </c>
      <c r="M306" s="12">
        <v>0.0</v>
      </c>
      <c r="N306" s="12">
        <v>0.0</v>
      </c>
      <c r="O306" s="12">
        <v>0.0</v>
      </c>
      <c r="P306" s="11">
        <v>0.0</v>
      </c>
    </row>
    <row r="307">
      <c r="A307" s="8" t="s">
        <v>70</v>
      </c>
      <c r="B307" s="8" t="s">
        <v>308</v>
      </c>
      <c r="C307" s="9">
        <v>46128.80060185185</v>
      </c>
      <c r="D307" s="8" t="s">
        <v>309</v>
      </c>
      <c r="E307" s="8" t="s">
        <v>388</v>
      </c>
      <c r="F307" s="8" t="s">
        <v>389</v>
      </c>
      <c r="G307" s="8" t="s">
        <v>40</v>
      </c>
      <c r="H307" s="8" t="s">
        <v>41</v>
      </c>
      <c r="I307" s="10">
        <v>1.0</v>
      </c>
      <c r="J307" s="10">
        <v>1.0</v>
      </c>
      <c r="K307" s="10">
        <v>0.0</v>
      </c>
      <c r="L307" s="11">
        <v>0.0</v>
      </c>
      <c r="M307" s="12">
        <v>0.0</v>
      </c>
      <c r="N307" s="12">
        <v>0.0</v>
      </c>
      <c r="O307" s="12">
        <v>0.0</v>
      </c>
      <c r="P307" s="11">
        <v>0.0</v>
      </c>
    </row>
    <row r="308">
      <c r="A308" s="8" t="s">
        <v>70</v>
      </c>
      <c r="B308" s="8" t="s">
        <v>308</v>
      </c>
      <c r="C308" s="9">
        <v>46128.80060185185</v>
      </c>
      <c r="D308" s="8" t="s">
        <v>309</v>
      </c>
      <c r="E308" s="8" t="s">
        <v>390</v>
      </c>
      <c r="F308" s="8" t="s">
        <v>391</v>
      </c>
      <c r="G308" s="8" t="s">
        <v>40</v>
      </c>
      <c r="H308" s="8" t="s">
        <v>41</v>
      </c>
      <c r="I308" s="10">
        <v>4.0</v>
      </c>
      <c r="J308" s="10">
        <v>3.0</v>
      </c>
      <c r="K308" s="10">
        <v>-1.0</v>
      </c>
      <c r="L308" s="11">
        <v>-20000.0</v>
      </c>
      <c r="M308" s="12">
        <v>20000.0</v>
      </c>
      <c r="N308" s="12">
        <v>0.0</v>
      </c>
      <c r="O308" s="12">
        <v>1.0</v>
      </c>
      <c r="P308" s="11">
        <v>20000.0</v>
      </c>
    </row>
    <row r="309">
      <c r="A309" s="8" t="s">
        <v>70</v>
      </c>
      <c r="B309" s="8" t="s">
        <v>308</v>
      </c>
      <c r="C309" s="9">
        <v>46128.80060185185</v>
      </c>
      <c r="D309" s="8" t="s">
        <v>309</v>
      </c>
      <c r="E309" s="8" t="s">
        <v>392</v>
      </c>
      <c r="F309" s="8" t="s">
        <v>393</v>
      </c>
      <c r="G309" s="8" t="s">
        <v>40</v>
      </c>
      <c r="H309" s="8" t="s">
        <v>41</v>
      </c>
      <c r="I309" s="10">
        <v>1.0</v>
      </c>
      <c r="J309" s="10">
        <v>1.0</v>
      </c>
      <c r="K309" s="10">
        <v>0.0</v>
      </c>
      <c r="L309" s="11">
        <v>0.0</v>
      </c>
      <c r="M309" s="12">
        <v>0.0</v>
      </c>
      <c r="N309" s="12">
        <v>0.0</v>
      </c>
      <c r="O309" s="12">
        <v>0.0</v>
      </c>
      <c r="P309" s="11">
        <v>0.0</v>
      </c>
    </row>
    <row r="310">
      <c r="A310" s="8" t="s">
        <v>70</v>
      </c>
      <c r="B310" s="8" t="s">
        <v>308</v>
      </c>
      <c r="C310" s="9">
        <v>46128.80060185185</v>
      </c>
      <c r="D310" s="8" t="s">
        <v>309</v>
      </c>
      <c r="E310" s="8" t="s">
        <v>394</v>
      </c>
      <c r="F310" s="8" t="s">
        <v>395</v>
      </c>
      <c r="G310" s="8" t="s">
        <v>40</v>
      </c>
      <c r="H310" s="8" t="s">
        <v>41</v>
      </c>
      <c r="I310" s="10">
        <v>1.0</v>
      </c>
      <c r="J310" s="10">
        <v>1.0</v>
      </c>
      <c r="K310" s="10">
        <v>0.0</v>
      </c>
      <c r="L310" s="11">
        <v>0.0</v>
      </c>
      <c r="M310" s="12">
        <v>0.0</v>
      </c>
      <c r="N310" s="12">
        <v>0.0</v>
      </c>
      <c r="O310" s="12">
        <v>0.0</v>
      </c>
      <c r="P310" s="11">
        <v>0.0</v>
      </c>
    </row>
    <row r="311">
      <c r="A311" s="8" t="s">
        <v>70</v>
      </c>
      <c r="B311" s="8" t="s">
        <v>308</v>
      </c>
      <c r="C311" s="9">
        <v>46128.80060185185</v>
      </c>
      <c r="D311" s="8" t="s">
        <v>309</v>
      </c>
      <c r="E311" s="8" t="s">
        <v>396</v>
      </c>
      <c r="F311" s="8" t="s">
        <v>397</v>
      </c>
      <c r="G311" s="8" t="s">
        <v>40</v>
      </c>
      <c r="H311" s="8" t="s">
        <v>41</v>
      </c>
      <c r="I311" s="10">
        <v>1.0</v>
      </c>
      <c r="J311" s="10">
        <v>1.0</v>
      </c>
      <c r="K311" s="10">
        <v>0.0</v>
      </c>
      <c r="L311" s="11">
        <v>0.0</v>
      </c>
      <c r="M311" s="12">
        <v>0.0</v>
      </c>
      <c r="N311" s="12">
        <v>0.0</v>
      </c>
      <c r="O311" s="12">
        <v>0.0</v>
      </c>
      <c r="P311" s="11">
        <v>0.0</v>
      </c>
    </row>
    <row r="312">
      <c r="A312" s="8" t="s">
        <v>70</v>
      </c>
      <c r="B312" s="8" t="s">
        <v>308</v>
      </c>
      <c r="C312" s="9">
        <v>46128.80060185185</v>
      </c>
      <c r="D312" s="8" t="s">
        <v>309</v>
      </c>
      <c r="E312" s="8" t="s">
        <v>398</v>
      </c>
      <c r="F312" s="8" t="s">
        <v>399</v>
      </c>
      <c r="G312" s="8" t="s">
        <v>40</v>
      </c>
      <c r="H312" s="8" t="s">
        <v>41</v>
      </c>
      <c r="I312" s="10">
        <v>1.0</v>
      </c>
      <c r="J312" s="10">
        <v>1.0</v>
      </c>
      <c r="K312" s="10">
        <v>0.0</v>
      </c>
      <c r="L312" s="11">
        <v>0.0</v>
      </c>
      <c r="M312" s="12">
        <v>0.0</v>
      </c>
      <c r="N312" s="12">
        <v>0.0</v>
      </c>
      <c r="O312" s="12">
        <v>0.0</v>
      </c>
      <c r="P312" s="11">
        <v>0.0</v>
      </c>
    </row>
    <row r="313">
      <c r="A313" s="8" t="s">
        <v>70</v>
      </c>
      <c r="B313" s="8" t="s">
        <v>308</v>
      </c>
      <c r="C313" s="9">
        <v>46128.80060185185</v>
      </c>
      <c r="D313" s="8" t="s">
        <v>309</v>
      </c>
      <c r="E313" s="8" t="s">
        <v>400</v>
      </c>
      <c r="F313" s="8" t="s">
        <v>401</v>
      </c>
      <c r="G313" s="8" t="s">
        <v>40</v>
      </c>
      <c r="H313" s="8" t="s">
        <v>41</v>
      </c>
      <c r="I313" s="10">
        <v>2.0</v>
      </c>
      <c r="J313" s="10">
        <v>2.0</v>
      </c>
      <c r="K313" s="10">
        <v>0.0</v>
      </c>
      <c r="L313" s="11">
        <v>0.0</v>
      </c>
      <c r="M313" s="12">
        <v>0.0</v>
      </c>
      <c r="N313" s="12">
        <v>0.0</v>
      </c>
      <c r="O313" s="12">
        <v>0.0</v>
      </c>
      <c r="P313" s="11">
        <v>0.0</v>
      </c>
    </row>
    <row r="314">
      <c r="A314" s="8" t="s">
        <v>70</v>
      </c>
      <c r="B314" s="8" t="s">
        <v>308</v>
      </c>
      <c r="C314" s="9">
        <v>46128.80060185185</v>
      </c>
      <c r="D314" s="8" t="s">
        <v>309</v>
      </c>
      <c r="E314" s="8" t="s">
        <v>402</v>
      </c>
      <c r="F314" s="8" t="s">
        <v>403</v>
      </c>
      <c r="G314" s="8" t="s">
        <v>40</v>
      </c>
      <c r="H314" s="8" t="s">
        <v>41</v>
      </c>
      <c r="I314" s="10">
        <v>1.0</v>
      </c>
      <c r="J314" s="10">
        <v>1.0</v>
      </c>
      <c r="K314" s="10">
        <v>0.0</v>
      </c>
      <c r="L314" s="11">
        <v>0.0</v>
      </c>
      <c r="M314" s="12">
        <v>0.0</v>
      </c>
      <c r="N314" s="12">
        <v>0.0</v>
      </c>
      <c r="O314" s="12">
        <v>0.0</v>
      </c>
      <c r="P314" s="11">
        <v>0.0</v>
      </c>
    </row>
    <row r="315">
      <c r="A315" s="8" t="s">
        <v>70</v>
      </c>
      <c r="B315" s="8" t="s">
        <v>308</v>
      </c>
      <c r="C315" s="9">
        <v>46128.80060185185</v>
      </c>
      <c r="D315" s="8" t="s">
        <v>309</v>
      </c>
      <c r="E315" s="8" t="s">
        <v>404</v>
      </c>
      <c r="F315" s="8" t="s">
        <v>405</v>
      </c>
      <c r="G315" s="8" t="s">
        <v>40</v>
      </c>
      <c r="H315" s="8" t="s">
        <v>41</v>
      </c>
      <c r="I315" s="10">
        <v>2.0</v>
      </c>
      <c r="J315" s="10">
        <v>2.0</v>
      </c>
      <c r="K315" s="10">
        <v>0.0</v>
      </c>
      <c r="L315" s="11">
        <v>0.0</v>
      </c>
      <c r="M315" s="12">
        <v>0.0</v>
      </c>
      <c r="N315" s="12">
        <v>0.0</v>
      </c>
      <c r="O315" s="12">
        <v>0.0</v>
      </c>
      <c r="P315" s="11">
        <v>0.0</v>
      </c>
    </row>
    <row r="316">
      <c r="A316" s="8" t="s">
        <v>70</v>
      </c>
      <c r="B316" s="8" t="s">
        <v>308</v>
      </c>
      <c r="C316" s="9">
        <v>46128.80060185185</v>
      </c>
      <c r="D316" s="8" t="s">
        <v>309</v>
      </c>
      <c r="E316" s="8" t="s">
        <v>406</v>
      </c>
      <c r="F316" s="8" t="s">
        <v>407</v>
      </c>
      <c r="G316" s="8" t="s">
        <v>40</v>
      </c>
      <c r="H316" s="8" t="s">
        <v>41</v>
      </c>
      <c r="I316" s="10">
        <v>1.0</v>
      </c>
      <c r="J316" s="10">
        <v>1.0</v>
      </c>
      <c r="K316" s="10">
        <v>0.0</v>
      </c>
      <c r="L316" s="11">
        <v>0.0</v>
      </c>
      <c r="M316" s="12">
        <v>0.0</v>
      </c>
      <c r="N316" s="12">
        <v>0.0</v>
      </c>
      <c r="O316" s="12">
        <v>0.0</v>
      </c>
      <c r="P316" s="11">
        <v>0.0</v>
      </c>
    </row>
    <row r="317">
      <c r="A317" s="8" t="s">
        <v>70</v>
      </c>
      <c r="B317" s="8" t="s">
        <v>308</v>
      </c>
      <c r="C317" s="9">
        <v>46128.80060185185</v>
      </c>
      <c r="D317" s="8" t="s">
        <v>309</v>
      </c>
      <c r="E317" s="8" t="s">
        <v>408</v>
      </c>
      <c r="F317" s="8" t="s">
        <v>409</v>
      </c>
      <c r="G317" s="8" t="s">
        <v>40</v>
      </c>
      <c r="H317" s="8" t="s">
        <v>41</v>
      </c>
      <c r="I317" s="10">
        <v>2.0</v>
      </c>
      <c r="J317" s="10">
        <v>2.0</v>
      </c>
      <c r="K317" s="10">
        <v>0.0</v>
      </c>
      <c r="L317" s="11">
        <v>0.0</v>
      </c>
      <c r="M317" s="12">
        <v>0.0</v>
      </c>
      <c r="N317" s="12">
        <v>0.0</v>
      </c>
      <c r="O317" s="12">
        <v>0.0</v>
      </c>
      <c r="P317" s="11">
        <v>0.0</v>
      </c>
    </row>
    <row r="318">
      <c r="A318" s="8" t="s">
        <v>70</v>
      </c>
      <c r="B318" s="8" t="s">
        <v>308</v>
      </c>
      <c r="C318" s="9">
        <v>46128.80060185185</v>
      </c>
      <c r="D318" s="8" t="s">
        <v>309</v>
      </c>
      <c r="E318" s="8" t="s">
        <v>410</v>
      </c>
      <c r="F318" s="8" t="s">
        <v>411</v>
      </c>
      <c r="G318" s="8" t="s">
        <v>40</v>
      </c>
      <c r="H318" s="8" t="s">
        <v>41</v>
      </c>
      <c r="I318" s="10">
        <v>1.0</v>
      </c>
      <c r="J318" s="10">
        <v>1.0</v>
      </c>
      <c r="K318" s="10">
        <v>0.0</v>
      </c>
      <c r="L318" s="11">
        <v>0.0</v>
      </c>
      <c r="M318" s="12">
        <v>0.0</v>
      </c>
      <c r="N318" s="12">
        <v>0.0</v>
      </c>
      <c r="O318" s="12">
        <v>0.0</v>
      </c>
      <c r="P318" s="11">
        <v>0.0</v>
      </c>
    </row>
    <row r="319">
      <c r="A319" s="8" t="s">
        <v>70</v>
      </c>
      <c r="B319" s="8" t="s">
        <v>308</v>
      </c>
      <c r="C319" s="9">
        <v>46128.80060185185</v>
      </c>
      <c r="D319" s="8" t="s">
        <v>309</v>
      </c>
      <c r="E319" s="8" t="s">
        <v>412</v>
      </c>
      <c r="F319" s="8" t="s">
        <v>413</v>
      </c>
      <c r="G319" s="8" t="s">
        <v>40</v>
      </c>
      <c r="H319" s="8" t="s">
        <v>41</v>
      </c>
      <c r="I319" s="10">
        <v>4.0</v>
      </c>
      <c r="J319" s="10">
        <v>4.0</v>
      </c>
      <c r="K319" s="10">
        <v>0.0</v>
      </c>
      <c r="L319" s="11">
        <v>0.0</v>
      </c>
      <c r="M319" s="12">
        <v>0.0</v>
      </c>
      <c r="N319" s="12">
        <v>0.0</v>
      </c>
      <c r="O319" s="12">
        <v>0.0</v>
      </c>
      <c r="P319" s="11">
        <v>0.0</v>
      </c>
    </row>
    <row r="320">
      <c r="A320" s="8" t="s">
        <v>70</v>
      </c>
      <c r="B320" s="8" t="s">
        <v>308</v>
      </c>
      <c r="C320" s="9">
        <v>46128.80060185185</v>
      </c>
      <c r="D320" s="8" t="s">
        <v>309</v>
      </c>
      <c r="E320" s="8" t="s">
        <v>414</v>
      </c>
      <c r="F320" s="8" t="s">
        <v>415</v>
      </c>
      <c r="G320" s="8" t="s">
        <v>40</v>
      </c>
      <c r="H320" s="8" t="s">
        <v>41</v>
      </c>
      <c r="I320" s="10">
        <v>3.0</v>
      </c>
      <c r="J320" s="10">
        <v>3.0</v>
      </c>
      <c r="K320" s="10">
        <v>0.0</v>
      </c>
      <c r="L320" s="11">
        <v>0.0</v>
      </c>
      <c r="M320" s="12">
        <v>0.0</v>
      </c>
      <c r="N320" s="12">
        <v>0.0</v>
      </c>
      <c r="O320" s="12">
        <v>0.0</v>
      </c>
      <c r="P320" s="11">
        <v>0.0</v>
      </c>
    </row>
    <row r="321">
      <c r="A321" s="8" t="s">
        <v>70</v>
      </c>
      <c r="B321" s="8" t="s">
        <v>308</v>
      </c>
      <c r="C321" s="9">
        <v>46128.80060185185</v>
      </c>
      <c r="D321" s="8" t="s">
        <v>309</v>
      </c>
      <c r="E321" s="8" t="s">
        <v>416</v>
      </c>
      <c r="F321" s="8" t="s">
        <v>417</v>
      </c>
      <c r="G321" s="8" t="s">
        <v>40</v>
      </c>
      <c r="H321" s="8" t="s">
        <v>41</v>
      </c>
      <c r="I321" s="10">
        <v>2.0</v>
      </c>
      <c r="J321" s="10">
        <v>2.0</v>
      </c>
      <c r="K321" s="10">
        <v>0.0</v>
      </c>
      <c r="L321" s="11">
        <v>0.0</v>
      </c>
      <c r="M321" s="12">
        <v>0.0</v>
      </c>
      <c r="N321" s="12">
        <v>0.0</v>
      </c>
      <c r="O321" s="12">
        <v>0.0</v>
      </c>
      <c r="P321" s="11">
        <v>0.0</v>
      </c>
    </row>
    <row r="322">
      <c r="A322" s="8" t="s">
        <v>70</v>
      </c>
      <c r="B322" s="8" t="s">
        <v>308</v>
      </c>
      <c r="C322" s="9">
        <v>46128.80060185185</v>
      </c>
      <c r="D322" s="8" t="s">
        <v>309</v>
      </c>
      <c r="E322" s="8" t="s">
        <v>418</v>
      </c>
      <c r="F322" s="8" t="s">
        <v>419</v>
      </c>
      <c r="G322" s="8" t="s">
        <v>40</v>
      </c>
      <c r="H322" s="8" t="s">
        <v>41</v>
      </c>
      <c r="I322" s="10">
        <v>0.0</v>
      </c>
      <c r="J322" s="10">
        <v>0.0</v>
      </c>
      <c r="K322" s="10">
        <v>0.0</v>
      </c>
      <c r="L322" s="11">
        <v>0.0</v>
      </c>
      <c r="M322" s="12">
        <v>0.0</v>
      </c>
      <c r="N322" s="12">
        <v>0.0</v>
      </c>
      <c r="O322" s="12">
        <v>0.0</v>
      </c>
      <c r="P322" s="11">
        <v>0.0</v>
      </c>
    </row>
    <row r="323">
      <c r="A323" s="8" t="s">
        <v>70</v>
      </c>
      <c r="B323" s="8" t="s">
        <v>308</v>
      </c>
      <c r="C323" s="9">
        <v>46128.80060185185</v>
      </c>
      <c r="D323" s="8" t="s">
        <v>309</v>
      </c>
      <c r="E323" s="8" t="s">
        <v>420</v>
      </c>
      <c r="F323" s="8" t="s">
        <v>421</v>
      </c>
      <c r="G323" s="8" t="s">
        <v>40</v>
      </c>
      <c r="H323" s="8" t="s">
        <v>41</v>
      </c>
      <c r="I323" s="10">
        <v>1.0</v>
      </c>
      <c r="J323" s="10">
        <v>1.0</v>
      </c>
      <c r="K323" s="10">
        <v>0.0</v>
      </c>
      <c r="L323" s="11">
        <v>0.0</v>
      </c>
      <c r="M323" s="12">
        <v>0.0</v>
      </c>
      <c r="N323" s="12">
        <v>0.0</v>
      </c>
      <c r="O323" s="12">
        <v>0.0</v>
      </c>
      <c r="P323" s="11">
        <v>0.0</v>
      </c>
    </row>
    <row r="324">
      <c r="A324" s="8" t="s">
        <v>70</v>
      </c>
      <c r="B324" s="8" t="s">
        <v>308</v>
      </c>
      <c r="C324" s="9">
        <v>46128.80060185185</v>
      </c>
      <c r="D324" s="8" t="s">
        <v>309</v>
      </c>
      <c r="E324" s="8" t="s">
        <v>422</v>
      </c>
      <c r="F324" s="8" t="s">
        <v>423</v>
      </c>
      <c r="G324" s="8" t="s">
        <v>40</v>
      </c>
      <c r="H324" s="8" t="s">
        <v>41</v>
      </c>
      <c r="I324" s="10">
        <v>1.0</v>
      </c>
      <c r="J324" s="10">
        <v>1.0</v>
      </c>
      <c r="K324" s="10">
        <v>0.0</v>
      </c>
      <c r="L324" s="11">
        <v>0.0</v>
      </c>
      <c r="M324" s="12">
        <v>0.0</v>
      </c>
      <c r="N324" s="12">
        <v>0.0</v>
      </c>
      <c r="O324" s="12">
        <v>0.0</v>
      </c>
      <c r="P324" s="11">
        <v>0.0</v>
      </c>
    </row>
    <row r="325">
      <c r="A325" s="8" t="s">
        <v>70</v>
      </c>
      <c r="B325" s="8" t="s">
        <v>308</v>
      </c>
      <c r="C325" s="9">
        <v>46128.80060185185</v>
      </c>
      <c r="D325" s="8" t="s">
        <v>309</v>
      </c>
      <c r="E325" s="8" t="s">
        <v>424</v>
      </c>
      <c r="F325" s="8" t="s">
        <v>425</v>
      </c>
      <c r="G325" s="8" t="s">
        <v>40</v>
      </c>
      <c r="H325" s="8" t="s">
        <v>41</v>
      </c>
      <c r="I325" s="10">
        <v>36.0</v>
      </c>
      <c r="J325" s="10">
        <v>36.0</v>
      </c>
      <c r="K325" s="10">
        <v>0.0</v>
      </c>
      <c r="L325" s="11">
        <v>0.0</v>
      </c>
      <c r="M325" s="12">
        <v>0.0</v>
      </c>
      <c r="N325" s="12">
        <v>0.0</v>
      </c>
      <c r="O325" s="12">
        <v>0.0</v>
      </c>
      <c r="P325" s="11">
        <v>0.0</v>
      </c>
    </row>
    <row r="326">
      <c r="A326" s="8" t="s">
        <v>70</v>
      </c>
      <c r="B326" s="8" t="s">
        <v>308</v>
      </c>
      <c r="C326" s="9">
        <v>46128.80060185185</v>
      </c>
      <c r="D326" s="8" t="s">
        <v>309</v>
      </c>
      <c r="E326" s="8" t="s">
        <v>426</v>
      </c>
      <c r="F326" s="8" t="s">
        <v>427</v>
      </c>
      <c r="G326" s="8" t="s">
        <v>40</v>
      </c>
      <c r="H326" s="8" t="s">
        <v>41</v>
      </c>
      <c r="I326" s="10">
        <v>3.0</v>
      </c>
      <c r="J326" s="10">
        <v>3.0</v>
      </c>
      <c r="K326" s="10">
        <v>0.0</v>
      </c>
      <c r="L326" s="11">
        <v>0.0</v>
      </c>
      <c r="M326" s="12">
        <v>0.0</v>
      </c>
      <c r="N326" s="12">
        <v>0.0</v>
      </c>
      <c r="O326" s="12">
        <v>0.0</v>
      </c>
      <c r="P326" s="11">
        <v>0.0</v>
      </c>
    </row>
    <row r="327">
      <c r="A327" s="8" t="s">
        <v>70</v>
      </c>
      <c r="B327" s="8" t="s">
        <v>308</v>
      </c>
      <c r="C327" s="9">
        <v>46128.80060185185</v>
      </c>
      <c r="D327" s="8" t="s">
        <v>309</v>
      </c>
      <c r="E327" s="8" t="s">
        <v>428</v>
      </c>
      <c r="F327" s="8" t="s">
        <v>429</v>
      </c>
      <c r="G327" s="8" t="s">
        <v>40</v>
      </c>
      <c r="H327" s="8" t="s">
        <v>41</v>
      </c>
      <c r="I327" s="10">
        <v>1.0</v>
      </c>
      <c r="J327" s="10">
        <v>1.0</v>
      </c>
      <c r="K327" s="10">
        <v>0.0</v>
      </c>
      <c r="L327" s="11">
        <v>0.0</v>
      </c>
      <c r="M327" s="12">
        <v>0.0</v>
      </c>
      <c r="N327" s="12">
        <v>0.0</v>
      </c>
      <c r="O327" s="12">
        <v>0.0</v>
      </c>
      <c r="P327" s="11">
        <v>0.0</v>
      </c>
    </row>
    <row r="328">
      <c r="A328" s="8" t="s">
        <v>70</v>
      </c>
      <c r="B328" s="8" t="s">
        <v>308</v>
      </c>
      <c r="C328" s="9">
        <v>46128.80060185185</v>
      </c>
      <c r="D328" s="8" t="s">
        <v>309</v>
      </c>
      <c r="E328" s="8" t="s">
        <v>430</v>
      </c>
      <c r="F328" s="8" t="s">
        <v>431</v>
      </c>
      <c r="G328" s="8" t="s">
        <v>40</v>
      </c>
      <c r="H328" s="8" t="s">
        <v>41</v>
      </c>
      <c r="I328" s="10">
        <v>1.0</v>
      </c>
      <c r="J328" s="10">
        <v>1.0</v>
      </c>
      <c r="K328" s="10">
        <v>0.0</v>
      </c>
      <c r="L328" s="11">
        <v>0.0</v>
      </c>
      <c r="M328" s="12">
        <v>0.0</v>
      </c>
      <c r="N328" s="12">
        <v>0.0</v>
      </c>
      <c r="O328" s="12">
        <v>0.0</v>
      </c>
      <c r="P328" s="11">
        <v>0.0</v>
      </c>
    </row>
    <row r="329">
      <c r="A329" s="8" t="s">
        <v>70</v>
      </c>
      <c r="B329" s="8" t="s">
        <v>308</v>
      </c>
      <c r="C329" s="9">
        <v>46128.80060185185</v>
      </c>
      <c r="D329" s="8" t="s">
        <v>309</v>
      </c>
      <c r="E329" s="8" t="s">
        <v>432</v>
      </c>
      <c r="F329" s="8" t="s">
        <v>433</v>
      </c>
      <c r="G329" s="8" t="s">
        <v>40</v>
      </c>
      <c r="H329" s="8" t="s">
        <v>41</v>
      </c>
      <c r="I329" s="10">
        <v>0.0</v>
      </c>
      <c r="J329" s="10">
        <v>0.0</v>
      </c>
      <c r="K329" s="10">
        <v>0.0</v>
      </c>
      <c r="L329" s="11">
        <v>0.0</v>
      </c>
      <c r="M329" s="12">
        <v>0.0</v>
      </c>
      <c r="N329" s="12">
        <v>0.0</v>
      </c>
      <c r="O329" s="12">
        <v>0.0</v>
      </c>
      <c r="P329" s="11">
        <v>0.0</v>
      </c>
    </row>
    <row r="330">
      <c r="A330" s="8" t="s">
        <v>70</v>
      </c>
      <c r="B330" s="8" t="s">
        <v>308</v>
      </c>
      <c r="C330" s="9">
        <v>46128.80060185185</v>
      </c>
      <c r="D330" s="8" t="s">
        <v>309</v>
      </c>
      <c r="E330" s="8" t="s">
        <v>434</v>
      </c>
      <c r="F330" s="8" t="s">
        <v>435</v>
      </c>
      <c r="G330" s="8" t="s">
        <v>40</v>
      </c>
      <c r="H330" s="8" t="s">
        <v>41</v>
      </c>
      <c r="I330" s="10">
        <v>0.0</v>
      </c>
      <c r="J330" s="10">
        <v>0.0</v>
      </c>
      <c r="K330" s="10">
        <v>0.0</v>
      </c>
      <c r="L330" s="11">
        <v>0.0</v>
      </c>
      <c r="M330" s="12">
        <v>0.0</v>
      </c>
      <c r="N330" s="12">
        <v>0.0</v>
      </c>
      <c r="O330" s="12">
        <v>0.0</v>
      </c>
      <c r="P330" s="11">
        <v>0.0</v>
      </c>
    </row>
    <row r="331">
      <c r="A331" s="8" t="s">
        <v>70</v>
      </c>
      <c r="B331" s="8" t="s">
        <v>308</v>
      </c>
      <c r="C331" s="9">
        <v>46128.80060185185</v>
      </c>
      <c r="D331" s="8" t="s">
        <v>309</v>
      </c>
      <c r="E331" s="8" t="s">
        <v>436</v>
      </c>
      <c r="F331" s="8" t="s">
        <v>437</v>
      </c>
      <c r="G331" s="8" t="s">
        <v>40</v>
      </c>
      <c r="H331" s="8" t="s">
        <v>41</v>
      </c>
      <c r="I331" s="10">
        <v>1.0</v>
      </c>
      <c r="J331" s="10">
        <v>1.0</v>
      </c>
      <c r="K331" s="10">
        <v>0.0</v>
      </c>
      <c r="L331" s="11">
        <v>0.0</v>
      </c>
      <c r="M331" s="12">
        <v>0.0</v>
      </c>
      <c r="N331" s="12">
        <v>0.0</v>
      </c>
      <c r="O331" s="12">
        <v>0.0</v>
      </c>
      <c r="P331" s="11">
        <v>0.0</v>
      </c>
    </row>
    <row r="332">
      <c r="A332" s="8" t="s">
        <v>70</v>
      </c>
      <c r="B332" s="8" t="s">
        <v>308</v>
      </c>
      <c r="C332" s="9">
        <v>46128.80060185185</v>
      </c>
      <c r="D332" s="8" t="s">
        <v>309</v>
      </c>
      <c r="E332" s="8" t="s">
        <v>438</v>
      </c>
      <c r="F332" s="8" t="s">
        <v>439</v>
      </c>
      <c r="G332" s="8" t="s">
        <v>40</v>
      </c>
      <c r="H332" s="8" t="s">
        <v>41</v>
      </c>
      <c r="I332" s="10">
        <v>1.0</v>
      </c>
      <c r="J332" s="10">
        <v>1.0</v>
      </c>
      <c r="K332" s="10">
        <v>0.0</v>
      </c>
      <c r="L332" s="11">
        <v>0.0</v>
      </c>
      <c r="M332" s="12">
        <v>0.0</v>
      </c>
      <c r="N332" s="12">
        <v>0.0</v>
      </c>
      <c r="O332" s="12">
        <v>0.0</v>
      </c>
      <c r="P332" s="11">
        <v>0.0</v>
      </c>
    </row>
    <row r="333">
      <c r="A333" s="8" t="s">
        <v>70</v>
      </c>
      <c r="B333" s="8" t="s">
        <v>308</v>
      </c>
      <c r="C333" s="9">
        <v>46128.80060185185</v>
      </c>
      <c r="D333" s="8" t="s">
        <v>309</v>
      </c>
      <c r="E333" s="8" t="s">
        <v>440</v>
      </c>
      <c r="F333" s="8" t="s">
        <v>441</v>
      </c>
      <c r="G333" s="8" t="s">
        <v>40</v>
      </c>
      <c r="H333" s="8" t="s">
        <v>41</v>
      </c>
      <c r="I333" s="10">
        <v>6.0</v>
      </c>
      <c r="J333" s="10">
        <v>6.0</v>
      </c>
      <c r="K333" s="10">
        <v>0.0</v>
      </c>
      <c r="L333" s="11">
        <v>0.0</v>
      </c>
      <c r="M333" s="12">
        <v>0.0</v>
      </c>
      <c r="N333" s="12">
        <v>0.0</v>
      </c>
      <c r="O333" s="12">
        <v>0.0</v>
      </c>
      <c r="P333" s="11">
        <v>0.0</v>
      </c>
    </row>
    <row r="334">
      <c r="A334" s="8" t="s">
        <v>70</v>
      </c>
      <c r="B334" s="8" t="s">
        <v>308</v>
      </c>
      <c r="C334" s="9">
        <v>46128.80060185185</v>
      </c>
      <c r="D334" s="8" t="s">
        <v>309</v>
      </c>
      <c r="E334" s="8" t="s">
        <v>442</v>
      </c>
      <c r="F334" s="8" t="s">
        <v>443</v>
      </c>
      <c r="G334" s="8" t="s">
        <v>40</v>
      </c>
      <c r="H334" s="8" t="s">
        <v>41</v>
      </c>
      <c r="I334" s="10">
        <v>2.0</v>
      </c>
      <c r="J334" s="10">
        <v>2.0</v>
      </c>
      <c r="K334" s="10">
        <v>0.0</v>
      </c>
      <c r="L334" s="11">
        <v>0.0</v>
      </c>
      <c r="M334" s="12">
        <v>0.0</v>
      </c>
      <c r="N334" s="12">
        <v>0.0</v>
      </c>
      <c r="O334" s="12">
        <v>0.0</v>
      </c>
      <c r="P334" s="11">
        <v>0.0</v>
      </c>
    </row>
    <row r="335">
      <c r="A335" s="8" t="s">
        <v>70</v>
      </c>
      <c r="B335" s="8" t="s">
        <v>308</v>
      </c>
      <c r="C335" s="9">
        <v>46128.80060185185</v>
      </c>
      <c r="D335" s="8" t="s">
        <v>309</v>
      </c>
      <c r="E335" s="8" t="s">
        <v>444</v>
      </c>
      <c r="F335" s="8" t="s">
        <v>445</v>
      </c>
      <c r="G335" s="8" t="s">
        <v>40</v>
      </c>
      <c r="H335" s="8" t="s">
        <v>41</v>
      </c>
      <c r="I335" s="10">
        <v>2.0</v>
      </c>
      <c r="J335" s="10">
        <v>2.0</v>
      </c>
      <c r="K335" s="10">
        <v>0.0</v>
      </c>
      <c r="L335" s="11">
        <v>0.0</v>
      </c>
      <c r="M335" s="12">
        <v>0.0</v>
      </c>
      <c r="N335" s="12">
        <v>0.0</v>
      </c>
      <c r="O335" s="12">
        <v>0.0</v>
      </c>
      <c r="P335" s="11">
        <v>0.0</v>
      </c>
    </row>
    <row r="336">
      <c r="A336" s="8" t="s">
        <v>70</v>
      </c>
      <c r="B336" s="8" t="s">
        <v>308</v>
      </c>
      <c r="C336" s="9">
        <v>46128.80060185185</v>
      </c>
      <c r="D336" s="8" t="s">
        <v>309</v>
      </c>
      <c r="E336" s="8" t="s">
        <v>446</v>
      </c>
      <c r="F336" s="8" t="s">
        <v>447</v>
      </c>
      <c r="G336" s="8" t="s">
        <v>40</v>
      </c>
      <c r="H336" s="8" t="s">
        <v>41</v>
      </c>
      <c r="I336" s="10">
        <v>4.0</v>
      </c>
      <c r="J336" s="10">
        <v>4.0</v>
      </c>
      <c r="K336" s="10">
        <v>0.0</v>
      </c>
      <c r="L336" s="11">
        <v>0.0</v>
      </c>
      <c r="M336" s="12">
        <v>0.0</v>
      </c>
      <c r="N336" s="12">
        <v>0.0</v>
      </c>
      <c r="O336" s="12">
        <v>0.0</v>
      </c>
      <c r="P336" s="11">
        <v>0.0</v>
      </c>
    </row>
    <row r="337">
      <c r="A337" s="8" t="s">
        <v>70</v>
      </c>
      <c r="B337" s="8" t="s">
        <v>308</v>
      </c>
      <c r="C337" s="9">
        <v>46128.80060185185</v>
      </c>
      <c r="D337" s="8" t="s">
        <v>309</v>
      </c>
      <c r="E337" s="8" t="s">
        <v>448</v>
      </c>
      <c r="F337" s="8" t="s">
        <v>449</v>
      </c>
      <c r="G337" s="8" t="s">
        <v>40</v>
      </c>
      <c r="H337" s="8" t="s">
        <v>41</v>
      </c>
      <c r="I337" s="10">
        <v>9.0</v>
      </c>
      <c r="J337" s="10">
        <v>9.0</v>
      </c>
      <c r="K337" s="10">
        <v>0.0</v>
      </c>
      <c r="L337" s="11">
        <v>0.0</v>
      </c>
      <c r="M337" s="12">
        <v>0.0</v>
      </c>
      <c r="N337" s="12">
        <v>0.0</v>
      </c>
      <c r="O337" s="12">
        <v>0.0</v>
      </c>
      <c r="P337" s="11">
        <v>0.0</v>
      </c>
    </row>
    <row r="338">
      <c r="A338" s="8" t="s">
        <v>70</v>
      </c>
      <c r="B338" s="8" t="s">
        <v>308</v>
      </c>
      <c r="C338" s="9">
        <v>46128.80060185185</v>
      </c>
      <c r="D338" s="8" t="s">
        <v>309</v>
      </c>
      <c r="E338" s="8" t="s">
        <v>450</v>
      </c>
      <c r="F338" s="8" t="s">
        <v>451</v>
      </c>
      <c r="G338" s="8" t="s">
        <v>40</v>
      </c>
      <c r="H338" s="8" t="s">
        <v>41</v>
      </c>
      <c r="I338" s="10">
        <v>1.0</v>
      </c>
      <c r="J338" s="10">
        <v>1.0</v>
      </c>
      <c r="K338" s="10">
        <v>0.0</v>
      </c>
      <c r="L338" s="11">
        <v>0.0</v>
      </c>
      <c r="M338" s="12">
        <v>0.0</v>
      </c>
      <c r="N338" s="12">
        <v>0.0</v>
      </c>
      <c r="O338" s="12">
        <v>0.0</v>
      </c>
      <c r="P338" s="11">
        <v>0.0</v>
      </c>
    </row>
    <row r="339">
      <c r="A339" s="8" t="s">
        <v>70</v>
      </c>
      <c r="B339" s="8" t="s">
        <v>308</v>
      </c>
      <c r="C339" s="9">
        <v>46128.80060185185</v>
      </c>
      <c r="D339" s="8" t="s">
        <v>309</v>
      </c>
      <c r="E339" s="8" t="s">
        <v>452</v>
      </c>
      <c r="F339" s="8" t="s">
        <v>453</v>
      </c>
      <c r="G339" s="8" t="s">
        <v>40</v>
      </c>
      <c r="H339" s="8" t="s">
        <v>41</v>
      </c>
      <c r="I339" s="10">
        <v>12.0</v>
      </c>
      <c r="J339" s="10">
        <v>12.0</v>
      </c>
      <c r="K339" s="10">
        <v>0.0</v>
      </c>
      <c r="L339" s="11">
        <v>0.0</v>
      </c>
      <c r="M339" s="12">
        <v>0.0</v>
      </c>
      <c r="N339" s="12">
        <v>0.0</v>
      </c>
      <c r="O339" s="12">
        <v>0.0</v>
      </c>
      <c r="P339" s="11">
        <v>0.0</v>
      </c>
    </row>
    <row r="340">
      <c r="A340" s="8" t="s">
        <v>70</v>
      </c>
      <c r="B340" s="8" t="s">
        <v>308</v>
      </c>
      <c r="C340" s="9">
        <v>46128.80060185185</v>
      </c>
      <c r="D340" s="8" t="s">
        <v>309</v>
      </c>
      <c r="E340" s="8" t="s">
        <v>454</v>
      </c>
      <c r="F340" s="8" t="s">
        <v>455</v>
      </c>
      <c r="G340" s="8" t="s">
        <v>40</v>
      </c>
      <c r="H340" s="8" t="s">
        <v>41</v>
      </c>
      <c r="I340" s="10">
        <v>0.0</v>
      </c>
      <c r="J340" s="10">
        <v>0.0</v>
      </c>
      <c r="K340" s="10">
        <v>0.0</v>
      </c>
      <c r="L340" s="11">
        <v>0.0</v>
      </c>
      <c r="M340" s="12">
        <v>0.0</v>
      </c>
      <c r="N340" s="12">
        <v>0.0</v>
      </c>
      <c r="O340" s="12">
        <v>0.0</v>
      </c>
      <c r="P340" s="11">
        <v>0.0</v>
      </c>
    </row>
    <row r="341">
      <c r="A341" s="8" t="s">
        <v>70</v>
      </c>
      <c r="B341" s="8" t="s">
        <v>308</v>
      </c>
      <c r="C341" s="9">
        <v>46128.80060185185</v>
      </c>
      <c r="D341" s="8" t="s">
        <v>309</v>
      </c>
      <c r="E341" s="8" t="s">
        <v>456</v>
      </c>
      <c r="F341" s="8" t="s">
        <v>457</v>
      </c>
      <c r="G341" s="8" t="s">
        <v>40</v>
      </c>
      <c r="H341" s="8" t="s">
        <v>41</v>
      </c>
      <c r="I341" s="10">
        <v>2.0</v>
      </c>
      <c r="J341" s="10">
        <v>2.0</v>
      </c>
      <c r="K341" s="10">
        <v>0.0</v>
      </c>
      <c r="L341" s="11">
        <v>0.0</v>
      </c>
      <c r="M341" s="12">
        <v>0.0</v>
      </c>
      <c r="N341" s="12">
        <v>0.0</v>
      </c>
      <c r="O341" s="12">
        <v>0.0</v>
      </c>
      <c r="P341" s="11">
        <v>0.0</v>
      </c>
    </row>
    <row r="342">
      <c r="A342" s="8" t="s">
        <v>70</v>
      </c>
      <c r="B342" s="8" t="s">
        <v>308</v>
      </c>
      <c r="C342" s="9">
        <v>46128.80060185185</v>
      </c>
      <c r="D342" s="8" t="s">
        <v>309</v>
      </c>
      <c r="E342" s="8" t="s">
        <v>458</v>
      </c>
      <c r="F342" s="8" t="s">
        <v>459</v>
      </c>
      <c r="G342" s="8" t="s">
        <v>40</v>
      </c>
      <c r="H342" s="8" t="s">
        <v>41</v>
      </c>
      <c r="I342" s="10">
        <v>35.0</v>
      </c>
      <c r="J342" s="10">
        <v>29.0</v>
      </c>
      <c r="K342" s="10">
        <v>-6.0</v>
      </c>
      <c r="L342" s="11">
        <v>-90000.0</v>
      </c>
      <c r="M342" s="12">
        <v>15000.0</v>
      </c>
      <c r="N342" s="12">
        <v>0.0</v>
      </c>
      <c r="O342" s="12">
        <v>6.0</v>
      </c>
      <c r="P342" s="11">
        <v>90000.0</v>
      </c>
    </row>
    <row r="343">
      <c r="A343" s="8" t="s">
        <v>70</v>
      </c>
      <c r="B343" s="8" t="s">
        <v>308</v>
      </c>
      <c r="C343" s="9">
        <v>46128.80060185185</v>
      </c>
      <c r="D343" s="8" t="s">
        <v>309</v>
      </c>
      <c r="E343" s="8" t="s">
        <v>460</v>
      </c>
      <c r="F343" s="8" t="s">
        <v>461</v>
      </c>
      <c r="G343" s="8" t="s">
        <v>40</v>
      </c>
      <c r="H343" s="8" t="s">
        <v>41</v>
      </c>
      <c r="I343" s="10">
        <v>1.0</v>
      </c>
      <c r="J343" s="10">
        <v>1.0</v>
      </c>
      <c r="K343" s="10">
        <v>0.0</v>
      </c>
      <c r="L343" s="11">
        <v>0.0</v>
      </c>
      <c r="M343" s="12">
        <v>0.0</v>
      </c>
      <c r="N343" s="12">
        <v>0.0</v>
      </c>
      <c r="O343" s="12">
        <v>0.0</v>
      </c>
      <c r="P343" s="11">
        <v>0.0</v>
      </c>
    </row>
    <row r="344">
      <c r="A344" s="8" t="s">
        <v>70</v>
      </c>
      <c r="B344" s="8" t="s">
        <v>308</v>
      </c>
      <c r="C344" s="9">
        <v>46128.80060185185</v>
      </c>
      <c r="D344" s="8" t="s">
        <v>309</v>
      </c>
      <c r="E344" s="8" t="s">
        <v>462</v>
      </c>
      <c r="F344" s="8" t="s">
        <v>463</v>
      </c>
      <c r="G344" s="8" t="s">
        <v>464</v>
      </c>
      <c r="H344" s="8" t="s">
        <v>465</v>
      </c>
      <c r="I344" s="10">
        <v>3.0</v>
      </c>
      <c r="J344" s="10">
        <v>3.0</v>
      </c>
      <c r="K344" s="10">
        <v>0.0</v>
      </c>
      <c r="L344" s="11">
        <v>0.0</v>
      </c>
      <c r="M344" s="12">
        <v>0.0</v>
      </c>
      <c r="N344" s="12">
        <v>0.0</v>
      </c>
      <c r="O344" s="12">
        <v>0.0</v>
      </c>
      <c r="P344" s="11">
        <v>0.0</v>
      </c>
    </row>
    <row r="345">
      <c r="A345" s="8" t="s">
        <v>70</v>
      </c>
      <c r="B345" s="8" t="s">
        <v>308</v>
      </c>
      <c r="C345" s="9">
        <v>46128.80060185185</v>
      </c>
      <c r="D345" s="8" t="s">
        <v>309</v>
      </c>
      <c r="E345" s="8" t="s">
        <v>466</v>
      </c>
      <c r="F345" s="8" t="s">
        <v>467</v>
      </c>
      <c r="G345" s="8" t="s">
        <v>40</v>
      </c>
      <c r="H345" s="8" t="s">
        <v>41</v>
      </c>
      <c r="I345" s="10">
        <v>0.0</v>
      </c>
      <c r="J345" s="10">
        <v>0.0</v>
      </c>
      <c r="K345" s="10">
        <v>0.0</v>
      </c>
      <c r="L345" s="11">
        <v>0.0</v>
      </c>
      <c r="M345" s="12">
        <v>0.0</v>
      </c>
      <c r="N345" s="12">
        <v>0.0</v>
      </c>
      <c r="O345" s="12">
        <v>0.0</v>
      </c>
      <c r="P345" s="11">
        <v>0.0</v>
      </c>
    </row>
    <row r="346">
      <c r="A346" s="8" t="s">
        <v>70</v>
      </c>
      <c r="B346" s="8" t="s">
        <v>308</v>
      </c>
      <c r="C346" s="9">
        <v>46128.80060185185</v>
      </c>
      <c r="D346" s="8" t="s">
        <v>309</v>
      </c>
      <c r="E346" s="8" t="s">
        <v>468</v>
      </c>
      <c r="F346" s="8" t="s">
        <v>469</v>
      </c>
      <c r="G346" s="8" t="s">
        <v>40</v>
      </c>
      <c r="H346" s="8" t="s">
        <v>41</v>
      </c>
      <c r="I346" s="10">
        <v>9.0</v>
      </c>
      <c r="J346" s="10">
        <v>9.0</v>
      </c>
      <c r="K346" s="10">
        <v>0.0</v>
      </c>
      <c r="L346" s="11">
        <v>0.0</v>
      </c>
      <c r="M346" s="12">
        <v>0.0</v>
      </c>
      <c r="N346" s="12">
        <v>0.0</v>
      </c>
      <c r="O346" s="12">
        <v>0.0</v>
      </c>
      <c r="P346" s="11">
        <v>0.0</v>
      </c>
    </row>
    <row r="347">
      <c r="A347" s="8" t="s">
        <v>70</v>
      </c>
      <c r="B347" s="8" t="s">
        <v>308</v>
      </c>
      <c r="C347" s="9">
        <v>46128.80060185185</v>
      </c>
      <c r="D347" s="8" t="s">
        <v>309</v>
      </c>
      <c r="E347" s="8" t="s">
        <v>470</v>
      </c>
      <c r="F347" s="8" t="s">
        <v>471</v>
      </c>
      <c r="G347" s="8" t="s">
        <v>40</v>
      </c>
      <c r="H347" s="8" t="s">
        <v>41</v>
      </c>
      <c r="I347" s="10">
        <v>0.0</v>
      </c>
      <c r="J347" s="10">
        <v>0.0</v>
      </c>
      <c r="K347" s="10">
        <v>0.0</v>
      </c>
      <c r="L347" s="11">
        <v>0.0</v>
      </c>
      <c r="M347" s="12">
        <v>0.0</v>
      </c>
      <c r="N347" s="12">
        <v>0.0</v>
      </c>
      <c r="O347" s="12">
        <v>0.0</v>
      </c>
      <c r="P347" s="11">
        <v>0.0</v>
      </c>
    </row>
    <row r="348">
      <c r="A348" s="8" t="s">
        <v>70</v>
      </c>
      <c r="B348" s="8" t="s">
        <v>308</v>
      </c>
      <c r="C348" s="9">
        <v>46128.80060185185</v>
      </c>
      <c r="D348" s="8" t="s">
        <v>309</v>
      </c>
      <c r="E348" s="8" t="s">
        <v>472</v>
      </c>
      <c r="F348" s="8" t="s">
        <v>473</v>
      </c>
      <c r="G348" s="8" t="s">
        <v>40</v>
      </c>
      <c r="H348" s="8" t="s">
        <v>41</v>
      </c>
      <c r="I348" s="10">
        <v>0.0</v>
      </c>
      <c r="J348" s="10">
        <v>0.0</v>
      </c>
      <c r="K348" s="10">
        <v>0.0</v>
      </c>
      <c r="L348" s="11">
        <v>0.0</v>
      </c>
      <c r="M348" s="12">
        <v>0.0</v>
      </c>
      <c r="N348" s="12">
        <v>0.0</v>
      </c>
      <c r="O348" s="12">
        <v>0.0</v>
      </c>
      <c r="P348" s="11">
        <v>0.0</v>
      </c>
    </row>
    <row r="349">
      <c r="A349" s="8" t="s">
        <v>70</v>
      </c>
      <c r="B349" s="8" t="s">
        <v>308</v>
      </c>
      <c r="C349" s="9">
        <v>46128.80060185185</v>
      </c>
      <c r="D349" s="8" t="s">
        <v>309</v>
      </c>
      <c r="E349" s="8" t="s">
        <v>474</v>
      </c>
      <c r="F349" s="8" t="s">
        <v>475</v>
      </c>
      <c r="G349" s="8" t="s">
        <v>40</v>
      </c>
      <c r="H349" s="8" t="s">
        <v>41</v>
      </c>
      <c r="I349" s="10">
        <v>2.0</v>
      </c>
      <c r="J349" s="10">
        <v>2.0</v>
      </c>
      <c r="K349" s="10">
        <v>0.0</v>
      </c>
      <c r="L349" s="11">
        <v>0.0</v>
      </c>
      <c r="M349" s="12">
        <v>0.0</v>
      </c>
      <c r="N349" s="12">
        <v>0.0</v>
      </c>
      <c r="O349" s="12">
        <v>0.0</v>
      </c>
      <c r="P349" s="11">
        <v>0.0</v>
      </c>
    </row>
    <row r="350">
      <c r="A350" s="8" t="s">
        <v>70</v>
      </c>
      <c r="B350" s="8" t="s">
        <v>308</v>
      </c>
      <c r="C350" s="9">
        <v>46128.80060185185</v>
      </c>
      <c r="D350" s="8" t="s">
        <v>309</v>
      </c>
      <c r="E350" s="8" t="s">
        <v>476</v>
      </c>
      <c r="F350" s="8" t="s">
        <v>477</v>
      </c>
      <c r="G350" s="8" t="s">
        <v>40</v>
      </c>
      <c r="H350" s="8" t="s">
        <v>41</v>
      </c>
      <c r="I350" s="10">
        <v>8.0</v>
      </c>
      <c r="J350" s="10">
        <v>8.0</v>
      </c>
      <c r="K350" s="10">
        <v>0.0</v>
      </c>
      <c r="L350" s="11">
        <v>0.0</v>
      </c>
      <c r="M350" s="12">
        <v>0.0</v>
      </c>
      <c r="N350" s="12">
        <v>0.0</v>
      </c>
      <c r="O350" s="12">
        <v>0.0</v>
      </c>
      <c r="P350" s="11">
        <v>0.0</v>
      </c>
    </row>
    <row r="351">
      <c r="A351" s="8" t="s">
        <v>70</v>
      </c>
      <c r="B351" s="8" t="s">
        <v>308</v>
      </c>
      <c r="C351" s="9">
        <v>46128.80060185185</v>
      </c>
      <c r="D351" s="8" t="s">
        <v>309</v>
      </c>
      <c r="E351" s="8" t="s">
        <v>478</v>
      </c>
      <c r="F351" s="8" t="s">
        <v>479</v>
      </c>
      <c r="G351" s="8" t="s">
        <v>40</v>
      </c>
      <c r="H351" s="8" t="s">
        <v>41</v>
      </c>
      <c r="I351" s="10">
        <v>3.0</v>
      </c>
      <c r="J351" s="10">
        <v>3.0</v>
      </c>
      <c r="K351" s="10">
        <v>0.0</v>
      </c>
      <c r="L351" s="11">
        <v>0.0</v>
      </c>
      <c r="M351" s="12">
        <v>0.0</v>
      </c>
      <c r="N351" s="12">
        <v>0.0</v>
      </c>
      <c r="O351" s="12">
        <v>0.0</v>
      </c>
      <c r="P351" s="11">
        <v>0.0</v>
      </c>
    </row>
    <row r="352">
      <c r="A352" s="8" t="s">
        <v>70</v>
      </c>
      <c r="B352" s="8" t="s">
        <v>308</v>
      </c>
      <c r="C352" s="9">
        <v>46128.80060185185</v>
      </c>
      <c r="D352" s="8" t="s">
        <v>309</v>
      </c>
      <c r="E352" s="8" t="s">
        <v>480</v>
      </c>
      <c r="F352" s="8" t="s">
        <v>481</v>
      </c>
      <c r="G352" s="8" t="s">
        <v>40</v>
      </c>
      <c r="H352" s="8" t="s">
        <v>41</v>
      </c>
      <c r="I352" s="10">
        <v>9.0</v>
      </c>
      <c r="J352" s="10">
        <v>9.0</v>
      </c>
      <c r="K352" s="10">
        <v>0.0</v>
      </c>
      <c r="L352" s="11">
        <v>0.0</v>
      </c>
      <c r="M352" s="12">
        <v>0.0</v>
      </c>
      <c r="N352" s="12">
        <v>0.0</v>
      </c>
      <c r="O352" s="12">
        <v>0.0</v>
      </c>
      <c r="P352" s="11">
        <v>0.0</v>
      </c>
    </row>
    <row r="353">
      <c r="A353" s="8" t="s">
        <v>70</v>
      </c>
      <c r="B353" s="8" t="s">
        <v>308</v>
      </c>
      <c r="C353" s="9">
        <v>46128.80060185185</v>
      </c>
      <c r="D353" s="8" t="s">
        <v>309</v>
      </c>
      <c r="E353" s="8" t="s">
        <v>482</v>
      </c>
      <c r="F353" s="8" t="s">
        <v>483</v>
      </c>
      <c r="G353" s="8" t="s">
        <v>40</v>
      </c>
      <c r="H353" s="8" t="s">
        <v>41</v>
      </c>
      <c r="I353" s="10">
        <v>2.0</v>
      </c>
      <c r="J353" s="10">
        <v>2.0</v>
      </c>
      <c r="K353" s="10">
        <v>0.0</v>
      </c>
      <c r="L353" s="11">
        <v>0.0</v>
      </c>
      <c r="M353" s="12">
        <v>0.0</v>
      </c>
      <c r="N353" s="12">
        <v>0.0</v>
      </c>
      <c r="O353" s="12">
        <v>0.0</v>
      </c>
      <c r="P353" s="11">
        <v>0.0</v>
      </c>
    </row>
    <row r="354">
      <c r="A354" s="8" t="s">
        <v>70</v>
      </c>
      <c r="B354" s="8" t="s">
        <v>308</v>
      </c>
      <c r="C354" s="9">
        <v>46128.80060185185</v>
      </c>
      <c r="D354" s="8" t="s">
        <v>309</v>
      </c>
      <c r="E354" s="8" t="s">
        <v>484</v>
      </c>
      <c r="F354" s="8" t="s">
        <v>485</v>
      </c>
      <c r="G354" s="8" t="s">
        <v>40</v>
      </c>
      <c r="H354" s="8" t="s">
        <v>41</v>
      </c>
      <c r="I354" s="10">
        <v>0.0</v>
      </c>
      <c r="J354" s="10">
        <v>0.0</v>
      </c>
      <c r="K354" s="10">
        <v>0.0</v>
      </c>
      <c r="L354" s="11">
        <v>0.0</v>
      </c>
      <c r="M354" s="12">
        <v>0.0</v>
      </c>
      <c r="N354" s="12">
        <v>0.0</v>
      </c>
      <c r="O354" s="12">
        <v>0.0</v>
      </c>
      <c r="P354" s="11">
        <v>0.0</v>
      </c>
    </row>
    <row r="355">
      <c r="A355" s="8" t="s">
        <v>70</v>
      </c>
      <c r="B355" s="8" t="s">
        <v>308</v>
      </c>
      <c r="C355" s="9">
        <v>46128.80060185185</v>
      </c>
      <c r="D355" s="8" t="s">
        <v>309</v>
      </c>
      <c r="E355" s="8" t="s">
        <v>486</v>
      </c>
      <c r="F355" s="8" t="s">
        <v>487</v>
      </c>
      <c r="G355" s="8" t="s">
        <v>40</v>
      </c>
      <c r="H355" s="8" t="s">
        <v>41</v>
      </c>
      <c r="I355" s="10">
        <v>10.0</v>
      </c>
      <c r="J355" s="10">
        <v>10.0</v>
      </c>
      <c r="K355" s="10">
        <v>0.0</v>
      </c>
      <c r="L355" s="11">
        <v>0.0</v>
      </c>
      <c r="M355" s="12">
        <v>0.0</v>
      </c>
      <c r="N355" s="12">
        <v>0.0</v>
      </c>
      <c r="O355" s="12">
        <v>0.0</v>
      </c>
      <c r="P355" s="11">
        <v>0.0</v>
      </c>
    </row>
    <row r="356">
      <c r="A356" s="8" t="s">
        <v>70</v>
      </c>
      <c r="B356" s="8" t="s">
        <v>308</v>
      </c>
      <c r="C356" s="9">
        <v>46128.80060185185</v>
      </c>
      <c r="D356" s="8" t="s">
        <v>309</v>
      </c>
      <c r="E356" s="8" t="s">
        <v>488</v>
      </c>
      <c r="F356" s="8" t="s">
        <v>489</v>
      </c>
      <c r="G356" s="8" t="s">
        <v>40</v>
      </c>
      <c r="H356" s="8" t="s">
        <v>41</v>
      </c>
      <c r="I356" s="10">
        <v>8.0</v>
      </c>
      <c r="J356" s="10">
        <v>7.0</v>
      </c>
      <c r="K356" s="10">
        <v>-1.0</v>
      </c>
      <c r="L356" s="11">
        <v>-27000.0</v>
      </c>
      <c r="M356" s="12">
        <v>27000.0</v>
      </c>
      <c r="N356" s="12">
        <v>0.0</v>
      </c>
      <c r="O356" s="12">
        <v>1.0</v>
      </c>
      <c r="P356" s="11">
        <v>27000.0</v>
      </c>
    </row>
    <row r="357">
      <c r="A357" s="8" t="s">
        <v>70</v>
      </c>
      <c r="B357" s="8" t="s">
        <v>308</v>
      </c>
      <c r="C357" s="9">
        <v>46128.80060185185</v>
      </c>
      <c r="D357" s="8" t="s">
        <v>309</v>
      </c>
      <c r="E357" s="8" t="s">
        <v>490</v>
      </c>
      <c r="F357" s="8" t="s">
        <v>491</v>
      </c>
      <c r="G357" s="8" t="s">
        <v>40</v>
      </c>
      <c r="H357" s="8" t="s">
        <v>41</v>
      </c>
      <c r="I357" s="10">
        <v>8.0</v>
      </c>
      <c r="J357" s="10">
        <v>8.0</v>
      </c>
      <c r="K357" s="10">
        <v>0.0</v>
      </c>
      <c r="L357" s="11">
        <v>0.0</v>
      </c>
      <c r="M357" s="12">
        <v>0.0</v>
      </c>
      <c r="N357" s="12">
        <v>0.0</v>
      </c>
      <c r="O357" s="12">
        <v>0.0</v>
      </c>
      <c r="P357" s="11">
        <v>0.0</v>
      </c>
    </row>
    <row r="358">
      <c r="A358" s="8" t="s">
        <v>70</v>
      </c>
      <c r="B358" s="8" t="s">
        <v>308</v>
      </c>
      <c r="C358" s="9">
        <v>46128.80060185185</v>
      </c>
      <c r="D358" s="8" t="s">
        <v>309</v>
      </c>
      <c r="E358" s="8" t="s">
        <v>492</v>
      </c>
      <c r="F358" s="8" t="s">
        <v>493</v>
      </c>
      <c r="G358" s="8" t="s">
        <v>40</v>
      </c>
      <c r="H358" s="8" t="s">
        <v>41</v>
      </c>
      <c r="I358" s="10">
        <v>6.0</v>
      </c>
      <c r="J358" s="10">
        <v>6.0</v>
      </c>
      <c r="K358" s="10">
        <v>0.0</v>
      </c>
      <c r="L358" s="11">
        <v>0.0</v>
      </c>
      <c r="M358" s="12">
        <v>0.0</v>
      </c>
      <c r="N358" s="12">
        <v>0.0</v>
      </c>
      <c r="O358" s="12">
        <v>0.0</v>
      </c>
      <c r="P358" s="11">
        <v>0.0</v>
      </c>
    </row>
    <row r="359">
      <c r="A359" s="8" t="s">
        <v>70</v>
      </c>
      <c r="B359" s="8" t="s">
        <v>308</v>
      </c>
      <c r="C359" s="9">
        <v>46128.80060185185</v>
      </c>
      <c r="D359" s="8" t="s">
        <v>309</v>
      </c>
      <c r="E359" s="8" t="s">
        <v>494</v>
      </c>
      <c r="F359" s="8" t="s">
        <v>495</v>
      </c>
      <c r="G359" s="8" t="s">
        <v>40</v>
      </c>
      <c r="H359" s="8" t="s">
        <v>41</v>
      </c>
      <c r="I359" s="10">
        <v>0.0</v>
      </c>
      <c r="J359" s="10">
        <v>0.0</v>
      </c>
      <c r="K359" s="10">
        <v>0.0</v>
      </c>
      <c r="L359" s="11">
        <v>0.0</v>
      </c>
      <c r="M359" s="12">
        <v>0.0</v>
      </c>
      <c r="N359" s="12">
        <v>0.0</v>
      </c>
      <c r="O359" s="12">
        <v>0.0</v>
      </c>
      <c r="P359" s="11">
        <v>0.0</v>
      </c>
    </row>
    <row r="360">
      <c r="A360" s="8" t="s">
        <v>70</v>
      </c>
      <c r="B360" s="8" t="s">
        <v>308</v>
      </c>
      <c r="C360" s="9">
        <v>46128.80060185185</v>
      </c>
      <c r="D360" s="8" t="s">
        <v>309</v>
      </c>
      <c r="E360" s="8" t="s">
        <v>496</v>
      </c>
      <c r="F360" s="8" t="s">
        <v>497</v>
      </c>
      <c r="G360" s="8" t="s">
        <v>40</v>
      </c>
      <c r="H360" s="8" t="s">
        <v>41</v>
      </c>
      <c r="I360" s="10">
        <v>2.0</v>
      </c>
      <c r="J360" s="10">
        <v>2.0</v>
      </c>
      <c r="K360" s="10">
        <v>0.0</v>
      </c>
      <c r="L360" s="11">
        <v>0.0</v>
      </c>
      <c r="M360" s="12">
        <v>0.0</v>
      </c>
      <c r="N360" s="12">
        <v>0.0</v>
      </c>
      <c r="O360" s="12">
        <v>0.0</v>
      </c>
      <c r="P360" s="11">
        <v>0.0</v>
      </c>
    </row>
    <row r="361">
      <c r="A361" s="8" t="s">
        <v>70</v>
      </c>
      <c r="B361" s="8" t="s">
        <v>308</v>
      </c>
      <c r="C361" s="9">
        <v>46128.80060185185</v>
      </c>
      <c r="D361" s="8" t="s">
        <v>309</v>
      </c>
      <c r="E361" s="8" t="s">
        <v>498</v>
      </c>
      <c r="F361" s="8" t="s">
        <v>499</v>
      </c>
      <c r="G361" s="8" t="s">
        <v>40</v>
      </c>
      <c r="H361" s="8" t="s">
        <v>41</v>
      </c>
      <c r="I361" s="10">
        <v>1.0</v>
      </c>
      <c r="J361" s="10">
        <v>1.0</v>
      </c>
      <c r="K361" s="10">
        <v>0.0</v>
      </c>
      <c r="L361" s="11">
        <v>0.0</v>
      </c>
      <c r="M361" s="12">
        <v>0.0</v>
      </c>
      <c r="N361" s="12">
        <v>0.0</v>
      </c>
      <c r="O361" s="12">
        <v>0.0</v>
      </c>
      <c r="P361" s="11">
        <v>0.0</v>
      </c>
    </row>
    <row r="362">
      <c r="A362" s="8" t="s">
        <v>70</v>
      </c>
      <c r="B362" s="8" t="s">
        <v>308</v>
      </c>
      <c r="C362" s="9">
        <v>46128.80060185185</v>
      </c>
      <c r="D362" s="8" t="s">
        <v>309</v>
      </c>
      <c r="E362" s="8" t="s">
        <v>500</v>
      </c>
      <c r="F362" s="8" t="s">
        <v>501</v>
      </c>
      <c r="G362" s="8" t="s">
        <v>40</v>
      </c>
      <c r="H362" s="8" t="s">
        <v>41</v>
      </c>
      <c r="I362" s="10">
        <v>2.0</v>
      </c>
      <c r="J362" s="10">
        <v>2.0</v>
      </c>
      <c r="K362" s="10">
        <v>0.0</v>
      </c>
      <c r="L362" s="11">
        <v>0.0</v>
      </c>
      <c r="M362" s="12">
        <v>0.0</v>
      </c>
      <c r="N362" s="12">
        <v>0.0</v>
      </c>
      <c r="O362" s="12">
        <v>0.0</v>
      </c>
      <c r="P362" s="11">
        <v>0.0</v>
      </c>
    </row>
    <row r="363">
      <c r="A363" s="8" t="s">
        <v>70</v>
      </c>
      <c r="B363" s="8" t="s">
        <v>308</v>
      </c>
      <c r="C363" s="9">
        <v>46128.80060185185</v>
      </c>
      <c r="D363" s="8" t="s">
        <v>309</v>
      </c>
      <c r="E363" s="8" t="s">
        <v>502</v>
      </c>
      <c r="F363" s="8" t="s">
        <v>503</v>
      </c>
      <c r="G363" s="8" t="s">
        <v>40</v>
      </c>
      <c r="H363" s="8" t="s">
        <v>41</v>
      </c>
      <c r="I363" s="10">
        <v>6.0</v>
      </c>
      <c r="J363" s="10">
        <v>6.0</v>
      </c>
      <c r="K363" s="10">
        <v>0.0</v>
      </c>
      <c r="L363" s="11">
        <v>0.0</v>
      </c>
      <c r="M363" s="12">
        <v>0.0</v>
      </c>
      <c r="N363" s="12">
        <v>0.0</v>
      </c>
      <c r="O363" s="12">
        <v>0.0</v>
      </c>
      <c r="P363" s="11">
        <v>0.0</v>
      </c>
    </row>
    <row r="364">
      <c r="A364" s="8" t="s">
        <v>293</v>
      </c>
      <c r="B364" s="8" t="s">
        <v>504</v>
      </c>
      <c r="C364" s="9">
        <v>46128.99998842592</v>
      </c>
      <c r="D364" s="8" t="s">
        <v>505</v>
      </c>
      <c r="E364" s="8" t="s">
        <v>241</v>
      </c>
      <c r="F364" s="8" t="s">
        <v>242</v>
      </c>
      <c r="G364" s="8" t="s">
        <v>156</v>
      </c>
      <c r="H364" s="8" t="s">
        <v>157</v>
      </c>
      <c r="I364" s="10">
        <v>9.75</v>
      </c>
      <c r="J364" s="10">
        <v>10.1</v>
      </c>
      <c r="K364" s="10">
        <v>0.35</v>
      </c>
      <c r="L364" s="11">
        <v>61666.0</v>
      </c>
      <c r="M364" s="12">
        <v>176188.57</v>
      </c>
      <c r="N364" s="12">
        <v>0.5</v>
      </c>
      <c r="O364" s="12">
        <v>0.0</v>
      </c>
      <c r="P364" s="11">
        <v>0.0</v>
      </c>
    </row>
    <row r="365">
      <c r="A365" s="8" t="s">
        <v>293</v>
      </c>
      <c r="B365" s="8" t="s">
        <v>504</v>
      </c>
      <c r="C365" s="9">
        <v>46128.99998842592</v>
      </c>
      <c r="D365" s="8" t="s">
        <v>505</v>
      </c>
      <c r="E365" s="8" t="s">
        <v>506</v>
      </c>
      <c r="F365" s="8" t="s">
        <v>507</v>
      </c>
      <c r="G365" s="8" t="s">
        <v>156</v>
      </c>
      <c r="H365" s="8" t="s">
        <v>157</v>
      </c>
      <c r="I365" s="10">
        <v>6.66</v>
      </c>
      <c r="J365" s="10">
        <v>6.66</v>
      </c>
      <c r="K365" s="10">
        <v>0.0</v>
      </c>
      <c r="L365" s="11">
        <v>0.0</v>
      </c>
      <c r="M365" s="12">
        <v>0.0</v>
      </c>
      <c r="N365" s="12">
        <v>0.5</v>
      </c>
      <c r="O365" s="12">
        <v>0.0</v>
      </c>
      <c r="P365" s="11">
        <v>0.0</v>
      </c>
    </row>
    <row r="366">
      <c r="A366" s="8" t="s">
        <v>293</v>
      </c>
      <c r="B366" s="8" t="s">
        <v>504</v>
      </c>
      <c r="C366" s="9">
        <v>46128.99998842592</v>
      </c>
      <c r="D366" s="8" t="s">
        <v>505</v>
      </c>
      <c r="E366" s="8" t="s">
        <v>508</v>
      </c>
      <c r="F366" s="8" t="s">
        <v>509</v>
      </c>
      <c r="G366" s="8" t="s">
        <v>22</v>
      </c>
      <c r="H366" s="8" t="s">
        <v>23</v>
      </c>
      <c r="I366" s="10">
        <v>5.099</v>
      </c>
      <c r="J366" s="10">
        <v>4.926</v>
      </c>
      <c r="K366" s="10">
        <v>-0.173</v>
      </c>
      <c r="L366" s="11">
        <v>-57049.0</v>
      </c>
      <c r="M366" s="12">
        <v>329763.01</v>
      </c>
      <c r="N366" s="12">
        <v>0.5</v>
      </c>
      <c r="O366" s="12">
        <v>0.0</v>
      </c>
      <c r="P366" s="11">
        <v>0.0</v>
      </c>
    </row>
    <row r="367">
      <c r="A367" s="8" t="s">
        <v>293</v>
      </c>
      <c r="B367" s="8" t="s">
        <v>504</v>
      </c>
      <c r="C367" s="9">
        <v>46128.99998842592</v>
      </c>
      <c r="D367" s="8" t="s">
        <v>505</v>
      </c>
      <c r="E367" s="8" t="s">
        <v>510</v>
      </c>
      <c r="F367" s="8" t="s">
        <v>511</v>
      </c>
      <c r="G367" s="8" t="s">
        <v>22</v>
      </c>
      <c r="H367" s="8" t="s">
        <v>23</v>
      </c>
      <c r="I367" s="10">
        <v>4.342</v>
      </c>
      <c r="J367" s="10">
        <v>4.226</v>
      </c>
      <c r="K367" s="10">
        <v>-0.116</v>
      </c>
      <c r="L367" s="11">
        <v>-18351.0</v>
      </c>
      <c r="M367" s="12">
        <v>158198.28</v>
      </c>
      <c r="N367" s="12">
        <v>0.5</v>
      </c>
      <c r="O367" s="12">
        <v>0.0</v>
      </c>
      <c r="P367" s="11">
        <v>0.0</v>
      </c>
    </row>
    <row r="368">
      <c r="A368" s="8" t="s">
        <v>293</v>
      </c>
      <c r="B368" s="8" t="s">
        <v>504</v>
      </c>
      <c r="C368" s="9">
        <v>46128.99998842592</v>
      </c>
      <c r="D368" s="8" t="s">
        <v>505</v>
      </c>
      <c r="E368" s="8" t="s">
        <v>512</v>
      </c>
      <c r="F368" s="8" t="s">
        <v>513</v>
      </c>
      <c r="G368" s="8" t="s">
        <v>156</v>
      </c>
      <c r="H368" s="8" t="s">
        <v>157</v>
      </c>
      <c r="I368" s="10">
        <v>1.675</v>
      </c>
      <c r="J368" s="10">
        <v>1.675</v>
      </c>
      <c r="K368" s="10">
        <v>0.0</v>
      </c>
      <c r="L368" s="11">
        <v>0.0</v>
      </c>
      <c r="M368" s="12">
        <v>0.0</v>
      </c>
      <c r="N368" s="12">
        <v>0.5</v>
      </c>
      <c r="O368" s="12">
        <v>0.0</v>
      </c>
      <c r="P368" s="11">
        <v>0.0</v>
      </c>
    </row>
    <row r="369">
      <c r="A369" s="8" t="s">
        <v>293</v>
      </c>
      <c r="B369" s="8" t="s">
        <v>504</v>
      </c>
      <c r="C369" s="9">
        <v>46128.99998842592</v>
      </c>
      <c r="D369" s="8" t="s">
        <v>505</v>
      </c>
      <c r="E369" s="8" t="s">
        <v>237</v>
      </c>
      <c r="F369" s="8" t="s">
        <v>238</v>
      </c>
      <c r="G369" s="8" t="s">
        <v>156</v>
      </c>
      <c r="H369" s="8" t="s">
        <v>157</v>
      </c>
      <c r="I369" s="10">
        <v>5.66</v>
      </c>
      <c r="J369" s="10">
        <v>5.8</v>
      </c>
      <c r="K369" s="10">
        <v>0.14</v>
      </c>
      <c r="L369" s="11">
        <v>9010.0</v>
      </c>
      <c r="M369" s="12">
        <v>64357.14</v>
      </c>
      <c r="N369" s="12">
        <v>0.5</v>
      </c>
      <c r="O369" s="12">
        <v>0.0</v>
      </c>
      <c r="P369" s="11">
        <v>0.0</v>
      </c>
    </row>
    <row r="370">
      <c r="A370" s="8" t="s">
        <v>293</v>
      </c>
      <c r="B370" s="8" t="s">
        <v>504</v>
      </c>
      <c r="C370" s="9">
        <v>46128.99998842592</v>
      </c>
      <c r="D370" s="8" t="s">
        <v>505</v>
      </c>
      <c r="E370" s="8" t="s">
        <v>239</v>
      </c>
      <c r="F370" s="8" t="s">
        <v>240</v>
      </c>
      <c r="G370" s="8" t="s">
        <v>156</v>
      </c>
      <c r="H370" s="8" t="s">
        <v>157</v>
      </c>
      <c r="I370" s="10">
        <v>17.32</v>
      </c>
      <c r="J370" s="10">
        <v>16.73</v>
      </c>
      <c r="K370" s="10">
        <v>-0.59</v>
      </c>
      <c r="L370" s="11">
        <v>-21008.0</v>
      </c>
      <c r="M370" s="12">
        <v>35606.78</v>
      </c>
      <c r="N370" s="12">
        <v>0.5</v>
      </c>
      <c r="O370" s="12">
        <v>0.08999999999999997</v>
      </c>
      <c r="P370" s="11">
        <v>3204.6101999999987</v>
      </c>
    </row>
    <row r="371">
      <c r="A371" s="8" t="s">
        <v>293</v>
      </c>
      <c r="B371" s="8" t="s">
        <v>504</v>
      </c>
      <c r="C371" s="9">
        <v>46128.99998842592</v>
      </c>
      <c r="D371" s="8" t="s">
        <v>505</v>
      </c>
      <c r="E371" s="8" t="s">
        <v>291</v>
      </c>
      <c r="F371" s="8" t="s">
        <v>292</v>
      </c>
      <c r="G371" s="8" t="s">
        <v>156</v>
      </c>
      <c r="H371" s="8" t="s">
        <v>157</v>
      </c>
      <c r="I371" s="10">
        <v>10.72</v>
      </c>
      <c r="J371" s="10">
        <v>9.6</v>
      </c>
      <c r="K371" s="10">
        <v>-1.12</v>
      </c>
      <c r="L371" s="11">
        <v>-68123.0</v>
      </c>
      <c r="M371" s="12">
        <v>60824.11</v>
      </c>
      <c r="N371" s="12">
        <v>0.5</v>
      </c>
      <c r="O371" s="12">
        <v>0.6200000000000001</v>
      </c>
      <c r="P371" s="11">
        <v>37710.948200000006</v>
      </c>
    </row>
    <row r="372">
      <c r="A372" s="8" t="s">
        <v>293</v>
      </c>
      <c r="B372" s="8" t="s">
        <v>504</v>
      </c>
      <c r="C372" s="9">
        <v>46128.99998842592</v>
      </c>
      <c r="D372" s="8" t="s">
        <v>505</v>
      </c>
      <c r="E372" s="8" t="s">
        <v>243</v>
      </c>
      <c r="F372" s="8" t="s">
        <v>244</v>
      </c>
      <c r="G372" s="8" t="s">
        <v>156</v>
      </c>
      <c r="H372" s="8" t="s">
        <v>157</v>
      </c>
      <c r="I372" s="10">
        <v>6.69</v>
      </c>
      <c r="J372" s="10">
        <v>8.1</v>
      </c>
      <c r="K372" s="10">
        <v>1.41</v>
      </c>
      <c r="L372" s="11">
        <v>78897.0</v>
      </c>
      <c r="M372" s="12">
        <v>55955.32</v>
      </c>
      <c r="N372" s="12">
        <v>0.5</v>
      </c>
      <c r="O372" s="12">
        <v>0.9099999999999999</v>
      </c>
      <c r="P372" s="11">
        <v>50919.341199999995</v>
      </c>
    </row>
    <row r="373">
      <c r="A373" s="8" t="s">
        <v>293</v>
      </c>
      <c r="B373" s="8" t="s">
        <v>504</v>
      </c>
      <c r="C373" s="9">
        <v>46128.99998842592</v>
      </c>
      <c r="D373" s="8" t="s">
        <v>505</v>
      </c>
      <c r="E373" s="8" t="s">
        <v>245</v>
      </c>
      <c r="F373" s="8" t="s">
        <v>246</v>
      </c>
      <c r="G373" s="8" t="s">
        <v>156</v>
      </c>
      <c r="H373" s="8" t="s">
        <v>157</v>
      </c>
      <c r="I373" s="10">
        <v>10.38</v>
      </c>
      <c r="J373" s="10">
        <v>10.1</v>
      </c>
      <c r="K373" s="10">
        <v>-0.28</v>
      </c>
      <c r="L373" s="11">
        <v>-57657.0</v>
      </c>
      <c r="M373" s="12">
        <v>205917.86</v>
      </c>
      <c r="N373" s="12">
        <v>0.5</v>
      </c>
      <c r="O373" s="12">
        <v>0.0</v>
      </c>
      <c r="P373" s="11">
        <v>0.0</v>
      </c>
    </row>
    <row r="374">
      <c r="A374" s="8" t="s">
        <v>293</v>
      </c>
      <c r="B374" s="8" t="s">
        <v>504</v>
      </c>
      <c r="C374" s="9">
        <v>46128.99998842592</v>
      </c>
      <c r="D374" s="8" t="s">
        <v>505</v>
      </c>
      <c r="E374" s="8" t="s">
        <v>259</v>
      </c>
      <c r="F374" s="8" t="s">
        <v>260</v>
      </c>
      <c r="G374" s="8" t="s">
        <v>156</v>
      </c>
      <c r="H374" s="8" t="s">
        <v>157</v>
      </c>
      <c r="I374" s="10">
        <v>0.0</v>
      </c>
      <c r="J374" s="10">
        <v>0.0</v>
      </c>
      <c r="K374" s="10">
        <v>0.0</v>
      </c>
      <c r="L374" s="11">
        <v>0.0</v>
      </c>
      <c r="M374" s="12">
        <v>0.0</v>
      </c>
      <c r="N374" s="12">
        <v>0.5</v>
      </c>
      <c r="O374" s="12">
        <v>0.0</v>
      </c>
      <c r="P374" s="11">
        <v>0.0</v>
      </c>
    </row>
    <row r="375">
      <c r="A375" s="8" t="s">
        <v>293</v>
      </c>
      <c r="B375" s="8" t="s">
        <v>504</v>
      </c>
      <c r="C375" s="9">
        <v>46128.99998842592</v>
      </c>
      <c r="D375" s="8" t="s">
        <v>505</v>
      </c>
      <c r="E375" s="8" t="s">
        <v>249</v>
      </c>
      <c r="F375" s="8" t="s">
        <v>250</v>
      </c>
      <c r="G375" s="8" t="s">
        <v>156</v>
      </c>
      <c r="H375" s="8" t="s">
        <v>157</v>
      </c>
      <c r="I375" s="10">
        <v>10.58928</v>
      </c>
      <c r="J375" s="10">
        <v>10.55</v>
      </c>
      <c r="K375" s="10">
        <v>-0.03928</v>
      </c>
      <c r="L375" s="11">
        <v>-3850.0</v>
      </c>
      <c r="M375" s="12">
        <v>98014.26</v>
      </c>
      <c r="N375" s="12">
        <v>0.5</v>
      </c>
      <c r="O375" s="12">
        <v>0.0</v>
      </c>
      <c r="P375" s="11">
        <v>0.0</v>
      </c>
    </row>
    <row r="376">
      <c r="A376" s="8" t="s">
        <v>293</v>
      </c>
      <c r="B376" s="8" t="s">
        <v>504</v>
      </c>
      <c r="C376" s="9">
        <v>46128.99998842592</v>
      </c>
      <c r="D376" s="8" t="s">
        <v>505</v>
      </c>
      <c r="E376" s="8" t="s">
        <v>261</v>
      </c>
      <c r="F376" s="8" t="s">
        <v>262</v>
      </c>
      <c r="G376" s="8" t="s">
        <v>156</v>
      </c>
      <c r="H376" s="8" t="s">
        <v>157</v>
      </c>
      <c r="I376" s="10">
        <v>2.28</v>
      </c>
      <c r="J376" s="10">
        <v>2.42</v>
      </c>
      <c r="K376" s="10">
        <v>0.14</v>
      </c>
      <c r="L376" s="11">
        <v>36516.0</v>
      </c>
      <c r="M376" s="12">
        <v>260828.57</v>
      </c>
      <c r="N376" s="12">
        <v>0.5</v>
      </c>
      <c r="O376" s="12">
        <v>0.0</v>
      </c>
      <c r="P376" s="11">
        <v>0.0</v>
      </c>
    </row>
    <row r="377">
      <c r="A377" s="8" t="s">
        <v>293</v>
      </c>
      <c r="B377" s="8" t="s">
        <v>504</v>
      </c>
      <c r="C377" s="9">
        <v>46128.99998842592</v>
      </c>
      <c r="D377" s="8" t="s">
        <v>505</v>
      </c>
      <c r="E377" s="8" t="s">
        <v>251</v>
      </c>
      <c r="F377" s="8" t="s">
        <v>252</v>
      </c>
      <c r="G377" s="8" t="s">
        <v>156</v>
      </c>
      <c r="H377" s="8" t="s">
        <v>157</v>
      </c>
      <c r="I377" s="10">
        <v>8.97</v>
      </c>
      <c r="J377" s="10">
        <v>9.43</v>
      </c>
      <c r="K377" s="10">
        <v>0.46</v>
      </c>
      <c r="L377" s="11">
        <v>36240.0</v>
      </c>
      <c r="M377" s="12">
        <v>78782.61</v>
      </c>
      <c r="N377" s="12">
        <v>0.5</v>
      </c>
      <c r="O377" s="12">
        <v>0.0</v>
      </c>
      <c r="P377" s="11">
        <v>0.0</v>
      </c>
    </row>
    <row r="378">
      <c r="A378" s="8" t="s">
        <v>293</v>
      </c>
      <c r="B378" s="8" t="s">
        <v>504</v>
      </c>
      <c r="C378" s="9">
        <v>46128.99998842592</v>
      </c>
      <c r="D378" s="8" t="s">
        <v>505</v>
      </c>
      <c r="E378" s="8" t="s">
        <v>514</v>
      </c>
      <c r="F378" s="8" t="s">
        <v>515</v>
      </c>
      <c r="G378" s="8" t="s">
        <v>156</v>
      </c>
      <c r="H378" s="8" t="s">
        <v>157</v>
      </c>
      <c r="I378" s="10">
        <v>3.64</v>
      </c>
      <c r="J378" s="10">
        <v>3.77</v>
      </c>
      <c r="K378" s="10">
        <v>0.13</v>
      </c>
      <c r="L378" s="11">
        <v>29692.0</v>
      </c>
      <c r="M378" s="12">
        <v>228400.0</v>
      </c>
      <c r="N378" s="12">
        <v>0.5</v>
      </c>
      <c r="O378" s="12">
        <v>0.0</v>
      </c>
      <c r="P378" s="11">
        <v>0.0</v>
      </c>
    </row>
    <row r="379">
      <c r="A379" s="8" t="s">
        <v>293</v>
      </c>
      <c r="B379" s="8" t="s">
        <v>504</v>
      </c>
      <c r="C379" s="9">
        <v>46128.99998842592</v>
      </c>
      <c r="D379" s="8" t="s">
        <v>505</v>
      </c>
      <c r="E379" s="8" t="s">
        <v>516</v>
      </c>
      <c r="F379" s="8" t="s">
        <v>517</v>
      </c>
      <c r="G379" s="8" t="s">
        <v>156</v>
      </c>
      <c r="H379" s="8" t="s">
        <v>157</v>
      </c>
      <c r="I379" s="10">
        <v>0.83</v>
      </c>
      <c r="J379" s="10">
        <v>0.73</v>
      </c>
      <c r="K379" s="10">
        <v>-0.1</v>
      </c>
      <c r="L379" s="11">
        <v>-32811.0</v>
      </c>
      <c r="M379" s="12">
        <v>328110.0</v>
      </c>
      <c r="N379" s="12">
        <v>0.5</v>
      </c>
      <c r="O379" s="12">
        <v>0.0</v>
      </c>
      <c r="P379" s="11">
        <v>0.0</v>
      </c>
    </row>
    <row r="380">
      <c r="A380" s="8" t="s">
        <v>293</v>
      </c>
      <c r="B380" s="8" t="s">
        <v>504</v>
      </c>
      <c r="C380" s="9">
        <v>46128.99998842592</v>
      </c>
      <c r="D380" s="8" t="s">
        <v>505</v>
      </c>
      <c r="E380" s="8" t="s">
        <v>263</v>
      </c>
      <c r="F380" s="8" t="s">
        <v>264</v>
      </c>
      <c r="G380" s="8" t="s">
        <v>156</v>
      </c>
      <c r="H380" s="8" t="s">
        <v>157</v>
      </c>
      <c r="I380" s="10">
        <v>2.15</v>
      </c>
      <c r="J380" s="10">
        <v>2.15</v>
      </c>
      <c r="K380" s="10">
        <v>0.0</v>
      </c>
      <c r="L380" s="11">
        <v>0.0</v>
      </c>
      <c r="M380" s="12">
        <v>0.0</v>
      </c>
      <c r="N380" s="12">
        <v>0.5</v>
      </c>
      <c r="O380" s="12">
        <v>0.0</v>
      </c>
      <c r="P380" s="11">
        <v>0.0</v>
      </c>
    </row>
    <row r="381">
      <c r="A381" s="8" t="s">
        <v>293</v>
      </c>
      <c r="B381" s="8" t="s">
        <v>504</v>
      </c>
      <c r="C381" s="9">
        <v>46128.99998842592</v>
      </c>
      <c r="D381" s="8" t="s">
        <v>505</v>
      </c>
      <c r="E381" s="8" t="s">
        <v>265</v>
      </c>
      <c r="F381" s="8" t="s">
        <v>266</v>
      </c>
      <c r="G381" s="8" t="s">
        <v>156</v>
      </c>
      <c r="H381" s="8" t="s">
        <v>157</v>
      </c>
      <c r="I381" s="10">
        <v>35.38</v>
      </c>
      <c r="J381" s="10">
        <v>35.38</v>
      </c>
      <c r="K381" s="10">
        <v>0.0</v>
      </c>
      <c r="L381" s="11">
        <v>0.0</v>
      </c>
      <c r="M381" s="12">
        <v>0.0</v>
      </c>
      <c r="N381" s="12">
        <v>0.5</v>
      </c>
      <c r="O381" s="12">
        <v>0.0</v>
      </c>
      <c r="P381" s="11">
        <v>0.0</v>
      </c>
    </row>
    <row r="382">
      <c r="A382" s="8" t="s">
        <v>293</v>
      </c>
      <c r="B382" s="8" t="s">
        <v>504</v>
      </c>
      <c r="C382" s="9">
        <v>46128.99998842592</v>
      </c>
      <c r="D382" s="8" t="s">
        <v>505</v>
      </c>
      <c r="E382" s="8" t="s">
        <v>518</v>
      </c>
      <c r="F382" s="8" t="s">
        <v>519</v>
      </c>
      <c r="G382" s="8" t="s">
        <v>156</v>
      </c>
      <c r="H382" s="8" t="s">
        <v>157</v>
      </c>
      <c r="I382" s="10">
        <v>23.82</v>
      </c>
      <c r="J382" s="10">
        <v>23.97</v>
      </c>
      <c r="K382" s="10">
        <v>0.15</v>
      </c>
      <c r="L382" s="11">
        <v>6391.0</v>
      </c>
      <c r="M382" s="12">
        <v>42606.67</v>
      </c>
      <c r="N382" s="12">
        <v>0.5</v>
      </c>
      <c r="O382" s="12">
        <v>0.0</v>
      </c>
      <c r="P382" s="11">
        <v>0.0</v>
      </c>
    </row>
    <row r="383">
      <c r="A383" s="8" t="s">
        <v>293</v>
      </c>
      <c r="B383" s="8" t="s">
        <v>504</v>
      </c>
      <c r="C383" s="9">
        <v>46128.99998842592</v>
      </c>
      <c r="D383" s="8" t="s">
        <v>505</v>
      </c>
      <c r="E383" s="8" t="s">
        <v>283</v>
      </c>
      <c r="F383" s="8" t="s">
        <v>284</v>
      </c>
      <c r="G383" s="8" t="s">
        <v>22</v>
      </c>
      <c r="H383" s="8" t="s">
        <v>23</v>
      </c>
      <c r="I383" s="10">
        <v>0.0</v>
      </c>
      <c r="J383" s="10">
        <v>0.0</v>
      </c>
      <c r="K383" s="10">
        <v>0.0</v>
      </c>
      <c r="L383" s="11">
        <v>0.0</v>
      </c>
      <c r="M383" s="12">
        <v>0.0</v>
      </c>
      <c r="N383" s="12">
        <v>0.5</v>
      </c>
      <c r="O383" s="12">
        <v>0.0</v>
      </c>
      <c r="P383" s="11">
        <v>0.0</v>
      </c>
    </row>
    <row r="384">
      <c r="A384" s="8" t="s">
        <v>293</v>
      </c>
      <c r="B384" s="8" t="s">
        <v>504</v>
      </c>
      <c r="C384" s="9">
        <v>46128.99998842592</v>
      </c>
      <c r="D384" s="8" t="s">
        <v>505</v>
      </c>
      <c r="E384" s="8" t="s">
        <v>269</v>
      </c>
      <c r="F384" s="8" t="s">
        <v>270</v>
      </c>
      <c r="G384" s="8" t="s">
        <v>22</v>
      </c>
      <c r="H384" s="8" t="s">
        <v>23</v>
      </c>
      <c r="I384" s="10">
        <v>0.0</v>
      </c>
      <c r="J384" s="10">
        <v>0.0</v>
      </c>
      <c r="K384" s="10">
        <v>0.0</v>
      </c>
      <c r="L384" s="11">
        <v>0.0</v>
      </c>
      <c r="M384" s="12">
        <v>0.0</v>
      </c>
      <c r="N384" s="12">
        <v>0.5</v>
      </c>
      <c r="O384" s="12">
        <v>0.0</v>
      </c>
      <c r="P384" s="11">
        <v>0.0</v>
      </c>
    </row>
    <row r="385">
      <c r="A385" s="8" t="s">
        <v>293</v>
      </c>
      <c r="B385" s="8" t="s">
        <v>504</v>
      </c>
      <c r="C385" s="9">
        <v>46128.99998842592</v>
      </c>
      <c r="D385" s="8" t="s">
        <v>505</v>
      </c>
      <c r="E385" s="8" t="s">
        <v>271</v>
      </c>
      <c r="F385" s="8" t="s">
        <v>272</v>
      </c>
      <c r="G385" s="8" t="s">
        <v>156</v>
      </c>
      <c r="H385" s="8" t="s">
        <v>157</v>
      </c>
      <c r="I385" s="10">
        <v>4.74928</v>
      </c>
      <c r="J385" s="10">
        <v>4.55</v>
      </c>
      <c r="K385" s="10">
        <v>-0.19928</v>
      </c>
      <c r="L385" s="11">
        <v>-19131.0</v>
      </c>
      <c r="M385" s="12">
        <v>96000.6</v>
      </c>
      <c r="N385" s="12">
        <v>0.5</v>
      </c>
      <c r="O385" s="12">
        <v>0.0</v>
      </c>
      <c r="P385" s="11">
        <v>0.0</v>
      </c>
    </row>
    <row r="386">
      <c r="A386" s="8" t="s">
        <v>293</v>
      </c>
      <c r="B386" s="8" t="s">
        <v>504</v>
      </c>
      <c r="C386" s="9">
        <v>46128.99998842592</v>
      </c>
      <c r="D386" s="8" t="s">
        <v>505</v>
      </c>
      <c r="E386" s="8" t="s">
        <v>520</v>
      </c>
      <c r="F386" s="8" t="s">
        <v>521</v>
      </c>
      <c r="G386" s="8" t="s">
        <v>156</v>
      </c>
      <c r="H386" s="8" t="s">
        <v>157</v>
      </c>
      <c r="I386" s="10">
        <v>4.59</v>
      </c>
      <c r="J386" s="10">
        <v>4.6</v>
      </c>
      <c r="K386" s="10">
        <v>0.01</v>
      </c>
      <c r="L386" s="11">
        <v>358.0</v>
      </c>
      <c r="M386" s="12">
        <v>35800.0</v>
      </c>
      <c r="N386" s="12">
        <v>0.5</v>
      </c>
      <c r="O386" s="12">
        <v>0.0</v>
      </c>
      <c r="P386" s="11">
        <v>0.0</v>
      </c>
    </row>
    <row r="387">
      <c r="A387" s="8" t="s">
        <v>293</v>
      </c>
      <c r="B387" s="8" t="s">
        <v>504</v>
      </c>
      <c r="C387" s="9">
        <v>46128.99998842592</v>
      </c>
      <c r="D387" s="8" t="s">
        <v>505</v>
      </c>
      <c r="E387" s="8" t="s">
        <v>277</v>
      </c>
      <c r="F387" s="8" t="s">
        <v>278</v>
      </c>
      <c r="G387" s="8" t="s">
        <v>156</v>
      </c>
      <c r="H387" s="8" t="s">
        <v>157</v>
      </c>
      <c r="I387" s="10">
        <v>4.24</v>
      </c>
      <c r="J387" s="10">
        <v>4.19</v>
      </c>
      <c r="K387" s="10">
        <v>-0.05</v>
      </c>
      <c r="L387" s="11">
        <v>-13085.0</v>
      </c>
      <c r="M387" s="12">
        <v>261700.0</v>
      </c>
      <c r="N387" s="12">
        <v>0.5</v>
      </c>
      <c r="O387" s="12">
        <v>0.0</v>
      </c>
      <c r="P387" s="11">
        <v>0.0</v>
      </c>
    </row>
    <row r="388">
      <c r="A388" s="8" t="s">
        <v>293</v>
      </c>
      <c r="B388" s="8" t="s">
        <v>504</v>
      </c>
      <c r="C388" s="9">
        <v>46128.99998842592</v>
      </c>
      <c r="D388" s="8" t="s">
        <v>505</v>
      </c>
      <c r="E388" s="8" t="s">
        <v>522</v>
      </c>
      <c r="F388" s="8" t="s">
        <v>523</v>
      </c>
      <c r="G388" s="8" t="s">
        <v>156</v>
      </c>
      <c r="H388" s="8" t="s">
        <v>157</v>
      </c>
      <c r="I388" s="10">
        <v>0.67</v>
      </c>
      <c r="J388" s="10">
        <v>0.16</v>
      </c>
      <c r="K388" s="10">
        <v>-0.51</v>
      </c>
      <c r="L388" s="11">
        <v>-89952.0</v>
      </c>
      <c r="M388" s="12">
        <v>176376.47</v>
      </c>
      <c r="N388" s="12">
        <v>0.5</v>
      </c>
      <c r="O388" s="12">
        <v>0.010000000000000009</v>
      </c>
      <c r="P388" s="11">
        <v>1763.7647000000015</v>
      </c>
    </row>
    <row r="389">
      <c r="A389" s="8" t="s">
        <v>293</v>
      </c>
      <c r="B389" s="8" t="s">
        <v>504</v>
      </c>
      <c r="C389" s="9">
        <v>46128.99998842592</v>
      </c>
      <c r="D389" s="8" t="s">
        <v>505</v>
      </c>
      <c r="E389" s="8" t="s">
        <v>524</v>
      </c>
      <c r="F389" s="8" t="s">
        <v>525</v>
      </c>
      <c r="G389" s="8" t="s">
        <v>22</v>
      </c>
      <c r="H389" s="8" t="s">
        <v>23</v>
      </c>
      <c r="I389" s="10">
        <v>7.65</v>
      </c>
      <c r="J389" s="10">
        <v>7.6</v>
      </c>
      <c r="K389" s="10">
        <v>-0.05</v>
      </c>
      <c r="L389" s="11">
        <v>-39007.0</v>
      </c>
      <c r="M389" s="12">
        <v>780140.0</v>
      </c>
      <c r="N389" s="12">
        <v>0.5</v>
      </c>
      <c r="O389" s="12">
        <v>0.0</v>
      </c>
      <c r="P389" s="11">
        <v>0.0</v>
      </c>
    </row>
    <row r="390">
      <c r="A390" s="8" t="s">
        <v>293</v>
      </c>
      <c r="B390" s="8" t="s">
        <v>504</v>
      </c>
      <c r="C390" s="9">
        <v>46128.99998842592</v>
      </c>
      <c r="D390" s="8" t="s">
        <v>505</v>
      </c>
      <c r="E390" s="8" t="s">
        <v>275</v>
      </c>
      <c r="F390" s="8" t="s">
        <v>276</v>
      </c>
      <c r="G390" s="8" t="s">
        <v>156</v>
      </c>
      <c r="H390" s="8" t="s">
        <v>157</v>
      </c>
      <c r="I390" s="10">
        <v>-0.84</v>
      </c>
      <c r="J390" s="10">
        <v>1.0</v>
      </c>
      <c r="K390" s="10">
        <v>1.84</v>
      </c>
      <c r="L390" s="11">
        <v>8556.0</v>
      </c>
      <c r="M390" s="12">
        <v>4650.0</v>
      </c>
      <c r="N390" s="12">
        <v>0.5</v>
      </c>
      <c r="O390" s="12">
        <v>1.34</v>
      </c>
      <c r="P390" s="11">
        <v>6231.0</v>
      </c>
    </row>
    <row r="391">
      <c r="A391" s="8" t="s">
        <v>293</v>
      </c>
      <c r="B391" s="8" t="s">
        <v>504</v>
      </c>
      <c r="C391" s="9">
        <v>46128.99998842592</v>
      </c>
      <c r="D391" s="8" t="s">
        <v>505</v>
      </c>
      <c r="E391" s="8" t="s">
        <v>289</v>
      </c>
      <c r="F391" s="8" t="s">
        <v>290</v>
      </c>
      <c r="G391" s="8" t="s">
        <v>22</v>
      </c>
      <c r="H391" s="8" t="s">
        <v>23</v>
      </c>
      <c r="I391" s="10">
        <v>0.09919</v>
      </c>
      <c r="J391" s="10">
        <v>0.1</v>
      </c>
      <c r="K391" s="10">
        <v>8.1E-4</v>
      </c>
      <c r="L391" s="11">
        <v>0.0</v>
      </c>
      <c r="M391" s="12">
        <v>0.0</v>
      </c>
      <c r="N391" s="12">
        <v>0.5</v>
      </c>
      <c r="O391" s="12">
        <v>0.0</v>
      </c>
      <c r="P391" s="11">
        <v>0.0</v>
      </c>
    </row>
    <row r="392">
      <c r="A392" s="8" t="s">
        <v>293</v>
      </c>
      <c r="B392" s="8" t="s">
        <v>504</v>
      </c>
      <c r="C392" s="9">
        <v>46128.99998842592</v>
      </c>
      <c r="D392" s="8" t="s">
        <v>505</v>
      </c>
      <c r="E392" s="8" t="s">
        <v>526</v>
      </c>
      <c r="F392" s="8" t="s">
        <v>527</v>
      </c>
      <c r="G392" s="8" t="s">
        <v>156</v>
      </c>
      <c r="H392" s="8" t="s">
        <v>157</v>
      </c>
      <c r="I392" s="10">
        <v>3.28</v>
      </c>
      <c r="J392" s="10">
        <v>3.28</v>
      </c>
      <c r="K392" s="10">
        <v>0.0</v>
      </c>
      <c r="L392" s="11">
        <v>0.0</v>
      </c>
      <c r="M392" s="12">
        <v>0.0</v>
      </c>
      <c r="N392" s="12">
        <v>0.5</v>
      </c>
      <c r="O392" s="12">
        <v>0.0</v>
      </c>
      <c r="P392" s="11">
        <v>0.0</v>
      </c>
    </row>
    <row r="393">
      <c r="A393" s="8" t="s">
        <v>293</v>
      </c>
      <c r="B393" s="8" t="s">
        <v>504</v>
      </c>
      <c r="C393" s="9">
        <v>46128.99998842592</v>
      </c>
      <c r="D393" s="8" t="s">
        <v>505</v>
      </c>
      <c r="E393" s="8" t="s">
        <v>273</v>
      </c>
      <c r="F393" s="8" t="s">
        <v>274</v>
      </c>
      <c r="G393" s="8" t="s">
        <v>156</v>
      </c>
      <c r="H393" s="8" t="s">
        <v>157</v>
      </c>
      <c r="I393" s="10">
        <v>-0.01072</v>
      </c>
      <c r="J393" s="10">
        <v>0.0</v>
      </c>
      <c r="K393" s="10">
        <v>0.01072</v>
      </c>
      <c r="L393" s="11">
        <v>0.0</v>
      </c>
      <c r="M393" s="12">
        <v>0.0</v>
      </c>
      <c r="N393" s="12">
        <v>0.5</v>
      </c>
      <c r="O393" s="12">
        <v>0.0</v>
      </c>
      <c r="P393" s="11">
        <v>0.0</v>
      </c>
    </row>
    <row r="394">
      <c r="A394" s="8" t="s">
        <v>293</v>
      </c>
      <c r="B394" s="8" t="s">
        <v>504</v>
      </c>
      <c r="C394" s="9">
        <v>46128.99998842592</v>
      </c>
      <c r="D394" s="8" t="s">
        <v>505</v>
      </c>
      <c r="E394" s="8" t="s">
        <v>247</v>
      </c>
      <c r="F394" s="8" t="s">
        <v>248</v>
      </c>
      <c r="G394" s="8" t="s">
        <v>156</v>
      </c>
      <c r="H394" s="8" t="s">
        <v>157</v>
      </c>
      <c r="I394" s="10">
        <v>0.98928</v>
      </c>
      <c r="J394" s="10">
        <v>1.0</v>
      </c>
      <c r="K394" s="10">
        <v>0.01072</v>
      </c>
      <c r="L394" s="11">
        <v>1440.0</v>
      </c>
      <c r="M394" s="12">
        <v>134328.36</v>
      </c>
      <c r="N394" s="12">
        <v>0.5</v>
      </c>
      <c r="O394" s="12">
        <v>0.0</v>
      </c>
      <c r="P394" s="11">
        <v>0.0</v>
      </c>
    </row>
    <row r="395">
      <c r="A395" s="8" t="s">
        <v>293</v>
      </c>
      <c r="B395" s="8" t="s">
        <v>504</v>
      </c>
      <c r="C395" s="9">
        <v>46128.99998842592</v>
      </c>
      <c r="D395" s="8" t="s">
        <v>505</v>
      </c>
      <c r="E395" s="8" t="s">
        <v>281</v>
      </c>
      <c r="F395" s="8" t="s">
        <v>282</v>
      </c>
      <c r="G395" s="8" t="s">
        <v>156</v>
      </c>
      <c r="H395" s="8" t="s">
        <v>157</v>
      </c>
      <c r="I395" s="10">
        <v>-0.01072</v>
      </c>
      <c r="J395" s="10">
        <v>0.0</v>
      </c>
      <c r="K395" s="10">
        <v>0.01072</v>
      </c>
      <c r="L395" s="11">
        <v>0.0</v>
      </c>
      <c r="M395" s="12">
        <v>0.0</v>
      </c>
      <c r="N395" s="12">
        <v>0.5</v>
      </c>
      <c r="O395" s="12">
        <v>0.0</v>
      </c>
      <c r="P395" s="11">
        <v>0.0</v>
      </c>
    </row>
    <row r="396">
      <c r="A396" s="8" t="s">
        <v>293</v>
      </c>
      <c r="B396" s="8" t="s">
        <v>528</v>
      </c>
      <c r="C396" s="9">
        <v>46129.99998842592</v>
      </c>
      <c r="D396" s="8" t="s">
        <v>529</v>
      </c>
      <c r="E396" s="8" t="s">
        <v>253</v>
      </c>
      <c r="F396" s="8" t="s">
        <v>254</v>
      </c>
      <c r="G396" s="8" t="s">
        <v>22</v>
      </c>
      <c r="H396" s="8" t="s">
        <v>23</v>
      </c>
      <c r="I396" s="10">
        <v>18.16</v>
      </c>
      <c r="J396" s="10">
        <v>18.718458</v>
      </c>
      <c r="K396" s="10">
        <v>0.558458</v>
      </c>
      <c r="L396" s="11">
        <v>15357.0</v>
      </c>
      <c r="M396" s="12">
        <v>27498.93</v>
      </c>
      <c r="N396" s="12">
        <v>0.5</v>
      </c>
      <c r="O396" s="12">
        <v>0.05845800000000001</v>
      </c>
      <c r="P396" s="11">
        <v>1607.5324499400003</v>
      </c>
    </row>
    <row r="397">
      <c r="A397" s="8" t="s">
        <v>293</v>
      </c>
      <c r="B397" s="8" t="s">
        <v>528</v>
      </c>
      <c r="C397" s="9">
        <v>46129.99998842592</v>
      </c>
      <c r="D397" s="8" t="s">
        <v>529</v>
      </c>
      <c r="E397" s="8" t="s">
        <v>255</v>
      </c>
      <c r="F397" s="8" t="s">
        <v>256</v>
      </c>
      <c r="G397" s="8" t="s">
        <v>22</v>
      </c>
      <c r="H397" s="8" t="s">
        <v>23</v>
      </c>
      <c r="I397" s="10">
        <v>22.15</v>
      </c>
      <c r="J397" s="10">
        <v>20.308</v>
      </c>
      <c r="K397" s="10">
        <v>-1.842</v>
      </c>
      <c r="L397" s="11">
        <v>-73663.0</v>
      </c>
      <c r="M397" s="12">
        <v>39990.77</v>
      </c>
      <c r="N397" s="12">
        <v>0.5</v>
      </c>
      <c r="O397" s="12">
        <v>1.342</v>
      </c>
      <c r="P397" s="11">
        <v>53667.613339999996</v>
      </c>
    </row>
    <row r="398">
      <c r="A398" s="8" t="s">
        <v>530</v>
      </c>
      <c r="B398" s="8" t="s">
        <v>531</v>
      </c>
      <c r="C398" s="9">
        <v>46132.780486111114</v>
      </c>
      <c r="D398" s="8" t="s">
        <v>532</v>
      </c>
      <c r="E398" s="8" t="s">
        <v>533</v>
      </c>
      <c r="F398" s="8" t="s">
        <v>534</v>
      </c>
      <c r="G398" s="8" t="s">
        <v>156</v>
      </c>
      <c r="H398" s="8" t="s">
        <v>157</v>
      </c>
      <c r="I398" s="10">
        <v>7.06</v>
      </c>
      <c r="J398" s="10">
        <v>8.05</v>
      </c>
      <c r="K398" s="10">
        <v>0.99</v>
      </c>
      <c r="L398" s="11">
        <v>374978.0</v>
      </c>
      <c r="M398" s="12">
        <v>378765.66</v>
      </c>
      <c r="N398" s="12">
        <v>0.3</v>
      </c>
      <c r="O398" s="12">
        <v>0.69</v>
      </c>
      <c r="P398" s="11">
        <v>261348.30539999995</v>
      </c>
    </row>
    <row r="399">
      <c r="A399" s="8" t="s">
        <v>530</v>
      </c>
      <c r="B399" s="8" t="s">
        <v>531</v>
      </c>
      <c r="C399" s="9">
        <v>46132.780486111114</v>
      </c>
      <c r="D399" s="8" t="s">
        <v>532</v>
      </c>
      <c r="E399" s="8" t="s">
        <v>535</v>
      </c>
      <c r="F399" s="8" t="s">
        <v>536</v>
      </c>
      <c r="G399" s="8" t="s">
        <v>156</v>
      </c>
      <c r="H399" s="8" t="s">
        <v>157</v>
      </c>
      <c r="I399" s="10">
        <v>6.41</v>
      </c>
      <c r="J399" s="10">
        <v>6.35</v>
      </c>
      <c r="K399" s="10">
        <v>-0.06</v>
      </c>
      <c r="L399" s="11">
        <v>-37479.0</v>
      </c>
      <c r="M399" s="12">
        <v>624650.0</v>
      </c>
      <c r="N399" s="12">
        <v>0.3</v>
      </c>
      <c r="O399" s="12">
        <v>0.0</v>
      </c>
      <c r="P399" s="11">
        <v>0.0</v>
      </c>
    </row>
    <row r="400">
      <c r="A400" s="8" t="s">
        <v>530</v>
      </c>
      <c r="B400" s="8" t="s">
        <v>531</v>
      </c>
      <c r="C400" s="9">
        <v>46132.780486111114</v>
      </c>
      <c r="D400" s="8" t="s">
        <v>532</v>
      </c>
      <c r="E400" s="8" t="s">
        <v>537</v>
      </c>
      <c r="F400" s="8" t="s">
        <v>538</v>
      </c>
      <c r="G400" s="8" t="s">
        <v>156</v>
      </c>
      <c r="H400" s="8" t="s">
        <v>157</v>
      </c>
      <c r="I400" s="10">
        <v>6.99</v>
      </c>
      <c r="J400" s="10">
        <v>7.0</v>
      </c>
      <c r="K400" s="10">
        <v>0.01</v>
      </c>
      <c r="L400" s="11">
        <v>4267.0</v>
      </c>
      <c r="M400" s="12">
        <v>426700.0</v>
      </c>
      <c r="N400" s="12">
        <v>0.3</v>
      </c>
      <c r="O400" s="12">
        <v>0.0</v>
      </c>
      <c r="P400" s="11">
        <v>0.0</v>
      </c>
    </row>
    <row r="401">
      <c r="A401" s="8" t="s">
        <v>530</v>
      </c>
      <c r="B401" s="8" t="s">
        <v>531</v>
      </c>
      <c r="C401" s="9">
        <v>46132.780486111114</v>
      </c>
      <c r="D401" s="8" t="s">
        <v>532</v>
      </c>
      <c r="E401" s="8" t="s">
        <v>539</v>
      </c>
      <c r="F401" s="8" t="s">
        <v>540</v>
      </c>
      <c r="G401" s="8" t="s">
        <v>156</v>
      </c>
      <c r="H401" s="8" t="s">
        <v>157</v>
      </c>
      <c r="I401" s="10">
        <v>5.14</v>
      </c>
      <c r="J401" s="10">
        <v>5.2</v>
      </c>
      <c r="K401" s="10">
        <v>0.06</v>
      </c>
      <c r="L401" s="11">
        <v>26543.0</v>
      </c>
      <c r="M401" s="12">
        <v>442383.33</v>
      </c>
      <c r="N401" s="12">
        <v>0.3</v>
      </c>
      <c r="O401" s="12">
        <v>0.0</v>
      </c>
      <c r="P401" s="11">
        <v>0.0</v>
      </c>
    </row>
    <row r="402">
      <c r="A402" s="8" t="s">
        <v>530</v>
      </c>
      <c r="B402" s="8" t="s">
        <v>531</v>
      </c>
      <c r="C402" s="9">
        <v>46132.780486111114</v>
      </c>
      <c r="D402" s="8" t="s">
        <v>532</v>
      </c>
      <c r="E402" s="8" t="s">
        <v>283</v>
      </c>
      <c r="F402" s="8" t="s">
        <v>284</v>
      </c>
      <c r="G402" s="8" t="s">
        <v>22</v>
      </c>
      <c r="H402" s="8" t="s">
        <v>23</v>
      </c>
      <c r="I402" s="10">
        <v>0.0</v>
      </c>
      <c r="J402" s="10">
        <v>0.0</v>
      </c>
      <c r="K402" s="10">
        <v>0.0</v>
      </c>
      <c r="L402" s="11">
        <v>0.0</v>
      </c>
      <c r="M402" s="12">
        <v>0.0</v>
      </c>
      <c r="N402" s="12">
        <v>0.3</v>
      </c>
      <c r="O402" s="12">
        <v>0.0</v>
      </c>
      <c r="P402" s="11">
        <v>0.0</v>
      </c>
    </row>
    <row r="403">
      <c r="A403" s="8" t="s">
        <v>530</v>
      </c>
      <c r="B403" s="8" t="s">
        <v>531</v>
      </c>
      <c r="C403" s="9">
        <v>46132.780486111114</v>
      </c>
      <c r="D403" s="8" t="s">
        <v>532</v>
      </c>
      <c r="E403" s="8" t="s">
        <v>518</v>
      </c>
      <c r="F403" s="8" t="s">
        <v>519</v>
      </c>
      <c r="G403" s="8" t="s">
        <v>156</v>
      </c>
      <c r="H403" s="8" t="s">
        <v>157</v>
      </c>
      <c r="I403" s="10">
        <v>9.04</v>
      </c>
      <c r="J403" s="10">
        <v>10.05</v>
      </c>
      <c r="K403" s="10">
        <v>1.01</v>
      </c>
      <c r="L403" s="11">
        <v>47022.0</v>
      </c>
      <c r="M403" s="12">
        <v>46556.44</v>
      </c>
      <c r="N403" s="12">
        <v>0.3</v>
      </c>
      <c r="O403" s="12">
        <v>0.71</v>
      </c>
      <c r="P403" s="11">
        <v>33055.0724</v>
      </c>
    </row>
    <row r="404">
      <c r="A404" s="8" t="s">
        <v>530</v>
      </c>
      <c r="B404" s="8" t="s">
        <v>531</v>
      </c>
      <c r="C404" s="9">
        <v>46132.780486111114</v>
      </c>
      <c r="D404" s="8" t="s">
        <v>532</v>
      </c>
      <c r="E404" s="8" t="s">
        <v>541</v>
      </c>
      <c r="F404" s="8" t="s">
        <v>542</v>
      </c>
      <c r="G404" s="8" t="s">
        <v>156</v>
      </c>
      <c r="H404" s="8" t="s">
        <v>157</v>
      </c>
      <c r="I404" s="10">
        <v>2.63</v>
      </c>
      <c r="J404" s="10">
        <v>2.8</v>
      </c>
      <c r="K404" s="10">
        <v>0.17</v>
      </c>
      <c r="L404" s="11">
        <v>9059.0</v>
      </c>
      <c r="M404" s="12">
        <v>53288.24</v>
      </c>
      <c r="N404" s="12">
        <v>0.3</v>
      </c>
      <c r="O404" s="12">
        <v>0.0</v>
      </c>
      <c r="P404" s="11">
        <v>0.0</v>
      </c>
    </row>
    <row r="405">
      <c r="A405" s="8" t="s">
        <v>530</v>
      </c>
      <c r="B405" s="8" t="s">
        <v>531</v>
      </c>
      <c r="C405" s="9">
        <v>46132.780486111114</v>
      </c>
      <c r="D405" s="8" t="s">
        <v>532</v>
      </c>
      <c r="E405" s="8" t="s">
        <v>543</v>
      </c>
      <c r="F405" s="8" t="s">
        <v>544</v>
      </c>
      <c r="G405" s="8" t="s">
        <v>156</v>
      </c>
      <c r="H405" s="8" t="s">
        <v>157</v>
      </c>
      <c r="I405" s="10">
        <v>0.0</v>
      </c>
      <c r="J405" s="10">
        <v>0.0</v>
      </c>
      <c r="K405" s="10">
        <v>0.0</v>
      </c>
      <c r="L405" s="11">
        <v>0.0</v>
      </c>
      <c r="M405" s="12">
        <v>0.0</v>
      </c>
      <c r="N405" s="12">
        <v>0.3</v>
      </c>
      <c r="O405" s="12">
        <v>0.0</v>
      </c>
      <c r="P405" s="11">
        <v>0.0</v>
      </c>
    </row>
    <row r="406">
      <c r="A406" s="8" t="s">
        <v>530</v>
      </c>
      <c r="B406" s="8" t="s">
        <v>531</v>
      </c>
      <c r="C406" s="9">
        <v>46132.780486111114</v>
      </c>
      <c r="D406" s="8" t="s">
        <v>532</v>
      </c>
      <c r="E406" s="8" t="s">
        <v>545</v>
      </c>
      <c r="F406" s="8" t="s">
        <v>546</v>
      </c>
      <c r="G406" s="8" t="s">
        <v>156</v>
      </c>
      <c r="H406" s="8" t="s">
        <v>157</v>
      </c>
      <c r="I406" s="10">
        <v>4.07</v>
      </c>
      <c r="J406" s="10">
        <v>4.3</v>
      </c>
      <c r="K406" s="10">
        <v>0.23</v>
      </c>
      <c r="L406" s="11">
        <v>115301.0</v>
      </c>
      <c r="M406" s="12">
        <v>501308.7</v>
      </c>
      <c r="N406" s="12">
        <v>0.3</v>
      </c>
      <c r="O406" s="12">
        <v>0.0</v>
      </c>
      <c r="P406" s="11">
        <v>0.0</v>
      </c>
    </row>
    <row r="407">
      <c r="A407" s="8" t="s">
        <v>530</v>
      </c>
      <c r="B407" s="8" t="s">
        <v>531</v>
      </c>
      <c r="C407" s="9">
        <v>46132.780486111114</v>
      </c>
      <c r="D407" s="8" t="s">
        <v>532</v>
      </c>
      <c r="E407" s="8" t="s">
        <v>265</v>
      </c>
      <c r="F407" s="8" t="s">
        <v>266</v>
      </c>
      <c r="G407" s="8" t="s">
        <v>156</v>
      </c>
      <c r="H407" s="8" t="s">
        <v>157</v>
      </c>
      <c r="I407" s="10">
        <v>14.4</v>
      </c>
      <c r="J407" s="10">
        <v>15.2</v>
      </c>
      <c r="K407" s="10">
        <v>0.8</v>
      </c>
      <c r="L407" s="11">
        <v>33805.0</v>
      </c>
      <c r="M407" s="12">
        <v>42256.25</v>
      </c>
      <c r="N407" s="12">
        <v>0.3</v>
      </c>
      <c r="O407" s="12">
        <v>0.5</v>
      </c>
      <c r="P407" s="11">
        <v>21128.125</v>
      </c>
    </row>
    <row r="408">
      <c r="A408" s="8" t="s">
        <v>530</v>
      </c>
      <c r="B408" s="8" t="s">
        <v>531</v>
      </c>
      <c r="C408" s="9">
        <v>46132.780486111114</v>
      </c>
      <c r="D408" s="8" t="s">
        <v>532</v>
      </c>
      <c r="E408" s="8" t="s">
        <v>547</v>
      </c>
      <c r="F408" s="8" t="s">
        <v>548</v>
      </c>
      <c r="G408" s="8" t="s">
        <v>156</v>
      </c>
      <c r="H408" s="8" t="s">
        <v>157</v>
      </c>
      <c r="I408" s="10">
        <v>7.44</v>
      </c>
      <c r="J408" s="10">
        <v>7.8</v>
      </c>
      <c r="K408" s="10">
        <v>0.36</v>
      </c>
      <c r="L408" s="11">
        <v>164193.0</v>
      </c>
      <c r="M408" s="12">
        <v>456091.67</v>
      </c>
      <c r="N408" s="12">
        <v>0.3</v>
      </c>
      <c r="O408" s="12">
        <v>0.06</v>
      </c>
      <c r="P408" s="11">
        <v>27365.5002</v>
      </c>
    </row>
    <row r="409">
      <c r="A409" s="8" t="s">
        <v>530</v>
      </c>
      <c r="B409" s="8" t="s">
        <v>531</v>
      </c>
      <c r="C409" s="9">
        <v>46132.780486111114</v>
      </c>
      <c r="D409" s="8" t="s">
        <v>532</v>
      </c>
      <c r="E409" s="8" t="s">
        <v>253</v>
      </c>
      <c r="F409" s="8" t="s">
        <v>254</v>
      </c>
      <c r="G409" s="8" t="s">
        <v>549</v>
      </c>
      <c r="H409" s="8" t="s">
        <v>550</v>
      </c>
      <c r="I409" s="10">
        <v>2.55</v>
      </c>
      <c r="J409" s="10">
        <v>2.5</v>
      </c>
      <c r="K409" s="10">
        <v>-0.05</v>
      </c>
      <c r="L409" s="11">
        <v>-2750.0</v>
      </c>
      <c r="M409" s="12">
        <v>55000.0</v>
      </c>
      <c r="N409" s="12">
        <v>0.0</v>
      </c>
      <c r="O409" s="12">
        <v>0.05</v>
      </c>
      <c r="P409" s="11">
        <v>2750.0</v>
      </c>
    </row>
    <row r="410">
      <c r="A410" s="8" t="s">
        <v>530</v>
      </c>
      <c r="B410" s="8" t="s">
        <v>531</v>
      </c>
      <c r="C410" s="9">
        <v>46132.780486111114</v>
      </c>
      <c r="D410" s="8" t="s">
        <v>532</v>
      </c>
      <c r="E410" s="8" t="s">
        <v>551</v>
      </c>
      <c r="F410" s="8" t="s">
        <v>552</v>
      </c>
      <c r="G410" s="8" t="s">
        <v>120</v>
      </c>
      <c r="H410" s="8" t="s">
        <v>121</v>
      </c>
      <c r="I410" s="10">
        <v>65.625</v>
      </c>
      <c r="J410" s="10">
        <v>65.0</v>
      </c>
      <c r="K410" s="10">
        <v>-0.625</v>
      </c>
      <c r="L410" s="11">
        <v>-3599.0</v>
      </c>
      <c r="M410" s="12">
        <v>5758.4</v>
      </c>
      <c r="N410" s="12">
        <v>2.0</v>
      </c>
      <c r="O410" s="12">
        <v>0.0</v>
      </c>
      <c r="P410" s="11">
        <v>0.0</v>
      </c>
    </row>
    <row r="411">
      <c r="A411" s="8" t="s">
        <v>530</v>
      </c>
      <c r="B411" s="8" t="s">
        <v>531</v>
      </c>
      <c r="C411" s="9">
        <v>46132.780486111114</v>
      </c>
      <c r="D411" s="8" t="s">
        <v>532</v>
      </c>
      <c r="E411" s="8" t="s">
        <v>553</v>
      </c>
      <c r="F411" s="8" t="s">
        <v>554</v>
      </c>
      <c r="G411" s="8" t="s">
        <v>156</v>
      </c>
      <c r="H411" s="8" t="s">
        <v>157</v>
      </c>
      <c r="I411" s="10">
        <v>4.24</v>
      </c>
      <c r="J411" s="10">
        <v>4.1</v>
      </c>
      <c r="K411" s="10">
        <v>-0.14</v>
      </c>
      <c r="L411" s="11">
        <v>-34216.0</v>
      </c>
      <c r="M411" s="12">
        <v>244400.0</v>
      </c>
      <c r="N411" s="12">
        <v>0.3</v>
      </c>
      <c r="O411" s="12">
        <v>0.0</v>
      </c>
      <c r="P411" s="11">
        <v>0.0</v>
      </c>
    </row>
    <row r="412">
      <c r="A412" s="8" t="s">
        <v>530</v>
      </c>
      <c r="B412" s="8" t="s">
        <v>531</v>
      </c>
      <c r="C412" s="9">
        <v>46132.780486111114</v>
      </c>
      <c r="D412" s="8" t="s">
        <v>532</v>
      </c>
      <c r="E412" s="8" t="s">
        <v>261</v>
      </c>
      <c r="F412" s="8" t="s">
        <v>262</v>
      </c>
      <c r="G412" s="8" t="s">
        <v>156</v>
      </c>
      <c r="H412" s="8" t="s">
        <v>157</v>
      </c>
      <c r="I412" s="10">
        <v>4.02</v>
      </c>
      <c r="J412" s="10">
        <v>4.05</v>
      </c>
      <c r="K412" s="10">
        <v>0.03</v>
      </c>
      <c r="L412" s="11">
        <v>7142.0</v>
      </c>
      <c r="M412" s="12">
        <v>238066.67</v>
      </c>
      <c r="N412" s="12">
        <v>0.3</v>
      </c>
      <c r="O412" s="12">
        <v>0.0</v>
      </c>
      <c r="P412" s="11">
        <v>0.0</v>
      </c>
    </row>
    <row r="413">
      <c r="A413" s="8" t="s">
        <v>530</v>
      </c>
      <c r="B413" s="8" t="s">
        <v>531</v>
      </c>
      <c r="C413" s="9">
        <v>46132.780486111114</v>
      </c>
      <c r="D413" s="8" t="s">
        <v>532</v>
      </c>
      <c r="E413" s="8" t="s">
        <v>259</v>
      </c>
      <c r="F413" s="8" t="s">
        <v>260</v>
      </c>
      <c r="G413" s="8" t="s">
        <v>156</v>
      </c>
      <c r="H413" s="8" t="s">
        <v>157</v>
      </c>
      <c r="I413" s="10">
        <v>1.8</v>
      </c>
      <c r="J413" s="10">
        <v>1.65</v>
      </c>
      <c r="K413" s="10">
        <v>-0.15</v>
      </c>
      <c r="L413" s="11">
        <v>-44918.0</v>
      </c>
      <c r="M413" s="12">
        <v>299453.33</v>
      </c>
      <c r="N413" s="12">
        <v>0.3</v>
      </c>
      <c r="O413" s="12">
        <v>0.0</v>
      </c>
      <c r="P413" s="11">
        <v>0.0</v>
      </c>
    </row>
    <row r="414">
      <c r="A414" s="8" t="s">
        <v>530</v>
      </c>
      <c r="B414" s="8" t="s">
        <v>531</v>
      </c>
      <c r="C414" s="9">
        <v>46132.780486111114</v>
      </c>
      <c r="D414" s="8" t="s">
        <v>532</v>
      </c>
      <c r="E414" s="8" t="s">
        <v>555</v>
      </c>
      <c r="F414" s="8" t="s">
        <v>556</v>
      </c>
      <c r="G414" s="8" t="s">
        <v>156</v>
      </c>
      <c r="H414" s="8" t="s">
        <v>157</v>
      </c>
      <c r="I414" s="10">
        <v>5.47</v>
      </c>
      <c r="J414" s="10">
        <v>5.5</v>
      </c>
      <c r="K414" s="10">
        <v>0.03</v>
      </c>
      <c r="L414" s="11">
        <v>7109.0</v>
      </c>
      <c r="M414" s="12">
        <v>236966.67</v>
      </c>
      <c r="N414" s="12">
        <v>0.3</v>
      </c>
      <c r="O414" s="12">
        <v>0.0</v>
      </c>
      <c r="P414" s="11">
        <v>0.0</v>
      </c>
    </row>
    <row r="415">
      <c r="A415" s="8" t="s">
        <v>530</v>
      </c>
      <c r="B415" s="8" t="s">
        <v>531</v>
      </c>
      <c r="C415" s="9">
        <v>46132.780486111114</v>
      </c>
      <c r="D415" s="8" t="s">
        <v>532</v>
      </c>
      <c r="E415" s="8" t="s">
        <v>557</v>
      </c>
      <c r="F415" s="8" t="s">
        <v>558</v>
      </c>
      <c r="G415" s="8" t="s">
        <v>156</v>
      </c>
      <c r="H415" s="8" t="s">
        <v>157</v>
      </c>
      <c r="I415" s="10">
        <v>4.48</v>
      </c>
      <c r="J415" s="10">
        <v>4.85</v>
      </c>
      <c r="K415" s="10">
        <v>0.37</v>
      </c>
      <c r="L415" s="11">
        <v>199531.0</v>
      </c>
      <c r="M415" s="12">
        <v>539272.97</v>
      </c>
      <c r="N415" s="12">
        <v>0.3</v>
      </c>
      <c r="O415" s="12">
        <v>0.07</v>
      </c>
      <c r="P415" s="11">
        <v>37749.1079</v>
      </c>
    </row>
    <row r="416">
      <c r="A416" s="8" t="s">
        <v>530</v>
      </c>
      <c r="B416" s="8" t="s">
        <v>531</v>
      </c>
      <c r="C416" s="9">
        <v>46132.780486111114</v>
      </c>
      <c r="D416" s="8" t="s">
        <v>532</v>
      </c>
      <c r="E416" s="8" t="s">
        <v>559</v>
      </c>
      <c r="F416" s="8" t="s">
        <v>560</v>
      </c>
      <c r="G416" s="8" t="s">
        <v>120</v>
      </c>
      <c r="H416" s="8" t="s">
        <v>121</v>
      </c>
      <c r="I416" s="10">
        <v>56.625</v>
      </c>
      <c r="J416" s="10">
        <v>56.0</v>
      </c>
      <c r="K416" s="10">
        <v>-0.625</v>
      </c>
      <c r="L416" s="11">
        <v>-4036.0</v>
      </c>
      <c r="M416" s="12">
        <v>6457.6</v>
      </c>
      <c r="N416" s="12">
        <v>2.0</v>
      </c>
      <c r="O416" s="12">
        <v>0.0</v>
      </c>
      <c r="P416" s="11">
        <v>0.0</v>
      </c>
    </row>
    <row r="417">
      <c r="A417" s="8" t="s">
        <v>530</v>
      </c>
      <c r="B417" s="8" t="s">
        <v>531</v>
      </c>
      <c r="C417" s="9">
        <v>46132.780486111114</v>
      </c>
      <c r="D417" s="8" t="s">
        <v>532</v>
      </c>
      <c r="E417" s="8" t="s">
        <v>255</v>
      </c>
      <c r="F417" s="8" t="s">
        <v>256</v>
      </c>
      <c r="G417" s="8" t="s">
        <v>549</v>
      </c>
      <c r="H417" s="8" t="s">
        <v>550</v>
      </c>
      <c r="I417" s="10">
        <v>3.925</v>
      </c>
      <c r="J417" s="10">
        <v>3.6</v>
      </c>
      <c r="K417" s="10">
        <v>-0.325</v>
      </c>
      <c r="L417" s="11">
        <v>-25800.0</v>
      </c>
      <c r="M417" s="12">
        <v>79384.62</v>
      </c>
      <c r="N417" s="12">
        <v>0.0</v>
      </c>
      <c r="O417" s="12">
        <v>0.325</v>
      </c>
      <c r="P417" s="11">
        <v>25800.0015</v>
      </c>
    </row>
    <row r="418">
      <c r="A418" s="8" t="s">
        <v>530</v>
      </c>
      <c r="B418" s="8" t="s">
        <v>531</v>
      </c>
      <c r="C418" s="9">
        <v>46132.780486111114</v>
      </c>
      <c r="D418" s="8" t="s">
        <v>532</v>
      </c>
      <c r="E418" s="8" t="s">
        <v>508</v>
      </c>
      <c r="F418" s="8" t="s">
        <v>509</v>
      </c>
      <c r="G418" s="8" t="s">
        <v>22</v>
      </c>
      <c r="H418" s="8" t="s">
        <v>23</v>
      </c>
      <c r="I418" s="10">
        <v>3.9844</v>
      </c>
      <c r="J418" s="10">
        <v>4.0</v>
      </c>
      <c r="K418" s="10">
        <v>0.0156</v>
      </c>
      <c r="L418" s="11">
        <v>5160.0</v>
      </c>
      <c r="M418" s="12">
        <v>330769.23</v>
      </c>
      <c r="N418" s="12">
        <v>0.3</v>
      </c>
      <c r="O418" s="12">
        <v>0.0</v>
      </c>
      <c r="P418" s="11">
        <v>0.0</v>
      </c>
    </row>
    <row r="419">
      <c r="A419" s="8" t="s">
        <v>530</v>
      </c>
      <c r="B419" s="8" t="s">
        <v>531</v>
      </c>
      <c r="C419" s="9">
        <v>46132.780486111114</v>
      </c>
      <c r="D419" s="8" t="s">
        <v>532</v>
      </c>
      <c r="E419" s="8" t="s">
        <v>269</v>
      </c>
      <c r="F419" s="8" t="s">
        <v>270</v>
      </c>
      <c r="G419" s="8" t="s">
        <v>22</v>
      </c>
      <c r="H419" s="8" t="s">
        <v>23</v>
      </c>
      <c r="I419" s="10">
        <v>0.0</v>
      </c>
      <c r="J419" s="10">
        <v>0.0</v>
      </c>
      <c r="K419" s="10">
        <v>0.0</v>
      </c>
      <c r="L419" s="11">
        <v>0.0</v>
      </c>
      <c r="M419" s="12">
        <v>0.0</v>
      </c>
      <c r="N419" s="12">
        <v>0.3</v>
      </c>
      <c r="O419" s="12">
        <v>0.0</v>
      </c>
      <c r="P419" s="11">
        <v>0.0</v>
      </c>
    </row>
    <row r="420">
      <c r="A420" s="8" t="s">
        <v>530</v>
      </c>
      <c r="B420" s="8" t="s">
        <v>531</v>
      </c>
      <c r="C420" s="9">
        <v>46132.780486111114</v>
      </c>
      <c r="D420" s="8" t="s">
        <v>532</v>
      </c>
      <c r="E420" s="8" t="s">
        <v>561</v>
      </c>
      <c r="F420" s="8" t="s">
        <v>562</v>
      </c>
      <c r="G420" s="8" t="s">
        <v>156</v>
      </c>
      <c r="H420" s="8" t="s">
        <v>157</v>
      </c>
      <c r="I420" s="10">
        <v>9.68</v>
      </c>
      <c r="J420" s="10">
        <v>10.3</v>
      </c>
      <c r="K420" s="10">
        <v>0.62</v>
      </c>
      <c r="L420" s="11">
        <v>221035.0</v>
      </c>
      <c r="M420" s="12">
        <v>356508.06</v>
      </c>
      <c r="N420" s="12">
        <v>0.3</v>
      </c>
      <c r="O420" s="12">
        <v>0.32</v>
      </c>
      <c r="P420" s="11">
        <v>114082.57920000001</v>
      </c>
    </row>
    <row r="421">
      <c r="A421" s="8" t="s">
        <v>530</v>
      </c>
      <c r="B421" s="8" t="s">
        <v>531</v>
      </c>
      <c r="C421" s="9">
        <v>46132.780486111114</v>
      </c>
      <c r="D421" s="8" t="s">
        <v>532</v>
      </c>
      <c r="E421" s="8" t="s">
        <v>271</v>
      </c>
      <c r="F421" s="8" t="s">
        <v>272</v>
      </c>
      <c r="G421" s="8" t="s">
        <v>156</v>
      </c>
      <c r="H421" s="8" t="s">
        <v>157</v>
      </c>
      <c r="I421" s="10">
        <v>8.16</v>
      </c>
      <c r="J421" s="10">
        <v>8.3</v>
      </c>
      <c r="K421" s="10">
        <v>0.14</v>
      </c>
      <c r="L421" s="11">
        <v>13440.0</v>
      </c>
      <c r="M421" s="12">
        <v>96000.0</v>
      </c>
      <c r="N421" s="12">
        <v>0.3</v>
      </c>
      <c r="O421" s="12">
        <v>0.0</v>
      </c>
      <c r="P421" s="11">
        <v>0.0</v>
      </c>
    </row>
    <row r="422">
      <c r="A422" s="8" t="s">
        <v>530</v>
      </c>
      <c r="B422" s="8" t="s">
        <v>531</v>
      </c>
      <c r="C422" s="9">
        <v>46132.780486111114</v>
      </c>
      <c r="D422" s="8" t="s">
        <v>532</v>
      </c>
      <c r="E422" s="8" t="s">
        <v>291</v>
      </c>
      <c r="F422" s="8" t="s">
        <v>292</v>
      </c>
      <c r="G422" s="8" t="s">
        <v>156</v>
      </c>
      <c r="H422" s="8" t="s">
        <v>157</v>
      </c>
      <c r="I422" s="10">
        <v>8.48</v>
      </c>
      <c r="J422" s="10">
        <v>8.4</v>
      </c>
      <c r="K422" s="10">
        <v>-0.08</v>
      </c>
      <c r="L422" s="11">
        <v>-4945.0</v>
      </c>
      <c r="M422" s="12">
        <v>61812.5</v>
      </c>
      <c r="N422" s="12">
        <v>0.3</v>
      </c>
      <c r="O422" s="12">
        <v>0.0</v>
      </c>
      <c r="P422" s="11">
        <v>0.0</v>
      </c>
    </row>
    <row r="423">
      <c r="A423" s="8" t="s">
        <v>530</v>
      </c>
      <c r="B423" s="8" t="s">
        <v>531</v>
      </c>
      <c r="C423" s="9">
        <v>46132.780486111114</v>
      </c>
      <c r="D423" s="8" t="s">
        <v>532</v>
      </c>
      <c r="E423" s="8" t="s">
        <v>563</v>
      </c>
      <c r="F423" s="8" t="s">
        <v>564</v>
      </c>
      <c r="G423" s="8" t="s">
        <v>156</v>
      </c>
      <c r="H423" s="8" t="s">
        <v>157</v>
      </c>
      <c r="I423" s="10">
        <v>4.79</v>
      </c>
      <c r="J423" s="10">
        <v>4.95</v>
      </c>
      <c r="K423" s="10">
        <v>0.16</v>
      </c>
      <c r="L423" s="11">
        <v>60768.0</v>
      </c>
      <c r="M423" s="12">
        <v>379800.0</v>
      </c>
      <c r="N423" s="12">
        <v>0.3</v>
      </c>
      <c r="O423" s="12">
        <v>0.0</v>
      </c>
      <c r="P423" s="11">
        <v>0.0</v>
      </c>
    </row>
    <row r="424">
      <c r="A424" s="8" t="s">
        <v>530</v>
      </c>
      <c r="B424" s="8" t="s">
        <v>531</v>
      </c>
      <c r="C424" s="9">
        <v>46132.780486111114</v>
      </c>
      <c r="D424" s="8" t="s">
        <v>532</v>
      </c>
      <c r="E424" s="8" t="s">
        <v>510</v>
      </c>
      <c r="F424" s="8" t="s">
        <v>511</v>
      </c>
      <c r="G424" s="8" t="s">
        <v>22</v>
      </c>
      <c r="H424" s="8" t="s">
        <v>23</v>
      </c>
      <c r="I424" s="10">
        <v>4.9844</v>
      </c>
      <c r="J424" s="10">
        <v>4.0</v>
      </c>
      <c r="K424" s="10">
        <v>-0.9844</v>
      </c>
      <c r="L424" s="11">
        <v>-152948.0</v>
      </c>
      <c r="M424" s="12">
        <v>155371.8</v>
      </c>
      <c r="N424" s="12">
        <v>0.3</v>
      </c>
      <c r="O424" s="12">
        <v>0.6844000000000001</v>
      </c>
      <c r="P424" s="11">
        <v>106336.45992000001</v>
      </c>
    </row>
    <row r="425">
      <c r="A425" s="8" t="s">
        <v>530</v>
      </c>
      <c r="B425" s="8" t="s">
        <v>531</v>
      </c>
      <c r="C425" s="9">
        <v>46132.780486111114</v>
      </c>
      <c r="D425" s="8" t="s">
        <v>532</v>
      </c>
      <c r="E425" s="8" t="s">
        <v>237</v>
      </c>
      <c r="F425" s="8" t="s">
        <v>238</v>
      </c>
      <c r="G425" s="8" t="s">
        <v>156</v>
      </c>
      <c r="H425" s="8" t="s">
        <v>157</v>
      </c>
      <c r="I425" s="10">
        <v>5.88</v>
      </c>
      <c r="J425" s="10">
        <v>6.0</v>
      </c>
      <c r="K425" s="10">
        <v>0.12</v>
      </c>
      <c r="L425" s="11">
        <v>8099.0</v>
      </c>
      <c r="M425" s="12">
        <v>67491.67</v>
      </c>
      <c r="N425" s="12">
        <v>0.3</v>
      </c>
      <c r="O425" s="12">
        <v>0.0</v>
      </c>
      <c r="P425" s="11">
        <v>0.0</v>
      </c>
    </row>
    <row r="426">
      <c r="A426" s="8" t="s">
        <v>530</v>
      </c>
      <c r="B426" s="8" t="s">
        <v>531</v>
      </c>
      <c r="C426" s="9">
        <v>46132.780486111114</v>
      </c>
      <c r="D426" s="8" t="s">
        <v>532</v>
      </c>
      <c r="E426" s="8" t="s">
        <v>239</v>
      </c>
      <c r="F426" s="8" t="s">
        <v>240</v>
      </c>
      <c r="G426" s="8" t="s">
        <v>156</v>
      </c>
      <c r="H426" s="8" t="s">
        <v>157</v>
      </c>
      <c r="I426" s="10">
        <v>5.2</v>
      </c>
      <c r="J426" s="10">
        <v>5.2</v>
      </c>
      <c r="K426" s="10">
        <v>0.0</v>
      </c>
      <c r="L426" s="11">
        <v>0.0</v>
      </c>
      <c r="M426" s="12">
        <v>0.0</v>
      </c>
      <c r="N426" s="12">
        <v>0.3</v>
      </c>
      <c r="O426" s="12">
        <v>0.0</v>
      </c>
      <c r="P426" s="11">
        <v>0.0</v>
      </c>
    </row>
    <row r="427">
      <c r="A427" s="8" t="s">
        <v>530</v>
      </c>
      <c r="B427" s="8" t="s">
        <v>531</v>
      </c>
      <c r="C427" s="9">
        <v>46132.780486111114</v>
      </c>
      <c r="D427" s="8" t="s">
        <v>532</v>
      </c>
      <c r="E427" s="8" t="s">
        <v>243</v>
      </c>
      <c r="F427" s="8" t="s">
        <v>244</v>
      </c>
      <c r="G427" s="8" t="s">
        <v>156</v>
      </c>
      <c r="H427" s="8" t="s">
        <v>157</v>
      </c>
      <c r="I427" s="10">
        <v>1.84</v>
      </c>
      <c r="J427" s="10">
        <v>5.0</v>
      </c>
      <c r="K427" s="10">
        <v>3.16</v>
      </c>
      <c r="L427" s="11">
        <v>183616.0</v>
      </c>
      <c r="M427" s="12">
        <v>58106.33</v>
      </c>
      <c r="N427" s="12">
        <v>0.3</v>
      </c>
      <c r="O427" s="12">
        <v>2.8600000000000003</v>
      </c>
      <c r="P427" s="11">
        <v>166184.1038</v>
      </c>
    </row>
    <row r="428">
      <c r="A428" s="8" t="s">
        <v>530</v>
      </c>
      <c r="B428" s="8" t="s">
        <v>531</v>
      </c>
      <c r="C428" s="9">
        <v>46132.780486111114</v>
      </c>
      <c r="D428" s="8" t="s">
        <v>532</v>
      </c>
      <c r="E428" s="8" t="s">
        <v>241</v>
      </c>
      <c r="F428" s="8" t="s">
        <v>242</v>
      </c>
      <c r="G428" s="8" t="s">
        <v>156</v>
      </c>
      <c r="H428" s="8" t="s">
        <v>157</v>
      </c>
      <c r="I428" s="10">
        <v>5.6</v>
      </c>
      <c r="J428" s="10">
        <v>5.2</v>
      </c>
      <c r="K428" s="10">
        <v>-0.4</v>
      </c>
      <c r="L428" s="11">
        <v>-70320.0</v>
      </c>
      <c r="M428" s="12">
        <v>175800.0</v>
      </c>
      <c r="N428" s="12">
        <v>0.3</v>
      </c>
      <c r="O428" s="12">
        <v>0.10000000000000003</v>
      </c>
      <c r="P428" s="11">
        <v>17580.000000000007</v>
      </c>
    </row>
    <row r="429">
      <c r="A429" s="8" t="s">
        <v>530</v>
      </c>
      <c r="B429" s="8" t="s">
        <v>531</v>
      </c>
      <c r="C429" s="9">
        <v>46132.780486111114</v>
      </c>
      <c r="D429" s="8" t="s">
        <v>532</v>
      </c>
      <c r="E429" s="8" t="s">
        <v>245</v>
      </c>
      <c r="F429" s="8" t="s">
        <v>246</v>
      </c>
      <c r="G429" s="8" t="s">
        <v>156</v>
      </c>
      <c r="H429" s="8" t="s">
        <v>157</v>
      </c>
      <c r="I429" s="10">
        <v>3.2</v>
      </c>
      <c r="J429" s="10">
        <v>2.6</v>
      </c>
      <c r="K429" s="10">
        <v>-0.6</v>
      </c>
      <c r="L429" s="11">
        <v>-123105.0</v>
      </c>
      <c r="M429" s="12">
        <v>205175.0</v>
      </c>
      <c r="N429" s="12">
        <v>0.3</v>
      </c>
      <c r="O429" s="12">
        <v>0.3</v>
      </c>
      <c r="P429" s="11">
        <v>61552.5</v>
      </c>
    </row>
    <row r="430">
      <c r="A430" s="8" t="s">
        <v>530</v>
      </c>
      <c r="B430" s="8" t="s">
        <v>531</v>
      </c>
      <c r="C430" s="9">
        <v>46132.780486111114</v>
      </c>
      <c r="D430" s="8" t="s">
        <v>532</v>
      </c>
      <c r="E430" s="8" t="s">
        <v>251</v>
      </c>
      <c r="F430" s="8" t="s">
        <v>252</v>
      </c>
      <c r="G430" s="8" t="s">
        <v>156</v>
      </c>
      <c r="H430" s="8" t="s">
        <v>157</v>
      </c>
      <c r="I430" s="10">
        <v>5.56</v>
      </c>
      <c r="J430" s="10">
        <v>5.4</v>
      </c>
      <c r="K430" s="10">
        <v>-0.16</v>
      </c>
      <c r="L430" s="11">
        <v>-12807.0</v>
      </c>
      <c r="M430" s="12">
        <v>80043.75</v>
      </c>
      <c r="N430" s="12">
        <v>0.3</v>
      </c>
      <c r="O430" s="12">
        <v>0.0</v>
      </c>
      <c r="P430" s="11">
        <v>0.0</v>
      </c>
    </row>
    <row r="431">
      <c r="A431" s="8" t="s">
        <v>530</v>
      </c>
      <c r="B431" s="8" t="s">
        <v>531</v>
      </c>
      <c r="C431" s="9">
        <v>46132.780486111114</v>
      </c>
      <c r="D431" s="8" t="s">
        <v>532</v>
      </c>
      <c r="E431" s="8" t="s">
        <v>565</v>
      </c>
      <c r="F431" s="8" t="s">
        <v>566</v>
      </c>
      <c r="G431" s="8" t="s">
        <v>156</v>
      </c>
      <c r="H431" s="8" t="s">
        <v>157</v>
      </c>
      <c r="I431" s="10">
        <v>2.89</v>
      </c>
      <c r="J431" s="10">
        <v>3.3</v>
      </c>
      <c r="K431" s="10">
        <v>0.41</v>
      </c>
      <c r="L431" s="11">
        <v>72618.0</v>
      </c>
      <c r="M431" s="12">
        <v>177117.07</v>
      </c>
      <c r="N431" s="12">
        <v>0.3</v>
      </c>
      <c r="O431" s="12">
        <v>0.10999999999999999</v>
      </c>
      <c r="P431" s="11">
        <v>19482.877699999997</v>
      </c>
    </row>
    <row r="432">
      <c r="A432" s="8" t="s">
        <v>530</v>
      </c>
      <c r="B432" s="8" t="s">
        <v>531</v>
      </c>
      <c r="C432" s="9">
        <v>46132.780486111114</v>
      </c>
      <c r="D432" s="8" t="s">
        <v>532</v>
      </c>
      <c r="E432" s="8" t="s">
        <v>567</v>
      </c>
      <c r="F432" s="8" t="s">
        <v>568</v>
      </c>
      <c r="G432" s="8" t="s">
        <v>156</v>
      </c>
      <c r="H432" s="8" t="s">
        <v>157</v>
      </c>
      <c r="I432" s="10">
        <v>3.88</v>
      </c>
      <c r="J432" s="10">
        <v>4.5</v>
      </c>
      <c r="K432" s="10">
        <v>0.62</v>
      </c>
      <c r="L432" s="11">
        <v>99776.0</v>
      </c>
      <c r="M432" s="12">
        <v>160929.03</v>
      </c>
      <c r="N432" s="12">
        <v>0.3</v>
      </c>
      <c r="O432" s="12">
        <v>0.32</v>
      </c>
      <c r="P432" s="11">
        <v>51497.289600000004</v>
      </c>
    </row>
    <row r="433">
      <c r="A433" s="8" t="s">
        <v>530</v>
      </c>
      <c r="B433" s="8" t="s">
        <v>531</v>
      </c>
      <c r="C433" s="9">
        <v>46132.780486111114</v>
      </c>
      <c r="D433" s="8" t="s">
        <v>532</v>
      </c>
      <c r="E433" s="8" t="s">
        <v>249</v>
      </c>
      <c r="F433" s="8" t="s">
        <v>250</v>
      </c>
      <c r="G433" s="8" t="s">
        <v>156</v>
      </c>
      <c r="H433" s="8" t="s">
        <v>157</v>
      </c>
      <c r="I433" s="10">
        <v>0.0</v>
      </c>
      <c r="J433" s="10">
        <v>0.0</v>
      </c>
      <c r="K433" s="10">
        <v>0.0</v>
      </c>
      <c r="L433" s="11">
        <v>0.0</v>
      </c>
      <c r="M433" s="12">
        <v>0.0</v>
      </c>
      <c r="N433" s="12">
        <v>0.3</v>
      </c>
      <c r="O433" s="12">
        <v>0.0</v>
      </c>
      <c r="P433" s="11">
        <v>0.0</v>
      </c>
    </row>
    <row r="434">
      <c r="A434" s="8" t="s">
        <v>530</v>
      </c>
      <c r="B434" s="8" t="s">
        <v>531</v>
      </c>
      <c r="C434" s="9">
        <v>46132.780486111114</v>
      </c>
      <c r="D434" s="8" t="s">
        <v>532</v>
      </c>
      <c r="E434" s="8" t="s">
        <v>281</v>
      </c>
      <c r="F434" s="8" t="s">
        <v>282</v>
      </c>
      <c r="G434" s="8" t="s">
        <v>156</v>
      </c>
      <c r="H434" s="8" t="s">
        <v>157</v>
      </c>
      <c r="I434" s="10">
        <v>0.0</v>
      </c>
      <c r="J434" s="10">
        <v>0.0</v>
      </c>
      <c r="K434" s="10">
        <v>0.0</v>
      </c>
      <c r="L434" s="11">
        <v>0.0</v>
      </c>
      <c r="M434" s="12">
        <v>0.0</v>
      </c>
      <c r="N434" s="12">
        <v>0.3</v>
      </c>
      <c r="O434" s="12">
        <v>0.0</v>
      </c>
      <c r="P434" s="11">
        <v>0.0</v>
      </c>
    </row>
    <row r="435">
      <c r="A435" s="8" t="s">
        <v>530</v>
      </c>
      <c r="B435" s="8" t="s">
        <v>531</v>
      </c>
      <c r="C435" s="9">
        <v>46132.780486111114</v>
      </c>
      <c r="D435" s="8" t="s">
        <v>532</v>
      </c>
      <c r="E435" s="8" t="s">
        <v>247</v>
      </c>
      <c r="F435" s="8" t="s">
        <v>248</v>
      </c>
      <c r="G435" s="8" t="s">
        <v>156</v>
      </c>
      <c r="H435" s="8" t="s">
        <v>157</v>
      </c>
      <c r="I435" s="10">
        <v>0.0</v>
      </c>
      <c r="J435" s="10">
        <v>0.0</v>
      </c>
      <c r="K435" s="10">
        <v>0.0</v>
      </c>
      <c r="L435" s="11">
        <v>0.0</v>
      </c>
      <c r="M435" s="12">
        <v>0.0</v>
      </c>
      <c r="N435" s="12">
        <v>0.3</v>
      </c>
      <c r="O435" s="12">
        <v>0.0</v>
      </c>
      <c r="P435" s="11">
        <v>0.0</v>
      </c>
    </row>
    <row r="436">
      <c r="A436" s="8" t="s">
        <v>530</v>
      </c>
      <c r="B436" s="8" t="s">
        <v>531</v>
      </c>
      <c r="C436" s="9">
        <v>46132.780486111114</v>
      </c>
      <c r="D436" s="8" t="s">
        <v>532</v>
      </c>
      <c r="E436" s="8" t="s">
        <v>569</v>
      </c>
      <c r="F436" s="8" t="s">
        <v>570</v>
      </c>
      <c r="G436" s="8" t="s">
        <v>120</v>
      </c>
      <c r="H436" s="8" t="s">
        <v>121</v>
      </c>
      <c r="I436" s="10">
        <v>28.8</v>
      </c>
      <c r="J436" s="10">
        <v>29.0</v>
      </c>
      <c r="K436" s="10">
        <v>0.2</v>
      </c>
      <c r="L436" s="11">
        <v>3322.0</v>
      </c>
      <c r="M436" s="12">
        <v>16610.0</v>
      </c>
      <c r="N436" s="12">
        <v>2.0</v>
      </c>
      <c r="O436" s="12">
        <v>0.0</v>
      </c>
      <c r="P436" s="11">
        <v>0.0</v>
      </c>
    </row>
    <row r="437">
      <c r="A437" s="8" t="s">
        <v>530</v>
      </c>
      <c r="B437" s="8" t="s">
        <v>531</v>
      </c>
      <c r="C437" s="9">
        <v>46132.780486111114</v>
      </c>
      <c r="D437" s="8" t="s">
        <v>532</v>
      </c>
      <c r="E437" s="8" t="s">
        <v>277</v>
      </c>
      <c r="F437" s="8" t="s">
        <v>278</v>
      </c>
      <c r="G437" s="8" t="s">
        <v>156</v>
      </c>
      <c r="H437" s="8" t="s">
        <v>157</v>
      </c>
      <c r="I437" s="10">
        <v>2.24</v>
      </c>
      <c r="J437" s="10">
        <v>2.36</v>
      </c>
      <c r="K437" s="10">
        <v>0.12</v>
      </c>
      <c r="L437" s="11">
        <v>28241.0</v>
      </c>
      <c r="M437" s="12">
        <v>235341.67</v>
      </c>
      <c r="N437" s="12">
        <v>0.3</v>
      </c>
      <c r="O437" s="12">
        <v>0.0</v>
      </c>
      <c r="P437" s="11">
        <v>0.0</v>
      </c>
    </row>
    <row r="438">
      <c r="A438" s="8" t="s">
        <v>530</v>
      </c>
      <c r="B438" s="8" t="s">
        <v>531</v>
      </c>
      <c r="C438" s="9">
        <v>46132.780486111114</v>
      </c>
      <c r="D438" s="8" t="s">
        <v>532</v>
      </c>
      <c r="E438" s="8" t="s">
        <v>571</v>
      </c>
      <c r="F438" s="8" t="s">
        <v>572</v>
      </c>
      <c r="G438" s="8" t="s">
        <v>156</v>
      </c>
      <c r="H438" s="8" t="s">
        <v>157</v>
      </c>
      <c r="I438" s="10">
        <v>8.54</v>
      </c>
      <c r="J438" s="10">
        <v>8.55</v>
      </c>
      <c r="K438" s="10">
        <v>0.01</v>
      </c>
      <c r="L438" s="11">
        <v>2965.0</v>
      </c>
      <c r="M438" s="12">
        <v>296500.0</v>
      </c>
      <c r="N438" s="12">
        <v>0.3</v>
      </c>
      <c r="O438" s="12">
        <v>0.0</v>
      </c>
      <c r="P438" s="11">
        <v>0.0</v>
      </c>
    </row>
    <row r="439">
      <c r="A439" s="8" t="s">
        <v>530</v>
      </c>
      <c r="B439" s="8" t="s">
        <v>531</v>
      </c>
      <c r="C439" s="9">
        <v>46132.780486111114</v>
      </c>
      <c r="D439" s="8" t="s">
        <v>532</v>
      </c>
      <c r="E439" s="8" t="s">
        <v>573</v>
      </c>
      <c r="F439" s="8" t="s">
        <v>574</v>
      </c>
      <c r="G439" s="8" t="s">
        <v>156</v>
      </c>
      <c r="H439" s="8" t="s">
        <v>157</v>
      </c>
      <c r="I439" s="10">
        <v>2.36</v>
      </c>
      <c r="J439" s="10">
        <v>2.45</v>
      </c>
      <c r="K439" s="10">
        <v>0.09</v>
      </c>
      <c r="L439" s="11">
        <v>22802.0</v>
      </c>
      <c r="M439" s="12">
        <v>253355.56</v>
      </c>
      <c r="N439" s="12">
        <v>0.3</v>
      </c>
      <c r="O439" s="12">
        <v>0.0</v>
      </c>
      <c r="P439" s="11">
        <v>0.0</v>
      </c>
    </row>
    <row r="440">
      <c r="A440" s="8" t="s">
        <v>530</v>
      </c>
      <c r="B440" s="8" t="s">
        <v>531</v>
      </c>
      <c r="C440" s="9">
        <v>46132.780486111114</v>
      </c>
      <c r="D440" s="8" t="s">
        <v>532</v>
      </c>
      <c r="E440" s="8" t="s">
        <v>275</v>
      </c>
      <c r="F440" s="8" t="s">
        <v>276</v>
      </c>
      <c r="G440" s="8" t="s">
        <v>156</v>
      </c>
      <c r="H440" s="8" t="s">
        <v>157</v>
      </c>
      <c r="I440" s="10">
        <v>10.84</v>
      </c>
      <c r="J440" s="10">
        <v>18.0</v>
      </c>
      <c r="K440" s="10">
        <v>7.16</v>
      </c>
      <c r="L440" s="11">
        <v>31325.0</v>
      </c>
      <c r="M440" s="12">
        <v>4375.0</v>
      </c>
      <c r="N440" s="12">
        <v>0.3</v>
      </c>
      <c r="O440" s="12">
        <v>6.86</v>
      </c>
      <c r="P440" s="11">
        <v>30012.5</v>
      </c>
    </row>
    <row r="441">
      <c r="A441" s="8" t="s">
        <v>530</v>
      </c>
      <c r="B441" s="8" t="s">
        <v>531</v>
      </c>
      <c r="C441" s="9">
        <v>46132.780486111114</v>
      </c>
      <c r="D441" s="8" t="s">
        <v>532</v>
      </c>
      <c r="E441" s="8" t="s">
        <v>575</v>
      </c>
      <c r="F441" s="8" t="s">
        <v>576</v>
      </c>
      <c r="G441" s="8" t="s">
        <v>156</v>
      </c>
      <c r="H441" s="8" t="s">
        <v>157</v>
      </c>
      <c r="I441" s="10">
        <v>0.0</v>
      </c>
      <c r="J441" s="10">
        <v>0.0</v>
      </c>
      <c r="K441" s="10">
        <v>0.0</v>
      </c>
      <c r="L441" s="11">
        <v>0.0</v>
      </c>
      <c r="M441" s="12">
        <v>0.0</v>
      </c>
      <c r="N441" s="12">
        <v>0.3</v>
      </c>
      <c r="O441" s="12">
        <v>0.0</v>
      </c>
      <c r="P441" s="11">
        <v>0.0</v>
      </c>
    </row>
    <row r="442">
      <c r="A442" s="8" t="s">
        <v>530</v>
      </c>
      <c r="B442" s="8" t="s">
        <v>531</v>
      </c>
      <c r="C442" s="9">
        <v>46132.780486111114</v>
      </c>
      <c r="D442" s="8" t="s">
        <v>532</v>
      </c>
      <c r="E442" s="8" t="s">
        <v>577</v>
      </c>
      <c r="F442" s="8" t="s">
        <v>578</v>
      </c>
      <c r="G442" s="8" t="s">
        <v>156</v>
      </c>
      <c r="H442" s="8" t="s">
        <v>157</v>
      </c>
      <c r="I442" s="10">
        <v>4.9</v>
      </c>
      <c r="J442" s="10">
        <v>5.2</v>
      </c>
      <c r="K442" s="10">
        <v>0.3</v>
      </c>
      <c r="L442" s="11">
        <v>129617.0</v>
      </c>
      <c r="M442" s="12">
        <v>432056.67</v>
      </c>
      <c r="N442" s="12">
        <v>0.3</v>
      </c>
      <c r="O442" s="12">
        <v>0.0</v>
      </c>
      <c r="P442" s="11">
        <v>0.0</v>
      </c>
    </row>
    <row r="443">
      <c r="A443" s="8" t="s">
        <v>530</v>
      </c>
      <c r="B443" s="8" t="s">
        <v>531</v>
      </c>
      <c r="C443" s="9">
        <v>46132.780486111114</v>
      </c>
      <c r="D443" s="8" t="s">
        <v>532</v>
      </c>
      <c r="E443" s="8" t="s">
        <v>579</v>
      </c>
      <c r="F443" s="8" t="s">
        <v>580</v>
      </c>
      <c r="G443" s="8" t="s">
        <v>156</v>
      </c>
      <c r="H443" s="8" t="s">
        <v>157</v>
      </c>
      <c r="I443" s="10">
        <v>3.98</v>
      </c>
      <c r="J443" s="10">
        <v>4.2</v>
      </c>
      <c r="K443" s="10">
        <v>0.22</v>
      </c>
      <c r="L443" s="11">
        <v>83639.0</v>
      </c>
      <c r="M443" s="12">
        <v>380177.27</v>
      </c>
      <c r="N443" s="12">
        <v>0.3</v>
      </c>
      <c r="O443" s="12">
        <v>0.0</v>
      </c>
      <c r="P443" s="11">
        <v>0.0</v>
      </c>
    </row>
    <row r="444">
      <c r="A444" s="8" t="s">
        <v>530</v>
      </c>
      <c r="B444" s="8" t="s">
        <v>531</v>
      </c>
      <c r="C444" s="9">
        <v>46132.780486111114</v>
      </c>
      <c r="D444" s="8" t="s">
        <v>532</v>
      </c>
      <c r="E444" s="8" t="s">
        <v>581</v>
      </c>
      <c r="F444" s="8" t="s">
        <v>582</v>
      </c>
      <c r="G444" s="8" t="s">
        <v>156</v>
      </c>
      <c r="H444" s="8" t="s">
        <v>157</v>
      </c>
      <c r="I444" s="10">
        <v>8.35</v>
      </c>
      <c r="J444" s="10">
        <v>8.7</v>
      </c>
      <c r="K444" s="10">
        <v>0.35</v>
      </c>
      <c r="L444" s="11">
        <v>138787.0</v>
      </c>
      <c r="M444" s="12">
        <v>396534.29</v>
      </c>
      <c r="N444" s="12">
        <v>0.3</v>
      </c>
      <c r="O444" s="12">
        <v>0.04999999999999999</v>
      </c>
      <c r="P444" s="11">
        <v>19826.714499999995</v>
      </c>
    </row>
    <row r="445">
      <c r="A445" s="8" t="s">
        <v>530</v>
      </c>
      <c r="B445" s="8" t="s">
        <v>531</v>
      </c>
      <c r="C445" s="9">
        <v>46132.780486111114</v>
      </c>
      <c r="D445" s="8" t="s">
        <v>532</v>
      </c>
      <c r="E445" s="8" t="s">
        <v>583</v>
      </c>
      <c r="F445" s="8" t="s">
        <v>584</v>
      </c>
      <c r="G445" s="8" t="s">
        <v>156</v>
      </c>
      <c r="H445" s="8" t="s">
        <v>157</v>
      </c>
      <c r="I445" s="10">
        <v>1.23</v>
      </c>
      <c r="J445" s="10">
        <v>1.5</v>
      </c>
      <c r="K445" s="10">
        <v>0.27</v>
      </c>
      <c r="L445" s="11">
        <v>42637.0</v>
      </c>
      <c r="M445" s="12">
        <v>157914.81</v>
      </c>
      <c r="N445" s="12">
        <v>0.3</v>
      </c>
      <c r="O445" s="12">
        <v>0.0</v>
      </c>
      <c r="P445" s="11">
        <v>0.0</v>
      </c>
    </row>
    <row r="446">
      <c r="A446" s="8" t="s">
        <v>530</v>
      </c>
      <c r="B446" s="8" t="s">
        <v>531</v>
      </c>
      <c r="C446" s="9">
        <v>46132.780486111114</v>
      </c>
      <c r="D446" s="8" t="s">
        <v>532</v>
      </c>
      <c r="E446" s="8" t="s">
        <v>585</v>
      </c>
      <c r="F446" s="8" t="s">
        <v>586</v>
      </c>
      <c r="G446" s="8" t="s">
        <v>120</v>
      </c>
      <c r="H446" s="8" t="s">
        <v>121</v>
      </c>
      <c r="I446" s="10">
        <v>47.71875</v>
      </c>
      <c r="J446" s="10">
        <v>47.0</v>
      </c>
      <c r="K446" s="10">
        <v>-0.71875</v>
      </c>
      <c r="L446" s="11">
        <v>-5200.0</v>
      </c>
      <c r="M446" s="12">
        <v>7234.78</v>
      </c>
      <c r="N446" s="12">
        <v>2.0</v>
      </c>
      <c r="O446" s="12">
        <v>0.0</v>
      </c>
      <c r="P446" s="11">
        <v>0.0</v>
      </c>
    </row>
    <row r="447">
      <c r="A447" s="8" t="s">
        <v>530</v>
      </c>
      <c r="B447" s="8" t="s">
        <v>531</v>
      </c>
      <c r="C447" s="9">
        <v>46132.780486111114</v>
      </c>
      <c r="D447" s="8" t="s">
        <v>532</v>
      </c>
      <c r="E447" s="8" t="s">
        <v>273</v>
      </c>
      <c r="F447" s="8" t="s">
        <v>274</v>
      </c>
      <c r="G447" s="8" t="s">
        <v>156</v>
      </c>
      <c r="H447" s="8" t="s">
        <v>157</v>
      </c>
      <c r="I447" s="10">
        <v>0.0</v>
      </c>
      <c r="J447" s="10">
        <v>0.0</v>
      </c>
      <c r="K447" s="10">
        <v>0.0</v>
      </c>
      <c r="L447" s="11">
        <v>0.0</v>
      </c>
      <c r="M447" s="12">
        <v>0.0</v>
      </c>
      <c r="N447" s="12">
        <v>0.3</v>
      </c>
      <c r="O447" s="12">
        <v>0.0</v>
      </c>
      <c r="P447" s="11">
        <v>0.0</v>
      </c>
    </row>
    <row r="448">
      <c r="A448" s="8" t="s">
        <v>530</v>
      </c>
      <c r="B448" s="8" t="s">
        <v>531</v>
      </c>
      <c r="C448" s="9">
        <v>46132.780486111114</v>
      </c>
      <c r="D448" s="8" t="s">
        <v>532</v>
      </c>
      <c r="E448" s="8" t="s">
        <v>587</v>
      </c>
      <c r="F448" s="8" t="s">
        <v>588</v>
      </c>
      <c r="G448" s="8" t="s">
        <v>156</v>
      </c>
      <c r="H448" s="8" t="s">
        <v>157</v>
      </c>
      <c r="I448" s="10">
        <v>1.93</v>
      </c>
      <c r="J448" s="10">
        <v>4.48</v>
      </c>
      <c r="K448" s="10">
        <v>2.55</v>
      </c>
      <c r="L448" s="11">
        <v>896085.0</v>
      </c>
      <c r="M448" s="12">
        <v>351405.88</v>
      </c>
      <c r="N448" s="12">
        <v>0.3</v>
      </c>
      <c r="O448" s="12">
        <v>2.25</v>
      </c>
      <c r="P448" s="11">
        <v>790663.23</v>
      </c>
    </row>
    <row r="449">
      <c r="C449" s="9"/>
      <c r="L449" s="11"/>
      <c r="M449" s="12"/>
      <c r="N449" s="12"/>
      <c r="O449" s="12"/>
      <c r="P449" s="11"/>
    </row>
    <row r="450">
      <c r="C450" s="9"/>
      <c r="L450" s="11"/>
      <c r="M450" s="12"/>
      <c r="N450" s="12"/>
      <c r="O450" s="12"/>
      <c r="P450" s="11"/>
    </row>
    <row r="451">
      <c r="C451" s="9"/>
      <c r="L451" s="11"/>
      <c r="M451" s="12"/>
      <c r="N451" s="12"/>
      <c r="O451" s="12"/>
      <c r="P451" s="11"/>
    </row>
    <row r="452">
      <c r="C452" s="9"/>
      <c r="L452" s="11"/>
      <c r="M452" s="12"/>
      <c r="N452" s="12"/>
      <c r="O452" s="12"/>
      <c r="P452" s="11"/>
    </row>
    <row r="453">
      <c r="C453" s="9"/>
      <c r="L453" s="11"/>
      <c r="M453" s="12"/>
      <c r="N453" s="12"/>
      <c r="O453" s="12"/>
      <c r="P453" s="11"/>
    </row>
    <row r="454">
      <c r="C454" s="9"/>
      <c r="L454" s="11"/>
      <c r="M454" s="12"/>
      <c r="N454" s="12"/>
      <c r="O454" s="12"/>
      <c r="P454" s="11"/>
    </row>
    <row r="455">
      <c r="C455" s="9"/>
      <c r="L455" s="11"/>
      <c r="M455" s="12"/>
      <c r="N455" s="12"/>
      <c r="O455" s="12"/>
      <c r="P455" s="11"/>
    </row>
    <row r="456">
      <c r="C456" s="9"/>
      <c r="L456" s="11"/>
      <c r="M456" s="12"/>
      <c r="N456" s="12"/>
      <c r="O456" s="12"/>
      <c r="P456" s="11"/>
    </row>
    <row r="457">
      <c r="C457" s="9"/>
      <c r="L457" s="11"/>
      <c r="M457" s="12"/>
      <c r="N457" s="12"/>
      <c r="O457" s="12"/>
      <c r="P457" s="11"/>
    </row>
    <row r="458">
      <c r="C458" s="9"/>
      <c r="L458" s="11"/>
      <c r="M458" s="12"/>
      <c r="N458" s="12"/>
      <c r="O458" s="12"/>
      <c r="P458" s="11"/>
    </row>
    <row r="459">
      <c r="C459" s="9"/>
      <c r="L459" s="11"/>
      <c r="M459" s="12"/>
      <c r="N459" s="12"/>
      <c r="O459" s="12"/>
      <c r="P459" s="11"/>
    </row>
    <row r="460">
      <c r="C460" s="9"/>
      <c r="L460" s="11"/>
      <c r="M460" s="12"/>
      <c r="N460" s="12"/>
      <c r="O460" s="12"/>
      <c r="P460" s="11"/>
    </row>
    <row r="461">
      <c r="C461" s="9"/>
      <c r="L461" s="11"/>
      <c r="M461" s="12"/>
      <c r="N461" s="12"/>
      <c r="O461" s="12"/>
      <c r="P461" s="11"/>
    </row>
    <row r="462">
      <c r="C462" s="9"/>
      <c r="L462" s="11"/>
      <c r="M462" s="12"/>
      <c r="N462" s="12"/>
      <c r="O462" s="12"/>
      <c r="P462" s="11"/>
    </row>
    <row r="463">
      <c r="C463" s="9"/>
      <c r="L463" s="11"/>
      <c r="M463" s="12"/>
      <c r="N463" s="12"/>
      <c r="O463" s="12"/>
      <c r="P463" s="11"/>
    </row>
    <row r="464">
      <c r="C464" s="9"/>
      <c r="L464" s="11"/>
      <c r="M464" s="12"/>
      <c r="N464" s="12"/>
      <c r="O464" s="12"/>
      <c r="P464" s="11"/>
    </row>
    <row r="465">
      <c r="C465" s="9"/>
      <c r="L465" s="11"/>
      <c r="M465" s="12"/>
      <c r="N465" s="12"/>
      <c r="O465" s="12"/>
      <c r="P465" s="11"/>
    </row>
    <row r="466">
      <c r="C466" s="9"/>
      <c r="L466" s="11"/>
      <c r="M466" s="12"/>
      <c r="N466" s="12"/>
      <c r="O466" s="12"/>
      <c r="P466" s="11"/>
    </row>
    <row r="467">
      <c r="C467" s="9"/>
      <c r="L467" s="11"/>
      <c r="M467" s="12"/>
      <c r="N467" s="12"/>
      <c r="O467" s="12"/>
      <c r="P467" s="11"/>
    </row>
    <row r="468">
      <c r="C468" s="9"/>
      <c r="L468" s="11"/>
      <c r="M468" s="12"/>
      <c r="N468" s="12"/>
      <c r="O468" s="12"/>
      <c r="P468" s="11"/>
    </row>
    <row r="469">
      <c r="C469" s="9"/>
      <c r="L469" s="11"/>
      <c r="M469" s="12"/>
      <c r="N469" s="12"/>
      <c r="O469" s="12"/>
      <c r="P469" s="11"/>
    </row>
    <row r="470">
      <c r="C470" s="9"/>
      <c r="L470" s="11"/>
      <c r="M470" s="12"/>
      <c r="N470" s="12"/>
      <c r="O470" s="12"/>
      <c r="P470" s="11"/>
    </row>
    <row r="471">
      <c r="C471" s="9"/>
      <c r="L471" s="11"/>
      <c r="M471" s="12"/>
      <c r="N471" s="12"/>
      <c r="O471" s="12"/>
      <c r="P471" s="11"/>
    </row>
    <row r="472">
      <c r="C472" s="9"/>
      <c r="L472" s="11"/>
      <c r="M472" s="12"/>
      <c r="N472" s="12"/>
      <c r="O472" s="12"/>
      <c r="P472" s="11"/>
    </row>
    <row r="473">
      <c r="C473" s="9"/>
      <c r="L473" s="11"/>
      <c r="M473" s="12"/>
      <c r="N473" s="12"/>
      <c r="O473" s="12"/>
      <c r="P473" s="11"/>
    </row>
    <row r="474">
      <c r="C474" s="9"/>
      <c r="L474" s="11"/>
      <c r="M474" s="12"/>
      <c r="N474" s="12"/>
      <c r="O474" s="12"/>
      <c r="P474" s="11"/>
    </row>
    <row r="475">
      <c r="C475" s="9"/>
      <c r="L475" s="11"/>
      <c r="M475" s="12"/>
      <c r="N475" s="12"/>
      <c r="O475" s="12"/>
      <c r="P475" s="11"/>
    </row>
    <row r="476">
      <c r="C476" s="9"/>
      <c r="L476" s="11"/>
      <c r="M476" s="12"/>
      <c r="N476" s="12"/>
      <c r="O476" s="12"/>
      <c r="P476" s="11"/>
    </row>
    <row r="477">
      <c r="C477" s="9"/>
      <c r="L477" s="11"/>
      <c r="M477" s="12"/>
      <c r="N477" s="12"/>
      <c r="O477" s="12"/>
      <c r="P477" s="11"/>
    </row>
    <row r="478">
      <c r="C478" s="9"/>
      <c r="L478" s="11"/>
      <c r="M478" s="12"/>
      <c r="N478" s="12"/>
      <c r="O478" s="12"/>
      <c r="P478" s="11"/>
    </row>
    <row r="479">
      <c r="C479" s="9"/>
      <c r="L479" s="11"/>
      <c r="M479" s="12"/>
      <c r="N479" s="12"/>
      <c r="O479" s="12"/>
      <c r="P479" s="11"/>
    </row>
    <row r="480">
      <c r="C480" s="9"/>
      <c r="L480" s="11"/>
      <c r="M480" s="12"/>
      <c r="N480" s="12"/>
      <c r="O480" s="12"/>
      <c r="P480" s="11"/>
    </row>
    <row r="481">
      <c r="C481" s="9"/>
      <c r="L481" s="11"/>
      <c r="M481" s="12"/>
      <c r="N481" s="12"/>
      <c r="O481" s="12"/>
      <c r="P481" s="11"/>
    </row>
    <row r="482">
      <c r="C482" s="9"/>
      <c r="L482" s="11"/>
      <c r="M482" s="12"/>
      <c r="N482" s="12"/>
      <c r="O482" s="12"/>
      <c r="P482" s="11"/>
    </row>
    <row r="483">
      <c r="C483" s="9"/>
      <c r="L483" s="11"/>
      <c r="M483" s="12"/>
      <c r="N483" s="12"/>
      <c r="O483" s="12"/>
      <c r="P483" s="11"/>
    </row>
    <row r="484">
      <c r="C484" s="9"/>
      <c r="L484" s="11"/>
      <c r="M484" s="12"/>
      <c r="N484" s="12"/>
      <c r="O484" s="12"/>
      <c r="P484" s="11"/>
    </row>
    <row r="485">
      <c r="C485" s="9"/>
      <c r="L485" s="11"/>
      <c r="M485" s="12"/>
      <c r="N485" s="12"/>
      <c r="O485" s="12"/>
      <c r="P485" s="11"/>
    </row>
    <row r="486">
      <c r="C486" s="9"/>
      <c r="L486" s="11"/>
      <c r="M486" s="12"/>
      <c r="N486" s="12"/>
      <c r="O486" s="12"/>
      <c r="P486" s="11"/>
    </row>
    <row r="487">
      <c r="C487" s="9"/>
      <c r="L487" s="11"/>
      <c r="M487" s="12"/>
      <c r="N487" s="12"/>
      <c r="O487" s="12"/>
      <c r="P487" s="11"/>
    </row>
    <row r="488">
      <c r="C488" s="9"/>
      <c r="L488" s="11"/>
      <c r="M488" s="12"/>
      <c r="N488" s="12"/>
      <c r="O488" s="12"/>
      <c r="P488" s="11"/>
    </row>
    <row r="489">
      <c r="C489" s="9"/>
      <c r="L489" s="11"/>
      <c r="M489" s="12"/>
      <c r="N489" s="12"/>
      <c r="O489" s="12"/>
      <c r="P489" s="11"/>
    </row>
    <row r="490">
      <c r="C490" s="9"/>
      <c r="L490" s="11"/>
      <c r="M490" s="12"/>
      <c r="N490" s="12"/>
      <c r="O490" s="12"/>
      <c r="P490" s="11"/>
    </row>
    <row r="491">
      <c r="C491" s="9"/>
      <c r="L491" s="11"/>
      <c r="M491" s="12"/>
      <c r="N491" s="12"/>
      <c r="O491" s="12"/>
      <c r="P491" s="11"/>
    </row>
    <row r="492">
      <c r="C492" s="9"/>
      <c r="L492" s="11"/>
      <c r="M492" s="12"/>
      <c r="N492" s="12"/>
      <c r="O492" s="12"/>
      <c r="P492" s="11"/>
    </row>
    <row r="493">
      <c r="C493" s="9"/>
      <c r="L493" s="11"/>
      <c r="M493" s="12"/>
      <c r="N493" s="12"/>
      <c r="O493" s="12"/>
      <c r="P493" s="11"/>
    </row>
    <row r="494">
      <c r="C494" s="9"/>
      <c r="L494" s="11"/>
      <c r="M494" s="12"/>
      <c r="N494" s="12"/>
      <c r="O494" s="12"/>
      <c r="P494" s="11"/>
    </row>
    <row r="495">
      <c r="C495" s="9"/>
      <c r="L495" s="11"/>
      <c r="M495" s="12"/>
      <c r="N495" s="12"/>
      <c r="O495" s="12"/>
      <c r="P495" s="11"/>
    </row>
    <row r="496">
      <c r="C496" s="9"/>
      <c r="L496" s="11"/>
      <c r="M496" s="12"/>
      <c r="N496" s="12"/>
      <c r="O496" s="12"/>
      <c r="P496" s="11"/>
    </row>
    <row r="497">
      <c r="C497" s="9"/>
      <c r="L497" s="11"/>
      <c r="M497" s="12"/>
      <c r="N497" s="12"/>
      <c r="O497" s="12"/>
      <c r="P497" s="11"/>
    </row>
    <row r="498">
      <c r="C498" s="9"/>
      <c r="L498" s="11"/>
      <c r="M498" s="12"/>
      <c r="N498" s="12"/>
      <c r="O498" s="12"/>
      <c r="P498" s="11"/>
    </row>
    <row r="499">
      <c r="C499" s="9"/>
      <c r="L499" s="11"/>
      <c r="M499" s="12"/>
      <c r="N499" s="12"/>
      <c r="O499" s="12"/>
      <c r="P499" s="11"/>
    </row>
    <row r="500">
      <c r="C500" s="9"/>
      <c r="L500" s="11"/>
      <c r="M500" s="12"/>
      <c r="N500" s="12"/>
      <c r="O500" s="12"/>
      <c r="P500" s="11"/>
    </row>
    <row r="501">
      <c r="C501" s="9"/>
      <c r="L501" s="11"/>
      <c r="M501" s="12"/>
      <c r="N501" s="12"/>
      <c r="O501" s="12"/>
      <c r="P501" s="11"/>
    </row>
    <row r="502">
      <c r="C502" s="9"/>
      <c r="L502" s="11"/>
      <c r="M502" s="12"/>
      <c r="N502" s="12"/>
      <c r="O502" s="12"/>
      <c r="P502" s="11"/>
    </row>
    <row r="503">
      <c r="C503" s="9"/>
      <c r="L503" s="11"/>
      <c r="M503" s="12"/>
      <c r="N503" s="12"/>
      <c r="O503" s="12"/>
      <c r="P503" s="11"/>
    </row>
    <row r="504">
      <c r="C504" s="9"/>
      <c r="L504" s="11"/>
      <c r="M504" s="12"/>
      <c r="N504" s="12"/>
      <c r="O504" s="12"/>
      <c r="P504" s="11"/>
    </row>
    <row r="505">
      <c r="C505" s="9"/>
      <c r="L505" s="11"/>
      <c r="M505" s="12"/>
      <c r="N505" s="12"/>
      <c r="O505" s="12"/>
      <c r="P505" s="11"/>
    </row>
    <row r="506">
      <c r="C506" s="9"/>
      <c r="L506" s="11"/>
      <c r="M506" s="12"/>
      <c r="N506" s="12"/>
      <c r="O506" s="12"/>
      <c r="P506" s="11"/>
    </row>
    <row r="507">
      <c r="C507" s="9"/>
      <c r="L507" s="11"/>
      <c r="M507" s="12"/>
      <c r="N507" s="12"/>
      <c r="O507" s="12"/>
      <c r="P507" s="11"/>
    </row>
    <row r="508">
      <c r="C508" s="9"/>
      <c r="L508" s="11"/>
      <c r="M508" s="12"/>
      <c r="N508" s="12"/>
      <c r="O508" s="12"/>
      <c r="P508" s="11"/>
    </row>
    <row r="509">
      <c r="C509" s="9"/>
      <c r="L509" s="11"/>
      <c r="M509" s="12"/>
      <c r="N509" s="12"/>
      <c r="O509" s="12"/>
      <c r="P509" s="11"/>
    </row>
    <row r="510">
      <c r="C510" s="9"/>
      <c r="L510" s="11"/>
      <c r="M510" s="12"/>
      <c r="N510" s="12"/>
      <c r="O510" s="12"/>
      <c r="P510" s="11"/>
    </row>
    <row r="511">
      <c r="C511" s="9"/>
      <c r="L511" s="11"/>
      <c r="M511" s="12"/>
      <c r="N511" s="12"/>
      <c r="O511" s="12"/>
      <c r="P511" s="11"/>
    </row>
    <row r="512">
      <c r="C512" s="9"/>
      <c r="L512" s="11"/>
      <c r="M512" s="12"/>
      <c r="N512" s="12"/>
      <c r="O512" s="12"/>
      <c r="P512" s="11"/>
    </row>
    <row r="513">
      <c r="C513" s="9"/>
      <c r="L513" s="11"/>
      <c r="M513" s="12"/>
      <c r="N513" s="12"/>
      <c r="O513" s="12"/>
      <c r="P513" s="11"/>
    </row>
    <row r="514">
      <c r="C514" s="9"/>
      <c r="L514" s="11"/>
      <c r="M514" s="12"/>
      <c r="N514" s="12"/>
      <c r="O514" s="12"/>
      <c r="P514" s="11"/>
    </row>
    <row r="515">
      <c r="C515" s="9"/>
      <c r="L515" s="11"/>
      <c r="M515" s="12"/>
      <c r="N515" s="12"/>
      <c r="O515" s="12"/>
      <c r="P515" s="11"/>
    </row>
    <row r="516">
      <c r="C516" s="9"/>
      <c r="L516" s="11"/>
      <c r="M516" s="12"/>
      <c r="N516" s="12"/>
      <c r="O516" s="12"/>
      <c r="P516" s="11"/>
    </row>
    <row r="517">
      <c r="C517" s="9"/>
      <c r="L517" s="11"/>
      <c r="M517" s="12"/>
      <c r="N517" s="12"/>
      <c r="O517" s="12"/>
      <c r="P517" s="11"/>
    </row>
    <row r="518">
      <c r="C518" s="9"/>
      <c r="L518" s="11"/>
      <c r="M518" s="12"/>
      <c r="N518" s="12"/>
      <c r="O518" s="12"/>
      <c r="P518" s="11"/>
    </row>
    <row r="519">
      <c r="C519" s="9"/>
      <c r="L519" s="11"/>
      <c r="M519" s="12"/>
      <c r="N519" s="12"/>
      <c r="O519" s="12"/>
      <c r="P519" s="11"/>
    </row>
    <row r="520">
      <c r="C520" s="9"/>
      <c r="L520" s="11"/>
      <c r="M520" s="12"/>
      <c r="N520" s="12"/>
      <c r="O520" s="12"/>
      <c r="P520" s="11"/>
    </row>
    <row r="521">
      <c r="C521" s="9"/>
      <c r="L521" s="11"/>
      <c r="M521" s="12"/>
      <c r="N521" s="12"/>
      <c r="O521" s="12"/>
      <c r="P521" s="11"/>
    </row>
    <row r="522">
      <c r="C522" s="9"/>
      <c r="L522" s="11"/>
      <c r="M522" s="12"/>
      <c r="N522" s="12"/>
      <c r="O522" s="12"/>
      <c r="P522" s="11"/>
    </row>
    <row r="523">
      <c r="C523" s="9"/>
      <c r="L523" s="11"/>
      <c r="M523" s="12"/>
      <c r="N523" s="12"/>
      <c r="O523" s="12"/>
      <c r="P523" s="11"/>
    </row>
    <row r="524">
      <c r="C524" s="9"/>
      <c r="L524" s="11"/>
      <c r="M524" s="12"/>
      <c r="N524" s="12"/>
      <c r="O524" s="12"/>
      <c r="P524" s="11"/>
    </row>
    <row r="525">
      <c r="C525" s="9"/>
      <c r="L525" s="11"/>
      <c r="M525" s="12"/>
      <c r="N525" s="12"/>
      <c r="O525" s="12"/>
      <c r="P525" s="11"/>
    </row>
    <row r="526">
      <c r="C526" s="9"/>
      <c r="L526" s="11"/>
      <c r="M526" s="12"/>
      <c r="N526" s="12"/>
      <c r="O526" s="12"/>
      <c r="P526" s="11"/>
    </row>
    <row r="527">
      <c r="C527" s="9"/>
      <c r="L527" s="11"/>
      <c r="M527" s="12"/>
      <c r="N527" s="12"/>
      <c r="O527" s="12"/>
      <c r="P527" s="11"/>
    </row>
    <row r="528">
      <c r="C528" s="9"/>
      <c r="L528" s="11"/>
      <c r="M528" s="12"/>
      <c r="N528" s="12"/>
      <c r="O528" s="12"/>
      <c r="P528" s="11"/>
    </row>
    <row r="529">
      <c r="C529" s="9"/>
      <c r="L529" s="11"/>
      <c r="M529" s="12"/>
      <c r="N529" s="12"/>
      <c r="O529" s="12"/>
      <c r="P529" s="11"/>
    </row>
    <row r="530">
      <c r="C530" s="9"/>
      <c r="L530" s="11"/>
      <c r="M530" s="12"/>
      <c r="N530" s="12"/>
      <c r="O530" s="12"/>
      <c r="P530" s="11"/>
    </row>
    <row r="531">
      <c r="C531" s="9"/>
      <c r="L531" s="11"/>
      <c r="M531" s="12"/>
      <c r="N531" s="12"/>
      <c r="O531" s="12"/>
      <c r="P531" s="11"/>
    </row>
    <row r="532">
      <c r="C532" s="9"/>
      <c r="L532" s="11"/>
      <c r="M532" s="12"/>
      <c r="N532" s="12"/>
      <c r="O532" s="12"/>
      <c r="P532" s="11"/>
    </row>
    <row r="533">
      <c r="C533" s="9"/>
      <c r="L533" s="11"/>
      <c r="M533" s="12"/>
      <c r="N533" s="12"/>
      <c r="O533" s="12"/>
      <c r="P533" s="11"/>
    </row>
    <row r="534">
      <c r="C534" s="9"/>
      <c r="L534" s="11"/>
      <c r="M534" s="12"/>
      <c r="N534" s="12"/>
      <c r="O534" s="12"/>
      <c r="P534" s="11"/>
    </row>
    <row r="535">
      <c r="C535" s="9"/>
      <c r="L535" s="11"/>
      <c r="M535" s="12"/>
      <c r="N535" s="12"/>
      <c r="O535" s="12"/>
      <c r="P535" s="11"/>
    </row>
    <row r="536">
      <c r="C536" s="9"/>
      <c r="L536" s="11"/>
      <c r="M536" s="12"/>
      <c r="N536" s="12"/>
      <c r="O536" s="12"/>
      <c r="P536" s="11"/>
    </row>
    <row r="537">
      <c r="C537" s="9"/>
      <c r="L537" s="11"/>
      <c r="M537" s="12"/>
      <c r="N537" s="12"/>
      <c r="O537" s="12"/>
      <c r="P537" s="11"/>
    </row>
    <row r="538">
      <c r="C538" s="9"/>
      <c r="L538" s="11"/>
      <c r="M538" s="12"/>
      <c r="N538" s="12"/>
      <c r="O538" s="12"/>
      <c r="P538" s="11"/>
    </row>
    <row r="539">
      <c r="C539" s="9"/>
      <c r="L539" s="11"/>
      <c r="M539" s="12"/>
      <c r="N539" s="12"/>
      <c r="O539" s="12"/>
      <c r="P539" s="11"/>
    </row>
    <row r="540">
      <c r="C540" s="9"/>
      <c r="L540" s="11"/>
      <c r="M540" s="12"/>
      <c r="N540" s="12"/>
      <c r="O540" s="12"/>
      <c r="P540" s="11"/>
    </row>
    <row r="541">
      <c r="C541" s="9"/>
      <c r="L541" s="11"/>
      <c r="M541" s="12"/>
      <c r="N541" s="12"/>
      <c r="O541" s="12"/>
      <c r="P541" s="11"/>
    </row>
    <row r="542">
      <c r="C542" s="9"/>
      <c r="L542" s="11"/>
      <c r="M542" s="12"/>
      <c r="N542" s="12"/>
      <c r="O542" s="12"/>
      <c r="P542" s="11"/>
    </row>
    <row r="543">
      <c r="C543" s="9"/>
      <c r="L543" s="11"/>
      <c r="M543" s="12"/>
      <c r="N543" s="12"/>
      <c r="O543" s="12"/>
      <c r="P543" s="11"/>
    </row>
    <row r="544">
      <c r="C544" s="9"/>
      <c r="L544" s="11"/>
      <c r="M544" s="12"/>
      <c r="N544" s="12"/>
      <c r="O544" s="12"/>
      <c r="P544" s="11"/>
    </row>
    <row r="545">
      <c r="C545" s="9"/>
      <c r="L545" s="11"/>
      <c r="M545" s="12"/>
      <c r="N545" s="12"/>
      <c r="O545" s="12"/>
      <c r="P545" s="11"/>
    </row>
    <row r="546">
      <c r="C546" s="9"/>
      <c r="L546" s="11"/>
      <c r="M546" s="12"/>
      <c r="N546" s="12"/>
      <c r="O546" s="12"/>
      <c r="P546" s="11"/>
    </row>
    <row r="547">
      <c r="C547" s="9"/>
      <c r="L547" s="11"/>
      <c r="M547" s="12"/>
      <c r="N547" s="12"/>
      <c r="O547" s="12"/>
      <c r="P547" s="11"/>
    </row>
    <row r="548">
      <c r="C548" s="9"/>
      <c r="L548" s="11"/>
      <c r="M548" s="12"/>
      <c r="N548" s="12"/>
      <c r="O548" s="12"/>
      <c r="P548" s="11"/>
    </row>
    <row r="549">
      <c r="C549" s="9"/>
      <c r="L549" s="11"/>
      <c r="M549" s="12"/>
      <c r="N549" s="12"/>
      <c r="O549" s="12"/>
      <c r="P549" s="11"/>
    </row>
    <row r="550">
      <c r="C550" s="9"/>
      <c r="L550" s="11"/>
      <c r="M550" s="12"/>
      <c r="N550" s="12"/>
      <c r="O550" s="12"/>
      <c r="P550" s="11"/>
    </row>
    <row r="551">
      <c r="C551" s="9"/>
      <c r="L551" s="11"/>
      <c r="M551" s="12"/>
      <c r="N551" s="12"/>
      <c r="O551" s="12"/>
      <c r="P551" s="11"/>
    </row>
    <row r="552">
      <c r="C552" s="9"/>
      <c r="L552" s="11"/>
      <c r="M552" s="12"/>
      <c r="N552" s="12"/>
      <c r="O552" s="12"/>
      <c r="P552" s="11"/>
    </row>
    <row r="553">
      <c r="C553" s="9"/>
      <c r="L553" s="11"/>
      <c r="M553" s="12"/>
      <c r="N553" s="12"/>
      <c r="O553" s="12"/>
      <c r="P553" s="11"/>
    </row>
    <row r="554">
      <c r="C554" s="9"/>
      <c r="L554" s="11"/>
      <c r="M554" s="12"/>
      <c r="N554" s="12"/>
      <c r="O554" s="12"/>
      <c r="P554" s="11"/>
    </row>
    <row r="555">
      <c r="C555" s="9"/>
      <c r="L555" s="11"/>
      <c r="M555" s="12"/>
      <c r="N555" s="12"/>
      <c r="O555" s="12"/>
      <c r="P555" s="11"/>
    </row>
    <row r="556">
      <c r="C556" s="9"/>
      <c r="L556" s="11"/>
      <c r="M556" s="12"/>
      <c r="N556" s="12"/>
      <c r="O556" s="12"/>
      <c r="P556" s="11"/>
    </row>
    <row r="557">
      <c r="C557" s="9"/>
      <c r="L557" s="11"/>
      <c r="M557" s="12"/>
      <c r="N557" s="12"/>
      <c r="O557" s="12"/>
      <c r="P557" s="11"/>
    </row>
    <row r="558">
      <c r="C558" s="9"/>
      <c r="L558" s="11"/>
      <c r="M558" s="12"/>
      <c r="N558" s="12"/>
      <c r="O558" s="12"/>
      <c r="P558" s="11"/>
    </row>
    <row r="559">
      <c r="C559" s="9"/>
      <c r="L559" s="11"/>
      <c r="M559" s="12"/>
      <c r="N559" s="12"/>
      <c r="O559" s="12"/>
      <c r="P559" s="11"/>
    </row>
    <row r="560">
      <c r="C560" s="9"/>
      <c r="L560" s="11"/>
      <c r="M560" s="12"/>
      <c r="N560" s="12"/>
      <c r="O560" s="12"/>
      <c r="P560" s="11"/>
    </row>
    <row r="561">
      <c r="C561" s="9"/>
      <c r="L561" s="11"/>
      <c r="M561" s="12"/>
      <c r="N561" s="12"/>
      <c r="O561" s="12"/>
      <c r="P561" s="11"/>
    </row>
    <row r="562">
      <c r="C562" s="9"/>
      <c r="L562" s="11"/>
      <c r="M562" s="12"/>
      <c r="N562" s="12"/>
      <c r="O562" s="12"/>
      <c r="P562" s="11"/>
    </row>
    <row r="563">
      <c r="C563" s="9"/>
      <c r="L563" s="11"/>
      <c r="M563" s="12"/>
      <c r="N563" s="12"/>
      <c r="O563" s="12"/>
      <c r="P563" s="11"/>
    </row>
    <row r="564">
      <c r="C564" s="9"/>
      <c r="L564" s="11"/>
      <c r="M564" s="12"/>
      <c r="N564" s="12"/>
      <c r="O564" s="12"/>
      <c r="P564" s="11"/>
    </row>
    <row r="565">
      <c r="C565" s="9"/>
      <c r="L565" s="11"/>
      <c r="M565" s="12"/>
      <c r="N565" s="12"/>
      <c r="O565" s="12"/>
      <c r="P565" s="11"/>
    </row>
    <row r="566">
      <c r="C566" s="9"/>
      <c r="L566" s="11"/>
      <c r="M566" s="12"/>
      <c r="N566" s="12"/>
      <c r="O566" s="12"/>
      <c r="P566" s="11"/>
    </row>
    <row r="567">
      <c r="C567" s="9"/>
      <c r="L567" s="11"/>
      <c r="M567" s="12"/>
      <c r="N567" s="12"/>
      <c r="O567" s="12"/>
      <c r="P567" s="11"/>
    </row>
    <row r="568">
      <c r="C568" s="9"/>
      <c r="L568" s="11"/>
      <c r="M568" s="12"/>
      <c r="N568" s="12"/>
      <c r="O568" s="12"/>
      <c r="P568" s="11"/>
    </row>
    <row r="569">
      <c r="C569" s="9"/>
      <c r="L569" s="11"/>
      <c r="M569" s="12"/>
      <c r="N569" s="12"/>
      <c r="O569" s="12"/>
      <c r="P569" s="11"/>
    </row>
    <row r="570">
      <c r="C570" s="9"/>
      <c r="L570" s="11"/>
      <c r="M570" s="12"/>
      <c r="N570" s="12"/>
      <c r="O570" s="12"/>
      <c r="P570" s="11"/>
    </row>
    <row r="571">
      <c r="C571" s="9"/>
      <c r="L571" s="11"/>
      <c r="M571" s="12"/>
      <c r="N571" s="12"/>
      <c r="O571" s="12"/>
      <c r="P571" s="11"/>
    </row>
    <row r="572">
      <c r="C572" s="9"/>
      <c r="L572" s="11"/>
      <c r="M572" s="12"/>
      <c r="N572" s="12"/>
      <c r="O572" s="12"/>
      <c r="P572" s="11"/>
    </row>
    <row r="573">
      <c r="C573" s="9"/>
      <c r="L573" s="11"/>
      <c r="M573" s="12"/>
      <c r="N573" s="12"/>
      <c r="O573" s="12"/>
      <c r="P573" s="11"/>
    </row>
    <row r="574">
      <c r="C574" s="9"/>
      <c r="L574" s="11"/>
      <c r="M574" s="12"/>
      <c r="N574" s="12"/>
      <c r="O574" s="12"/>
      <c r="P574" s="11"/>
    </row>
    <row r="575">
      <c r="C575" s="9"/>
      <c r="L575" s="11"/>
      <c r="M575" s="12"/>
      <c r="N575" s="12"/>
      <c r="O575" s="12"/>
      <c r="P575" s="11"/>
    </row>
    <row r="576">
      <c r="C576" s="9"/>
      <c r="L576" s="11"/>
      <c r="M576" s="12"/>
      <c r="N576" s="12"/>
      <c r="O576" s="12"/>
      <c r="P576" s="11"/>
    </row>
    <row r="577">
      <c r="C577" s="9"/>
      <c r="L577" s="11"/>
      <c r="M577" s="12"/>
      <c r="N577" s="12"/>
      <c r="O577" s="12"/>
      <c r="P577" s="11"/>
    </row>
    <row r="578">
      <c r="C578" s="9"/>
      <c r="L578" s="11"/>
      <c r="M578" s="12"/>
      <c r="N578" s="12"/>
      <c r="O578" s="12"/>
      <c r="P578" s="11"/>
    </row>
    <row r="579">
      <c r="C579" s="9"/>
      <c r="L579" s="11"/>
      <c r="M579" s="12"/>
      <c r="N579" s="12"/>
      <c r="O579" s="12"/>
      <c r="P579" s="11"/>
    </row>
    <row r="580">
      <c r="C580" s="9"/>
      <c r="L580" s="11"/>
      <c r="M580" s="12"/>
      <c r="N580" s="12"/>
      <c r="O580" s="12"/>
      <c r="P580" s="11"/>
    </row>
    <row r="581">
      <c r="C581" s="9"/>
      <c r="L581" s="11"/>
      <c r="M581" s="12"/>
      <c r="N581" s="12"/>
      <c r="O581" s="12"/>
      <c r="P581" s="11"/>
    </row>
    <row r="582">
      <c r="C582" s="9"/>
      <c r="L582" s="11"/>
      <c r="M582" s="12"/>
      <c r="N582" s="12"/>
      <c r="O582" s="12"/>
      <c r="P582" s="11"/>
    </row>
    <row r="583">
      <c r="C583" s="9"/>
      <c r="L583" s="11"/>
      <c r="M583" s="12"/>
      <c r="N583" s="12"/>
      <c r="O583" s="12"/>
      <c r="P583" s="11"/>
    </row>
    <row r="584">
      <c r="C584" s="9"/>
      <c r="L584" s="11"/>
      <c r="M584" s="12"/>
      <c r="N584" s="12"/>
      <c r="O584" s="12"/>
      <c r="P584" s="11"/>
    </row>
    <row r="585">
      <c r="C585" s="9"/>
      <c r="L585" s="11"/>
      <c r="M585" s="12"/>
      <c r="N585" s="12"/>
      <c r="O585" s="12"/>
      <c r="P585" s="11"/>
    </row>
    <row r="586">
      <c r="C586" s="9"/>
      <c r="L586" s="11"/>
      <c r="M586" s="12"/>
      <c r="N586" s="12"/>
      <c r="O586" s="12"/>
      <c r="P586" s="11"/>
    </row>
    <row r="587">
      <c r="C587" s="9"/>
      <c r="L587" s="11"/>
      <c r="M587" s="12"/>
      <c r="N587" s="12"/>
      <c r="O587" s="12"/>
      <c r="P587" s="11"/>
    </row>
    <row r="588">
      <c r="C588" s="9"/>
      <c r="L588" s="11"/>
      <c r="M588" s="12"/>
      <c r="N588" s="12"/>
      <c r="O588" s="12"/>
      <c r="P588" s="11"/>
    </row>
    <row r="589">
      <c r="C589" s="9"/>
      <c r="L589" s="11"/>
      <c r="M589" s="12"/>
      <c r="N589" s="12"/>
      <c r="O589" s="12"/>
      <c r="P589" s="11"/>
    </row>
    <row r="590">
      <c r="C590" s="9"/>
      <c r="L590" s="11"/>
      <c r="M590" s="12"/>
      <c r="N590" s="12"/>
      <c r="O590" s="12"/>
      <c r="P590" s="11"/>
    </row>
    <row r="591">
      <c r="C591" s="9"/>
      <c r="L591" s="11"/>
      <c r="M591" s="12"/>
      <c r="N591" s="12"/>
      <c r="O591" s="12"/>
      <c r="P591" s="11"/>
    </row>
    <row r="592">
      <c r="C592" s="9"/>
      <c r="L592" s="11"/>
      <c r="M592" s="12"/>
      <c r="N592" s="12"/>
      <c r="O592" s="12"/>
      <c r="P592" s="11"/>
    </row>
    <row r="593">
      <c r="C593" s="9"/>
      <c r="L593" s="11"/>
      <c r="M593" s="12"/>
      <c r="N593" s="12"/>
      <c r="O593" s="12"/>
      <c r="P593" s="11"/>
    </row>
    <row r="594">
      <c r="C594" s="9"/>
      <c r="L594" s="11"/>
      <c r="M594" s="12"/>
      <c r="N594" s="12"/>
      <c r="O594" s="12"/>
      <c r="P594" s="11"/>
    </row>
    <row r="595">
      <c r="C595" s="9"/>
      <c r="L595" s="11"/>
      <c r="M595" s="12"/>
      <c r="N595" s="12"/>
      <c r="O595" s="12"/>
      <c r="P595" s="11"/>
    </row>
    <row r="596">
      <c r="C596" s="9"/>
      <c r="L596" s="11"/>
      <c r="M596" s="12"/>
      <c r="N596" s="12"/>
      <c r="O596" s="12"/>
      <c r="P596" s="11"/>
    </row>
    <row r="597">
      <c r="C597" s="9"/>
      <c r="L597" s="11"/>
      <c r="M597" s="12"/>
      <c r="N597" s="12"/>
      <c r="O597" s="12"/>
      <c r="P597" s="11"/>
    </row>
    <row r="598">
      <c r="C598" s="9"/>
      <c r="L598" s="11"/>
      <c r="M598" s="12"/>
      <c r="N598" s="12"/>
      <c r="O598" s="12"/>
      <c r="P598" s="11"/>
    </row>
    <row r="599">
      <c r="C599" s="9"/>
      <c r="L599" s="11"/>
      <c r="M599" s="12"/>
      <c r="N599" s="12"/>
      <c r="O599" s="12"/>
      <c r="P599" s="11"/>
    </row>
    <row r="600">
      <c r="C600" s="9"/>
      <c r="L600" s="11"/>
      <c r="M600" s="12"/>
      <c r="N600" s="12"/>
      <c r="O600" s="12"/>
      <c r="P600" s="11"/>
    </row>
    <row r="601">
      <c r="C601" s="9"/>
      <c r="L601" s="11"/>
      <c r="M601" s="12"/>
      <c r="N601" s="12"/>
      <c r="O601" s="12"/>
      <c r="P601" s="11"/>
    </row>
    <row r="602">
      <c r="C602" s="9"/>
      <c r="L602" s="11"/>
      <c r="M602" s="12"/>
      <c r="N602" s="12"/>
      <c r="O602" s="12"/>
      <c r="P602" s="11"/>
    </row>
    <row r="603">
      <c r="C603" s="9"/>
      <c r="L603" s="11"/>
      <c r="M603" s="12"/>
      <c r="N603" s="12"/>
      <c r="O603" s="12"/>
      <c r="P603" s="11"/>
    </row>
    <row r="604">
      <c r="C604" s="9"/>
      <c r="L604" s="11"/>
      <c r="M604" s="12"/>
      <c r="N604" s="12"/>
      <c r="O604" s="12"/>
      <c r="P604" s="11"/>
    </row>
    <row r="605">
      <c r="C605" s="9"/>
      <c r="L605" s="11"/>
      <c r="M605" s="12"/>
      <c r="N605" s="12"/>
      <c r="O605" s="12"/>
      <c r="P605" s="11"/>
    </row>
    <row r="606">
      <c r="C606" s="9"/>
      <c r="L606" s="11"/>
      <c r="M606" s="12"/>
      <c r="N606" s="12"/>
      <c r="O606" s="12"/>
      <c r="P606" s="11"/>
    </row>
    <row r="607">
      <c r="C607" s="9"/>
      <c r="L607" s="11"/>
      <c r="M607" s="12"/>
      <c r="N607" s="12"/>
      <c r="O607" s="12"/>
      <c r="P607" s="11"/>
    </row>
    <row r="608">
      <c r="C608" s="9"/>
      <c r="L608" s="11"/>
      <c r="M608" s="12"/>
      <c r="N608" s="12"/>
      <c r="O608" s="12"/>
      <c r="P608" s="11"/>
    </row>
    <row r="609">
      <c r="C609" s="9"/>
      <c r="L609" s="11"/>
      <c r="M609" s="12"/>
      <c r="N609" s="12"/>
      <c r="O609" s="12"/>
      <c r="P609" s="11"/>
    </row>
    <row r="610">
      <c r="C610" s="9"/>
      <c r="L610" s="11"/>
      <c r="M610" s="12"/>
      <c r="N610" s="12"/>
      <c r="O610" s="12"/>
      <c r="P610" s="11"/>
    </row>
    <row r="611">
      <c r="C611" s="9"/>
      <c r="L611" s="11"/>
      <c r="M611" s="12"/>
      <c r="N611" s="12"/>
      <c r="O611" s="12"/>
      <c r="P611" s="11"/>
    </row>
    <row r="612">
      <c r="C612" s="9"/>
      <c r="L612" s="11"/>
      <c r="M612" s="12"/>
      <c r="N612" s="12"/>
      <c r="O612" s="12"/>
      <c r="P612" s="11"/>
    </row>
    <row r="613">
      <c r="C613" s="9"/>
      <c r="L613" s="11"/>
      <c r="M613" s="12"/>
      <c r="N613" s="12"/>
      <c r="O613" s="12"/>
      <c r="P613" s="11"/>
    </row>
    <row r="614">
      <c r="C614" s="9"/>
      <c r="L614" s="11"/>
      <c r="M614" s="12"/>
      <c r="N614" s="12"/>
      <c r="O614" s="12"/>
      <c r="P614" s="11"/>
    </row>
    <row r="615">
      <c r="C615" s="9"/>
      <c r="L615" s="11"/>
      <c r="M615" s="12"/>
      <c r="N615" s="12"/>
      <c r="O615" s="12"/>
      <c r="P615" s="11"/>
    </row>
    <row r="616">
      <c r="C616" s="9"/>
      <c r="L616" s="11"/>
      <c r="M616" s="12"/>
      <c r="N616" s="12"/>
      <c r="O616" s="12"/>
      <c r="P616" s="11"/>
    </row>
    <row r="617">
      <c r="C617" s="9"/>
      <c r="L617" s="11"/>
      <c r="M617" s="12"/>
      <c r="N617" s="12"/>
      <c r="O617" s="12"/>
      <c r="P617" s="11"/>
    </row>
    <row r="618">
      <c r="C618" s="9"/>
      <c r="L618" s="11"/>
      <c r="M618" s="12"/>
      <c r="N618" s="12"/>
      <c r="O618" s="12"/>
      <c r="P618" s="11"/>
    </row>
    <row r="619">
      <c r="C619" s="9"/>
      <c r="L619" s="11"/>
      <c r="M619" s="12"/>
      <c r="N619" s="12"/>
      <c r="O619" s="12"/>
      <c r="P619" s="11"/>
    </row>
    <row r="620">
      <c r="C620" s="9"/>
      <c r="L620" s="11"/>
      <c r="M620" s="12"/>
      <c r="N620" s="12"/>
      <c r="O620" s="12"/>
      <c r="P620" s="11"/>
    </row>
    <row r="621">
      <c r="C621" s="9"/>
      <c r="L621" s="11"/>
      <c r="M621" s="12"/>
      <c r="N621" s="12"/>
      <c r="O621" s="12"/>
      <c r="P621" s="11"/>
    </row>
    <row r="622">
      <c r="C622" s="9"/>
      <c r="L622" s="11"/>
      <c r="M622" s="12"/>
      <c r="N622" s="12"/>
      <c r="O622" s="12"/>
      <c r="P622" s="11"/>
    </row>
    <row r="623">
      <c r="C623" s="9"/>
      <c r="L623" s="11"/>
      <c r="M623" s="12"/>
      <c r="N623" s="12"/>
      <c r="O623" s="12"/>
      <c r="P623" s="11"/>
    </row>
    <row r="624">
      <c r="C624" s="9"/>
      <c r="L624" s="11"/>
      <c r="M624" s="12"/>
      <c r="N624" s="12"/>
      <c r="O624" s="12"/>
      <c r="P624" s="11"/>
    </row>
    <row r="625">
      <c r="C625" s="9"/>
      <c r="L625" s="11"/>
      <c r="M625" s="12"/>
      <c r="N625" s="12"/>
      <c r="O625" s="12"/>
      <c r="P625" s="11"/>
    </row>
    <row r="626">
      <c r="C626" s="9"/>
      <c r="L626" s="11"/>
      <c r="M626" s="12"/>
      <c r="N626" s="12"/>
      <c r="O626" s="12"/>
      <c r="P626" s="11"/>
    </row>
    <row r="627">
      <c r="C627" s="9"/>
      <c r="L627" s="11"/>
      <c r="M627" s="12"/>
      <c r="N627" s="12"/>
      <c r="O627" s="12"/>
      <c r="P627" s="11"/>
    </row>
    <row r="628">
      <c r="C628" s="9"/>
      <c r="L628" s="11"/>
      <c r="M628" s="12"/>
      <c r="N628" s="12"/>
      <c r="O628" s="12"/>
      <c r="P628" s="11"/>
    </row>
    <row r="629">
      <c r="C629" s="9"/>
      <c r="L629" s="11"/>
      <c r="M629" s="12"/>
      <c r="N629" s="12"/>
      <c r="O629" s="12"/>
      <c r="P629" s="11"/>
    </row>
    <row r="630">
      <c r="C630" s="9"/>
      <c r="L630" s="11"/>
      <c r="M630" s="12"/>
      <c r="N630" s="12"/>
      <c r="O630" s="12"/>
      <c r="P630" s="11"/>
    </row>
    <row r="631">
      <c r="C631" s="9"/>
      <c r="L631" s="11"/>
      <c r="M631" s="12"/>
      <c r="N631" s="12"/>
      <c r="O631" s="12"/>
      <c r="P631" s="11"/>
    </row>
    <row r="632">
      <c r="C632" s="9"/>
      <c r="L632" s="11"/>
      <c r="M632" s="12"/>
      <c r="N632" s="12"/>
      <c r="O632" s="12"/>
      <c r="P632" s="11"/>
    </row>
    <row r="633">
      <c r="C633" s="9"/>
      <c r="L633" s="11"/>
      <c r="M633" s="12"/>
      <c r="N633" s="12"/>
      <c r="O633" s="12"/>
      <c r="P633" s="11"/>
    </row>
    <row r="634">
      <c r="C634" s="9"/>
      <c r="L634" s="11"/>
      <c r="M634" s="12"/>
      <c r="N634" s="12"/>
      <c r="O634" s="12"/>
      <c r="P634" s="11"/>
    </row>
    <row r="635">
      <c r="C635" s="9"/>
      <c r="L635" s="11"/>
      <c r="M635" s="12"/>
      <c r="N635" s="12"/>
      <c r="O635" s="12"/>
      <c r="P635" s="11"/>
    </row>
    <row r="636">
      <c r="C636" s="9"/>
      <c r="L636" s="11"/>
      <c r="M636" s="12"/>
      <c r="N636" s="12"/>
      <c r="O636" s="12"/>
      <c r="P636" s="11"/>
    </row>
    <row r="637">
      <c r="C637" s="9"/>
      <c r="L637" s="11"/>
      <c r="M637" s="12"/>
      <c r="N637" s="12"/>
      <c r="O637" s="12"/>
      <c r="P637" s="11"/>
    </row>
    <row r="638">
      <c r="C638" s="9"/>
      <c r="L638" s="11"/>
      <c r="M638" s="12"/>
      <c r="N638" s="12"/>
      <c r="O638" s="12"/>
      <c r="P638" s="11"/>
    </row>
    <row r="639">
      <c r="C639" s="9"/>
      <c r="L639" s="11"/>
      <c r="M639" s="12"/>
      <c r="N639" s="12"/>
      <c r="O639" s="12"/>
      <c r="P639" s="11"/>
    </row>
    <row r="640">
      <c r="C640" s="9"/>
      <c r="L640" s="11"/>
      <c r="M640" s="12"/>
      <c r="N640" s="12"/>
      <c r="O640" s="12"/>
      <c r="P640" s="11"/>
    </row>
    <row r="641">
      <c r="C641" s="9"/>
      <c r="L641" s="11"/>
      <c r="M641" s="12"/>
      <c r="N641" s="12"/>
      <c r="O641" s="12"/>
      <c r="P641" s="11"/>
    </row>
    <row r="642">
      <c r="C642" s="9"/>
      <c r="L642" s="11"/>
      <c r="M642" s="12"/>
      <c r="N642" s="12"/>
      <c r="O642" s="12"/>
      <c r="P642" s="11"/>
    </row>
    <row r="643">
      <c r="C643" s="9"/>
      <c r="L643" s="11"/>
      <c r="M643" s="12"/>
      <c r="N643" s="12"/>
      <c r="O643" s="12"/>
      <c r="P643" s="11"/>
    </row>
    <row r="644">
      <c r="C644" s="9"/>
      <c r="L644" s="11"/>
      <c r="M644" s="12"/>
      <c r="N644" s="12"/>
      <c r="O644" s="12"/>
      <c r="P644" s="11"/>
    </row>
    <row r="645">
      <c r="C645" s="9"/>
      <c r="L645" s="11"/>
      <c r="M645" s="12"/>
      <c r="N645" s="12"/>
      <c r="O645" s="12"/>
      <c r="P645" s="11"/>
    </row>
    <row r="646">
      <c r="C646" s="9"/>
      <c r="L646" s="11"/>
      <c r="M646" s="12"/>
      <c r="N646" s="12"/>
      <c r="O646" s="12"/>
      <c r="P646" s="11"/>
    </row>
    <row r="647">
      <c r="C647" s="9"/>
      <c r="L647" s="11"/>
      <c r="M647" s="12"/>
      <c r="N647" s="12"/>
      <c r="O647" s="12"/>
      <c r="P647" s="11"/>
    </row>
    <row r="648">
      <c r="C648" s="9"/>
      <c r="L648" s="11"/>
      <c r="M648" s="12"/>
      <c r="N648" s="12"/>
      <c r="O648" s="12"/>
      <c r="P648" s="11"/>
    </row>
    <row r="649">
      <c r="C649" s="9"/>
      <c r="L649" s="11"/>
      <c r="M649" s="12"/>
      <c r="N649" s="12"/>
      <c r="O649" s="12"/>
      <c r="P649" s="11"/>
    </row>
    <row r="650">
      <c r="C650" s="9"/>
      <c r="L650" s="11"/>
      <c r="M650" s="12"/>
      <c r="N650" s="12"/>
      <c r="O650" s="12"/>
      <c r="P650" s="11"/>
    </row>
    <row r="651">
      <c r="C651" s="9"/>
      <c r="L651" s="11"/>
      <c r="M651" s="12"/>
      <c r="N651" s="12"/>
      <c r="O651" s="12"/>
      <c r="P651" s="11"/>
    </row>
    <row r="652">
      <c r="C652" s="9"/>
      <c r="L652" s="11"/>
      <c r="M652" s="12"/>
      <c r="N652" s="12"/>
      <c r="O652" s="12"/>
      <c r="P652" s="11"/>
    </row>
    <row r="653">
      <c r="C653" s="9"/>
      <c r="L653" s="11"/>
      <c r="M653" s="12"/>
      <c r="N653" s="12"/>
      <c r="O653" s="12"/>
      <c r="P653" s="11"/>
    </row>
    <row r="654">
      <c r="C654" s="9"/>
      <c r="L654" s="11"/>
      <c r="M654" s="12"/>
      <c r="N654" s="12"/>
      <c r="O654" s="12"/>
      <c r="P654" s="11"/>
    </row>
    <row r="655">
      <c r="C655" s="9"/>
      <c r="L655" s="11"/>
      <c r="M655" s="12"/>
      <c r="N655" s="12"/>
      <c r="O655" s="12"/>
      <c r="P655" s="11"/>
    </row>
    <row r="656">
      <c r="C656" s="9"/>
      <c r="L656" s="11"/>
      <c r="M656" s="12"/>
      <c r="N656" s="12"/>
      <c r="O656" s="12"/>
      <c r="P656" s="11"/>
    </row>
    <row r="657">
      <c r="C657" s="9"/>
      <c r="L657" s="11"/>
      <c r="M657" s="12"/>
      <c r="N657" s="12"/>
      <c r="O657" s="12"/>
      <c r="P657" s="11"/>
    </row>
    <row r="658">
      <c r="C658" s="9"/>
      <c r="L658" s="11"/>
      <c r="M658" s="12"/>
      <c r="N658" s="12"/>
      <c r="O658" s="12"/>
      <c r="P658" s="11"/>
    </row>
    <row r="659">
      <c r="C659" s="9"/>
      <c r="L659" s="11"/>
      <c r="M659" s="12"/>
      <c r="N659" s="12"/>
      <c r="O659" s="12"/>
      <c r="P659" s="11"/>
    </row>
    <row r="660">
      <c r="C660" s="9"/>
      <c r="L660" s="11"/>
      <c r="M660" s="12"/>
      <c r="N660" s="12"/>
      <c r="O660" s="12"/>
      <c r="P660" s="11"/>
    </row>
    <row r="661">
      <c r="C661" s="9"/>
      <c r="L661" s="11"/>
      <c r="M661" s="12"/>
      <c r="N661" s="12"/>
      <c r="O661" s="12"/>
      <c r="P661" s="11"/>
    </row>
    <row r="662">
      <c r="C662" s="9"/>
      <c r="L662" s="11"/>
      <c r="M662" s="12"/>
      <c r="N662" s="12"/>
      <c r="O662" s="12"/>
      <c r="P662" s="11"/>
    </row>
    <row r="663">
      <c r="C663" s="9"/>
      <c r="L663" s="11"/>
      <c r="M663" s="12"/>
      <c r="N663" s="12"/>
      <c r="O663" s="12"/>
      <c r="P663" s="11"/>
    </row>
    <row r="664">
      <c r="C664" s="9"/>
      <c r="L664" s="11"/>
      <c r="M664" s="12"/>
      <c r="N664" s="12"/>
      <c r="O664" s="12"/>
      <c r="P664" s="11"/>
    </row>
    <row r="665">
      <c r="C665" s="9"/>
      <c r="L665" s="11"/>
      <c r="M665" s="12"/>
      <c r="N665" s="12"/>
      <c r="O665" s="12"/>
      <c r="P665" s="11"/>
    </row>
    <row r="666">
      <c r="C666" s="9"/>
      <c r="L666" s="11"/>
      <c r="M666" s="12"/>
      <c r="N666" s="12"/>
      <c r="O666" s="12"/>
      <c r="P666" s="11"/>
    </row>
    <row r="667">
      <c r="C667" s="9"/>
      <c r="L667" s="11"/>
      <c r="M667" s="12"/>
      <c r="N667" s="12"/>
      <c r="O667" s="12"/>
      <c r="P667" s="11"/>
    </row>
    <row r="668">
      <c r="C668" s="9"/>
      <c r="L668" s="11"/>
      <c r="M668" s="12"/>
      <c r="N668" s="12"/>
      <c r="O668" s="12"/>
      <c r="P668" s="11"/>
    </row>
    <row r="669">
      <c r="C669" s="9"/>
      <c r="L669" s="11"/>
      <c r="M669" s="12"/>
      <c r="N669" s="12"/>
      <c r="O669" s="12"/>
      <c r="P669" s="11"/>
    </row>
    <row r="670">
      <c r="C670" s="9"/>
      <c r="L670" s="11"/>
      <c r="M670" s="12"/>
      <c r="N670" s="12"/>
      <c r="O670" s="12"/>
      <c r="P670" s="11"/>
    </row>
    <row r="671">
      <c r="C671" s="9"/>
      <c r="L671" s="11"/>
      <c r="M671" s="12"/>
      <c r="N671" s="12"/>
      <c r="O671" s="12"/>
      <c r="P671" s="11"/>
    </row>
    <row r="672">
      <c r="C672" s="9"/>
      <c r="L672" s="11"/>
      <c r="M672" s="12"/>
      <c r="N672" s="12"/>
      <c r="O672" s="12"/>
      <c r="P672" s="11"/>
    </row>
    <row r="673">
      <c r="C673" s="9"/>
      <c r="L673" s="11"/>
      <c r="M673" s="12"/>
      <c r="N673" s="12"/>
      <c r="O673" s="12"/>
      <c r="P673" s="11"/>
    </row>
    <row r="674">
      <c r="C674" s="9"/>
      <c r="L674" s="11"/>
      <c r="M674" s="12"/>
      <c r="N674" s="12"/>
      <c r="O674" s="12"/>
      <c r="P674" s="11"/>
    </row>
    <row r="675">
      <c r="C675" s="9"/>
      <c r="L675" s="11"/>
      <c r="M675" s="12"/>
      <c r="N675" s="12"/>
      <c r="O675" s="12"/>
      <c r="P675" s="11"/>
    </row>
    <row r="676">
      <c r="C676" s="9"/>
      <c r="L676" s="11"/>
      <c r="M676" s="12"/>
      <c r="N676" s="12"/>
      <c r="O676" s="12"/>
      <c r="P676" s="11"/>
    </row>
    <row r="677">
      <c r="C677" s="9"/>
      <c r="L677" s="11"/>
      <c r="M677" s="12"/>
      <c r="N677" s="12"/>
      <c r="O677" s="12"/>
      <c r="P677" s="11"/>
    </row>
    <row r="678">
      <c r="C678" s="9"/>
      <c r="L678" s="11"/>
      <c r="M678" s="12"/>
      <c r="N678" s="12"/>
      <c r="O678" s="12"/>
      <c r="P678" s="11"/>
    </row>
    <row r="679">
      <c r="C679" s="9"/>
      <c r="L679" s="11"/>
      <c r="M679" s="12"/>
      <c r="N679" s="12"/>
      <c r="O679" s="12"/>
      <c r="P679" s="11"/>
    </row>
    <row r="680">
      <c r="C680" s="9"/>
      <c r="L680" s="11"/>
      <c r="M680" s="12"/>
      <c r="N680" s="12"/>
      <c r="O680" s="12"/>
      <c r="P680" s="11"/>
    </row>
    <row r="681">
      <c r="C681" s="9"/>
      <c r="L681" s="11"/>
      <c r="M681" s="12"/>
      <c r="N681" s="12"/>
      <c r="O681" s="12"/>
      <c r="P681" s="11"/>
    </row>
    <row r="682">
      <c r="C682" s="9"/>
      <c r="L682" s="11"/>
      <c r="M682" s="12"/>
      <c r="N682" s="12"/>
      <c r="O682" s="12"/>
      <c r="P682" s="11"/>
    </row>
    <row r="683">
      <c r="C683" s="9"/>
      <c r="L683" s="11"/>
      <c r="M683" s="12"/>
      <c r="N683" s="12"/>
      <c r="O683" s="12"/>
      <c r="P683" s="11"/>
    </row>
    <row r="684">
      <c r="C684" s="9"/>
      <c r="L684" s="11"/>
      <c r="M684" s="12"/>
      <c r="N684" s="12"/>
      <c r="O684" s="12"/>
      <c r="P684" s="11"/>
    </row>
    <row r="685">
      <c r="C685" s="9"/>
      <c r="L685" s="11"/>
      <c r="M685" s="12"/>
      <c r="N685" s="12"/>
      <c r="O685" s="12"/>
      <c r="P685" s="11"/>
    </row>
    <row r="686">
      <c r="C686" s="9"/>
      <c r="L686" s="11"/>
      <c r="M686" s="12"/>
      <c r="N686" s="12"/>
      <c r="O686" s="12"/>
      <c r="P686" s="11"/>
    </row>
    <row r="687">
      <c r="C687" s="9"/>
      <c r="L687" s="11"/>
      <c r="M687" s="12"/>
      <c r="N687" s="12"/>
      <c r="O687" s="12"/>
      <c r="P687" s="11"/>
    </row>
    <row r="688">
      <c r="C688" s="9"/>
      <c r="L688" s="11"/>
      <c r="M688" s="12"/>
      <c r="N688" s="12"/>
      <c r="O688" s="12"/>
      <c r="P688" s="11"/>
    </row>
    <row r="689">
      <c r="C689" s="9"/>
      <c r="L689" s="11"/>
      <c r="M689" s="12"/>
      <c r="N689" s="12"/>
      <c r="O689" s="12"/>
      <c r="P689" s="11"/>
    </row>
    <row r="690">
      <c r="C690" s="9"/>
      <c r="L690" s="11"/>
      <c r="M690" s="12"/>
      <c r="N690" s="12"/>
      <c r="O690" s="12"/>
      <c r="P690" s="11"/>
    </row>
    <row r="691">
      <c r="C691" s="9"/>
      <c r="L691" s="11"/>
      <c r="M691" s="12"/>
      <c r="N691" s="12"/>
      <c r="O691" s="12"/>
      <c r="P691" s="11"/>
    </row>
    <row r="692">
      <c r="C692" s="9"/>
      <c r="L692" s="11"/>
      <c r="M692" s="12"/>
      <c r="N692" s="12"/>
      <c r="O692" s="12"/>
      <c r="P692" s="11"/>
    </row>
    <row r="693">
      <c r="C693" s="9"/>
      <c r="L693" s="11"/>
      <c r="M693" s="12"/>
      <c r="N693" s="12"/>
      <c r="O693" s="12"/>
      <c r="P693" s="11"/>
    </row>
    <row r="694">
      <c r="C694" s="9"/>
      <c r="L694" s="11"/>
      <c r="M694" s="12"/>
      <c r="N694" s="12"/>
      <c r="O694" s="12"/>
      <c r="P694" s="11"/>
    </row>
    <row r="695">
      <c r="C695" s="9"/>
      <c r="L695" s="11"/>
      <c r="M695" s="12"/>
      <c r="N695" s="12"/>
      <c r="O695" s="12"/>
      <c r="P695" s="11"/>
    </row>
    <row r="696">
      <c r="C696" s="9"/>
      <c r="L696" s="11"/>
      <c r="M696" s="12"/>
      <c r="N696" s="12"/>
      <c r="O696" s="12"/>
      <c r="P696" s="11"/>
    </row>
    <row r="697">
      <c r="C697" s="9"/>
      <c r="L697" s="11"/>
      <c r="M697" s="12"/>
      <c r="N697" s="12"/>
      <c r="O697" s="12"/>
      <c r="P697" s="11"/>
    </row>
    <row r="698">
      <c r="C698" s="9"/>
      <c r="L698" s="11"/>
      <c r="M698" s="12"/>
      <c r="N698" s="12"/>
      <c r="O698" s="12"/>
      <c r="P698" s="11"/>
    </row>
    <row r="699">
      <c r="C699" s="9"/>
      <c r="L699" s="11"/>
      <c r="M699" s="12"/>
      <c r="N699" s="12"/>
      <c r="O699" s="12"/>
      <c r="P699" s="11"/>
    </row>
    <row r="700">
      <c r="C700" s="9"/>
      <c r="L700" s="11"/>
      <c r="M700" s="12"/>
      <c r="N700" s="12"/>
      <c r="O700" s="12"/>
      <c r="P700" s="11"/>
    </row>
    <row r="701">
      <c r="C701" s="9"/>
      <c r="L701" s="11"/>
      <c r="M701" s="12"/>
      <c r="N701" s="12"/>
      <c r="O701" s="12"/>
      <c r="P701" s="11"/>
    </row>
    <row r="702">
      <c r="C702" s="9"/>
      <c r="L702" s="11"/>
      <c r="M702" s="12"/>
      <c r="N702" s="12"/>
      <c r="O702" s="12"/>
      <c r="P702" s="11"/>
    </row>
    <row r="703">
      <c r="C703" s="9"/>
      <c r="L703" s="11"/>
      <c r="M703" s="12"/>
      <c r="N703" s="12"/>
      <c r="O703" s="12"/>
      <c r="P703" s="11"/>
    </row>
    <row r="704">
      <c r="C704" s="9"/>
      <c r="L704" s="11"/>
      <c r="M704" s="12"/>
      <c r="N704" s="12"/>
      <c r="O704" s="12"/>
      <c r="P704" s="11"/>
    </row>
    <row r="705">
      <c r="C705" s="9"/>
      <c r="L705" s="11"/>
      <c r="M705" s="12"/>
      <c r="N705" s="12"/>
      <c r="O705" s="12"/>
      <c r="P705" s="11"/>
    </row>
    <row r="706">
      <c r="C706" s="9"/>
      <c r="L706" s="11"/>
      <c r="M706" s="12"/>
      <c r="N706" s="12"/>
      <c r="O706" s="12"/>
      <c r="P706" s="11"/>
    </row>
    <row r="707">
      <c r="C707" s="9"/>
      <c r="L707" s="11"/>
      <c r="M707" s="12"/>
      <c r="N707" s="12"/>
      <c r="O707" s="12"/>
      <c r="P707" s="11"/>
    </row>
    <row r="708">
      <c r="C708" s="9"/>
      <c r="L708" s="11"/>
      <c r="M708" s="12"/>
      <c r="N708" s="12"/>
      <c r="O708" s="12"/>
      <c r="P708" s="11"/>
    </row>
    <row r="709">
      <c r="C709" s="9"/>
      <c r="L709" s="11"/>
      <c r="M709" s="12"/>
      <c r="N709" s="12"/>
      <c r="O709" s="12"/>
      <c r="P709" s="11"/>
    </row>
    <row r="710">
      <c r="C710" s="9"/>
      <c r="L710" s="11"/>
      <c r="M710" s="12"/>
      <c r="N710" s="12"/>
      <c r="O710" s="12"/>
      <c r="P710" s="11"/>
    </row>
    <row r="711">
      <c r="C711" s="9"/>
      <c r="L711" s="11"/>
      <c r="M711" s="12"/>
      <c r="N711" s="12"/>
      <c r="O711" s="12"/>
      <c r="P711" s="11"/>
    </row>
    <row r="712">
      <c r="C712" s="9"/>
      <c r="L712" s="11"/>
      <c r="M712" s="12"/>
      <c r="N712" s="12"/>
      <c r="O712" s="12"/>
      <c r="P712" s="11"/>
    </row>
    <row r="713">
      <c r="C713" s="9"/>
      <c r="L713" s="11"/>
      <c r="M713" s="12"/>
      <c r="N713" s="12"/>
      <c r="O713" s="12"/>
      <c r="P713" s="11"/>
    </row>
    <row r="714">
      <c r="C714" s="9"/>
      <c r="L714" s="11"/>
      <c r="M714" s="12"/>
      <c r="N714" s="12"/>
      <c r="O714" s="12"/>
      <c r="P714" s="11"/>
    </row>
    <row r="715">
      <c r="C715" s="9"/>
      <c r="L715" s="11"/>
      <c r="M715" s="12"/>
      <c r="N715" s="12"/>
      <c r="O715" s="12"/>
      <c r="P715" s="11"/>
    </row>
    <row r="716">
      <c r="C716" s="9"/>
      <c r="L716" s="11"/>
      <c r="M716" s="12"/>
      <c r="N716" s="12"/>
      <c r="O716" s="12"/>
      <c r="P716" s="11"/>
    </row>
    <row r="717">
      <c r="C717" s="9"/>
      <c r="L717" s="11"/>
      <c r="M717" s="12"/>
      <c r="N717" s="12"/>
      <c r="O717" s="12"/>
      <c r="P717" s="11"/>
    </row>
    <row r="718">
      <c r="C718" s="9"/>
      <c r="L718" s="11"/>
      <c r="M718" s="12"/>
      <c r="N718" s="12"/>
      <c r="O718" s="12"/>
      <c r="P718" s="11"/>
    </row>
    <row r="719">
      <c r="C719" s="9"/>
      <c r="L719" s="11"/>
      <c r="M719" s="12"/>
      <c r="N719" s="12"/>
      <c r="O719" s="12"/>
      <c r="P719" s="11"/>
    </row>
    <row r="720">
      <c r="C720" s="9"/>
      <c r="L720" s="11"/>
      <c r="M720" s="12"/>
      <c r="N720" s="12"/>
      <c r="O720" s="12"/>
      <c r="P720" s="11"/>
    </row>
    <row r="721">
      <c r="C721" s="9"/>
      <c r="L721" s="11"/>
      <c r="M721" s="12"/>
      <c r="N721" s="12"/>
      <c r="O721" s="12"/>
      <c r="P721" s="11"/>
    </row>
    <row r="722">
      <c r="C722" s="9"/>
      <c r="L722" s="11"/>
      <c r="M722" s="12"/>
      <c r="N722" s="12"/>
      <c r="O722" s="12"/>
      <c r="P722" s="11"/>
    </row>
    <row r="723">
      <c r="C723" s="9"/>
      <c r="L723" s="11"/>
      <c r="M723" s="12"/>
      <c r="N723" s="12"/>
      <c r="O723" s="12"/>
      <c r="P723" s="11"/>
    </row>
    <row r="724">
      <c r="C724" s="9"/>
      <c r="L724" s="11"/>
      <c r="M724" s="12"/>
      <c r="N724" s="12"/>
      <c r="O724" s="12"/>
      <c r="P724" s="11"/>
    </row>
    <row r="725">
      <c r="C725" s="9"/>
      <c r="L725" s="11"/>
      <c r="M725" s="12"/>
      <c r="N725" s="12"/>
      <c r="O725" s="12"/>
      <c r="P725" s="11"/>
    </row>
    <row r="726">
      <c r="C726" s="9"/>
      <c r="L726" s="11"/>
      <c r="M726" s="12"/>
      <c r="N726" s="12"/>
      <c r="O726" s="12"/>
      <c r="P726" s="11"/>
    </row>
    <row r="727">
      <c r="C727" s="9"/>
      <c r="L727" s="11"/>
      <c r="M727" s="12"/>
      <c r="N727" s="12"/>
      <c r="O727" s="12"/>
      <c r="P727" s="11"/>
    </row>
    <row r="728">
      <c r="C728" s="9"/>
      <c r="L728" s="11"/>
      <c r="M728" s="12"/>
      <c r="N728" s="12"/>
      <c r="O728" s="12"/>
      <c r="P728" s="11"/>
    </row>
    <row r="729">
      <c r="C729" s="9"/>
      <c r="L729" s="11"/>
      <c r="M729" s="12"/>
      <c r="N729" s="12"/>
      <c r="O729" s="12"/>
      <c r="P729" s="11"/>
    </row>
    <row r="730">
      <c r="C730" s="9"/>
      <c r="L730" s="11"/>
      <c r="M730" s="12"/>
      <c r="N730" s="12"/>
      <c r="O730" s="12"/>
      <c r="P730" s="11"/>
    </row>
    <row r="731">
      <c r="C731" s="9"/>
      <c r="L731" s="11"/>
      <c r="M731" s="12"/>
      <c r="N731" s="12"/>
      <c r="O731" s="12"/>
      <c r="P731" s="11"/>
    </row>
    <row r="732">
      <c r="C732" s="9"/>
      <c r="L732" s="11"/>
      <c r="M732" s="12"/>
      <c r="N732" s="12"/>
      <c r="O732" s="12"/>
      <c r="P732" s="11"/>
    </row>
    <row r="733">
      <c r="C733" s="9"/>
      <c r="L733" s="11"/>
      <c r="M733" s="12"/>
      <c r="N733" s="12"/>
      <c r="O733" s="12"/>
      <c r="P733" s="11"/>
    </row>
    <row r="734">
      <c r="C734" s="9"/>
      <c r="L734" s="11"/>
      <c r="M734" s="12"/>
      <c r="N734" s="12"/>
      <c r="O734" s="12"/>
      <c r="P734" s="11"/>
    </row>
    <row r="735">
      <c r="C735" s="9"/>
      <c r="L735" s="11"/>
      <c r="M735" s="12"/>
      <c r="N735" s="12"/>
      <c r="O735" s="12"/>
      <c r="P735" s="11"/>
    </row>
    <row r="736">
      <c r="C736" s="9"/>
      <c r="L736" s="11"/>
      <c r="M736" s="12"/>
      <c r="N736" s="12"/>
      <c r="O736" s="12"/>
      <c r="P736" s="11"/>
    </row>
    <row r="737">
      <c r="C737" s="9"/>
      <c r="L737" s="11"/>
      <c r="M737" s="12"/>
      <c r="N737" s="12"/>
      <c r="O737" s="12"/>
      <c r="P737" s="11"/>
    </row>
    <row r="738">
      <c r="C738" s="9"/>
      <c r="L738" s="11"/>
      <c r="M738" s="12"/>
      <c r="N738" s="12"/>
      <c r="O738" s="12"/>
      <c r="P738" s="11"/>
    </row>
    <row r="739">
      <c r="C739" s="9"/>
      <c r="L739" s="11"/>
      <c r="M739" s="12"/>
      <c r="N739" s="12"/>
      <c r="O739" s="12"/>
      <c r="P739" s="11"/>
    </row>
    <row r="740">
      <c r="C740" s="9"/>
      <c r="L740" s="11"/>
      <c r="M740" s="12"/>
      <c r="N740" s="12"/>
      <c r="O740" s="12"/>
      <c r="P740" s="11"/>
    </row>
    <row r="741">
      <c r="C741" s="9"/>
      <c r="L741" s="11"/>
      <c r="M741" s="12"/>
      <c r="N741" s="12"/>
      <c r="O741" s="12"/>
      <c r="P741" s="11"/>
    </row>
    <row r="742">
      <c r="C742" s="9"/>
      <c r="L742" s="11"/>
      <c r="M742" s="12"/>
      <c r="N742" s="12"/>
      <c r="O742" s="12"/>
      <c r="P742" s="11"/>
    </row>
    <row r="743">
      <c r="C743" s="9"/>
      <c r="L743" s="11"/>
      <c r="M743" s="12"/>
      <c r="N743" s="12"/>
      <c r="O743" s="12"/>
      <c r="P743" s="11"/>
    </row>
    <row r="744">
      <c r="C744" s="9"/>
      <c r="L744" s="11"/>
      <c r="M744" s="12"/>
      <c r="N744" s="12"/>
      <c r="O744" s="12"/>
      <c r="P744" s="11"/>
    </row>
    <row r="745">
      <c r="C745" s="9"/>
      <c r="L745" s="11"/>
      <c r="M745" s="12"/>
      <c r="N745" s="12"/>
      <c r="O745" s="12"/>
      <c r="P745" s="11"/>
    </row>
    <row r="746">
      <c r="C746" s="9"/>
      <c r="L746" s="11"/>
      <c r="M746" s="12"/>
      <c r="N746" s="12"/>
      <c r="O746" s="12"/>
      <c r="P746" s="11"/>
    </row>
    <row r="747">
      <c r="C747" s="9"/>
      <c r="L747" s="11"/>
      <c r="M747" s="12"/>
      <c r="N747" s="12"/>
      <c r="O747" s="12"/>
      <c r="P747" s="11"/>
    </row>
    <row r="748">
      <c r="C748" s="9"/>
      <c r="L748" s="11"/>
      <c r="M748" s="12"/>
      <c r="N748" s="12"/>
      <c r="O748" s="12"/>
      <c r="P748" s="11"/>
    </row>
    <row r="749">
      <c r="C749" s="9"/>
      <c r="L749" s="11"/>
      <c r="M749" s="12"/>
      <c r="N749" s="12"/>
      <c r="O749" s="12"/>
      <c r="P749" s="11"/>
    </row>
    <row r="750">
      <c r="C750" s="9"/>
      <c r="L750" s="11"/>
      <c r="M750" s="12"/>
      <c r="N750" s="12"/>
      <c r="O750" s="12"/>
      <c r="P750" s="11"/>
    </row>
    <row r="751">
      <c r="C751" s="9"/>
      <c r="L751" s="11"/>
      <c r="M751" s="12"/>
      <c r="N751" s="12"/>
      <c r="O751" s="12"/>
      <c r="P751" s="11"/>
    </row>
    <row r="752">
      <c r="C752" s="9"/>
      <c r="L752" s="11"/>
      <c r="M752" s="12"/>
      <c r="N752" s="12"/>
      <c r="O752" s="12"/>
      <c r="P752" s="11"/>
    </row>
    <row r="753">
      <c r="C753" s="9"/>
      <c r="L753" s="11"/>
      <c r="M753" s="12"/>
      <c r="N753" s="12"/>
      <c r="O753" s="12"/>
      <c r="P753" s="11"/>
    </row>
    <row r="754">
      <c r="C754" s="9"/>
      <c r="L754" s="11"/>
      <c r="M754" s="12"/>
      <c r="N754" s="12"/>
      <c r="O754" s="12"/>
      <c r="P754" s="11"/>
    </row>
    <row r="755">
      <c r="C755" s="9"/>
      <c r="L755" s="11"/>
      <c r="M755" s="12"/>
      <c r="N755" s="12"/>
      <c r="O755" s="12"/>
      <c r="P755" s="11"/>
    </row>
    <row r="756">
      <c r="C756" s="9"/>
      <c r="L756" s="11"/>
      <c r="M756" s="12"/>
      <c r="N756" s="12"/>
      <c r="O756" s="12"/>
      <c r="P756" s="11"/>
    </row>
    <row r="757">
      <c r="C757" s="9"/>
      <c r="L757" s="11"/>
      <c r="M757" s="12"/>
      <c r="N757" s="12"/>
      <c r="O757" s="12"/>
      <c r="P757" s="11"/>
    </row>
    <row r="758">
      <c r="C758" s="9"/>
      <c r="L758" s="11"/>
      <c r="M758" s="12"/>
      <c r="N758" s="12"/>
      <c r="O758" s="12"/>
      <c r="P758" s="11"/>
    </row>
    <row r="759">
      <c r="C759" s="9"/>
      <c r="L759" s="11"/>
      <c r="M759" s="12"/>
      <c r="N759" s="12"/>
      <c r="O759" s="12"/>
      <c r="P759" s="11"/>
    </row>
    <row r="760">
      <c r="C760" s="9"/>
      <c r="L760" s="11"/>
      <c r="M760" s="12"/>
      <c r="N760" s="12"/>
      <c r="O760" s="12"/>
      <c r="P760" s="11"/>
    </row>
    <row r="761">
      <c r="C761" s="9"/>
      <c r="L761" s="11"/>
      <c r="M761" s="12"/>
      <c r="N761" s="12"/>
      <c r="O761" s="12"/>
      <c r="P761" s="11"/>
    </row>
    <row r="762">
      <c r="C762" s="9"/>
      <c r="L762" s="11"/>
      <c r="M762" s="12"/>
      <c r="N762" s="12"/>
      <c r="O762" s="12"/>
      <c r="P762" s="11"/>
    </row>
    <row r="763">
      <c r="C763" s="9"/>
      <c r="L763" s="11"/>
      <c r="M763" s="12"/>
      <c r="N763" s="12"/>
      <c r="O763" s="12"/>
      <c r="P763" s="11"/>
    </row>
    <row r="764">
      <c r="C764" s="9"/>
      <c r="L764" s="11"/>
      <c r="M764" s="12"/>
      <c r="N764" s="12"/>
      <c r="O764" s="12"/>
      <c r="P764" s="11"/>
    </row>
    <row r="765">
      <c r="C765" s="9"/>
      <c r="L765" s="11"/>
      <c r="M765" s="12"/>
      <c r="N765" s="12"/>
      <c r="O765" s="12"/>
      <c r="P765" s="11"/>
    </row>
    <row r="766">
      <c r="C766" s="9"/>
      <c r="L766" s="11"/>
      <c r="M766" s="12"/>
      <c r="N766" s="12"/>
      <c r="O766" s="12"/>
      <c r="P766" s="11"/>
    </row>
    <row r="767">
      <c r="C767" s="9"/>
      <c r="L767" s="11"/>
      <c r="M767" s="12"/>
      <c r="N767" s="12"/>
      <c r="O767" s="12"/>
      <c r="P767" s="11"/>
    </row>
    <row r="768">
      <c r="C768" s="9"/>
      <c r="L768" s="11"/>
      <c r="M768" s="12"/>
      <c r="N768" s="12"/>
      <c r="O768" s="12"/>
      <c r="P768" s="11"/>
    </row>
    <row r="769">
      <c r="C769" s="9"/>
      <c r="L769" s="11"/>
      <c r="M769" s="12"/>
      <c r="N769" s="12"/>
      <c r="O769" s="12"/>
      <c r="P769" s="11"/>
    </row>
    <row r="770">
      <c r="C770" s="9"/>
      <c r="L770" s="11"/>
      <c r="M770" s="12"/>
      <c r="N770" s="12"/>
      <c r="O770" s="12"/>
      <c r="P770" s="11"/>
    </row>
    <row r="771">
      <c r="C771" s="9"/>
      <c r="L771" s="11"/>
      <c r="M771" s="12"/>
      <c r="N771" s="12"/>
      <c r="O771" s="12"/>
      <c r="P771" s="11"/>
    </row>
    <row r="772">
      <c r="C772" s="9"/>
      <c r="L772" s="11"/>
      <c r="M772" s="12"/>
      <c r="N772" s="12"/>
      <c r="O772" s="12"/>
      <c r="P772" s="11"/>
    </row>
    <row r="773">
      <c r="C773" s="9"/>
      <c r="L773" s="11"/>
      <c r="M773" s="12"/>
      <c r="N773" s="12"/>
      <c r="O773" s="12"/>
      <c r="P773" s="11"/>
    </row>
    <row r="774">
      <c r="C774" s="9"/>
      <c r="L774" s="11"/>
      <c r="M774" s="12"/>
      <c r="N774" s="12"/>
      <c r="O774" s="12"/>
      <c r="P774" s="11"/>
    </row>
    <row r="775">
      <c r="C775" s="9"/>
      <c r="L775" s="11"/>
      <c r="M775" s="12"/>
      <c r="N775" s="12"/>
      <c r="O775" s="12"/>
      <c r="P775" s="11"/>
    </row>
    <row r="776">
      <c r="C776" s="9"/>
      <c r="L776" s="11"/>
      <c r="M776" s="12"/>
      <c r="N776" s="12"/>
      <c r="O776" s="12"/>
      <c r="P776" s="11"/>
    </row>
    <row r="777">
      <c r="C777" s="9"/>
      <c r="L777" s="11"/>
      <c r="M777" s="12"/>
      <c r="N777" s="12"/>
      <c r="O777" s="12"/>
      <c r="P777" s="11"/>
    </row>
    <row r="778">
      <c r="C778" s="9"/>
      <c r="L778" s="11"/>
      <c r="M778" s="12"/>
      <c r="N778" s="12"/>
      <c r="O778" s="12"/>
      <c r="P778" s="11"/>
    </row>
    <row r="779">
      <c r="C779" s="9"/>
      <c r="L779" s="11"/>
      <c r="M779" s="12"/>
      <c r="N779" s="12"/>
      <c r="O779" s="12"/>
      <c r="P779" s="11"/>
    </row>
    <row r="780">
      <c r="C780" s="9"/>
      <c r="L780" s="11"/>
      <c r="M780" s="12"/>
      <c r="N780" s="12"/>
      <c r="O780" s="12"/>
      <c r="P780" s="11"/>
    </row>
    <row r="781">
      <c r="C781" s="9"/>
      <c r="L781" s="11"/>
      <c r="M781" s="12"/>
      <c r="N781" s="12"/>
      <c r="O781" s="12"/>
      <c r="P781" s="11"/>
    </row>
    <row r="782">
      <c r="C782" s="9"/>
      <c r="L782" s="11"/>
      <c r="M782" s="12"/>
      <c r="N782" s="12"/>
      <c r="O782" s="12"/>
      <c r="P782" s="11"/>
    </row>
    <row r="783">
      <c r="C783" s="9"/>
      <c r="L783" s="11"/>
      <c r="M783" s="12"/>
      <c r="N783" s="12"/>
      <c r="O783" s="12"/>
      <c r="P783" s="11"/>
    </row>
    <row r="784">
      <c r="C784" s="9"/>
      <c r="L784" s="11"/>
      <c r="M784" s="12"/>
      <c r="N784" s="12"/>
      <c r="O784" s="12"/>
      <c r="P784" s="11"/>
    </row>
    <row r="785">
      <c r="C785" s="9"/>
      <c r="L785" s="11"/>
      <c r="M785" s="12"/>
      <c r="N785" s="12"/>
      <c r="O785" s="12"/>
      <c r="P785" s="11"/>
    </row>
    <row r="786">
      <c r="C786" s="9"/>
      <c r="L786" s="11"/>
      <c r="M786" s="12"/>
      <c r="N786" s="12"/>
      <c r="O786" s="12"/>
      <c r="P786" s="11"/>
    </row>
    <row r="787">
      <c r="C787" s="9"/>
      <c r="L787" s="11"/>
      <c r="M787" s="12"/>
      <c r="N787" s="12"/>
      <c r="O787" s="12"/>
      <c r="P787" s="11"/>
    </row>
    <row r="788">
      <c r="C788" s="9"/>
      <c r="L788" s="11"/>
      <c r="M788" s="12"/>
      <c r="N788" s="12"/>
      <c r="O788" s="12"/>
      <c r="P788" s="11"/>
    </row>
    <row r="789">
      <c r="C789" s="9"/>
      <c r="L789" s="11"/>
      <c r="M789" s="12"/>
      <c r="N789" s="12"/>
      <c r="O789" s="12"/>
      <c r="P789" s="11"/>
    </row>
    <row r="790">
      <c r="C790" s="9"/>
      <c r="L790" s="11"/>
      <c r="M790" s="12"/>
      <c r="N790" s="12"/>
      <c r="O790" s="12"/>
      <c r="P790" s="11"/>
    </row>
    <row r="791">
      <c r="C791" s="9"/>
      <c r="L791" s="11"/>
      <c r="M791" s="12"/>
      <c r="N791" s="12"/>
      <c r="O791" s="12"/>
      <c r="P791" s="11"/>
    </row>
    <row r="792">
      <c r="C792" s="9"/>
      <c r="L792" s="11"/>
      <c r="M792" s="12"/>
      <c r="N792" s="12"/>
      <c r="O792" s="12"/>
      <c r="P792" s="11"/>
    </row>
    <row r="793">
      <c r="C793" s="9"/>
      <c r="L793" s="11"/>
      <c r="M793" s="12"/>
      <c r="N793" s="12"/>
      <c r="O793" s="12"/>
      <c r="P793" s="11"/>
    </row>
    <row r="794">
      <c r="C794" s="9"/>
      <c r="L794" s="11"/>
      <c r="M794" s="12"/>
      <c r="N794" s="12"/>
      <c r="O794" s="12"/>
      <c r="P794" s="11"/>
    </row>
    <row r="795">
      <c r="C795" s="9"/>
      <c r="L795" s="11"/>
      <c r="M795" s="12"/>
      <c r="N795" s="12"/>
      <c r="O795" s="12"/>
      <c r="P795" s="11"/>
    </row>
    <row r="796">
      <c r="C796" s="9"/>
      <c r="L796" s="11"/>
      <c r="M796" s="12"/>
      <c r="N796" s="12"/>
      <c r="O796" s="12"/>
      <c r="P796" s="11"/>
    </row>
    <row r="797">
      <c r="C797" s="9"/>
      <c r="L797" s="11"/>
      <c r="M797" s="12"/>
      <c r="N797" s="12"/>
      <c r="O797" s="12"/>
      <c r="P797" s="11"/>
    </row>
    <row r="798">
      <c r="C798" s="9"/>
      <c r="L798" s="11"/>
      <c r="M798" s="12"/>
      <c r="N798" s="12"/>
      <c r="O798" s="12"/>
      <c r="P798" s="11"/>
    </row>
    <row r="799">
      <c r="C799" s="9"/>
      <c r="L799" s="11"/>
      <c r="M799" s="12"/>
      <c r="N799" s="12"/>
      <c r="O799" s="12"/>
      <c r="P799" s="11"/>
    </row>
    <row r="800">
      <c r="C800" s="9"/>
      <c r="L800" s="11"/>
      <c r="M800" s="12"/>
      <c r="N800" s="12"/>
      <c r="O800" s="12"/>
      <c r="P800" s="11"/>
    </row>
    <row r="801">
      <c r="C801" s="9"/>
      <c r="L801" s="11"/>
      <c r="M801" s="12"/>
      <c r="N801" s="12"/>
      <c r="O801" s="12"/>
      <c r="P801" s="11"/>
    </row>
    <row r="802">
      <c r="C802" s="9"/>
      <c r="L802" s="11"/>
      <c r="M802" s="12"/>
      <c r="N802" s="12"/>
      <c r="O802" s="12"/>
      <c r="P802" s="11"/>
    </row>
    <row r="803">
      <c r="C803" s="9"/>
      <c r="L803" s="11"/>
      <c r="M803" s="12"/>
      <c r="N803" s="12"/>
      <c r="O803" s="12"/>
      <c r="P803" s="11"/>
    </row>
    <row r="804">
      <c r="C804" s="9"/>
      <c r="L804" s="11"/>
      <c r="M804" s="12"/>
      <c r="N804" s="12"/>
      <c r="O804" s="12"/>
      <c r="P804" s="11"/>
    </row>
    <row r="805">
      <c r="C805" s="9"/>
      <c r="L805" s="11"/>
      <c r="M805" s="12"/>
      <c r="N805" s="12"/>
      <c r="O805" s="12"/>
      <c r="P805" s="11"/>
    </row>
    <row r="806">
      <c r="C806" s="9"/>
      <c r="L806" s="11"/>
      <c r="M806" s="12"/>
      <c r="N806" s="12"/>
      <c r="O806" s="12"/>
      <c r="P806" s="11"/>
    </row>
    <row r="807">
      <c r="C807" s="9"/>
      <c r="L807" s="11"/>
      <c r="M807" s="12"/>
      <c r="N807" s="12"/>
      <c r="O807" s="12"/>
      <c r="P807" s="11"/>
    </row>
    <row r="808">
      <c r="C808" s="9"/>
      <c r="L808" s="11"/>
      <c r="M808" s="12"/>
      <c r="N808" s="12"/>
      <c r="O808" s="12"/>
      <c r="P808" s="11"/>
    </row>
    <row r="809">
      <c r="C809" s="9"/>
      <c r="L809" s="11"/>
      <c r="M809" s="12"/>
      <c r="N809" s="12"/>
      <c r="O809" s="12"/>
      <c r="P809" s="11"/>
    </row>
    <row r="810">
      <c r="C810" s="9"/>
      <c r="L810" s="11"/>
      <c r="M810" s="12"/>
      <c r="N810" s="12"/>
      <c r="O810" s="12"/>
      <c r="P810" s="11"/>
    </row>
    <row r="811">
      <c r="C811" s="9"/>
      <c r="L811" s="11"/>
      <c r="M811" s="12"/>
      <c r="N811" s="12"/>
      <c r="O811" s="12"/>
      <c r="P811" s="11"/>
    </row>
    <row r="812">
      <c r="C812" s="9"/>
      <c r="L812" s="11"/>
      <c r="M812" s="12"/>
      <c r="N812" s="12"/>
      <c r="O812" s="12"/>
      <c r="P812" s="11"/>
    </row>
    <row r="813">
      <c r="C813" s="9"/>
      <c r="L813" s="11"/>
      <c r="M813" s="12"/>
      <c r="N813" s="12"/>
      <c r="O813" s="12"/>
      <c r="P813" s="11"/>
    </row>
    <row r="814">
      <c r="C814" s="9"/>
      <c r="L814" s="11"/>
      <c r="M814" s="12"/>
      <c r="N814" s="12"/>
      <c r="O814" s="12"/>
      <c r="P814" s="11"/>
    </row>
    <row r="815">
      <c r="C815" s="9"/>
      <c r="L815" s="11"/>
      <c r="M815" s="12"/>
      <c r="N815" s="12"/>
      <c r="O815" s="12"/>
      <c r="P815" s="11"/>
    </row>
    <row r="816">
      <c r="C816" s="9"/>
      <c r="L816" s="11"/>
      <c r="M816" s="12"/>
      <c r="N816" s="12"/>
      <c r="O816" s="12"/>
      <c r="P816" s="11"/>
    </row>
    <row r="817">
      <c r="C817" s="9"/>
      <c r="L817" s="11"/>
      <c r="M817" s="12"/>
      <c r="N817" s="12"/>
      <c r="O817" s="12"/>
      <c r="P817" s="11"/>
    </row>
    <row r="818">
      <c r="C818" s="9"/>
      <c r="L818" s="11"/>
      <c r="M818" s="12"/>
      <c r="N818" s="12"/>
      <c r="O818" s="12"/>
      <c r="P818" s="11"/>
    </row>
    <row r="819">
      <c r="C819" s="9"/>
      <c r="L819" s="11"/>
      <c r="M819" s="12"/>
      <c r="N819" s="12"/>
      <c r="O819" s="12"/>
      <c r="P819" s="11"/>
    </row>
    <row r="820">
      <c r="C820" s="9"/>
      <c r="L820" s="11"/>
      <c r="M820" s="12"/>
      <c r="N820" s="12"/>
      <c r="O820" s="12"/>
      <c r="P820" s="11"/>
    </row>
    <row r="821">
      <c r="C821" s="9"/>
      <c r="L821" s="11"/>
      <c r="M821" s="12"/>
      <c r="N821" s="12"/>
      <c r="O821" s="12"/>
      <c r="P821" s="11"/>
    </row>
    <row r="822">
      <c r="C822" s="9"/>
      <c r="L822" s="11"/>
      <c r="M822" s="12"/>
      <c r="N822" s="12"/>
      <c r="O822" s="12"/>
      <c r="P822" s="11"/>
    </row>
    <row r="823">
      <c r="C823" s="9"/>
      <c r="L823" s="11"/>
      <c r="M823" s="12"/>
      <c r="N823" s="12"/>
      <c r="O823" s="12"/>
      <c r="P823" s="11"/>
    </row>
    <row r="824">
      <c r="C824" s="9"/>
      <c r="L824" s="11"/>
      <c r="M824" s="12"/>
      <c r="N824" s="12"/>
      <c r="O824" s="12"/>
      <c r="P824" s="11"/>
    </row>
    <row r="825">
      <c r="C825" s="9"/>
      <c r="L825" s="11"/>
      <c r="M825" s="12"/>
      <c r="N825" s="12"/>
      <c r="O825" s="12"/>
      <c r="P825" s="11"/>
    </row>
    <row r="826">
      <c r="L826" s="13"/>
      <c r="M826" s="14"/>
      <c r="N826" s="14"/>
      <c r="O826" s="14"/>
      <c r="P826" s="13"/>
    </row>
    <row r="827">
      <c r="L827" s="13"/>
      <c r="M827" s="14"/>
      <c r="N827" s="14"/>
      <c r="O827" s="14"/>
      <c r="P827" s="13"/>
    </row>
    <row r="828">
      <c r="L828" s="13"/>
      <c r="M828" s="14"/>
      <c r="N828" s="14"/>
      <c r="O828" s="14"/>
      <c r="P828" s="13"/>
    </row>
    <row r="829">
      <c r="L829" s="13"/>
      <c r="M829" s="14"/>
      <c r="N829" s="14"/>
      <c r="O829" s="14"/>
      <c r="P829" s="13"/>
    </row>
    <row r="830">
      <c r="L830" s="13"/>
      <c r="M830" s="14"/>
      <c r="N830" s="14"/>
      <c r="O830" s="14"/>
      <c r="P830" s="13"/>
    </row>
    <row r="831">
      <c r="L831" s="13"/>
      <c r="M831" s="14"/>
      <c r="N831" s="14"/>
      <c r="O831" s="14"/>
      <c r="P831" s="13"/>
    </row>
    <row r="832">
      <c r="L832" s="13"/>
      <c r="M832" s="14"/>
      <c r="N832" s="14"/>
      <c r="O832" s="14"/>
      <c r="P832" s="13"/>
    </row>
    <row r="833">
      <c r="L833" s="13"/>
      <c r="M833" s="14"/>
      <c r="N833" s="14"/>
      <c r="O833" s="14"/>
      <c r="P833" s="13"/>
    </row>
    <row r="834">
      <c r="L834" s="13"/>
      <c r="M834" s="14"/>
      <c r="N834" s="14"/>
      <c r="O834" s="14"/>
      <c r="P834" s="13"/>
    </row>
    <row r="835">
      <c r="L835" s="13"/>
      <c r="M835" s="14"/>
      <c r="N835" s="14"/>
      <c r="O835" s="14"/>
      <c r="P835" s="13"/>
    </row>
    <row r="836">
      <c r="L836" s="13"/>
      <c r="M836" s="14"/>
      <c r="N836" s="14"/>
      <c r="O836" s="14"/>
      <c r="P836" s="13"/>
    </row>
    <row r="837">
      <c r="L837" s="13"/>
      <c r="M837" s="14"/>
      <c r="N837" s="14"/>
      <c r="O837" s="14"/>
      <c r="P837" s="13"/>
    </row>
    <row r="838">
      <c r="L838" s="13"/>
      <c r="M838" s="14"/>
      <c r="N838" s="14"/>
      <c r="O838" s="14"/>
      <c r="P838" s="13"/>
    </row>
    <row r="839">
      <c r="L839" s="13"/>
      <c r="M839" s="14"/>
      <c r="N839" s="14"/>
      <c r="O839" s="14"/>
      <c r="P839" s="13"/>
    </row>
    <row r="840">
      <c r="L840" s="13"/>
      <c r="M840" s="14"/>
      <c r="N840" s="14"/>
      <c r="O840" s="14"/>
      <c r="P840" s="13"/>
    </row>
    <row r="841">
      <c r="L841" s="13"/>
      <c r="M841" s="14"/>
      <c r="N841" s="14"/>
      <c r="O841" s="14"/>
      <c r="P841" s="13"/>
    </row>
    <row r="842">
      <c r="L842" s="13"/>
      <c r="M842" s="14"/>
      <c r="N842" s="14"/>
      <c r="O842" s="14"/>
      <c r="P842" s="13"/>
    </row>
    <row r="843">
      <c r="L843" s="13"/>
      <c r="M843" s="14"/>
      <c r="N843" s="14"/>
      <c r="O843" s="14"/>
      <c r="P843" s="13"/>
    </row>
    <row r="844">
      <c r="L844" s="13"/>
      <c r="M844" s="14"/>
      <c r="N844" s="14"/>
      <c r="O844" s="14"/>
      <c r="P844" s="13"/>
    </row>
    <row r="845">
      <c r="L845" s="13"/>
      <c r="M845" s="14"/>
      <c r="N845" s="14"/>
      <c r="O845" s="14"/>
      <c r="P845" s="13"/>
    </row>
    <row r="846">
      <c r="L846" s="13"/>
      <c r="M846" s="14"/>
      <c r="N846" s="14"/>
      <c r="O846" s="14"/>
      <c r="P846" s="13"/>
    </row>
    <row r="847">
      <c r="L847" s="13"/>
      <c r="M847" s="14"/>
      <c r="N847" s="14"/>
      <c r="O847" s="14"/>
      <c r="P847" s="13"/>
    </row>
    <row r="848">
      <c r="L848" s="13"/>
      <c r="M848" s="14"/>
      <c r="N848" s="14"/>
      <c r="O848" s="14"/>
      <c r="P848" s="13"/>
    </row>
    <row r="849">
      <c r="L849" s="13"/>
      <c r="M849" s="14"/>
      <c r="N849" s="14"/>
      <c r="O849" s="14"/>
      <c r="P849" s="13"/>
    </row>
    <row r="850">
      <c r="L850" s="13"/>
      <c r="M850" s="14"/>
      <c r="N850" s="14"/>
      <c r="O850" s="14"/>
      <c r="P850" s="13"/>
    </row>
    <row r="851">
      <c r="L851" s="13"/>
      <c r="M851" s="14"/>
      <c r="N851" s="14"/>
      <c r="O851" s="14"/>
      <c r="P851" s="13"/>
    </row>
    <row r="852">
      <c r="L852" s="13"/>
      <c r="M852" s="14"/>
      <c r="N852" s="14"/>
      <c r="O852" s="14"/>
      <c r="P852" s="13"/>
    </row>
    <row r="853">
      <c r="L853" s="13"/>
      <c r="M853" s="14"/>
      <c r="N853" s="14"/>
      <c r="O853" s="14"/>
      <c r="P853" s="13"/>
    </row>
    <row r="854">
      <c r="L854" s="13"/>
      <c r="M854" s="14"/>
      <c r="N854" s="14"/>
      <c r="O854" s="14"/>
      <c r="P854" s="13"/>
    </row>
    <row r="855">
      <c r="L855" s="13"/>
      <c r="M855" s="14"/>
      <c r="N855" s="14"/>
      <c r="O855" s="14"/>
      <c r="P855" s="13"/>
    </row>
    <row r="856">
      <c r="L856" s="13"/>
      <c r="M856" s="14"/>
      <c r="N856" s="14"/>
      <c r="O856" s="14"/>
      <c r="P856" s="13"/>
    </row>
    <row r="857">
      <c r="L857" s="13"/>
      <c r="M857" s="14"/>
      <c r="N857" s="14"/>
      <c r="O857" s="14"/>
      <c r="P857" s="13"/>
    </row>
    <row r="858">
      <c r="L858" s="13"/>
      <c r="M858" s="14"/>
      <c r="N858" s="14"/>
      <c r="O858" s="14"/>
      <c r="P858" s="13"/>
    </row>
    <row r="859">
      <c r="L859" s="13"/>
      <c r="M859" s="14"/>
      <c r="N859" s="14"/>
      <c r="O859" s="14"/>
      <c r="P859" s="13"/>
    </row>
    <row r="860">
      <c r="L860" s="13"/>
      <c r="M860" s="14"/>
      <c r="N860" s="14"/>
      <c r="O860" s="14"/>
      <c r="P860" s="13"/>
    </row>
    <row r="861">
      <c r="L861" s="13"/>
      <c r="M861" s="14"/>
      <c r="N861" s="14"/>
      <c r="O861" s="14"/>
      <c r="P861" s="13"/>
    </row>
    <row r="862">
      <c r="L862" s="13"/>
      <c r="M862" s="14"/>
      <c r="N862" s="14"/>
      <c r="O862" s="14"/>
      <c r="P862" s="13"/>
    </row>
    <row r="863">
      <c r="L863" s="13"/>
      <c r="M863" s="14"/>
      <c r="N863" s="14"/>
      <c r="O863" s="14"/>
      <c r="P863" s="13"/>
    </row>
    <row r="864">
      <c r="L864" s="13"/>
      <c r="M864" s="14"/>
      <c r="N864" s="14"/>
      <c r="O864" s="14"/>
      <c r="P864" s="13"/>
    </row>
    <row r="865">
      <c r="L865" s="13"/>
      <c r="M865" s="14"/>
      <c r="N865" s="14"/>
      <c r="O865" s="14"/>
      <c r="P865" s="13"/>
    </row>
    <row r="866">
      <c r="L866" s="13"/>
      <c r="M866" s="14"/>
      <c r="N866" s="14"/>
      <c r="O866" s="14"/>
      <c r="P866" s="13"/>
    </row>
    <row r="867">
      <c r="L867" s="13"/>
      <c r="M867" s="14"/>
      <c r="N867" s="14"/>
      <c r="O867" s="14"/>
      <c r="P867" s="13"/>
    </row>
    <row r="868">
      <c r="L868" s="13"/>
      <c r="M868" s="14"/>
      <c r="N868" s="14"/>
      <c r="O868" s="14"/>
      <c r="P868" s="13"/>
    </row>
    <row r="869">
      <c r="L869" s="13"/>
      <c r="M869" s="14"/>
      <c r="N869" s="14"/>
      <c r="O869" s="14"/>
      <c r="P869" s="13"/>
    </row>
    <row r="870">
      <c r="L870" s="13"/>
      <c r="M870" s="14"/>
      <c r="N870" s="14"/>
      <c r="O870" s="14"/>
      <c r="P870" s="13"/>
    </row>
    <row r="871">
      <c r="L871" s="13"/>
      <c r="M871" s="14"/>
      <c r="N871" s="14"/>
      <c r="O871" s="14"/>
      <c r="P871" s="13"/>
    </row>
    <row r="872">
      <c r="L872" s="13"/>
      <c r="M872" s="14"/>
      <c r="N872" s="14"/>
      <c r="O872" s="14"/>
      <c r="P872" s="13"/>
    </row>
    <row r="873">
      <c r="L873" s="13"/>
      <c r="M873" s="14"/>
      <c r="N873" s="14"/>
      <c r="O873" s="14"/>
      <c r="P873" s="13"/>
    </row>
    <row r="874">
      <c r="L874" s="13"/>
      <c r="M874" s="14"/>
      <c r="N874" s="14"/>
      <c r="O874" s="14"/>
      <c r="P874" s="13"/>
    </row>
    <row r="875">
      <c r="L875" s="13"/>
      <c r="M875" s="14"/>
      <c r="N875" s="14"/>
      <c r="O875" s="14"/>
      <c r="P875" s="13"/>
    </row>
    <row r="876">
      <c r="L876" s="13"/>
      <c r="M876" s="14"/>
      <c r="N876" s="14"/>
      <c r="O876" s="14"/>
      <c r="P876" s="13"/>
    </row>
    <row r="877">
      <c r="L877" s="13"/>
      <c r="M877" s="14"/>
      <c r="N877" s="14"/>
      <c r="O877" s="14"/>
      <c r="P877" s="13"/>
    </row>
    <row r="878">
      <c r="L878" s="13"/>
      <c r="M878" s="14"/>
      <c r="N878" s="14"/>
      <c r="O878" s="14"/>
      <c r="P878" s="13"/>
    </row>
    <row r="879">
      <c r="L879" s="13"/>
      <c r="M879" s="14"/>
      <c r="N879" s="14"/>
      <c r="O879" s="14"/>
      <c r="P879" s="13"/>
    </row>
    <row r="880">
      <c r="L880" s="13"/>
      <c r="M880" s="14"/>
      <c r="N880" s="14"/>
      <c r="O880" s="14"/>
      <c r="P880" s="13"/>
    </row>
    <row r="881">
      <c r="L881" s="13"/>
      <c r="M881" s="14"/>
      <c r="N881" s="14"/>
      <c r="O881" s="14"/>
      <c r="P881" s="13"/>
    </row>
    <row r="882">
      <c r="L882" s="13"/>
      <c r="M882" s="14"/>
      <c r="N882" s="14"/>
      <c r="O882" s="14"/>
      <c r="P882" s="13"/>
    </row>
    <row r="883">
      <c r="L883" s="13"/>
      <c r="M883" s="14"/>
      <c r="N883" s="14"/>
      <c r="O883" s="14"/>
      <c r="P883" s="13"/>
    </row>
    <row r="884">
      <c r="L884" s="13"/>
      <c r="M884" s="14"/>
      <c r="N884" s="14"/>
      <c r="O884" s="14"/>
      <c r="P884" s="13"/>
    </row>
    <row r="885">
      <c r="L885" s="13"/>
      <c r="M885" s="14"/>
      <c r="N885" s="14"/>
      <c r="O885" s="14"/>
      <c r="P885" s="13"/>
    </row>
    <row r="886">
      <c r="L886" s="13"/>
      <c r="M886" s="14"/>
      <c r="N886" s="14"/>
      <c r="O886" s="14"/>
      <c r="P886" s="13"/>
    </row>
    <row r="887">
      <c r="L887" s="13"/>
      <c r="M887" s="14"/>
      <c r="N887" s="14"/>
      <c r="O887" s="14"/>
      <c r="P887" s="13"/>
    </row>
    <row r="888">
      <c r="L888" s="13"/>
      <c r="M888" s="14"/>
      <c r="N888" s="14"/>
      <c r="O888" s="14"/>
      <c r="P888" s="13"/>
    </row>
    <row r="889">
      <c r="L889" s="13"/>
      <c r="M889" s="14"/>
      <c r="N889" s="14"/>
      <c r="O889" s="14"/>
      <c r="P889" s="13"/>
    </row>
    <row r="890">
      <c r="L890" s="13"/>
      <c r="M890" s="14"/>
      <c r="N890" s="14"/>
      <c r="O890" s="14"/>
      <c r="P890" s="13"/>
    </row>
    <row r="891">
      <c r="L891" s="13"/>
      <c r="M891" s="14"/>
      <c r="N891" s="14"/>
      <c r="O891" s="14"/>
      <c r="P891" s="13"/>
    </row>
    <row r="892">
      <c r="L892" s="13"/>
      <c r="M892" s="14"/>
      <c r="N892" s="14"/>
      <c r="O892" s="14"/>
      <c r="P892" s="13"/>
    </row>
    <row r="893">
      <c r="L893" s="13"/>
      <c r="M893" s="14"/>
      <c r="N893" s="14"/>
      <c r="O893" s="14"/>
      <c r="P893" s="13"/>
    </row>
    <row r="894">
      <c r="L894" s="13"/>
      <c r="M894" s="14"/>
      <c r="N894" s="14"/>
      <c r="O894" s="14"/>
      <c r="P894" s="13"/>
    </row>
    <row r="895">
      <c r="L895" s="13"/>
      <c r="M895" s="14"/>
      <c r="N895" s="14"/>
      <c r="O895" s="14"/>
      <c r="P895" s="13"/>
    </row>
    <row r="896">
      <c r="L896" s="13"/>
      <c r="M896" s="14"/>
      <c r="N896" s="14"/>
      <c r="O896" s="14"/>
      <c r="P896" s="13"/>
    </row>
    <row r="897">
      <c r="L897" s="13"/>
      <c r="M897" s="14"/>
      <c r="N897" s="14"/>
      <c r="O897" s="14"/>
      <c r="P897" s="13"/>
    </row>
    <row r="898">
      <c r="L898" s="13"/>
      <c r="M898" s="14"/>
      <c r="N898" s="14"/>
      <c r="O898" s="14"/>
      <c r="P898" s="13"/>
    </row>
    <row r="899">
      <c r="L899" s="13"/>
      <c r="M899" s="14"/>
      <c r="N899" s="14"/>
      <c r="O899" s="14"/>
      <c r="P899" s="13"/>
    </row>
    <row r="900">
      <c r="L900" s="13"/>
      <c r="M900" s="14"/>
      <c r="N900" s="14"/>
      <c r="O900" s="14"/>
      <c r="P900" s="13"/>
    </row>
    <row r="901">
      <c r="L901" s="13"/>
      <c r="M901" s="14"/>
      <c r="N901" s="14"/>
      <c r="O901" s="14"/>
      <c r="P901" s="13"/>
    </row>
    <row r="902">
      <c r="L902" s="13"/>
      <c r="M902" s="14"/>
      <c r="N902" s="14"/>
      <c r="O902" s="14"/>
      <c r="P902" s="13"/>
    </row>
    <row r="903">
      <c r="L903" s="13"/>
      <c r="M903" s="14"/>
      <c r="N903" s="14"/>
      <c r="O903" s="14"/>
      <c r="P903" s="13"/>
    </row>
    <row r="904">
      <c r="L904" s="13"/>
      <c r="M904" s="14"/>
      <c r="N904" s="14"/>
      <c r="O904" s="14"/>
      <c r="P904" s="13"/>
    </row>
    <row r="905">
      <c r="L905" s="13"/>
      <c r="M905" s="14"/>
      <c r="N905" s="14"/>
      <c r="O905" s="14"/>
      <c r="P905" s="13"/>
    </row>
    <row r="906">
      <c r="L906" s="13"/>
      <c r="M906" s="14"/>
      <c r="N906" s="14"/>
      <c r="O906" s="14"/>
      <c r="P906" s="13"/>
    </row>
    <row r="907">
      <c r="L907" s="13"/>
      <c r="M907" s="14"/>
      <c r="N907" s="14"/>
      <c r="O907" s="14"/>
      <c r="P907" s="13"/>
    </row>
    <row r="908">
      <c r="L908" s="13"/>
      <c r="M908" s="14"/>
      <c r="N908" s="14"/>
      <c r="O908" s="14"/>
      <c r="P908" s="13"/>
    </row>
    <row r="909">
      <c r="L909" s="13"/>
      <c r="M909" s="14"/>
      <c r="N909" s="14"/>
      <c r="O909" s="14"/>
      <c r="P909" s="13"/>
    </row>
    <row r="910">
      <c r="L910" s="13"/>
      <c r="M910" s="14"/>
      <c r="N910" s="14"/>
      <c r="O910" s="14"/>
      <c r="P910" s="13"/>
    </row>
    <row r="911">
      <c r="L911" s="13"/>
      <c r="M911" s="14"/>
      <c r="N911" s="14"/>
      <c r="O911" s="14"/>
      <c r="P911" s="13"/>
    </row>
    <row r="912">
      <c r="L912" s="13"/>
      <c r="M912" s="14"/>
      <c r="N912" s="14"/>
      <c r="O912" s="14"/>
      <c r="P912" s="13"/>
    </row>
    <row r="913">
      <c r="L913" s="13"/>
      <c r="M913" s="14"/>
      <c r="N913" s="14"/>
      <c r="O913" s="14"/>
      <c r="P913" s="13"/>
    </row>
    <row r="914">
      <c r="L914" s="13"/>
      <c r="M914" s="14"/>
      <c r="N914" s="14"/>
      <c r="O914" s="14"/>
      <c r="P914" s="13"/>
    </row>
    <row r="915">
      <c r="L915" s="13"/>
      <c r="M915" s="14"/>
      <c r="N915" s="14"/>
      <c r="O915" s="14"/>
      <c r="P915" s="13"/>
    </row>
    <row r="916">
      <c r="L916" s="13"/>
      <c r="M916" s="14"/>
      <c r="N916" s="14"/>
      <c r="O916" s="14"/>
      <c r="P916" s="13"/>
    </row>
    <row r="917">
      <c r="L917" s="13"/>
      <c r="M917" s="14"/>
      <c r="N917" s="14"/>
      <c r="O917" s="14"/>
      <c r="P917" s="13"/>
    </row>
    <row r="918">
      <c r="L918" s="13"/>
      <c r="M918" s="14"/>
      <c r="N918" s="14"/>
      <c r="O918" s="14"/>
      <c r="P918" s="13"/>
    </row>
    <row r="919">
      <c r="L919" s="13"/>
      <c r="M919" s="14"/>
      <c r="N919" s="14"/>
      <c r="O919" s="14"/>
      <c r="P919" s="13"/>
    </row>
    <row r="920">
      <c r="L920" s="13"/>
      <c r="M920" s="14"/>
      <c r="N920" s="14"/>
      <c r="O920" s="14"/>
      <c r="P920" s="13"/>
    </row>
    <row r="921">
      <c r="L921" s="13"/>
      <c r="M921" s="14"/>
      <c r="N921" s="14"/>
      <c r="O921" s="14"/>
      <c r="P921" s="13"/>
    </row>
    <row r="922">
      <c r="L922" s="13"/>
      <c r="M922" s="14"/>
      <c r="N922" s="14"/>
      <c r="O922" s="14"/>
      <c r="P922" s="13"/>
    </row>
    <row r="923">
      <c r="L923" s="13"/>
      <c r="M923" s="14"/>
      <c r="N923" s="14"/>
      <c r="O923" s="14"/>
      <c r="P923" s="13"/>
    </row>
    <row r="924">
      <c r="L924" s="13"/>
      <c r="M924" s="14"/>
      <c r="N924" s="14"/>
      <c r="O924" s="14"/>
      <c r="P924" s="13"/>
    </row>
    <row r="925">
      <c r="L925" s="13"/>
      <c r="M925" s="14"/>
      <c r="N925" s="14"/>
      <c r="O925" s="14"/>
      <c r="P925" s="13"/>
    </row>
    <row r="926">
      <c r="L926" s="13"/>
      <c r="M926" s="14"/>
      <c r="N926" s="14"/>
      <c r="O926" s="14"/>
      <c r="P926" s="13"/>
    </row>
    <row r="927">
      <c r="L927" s="13"/>
      <c r="M927" s="14"/>
      <c r="N927" s="14"/>
      <c r="O927" s="14"/>
      <c r="P927" s="13"/>
    </row>
    <row r="928">
      <c r="L928" s="13"/>
      <c r="M928" s="14"/>
      <c r="N928" s="14"/>
      <c r="O928" s="14"/>
      <c r="P928" s="13"/>
    </row>
    <row r="929">
      <c r="L929" s="13"/>
      <c r="M929" s="14"/>
      <c r="N929" s="14"/>
      <c r="O929" s="14"/>
      <c r="P929" s="13"/>
    </row>
    <row r="930">
      <c r="L930" s="13"/>
      <c r="M930" s="14"/>
      <c r="N930" s="14"/>
      <c r="O930" s="14"/>
      <c r="P930" s="13"/>
    </row>
    <row r="931">
      <c r="L931" s="13"/>
      <c r="M931" s="14"/>
      <c r="N931" s="14"/>
      <c r="O931" s="14"/>
      <c r="P931" s="13"/>
    </row>
    <row r="932">
      <c r="L932" s="13"/>
      <c r="M932" s="14"/>
      <c r="N932" s="14"/>
      <c r="O932" s="14"/>
      <c r="P932" s="13"/>
    </row>
    <row r="933">
      <c r="L933" s="13"/>
      <c r="M933" s="14"/>
      <c r="N933" s="14"/>
      <c r="O933" s="14"/>
      <c r="P933" s="13"/>
    </row>
    <row r="934">
      <c r="L934" s="13"/>
      <c r="M934" s="14"/>
      <c r="N934" s="14"/>
      <c r="O934" s="14"/>
      <c r="P934" s="13"/>
    </row>
    <row r="935">
      <c r="L935" s="13"/>
      <c r="M935" s="14"/>
      <c r="N935" s="14"/>
      <c r="O935" s="14"/>
      <c r="P935" s="13"/>
    </row>
    <row r="936">
      <c r="L936" s="13"/>
      <c r="M936" s="14"/>
      <c r="N936" s="14"/>
      <c r="O936" s="14"/>
      <c r="P936" s="13"/>
    </row>
    <row r="937">
      <c r="L937" s="13"/>
      <c r="M937" s="14"/>
      <c r="N937" s="14"/>
      <c r="O937" s="14"/>
      <c r="P937" s="13"/>
    </row>
    <row r="938">
      <c r="L938" s="13"/>
      <c r="M938" s="14"/>
      <c r="N938" s="14"/>
      <c r="O938" s="14"/>
      <c r="P938" s="13"/>
    </row>
    <row r="939">
      <c r="L939" s="13"/>
      <c r="M939" s="14"/>
      <c r="N939" s="14"/>
      <c r="O939" s="14"/>
      <c r="P939" s="13"/>
    </row>
    <row r="940">
      <c r="L940" s="13"/>
      <c r="M940" s="14"/>
      <c r="N940" s="14"/>
      <c r="O940" s="14"/>
      <c r="P940" s="13"/>
    </row>
    <row r="941">
      <c r="L941" s="13"/>
      <c r="M941" s="14"/>
      <c r="N941" s="14"/>
      <c r="O941" s="14"/>
      <c r="P941" s="13"/>
    </row>
    <row r="942">
      <c r="L942" s="13"/>
      <c r="M942" s="14"/>
      <c r="N942" s="14"/>
      <c r="O942" s="14"/>
      <c r="P942" s="13"/>
    </row>
    <row r="943">
      <c r="L943" s="13"/>
      <c r="M943" s="14"/>
      <c r="N943" s="14"/>
      <c r="O943" s="14"/>
      <c r="P943" s="13"/>
    </row>
    <row r="944">
      <c r="L944" s="13"/>
      <c r="M944" s="14"/>
      <c r="N944" s="14"/>
      <c r="O944" s="14"/>
      <c r="P944" s="13"/>
    </row>
    <row r="945">
      <c r="L945" s="13"/>
      <c r="M945" s="14"/>
      <c r="N945" s="14"/>
      <c r="O945" s="14"/>
      <c r="P945" s="13"/>
    </row>
    <row r="946">
      <c r="L946" s="13"/>
      <c r="M946" s="14"/>
      <c r="N946" s="14"/>
      <c r="O946" s="14"/>
      <c r="P946" s="13"/>
    </row>
    <row r="947">
      <c r="L947" s="13"/>
      <c r="M947" s="14"/>
      <c r="N947" s="14"/>
      <c r="O947" s="14"/>
      <c r="P947" s="13"/>
    </row>
    <row r="948">
      <c r="L948" s="13"/>
      <c r="M948" s="14"/>
      <c r="N948" s="14"/>
      <c r="O948" s="14"/>
      <c r="P948" s="13"/>
    </row>
    <row r="949">
      <c r="L949" s="13"/>
      <c r="M949" s="14"/>
      <c r="N949" s="14"/>
      <c r="O949" s="14"/>
      <c r="P949" s="13"/>
    </row>
    <row r="950">
      <c r="L950" s="13"/>
      <c r="M950" s="14"/>
      <c r="N950" s="14"/>
      <c r="O950" s="14"/>
      <c r="P950" s="13"/>
    </row>
    <row r="951">
      <c r="L951" s="13"/>
      <c r="M951" s="14"/>
      <c r="N951" s="14"/>
      <c r="O951" s="14"/>
      <c r="P951" s="13"/>
    </row>
    <row r="952">
      <c r="L952" s="13"/>
      <c r="M952" s="14"/>
      <c r="N952" s="14"/>
      <c r="O952" s="14"/>
      <c r="P952" s="13"/>
    </row>
    <row r="953">
      <c r="L953" s="13"/>
      <c r="M953" s="14"/>
      <c r="N953" s="14"/>
      <c r="O953" s="14"/>
      <c r="P953" s="13"/>
    </row>
    <row r="954">
      <c r="L954" s="13"/>
      <c r="M954" s="14"/>
      <c r="N954" s="14"/>
      <c r="O954" s="14"/>
      <c r="P954" s="13"/>
    </row>
    <row r="955">
      <c r="L955" s="13"/>
      <c r="M955" s="14"/>
      <c r="N955" s="14"/>
      <c r="O955" s="14"/>
      <c r="P955" s="13"/>
    </row>
    <row r="956">
      <c r="L956" s="13"/>
      <c r="M956" s="14"/>
      <c r="N956" s="14"/>
      <c r="O956" s="14"/>
      <c r="P956" s="13"/>
    </row>
    <row r="957">
      <c r="L957" s="13"/>
      <c r="M957" s="14"/>
      <c r="N957" s="14"/>
      <c r="O957" s="14"/>
      <c r="P957" s="13"/>
    </row>
    <row r="958">
      <c r="L958" s="13"/>
      <c r="M958" s="14"/>
      <c r="N958" s="14"/>
      <c r="O958" s="14"/>
      <c r="P958" s="13"/>
    </row>
    <row r="959">
      <c r="L959" s="13"/>
      <c r="M959" s="14"/>
      <c r="N959" s="14"/>
      <c r="O959" s="14"/>
      <c r="P959" s="13"/>
    </row>
    <row r="960">
      <c r="L960" s="13"/>
      <c r="M960" s="14"/>
      <c r="N960" s="14"/>
      <c r="O960" s="14"/>
      <c r="P960" s="13"/>
    </row>
    <row r="961">
      <c r="L961" s="13"/>
      <c r="M961" s="14"/>
      <c r="N961" s="14"/>
      <c r="O961" s="14"/>
      <c r="P961" s="13"/>
    </row>
    <row r="962">
      <c r="L962" s="13"/>
      <c r="M962" s="14"/>
      <c r="N962" s="14"/>
      <c r="O962" s="14"/>
      <c r="P962" s="13"/>
    </row>
    <row r="963">
      <c r="L963" s="13"/>
      <c r="M963" s="14"/>
      <c r="N963" s="14"/>
      <c r="O963" s="14"/>
      <c r="P963" s="13"/>
    </row>
    <row r="964">
      <c r="L964" s="13"/>
      <c r="M964" s="14"/>
      <c r="N964" s="14"/>
      <c r="O964" s="14"/>
      <c r="P964" s="13"/>
    </row>
    <row r="965">
      <c r="L965" s="13"/>
      <c r="M965" s="14"/>
      <c r="N965" s="14"/>
      <c r="O965" s="14"/>
      <c r="P965" s="13"/>
    </row>
    <row r="966">
      <c r="L966" s="13"/>
      <c r="M966" s="14"/>
      <c r="N966" s="14"/>
      <c r="O966" s="14"/>
      <c r="P966" s="13"/>
    </row>
    <row r="967">
      <c r="L967" s="13"/>
      <c r="M967" s="14"/>
      <c r="N967" s="14"/>
      <c r="O967" s="14"/>
      <c r="P967" s="13"/>
    </row>
    <row r="968">
      <c r="L968" s="13"/>
      <c r="M968" s="14"/>
      <c r="N968" s="14"/>
      <c r="O968" s="14"/>
      <c r="P968" s="13"/>
    </row>
    <row r="969">
      <c r="L969" s="13"/>
      <c r="M969" s="14"/>
      <c r="N969" s="14"/>
      <c r="O969" s="14"/>
      <c r="P969" s="13"/>
    </row>
    <row r="970">
      <c r="L970" s="13"/>
      <c r="M970" s="14"/>
      <c r="N970" s="14"/>
      <c r="O970" s="14"/>
      <c r="P970" s="13"/>
    </row>
    <row r="971">
      <c r="L971" s="13"/>
      <c r="M971" s="14"/>
      <c r="N971" s="14"/>
      <c r="O971" s="14"/>
      <c r="P971" s="13"/>
    </row>
    <row r="972">
      <c r="L972" s="13"/>
      <c r="M972" s="14"/>
      <c r="N972" s="14"/>
      <c r="O972" s="14"/>
      <c r="P972" s="13"/>
    </row>
    <row r="973">
      <c r="L973" s="13"/>
      <c r="M973" s="14"/>
      <c r="N973" s="14"/>
      <c r="O973" s="14"/>
      <c r="P973" s="13"/>
    </row>
    <row r="974">
      <c r="L974" s="13"/>
      <c r="M974" s="14"/>
      <c r="N974" s="14"/>
      <c r="O974" s="14"/>
      <c r="P974" s="13"/>
    </row>
    <row r="975">
      <c r="L975" s="13"/>
      <c r="M975" s="14"/>
      <c r="N975" s="14"/>
      <c r="O975" s="14"/>
      <c r="P975" s="13"/>
    </row>
    <row r="976">
      <c r="L976" s="13"/>
      <c r="M976" s="14"/>
      <c r="N976" s="14"/>
      <c r="O976" s="14"/>
      <c r="P976" s="13"/>
    </row>
    <row r="977">
      <c r="L977" s="13"/>
      <c r="M977" s="14"/>
      <c r="N977" s="14"/>
      <c r="O977" s="14"/>
      <c r="P977" s="13"/>
    </row>
    <row r="978">
      <c r="L978" s="13"/>
      <c r="M978" s="14"/>
      <c r="N978" s="14"/>
      <c r="O978" s="14"/>
      <c r="P978" s="13"/>
    </row>
    <row r="979">
      <c r="L979" s="13"/>
      <c r="M979" s="14"/>
      <c r="N979" s="14"/>
      <c r="O979" s="14"/>
      <c r="P979" s="13"/>
    </row>
    <row r="980">
      <c r="L980" s="13"/>
      <c r="M980" s="14"/>
      <c r="N980" s="14"/>
      <c r="O980" s="14"/>
      <c r="P980" s="13"/>
    </row>
    <row r="981">
      <c r="L981" s="13"/>
      <c r="M981" s="14"/>
      <c r="N981" s="14"/>
      <c r="O981" s="14"/>
      <c r="P981" s="13"/>
    </row>
    <row r="982">
      <c r="L982" s="13"/>
      <c r="M982" s="14"/>
      <c r="N982" s="14"/>
      <c r="O982" s="14"/>
      <c r="P982" s="13"/>
    </row>
    <row r="983">
      <c r="L983" s="13"/>
      <c r="M983" s="14"/>
      <c r="N983" s="14"/>
      <c r="O983" s="14"/>
      <c r="P983" s="13"/>
    </row>
    <row r="984">
      <c r="L984" s="13"/>
      <c r="M984" s="14"/>
      <c r="N984" s="14"/>
      <c r="O984" s="14"/>
      <c r="P984" s="13"/>
    </row>
    <row r="985">
      <c r="L985" s="13"/>
      <c r="M985" s="14"/>
      <c r="N985" s="14"/>
      <c r="O985" s="14"/>
      <c r="P985" s="13"/>
    </row>
    <row r="986">
      <c r="L986" s="13"/>
      <c r="M986" s="14"/>
      <c r="N986" s="14"/>
      <c r="O986" s="14"/>
      <c r="P986" s="13"/>
    </row>
    <row r="987">
      <c r="L987" s="13"/>
      <c r="M987" s="14"/>
      <c r="N987" s="14"/>
      <c r="O987" s="14"/>
      <c r="P987" s="13"/>
    </row>
    <row r="988">
      <c r="L988" s="13"/>
      <c r="M988" s="14"/>
      <c r="N988" s="14"/>
      <c r="O988" s="14"/>
      <c r="P988" s="13"/>
    </row>
    <row r="989">
      <c r="L989" s="13"/>
      <c r="M989" s="14"/>
      <c r="N989" s="14"/>
      <c r="O989" s="14"/>
      <c r="P989" s="13"/>
    </row>
    <row r="990">
      <c r="L990" s="13"/>
      <c r="M990" s="14"/>
      <c r="N990" s="14"/>
      <c r="O990" s="14"/>
      <c r="P990" s="13"/>
    </row>
    <row r="991">
      <c r="L991" s="13"/>
      <c r="M991" s="14"/>
      <c r="N991" s="14"/>
      <c r="O991" s="14"/>
      <c r="P991" s="13"/>
    </row>
    <row r="992">
      <c r="L992" s="13"/>
      <c r="M992" s="14"/>
      <c r="N992" s="14"/>
      <c r="O992" s="14"/>
      <c r="P992" s="13"/>
    </row>
    <row r="993">
      <c r="L993" s="13"/>
      <c r="M993" s="14"/>
      <c r="N993" s="14"/>
      <c r="O993" s="14"/>
      <c r="P993" s="13"/>
    </row>
    <row r="994">
      <c r="L994" s="13"/>
      <c r="M994" s="14"/>
      <c r="N994" s="14"/>
      <c r="O994" s="14"/>
      <c r="P994" s="13"/>
    </row>
    <row r="995">
      <c r="L995" s="13"/>
      <c r="M995" s="14"/>
      <c r="N995" s="14"/>
      <c r="O995" s="14"/>
      <c r="P995" s="13"/>
    </row>
    <row r="996">
      <c r="L996" s="13"/>
      <c r="M996" s="14"/>
      <c r="N996" s="14"/>
      <c r="O996" s="14"/>
      <c r="P996" s="13"/>
    </row>
    <row r="997">
      <c r="L997" s="13"/>
      <c r="M997" s="14"/>
      <c r="N997" s="14"/>
      <c r="O997" s="14"/>
      <c r="P997" s="13"/>
    </row>
    <row r="998">
      <c r="L998" s="13"/>
      <c r="M998" s="14"/>
      <c r="N998" s="14"/>
      <c r="O998" s="14"/>
      <c r="P998" s="13"/>
    </row>
    <row r="999">
      <c r="L999" s="13"/>
      <c r="M999" s="14"/>
      <c r="N999" s="14"/>
      <c r="O999" s="14"/>
      <c r="P999" s="13"/>
    </row>
    <row r="1000">
      <c r="L1000" s="13"/>
      <c r="M1000" s="14"/>
      <c r="N1000" s="14"/>
      <c r="O1000" s="14"/>
      <c r="P1000" s="13"/>
    </row>
    <row r="1001">
      <c r="L1001" s="13"/>
      <c r="M1001" s="14"/>
      <c r="N1001" s="14"/>
      <c r="O1001" s="14"/>
      <c r="P1001" s="13"/>
    </row>
    <row r="1002">
      <c r="L1002" s="13"/>
      <c r="M1002" s="14"/>
      <c r="N1002" s="14"/>
      <c r="O1002" s="14"/>
      <c r="P1002" s="13"/>
    </row>
    <row r="1003">
      <c r="L1003" s="13"/>
      <c r="M1003" s="14"/>
      <c r="N1003" s="14"/>
      <c r="O1003" s="14"/>
      <c r="P1003" s="13"/>
    </row>
    <row r="1004">
      <c r="L1004" s="13"/>
      <c r="M1004" s="14"/>
      <c r="N1004" s="14"/>
      <c r="O1004" s="14"/>
      <c r="P1004" s="13"/>
    </row>
    <row r="1005">
      <c r="L1005" s="13"/>
      <c r="M1005" s="14"/>
      <c r="N1005" s="14"/>
      <c r="O1005" s="14"/>
      <c r="P1005" s="13"/>
    </row>
    <row r="1006">
      <c r="L1006" s="13"/>
      <c r="M1006" s="14"/>
      <c r="N1006" s="14"/>
      <c r="O1006" s="14"/>
      <c r="P1006" s="13"/>
    </row>
    <row r="1007">
      <c r="L1007" s="13"/>
      <c r="M1007" s="14"/>
      <c r="N1007" s="14"/>
      <c r="O1007" s="14"/>
      <c r="P1007" s="13"/>
    </row>
    <row r="1008">
      <c r="L1008" s="13"/>
      <c r="M1008" s="14"/>
      <c r="N1008" s="14"/>
      <c r="O1008" s="14"/>
      <c r="P1008" s="13"/>
    </row>
    <row r="1009">
      <c r="L1009" s="13"/>
      <c r="M1009" s="14"/>
      <c r="N1009" s="14"/>
      <c r="O1009" s="14"/>
      <c r="P1009" s="13"/>
    </row>
    <row r="1010">
      <c r="L1010" s="13"/>
      <c r="M1010" s="14"/>
      <c r="N1010" s="14"/>
      <c r="O1010" s="14"/>
      <c r="P1010" s="13"/>
    </row>
    <row r="1011">
      <c r="L1011" s="13"/>
      <c r="M1011" s="14"/>
      <c r="N1011" s="14"/>
      <c r="O1011" s="14"/>
      <c r="P1011" s="13"/>
    </row>
    <row r="1012">
      <c r="L1012" s="13"/>
      <c r="M1012" s="14"/>
      <c r="N1012" s="14"/>
      <c r="O1012" s="14"/>
      <c r="P1012" s="13"/>
    </row>
    <row r="1013">
      <c r="L1013" s="13"/>
      <c r="M1013" s="14"/>
      <c r="N1013" s="14"/>
      <c r="O1013" s="14"/>
      <c r="P1013" s="13"/>
    </row>
    <row r="1014">
      <c r="L1014" s="13"/>
      <c r="M1014" s="14"/>
      <c r="N1014" s="14"/>
      <c r="O1014" s="14"/>
      <c r="P1014" s="13"/>
    </row>
    <row r="1015">
      <c r="L1015" s="13"/>
      <c r="M1015" s="14"/>
      <c r="N1015" s="14"/>
      <c r="O1015" s="14"/>
      <c r="P1015" s="13"/>
    </row>
    <row r="1016">
      <c r="L1016" s="13"/>
      <c r="M1016" s="14"/>
      <c r="N1016" s="14"/>
      <c r="O1016" s="14"/>
      <c r="P1016" s="13"/>
    </row>
    <row r="1017">
      <c r="L1017" s="13"/>
      <c r="M1017" s="14"/>
      <c r="N1017" s="14"/>
      <c r="O1017" s="14"/>
      <c r="P1017" s="13"/>
    </row>
    <row r="1018">
      <c r="L1018" s="13"/>
      <c r="M1018" s="14"/>
      <c r="N1018" s="14"/>
      <c r="O1018" s="14"/>
      <c r="P1018" s="13"/>
    </row>
    <row r="1019">
      <c r="L1019" s="13"/>
      <c r="M1019" s="14"/>
      <c r="N1019" s="14"/>
      <c r="O1019" s="14"/>
      <c r="P1019" s="13"/>
    </row>
    <row r="1020">
      <c r="L1020" s="13"/>
      <c r="M1020" s="14"/>
      <c r="N1020" s="14"/>
      <c r="O1020" s="14"/>
      <c r="P1020" s="13"/>
    </row>
    <row r="1021">
      <c r="L1021" s="13"/>
      <c r="M1021" s="14"/>
      <c r="N1021" s="14"/>
      <c r="O1021" s="14"/>
      <c r="P1021" s="13"/>
    </row>
    <row r="1022">
      <c r="L1022" s="13"/>
      <c r="M1022" s="14"/>
      <c r="N1022" s="14"/>
      <c r="O1022" s="14"/>
      <c r="P1022" s="13"/>
    </row>
    <row r="1023">
      <c r="L1023" s="13"/>
      <c r="M1023" s="14"/>
      <c r="N1023" s="14"/>
      <c r="O1023" s="14"/>
      <c r="P1023" s="13"/>
    </row>
    <row r="1024">
      <c r="L1024" s="13"/>
      <c r="M1024" s="14"/>
      <c r="N1024" s="14"/>
      <c r="O1024" s="14"/>
      <c r="P1024" s="13"/>
    </row>
    <row r="1025">
      <c r="L1025" s="13"/>
      <c r="M1025" s="14"/>
      <c r="N1025" s="14"/>
      <c r="O1025" s="14"/>
      <c r="P1025" s="13"/>
    </row>
    <row r="1026">
      <c r="L1026" s="13"/>
      <c r="M1026" s="14"/>
      <c r="N1026" s="14"/>
      <c r="O1026" s="14"/>
      <c r="P1026" s="13"/>
    </row>
    <row r="1027">
      <c r="L1027" s="13"/>
      <c r="M1027" s="14"/>
      <c r="N1027" s="14"/>
      <c r="O1027" s="14"/>
      <c r="P1027" s="13"/>
    </row>
    <row r="1028">
      <c r="L1028" s="13"/>
      <c r="M1028" s="14"/>
      <c r="N1028" s="14"/>
      <c r="O1028" s="14"/>
      <c r="P1028" s="13"/>
    </row>
    <row r="1029">
      <c r="L1029" s="13"/>
      <c r="M1029" s="14"/>
      <c r="N1029" s="14"/>
      <c r="O1029" s="14"/>
      <c r="P1029" s="13"/>
    </row>
    <row r="1030">
      <c r="L1030" s="13"/>
      <c r="M1030" s="14"/>
      <c r="N1030" s="14"/>
      <c r="O1030" s="14"/>
      <c r="P1030" s="13"/>
    </row>
    <row r="1031">
      <c r="L1031" s="13"/>
      <c r="M1031" s="14"/>
      <c r="N1031" s="14"/>
      <c r="O1031" s="14"/>
      <c r="P1031" s="13"/>
    </row>
    <row r="1032">
      <c r="L1032" s="13"/>
      <c r="M1032" s="14"/>
      <c r="N1032" s="14"/>
      <c r="O1032" s="14"/>
      <c r="P1032" s="13"/>
    </row>
    <row r="1033">
      <c r="L1033" s="13"/>
      <c r="M1033" s="14"/>
      <c r="N1033" s="14"/>
      <c r="O1033" s="14"/>
      <c r="P1033" s="13"/>
    </row>
    <row r="1034">
      <c r="L1034" s="13"/>
      <c r="M1034" s="14"/>
      <c r="N1034" s="14"/>
      <c r="O1034" s="14"/>
      <c r="P1034" s="13"/>
    </row>
    <row r="1035">
      <c r="L1035" s="13"/>
      <c r="M1035" s="14"/>
      <c r="N1035" s="14"/>
      <c r="O1035" s="14"/>
      <c r="P1035" s="13"/>
    </row>
    <row r="1036">
      <c r="L1036" s="13"/>
      <c r="M1036" s="14"/>
      <c r="N1036" s="14"/>
      <c r="O1036" s="14"/>
      <c r="P1036" s="13"/>
    </row>
    <row r="1037">
      <c r="L1037" s="13"/>
      <c r="M1037" s="14"/>
      <c r="N1037" s="14"/>
      <c r="O1037" s="14"/>
      <c r="P1037" s="13"/>
    </row>
    <row r="1038">
      <c r="L1038" s="13"/>
      <c r="M1038" s="14"/>
      <c r="N1038" s="14"/>
      <c r="O1038" s="14"/>
      <c r="P1038" s="13"/>
    </row>
    <row r="1039">
      <c r="L1039" s="13"/>
      <c r="M1039" s="14"/>
      <c r="N1039" s="14"/>
      <c r="O1039" s="14"/>
      <c r="P1039" s="13"/>
    </row>
    <row r="1040">
      <c r="L1040" s="13"/>
      <c r="M1040" s="14"/>
      <c r="N1040" s="14"/>
      <c r="O1040" s="14"/>
      <c r="P1040" s="13"/>
    </row>
    <row r="1041">
      <c r="L1041" s="13"/>
      <c r="M1041" s="14"/>
      <c r="N1041" s="14"/>
      <c r="O1041" s="14"/>
      <c r="P1041" s="13"/>
    </row>
    <row r="1042">
      <c r="L1042" s="13"/>
      <c r="M1042" s="14"/>
      <c r="N1042" s="14"/>
      <c r="O1042" s="14"/>
      <c r="P1042" s="13"/>
    </row>
    <row r="1043">
      <c r="L1043" s="13"/>
      <c r="M1043" s="14"/>
      <c r="N1043" s="14"/>
      <c r="O1043" s="14"/>
      <c r="P1043" s="13"/>
    </row>
    <row r="1044">
      <c r="L1044" s="13"/>
      <c r="M1044" s="14"/>
      <c r="N1044" s="14"/>
      <c r="O1044" s="14"/>
      <c r="P1044" s="13"/>
    </row>
    <row r="1045">
      <c r="L1045" s="13"/>
      <c r="M1045" s="14"/>
      <c r="N1045" s="14"/>
      <c r="O1045" s="14"/>
      <c r="P1045" s="13"/>
    </row>
    <row r="1046">
      <c r="L1046" s="13"/>
      <c r="M1046" s="14"/>
      <c r="N1046" s="14"/>
      <c r="O1046" s="14"/>
      <c r="P1046" s="13"/>
    </row>
    <row r="1047">
      <c r="L1047" s="13"/>
      <c r="M1047" s="14"/>
      <c r="N1047" s="14"/>
      <c r="O1047" s="14"/>
      <c r="P1047" s="13"/>
    </row>
    <row r="1048">
      <c r="L1048" s="13"/>
      <c r="M1048" s="14"/>
      <c r="N1048" s="14"/>
      <c r="O1048" s="14"/>
      <c r="P1048" s="13"/>
    </row>
    <row r="1049">
      <c r="L1049" s="13"/>
      <c r="M1049" s="14"/>
      <c r="N1049" s="14"/>
      <c r="O1049" s="14"/>
      <c r="P1049" s="13"/>
    </row>
    <row r="1050">
      <c r="L1050" s="13"/>
      <c r="M1050" s="14"/>
      <c r="N1050" s="14"/>
      <c r="O1050" s="14"/>
      <c r="P1050" s="13"/>
    </row>
    <row r="1051">
      <c r="L1051" s="13"/>
      <c r="M1051" s="14"/>
      <c r="N1051" s="14"/>
      <c r="O1051" s="14"/>
      <c r="P1051" s="13"/>
    </row>
    <row r="1052">
      <c r="L1052" s="13"/>
      <c r="M1052" s="14"/>
      <c r="N1052" s="14"/>
      <c r="O1052" s="14"/>
      <c r="P1052" s="13"/>
    </row>
    <row r="1053">
      <c r="L1053" s="13"/>
      <c r="M1053" s="14"/>
      <c r="N1053" s="14"/>
      <c r="O1053" s="14"/>
      <c r="P1053" s="13"/>
    </row>
    <row r="1054">
      <c r="L1054" s="13"/>
      <c r="M1054" s="14"/>
      <c r="N1054" s="14"/>
      <c r="O1054" s="14"/>
      <c r="P1054" s="13"/>
    </row>
    <row r="1055">
      <c r="L1055" s="13"/>
      <c r="M1055" s="14"/>
      <c r="N1055" s="14"/>
      <c r="O1055" s="14"/>
      <c r="P1055" s="13"/>
    </row>
    <row r="1056">
      <c r="L1056" s="13"/>
      <c r="M1056" s="14"/>
      <c r="N1056" s="14"/>
      <c r="O1056" s="14"/>
      <c r="P1056" s="13"/>
    </row>
    <row r="1057">
      <c r="L1057" s="13"/>
      <c r="M1057" s="14"/>
      <c r="N1057" s="14"/>
      <c r="O1057" s="14"/>
      <c r="P1057" s="13"/>
    </row>
    <row r="1058">
      <c r="L1058" s="13"/>
      <c r="M1058" s="14"/>
      <c r="N1058" s="14"/>
      <c r="O1058" s="14"/>
      <c r="P1058" s="13"/>
    </row>
    <row r="1059">
      <c r="L1059" s="13"/>
      <c r="M1059" s="14"/>
      <c r="N1059" s="14"/>
      <c r="O1059" s="14"/>
      <c r="P1059" s="13"/>
    </row>
    <row r="1060">
      <c r="L1060" s="13"/>
      <c r="M1060" s="14"/>
      <c r="N1060" s="14"/>
      <c r="O1060" s="14"/>
      <c r="P1060" s="13"/>
    </row>
    <row r="1061">
      <c r="L1061" s="13"/>
      <c r="M1061" s="14"/>
      <c r="N1061" s="14"/>
      <c r="O1061" s="14"/>
      <c r="P1061" s="13"/>
    </row>
    <row r="1062">
      <c r="L1062" s="13"/>
      <c r="M1062" s="14"/>
      <c r="N1062" s="14"/>
      <c r="O1062" s="14"/>
      <c r="P1062" s="13"/>
    </row>
    <row r="1063">
      <c r="L1063" s="13"/>
      <c r="M1063" s="14"/>
      <c r="N1063" s="14"/>
      <c r="O1063" s="14"/>
      <c r="P1063" s="13"/>
    </row>
    <row r="1064">
      <c r="L1064" s="13"/>
      <c r="M1064" s="14"/>
      <c r="N1064" s="14"/>
      <c r="O1064" s="14"/>
      <c r="P1064" s="13"/>
    </row>
    <row r="1065">
      <c r="L1065" s="13"/>
      <c r="M1065" s="14"/>
      <c r="N1065" s="14"/>
      <c r="O1065" s="14"/>
      <c r="P1065" s="13"/>
    </row>
    <row r="1066">
      <c r="L1066" s="13"/>
      <c r="M1066" s="14"/>
      <c r="N1066" s="14"/>
      <c r="O1066" s="14"/>
      <c r="P1066" s="13"/>
    </row>
    <row r="1067">
      <c r="L1067" s="13"/>
      <c r="M1067" s="14"/>
      <c r="N1067" s="14"/>
      <c r="O1067" s="14"/>
      <c r="P1067" s="13"/>
    </row>
    <row r="1068">
      <c r="L1068" s="13"/>
      <c r="M1068" s="14"/>
      <c r="N1068" s="14"/>
      <c r="O1068" s="14"/>
      <c r="P1068" s="13"/>
    </row>
    <row r="1069">
      <c r="L1069" s="13"/>
      <c r="M1069" s="14"/>
      <c r="N1069" s="14"/>
      <c r="O1069" s="14"/>
      <c r="P1069" s="13"/>
    </row>
    <row r="1070">
      <c r="L1070" s="13"/>
      <c r="M1070" s="14"/>
      <c r="N1070" s="14"/>
      <c r="O1070" s="14"/>
      <c r="P1070" s="13"/>
    </row>
    <row r="1071">
      <c r="L1071" s="13"/>
      <c r="M1071" s="14"/>
      <c r="N1071" s="14"/>
      <c r="O1071" s="14"/>
      <c r="P1071" s="13"/>
    </row>
    <row r="1072">
      <c r="L1072" s="13"/>
      <c r="M1072" s="14"/>
      <c r="N1072" s="14"/>
      <c r="O1072" s="14"/>
      <c r="P1072" s="13"/>
    </row>
    <row r="1073">
      <c r="L1073" s="13"/>
      <c r="M1073" s="14"/>
      <c r="N1073" s="14"/>
      <c r="O1073" s="14"/>
      <c r="P1073" s="13"/>
    </row>
    <row r="1074">
      <c r="L1074" s="13"/>
      <c r="M1074" s="14"/>
      <c r="N1074" s="14"/>
      <c r="O1074" s="14"/>
      <c r="P1074" s="13"/>
    </row>
    <row r="1075">
      <c r="L1075" s="13"/>
      <c r="M1075" s="14"/>
      <c r="N1075" s="14"/>
      <c r="O1075" s="14"/>
      <c r="P1075" s="13"/>
    </row>
    <row r="1076">
      <c r="L1076" s="13"/>
      <c r="M1076" s="14"/>
      <c r="N1076" s="14"/>
      <c r="O1076" s="14"/>
      <c r="P1076" s="13"/>
    </row>
    <row r="1077">
      <c r="L1077" s="13"/>
      <c r="M1077" s="14"/>
      <c r="N1077" s="14"/>
      <c r="O1077" s="14"/>
      <c r="P1077" s="13"/>
    </row>
    <row r="1078">
      <c r="L1078" s="13"/>
      <c r="M1078" s="14"/>
      <c r="N1078" s="14"/>
      <c r="O1078" s="14"/>
      <c r="P1078" s="13"/>
    </row>
    <row r="1079">
      <c r="L1079" s="13"/>
      <c r="M1079" s="14"/>
      <c r="N1079" s="14"/>
      <c r="O1079" s="14"/>
      <c r="P1079" s="13"/>
    </row>
    <row r="1080">
      <c r="L1080" s="13"/>
      <c r="M1080" s="14"/>
      <c r="N1080" s="14"/>
      <c r="O1080" s="14"/>
      <c r="P1080" s="13"/>
    </row>
    <row r="1081">
      <c r="L1081" s="13"/>
      <c r="M1081" s="14"/>
      <c r="N1081" s="14"/>
      <c r="O1081" s="14"/>
      <c r="P1081" s="13"/>
    </row>
    <row r="1082">
      <c r="L1082" s="13"/>
      <c r="M1082" s="14"/>
      <c r="N1082" s="14"/>
      <c r="O1082" s="14"/>
      <c r="P1082" s="13"/>
    </row>
    <row r="1083">
      <c r="L1083" s="13"/>
      <c r="M1083" s="14"/>
      <c r="N1083" s="14"/>
      <c r="O1083" s="14"/>
      <c r="P1083" s="13"/>
    </row>
    <row r="1084">
      <c r="L1084" s="13"/>
      <c r="M1084" s="14"/>
      <c r="N1084" s="14"/>
      <c r="O1084" s="14"/>
      <c r="P1084" s="13"/>
    </row>
    <row r="1085">
      <c r="L1085" s="13"/>
      <c r="M1085" s="14"/>
      <c r="N1085" s="14"/>
      <c r="O1085" s="14"/>
      <c r="P1085" s="13"/>
    </row>
    <row r="1086">
      <c r="L1086" s="13"/>
      <c r="M1086" s="14"/>
      <c r="N1086" s="14"/>
      <c r="O1086" s="14"/>
      <c r="P1086" s="13"/>
    </row>
    <row r="1087">
      <c r="L1087" s="13"/>
      <c r="M1087" s="14"/>
      <c r="N1087" s="14"/>
      <c r="O1087" s="14"/>
      <c r="P1087" s="13"/>
    </row>
    <row r="1088">
      <c r="L1088" s="13"/>
      <c r="M1088" s="14"/>
      <c r="N1088" s="14"/>
      <c r="O1088" s="14"/>
      <c r="P1088" s="13"/>
    </row>
    <row r="1089">
      <c r="L1089" s="13"/>
      <c r="M1089" s="14"/>
      <c r="N1089" s="14"/>
      <c r="O1089" s="14"/>
      <c r="P1089" s="13"/>
    </row>
    <row r="1090">
      <c r="L1090" s="13"/>
      <c r="M1090" s="14"/>
      <c r="N1090" s="14"/>
      <c r="O1090" s="14"/>
      <c r="P1090" s="13"/>
    </row>
    <row r="1091">
      <c r="L1091" s="13"/>
      <c r="M1091" s="14"/>
      <c r="N1091" s="14"/>
      <c r="O1091" s="14"/>
      <c r="P1091" s="13"/>
    </row>
    <row r="1092">
      <c r="L1092" s="13"/>
      <c r="M1092" s="14"/>
      <c r="N1092" s="14"/>
      <c r="O1092" s="14"/>
      <c r="P1092" s="13"/>
    </row>
    <row r="1093">
      <c r="L1093" s="13"/>
      <c r="M1093" s="14"/>
      <c r="N1093" s="14"/>
      <c r="O1093" s="14"/>
      <c r="P1093" s="13"/>
    </row>
    <row r="1094">
      <c r="L1094" s="13"/>
      <c r="M1094" s="14"/>
      <c r="N1094" s="14"/>
      <c r="O1094" s="14"/>
      <c r="P1094" s="13"/>
    </row>
    <row r="1095">
      <c r="L1095" s="13"/>
      <c r="M1095" s="14"/>
      <c r="N1095" s="14"/>
      <c r="O1095" s="14"/>
      <c r="P1095" s="13"/>
    </row>
    <row r="1096">
      <c r="L1096" s="13"/>
      <c r="M1096" s="14"/>
      <c r="N1096" s="14"/>
      <c r="O1096" s="14"/>
      <c r="P1096" s="13"/>
    </row>
    <row r="1097">
      <c r="L1097" s="13"/>
      <c r="M1097" s="14"/>
      <c r="N1097" s="14"/>
      <c r="O1097" s="14"/>
      <c r="P1097" s="13"/>
    </row>
    <row r="1098">
      <c r="L1098" s="13"/>
      <c r="M1098" s="14"/>
      <c r="N1098" s="14"/>
      <c r="O1098" s="14"/>
      <c r="P1098" s="13"/>
    </row>
    <row r="1099">
      <c r="L1099" s="13"/>
      <c r="M1099" s="14"/>
      <c r="N1099" s="14"/>
      <c r="O1099" s="14"/>
      <c r="P1099" s="13"/>
    </row>
    <row r="1100">
      <c r="L1100" s="13"/>
      <c r="M1100" s="14"/>
      <c r="N1100" s="14"/>
      <c r="O1100" s="14"/>
      <c r="P1100" s="13"/>
    </row>
    <row r="1101">
      <c r="L1101" s="13"/>
      <c r="M1101" s="14"/>
      <c r="N1101" s="14"/>
      <c r="O1101" s="14"/>
      <c r="P1101" s="13"/>
    </row>
    <row r="1102">
      <c r="L1102" s="13"/>
      <c r="M1102" s="14"/>
      <c r="N1102" s="14"/>
      <c r="O1102" s="14"/>
      <c r="P1102" s="13"/>
    </row>
    <row r="1103">
      <c r="L1103" s="13"/>
      <c r="M1103" s="14"/>
      <c r="N1103" s="14"/>
      <c r="O1103" s="14"/>
      <c r="P1103" s="13"/>
    </row>
    <row r="1104">
      <c r="L1104" s="13"/>
      <c r="M1104" s="14"/>
      <c r="N1104" s="14"/>
      <c r="O1104" s="14"/>
      <c r="P1104" s="13"/>
    </row>
    <row r="1105">
      <c r="L1105" s="13"/>
      <c r="M1105" s="14"/>
      <c r="N1105" s="14"/>
      <c r="O1105" s="14"/>
      <c r="P1105" s="13"/>
    </row>
    <row r="1106">
      <c r="L1106" s="13"/>
      <c r="M1106" s="14"/>
      <c r="N1106" s="14"/>
      <c r="O1106" s="14"/>
      <c r="P1106" s="13"/>
    </row>
    <row r="1107">
      <c r="L1107" s="13"/>
      <c r="M1107" s="14"/>
      <c r="N1107" s="14"/>
      <c r="O1107" s="14"/>
      <c r="P1107" s="13"/>
    </row>
    <row r="1108">
      <c r="L1108" s="13"/>
      <c r="M1108" s="14"/>
      <c r="N1108" s="14"/>
      <c r="O1108" s="14"/>
      <c r="P1108" s="13"/>
    </row>
    <row r="1109">
      <c r="L1109" s="13"/>
      <c r="M1109" s="14"/>
      <c r="N1109" s="14"/>
      <c r="O1109" s="14"/>
      <c r="P1109" s="13"/>
    </row>
    <row r="1110">
      <c r="L1110" s="13"/>
      <c r="M1110" s="14"/>
      <c r="N1110" s="14"/>
      <c r="O1110" s="14"/>
      <c r="P1110" s="13"/>
    </row>
    <row r="1111">
      <c r="L1111" s="13"/>
      <c r="M1111" s="14"/>
      <c r="N1111" s="14"/>
      <c r="O1111" s="14"/>
      <c r="P1111" s="13"/>
    </row>
    <row r="1112">
      <c r="L1112" s="13"/>
      <c r="M1112" s="14"/>
      <c r="N1112" s="14"/>
      <c r="O1112" s="14"/>
      <c r="P1112" s="13"/>
    </row>
    <row r="1113">
      <c r="L1113" s="13"/>
      <c r="M1113" s="14"/>
      <c r="N1113" s="14"/>
      <c r="O1113" s="14"/>
      <c r="P1113" s="13"/>
    </row>
    <row r="1114">
      <c r="L1114" s="13"/>
      <c r="M1114" s="14"/>
      <c r="N1114" s="14"/>
      <c r="O1114" s="14"/>
      <c r="P1114" s="13"/>
    </row>
    <row r="1115">
      <c r="L1115" s="13"/>
      <c r="M1115" s="14"/>
      <c r="N1115" s="14"/>
      <c r="O1115" s="14"/>
      <c r="P1115" s="13"/>
    </row>
    <row r="1116">
      <c r="L1116" s="13"/>
      <c r="M1116" s="14"/>
      <c r="N1116" s="14"/>
      <c r="O1116" s="14"/>
      <c r="P1116" s="13"/>
    </row>
    <row r="1117">
      <c r="L1117" s="13"/>
      <c r="M1117" s="14"/>
      <c r="N1117" s="14"/>
      <c r="O1117" s="14"/>
      <c r="P1117" s="13"/>
    </row>
    <row r="1118">
      <c r="L1118" s="13"/>
      <c r="M1118" s="14"/>
      <c r="N1118" s="14"/>
      <c r="O1118" s="14"/>
      <c r="P1118" s="13"/>
    </row>
    <row r="1119">
      <c r="L1119" s="13"/>
      <c r="M1119" s="14"/>
      <c r="N1119" s="14"/>
      <c r="O1119" s="14"/>
      <c r="P1119" s="13"/>
    </row>
    <row r="1120">
      <c r="L1120" s="13"/>
      <c r="M1120" s="14"/>
      <c r="N1120" s="14"/>
      <c r="O1120" s="14"/>
      <c r="P1120" s="13"/>
    </row>
    <row r="1121">
      <c r="L1121" s="13"/>
      <c r="M1121" s="14"/>
      <c r="N1121" s="14"/>
      <c r="O1121" s="14"/>
      <c r="P1121" s="13"/>
    </row>
    <row r="1122">
      <c r="L1122" s="13"/>
      <c r="M1122" s="14"/>
      <c r="N1122" s="14"/>
      <c r="O1122" s="14"/>
      <c r="P1122" s="13"/>
    </row>
    <row r="1123">
      <c r="L1123" s="13"/>
      <c r="M1123" s="14"/>
      <c r="N1123" s="14"/>
      <c r="O1123" s="14"/>
      <c r="P1123" s="13"/>
    </row>
    <row r="1124">
      <c r="L1124" s="13"/>
      <c r="M1124" s="14"/>
      <c r="N1124" s="14"/>
      <c r="O1124" s="14"/>
      <c r="P1124" s="13"/>
    </row>
    <row r="1125">
      <c r="L1125" s="13"/>
      <c r="M1125" s="14"/>
      <c r="N1125" s="14"/>
      <c r="O1125" s="14"/>
      <c r="P1125" s="13"/>
    </row>
    <row r="1126">
      <c r="L1126" s="13"/>
      <c r="M1126" s="14"/>
      <c r="N1126" s="14"/>
      <c r="O1126" s="14"/>
      <c r="P1126" s="13"/>
    </row>
    <row r="1127">
      <c r="L1127" s="13"/>
      <c r="M1127" s="14"/>
      <c r="N1127" s="14"/>
      <c r="O1127" s="14"/>
      <c r="P1127" s="13"/>
    </row>
    <row r="1128">
      <c r="L1128" s="13"/>
      <c r="M1128" s="14"/>
      <c r="N1128" s="14"/>
      <c r="O1128" s="14"/>
      <c r="P1128" s="13"/>
    </row>
    <row r="1129">
      <c r="L1129" s="13"/>
      <c r="M1129" s="14"/>
      <c r="N1129" s="14"/>
      <c r="O1129" s="14"/>
      <c r="P1129" s="13"/>
    </row>
    <row r="1130">
      <c r="L1130" s="13"/>
      <c r="M1130" s="14"/>
      <c r="N1130" s="14"/>
      <c r="O1130" s="14"/>
      <c r="P1130" s="13"/>
    </row>
    <row r="1131">
      <c r="L1131" s="13"/>
      <c r="M1131" s="14"/>
      <c r="N1131" s="14"/>
      <c r="O1131" s="14"/>
      <c r="P1131" s="13"/>
    </row>
    <row r="1132">
      <c r="L1132" s="13"/>
      <c r="M1132" s="14"/>
      <c r="N1132" s="14"/>
      <c r="O1132" s="14"/>
      <c r="P1132" s="13"/>
    </row>
    <row r="1133">
      <c r="L1133" s="13"/>
      <c r="M1133" s="14"/>
      <c r="N1133" s="14"/>
      <c r="O1133" s="14"/>
      <c r="P1133" s="13"/>
    </row>
    <row r="1134">
      <c r="L1134" s="13"/>
      <c r="M1134" s="14"/>
      <c r="N1134" s="14"/>
      <c r="O1134" s="14"/>
      <c r="P1134" s="13"/>
    </row>
    <row r="1135">
      <c r="L1135" s="13"/>
      <c r="M1135" s="14"/>
      <c r="N1135" s="14"/>
      <c r="O1135" s="14"/>
      <c r="P1135" s="13"/>
    </row>
    <row r="1136">
      <c r="L1136" s="13"/>
      <c r="M1136" s="14"/>
      <c r="N1136" s="14"/>
      <c r="O1136" s="14"/>
      <c r="P1136" s="13"/>
    </row>
    <row r="1137">
      <c r="L1137" s="13"/>
      <c r="M1137" s="14"/>
      <c r="N1137" s="14"/>
      <c r="O1137" s="14"/>
      <c r="P1137" s="13"/>
    </row>
    <row r="1138">
      <c r="L1138" s="13"/>
      <c r="M1138" s="14"/>
      <c r="N1138" s="14"/>
      <c r="O1138" s="14"/>
      <c r="P1138" s="13"/>
    </row>
    <row r="1139">
      <c r="L1139" s="13"/>
      <c r="M1139" s="14"/>
      <c r="N1139" s="14"/>
      <c r="O1139" s="14"/>
      <c r="P1139" s="13"/>
    </row>
    <row r="1140">
      <c r="L1140" s="13"/>
      <c r="M1140" s="14"/>
      <c r="N1140" s="14"/>
      <c r="O1140" s="14"/>
      <c r="P1140" s="13"/>
    </row>
    <row r="1141">
      <c r="L1141" s="13"/>
      <c r="M1141" s="14"/>
      <c r="N1141" s="14"/>
      <c r="O1141" s="14"/>
      <c r="P1141" s="13"/>
    </row>
    <row r="1142">
      <c r="L1142" s="13"/>
      <c r="M1142" s="14"/>
      <c r="N1142" s="14"/>
      <c r="O1142" s="14"/>
      <c r="P1142" s="13"/>
    </row>
    <row r="1143">
      <c r="L1143" s="13"/>
      <c r="M1143" s="14"/>
      <c r="N1143" s="14"/>
      <c r="O1143" s="14"/>
      <c r="P1143" s="13"/>
    </row>
    <row r="1144">
      <c r="L1144" s="13"/>
      <c r="M1144" s="14"/>
      <c r="N1144" s="14"/>
      <c r="O1144" s="14"/>
      <c r="P1144" s="13"/>
    </row>
    <row r="1145">
      <c r="L1145" s="13"/>
      <c r="M1145" s="14"/>
      <c r="N1145" s="14"/>
      <c r="O1145" s="14"/>
      <c r="P1145" s="13"/>
    </row>
    <row r="1146">
      <c r="L1146" s="13"/>
      <c r="M1146" s="14"/>
      <c r="N1146" s="14"/>
      <c r="O1146" s="14"/>
      <c r="P1146" s="13"/>
    </row>
    <row r="1147">
      <c r="L1147" s="13"/>
      <c r="M1147" s="14"/>
      <c r="N1147" s="14"/>
      <c r="O1147" s="14"/>
      <c r="P1147" s="13"/>
    </row>
    <row r="1148">
      <c r="L1148" s="13"/>
      <c r="M1148" s="14"/>
      <c r="N1148" s="14"/>
      <c r="O1148" s="14"/>
      <c r="P1148" s="13"/>
    </row>
    <row r="1149">
      <c r="L1149" s="13"/>
      <c r="M1149" s="14"/>
      <c r="N1149" s="14"/>
      <c r="O1149" s="14"/>
      <c r="P1149" s="13"/>
    </row>
    <row r="1150">
      <c r="L1150" s="13"/>
      <c r="M1150" s="14"/>
      <c r="N1150" s="14"/>
      <c r="O1150" s="14"/>
      <c r="P1150" s="13"/>
    </row>
    <row r="1151">
      <c r="L1151" s="13"/>
      <c r="M1151" s="14"/>
      <c r="N1151" s="14"/>
      <c r="O1151" s="14"/>
      <c r="P1151" s="13"/>
    </row>
    <row r="1152">
      <c r="L1152" s="13"/>
      <c r="M1152" s="14"/>
      <c r="N1152" s="14"/>
      <c r="O1152" s="14"/>
      <c r="P1152" s="13"/>
    </row>
    <row r="1153">
      <c r="L1153" s="13"/>
      <c r="M1153" s="14"/>
      <c r="N1153" s="14"/>
      <c r="O1153" s="14"/>
      <c r="P1153" s="13"/>
    </row>
    <row r="1154">
      <c r="L1154" s="13"/>
      <c r="M1154" s="14"/>
      <c r="N1154" s="14"/>
      <c r="O1154" s="14"/>
      <c r="P1154" s="13"/>
    </row>
    <row r="1155">
      <c r="L1155" s="13"/>
      <c r="M1155" s="14"/>
      <c r="N1155" s="14"/>
      <c r="O1155" s="14"/>
      <c r="P1155" s="13"/>
    </row>
    <row r="1156">
      <c r="L1156" s="13"/>
      <c r="M1156" s="14"/>
      <c r="N1156" s="14"/>
      <c r="O1156" s="14"/>
      <c r="P1156" s="13"/>
    </row>
    <row r="1157">
      <c r="L1157" s="13"/>
      <c r="M1157" s="14"/>
      <c r="N1157" s="14"/>
      <c r="O1157" s="14"/>
      <c r="P1157" s="13"/>
    </row>
    <row r="1158">
      <c r="L1158" s="13"/>
      <c r="M1158" s="14"/>
      <c r="N1158" s="14"/>
      <c r="O1158" s="14"/>
      <c r="P1158" s="13"/>
    </row>
    <row r="1159">
      <c r="L1159" s="13"/>
      <c r="M1159" s="14"/>
      <c r="N1159" s="14"/>
      <c r="O1159" s="14"/>
      <c r="P1159" s="13"/>
    </row>
    <row r="1160">
      <c r="L1160" s="13"/>
      <c r="M1160" s="14"/>
      <c r="N1160" s="14"/>
      <c r="O1160" s="14"/>
      <c r="P1160" s="13"/>
    </row>
    <row r="1161">
      <c r="L1161" s="13"/>
      <c r="M1161" s="14"/>
      <c r="N1161" s="14"/>
      <c r="O1161" s="14"/>
      <c r="P1161" s="13"/>
    </row>
    <row r="1162">
      <c r="L1162" s="13"/>
      <c r="M1162" s="14"/>
      <c r="N1162" s="14"/>
      <c r="O1162" s="14"/>
      <c r="P1162" s="13"/>
    </row>
    <row r="1163">
      <c r="L1163" s="13"/>
      <c r="M1163" s="14"/>
      <c r="N1163" s="14"/>
      <c r="O1163" s="14"/>
      <c r="P1163" s="13"/>
    </row>
    <row r="1164">
      <c r="L1164" s="13"/>
      <c r="M1164" s="14"/>
      <c r="N1164" s="14"/>
      <c r="O1164" s="14"/>
      <c r="P1164" s="13"/>
    </row>
    <row r="1165">
      <c r="L1165" s="13"/>
      <c r="M1165" s="14"/>
      <c r="N1165" s="14"/>
      <c r="O1165" s="14"/>
      <c r="P1165" s="13"/>
    </row>
    <row r="1166">
      <c r="L1166" s="13"/>
      <c r="M1166" s="14"/>
      <c r="N1166" s="14"/>
      <c r="O1166" s="14"/>
      <c r="P1166" s="13"/>
    </row>
    <row r="1167">
      <c r="L1167" s="13"/>
      <c r="M1167" s="14"/>
      <c r="N1167" s="14"/>
      <c r="O1167" s="14"/>
      <c r="P1167" s="13"/>
    </row>
    <row r="1168">
      <c r="L1168" s="13"/>
      <c r="M1168" s="14"/>
      <c r="N1168" s="14"/>
      <c r="O1168" s="14"/>
      <c r="P1168" s="13"/>
    </row>
    <row r="1169">
      <c r="L1169" s="13"/>
      <c r="M1169" s="14"/>
      <c r="N1169" s="14"/>
      <c r="O1169" s="14"/>
      <c r="P1169" s="13"/>
    </row>
    <row r="1170">
      <c r="L1170" s="13"/>
      <c r="M1170" s="14"/>
      <c r="N1170" s="14"/>
      <c r="O1170" s="14"/>
      <c r="P1170" s="13"/>
    </row>
    <row r="1171">
      <c r="L1171" s="13"/>
      <c r="M1171" s="14"/>
      <c r="N1171" s="14"/>
      <c r="O1171" s="14"/>
      <c r="P1171" s="13"/>
    </row>
    <row r="1172">
      <c r="L1172" s="13"/>
      <c r="M1172" s="14"/>
      <c r="N1172" s="14"/>
      <c r="O1172" s="14"/>
      <c r="P1172" s="13"/>
    </row>
    <row r="1173">
      <c r="L1173" s="13"/>
      <c r="M1173" s="14"/>
      <c r="N1173" s="14"/>
      <c r="O1173" s="14"/>
      <c r="P1173" s="13"/>
    </row>
    <row r="1174">
      <c r="L1174" s="13"/>
      <c r="M1174" s="14"/>
      <c r="N1174" s="14"/>
      <c r="O1174" s="14"/>
      <c r="P1174" s="13"/>
    </row>
    <row r="1175">
      <c r="L1175" s="13"/>
      <c r="M1175" s="14"/>
      <c r="N1175" s="14"/>
      <c r="O1175" s="14"/>
      <c r="P1175" s="13"/>
    </row>
    <row r="1176">
      <c r="L1176" s="13"/>
      <c r="M1176" s="14"/>
      <c r="N1176" s="14"/>
      <c r="O1176" s="14"/>
      <c r="P1176" s="13"/>
    </row>
    <row r="1177">
      <c r="L1177" s="13"/>
      <c r="M1177" s="14"/>
      <c r="N1177" s="14"/>
      <c r="O1177" s="14"/>
      <c r="P1177" s="13"/>
    </row>
    <row r="1178">
      <c r="L1178" s="13"/>
      <c r="M1178" s="14"/>
      <c r="N1178" s="14"/>
      <c r="O1178" s="14"/>
      <c r="P1178" s="13"/>
    </row>
    <row r="1179">
      <c r="L1179" s="13"/>
      <c r="M1179" s="14"/>
      <c r="N1179" s="14"/>
      <c r="O1179" s="14"/>
      <c r="P1179" s="13"/>
    </row>
    <row r="1180">
      <c r="L1180" s="13"/>
      <c r="M1180" s="14"/>
      <c r="N1180" s="14"/>
      <c r="O1180" s="14"/>
      <c r="P1180" s="13"/>
    </row>
    <row r="1181">
      <c r="L1181" s="13"/>
      <c r="M1181" s="14"/>
      <c r="N1181" s="14"/>
      <c r="O1181" s="14"/>
      <c r="P1181" s="13"/>
    </row>
    <row r="1182">
      <c r="L1182" s="13"/>
      <c r="M1182" s="14"/>
      <c r="N1182" s="14"/>
      <c r="O1182" s="14"/>
      <c r="P1182" s="13"/>
    </row>
    <row r="1183">
      <c r="L1183" s="13"/>
      <c r="M1183" s="14"/>
      <c r="N1183" s="14"/>
      <c r="O1183" s="14"/>
      <c r="P1183" s="13"/>
    </row>
    <row r="1184">
      <c r="L1184" s="13"/>
      <c r="M1184" s="14"/>
      <c r="N1184" s="14"/>
      <c r="O1184" s="14"/>
      <c r="P1184" s="13"/>
    </row>
    <row r="1185">
      <c r="L1185" s="13"/>
      <c r="M1185" s="14"/>
      <c r="N1185" s="14"/>
      <c r="O1185" s="14"/>
      <c r="P1185" s="13"/>
    </row>
    <row r="1186">
      <c r="L1186" s="13"/>
      <c r="M1186" s="14"/>
      <c r="N1186" s="14"/>
      <c r="O1186" s="14"/>
      <c r="P1186" s="13"/>
    </row>
    <row r="1187">
      <c r="L1187" s="13"/>
      <c r="M1187" s="14"/>
      <c r="N1187" s="14"/>
      <c r="O1187" s="14"/>
      <c r="P1187" s="13"/>
    </row>
    <row r="1188">
      <c r="L1188" s="13"/>
      <c r="M1188" s="14"/>
      <c r="N1188" s="14"/>
      <c r="O1188" s="14"/>
      <c r="P1188" s="13"/>
    </row>
    <row r="1189">
      <c r="L1189" s="13"/>
      <c r="M1189" s="14"/>
      <c r="N1189" s="14"/>
      <c r="O1189" s="14"/>
      <c r="P1189" s="13"/>
    </row>
    <row r="1190">
      <c r="L1190" s="13"/>
      <c r="M1190" s="14"/>
      <c r="N1190" s="14"/>
      <c r="O1190" s="14"/>
      <c r="P1190" s="13"/>
    </row>
    <row r="1191">
      <c r="L1191" s="13"/>
      <c r="M1191" s="14"/>
      <c r="N1191" s="14"/>
      <c r="O1191" s="14"/>
      <c r="P1191" s="13"/>
    </row>
    <row r="1192">
      <c r="L1192" s="13"/>
      <c r="M1192" s="14"/>
      <c r="N1192" s="14"/>
      <c r="O1192" s="14"/>
      <c r="P1192" s="13"/>
    </row>
    <row r="1193">
      <c r="L1193" s="13"/>
      <c r="M1193" s="14"/>
      <c r="N1193" s="14"/>
      <c r="O1193" s="14"/>
      <c r="P1193" s="13"/>
    </row>
    <row r="1194">
      <c r="L1194" s="13"/>
      <c r="M1194" s="14"/>
      <c r="N1194" s="14"/>
      <c r="O1194" s="14"/>
      <c r="P1194" s="13"/>
    </row>
    <row r="1195">
      <c r="L1195" s="13"/>
      <c r="M1195" s="14"/>
      <c r="N1195" s="14"/>
      <c r="O1195" s="14"/>
      <c r="P1195" s="13"/>
    </row>
    <row r="1196">
      <c r="L1196" s="13"/>
      <c r="M1196" s="14"/>
      <c r="N1196" s="14"/>
      <c r="O1196" s="14"/>
      <c r="P1196" s="13"/>
    </row>
    <row r="1197">
      <c r="L1197" s="13"/>
      <c r="M1197" s="14"/>
      <c r="N1197" s="14"/>
      <c r="O1197" s="14"/>
      <c r="P1197" s="13"/>
    </row>
    <row r="1198">
      <c r="L1198" s="13"/>
      <c r="M1198" s="14"/>
      <c r="N1198" s="14"/>
      <c r="O1198" s="14"/>
      <c r="P1198" s="13"/>
    </row>
    <row r="1199">
      <c r="L1199" s="13"/>
      <c r="M1199" s="14"/>
      <c r="N1199" s="14"/>
      <c r="O1199" s="14"/>
      <c r="P1199" s="13"/>
    </row>
    <row r="1200">
      <c r="L1200" s="13"/>
      <c r="M1200" s="14"/>
      <c r="N1200" s="14"/>
      <c r="O1200" s="14"/>
      <c r="P1200" s="13"/>
    </row>
    <row r="1201">
      <c r="L1201" s="13"/>
      <c r="M1201" s="14"/>
      <c r="N1201" s="14"/>
      <c r="O1201" s="14"/>
      <c r="P1201" s="13"/>
    </row>
    <row r="1202">
      <c r="L1202" s="13"/>
      <c r="M1202" s="14"/>
      <c r="N1202" s="14"/>
      <c r="O1202" s="14"/>
      <c r="P1202" s="13"/>
    </row>
    <row r="1203">
      <c r="L1203" s="13"/>
      <c r="M1203" s="14"/>
      <c r="N1203" s="14"/>
      <c r="O1203" s="14"/>
      <c r="P1203" s="13"/>
    </row>
    <row r="1204">
      <c r="L1204" s="13"/>
      <c r="M1204" s="14"/>
      <c r="N1204" s="14"/>
      <c r="O1204" s="14"/>
      <c r="P1204" s="13"/>
    </row>
    <row r="1205">
      <c r="L1205" s="13"/>
      <c r="M1205" s="14"/>
      <c r="N1205" s="14"/>
      <c r="O1205" s="14"/>
      <c r="P1205" s="13"/>
    </row>
    <row r="1206">
      <c r="L1206" s="13"/>
      <c r="M1206" s="14"/>
      <c r="N1206" s="14"/>
      <c r="O1206" s="14"/>
      <c r="P1206" s="13"/>
    </row>
    <row r="1207">
      <c r="L1207" s="13"/>
      <c r="M1207" s="14"/>
      <c r="N1207" s="14"/>
      <c r="O1207" s="14"/>
      <c r="P1207" s="13"/>
    </row>
    <row r="1208">
      <c r="L1208" s="13"/>
      <c r="M1208" s="14"/>
      <c r="N1208" s="14"/>
      <c r="O1208" s="14"/>
      <c r="P1208" s="13"/>
    </row>
    <row r="1209">
      <c r="L1209" s="13"/>
      <c r="M1209" s="14"/>
      <c r="N1209" s="14"/>
      <c r="O1209" s="14"/>
      <c r="P1209" s="13"/>
    </row>
    <row r="1210">
      <c r="L1210" s="13"/>
      <c r="M1210" s="14"/>
      <c r="N1210" s="14"/>
      <c r="O1210" s="14"/>
      <c r="P1210" s="13"/>
    </row>
    <row r="1211">
      <c r="L1211" s="13"/>
      <c r="M1211" s="14"/>
      <c r="N1211" s="14"/>
      <c r="O1211" s="14"/>
      <c r="P1211" s="13"/>
    </row>
    <row r="1212">
      <c r="L1212" s="13"/>
      <c r="M1212" s="14"/>
      <c r="N1212" s="14"/>
      <c r="O1212" s="14"/>
      <c r="P1212" s="13"/>
    </row>
    <row r="1213">
      <c r="L1213" s="13"/>
      <c r="M1213" s="14"/>
      <c r="N1213" s="14"/>
      <c r="O1213" s="14"/>
      <c r="P1213" s="13"/>
    </row>
    <row r="1214">
      <c r="L1214" s="13"/>
      <c r="M1214" s="14"/>
      <c r="N1214" s="14"/>
      <c r="O1214" s="14"/>
      <c r="P1214" s="13"/>
    </row>
    <row r="1215">
      <c r="L1215" s="13"/>
      <c r="M1215" s="14"/>
      <c r="N1215" s="14"/>
      <c r="O1215" s="14"/>
      <c r="P1215" s="13"/>
    </row>
    <row r="1216">
      <c r="L1216" s="13"/>
      <c r="M1216" s="14"/>
      <c r="N1216" s="14"/>
      <c r="O1216" s="14"/>
      <c r="P1216" s="13"/>
    </row>
    <row r="1217">
      <c r="L1217" s="13"/>
      <c r="M1217" s="14"/>
      <c r="N1217" s="14"/>
      <c r="O1217" s="14"/>
      <c r="P1217" s="13"/>
    </row>
    <row r="1218">
      <c r="L1218" s="13"/>
      <c r="M1218" s="14"/>
      <c r="N1218" s="14"/>
      <c r="O1218" s="14"/>
      <c r="P1218" s="13"/>
    </row>
    <row r="1219">
      <c r="L1219" s="13"/>
      <c r="M1219" s="14"/>
      <c r="N1219" s="14"/>
      <c r="O1219" s="14"/>
      <c r="P1219" s="13"/>
    </row>
    <row r="1220">
      <c r="L1220" s="13"/>
      <c r="M1220" s="14"/>
      <c r="N1220" s="14"/>
      <c r="O1220" s="14"/>
      <c r="P1220" s="13"/>
    </row>
    <row r="1221">
      <c r="L1221" s="13"/>
      <c r="M1221" s="14"/>
      <c r="N1221" s="14"/>
      <c r="O1221" s="14"/>
      <c r="P1221" s="13"/>
    </row>
    <row r="1222">
      <c r="L1222" s="13"/>
      <c r="M1222" s="14"/>
      <c r="N1222" s="14"/>
      <c r="O1222" s="14"/>
      <c r="P1222" s="13"/>
    </row>
    <row r="1223">
      <c r="L1223" s="13"/>
      <c r="M1223" s="14"/>
      <c r="N1223" s="14"/>
      <c r="O1223" s="14"/>
      <c r="P1223" s="13"/>
    </row>
    <row r="1224">
      <c r="L1224" s="13"/>
      <c r="M1224" s="14"/>
      <c r="N1224" s="14"/>
      <c r="O1224" s="14"/>
      <c r="P1224" s="13"/>
    </row>
    <row r="1225">
      <c r="L1225" s="13"/>
      <c r="M1225" s="14"/>
      <c r="N1225" s="14"/>
      <c r="O1225" s="14"/>
      <c r="P1225" s="13"/>
    </row>
    <row r="1226">
      <c r="L1226" s="13"/>
      <c r="M1226" s="14"/>
      <c r="N1226" s="14"/>
      <c r="O1226" s="14"/>
      <c r="P1226" s="13"/>
    </row>
    <row r="1227">
      <c r="L1227" s="13"/>
      <c r="M1227" s="14"/>
      <c r="N1227" s="14"/>
      <c r="O1227" s="14"/>
      <c r="P1227" s="13"/>
    </row>
    <row r="1228">
      <c r="L1228" s="13"/>
      <c r="M1228" s="14"/>
      <c r="N1228" s="14"/>
      <c r="O1228" s="14"/>
      <c r="P1228" s="13"/>
    </row>
    <row r="1229">
      <c r="L1229" s="13"/>
      <c r="M1229" s="14"/>
      <c r="N1229" s="14"/>
      <c r="O1229" s="14"/>
      <c r="P1229" s="13"/>
    </row>
    <row r="1230">
      <c r="L1230" s="13"/>
      <c r="M1230" s="14"/>
      <c r="N1230" s="14"/>
      <c r="O1230" s="14"/>
      <c r="P1230" s="13"/>
    </row>
    <row r="1231">
      <c r="L1231" s="13"/>
      <c r="M1231" s="14"/>
      <c r="N1231" s="14"/>
      <c r="O1231" s="14"/>
      <c r="P1231" s="13"/>
    </row>
    <row r="1232">
      <c r="L1232" s="13"/>
      <c r="M1232" s="14"/>
      <c r="N1232" s="14"/>
      <c r="O1232" s="14"/>
      <c r="P1232" s="13"/>
    </row>
    <row r="1233">
      <c r="L1233" s="13"/>
      <c r="M1233" s="14"/>
      <c r="N1233" s="14"/>
      <c r="O1233" s="14"/>
      <c r="P1233" s="13"/>
    </row>
    <row r="1234">
      <c r="L1234" s="13"/>
      <c r="M1234" s="14"/>
      <c r="N1234" s="14"/>
      <c r="O1234" s="14"/>
      <c r="P1234" s="13"/>
    </row>
    <row r="1235">
      <c r="L1235" s="13"/>
      <c r="M1235" s="14"/>
      <c r="N1235" s="14"/>
      <c r="O1235" s="14"/>
      <c r="P1235" s="13"/>
    </row>
    <row r="1236">
      <c r="L1236" s="13"/>
      <c r="M1236" s="14"/>
      <c r="N1236" s="14"/>
      <c r="O1236" s="14"/>
      <c r="P1236" s="13"/>
    </row>
    <row r="1237">
      <c r="L1237" s="13"/>
      <c r="M1237" s="14"/>
      <c r="N1237" s="14"/>
      <c r="O1237" s="14"/>
      <c r="P1237" s="13"/>
    </row>
    <row r="1238">
      <c r="L1238" s="13"/>
      <c r="M1238" s="14"/>
      <c r="N1238" s="14"/>
      <c r="O1238" s="14"/>
      <c r="P1238" s="13"/>
    </row>
    <row r="1239">
      <c r="L1239" s="13"/>
      <c r="M1239" s="14"/>
      <c r="N1239" s="14"/>
      <c r="O1239" s="14"/>
      <c r="P1239" s="13"/>
    </row>
    <row r="1240">
      <c r="L1240" s="13"/>
      <c r="M1240" s="14"/>
      <c r="N1240" s="14"/>
      <c r="O1240" s="14"/>
      <c r="P1240" s="13"/>
    </row>
    <row r="1241">
      <c r="L1241" s="13"/>
      <c r="M1241" s="14"/>
      <c r="N1241" s="14"/>
      <c r="O1241" s="14"/>
      <c r="P1241" s="13"/>
    </row>
    <row r="1242">
      <c r="L1242" s="13"/>
      <c r="M1242" s="14"/>
      <c r="N1242" s="14"/>
      <c r="O1242" s="14"/>
      <c r="P1242" s="13"/>
    </row>
    <row r="1243">
      <c r="L1243" s="13"/>
      <c r="M1243" s="14"/>
      <c r="N1243" s="14"/>
      <c r="O1243" s="14"/>
      <c r="P1243" s="13"/>
    </row>
    <row r="1244">
      <c r="L1244" s="13"/>
      <c r="M1244" s="14"/>
      <c r="N1244" s="14"/>
      <c r="O1244" s="14"/>
      <c r="P1244" s="13"/>
    </row>
    <row r="1245">
      <c r="L1245" s="13"/>
      <c r="M1245" s="14"/>
      <c r="N1245" s="14"/>
      <c r="O1245" s="14"/>
      <c r="P1245" s="13"/>
    </row>
    <row r="1246">
      <c r="L1246" s="13"/>
      <c r="M1246" s="14"/>
      <c r="N1246" s="14"/>
      <c r="O1246" s="14"/>
      <c r="P1246" s="13"/>
    </row>
    <row r="1247">
      <c r="L1247" s="13"/>
      <c r="M1247" s="14"/>
      <c r="N1247" s="14"/>
      <c r="O1247" s="14"/>
      <c r="P1247" s="13"/>
    </row>
    <row r="1248">
      <c r="L1248" s="13"/>
      <c r="M1248" s="14"/>
      <c r="N1248" s="14"/>
      <c r="O1248" s="14"/>
      <c r="P1248" s="13"/>
    </row>
    <row r="1249">
      <c r="L1249" s="13"/>
      <c r="M1249" s="14"/>
      <c r="N1249" s="14"/>
      <c r="O1249" s="14"/>
      <c r="P1249" s="13"/>
    </row>
    <row r="1250">
      <c r="L1250" s="13"/>
      <c r="M1250" s="14"/>
      <c r="N1250" s="14"/>
      <c r="O1250" s="14"/>
      <c r="P1250" s="13"/>
    </row>
    <row r="1251">
      <c r="L1251" s="13"/>
      <c r="M1251" s="14"/>
      <c r="N1251" s="14"/>
      <c r="O1251" s="14"/>
      <c r="P1251" s="13"/>
    </row>
    <row r="1252">
      <c r="L1252" s="13"/>
      <c r="M1252" s="14"/>
      <c r="N1252" s="14"/>
      <c r="O1252" s="14"/>
      <c r="P1252" s="13"/>
    </row>
    <row r="1253">
      <c r="L1253" s="13"/>
      <c r="M1253" s="14"/>
      <c r="N1253" s="14"/>
      <c r="O1253" s="14"/>
      <c r="P1253" s="13"/>
    </row>
    <row r="1254">
      <c r="L1254" s="13"/>
      <c r="M1254" s="14"/>
      <c r="N1254" s="14"/>
      <c r="O1254" s="14"/>
      <c r="P1254" s="13"/>
    </row>
    <row r="1255">
      <c r="L1255" s="13"/>
      <c r="M1255" s="14"/>
      <c r="N1255" s="14"/>
      <c r="O1255" s="14"/>
      <c r="P1255" s="13"/>
    </row>
    <row r="1256">
      <c r="L1256" s="13"/>
      <c r="M1256" s="14"/>
      <c r="N1256" s="14"/>
      <c r="O1256" s="14"/>
      <c r="P1256" s="13"/>
    </row>
    <row r="1257">
      <c r="L1257" s="13"/>
      <c r="M1257" s="14"/>
      <c r="N1257" s="14"/>
      <c r="O1257" s="14"/>
      <c r="P1257" s="13"/>
    </row>
    <row r="1258">
      <c r="L1258" s="13"/>
      <c r="M1258" s="14"/>
      <c r="N1258" s="14"/>
      <c r="O1258" s="14"/>
      <c r="P1258" s="13"/>
    </row>
    <row r="1259">
      <c r="L1259" s="13"/>
      <c r="M1259" s="14"/>
      <c r="N1259" s="14"/>
      <c r="O1259" s="14"/>
      <c r="P1259" s="13"/>
    </row>
    <row r="1260">
      <c r="L1260" s="13"/>
      <c r="M1260" s="14"/>
      <c r="N1260" s="14"/>
      <c r="O1260" s="14"/>
      <c r="P1260" s="13"/>
    </row>
    <row r="1261">
      <c r="L1261" s="13"/>
      <c r="M1261" s="14"/>
      <c r="N1261" s="14"/>
      <c r="O1261" s="14"/>
      <c r="P1261" s="13"/>
    </row>
    <row r="1262">
      <c r="L1262" s="13"/>
      <c r="M1262" s="14"/>
      <c r="N1262" s="14"/>
      <c r="O1262" s="14"/>
      <c r="P1262" s="13"/>
    </row>
    <row r="1263">
      <c r="L1263" s="13"/>
      <c r="M1263" s="14"/>
      <c r="N1263" s="14"/>
      <c r="O1263" s="14"/>
      <c r="P1263" s="13"/>
    </row>
    <row r="1264">
      <c r="L1264" s="13"/>
      <c r="M1264" s="14"/>
      <c r="N1264" s="14"/>
      <c r="O1264" s="14"/>
      <c r="P1264" s="13"/>
    </row>
    <row r="1265">
      <c r="L1265" s="13"/>
      <c r="M1265" s="14"/>
      <c r="N1265" s="14"/>
      <c r="O1265" s="14"/>
      <c r="P1265" s="13"/>
    </row>
    <row r="1266">
      <c r="L1266" s="13"/>
      <c r="M1266" s="14"/>
      <c r="N1266" s="14"/>
      <c r="O1266" s="14"/>
      <c r="P1266" s="13"/>
    </row>
    <row r="1267">
      <c r="L1267" s="13"/>
      <c r="M1267" s="14"/>
      <c r="N1267" s="14"/>
      <c r="O1267" s="14"/>
      <c r="P1267" s="13"/>
    </row>
    <row r="1268">
      <c r="L1268" s="13"/>
      <c r="M1268" s="14"/>
      <c r="N1268" s="14"/>
      <c r="O1268" s="14"/>
      <c r="P1268" s="13"/>
    </row>
    <row r="1269">
      <c r="L1269" s="13"/>
      <c r="M1269" s="14"/>
      <c r="N1269" s="14"/>
      <c r="O1269" s="14"/>
      <c r="P1269" s="13"/>
    </row>
    <row r="1270">
      <c r="L1270" s="13"/>
      <c r="M1270" s="14"/>
      <c r="N1270" s="14"/>
      <c r="O1270" s="14"/>
      <c r="P1270" s="13"/>
    </row>
    <row r="1271">
      <c r="L1271" s="13"/>
      <c r="M1271" s="14"/>
      <c r="N1271" s="14"/>
      <c r="O1271" s="14"/>
      <c r="P1271" s="13"/>
    </row>
    <row r="1272">
      <c r="L1272" s="13"/>
      <c r="M1272" s="14"/>
      <c r="N1272" s="14"/>
      <c r="O1272" s="14"/>
      <c r="P1272" s="13"/>
    </row>
    <row r="1273">
      <c r="L1273" s="13"/>
      <c r="M1273" s="14"/>
      <c r="N1273" s="14"/>
      <c r="O1273" s="14"/>
      <c r="P1273" s="13"/>
    </row>
    <row r="1274">
      <c r="L1274" s="13"/>
      <c r="M1274" s="14"/>
      <c r="N1274" s="14"/>
      <c r="O1274" s="14"/>
      <c r="P1274" s="13"/>
    </row>
    <row r="1275">
      <c r="L1275" s="13"/>
      <c r="M1275" s="14"/>
      <c r="N1275" s="14"/>
      <c r="O1275" s="14"/>
      <c r="P1275" s="13"/>
    </row>
    <row r="1276">
      <c r="L1276" s="13"/>
      <c r="M1276" s="14"/>
      <c r="N1276" s="14"/>
      <c r="O1276" s="14"/>
      <c r="P1276" s="13"/>
    </row>
    <row r="1277">
      <c r="L1277" s="13"/>
      <c r="M1277" s="14"/>
      <c r="N1277" s="14"/>
      <c r="O1277" s="14"/>
      <c r="P1277" s="13"/>
    </row>
    <row r="1278">
      <c r="L1278" s="13"/>
      <c r="M1278" s="14"/>
      <c r="N1278" s="14"/>
      <c r="O1278" s="14"/>
      <c r="P1278" s="13"/>
    </row>
    <row r="1279">
      <c r="L1279" s="13"/>
      <c r="M1279" s="14"/>
      <c r="N1279" s="14"/>
      <c r="O1279" s="14"/>
      <c r="P1279" s="13"/>
    </row>
    <row r="1280">
      <c r="L1280" s="13"/>
      <c r="M1280" s="14"/>
      <c r="N1280" s="14"/>
      <c r="O1280" s="14"/>
      <c r="P1280" s="13"/>
    </row>
    <row r="1281">
      <c r="L1281" s="13"/>
      <c r="M1281" s="14"/>
      <c r="N1281" s="14"/>
      <c r="O1281" s="14"/>
      <c r="P1281" s="13"/>
    </row>
    <row r="1282">
      <c r="L1282" s="13"/>
      <c r="M1282" s="14"/>
      <c r="N1282" s="14"/>
      <c r="O1282" s="14"/>
      <c r="P1282" s="13"/>
    </row>
    <row r="1283">
      <c r="L1283" s="13"/>
      <c r="M1283" s="14"/>
      <c r="N1283" s="14"/>
      <c r="O1283" s="14"/>
      <c r="P1283" s="13"/>
    </row>
    <row r="1284">
      <c r="L1284" s="13"/>
      <c r="M1284" s="14"/>
      <c r="N1284" s="14"/>
      <c r="O1284" s="14"/>
      <c r="P1284" s="13"/>
    </row>
    <row r="1285">
      <c r="L1285" s="13"/>
      <c r="M1285" s="14"/>
      <c r="N1285" s="14"/>
      <c r="O1285" s="14"/>
      <c r="P1285" s="13"/>
    </row>
    <row r="1286">
      <c r="L1286" s="13"/>
      <c r="M1286" s="14"/>
      <c r="N1286" s="14"/>
      <c r="O1286" s="14"/>
      <c r="P1286" s="13"/>
    </row>
    <row r="1287">
      <c r="L1287" s="13"/>
      <c r="M1287" s="14"/>
      <c r="N1287" s="14"/>
      <c r="O1287" s="14"/>
      <c r="P1287" s="13"/>
    </row>
    <row r="1288">
      <c r="L1288" s="13"/>
      <c r="M1288" s="14"/>
      <c r="N1288" s="14"/>
      <c r="O1288" s="14"/>
      <c r="P1288" s="13"/>
    </row>
    <row r="1289">
      <c r="L1289" s="13"/>
      <c r="M1289" s="14"/>
      <c r="N1289" s="14"/>
      <c r="O1289" s="14"/>
      <c r="P1289" s="13"/>
    </row>
    <row r="1290">
      <c r="L1290" s="13"/>
      <c r="M1290" s="14"/>
      <c r="N1290" s="14"/>
      <c r="O1290" s="14"/>
      <c r="P1290" s="13"/>
    </row>
    <row r="1291">
      <c r="L1291" s="13"/>
      <c r="M1291" s="14"/>
      <c r="N1291" s="14"/>
      <c r="O1291" s="14"/>
      <c r="P1291" s="13"/>
    </row>
    <row r="1292">
      <c r="L1292" s="13"/>
      <c r="M1292" s="14"/>
      <c r="N1292" s="14"/>
      <c r="O1292" s="14"/>
      <c r="P1292" s="13"/>
    </row>
    <row r="1293">
      <c r="L1293" s="13"/>
      <c r="M1293" s="14"/>
      <c r="N1293" s="14"/>
      <c r="O1293" s="14"/>
      <c r="P1293" s="13"/>
    </row>
    <row r="1294">
      <c r="L1294" s="13"/>
      <c r="M1294" s="14"/>
      <c r="N1294" s="14"/>
      <c r="O1294" s="14"/>
      <c r="P1294" s="13"/>
    </row>
    <row r="1295">
      <c r="L1295" s="13"/>
      <c r="M1295" s="14"/>
      <c r="N1295" s="14"/>
      <c r="O1295" s="14"/>
      <c r="P1295" s="13"/>
    </row>
    <row r="1296">
      <c r="L1296" s="13"/>
      <c r="M1296" s="14"/>
      <c r="N1296" s="14"/>
      <c r="O1296" s="14"/>
      <c r="P1296" s="13"/>
    </row>
    <row r="1297">
      <c r="L1297" s="13"/>
      <c r="M1297" s="14"/>
      <c r="N1297" s="14"/>
      <c r="O1297" s="14"/>
      <c r="P1297" s="13"/>
    </row>
    <row r="1298">
      <c r="L1298" s="13"/>
      <c r="M1298" s="14"/>
      <c r="N1298" s="14"/>
      <c r="O1298" s="14"/>
      <c r="P1298" s="13"/>
    </row>
    <row r="1299">
      <c r="L1299" s="13"/>
      <c r="M1299" s="14"/>
      <c r="N1299" s="14"/>
      <c r="O1299" s="14"/>
      <c r="P1299" s="13"/>
    </row>
    <row r="1300">
      <c r="L1300" s="13"/>
      <c r="M1300" s="14"/>
      <c r="N1300" s="14"/>
      <c r="O1300" s="14"/>
      <c r="P1300" s="13"/>
    </row>
    <row r="1301">
      <c r="L1301" s="13"/>
      <c r="M1301" s="14"/>
      <c r="N1301" s="14"/>
      <c r="O1301" s="14"/>
      <c r="P1301" s="13"/>
    </row>
    <row r="1302">
      <c r="L1302" s="13"/>
      <c r="M1302" s="14"/>
      <c r="N1302" s="14"/>
      <c r="O1302" s="14"/>
      <c r="P1302" s="13"/>
    </row>
    <row r="1303">
      <c r="L1303" s="13"/>
      <c r="M1303" s="14"/>
      <c r="N1303" s="14"/>
      <c r="O1303" s="14"/>
      <c r="P1303" s="13"/>
    </row>
    <row r="1304">
      <c r="L1304" s="13"/>
      <c r="M1304" s="14"/>
      <c r="N1304" s="14"/>
      <c r="O1304" s="14"/>
      <c r="P1304" s="13"/>
    </row>
    <row r="1305">
      <c r="L1305" s="13"/>
      <c r="M1305" s="14"/>
      <c r="N1305" s="14"/>
      <c r="O1305" s="14"/>
      <c r="P1305" s="13"/>
    </row>
    <row r="1306">
      <c r="L1306" s="13"/>
      <c r="M1306" s="14"/>
      <c r="N1306" s="14"/>
      <c r="O1306" s="14"/>
      <c r="P1306" s="13"/>
    </row>
    <row r="1307">
      <c r="L1307" s="13"/>
      <c r="M1307" s="14"/>
      <c r="N1307" s="14"/>
      <c r="O1307" s="14"/>
      <c r="P1307" s="13"/>
    </row>
    <row r="1308">
      <c r="L1308" s="13"/>
      <c r="M1308" s="14"/>
      <c r="N1308" s="14"/>
      <c r="O1308" s="14"/>
      <c r="P1308" s="13"/>
    </row>
    <row r="1309">
      <c r="L1309" s="13"/>
      <c r="M1309" s="14"/>
      <c r="N1309" s="14"/>
      <c r="O1309" s="14"/>
      <c r="P1309" s="13"/>
    </row>
    <row r="1310">
      <c r="L1310" s="13"/>
      <c r="M1310" s="14"/>
      <c r="N1310" s="14"/>
      <c r="O1310" s="14"/>
      <c r="P1310" s="13"/>
    </row>
    <row r="1311">
      <c r="L1311" s="13"/>
      <c r="M1311" s="14"/>
      <c r="N1311" s="14"/>
      <c r="O1311" s="14"/>
      <c r="P1311" s="13"/>
    </row>
    <row r="1312">
      <c r="L1312" s="13"/>
      <c r="M1312" s="14"/>
      <c r="N1312" s="14"/>
      <c r="O1312" s="14"/>
      <c r="P1312" s="13"/>
    </row>
    <row r="1313">
      <c r="L1313" s="13"/>
      <c r="M1313" s="14"/>
      <c r="N1313" s="14"/>
      <c r="O1313" s="14"/>
      <c r="P1313" s="13"/>
    </row>
    <row r="1314">
      <c r="L1314" s="13"/>
      <c r="M1314" s="14"/>
      <c r="N1314" s="14"/>
      <c r="O1314" s="14"/>
      <c r="P1314" s="13"/>
    </row>
    <row r="1315">
      <c r="L1315" s="13"/>
      <c r="M1315" s="14"/>
      <c r="N1315" s="14"/>
      <c r="O1315" s="14"/>
      <c r="P1315" s="13"/>
    </row>
    <row r="1316">
      <c r="L1316" s="13"/>
      <c r="M1316" s="14"/>
      <c r="N1316" s="14"/>
      <c r="O1316" s="14"/>
      <c r="P1316" s="13"/>
    </row>
    <row r="1317">
      <c r="L1317" s="13"/>
      <c r="M1317" s="14"/>
      <c r="N1317" s="14"/>
      <c r="O1317" s="14"/>
      <c r="P1317" s="13"/>
    </row>
    <row r="1318">
      <c r="L1318" s="13"/>
      <c r="M1318" s="14"/>
      <c r="N1318" s="14"/>
      <c r="O1318" s="14"/>
      <c r="P1318" s="13"/>
    </row>
    <row r="1319">
      <c r="L1319" s="13"/>
      <c r="M1319" s="14"/>
      <c r="N1319" s="14"/>
      <c r="O1319" s="14"/>
      <c r="P1319" s="13"/>
    </row>
    <row r="1320">
      <c r="L1320" s="13"/>
      <c r="M1320" s="14"/>
      <c r="N1320" s="14"/>
      <c r="O1320" s="14"/>
      <c r="P1320" s="13"/>
    </row>
    <row r="1321">
      <c r="L1321" s="13"/>
      <c r="M1321" s="14"/>
      <c r="N1321" s="14"/>
      <c r="O1321" s="14"/>
      <c r="P1321" s="13"/>
    </row>
    <row r="1322">
      <c r="L1322" s="13"/>
      <c r="M1322" s="14"/>
      <c r="N1322" s="14"/>
      <c r="O1322" s="14"/>
      <c r="P1322" s="13"/>
    </row>
    <row r="1323">
      <c r="L1323" s="13"/>
      <c r="M1323" s="14"/>
      <c r="N1323" s="14"/>
      <c r="O1323" s="14"/>
      <c r="P1323" s="13"/>
    </row>
    <row r="1324">
      <c r="L1324" s="13"/>
      <c r="M1324" s="14"/>
      <c r="N1324" s="14"/>
      <c r="O1324" s="14"/>
      <c r="P1324" s="13"/>
    </row>
    <row r="1325">
      <c r="L1325" s="13"/>
      <c r="M1325" s="14"/>
      <c r="N1325" s="14"/>
      <c r="O1325" s="14"/>
      <c r="P1325" s="13"/>
    </row>
    <row r="1326">
      <c r="L1326" s="13"/>
      <c r="M1326" s="14"/>
      <c r="N1326" s="14"/>
      <c r="O1326" s="14"/>
      <c r="P1326" s="13"/>
    </row>
    <row r="1327">
      <c r="L1327" s="13"/>
      <c r="M1327" s="14"/>
      <c r="N1327" s="14"/>
      <c r="O1327" s="14"/>
      <c r="P1327" s="13"/>
    </row>
    <row r="1328">
      <c r="L1328" s="13"/>
      <c r="M1328" s="14"/>
      <c r="N1328" s="14"/>
      <c r="O1328" s="14"/>
      <c r="P1328" s="13"/>
    </row>
    <row r="1329">
      <c r="L1329" s="13"/>
      <c r="M1329" s="14"/>
      <c r="N1329" s="14"/>
      <c r="O1329" s="14"/>
      <c r="P1329" s="13"/>
    </row>
    <row r="1330">
      <c r="L1330" s="13"/>
      <c r="M1330" s="14"/>
      <c r="N1330" s="14"/>
      <c r="O1330" s="14"/>
      <c r="P1330" s="13"/>
    </row>
    <row r="1331">
      <c r="L1331" s="13"/>
      <c r="M1331" s="14"/>
      <c r="N1331" s="14"/>
      <c r="O1331" s="14"/>
      <c r="P1331" s="13"/>
    </row>
    <row r="1332">
      <c r="L1332" s="13"/>
      <c r="M1332" s="14"/>
      <c r="N1332" s="14"/>
      <c r="O1332" s="14"/>
      <c r="P1332" s="13"/>
    </row>
    <row r="1333">
      <c r="L1333" s="13"/>
      <c r="M1333" s="14"/>
      <c r="N1333" s="14"/>
      <c r="O1333" s="14"/>
      <c r="P1333" s="13"/>
    </row>
    <row r="1334">
      <c r="L1334" s="13"/>
      <c r="M1334" s="14"/>
      <c r="N1334" s="14"/>
      <c r="O1334" s="14"/>
      <c r="P1334" s="13"/>
    </row>
    <row r="1335">
      <c r="L1335" s="13"/>
      <c r="M1335" s="14"/>
      <c r="N1335" s="14"/>
      <c r="O1335" s="14"/>
      <c r="P1335" s="13"/>
    </row>
    <row r="1336">
      <c r="L1336" s="13"/>
      <c r="M1336" s="14"/>
      <c r="N1336" s="14"/>
      <c r="O1336" s="14"/>
      <c r="P1336" s="13"/>
    </row>
    <row r="1337">
      <c r="L1337" s="13"/>
      <c r="M1337" s="14"/>
      <c r="N1337" s="14"/>
      <c r="O1337" s="14"/>
      <c r="P1337" s="13"/>
    </row>
    <row r="1338">
      <c r="L1338" s="13"/>
      <c r="M1338" s="14"/>
      <c r="N1338" s="14"/>
      <c r="O1338" s="14"/>
      <c r="P1338" s="13"/>
    </row>
    <row r="1339">
      <c r="L1339" s="13"/>
      <c r="M1339" s="14"/>
      <c r="N1339" s="14"/>
      <c r="O1339" s="14"/>
      <c r="P1339" s="13"/>
    </row>
    <row r="1340">
      <c r="L1340" s="13"/>
      <c r="M1340" s="14"/>
      <c r="N1340" s="14"/>
      <c r="O1340" s="14"/>
      <c r="P1340" s="13"/>
    </row>
    <row r="1341">
      <c r="L1341" s="13"/>
      <c r="M1341" s="14"/>
      <c r="N1341" s="14"/>
      <c r="O1341" s="14"/>
      <c r="P1341" s="13"/>
    </row>
    <row r="1342">
      <c r="L1342" s="13"/>
      <c r="M1342" s="14"/>
      <c r="N1342" s="14"/>
      <c r="O1342" s="14"/>
      <c r="P1342" s="13"/>
    </row>
    <row r="1343">
      <c r="L1343" s="13"/>
      <c r="M1343" s="14"/>
      <c r="N1343" s="14"/>
      <c r="O1343" s="14"/>
      <c r="P1343" s="13"/>
    </row>
    <row r="1344">
      <c r="L1344" s="13"/>
      <c r="M1344" s="14"/>
      <c r="N1344" s="14"/>
      <c r="O1344" s="14"/>
      <c r="P1344" s="13"/>
    </row>
    <row r="1345">
      <c r="L1345" s="13"/>
      <c r="M1345" s="14"/>
      <c r="N1345" s="14"/>
      <c r="O1345" s="14"/>
      <c r="P1345" s="13"/>
    </row>
    <row r="1346">
      <c r="L1346" s="13"/>
      <c r="M1346" s="14"/>
      <c r="N1346" s="14"/>
      <c r="O1346" s="14"/>
      <c r="P1346" s="13"/>
    </row>
    <row r="1347">
      <c r="L1347" s="13"/>
      <c r="M1347" s="14"/>
      <c r="N1347" s="14"/>
      <c r="O1347" s="14"/>
      <c r="P1347" s="13"/>
    </row>
    <row r="1348">
      <c r="L1348" s="13"/>
      <c r="M1348" s="14"/>
      <c r="N1348" s="14"/>
      <c r="O1348" s="14"/>
      <c r="P1348" s="13"/>
    </row>
    <row r="1349">
      <c r="L1349" s="13"/>
      <c r="M1349" s="14"/>
      <c r="N1349" s="14"/>
      <c r="O1349" s="14"/>
      <c r="P1349" s="13"/>
    </row>
    <row r="1350">
      <c r="L1350" s="13"/>
      <c r="M1350" s="14"/>
      <c r="N1350" s="14"/>
      <c r="O1350" s="14"/>
      <c r="P1350" s="13"/>
    </row>
    <row r="1351">
      <c r="L1351" s="13"/>
      <c r="M1351" s="14"/>
      <c r="N1351" s="14"/>
      <c r="O1351" s="14"/>
      <c r="P1351" s="13"/>
    </row>
    <row r="1352">
      <c r="L1352" s="13"/>
      <c r="M1352" s="14"/>
      <c r="N1352" s="14"/>
      <c r="O1352" s="14"/>
      <c r="P1352" s="13"/>
    </row>
    <row r="1353">
      <c r="L1353" s="13"/>
      <c r="M1353" s="14"/>
      <c r="N1353" s="14"/>
      <c r="O1353" s="14"/>
      <c r="P1353" s="13"/>
    </row>
    <row r="1354">
      <c r="L1354" s="13"/>
      <c r="M1354" s="14"/>
      <c r="N1354" s="14"/>
      <c r="O1354" s="14"/>
      <c r="P1354" s="13"/>
    </row>
    <row r="1355">
      <c r="L1355" s="13"/>
      <c r="M1355" s="14"/>
      <c r="N1355" s="14"/>
      <c r="O1355" s="14"/>
      <c r="P1355" s="13"/>
    </row>
    <row r="1356">
      <c r="L1356" s="13"/>
      <c r="M1356" s="14"/>
      <c r="N1356" s="14"/>
      <c r="O1356" s="14"/>
      <c r="P1356" s="13"/>
    </row>
    <row r="1357">
      <c r="L1357" s="13"/>
      <c r="M1357" s="14"/>
      <c r="N1357" s="14"/>
      <c r="O1357" s="14"/>
      <c r="P1357" s="13"/>
    </row>
    <row r="1358">
      <c r="L1358" s="13"/>
      <c r="M1358" s="14"/>
      <c r="N1358" s="14"/>
      <c r="O1358" s="14"/>
      <c r="P1358" s="13"/>
    </row>
    <row r="1359">
      <c r="L1359" s="13"/>
      <c r="M1359" s="14"/>
      <c r="N1359" s="14"/>
      <c r="O1359" s="14"/>
      <c r="P1359" s="13"/>
    </row>
    <row r="1360">
      <c r="L1360" s="13"/>
      <c r="M1360" s="14"/>
      <c r="N1360" s="14"/>
      <c r="O1360" s="14"/>
      <c r="P1360" s="13"/>
    </row>
    <row r="1361">
      <c r="L1361" s="13"/>
      <c r="M1361" s="14"/>
      <c r="N1361" s="14"/>
      <c r="O1361" s="14"/>
      <c r="P1361" s="13"/>
    </row>
    <row r="1362">
      <c r="L1362" s="13"/>
      <c r="M1362" s="14"/>
      <c r="N1362" s="14"/>
      <c r="O1362" s="14"/>
      <c r="P1362" s="13"/>
    </row>
    <row r="1363">
      <c r="L1363" s="13"/>
      <c r="M1363" s="14"/>
      <c r="N1363" s="14"/>
      <c r="O1363" s="14"/>
      <c r="P1363" s="13"/>
    </row>
    <row r="1364">
      <c r="L1364" s="13"/>
      <c r="M1364" s="14"/>
      <c r="N1364" s="14"/>
      <c r="O1364" s="14"/>
      <c r="P1364" s="13"/>
    </row>
    <row r="1365">
      <c r="L1365" s="13"/>
      <c r="M1365" s="14"/>
      <c r="N1365" s="14"/>
      <c r="O1365" s="14"/>
      <c r="P1365" s="13"/>
    </row>
    <row r="1366">
      <c r="L1366" s="13"/>
      <c r="M1366" s="14"/>
      <c r="N1366" s="14"/>
      <c r="O1366" s="14"/>
      <c r="P1366" s="13"/>
    </row>
    <row r="1367">
      <c r="L1367" s="13"/>
      <c r="M1367" s="14"/>
      <c r="N1367" s="14"/>
      <c r="O1367" s="14"/>
      <c r="P1367" s="13"/>
    </row>
    <row r="1368">
      <c r="L1368" s="13"/>
      <c r="M1368" s="14"/>
      <c r="N1368" s="14"/>
      <c r="O1368" s="14"/>
      <c r="P1368" s="13"/>
    </row>
    <row r="1369">
      <c r="L1369" s="13"/>
      <c r="M1369" s="14"/>
      <c r="N1369" s="14"/>
      <c r="O1369" s="14"/>
      <c r="P1369" s="13"/>
    </row>
    <row r="1370">
      <c r="L1370" s="13"/>
      <c r="M1370" s="14"/>
      <c r="N1370" s="14"/>
      <c r="O1370" s="14"/>
      <c r="P1370" s="13"/>
    </row>
    <row r="1371">
      <c r="L1371" s="13"/>
      <c r="M1371" s="14"/>
      <c r="N1371" s="14"/>
      <c r="O1371" s="14"/>
      <c r="P1371" s="13"/>
    </row>
    <row r="1372">
      <c r="L1372" s="13"/>
      <c r="M1372" s="14"/>
      <c r="N1372" s="14"/>
      <c r="O1372" s="14"/>
      <c r="P1372" s="13"/>
    </row>
    <row r="1373">
      <c r="L1373" s="13"/>
      <c r="M1373" s="14"/>
      <c r="N1373" s="14"/>
      <c r="O1373" s="14"/>
      <c r="P1373" s="13"/>
    </row>
    <row r="1374">
      <c r="L1374" s="13"/>
      <c r="M1374" s="14"/>
      <c r="N1374" s="14"/>
      <c r="O1374" s="14"/>
      <c r="P1374" s="13"/>
    </row>
    <row r="1375">
      <c r="L1375" s="13"/>
      <c r="M1375" s="14"/>
      <c r="N1375" s="14"/>
      <c r="O1375" s="14"/>
      <c r="P1375" s="13"/>
    </row>
    <row r="1376">
      <c r="L1376" s="13"/>
      <c r="M1376" s="14"/>
      <c r="N1376" s="14"/>
      <c r="O1376" s="14"/>
      <c r="P1376" s="13"/>
    </row>
    <row r="1377">
      <c r="L1377" s="13"/>
      <c r="M1377" s="14"/>
      <c r="N1377" s="14"/>
      <c r="O1377" s="14"/>
      <c r="P1377" s="13"/>
    </row>
    <row r="1378">
      <c r="L1378" s="13"/>
      <c r="M1378" s="14"/>
      <c r="N1378" s="14"/>
      <c r="O1378" s="14"/>
      <c r="P1378" s="13"/>
    </row>
    <row r="1379">
      <c r="L1379" s="13"/>
      <c r="M1379" s="14"/>
      <c r="N1379" s="14"/>
      <c r="O1379" s="14"/>
      <c r="P1379" s="13"/>
    </row>
    <row r="1380">
      <c r="L1380" s="13"/>
      <c r="M1380" s="14"/>
      <c r="N1380" s="14"/>
      <c r="O1380" s="14"/>
      <c r="P1380" s="13"/>
    </row>
    <row r="1381">
      <c r="L1381" s="13"/>
      <c r="M1381" s="14"/>
      <c r="N1381" s="14"/>
      <c r="O1381" s="14"/>
      <c r="P1381" s="13"/>
    </row>
    <row r="1382">
      <c r="L1382" s="13"/>
      <c r="M1382" s="14"/>
      <c r="N1382" s="14"/>
      <c r="O1382" s="14"/>
      <c r="P1382" s="13"/>
    </row>
    <row r="1383">
      <c r="L1383" s="13"/>
      <c r="M1383" s="14"/>
      <c r="N1383" s="14"/>
      <c r="O1383" s="14"/>
      <c r="P1383" s="13"/>
    </row>
    <row r="1384">
      <c r="L1384" s="13"/>
      <c r="M1384" s="14"/>
      <c r="N1384" s="14"/>
      <c r="O1384" s="14"/>
      <c r="P1384" s="13"/>
    </row>
    <row r="1385">
      <c r="L1385" s="13"/>
      <c r="M1385" s="14"/>
      <c r="N1385" s="14"/>
      <c r="O1385" s="14"/>
      <c r="P1385" s="13"/>
    </row>
    <row r="1386">
      <c r="L1386" s="13"/>
      <c r="M1386" s="14"/>
      <c r="N1386" s="14"/>
      <c r="O1386" s="14"/>
      <c r="P1386" s="13"/>
    </row>
    <row r="1387">
      <c r="L1387" s="13"/>
      <c r="M1387" s="14"/>
      <c r="N1387" s="14"/>
      <c r="O1387" s="14"/>
      <c r="P1387" s="13"/>
    </row>
    <row r="1388">
      <c r="L1388" s="13"/>
      <c r="M1388" s="14"/>
      <c r="N1388" s="14"/>
      <c r="O1388" s="14"/>
      <c r="P1388" s="13"/>
    </row>
    <row r="1389">
      <c r="L1389" s="13"/>
      <c r="M1389" s="14"/>
      <c r="N1389" s="14"/>
      <c r="O1389" s="14"/>
      <c r="P1389" s="13"/>
    </row>
    <row r="1390">
      <c r="L1390" s="13"/>
      <c r="M1390" s="14"/>
      <c r="N1390" s="14"/>
      <c r="O1390" s="14"/>
      <c r="P1390" s="13"/>
    </row>
    <row r="1391">
      <c r="L1391" s="13"/>
      <c r="M1391" s="14"/>
      <c r="N1391" s="14"/>
      <c r="O1391" s="14"/>
      <c r="P1391" s="13"/>
    </row>
    <row r="1392">
      <c r="L1392" s="13"/>
      <c r="M1392" s="14"/>
      <c r="N1392" s="14"/>
      <c r="O1392" s="14"/>
      <c r="P1392" s="13"/>
    </row>
    <row r="1393">
      <c r="L1393" s="13"/>
      <c r="M1393" s="14"/>
      <c r="N1393" s="14"/>
      <c r="O1393" s="14"/>
      <c r="P1393" s="13"/>
    </row>
    <row r="1394">
      <c r="L1394" s="13"/>
      <c r="M1394" s="14"/>
      <c r="N1394" s="14"/>
      <c r="O1394" s="14"/>
      <c r="P1394" s="13"/>
    </row>
    <row r="1395">
      <c r="L1395" s="13"/>
      <c r="M1395" s="14"/>
      <c r="N1395" s="14"/>
      <c r="O1395" s="14"/>
      <c r="P1395" s="13"/>
    </row>
    <row r="1396">
      <c r="L1396" s="13"/>
      <c r="M1396" s="14"/>
      <c r="N1396" s="14"/>
      <c r="O1396" s="14"/>
      <c r="P1396" s="13"/>
    </row>
    <row r="1397">
      <c r="L1397" s="13"/>
      <c r="M1397" s="14"/>
      <c r="N1397" s="14"/>
      <c r="O1397" s="14"/>
      <c r="P1397" s="13"/>
    </row>
    <row r="1398">
      <c r="L1398" s="13"/>
      <c r="M1398" s="14"/>
      <c r="N1398" s="14"/>
      <c r="O1398" s="14"/>
      <c r="P1398" s="13"/>
    </row>
    <row r="1399">
      <c r="L1399" s="13"/>
      <c r="M1399" s="14"/>
      <c r="N1399" s="14"/>
      <c r="O1399" s="14"/>
      <c r="P1399" s="13"/>
    </row>
    <row r="1400">
      <c r="L1400" s="13"/>
      <c r="M1400" s="14"/>
      <c r="N1400" s="14"/>
      <c r="O1400" s="14"/>
      <c r="P1400" s="13"/>
    </row>
    <row r="1401">
      <c r="L1401" s="13"/>
      <c r="M1401" s="14"/>
      <c r="N1401" s="14"/>
      <c r="O1401" s="14"/>
      <c r="P1401" s="13"/>
    </row>
    <row r="1402">
      <c r="L1402" s="13"/>
      <c r="M1402" s="14"/>
      <c r="N1402" s="14"/>
      <c r="O1402" s="14"/>
      <c r="P1402" s="13"/>
    </row>
    <row r="1403">
      <c r="L1403" s="13"/>
      <c r="M1403" s="14"/>
      <c r="N1403" s="14"/>
      <c r="O1403" s="14"/>
      <c r="P1403" s="13"/>
    </row>
    <row r="1404">
      <c r="L1404" s="13"/>
      <c r="M1404" s="14"/>
      <c r="N1404" s="14"/>
      <c r="O1404" s="14"/>
      <c r="P1404" s="13"/>
    </row>
    <row r="1405">
      <c r="L1405" s="13"/>
      <c r="M1405" s="14"/>
      <c r="N1405" s="14"/>
      <c r="O1405" s="14"/>
      <c r="P1405" s="13"/>
    </row>
    <row r="1406">
      <c r="L1406" s="13"/>
      <c r="M1406" s="14"/>
      <c r="N1406" s="14"/>
      <c r="O1406" s="14"/>
      <c r="P1406" s="13"/>
    </row>
    <row r="1407">
      <c r="L1407" s="13"/>
      <c r="M1407" s="14"/>
      <c r="N1407" s="14"/>
      <c r="O1407" s="14"/>
      <c r="P1407" s="13"/>
    </row>
    <row r="1408">
      <c r="L1408" s="13"/>
      <c r="M1408" s="14"/>
      <c r="N1408" s="14"/>
      <c r="O1408" s="14"/>
      <c r="P1408" s="13"/>
    </row>
    <row r="1409">
      <c r="L1409" s="13"/>
      <c r="M1409" s="14"/>
      <c r="N1409" s="14"/>
      <c r="O1409" s="14"/>
      <c r="P1409" s="13"/>
    </row>
    <row r="1410">
      <c r="L1410" s="13"/>
      <c r="M1410" s="14"/>
      <c r="N1410" s="14"/>
      <c r="O1410" s="14"/>
      <c r="P1410" s="13"/>
    </row>
    <row r="1411">
      <c r="L1411" s="13"/>
      <c r="M1411" s="14"/>
      <c r="N1411" s="14"/>
      <c r="O1411" s="14"/>
      <c r="P1411" s="13"/>
    </row>
    <row r="1412">
      <c r="L1412" s="13"/>
      <c r="M1412" s="14"/>
      <c r="N1412" s="14"/>
      <c r="O1412" s="14"/>
      <c r="P1412" s="13"/>
    </row>
    <row r="1413">
      <c r="L1413" s="13"/>
      <c r="M1413" s="14"/>
      <c r="N1413" s="14"/>
      <c r="O1413" s="14"/>
      <c r="P1413" s="13"/>
    </row>
    <row r="1414">
      <c r="L1414" s="13"/>
      <c r="M1414" s="14"/>
      <c r="N1414" s="14"/>
      <c r="O1414" s="14"/>
      <c r="P1414" s="13"/>
    </row>
    <row r="1415">
      <c r="L1415" s="13"/>
      <c r="M1415" s="14"/>
      <c r="N1415" s="14"/>
      <c r="O1415" s="14"/>
      <c r="P1415" s="13"/>
    </row>
    <row r="1416">
      <c r="L1416" s="13"/>
      <c r="M1416" s="14"/>
      <c r="N1416" s="14"/>
      <c r="O1416" s="14"/>
      <c r="P1416" s="13"/>
    </row>
    <row r="1417">
      <c r="L1417" s="13"/>
      <c r="M1417" s="14"/>
      <c r="N1417" s="14"/>
      <c r="O1417" s="14"/>
      <c r="P1417" s="13"/>
    </row>
    <row r="1418">
      <c r="L1418" s="13"/>
      <c r="M1418" s="14"/>
      <c r="N1418" s="14"/>
      <c r="O1418" s="14"/>
      <c r="P1418" s="13"/>
    </row>
    <row r="1419">
      <c r="L1419" s="13"/>
      <c r="M1419" s="14"/>
      <c r="N1419" s="14"/>
      <c r="O1419" s="14"/>
      <c r="P1419" s="13"/>
    </row>
    <row r="1420">
      <c r="L1420" s="13"/>
      <c r="M1420" s="14"/>
      <c r="N1420" s="14"/>
      <c r="O1420" s="14"/>
      <c r="P1420" s="13"/>
    </row>
    <row r="1421">
      <c r="L1421" s="13"/>
      <c r="M1421" s="14"/>
      <c r="N1421" s="14"/>
      <c r="O1421" s="14"/>
      <c r="P1421" s="13"/>
    </row>
    <row r="1422">
      <c r="L1422" s="13"/>
      <c r="M1422" s="14"/>
      <c r="N1422" s="14"/>
      <c r="O1422" s="14"/>
      <c r="P1422" s="13"/>
    </row>
    <row r="1423">
      <c r="L1423" s="13"/>
      <c r="M1423" s="14"/>
      <c r="N1423" s="14"/>
      <c r="O1423" s="14"/>
      <c r="P1423" s="13"/>
    </row>
    <row r="1424">
      <c r="L1424" s="13"/>
      <c r="M1424" s="14"/>
      <c r="N1424" s="14"/>
      <c r="O1424" s="14"/>
      <c r="P1424" s="13"/>
    </row>
    <row r="1425">
      <c r="L1425" s="13"/>
      <c r="M1425" s="14"/>
      <c r="N1425" s="14"/>
      <c r="O1425" s="14"/>
      <c r="P1425" s="13"/>
    </row>
    <row r="1426">
      <c r="L1426" s="13"/>
      <c r="M1426" s="14"/>
      <c r="N1426" s="14"/>
      <c r="O1426" s="14"/>
      <c r="P1426" s="13"/>
    </row>
    <row r="1427">
      <c r="L1427" s="13"/>
      <c r="M1427" s="14"/>
      <c r="N1427" s="14"/>
      <c r="O1427" s="14"/>
      <c r="P1427" s="13"/>
    </row>
    <row r="1428">
      <c r="L1428" s="13"/>
      <c r="M1428" s="14"/>
      <c r="N1428" s="14"/>
      <c r="O1428" s="14"/>
      <c r="P1428" s="13"/>
    </row>
    <row r="1429">
      <c r="L1429" s="13"/>
      <c r="M1429" s="14"/>
      <c r="N1429" s="14"/>
      <c r="O1429" s="14"/>
      <c r="P1429" s="13"/>
    </row>
    <row r="1430">
      <c r="L1430" s="13"/>
      <c r="M1430" s="14"/>
      <c r="N1430" s="14"/>
      <c r="O1430" s="14"/>
      <c r="P1430" s="13"/>
    </row>
    <row r="1431">
      <c r="L1431" s="13"/>
      <c r="M1431" s="14"/>
      <c r="N1431" s="14"/>
      <c r="O1431" s="14"/>
      <c r="P1431" s="13"/>
    </row>
    <row r="1432">
      <c r="L1432" s="13"/>
      <c r="M1432" s="14"/>
      <c r="N1432" s="14"/>
      <c r="O1432" s="14"/>
      <c r="P1432" s="13"/>
    </row>
    <row r="1433">
      <c r="L1433" s="13"/>
      <c r="M1433" s="14"/>
      <c r="N1433" s="14"/>
      <c r="O1433" s="14"/>
      <c r="P1433" s="13"/>
    </row>
    <row r="1434">
      <c r="L1434" s="13"/>
      <c r="M1434" s="14"/>
      <c r="N1434" s="14"/>
      <c r="O1434" s="14"/>
      <c r="P1434" s="13"/>
    </row>
    <row r="1435">
      <c r="L1435" s="13"/>
      <c r="M1435" s="14"/>
      <c r="N1435" s="14"/>
      <c r="O1435" s="14"/>
      <c r="P1435" s="13"/>
    </row>
    <row r="1436">
      <c r="L1436" s="13"/>
      <c r="M1436" s="14"/>
      <c r="N1436" s="14"/>
      <c r="O1436" s="14"/>
      <c r="P1436" s="13"/>
    </row>
    <row r="1437">
      <c r="L1437" s="13"/>
      <c r="M1437" s="14"/>
      <c r="N1437" s="14"/>
      <c r="O1437" s="14"/>
      <c r="P1437" s="13"/>
    </row>
    <row r="1438">
      <c r="L1438" s="13"/>
      <c r="M1438" s="14"/>
      <c r="N1438" s="14"/>
      <c r="O1438" s="14"/>
      <c r="P1438" s="13"/>
    </row>
    <row r="1439">
      <c r="L1439" s="13"/>
      <c r="M1439" s="14"/>
      <c r="N1439" s="14"/>
      <c r="O1439" s="14"/>
      <c r="P1439" s="13"/>
    </row>
    <row r="1440">
      <c r="L1440" s="13"/>
      <c r="M1440" s="14"/>
      <c r="N1440" s="14"/>
      <c r="O1440" s="14"/>
      <c r="P1440" s="13"/>
    </row>
    <row r="1441">
      <c r="L1441" s="13"/>
      <c r="M1441" s="14"/>
      <c r="N1441" s="14"/>
      <c r="O1441" s="14"/>
      <c r="P1441" s="13"/>
    </row>
    <row r="1442">
      <c r="L1442" s="13"/>
      <c r="M1442" s="14"/>
      <c r="N1442" s="14"/>
      <c r="O1442" s="14"/>
      <c r="P1442" s="13"/>
    </row>
    <row r="1443">
      <c r="L1443" s="13"/>
      <c r="M1443" s="14"/>
      <c r="N1443" s="14"/>
      <c r="O1443" s="14"/>
      <c r="P1443" s="13"/>
    </row>
    <row r="1444">
      <c r="L1444" s="13"/>
      <c r="M1444" s="14"/>
      <c r="N1444" s="14"/>
      <c r="O1444" s="14"/>
      <c r="P1444" s="13"/>
    </row>
    <row r="1445">
      <c r="L1445" s="13"/>
      <c r="M1445" s="14"/>
      <c r="N1445" s="14"/>
      <c r="O1445" s="14"/>
      <c r="P1445" s="13"/>
    </row>
    <row r="1446">
      <c r="L1446" s="13"/>
      <c r="M1446" s="14"/>
      <c r="N1446" s="14"/>
      <c r="O1446" s="14"/>
      <c r="P1446" s="13"/>
    </row>
    <row r="1447">
      <c r="L1447" s="13"/>
      <c r="M1447" s="14"/>
      <c r="N1447" s="14"/>
      <c r="O1447" s="14"/>
      <c r="P1447" s="13"/>
    </row>
    <row r="1448">
      <c r="L1448" s="13"/>
      <c r="M1448" s="14"/>
      <c r="N1448" s="14"/>
      <c r="O1448" s="14"/>
      <c r="P1448" s="13"/>
    </row>
    <row r="1449">
      <c r="L1449" s="13"/>
      <c r="M1449" s="14"/>
      <c r="N1449" s="14"/>
      <c r="O1449" s="14"/>
      <c r="P1449" s="13"/>
    </row>
    <row r="1450">
      <c r="L1450" s="13"/>
      <c r="M1450" s="14"/>
      <c r="N1450" s="14"/>
      <c r="O1450" s="14"/>
      <c r="P1450" s="13"/>
    </row>
    <row r="1451">
      <c r="L1451" s="13"/>
      <c r="M1451" s="14"/>
      <c r="N1451" s="14"/>
      <c r="O1451" s="14"/>
      <c r="P1451" s="13"/>
    </row>
    <row r="1452">
      <c r="L1452" s="13"/>
      <c r="M1452" s="14"/>
      <c r="N1452" s="14"/>
      <c r="O1452" s="14"/>
      <c r="P1452" s="13"/>
    </row>
    <row r="1453">
      <c r="L1453" s="13"/>
      <c r="M1453" s="14"/>
      <c r="N1453" s="14"/>
      <c r="O1453" s="14"/>
      <c r="P1453" s="13"/>
    </row>
    <row r="1454">
      <c r="L1454" s="13"/>
      <c r="M1454" s="14"/>
      <c r="N1454" s="14"/>
      <c r="O1454" s="14"/>
      <c r="P1454" s="13"/>
    </row>
    <row r="1455">
      <c r="L1455" s="13"/>
      <c r="M1455" s="14"/>
      <c r="N1455" s="14"/>
      <c r="O1455" s="14"/>
      <c r="P1455" s="13"/>
    </row>
    <row r="1456">
      <c r="L1456" s="13"/>
      <c r="M1456" s="14"/>
      <c r="N1456" s="14"/>
      <c r="O1456" s="14"/>
      <c r="P1456" s="13"/>
    </row>
    <row r="1457">
      <c r="L1457" s="13"/>
      <c r="M1457" s="14"/>
      <c r="N1457" s="14"/>
      <c r="O1457" s="14"/>
      <c r="P1457" s="13"/>
    </row>
    <row r="1458">
      <c r="L1458" s="13"/>
      <c r="M1458" s="14"/>
      <c r="N1458" s="14"/>
      <c r="O1458" s="14"/>
      <c r="P1458" s="13"/>
    </row>
    <row r="1459">
      <c r="L1459" s="13"/>
      <c r="M1459" s="14"/>
      <c r="N1459" s="14"/>
      <c r="O1459" s="14"/>
      <c r="P1459" s="13"/>
    </row>
    <row r="1460">
      <c r="L1460" s="13"/>
      <c r="M1460" s="14"/>
      <c r="N1460" s="14"/>
      <c r="O1460" s="14"/>
      <c r="P1460" s="13"/>
    </row>
    <row r="1461">
      <c r="L1461" s="13"/>
      <c r="M1461" s="14"/>
      <c r="N1461" s="14"/>
      <c r="O1461" s="14"/>
      <c r="P1461" s="13"/>
    </row>
    <row r="1462">
      <c r="L1462" s="13"/>
      <c r="M1462" s="14"/>
      <c r="N1462" s="14"/>
      <c r="O1462" s="14"/>
      <c r="P1462" s="13"/>
    </row>
    <row r="1463">
      <c r="L1463" s="13"/>
      <c r="M1463" s="14"/>
      <c r="N1463" s="14"/>
      <c r="O1463" s="14"/>
      <c r="P1463" s="13"/>
    </row>
    <row r="1464">
      <c r="L1464" s="13"/>
      <c r="M1464" s="14"/>
      <c r="N1464" s="14"/>
      <c r="O1464" s="14"/>
      <c r="P1464" s="13"/>
    </row>
    <row r="1465">
      <c r="L1465" s="13"/>
      <c r="M1465" s="14"/>
      <c r="N1465" s="14"/>
      <c r="O1465" s="14"/>
      <c r="P1465" s="13"/>
    </row>
    <row r="1466">
      <c r="L1466" s="13"/>
      <c r="M1466" s="14"/>
      <c r="N1466" s="14"/>
      <c r="O1466" s="14"/>
      <c r="P1466" s="13"/>
    </row>
    <row r="1467">
      <c r="L1467" s="13"/>
      <c r="M1467" s="14"/>
      <c r="N1467" s="14"/>
      <c r="O1467" s="14"/>
      <c r="P1467" s="13"/>
    </row>
    <row r="1468">
      <c r="L1468" s="13"/>
      <c r="M1468" s="14"/>
      <c r="N1468" s="14"/>
      <c r="O1468" s="14"/>
      <c r="P1468" s="13"/>
    </row>
    <row r="1469">
      <c r="L1469" s="13"/>
      <c r="M1469" s="14"/>
      <c r="N1469" s="14"/>
      <c r="O1469" s="14"/>
      <c r="P1469" s="13"/>
    </row>
    <row r="1470">
      <c r="L1470" s="13"/>
      <c r="M1470" s="14"/>
      <c r="N1470" s="14"/>
      <c r="O1470" s="14"/>
      <c r="P1470" s="13"/>
    </row>
    <row r="1471">
      <c r="L1471" s="13"/>
      <c r="M1471" s="14"/>
      <c r="N1471" s="14"/>
      <c r="O1471" s="14"/>
      <c r="P1471" s="13"/>
    </row>
    <row r="1472">
      <c r="L1472" s="13"/>
      <c r="M1472" s="14"/>
      <c r="N1472" s="14"/>
      <c r="O1472" s="14"/>
      <c r="P1472" s="13"/>
    </row>
    <row r="1473">
      <c r="L1473" s="13"/>
      <c r="M1473" s="14"/>
      <c r="N1473" s="14"/>
      <c r="O1473" s="14"/>
      <c r="P1473" s="13"/>
    </row>
    <row r="1474">
      <c r="L1474" s="13"/>
      <c r="M1474" s="14"/>
      <c r="N1474" s="14"/>
      <c r="O1474" s="14"/>
      <c r="P1474" s="13"/>
    </row>
    <row r="1475">
      <c r="L1475" s="13"/>
      <c r="M1475" s="14"/>
      <c r="N1475" s="14"/>
      <c r="O1475" s="14"/>
      <c r="P1475" s="13"/>
    </row>
    <row r="1476">
      <c r="L1476" s="13"/>
      <c r="M1476" s="14"/>
      <c r="N1476" s="14"/>
      <c r="O1476" s="14"/>
      <c r="P1476" s="13"/>
    </row>
    <row r="1477">
      <c r="L1477" s="13"/>
      <c r="M1477" s="14"/>
      <c r="N1477" s="14"/>
      <c r="O1477" s="14"/>
      <c r="P1477" s="13"/>
    </row>
    <row r="1478">
      <c r="L1478" s="13"/>
      <c r="M1478" s="14"/>
      <c r="N1478" s="14"/>
      <c r="O1478" s="14"/>
      <c r="P1478" s="13"/>
    </row>
    <row r="1479">
      <c r="L1479" s="13"/>
      <c r="M1479" s="14"/>
      <c r="N1479" s="14"/>
      <c r="O1479" s="14"/>
      <c r="P1479" s="13"/>
    </row>
    <row r="1480">
      <c r="L1480" s="13"/>
      <c r="M1480" s="14"/>
      <c r="N1480" s="14"/>
      <c r="O1480" s="14"/>
      <c r="P1480" s="13"/>
    </row>
    <row r="1481">
      <c r="L1481" s="13"/>
      <c r="M1481" s="14"/>
      <c r="N1481" s="14"/>
      <c r="O1481" s="14"/>
      <c r="P1481" s="13"/>
    </row>
    <row r="1482">
      <c r="L1482" s="13"/>
      <c r="M1482" s="14"/>
      <c r="N1482" s="14"/>
      <c r="O1482" s="14"/>
      <c r="P1482" s="13"/>
    </row>
    <row r="1483">
      <c r="L1483" s="13"/>
      <c r="M1483" s="14"/>
      <c r="N1483" s="14"/>
      <c r="O1483" s="14"/>
      <c r="P1483" s="13"/>
    </row>
    <row r="1484">
      <c r="L1484" s="13"/>
      <c r="M1484" s="14"/>
      <c r="N1484" s="14"/>
      <c r="O1484" s="14"/>
      <c r="P1484" s="13"/>
    </row>
    <row r="1485">
      <c r="L1485" s="13"/>
      <c r="M1485" s="14"/>
      <c r="N1485" s="14"/>
      <c r="O1485" s="14"/>
      <c r="P1485" s="13"/>
    </row>
    <row r="1486">
      <c r="L1486" s="13"/>
      <c r="M1486" s="14"/>
      <c r="N1486" s="14"/>
      <c r="O1486" s="14"/>
      <c r="P1486" s="13"/>
    </row>
    <row r="1487">
      <c r="L1487" s="13"/>
      <c r="M1487" s="14"/>
      <c r="N1487" s="14"/>
      <c r="O1487" s="14"/>
      <c r="P1487" s="13"/>
    </row>
    <row r="1488">
      <c r="L1488" s="13"/>
      <c r="M1488" s="14"/>
      <c r="N1488" s="14"/>
      <c r="O1488" s="14"/>
      <c r="P1488" s="13"/>
    </row>
    <row r="1489">
      <c r="L1489" s="13"/>
      <c r="M1489" s="14"/>
      <c r="N1489" s="14"/>
      <c r="O1489" s="14"/>
      <c r="P1489" s="13"/>
    </row>
    <row r="1490">
      <c r="L1490" s="13"/>
      <c r="M1490" s="14"/>
      <c r="N1490" s="14"/>
      <c r="O1490" s="14"/>
      <c r="P1490" s="13"/>
    </row>
    <row r="1491">
      <c r="L1491" s="13"/>
      <c r="M1491" s="14"/>
      <c r="N1491" s="14"/>
      <c r="O1491" s="14"/>
      <c r="P1491" s="13"/>
    </row>
    <row r="1492">
      <c r="L1492" s="13"/>
      <c r="M1492" s="14"/>
      <c r="N1492" s="14"/>
      <c r="O1492" s="14"/>
      <c r="P1492" s="13"/>
    </row>
    <row r="1493">
      <c r="L1493" s="13"/>
      <c r="M1493" s="14"/>
      <c r="N1493" s="14"/>
      <c r="O1493" s="14"/>
      <c r="P1493" s="13"/>
    </row>
    <row r="1494">
      <c r="L1494" s="13"/>
      <c r="M1494" s="14"/>
      <c r="N1494" s="14"/>
      <c r="O1494" s="14"/>
      <c r="P1494" s="13"/>
    </row>
    <row r="1495">
      <c r="L1495" s="13"/>
      <c r="M1495" s="14"/>
      <c r="N1495" s="14"/>
      <c r="O1495" s="14"/>
      <c r="P1495" s="13"/>
    </row>
    <row r="1496">
      <c r="L1496" s="13"/>
      <c r="M1496" s="14"/>
      <c r="N1496" s="14"/>
      <c r="O1496" s="14"/>
      <c r="P1496" s="13"/>
    </row>
    <row r="1497">
      <c r="L1497" s="13"/>
      <c r="M1497" s="14"/>
      <c r="N1497" s="14"/>
      <c r="O1497" s="14"/>
      <c r="P1497" s="13"/>
    </row>
    <row r="1498">
      <c r="L1498" s="13"/>
      <c r="M1498" s="14"/>
      <c r="N1498" s="14"/>
      <c r="O1498" s="14"/>
      <c r="P1498" s="13"/>
    </row>
    <row r="1499">
      <c r="L1499" s="13"/>
      <c r="M1499" s="14"/>
      <c r="N1499" s="14"/>
      <c r="O1499" s="14"/>
      <c r="P1499" s="13"/>
    </row>
    <row r="1500">
      <c r="L1500" s="13"/>
      <c r="M1500" s="14"/>
      <c r="N1500" s="14"/>
      <c r="O1500" s="14"/>
      <c r="P1500" s="13"/>
    </row>
    <row r="1501">
      <c r="L1501" s="13"/>
      <c r="M1501" s="14"/>
      <c r="N1501" s="14"/>
      <c r="O1501" s="14"/>
      <c r="P1501" s="13"/>
    </row>
    <row r="1502">
      <c r="L1502" s="13"/>
      <c r="M1502" s="14"/>
      <c r="N1502" s="14"/>
      <c r="O1502" s="14"/>
      <c r="P1502" s="13"/>
    </row>
    <row r="1503">
      <c r="L1503" s="13"/>
      <c r="M1503" s="14"/>
      <c r="N1503" s="14"/>
      <c r="O1503" s="14"/>
      <c r="P1503" s="13"/>
    </row>
    <row r="1504">
      <c r="L1504" s="13"/>
      <c r="M1504" s="14"/>
      <c r="N1504" s="14"/>
      <c r="O1504" s="14"/>
      <c r="P1504" s="13"/>
    </row>
    <row r="1505">
      <c r="L1505" s="13"/>
      <c r="M1505" s="14"/>
      <c r="N1505" s="14"/>
      <c r="O1505" s="14"/>
      <c r="P1505" s="13"/>
    </row>
    <row r="1506">
      <c r="L1506" s="13"/>
      <c r="M1506" s="14"/>
      <c r="N1506" s="14"/>
      <c r="O1506" s="14"/>
      <c r="P1506" s="13"/>
    </row>
    <row r="1507">
      <c r="L1507" s="13"/>
      <c r="M1507" s="14"/>
      <c r="N1507" s="14"/>
      <c r="O1507" s="14"/>
      <c r="P1507" s="13"/>
    </row>
    <row r="1508">
      <c r="L1508" s="13"/>
      <c r="M1508" s="14"/>
      <c r="N1508" s="14"/>
      <c r="O1508" s="14"/>
      <c r="P1508" s="13"/>
    </row>
    <row r="1509">
      <c r="L1509" s="13"/>
      <c r="M1509" s="14"/>
      <c r="N1509" s="14"/>
      <c r="O1509" s="14"/>
      <c r="P1509" s="13"/>
    </row>
    <row r="1510">
      <c r="L1510" s="13"/>
      <c r="M1510" s="14"/>
      <c r="N1510" s="14"/>
      <c r="O1510" s="14"/>
      <c r="P1510" s="13"/>
    </row>
    <row r="1511">
      <c r="L1511" s="13"/>
      <c r="M1511" s="14"/>
      <c r="N1511" s="14"/>
      <c r="O1511" s="14"/>
      <c r="P1511" s="13"/>
    </row>
    <row r="1512">
      <c r="L1512" s="13"/>
      <c r="M1512" s="14"/>
      <c r="N1512" s="14"/>
      <c r="O1512" s="14"/>
      <c r="P1512" s="13"/>
    </row>
    <row r="1513">
      <c r="L1513" s="13"/>
      <c r="M1513" s="14"/>
      <c r="N1513" s="14"/>
      <c r="O1513" s="14"/>
      <c r="P1513" s="13"/>
    </row>
    <row r="1514">
      <c r="L1514" s="13"/>
      <c r="M1514" s="14"/>
      <c r="N1514" s="14"/>
      <c r="O1514" s="14"/>
      <c r="P1514" s="13"/>
    </row>
    <row r="1515">
      <c r="L1515" s="13"/>
      <c r="M1515" s="14"/>
      <c r="N1515" s="14"/>
      <c r="O1515" s="14"/>
      <c r="P1515" s="13"/>
    </row>
    <row r="1516">
      <c r="L1516" s="13"/>
      <c r="M1516" s="14"/>
      <c r="N1516" s="14"/>
      <c r="O1516" s="14"/>
      <c r="P1516" s="13"/>
    </row>
    <row r="1517">
      <c r="L1517" s="13"/>
      <c r="M1517" s="14"/>
      <c r="N1517" s="14"/>
      <c r="O1517" s="14"/>
      <c r="P1517" s="13"/>
    </row>
    <row r="1518">
      <c r="L1518" s="13"/>
      <c r="M1518" s="14"/>
      <c r="N1518" s="14"/>
      <c r="O1518" s="14"/>
      <c r="P1518" s="13"/>
    </row>
    <row r="1519">
      <c r="L1519" s="13"/>
      <c r="M1519" s="14"/>
      <c r="N1519" s="14"/>
      <c r="O1519" s="14"/>
      <c r="P1519" s="13"/>
    </row>
    <row r="1520">
      <c r="L1520" s="13"/>
      <c r="M1520" s="14"/>
      <c r="N1520" s="14"/>
      <c r="O1520" s="14"/>
      <c r="P1520" s="13"/>
    </row>
    <row r="1521">
      <c r="L1521" s="13"/>
      <c r="M1521" s="14"/>
      <c r="N1521" s="14"/>
      <c r="O1521" s="14"/>
      <c r="P1521" s="13"/>
    </row>
    <row r="1522">
      <c r="L1522" s="13"/>
      <c r="M1522" s="14"/>
      <c r="N1522" s="14"/>
      <c r="O1522" s="14"/>
      <c r="P1522" s="13"/>
    </row>
    <row r="1523">
      <c r="L1523" s="13"/>
      <c r="M1523" s="14"/>
      <c r="N1523" s="14"/>
      <c r="O1523" s="14"/>
      <c r="P1523" s="13"/>
    </row>
    <row r="1524">
      <c r="L1524" s="13"/>
      <c r="M1524" s="14"/>
      <c r="N1524" s="14"/>
      <c r="O1524" s="14"/>
      <c r="P1524" s="13"/>
    </row>
    <row r="1525">
      <c r="L1525" s="13"/>
      <c r="M1525" s="14"/>
      <c r="N1525" s="14"/>
      <c r="O1525" s="14"/>
      <c r="P1525" s="13"/>
    </row>
    <row r="1526">
      <c r="L1526" s="13"/>
      <c r="M1526" s="14"/>
      <c r="N1526" s="14"/>
      <c r="O1526" s="14"/>
      <c r="P1526" s="13"/>
    </row>
    <row r="1527">
      <c r="L1527" s="13"/>
      <c r="M1527" s="14"/>
      <c r="N1527" s="14"/>
      <c r="O1527" s="14"/>
      <c r="P1527" s="13"/>
    </row>
    <row r="1528">
      <c r="L1528" s="13"/>
      <c r="M1528" s="14"/>
      <c r="N1528" s="14"/>
      <c r="O1528" s="14"/>
      <c r="P1528" s="13"/>
    </row>
    <row r="1529">
      <c r="L1529" s="13"/>
      <c r="M1529" s="14"/>
      <c r="N1529" s="14"/>
      <c r="O1529" s="14"/>
      <c r="P1529" s="13"/>
    </row>
    <row r="1530">
      <c r="L1530" s="13"/>
      <c r="M1530" s="14"/>
      <c r="N1530" s="14"/>
      <c r="O1530" s="14"/>
      <c r="P1530" s="13"/>
    </row>
    <row r="1531">
      <c r="L1531" s="13"/>
      <c r="M1531" s="14"/>
      <c r="N1531" s="14"/>
      <c r="O1531" s="14"/>
      <c r="P1531" s="13"/>
    </row>
    <row r="1532">
      <c r="L1532" s="13"/>
      <c r="M1532" s="14"/>
      <c r="N1532" s="14"/>
      <c r="O1532" s="14"/>
      <c r="P1532" s="13"/>
    </row>
    <row r="1533">
      <c r="L1533" s="13"/>
      <c r="M1533" s="14"/>
      <c r="N1533" s="14"/>
      <c r="O1533" s="14"/>
      <c r="P1533" s="13"/>
    </row>
    <row r="1534">
      <c r="L1534" s="13"/>
      <c r="M1534" s="14"/>
      <c r="N1534" s="14"/>
      <c r="O1534" s="14"/>
      <c r="P1534" s="13"/>
    </row>
    <row r="1535">
      <c r="L1535" s="13"/>
      <c r="M1535" s="14"/>
      <c r="N1535" s="14"/>
      <c r="O1535" s="14"/>
      <c r="P1535" s="13"/>
    </row>
    <row r="1536">
      <c r="L1536" s="13"/>
      <c r="M1536" s="14"/>
      <c r="N1536" s="14"/>
      <c r="O1536" s="14"/>
      <c r="P1536" s="13"/>
    </row>
    <row r="1537">
      <c r="L1537" s="13"/>
      <c r="M1537" s="14"/>
      <c r="N1537" s="14"/>
      <c r="O1537" s="14"/>
      <c r="P1537" s="13"/>
    </row>
    <row r="1538">
      <c r="L1538" s="13"/>
      <c r="M1538" s="14"/>
      <c r="N1538" s="14"/>
      <c r="O1538" s="14"/>
      <c r="P1538" s="13"/>
    </row>
    <row r="1539">
      <c r="L1539" s="13"/>
      <c r="M1539" s="14"/>
      <c r="N1539" s="14"/>
      <c r="O1539" s="14"/>
      <c r="P1539" s="13"/>
    </row>
    <row r="1540">
      <c r="L1540" s="13"/>
      <c r="M1540" s="14"/>
      <c r="N1540" s="14"/>
      <c r="O1540" s="14"/>
      <c r="P1540" s="13"/>
    </row>
    <row r="1541">
      <c r="L1541" s="13"/>
      <c r="M1541" s="14"/>
      <c r="N1541" s="14"/>
      <c r="O1541" s="14"/>
      <c r="P1541" s="13"/>
    </row>
    <row r="1542">
      <c r="L1542" s="13"/>
      <c r="M1542" s="14"/>
      <c r="N1542" s="14"/>
      <c r="O1542" s="14"/>
      <c r="P1542" s="13"/>
    </row>
    <row r="1543">
      <c r="L1543" s="13"/>
      <c r="M1543" s="14"/>
      <c r="N1543" s="14"/>
      <c r="O1543" s="14"/>
      <c r="P1543" s="13"/>
    </row>
    <row r="1544">
      <c r="L1544" s="13"/>
      <c r="M1544" s="14"/>
      <c r="N1544" s="14"/>
      <c r="O1544" s="14"/>
      <c r="P1544" s="13"/>
    </row>
    <row r="1545">
      <c r="L1545" s="13"/>
      <c r="M1545" s="14"/>
      <c r="N1545" s="14"/>
      <c r="O1545" s="14"/>
      <c r="P1545" s="13"/>
    </row>
    <row r="1546">
      <c r="L1546" s="13"/>
      <c r="M1546" s="14"/>
      <c r="N1546" s="14"/>
      <c r="O1546" s="14"/>
      <c r="P1546" s="13"/>
    </row>
    <row r="1547">
      <c r="L1547" s="13"/>
      <c r="M1547" s="14"/>
      <c r="N1547" s="14"/>
      <c r="O1547" s="14"/>
      <c r="P1547" s="13"/>
    </row>
    <row r="1548">
      <c r="L1548" s="13"/>
      <c r="M1548" s="14"/>
      <c r="N1548" s="14"/>
      <c r="O1548" s="14"/>
      <c r="P1548" s="13"/>
    </row>
    <row r="1549">
      <c r="L1549" s="13"/>
      <c r="M1549" s="14"/>
      <c r="N1549" s="14"/>
      <c r="O1549" s="14"/>
      <c r="P1549" s="13"/>
    </row>
    <row r="1550">
      <c r="L1550" s="13"/>
      <c r="M1550" s="14"/>
      <c r="N1550" s="14"/>
      <c r="O1550" s="14"/>
      <c r="P1550" s="13"/>
    </row>
    <row r="1551">
      <c r="L1551" s="13"/>
      <c r="M1551" s="14"/>
      <c r="N1551" s="14"/>
      <c r="O1551" s="14"/>
      <c r="P1551" s="13"/>
    </row>
    <row r="1552">
      <c r="L1552" s="13"/>
      <c r="M1552" s="14"/>
      <c r="N1552" s="14"/>
      <c r="O1552" s="14"/>
      <c r="P1552" s="13"/>
    </row>
    <row r="1553">
      <c r="L1553" s="13"/>
      <c r="M1553" s="14"/>
      <c r="N1553" s="14"/>
      <c r="O1553" s="14"/>
      <c r="P1553" s="13"/>
    </row>
    <row r="1554">
      <c r="L1554" s="13"/>
      <c r="M1554" s="14"/>
      <c r="N1554" s="14"/>
      <c r="O1554" s="14"/>
      <c r="P1554" s="13"/>
    </row>
    <row r="1555">
      <c r="L1555" s="13"/>
      <c r="M1555" s="14"/>
      <c r="N1555" s="14"/>
      <c r="O1555" s="14"/>
      <c r="P1555" s="13"/>
    </row>
    <row r="1556">
      <c r="L1556" s="13"/>
      <c r="M1556" s="14"/>
      <c r="N1556" s="14"/>
      <c r="O1556" s="14"/>
      <c r="P1556" s="13"/>
    </row>
    <row r="1557">
      <c r="L1557" s="13"/>
      <c r="M1557" s="14"/>
      <c r="N1557" s="14"/>
      <c r="O1557" s="14"/>
      <c r="P1557" s="13"/>
    </row>
    <row r="1558">
      <c r="L1558" s="13"/>
      <c r="M1558" s="14"/>
      <c r="N1558" s="14"/>
      <c r="O1558" s="14"/>
      <c r="P1558" s="13"/>
    </row>
    <row r="1559">
      <c r="L1559" s="13"/>
      <c r="M1559" s="14"/>
      <c r="N1559" s="14"/>
      <c r="O1559" s="14"/>
      <c r="P1559" s="13"/>
    </row>
    <row r="1560">
      <c r="L1560" s="13"/>
      <c r="M1560" s="14"/>
      <c r="N1560" s="14"/>
      <c r="O1560" s="14"/>
      <c r="P1560" s="13"/>
    </row>
    <row r="1561">
      <c r="L1561" s="13"/>
      <c r="M1561" s="14"/>
      <c r="N1561" s="14"/>
      <c r="O1561" s="14"/>
      <c r="P1561" s="13"/>
    </row>
    <row r="1562">
      <c r="L1562" s="13"/>
      <c r="M1562" s="14"/>
      <c r="N1562" s="14"/>
      <c r="O1562" s="14"/>
      <c r="P1562" s="13"/>
    </row>
    <row r="1563">
      <c r="L1563" s="13"/>
      <c r="M1563" s="14"/>
      <c r="N1563" s="14"/>
      <c r="O1563" s="14"/>
      <c r="P1563" s="13"/>
    </row>
    <row r="1564">
      <c r="L1564" s="13"/>
      <c r="M1564" s="14"/>
      <c r="N1564" s="14"/>
      <c r="O1564" s="14"/>
      <c r="P1564" s="13"/>
    </row>
    <row r="1565">
      <c r="L1565" s="13"/>
      <c r="M1565" s="14"/>
      <c r="N1565" s="14"/>
      <c r="O1565" s="14"/>
      <c r="P1565" s="13"/>
    </row>
    <row r="1566">
      <c r="L1566" s="13"/>
      <c r="M1566" s="14"/>
      <c r="N1566" s="14"/>
      <c r="O1566" s="14"/>
      <c r="P1566" s="13"/>
    </row>
    <row r="1567">
      <c r="L1567" s="13"/>
      <c r="M1567" s="14"/>
      <c r="N1567" s="14"/>
      <c r="O1567" s="14"/>
      <c r="P1567" s="13"/>
    </row>
    <row r="1568">
      <c r="L1568" s="13"/>
      <c r="M1568" s="14"/>
      <c r="N1568" s="14"/>
      <c r="O1568" s="14"/>
      <c r="P1568" s="13"/>
    </row>
    <row r="1569">
      <c r="L1569" s="13"/>
      <c r="M1569" s="14"/>
      <c r="N1569" s="14"/>
      <c r="O1569" s="14"/>
      <c r="P1569" s="13"/>
    </row>
    <row r="1570">
      <c r="L1570" s="13"/>
      <c r="M1570" s="14"/>
      <c r="N1570" s="14"/>
      <c r="O1570" s="14"/>
      <c r="P1570" s="13"/>
    </row>
    <row r="1571">
      <c r="L1571" s="13"/>
      <c r="M1571" s="14"/>
      <c r="N1571" s="14"/>
      <c r="O1571" s="14"/>
      <c r="P1571" s="13"/>
    </row>
    <row r="1572">
      <c r="L1572" s="13"/>
      <c r="M1572" s="14"/>
      <c r="N1572" s="14"/>
      <c r="O1572" s="14"/>
      <c r="P1572" s="13"/>
    </row>
    <row r="1573">
      <c r="L1573" s="13"/>
      <c r="M1573" s="14"/>
      <c r="N1573" s="14"/>
      <c r="O1573" s="14"/>
      <c r="P1573" s="13"/>
    </row>
    <row r="1574">
      <c r="L1574" s="13"/>
      <c r="M1574" s="14"/>
      <c r="N1574" s="14"/>
      <c r="O1574" s="14"/>
      <c r="P1574" s="13"/>
    </row>
    <row r="1575">
      <c r="L1575" s="13"/>
      <c r="M1575" s="14"/>
      <c r="N1575" s="14"/>
      <c r="O1575" s="14"/>
      <c r="P1575" s="13"/>
    </row>
    <row r="1576">
      <c r="L1576" s="13"/>
      <c r="M1576" s="14"/>
      <c r="N1576" s="14"/>
      <c r="O1576" s="14"/>
      <c r="P1576" s="13"/>
    </row>
    <row r="1577">
      <c r="L1577" s="13"/>
      <c r="M1577" s="14"/>
      <c r="N1577" s="14"/>
      <c r="O1577" s="14"/>
      <c r="P1577" s="13"/>
    </row>
    <row r="1578">
      <c r="L1578" s="13"/>
      <c r="M1578" s="14"/>
      <c r="N1578" s="14"/>
      <c r="O1578" s="14"/>
      <c r="P1578" s="13"/>
    </row>
    <row r="1579">
      <c r="L1579" s="13"/>
      <c r="M1579" s="14"/>
      <c r="N1579" s="14"/>
      <c r="O1579" s="14"/>
      <c r="P1579" s="13"/>
    </row>
    <row r="1580">
      <c r="L1580" s="13"/>
      <c r="M1580" s="14"/>
      <c r="N1580" s="14"/>
      <c r="O1580" s="14"/>
      <c r="P1580" s="13"/>
    </row>
    <row r="1581">
      <c r="L1581" s="13"/>
      <c r="M1581" s="14"/>
      <c r="N1581" s="14"/>
      <c r="O1581" s="14"/>
      <c r="P1581" s="13"/>
    </row>
    <row r="1582">
      <c r="L1582" s="13"/>
      <c r="M1582" s="14"/>
      <c r="N1582" s="14"/>
      <c r="O1582" s="14"/>
      <c r="P1582" s="13"/>
    </row>
    <row r="1583">
      <c r="L1583" s="13"/>
      <c r="M1583" s="14"/>
      <c r="N1583" s="14"/>
      <c r="O1583" s="14"/>
      <c r="P1583" s="13"/>
    </row>
    <row r="1584">
      <c r="L1584" s="13"/>
      <c r="M1584" s="14"/>
      <c r="N1584" s="14"/>
      <c r="O1584" s="14"/>
      <c r="P1584" s="13"/>
    </row>
    <row r="1585">
      <c r="L1585" s="13"/>
      <c r="M1585" s="14"/>
      <c r="N1585" s="14"/>
      <c r="O1585" s="14"/>
      <c r="P1585" s="13"/>
    </row>
    <row r="1586">
      <c r="L1586" s="13"/>
      <c r="M1586" s="14"/>
      <c r="N1586" s="14"/>
      <c r="O1586" s="14"/>
      <c r="P1586" s="13"/>
    </row>
    <row r="1587">
      <c r="L1587" s="13"/>
      <c r="M1587" s="14"/>
      <c r="N1587" s="14"/>
      <c r="O1587" s="14"/>
      <c r="P1587" s="13"/>
    </row>
    <row r="1588">
      <c r="L1588" s="13"/>
      <c r="M1588" s="14"/>
      <c r="N1588" s="14"/>
      <c r="O1588" s="14"/>
      <c r="P1588" s="13"/>
    </row>
    <row r="1589">
      <c r="L1589" s="13"/>
      <c r="M1589" s="14"/>
      <c r="N1589" s="14"/>
      <c r="O1589" s="14"/>
      <c r="P1589" s="13"/>
    </row>
    <row r="1590">
      <c r="L1590" s="13"/>
      <c r="M1590" s="14"/>
      <c r="N1590" s="14"/>
      <c r="O1590" s="14"/>
      <c r="P1590" s="13"/>
    </row>
    <row r="1591">
      <c r="L1591" s="13"/>
      <c r="M1591" s="14"/>
      <c r="N1591" s="14"/>
      <c r="O1591" s="14"/>
      <c r="P1591" s="13"/>
    </row>
    <row r="1592">
      <c r="L1592" s="13"/>
      <c r="M1592" s="14"/>
      <c r="N1592" s="14"/>
      <c r="O1592" s="14"/>
      <c r="P1592" s="13"/>
    </row>
    <row r="1593">
      <c r="L1593" s="13"/>
      <c r="M1593" s="14"/>
      <c r="N1593" s="14"/>
      <c r="O1593" s="14"/>
      <c r="P1593" s="13"/>
    </row>
    <row r="1594">
      <c r="L1594" s="13"/>
      <c r="M1594" s="14"/>
      <c r="N1594" s="14"/>
      <c r="O1594" s="14"/>
      <c r="P1594" s="13"/>
    </row>
    <row r="1595">
      <c r="L1595" s="13"/>
      <c r="M1595" s="14"/>
      <c r="N1595" s="14"/>
      <c r="O1595" s="14"/>
      <c r="P1595" s="13"/>
    </row>
    <row r="1596">
      <c r="L1596" s="13"/>
      <c r="M1596" s="14"/>
      <c r="N1596" s="14"/>
      <c r="O1596" s="14"/>
      <c r="P1596" s="13"/>
    </row>
    <row r="1597">
      <c r="L1597" s="13"/>
      <c r="M1597" s="14"/>
      <c r="N1597" s="14"/>
      <c r="O1597" s="14"/>
      <c r="P1597" s="13"/>
    </row>
    <row r="1598">
      <c r="L1598" s="13"/>
      <c r="M1598" s="14"/>
      <c r="N1598" s="14"/>
      <c r="O1598" s="14"/>
      <c r="P1598" s="13"/>
    </row>
    <row r="1599">
      <c r="L1599" s="13"/>
      <c r="M1599" s="14"/>
      <c r="N1599" s="14"/>
      <c r="O1599" s="14"/>
      <c r="P1599" s="13"/>
    </row>
    <row r="1600">
      <c r="L1600" s="13"/>
      <c r="M1600" s="14"/>
      <c r="N1600" s="14"/>
      <c r="O1600" s="14"/>
      <c r="P1600" s="13"/>
    </row>
    <row r="1601">
      <c r="L1601" s="13"/>
      <c r="M1601" s="14"/>
      <c r="N1601" s="14"/>
      <c r="O1601" s="14"/>
      <c r="P1601" s="13"/>
    </row>
    <row r="1602">
      <c r="L1602" s="13"/>
      <c r="M1602" s="14"/>
      <c r="N1602" s="14"/>
      <c r="O1602" s="14"/>
      <c r="P1602" s="13"/>
    </row>
    <row r="1603">
      <c r="L1603" s="13"/>
      <c r="M1603" s="14"/>
      <c r="N1603" s="14"/>
      <c r="O1603" s="14"/>
      <c r="P1603" s="13"/>
    </row>
    <row r="1604">
      <c r="L1604" s="13"/>
      <c r="M1604" s="14"/>
      <c r="N1604" s="14"/>
      <c r="O1604" s="14"/>
      <c r="P1604" s="13"/>
    </row>
    <row r="1605">
      <c r="L1605" s="13"/>
      <c r="M1605" s="14"/>
      <c r="N1605" s="14"/>
      <c r="O1605" s="14"/>
      <c r="P1605" s="13"/>
    </row>
    <row r="1606">
      <c r="L1606" s="13"/>
      <c r="M1606" s="14"/>
      <c r="N1606" s="14"/>
      <c r="O1606" s="14"/>
      <c r="P1606" s="13"/>
    </row>
    <row r="1607">
      <c r="L1607" s="13"/>
      <c r="M1607" s="14"/>
      <c r="N1607" s="14"/>
      <c r="O1607" s="14"/>
      <c r="P1607" s="13"/>
    </row>
    <row r="1608">
      <c r="L1608" s="13"/>
      <c r="M1608" s="14"/>
      <c r="N1608" s="14"/>
      <c r="O1608" s="14"/>
      <c r="P1608" s="13"/>
    </row>
    <row r="1609">
      <c r="L1609" s="13"/>
      <c r="M1609" s="14"/>
      <c r="N1609" s="14"/>
      <c r="O1609" s="14"/>
      <c r="P1609" s="13"/>
    </row>
    <row r="1610">
      <c r="L1610" s="13"/>
      <c r="M1610" s="14"/>
      <c r="N1610" s="14"/>
      <c r="O1610" s="14"/>
      <c r="P1610" s="13"/>
    </row>
    <row r="1611">
      <c r="L1611" s="13"/>
      <c r="M1611" s="14"/>
      <c r="N1611" s="14"/>
      <c r="O1611" s="14"/>
      <c r="P1611" s="13"/>
    </row>
    <row r="1612">
      <c r="L1612" s="13"/>
      <c r="M1612" s="14"/>
      <c r="N1612" s="14"/>
      <c r="O1612" s="14"/>
      <c r="P1612" s="13"/>
    </row>
    <row r="1613">
      <c r="L1613" s="13"/>
      <c r="M1613" s="14"/>
      <c r="N1613" s="14"/>
      <c r="O1613" s="14"/>
      <c r="P1613" s="13"/>
    </row>
    <row r="1614">
      <c r="L1614" s="13"/>
      <c r="M1614" s="14"/>
      <c r="N1614" s="14"/>
      <c r="O1614" s="14"/>
      <c r="P1614" s="13"/>
    </row>
    <row r="1615">
      <c r="L1615" s="13"/>
      <c r="M1615" s="14"/>
      <c r="N1615" s="14"/>
      <c r="O1615" s="14"/>
      <c r="P1615" s="13"/>
    </row>
    <row r="1616">
      <c r="L1616" s="13"/>
      <c r="M1616" s="14"/>
      <c r="N1616" s="14"/>
      <c r="O1616" s="14"/>
      <c r="P1616" s="13"/>
    </row>
    <row r="1617">
      <c r="L1617" s="13"/>
      <c r="M1617" s="14"/>
      <c r="N1617" s="14"/>
      <c r="O1617" s="14"/>
      <c r="P1617" s="13"/>
    </row>
    <row r="1618">
      <c r="L1618" s="13"/>
      <c r="M1618" s="14"/>
      <c r="N1618" s="14"/>
      <c r="O1618" s="14"/>
      <c r="P1618" s="13"/>
    </row>
    <row r="1619">
      <c r="L1619" s="13"/>
      <c r="M1619" s="14"/>
      <c r="N1619" s="14"/>
      <c r="O1619" s="14"/>
      <c r="P1619" s="13"/>
    </row>
    <row r="1620">
      <c r="L1620" s="13"/>
      <c r="M1620" s="14"/>
      <c r="N1620" s="14"/>
      <c r="O1620" s="14"/>
      <c r="P1620" s="13"/>
    </row>
    <row r="1621">
      <c r="L1621" s="13"/>
      <c r="M1621" s="14"/>
      <c r="N1621" s="14"/>
      <c r="O1621" s="14"/>
      <c r="P1621" s="13"/>
    </row>
    <row r="1622">
      <c r="L1622" s="13"/>
      <c r="M1622" s="14"/>
      <c r="N1622" s="14"/>
      <c r="O1622" s="14"/>
      <c r="P1622" s="13"/>
    </row>
    <row r="1623">
      <c r="L1623" s="13"/>
      <c r="M1623" s="14"/>
      <c r="N1623" s="14"/>
      <c r="O1623" s="14"/>
      <c r="P1623" s="13"/>
    </row>
    <row r="1624">
      <c r="L1624" s="13"/>
      <c r="M1624" s="14"/>
      <c r="N1624" s="14"/>
      <c r="O1624" s="14"/>
      <c r="P1624" s="13"/>
    </row>
    <row r="1625">
      <c r="L1625" s="13"/>
      <c r="M1625" s="14"/>
      <c r="N1625" s="14"/>
      <c r="O1625" s="14"/>
      <c r="P1625" s="13"/>
    </row>
    <row r="1626">
      <c r="L1626" s="13"/>
      <c r="M1626" s="14"/>
      <c r="N1626" s="14"/>
      <c r="O1626" s="14"/>
      <c r="P1626" s="13"/>
    </row>
    <row r="1627">
      <c r="L1627" s="13"/>
      <c r="M1627" s="14"/>
      <c r="N1627" s="14"/>
      <c r="O1627" s="14"/>
      <c r="P1627" s="13"/>
    </row>
    <row r="1628">
      <c r="L1628" s="13"/>
      <c r="M1628" s="14"/>
      <c r="N1628" s="14"/>
      <c r="O1628" s="14"/>
      <c r="P1628" s="13"/>
    </row>
    <row r="1629">
      <c r="L1629" s="13"/>
      <c r="M1629" s="14"/>
      <c r="N1629" s="14"/>
      <c r="O1629" s="14"/>
      <c r="P1629" s="13"/>
    </row>
    <row r="1630">
      <c r="L1630" s="13"/>
      <c r="M1630" s="14"/>
      <c r="N1630" s="14"/>
      <c r="O1630" s="14"/>
      <c r="P1630" s="13"/>
    </row>
    <row r="1631">
      <c r="L1631" s="13"/>
      <c r="M1631" s="14"/>
      <c r="N1631" s="14"/>
      <c r="O1631" s="14"/>
      <c r="P1631" s="13"/>
    </row>
    <row r="1632">
      <c r="L1632" s="13"/>
      <c r="M1632" s="14"/>
      <c r="N1632" s="14"/>
      <c r="O1632" s="14"/>
      <c r="P1632" s="13"/>
    </row>
    <row r="1633">
      <c r="L1633" s="13"/>
      <c r="M1633" s="14"/>
      <c r="N1633" s="14"/>
      <c r="O1633" s="14"/>
      <c r="P1633" s="13"/>
    </row>
    <row r="1634">
      <c r="L1634" s="13"/>
      <c r="M1634" s="14"/>
      <c r="N1634" s="14"/>
      <c r="O1634" s="14"/>
      <c r="P1634" s="13"/>
    </row>
    <row r="1635">
      <c r="L1635" s="13"/>
      <c r="M1635" s="14"/>
      <c r="N1635" s="14"/>
      <c r="O1635" s="14"/>
      <c r="P1635" s="13"/>
    </row>
    <row r="1636">
      <c r="L1636" s="13"/>
      <c r="M1636" s="14"/>
      <c r="N1636" s="14"/>
      <c r="O1636" s="14"/>
      <c r="P1636" s="13"/>
    </row>
    <row r="1637">
      <c r="L1637" s="13"/>
      <c r="M1637" s="14"/>
      <c r="N1637" s="14"/>
      <c r="O1637" s="14"/>
      <c r="P1637" s="13"/>
    </row>
    <row r="1638">
      <c r="L1638" s="13"/>
      <c r="M1638" s="14"/>
      <c r="N1638" s="14"/>
      <c r="O1638" s="14"/>
      <c r="P1638" s="13"/>
    </row>
    <row r="1639">
      <c r="L1639" s="13"/>
      <c r="M1639" s="14"/>
      <c r="N1639" s="14"/>
      <c r="O1639" s="14"/>
      <c r="P1639" s="13"/>
    </row>
    <row r="1640">
      <c r="L1640" s="13"/>
      <c r="M1640" s="14"/>
      <c r="N1640" s="14"/>
      <c r="O1640" s="14"/>
      <c r="P1640" s="13"/>
    </row>
    <row r="1641">
      <c r="L1641" s="13"/>
      <c r="M1641" s="14"/>
      <c r="N1641" s="14"/>
      <c r="O1641" s="14"/>
      <c r="P1641" s="13"/>
    </row>
    <row r="1642">
      <c r="L1642" s="13"/>
      <c r="M1642" s="14"/>
      <c r="N1642" s="14"/>
      <c r="O1642" s="14"/>
      <c r="P1642" s="13"/>
    </row>
    <row r="1643">
      <c r="L1643" s="13"/>
      <c r="M1643" s="14"/>
      <c r="N1643" s="14"/>
      <c r="O1643" s="14"/>
      <c r="P1643" s="13"/>
    </row>
    <row r="1644">
      <c r="L1644" s="13"/>
      <c r="M1644" s="14"/>
      <c r="N1644" s="14"/>
      <c r="O1644" s="14"/>
      <c r="P1644" s="13"/>
    </row>
    <row r="1645">
      <c r="L1645" s="13"/>
      <c r="M1645" s="14"/>
      <c r="N1645" s="14"/>
      <c r="O1645" s="14"/>
      <c r="P1645" s="13"/>
    </row>
    <row r="1646">
      <c r="L1646" s="13"/>
      <c r="M1646" s="14"/>
      <c r="N1646" s="14"/>
      <c r="O1646" s="14"/>
      <c r="P1646" s="13"/>
    </row>
    <row r="1647">
      <c r="L1647" s="13"/>
      <c r="M1647" s="14"/>
      <c r="N1647" s="14"/>
      <c r="O1647" s="14"/>
      <c r="P1647" s="13"/>
    </row>
    <row r="1648">
      <c r="L1648" s="13"/>
      <c r="M1648" s="14"/>
      <c r="N1648" s="14"/>
      <c r="O1648" s="14"/>
      <c r="P1648" s="13"/>
    </row>
    <row r="1649">
      <c r="L1649" s="13"/>
      <c r="M1649" s="14"/>
      <c r="N1649" s="14"/>
      <c r="O1649" s="14"/>
      <c r="P1649" s="13"/>
    </row>
    <row r="1650">
      <c r="L1650" s="13"/>
      <c r="M1650" s="14"/>
      <c r="N1650" s="14"/>
      <c r="O1650" s="14"/>
      <c r="P1650" s="13"/>
    </row>
    <row r="1651">
      <c r="L1651" s="13"/>
      <c r="M1651" s="14"/>
      <c r="N1651" s="14"/>
      <c r="O1651" s="14"/>
      <c r="P1651" s="13"/>
    </row>
    <row r="1652">
      <c r="L1652" s="13"/>
      <c r="M1652" s="14"/>
      <c r="N1652" s="14"/>
      <c r="O1652" s="14"/>
      <c r="P1652" s="13"/>
    </row>
    <row r="1653">
      <c r="L1653" s="13"/>
      <c r="M1653" s="14"/>
      <c r="N1653" s="14"/>
      <c r="O1653" s="14"/>
      <c r="P1653" s="13"/>
    </row>
    <row r="1654">
      <c r="L1654" s="13"/>
      <c r="M1654" s="14"/>
      <c r="N1654" s="14"/>
      <c r="O1654" s="14"/>
      <c r="P1654" s="13"/>
    </row>
    <row r="1655">
      <c r="L1655" s="13"/>
      <c r="M1655" s="14"/>
      <c r="N1655" s="14"/>
      <c r="O1655" s="14"/>
      <c r="P1655" s="13"/>
    </row>
    <row r="1656">
      <c r="L1656" s="13"/>
      <c r="M1656" s="14"/>
      <c r="N1656" s="14"/>
      <c r="O1656" s="14"/>
      <c r="P1656" s="13"/>
    </row>
    <row r="1657">
      <c r="L1657" s="13"/>
      <c r="M1657" s="14"/>
      <c r="N1657" s="14"/>
      <c r="O1657" s="14"/>
      <c r="P1657" s="13"/>
    </row>
    <row r="1658">
      <c r="L1658" s="13"/>
      <c r="M1658" s="14"/>
      <c r="N1658" s="14"/>
      <c r="O1658" s="14"/>
      <c r="P1658" s="13"/>
    </row>
    <row r="1659">
      <c r="L1659" s="13"/>
      <c r="M1659" s="14"/>
      <c r="N1659" s="14"/>
      <c r="O1659" s="14"/>
      <c r="P1659" s="13"/>
    </row>
    <row r="1660">
      <c r="L1660" s="13"/>
      <c r="M1660" s="14"/>
      <c r="N1660" s="14"/>
      <c r="O1660" s="14"/>
      <c r="P1660" s="13"/>
    </row>
    <row r="1661">
      <c r="L1661" s="13"/>
      <c r="M1661" s="14"/>
      <c r="N1661" s="14"/>
      <c r="O1661" s="14"/>
      <c r="P1661" s="13"/>
    </row>
    <row r="1662">
      <c r="L1662" s="13"/>
      <c r="M1662" s="14"/>
      <c r="N1662" s="14"/>
      <c r="O1662" s="14"/>
      <c r="P1662" s="13"/>
    </row>
    <row r="1663">
      <c r="L1663" s="13"/>
      <c r="M1663" s="14"/>
      <c r="N1663" s="14"/>
      <c r="O1663" s="14"/>
      <c r="P1663" s="13"/>
    </row>
    <row r="1664">
      <c r="L1664" s="13"/>
      <c r="M1664" s="14"/>
      <c r="N1664" s="14"/>
      <c r="O1664" s="14"/>
      <c r="P1664" s="13"/>
    </row>
    <row r="1665">
      <c r="L1665" s="13"/>
      <c r="M1665" s="14"/>
      <c r="N1665" s="14"/>
      <c r="O1665" s="14"/>
      <c r="P1665" s="13"/>
    </row>
    <row r="1666">
      <c r="L1666" s="13"/>
      <c r="M1666" s="14"/>
      <c r="N1666" s="14"/>
      <c r="O1666" s="14"/>
      <c r="P1666" s="13"/>
    </row>
    <row r="1667">
      <c r="L1667" s="13"/>
      <c r="M1667" s="14"/>
      <c r="N1667" s="14"/>
      <c r="O1667" s="14"/>
      <c r="P1667" s="13"/>
    </row>
    <row r="1668">
      <c r="L1668" s="13"/>
      <c r="M1668" s="14"/>
      <c r="N1668" s="14"/>
      <c r="O1668" s="14"/>
      <c r="P1668" s="13"/>
    </row>
    <row r="1669">
      <c r="L1669" s="13"/>
      <c r="M1669" s="14"/>
      <c r="N1669" s="14"/>
      <c r="O1669" s="14"/>
      <c r="P1669" s="13"/>
    </row>
    <row r="1670">
      <c r="L1670" s="13"/>
      <c r="M1670" s="14"/>
      <c r="N1670" s="14"/>
      <c r="O1670" s="14"/>
      <c r="P1670" s="13"/>
    </row>
    <row r="1671">
      <c r="L1671" s="13"/>
      <c r="M1671" s="14"/>
      <c r="N1671" s="14"/>
      <c r="O1671" s="14"/>
      <c r="P1671" s="13"/>
    </row>
    <row r="1672">
      <c r="L1672" s="13"/>
      <c r="M1672" s="14"/>
      <c r="N1672" s="14"/>
      <c r="O1672" s="14"/>
      <c r="P1672" s="13"/>
    </row>
    <row r="1673">
      <c r="L1673" s="13"/>
      <c r="M1673" s="14"/>
      <c r="N1673" s="14"/>
      <c r="O1673" s="14"/>
      <c r="P1673" s="13"/>
    </row>
    <row r="1674">
      <c r="L1674" s="13"/>
      <c r="M1674" s="14"/>
      <c r="N1674" s="14"/>
      <c r="O1674" s="14"/>
      <c r="P1674" s="13"/>
    </row>
    <row r="1675">
      <c r="L1675" s="13"/>
      <c r="M1675" s="14"/>
      <c r="N1675" s="14"/>
      <c r="O1675" s="14"/>
      <c r="P1675" s="13"/>
    </row>
    <row r="1676">
      <c r="L1676" s="13"/>
      <c r="M1676" s="14"/>
      <c r="N1676" s="14"/>
      <c r="O1676" s="14"/>
      <c r="P1676" s="13"/>
    </row>
    <row r="1677">
      <c r="L1677" s="13"/>
      <c r="M1677" s="14"/>
      <c r="N1677" s="14"/>
      <c r="O1677" s="14"/>
      <c r="P1677" s="13"/>
    </row>
    <row r="1678">
      <c r="L1678" s="13"/>
      <c r="M1678" s="14"/>
      <c r="N1678" s="14"/>
      <c r="O1678" s="14"/>
      <c r="P1678" s="13"/>
    </row>
    <row r="1679">
      <c r="L1679" s="13"/>
      <c r="M1679" s="14"/>
      <c r="N1679" s="14"/>
      <c r="O1679" s="14"/>
      <c r="P1679" s="13"/>
    </row>
    <row r="1680">
      <c r="L1680" s="13"/>
      <c r="M1680" s="14"/>
      <c r="N1680" s="14"/>
      <c r="O1680" s="14"/>
      <c r="P1680" s="13"/>
    </row>
    <row r="1681">
      <c r="L1681" s="13"/>
      <c r="M1681" s="14"/>
      <c r="N1681" s="14"/>
      <c r="O1681" s="14"/>
      <c r="P1681" s="13"/>
    </row>
    <row r="1682">
      <c r="L1682" s="13"/>
      <c r="M1682" s="14"/>
      <c r="N1682" s="14"/>
      <c r="O1682" s="14"/>
      <c r="P1682" s="13"/>
    </row>
    <row r="1683">
      <c r="L1683" s="13"/>
      <c r="M1683" s="14"/>
      <c r="N1683" s="14"/>
      <c r="O1683" s="14"/>
      <c r="P1683" s="13"/>
    </row>
    <row r="1684">
      <c r="L1684" s="13"/>
      <c r="M1684" s="14"/>
      <c r="N1684" s="14"/>
      <c r="O1684" s="14"/>
      <c r="P1684" s="13"/>
    </row>
    <row r="1685">
      <c r="L1685" s="13"/>
      <c r="M1685" s="14"/>
      <c r="N1685" s="14"/>
      <c r="O1685" s="14"/>
      <c r="P1685" s="13"/>
    </row>
    <row r="1686">
      <c r="L1686" s="13"/>
      <c r="M1686" s="14"/>
      <c r="N1686" s="14"/>
      <c r="O1686" s="14"/>
      <c r="P1686" s="13"/>
    </row>
    <row r="1687">
      <c r="L1687" s="13"/>
      <c r="M1687" s="14"/>
      <c r="N1687" s="14"/>
      <c r="O1687" s="14"/>
      <c r="P1687" s="13"/>
    </row>
    <row r="1688">
      <c r="L1688" s="13"/>
      <c r="M1688" s="14"/>
      <c r="N1688" s="14"/>
      <c r="O1688" s="14"/>
      <c r="P1688" s="13"/>
    </row>
    <row r="1689">
      <c r="L1689" s="13"/>
      <c r="M1689" s="14"/>
      <c r="N1689" s="14"/>
      <c r="O1689" s="14"/>
      <c r="P1689" s="13"/>
    </row>
    <row r="1690">
      <c r="L1690" s="13"/>
      <c r="M1690" s="14"/>
      <c r="N1690" s="14"/>
      <c r="O1690" s="14"/>
      <c r="P1690" s="13"/>
    </row>
    <row r="1691">
      <c r="L1691" s="13"/>
      <c r="M1691" s="14"/>
      <c r="N1691" s="14"/>
      <c r="O1691" s="14"/>
      <c r="P1691" s="13"/>
    </row>
    <row r="1692">
      <c r="L1692" s="13"/>
      <c r="M1692" s="14"/>
      <c r="N1692" s="14"/>
      <c r="O1692" s="14"/>
      <c r="P1692" s="13"/>
    </row>
    <row r="1693">
      <c r="L1693" s="13"/>
      <c r="M1693" s="14"/>
      <c r="N1693" s="14"/>
      <c r="O1693" s="14"/>
      <c r="P1693" s="13"/>
    </row>
    <row r="1694">
      <c r="L1694" s="13"/>
      <c r="M1694" s="14"/>
      <c r="N1694" s="14"/>
      <c r="O1694" s="14"/>
      <c r="P1694" s="13"/>
    </row>
    <row r="1695">
      <c r="L1695" s="13"/>
      <c r="M1695" s="14"/>
      <c r="N1695" s="14"/>
      <c r="O1695" s="14"/>
      <c r="P1695" s="13"/>
    </row>
    <row r="1696">
      <c r="L1696" s="13"/>
      <c r="M1696" s="14"/>
      <c r="N1696" s="14"/>
      <c r="O1696" s="14"/>
      <c r="P1696" s="13"/>
    </row>
    <row r="1697">
      <c r="L1697" s="13"/>
      <c r="M1697" s="14"/>
      <c r="N1697" s="14"/>
      <c r="O1697" s="14"/>
      <c r="P1697" s="13"/>
    </row>
    <row r="1698">
      <c r="L1698" s="13"/>
      <c r="M1698" s="14"/>
      <c r="N1698" s="14"/>
      <c r="O1698" s="14"/>
      <c r="P1698" s="13"/>
    </row>
    <row r="1699">
      <c r="L1699" s="13"/>
      <c r="M1699" s="14"/>
      <c r="N1699" s="14"/>
      <c r="O1699" s="14"/>
      <c r="P1699" s="13"/>
    </row>
    <row r="1700">
      <c r="L1700" s="13"/>
      <c r="M1700" s="14"/>
      <c r="N1700" s="14"/>
      <c r="O1700" s="14"/>
      <c r="P1700" s="13"/>
    </row>
    <row r="1701">
      <c r="L1701" s="13"/>
      <c r="M1701" s="14"/>
      <c r="N1701" s="14"/>
      <c r="O1701" s="14"/>
      <c r="P1701" s="13"/>
    </row>
    <row r="1702">
      <c r="L1702" s="13"/>
      <c r="M1702" s="14"/>
      <c r="N1702" s="14"/>
      <c r="O1702" s="14"/>
      <c r="P1702" s="13"/>
    </row>
    <row r="1703">
      <c r="L1703" s="13"/>
      <c r="M1703" s="14"/>
      <c r="N1703" s="14"/>
      <c r="O1703" s="14"/>
      <c r="P1703" s="13"/>
    </row>
    <row r="1704">
      <c r="L1704" s="13"/>
      <c r="M1704" s="14"/>
      <c r="N1704" s="14"/>
      <c r="O1704" s="14"/>
      <c r="P1704" s="13"/>
    </row>
    <row r="1705">
      <c r="L1705" s="13"/>
      <c r="M1705" s="14"/>
      <c r="N1705" s="14"/>
      <c r="O1705" s="14"/>
      <c r="P1705" s="13"/>
    </row>
    <row r="1706">
      <c r="L1706" s="13"/>
      <c r="M1706" s="14"/>
      <c r="N1706" s="14"/>
      <c r="O1706" s="14"/>
      <c r="P1706" s="13"/>
    </row>
    <row r="1707">
      <c r="L1707" s="13"/>
      <c r="M1707" s="14"/>
      <c r="N1707" s="14"/>
      <c r="O1707" s="14"/>
      <c r="P1707" s="13"/>
    </row>
    <row r="1708">
      <c r="L1708" s="13"/>
      <c r="M1708" s="14"/>
      <c r="N1708" s="14"/>
      <c r="O1708" s="14"/>
      <c r="P1708" s="13"/>
    </row>
    <row r="1709">
      <c r="L1709" s="13"/>
      <c r="M1709" s="14"/>
      <c r="N1709" s="14"/>
      <c r="O1709" s="14"/>
      <c r="P1709" s="13"/>
    </row>
    <row r="1710">
      <c r="L1710" s="13"/>
      <c r="M1710" s="14"/>
      <c r="N1710" s="14"/>
      <c r="O1710" s="14"/>
      <c r="P1710" s="13"/>
    </row>
    <row r="1711">
      <c r="L1711" s="13"/>
      <c r="M1711" s="14"/>
      <c r="N1711" s="14"/>
      <c r="O1711" s="14"/>
      <c r="P1711" s="13"/>
    </row>
    <row r="1712">
      <c r="L1712" s="13"/>
      <c r="M1712" s="14"/>
      <c r="N1712" s="14"/>
      <c r="O1712" s="14"/>
      <c r="P1712" s="13"/>
    </row>
    <row r="1713">
      <c r="L1713" s="13"/>
      <c r="M1713" s="14"/>
      <c r="N1713" s="14"/>
      <c r="O1713" s="14"/>
      <c r="P1713" s="13"/>
    </row>
    <row r="1714">
      <c r="L1714" s="13"/>
      <c r="M1714" s="14"/>
      <c r="N1714" s="14"/>
      <c r="O1714" s="14"/>
      <c r="P1714" s="13"/>
    </row>
    <row r="1715">
      <c r="L1715" s="13"/>
      <c r="M1715" s="14"/>
      <c r="N1715" s="14"/>
      <c r="O1715" s="14"/>
      <c r="P1715" s="13"/>
    </row>
    <row r="1716">
      <c r="L1716" s="13"/>
      <c r="M1716" s="14"/>
      <c r="N1716" s="14"/>
      <c r="O1716" s="14"/>
      <c r="P1716" s="13"/>
    </row>
    <row r="1717">
      <c r="L1717" s="13"/>
      <c r="M1717" s="14"/>
      <c r="N1717" s="14"/>
      <c r="O1717" s="14"/>
      <c r="P1717" s="13"/>
    </row>
    <row r="1718">
      <c r="L1718" s="13"/>
      <c r="M1718" s="14"/>
      <c r="N1718" s="14"/>
      <c r="O1718" s="14"/>
      <c r="P1718" s="13"/>
    </row>
    <row r="1719">
      <c r="L1719" s="13"/>
      <c r="M1719" s="14"/>
      <c r="N1719" s="14"/>
      <c r="O1719" s="14"/>
      <c r="P1719" s="13"/>
    </row>
    <row r="1720">
      <c r="L1720" s="13"/>
      <c r="M1720" s="14"/>
      <c r="N1720" s="14"/>
      <c r="O1720" s="14"/>
      <c r="P1720" s="13"/>
    </row>
    <row r="1721">
      <c r="L1721" s="13"/>
      <c r="M1721" s="14"/>
      <c r="N1721" s="14"/>
      <c r="O1721" s="14"/>
      <c r="P1721" s="13"/>
    </row>
    <row r="1722">
      <c r="L1722" s="13"/>
      <c r="M1722" s="14"/>
      <c r="N1722" s="14"/>
      <c r="O1722" s="14"/>
      <c r="P1722" s="13"/>
    </row>
    <row r="1723">
      <c r="L1723" s="13"/>
      <c r="M1723" s="14"/>
      <c r="N1723" s="14"/>
      <c r="O1723" s="14"/>
      <c r="P1723" s="13"/>
    </row>
    <row r="1724">
      <c r="L1724" s="13"/>
      <c r="M1724" s="14"/>
      <c r="N1724" s="14"/>
      <c r="O1724" s="14"/>
      <c r="P1724" s="13"/>
    </row>
    <row r="1725">
      <c r="L1725" s="13"/>
      <c r="M1725" s="14"/>
      <c r="N1725" s="14"/>
      <c r="O1725" s="14"/>
      <c r="P1725" s="13"/>
    </row>
    <row r="1726">
      <c r="L1726" s="13"/>
      <c r="M1726" s="14"/>
      <c r="N1726" s="14"/>
      <c r="O1726" s="14"/>
      <c r="P1726" s="13"/>
    </row>
    <row r="1727">
      <c r="L1727" s="13"/>
      <c r="M1727" s="14"/>
      <c r="N1727" s="14"/>
      <c r="O1727" s="14"/>
      <c r="P1727" s="13"/>
    </row>
    <row r="1728">
      <c r="L1728" s="13"/>
      <c r="M1728" s="14"/>
      <c r="N1728" s="14"/>
      <c r="O1728" s="14"/>
      <c r="P1728" s="13"/>
    </row>
    <row r="1729">
      <c r="L1729" s="13"/>
      <c r="M1729" s="14"/>
      <c r="N1729" s="14"/>
      <c r="O1729" s="14"/>
      <c r="P1729" s="13"/>
    </row>
    <row r="1730">
      <c r="L1730" s="13"/>
      <c r="M1730" s="14"/>
      <c r="N1730" s="14"/>
      <c r="O1730" s="14"/>
      <c r="P1730" s="13"/>
    </row>
    <row r="1731">
      <c r="L1731" s="13"/>
      <c r="M1731" s="14"/>
      <c r="N1731" s="14"/>
      <c r="O1731" s="14"/>
      <c r="P1731" s="13"/>
    </row>
    <row r="1732">
      <c r="L1732" s="13"/>
      <c r="M1732" s="14"/>
      <c r="N1732" s="14"/>
      <c r="O1732" s="14"/>
      <c r="P1732" s="13"/>
    </row>
    <row r="1733">
      <c r="L1733" s="13"/>
      <c r="M1733" s="14"/>
      <c r="N1733" s="14"/>
      <c r="O1733" s="14"/>
      <c r="P1733" s="13"/>
    </row>
    <row r="1734">
      <c r="L1734" s="13"/>
      <c r="M1734" s="14"/>
      <c r="N1734" s="14"/>
      <c r="O1734" s="14"/>
      <c r="P1734" s="13"/>
    </row>
    <row r="1735">
      <c r="L1735" s="13"/>
      <c r="M1735" s="14"/>
      <c r="N1735" s="14"/>
      <c r="O1735" s="14"/>
      <c r="P1735" s="13"/>
    </row>
    <row r="1736">
      <c r="L1736" s="13"/>
      <c r="M1736" s="14"/>
      <c r="N1736" s="14"/>
      <c r="O1736" s="14"/>
      <c r="P1736" s="13"/>
    </row>
    <row r="1737">
      <c r="L1737" s="13"/>
      <c r="M1737" s="14"/>
      <c r="N1737" s="14"/>
      <c r="O1737" s="14"/>
      <c r="P1737" s="13"/>
    </row>
    <row r="1738">
      <c r="L1738" s="13"/>
      <c r="M1738" s="14"/>
      <c r="N1738" s="14"/>
      <c r="O1738" s="14"/>
      <c r="P1738" s="13"/>
    </row>
    <row r="1739">
      <c r="L1739" s="13"/>
      <c r="M1739" s="14"/>
      <c r="N1739" s="14"/>
      <c r="O1739" s="14"/>
      <c r="P1739" s="13"/>
    </row>
    <row r="1740">
      <c r="L1740" s="13"/>
      <c r="M1740" s="14"/>
      <c r="N1740" s="14"/>
      <c r="O1740" s="14"/>
      <c r="P1740" s="13"/>
    </row>
    <row r="1741">
      <c r="L1741" s="13"/>
      <c r="M1741" s="14"/>
      <c r="N1741" s="14"/>
      <c r="O1741" s="14"/>
      <c r="P1741" s="13"/>
    </row>
    <row r="1742">
      <c r="L1742" s="13"/>
      <c r="M1742" s="14"/>
      <c r="N1742" s="14"/>
      <c r="O1742" s="14"/>
      <c r="P1742" s="13"/>
    </row>
    <row r="1743">
      <c r="L1743" s="13"/>
      <c r="M1743" s="14"/>
      <c r="N1743" s="14"/>
      <c r="O1743" s="14"/>
      <c r="P1743" s="13"/>
    </row>
    <row r="1744">
      <c r="L1744" s="13"/>
      <c r="M1744" s="14"/>
      <c r="N1744" s="14"/>
      <c r="O1744" s="14"/>
      <c r="P1744" s="13"/>
    </row>
    <row r="1745">
      <c r="L1745" s="13"/>
      <c r="M1745" s="14"/>
      <c r="N1745" s="14"/>
      <c r="O1745" s="14"/>
      <c r="P1745" s="13"/>
    </row>
    <row r="1746">
      <c r="L1746" s="13"/>
      <c r="M1746" s="14"/>
      <c r="N1746" s="14"/>
      <c r="O1746" s="14"/>
      <c r="P1746" s="13"/>
    </row>
    <row r="1747">
      <c r="L1747" s="13"/>
      <c r="M1747" s="14"/>
      <c r="N1747" s="14"/>
      <c r="O1747" s="14"/>
      <c r="P1747" s="13"/>
    </row>
    <row r="1748">
      <c r="L1748" s="13"/>
      <c r="M1748" s="14"/>
      <c r="N1748" s="14"/>
      <c r="O1748" s="14"/>
      <c r="P1748" s="13"/>
    </row>
    <row r="1749">
      <c r="L1749" s="13"/>
      <c r="M1749" s="14"/>
      <c r="N1749" s="14"/>
      <c r="O1749" s="14"/>
      <c r="P1749" s="13"/>
    </row>
    <row r="1750">
      <c r="L1750" s="13"/>
      <c r="M1750" s="14"/>
      <c r="N1750" s="14"/>
      <c r="O1750" s="14"/>
      <c r="P1750" s="13"/>
    </row>
    <row r="1751">
      <c r="L1751" s="13"/>
      <c r="M1751" s="14"/>
      <c r="N1751" s="14"/>
      <c r="O1751" s="14"/>
      <c r="P1751" s="13"/>
    </row>
    <row r="1752">
      <c r="L1752" s="13"/>
      <c r="M1752" s="14"/>
      <c r="N1752" s="14"/>
      <c r="O1752" s="14"/>
      <c r="P1752" s="13"/>
    </row>
    <row r="1753">
      <c r="L1753" s="13"/>
      <c r="M1753" s="14"/>
      <c r="N1753" s="14"/>
      <c r="O1753" s="14"/>
      <c r="P1753" s="13"/>
    </row>
    <row r="1754">
      <c r="L1754" s="13"/>
      <c r="M1754" s="14"/>
      <c r="N1754" s="14"/>
      <c r="O1754" s="14"/>
      <c r="P1754" s="13"/>
    </row>
    <row r="1755">
      <c r="L1755" s="13"/>
      <c r="M1755" s="14"/>
      <c r="N1755" s="14"/>
      <c r="O1755" s="14"/>
      <c r="P1755" s="13"/>
    </row>
    <row r="1756">
      <c r="L1756" s="13"/>
      <c r="M1756" s="14"/>
      <c r="N1756" s="14"/>
      <c r="O1756" s="14"/>
      <c r="P1756" s="13"/>
    </row>
    <row r="1757">
      <c r="L1757" s="13"/>
      <c r="M1757" s="14"/>
      <c r="N1757" s="14"/>
      <c r="O1757" s="14"/>
      <c r="P1757" s="13"/>
    </row>
    <row r="1758">
      <c r="L1758" s="13"/>
      <c r="M1758" s="14"/>
      <c r="N1758" s="14"/>
      <c r="O1758" s="14"/>
      <c r="P1758" s="13"/>
    </row>
    <row r="1759">
      <c r="L1759" s="13"/>
      <c r="M1759" s="14"/>
      <c r="N1759" s="14"/>
      <c r="O1759" s="14"/>
      <c r="P1759" s="13"/>
    </row>
    <row r="1760">
      <c r="L1760" s="13"/>
      <c r="M1760" s="14"/>
      <c r="N1760" s="14"/>
      <c r="O1760" s="14"/>
      <c r="P1760" s="13"/>
    </row>
    <row r="1761">
      <c r="L1761" s="13"/>
      <c r="M1761" s="14"/>
      <c r="N1761" s="14"/>
      <c r="O1761" s="14"/>
      <c r="P1761" s="13"/>
    </row>
    <row r="1762">
      <c r="L1762" s="13"/>
      <c r="M1762" s="14"/>
      <c r="N1762" s="14"/>
      <c r="O1762" s="14"/>
      <c r="P1762" s="13"/>
    </row>
    <row r="1763">
      <c r="L1763" s="13"/>
      <c r="M1763" s="14"/>
      <c r="N1763" s="14"/>
      <c r="O1763" s="14"/>
      <c r="P1763" s="13"/>
    </row>
    <row r="1764">
      <c r="L1764" s="13"/>
      <c r="M1764" s="14"/>
      <c r="N1764" s="14"/>
      <c r="O1764" s="14"/>
      <c r="P1764" s="13"/>
    </row>
    <row r="1765">
      <c r="L1765" s="13"/>
      <c r="M1765" s="14"/>
      <c r="N1765" s="14"/>
      <c r="O1765" s="14"/>
      <c r="P1765" s="13"/>
    </row>
    <row r="1766">
      <c r="L1766" s="13"/>
      <c r="M1766" s="14"/>
      <c r="N1766" s="14"/>
      <c r="O1766" s="14"/>
      <c r="P1766" s="13"/>
    </row>
    <row r="1767">
      <c r="L1767" s="13"/>
      <c r="M1767" s="14"/>
      <c r="N1767" s="14"/>
      <c r="O1767" s="14"/>
      <c r="P1767" s="13"/>
    </row>
    <row r="1768">
      <c r="L1768" s="13"/>
      <c r="M1768" s="14"/>
      <c r="N1768" s="14"/>
      <c r="O1768" s="14"/>
      <c r="P1768" s="13"/>
    </row>
    <row r="1769">
      <c r="L1769" s="13"/>
      <c r="M1769" s="14"/>
      <c r="N1769" s="14"/>
      <c r="O1769" s="14"/>
      <c r="P1769" s="13"/>
    </row>
    <row r="1770">
      <c r="L1770" s="13"/>
      <c r="M1770" s="14"/>
      <c r="N1770" s="14"/>
      <c r="O1770" s="14"/>
      <c r="P1770" s="13"/>
    </row>
    <row r="1771">
      <c r="L1771" s="13"/>
      <c r="M1771" s="14"/>
      <c r="N1771" s="14"/>
      <c r="O1771" s="14"/>
      <c r="P1771" s="13"/>
    </row>
    <row r="1772">
      <c r="L1772" s="13"/>
      <c r="M1772" s="14"/>
      <c r="N1772" s="14"/>
      <c r="O1772" s="14"/>
      <c r="P1772" s="13"/>
    </row>
    <row r="1773">
      <c r="L1773" s="13"/>
      <c r="M1773" s="14"/>
      <c r="N1773" s="14"/>
      <c r="O1773" s="14"/>
      <c r="P1773" s="13"/>
    </row>
    <row r="1774">
      <c r="L1774" s="13"/>
      <c r="M1774" s="14"/>
      <c r="N1774" s="14"/>
      <c r="O1774" s="14"/>
      <c r="P1774" s="13"/>
    </row>
    <row r="1775">
      <c r="L1775" s="13"/>
      <c r="M1775" s="14"/>
      <c r="N1775" s="14"/>
      <c r="O1775" s="14"/>
      <c r="P1775" s="13"/>
    </row>
    <row r="1776">
      <c r="L1776" s="13"/>
      <c r="M1776" s="14"/>
      <c r="N1776" s="14"/>
      <c r="O1776" s="14"/>
      <c r="P1776" s="13"/>
    </row>
    <row r="1777">
      <c r="L1777" s="13"/>
      <c r="M1777" s="14"/>
      <c r="N1777" s="14"/>
      <c r="O1777" s="14"/>
      <c r="P1777" s="13"/>
    </row>
    <row r="1778">
      <c r="L1778" s="13"/>
      <c r="M1778" s="14"/>
      <c r="N1778" s="14"/>
      <c r="O1778" s="14"/>
      <c r="P1778" s="13"/>
    </row>
    <row r="1779">
      <c r="L1779" s="13"/>
      <c r="M1779" s="14"/>
      <c r="N1779" s="14"/>
      <c r="O1779" s="14"/>
      <c r="P1779" s="13"/>
    </row>
    <row r="1780">
      <c r="L1780" s="13"/>
      <c r="M1780" s="14"/>
      <c r="N1780" s="14"/>
      <c r="O1780" s="14"/>
      <c r="P1780" s="13"/>
    </row>
    <row r="1781">
      <c r="L1781" s="13"/>
      <c r="M1781" s="14"/>
      <c r="N1781" s="14"/>
      <c r="O1781" s="14"/>
      <c r="P1781" s="13"/>
    </row>
    <row r="1782">
      <c r="L1782" s="13"/>
      <c r="M1782" s="14"/>
      <c r="N1782" s="14"/>
      <c r="O1782" s="14"/>
      <c r="P1782" s="13"/>
    </row>
    <row r="1783">
      <c r="L1783" s="13"/>
      <c r="M1783" s="14"/>
      <c r="N1783" s="14"/>
      <c r="O1783" s="14"/>
      <c r="P1783" s="13"/>
    </row>
    <row r="1784">
      <c r="L1784" s="13"/>
      <c r="M1784" s="14"/>
      <c r="N1784" s="14"/>
      <c r="O1784" s="14"/>
      <c r="P1784" s="13"/>
    </row>
    <row r="1785">
      <c r="L1785" s="13"/>
      <c r="M1785" s="14"/>
      <c r="N1785" s="14"/>
      <c r="O1785" s="14"/>
      <c r="P1785" s="13"/>
    </row>
    <row r="1786">
      <c r="L1786" s="13"/>
      <c r="M1786" s="14"/>
      <c r="N1786" s="14"/>
      <c r="O1786" s="14"/>
      <c r="P1786" s="13"/>
    </row>
    <row r="1787">
      <c r="L1787" s="13"/>
      <c r="M1787" s="14"/>
      <c r="N1787" s="14"/>
      <c r="O1787" s="14"/>
      <c r="P1787" s="13"/>
    </row>
    <row r="1788">
      <c r="L1788" s="13"/>
      <c r="M1788" s="14"/>
      <c r="N1788" s="14"/>
      <c r="O1788" s="14"/>
      <c r="P1788" s="13"/>
    </row>
    <row r="1789">
      <c r="L1789" s="13"/>
      <c r="M1789" s="14"/>
      <c r="N1789" s="14"/>
      <c r="O1789" s="14"/>
      <c r="P1789" s="13"/>
    </row>
    <row r="1790">
      <c r="L1790" s="13"/>
      <c r="M1790" s="14"/>
      <c r="N1790" s="14"/>
      <c r="O1790" s="14"/>
      <c r="P1790" s="13"/>
    </row>
    <row r="1791">
      <c r="L1791" s="13"/>
      <c r="M1791" s="14"/>
      <c r="N1791" s="14"/>
      <c r="O1791" s="14"/>
      <c r="P1791" s="13"/>
    </row>
    <row r="1792">
      <c r="L1792" s="13"/>
      <c r="M1792" s="14"/>
      <c r="N1792" s="14"/>
      <c r="O1792" s="14"/>
      <c r="P1792" s="13"/>
    </row>
    <row r="1793">
      <c r="L1793" s="13"/>
      <c r="M1793" s="14"/>
      <c r="N1793" s="14"/>
      <c r="O1793" s="14"/>
      <c r="P1793" s="13"/>
    </row>
    <row r="1794">
      <c r="L1794" s="13"/>
      <c r="M1794" s="14"/>
      <c r="N1794" s="14"/>
      <c r="O1794" s="14"/>
      <c r="P1794" s="13"/>
    </row>
    <row r="1795">
      <c r="L1795" s="13"/>
      <c r="M1795" s="14"/>
      <c r="N1795" s="14"/>
      <c r="O1795" s="14"/>
      <c r="P1795" s="13"/>
    </row>
    <row r="1796">
      <c r="L1796" s="13"/>
      <c r="M1796" s="14"/>
      <c r="N1796" s="14"/>
      <c r="O1796" s="14"/>
      <c r="P1796" s="13"/>
    </row>
    <row r="1797">
      <c r="L1797" s="13"/>
      <c r="M1797" s="14"/>
      <c r="N1797" s="14"/>
      <c r="O1797" s="14"/>
      <c r="P1797" s="13"/>
    </row>
    <row r="1798">
      <c r="L1798" s="13"/>
      <c r="M1798" s="14"/>
      <c r="N1798" s="14"/>
      <c r="O1798" s="14"/>
      <c r="P1798" s="13"/>
    </row>
    <row r="1799">
      <c r="L1799" s="13"/>
      <c r="M1799" s="14"/>
      <c r="N1799" s="14"/>
      <c r="O1799" s="14"/>
      <c r="P1799" s="13"/>
    </row>
    <row r="1800">
      <c r="L1800" s="13"/>
      <c r="M1800" s="14"/>
      <c r="N1800" s="14"/>
      <c r="O1800" s="14"/>
      <c r="P1800" s="13"/>
    </row>
    <row r="1801">
      <c r="L1801" s="13"/>
      <c r="M1801" s="14"/>
      <c r="N1801" s="14"/>
      <c r="O1801" s="14"/>
      <c r="P1801" s="13"/>
    </row>
    <row r="1802">
      <c r="L1802" s="13"/>
      <c r="M1802" s="14"/>
      <c r="N1802" s="14"/>
      <c r="O1802" s="14"/>
      <c r="P1802" s="13"/>
    </row>
    <row r="1803">
      <c r="L1803" s="13"/>
      <c r="M1803" s="14"/>
      <c r="N1803" s="14"/>
      <c r="O1803" s="14"/>
      <c r="P1803" s="13"/>
    </row>
    <row r="1804">
      <c r="L1804" s="13"/>
      <c r="M1804" s="14"/>
      <c r="N1804" s="14"/>
      <c r="O1804" s="14"/>
      <c r="P1804" s="13"/>
    </row>
    <row r="1805">
      <c r="L1805" s="13"/>
      <c r="M1805" s="14"/>
      <c r="N1805" s="14"/>
      <c r="O1805" s="14"/>
      <c r="P1805" s="13"/>
    </row>
    <row r="1806">
      <c r="L1806" s="13"/>
      <c r="M1806" s="14"/>
      <c r="N1806" s="14"/>
      <c r="O1806" s="14"/>
      <c r="P1806" s="13"/>
    </row>
    <row r="1807">
      <c r="L1807" s="13"/>
      <c r="M1807" s="14"/>
      <c r="N1807" s="14"/>
      <c r="O1807" s="14"/>
      <c r="P1807" s="13"/>
    </row>
    <row r="1808">
      <c r="L1808" s="13"/>
      <c r="M1808" s="14"/>
      <c r="N1808" s="14"/>
      <c r="O1808" s="14"/>
      <c r="P1808" s="13"/>
    </row>
    <row r="1809">
      <c r="L1809" s="13"/>
      <c r="M1809" s="14"/>
      <c r="N1809" s="14"/>
      <c r="O1809" s="14"/>
      <c r="P1809" s="13"/>
    </row>
    <row r="1810">
      <c r="L1810" s="13"/>
      <c r="M1810" s="14"/>
      <c r="N1810" s="14"/>
      <c r="O1810" s="14"/>
      <c r="P1810" s="13"/>
    </row>
    <row r="1811">
      <c r="L1811" s="13"/>
      <c r="M1811" s="14"/>
      <c r="N1811" s="14"/>
      <c r="O1811" s="14"/>
      <c r="P1811" s="13"/>
    </row>
    <row r="1812">
      <c r="L1812" s="13"/>
      <c r="M1812" s="14"/>
      <c r="N1812" s="14"/>
      <c r="O1812" s="14"/>
      <c r="P1812" s="13"/>
    </row>
    <row r="1813">
      <c r="L1813" s="13"/>
      <c r="M1813" s="14"/>
      <c r="N1813" s="14"/>
      <c r="O1813" s="14"/>
      <c r="P1813" s="13"/>
    </row>
    <row r="1814">
      <c r="L1814" s="13"/>
      <c r="M1814" s="14"/>
      <c r="N1814" s="14"/>
      <c r="O1814" s="14"/>
      <c r="P1814" s="13"/>
    </row>
    <row r="1815">
      <c r="L1815" s="13"/>
      <c r="M1815" s="14"/>
      <c r="N1815" s="14"/>
      <c r="O1815" s="14"/>
      <c r="P1815" s="13"/>
    </row>
    <row r="1816">
      <c r="L1816" s="13"/>
      <c r="M1816" s="14"/>
      <c r="N1816" s="14"/>
      <c r="O1816" s="14"/>
      <c r="P1816" s="13"/>
    </row>
    <row r="1817">
      <c r="L1817" s="13"/>
      <c r="M1817" s="14"/>
      <c r="N1817" s="14"/>
      <c r="O1817" s="14"/>
      <c r="P1817" s="13"/>
    </row>
    <row r="1818">
      <c r="L1818" s="13"/>
      <c r="M1818" s="14"/>
      <c r="N1818" s="14"/>
      <c r="O1818" s="14"/>
      <c r="P1818" s="13"/>
    </row>
    <row r="1819">
      <c r="L1819" s="13"/>
      <c r="M1819" s="14"/>
      <c r="N1819" s="14"/>
      <c r="O1819" s="14"/>
      <c r="P1819" s="13"/>
    </row>
    <row r="1820">
      <c r="L1820" s="13"/>
      <c r="M1820" s="14"/>
      <c r="N1820" s="14"/>
      <c r="O1820" s="14"/>
      <c r="P1820" s="13"/>
    </row>
    <row r="1821">
      <c r="L1821" s="13"/>
      <c r="M1821" s="14"/>
      <c r="N1821" s="14"/>
      <c r="O1821" s="14"/>
      <c r="P1821" s="13"/>
    </row>
    <row r="1822">
      <c r="L1822" s="13"/>
      <c r="M1822" s="14"/>
      <c r="N1822" s="14"/>
      <c r="O1822" s="14"/>
      <c r="P1822" s="13"/>
    </row>
    <row r="1823">
      <c r="L1823" s="13"/>
      <c r="M1823" s="14"/>
      <c r="N1823" s="14"/>
      <c r="O1823" s="14"/>
      <c r="P1823" s="13"/>
    </row>
    <row r="1824">
      <c r="L1824" s="13"/>
      <c r="M1824" s="14"/>
      <c r="N1824" s="14"/>
      <c r="O1824" s="14"/>
      <c r="P1824" s="13"/>
    </row>
    <row r="1825">
      <c r="L1825" s="13"/>
      <c r="M1825" s="14"/>
      <c r="N1825" s="14"/>
      <c r="O1825" s="14"/>
      <c r="P1825" s="13"/>
    </row>
    <row r="1826">
      <c r="L1826" s="13"/>
      <c r="M1826" s="14"/>
      <c r="N1826" s="14"/>
      <c r="O1826" s="14"/>
      <c r="P1826" s="13"/>
    </row>
    <row r="1827">
      <c r="L1827" s="13"/>
      <c r="M1827" s="14"/>
      <c r="N1827" s="14"/>
      <c r="O1827" s="14"/>
      <c r="P1827" s="13"/>
    </row>
    <row r="1828">
      <c r="L1828" s="13"/>
      <c r="M1828" s="14"/>
      <c r="N1828" s="14"/>
      <c r="O1828" s="14"/>
      <c r="P1828" s="13"/>
    </row>
    <row r="1829">
      <c r="L1829" s="13"/>
      <c r="M1829" s="14"/>
      <c r="N1829" s="14"/>
      <c r="O1829" s="14"/>
      <c r="P1829" s="13"/>
    </row>
    <row r="1830">
      <c r="L1830" s="13"/>
      <c r="M1830" s="14"/>
      <c r="N1830" s="14"/>
      <c r="O1830" s="14"/>
      <c r="P1830" s="13"/>
    </row>
    <row r="1831">
      <c r="L1831" s="13"/>
      <c r="M1831" s="14"/>
      <c r="N1831" s="14"/>
      <c r="O1831" s="14"/>
      <c r="P1831" s="13"/>
    </row>
    <row r="1832">
      <c r="L1832" s="13"/>
      <c r="M1832" s="14"/>
      <c r="N1832" s="14"/>
      <c r="O1832" s="14"/>
      <c r="P1832" s="13"/>
    </row>
    <row r="1833">
      <c r="L1833" s="13"/>
      <c r="M1833" s="14"/>
      <c r="N1833" s="14"/>
      <c r="O1833" s="14"/>
      <c r="P1833" s="13"/>
    </row>
    <row r="1834">
      <c r="L1834" s="13"/>
      <c r="M1834" s="14"/>
      <c r="N1834" s="14"/>
      <c r="O1834" s="14"/>
      <c r="P1834" s="13"/>
    </row>
    <row r="1835">
      <c r="L1835" s="13"/>
      <c r="M1835" s="14"/>
      <c r="N1835" s="14"/>
      <c r="O1835" s="14"/>
      <c r="P1835" s="13"/>
    </row>
    <row r="1836">
      <c r="L1836" s="13"/>
      <c r="M1836" s="14"/>
      <c r="N1836" s="14"/>
      <c r="O1836" s="14"/>
      <c r="P1836" s="13"/>
    </row>
    <row r="1837">
      <c r="L1837" s="13"/>
      <c r="M1837" s="14"/>
      <c r="N1837" s="14"/>
      <c r="O1837" s="14"/>
      <c r="P1837" s="13"/>
    </row>
    <row r="1838">
      <c r="L1838" s="13"/>
      <c r="M1838" s="14"/>
      <c r="N1838" s="14"/>
      <c r="O1838" s="14"/>
      <c r="P1838" s="13"/>
    </row>
    <row r="1839">
      <c r="L1839" s="13"/>
      <c r="M1839" s="14"/>
      <c r="N1839" s="14"/>
      <c r="O1839" s="14"/>
      <c r="P1839" s="13"/>
    </row>
    <row r="1840">
      <c r="L1840" s="13"/>
      <c r="M1840" s="14"/>
      <c r="N1840" s="14"/>
      <c r="O1840" s="14"/>
      <c r="P1840" s="13"/>
    </row>
    <row r="1841">
      <c r="L1841" s="13"/>
      <c r="M1841" s="14"/>
      <c r="N1841" s="14"/>
      <c r="O1841" s="14"/>
      <c r="P1841" s="13"/>
    </row>
    <row r="1842">
      <c r="L1842" s="13"/>
      <c r="M1842" s="14"/>
      <c r="N1842" s="14"/>
      <c r="O1842" s="14"/>
      <c r="P1842" s="13"/>
    </row>
    <row r="1843">
      <c r="L1843" s="13"/>
      <c r="M1843" s="14"/>
      <c r="N1843" s="14"/>
      <c r="O1843" s="14"/>
      <c r="P1843" s="13"/>
    </row>
    <row r="1844">
      <c r="L1844" s="13"/>
      <c r="M1844" s="14"/>
      <c r="N1844" s="14"/>
      <c r="O1844" s="14"/>
      <c r="P1844" s="13"/>
    </row>
    <row r="1845">
      <c r="L1845" s="13"/>
      <c r="M1845" s="14"/>
      <c r="N1845" s="14"/>
      <c r="O1845" s="14"/>
      <c r="P1845" s="13"/>
    </row>
    <row r="1846">
      <c r="L1846" s="13"/>
      <c r="M1846" s="14"/>
      <c r="N1846" s="14"/>
      <c r="O1846" s="14"/>
      <c r="P1846" s="13"/>
    </row>
    <row r="1847">
      <c r="L1847" s="13"/>
      <c r="M1847" s="14"/>
      <c r="N1847" s="14"/>
      <c r="O1847" s="14"/>
      <c r="P1847" s="13"/>
    </row>
    <row r="1848">
      <c r="L1848" s="13"/>
      <c r="M1848" s="14"/>
      <c r="N1848" s="14"/>
      <c r="O1848" s="14"/>
      <c r="P1848" s="13"/>
    </row>
    <row r="1849">
      <c r="L1849" s="13"/>
      <c r="M1849" s="14"/>
      <c r="N1849" s="14"/>
      <c r="O1849" s="14"/>
      <c r="P1849" s="13"/>
    </row>
    <row r="1850">
      <c r="L1850" s="13"/>
      <c r="M1850" s="14"/>
      <c r="N1850" s="14"/>
      <c r="O1850" s="14"/>
      <c r="P1850" s="13"/>
    </row>
    <row r="1851">
      <c r="L1851" s="13"/>
      <c r="M1851" s="14"/>
      <c r="N1851" s="14"/>
      <c r="O1851" s="14"/>
      <c r="P1851" s="13"/>
    </row>
    <row r="1852">
      <c r="L1852" s="13"/>
      <c r="M1852" s="14"/>
      <c r="N1852" s="14"/>
      <c r="O1852" s="14"/>
      <c r="P1852" s="13"/>
    </row>
    <row r="1853">
      <c r="L1853" s="13"/>
      <c r="M1853" s="14"/>
      <c r="N1853" s="14"/>
      <c r="O1853" s="14"/>
      <c r="P1853" s="13"/>
    </row>
    <row r="1854">
      <c r="L1854" s="13"/>
      <c r="M1854" s="14"/>
      <c r="N1854" s="14"/>
      <c r="O1854" s="14"/>
      <c r="P1854" s="13"/>
    </row>
    <row r="1855">
      <c r="L1855" s="13"/>
      <c r="M1855" s="14"/>
      <c r="N1855" s="14"/>
      <c r="O1855" s="14"/>
      <c r="P1855" s="13"/>
    </row>
    <row r="1856">
      <c r="L1856" s="13"/>
      <c r="M1856" s="14"/>
      <c r="N1856" s="14"/>
      <c r="O1856" s="14"/>
      <c r="P1856" s="13"/>
    </row>
    <row r="1857">
      <c r="L1857" s="13"/>
      <c r="M1857" s="14"/>
      <c r="N1857" s="14"/>
      <c r="O1857" s="14"/>
      <c r="P1857" s="13"/>
    </row>
    <row r="1858">
      <c r="L1858" s="13"/>
      <c r="M1858" s="14"/>
      <c r="N1858" s="14"/>
      <c r="O1858" s="14"/>
      <c r="P1858" s="13"/>
    </row>
    <row r="1859">
      <c r="L1859" s="13"/>
      <c r="M1859" s="14"/>
      <c r="N1859" s="14"/>
      <c r="O1859" s="14"/>
      <c r="P1859" s="13"/>
    </row>
    <row r="1860">
      <c r="L1860" s="13"/>
      <c r="M1860" s="14"/>
      <c r="N1860" s="14"/>
      <c r="O1860" s="14"/>
      <c r="P1860" s="13"/>
    </row>
    <row r="1861">
      <c r="L1861" s="13"/>
      <c r="M1861" s="14"/>
      <c r="N1861" s="14"/>
      <c r="O1861" s="14"/>
      <c r="P1861" s="13"/>
    </row>
    <row r="1862">
      <c r="L1862" s="13"/>
      <c r="M1862" s="14"/>
      <c r="N1862" s="14"/>
      <c r="O1862" s="14"/>
      <c r="P1862" s="13"/>
    </row>
    <row r="1863">
      <c r="L1863" s="13"/>
      <c r="M1863" s="14"/>
      <c r="N1863" s="14"/>
      <c r="O1863" s="14"/>
      <c r="P1863" s="13"/>
    </row>
    <row r="1864">
      <c r="L1864" s="13"/>
      <c r="M1864" s="14"/>
      <c r="N1864" s="14"/>
      <c r="O1864" s="14"/>
      <c r="P1864" s="13"/>
    </row>
    <row r="1865">
      <c r="L1865" s="13"/>
      <c r="M1865" s="14"/>
      <c r="N1865" s="14"/>
      <c r="O1865" s="14"/>
      <c r="P1865" s="13"/>
    </row>
    <row r="1866">
      <c r="L1866" s="13"/>
      <c r="M1866" s="14"/>
      <c r="N1866" s="14"/>
      <c r="O1866" s="14"/>
      <c r="P1866" s="13"/>
    </row>
    <row r="1867">
      <c r="L1867" s="13"/>
      <c r="M1867" s="14"/>
      <c r="N1867" s="14"/>
      <c r="O1867" s="14"/>
      <c r="P1867" s="13"/>
    </row>
    <row r="1868">
      <c r="L1868" s="13"/>
      <c r="M1868" s="14"/>
      <c r="N1868" s="14"/>
      <c r="O1868" s="14"/>
      <c r="P1868" s="13"/>
    </row>
    <row r="1869">
      <c r="L1869" s="13"/>
      <c r="M1869" s="14"/>
      <c r="N1869" s="14"/>
      <c r="O1869" s="14"/>
      <c r="P1869" s="13"/>
    </row>
    <row r="1870">
      <c r="L1870" s="13"/>
      <c r="M1870" s="14"/>
      <c r="N1870" s="14"/>
      <c r="O1870" s="14"/>
      <c r="P1870" s="13"/>
    </row>
    <row r="1871">
      <c r="L1871" s="13"/>
      <c r="M1871" s="14"/>
      <c r="N1871" s="14"/>
      <c r="O1871" s="14"/>
      <c r="P1871" s="13"/>
    </row>
    <row r="1872">
      <c r="L1872" s="13"/>
      <c r="M1872" s="14"/>
      <c r="N1872" s="14"/>
      <c r="O1872" s="14"/>
      <c r="P1872" s="13"/>
    </row>
    <row r="1873">
      <c r="L1873" s="13"/>
      <c r="M1873" s="14"/>
      <c r="N1873" s="14"/>
      <c r="O1873" s="14"/>
      <c r="P1873" s="13"/>
    </row>
    <row r="1874">
      <c r="L1874" s="13"/>
      <c r="M1874" s="14"/>
      <c r="N1874" s="14"/>
      <c r="O1874" s="14"/>
      <c r="P1874" s="13"/>
    </row>
    <row r="1875">
      <c r="L1875" s="13"/>
      <c r="M1875" s="14"/>
      <c r="N1875" s="14"/>
      <c r="O1875" s="14"/>
      <c r="P1875" s="13"/>
    </row>
    <row r="1876">
      <c r="L1876" s="13"/>
      <c r="M1876" s="14"/>
      <c r="N1876" s="14"/>
      <c r="O1876" s="14"/>
      <c r="P1876" s="13"/>
    </row>
    <row r="1877">
      <c r="L1877" s="13"/>
      <c r="M1877" s="14"/>
      <c r="N1877" s="14"/>
      <c r="O1877" s="14"/>
      <c r="P1877" s="13"/>
    </row>
    <row r="1878">
      <c r="L1878" s="13"/>
      <c r="M1878" s="14"/>
      <c r="N1878" s="14"/>
      <c r="O1878" s="14"/>
      <c r="P1878" s="13"/>
    </row>
    <row r="1879">
      <c r="L1879" s="13"/>
      <c r="M1879" s="14"/>
      <c r="N1879" s="14"/>
      <c r="O1879" s="14"/>
      <c r="P1879" s="13"/>
    </row>
    <row r="1880">
      <c r="L1880" s="13"/>
      <c r="M1880" s="14"/>
      <c r="N1880" s="14"/>
      <c r="O1880" s="14"/>
      <c r="P1880" s="13"/>
    </row>
    <row r="1881">
      <c r="L1881" s="13"/>
      <c r="M1881" s="14"/>
      <c r="N1881" s="14"/>
      <c r="O1881" s="14"/>
      <c r="P1881" s="13"/>
    </row>
    <row r="1882">
      <c r="L1882" s="13"/>
      <c r="M1882" s="14"/>
      <c r="N1882" s="14"/>
      <c r="O1882" s="14"/>
      <c r="P1882" s="13"/>
    </row>
    <row r="1883">
      <c r="L1883" s="13"/>
      <c r="M1883" s="14"/>
      <c r="N1883" s="14"/>
      <c r="O1883" s="14"/>
      <c r="P1883" s="13"/>
    </row>
    <row r="1884">
      <c r="L1884" s="13"/>
      <c r="M1884" s="14"/>
      <c r="N1884" s="14"/>
      <c r="O1884" s="14"/>
      <c r="P1884" s="13"/>
    </row>
    <row r="1885">
      <c r="L1885" s="13"/>
      <c r="M1885" s="14"/>
      <c r="N1885" s="14"/>
      <c r="O1885" s="14"/>
      <c r="P1885" s="13"/>
    </row>
    <row r="1886">
      <c r="L1886" s="13"/>
      <c r="M1886" s="14"/>
      <c r="N1886" s="14"/>
      <c r="O1886" s="14"/>
      <c r="P1886" s="13"/>
    </row>
    <row r="1887">
      <c r="L1887" s="13"/>
      <c r="M1887" s="14"/>
      <c r="N1887" s="14"/>
      <c r="O1887" s="14"/>
      <c r="P1887" s="13"/>
    </row>
    <row r="1888">
      <c r="L1888" s="13"/>
      <c r="M1888" s="14"/>
      <c r="N1888" s="14"/>
      <c r="O1888" s="14"/>
      <c r="P1888" s="13"/>
    </row>
    <row r="1889">
      <c r="L1889" s="13"/>
      <c r="M1889" s="14"/>
      <c r="N1889" s="14"/>
      <c r="O1889" s="14"/>
      <c r="P1889" s="13"/>
    </row>
    <row r="1890">
      <c r="L1890" s="13"/>
      <c r="M1890" s="14"/>
      <c r="N1890" s="14"/>
      <c r="O1890" s="14"/>
      <c r="P1890" s="13"/>
    </row>
    <row r="1891">
      <c r="L1891" s="13"/>
      <c r="M1891" s="14"/>
      <c r="N1891" s="14"/>
      <c r="O1891" s="14"/>
      <c r="P1891" s="13"/>
    </row>
    <row r="1892">
      <c r="L1892" s="13"/>
      <c r="M1892" s="14"/>
      <c r="N1892" s="14"/>
      <c r="O1892" s="14"/>
      <c r="P1892" s="13"/>
    </row>
    <row r="1893">
      <c r="L1893" s="13"/>
      <c r="M1893" s="14"/>
      <c r="N1893" s="14"/>
      <c r="O1893" s="14"/>
      <c r="P1893" s="13"/>
    </row>
    <row r="1894">
      <c r="L1894" s="13"/>
      <c r="M1894" s="14"/>
      <c r="N1894" s="14"/>
      <c r="O1894" s="14"/>
      <c r="P1894" s="13"/>
    </row>
    <row r="1895">
      <c r="L1895" s="13"/>
      <c r="M1895" s="14"/>
      <c r="N1895" s="14"/>
      <c r="O1895" s="14"/>
      <c r="P1895" s="13"/>
    </row>
    <row r="1896">
      <c r="L1896" s="13"/>
      <c r="M1896" s="14"/>
      <c r="N1896" s="14"/>
      <c r="O1896" s="14"/>
      <c r="P1896" s="13"/>
    </row>
    <row r="1897">
      <c r="L1897" s="13"/>
      <c r="M1897" s="14"/>
      <c r="N1897" s="14"/>
      <c r="O1897" s="14"/>
      <c r="P1897" s="13"/>
    </row>
    <row r="1898">
      <c r="L1898" s="13"/>
      <c r="M1898" s="14"/>
      <c r="N1898" s="14"/>
      <c r="O1898" s="14"/>
      <c r="P1898" s="13"/>
    </row>
    <row r="1899">
      <c r="L1899" s="13"/>
      <c r="M1899" s="14"/>
      <c r="N1899" s="14"/>
      <c r="O1899" s="14"/>
      <c r="P1899" s="13"/>
    </row>
    <row r="1900">
      <c r="L1900" s="13"/>
      <c r="M1900" s="14"/>
      <c r="N1900" s="14"/>
      <c r="O1900" s="14"/>
      <c r="P1900" s="13"/>
    </row>
    <row r="1901">
      <c r="L1901" s="13"/>
      <c r="M1901" s="14"/>
      <c r="N1901" s="14"/>
      <c r="O1901" s="14"/>
      <c r="P1901" s="13"/>
    </row>
    <row r="1902">
      <c r="L1902" s="13"/>
      <c r="M1902" s="14"/>
      <c r="N1902" s="14"/>
      <c r="O1902" s="14"/>
      <c r="P1902" s="13"/>
    </row>
    <row r="1903">
      <c r="L1903" s="13"/>
      <c r="M1903" s="14"/>
      <c r="N1903" s="14"/>
      <c r="O1903" s="14"/>
      <c r="P1903" s="13"/>
    </row>
    <row r="1904">
      <c r="L1904" s="13"/>
      <c r="M1904" s="14"/>
      <c r="N1904" s="14"/>
      <c r="O1904" s="14"/>
      <c r="P1904" s="13"/>
    </row>
    <row r="1905">
      <c r="L1905" s="13"/>
      <c r="M1905" s="14"/>
      <c r="N1905" s="14"/>
      <c r="O1905" s="14"/>
      <c r="P1905" s="13"/>
    </row>
    <row r="1906">
      <c r="L1906" s="13"/>
      <c r="M1906" s="14"/>
      <c r="N1906" s="14"/>
      <c r="O1906" s="14"/>
      <c r="P1906" s="13"/>
    </row>
    <row r="1907">
      <c r="L1907" s="13"/>
      <c r="M1907" s="14"/>
      <c r="N1907" s="14"/>
      <c r="O1907" s="14"/>
      <c r="P1907" s="13"/>
    </row>
    <row r="1908">
      <c r="L1908" s="13"/>
      <c r="M1908" s="14"/>
      <c r="N1908" s="14"/>
      <c r="O1908" s="14"/>
      <c r="P1908" s="13"/>
    </row>
    <row r="1909">
      <c r="L1909" s="13"/>
      <c r="M1909" s="14"/>
      <c r="N1909" s="14"/>
      <c r="O1909" s="14"/>
      <c r="P1909" s="13"/>
    </row>
    <row r="1910">
      <c r="L1910" s="13"/>
      <c r="M1910" s="14"/>
      <c r="N1910" s="14"/>
      <c r="O1910" s="14"/>
      <c r="P1910" s="13"/>
    </row>
    <row r="1911">
      <c r="L1911" s="13"/>
      <c r="M1911" s="14"/>
      <c r="N1911" s="14"/>
      <c r="O1911" s="14"/>
      <c r="P1911" s="13"/>
    </row>
    <row r="1912">
      <c r="L1912" s="13"/>
      <c r="M1912" s="14"/>
      <c r="N1912" s="14"/>
      <c r="O1912" s="14"/>
      <c r="P1912" s="13"/>
    </row>
    <row r="1913">
      <c r="L1913" s="13"/>
      <c r="M1913" s="14"/>
      <c r="N1913" s="14"/>
      <c r="O1913" s="14"/>
      <c r="P1913" s="13"/>
    </row>
    <row r="1914">
      <c r="L1914" s="13"/>
      <c r="M1914" s="14"/>
      <c r="N1914" s="14"/>
      <c r="O1914" s="14"/>
      <c r="P1914" s="13"/>
    </row>
    <row r="1915">
      <c r="L1915" s="13"/>
      <c r="M1915" s="14"/>
      <c r="N1915" s="14"/>
      <c r="O1915" s="14"/>
      <c r="P1915" s="13"/>
    </row>
    <row r="1916">
      <c r="L1916" s="13"/>
      <c r="M1916" s="14"/>
      <c r="N1916" s="14"/>
      <c r="O1916" s="14"/>
      <c r="P1916" s="13"/>
    </row>
    <row r="1917">
      <c r="L1917" s="13"/>
      <c r="M1917" s="14"/>
      <c r="N1917" s="14"/>
      <c r="O1917" s="14"/>
      <c r="P1917" s="13"/>
    </row>
    <row r="1918">
      <c r="L1918" s="13"/>
      <c r="M1918" s="14"/>
      <c r="N1918" s="14"/>
      <c r="O1918" s="14"/>
      <c r="P1918" s="13"/>
    </row>
    <row r="1919">
      <c r="L1919" s="13"/>
      <c r="M1919" s="14"/>
      <c r="N1919" s="14"/>
      <c r="O1919" s="14"/>
      <c r="P1919" s="13"/>
    </row>
    <row r="1920">
      <c r="L1920" s="13"/>
      <c r="M1920" s="14"/>
      <c r="N1920" s="14"/>
      <c r="O1920" s="14"/>
      <c r="P1920" s="13"/>
    </row>
    <row r="1921">
      <c r="L1921" s="13"/>
      <c r="M1921" s="14"/>
      <c r="N1921" s="14"/>
      <c r="O1921" s="14"/>
      <c r="P1921" s="13"/>
    </row>
    <row r="1922">
      <c r="L1922" s="13"/>
      <c r="M1922" s="14"/>
      <c r="N1922" s="14"/>
      <c r="O1922" s="14"/>
      <c r="P1922" s="13"/>
    </row>
    <row r="1923">
      <c r="L1923" s="13"/>
      <c r="M1923" s="14"/>
      <c r="N1923" s="14"/>
      <c r="O1923" s="14"/>
      <c r="P1923" s="13"/>
    </row>
    <row r="1924">
      <c r="L1924" s="13"/>
      <c r="M1924" s="14"/>
      <c r="N1924" s="14"/>
      <c r="O1924" s="14"/>
      <c r="P1924" s="13"/>
    </row>
    <row r="1925">
      <c r="L1925" s="13"/>
      <c r="M1925" s="14"/>
      <c r="N1925" s="14"/>
      <c r="O1925" s="14"/>
      <c r="P1925" s="13"/>
    </row>
    <row r="1926">
      <c r="L1926" s="13"/>
      <c r="M1926" s="14"/>
      <c r="N1926" s="14"/>
      <c r="O1926" s="14"/>
      <c r="P1926" s="13"/>
    </row>
    <row r="1927">
      <c r="L1927" s="13"/>
      <c r="M1927" s="14"/>
      <c r="N1927" s="14"/>
      <c r="O1927" s="14"/>
      <c r="P1927" s="13"/>
    </row>
    <row r="1928">
      <c r="L1928" s="13"/>
      <c r="M1928" s="14"/>
      <c r="N1928" s="14"/>
      <c r="O1928" s="14"/>
      <c r="P1928" s="13"/>
    </row>
    <row r="1929">
      <c r="L1929" s="13"/>
      <c r="M1929" s="14"/>
      <c r="N1929" s="14"/>
      <c r="O1929" s="14"/>
      <c r="P1929" s="13"/>
    </row>
    <row r="1930">
      <c r="L1930" s="13"/>
      <c r="M1930" s="14"/>
      <c r="N1930" s="14"/>
      <c r="O1930" s="14"/>
      <c r="P1930" s="13"/>
    </row>
    <row r="1931">
      <c r="L1931" s="13"/>
      <c r="M1931" s="14"/>
      <c r="N1931" s="14"/>
      <c r="O1931" s="14"/>
      <c r="P1931" s="13"/>
    </row>
    <row r="1932">
      <c r="L1932" s="13"/>
      <c r="M1932" s="14"/>
      <c r="N1932" s="14"/>
      <c r="O1932" s="14"/>
      <c r="P1932" s="13"/>
    </row>
    <row r="1933">
      <c r="L1933" s="13"/>
      <c r="M1933" s="14"/>
      <c r="N1933" s="14"/>
      <c r="O1933" s="14"/>
      <c r="P1933" s="13"/>
    </row>
    <row r="1934">
      <c r="L1934" s="13"/>
      <c r="M1934" s="14"/>
      <c r="N1934" s="14"/>
      <c r="O1934" s="14"/>
      <c r="P1934" s="13"/>
    </row>
    <row r="1935">
      <c r="L1935" s="13"/>
      <c r="M1935" s="14"/>
      <c r="N1935" s="14"/>
      <c r="O1935" s="14"/>
      <c r="P1935" s="13"/>
    </row>
    <row r="1936">
      <c r="L1936" s="13"/>
      <c r="M1936" s="14"/>
      <c r="N1936" s="14"/>
      <c r="O1936" s="14"/>
      <c r="P1936" s="13"/>
    </row>
    <row r="1937">
      <c r="L1937" s="13"/>
      <c r="M1937" s="14"/>
      <c r="N1937" s="14"/>
      <c r="O1937" s="14"/>
      <c r="P1937" s="13"/>
    </row>
    <row r="1938">
      <c r="L1938" s="13"/>
      <c r="M1938" s="14"/>
      <c r="N1938" s="14"/>
      <c r="O1938" s="14"/>
      <c r="P1938" s="13"/>
    </row>
    <row r="1939">
      <c r="L1939" s="13"/>
      <c r="M1939" s="14"/>
      <c r="N1939" s="14"/>
      <c r="O1939" s="14"/>
      <c r="P1939" s="13"/>
    </row>
    <row r="1940">
      <c r="L1940" s="13"/>
      <c r="M1940" s="14"/>
      <c r="N1940" s="14"/>
      <c r="O1940" s="14"/>
      <c r="P1940" s="13"/>
    </row>
    <row r="1941">
      <c r="L1941" s="13"/>
      <c r="M1941" s="14"/>
      <c r="N1941" s="14"/>
      <c r="O1941" s="14"/>
      <c r="P1941" s="13"/>
    </row>
    <row r="1942">
      <c r="L1942" s="13"/>
      <c r="M1942" s="14"/>
      <c r="N1942" s="14"/>
      <c r="O1942" s="14"/>
      <c r="P1942" s="13"/>
    </row>
    <row r="1943">
      <c r="L1943" s="13"/>
      <c r="M1943" s="14"/>
      <c r="N1943" s="14"/>
      <c r="O1943" s="14"/>
      <c r="P1943" s="13"/>
    </row>
    <row r="1944">
      <c r="L1944" s="13"/>
      <c r="M1944" s="14"/>
      <c r="N1944" s="14"/>
      <c r="O1944" s="14"/>
      <c r="P1944" s="13"/>
    </row>
    <row r="1945">
      <c r="L1945" s="13"/>
      <c r="M1945" s="14"/>
      <c r="N1945" s="14"/>
      <c r="O1945" s="14"/>
      <c r="P1945" s="13"/>
    </row>
    <row r="1946">
      <c r="L1946" s="13"/>
      <c r="M1946" s="14"/>
      <c r="N1946" s="14"/>
      <c r="O1946" s="14"/>
      <c r="P1946" s="13"/>
    </row>
    <row r="1947">
      <c r="L1947" s="13"/>
      <c r="M1947" s="14"/>
      <c r="N1947" s="14"/>
      <c r="O1947" s="14"/>
      <c r="P1947" s="13"/>
    </row>
    <row r="1948">
      <c r="L1948" s="13"/>
      <c r="M1948" s="14"/>
      <c r="N1948" s="14"/>
      <c r="O1948" s="14"/>
      <c r="P1948" s="13"/>
    </row>
    <row r="1949">
      <c r="L1949" s="13"/>
      <c r="M1949" s="14"/>
      <c r="N1949" s="14"/>
      <c r="O1949" s="14"/>
      <c r="P1949" s="13"/>
    </row>
    <row r="1950">
      <c r="L1950" s="13"/>
      <c r="M1950" s="14"/>
      <c r="N1950" s="14"/>
      <c r="O1950" s="14"/>
      <c r="P1950" s="13"/>
    </row>
    <row r="1951">
      <c r="L1951" s="13"/>
      <c r="M1951" s="14"/>
      <c r="N1951" s="14"/>
      <c r="O1951" s="14"/>
      <c r="P1951" s="13"/>
    </row>
    <row r="1952">
      <c r="L1952" s="13"/>
      <c r="M1952" s="14"/>
      <c r="N1952" s="14"/>
      <c r="O1952" s="14"/>
      <c r="P1952" s="13"/>
    </row>
    <row r="1953">
      <c r="L1953" s="13"/>
      <c r="M1953" s="14"/>
      <c r="N1953" s="14"/>
      <c r="O1953" s="14"/>
      <c r="P1953" s="13"/>
    </row>
    <row r="1954">
      <c r="L1954" s="13"/>
      <c r="M1954" s="14"/>
      <c r="N1954" s="14"/>
      <c r="O1954" s="14"/>
      <c r="P1954" s="13"/>
    </row>
    <row r="1955">
      <c r="L1955" s="13"/>
      <c r="M1955" s="14"/>
      <c r="N1955" s="14"/>
      <c r="O1955" s="14"/>
      <c r="P1955" s="13"/>
    </row>
    <row r="1956">
      <c r="L1956" s="13"/>
      <c r="M1956" s="14"/>
      <c r="N1956" s="14"/>
      <c r="O1956" s="14"/>
      <c r="P1956" s="13"/>
    </row>
    <row r="1957">
      <c r="L1957" s="13"/>
      <c r="M1957" s="14"/>
      <c r="N1957" s="14"/>
      <c r="O1957" s="14"/>
      <c r="P1957" s="13"/>
    </row>
    <row r="1958">
      <c r="L1958" s="13"/>
      <c r="M1958" s="14"/>
      <c r="N1958" s="14"/>
      <c r="O1958" s="14"/>
      <c r="P1958" s="13"/>
    </row>
    <row r="1959">
      <c r="L1959" s="13"/>
      <c r="M1959" s="14"/>
      <c r="N1959" s="14"/>
      <c r="O1959" s="14"/>
      <c r="P1959" s="13"/>
    </row>
    <row r="1960">
      <c r="L1960" s="13"/>
      <c r="M1960" s="14"/>
      <c r="N1960" s="14"/>
      <c r="O1960" s="14"/>
      <c r="P1960" s="13"/>
    </row>
    <row r="1961">
      <c r="L1961" s="13"/>
      <c r="M1961" s="14"/>
      <c r="N1961" s="14"/>
      <c r="O1961" s="14"/>
      <c r="P1961" s="13"/>
    </row>
    <row r="1962">
      <c r="L1962" s="13"/>
      <c r="M1962" s="14"/>
      <c r="N1962" s="14"/>
      <c r="O1962" s="14"/>
      <c r="P1962" s="13"/>
    </row>
    <row r="1963">
      <c r="L1963" s="13"/>
      <c r="M1963" s="14"/>
      <c r="N1963" s="14"/>
      <c r="O1963" s="14"/>
      <c r="P1963" s="13"/>
    </row>
    <row r="1964">
      <c r="L1964" s="13"/>
      <c r="M1964" s="14"/>
      <c r="N1964" s="14"/>
      <c r="O1964" s="14"/>
      <c r="P1964" s="13"/>
    </row>
    <row r="1965">
      <c r="L1965" s="13"/>
      <c r="M1965" s="14"/>
      <c r="N1965" s="14"/>
      <c r="O1965" s="14"/>
      <c r="P1965" s="13"/>
    </row>
    <row r="1966">
      <c r="L1966" s="13"/>
      <c r="M1966" s="14"/>
      <c r="N1966" s="14"/>
      <c r="O1966" s="14"/>
      <c r="P1966" s="13"/>
    </row>
    <row r="1967">
      <c r="L1967" s="13"/>
      <c r="M1967" s="14"/>
      <c r="N1967" s="14"/>
      <c r="O1967" s="14"/>
      <c r="P1967" s="13"/>
    </row>
    <row r="1968">
      <c r="L1968" s="13"/>
      <c r="M1968" s="14"/>
      <c r="N1968" s="14"/>
      <c r="O1968" s="14"/>
      <c r="P1968" s="13"/>
    </row>
    <row r="1969">
      <c r="L1969" s="13"/>
      <c r="M1969" s="14"/>
      <c r="N1969" s="14"/>
      <c r="O1969" s="14"/>
      <c r="P1969" s="13"/>
    </row>
    <row r="1970">
      <c r="L1970" s="13"/>
      <c r="M1970" s="14"/>
      <c r="N1970" s="14"/>
      <c r="O1970" s="14"/>
      <c r="P1970" s="13"/>
    </row>
    <row r="1971">
      <c r="L1971" s="13"/>
      <c r="M1971" s="14"/>
      <c r="N1971" s="14"/>
      <c r="O1971" s="14"/>
      <c r="P1971" s="13"/>
    </row>
    <row r="1972">
      <c r="L1972" s="13"/>
      <c r="M1972" s="14"/>
      <c r="N1972" s="14"/>
      <c r="O1972" s="14"/>
      <c r="P1972" s="13"/>
    </row>
    <row r="1973">
      <c r="L1973" s="13"/>
      <c r="M1973" s="14"/>
      <c r="N1973" s="14"/>
      <c r="O1973" s="14"/>
      <c r="P1973" s="13"/>
    </row>
    <row r="1974">
      <c r="L1974" s="13"/>
      <c r="M1974" s="14"/>
      <c r="N1974" s="14"/>
      <c r="O1974" s="14"/>
      <c r="P1974" s="13"/>
    </row>
    <row r="1975">
      <c r="L1975" s="13"/>
      <c r="M1975" s="14"/>
      <c r="N1975" s="14"/>
      <c r="O1975" s="14"/>
      <c r="P1975" s="13"/>
    </row>
    <row r="1976">
      <c r="L1976" s="13"/>
      <c r="M1976" s="14"/>
      <c r="N1976" s="14"/>
      <c r="O1976" s="14"/>
      <c r="P1976" s="13"/>
    </row>
    <row r="1977">
      <c r="L1977" s="13"/>
      <c r="M1977" s="14"/>
      <c r="N1977" s="14"/>
      <c r="O1977" s="14"/>
      <c r="P1977" s="13"/>
    </row>
    <row r="1978">
      <c r="L1978" s="13"/>
      <c r="M1978" s="14"/>
      <c r="N1978" s="14"/>
      <c r="O1978" s="14"/>
      <c r="P1978" s="13"/>
    </row>
    <row r="1979">
      <c r="L1979" s="13"/>
      <c r="M1979" s="14"/>
      <c r="N1979" s="14"/>
      <c r="O1979" s="14"/>
      <c r="P1979" s="13"/>
    </row>
    <row r="1980">
      <c r="L1980" s="13"/>
      <c r="M1980" s="14"/>
      <c r="N1980" s="14"/>
      <c r="O1980" s="14"/>
      <c r="P1980" s="13"/>
    </row>
    <row r="1981">
      <c r="L1981" s="13"/>
      <c r="M1981" s="14"/>
      <c r="N1981" s="14"/>
      <c r="O1981" s="14"/>
      <c r="P1981" s="13"/>
    </row>
    <row r="1982">
      <c r="L1982" s="13"/>
      <c r="M1982" s="14"/>
      <c r="N1982" s="14"/>
      <c r="O1982" s="14"/>
      <c r="P1982" s="13"/>
    </row>
    <row r="1983">
      <c r="L1983" s="13"/>
      <c r="M1983" s="14"/>
      <c r="N1983" s="14"/>
      <c r="O1983" s="14"/>
      <c r="P1983" s="13"/>
    </row>
    <row r="1984">
      <c r="L1984" s="13"/>
      <c r="M1984" s="14"/>
      <c r="N1984" s="14"/>
      <c r="O1984" s="14"/>
      <c r="P1984" s="13"/>
    </row>
    <row r="1985">
      <c r="L1985" s="13"/>
      <c r="M1985" s="14"/>
      <c r="N1985" s="14"/>
      <c r="O1985" s="14"/>
      <c r="P1985" s="13"/>
    </row>
    <row r="1986">
      <c r="L1986" s="13"/>
      <c r="M1986" s="14"/>
      <c r="N1986" s="14"/>
      <c r="O1986" s="14"/>
      <c r="P1986" s="13"/>
    </row>
    <row r="1987">
      <c r="L1987" s="13"/>
      <c r="M1987" s="14"/>
      <c r="N1987" s="14"/>
      <c r="O1987" s="14"/>
      <c r="P1987" s="13"/>
    </row>
    <row r="1988">
      <c r="L1988" s="13"/>
      <c r="M1988" s="14"/>
      <c r="N1988" s="14"/>
      <c r="O1988" s="14"/>
      <c r="P1988" s="13"/>
    </row>
    <row r="1989">
      <c r="L1989" s="13"/>
      <c r="M1989" s="14"/>
      <c r="N1989" s="14"/>
      <c r="O1989" s="14"/>
      <c r="P1989" s="13"/>
    </row>
    <row r="1990">
      <c r="L1990" s="13"/>
      <c r="M1990" s="14"/>
      <c r="N1990" s="14"/>
      <c r="O1990" s="14"/>
      <c r="P1990" s="13"/>
    </row>
    <row r="1991">
      <c r="L1991" s="13"/>
      <c r="M1991" s="14"/>
      <c r="N1991" s="14"/>
      <c r="O1991" s="14"/>
      <c r="P1991" s="13"/>
    </row>
    <row r="1992">
      <c r="L1992" s="13"/>
      <c r="M1992" s="14"/>
      <c r="N1992" s="14"/>
      <c r="O1992" s="14"/>
      <c r="P1992" s="13"/>
    </row>
    <row r="1993">
      <c r="L1993" s="13"/>
      <c r="M1993" s="14"/>
      <c r="N1993" s="14"/>
      <c r="O1993" s="14"/>
      <c r="P1993" s="13"/>
    </row>
    <row r="1994">
      <c r="L1994" s="13"/>
      <c r="M1994" s="14"/>
      <c r="N1994" s="14"/>
      <c r="O1994" s="14"/>
      <c r="P1994" s="13"/>
    </row>
    <row r="1995">
      <c r="L1995" s="13"/>
      <c r="M1995" s="14"/>
      <c r="N1995" s="14"/>
      <c r="O1995" s="14"/>
      <c r="P1995" s="13"/>
    </row>
    <row r="1996">
      <c r="L1996" s="13"/>
      <c r="M1996" s="14"/>
      <c r="N1996" s="14"/>
      <c r="O1996" s="14"/>
      <c r="P1996" s="13"/>
    </row>
    <row r="1997">
      <c r="L1997" s="13"/>
      <c r="M1997" s="14"/>
      <c r="N1997" s="14"/>
      <c r="O1997" s="14"/>
      <c r="P1997" s="13"/>
    </row>
    <row r="1998">
      <c r="L1998" s="13"/>
      <c r="M1998" s="14"/>
      <c r="N1998" s="14"/>
      <c r="O1998" s="14"/>
      <c r="P1998" s="13"/>
    </row>
    <row r="1999">
      <c r="L1999" s="13"/>
      <c r="M1999" s="14"/>
      <c r="N1999" s="14"/>
      <c r="O1999" s="14"/>
      <c r="P1999" s="13"/>
    </row>
    <row r="2000">
      <c r="L2000" s="13"/>
      <c r="M2000" s="14"/>
      <c r="N2000" s="14"/>
      <c r="O2000" s="14"/>
      <c r="P2000" s="13"/>
    </row>
    <row r="2001">
      <c r="L2001" s="13"/>
      <c r="M2001" s="14"/>
      <c r="N2001" s="14"/>
      <c r="O2001" s="14"/>
      <c r="P2001" s="13"/>
    </row>
    <row r="2002">
      <c r="L2002" s="13"/>
      <c r="M2002" s="14"/>
      <c r="N2002" s="14"/>
      <c r="O2002" s="14"/>
      <c r="P2002" s="13"/>
    </row>
    <row r="2003">
      <c r="L2003" s="13"/>
      <c r="M2003" s="14"/>
      <c r="N2003" s="14"/>
      <c r="O2003" s="14"/>
      <c r="P2003" s="13"/>
    </row>
    <row r="2004">
      <c r="L2004" s="13"/>
      <c r="M2004" s="14"/>
      <c r="N2004" s="14"/>
      <c r="O2004" s="14"/>
      <c r="P2004" s="13"/>
    </row>
    <row r="2005">
      <c r="L2005" s="13"/>
      <c r="M2005" s="14"/>
      <c r="N2005" s="14"/>
      <c r="O2005" s="14"/>
      <c r="P2005" s="13"/>
    </row>
    <row r="2006">
      <c r="L2006" s="13"/>
      <c r="M2006" s="14"/>
      <c r="N2006" s="14"/>
      <c r="O2006" s="14"/>
      <c r="P2006" s="13"/>
    </row>
    <row r="2007">
      <c r="L2007" s="13"/>
      <c r="M2007" s="14"/>
      <c r="N2007" s="14"/>
      <c r="O2007" s="14"/>
      <c r="P2007" s="13"/>
    </row>
    <row r="2008">
      <c r="L2008" s="13"/>
      <c r="M2008" s="14"/>
      <c r="N2008" s="14"/>
      <c r="O2008" s="14"/>
      <c r="P2008" s="13"/>
    </row>
    <row r="2009">
      <c r="L2009" s="13"/>
      <c r="M2009" s="14"/>
      <c r="N2009" s="14"/>
      <c r="O2009" s="14"/>
      <c r="P2009" s="13"/>
    </row>
    <row r="2010">
      <c r="L2010" s="13"/>
      <c r="M2010" s="14"/>
      <c r="N2010" s="14"/>
      <c r="O2010" s="14"/>
      <c r="P2010" s="13"/>
    </row>
    <row r="2011">
      <c r="L2011" s="13"/>
      <c r="M2011" s="14"/>
      <c r="N2011" s="14"/>
      <c r="O2011" s="14"/>
      <c r="P2011" s="13"/>
    </row>
    <row r="2012">
      <c r="L2012" s="13"/>
      <c r="M2012" s="14"/>
      <c r="N2012" s="14"/>
      <c r="O2012" s="14"/>
      <c r="P2012" s="13"/>
    </row>
    <row r="2013">
      <c r="L2013" s="13"/>
      <c r="M2013" s="14"/>
      <c r="N2013" s="14"/>
      <c r="O2013" s="14"/>
      <c r="P2013" s="13"/>
    </row>
    <row r="2014">
      <c r="L2014" s="13"/>
      <c r="M2014" s="14"/>
      <c r="N2014" s="14"/>
      <c r="O2014" s="14"/>
      <c r="P2014" s="13"/>
    </row>
    <row r="2015">
      <c r="L2015" s="13"/>
      <c r="M2015" s="14"/>
      <c r="N2015" s="14"/>
      <c r="O2015" s="14"/>
      <c r="P2015" s="13"/>
    </row>
    <row r="2016">
      <c r="L2016" s="13"/>
      <c r="M2016" s="14"/>
      <c r="N2016" s="14"/>
      <c r="O2016" s="14"/>
      <c r="P2016" s="13"/>
    </row>
    <row r="2017">
      <c r="L2017" s="13"/>
      <c r="M2017" s="14"/>
      <c r="N2017" s="14"/>
      <c r="O2017" s="14"/>
      <c r="P2017" s="13"/>
    </row>
    <row r="2018">
      <c r="L2018" s="13"/>
      <c r="M2018" s="14"/>
      <c r="N2018" s="14"/>
      <c r="O2018" s="14"/>
      <c r="P2018" s="13"/>
    </row>
    <row r="2019">
      <c r="L2019" s="13"/>
      <c r="M2019" s="14"/>
      <c r="N2019" s="14"/>
      <c r="O2019" s="14"/>
      <c r="P2019" s="13"/>
    </row>
    <row r="2020">
      <c r="L2020" s="13"/>
      <c r="M2020" s="14"/>
      <c r="N2020" s="14"/>
      <c r="O2020" s="14"/>
      <c r="P2020" s="13"/>
    </row>
    <row r="2021">
      <c r="L2021" s="13"/>
      <c r="M2021" s="14"/>
      <c r="N2021" s="14"/>
      <c r="O2021" s="14"/>
      <c r="P2021" s="13"/>
    </row>
    <row r="2022">
      <c r="L2022" s="13"/>
      <c r="M2022" s="14"/>
      <c r="N2022" s="14"/>
      <c r="O2022" s="14"/>
      <c r="P2022" s="13"/>
    </row>
    <row r="2023">
      <c r="L2023" s="13"/>
      <c r="M2023" s="14"/>
      <c r="N2023" s="14"/>
      <c r="O2023" s="14"/>
      <c r="P2023" s="13"/>
    </row>
    <row r="2024">
      <c r="L2024" s="13"/>
      <c r="M2024" s="14"/>
      <c r="N2024" s="14"/>
      <c r="O2024" s="14"/>
      <c r="P2024" s="13"/>
    </row>
    <row r="2025">
      <c r="L2025" s="13"/>
      <c r="M2025" s="14"/>
      <c r="N2025" s="14"/>
      <c r="O2025" s="14"/>
      <c r="P2025" s="13"/>
    </row>
    <row r="2026">
      <c r="L2026" s="13"/>
      <c r="M2026" s="14"/>
      <c r="N2026" s="14"/>
      <c r="O2026" s="14"/>
      <c r="P2026" s="13"/>
    </row>
    <row r="2027">
      <c r="L2027" s="13"/>
      <c r="M2027" s="14"/>
      <c r="N2027" s="14"/>
      <c r="O2027" s="14"/>
      <c r="P2027" s="13"/>
    </row>
    <row r="2028">
      <c r="L2028" s="13"/>
      <c r="M2028" s="14"/>
      <c r="N2028" s="14"/>
      <c r="O2028" s="14"/>
      <c r="P2028" s="13"/>
    </row>
    <row r="2029">
      <c r="L2029" s="13"/>
      <c r="M2029" s="14"/>
      <c r="N2029" s="14"/>
      <c r="O2029" s="14"/>
      <c r="P2029" s="13"/>
    </row>
    <row r="2030">
      <c r="L2030" s="13"/>
      <c r="M2030" s="14"/>
      <c r="N2030" s="14"/>
      <c r="O2030" s="14"/>
      <c r="P2030" s="13"/>
    </row>
    <row r="2031">
      <c r="L2031" s="13"/>
      <c r="M2031" s="14"/>
      <c r="N2031" s="14"/>
      <c r="O2031" s="14"/>
      <c r="P2031" s="13"/>
    </row>
    <row r="2032">
      <c r="L2032" s="13"/>
      <c r="M2032" s="14"/>
      <c r="N2032" s="14"/>
      <c r="O2032" s="14"/>
      <c r="P2032" s="13"/>
    </row>
    <row r="2033">
      <c r="L2033" s="13"/>
      <c r="M2033" s="14"/>
      <c r="N2033" s="14"/>
      <c r="O2033" s="14"/>
      <c r="P2033" s="13"/>
    </row>
    <row r="2034">
      <c r="L2034" s="13"/>
      <c r="M2034" s="14"/>
      <c r="N2034" s="14"/>
      <c r="O2034" s="14"/>
      <c r="P2034" s="13"/>
    </row>
    <row r="2035">
      <c r="L2035" s="13"/>
      <c r="M2035" s="14"/>
      <c r="N2035" s="14"/>
      <c r="O2035" s="14"/>
      <c r="P2035" s="13"/>
    </row>
    <row r="2036">
      <c r="L2036" s="13"/>
      <c r="M2036" s="14"/>
      <c r="N2036" s="14"/>
      <c r="O2036" s="14"/>
      <c r="P2036" s="13"/>
    </row>
    <row r="2037">
      <c r="L2037" s="13"/>
      <c r="M2037" s="14"/>
      <c r="N2037" s="14"/>
      <c r="O2037" s="14"/>
      <c r="P2037" s="13"/>
    </row>
    <row r="2038">
      <c r="L2038" s="13"/>
      <c r="M2038" s="14"/>
      <c r="N2038" s="14"/>
      <c r="O2038" s="14"/>
      <c r="P2038" s="13"/>
    </row>
    <row r="2039">
      <c r="L2039" s="13"/>
      <c r="M2039" s="14"/>
      <c r="N2039" s="14"/>
      <c r="O2039" s="14"/>
      <c r="P2039" s="13"/>
    </row>
    <row r="2040">
      <c r="L2040" s="13"/>
      <c r="M2040" s="14"/>
      <c r="N2040" s="14"/>
      <c r="O2040" s="14"/>
      <c r="P2040" s="13"/>
    </row>
    <row r="2041">
      <c r="L2041" s="13"/>
      <c r="M2041" s="14"/>
      <c r="N2041" s="14"/>
      <c r="O2041" s="14"/>
      <c r="P2041" s="13"/>
    </row>
    <row r="2042">
      <c r="L2042" s="13"/>
      <c r="M2042" s="14"/>
      <c r="N2042" s="14"/>
      <c r="O2042" s="14"/>
      <c r="P2042" s="13"/>
    </row>
    <row r="2043">
      <c r="L2043" s="13"/>
      <c r="M2043" s="14"/>
      <c r="N2043" s="14"/>
      <c r="O2043" s="14"/>
      <c r="P2043" s="13"/>
    </row>
    <row r="2044">
      <c r="L2044" s="13"/>
      <c r="M2044" s="14"/>
      <c r="N2044" s="14"/>
      <c r="O2044" s="14"/>
      <c r="P2044" s="13"/>
    </row>
    <row r="2045">
      <c r="L2045" s="13"/>
      <c r="M2045" s="14"/>
      <c r="N2045" s="14"/>
      <c r="O2045" s="14"/>
      <c r="P2045" s="13"/>
    </row>
    <row r="2046">
      <c r="L2046" s="13"/>
      <c r="M2046" s="14"/>
      <c r="N2046" s="14"/>
      <c r="O2046" s="14"/>
      <c r="P2046" s="13"/>
    </row>
    <row r="2047">
      <c r="L2047" s="13"/>
      <c r="M2047" s="14"/>
      <c r="N2047" s="14"/>
      <c r="O2047" s="14"/>
      <c r="P2047" s="13"/>
    </row>
    <row r="2048">
      <c r="L2048" s="13"/>
      <c r="M2048" s="14"/>
      <c r="N2048" s="14"/>
      <c r="O2048" s="14"/>
      <c r="P2048" s="13"/>
    </row>
    <row r="2049">
      <c r="L2049" s="13"/>
      <c r="M2049" s="14"/>
      <c r="N2049" s="14"/>
      <c r="O2049" s="14"/>
      <c r="P2049" s="13"/>
    </row>
    <row r="2050">
      <c r="L2050" s="13"/>
      <c r="M2050" s="14"/>
      <c r="N2050" s="14"/>
      <c r="O2050" s="14"/>
      <c r="P2050" s="13"/>
    </row>
    <row r="2051">
      <c r="L2051" s="13"/>
      <c r="M2051" s="14"/>
      <c r="N2051" s="14"/>
      <c r="O2051" s="14"/>
      <c r="P2051" s="13"/>
    </row>
    <row r="2052">
      <c r="L2052" s="13"/>
      <c r="M2052" s="14"/>
      <c r="N2052" s="14"/>
      <c r="O2052" s="14"/>
      <c r="P2052" s="13"/>
    </row>
    <row r="2053">
      <c r="L2053" s="13"/>
      <c r="M2053" s="14"/>
      <c r="N2053" s="14"/>
      <c r="O2053" s="14"/>
      <c r="P2053" s="13"/>
    </row>
    <row r="2054">
      <c r="L2054" s="13"/>
      <c r="M2054" s="14"/>
      <c r="N2054" s="14"/>
      <c r="O2054" s="14"/>
      <c r="P2054" s="13"/>
    </row>
    <row r="2055">
      <c r="L2055" s="13"/>
      <c r="M2055" s="14"/>
      <c r="N2055" s="14"/>
      <c r="O2055" s="14"/>
      <c r="P2055" s="13"/>
    </row>
    <row r="2056">
      <c r="L2056" s="13"/>
      <c r="M2056" s="14"/>
      <c r="N2056" s="14"/>
      <c r="O2056" s="14"/>
      <c r="P2056" s="13"/>
    </row>
    <row r="2057">
      <c r="L2057" s="13"/>
      <c r="M2057" s="14"/>
      <c r="N2057" s="14"/>
      <c r="O2057" s="14"/>
      <c r="P2057" s="13"/>
    </row>
    <row r="2058">
      <c r="L2058" s="13"/>
      <c r="M2058" s="14"/>
      <c r="N2058" s="14"/>
      <c r="O2058" s="14"/>
      <c r="P2058" s="13"/>
    </row>
    <row r="2059">
      <c r="L2059" s="13"/>
      <c r="M2059" s="14"/>
      <c r="N2059" s="14"/>
      <c r="O2059" s="14"/>
      <c r="P2059" s="13"/>
    </row>
    <row r="2060">
      <c r="L2060" s="13"/>
      <c r="M2060" s="14"/>
      <c r="N2060" s="14"/>
      <c r="O2060" s="14"/>
      <c r="P2060" s="13"/>
    </row>
    <row r="2061">
      <c r="L2061" s="13"/>
      <c r="M2061" s="14"/>
      <c r="N2061" s="14"/>
      <c r="O2061" s="14"/>
      <c r="P2061" s="13"/>
    </row>
    <row r="2062">
      <c r="L2062" s="13"/>
      <c r="M2062" s="14"/>
      <c r="N2062" s="14"/>
      <c r="O2062" s="14"/>
      <c r="P2062" s="13"/>
    </row>
    <row r="2063">
      <c r="L2063" s="13"/>
      <c r="M2063" s="14"/>
      <c r="N2063" s="14"/>
      <c r="O2063" s="14"/>
      <c r="P2063" s="13"/>
    </row>
    <row r="2064">
      <c r="L2064" s="13"/>
      <c r="M2064" s="14"/>
      <c r="N2064" s="14"/>
      <c r="O2064" s="14"/>
      <c r="P2064" s="13"/>
    </row>
    <row r="2065">
      <c r="L2065" s="13"/>
      <c r="M2065" s="14"/>
      <c r="N2065" s="14"/>
      <c r="O2065" s="14"/>
      <c r="P2065" s="13"/>
    </row>
    <row r="2066">
      <c r="L2066" s="13"/>
      <c r="M2066" s="14"/>
      <c r="N2066" s="14"/>
      <c r="O2066" s="14"/>
      <c r="P2066" s="13"/>
    </row>
    <row r="2067">
      <c r="L2067" s="13"/>
      <c r="M2067" s="14"/>
      <c r="N2067" s="14"/>
      <c r="O2067" s="14"/>
      <c r="P2067" s="13"/>
    </row>
    <row r="2068">
      <c r="L2068" s="13"/>
      <c r="M2068" s="14"/>
      <c r="N2068" s="14"/>
      <c r="O2068" s="14"/>
      <c r="P2068" s="13"/>
    </row>
    <row r="2069">
      <c r="L2069" s="13"/>
      <c r="M2069" s="14"/>
      <c r="N2069" s="14"/>
      <c r="O2069" s="14"/>
      <c r="P2069" s="13"/>
    </row>
    <row r="2070">
      <c r="L2070" s="13"/>
      <c r="M2070" s="14"/>
      <c r="N2070" s="14"/>
      <c r="O2070" s="14"/>
      <c r="P2070" s="13"/>
    </row>
    <row r="2071">
      <c r="L2071" s="13"/>
      <c r="M2071" s="14"/>
      <c r="N2071" s="14"/>
      <c r="O2071" s="14"/>
      <c r="P2071" s="13"/>
    </row>
    <row r="2072">
      <c r="L2072" s="13"/>
      <c r="M2072" s="14"/>
      <c r="N2072" s="14"/>
      <c r="O2072" s="14"/>
      <c r="P2072" s="13"/>
    </row>
    <row r="2073">
      <c r="L2073" s="13"/>
      <c r="M2073" s="14"/>
      <c r="N2073" s="14"/>
      <c r="O2073" s="14"/>
      <c r="P2073" s="13"/>
    </row>
    <row r="2074">
      <c r="L2074" s="13"/>
      <c r="M2074" s="14"/>
      <c r="N2074" s="14"/>
      <c r="O2074" s="14"/>
      <c r="P2074" s="13"/>
    </row>
    <row r="2075">
      <c r="L2075" s="13"/>
      <c r="M2075" s="14"/>
      <c r="N2075" s="14"/>
      <c r="O2075" s="14"/>
      <c r="P2075" s="13"/>
    </row>
    <row r="2076">
      <c r="L2076" s="13"/>
      <c r="M2076" s="14"/>
      <c r="N2076" s="14"/>
      <c r="O2076" s="14"/>
      <c r="P2076" s="13"/>
    </row>
    <row r="2077">
      <c r="L2077" s="13"/>
      <c r="M2077" s="14"/>
      <c r="N2077" s="14"/>
      <c r="O2077" s="14"/>
      <c r="P2077" s="13"/>
    </row>
    <row r="2078">
      <c r="L2078" s="13"/>
      <c r="M2078" s="14"/>
      <c r="N2078" s="14"/>
      <c r="O2078" s="14"/>
      <c r="P2078" s="13"/>
    </row>
    <row r="2079">
      <c r="L2079" s="13"/>
      <c r="M2079" s="14"/>
      <c r="N2079" s="14"/>
      <c r="O2079" s="14"/>
      <c r="P2079" s="13"/>
    </row>
    <row r="2080">
      <c r="L2080" s="13"/>
      <c r="M2080" s="14"/>
      <c r="N2080" s="14"/>
      <c r="O2080" s="14"/>
      <c r="P2080" s="13"/>
    </row>
    <row r="2081">
      <c r="L2081" s="13"/>
      <c r="M2081" s="14"/>
      <c r="N2081" s="14"/>
      <c r="O2081" s="14"/>
      <c r="P2081" s="13"/>
    </row>
    <row r="2082">
      <c r="L2082" s="13"/>
      <c r="M2082" s="14"/>
      <c r="N2082" s="14"/>
      <c r="O2082" s="14"/>
      <c r="P2082" s="13"/>
    </row>
    <row r="2083">
      <c r="L2083" s="13"/>
      <c r="M2083" s="14"/>
      <c r="N2083" s="14"/>
      <c r="O2083" s="14"/>
      <c r="P2083" s="13"/>
    </row>
    <row r="2084">
      <c r="L2084" s="13"/>
      <c r="M2084" s="14"/>
      <c r="N2084" s="14"/>
      <c r="O2084" s="14"/>
      <c r="P2084" s="13"/>
    </row>
    <row r="2085">
      <c r="L2085" s="13"/>
      <c r="M2085" s="14"/>
      <c r="N2085" s="14"/>
      <c r="O2085" s="14"/>
      <c r="P2085" s="13"/>
    </row>
    <row r="2086">
      <c r="L2086" s="13"/>
      <c r="M2086" s="14"/>
      <c r="N2086" s="14"/>
      <c r="O2086" s="14"/>
      <c r="P2086" s="13"/>
    </row>
    <row r="2087">
      <c r="L2087" s="13"/>
      <c r="M2087" s="14"/>
      <c r="N2087" s="14"/>
      <c r="O2087" s="14"/>
      <c r="P2087" s="13"/>
    </row>
    <row r="2088">
      <c r="L2088" s="13"/>
      <c r="M2088" s="14"/>
      <c r="N2088" s="14"/>
      <c r="O2088" s="14"/>
      <c r="P2088" s="13"/>
    </row>
    <row r="2089">
      <c r="L2089" s="13"/>
      <c r="M2089" s="14"/>
      <c r="N2089" s="14"/>
      <c r="O2089" s="14"/>
      <c r="P2089" s="13"/>
    </row>
    <row r="2090">
      <c r="L2090" s="13"/>
      <c r="M2090" s="14"/>
      <c r="N2090" s="14"/>
      <c r="O2090" s="14"/>
      <c r="P2090" s="13"/>
    </row>
    <row r="2091">
      <c r="L2091" s="13"/>
      <c r="M2091" s="14"/>
      <c r="N2091" s="14"/>
      <c r="O2091" s="14"/>
      <c r="P2091" s="13"/>
    </row>
    <row r="2092">
      <c r="L2092" s="13"/>
      <c r="M2092" s="14"/>
      <c r="N2092" s="14"/>
      <c r="O2092" s="14"/>
      <c r="P2092" s="13"/>
    </row>
    <row r="2093">
      <c r="L2093" s="13"/>
      <c r="M2093" s="14"/>
      <c r="N2093" s="14"/>
      <c r="O2093" s="14"/>
      <c r="P2093" s="13"/>
    </row>
    <row r="2094">
      <c r="L2094" s="13"/>
      <c r="M2094" s="14"/>
      <c r="N2094" s="14"/>
      <c r="O2094" s="14"/>
      <c r="P2094" s="13"/>
    </row>
    <row r="2095">
      <c r="L2095" s="13"/>
      <c r="M2095" s="14"/>
      <c r="N2095" s="14"/>
      <c r="O2095" s="14"/>
      <c r="P2095" s="13"/>
    </row>
    <row r="2096">
      <c r="L2096" s="13"/>
      <c r="M2096" s="14"/>
      <c r="N2096" s="14"/>
      <c r="O2096" s="14"/>
      <c r="P2096" s="13"/>
    </row>
    <row r="2097">
      <c r="L2097" s="13"/>
      <c r="M2097" s="14"/>
      <c r="N2097" s="14"/>
      <c r="O2097" s="14"/>
      <c r="P2097" s="13"/>
    </row>
    <row r="2098">
      <c r="L2098" s="13"/>
      <c r="M2098" s="14"/>
      <c r="N2098" s="14"/>
      <c r="O2098" s="14"/>
      <c r="P2098" s="13"/>
    </row>
    <row r="2099">
      <c r="L2099" s="13"/>
      <c r="M2099" s="14"/>
      <c r="N2099" s="14"/>
      <c r="O2099" s="14"/>
      <c r="P2099" s="13"/>
    </row>
    <row r="2100">
      <c r="L2100" s="13"/>
      <c r="M2100" s="14"/>
      <c r="N2100" s="14"/>
      <c r="O2100" s="14"/>
      <c r="P2100" s="13"/>
    </row>
    <row r="2101">
      <c r="L2101" s="13"/>
      <c r="M2101" s="14"/>
      <c r="N2101" s="14"/>
      <c r="O2101" s="14"/>
      <c r="P2101" s="13"/>
    </row>
    <row r="2102">
      <c r="L2102" s="13"/>
      <c r="M2102" s="14"/>
      <c r="N2102" s="14"/>
      <c r="O2102" s="14"/>
      <c r="P2102" s="13"/>
    </row>
    <row r="2103">
      <c r="L2103" s="13"/>
      <c r="M2103" s="14"/>
      <c r="N2103" s="14"/>
      <c r="O2103" s="14"/>
      <c r="P2103" s="13"/>
    </row>
    <row r="2104">
      <c r="L2104" s="13"/>
      <c r="M2104" s="14"/>
      <c r="N2104" s="14"/>
      <c r="O2104" s="14"/>
      <c r="P2104" s="13"/>
    </row>
    <row r="2105">
      <c r="L2105" s="13"/>
      <c r="M2105" s="14"/>
      <c r="N2105" s="14"/>
      <c r="O2105" s="14"/>
      <c r="P2105" s="13"/>
    </row>
    <row r="2106">
      <c r="L2106" s="13"/>
      <c r="M2106" s="14"/>
      <c r="N2106" s="14"/>
      <c r="O2106" s="14"/>
      <c r="P2106" s="13"/>
    </row>
    <row r="2107">
      <c r="L2107" s="13"/>
      <c r="M2107" s="14"/>
      <c r="N2107" s="14"/>
      <c r="O2107" s="14"/>
      <c r="P2107" s="13"/>
    </row>
    <row r="2108">
      <c r="L2108" s="13"/>
      <c r="M2108" s="14"/>
      <c r="N2108" s="14"/>
      <c r="O2108" s="14"/>
      <c r="P2108" s="13"/>
    </row>
    <row r="2109">
      <c r="L2109" s="13"/>
      <c r="M2109" s="14"/>
      <c r="N2109" s="14"/>
      <c r="O2109" s="14"/>
      <c r="P2109" s="13"/>
    </row>
    <row r="2110">
      <c r="L2110" s="13"/>
      <c r="M2110" s="14"/>
      <c r="N2110" s="14"/>
      <c r="O2110" s="14"/>
      <c r="P2110" s="13"/>
    </row>
    <row r="2111">
      <c r="L2111" s="13"/>
      <c r="M2111" s="14"/>
      <c r="N2111" s="14"/>
      <c r="O2111" s="14"/>
      <c r="P2111" s="13"/>
    </row>
    <row r="2112">
      <c r="L2112" s="13"/>
      <c r="M2112" s="14"/>
      <c r="N2112" s="14"/>
      <c r="O2112" s="14"/>
      <c r="P2112" s="13"/>
    </row>
    <row r="2113">
      <c r="L2113" s="13"/>
      <c r="M2113" s="14"/>
      <c r="N2113" s="14"/>
      <c r="O2113" s="14"/>
      <c r="P2113" s="13"/>
    </row>
    <row r="2114">
      <c r="L2114" s="13"/>
      <c r="M2114" s="14"/>
      <c r="N2114" s="14"/>
      <c r="O2114" s="14"/>
      <c r="P2114" s="13"/>
    </row>
    <row r="2115">
      <c r="L2115" s="13"/>
      <c r="M2115" s="14"/>
      <c r="N2115" s="14"/>
      <c r="O2115" s="14"/>
      <c r="P2115" s="13"/>
    </row>
    <row r="2116">
      <c r="L2116" s="13"/>
      <c r="M2116" s="14"/>
      <c r="N2116" s="14"/>
      <c r="O2116" s="14"/>
      <c r="P2116" s="13"/>
    </row>
    <row r="2117">
      <c r="L2117" s="13"/>
      <c r="M2117" s="14"/>
      <c r="N2117" s="14"/>
      <c r="O2117" s="14"/>
      <c r="P2117" s="13"/>
    </row>
    <row r="2118">
      <c r="L2118" s="13"/>
      <c r="M2118" s="14"/>
      <c r="N2118" s="14"/>
      <c r="O2118" s="14"/>
      <c r="P2118" s="13"/>
    </row>
    <row r="2119">
      <c r="L2119" s="13"/>
      <c r="M2119" s="14"/>
      <c r="N2119" s="14"/>
      <c r="O2119" s="14"/>
      <c r="P2119" s="13"/>
    </row>
    <row r="2120">
      <c r="L2120" s="13"/>
      <c r="M2120" s="14"/>
      <c r="N2120" s="14"/>
      <c r="O2120" s="14"/>
      <c r="P2120" s="13"/>
    </row>
    <row r="2121">
      <c r="L2121" s="13"/>
      <c r="M2121" s="14"/>
      <c r="N2121" s="14"/>
      <c r="O2121" s="14"/>
      <c r="P2121" s="13"/>
    </row>
    <row r="2122">
      <c r="L2122" s="13"/>
      <c r="M2122" s="14"/>
      <c r="N2122" s="14"/>
      <c r="O2122" s="14"/>
      <c r="P2122" s="13"/>
    </row>
    <row r="2123">
      <c r="L2123" s="13"/>
      <c r="M2123" s="14"/>
      <c r="N2123" s="14"/>
      <c r="O2123" s="14"/>
      <c r="P2123" s="13"/>
    </row>
    <row r="2124">
      <c r="L2124" s="13"/>
      <c r="M2124" s="14"/>
      <c r="N2124" s="14"/>
      <c r="O2124" s="14"/>
      <c r="P2124" s="13"/>
    </row>
    <row r="2125">
      <c r="L2125" s="13"/>
      <c r="M2125" s="14"/>
      <c r="N2125" s="14"/>
      <c r="O2125" s="14"/>
      <c r="P2125" s="13"/>
    </row>
    <row r="2126">
      <c r="L2126" s="13"/>
      <c r="M2126" s="14"/>
      <c r="N2126" s="14"/>
      <c r="O2126" s="14"/>
      <c r="P2126" s="13"/>
    </row>
    <row r="2127">
      <c r="L2127" s="13"/>
      <c r="M2127" s="14"/>
      <c r="N2127" s="14"/>
      <c r="O2127" s="14"/>
      <c r="P2127" s="13"/>
    </row>
    <row r="2128">
      <c r="L2128" s="13"/>
      <c r="M2128" s="14"/>
      <c r="N2128" s="14"/>
      <c r="O2128" s="14"/>
      <c r="P2128" s="13"/>
    </row>
    <row r="2129">
      <c r="L2129" s="13"/>
      <c r="M2129" s="14"/>
      <c r="N2129" s="14"/>
      <c r="O2129" s="14"/>
      <c r="P2129" s="13"/>
    </row>
    <row r="2130">
      <c r="L2130" s="13"/>
      <c r="M2130" s="14"/>
      <c r="N2130" s="14"/>
      <c r="O2130" s="14"/>
      <c r="P2130" s="13"/>
    </row>
    <row r="2131">
      <c r="L2131" s="13"/>
      <c r="M2131" s="14"/>
      <c r="N2131" s="14"/>
      <c r="O2131" s="14"/>
      <c r="P2131" s="13"/>
    </row>
    <row r="2132">
      <c r="L2132" s="13"/>
      <c r="M2132" s="14"/>
      <c r="N2132" s="14"/>
      <c r="O2132" s="14"/>
      <c r="P2132" s="13"/>
    </row>
    <row r="2133">
      <c r="L2133" s="13"/>
      <c r="M2133" s="14"/>
      <c r="N2133" s="14"/>
      <c r="O2133" s="14"/>
      <c r="P2133" s="13"/>
    </row>
    <row r="2134">
      <c r="L2134" s="13"/>
      <c r="M2134" s="14"/>
      <c r="N2134" s="14"/>
      <c r="O2134" s="14"/>
      <c r="P2134" s="13"/>
    </row>
    <row r="2135">
      <c r="L2135" s="13"/>
      <c r="M2135" s="14"/>
      <c r="N2135" s="14"/>
      <c r="O2135" s="14"/>
      <c r="P2135" s="13"/>
    </row>
    <row r="2136">
      <c r="L2136" s="13"/>
      <c r="M2136" s="14"/>
      <c r="N2136" s="14"/>
      <c r="O2136" s="14"/>
      <c r="P2136" s="13"/>
    </row>
    <row r="2137">
      <c r="L2137" s="13"/>
      <c r="M2137" s="14"/>
      <c r="N2137" s="14"/>
      <c r="O2137" s="14"/>
      <c r="P2137" s="13"/>
    </row>
    <row r="2138">
      <c r="L2138" s="13"/>
      <c r="M2138" s="14"/>
      <c r="N2138" s="14"/>
      <c r="O2138" s="14"/>
      <c r="P2138" s="13"/>
    </row>
    <row r="2139">
      <c r="L2139" s="13"/>
      <c r="M2139" s="14"/>
      <c r="N2139" s="14"/>
      <c r="O2139" s="14"/>
      <c r="P2139" s="13"/>
    </row>
    <row r="2140">
      <c r="L2140" s="13"/>
      <c r="M2140" s="14"/>
      <c r="N2140" s="14"/>
      <c r="O2140" s="14"/>
      <c r="P2140" s="13"/>
    </row>
    <row r="2141">
      <c r="L2141" s="13"/>
      <c r="M2141" s="14"/>
      <c r="N2141" s="14"/>
      <c r="O2141" s="14"/>
      <c r="P2141" s="13"/>
    </row>
    <row r="2142">
      <c r="L2142" s="13"/>
      <c r="M2142" s="14"/>
      <c r="N2142" s="14"/>
      <c r="O2142" s="14"/>
      <c r="P2142" s="13"/>
    </row>
    <row r="2143">
      <c r="L2143" s="13"/>
      <c r="M2143" s="14"/>
      <c r="N2143" s="14"/>
      <c r="O2143" s="14"/>
      <c r="P2143" s="13"/>
    </row>
    <row r="2144">
      <c r="L2144" s="13"/>
      <c r="M2144" s="14"/>
      <c r="N2144" s="14"/>
      <c r="O2144" s="14"/>
      <c r="P2144" s="13"/>
    </row>
    <row r="2145">
      <c r="L2145" s="13"/>
      <c r="M2145" s="14"/>
      <c r="N2145" s="14"/>
      <c r="O2145" s="14"/>
      <c r="P2145" s="13"/>
    </row>
    <row r="2146">
      <c r="L2146" s="13"/>
      <c r="M2146" s="14"/>
      <c r="N2146" s="14"/>
      <c r="O2146" s="14"/>
      <c r="P2146" s="13"/>
    </row>
    <row r="2147">
      <c r="L2147" s="13"/>
      <c r="M2147" s="14"/>
      <c r="N2147" s="14"/>
      <c r="O2147" s="14"/>
      <c r="P2147" s="13"/>
    </row>
    <row r="2148">
      <c r="L2148" s="13"/>
      <c r="M2148" s="14"/>
      <c r="N2148" s="14"/>
      <c r="O2148" s="14"/>
      <c r="P2148" s="13"/>
    </row>
    <row r="2149">
      <c r="L2149" s="13"/>
      <c r="M2149" s="14"/>
      <c r="N2149" s="14"/>
      <c r="O2149" s="14"/>
      <c r="P2149" s="13"/>
    </row>
    <row r="2150">
      <c r="L2150" s="13"/>
      <c r="M2150" s="14"/>
      <c r="N2150" s="14"/>
      <c r="O2150" s="14"/>
      <c r="P2150" s="13"/>
    </row>
    <row r="2151">
      <c r="L2151" s="13"/>
      <c r="M2151" s="14"/>
      <c r="N2151" s="14"/>
      <c r="O2151" s="14"/>
      <c r="P2151" s="13"/>
    </row>
    <row r="2152">
      <c r="L2152" s="13"/>
      <c r="M2152" s="14"/>
      <c r="N2152" s="14"/>
      <c r="O2152" s="14"/>
      <c r="P2152" s="13"/>
    </row>
    <row r="2153">
      <c r="L2153" s="13"/>
      <c r="M2153" s="14"/>
      <c r="N2153" s="14"/>
      <c r="O2153" s="14"/>
      <c r="P2153" s="13"/>
    </row>
    <row r="2154">
      <c r="L2154" s="13"/>
      <c r="M2154" s="14"/>
      <c r="N2154" s="14"/>
      <c r="O2154" s="14"/>
      <c r="P2154" s="13"/>
    </row>
    <row r="2155">
      <c r="L2155" s="13"/>
      <c r="M2155" s="14"/>
      <c r="N2155" s="14"/>
      <c r="O2155" s="14"/>
      <c r="P2155" s="13"/>
    </row>
    <row r="2156">
      <c r="L2156" s="13"/>
      <c r="M2156" s="14"/>
      <c r="N2156" s="14"/>
      <c r="O2156" s="14"/>
      <c r="P2156" s="13"/>
    </row>
    <row r="2157">
      <c r="L2157" s="13"/>
      <c r="M2157" s="14"/>
      <c r="N2157" s="14"/>
      <c r="O2157" s="14"/>
      <c r="P2157" s="13"/>
    </row>
    <row r="2158">
      <c r="L2158" s="13"/>
      <c r="M2158" s="14"/>
      <c r="N2158" s="14"/>
      <c r="O2158" s="14"/>
      <c r="P2158" s="13"/>
    </row>
    <row r="2159">
      <c r="L2159" s="13"/>
      <c r="M2159" s="14"/>
      <c r="N2159" s="14"/>
      <c r="O2159" s="14"/>
      <c r="P2159" s="13"/>
    </row>
    <row r="2160">
      <c r="L2160" s="13"/>
      <c r="M2160" s="14"/>
      <c r="N2160" s="14"/>
      <c r="O2160" s="14"/>
      <c r="P2160" s="13"/>
    </row>
    <row r="2161">
      <c r="L2161" s="13"/>
      <c r="M2161" s="14"/>
      <c r="N2161" s="14"/>
      <c r="O2161" s="14"/>
      <c r="P2161" s="13"/>
    </row>
    <row r="2162">
      <c r="L2162" s="13"/>
      <c r="M2162" s="14"/>
      <c r="N2162" s="14"/>
      <c r="O2162" s="14"/>
      <c r="P2162" s="13"/>
    </row>
    <row r="2163">
      <c r="L2163" s="13"/>
      <c r="M2163" s="14"/>
      <c r="N2163" s="14"/>
      <c r="O2163" s="14"/>
      <c r="P2163" s="13"/>
    </row>
    <row r="2164">
      <c r="L2164" s="13"/>
      <c r="M2164" s="14"/>
      <c r="N2164" s="14"/>
      <c r="O2164" s="14"/>
      <c r="P2164" s="13"/>
    </row>
    <row r="2165">
      <c r="L2165" s="13"/>
      <c r="M2165" s="14"/>
      <c r="N2165" s="14"/>
      <c r="O2165" s="14"/>
      <c r="P2165" s="13"/>
    </row>
    <row r="2166">
      <c r="L2166" s="13"/>
      <c r="M2166" s="14"/>
      <c r="N2166" s="14"/>
      <c r="O2166" s="14"/>
      <c r="P2166" s="13"/>
    </row>
    <row r="2167">
      <c r="L2167" s="13"/>
      <c r="M2167" s="14"/>
      <c r="N2167" s="14"/>
      <c r="O2167" s="14"/>
      <c r="P2167" s="13"/>
    </row>
    <row r="2168">
      <c r="L2168" s="13"/>
      <c r="M2168" s="14"/>
      <c r="N2168" s="14"/>
      <c r="O2168" s="14"/>
      <c r="P2168" s="13"/>
    </row>
    <row r="2169">
      <c r="L2169" s="13"/>
      <c r="M2169" s="14"/>
      <c r="N2169" s="14"/>
      <c r="O2169" s="14"/>
      <c r="P2169" s="13"/>
    </row>
    <row r="2170">
      <c r="L2170" s="13"/>
      <c r="M2170" s="14"/>
      <c r="N2170" s="14"/>
      <c r="O2170" s="14"/>
      <c r="P2170" s="13"/>
    </row>
    <row r="2171">
      <c r="L2171" s="13"/>
      <c r="M2171" s="14"/>
      <c r="N2171" s="14"/>
      <c r="O2171" s="14"/>
      <c r="P2171" s="13"/>
    </row>
    <row r="2172">
      <c r="L2172" s="13"/>
      <c r="M2172" s="14"/>
      <c r="N2172" s="14"/>
      <c r="O2172" s="14"/>
      <c r="P2172" s="13"/>
    </row>
    <row r="2173">
      <c r="L2173" s="13"/>
      <c r="M2173" s="14"/>
      <c r="N2173" s="14"/>
      <c r="O2173" s="14"/>
      <c r="P2173" s="13"/>
    </row>
    <row r="2174">
      <c r="L2174" s="13"/>
      <c r="M2174" s="14"/>
      <c r="N2174" s="14"/>
      <c r="O2174" s="14"/>
      <c r="P2174" s="13"/>
    </row>
    <row r="2175">
      <c r="L2175" s="13"/>
      <c r="M2175" s="14"/>
      <c r="N2175" s="14"/>
      <c r="O2175" s="14"/>
      <c r="P2175" s="13"/>
    </row>
    <row r="2176">
      <c r="L2176" s="13"/>
      <c r="M2176" s="14"/>
      <c r="N2176" s="14"/>
      <c r="O2176" s="14"/>
      <c r="P2176" s="13"/>
    </row>
    <row r="2177">
      <c r="L2177" s="13"/>
      <c r="M2177" s="14"/>
      <c r="N2177" s="14"/>
      <c r="O2177" s="14"/>
      <c r="P2177" s="13"/>
    </row>
    <row r="2178">
      <c r="L2178" s="13"/>
      <c r="M2178" s="14"/>
      <c r="N2178" s="14"/>
      <c r="O2178" s="14"/>
      <c r="P2178" s="13"/>
    </row>
    <row r="2179">
      <c r="L2179" s="13"/>
      <c r="M2179" s="14"/>
      <c r="N2179" s="14"/>
      <c r="O2179" s="14"/>
      <c r="P2179" s="13"/>
    </row>
    <row r="2180">
      <c r="L2180" s="13"/>
      <c r="M2180" s="14"/>
      <c r="N2180" s="14"/>
      <c r="O2180" s="14"/>
      <c r="P2180" s="13"/>
    </row>
    <row r="2181">
      <c r="L2181" s="13"/>
      <c r="M2181" s="14"/>
      <c r="N2181" s="14"/>
      <c r="O2181" s="14"/>
      <c r="P2181" s="13"/>
    </row>
    <row r="2182">
      <c r="L2182" s="13"/>
      <c r="M2182" s="14"/>
      <c r="N2182" s="14"/>
      <c r="O2182" s="14"/>
      <c r="P2182" s="13"/>
    </row>
    <row r="2183">
      <c r="L2183" s="13"/>
      <c r="M2183" s="14"/>
      <c r="N2183" s="14"/>
      <c r="O2183" s="14"/>
      <c r="P2183" s="13"/>
    </row>
    <row r="2184">
      <c r="L2184" s="13"/>
      <c r="M2184" s="14"/>
      <c r="N2184" s="14"/>
      <c r="O2184" s="14"/>
      <c r="P2184" s="13"/>
    </row>
    <row r="2185">
      <c r="L2185" s="13"/>
      <c r="M2185" s="14"/>
      <c r="N2185" s="14"/>
      <c r="O2185" s="14"/>
      <c r="P2185" s="13"/>
    </row>
    <row r="2186">
      <c r="L2186" s="13"/>
      <c r="M2186" s="14"/>
      <c r="N2186" s="14"/>
      <c r="O2186" s="14"/>
      <c r="P2186" s="13"/>
    </row>
    <row r="2187">
      <c r="L2187" s="13"/>
      <c r="M2187" s="14"/>
      <c r="N2187" s="14"/>
      <c r="O2187" s="14"/>
      <c r="P2187" s="13"/>
    </row>
    <row r="2188">
      <c r="L2188" s="13"/>
      <c r="M2188" s="14"/>
      <c r="N2188" s="14"/>
      <c r="O2188" s="14"/>
      <c r="P2188" s="13"/>
    </row>
    <row r="2189">
      <c r="L2189" s="13"/>
      <c r="M2189" s="14"/>
      <c r="N2189" s="14"/>
      <c r="O2189" s="14"/>
      <c r="P2189" s="13"/>
    </row>
    <row r="2190">
      <c r="L2190" s="13"/>
      <c r="M2190" s="14"/>
      <c r="N2190" s="14"/>
      <c r="O2190" s="14"/>
      <c r="P2190" s="13"/>
    </row>
    <row r="2191">
      <c r="L2191" s="13"/>
      <c r="M2191" s="14"/>
      <c r="N2191" s="14"/>
      <c r="O2191" s="14"/>
      <c r="P2191" s="13"/>
    </row>
    <row r="2192">
      <c r="L2192" s="13"/>
      <c r="M2192" s="14"/>
      <c r="N2192" s="14"/>
      <c r="O2192" s="14"/>
      <c r="P2192" s="13"/>
    </row>
    <row r="2193">
      <c r="L2193" s="13"/>
      <c r="M2193" s="14"/>
      <c r="N2193" s="14"/>
      <c r="O2193" s="14"/>
      <c r="P2193" s="13"/>
    </row>
    <row r="2194">
      <c r="L2194" s="13"/>
      <c r="M2194" s="14"/>
      <c r="N2194" s="14"/>
      <c r="O2194" s="14"/>
      <c r="P2194" s="13"/>
    </row>
    <row r="2195">
      <c r="L2195" s="13"/>
      <c r="M2195" s="14"/>
      <c r="N2195" s="14"/>
      <c r="O2195" s="14"/>
      <c r="P2195" s="13"/>
    </row>
    <row r="2196">
      <c r="L2196" s="13"/>
      <c r="M2196" s="14"/>
      <c r="N2196" s="14"/>
      <c r="O2196" s="14"/>
      <c r="P2196" s="13"/>
    </row>
    <row r="2197">
      <c r="L2197" s="13"/>
      <c r="M2197" s="14"/>
      <c r="N2197" s="14"/>
      <c r="O2197" s="14"/>
      <c r="P2197" s="13"/>
    </row>
    <row r="2198">
      <c r="L2198" s="13"/>
      <c r="M2198" s="14"/>
      <c r="N2198" s="14"/>
      <c r="O2198" s="14"/>
      <c r="P2198" s="13"/>
    </row>
    <row r="2199">
      <c r="L2199" s="13"/>
      <c r="M2199" s="14"/>
      <c r="N2199" s="14"/>
      <c r="O2199" s="14"/>
      <c r="P2199" s="13"/>
    </row>
    <row r="2200">
      <c r="L2200" s="13"/>
      <c r="M2200" s="14"/>
      <c r="N2200" s="14"/>
      <c r="O2200" s="14"/>
      <c r="P2200" s="13"/>
    </row>
    <row r="2201">
      <c r="L2201" s="13"/>
      <c r="M2201" s="14"/>
      <c r="N2201" s="14"/>
      <c r="O2201" s="14"/>
      <c r="P2201" s="13"/>
    </row>
    <row r="2202">
      <c r="L2202" s="13"/>
      <c r="M2202" s="14"/>
      <c r="N2202" s="14"/>
      <c r="O2202" s="14"/>
      <c r="P2202" s="13"/>
    </row>
    <row r="2203">
      <c r="L2203" s="13"/>
      <c r="M2203" s="14"/>
      <c r="N2203" s="14"/>
      <c r="O2203" s="14"/>
      <c r="P2203" s="13"/>
    </row>
    <row r="2204">
      <c r="L2204" s="13"/>
      <c r="M2204" s="14"/>
      <c r="N2204" s="14"/>
      <c r="O2204" s="14"/>
      <c r="P2204" s="13"/>
    </row>
    <row r="2205">
      <c r="L2205" s="13"/>
      <c r="M2205" s="14"/>
      <c r="N2205" s="14"/>
      <c r="O2205" s="14"/>
      <c r="P2205" s="13"/>
    </row>
    <row r="2206">
      <c r="L2206" s="13"/>
      <c r="M2206" s="14"/>
      <c r="N2206" s="14"/>
      <c r="O2206" s="14"/>
      <c r="P2206" s="13"/>
    </row>
    <row r="2207">
      <c r="L2207" s="13"/>
      <c r="M2207" s="14"/>
      <c r="N2207" s="14"/>
      <c r="O2207" s="14"/>
      <c r="P2207" s="13"/>
    </row>
    <row r="2208">
      <c r="L2208" s="13"/>
      <c r="M2208" s="14"/>
      <c r="N2208" s="14"/>
      <c r="O2208" s="14"/>
      <c r="P2208" s="13"/>
    </row>
    <row r="2209">
      <c r="L2209" s="13"/>
      <c r="M2209" s="14"/>
      <c r="N2209" s="14"/>
      <c r="O2209" s="14"/>
      <c r="P2209" s="13"/>
    </row>
    <row r="2210">
      <c r="L2210" s="13"/>
      <c r="M2210" s="14"/>
      <c r="N2210" s="14"/>
      <c r="O2210" s="14"/>
      <c r="P2210" s="13"/>
    </row>
    <row r="2211">
      <c r="L2211" s="13"/>
      <c r="M2211" s="14"/>
      <c r="N2211" s="14"/>
      <c r="O2211" s="14"/>
      <c r="P2211" s="13"/>
    </row>
    <row r="2212">
      <c r="L2212" s="13"/>
      <c r="M2212" s="14"/>
      <c r="N2212" s="14"/>
      <c r="O2212" s="14"/>
      <c r="P2212" s="13"/>
    </row>
    <row r="2213">
      <c r="L2213" s="13"/>
      <c r="M2213" s="14"/>
      <c r="N2213" s="14"/>
      <c r="O2213" s="14"/>
      <c r="P2213" s="13"/>
    </row>
    <row r="2214">
      <c r="L2214" s="13"/>
      <c r="M2214" s="14"/>
      <c r="N2214" s="14"/>
      <c r="O2214" s="14"/>
      <c r="P2214" s="13"/>
    </row>
    <row r="2215">
      <c r="L2215" s="13"/>
      <c r="M2215" s="14"/>
      <c r="N2215" s="14"/>
      <c r="O2215" s="14"/>
      <c r="P2215" s="13"/>
    </row>
    <row r="2216">
      <c r="L2216" s="13"/>
      <c r="M2216" s="14"/>
      <c r="N2216" s="14"/>
      <c r="O2216" s="14"/>
      <c r="P2216" s="13"/>
    </row>
    <row r="2217">
      <c r="L2217" s="13"/>
      <c r="M2217" s="14"/>
      <c r="N2217" s="14"/>
      <c r="O2217" s="14"/>
      <c r="P2217" s="13"/>
    </row>
    <row r="2218">
      <c r="L2218" s="13"/>
      <c r="M2218" s="14"/>
      <c r="N2218" s="14"/>
      <c r="O2218" s="14"/>
      <c r="P2218" s="13"/>
    </row>
    <row r="2219">
      <c r="L2219" s="13"/>
      <c r="M2219" s="14"/>
      <c r="N2219" s="14"/>
      <c r="O2219" s="14"/>
      <c r="P2219" s="13"/>
    </row>
    <row r="2220">
      <c r="L2220" s="13"/>
      <c r="M2220" s="14"/>
      <c r="N2220" s="14"/>
      <c r="O2220" s="14"/>
      <c r="P2220" s="13"/>
    </row>
    <row r="2221">
      <c r="L2221" s="13"/>
      <c r="M2221" s="14"/>
      <c r="N2221" s="14"/>
      <c r="O2221" s="14"/>
      <c r="P2221" s="13"/>
    </row>
    <row r="2222">
      <c r="L2222" s="13"/>
      <c r="M2222" s="14"/>
      <c r="N2222" s="14"/>
      <c r="O2222" s="14"/>
      <c r="P2222" s="13"/>
    </row>
    <row r="2223">
      <c r="L2223" s="13"/>
      <c r="M2223" s="14"/>
      <c r="N2223" s="14"/>
      <c r="O2223" s="14"/>
      <c r="P2223" s="13"/>
    </row>
    <row r="2224">
      <c r="L2224" s="13"/>
      <c r="M2224" s="14"/>
      <c r="N2224" s="14"/>
      <c r="O2224" s="14"/>
      <c r="P2224" s="13"/>
    </row>
    <row r="2225">
      <c r="L2225" s="13"/>
      <c r="M2225" s="14"/>
      <c r="N2225" s="14"/>
      <c r="O2225" s="14"/>
      <c r="P2225" s="13"/>
    </row>
    <row r="2226">
      <c r="L2226" s="13"/>
      <c r="M2226" s="14"/>
      <c r="N2226" s="14"/>
      <c r="O2226" s="14"/>
      <c r="P2226" s="13"/>
    </row>
    <row r="2227">
      <c r="L2227" s="13"/>
      <c r="M2227" s="14"/>
      <c r="N2227" s="14"/>
      <c r="O2227" s="14"/>
      <c r="P2227" s="13"/>
    </row>
    <row r="2228">
      <c r="L2228" s="13"/>
      <c r="M2228" s="14"/>
      <c r="N2228" s="14"/>
      <c r="O2228" s="14"/>
      <c r="P2228" s="13"/>
    </row>
    <row r="2229">
      <c r="L2229" s="13"/>
      <c r="M2229" s="14"/>
      <c r="N2229" s="14"/>
      <c r="O2229" s="14"/>
      <c r="P2229" s="13"/>
    </row>
    <row r="2230">
      <c r="L2230" s="13"/>
      <c r="M2230" s="14"/>
      <c r="N2230" s="14"/>
      <c r="O2230" s="14"/>
      <c r="P2230" s="13"/>
    </row>
    <row r="2231">
      <c r="L2231" s="13"/>
      <c r="M2231" s="14"/>
      <c r="N2231" s="14"/>
      <c r="O2231" s="14"/>
      <c r="P2231" s="13"/>
    </row>
    <row r="2232">
      <c r="L2232" s="13"/>
      <c r="M2232" s="14"/>
      <c r="N2232" s="14"/>
      <c r="O2232" s="14"/>
      <c r="P2232" s="13"/>
    </row>
    <row r="2233">
      <c r="L2233" s="13"/>
      <c r="M2233" s="14"/>
      <c r="N2233" s="14"/>
      <c r="O2233" s="14"/>
      <c r="P2233" s="13"/>
    </row>
    <row r="2234">
      <c r="L2234" s="13"/>
      <c r="M2234" s="14"/>
      <c r="N2234" s="14"/>
      <c r="O2234" s="14"/>
      <c r="P2234" s="13"/>
    </row>
    <row r="2235">
      <c r="L2235" s="13"/>
      <c r="M2235" s="14"/>
      <c r="N2235" s="14"/>
      <c r="O2235" s="14"/>
      <c r="P2235" s="13"/>
    </row>
    <row r="2236">
      <c r="L2236" s="13"/>
      <c r="M2236" s="14"/>
      <c r="N2236" s="14"/>
      <c r="O2236" s="14"/>
      <c r="P2236" s="13"/>
    </row>
    <row r="2237">
      <c r="L2237" s="13"/>
      <c r="M2237" s="14"/>
      <c r="N2237" s="14"/>
      <c r="O2237" s="14"/>
      <c r="P2237" s="13"/>
    </row>
    <row r="2238">
      <c r="L2238" s="13"/>
      <c r="M2238" s="14"/>
      <c r="N2238" s="14"/>
      <c r="O2238" s="14"/>
      <c r="P2238" s="13"/>
    </row>
    <row r="2239">
      <c r="L2239" s="13"/>
      <c r="M2239" s="14"/>
      <c r="N2239" s="14"/>
      <c r="O2239" s="14"/>
      <c r="P2239" s="13"/>
    </row>
    <row r="2240">
      <c r="L2240" s="13"/>
      <c r="M2240" s="14"/>
      <c r="N2240" s="14"/>
      <c r="O2240" s="14"/>
      <c r="P2240" s="13"/>
    </row>
    <row r="2241">
      <c r="L2241" s="13"/>
      <c r="M2241" s="14"/>
      <c r="N2241" s="14"/>
      <c r="O2241" s="14"/>
      <c r="P2241" s="13"/>
    </row>
    <row r="2242">
      <c r="L2242" s="13"/>
      <c r="M2242" s="14"/>
      <c r="N2242" s="14"/>
      <c r="O2242" s="14"/>
      <c r="P2242" s="13"/>
    </row>
    <row r="2243">
      <c r="L2243" s="13"/>
      <c r="M2243" s="14"/>
      <c r="N2243" s="14"/>
      <c r="O2243" s="14"/>
      <c r="P2243" s="13"/>
    </row>
    <row r="2244">
      <c r="L2244" s="13"/>
      <c r="M2244" s="14"/>
      <c r="N2244" s="14"/>
      <c r="O2244" s="14"/>
      <c r="P2244" s="13"/>
    </row>
    <row r="2245">
      <c r="L2245" s="13"/>
      <c r="M2245" s="14"/>
      <c r="N2245" s="14"/>
      <c r="O2245" s="14"/>
      <c r="P2245" s="13"/>
    </row>
    <row r="2246">
      <c r="L2246" s="13"/>
      <c r="M2246" s="14"/>
      <c r="N2246" s="14"/>
      <c r="O2246" s="14"/>
      <c r="P2246" s="13"/>
    </row>
    <row r="2247">
      <c r="L2247" s="13"/>
      <c r="M2247" s="14"/>
      <c r="N2247" s="14"/>
      <c r="O2247" s="14"/>
      <c r="P2247" s="13"/>
    </row>
    <row r="2248">
      <c r="L2248" s="13"/>
      <c r="M2248" s="14"/>
      <c r="N2248" s="14"/>
      <c r="O2248" s="14"/>
      <c r="P2248" s="13"/>
    </row>
    <row r="2249">
      <c r="L2249" s="13"/>
      <c r="M2249" s="14"/>
      <c r="N2249" s="14"/>
      <c r="O2249" s="14"/>
      <c r="P2249" s="13"/>
    </row>
    <row r="2250">
      <c r="L2250" s="13"/>
      <c r="M2250" s="14"/>
      <c r="N2250" s="14"/>
      <c r="O2250" s="14"/>
      <c r="P2250" s="13"/>
    </row>
    <row r="2251">
      <c r="L2251" s="13"/>
      <c r="M2251" s="14"/>
      <c r="N2251" s="14"/>
      <c r="O2251" s="14"/>
      <c r="P2251" s="13"/>
    </row>
    <row r="2252">
      <c r="L2252" s="13"/>
      <c r="M2252" s="14"/>
      <c r="N2252" s="14"/>
      <c r="O2252" s="14"/>
      <c r="P2252" s="13"/>
    </row>
    <row r="2253">
      <c r="L2253" s="13"/>
      <c r="M2253" s="14"/>
      <c r="N2253" s="14"/>
      <c r="O2253" s="14"/>
      <c r="P2253" s="13"/>
    </row>
    <row r="2254">
      <c r="L2254" s="13"/>
      <c r="M2254" s="14"/>
      <c r="N2254" s="14"/>
      <c r="O2254" s="14"/>
      <c r="P2254" s="13"/>
    </row>
    <row r="2255">
      <c r="L2255" s="13"/>
      <c r="M2255" s="14"/>
      <c r="N2255" s="14"/>
      <c r="O2255" s="14"/>
      <c r="P2255" s="13"/>
    </row>
    <row r="2256">
      <c r="L2256" s="13"/>
      <c r="M2256" s="14"/>
      <c r="N2256" s="14"/>
      <c r="O2256" s="14"/>
      <c r="P2256" s="13"/>
    </row>
    <row r="2257">
      <c r="L2257" s="13"/>
      <c r="M2257" s="14"/>
      <c r="N2257" s="14"/>
      <c r="O2257" s="14"/>
      <c r="P2257" s="13"/>
    </row>
    <row r="2258">
      <c r="L2258" s="13"/>
      <c r="M2258" s="14"/>
      <c r="N2258" s="14"/>
      <c r="O2258" s="14"/>
      <c r="P2258" s="13"/>
    </row>
    <row r="2259">
      <c r="L2259" s="13"/>
      <c r="M2259" s="14"/>
      <c r="N2259" s="14"/>
      <c r="O2259" s="14"/>
      <c r="P2259" s="13"/>
    </row>
    <row r="2260">
      <c r="L2260" s="13"/>
      <c r="M2260" s="14"/>
      <c r="N2260" s="14"/>
      <c r="O2260" s="14"/>
      <c r="P2260" s="13"/>
    </row>
    <row r="2261">
      <c r="L2261" s="13"/>
      <c r="M2261" s="14"/>
      <c r="N2261" s="14"/>
      <c r="O2261" s="14"/>
      <c r="P2261" s="13"/>
    </row>
    <row r="2262">
      <c r="L2262" s="13"/>
      <c r="M2262" s="14"/>
      <c r="N2262" s="14"/>
      <c r="O2262" s="14"/>
      <c r="P2262" s="13"/>
    </row>
    <row r="2263">
      <c r="L2263" s="13"/>
      <c r="M2263" s="14"/>
      <c r="N2263" s="14"/>
      <c r="O2263" s="14"/>
      <c r="P2263" s="13"/>
    </row>
    <row r="2264">
      <c r="L2264" s="13"/>
      <c r="M2264" s="14"/>
      <c r="N2264" s="14"/>
      <c r="O2264" s="14"/>
      <c r="P2264" s="13"/>
    </row>
    <row r="2265">
      <c r="L2265" s="13"/>
      <c r="M2265" s="14"/>
      <c r="N2265" s="14"/>
      <c r="O2265" s="14"/>
      <c r="P2265" s="13"/>
    </row>
    <row r="2266">
      <c r="L2266" s="13"/>
      <c r="M2266" s="14"/>
      <c r="N2266" s="14"/>
      <c r="O2266" s="14"/>
      <c r="P2266" s="13"/>
    </row>
    <row r="2267">
      <c r="L2267" s="13"/>
      <c r="M2267" s="14"/>
      <c r="N2267" s="14"/>
      <c r="O2267" s="14"/>
      <c r="P2267" s="13"/>
    </row>
    <row r="2268">
      <c r="L2268" s="13"/>
      <c r="M2268" s="14"/>
      <c r="N2268" s="14"/>
      <c r="O2268" s="14"/>
      <c r="P2268" s="13"/>
    </row>
    <row r="2269">
      <c r="L2269" s="13"/>
      <c r="M2269" s="14"/>
      <c r="N2269" s="14"/>
      <c r="O2269" s="14"/>
      <c r="P2269" s="13"/>
    </row>
    <row r="2270">
      <c r="L2270" s="13"/>
      <c r="M2270" s="14"/>
      <c r="N2270" s="14"/>
      <c r="O2270" s="14"/>
      <c r="P2270" s="13"/>
    </row>
    <row r="2271">
      <c r="L2271" s="13"/>
      <c r="M2271" s="14"/>
      <c r="N2271" s="14"/>
      <c r="O2271" s="14"/>
      <c r="P2271" s="13"/>
    </row>
    <row r="2272">
      <c r="L2272" s="13"/>
      <c r="M2272" s="14"/>
      <c r="N2272" s="14"/>
      <c r="O2272" s="14"/>
      <c r="P2272" s="13"/>
    </row>
    <row r="2273">
      <c r="L2273" s="13"/>
      <c r="M2273" s="14"/>
      <c r="N2273" s="14"/>
      <c r="O2273" s="14"/>
      <c r="P2273" s="13"/>
    </row>
    <row r="2274">
      <c r="L2274" s="13"/>
      <c r="M2274" s="14"/>
      <c r="N2274" s="14"/>
      <c r="O2274" s="14"/>
      <c r="P2274" s="13"/>
    </row>
    <row r="2275">
      <c r="L2275" s="13"/>
      <c r="M2275" s="14"/>
      <c r="N2275" s="14"/>
      <c r="O2275" s="14"/>
      <c r="P2275" s="13"/>
    </row>
    <row r="2276">
      <c r="L2276" s="13"/>
      <c r="M2276" s="14"/>
      <c r="N2276" s="14"/>
      <c r="O2276" s="14"/>
      <c r="P2276" s="13"/>
    </row>
    <row r="2277">
      <c r="L2277" s="13"/>
      <c r="M2277" s="14"/>
      <c r="N2277" s="14"/>
      <c r="O2277" s="14"/>
      <c r="P2277" s="13"/>
    </row>
    <row r="2278">
      <c r="L2278" s="13"/>
      <c r="M2278" s="14"/>
      <c r="N2278" s="14"/>
      <c r="O2278" s="14"/>
      <c r="P2278" s="13"/>
    </row>
    <row r="2279">
      <c r="L2279" s="13"/>
      <c r="M2279" s="14"/>
      <c r="N2279" s="14"/>
      <c r="O2279" s="14"/>
      <c r="P2279" s="13"/>
    </row>
    <row r="2280">
      <c r="L2280" s="13"/>
      <c r="M2280" s="14"/>
      <c r="N2280" s="14"/>
      <c r="O2280" s="14"/>
      <c r="P2280" s="13"/>
    </row>
    <row r="2281">
      <c r="L2281" s="13"/>
      <c r="M2281" s="14"/>
      <c r="N2281" s="14"/>
      <c r="O2281" s="14"/>
      <c r="P2281" s="13"/>
    </row>
    <row r="2282">
      <c r="L2282" s="13"/>
      <c r="M2282" s="14"/>
      <c r="N2282" s="14"/>
      <c r="O2282" s="14"/>
      <c r="P2282" s="13"/>
    </row>
    <row r="2283">
      <c r="L2283" s="13"/>
      <c r="M2283" s="14"/>
      <c r="N2283" s="14"/>
      <c r="O2283" s="14"/>
      <c r="P2283" s="13"/>
    </row>
    <row r="2284">
      <c r="L2284" s="13"/>
      <c r="M2284" s="14"/>
      <c r="N2284" s="14"/>
      <c r="O2284" s="14"/>
      <c r="P2284" s="13"/>
    </row>
    <row r="2285">
      <c r="L2285" s="13"/>
      <c r="M2285" s="14"/>
      <c r="N2285" s="14"/>
      <c r="O2285" s="14"/>
      <c r="P2285" s="13"/>
    </row>
    <row r="2286">
      <c r="L2286" s="13"/>
      <c r="M2286" s="14"/>
      <c r="N2286" s="14"/>
      <c r="O2286" s="14"/>
      <c r="P2286" s="13"/>
    </row>
    <row r="2287">
      <c r="L2287" s="13"/>
      <c r="M2287" s="14"/>
      <c r="N2287" s="14"/>
      <c r="O2287" s="14"/>
      <c r="P2287" s="13"/>
    </row>
    <row r="2288">
      <c r="L2288" s="13"/>
      <c r="M2288" s="14"/>
      <c r="N2288" s="14"/>
      <c r="O2288" s="14"/>
      <c r="P2288" s="13"/>
    </row>
    <row r="2289">
      <c r="L2289" s="13"/>
      <c r="M2289" s="14"/>
      <c r="N2289" s="14"/>
      <c r="O2289" s="14"/>
      <c r="P2289" s="13"/>
    </row>
    <row r="2290">
      <c r="L2290" s="13"/>
      <c r="M2290" s="14"/>
      <c r="N2290" s="14"/>
      <c r="O2290" s="14"/>
      <c r="P2290" s="13"/>
    </row>
    <row r="2291">
      <c r="L2291" s="13"/>
      <c r="M2291" s="14"/>
      <c r="N2291" s="14"/>
      <c r="O2291" s="14"/>
      <c r="P2291" s="13"/>
    </row>
    <row r="2292">
      <c r="L2292" s="13"/>
      <c r="M2292" s="14"/>
      <c r="N2292" s="14"/>
      <c r="O2292" s="14"/>
      <c r="P2292" s="13"/>
    </row>
    <row r="2293">
      <c r="L2293" s="13"/>
      <c r="M2293" s="14"/>
      <c r="N2293" s="14"/>
      <c r="O2293" s="14"/>
      <c r="P2293" s="13"/>
    </row>
    <row r="2294">
      <c r="L2294" s="13"/>
      <c r="M2294" s="14"/>
      <c r="N2294" s="14"/>
      <c r="O2294" s="14"/>
      <c r="P2294" s="13"/>
    </row>
    <row r="2295">
      <c r="L2295" s="13"/>
      <c r="M2295" s="14"/>
      <c r="N2295" s="14"/>
      <c r="O2295" s="14"/>
      <c r="P2295" s="13"/>
    </row>
    <row r="2296">
      <c r="L2296" s="13"/>
      <c r="M2296" s="14"/>
      <c r="N2296" s="14"/>
      <c r="O2296" s="14"/>
      <c r="P2296" s="13"/>
    </row>
    <row r="2297">
      <c r="L2297" s="13"/>
      <c r="M2297" s="14"/>
      <c r="N2297" s="14"/>
      <c r="O2297" s="14"/>
      <c r="P2297" s="13"/>
    </row>
    <row r="2298">
      <c r="L2298" s="13"/>
      <c r="M2298" s="14"/>
      <c r="N2298" s="14"/>
      <c r="O2298" s="14"/>
      <c r="P2298" s="13"/>
    </row>
    <row r="2299">
      <c r="L2299" s="13"/>
      <c r="M2299" s="14"/>
      <c r="N2299" s="14"/>
      <c r="O2299" s="14"/>
      <c r="P2299" s="13"/>
    </row>
    <row r="2300">
      <c r="L2300" s="13"/>
      <c r="M2300" s="14"/>
      <c r="N2300" s="14"/>
      <c r="O2300" s="14"/>
      <c r="P2300" s="13"/>
    </row>
    <row r="2301">
      <c r="L2301" s="13"/>
      <c r="M2301" s="14"/>
      <c r="N2301" s="14"/>
      <c r="O2301" s="14"/>
      <c r="P2301" s="13"/>
    </row>
    <row r="2302">
      <c r="L2302" s="13"/>
      <c r="M2302" s="14"/>
      <c r="N2302" s="14"/>
      <c r="O2302" s="14"/>
      <c r="P2302" s="13"/>
    </row>
    <row r="2303">
      <c r="L2303" s="13"/>
      <c r="M2303" s="14"/>
      <c r="N2303" s="14"/>
      <c r="O2303" s="14"/>
      <c r="P2303" s="13"/>
    </row>
    <row r="2304">
      <c r="L2304" s="13"/>
      <c r="M2304" s="14"/>
      <c r="N2304" s="14"/>
      <c r="O2304" s="14"/>
      <c r="P2304" s="13"/>
    </row>
    <row r="2305">
      <c r="L2305" s="13"/>
      <c r="M2305" s="14"/>
      <c r="N2305" s="14"/>
      <c r="O2305" s="14"/>
      <c r="P2305" s="13"/>
    </row>
    <row r="2306">
      <c r="L2306" s="13"/>
      <c r="M2306" s="14"/>
      <c r="N2306" s="14"/>
      <c r="O2306" s="14"/>
      <c r="P2306" s="13"/>
    </row>
    <row r="2307">
      <c r="L2307" s="13"/>
      <c r="M2307" s="14"/>
      <c r="N2307" s="14"/>
      <c r="O2307" s="14"/>
      <c r="P2307" s="13"/>
    </row>
    <row r="2308">
      <c r="L2308" s="13"/>
      <c r="M2308" s="14"/>
      <c r="N2308" s="14"/>
      <c r="O2308" s="14"/>
      <c r="P2308" s="13"/>
    </row>
    <row r="2309">
      <c r="L2309" s="13"/>
      <c r="M2309" s="14"/>
      <c r="N2309" s="14"/>
      <c r="O2309" s="14"/>
      <c r="P2309" s="13"/>
    </row>
    <row r="2310">
      <c r="L2310" s="13"/>
      <c r="M2310" s="14"/>
      <c r="N2310" s="14"/>
      <c r="O2310" s="14"/>
      <c r="P2310" s="13"/>
    </row>
    <row r="2311">
      <c r="L2311" s="13"/>
      <c r="M2311" s="14"/>
      <c r="N2311" s="14"/>
      <c r="O2311" s="14"/>
      <c r="P2311" s="13"/>
    </row>
    <row r="2312">
      <c r="L2312" s="13"/>
      <c r="M2312" s="14"/>
      <c r="N2312" s="14"/>
      <c r="O2312" s="14"/>
      <c r="P2312" s="13"/>
    </row>
    <row r="2313">
      <c r="L2313" s="13"/>
      <c r="M2313" s="14"/>
      <c r="N2313" s="14"/>
      <c r="O2313" s="14"/>
      <c r="P2313" s="13"/>
    </row>
    <row r="2314">
      <c r="L2314" s="13"/>
      <c r="M2314" s="14"/>
      <c r="N2314" s="14"/>
      <c r="O2314" s="14"/>
      <c r="P2314" s="13"/>
    </row>
    <row r="2315">
      <c r="L2315" s="13"/>
      <c r="M2315" s="14"/>
      <c r="N2315" s="14"/>
      <c r="O2315" s="14"/>
      <c r="P2315" s="13"/>
    </row>
    <row r="2316">
      <c r="L2316" s="13"/>
      <c r="M2316" s="14"/>
      <c r="N2316" s="14"/>
      <c r="O2316" s="14"/>
      <c r="P2316" s="13"/>
    </row>
    <row r="2317">
      <c r="L2317" s="13"/>
      <c r="M2317" s="14"/>
      <c r="N2317" s="14"/>
      <c r="O2317" s="14"/>
      <c r="P2317" s="13"/>
    </row>
    <row r="2318">
      <c r="L2318" s="13"/>
      <c r="M2318" s="14"/>
      <c r="N2318" s="14"/>
      <c r="O2318" s="14"/>
      <c r="P2318" s="13"/>
    </row>
    <row r="2319">
      <c r="L2319" s="13"/>
      <c r="M2319" s="14"/>
      <c r="N2319" s="14"/>
      <c r="O2319" s="14"/>
      <c r="P2319" s="13"/>
    </row>
    <row r="2320">
      <c r="L2320" s="13"/>
      <c r="M2320" s="14"/>
      <c r="N2320" s="14"/>
      <c r="O2320" s="14"/>
      <c r="P2320" s="13"/>
    </row>
    <row r="2321">
      <c r="L2321" s="13"/>
      <c r="M2321" s="14"/>
      <c r="N2321" s="14"/>
      <c r="O2321" s="14"/>
      <c r="P2321" s="13"/>
    </row>
    <row r="2322">
      <c r="L2322" s="13"/>
      <c r="M2322" s="14"/>
      <c r="N2322" s="14"/>
      <c r="O2322" s="14"/>
      <c r="P2322" s="13"/>
    </row>
    <row r="2323">
      <c r="L2323" s="13"/>
      <c r="M2323" s="14"/>
      <c r="N2323" s="14"/>
      <c r="O2323" s="14"/>
      <c r="P2323" s="13"/>
    </row>
    <row r="2324">
      <c r="L2324" s="13"/>
      <c r="M2324" s="14"/>
      <c r="N2324" s="14"/>
      <c r="O2324" s="14"/>
      <c r="P2324" s="13"/>
    </row>
    <row r="2325">
      <c r="L2325" s="13"/>
      <c r="M2325" s="14"/>
      <c r="N2325" s="14"/>
      <c r="O2325" s="14"/>
      <c r="P2325" s="13"/>
    </row>
    <row r="2326">
      <c r="L2326" s="13"/>
      <c r="M2326" s="14"/>
      <c r="N2326" s="14"/>
      <c r="O2326" s="14"/>
      <c r="P2326" s="13"/>
    </row>
    <row r="2327">
      <c r="L2327" s="13"/>
      <c r="M2327" s="14"/>
      <c r="N2327" s="14"/>
      <c r="O2327" s="14"/>
      <c r="P2327" s="13"/>
    </row>
    <row r="2328">
      <c r="L2328" s="13"/>
      <c r="M2328" s="14"/>
      <c r="N2328" s="14"/>
      <c r="O2328" s="14"/>
      <c r="P2328" s="13"/>
    </row>
    <row r="2329">
      <c r="L2329" s="13"/>
      <c r="M2329" s="14"/>
      <c r="N2329" s="14"/>
      <c r="O2329" s="14"/>
      <c r="P2329" s="13"/>
    </row>
    <row r="2330">
      <c r="L2330" s="13"/>
      <c r="M2330" s="14"/>
      <c r="N2330" s="14"/>
      <c r="O2330" s="14"/>
      <c r="P2330" s="13"/>
    </row>
    <row r="2331">
      <c r="L2331" s="13"/>
      <c r="M2331" s="14"/>
      <c r="N2331" s="14"/>
      <c r="O2331" s="14"/>
      <c r="P2331" s="13"/>
    </row>
    <row r="2332">
      <c r="L2332" s="13"/>
      <c r="M2332" s="14"/>
      <c r="N2332" s="14"/>
      <c r="O2332" s="14"/>
      <c r="P2332" s="13"/>
    </row>
    <row r="2333">
      <c r="L2333" s="13"/>
      <c r="M2333" s="14"/>
      <c r="N2333" s="14"/>
      <c r="O2333" s="14"/>
      <c r="P2333" s="13"/>
    </row>
    <row r="2334">
      <c r="L2334" s="13"/>
      <c r="M2334" s="14"/>
      <c r="N2334" s="14"/>
      <c r="O2334" s="14"/>
      <c r="P2334" s="13"/>
    </row>
    <row r="2335">
      <c r="L2335" s="13"/>
      <c r="M2335" s="14"/>
      <c r="N2335" s="14"/>
      <c r="O2335" s="14"/>
      <c r="P2335" s="13"/>
    </row>
    <row r="2336">
      <c r="L2336" s="13"/>
      <c r="M2336" s="14"/>
      <c r="N2336" s="14"/>
      <c r="O2336" s="14"/>
      <c r="P2336" s="13"/>
    </row>
    <row r="2337">
      <c r="L2337" s="13"/>
      <c r="M2337" s="14"/>
      <c r="N2337" s="14"/>
      <c r="O2337" s="14"/>
      <c r="P2337" s="13"/>
    </row>
    <row r="2338">
      <c r="L2338" s="13"/>
      <c r="M2338" s="14"/>
      <c r="N2338" s="14"/>
      <c r="O2338" s="14"/>
      <c r="P2338" s="13"/>
    </row>
    <row r="2339">
      <c r="L2339" s="13"/>
      <c r="M2339" s="14"/>
      <c r="N2339" s="14"/>
      <c r="O2339" s="14"/>
      <c r="P2339" s="13"/>
    </row>
    <row r="2340">
      <c r="L2340" s="13"/>
      <c r="M2340" s="14"/>
      <c r="N2340" s="14"/>
      <c r="O2340" s="14"/>
      <c r="P2340" s="13"/>
    </row>
    <row r="2341">
      <c r="L2341" s="13"/>
      <c r="M2341" s="14"/>
      <c r="N2341" s="14"/>
      <c r="O2341" s="14"/>
      <c r="P2341" s="13"/>
    </row>
    <row r="2342">
      <c r="L2342" s="13"/>
      <c r="M2342" s="14"/>
      <c r="N2342" s="14"/>
      <c r="O2342" s="14"/>
      <c r="P2342" s="13"/>
    </row>
    <row r="2343">
      <c r="L2343" s="13"/>
      <c r="M2343" s="14"/>
      <c r="N2343" s="14"/>
      <c r="O2343" s="14"/>
      <c r="P2343" s="13"/>
    </row>
    <row r="2344">
      <c r="L2344" s="13"/>
      <c r="M2344" s="14"/>
      <c r="N2344" s="14"/>
      <c r="O2344" s="14"/>
      <c r="P2344" s="13"/>
    </row>
    <row r="2345">
      <c r="L2345" s="13"/>
      <c r="M2345" s="14"/>
      <c r="N2345" s="14"/>
      <c r="O2345" s="14"/>
      <c r="P2345" s="13"/>
    </row>
    <row r="2346">
      <c r="L2346" s="13"/>
      <c r="M2346" s="14"/>
      <c r="N2346" s="14"/>
      <c r="O2346" s="14"/>
      <c r="P2346" s="13"/>
    </row>
    <row r="2347">
      <c r="L2347" s="13"/>
      <c r="M2347" s="14"/>
      <c r="N2347" s="14"/>
      <c r="O2347" s="14"/>
      <c r="P2347" s="13"/>
    </row>
    <row r="2348">
      <c r="L2348" s="13"/>
      <c r="M2348" s="14"/>
      <c r="N2348" s="14"/>
      <c r="O2348" s="14"/>
      <c r="P2348" s="13"/>
    </row>
    <row r="2349">
      <c r="L2349" s="13"/>
      <c r="M2349" s="14"/>
      <c r="N2349" s="14"/>
      <c r="O2349" s="14"/>
      <c r="P2349" s="13"/>
    </row>
    <row r="2350">
      <c r="L2350" s="13"/>
      <c r="M2350" s="14"/>
      <c r="N2350" s="14"/>
      <c r="O2350" s="14"/>
      <c r="P2350" s="13"/>
    </row>
    <row r="2351">
      <c r="L2351" s="13"/>
      <c r="M2351" s="14"/>
      <c r="N2351" s="14"/>
      <c r="O2351" s="14"/>
      <c r="P2351" s="13"/>
    </row>
    <row r="2352">
      <c r="L2352" s="13"/>
      <c r="M2352" s="14"/>
      <c r="N2352" s="14"/>
      <c r="O2352" s="14"/>
      <c r="P2352" s="13"/>
    </row>
    <row r="2353">
      <c r="L2353" s="13"/>
      <c r="M2353" s="14"/>
      <c r="N2353" s="14"/>
      <c r="O2353" s="14"/>
      <c r="P2353" s="13"/>
    </row>
    <row r="2354">
      <c r="L2354" s="13"/>
      <c r="M2354" s="14"/>
      <c r="N2354" s="14"/>
      <c r="O2354" s="14"/>
      <c r="P2354" s="13"/>
    </row>
    <row r="2355">
      <c r="L2355" s="13"/>
      <c r="M2355" s="14"/>
      <c r="N2355" s="14"/>
      <c r="O2355" s="14"/>
      <c r="P2355" s="13"/>
    </row>
    <row r="2356">
      <c r="L2356" s="13"/>
      <c r="M2356" s="14"/>
      <c r="N2356" s="14"/>
      <c r="O2356" s="14"/>
      <c r="P2356" s="13"/>
    </row>
    <row r="2357">
      <c r="L2357" s="13"/>
      <c r="M2357" s="14"/>
      <c r="N2357" s="14"/>
      <c r="O2357" s="14"/>
      <c r="P2357" s="13"/>
    </row>
    <row r="2358">
      <c r="L2358" s="13"/>
      <c r="M2358" s="14"/>
      <c r="N2358" s="14"/>
      <c r="O2358" s="14"/>
      <c r="P2358" s="13"/>
    </row>
    <row r="2359">
      <c r="L2359" s="13"/>
      <c r="M2359" s="14"/>
      <c r="N2359" s="14"/>
      <c r="O2359" s="14"/>
      <c r="P2359" s="13"/>
    </row>
    <row r="2360">
      <c r="L2360" s="13"/>
      <c r="M2360" s="14"/>
      <c r="N2360" s="14"/>
      <c r="O2360" s="14"/>
      <c r="P2360" s="13"/>
    </row>
    <row r="2361">
      <c r="L2361" s="13"/>
      <c r="M2361" s="14"/>
      <c r="N2361" s="14"/>
      <c r="O2361" s="14"/>
      <c r="P2361" s="13"/>
    </row>
    <row r="2362">
      <c r="L2362" s="13"/>
      <c r="M2362" s="14"/>
      <c r="N2362" s="14"/>
      <c r="O2362" s="14"/>
      <c r="P2362" s="13"/>
    </row>
    <row r="2363">
      <c r="L2363" s="13"/>
      <c r="M2363" s="14"/>
      <c r="N2363" s="14"/>
      <c r="O2363" s="14"/>
      <c r="P2363" s="13"/>
    </row>
    <row r="2364">
      <c r="L2364" s="13"/>
      <c r="M2364" s="14"/>
      <c r="N2364" s="14"/>
      <c r="O2364" s="14"/>
      <c r="P2364" s="13"/>
    </row>
    <row r="2365">
      <c r="L2365" s="13"/>
      <c r="M2365" s="14"/>
      <c r="N2365" s="14"/>
      <c r="O2365" s="14"/>
      <c r="P2365" s="13"/>
    </row>
    <row r="2366">
      <c r="L2366" s="13"/>
      <c r="M2366" s="14"/>
      <c r="N2366" s="14"/>
      <c r="O2366" s="14"/>
      <c r="P2366" s="13"/>
    </row>
    <row r="2367">
      <c r="L2367" s="13"/>
      <c r="M2367" s="14"/>
      <c r="N2367" s="14"/>
      <c r="O2367" s="14"/>
      <c r="P2367" s="13"/>
    </row>
    <row r="2368">
      <c r="L2368" s="13"/>
      <c r="M2368" s="14"/>
      <c r="N2368" s="14"/>
      <c r="O2368" s="14"/>
      <c r="P2368" s="13"/>
    </row>
    <row r="2369">
      <c r="L2369" s="13"/>
      <c r="M2369" s="14"/>
      <c r="N2369" s="14"/>
      <c r="O2369" s="14"/>
      <c r="P2369" s="13"/>
    </row>
    <row r="2370">
      <c r="L2370" s="13"/>
      <c r="M2370" s="14"/>
      <c r="N2370" s="14"/>
      <c r="O2370" s="14"/>
      <c r="P2370" s="13"/>
    </row>
    <row r="2371">
      <c r="L2371" s="13"/>
      <c r="M2371" s="14"/>
      <c r="N2371" s="14"/>
      <c r="O2371" s="14"/>
      <c r="P2371" s="13"/>
    </row>
    <row r="2372">
      <c r="L2372" s="13"/>
      <c r="M2372" s="14"/>
      <c r="N2372" s="14"/>
      <c r="O2372" s="14"/>
      <c r="P2372" s="13"/>
    </row>
    <row r="2373">
      <c r="L2373" s="13"/>
      <c r="M2373" s="14"/>
      <c r="N2373" s="14"/>
      <c r="O2373" s="14"/>
      <c r="P2373" s="13"/>
    </row>
    <row r="2374">
      <c r="L2374" s="13"/>
      <c r="M2374" s="14"/>
      <c r="N2374" s="14"/>
      <c r="O2374" s="14"/>
      <c r="P2374" s="13"/>
    </row>
    <row r="2375">
      <c r="L2375" s="13"/>
      <c r="M2375" s="14"/>
      <c r="N2375" s="14"/>
      <c r="O2375" s="14"/>
      <c r="P2375" s="13"/>
    </row>
    <row r="2376">
      <c r="L2376" s="13"/>
      <c r="M2376" s="14"/>
      <c r="N2376" s="14"/>
      <c r="O2376" s="14"/>
      <c r="P2376" s="13"/>
    </row>
    <row r="2377">
      <c r="L2377" s="13"/>
      <c r="M2377" s="14"/>
      <c r="N2377" s="14"/>
      <c r="O2377" s="14"/>
      <c r="P2377" s="13"/>
    </row>
    <row r="2378">
      <c r="L2378" s="13"/>
      <c r="M2378" s="14"/>
      <c r="N2378" s="14"/>
      <c r="O2378" s="14"/>
      <c r="P2378" s="13"/>
    </row>
    <row r="2379">
      <c r="L2379" s="13"/>
      <c r="M2379" s="14"/>
      <c r="N2379" s="14"/>
      <c r="O2379" s="14"/>
      <c r="P2379" s="13"/>
    </row>
    <row r="2380">
      <c r="L2380" s="13"/>
      <c r="M2380" s="14"/>
      <c r="N2380" s="14"/>
      <c r="O2380" s="14"/>
      <c r="P2380" s="13"/>
    </row>
    <row r="2381">
      <c r="L2381" s="13"/>
      <c r="M2381" s="14"/>
      <c r="N2381" s="14"/>
      <c r="O2381" s="14"/>
      <c r="P2381" s="13"/>
    </row>
    <row r="2382">
      <c r="L2382" s="13"/>
      <c r="M2382" s="14"/>
      <c r="N2382" s="14"/>
      <c r="O2382" s="14"/>
      <c r="P2382" s="13"/>
    </row>
    <row r="2383">
      <c r="L2383" s="13"/>
      <c r="M2383" s="14"/>
      <c r="N2383" s="14"/>
      <c r="O2383" s="14"/>
      <c r="P2383" s="13"/>
    </row>
    <row r="2384">
      <c r="L2384" s="13"/>
      <c r="M2384" s="14"/>
      <c r="N2384" s="14"/>
      <c r="O2384" s="14"/>
      <c r="P2384" s="13"/>
    </row>
    <row r="2385">
      <c r="L2385" s="13"/>
      <c r="M2385" s="14"/>
      <c r="N2385" s="14"/>
      <c r="O2385" s="14"/>
      <c r="P2385" s="13"/>
    </row>
    <row r="2386">
      <c r="L2386" s="13"/>
      <c r="M2386" s="14"/>
      <c r="N2386" s="14"/>
      <c r="O2386" s="14"/>
      <c r="P2386" s="13"/>
    </row>
    <row r="2387">
      <c r="L2387" s="13"/>
      <c r="M2387" s="14"/>
      <c r="N2387" s="14"/>
      <c r="O2387" s="14"/>
      <c r="P2387" s="13"/>
    </row>
    <row r="2388">
      <c r="L2388" s="13"/>
      <c r="M2388" s="14"/>
      <c r="N2388" s="14"/>
      <c r="O2388" s="14"/>
      <c r="P2388" s="13"/>
    </row>
    <row r="2389">
      <c r="L2389" s="13"/>
      <c r="M2389" s="14"/>
      <c r="N2389" s="14"/>
      <c r="O2389" s="14"/>
      <c r="P2389" s="13"/>
    </row>
    <row r="2390">
      <c r="L2390" s="13"/>
      <c r="M2390" s="14"/>
      <c r="N2390" s="14"/>
      <c r="O2390" s="14"/>
      <c r="P2390" s="13"/>
    </row>
    <row r="2391">
      <c r="L2391" s="13"/>
      <c r="M2391" s="14"/>
      <c r="N2391" s="14"/>
      <c r="O2391" s="14"/>
      <c r="P2391" s="13"/>
    </row>
    <row r="2392">
      <c r="L2392" s="13"/>
      <c r="M2392" s="14"/>
      <c r="N2392" s="14"/>
      <c r="O2392" s="14"/>
      <c r="P2392" s="13"/>
    </row>
    <row r="2393">
      <c r="L2393" s="13"/>
      <c r="M2393" s="14"/>
      <c r="N2393" s="14"/>
      <c r="O2393" s="14"/>
      <c r="P2393" s="13"/>
    </row>
    <row r="2394">
      <c r="L2394" s="13"/>
      <c r="M2394" s="14"/>
      <c r="N2394" s="14"/>
      <c r="O2394" s="14"/>
      <c r="P2394" s="13"/>
    </row>
    <row r="2395">
      <c r="L2395" s="13"/>
      <c r="M2395" s="14"/>
      <c r="N2395" s="14"/>
      <c r="O2395" s="14"/>
      <c r="P2395" s="13"/>
    </row>
    <row r="2396">
      <c r="L2396" s="13"/>
      <c r="M2396" s="14"/>
      <c r="N2396" s="14"/>
      <c r="O2396" s="14"/>
      <c r="P2396" s="13"/>
    </row>
    <row r="2397">
      <c r="L2397" s="13"/>
      <c r="M2397" s="14"/>
      <c r="N2397" s="14"/>
      <c r="O2397" s="14"/>
      <c r="P2397" s="13"/>
    </row>
    <row r="2398">
      <c r="L2398" s="13"/>
      <c r="M2398" s="14"/>
      <c r="N2398" s="14"/>
      <c r="O2398" s="14"/>
      <c r="P2398" s="13"/>
    </row>
    <row r="2399">
      <c r="L2399" s="13"/>
      <c r="M2399" s="14"/>
      <c r="N2399" s="14"/>
      <c r="O2399" s="14"/>
      <c r="P2399" s="13"/>
    </row>
    <row r="2400">
      <c r="L2400" s="13"/>
      <c r="M2400" s="14"/>
      <c r="N2400" s="14"/>
      <c r="O2400" s="14"/>
      <c r="P2400" s="13"/>
    </row>
    <row r="2401">
      <c r="L2401" s="13"/>
      <c r="M2401" s="14"/>
      <c r="N2401" s="14"/>
      <c r="O2401" s="14"/>
      <c r="P2401" s="13"/>
    </row>
    <row r="2402">
      <c r="L2402" s="13"/>
      <c r="M2402" s="14"/>
      <c r="N2402" s="14"/>
      <c r="O2402" s="14"/>
      <c r="P2402" s="13"/>
    </row>
    <row r="2403">
      <c r="L2403" s="13"/>
      <c r="M2403" s="14"/>
      <c r="N2403" s="14"/>
      <c r="O2403" s="14"/>
      <c r="P2403" s="13"/>
    </row>
    <row r="2404">
      <c r="L2404" s="13"/>
      <c r="M2404" s="14"/>
      <c r="N2404" s="14"/>
      <c r="O2404" s="14"/>
      <c r="P2404" s="13"/>
    </row>
    <row r="2405">
      <c r="L2405" s="13"/>
      <c r="M2405" s="14"/>
      <c r="N2405" s="14"/>
      <c r="O2405" s="14"/>
      <c r="P2405" s="13"/>
    </row>
    <row r="2406">
      <c r="L2406" s="13"/>
      <c r="M2406" s="14"/>
      <c r="N2406" s="14"/>
      <c r="O2406" s="14"/>
      <c r="P2406" s="13"/>
    </row>
    <row r="2407">
      <c r="L2407" s="13"/>
      <c r="M2407" s="14"/>
      <c r="N2407" s="14"/>
      <c r="O2407" s="14"/>
      <c r="P2407" s="13"/>
    </row>
    <row r="2408">
      <c r="L2408" s="13"/>
      <c r="M2408" s="14"/>
      <c r="N2408" s="14"/>
      <c r="O2408" s="14"/>
      <c r="P2408" s="13"/>
    </row>
    <row r="2409">
      <c r="L2409" s="13"/>
      <c r="M2409" s="14"/>
      <c r="N2409" s="14"/>
      <c r="O2409" s="14"/>
      <c r="P2409" s="13"/>
    </row>
    <row r="2410">
      <c r="L2410" s="13"/>
      <c r="M2410" s="14"/>
      <c r="N2410" s="14"/>
      <c r="O2410" s="14"/>
      <c r="P2410" s="13"/>
    </row>
    <row r="2411">
      <c r="L2411" s="13"/>
      <c r="M2411" s="14"/>
      <c r="N2411" s="14"/>
      <c r="O2411" s="14"/>
      <c r="P2411" s="13"/>
    </row>
    <row r="2412">
      <c r="L2412" s="13"/>
      <c r="M2412" s="14"/>
      <c r="N2412" s="14"/>
      <c r="O2412" s="14"/>
      <c r="P2412" s="13"/>
    </row>
    <row r="2413">
      <c r="L2413" s="13"/>
      <c r="M2413" s="14"/>
      <c r="N2413" s="14"/>
      <c r="O2413" s="14"/>
      <c r="P2413" s="13"/>
    </row>
    <row r="2414">
      <c r="L2414" s="13"/>
      <c r="M2414" s="14"/>
      <c r="N2414" s="14"/>
      <c r="O2414" s="14"/>
      <c r="P2414" s="13"/>
    </row>
    <row r="2415">
      <c r="L2415" s="13"/>
      <c r="M2415" s="14"/>
      <c r="N2415" s="14"/>
      <c r="O2415" s="14"/>
      <c r="P2415" s="13"/>
    </row>
    <row r="2416">
      <c r="L2416" s="13"/>
      <c r="M2416" s="14"/>
      <c r="N2416" s="14"/>
      <c r="O2416" s="14"/>
      <c r="P2416" s="13"/>
    </row>
    <row r="2417">
      <c r="L2417" s="13"/>
      <c r="M2417" s="14"/>
      <c r="N2417" s="14"/>
      <c r="O2417" s="14"/>
      <c r="P2417" s="13"/>
    </row>
    <row r="2418">
      <c r="L2418" s="13"/>
      <c r="M2418" s="14"/>
      <c r="N2418" s="14"/>
      <c r="O2418" s="14"/>
      <c r="P2418" s="13"/>
    </row>
    <row r="2419">
      <c r="L2419" s="13"/>
      <c r="M2419" s="14"/>
      <c r="N2419" s="14"/>
      <c r="O2419" s="14"/>
      <c r="P2419" s="13"/>
    </row>
    <row r="2420">
      <c r="L2420" s="13"/>
      <c r="M2420" s="14"/>
      <c r="N2420" s="14"/>
      <c r="O2420" s="14"/>
      <c r="P2420" s="13"/>
    </row>
    <row r="2421">
      <c r="L2421" s="13"/>
      <c r="M2421" s="14"/>
      <c r="N2421" s="14"/>
      <c r="O2421" s="14"/>
      <c r="P2421" s="13"/>
    </row>
    <row r="2422">
      <c r="L2422" s="13"/>
      <c r="M2422" s="14"/>
      <c r="N2422" s="14"/>
      <c r="O2422" s="14"/>
      <c r="P2422" s="13"/>
    </row>
    <row r="2423">
      <c r="L2423" s="13"/>
      <c r="M2423" s="14"/>
      <c r="N2423" s="14"/>
      <c r="O2423" s="14"/>
      <c r="P2423" s="13"/>
    </row>
    <row r="2424">
      <c r="L2424" s="13"/>
      <c r="M2424" s="14"/>
      <c r="N2424" s="14"/>
      <c r="O2424" s="14"/>
      <c r="P2424" s="13"/>
    </row>
    <row r="2425">
      <c r="L2425" s="13"/>
      <c r="M2425" s="14"/>
      <c r="N2425" s="14"/>
      <c r="O2425" s="14"/>
      <c r="P2425" s="13"/>
    </row>
    <row r="2426">
      <c r="L2426" s="13"/>
      <c r="M2426" s="14"/>
      <c r="N2426" s="14"/>
      <c r="O2426" s="14"/>
      <c r="P2426" s="13"/>
    </row>
    <row r="2427">
      <c r="L2427" s="13"/>
      <c r="M2427" s="14"/>
      <c r="N2427" s="14"/>
      <c r="O2427" s="14"/>
      <c r="P2427" s="13"/>
    </row>
    <row r="2428">
      <c r="L2428" s="13"/>
      <c r="M2428" s="14"/>
      <c r="N2428" s="14"/>
      <c r="O2428" s="14"/>
      <c r="P2428" s="13"/>
    </row>
    <row r="2429">
      <c r="L2429" s="13"/>
      <c r="M2429" s="14"/>
      <c r="N2429" s="14"/>
      <c r="O2429" s="14"/>
      <c r="P2429" s="13"/>
    </row>
    <row r="2430">
      <c r="L2430" s="13"/>
      <c r="M2430" s="14"/>
      <c r="N2430" s="14"/>
      <c r="O2430" s="14"/>
      <c r="P2430" s="13"/>
    </row>
    <row r="2431">
      <c r="L2431" s="13"/>
      <c r="M2431" s="14"/>
      <c r="N2431" s="14"/>
      <c r="O2431" s="14"/>
      <c r="P2431" s="13"/>
    </row>
    <row r="2432">
      <c r="L2432" s="13"/>
      <c r="M2432" s="14"/>
      <c r="N2432" s="14"/>
      <c r="O2432" s="14"/>
      <c r="P2432" s="13"/>
    </row>
    <row r="2433">
      <c r="L2433" s="13"/>
      <c r="M2433" s="14"/>
      <c r="N2433" s="14"/>
      <c r="O2433" s="14"/>
      <c r="P2433" s="13"/>
    </row>
    <row r="2434">
      <c r="L2434" s="13"/>
      <c r="M2434" s="14"/>
      <c r="N2434" s="14"/>
      <c r="O2434" s="14"/>
      <c r="P2434" s="13"/>
    </row>
    <row r="2435">
      <c r="L2435" s="13"/>
      <c r="M2435" s="14"/>
      <c r="N2435" s="14"/>
      <c r="O2435" s="14"/>
      <c r="P2435" s="13"/>
    </row>
    <row r="2436">
      <c r="L2436" s="13"/>
      <c r="M2436" s="14"/>
      <c r="N2436" s="14"/>
      <c r="O2436" s="14"/>
      <c r="P2436" s="13"/>
    </row>
    <row r="2437">
      <c r="L2437" s="13"/>
      <c r="M2437" s="14"/>
      <c r="N2437" s="14"/>
      <c r="O2437" s="14"/>
      <c r="P2437" s="13"/>
    </row>
    <row r="2438">
      <c r="L2438" s="13"/>
      <c r="M2438" s="14"/>
      <c r="N2438" s="14"/>
      <c r="O2438" s="14"/>
      <c r="P2438" s="13"/>
    </row>
    <row r="2439">
      <c r="L2439" s="13"/>
      <c r="M2439" s="14"/>
      <c r="N2439" s="14"/>
      <c r="O2439" s="14"/>
      <c r="P2439" s="13"/>
    </row>
    <row r="2440">
      <c r="L2440" s="13"/>
      <c r="M2440" s="14"/>
      <c r="N2440" s="14"/>
      <c r="O2440" s="14"/>
      <c r="P2440" s="13"/>
    </row>
    <row r="2441">
      <c r="L2441" s="13"/>
      <c r="M2441" s="14"/>
      <c r="N2441" s="14"/>
      <c r="O2441" s="14"/>
      <c r="P2441" s="13"/>
    </row>
    <row r="2442">
      <c r="L2442" s="13"/>
      <c r="M2442" s="14"/>
      <c r="N2442" s="14"/>
      <c r="O2442" s="14"/>
      <c r="P2442" s="13"/>
    </row>
    <row r="2443">
      <c r="L2443" s="13"/>
      <c r="M2443" s="14"/>
      <c r="N2443" s="14"/>
      <c r="O2443" s="14"/>
      <c r="P2443" s="13"/>
    </row>
    <row r="2444">
      <c r="L2444" s="13"/>
      <c r="M2444" s="14"/>
      <c r="N2444" s="14"/>
      <c r="O2444" s="14"/>
      <c r="P2444" s="13"/>
    </row>
    <row r="2445">
      <c r="L2445" s="13"/>
      <c r="M2445" s="14"/>
      <c r="N2445" s="14"/>
      <c r="O2445" s="14"/>
      <c r="P2445" s="13"/>
    </row>
    <row r="2446">
      <c r="L2446" s="13"/>
      <c r="M2446" s="14"/>
      <c r="N2446" s="14"/>
      <c r="O2446" s="14"/>
      <c r="P2446" s="13"/>
    </row>
    <row r="2447">
      <c r="L2447" s="13"/>
      <c r="M2447" s="14"/>
      <c r="N2447" s="14"/>
      <c r="O2447" s="14"/>
      <c r="P2447" s="13"/>
    </row>
    <row r="2448">
      <c r="L2448" s="13"/>
      <c r="M2448" s="14"/>
      <c r="N2448" s="14"/>
      <c r="O2448" s="14"/>
      <c r="P2448" s="13"/>
    </row>
    <row r="2449">
      <c r="L2449" s="13"/>
      <c r="M2449" s="14"/>
      <c r="N2449" s="14"/>
      <c r="O2449" s="14"/>
      <c r="P2449" s="13"/>
    </row>
    <row r="2450">
      <c r="L2450" s="13"/>
      <c r="M2450" s="14"/>
      <c r="N2450" s="14"/>
      <c r="O2450" s="14"/>
      <c r="P2450" s="13"/>
    </row>
    <row r="2451">
      <c r="L2451" s="13"/>
      <c r="M2451" s="14"/>
      <c r="N2451" s="14"/>
      <c r="O2451" s="14"/>
      <c r="P2451" s="13"/>
    </row>
    <row r="2452">
      <c r="L2452" s="13"/>
      <c r="M2452" s="14"/>
      <c r="N2452" s="14"/>
      <c r="O2452" s="14"/>
      <c r="P2452" s="13"/>
    </row>
    <row r="2453">
      <c r="L2453" s="13"/>
      <c r="M2453" s="14"/>
      <c r="N2453" s="14"/>
      <c r="O2453" s="14"/>
      <c r="P2453" s="13"/>
    </row>
    <row r="2454">
      <c r="L2454" s="13"/>
      <c r="M2454" s="14"/>
      <c r="N2454" s="14"/>
      <c r="O2454" s="14"/>
      <c r="P2454" s="13"/>
    </row>
    <row r="2455">
      <c r="L2455" s="13"/>
      <c r="M2455" s="14"/>
      <c r="N2455" s="14"/>
      <c r="O2455" s="14"/>
      <c r="P2455" s="13"/>
    </row>
    <row r="2456">
      <c r="L2456" s="13"/>
      <c r="M2456" s="14"/>
      <c r="N2456" s="14"/>
      <c r="O2456" s="14"/>
      <c r="P2456" s="13"/>
    </row>
    <row r="2457">
      <c r="L2457" s="13"/>
      <c r="M2457" s="14"/>
      <c r="N2457" s="14"/>
      <c r="O2457" s="14"/>
      <c r="P2457" s="13"/>
    </row>
    <row r="2458">
      <c r="L2458" s="13"/>
      <c r="M2458" s="14"/>
      <c r="N2458" s="14"/>
      <c r="O2458" s="14"/>
      <c r="P2458" s="13"/>
    </row>
    <row r="2459">
      <c r="L2459" s="13"/>
      <c r="M2459" s="14"/>
      <c r="N2459" s="14"/>
      <c r="O2459" s="14"/>
      <c r="P2459" s="13"/>
    </row>
    <row r="2460">
      <c r="L2460" s="13"/>
      <c r="M2460" s="14"/>
      <c r="N2460" s="14"/>
      <c r="O2460" s="14"/>
      <c r="P2460" s="13"/>
    </row>
    <row r="2461">
      <c r="L2461" s="13"/>
      <c r="M2461" s="14"/>
      <c r="N2461" s="14"/>
      <c r="O2461" s="14"/>
      <c r="P2461" s="13"/>
    </row>
    <row r="2462">
      <c r="L2462" s="13"/>
      <c r="M2462" s="14"/>
      <c r="N2462" s="14"/>
      <c r="O2462" s="14"/>
      <c r="P2462" s="13"/>
    </row>
    <row r="2463">
      <c r="L2463" s="13"/>
      <c r="M2463" s="14"/>
      <c r="N2463" s="14"/>
      <c r="O2463" s="14"/>
      <c r="P2463" s="13"/>
    </row>
    <row r="2464">
      <c r="L2464" s="13"/>
      <c r="M2464" s="14"/>
      <c r="N2464" s="14"/>
      <c r="O2464" s="14"/>
      <c r="P2464" s="13"/>
    </row>
    <row r="2465">
      <c r="L2465" s="13"/>
      <c r="M2465" s="14"/>
      <c r="N2465" s="14"/>
      <c r="O2465" s="14"/>
      <c r="P2465" s="13"/>
    </row>
    <row r="2466">
      <c r="L2466" s="13"/>
      <c r="M2466" s="14"/>
      <c r="N2466" s="14"/>
      <c r="O2466" s="14"/>
      <c r="P2466" s="13"/>
    </row>
    <row r="2467">
      <c r="L2467" s="13"/>
      <c r="M2467" s="14"/>
      <c r="N2467" s="14"/>
      <c r="O2467" s="14"/>
      <c r="P2467" s="13"/>
    </row>
    <row r="2468">
      <c r="L2468" s="13"/>
      <c r="M2468" s="14"/>
      <c r="N2468" s="14"/>
      <c r="O2468" s="14"/>
      <c r="P2468" s="13"/>
    </row>
    <row r="2469">
      <c r="L2469" s="13"/>
      <c r="M2469" s="14"/>
      <c r="N2469" s="14"/>
      <c r="O2469" s="14"/>
      <c r="P2469" s="13"/>
    </row>
    <row r="2470">
      <c r="L2470" s="13"/>
      <c r="M2470" s="14"/>
      <c r="N2470" s="14"/>
      <c r="O2470" s="14"/>
      <c r="P2470" s="13"/>
    </row>
    <row r="2471">
      <c r="L2471" s="13"/>
      <c r="M2471" s="14"/>
      <c r="N2471" s="14"/>
      <c r="O2471" s="14"/>
      <c r="P2471" s="13"/>
    </row>
    <row r="2472">
      <c r="L2472" s="13"/>
      <c r="M2472" s="14"/>
      <c r="N2472" s="14"/>
      <c r="O2472" s="14"/>
      <c r="P2472" s="13"/>
    </row>
    <row r="2473">
      <c r="L2473" s="13"/>
      <c r="M2473" s="14"/>
      <c r="N2473" s="14"/>
      <c r="O2473" s="14"/>
      <c r="P2473" s="13"/>
    </row>
    <row r="2474">
      <c r="L2474" s="13"/>
      <c r="M2474" s="14"/>
      <c r="N2474" s="14"/>
      <c r="O2474" s="14"/>
      <c r="P2474" s="13"/>
    </row>
    <row r="2475">
      <c r="L2475" s="13"/>
      <c r="M2475" s="14"/>
      <c r="N2475" s="14"/>
      <c r="O2475" s="14"/>
      <c r="P2475" s="13"/>
    </row>
    <row r="2476">
      <c r="L2476" s="13"/>
      <c r="M2476" s="14"/>
      <c r="N2476" s="14"/>
      <c r="O2476" s="14"/>
      <c r="P2476" s="13"/>
    </row>
    <row r="2477">
      <c r="L2477" s="13"/>
      <c r="M2477" s="14"/>
      <c r="N2477" s="14"/>
      <c r="O2477" s="14"/>
      <c r="P2477" s="13"/>
    </row>
    <row r="2478">
      <c r="L2478" s="13"/>
      <c r="M2478" s="14"/>
      <c r="N2478" s="14"/>
      <c r="O2478" s="14"/>
      <c r="P2478" s="13"/>
    </row>
    <row r="2479">
      <c r="L2479" s="13"/>
      <c r="M2479" s="14"/>
      <c r="N2479" s="14"/>
      <c r="O2479" s="14"/>
      <c r="P2479" s="13"/>
    </row>
    <row r="2480">
      <c r="L2480" s="13"/>
      <c r="M2480" s="14"/>
      <c r="N2480" s="14"/>
      <c r="O2480" s="14"/>
      <c r="P2480" s="13"/>
    </row>
    <row r="2481">
      <c r="L2481" s="13"/>
      <c r="M2481" s="14"/>
      <c r="N2481" s="14"/>
      <c r="O2481" s="14"/>
      <c r="P2481" s="13"/>
    </row>
    <row r="2482">
      <c r="L2482" s="13"/>
      <c r="M2482" s="14"/>
      <c r="N2482" s="14"/>
      <c r="O2482" s="14"/>
      <c r="P2482" s="13"/>
    </row>
    <row r="2483">
      <c r="L2483" s="13"/>
      <c r="M2483" s="14"/>
      <c r="N2483" s="14"/>
      <c r="O2483" s="14"/>
      <c r="P2483" s="13"/>
    </row>
    <row r="2484">
      <c r="L2484" s="13"/>
      <c r="M2484" s="14"/>
      <c r="N2484" s="14"/>
      <c r="O2484" s="14"/>
      <c r="P2484" s="13"/>
    </row>
    <row r="2485">
      <c r="L2485" s="13"/>
      <c r="M2485" s="14"/>
      <c r="N2485" s="14"/>
      <c r="O2485" s="14"/>
      <c r="P2485" s="13"/>
    </row>
    <row r="2486">
      <c r="L2486" s="13"/>
      <c r="M2486" s="14"/>
      <c r="N2486" s="14"/>
      <c r="O2486" s="14"/>
      <c r="P2486" s="13"/>
    </row>
    <row r="2487">
      <c r="L2487" s="13"/>
      <c r="M2487" s="14"/>
      <c r="N2487" s="14"/>
      <c r="O2487" s="14"/>
      <c r="P2487" s="13"/>
    </row>
    <row r="2488">
      <c r="L2488" s="13"/>
      <c r="M2488" s="14"/>
      <c r="N2488" s="14"/>
      <c r="O2488" s="14"/>
      <c r="P2488" s="13"/>
    </row>
    <row r="2489">
      <c r="L2489" s="13"/>
      <c r="M2489" s="14"/>
      <c r="N2489" s="14"/>
      <c r="O2489" s="14"/>
      <c r="P2489" s="13"/>
    </row>
    <row r="2490">
      <c r="L2490" s="13"/>
      <c r="M2490" s="14"/>
      <c r="N2490" s="14"/>
      <c r="O2490" s="14"/>
      <c r="P2490" s="13"/>
    </row>
    <row r="2491">
      <c r="L2491" s="13"/>
      <c r="M2491" s="14"/>
      <c r="N2491" s="14"/>
      <c r="O2491" s="14"/>
      <c r="P2491" s="13"/>
    </row>
    <row r="2492">
      <c r="L2492" s="13"/>
      <c r="M2492" s="14"/>
      <c r="N2492" s="14"/>
      <c r="O2492" s="14"/>
      <c r="P2492" s="13"/>
    </row>
    <row r="2493">
      <c r="L2493" s="13"/>
      <c r="M2493" s="14"/>
      <c r="N2493" s="14"/>
      <c r="O2493" s="14"/>
      <c r="P2493" s="13"/>
    </row>
    <row r="2494">
      <c r="L2494" s="13"/>
      <c r="M2494" s="14"/>
      <c r="N2494" s="14"/>
      <c r="O2494" s="14"/>
      <c r="P2494" s="13"/>
    </row>
    <row r="2495">
      <c r="L2495" s="13"/>
      <c r="M2495" s="14"/>
      <c r="N2495" s="14"/>
      <c r="O2495" s="14"/>
      <c r="P2495" s="13"/>
    </row>
    <row r="2496">
      <c r="L2496" s="13"/>
      <c r="M2496" s="14"/>
      <c r="N2496" s="14"/>
      <c r="O2496" s="14"/>
      <c r="P2496" s="13"/>
    </row>
    <row r="2497">
      <c r="L2497" s="13"/>
      <c r="M2497" s="14"/>
      <c r="N2497" s="14"/>
      <c r="O2497" s="14"/>
      <c r="P2497" s="13"/>
    </row>
    <row r="2498">
      <c r="L2498" s="13"/>
      <c r="M2498" s="14"/>
      <c r="N2498" s="14"/>
      <c r="O2498" s="14"/>
      <c r="P2498" s="13"/>
    </row>
    <row r="2499">
      <c r="L2499" s="13"/>
      <c r="M2499" s="14"/>
      <c r="N2499" s="14"/>
      <c r="O2499" s="14"/>
      <c r="P2499" s="13"/>
    </row>
    <row r="2500">
      <c r="L2500" s="13"/>
      <c r="M2500" s="14"/>
      <c r="N2500" s="14"/>
      <c r="O2500" s="14"/>
      <c r="P2500" s="13"/>
    </row>
    <row r="2501">
      <c r="L2501" s="13"/>
      <c r="M2501" s="14"/>
      <c r="N2501" s="14"/>
      <c r="O2501" s="14"/>
      <c r="P2501" s="13"/>
    </row>
    <row r="2502">
      <c r="L2502" s="13"/>
      <c r="M2502" s="14"/>
      <c r="N2502" s="14"/>
      <c r="O2502" s="14"/>
      <c r="P2502" s="13"/>
    </row>
    <row r="2503">
      <c r="L2503" s="13"/>
      <c r="M2503" s="14"/>
      <c r="N2503" s="14"/>
      <c r="O2503" s="14"/>
      <c r="P2503" s="13"/>
    </row>
    <row r="2504">
      <c r="L2504" s="13"/>
      <c r="M2504" s="14"/>
      <c r="N2504" s="14"/>
      <c r="O2504" s="14"/>
      <c r="P2504" s="13"/>
    </row>
    <row r="2505">
      <c r="L2505" s="13"/>
      <c r="M2505" s="14"/>
      <c r="N2505" s="14"/>
      <c r="O2505" s="14"/>
      <c r="P2505" s="13"/>
    </row>
    <row r="2506">
      <c r="L2506" s="13"/>
      <c r="M2506" s="14"/>
      <c r="N2506" s="14"/>
      <c r="O2506" s="14"/>
      <c r="P2506" s="13"/>
    </row>
    <row r="2507">
      <c r="L2507" s="13"/>
      <c r="M2507" s="14"/>
      <c r="N2507" s="14"/>
      <c r="O2507" s="14"/>
      <c r="P2507" s="13"/>
    </row>
    <row r="2508">
      <c r="L2508" s="13"/>
      <c r="M2508" s="14"/>
      <c r="N2508" s="14"/>
      <c r="O2508" s="14"/>
      <c r="P2508" s="13"/>
    </row>
    <row r="2509">
      <c r="L2509" s="13"/>
      <c r="M2509" s="14"/>
      <c r="N2509" s="14"/>
      <c r="O2509" s="14"/>
      <c r="P2509" s="13"/>
    </row>
    <row r="2510">
      <c r="L2510" s="13"/>
      <c r="M2510" s="14"/>
      <c r="N2510" s="14"/>
      <c r="O2510" s="14"/>
      <c r="P2510" s="13"/>
    </row>
    <row r="2511">
      <c r="L2511" s="13"/>
      <c r="M2511" s="14"/>
      <c r="N2511" s="14"/>
      <c r="O2511" s="14"/>
      <c r="P2511" s="13"/>
    </row>
    <row r="2512">
      <c r="L2512" s="13"/>
      <c r="M2512" s="14"/>
      <c r="N2512" s="14"/>
      <c r="O2512" s="14"/>
      <c r="P2512" s="13"/>
    </row>
    <row r="2513">
      <c r="L2513" s="13"/>
      <c r="M2513" s="14"/>
      <c r="N2513" s="14"/>
      <c r="O2513" s="14"/>
      <c r="P2513" s="13"/>
    </row>
    <row r="2514">
      <c r="L2514" s="13"/>
      <c r="M2514" s="14"/>
      <c r="N2514" s="14"/>
      <c r="O2514" s="14"/>
      <c r="P2514" s="13"/>
    </row>
    <row r="2515">
      <c r="L2515" s="13"/>
      <c r="M2515" s="14"/>
      <c r="N2515" s="14"/>
      <c r="O2515" s="14"/>
      <c r="P2515" s="13"/>
    </row>
    <row r="2516">
      <c r="L2516" s="13"/>
      <c r="M2516" s="14"/>
      <c r="N2516" s="14"/>
      <c r="O2516" s="14"/>
      <c r="P2516" s="13"/>
    </row>
    <row r="2517">
      <c r="L2517" s="13"/>
      <c r="M2517" s="14"/>
      <c r="N2517" s="14"/>
      <c r="O2517" s="14"/>
      <c r="P2517" s="13"/>
    </row>
    <row r="2518">
      <c r="L2518" s="13"/>
      <c r="M2518" s="14"/>
      <c r="N2518" s="14"/>
      <c r="O2518" s="14"/>
      <c r="P2518" s="13"/>
    </row>
    <row r="2519">
      <c r="L2519" s="13"/>
      <c r="M2519" s="14"/>
      <c r="N2519" s="14"/>
      <c r="O2519" s="14"/>
      <c r="P2519" s="13"/>
    </row>
    <row r="2520">
      <c r="L2520" s="13"/>
      <c r="M2520" s="14"/>
      <c r="N2520" s="14"/>
      <c r="O2520" s="14"/>
      <c r="P2520" s="13"/>
    </row>
    <row r="2521">
      <c r="L2521" s="13"/>
      <c r="M2521" s="14"/>
      <c r="N2521" s="14"/>
      <c r="O2521" s="14"/>
      <c r="P2521" s="13"/>
    </row>
    <row r="2522">
      <c r="L2522" s="13"/>
      <c r="M2522" s="14"/>
      <c r="N2522" s="14"/>
      <c r="O2522" s="14"/>
      <c r="P2522" s="13"/>
    </row>
    <row r="2523">
      <c r="L2523" s="13"/>
      <c r="M2523" s="14"/>
      <c r="N2523" s="14"/>
      <c r="O2523" s="14"/>
      <c r="P2523" s="13"/>
    </row>
    <row r="2524">
      <c r="L2524" s="13"/>
      <c r="M2524" s="14"/>
      <c r="N2524" s="14"/>
      <c r="O2524" s="14"/>
      <c r="P2524" s="13"/>
    </row>
    <row r="2525">
      <c r="L2525" s="13"/>
      <c r="M2525" s="14"/>
      <c r="N2525" s="14"/>
      <c r="O2525" s="14"/>
      <c r="P2525" s="13"/>
    </row>
    <row r="2526">
      <c r="L2526" s="13"/>
      <c r="M2526" s="14"/>
      <c r="N2526" s="14"/>
      <c r="O2526" s="14"/>
      <c r="P2526" s="13"/>
    </row>
    <row r="2527">
      <c r="L2527" s="13"/>
      <c r="M2527" s="14"/>
      <c r="N2527" s="14"/>
      <c r="O2527" s="14"/>
      <c r="P2527" s="13"/>
    </row>
    <row r="2528">
      <c r="L2528" s="13"/>
      <c r="M2528" s="14"/>
      <c r="N2528" s="14"/>
      <c r="O2528" s="14"/>
      <c r="P2528" s="13"/>
    </row>
    <row r="2529">
      <c r="L2529" s="13"/>
      <c r="M2529" s="14"/>
      <c r="N2529" s="14"/>
      <c r="O2529" s="14"/>
      <c r="P2529" s="13"/>
    </row>
    <row r="2530">
      <c r="L2530" s="13"/>
      <c r="M2530" s="14"/>
      <c r="N2530" s="14"/>
      <c r="O2530" s="14"/>
      <c r="P2530" s="13"/>
    </row>
    <row r="2531">
      <c r="L2531" s="13"/>
      <c r="M2531" s="14"/>
      <c r="N2531" s="14"/>
      <c r="O2531" s="14"/>
      <c r="P2531" s="13"/>
    </row>
    <row r="2532">
      <c r="L2532" s="13"/>
      <c r="M2532" s="14"/>
      <c r="N2532" s="14"/>
      <c r="O2532" s="14"/>
      <c r="P2532" s="13"/>
    </row>
    <row r="2533">
      <c r="L2533" s="13"/>
      <c r="M2533" s="14"/>
      <c r="N2533" s="14"/>
      <c r="O2533" s="14"/>
      <c r="P2533" s="13"/>
    </row>
    <row r="2534">
      <c r="L2534" s="13"/>
      <c r="M2534" s="14"/>
      <c r="N2534" s="14"/>
      <c r="O2534" s="14"/>
      <c r="P2534" s="13"/>
    </row>
    <row r="2535">
      <c r="L2535" s="13"/>
      <c r="M2535" s="14"/>
      <c r="N2535" s="14"/>
      <c r="O2535" s="14"/>
      <c r="P2535" s="13"/>
    </row>
    <row r="2536">
      <c r="L2536" s="13"/>
      <c r="M2536" s="14"/>
      <c r="N2536" s="14"/>
      <c r="O2536" s="14"/>
      <c r="P2536" s="13"/>
    </row>
    <row r="2537">
      <c r="L2537" s="13"/>
      <c r="M2537" s="14"/>
      <c r="N2537" s="14"/>
      <c r="O2537" s="14"/>
      <c r="P2537" s="13"/>
    </row>
    <row r="2538">
      <c r="L2538" s="13"/>
      <c r="M2538" s="14"/>
      <c r="N2538" s="14"/>
      <c r="O2538" s="14"/>
      <c r="P2538" s="13"/>
    </row>
    <row r="2539">
      <c r="L2539" s="13"/>
      <c r="M2539" s="14"/>
      <c r="N2539" s="14"/>
      <c r="O2539" s="14"/>
      <c r="P2539" s="13"/>
    </row>
    <row r="2540">
      <c r="L2540" s="13"/>
      <c r="M2540" s="14"/>
      <c r="N2540" s="14"/>
      <c r="O2540" s="14"/>
      <c r="P2540" s="13"/>
    </row>
    <row r="2541">
      <c r="L2541" s="13"/>
      <c r="M2541" s="14"/>
      <c r="N2541" s="14"/>
      <c r="O2541" s="14"/>
      <c r="P2541" s="13"/>
    </row>
    <row r="2542">
      <c r="L2542" s="13"/>
      <c r="M2542" s="14"/>
      <c r="N2542" s="14"/>
      <c r="O2542" s="14"/>
      <c r="P2542" s="13"/>
    </row>
    <row r="2543">
      <c r="L2543" s="13"/>
      <c r="M2543" s="14"/>
      <c r="N2543" s="14"/>
      <c r="O2543" s="14"/>
      <c r="P2543" s="13"/>
    </row>
    <row r="2544">
      <c r="L2544" s="13"/>
      <c r="M2544" s="14"/>
      <c r="N2544" s="14"/>
      <c r="O2544" s="14"/>
      <c r="P2544" s="13"/>
    </row>
    <row r="2545">
      <c r="L2545" s="13"/>
      <c r="M2545" s="14"/>
      <c r="N2545" s="14"/>
      <c r="O2545" s="14"/>
      <c r="P2545" s="13"/>
    </row>
    <row r="2546">
      <c r="L2546" s="13"/>
      <c r="M2546" s="14"/>
      <c r="N2546" s="14"/>
      <c r="O2546" s="14"/>
      <c r="P2546" s="13"/>
    </row>
    <row r="2547">
      <c r="L2547" s="13"/>
      <c r="M2547" s="14"/>
      <c r="N2547" s="14"/>
      <c r="O2547" s="14"/>
      <c r="P2547" s="13"/>
    </row>
    <row r="2548">
      <c r="L2548" s="13"/>
      <c r="M2548" s="14"/>
      <c r="N2548" s="14"/>
      <c r="O2548" s="14"/>
      <c r="P2548" s="13"/>
    </row>
    <row r="2549">
      <c r="L2549" s="13"/>
      <c r="M2549" s="14"/>
      <c r="N2549" s="14"/>
      <c r="O2549" s="14"/>
      <c r="P2549" s="13"/>
    </row>
    <row r="2550">
      <c r="L2550" s="13"/>
      <c r="M2550" s="14"/>
      <c r="N2550" s="14"/>
      <c r="O2550" s="14"/>
      <c r="P2550" s="13"/>
    </row>
    <row r="2551">
      <c r="L2551" s="13"/>
      <c r="M2551" s="14"/>
      <c r="N2551" s="14"/>
      <c r="O2551" s="14"/>
      <c r="P2551" s="13"/>
    </row>
    <row r="2552">
      <c r="L2552" s="13"/>
      <c r="M2552" s="14"/>
      <c r="N2552" s="14"/>
      <c r="O2552" s="14"/>
      <c r="P2552" s="13"/>
    </row>
    <row r="2553">
      <c r="L2553" s="13"/>
      <c r="M2553" s="14"/>
      <c r="N2553" s="14"/>
      <c r="O2553" s="14"/>
      <c r="P2553" s="13"/>
    </row>
    <row r="2554">
      <c r="L2554" s="13"/>
      <c r="M2554" s="14"/>
      <c r="N2554" s="14"/>
      <c r="O2554" s="14"/>
      <c r="P2554" s="13"/>
    </row>
    <row r="2555">
      <c r="L2555" s="13"/>
      <c r="M2555" s="14"/>
      <c r="N2555" s="14"/>
      <c r="O2555" s="14"/>
      <c r="P2555" s="13"/>
    </row>
    <row r="2556">
      <c r="L2556" s="13"/>
      <c r="M2556" s="14"/>
      <c r="N2556" s="14"/>
      <c r="O2556" s="14"/>
      <c r="P2556" s="13"/>
    </row>
    <row r="2557">
      <c r="L2557" s="13"/>
      <c r="M2557" s="14"/>
      <c r="N2557" s="14"/>
      <c r="O2557" s="14"/>
      <c r="P2557" s="13"/>
    </row>
    <row r="2558">
      <c r="L2558" s="13"/>
      <c r="M2558" s="14"/>
      <c r="N2558" s="14"/>
      <c r="O2558" s="14"/>
      <c r="P2558" s="13"/>
    </row>
    <row r="2559">
      <c r="L2559" s="13"/>
      <c r="M2559" s="14"/>
      <c r="N2559" s="14"/>
      <c r="O2559" s="14"/>
      <c r="P2559" s="13"/>
    </row>
    <row r="2560">
      <c r="L2560" s="13"/>
      <c r="M2560" s="14"/>
      <c r="N2560" s="14"/>
      <c r="O2560" s="14"/>
      <c r="P2560" s="13"/>
    </row>
    <row r="2561">
      <c r="L2561" s="13"/>
      <c r="M2561" s="14"/>
      <c r="N2561" s="14"/>
      <c r="O2561" s="14"/>
      <c r="P2561" s="13"/>
    </row>
    <row r="2562">
      <c r="L2562" s="13"/>
      <c r="M2562" s="14"/>
      <c r="N2562" s="14"/>
      <c r="O2562" s="14"/>
      <c r="P2562" s="13"/>
    </row>
    <row r="2563">
      <c r="L2563" s="13"/>
      <c r="M2563" s="14"/>
      <c r="N2563" s="14"/>
      <c r="O2563" s="14"/>
      <c r="P2563" s="13"/>
    </row>
    <row r="2564">
      <c r="L2564" s="13"/>
      <c r="M2564" s="14"/>
      <c r="N2564" s="14"/>
      <c r="O2564" s="14"/>
      <c r="P2564" s="13"/>
    </row>
    <row r="2565">
      <c r="L2565" s="13"/>
      <c r="M2565" s="14"/>
      <c r="N2565" s="14"/>
      <c r="O2565" s="14"/>
      <c r="P2565" s="13"/>
    </row>
    <row r="2566">
      <c r="L2566" s="13"/>
      <c r="M2566" s="14"/>
      <c r="N2566" s="14"/>
      <c r="O2566" s="14"/>
      <c r="P2566" s="13"/>
    </row>
    <row r="2567">
      <c r="L2567" s="13"/>
      <c r="M2567" s="14"/>
      <c r="N2567" s="14"/>
      <c r="O2567" s="14"/>
      <c r="P2567" s="13"/>
    </row>
    <row r="2568">
      <c r="L2568" s="13"/>
      <c r="M2568" s="14"/>
      <c r="N2568" s="14"/>
      <c r="O2568" s="14"/>
      <c r="P2568" s="13"/>
    </row>
    <row r="2569">
      <c r="L2569" s="13"/>
      <c r="M2569" s="14"/>
      <c r="N2569" s="14"/>
      <c r="O2569" s="14"/>
      <c r="P2569" s="13"/>
    </row>
    <row r="2570">
      <c r="L2570" s="13"/>
      <c r="M2570" s="14"/>
      <c r="N2570" s="14"/>
      <c r="O2570" s="14"/>
      <c r="P2570" s="13"/>
    </row>
    <row r="2571">
      <c r="L2571" s="13"/>
      <c r="M2571" s="14"/>
      <c r="N2571" s="14"/>
      <c r="O2571" s="14"/>
      <c r="P2571" s="13"/>
    </row>
    <row r="2572">
      <c r="L2572" s="13"/>
      <c r="M2572" s="14"/>
      <c r="N2572" s="14"/>
      <c r="O2572" s="14"/>
      <c r="P2572" s="13"/>
    </row>
    <row r="2573">
      <c r="L2573" s="13"/>
      <c r="M2573" s="14"/>
      <c r="N2573" s="14"/>
      <c r="O2573" s="14"/>
      <c r="P2573" s="13"/>
    </row>
    <row r="2574">
      <c r="L2574" s="13"/>
      <c r="M2574" s="14"/>
      <c r="N2574" s="14"/>
      <c r="O2574" s="14"/>
      <c r="P2574" s="13"/>
    </row>
    <row r="2575">
      <c r="L2575" s="13"/>
      <c r="M2575" s="14"/>
      <c r="N2575" s="14"/>
      <c r="O2575" s="14"/>
      <c r="P2575" s="13"/>
    </row>
    <row r="2576">
      <c r="L2576" s="13"/>
      <c r="M2576" s="14"/>
      <c r="N2576" s="14"/>
      <c r="O2576" s="14"/>
      <c r="P2576" s="13"/>
    </row>
    <row r="2577">
      <c r="L2577" s="13"/>
      <c r="M2577" s="14"/>
      <c r="N2577" s="14"/>
      <c r="O2577" s="14"/>
      <c r="P2577" s="13"/>
    </row>
    <row r="2578">
      <c r="L2578" s="13"/>
      <c r="M2578" s="14"/>
      <c r="N2578" s="14"/>
      <c r="O2578" s="14"/>
      <c r="P2578" s="13"/>
    </row>
    <row r="2579">
      <c r="L2579" s="13"/>
      <c r="M2579" s="14"/>
      <c r="N2579" s="14"/>
      <c r="O2579" s="14"/>
      <c r="P2579" s="13"/>
    </row>
    <row r="2580">
      <c r="L2580" s="13"/>
      <c r="M2580" s="14"/>
      <c r="N2580" s="14"/>
      <c r="O2580" s="14"/>
      <c r="P2580" s="13"/>
    </row>
    <row r="2581">
      <c r="L2581" s="13"/>
      <c r="M2581" s="14"/>
      <c r="N2581" s="14"/>
      <c r="O2581" s="14"/>
      <c r="P2581" s="13"/>
    </row>
    <row r="2582">
      <c r="L2582" s="13"/>
      <c r="M2582" s="14"/>
      <c r="N2582" s="14"/>
      <c r="O2582" s="14"/>
      <c r="P2582" s="13"/>
    </row>
    <row r="2583">
      <c r="L2583" s="13"/>
      <c r="M2583" s="14"/>
      <c r="N2583" s="14"/>
      <c r="O2583" s="14"/>
      <c r="P2583" s="13"/>
    </row>
    <row r="2584">
      <c r="L2584" s="13"/>
      <c r="M2584" s="14"/>
      <c r="N2584" s="14"/>
      <c r="O2584" s="14"/>
      <c r="P2584" s="13"/>
    </row>
    <row r="2585">
      <c r="L2585" s="13"/>
      <c r="M2585" s="14"/>
      <c r="N2585" s="14"/>
      <c r="O2585" s="14"/>
      <c r="P2585" s="13"/>
    </row>
    <row r="2586">
      <c r="L2586" s="13"/>
      <c r="M2586" s="14"/>
      <c r="N2586" s="14"/>
      <c r="O2586" s="14"/>
      <c r="P2586" s="13"/>
    </row>
    <row r="2587">
      <c r="L2587" s="13"/>
      <c r="M2587" s="14"/>
      <c r="N2587" s="14"/>
      <c r="O2587" s="14"/>
      <c r="P2587" s="13"/>
    </row>
    <row r="2588">
      <c r="L2588" s="13"/>
      <c r="M2588" s="14"/>
      <c r="N2588" s="14"/>
      <c r="O2588" s="14"/>
      <c r="P2588" s="13"/>
    </row>
    <row r="2589">
      <c r="L2589" s="13"/>
      <c r="M2589" s="14"/>
      <c r="N2589" s="14"/>
      <c r="O2589" s="14"/>
      <c r="P2589" s="13"/>
    </row>
    <row r="2590">
      <c r="L2590" s="13"/>
      <c r="M2590" s="14"/>
      <c r="N2590" s="14"/>
      <c r="O2590" s="14"/>
      <c r="P2590" s="13"/>
    </row>
    <row r="2591">
      <c r="L2591" s="13"/>
      <c r="M2591" s="14"/>
      <c r="N2591" s="14"/>
      <c r="O2591" s="14"/>
      <c r="P2591" s="13"/>
    </row>
    <row r="2592">
      <c r="L2592" s="13"/>
      <c r="M2592" s="14"/>
      <c r="N2592" s="14"/>
      <c r="O2592" s="14"/>
      <c r="P2592" s="13"/>
    </row>
    <row r="2593">
      <c r="L2593" s="13"/>
      <c r="M2593" s="14"/>
      <c r="N2593" s="14"/>
      <c r="O2593" s="14"/>
      <c r="P2593" s="13"/>
    </row>
    <row r="2594">
      <c r="L2594" s="13"/>
      <c r="M2594" s="14"/>
      <c r="N2594" s="14"/>
      <c r="O2594" s="14"/>
      <c r="P2594" s="13"/>
    </row>
    <row r="2595">
      <c r="L2595" s="13"/>
      <c r="M2595" s="14"/>
      <c r="N2595" s="14"/>
      <c r="O2595" s="14"/>
      <c r="P2595" s="13"/>
    </row>
    <row r="2596">
      <c r="L2596" s="13"/>
      <c r="M2596" s="14"/>
      <c r="N2596" s="14"/>
      <c r="O2596" s="14"/>
      <c r="P2596" s="13"/>
    </row>
    <row r="2597">
      <c r="L2597" s="13"/>
      <c r="M2597" s="14"/>
      <c r="N2597" s="14"/>
      <c r="O2597" s="14"/>
      <c r="P2597" s="13"/>
    </row>
    <row r="2598">
      <c r="L2598" s="13"/>
      <c r="M2598" s="14"/>
      <c r="N2598" s="14"/>
      <c r="O2598" s="14"/>
      <c r="P2598" s="13"/>
    </row>
    <row r="2599">
      <c r="L2599" s="13"/>
      <c r="M2599" s="14"/>
      <c r="N2599" s="14"/>
      <c r="O2599" s="14"/>
      <c r="P2599" s="13"/>
    </row>
    <row r="2600">
      <c r="L2600" s="13"/>
      <c r="M2600" s="14"/>
      <c r="N2600" s="14"/>
      <c r="O2600" s="14"/>
      <c r="P2600" s="13"/>
    </row>
    <row r="2601">
      <c r="L2601" s="13"/>
      <c r="M2601" s="14"/>
      <c r="N2601" s="14"/>
      <c r="O2601" s="14"/>
      <c r="P2601" s="13"/>
    </row>
    <row r="2602">
      <c r="L2602" s="13"/>
      <c r="M2602" s="14"/>
      <c r="N2602" s="14"/>
      <c r="O2602" s="14"/>
      <c r="P2602" s="13"/>
    </row>
    <row r="2603">
      <c r="L2603" s="13"/>
      <c r="M2603" s="14"/>
      <c r="N2603" s="14"/>
      <c r="O2603" s="14"/>
      <c r="P2603" s="13"/>
    </row>
    <row r="2604">
      <c r="L2604" s="13"/>
      <c r="M2604" s="14"/>
      <c r="N2604" s="14"/>
      <c r="O2604" s="14"/>
      <c r="P2604" s="13"/>
    </row>
    <row r="2605">
      <c r="L2605" s="13"/>
      <c r="M2605" s="14"/>
      <c r="N2605" s="14"/>
      <c r="O2605" s="14"/>
      <c r="P2605" s="13"/>
    </row>
    <row r="2606">
      <c r="L2606" s="13"/>
      <c r="M2606" s="14"/>
      <c r="N2606" s="14"/>
      <c r="O2606" s="14"/>
      <c r="P2606" s="13"/>
    </row>
    <row r="2607">
      <c r="L2607" s="13"/>
      <c r="M2607" s="14"/>
      <c r="N2607" s="14"/>
      <c r="O2607" s="14"/>
      <c r="P2607" s="13"/>
    </row>
    <row r="2608">
      <c r="L2608" s="13"/>
      <c r="M2608" s="14"/>
      <c r="N2608" s="14"/>
      <c r="O2608" s="14"/>
      <c r="P2608" s="13"/>
    </row>
    <row r="2609">
      <c r="L2609" s="13"/>
      <c r="M2609" s="14"/>
      <c r="N2609" s="14"/>
      <c r="O2609" s="14"/>
      <c r="P2609" s="13"/>
    </row>
    <row r="2610">
      <c r="L2610" s="13"/>
      <c r="M2610" s="14"/>
      <c r="N2610" s="14"/>
      <c r="O2610" s="14"/>
      <c r="P2610" s="13"/>
    </row>
    <row r="2611">
      <c r="L2611" s="13"/>
      <c r="M2611" s="14"/>
      <c r="N2611" s="14"/>
      <c r="O2611" s="14"/>
      <c r="P2611" s="13"/>
    </row>
    <row r="2612">
      <c r="L2612" s="13"/>
      <c r="M2612" s="14"/>
      <c r="N2612" s="14"/>
      <c r="O2612" s="14"/>
      <c r="P2612" s="13"/>
    </row>
    <row r="2613">
      <c r="L2613" s="13"/>
      <c r="M2613" s="14"/>
      <c r="N2613" s="14"/>
      <c r="O2613" s="14"/>
      <c r="P2613" s="13"/>
    </row>
    <row r="2614">
      <c r="L2614" s="13"/>
      <c r="M2614" s="14"/>
      <c r="N2614" s="14"/>
      <c r="O2614" s="14"/>
      <c r="P2614" s="13"/>
    </row>
    <row r="2615">
      <c r="L2615" s="13"/>
      <c r="M2615" s="14"/>
      <c r="N2615" s="14"/>
      <c r="O2615" s="14"/>
      <c r="P2615" s="13"/>
    </row>
    <row r="2616">
      <c r="L2616" s="13"/>
      <c r="M2616" s="14"/>
      <c r="N2616" s="14"/>
      <c r="O2616" s="14"/>
      <c r="P2616" s="13"/>
    </row>
    <row r="2617">
      <c r="L2617" s="13"/>
      <c r="M2617" s="14"/>
      <c r="N2617" s="14"/>
      <c r="O2617" s="14"/>
      <c r="P2617" s="13"/>
    </row>
    <row r="2618">
      <c r="L2618" s="13"/>
      <c r="M2618" s="14"/>
      <c r="N2618" s="14"/>
      <c r="O2618" s="14"/>
      <c r="P2618" s="13"/>
    </row>
    <row r="2619">
      <c r="L2619" s="13"/>
      <c r="M2619" s="14"/>
      <c r="N2619" s="14"/>
      <c r="O2619" s="14"/>
      <c r="P2619" s="13"/>
    </row>
    <row r="2620">
      <c r="L2620" s="13"/>
      <c r="M2620" s="14"/>
      <c r="N2620" s="14"/>
      <c r="O2620" s="14"/>
      <c r="P2620" s="13"/>
    </row>
    <row r="2621">
      <c r="L2621" s="13"/>
      <c r="M2621" s="14"/>
      <c r="N2621" s="14"/>
      <c r="O2621" s="14"/>
      <c r="P2621" s="13"/>
    </row>
    <row r="2622">
      <c r="L2622" s="13"/>
      <c r="M2622" s="14"/>
      <c r="N2622" s="14"/>
      <c r="O2622" s="14"/>
      <c r="P2622" s="13"/>
    </row>
    <row r="2623">
      <c r="L2623" s="13"/>
      <c r="M2623" s="14"/>
      <c r="N2623" s="14"/>
      <c r="O2623" s="14"/>
      <c r="P2623" s="13"/>
    </row>
    <row r="2624">
      <c r="L2624" s="13"/>
      <c r="M2624" s="14"/>
      <c r="N2624" s="14"/>
      <c r="O2624" s="14"/>
      <c r="P2624" s="13"/>
    </row>
    <row r="2625">
      <c r="L2625" s="13"/>
      <c r="M2625" s="14"/>
      <c r="N2625" s="14"/>
      <c r="O2625" s="14"/>
      <c r="P2625" s="13"/>
    </row>
    <row r="2626">
      <c r="L2626" s="13"/>
      <c r="M2626" s="14"/>
      <c r="N2626" s="14"/>
      <c r="O2626" s="14"/>
      <c r="P2626" s="13"/>
    </row>
    <row r="2627">
      <c r="L2627" s="13"/>
      <c r="M2627" s="14"/>
      <c r="N2627" s="14"/>
      <c r="O2627" s="14"/>
      <c r="P2627" s="13"/>
    </row>
    <row r="2628">
      <c r="L2628" s="13"/>
      <c r="M2628" s="14"/>
      <c r="N2628" s="14"/>
      <c r="O2628" s="14"/>
      <c r="P2628" s="13"/>
    </row>
    <row r="2629">
      <c r="L2629" s="13"/>
      <c r="M2629" s="14"/>
      <c r="N2629" s="14"/>
      <c r="O2629" s="14"/>
      <c r="P2629" s="13"/>
    </row>
    <row r="2630">
      <c r="L2630" s="13"/>
      <c r="M2630" s="14"/>
      <c r="N2630" s="14"/>
      <c r="O2630" s="14"/>
      <c r="P2630" s="13"/>
    </row>
    <row r="2631">
      <c r="L2631" s="13"/>
      <c r="M2631" s="14"/>
      <c r="N2631" s="14"/>
      <c r="O2631" s="14"/>
      <c r="P2631" s="13"/>
    </row>
    <row r="2632">
      <c r="L2632" s="13"/>
      <c r="M2632" s="14"/>
      <c r="N2632" s="14"/>
      <c r="O2632" s="14"/>
      <c r="P2632" s="13"/>
    </row>
    <row r="2633">
      <c r="L2633" s="13"/>
      <c r="M2633" s="14"/>
      <c r="N2633" s="14"/>
      <c r="O2633" s="14"/>
      <c r="P2633" s="13"/>
    </row>
    <row r="2634">
      <c r="L2634" s="13"/>
      <c r="M2634" s="14"/>
      <c r="N2634" s="14"/>
      <c r="O2634" s="14"/>
      <c r="P2634" s="13"/>
    </row>
    <row r="2635">
      <c r="L2635" s="13"/>
      <c r="M2635" s="14"/>
      <c r="N2635" s="14"/>
      <c r="O2635" s="14"/>
      <c r="P2635" s="13"/>
    </row>
    <row r="2636">
      <c r="L2636" s="13"/>
      <c r="M2636" s="14"/>
      <c r="N2636" s="14"/>
      <c r="O2636" s="14"/>
      <c r="P2636" s="13"/>
    </row>
    <row r="2637">
      <c r="L2637" s="13"/>
      <c r="M2637" s="14"/>
      <c r="N2637" s="14"/>
      <c r="O2637" s="14"/>
      <c r="P2637" s="13"/>
    </row>
    <row r="2638">
      <c r="L2638" s="13"/>
      <c r="M2638" s="14"/>
      <c r="N2638" s="14"/>
      <c r="O2638" s="14"/>
      <c r="P2638" s="13"/>
    </row>
    <row r="2639">
      <c r="L2639" s="13"/>
      <c r="M2639" s="14"/>
      <c r="N2639" s="14"/>
      <c r="O2639" s="14"/>
      <c r="P2639" s="13"/>
    </row>
    <row r="2640">
      <c r="L2640" s="13"/>
      <c r="M2640" s="14"/>
      <c r="N2640" s="14"/>
      <c r="O2640" s="14"/>
      <c r="P2640" s="13"/>
    </row>
    <row r="2641">
      <c r="L2641" s="13"/>
      <c r="M2641" s="14"/>
      <c r="N2641" s="14"/>
      <c r="O2641" s="14"/>
      <c r="P2641" s="13"/>
    </row>
    <row r="2642">
      <c r="L2642" s="13"/>
      <c r="M2642" s="14"/>
      <c r="N2642" s="14"/>
      <c r="O2642" s="14"/>
      <c r="P2642" s="13"/>
    </row>
    <row r="2643">
      <c r="L2643" s="13"/>
      <c r="M2643" s="14"/>
      <c r="N2643" s="14"/>
      <c r="O2643" s="14"/>
      <c r="P2643" s="13"/>
    </row>
    <row r="2644">
      <c r="L2644" s="13"/>
      <c r="M2644" s="14"/>
      <c r="N2644" s="14"/>
      <c r="O2644" s="14"/>
      <c r="P2644" s="13"/>
    </row>
    <row r="2645">
      <c r="L2645" s="13"/>
      <c r="M2645" s="14"/>
      <c r="N2645" s="14"/>
      <c r="O2645" s="14"/>
      <c r="P2645" s="13"/>
    </row>
    <row r="2646">
      <c r="L2646" s="13"/>
      <c r="M2646" s="14"/>
      <c r="N2646" s="14"/>
      <c r="O2646" s="14"/>
      <c r="P2646" s="13"/>
    </row>
    <row r="2647">
      <c r="L2647" s="13"/>
      <c r="M2647" s="14"/>
      <c r="N2647" s="14"/>
      <c r="O2647" s="14"/>
      <c r="P2647" s="13"/>
    </row>
    <row r="2648">
      <c r="L2648" s="13"/>
      <c r="M2648" s="14"/>
      <c r="N2648" s="14"/>
      <c r="O2648" s="14"/>
      <c r="P2648" s="13"/>
    </row>
    <row r="2649">
      <c r="L2649" s="13"/>
      <c r="M2649" s="14"/>
      <c r="N2649" s="14"/>
      <c r="O2649" s="14"/>
      <c r="P2649" s="13"/>
    </row>
    <row r="2650">
      <c r="L2650" s="13"/>
      <c r="M2650" s="14"/>
      <c r="N2650" s="14"/>
      <c r="O2650" s="14"/>
      <c r="P2650" s="13"/>
    </row>
    <row r="2651">
      <c r="L2651" s="13"/>
      <c r="M2651" s="14"/>
      <c r="N2651" s="14"/>
      <c r="O2651" s="14"/>
      <c r="P2651" s="13"/>
    </row>
    <row r="2652">
      <c r="L2652" s="13"/>
      <c r="M2652" s="14"/>
      <c r="N2652" s="14"/>
      <c r="O2652" s="14"/>
      <c r="P2652" s="13"/>
    </row>
    <row r="2653">
      <c r="L2653" s="13"/>
      <c r="M2653" s="14"/>
      <c r="N2653" s="14"/>
      <c r="O2653" s="14"/>
      <c r="P2653" s="13"/>
    </row>
    <row r="2654">
      <c r="L2654" s="13"/>
      <c r="M2654" s="14"/>
      <c r="N2654" s="14"/>
      <c r="O2654" s="14"/>
      <c r="P2654" s="13"/>
    </row>
    <row r="2655">
      <c r="L2655" s="13"/>
      <c r="M2655" s="14"/>
      <c r="N2655" s="14"/>
      <c r="O2655" s="14"/>
      <c r="P2655" s="13"/>
    </row>
    <row r="2656">
      <c r="L2656" s="13"/>
      <c r="M2656" s="14"/>
      <c r="N2656" s="14"/>
      <c r="O2656" s="14"/>
      <c r="P2656" s="13"/>
    </row>
    <row r="2657">
      <c r="L2657" s="13"/>
      <c r="M2657" s="14"/>
      <c r="N2657" s="14"/>
      <c r="O2657" s="14"/>
      <c r="P2657" s="13"/>
    </row>
    <row r="2658">
      <c r="L2658" s="13"/>
      <c r="M2658" s="14"/>
      <c r="N2658" s="14"/>
      <c r="O2658" s="14"/>
      <c r="P2658" s="13"/>
    </row>
    <row r="2659">
      <c r="L2659" s="13"/>
      <c r="M2659" s="14"/>
      <c r="N2659" s="14"/>
      <c r="O2659" s="14"/>
      <c r="P2659" s="13"/>
    </row>
    <row r="2660">
      <c r="L2660" s="13"/>
      <c r="M2660" s="14"/>
      <c r="N2660" s="14"/>
      <c r="O2660" s="14"/>
      <c r="P2660" s="13"/>
    </row>
    <row r="2661">
      <c r="L2661" s="13"/>
      <c r="M2661" s="14"/>
      <c r="N2661" s="14"/>
      <c r="O2661" s="14"/>
      <c r="P2661" s="13"/>
    </row>
    <row r="2662">
      <c r="L2662" s="13"/>
      <c r="M2662" s="14"/>
      <c r="N2662" s="14"/>
      <c r="O2662" s="14"/>
      <c r="P2662" s="13"/>
    </row>
    <row r="2663">
      <c r="L2663" s="13"/>
      <c r="M2663" s="14"/>
      <c r="N2663" s="14"/>
      <c r="O2663" s="14"/>
      <c r="P2663" s="13"/>
    </row>
    <row r="2664">
      <c r="L2664" s="13"/>
      <c r="M2664" s="14"/>
      <c r="N2664" s="14"/>
      <c r="O2664" s="14"/>
      <c r="P2664" s="13"/>
    </row>
    <row r="2665">
      <c r="L2665" s="13"/>
      <c r="M2665" s="14"/>
      <c r="N2665" s="14"/>
      <c r="O2665" s="14"/>
      <c r="P2665" s="13"/>
    </row>
    <row r="2666">
      <c r="L2666" s="13"/>
      <c r="M2666" s="14"/>
      <c r="N2666" s="14"/>
      <c r="O2666" s="14"/>
      <c r="P2666" s="13"/>
    </row>
    <row r="2667">
      <c r="L2667" s="13"/>
      <c r="M2667" s="14"/>
      <c r="N2667" s="14"/>
      <c r="O2667" s="14"/>
      <c r="P2667" s="13"/>
    </row>
    <row r="2668">
      <c r="L2668" s="13"/>
      <c r="M2668" s="14"/>
      <c r="N2668" s="14"/>
      <c r="O2668" s="14"/>
      <c r="P2668" s="13"/>
    </row>
    <row r="2669">
      <c r="L2669" s="13"/>
      <c r="M2669" s="14"/>
      <c r="N2669" s="14"/>
      <c r="O2669" s="14"/>
      <c r="P2669" s="13"/>
    </row>
    <row r="2670">
      <c r="L2670" s="13"/>
      <c r="M2670" s="14"/>
      <c r="N2670" s="14"/>
      <c r="O2670" s="14"/>
      <c r="P2670" s="13"/>
    </row>
    <row r="2671">
      <c r="L2671" s="13"/>
      <c r="M2671" s="14"/>
      <c r="N2671" s="14"/>
      <c r="O2671" s="14"/>
      <c r="P2671" s="13"/>
    </row>
    <row r="2672">
      <c r="L2672" s="13"/>
      <c r="M2672" s="14"/>
      <c r="N2672" s="14"/>
      <c r="O2672" s="14"/>
      <c r="P2672" s="13"/>
    </row>
    <row r="2673">
      <c r="L2673" s="13"/>
      <c r="M2673" s="14"/>
      <c r="N2673" s="14"/>
      <c r="O2673" s="14"/>
      <c r="P2673" s="13"/>
    </row>
    <row r="2674">
      <c r="L2674" s="13"/>
      <c r="M2674" s="14"/>
      <c r="N2674" s="14"/>
      <c r="O2674" s="14"/>
      <c r="P2674" s="13"/>
    </row>
    <row r="2675">
      <c r="L2675" s="13"/>
      <c r="M2675" s="14"/>
      <c r="N2675" s="14"/>
      <c r="O2675" s="14"/>
      <c r="P2675" s="13"/>
    </row>
    <row r="2676">
      <c r="L2676" s="13"/>
      <c r="M2676" s="14"/>
      <c r="N2676" s="14"/>
      <c r="O2676" s="14"/>
      <c r="P2676" s="13"/>
    </row>
    <row r="2677">
      <c r="L2677" s="13"/>
      <c r="M2677" s="14"/>
      <c r="N2677" s="14"/>
      <c r="O2677" s="14"/>
      <c r="P2677" s="13"/>
    </row>
    <row r="2678">
      <c r="L2678" s="13"/>
      <c r="M2678" s="14"/>
      <c r="N2678" s="14"/>
      <c r="O2678" s="14"/>
      <c r="P2678" s="13"/>
    </row>
    <row r="2679">
      <c r="L2679" s="13"/>
      <c r="M2679" s="14"/>
      <c r="N2679" s="14"/>
      <c r="O2679" s="14"/>
      <c r="P2679" s="13"/>
    </row>
    <row r="2680">
      <c r="L2680" s="13"/>
      <c r="M2680" s="14"/>
      <c r="N2680" s="14"/>
      <c r="O2680" s="14"/>
      <c r="P2680" s="13"/>
    </row>
    <row r="2681">
      <c r="L2681" s="13"/>
      <c r="M2681" s="14"/>
      <c r="N2681" s="14"/>
      <c r="O2681" s="14"/>
      <c r="P2681" s="13"/>
    </row>
    <row r="2682">
      <c r="L2682" s="13"/>
      <c r="M2682" s="14"/>
      <c r="N2682" s="14"/>
      <c r="O2682" s="14"/>
      <c r="P2682" s="13"/>
    </row>
    <row r="2683">
      <c r="L2683" s="13"/>
      <c r="M2683" s="14"/>
      <c r="N2683" s="14"/>
      <c r="O2683" s="14"/>
      <c r="P2683" s="13"/>
    </row>
    <row r="2684">
      <c r="L2684" s="13"/>
      <c r="M2684" s="14"/>
      <c r="N2684" s="14"/>
      <c r="O2684" s="14"/>
      <c r="P2684" s="13"/>
    </row>
    <row r="2685">
      <c r="L2685" s="13"/>
      <c r="M2685" s="14"/>
      <c r="N2685" s="14"/>
      <c r="O2685" s="14"/>
      <c r="P2685" s="13"/>
    </row>
    <row r="2686">
      <c r="L2686" s="13"/>
      <c r="M2686" s="14"/>
      <c r="N2686" s="14"/>
      <c r="O2686" s="14"/>
      <c r="P2686" s="13"/>
    </row>
    <row r="2687">
      <c r="L2687" s="13"/>
      <c r="M2687" s="14"/>
      <c r="N2687" s="14"/>
      <c r="O2687" s="14"/>
      <c r="P2687" s="13"/>
    </row>
    <row r="2688">
      <c r="L2688" s="13"/>
      <c r="M2688" s="14"/>
      <c r="N2688" s="14"/>
      <c r="O2688" s="14"/>
      <c r="P2688" s="13"/>
    </row>
    <row r="2689">
      <c r="L2689" s="13"/>
      <c r="M2689" s="14"/>
      <c r="N2689" s="14"/>
      <c r="O2689" s="14"/>
      <c r="P2689" s="13"/>
    </row>
    <row r="2690">
      <c r="L2690" s="13"/>
      <c r="M2690" s="14"/>
      <c r="N2690" s="14"/>
      <c r="O2690" s="14"/>
      <c r="P2690" s="13"/>
    </row>
    <row r="2691">
      <c r="L2691" s="13"/>
      <c r="M2691" s="14"/>
      <c r="N2691" s="14"/>
      <c r="O2691" s="14"/>
      <c r="P2691" s="13"/>
    </row>
    <row r="2692">
      <c r="L2692" s="13"/>
      <c r="M2692" s="14"/>
      <c r="N2692" s="14"/>
      <c r="O2692" s="14"/>
      <c r="P2692" s="13"/>
    </row>
    <row r="2693">
      <c r="L2693" s="13"/>
      <c r="M2693" s="14"/>
      <c r="N2693" s="14"/>
      <c r="O2693" s="14"/>
      <c r="P2693" s="13"/>
    </row>
    <row r="2694">
      <c r="L2694" s="13"/>
      <c r="M2694" s="14"/>
      <c r="N2694" s="14"/>
      <c r="O2694" s="14"/>
      <c r="P2694" s="13"/>
    </row>
    <row r="2695">
      <c r="L2695" s="13"/>
      <c r="M2695" s="14"/>
      <c r="N2695" s="14"/>
      <c r="O2695" s="14"/>
      <c r="P2695" s="13"/>
    </row>
    <row r="2696">
      <c r="L2696" s="13"/>
      <c r="M2696" s="14"/>
      <c r="N2696" s="14"/>
      <c r="O2696" s="14"/>
      <c r="P2696" s="13"/>
    </row>
    <row r="2697">
      <c r="L2697" s="13"/>
      <c r="M2697" s="14"/>
      <c r="N2697" s="14"/>
      <c r="O2697" s="14"/>
      <c r="P2697" s="13"/>
    </row>
    <row r="2698">
      <c r="L2698" s="13"/>
      <c r="M2698" s="14"/>
      <c r="N2698" s="14"/>
      <c r="O2698" s="14"/>
      <c r="P2698" s="13"/>
    </row>
    <row r="2699">
      <c r="L2699" s="13"/>
      <c r="M2699" s="14"/>
      <c r="N2699" s="14"/>
      <c r="O2699" s="14"/>
      <c r="P2699" s="13"/>
    </row>
    <row r="2700">
      <c r="L2700" s="13"/>
      <c r="M2700" s="14"/>
      <c r="N2700" s="14"/>
      <c r="O2700" s="14"/>
      <c r="P2700" s="13"/>
    </row>
    <row r="2701">
      <c r="L2701" s="13"/>
      <c r="M2701" s="14"/>
      <c r="N2701" s="14"/>
      <c r="O2701" s="14"/>
      <c r="P2701" s="13"/>
    </row>
    <row r="2702">
      <c r="L2702" s="13"/>
      <c r="M2702" s="14"/>
      <c r="N2702" s="14"/>
      <c r="O2702" s="14"/>
      <c r="P2702" s="13"/>
    </row>
    <row r="2703">
      <c r="L2703" s="13"/>
      <c r="M2703" s="14"/>
      <c r="N2703" s="14"/>
      <c r="O2703" s="14"/>
      <c r="P2703" s="13"/>
    </row>
    <row r="2704">
      <c r="L2704" s="13"/>
      <c r="M2704" s="14"/>
      <c r="N2704" s="14"/>
      <c r="O2704" s="14"/>
      <c r="P2704" s="13"/>
    </row>
    <row r="2705">
      <c r="L2705" s="13"/>
      <c r="M2705" s="14"/>
      <c r="N2705" s="14"/>
      <c r="O2705" s="14"/>
      <c r="P2705" s="13"/>
    </row>
    <row r="2706">
      <c r="L2706" s="13"/>
      <c r="M2706" s="14"/>
      <c r="N2706" s="14"/>
      <c r="O2706" s="14"/>
      <c r="P2706" s="13"/>
    </row>
    <row r="2707">
      <c r="L2707" s="13"/>
      <c r="M2707" s="14"/>
      <c r="N2707" s="14"/>
      <c r="O2707" s="14"/>
      <c r="P2707" s="13"/>
    </row>
    <row r="2708">
      <c r="L2708" s="13"/>
      <c r="M2708" s="14"/>
      <c r="N2708" s="14"/>
      <c r="O2708" s="14"/>
      <c r="P2708" s="13"/>
    </row>
    <row r="2709">
      <c r="L2709" s="13"/>
      <c r="M2709" s="14"/>
      <c r="N2709" s="14"/>
      <c r="O2709" s="14"/>
      <c r="P2709" s="13"/>
    </row>
    <row r="2710">
      <c r="L2710" s="13"/>
      <c r="M2710" s="14"/>
      <c r="N2710" s="14"/>
      <c r="O2710" s="14"/>
      <c r="P2710" s="13"/>
    </row>
    <row r="2711">
      <c r="L2711" s="13"/>
      <c r="M2711" s="14"/>
      <c r="N2711" s="14"/>
      <c r="O2711" s="14"/>
      <c r="P2711" s="13"/>
    </row>
    <row r="2712">
      <c r="L2712" s="13"/>
      <c r="M2712" s="14"/>
      <c r="N2712" s="14"/>
      <c r="O2712" s="14"/>
      <c r="P2712" s="13"/>
    </row>
    <row r="2713">
      <c r="L2713" s="13"/>
      <c r="M2713" s="14"/>
      <c r="N2713" s="14"/>
      <c r="O2713" s="14"/>
      <c r="P2713" s="13"/>
    </row>
    <row r="2714">
      <c r="L2714" s="13"/>
      <c r="M2714" s="14"/>
      <c r="N2714" s="14"/>
      <c r="O2714" s="14"/>
      <c r="P2714" s="13"/>
    </row>
    <row r="2715">
      <c r="L2715" s="13"/>
      <c r="M2715" s="14"/>
      <c r="N2715" s="14"/>
      <c r="O2715" s="14"/>
      <c r="P2715" s="13"/>
    </row>
    <row r="2716">
      <c r="L2716" s="13"/>
      <c r="M2716" s="14"/>
      <c r="N2716" s="14"/>
      <c r="O2716" s="14"/>
      <c r="P2716" s="13"/>
    </row>
    <row r="2717">
      <c r="L2717" s="13"/>
      <c r="M2717" s="14"/>
      <c r="N2717" s="14"/>
      <c r="O2717" s="14"/>
      <c r="P2717" s="13"/>
    </row>
    <row r="2718">
      <c r="L2718" s="13"/>
      <c r="M2718" s="14"/>
      <c r="N2718" s="14"/>
      <c r="O2718" s="14"/>
      <c r="P2718" s="13"/>
    </row>
    <row r="2719">
      <c r="L2719" s="13"/>
      <c r="M2719" s="14"/>
      <c r="N2719" s="14"/>
      <c r="O2719" s="14"/>
      <c r="P2719" s="13"/>
    </row>
    <row r="2720">
      <c r="L2720" s="13"/>
      <c r="M2720" s="14"/>
      <c r="N2720" s="14"/>
      <c r="O2720" s="14"/>
      <c r="P2720" s="13"/>
    </row>
    <row r="2721">
      <c r="L2721" s="13"/>
      <c r="M2721" s="14"/>
      <c r="N2721" s="14"/>
      <c r="O2721" s="14"/>
      <c r="P2721" s="13"/>
    </row>
    <row r="2722">
      <c r="L2722" s="13"/>
      <c r="M2722" s="14"/>
      <c r="N2722" s="14"/>
      <c r="O2722" s="14"/>
      <c r="P2722" s="13"/>
    </row>
    <row r="2723">
      <c r="L2723" s="13"/>
      <c r="M2723" s="14"/>
      <c r="N2723" s="14"/>
      <c r="O2723" s="14"/>
      <c r="P2723" s="13"/>
    </row>
    <row r="2724">
      <c r="L2724" s="13"/>
      <c r="M2724" s="14"/>
      <c r="N2724" s="14"/>
      <c r="O2724" s="14"/>
      <c r="P2724" s="13"/>
    </row>
    <row r="2725">
      <c r="L2725" s="13"/>
      <c r="M2725" s="14"/>
      <c r="N2725" s="14"/>
      <c r="O2725" s="14"/>
      <c r="P2725" s="13"/>
    </row>
    <row r="2726">
      <c r="L2726" s="13"/>
      <c r="M2726" s="14"/>
      <c r="N2726" s="14"/>
      <c r="O2726" s="14"/>
      <c r="P2726" s="13"/>
    </row>
    <row r="2727">
      <c r="L2727" s="13"/>
      <c r="M2727" s="14"/>
      <c r="N2727" s="14"/>
      <c r="O2727" s="14"/>
      <c r="P2727" s="13"/>
    </row>
    <row r="2728">
      <c r="L2728" s="13"/>
      <c r="M2728" s="14"/>
      <c r="N2728" s="14"/>
      <c r="O2728" s="14"/>
      <c r="P2728" s="13"/>
    </row>
    <row r="2729">
      <c r="L2729" s="13"/>
      <c r="M2729" s="14"/>
      <c r="N2729" s="14"/>
      <c r="O2729" s="14"/>
      <c r="P2729" s="13"/>
    </row>
    <row r="2730">
      <c r="L2730" s="13"/>
      <c r="M2730" s="14"/>
      <c r="N2730" s="14"/>
      <c r="O2730" s="14"/>
      <c r="P2730" s="13"/>
    </row>
    <row r="2731">
      <c r="L2731" s="13"/>
      <c r="M2731" s="14"/>
      <c r="N2731" s="14"/>
      <c r="O2731" s="14"/>
      <c r="P2731" s="13"/>
    </row>
    <row r="2732">
      <c r="L2732" s="13"/>
      <c r="M2732" s="14"/>
      <c r="N2732" s="14"/>
      <c r="O2732" s="14"/>
      <c r="P2732" s="13"/>
    </row>
    <row r="2733">
      <c r="L2733" s="13"/>
      <c r="M2733" s="14"/>
      <c r="N2733" s="14"/>
      <c r="O2733" s="14"/>
      <c r="P2733" s="13"/>
    </row>
    <row r="2734">
      <c r="L2734" s="13"/>
      <c r="M2734" s="14"/>
      <c r="N2734" s="14"/>
      <c r="O2734" s="14"/>
      <c r="P2734" s="13"/>
    </row>
    <row r="2735">
      <c r="L2735" s="13"/>
      <c r="M2735" s="14"/>
      <c r="N2735" s="14"/>
      <c r="O2735" s="14"/>
      <c r="P2735" s="13"/>
    </row>
    <row r="2736">
      <c r="L2736" s="13"/>
      <c r="M2736" s="14"/>
      <c r="N2736" s="14"/>
      <c r="O2736" s="14"/>
      <c r="P2736" s="13"/>
    </row>
    <row r="2737">
      <c r="L2737" s="13"/>
      <c r="M2737" s="14"/>
      <c r="N2737" s="14"/>
      <c r="O2737" s="14"/>
      <c r="P2737" s="13"/>
    </row>
    <row r="2738">
      <c r="L2738" s="13"/>
      <c r="M2738" s="14"/>
      <c r="N2738" s="14"/>
      <c r="O2738" s="14"/>
      <c r="P2738" s="13"/>
    </row>
    <row r="2739">
      <c r="L2739" s="13"/>
      <c r="M2739" s="14"/>
      <c r="N2739" s="14"/>
      <c r="O2739" s="14"/>
      <c r="P2739" s="13"/>
    </row>
    <row r="2740">
      <c r="L2740" s="13"/>
      <c r="M2740" s="14"/>
      <c r="N2740" s="14"/>
      <c r="O2740" s="14"/>
      <c r="P2740" s="13"/>
    </row>
    <row r="2741">
      <c r="L2741" s="13"/>
      <c r="M2741" s="14"/>
      <c r="N2741" s="14"/>
      <c r="O2741" s="14"/>
      <c r="P2741" s="13"/>
    </row>
    <row r="2742">
      <c r="L2742" s="13"/>
      <c r="M2742" s="14"/>
      <c r="N2742" s="14"/>
      <c r="O2742" s="14"/>
      <c r="P2742" s="13"/>
    </row>
    <row r="2743">
      <c r="L2743" s="13"/>
      <c r="M2743" s="14"/>
      <c r="N2743" s="14"/>
      <c r="O2743" s="14"/>
      <c r="P2743" s="13"/>
    </row>
    <row r="2744">
      <c r="L2744" s="13"/>
      <c r="M2744" s="14"/>
      <c r="N2744" s="14"/>
      <c r="O2744" s="14"/>
      <c r="P2744" s="13"/>
    </row>
    <row r="2745">
      <c r="L2745" s="13"/>
      <c r="M2745" s="14"/>
      <c r="N2745" s="14"/>
      <c r="O2745" s="14"/>
      <c r="P2745" s="13"/>
    </row>
    <row r="2746">
      <c r="L2746" s="13"/>
      <c r="M2746" s="14"/>
      <c r="N2746" s="14"/>
      <c r="O2746" s="14"/>
      <c r="P2746" s="13"/>
    </row>
    <row r="2747">
      <c r="L2747" s="13"/>
      <c r="M2747" s="14"/>
      <c r="N2747" s="14"/>
      <c r="O2747" s="14"/>
      <c r="P2747" s="13"/>
    </row>
    <row r="2748">
      <c r="L2748" s="13"/>
      <c r="M2748" s="14"/>
      <c r="N2748" s="14"/>
      <c r="O2748" s="14"/>
      <c r="P2748" s="13"/>
    </row>
    <row r="2749">
      <c r="L2749" s="13"/>
      <c r="M2749" s="14"/>
      <c r="N2749" s="14"/>
      <c r="O2749" s="14"/>
      <c r="P2749" s="13"/>
    </row>
    <row r="2750">
      <c r="L2750" s="13"/>
      <c r="M2750" s="14"/>
      <c r="N2750" s="14"/>
      <c r="O2750" s="14"/>
      <c r="P2750" s="13"/>
    </row>
    <row r="2751">
      <c r="L2751" s="13"/>
      <c r="M2751" s="14"/>
      <c r="N2751" s="14"/>
      <c r="O2751" s="14"/>
      <c r="P2751" s="13"/>
    </row>
    <row r="2752">
      <c r="L2752" s="13"/>
      <c r="M2752" s="14"/>
      <c r="N2752" s="14"/>
      <c r="O2752" s="14"/>
      <c r="P2752" s="13"/>
    </row>
    <row r="2753">
      <c r="L2753" s="13"/>
      <c r="M2753" s="14"/>
      <c r="N2753" s="14"/>
      <c r="O2753" s="14"/>
      <c r="P2753" s="13"/>
    </row>
    <row r="2754">
      <c r="L2754" s="13"/>
      <c r="M2754" s="14"/>
      <c r="N2754" s="14"/>
      <c r="O2754" s="14"/>
      <c r="P2754" s="13"/>
    </row>
    <row r="2755">
      <c r="L2755" s="13"/>
      <c r="M2755" s="14"/>
      <c r="N2755" s="14"/>
      <c r="O2755" s="14"/>
      <c r="P2755" s="13"/>
    </row>
    <row r="2756">
      <c r="L2756" s="13"/>
      <c r="M2756" s="14"/>
      <c r="N2756" s="14"/>
      <c r="O2756" s="14"/>
      <c r="P2756" s="13"/>
    </row>
    <row r="2757">
      <c r="L2757" s="13"/>
      <c r="M2757" s="14"/>
      <c r="N2757" s="14"/>
      <c r="O2757" s="14"/>
      <c r="P2757" s="13"/>
    </row>
    <row r="2758">
      <c r="L2758" s="13"/>
      <c r="M2758" s="14"/>
      <c r="N2758" s="14"/>
      <c r="O2758" s="14"/>
      <c r="P2758" s="13"/>
    </row>
    <row r="2759">
      <c r="L2759" s="13"/>
      <c r="M2759" s="14"/>
      <c r="N2759" s="14"/>
      <c r="O2759" s="14"/>
      <c r="P2759" s="13"/>
    </row>
    <row r="2760">
      <c r="L2760" s="13"/>
      <c r="M2760" s="14"/>
      <c r="N2760" s="14"/>
      <c r="O2760" s="14"/>
      <c r="P2760" s="13"/>
    </row>
    <row r="2761">
      <c r="L2761" s="13"/>
      <c r="M2761" s="14"/>
      <c r="N2761" s="14"/>
      <c r="O2761" s="14"/>
      <c r="P2761" s="13"/>
    </row>
    <row r="2762">
      <c r="L2762" s="13"/>
      <c r="M2762" s="14"/>
      <c r="N2762" s="14"/>
      <c r="O2762" s="14"/>
      <c r="P2762" s="13"/>
    </row>
    <row r="2763">
      <c r="L2763" s="13"/>
      <c r="M2763" s="14"/>
      <c r="N2763" s="14"/>
      <c r="O2763" s="14"/>
      <c r="P2763" s="13"/>
    </row>
    <row r="2764">
      <c r="L2764" s="13"/>
      <c r="M2764" s="14"/>
      <c r="N2764" s="14"/>
      <c r="O2764" s="14"/>
      <c r="P2764" s="13"/>
    </row>
    <row r="2765">
      <c r="L2765" s="13"/>
      <c r="M2765" s="14"/>
      <c r="N2765" s="14"/>
      <c r="O2765" s="14"/>
      <c r="P2765" s="13"/>
    </row>
    <row r="2766">
      <c r="L2766" s="13"/>
      <c r="M2766" s="14"/>
      <c r="N2766" s="14"/>
      <c r="O2766" s="14"/>
      <c r="P2766" s="13"/>
    </row>
    <row r="2767">
      <c r="L2767" s="13"/>
      <c r="M2767" s="14"/>
      <c r="N2767" s="14"/>
      <c r="O2767" s="14"/>
      <c r="P2767" s="13"/>
    </row>
    <row r="2768">
      <c r="L2768" s="13"/>
      <c r="M2768" s="14"/>
      <c r="N2768" s="14"/>
      <c r="O2768" s="14"/>
      <c r="P2768" s="13"/>
    </row>
    <row r="2769">
      <c r="L2769" s="13"/>
      <c r="M2769" s="14"/>
      <c r="N2769" s="14"/>
      <c r="O2769" s="14"/>
      <c r="P2769" s="13"/>
    </row>
    <row r="2770">
      <c r="L2770" s="13"/>
      <c r="M2770" s="14"/>
      <c r="N2770" s="14"/>
      <c r="O2770" s="14"/>
      <c r="P2770" s="13"/>
    </row>
    <row r="2771">
      <c r="L2771" s="13"/>
      <c r="M2771" s="14"/>
      <c r="N2771" s="14"/>
      <c r="O2771" s="14"/>
      <c r="P2771" s="13"/>
    </row>
    <row r="2772">
      <c r="L2772" s="13"/>
      <c r="M2772" s="14"/>
      <c r="N2772" s="14"/>
      <c r="O2772" s="14"/>
      <c r="P2772" s="13"/>
    </row>
    <row r="2773">
      <c r="L2773" s="13"/>
      <c r="M2773" s="14"/>
      <c r="N2773" s="14"/>
      <c r="O2773" s="14"/>
      <c r="P2773" s="13"/>
    </row>
    <row r="2774">
      <c r="L2774" s="13"/>
      <c r="M2774" s="14"/>
      <c r="N2774" s="14"/>
      <c r="O2774" s="14"/>
      <c r="P2774" s="13"/>
    </row>
    <row r="2775">
      <c r="L2775" s="13"/>
      <c r="M2775" s="14"/>
      <c r="N2775" s="14"/>
      <c r="O2775" s="14"/>
      <c r="P2775" s="13"/>
    </row>
    <row r="2776">
      <c r="L2776" s="13"/>
      <c r="M2776" s="14"/>
      <c r="N2776" s="14"/>
      <c r="O2776" s="14"/>
      <c r="P2776" s="13"/>
    </row>
    <row r="2777">
      <c r="L2777" s="13"/>
      <c r="M2777" s="14"/>
      <c r="N2777" s="14"/>
      <c r="O2777" s="14"/>
      <c r="P2777" s="13"/>
    </row>
    <row r="2778">
      <c r="L2778" s="13"/>
      <c r="M2778" s="14"/>
      <c r="N2778" s="14"/>
      <c r="O2778" s="14"/>
      <c r="P2778" s="13"/>
    </row>
    <row r="2779">
      <c r="L2779" s="13"/>
      <c r="M2779" s="14"/>
      <c r="N2779" s="14"/>
      <c r="O2779" s="14"/>
      <c r="P2779" s="13"/>
    </row>
    <row r="2780">
      <c r="L2780" s="13"/>
      <c r="M2780" s="14"/>
      <c r="N2780" s="14"/>
      <c r="O2780" s="14"/>
      <c r="P2780" s="13"/>
    </row>
    <row r="2781">
      <c r="L2781" s="13"/>
      <c r="M2781" s="14"/>
      <c r="N2781" s="14"/>
      <c r="O2781" s="14"/>
      <c r="P2781" s="13"/>
    </row>
    <row r="2782">
      <c r="L2782" s="13"/>
      <c r="M2782" s="14"/>
      <c r="N2782" s="14"/>
      <c r="O2782" s="14"/>
      <c r="P2782" s="13"/>
    </row>
    <row r="2783">
      <c r="L2783" s="13"/>
      <c r="M2783" s="14"/>
      <c r="N2783" s="14"/>
      <c r="O2783" s="14"/>
      <c r="P2783" s="13"/>
    </row>
    <row r="2784">
      <c r="L2784" s="13"/>
      <c r="M2784" s="14"/>
      <c r="N2784" s="14"/>
      <c r="O2784" s="14"/>
      <c r="P2784" s="13"/>
    </row>
    <row r="2785">
      <c r="L2785" s="13"/>
      <c r="M2785" s="14"/>
      <c r="N2785" s="14"/>
      <c r="O2785" s="14"/>
      <c r="P2785" s="13"/>
    </row>
    <row r="2786">
      <c r="L2786" s="13"/>
      <c r="M2786" s="14"/>
      <c r="N2786" s="14"/>
      <c r="O2786" s="14"/>
      <c r="P2786" s="13"/>
    </row>
    <row r="2787">
      <c r="L2787" s="13"/>
      <c r="M2787" s="14"/>
      <c r="N2787" s="14"/>
      <c r="O2787" s="14"/>
      <c r="P2787" s="13"/>
    </row>
    <row r="2788">
      <c r="L2788" s="13"/>
      <c r="M2788" s="14"/>
      <c r="N2788" s="14"/>
      <c r="O2788" s="14"/>
      <c r="P2788" s="13"/>
    </row>
    <row r="2789">
      <c r="L2789" s="13"/>
      <c r="M2789" s="14"/>
      <c r="N2789" s="14"/>
      <c r="O2789" s="14"/>
      <c r="P2789" s="13"/>
    </row>
    <row r="2790">
      <c r="L2790" s="13"/>
      <c r="M2790" s="14"/>
      <c r="N2790" s="14"/>
      <c r="O2790" s="14"/>
      <c r="P2790" s="13"/>
    </row>
    <row r="2791">
      <c r="L2791" s="13"/>
      <c r="M2791" s="14"/>
      <c r="N2791" s="14"/>
      <c r="O2791" s="14"/>
      <c r="P2791" s="13"/>
    </row>
    <row r="2792">
      <c r="L2792" s="13"/>
      <c r="M2792" s="14"/>
      <c r="N2792" s="14"/>
      <c r="O2792" s="14"/>
      <c r="P2792" s="13"/>
    </row>
    <row r="2793">
      <c r="L2793" s="13"/>
      <c r="M2793" s="14"/>
      <c r="N2793" s="14"/>
      <c r="O2793" s="14"/>
      <c r="P2793" s="13"/>
    </row>
    <row r="2794">
      <c r="L2794" s="13"/>
      <c r="M2794" s="14"/>
      <c r="N2794" s="14"/>
      <c r="O2794" s="14"/>
      <c r="P2794" s="13"/>
    </row>
    <row r="2795">
      <c r="L2795" s="13"/>
      <c r="M2795" s="14"/>
      <c r="N2795" s="14"/>
      <c r="O2795" s="14"/>
      <c r="P2795" s="13"/>
    </row>
    <row r="2796">
      <c r="L2796" s="13"/>
      <c r="M2796" s="14"/>
      <c r="N2796" s="14"/>
      <c r="O2796" s="14"/>
      <c r="P2796" s="13"/>
    </row>
    <row r="2797">
      <c r="L2797" s="13"/>
      <c r="M2797" s="14"/>
      <c r="N2797" s="14"/>
      <c r="O2797" s="14"/>
      <c r="P2797" s="13"/>
    </row>
    <row r="2798">
      <c r="L2798" s="13"/>
      <c r="M2798" s="14"/>
      <c r="N2798" s="14"/>
      <c r="O2798" s="14"/>
      <c r="P2798" s="13"/>
    </row>
    <row r="2799">
      <c r="L2799" s="13"/>
      <c r="M2799" s="14"/>
      <c r="N2799" s="14"/>
      <c r="O2799" s="14"/>
      <c r="P2799" s="13"/>
    </row>
    <row r="2800">
      <c r="L2800" s="13"/>
      <c r="M2800" s="14"/>
      <c r="N2800" s="14"/>
      <c r="O2800" s="14"/>
      <c r="P2800" s="13"/>
    </row>
    <row r="2801">
      <c r="L2801" s="13"/>
      <c r="M2801" s="14"/>
      <c r="N2801" s="14"/>
      <c r="O2801" s="14"/>
      <c r="P2801" s="13"/>
    </row>
    <row r="2802">
      <c r="L2802" s="13"/>
      <c r="M2802" s="14"/>
      <c r="N2802" s="14"/>
      <c r="O2802" s="14"/>
      <c r="P2802" s="13"/>
    </row>
    <row r="2803">
      <c r="L2803" s="13"/>
      <c r="M2803" s="14"/>
      <c r="N2803" s="14"/>
      <c r="O2803" s="14"/>
      <c r="P2803" s="13"/>
    </row>
    <row r="2804">
      <c r="L2804" s="13"/>
      <c r="M2804" s="14"/>
      <c r="N2804" s="14"/>
      <c r="O2804" s="14"/>
      <c r="P2804" s="13"/>
    </row>
    <row r="2805">
      <c r="L2805" s="13"/>
      <c r="M2805" s="14"/>
      <c r="N2805" s="14"/>
      <c r="O2805" s="14"/>
      <c r="P2805" s="13"/>
    </row>
    <row r="2806">
      <c r="L2806" s="13"/>
      <c r="M2806" s="14"/>
      <c r="N2806" s="14"/>
      <c r="O2806" s="14"/>
      <c r="P2806" s="13"/>
    </row>
    <row r="2807">
      <c r="L2807" s="13"/>
      <c r="M2807" s="14"/>
      <c r="N2807" s="14"/>
      <c r="O2807" s="14"/>
      <c r="P2807" s="13"/>
    </row>
    <row r="2808">
      <c r="L2808" s="13"/>
      <c r="M2808" s="14"/>
      <c r="N2808" s="14"/>
      <c r="O2808" s="14"/>
      <c r="P2808" s="13"/>
    </row>
    <row r="2809">
      <c r="L2809" s="13"/>
      <c r="M2809" s="14"/>
      <c r="N2809" s="14"/>
      <c r="O2809" s="14"/>
      <c r="P2809" s="13"/>
    </row>
    <row r="2810">
      <c r="L2810" s="13"/>
      <c r="M2810" s="14"/>
      <c r="N2810" s="14"/>
      <c r="O2810" s="14"/>
      <c r="P2810" s="13"/>
    </row>
    <row r="2811">
      <c r="L2811" s="13"/>
      <c r="M2811" s="14"/>
      <c r="N2811" s="14"/>
      <c r="O2811" s="14"/>
      <c r="P2811" s="13"/>
    </row>
    <row r="2812">
      <c r="L2812" s="13"/>
      <c r="M2812" s="14"/>
      <c r="N2812" s="14"/>
      <c r="O2812" s="14"/>
      <c r="P2812" s="13"/>
    </row>
    <row r="2813">
      <c r="L2813" s="13"/>
      <c r="M2813" s="14"/>
      <c r="N2813" s="14"/>
      <c r="O2813" s="14"/>
      <c r="P2813" s="13"/>
    </row>
    <row r="2814">
      <c r="L2814" s="13"/>
      <c r="M2814" s="14"/>
      <c r="N2814" s="14"/>
      <c r="O2814" s="14"/>
      <c r="P2814" s="13"/>
    </row>
    <row r="2815">
      <c r="L2815" s="13"/>
      <c r="M2815" s="14"/>
      <c r="N2815" s="14"/>
      <c r="O2815" s="14"/>
      <c r="P2815" s="13"/>
    </row>
    <row r="2816">
      <c r="L2816" s="13"/>
      <c r="M2816" s="14"/>
      <c r="N2816" s="14"/>
      <c r="O2816" s="14"/>
      <c r="P2816" s="13"/>
    </row>
    <row r="2817">
      <c r="L2817" s="13"/>
      <c r="M2817" s="14"/>
      <c r="N2817" s="14"/>
      <c r="O2817" s="14"/>
      <c r="P2817" s="13"/>
    </row>
    <row r="2818">
      <c r="L2818" s="13"/>
      <c r="M2818" s="14"/>
      <c r="N2818" s="14"/>
      <c r="O2818" s="14"/>
      <c r="P2818" s="13"/>
    </row>
    <row r="2819">
      <c r="L2819" s="13"/>
      <c r="M2819" s="14"/>
      <c r="N2819" s="14"/>
      <c r="O2819" s="14"/>
      <c r="P2819" s="13"/>
    </row>
    <row r="2820">
      <c r="L2820" s="13"/>
      <c r="M2820" s="14"/>
      <c r="N2820" s="14"/>
      <c r="O2820" s="14"/>
      <c r="P2820" s="13"/>
    </row>
    <row r="2821">
      <c r="L2821" s="13"/>
      <c r="M2821" s="14"/>
      <c r="N2821" s="14"/>
      <c r="O2821" s="14"/>
      <c r="P2821" s="13"/>
    </row>
    <row r="2822">
      <c r="L2822" s="13"/>
      <c r="M2822" s="14"/>
      <c r="N2822" s="14"/>
      <c r="O2822" s="14"/>
      <c r="P2822" s="13"/>
    </row>
    <row r="2823">
      <c r="L2823" s="13"/>
      <c r="M2823" s="14"/>
      <c r="N2823" s="14"/>
      <c r="O2823" s="14"/>
      <c r="P2823" s="13"/>
    </row>
    <row r="2824">
      <c r="L2824" s="13"/>
      <c r="M2824" s="14"/>
      <c r="N2824" s="14"/>
      <c r="O2824" s="14"/>
      <c r="P2824" s="13"/>
    </row>
    <row r="2825">
      <c r="L2825" s="13"/>
      <c r="M2825" s="14"/>
      <c r="N2825" s="14"/>
      <c r="O2825" s="14"/>
      <c r="P2825" s="13"/>
    </row>
    <row r="2826">
      <c r="L2826" s="13"/>
      <c r="M2826" s="14"/>
      <c r="N2826" s="14"/>
      <c r="O2826" s="14"/>
      <c r="P2826" s="13"/>
    </row>
    <row r="2827">
      <c r="L2827" s="13"/>
      <c r="M2827" s="14"/>
      <c r="N2827" s="14"/>
      <c r="O2827" s="14"/>
      <c r="P2827" s="13"/>
    </row>
    <row r="2828">
      <c r="L2828" s="13"/>
      <c r="M2828" s="14"/>
      <c r="N2828" s="14"/>
      <c r="O2828" s="14"/>
      <c r="P2828" s="13"/>
    </row>
    <row r="2829">
      <c r="L2829" s="13"/>
      <c r="M2829" s="14"/>
      <c r="N2829" s="14"/>
      <c r="O2829" s="14"/>
      <c r="P2829" s="13"/>
    </row>
    <row r="2830">
      <c r="L2830" s="13"/>
      <c r="M2830" s="14"/>
      <c r="N2830" s="14"/>
      <c r="O2830" s="14"/>
      <c r="P2830" s="13"/>
    </row>
    <row r="2831">
      <c r="L2831" s="13"/>
      <c r="M2831" s="14"/>
      <c r="N2831" s="14"/>
      <c r="O2831" s="14"/>
      <c r="P2831" s="13"/>
    </row>
    <row r="2832">
      <c r="L2832" s="13"/>
      <c r="M2832" s="14"/>
      <c r="N2832" s="14"/>
      <c r="O2832" s="14"/>
      <c r="P2832" s="13"/>
    </row>
    <row r="2833">
      <c r="L2833" s="13"/>
      <c r="M2833" s="14"/>
      <c r="N2833" s="14"/>
      <c r="O2833" s="14"/>
      <c r="P2833" s="13"/>
    </row>
    <row r="2834">
      <c r="L2834" s="13"/>
      <c r="M2834" s="14"/>
      <c r="N2834" s="14"/>
      <c r="O2834" s="14"/>
      <c r="P2834" s="13"/>
    </row>
    <row r="2835">
      <c r="L2835" s="13"/>
      <c r="M2835" s="14"/>
      <c r="N2835" s="14"/>
      <c r="O2835" s="14"/>
      <c r="P2835" s="13"/>
    </row>
    <row r="2836">
      <c r="L2836" s="13"/>
      <c r="M2836" s="14"/>
      <c r="N2836" s="14"/>
      <c r="O2836" s="14"/>
      <c r="P2836" s="13"/>
    </row>
    <row r="2837">
      <c r="L2837" s="13"/>
      <c r="M2837" s="14"/>
      <c r="N2837" s="14"/>
      <c r="O2837" s="14"/>
      <c r="P2837" s="13"/>
    </row>
    <row r="2838">
      <c r="L2838" s="13"/>
      <c r="M2838" s="14"/>
      <c r="N2838" s="14"/>
      <c r="O2838" s="14"/>
      <c r="P2838" s="13"/>
    </row>
    <row r="2839">
      <c r="L2839" s="13"/>
      <c r="M2839" s="14"/>
      <c r="N2839" s="14"/>
      <c r="O2839" s="14"/>
      <c r="P2839" s="13"/>
    </row>
    <row r="2840">
      <c r="L2840" s="13"/>
      <c r="M2840" s="14"/>
      <c r="N2840" s="14"/>
      <c r="O2840" s="14"/>
      <c r="P2840" s="13"/>
    </row>
    <row r="2841">
      <c r="L2841" s="13"/>
      <c r="M2841" s="14"/>
      <c r="N2841" s="14"/>
      <c r="O2841" s="14"/>
      <c r="P2841" s="13"/>
    </row>
    <row r="2842">
      <c r="L2842" s="13"/>
      <c r="M2842" s="14"/>
      <c r="N2842" s="14"/>
      <c r="O2842" s="14"/>
      <c r="P2842" s="13"/>
    </row>
    <row r="2843">
      <c r="L2843" s="13"/>
      <c r="M2843" s="14"/>
      <c r="N2843" s="14"/>
      <c r="O2843" s="14"/>
      <c r="P2843" s="13"/>
    </row>
    <row r="2844">
      <c r="L2844" s="13"/>
      <c r="M2844" s="14"/>
      <c r="N2844" s="14"/>
      <c r="O2844" s="14"/>
      <c r="P2844" s="13"/>
    </row>
    <row r="2845">
      <c r="L2845" s="13"/>
      <c r="M2845" s="14"/>
      <c r="N2845" s="14"/>
      <c r="O2845" s="14"/>
      <c r="P2845" s="13"/>
    </row>
    <row r="2846">
      <c r="L2846" s="13"/>
      <c r="M2846" s="14"/>
      <c r="N2846" s="14"/>
      <c r="O2846" s="14"/>
      <c r="P2846" s="13"/>
    </row>
    <row r="2847">
      <c r="L2847" s="13"/>
      <c r="M2847" s="14"/>
      <c r="N2847" s="14"/>
      <c r="O2847" s="14"/>
      <c r="P2847" s="13"/>
    </row>
    <row r="2848">
      <c r="L2848" s="13"/>
      <c r="M2848" s="14"/>
      <c r="N2848" s="14"/>
      <c r="O2848" s="14"/>
      <c r="P2848" s="13"/>
    </row>
    <row r="2849">
      <c r="L2849" s="13"/>
      <c r="M2849" s="14"/>
      <c r="N2849" s="14"/>
      <c r="O2849" s="14"/>
      <c r="P2849" s="13"/>
    </row>
    <row r="2850">
      <c r="L2850" s="13"/>
      <c r="M2850" s="14"/>
      <c r="N2850" s="14"/>
      <c r="O2850" s="14"/>
      <c r="P2850" s="13"/>
    </row>
    <row r="2851">
      <c r="L2851" s="13"/>
      <c r="M2851" s="14"/>
      <c r="N2851" s="14"/>
      <c r="O2851" s="14"/>
      <c r="P2851" s="13"/>
    </row>
    <row r="2852">
      <c r="L2852" s="13"/>
      <c r="M2852" s="14"/>
      <c r="N2852" s="14"/>
      <c r="O2852" s="14"/>
      <c r="P2852" s="13"/>
    </row>
    <row r="2853">
      <c r="L2853" s="13"/>
      <c r="M2853" s="14"/>
      <c r="N2853" s="14"/>
      <c r="O2853" s="14"/>
      <c r="P2853" s="13"/>
    </row>
    <row r="2854">
      <c r="L2854" s="13"/>
      <c r="M2854" s="14"/>
      <c r="N2854" s="14"/>
      <c r="O2854" s="14"/>
      <c r="P2854" s="13"/>
    </row>
    <row r="2855">
      <c r="L2855" s="13"/>
      <c r="M2855" s="14"/>
      <c r="N2855" s="14"/>
      <c r="O2855" s="14"/>
      <c r="P2855" s="13"/>
    </row>
    <row r="2856">
      <c r="L2856" s="13"/>
      <c r="M2856" s="14"/>
      <c r="N2856" s="14"/>
      <c r="O2856" s="14"/>
      <c r="P2856" s="13"/>
    </row>
    <row r="2857">
      <c r="L2857" s="13"/>
      <c r="M2857" s="14"/>
      <c r="N2857" s="14"/>
      <c r="O2857" s="14"/>
      <c r="P2857" s="13"/>
    </row>
    <row r="2858">
      <c r="L2858" s="13"/>
      <c r="M2858" s="14"/>
      <c r="N2858" s="14"/>
      <c r="O2858" s="14"/>
      <c r="P2858" s="13"/>
    </row>
    <row r="2859">
      <c r="L2859" s="13"/>
      <c r="M2859" s="14"/>
      <c r="N2859" s="14"/>
      <c r="O2859" s="14"/>
      <c r="P2859" s="13"/>
    </row>
    <row r="2860">
      <c r="L2860" s="13"/>
      <c r="M2860" s="14"/>
      <c r="N2860" s="14"/>
      <c r="O2860" s="14"/>
      <c r="P2860" s="13"/>
    </row>
    <row r="2861">
      <c r="L2861" s="13"/>
      <c r="M2861" s="14"/>
      <c r="N2861" s="14"/>
      <c r="O2861" s="14"/>
      <c r="P2861" s="13"/>
    </row>
    <row r="2862">
      <c r="L2862" s="13"/>
      <c r="M2862" s="14"/>
      <c r="N2862" s="14"/>
      <c r="O2862" s="14"/>
      <c r="P2862" s="13"/>
    </row>
    <row r="2863">
      <c r="L2863" s="13"/>
      <c r="M2863" s="14"/>
      <c r="N2863" s="14"/>
      <c r="O2863" s="14"/>
      <c r="P2863" s="13"/>
    </row>
    <row r="2864">
      <c r="L2864" s="13"/>
      <c r="M2864" s="14"/>
      <c r="N2864" s="14"/>
      <c r="O2864" s="14"/>
      <c r="P2864" s="13"/>
    </row>
    <row r="2865">
      <c r="L2865" s="13"/>
      <c r="M2865" s="14"/>
      <c r="N2865" s="14"/>
      <c r="O2865" s="14"/>
      <c r="P2865" s="13"/>
    </row>
    <row r="2866">
      <c r="L2866" s="13"/>
      <c r="M2866" s="14"/>
      <c r="N2866" s="14"/>
      <c r="O2866" s="14"/>
      <c r="P2866" s="13"/>
    </row>
    <row r="2867">
      <c r="L2867" s="13"/>
      <c r="M2867" s="14"/>
      <c r="N2867" s="14"/>
      <c r="O2867" s="14"/>
      <c r="P2867" s="13"/>
    </row>
    <row r="2868">
      <c r="L2868" s="13"/>
      <c r="M2868" s="14"/>
      <c r="N2868" s="14"/>
      <c r="O2868" s="14"/>
      <c r="P2868" s="13"/>
    </row>
    <row r="2869">
      <c r="L2869" s="13"/>
      <c r="M2869" s="14"/>
      <c r="N2869" s="14"/>
      <c r="O2869" s="14"/>
      <c r="P2869" s="13"/>
    </row>
    <row r="2870">
      <c r="L2870" s="13"/>
      <c r="M2870" s="14"/>
      <c r="N2870" s="14"/>
      <c r="O2870" s="14"/>
      <c r="P2870" s="13"/>
    </row>
    <row r="2871">
      <c r="L2871" s="13"/>
      <c r="M2871" s="14"/>
      <c r="N2871" s="14"/>
      <c r="O2871" s="14"/>
      <c r="P2871" s="13"/>
    </row>
    <row r="2872">
      <c r="L2872" s="13"/>
      <c r="M2872" s="14"/>
      <c r="N2872" s="14"/>
      <c r="O2872" s="14"/>
      <c r="P2872" s="13"/>
    </row>
    <row r="2873">
      <c r="L2873" s="13"/>
      <c r="M2873" s="14"/>
      <c r="N2873" s="14"/>
      <c r="O2873" s="14"/>
      <c r="P2873" s="13"/>
    </row>
    <row r="2874">
      <c r="L2874" s="13"/>
      <c r="M2874" s="14"/>
      <c r="N2874" s="14"/>
      <c r="O2874" s="14"/>
      <c r="P2874" s="13"/>
    </row>
    <row r="2875">
      <c r="L2875" s="13"/>
      <c r="M2875" s="14"/>
      <c r="N2875" s="14"/>
      <c r="O2875" s="14"/>
      <c r="P2875" s="13"/>
    </row>
    <row r="2876">
      <c r="L2876" s="13"/>
      <c r="M2876" s="14"/>
      <c r="N2876" s="14"/>
      <c r="O2876" s="14"/>
      <c r="P2876" s="13"/>
    </row>
    <row r="2877">
      <c r="L2877" s="13"/>
      <c r="M2877" s="14"/>
      <c r="N2877" s="14"/>
      <c r="O2877" s="14"/>
      <c r="P2877" s="13"/>
    </row>
    <row r="2878">
      <c r="L2878" s="13"/>
      <c r="M2878" s="14"/>
      <c r="N2878" s="14"/>
      <c r="O2878" s="14"/>
      <c r="P2878" s="13"/>
    </row>
    <row r="2879">
      <c r="L2879" s="13"/>
      <c r="M2879" s="14"/>
      <c r="N2879" s="14"/>
      <c r="O2879" s="14"/>
      <c r="P2879" s="13"/>
    </row>
    <row r="2880">
      <c r="L2880" s="13"/>
      <c r="M2880" s="14"/>
      <c r="N2880" s="14"/>
      <c r="O2880" s="14"/>
      <c r="P2880" s="13"/>
    </row>
    <row r="2881">
      <c r="L2881" s="13"/>
      <c r="M2881" s="14"/>
      <c r="N2881" s="14"/>
      <c r="O2881" s="14"/>
      <c r="P2881" s="13"/>
    </row>
    <row r="2882">
      <c r="L2882" s="13"/>
      <c r="M2882" s="14"/>
      <c r="N2882" s="14"/>
      <c r="O2882" s="14"/>
      <c r="P2882" s="13"/>
    </row>
    <row r="2883">
      <c r="L2883" s="13"/>
      <c r="M2883" s="14"/>
      <c r="N2883" s="14"/>
      <c r="O2883" s="14"/>
      <c r="P2883" s="13"/>
    </row>
    <row r="2884">
      <c r="L2884" s="13"/>
      <c r="M2884" s="14"/>
      <c r="N2884" s="14"/>
      <c r="O2884" s="14"/>
      <c r="P2884" s="13"/>
    </row>
    <row r="2885">
      <c r="L2885" s="13"/>
      <c r="M2885" s="14"/>
      <c r="N2885" s="14"/>
      <c r="O2885" s="14"/>
      <c r="P2885" s="13"/>
    </row>
    <row r="2886">
      <c r="L2886" s="13"/>
      <c r="M2886" s="14"/>
      <c r="N2886" s="14"/>
      <c r="O2886" s="14"/>
      <c r="P2886" s="13"/>
    </row>
    <row r="2887">
      <c r="L2887" s="13"/>
      <c r="M2887" s="14"/>
      <c r="N2887" s="14"/>
      <c r="O2887" s="14"/>
      <c r="P2887" s="13"/>
    </row>
    <row r="2888">
      <c r="L2888" s="13"/>
      <c r="M2888" s="14"/>
      <c r="N2888" s="14"/>
      <c r="O2888" s="14"/>
      <c r="P2888" s="13"/>
    </row>
    <row r="2889">
      <c r="L2889" s="13"/>
      <c r="M2889" s="14"/>
      <c r="N2889" s="14"/>
      <c r="O2889" s="14"/>
      <c r="P2889" s="13"/>
    </row>
    <row r="2890">
      <c r="L2890" s="13"/>
      <c r="M2890" s="14"/>
      <c r="N2890" s="14"/>
      <c r="O2890" s="14"/>
      <c r="P2890" s="13"/>
    </row>
    <row r="2891">
      <c r="L2891" s="13"/>
      <c r="M2891" s="14"/>
      <c r="N2891" s="14"/>
      <c r="O2891" s="14"/>
      <c r="P2891" s="13"/>
    </row>
    <row r="2892">
      <c r="L2892" s="13"/>
      <c r="M2892" s="14"/>
      <c r="N2892" s="14"/>
      <c r="O2892" s="14"/>
      <c r="P2892" s="13"/>
    </row>
    <row r="2893">
      <c r="L2893" s="13"/>
      <c r="M2893" s="14"/>
      <c r="N2893" s="14"/>
      <c r="O2893" s="14"/>
      <c r="P2893" s="13"/>
    </row>
    <row r="2894">
      <c r="L2894" s="13"/>
      <c r="M2894" s="14"/>
      <c r="N2894" s="14"/>
      <c r="O2894" s="14"/>
      <c r="P2894" s="13"/>
    </row>
    <row r="2895">
      <c r="L2895" s="13"/>
      <c r="M2895" s="14"/>
      <c r="N2895" s="14"/>
      <c r="O2895" s="14"/>
      <c r="P2895" s="13"/>
    </row>
    <row r="2896">
      <c r="L2896" s="13"/>
      <c r="M2896" s="14"/>
      <c r="N2896" s="14"/>
      <c r="O2896" s="14"/>
      <c r="P2896" s="13"/>
    </row>
    <row r="2897">
      <c r="L2897" s="13"/>
      <c r="M2897" s="14"/>
      <c r="N2897" s="14"/>
      <c r="O2897" s="14"/>
      <c r="P2897" s="13"/>
    </row>
    <row r="2898">
      <c r="L2898" s="13"/>
      <c r="M2898" s="14"/>
      <c r="N2898" s="14"/>
      <c r="O2898" s="14"/>
      <c r="P2898" s="13"/>
    </row>
    <row r="2899">
      <c r="L2899" s="13"/>
      <c r="M2899" s="14"/>
      <c r="N2899" s="14"/>
      <c r="O2899" s="14"/>
      <c r="P2899" s="13"/>
    </row>
    <row r="2900">
      <c r="L2900" s="13"/>
      <c r="M2900" s="14"/>
      <c r="N2900" s="14"/>
      <c r="O2900" s="14"/>
      <c r="P2900" s="13"/>
    </row>
    <row r="2901">
      <c r="L2901" s="13"/>
      <c r="M2901" s="14"/>
      <c r="N2901" s="14"/>
      <c r="O2901" s="14"/>
      <c r="P2901" s="13"/>
    </row>
    <row r="2902">
      <c r="L2902" s="13"/>
      <c r="M2902" s="14"/>
      <c r="N2902" s="14"/>
      <c r="O2902" s="14"/>
      <c r="P2902" s="13"/>
    </row>
    <row r="2903">
      <c r="L2903" s="13"/>
      <c r="M2903" s="14"/>
      <c r="N2903" s="14"/>
      <c r="O2903" s="14"/>
      <c r="P2903" s="13"/>
    </row>
    <row r="2904">
      <c r="L2904" s="13"/>
      <c r="M2904" s="14"/>
      <c r="N2904" s="14"/>
      <c r="O2904" s="14"/>
      <c r="P2904" s="13"/>
    </row>
    <row r="2905">
      <c r="L2905" s="13"/>
      <c r="M2905" s="14"/>
      <c r="N2905" s="14"/>
      <c r="O2905" s="14"/>
      <c r="P2905" s="13"/>
    </row>
    <row r="2906">
      <c r="L2906" s="13"/>
      <c r="M2906" s="14"/>
      <c r="N2906" s="14"/>
      <c r="O2906" s="14"/>
      <c r="P2906" s="13"/>
    </row>
    <row r="2907">
      <c r="L2907" s="13"/>
      <c r="M2907" s="14"/>
      <c r="N2907" s="14"/>
      <c r="O2907" s="14"/>
      <c r="P2907" s="13"/>
    </row>
    <row r="2908">
      <c r="L2908" s="13"/>
      <c r="M2908" s="14"/>
      <c r="N2908" s="14"/>
      <c r="O2908" s="14"/>
      <c r="P2908" s="13"/>
    </row>
    <row r="2909">
      <c r="L2909" s="13"/>
      <c r="M2909" s="14"/>
      <c r="N2909" s="14"/>
      <c r="O2909" s="14"/>
      <c r="P2909" s="13"/>
    </row>
    <row r="2910">
      <c r="L2910" s="13"/>
      <c r="M2910" s="14"/>
      <c r="N2910" s="14"/>
      <c r="O2910" s="14"/>
      <c r="P2910" s="13"/>
    </row>
    <row r="2911">
      <c r="L2911" s="13"/>
      <c r="M2911" s="14"/>
      <c r="N2911" s="14"/>
      <c r="O2911" s="14"/>
      <c r="P2911" s="13"/>
    </row>
    <row r="2912">
      <c r="L2912" s="13"/>
      <c r="M2912" s="14"/>
      <c r="N2912" s="14"/>
      <c r="O2912" s="14"/>
      <c r="P2912" s="13"/>
    </row>
    <row r="2913">
      <c r="L2913" s="13"/>
      <c r="M2913" s="14"/>
      <c r="N2913" s="14"/>
      <c r="O2913" s="14"/>
      <c r="P2913" s="13"/>
    </row>
    <row r="2914">
      <c r="L2914" s="13"/>
      <c r="M2914" s="14"/>
      <c r="N2914" s="14"/>
      <c r="O2914" s="14"/>
      <c r="P2914" s="13"/>
    </row>
    <row r="2915">
      <c r="L2915" s="13"/>
      <c r="M2915" s="14"/>
      <c r="N2915" s="14"/>
      <c r="O2915" s="14"/>
      <c r="P2915" s="13"/>
    </row>
    <row r="2916">
      <c r="L2916" s="13"/>
      <c r="M2916" s="14"/>
      <c r="N2916" s="14"/>
      <c r="O2916" s="14"/>
      <c r="P2916" s="13"/>
    </row>
    <row r="2917">
      <c r="L2917" s="13"/>
      <c r="M2917" s="14"/>
      <c r="N2917" s="14"/>
      <c r="O2917" s="14"/>
      <c r="P2917" s="13"/>
    </row>
    <row r="2918">
      <c r="L2918" s="13"/>
      <c r="M2918" s="14"/>
      <c r="N2918" s="14"/>
      <c r="O2918" s="14"/>
      <c r="P2918" s="13"/>
    </row>
    <row r="2919">
      <c r="L2919" s="13"/>
      <c r="M2919" s="14"/>
      <c r="N2919" s="14"/>
      <c r="O2919" s="14"/>
      <c r="P2919" s="13"/>
    </row>
    <row r="2920">
      <c r="L2920" s="13"/>
      <c r="M2920" s="14"/>
      <c r="N2920" s="14"/>
      <c r="O2920" s="14"/>
      <c r="P2920" s="13"/>
    </row>
    <row r="2921">
      <c r="L2921" s="13"/>
      <c r="M2921" s="14"/>
      <c r="N2921" s="14"/>
      <c r="O2921" s="14"/>
      <c r="P2921" s="13"/>
    </row>
    <row r="2922">
      <c r="L2922" s="13"/>
      <c r="M2922" s="14"/>
      <c r="N2922" s="14"/>
      <c r="O2922" s="14"/>
      <c r="P2922" s="13"/>
    </row>
    <row r="2923">
      <c r="L2923" s="13"/>
      <c r="M2923" s="14"/>
      <c r="N2923" s="14"/>
      <c r="O2923" s="14"/>
      <c r="P2923" s="13"/>
    </row>
    <row r="2924">
      <c r="L2924" s="13"/>
      <c r="M2924" s="14"/>
      <c r="N2924" s="14"/>
      <c r="O2924" s="14"/>
      <c r="P2924" s="13"/>
    </row>
    <row r="2925">
      <c r="L2925" s="13"/>
      <c r="M2925" s="14"/>
      <c r="N2925" s="14"/>
      <c r="O2925" s="14"/>
      <c r="P2925" s="13"/>
    </row>
    <row r="2926">
      <c r="L2926" s="13"/>
      <c r="M2926" s="14"/>
      <c r="N2926" s="14"/>
      <c r="O2926" s="14"/>
      <c r="P2926" s="13"/>
    </row>
    <row r="2927">
      <c r="L2927" s="13"/>
      <c r="M2927" s="14"/>
      <c r="N2927" s="14"/>
      <c r="O2927" s="14"/>
      <c r="P2927" s="13"/>
    </row>
    <row r="2928">
      <c r="L2928" s="13"/>
      <c r="M2928" s="14"/>
      <c r="N2928" s="14"/>
      <c r="O2928" s="14"/>
      <c r="P2928" s="13"/>
    </row>
    <row r="2929">
      <c r="L2929" s="13"/>
      <c r="M2929" s="14"/>
      <c r="N2929" s="14"/>
      <c r="O2929" s="14"/>
      <c r="P2929" s="13"/>
    </row>
    <row r="2930">
      <c r="L2930" s="13"/>
      <c r="M2930" s="14"/>
      <c r="N2930" s="14"/>
      <c r="O2930" s="14"/>
      <c r="P2930" s="13"/>
    </row>
    <row r="2931">
      <c r="L2931" s="13"/>
      <c r="M2931" s="14"/>
      <c r="N2931" s="14"/>
      <c r="O2931" s="14"/>
      <c r="P2931" s="13"/>
    </row>
    <row r="2932">
      <c r="L2932" s="13"/>
      <c r="M2932" s="14"/>
      <c r="N2932" s="14"/>
      <c r="O2932" s="14"/>
      <c r="P2932" s="13"/>
    </row>
    <row r="2933">
      <c r="L2933" s="13"/>
      <c r="M2933" s="14"/>
      <c r="N2933" s="14"/>
      <c r="O2933" s="14"/>
      <c r="P2933" s="13"/>
    </row>
    <row r="2934">
      <c r="L2934" s="13"/>
      <c r="M2934" s="14"/>
      <c r="N2934" s="14"/>
      <c r="O2934" s="14"/>
      <c r="P2934" s="13"/>
    </row>
    <row r="2935">
      <c r="L2935" s="13"/>
      <c r="M2935" s="14"/>
      <c r="N2935" s="14"/>
      <c r="O2935" s="14"/>
      <c r="P2935" s="13"/>
    </row>
    <row r="2936">
      <c r="L2936" s="13"/>
      <c r="M2936" s="14"/>
      <c r="N2936" s="14"/>
      <c r="O2936" s="14"/>
      <c r="P2936" s="13"/>
    </row>
    <row r="2937">
      <c r="L2937" s="13"/>
      <c r="M2937" s="14"/>
      <c r="N2937" s="14"/>
      <c r="O2937" s="14"/>
      <c r="P2937" s="13"/>
    </row>
    <row r="2938">
      <c r="L2938" s="13"/>
      <c r="M2938" s="14"/>
      <c r="N2938" s="14"/>
      <c r="O2938" s="14"/>
      <c r="P2938" s="13"/>
    </row>
    <row r="2939">
      <c r="L2939" s="13"/>
      <c r="M2939" s="14"/>
      <c r="N2939" s="14"/>
      <c r="O2939" s="14"/>
      <c r="P2939" s="13"/>
    </row>
    <row r="2940">
      <c r="L2940" s="13"/>
      <c r="M2940" s="14"/>
      <c r="N2940" s="14"/>
      <c r="O2940" s="14"/>
      <c r="P2940" s="13"/>
    </row>
    <row r="2941">
      <c r="L2941" s="13"/>
      <c r="M2941" s="14"/>
      <c r="N2941" s="14"/>
      <c r="O2941" s="14"/>
      <c r="P2941" s="13"/>
    </row>
    <row r="2942">
      <c r="L2942" s="13"/>
      <c r="M2942" s="14"/>
      <c r="N2942" s="14"/>
      <c r="O2942" s="14"/>
      <c r="P2942" s="13"/>
    </row>
    <row r="2943">
      <c r="L2943" s="13"/>
      <c r="M2943" s="14"/>
      <c r="N2943" s="14"/>
      <c r="O2943" s="14"/>
      <c r="P2943" s="13"/>
    </row>
    <row r="2944">
      <c r="L2944" s="13"/>
      <c r="M2944" s="14"/>
      <c r="N2944" s="14"/>
      <c r="O2944" s="14"/>
      <c r="P2944" s="13"/>
    </row>
    <row r="2945">
      <c r="L2945" s="13"/>
      <c r="M2945" s="14"/>
      <c r="N2945" s="14"/>
      <c r="O2945" s="14"/>
      <c r="P2945" s="13"/>
    </row>
    <row r="2946">
      <c r="L2946" s="13"/>
      <c r="M2946" s="14"/>
      <c r="N2946" s="14"/>
      <c r="O2946" s="14"/>
      <c r="P2946" s="13"/>
    </row>
    <row r="2947">
      <c r="L2947" s="13"/>
      <c r="M2947" s="14"/>
      <c r="N2947" s="14"/>
      <c r="O2947" s="14"/>
      <c r="P2947" s="13"/>
    </row>
    <row r="2948">
      <c r="L2948" s="13"/>
      <c r="M2948" s="14"/>
      <c r="N2948" s="14"/>
      <c r="O2948" s="14"/>
      <c r="P2948" s="13"/>
    </row>
    <row r="2949">
      <c r="L2949" s="13"/>
      <c r="M2949" s="14"/>
      <c r="N2949" s="14"/>
      <c r="O2949" s="14"/>
      <c r="P2949" s="13"/>
    </row>
    <row r="2950">
      <c r="L2950" s="13"/>
      <c r="M2950" s="14"/>
      <c r="N2950" s="14"/>
      <c r="O2950" s="14"/>
      <c r="P2950" s="13"/>
    </row>
    <row r="2951">
      <c r="L2951" s="13"/>
      <c r="M2951" s="14"/>
      <c r="N2951" s="14"/>
      <c r="O2951" s="14"/>
      <c r="P2951" s="13"/>
    </row>
    <row r="2952">
      <c r="L2952" s="13"/>
      <c r="M2952" s="14"/>
      <c r="N2952" s="14"/>
      <c r="O2952" s="14"/>
      <c r="P2952" s="13"/>
    </row>
    <row r="2953">
      <c r="L2953" s="13"/>
      <c r="M2953" s="14"/>
      <c r="N2953" s="14"/>
      <c r="O2953" s="14"/>
      <c r="P2953" s="13"/>
    </row>
    <row r="2954">
      <c r="L2954" s="13"/>
      <c r="M2954" s="14"/>
      <c r="N2954" s="14"/>
      <c r="O2954" s="14"/>
      <c r="P2954" s="13"/>
    </row>
    <row r="2955">
      <c r="L2955" s="13"/>
      <c r="M2955" s="14"/>
      <c r="N2955" s="14"/>
      <c r="O2955" s="14"/>
      <c r="P2955" s="13"/>
    </row>
    <row r="2956">
      <c r="L2956" s="13"/>
      <c r="M2956" s="14"/>
      <c r="N2956" s="14"/>
      <c r="O2956" s="14"/>
      <c r="P2956" s="13"/>
    </row>
    <row r="2957">
      <c r="L2957" s="13"/>
      <c r="M2957" s="14"/>
      <c r="N2957" s="14"/>
      <c r="O2957" s="14"/>
      <c r="P2957" s="13"/>
    </row>
    <row r="2958">
      <c r="L2958" s="13"/>
      <c r="M2958" s="14"/>
      <c r="N2958" s="14"/>
      <c r="O2958" s="14"/>
      <c r="P2958" s="13"/>
    </row>
    <row r="2959">
      <c r="L2959" s="13"/>
      <c r="M2959" s="14"/>
      <c r="N2959" s="14"/>
      <c r="O2959" s="14"/>
      <c r="P2959" s="13"/>
    </row>
    <row r="2960">
      <c r="L2960" s="13"/>
      <c r="M2960" s="14"/>
      <c r="N2960" s="14"/>
      <c r="O2960" s="14"/>
      <c r="P2960" s="13"/>
    </row>
    <row r="2961">
      <c r="L2961" s="13"/>
      <c r="M2961" s="14"/>
      <c r="N2961" s="14"/>
      <c r="O2961" s="14"/>
      <c r="P2961" s="13"/>
    </row>
    <row r="2962">
      <c r="L2962" s="13"/>
      <c r="M2962" s="14"/>
      <c r="N2962" s="14"/>
      <c r="O2962" s="14"/>
      <c r="P2962" s="13"/>
    </row>
    <row r="2963">
      <c r="L2963" s="13"/>
      <c r="M2963" s="14"/>
      <c r="N2963" s="14"/>
      <c r="O2963" s="14"/>
      <c r="P2963" s="13"/>
    </row>
    <row r="2964">
      <c r="L2964" s="13"/>
      <c r="M2964" s="14"/>
      <c r="N2964" s="14"/>
      <c r="O2964" s="14"/>
      <c r="P2964" s="13"/>
    </row>
    <row r="2965">
      <c r="L2965" s="13"/>
      <c r="M2965" s="14"/>
      <c r="N2965" s="14"/>
      <c r="O2965" s="14"/>
      <c r="P2965" s="13"/>
    </row>
    <row r="2966">
      <c r="L2966" s="13"/>
      <c r="M2966" s="14"/>
      <c r="N2966" s="14"/>
      <c r="O2966" s="14"/>
      <c r="P2966" s="13"/>
    </row>
    <row r="2967">
      <c r="L2967" s="13"/>
      <c r="M2967" s="14"/>
      <c r="N2967" s="14"/>
      <c r="O2967" s="14"/>
      <c r="P2967" s="13"/>
    </row>
    <row r="2968">
      <c r="L2968" s="13"/>
      <c r="M2968" s="14"/>
      <c r="N2968" s="14"/>
      <c r="O2968" s="14"/>
      <c r="P2968" s="13"/>
    </row>
    <row r="2969">
      <c r="L2969" s="13"/>
      <c r="M2969" s="14"/>
      <c r="N2969" s="14"/>
      <c r="O2969" s="14"/>
      <c r="P2969" s="13"/>
    </row>
    <row r="2970">
      <c r="L2970" s="13"/>
      <c r="M2970" s="14"/>
      <c r="N2970" s="14"/>
      <c r="O2970" s="14"/>
      <c r="P2970" s="13"/>
    </row>
    <row r="2971">
      <c r="L2971" s="13"/>
      <c r="M2971" s="14"/>
      <c r="N2971" s="14"/>
      <c r="O2971" s="14"/>
      <c r="P2971" s="13"/>
    </row>
    <row r="2972">
      <c r="L2972" s="13"/>
      <c r="M2972" s="14"/>
      <c r="N2972" s="14"/>
      <c r="O2972" s="14"/>
      <c r="P2972" s="13"/>
    </row>
    <row r="2973">
      <c r="L2973" s="13"/>
      <c r="M2973" s="14"/>
      <c r="N2973" s="14"/>
      <c r="O2973" s="14"/>
      <c r="P2973" s="13"/>
    </row>
    <row r="2974">
      <c r="L2974" s="13"/>
      <c r="M2974" s="14"/>
      <c r="N2974" s="14"/>
      <c r="O2974" s="14"/>
      <c r="P2974" s="13"/>
    </row>
    <row r="2975">
      <c r="L2975" s="13"/>
      <c r="M2975" s="14"/>
      <c r="N2975" s="14"/>
      <c r="O2975" s="14"/>
      <c r="P2975" s="13"/>
    </row>
    <row r="2976">
      <c r="L2976" s="13"/>
      <c r="M2976" s="14"/>
      <c r="N2976" s="14"/>
      <c r="O2976" s="14"/>
      <c r="P2976" s="13"/>
    </row>
    <row r="2977">
      <c r="L2977" s="13"/>
      <c r="M2977" s="14"/>
      <c r="N2977" s="14"/>
      <c r="O2977" s="14"/>
      <c r="P2977" s="13"/>
    </row>
    <row r="2978">
      <c r="L2978" s="13"/>
      <c r="M2978" s="14"/>
      <c r="N2978" s="14"/>
      <c r="O2978" s="14"/>
      <c r="P2978" s="13"/>
    </row>
    <row r="2979">
      <c r="L2979" s="13"/>
      <c r="M2979" s="14"/>
      <c r="N2979" s="14"/>
      <c r="O2979" s="14"/>
      <c r="P2979" s="13"/>
    </row>
    <row r="2980">
      <c r="L2980" s="13"/>
      <c r="M2980" s="14"/>
      <c r="N2980" s="14"/>
      <c r="O2980" s="14"/>
      <c r="P2980" s="13"/>
    </row>
    <row r="2981">
      <c r="L2981" s="13"/>
      <c r="M2981" s="14"/>
      <c r="N2981" s="14"/>
      <c r="O2981" s="14"/>
      <c r="P2981" s="13"/>
    </row>
    <row r="2982">
      <c r="L2982" s="13"/>
      <c r="M2982" s="14"/>
      <c r="N2982" s="14"/>
      <c r="O2982" s="14"/>
      <c r="P2982" s="13"/>
    </row>
    <row r="2983">
      <c r="L2983" s="13"/>
      <c r="M2983" s="14"/>
      <c r="N2983" s="14"/>
      <c r="O2983" s="14"/>
      <c r="P2983" s="13"/>
    </row>
    <row r="2984">
      <c r="L2984" s="13"/>
      <c r="M2984" s="14"/>
      <c r="N2984" s="14"/>
      <c r="O2984" s="14"/>
      <c r="P2984" s="13"/>
    </row>
    <row r="2985">
      <c r="L2985" s="13"/>
      <c r="M2985" s="14"/>
      <c r="N2985" s="14"/>
      <c r="O2985" s="14"/>
      <c r="P2985" s="13"/>
    </row>
    <row r="2986">
      <c r="L2986" s="13"/>
      <c r="M2986" s="14"/>
      <c r="N2986" s="14"/>
      <c r="O2986" s="14"/>
      <c r="P2986" s="13"/>
    </row>
    <row r="2987">
      <c r="L2987" s="13"/>
      <c r="M2987" s="14"/>
      <c r="N2987" s="14"/>
      <c r="O2987" s="14"/>
      <c r="P2987" s="13"/>
    </row>
    <row r="2988">
      <c r="L2988" s="13"/>
      <c r="M2988" s="14"/>
      <c r="N2988" s="14"/>
      <c r="O2988" s="14"/>
      <c r="P2988" s="13"/>
    </row>
    <row r="2989">
      <c r="L2989" s="13"/>
      <c r="M2989" s="14"/>
      <c r="N2989" s="14"/>
      <c r="O2989" s="14"/>
      <c r="P2989" s="13"/>
    </row>
    <row r="2990">
      <c r="L2990" s="13"/>
      <c r="M2990" s="14"/>
      <c r="N2990" s="14"/>
      <c r="O2990" s="14"/>
      <c r="P2990" s="13"/>
    </row>
    <row r="2991">
      <c r="L2991" s="13"/>
      <c r="M2991" s="14"/>
      <c r="N2991" s="14"/>
      <c r="O2991" s="14"/>
      <c r="P2991" s="13"/>
    </row>
    <row r="2992">
      <c r="L2992" s="13"/>
      <c r="M2992" s="14"/>
      <c r="N2992" s="14"/>
      <c r="O2992" s="14"/>
      <c r="P2992" s="13"/>
    </row>
    <row r="2993">
      <c r="L2993" s="13"/>
      <c r="M2993" s="14"/>
      <c r="N2993" s="14"/>
      <c r="O2993" s="14"/>
      <c r="P2993" s="13"/>
    </row>
    <row r="2994">
      <c r="L2994" s="13"/>
      <c r="M2994" s="14"/>
      <c r="N2994" s="14"/>
      <c r="O2994" s="14"/>
      <c r="P2994" s="13"/>
    </row>
    <row r="2995">
      <c r="L2995" s="13"/>
      <c r="M2995" s="14"/>
      <c r="N2995" s="14"/>
      <c r="O2995" s="14"/>
      <c r="P2995" s="13"/>
    </row>
    <row r="2996">
      <c r="L2996" s="13"/>
      <c r="M2996" s="14"/>
      <c r="N2996" s="14"/>
      <c r="O2996" s="14"/>
      <c r="P2996" s="13"/>
    </row>
    <row r="2997">
      <c r="L2997" s="13"/>
      <c r="M2997" s="14"/>
      <c r="N2997" s="14"/>
      <c r="O2997" s="14"/>
      <c r="P2997" s="13"/>
    </row>
    <row r="2998">
      <c r="L2998" s="13"/>
      <c r="M2998" s="14"/>
      <c r="N2998" s="14"/>
      <c r="O2998" s="14"/>
      <c r="P2998" s="13"/>
    </row>
    <row r="2999">
      <c r="L2999" s="13"/>
      <c r="M2999" s="14"/>
      <c r="N2999" s="14"/>
      <c r="O2999" s="14"/>
      <c r="P2999" s="13"/>
    </row>
    <row r="3000">
      <c r="L3000" s="13"/>
      <c r="M3000" s="14"/>
      <c r="N3000" s="14"/>
      <c r="O3000" s="14"/>
      <c r="P3000" s="13"/>
    </row>
    <row r="3001">
      <c r="L3001" s="13"/>
      <c r="M3001" s="14"/>
      <c r="N3001" s="14"/>
      <c r="O3001" s="14"/>
      <c r="P3001" s="13"/>
    </row>
    <row r="3002">
      <c r="L3002" s="13"/>
      <c r="M3002" s="14"/>
      <c r="N3002" s="14"/>
      <c r="O3002" s="14"/>
      <c r="P3002" s="13"/>
    </row>
    <row r="3003">
      <c r="L3003" s="13"/>
      <c r="M3003" s="14"/>
      <c r="N3003" s="14"/>
      <c r="O3003" s="14"/>
      <c r="P3003" s="13"/>
    </row>
    <row r="3004">
      <c r="L3004" s="13"/>
      <c r="M3004" s="14"/>
      <c r="N3004" s="14"/>
      <c r="O3004" s="14"/>
      <c r="P3004" s="13"/>
    </row>
    <row r="3005">
      <c r="L3005" s="13"/>
      <c r="M3005" s="14"/>
      <c r="N3005" s="14"/>
      <c r="O3005" s="14"/>
      <c r="P3005" s="13"/>
    </row>
    <row r="3006">
      <c r="L3006" s="13"/>
      <c r="M3006" s="14"/>
      <c r="N3006" s="14"/>
      <c r="O3006" s="14"/>
      <c r="P3006" s="13"/>
    </row>
    <row r="3007">
      <c r="L3007" s="13"/>
      <c r="M3007" s="14"/>
      <c r="N3007" s="14"/>
      <c r="O3007" s="14"/>
      <c r="P3007" s="13"/>
    </row>
    <row r="3008">
      <c r="L3008" s="13"/>
      <c r="M3008" s="14"/>
      <c r="N3008" s="14"/>
      <c r="O3008" s="14"/>
      <c r="P3008" s="13"/>
    </row>
    <row r="3009">
      <c r="L3009" s="13"/>
      <c r="M3009" s="14"/>
      <c r="N3009" s="14"/>
      <c r="O3009" s="14"/>
      <c r="P3009" s="13"/>
    </row>
    <row r="3010">
      <c r="L3010" s="13"/>
      <c r="M3010" s="14"/>
      <c r="N3010" s="14"/>
      <c r="O3010" s="14"/>
      <c r="P3010" s="13"/>
    </row>
    <row r="3011">
      <c r="L3011" s="13"/>
      <c r="M3011" s="14"/>
      <c r="N3011" s="14"/>
      <c r="O3011" s="14"/>
      <c r="P3011" s="13"/>
    </row>
    <row r="3012">
      <c r="L3012" s="13"/>
      <c r="M3012" s="14"/>
      <c r="N3012" s="14"/>
      <c r="O3012" s="14"/>
      <c r="P3012" s="13"/>
    </row>
    <row r="3013">
      <c r="L3013" s="13"/>
      <c r="M3013" s="14"/>
      <c r="N3013" s="14"/>
      <c r="O3013" s="14"/>
      <c r="P3013" s="13"/>
    </row>
    <row r="3014">
      <c r="L3014" s="13"/>
      <c r="M3014" s="14"/>
      <c r="N3014" s="14"/>
      <c r="O3014" s="14"/>
      <c r="P3014" s="13"/>
    </row>
    <row r="3015">
      <c r="L3015" s="13"/>
      <c r="M3015" s="14"/>
      <c r="N3015" s="14"/>
      <c r="O3015" s="14"/>
      <c r="P3015" s="13"/>
    </row>
    <row r="3016">
      <c r="L3016" s="13"/>
      <c r="M3016" s="14"/>
      <c r="N3016" s="14"/>
      <c r="O3016" s="14"/>
      <c r="P3016" s="13"/>
    </row>
    <row r="3017">
      <c r="L3017" s="13"/>
      <c r="M3017" s="14"/>
      <c r="N3017" s="14"/>
      <c r="O3017" s="14"/>
      <c r="P3017" s="13"/>
    </row>
    <row r="3018">
      <c r="L3018" s="13"/>
      <c r="M3018" s="14"/>
      <c r="N3018" s="14"/>
      <c r="O3018" s="14"/>
      <c r="P3018" s="13"/>
    </row>
    <row r="3019">
      <c r="L3019" s="13"/>
      <c r="M3019" s="14"/>
      <c r="N3019" s="14"/>
      <c r="O3019" s="14"/>
      <c r="P3019" s="13"/>
    </row>
    <row r="3020">
      <c r="L3020" s="13"/>
      <c r="M3020" s="14"/>
      <c r="N3020" s="14"/>
      <c r="O3020" s="14"/>
      <c r="P3020" s="13"/>
    </row>
    <row r="3021">
      <c r="L3021" s="13"/>
      <c r="M3021" s="14"/>
      <c r="N3021" s="14"/>
      <c r="O3021" s="14"/>
      <c r="P3021" s="13"/>
    </row>
    <row r="3022">
      <c r="L3022" s="13"/>
      <c r="M3022" s="14"/>
      <c r="N3022" s="14"/>
      <c r="O3022" s="14"/>
      <c r="P3022" s="13"/>
    </row>
    <row r="3023">
      <c r="L3023" s="13"/>
      <c r="M3023" s="14"/>
      <c r="N3023" s="14"/>
      <c r="O3023" s="14"/>
      <c r="P3023" s="13"/>
    </row>
    <row r="3024">
      <c r="L3024" s="13"/>
      <c r="M3024" s="14"/>
      <c r="N3024" s="14"/>
      <c r="O3024" s="14"/>
      <c r="P3024" s="13"/>
    </row>
    <row r="3025">
      <c r="L3025" s="13"/>
      <c r="M3025" s="14"/>
      <c r="N3025" s="14"/>
      <c r="O3025" s="14"/>
      <c r="P3025" s="13"/>
    </row>
    <row r="3026">
      <c r="L3026" s="13"/>
      <c r="M3026" s="14"/>
      <c r="N3026" s="14"/>
      <c r="O3026" s="14"/>
      <c r="P3026" s="13"/>
    </row>
    <row r="3027">
      <c r="L3027" s="13"/>
      <c r="M3027" s="14"/>
      <c r="N3027" s="14"/>
      <c r="O3027" s="14"/>
      <c r="P3027" s="13"/>
    </row>
    <row r="3028">
      <c r="L3028" s="13"/>
      <c r="M3028" s="14"/>
      <c r="N3028" s="14"/>
      <c r="O3028" s="14"/>
      <c r="P3028" s="13"/>
    </row>
    <row r="3029">
      <c r="L3029" s="13"/>
      <c r="M3029" s="14"/>
      <c r="N3029" s="14"/>
      <c r="O3029" s="14"/>
      <c r="P3029" s="13"/>
    </row>
    <row r="3030">
      <c r="L3030" s="13"/>
      <c r="M3030" s="14"/>
      <c r="N3030" s="14"/>
      <c r="O3030" s="14"/>
      <c r="P3030" s="13"/>
    </row>
    <row r="3031">
      <c r="L3031" s="13"/>
      <c r="M3031" s="14"/>
      <c r="N3031" s="14"/>
      <c r="O3031" s="14"/>
      <c r="P3031" s="13"/>
    </row>
    <row r="3032">
      <c r="L3032" s="13"/>
      <c r="M3032" s="14"/>
      <c r="N3032" s="14"/>
      <c r="O3032" s="14"/>
      <c r="P3032" s="13"/>
    </row>
    <row r="3033">
      <c r="L3033" s="13"/>
      <c r="M3033" s="14"/>
      <c r="N3033" s="14"/>
      <c r="O3033" s="14"/>
      <c r="P3033" s="13"/>
    </row>
    <row r="3034">
      <c r="L3034" s="13"/>
      <c r="M3034" s="14"/>
      <c r="N3034" s="14"/>
      <c r="O3034" s="14"/>
      <c r="P3034" s="13"/>
    </row>
    <row r="3035">
      <c r="L3035" s="13"/>
      <c r="M3035" s="14"/>
      <c r="N3035" s="14"/>
      <c r="O3035" s="14"/>
      <c r="P3035" s="13"/>
    </row>
    <row r="3036">
      <c r="L3036" s="13"/>
      <c r="M3036" s="14"/>
      <c r="N3036" s="14"/>
      <c r="O3036" s="14"/>
      <c r="P3036" s="13"/>
    </row>
    <row r="3037">
      <c r="L3037" s="13"/>
      <c r="M3037" s="14"/>
      <c r="N3037" s="14"/>
      <c r="O3037" s="14"/>
      <c r="P3037" s="13"/>
    </row>
    <row r="3038">
      <c r="L3038" s="13"/>
      <c r="M3038" s="14"/>
      <c r="N3038" s="14"/>
      <c r="O3038" s="14"/>
      <c r="P3038" s="13"/>
    </row>
    <row r="3039">
      <c r="L3039" s="13"/>
      <c r="M3039" s="14"/>
      <c r="N3039" s="14"/>
      <c r="O3039" s="14"/>
      <c r="P3039" s="13"/>
    </row>
    <row r="3040">
      <c r="L3040" s="13"/>
      <c r="M3040" s="14"/>
      <c r="N3040" s="14"/>
      <c r="O3040" s="14"/>
      <c r="P3040" s="13"/>
    </row>
    <row r="3041">
      <c r="L3041" s="13"/>
      <c r="M3041" s="14"/>
      <c r="N3041" s="14"/>
      <c r="O3041" s="14"/>
      <c r="P3041" s="13"/>
    </row>
    <row r="3042">
      <c r="L3042" s="13"/>
      <c r="M3042" s="14"/>
      <c r="N3042" s="14"/>
      <c r="O3042" s="14"/>
      <c r="P3042" s="13"/>
    </row>
    <row r="3043">
      <c r="L3043" s="13"/>
      <c r="M3043" s="14"/>
      <c r="N3043" s="14"/>
      <c r="O3043" s="14"/>
      <c r="P3043" s="13"/>
    </row>
    <row r="3044">
      <c r="L3044" s="13"/>
      <c r="M3044" s="14"/>
      <c r="N3044" s="14"/>
      <c r="O3044" s="14"/>
      <c r="P3044" s="13"/>
    </row>
    <row r="3045">
      <c r="L3045" s="13"/>
      <c r="M3045" s="14"/>
      <c r="N3045" s="14"/>
      <c r="O3045" s="14"/>
      <c r="P3045" s="13"/>
    </row>
    <row r="3046">
      <c r="L3046" s="13"/>
      <c r="M3046" s="14"/>
      <c r="N3046" s="14"/>
      <c r="O3046" s="14"/>
      <c r="P3046" s="13"/>
    </row>
    <row r="3047">
      <c r="L3047" s="13"/>
      <c r="M3047" s="14"/>
      <c r="N3047" s="14"/>
      <c r="O3047" s="14"/>
      <c r="P3047" s="13"/>
    </row>
    <row r="3048">
      <c r="L3048" s="13"/>
      <c r="M3048" s="14"/>
      <c r="N3048" s="14"/>
      <c r="O3048" s="14"/>
      <c r="P3048" s="13"/>
    </row>
    <row r="3049">
      <c r="L3049" s="13"/>
      <c r="M3049" s="14"/>
      <c r="N3049" s="14"/>
      <c r="O3049" s="14"/>
      <c r="P3049" s="13"/>
    </row>
    <row r="3050">
      <c r="L3050" s="13"/>
      <c r="M3050" s="14"/>
      <c r="N3050" s="14"/>
      <c r="O3050" s="14"/>
      <c r="P3050" s="13"/>
    </row>
    <row r="3051">
      <c r="L3051" s="13"/>
      <c r="M3051" s="14"/>
      <c r="N3051" s="14"/>
      <c r="O3051" s="14"/>
      <c r="P3051" s="13"/>
    </row>
    <row r="3052">
      <c r="L3052" s="13"/>
      <c r="M3052" s="14"/>
      <c r="N3052" s="14"/>
      <c r="O3052" s="14"/>
      <c r="P3052" s="13"/>
    </row>
    <row r="3053">
      <c r="L3053" s="13"/>
      <c r="M3053" s="14"/>
      <c r="N3053" s="14"/>
      <c r="O3053" s="14"/>
      <c r="P3053" s="13"/>
    </row>
    <row r="3054">
      <c r="L3054" s="13"/>
      <c r="M3054" s="14"/>
      <c r="N3054" s="14"/>
      <c r="O3054" s="14"/>
      <c r="P3054" s="13"/>
    </row>
    <row r="3055">
      <c r="L3055" s="13"/>
      <c r="M3055" s="14"/>
      <c r="N3055" s="14"/>
      <c r="O3055" s="14"/>
      <c r="P3055" s="13"/>
    </row>
    <row r="3056">
      <c r="L3056" s="13"/>
      <c r="M3056" s="14"/>
      <c r="N3056" s="14"/>
      <c r="O3056" s="14"/>
      <c r="P3056" s="13"/>
    </row>
    <row r="3057">
      <c r="L3057" s="13"/>
      <c r="M3057" s="14"/>
      <c r="N3057" s="14"/>
      <c r="O3057" s="14"/>
      <c r="P3057" s="13"/>
    </row>
    <row r="3058">
      <c r="L3058" s="13"/>
      <c r="M3058" s="14"/>
      <c r="N3058" s="14"/>
      <c r="O3058" s="14"/>
      <c r="P3058" s="13"/>
    </row>
    <row r="3059">
      <c r="L3059" s="13"/>
      <c r="M3059" s="14"/>
      <c r="N3059" s="14"/>
      <c r="O3059" s="14"/>
      <c r="P3059" s="13"/>
    </row>
    <row r="3060">
      <c r="L3060" s="13"/>
      <c r="M3060" s="14"/>
      <c r="N3060" s="14"/>
      <c r="O3060" s="14"/>
      <c r="P3060" s="13"/>
    </row>
    <row r="3061">
      <c r="L3061" s="13"/>
      <c r="M3061" s="14"/>
      <c r="N3061" s="14"/>
      <c r="O3061" s="14"/>
      <c r="P3061" s="13"/>
    </row>
    <row r="3062">
      <c r="L3062" s="13"/>
      <c r="M3062" s="14"/>
      <c r="N3062" s="14"/>
      <c r="O3062" s="14"/>
      <c r="P3062" s="13"/>
    </row>
    <row r="3063">
      <c r="L3063" s="13"/>
      <c r="M3063" s="14"/>
      <c r="N3063" s="14"/>
      <c r="O3063" s="14"/>
      <c r="P3063" s="13"/>
    </row>
    <row r="3064">
      <c r="L3064" s="13"/>
      <c r="M3064" s="14"/>
      <c r="N3064" s="14"/>
      <c r="O3064" s="14"/>
      <c r="P3064" s="13"/>
    </row>
    <row r="3065">
      <c r="L3065" s="13"/>
      <c r="M3065" s="14"/>
      <c r="N3065" s="14"/>
      <c r="O3065" s="14"/>
      <c r="P3065" s="13"/>
    </row>
    <row r="3066">
      <c r="L3066" s="13"/>
      <c r="M3066" s="14"/>
      <c r="N3066" s="14"/>
      <c r="O3066" s="14"/>
      <c r="P3066" s="13"/>
    </row>
    <row r="3067">
      <c r="L3067" s="13"/>
      <c r="M3067" s="14"/>
      <c r="N3067" s="14"/>
      <c r="O3067" s="14"/>
      <c r="P3067" s="13"/>
    </row>
    <row r="3068">
      <c r="L3068" s="13"/>
      <c r="M3068" s="14"/>
      <c r="N3068" s="14"/>
      <c r="O3068" s="14"/>
      <c r="P3068" s="13"/>
    </row>
    <row r="3069">
      <c r="L3069" s="13"/>
      <c r="M3069" s="14"/>
      <c r="N3069" s="14"/>
      <c r="O3069" s="14"/>
      <c r="P3069" s="13"/>
    </row>
    <row r="3070">
      <c r="L3070" s="13"/>
      <c r="M3070" s="14"/>
      <c r="N3070" s="14"/>
      <c r="O3070" s="14"/>
      <c r="P3070" s="13"/>
    </row>
    <row r="3071">
      <c r="L3071" s="13"/>
      <c r="M3071" s="14"/>
      <c r="N3071" s="14"/>
      <c r="O3071" s="14"/>
      <c r="P3071" s="13"/>
    </row>
    <row r="3072">
      <c r="L3072" s="13"/>
      <c r="M3072" s="14"/>
      <c r="N3072" s="14"/>
      <c r="O3072" s="14"/>
      <c r="P3072" s="13"/>
    </row>
    <row r="3073">
      <c r="L3073" s="13"/>
      <c r="M3073" s="14"/>
      <c r="N3073" s="14"/>
      <c r="O3073" s="14"/>
      <c r="P3073" s="13"/>
    </row>
    <row r="3074">
      <c r="L3074" s="13"/>
      <c r="M3074" s="14"/>
      <c r="N3074" s="14"/>
      <c r="O3074" s="14"/>
      <c r="P3074" s="13"/>
    </row>
    <row r="3075">
      <c r="L3075" s="13"/>
      <c r="M3075" s="14"/>
      <c r="N3075" s="14"/>
      <c r="O3075" s="14"/>
      <c r="P3075" s="13"/>
    </row>
    <row r="3076">
      <c r="L3076" s="13"/>
      <c r="M3076" s="14"/>
      <c r="N3076" s="14"/>
      <c r="O3076" s="14"/>
      <c r="P3076" s="13"/>
    </row>
    <row r="3077">
      <c r="L3077" s="13"/>
      <c r="M3077" s="14"/>
      <c r="N3077" s="14"/>
      <c r="O3077" s="14"/>
      <c r="P3077" s="13"/>
    </row>
    <row r="3078">
      <c r="L3078" s="13"/>
      <c r="M3078" s="14"/>
      <c r="N3078" s="14"/>
      <c r="O3078" s="14"/>
      <c r="P3078" s="13"/>
    </row>
    <row r="3079">
      <c r="L3079" s="13"/>
      <c r="M3079" s="14"/>
      <c r="N3079" s="14"/>
      <c r="O3079" s="14"/>
      <c r="P3079" s="13"/>
    </row>
    <row r="3080">
      <c r="L3080" s="13"/>
      <c r="M3080" s="14"/>
      <c r="N3080" s="14"/>
      <c r="O3080" s="14"/>
      <c r="P3080" s="13"/>
    </row>
    <row r="3081">
      <c r="L3081" s="13"/>
      <c r="M3081" s="14"/>
      <c r="N3081" s="14"/>
      <c r="O3081" s="14"/>
      <c r="P3081" s="13"/>
    </row>
    <row r="3082">
      <c r="L3082" s="13"/>
      <c r="M3082" s="14"/>
      <c r="N3082" s="14"/>
      <c r="O3082" s="14"/>
      <c r="P3082" s="13"/>
    </row>
    <row r="3083">
      <c r="L3083" s="13"/>
      <c r="M3083" s="14"/>
      <c r="N3083" s="14"/>
      <c r="O3083" s="14"/>
      <c r="P3083" s="13"/>
    </row>
    <row r="3084">
      <c r="L3084" s="13"/>
      <c r="M3084" s="14"/>
      <c r="N3084" s="14"/>
      <c r="O3084" s="14"/>
      <c r="P3084" s="13"/>
    </row>
    <row r="3085">
      <c r="L3085" s="13"/>
      <c r="M3085" s="14"/>
      <c r="N3085" s="14"/>
      <c r="O3085" s="14"/>
      <c r="P3085" s="13"/>
    </row>
    <row r="3086">
      <c r="L3086" s="13"/>
      <c r="M3086" s="14"/>
      <c r="N3086" s="14"/>
      <c r="O3086" s="14"/>
      <c r="P3086" s="13"/>
    </row>
    <row r="3087">
      <c r="L3087" s="13"/>
      <c r="M3087" s="14"/>
      <c r="N3087" s="14"/>
      <c r="O3087" s="14"/>
      <c r="P3087" s="13"/>
    </row>
    <row r="3088">
      <c r="L3088" s="13"/>
      <c r="M3088" s="14"/>
      <c r="N3088" s="14"/>
      <c r="O3088" s="14"/>
      <c r="P3088" s="13"/>
    </row>
    <row r="3089">
      <c r="L3089" s="13"/>
      <c r="M3089" s="14"/>
      <c r="N3089" s="14"/>
      <c r="O3089" s="14"/>
      <c r="P3089" s="13"/>
    </row>
    <row r="3090">
      <c r="L3090" s="13"/>
      <c r="M3090" s="14"/>
      <c r="N3090" s="14"/>
      <c r="O3090" s="14"/>
      <c r="P3090" s="13"/>
    </row>
    <row r="3091">
      <c r="L3091" s="13"/>
      <c r="M3091" s="14"/>
      <c r="N3091" s="14"/>
      <c r="O3091" s="14"/>
      <c r="P3091" s="13"/>
    </row>
    <row r="3092">
      <c r="L3092" s="13"/>
      <c r="M3092" s="14"/>
      <c r="N3092" s="14"/>
      <c r="O3092" s="14"/>
      <c r="P3092" s="13"/>
    </row>
    <row r="3093">
      <c r="L3093" s="13"/>
      <c r="M3093" s="14"/>
      <c r="N3093" s="14"/>
      <c r="O3093" s="14"/>
      <c r="P3093" s="13"/>
    </row>
    <row r="3094">
      <c r="L3094" s="13"/>
      <c r="M3094" s="14"/>
      <c r="N3094" s="14"/>
      <c r="O3094" s="14"/>
      <c r="P3094" s="13"/>
    </row>
    <row r="3095">
      <c r="L3095" s="13"/>
      <c r="M3095" s="14"/>
      <c r="N3095" s="14"/>
      <c r="O3095" s="14"/>
      <c r="P3095" s="13"/>
    </row>
    <row r="3096">
      <c r="L3096" s="13"/>
      <c r="M3096" s="14"/>
      <c r="N3096" s="14"/>
      <c r="O3096" s="14"/>
      <c r="P3096" s="13"/>
    </row>
    <row r="3097">
      <c r="L3097" s="13"/>
      <c r="M3097" s="14"/>
      <c r="N3097" s="14"/>
      <c r="O3097" s="14"/>
      <c r="P3097" s="13"/>
    </row>
    <row r="3098">
      <c r="L3098" s="13"/>
      <c r="M3098" s="14"/>
      <c r="N3098" s="14"/>
      <c r="O3098" s="14"/>
      <c r="P3098" s="13"/>
    </row>
    <row r="3099">
      <c r="L3099" s="13"/>
      <c r="M3099" s="14"/>
      <c r="N3099" s="14"/>
      <c r="O3099" s="14"/>
      <c r="P3099" s="13"/>
    </row>
    <row r="3100">
      <c r="L3100" s="13"/>
      <c r="M3100" s="14"/>
      <c r="N3100" s="14"/>
      <c r="O3100" s="14"/>
      <c r="P3100" s="13"/>
    </row>
    <row r="3101">
      <c r="L3101" s="13"/>
      <c r="M3101" s="14"/>
      <c r="N3101" s="14"/>
      <c r="O3101" s="14"/>
      <c r="P3101" s="13"/>
    </row>
    <row r="3102">
      <c r="L3102" s="13"/>
      <c r="M3102" s="14"/>
      <c r="N3102" s="14"/>
      <c r="O3102" s="14"/>
      <c r="P3102" s="13"/>
    </row>
    <row r="3103">
      <c r="L3103" s="13"/>
      <c r="M3103" s="14"/>
      <c r="N3103" s="14"/>
      <c r="O3103" s="14"/>
      <c r="P3103" s="13"/>
    </row>
    <row r="3104">
      <c r="L3104" s="13"/>
      <c r="M3104" s="14"/>
      <c r="N3104" s="14"/>
      <c r="O3104" s="14"/>
      <c r="P3104" s="13"/>
    </row>
    <row r="3105">
      <c r="L3105" s="13"/>
      <c r="M3105" s="14"/>
      <c r="N3105" s="14"/>
      <c r="O3105" s="14"/>
      <c r="P3105" s="13"/>
    </row>
    <row r="3106">
      <c r="L3106" s="13"/>
      <c r="M3106" s="14"/>
      <c r="N3106" s="14"/>
      <c r="O3106" s="14"/>
      <c r="P3106" s="13"/>
    </row>
    <row r="3107">
      <c r="L3107" s="13"/>
      <c r="M3107" s="14"/>
      <c r="N3107" s="14"/>
      <c r="O3107" s="14"/>
      <c r="P3107" s="13"/>
    </row>
    <row r="3108">
      <c r="L3108" s="13"/>
      <c r="M3108" s="14"/>
      <c r="N3108" s="14"/>
      <c r="O3108" s="14"/>
      <c r="P3108" s="13"/>
    </row>
    <row r="3109">
      <c r="L3109" s="13"/>
      <c r="M3109" s="14"/>
      <c r="N3109" s="14"/>
      <c r="O3109" s="14"/>
      <c r="P3109" s="13"/>
    </row>
    <row r="3110">
      <c r="L3110" s="13"/>
      <c r="M3110" s="14"/>
      <c r="N3110" s="14"/>
      <c r="O3110" s="14"/>
      <c r="P3110" s="13"/>
    </row>
    <row r="3111">
      <c r="L3111" s="13"/>
      <c r="M3111" s="14"/>
      <c r="N3111" s="14"/>
      <c r="O3111" s="14"/>
      <c r="P3111" s="13"/>
    </row>
    <row r="3112">
      <c r="L3112" s="13"/>
      <c r="M3112" s="14"/>
      <c r="N3112" s="14"/>
      <c r="O3112" s="14"/>
      <c r="P3112" s="13"/>
    </row>
    <row r="3113">
      <c r="L3113" s="13"/>
      <c r="M3113" s="14"/>
      <c r="N3113" s="14"/>
      <c r="O3113" s="14"/>
      <c r="P3113" s="13"/>
    </row>
    <row r="3114">
      <c r="L3114" s="13"/>
      <c r="M3114" s="14"/>
      <c r="N3114" s="14"/>
      <c r="O3114" s="14"/>
      <c r="P3114" s="13"/>
    </row>
    <row r="3115">
      <c r="L3115" s="13"/>
      <c r="M3115" s="14"/>
      <c r="N3115" s="14"/>
      <c r="O3115" s="14"/>
      <c r="P3115" s="13"/>
    </row>
    <row r="3116">
      <c r="L3116" s="13"/>
      <c r="M3116" s="14"/>
      <c r="N3116" s="14"/>
      <c r="O3116" s="14"/>
      <c r="P3116" s="13"/>
    </row>
    <row r="3117">
      <c r="L3117" s="13"/>
      <c r="M3117" s="14"/>
      <c r="N3117" s="14"/>
      <c r="O3117" s="14"/>
      <c r="P3117" s="13"/>
    </row>
    <row r="3118">
      <c r="L3118" s="13"/>
      <c r="M3118" s="14"/>
      <c r="N3118" s="14"/>
      <c r="O3118" s="14"/>
      <c r="P3118" s="13"/>
    </row>
    <row r="3119">
      <c r="L3119" s="13"/>
      <c r="M3119" s="14"/>
      <c r="N3119" s="14"/>
      <c r="O3119" s="14"/>
      <c r="P3119" s="13"/>
    </row>
    <row r="3120">
      <c r="L3120" s="13"/>
      <c r="M3120" s="14"/>
      <c r="N3120" s="14"/>
      <c r="O3120" s="14"/>
      <c r="P3120" s="13"/>
    </row>
    <row r="3121">
      <c r="L3121" s="13"/>
      <c r="M3121" s="14"/>
      <c r="N3121" s="14"/>
      <c r="O3121" s="14"/>
      <c r="P3121" s="13"/>
    </row>
    <row r="3122">
      <c r="L3122" s="13"/>
      <c r="M3122" s="14"/>
      <c r="N3122" s="14"/>
      <c r="O3122" s="14"/>
      <c r="P3122" s="13"/>
    </row>
    <row r="3123">
      <c r="L3123" s="13"/>
      <c r="M3123" s="14"/>
      <c r="N3123" s="14"/>
      <c r="O3123" s="14"/>
      <c r="P3123" s="13"/>
    </row>
    <row r="3124">
      <c r="L3124" s="13"/>
      <c r="M3124" s="14"/>
      <c r="N3124" s="14"/>
      <c r="O3124" s="14"/>
      <c r="P3124" s="13"/>
    </row>
    <row r="3125">
      <c r="L3125" s="13"/>
      <c r="M3125" s="14"/>
      <c r="N3125" s="14"/>
      <c r="O3125" s="14"/>
      <c r="P3125" s="13"/>
    </row>
    <row r="3126">
      <c r="L3126" s="13"/>
      <c r="M3126" s="14"/>
      <c r="N3126" s="14"/>
      <c r="O3126" s="14"/>
      <c r="P3126" s="13"/>
    </row>
    <row r="3127">
      <c r="L3127" s="13"/>
      <c r="M3127" s="14"/>
      <c r="N3127" s="14"/>
      <c r="O3127" s="14"/>
      <c r="P3127" s="13"/>
    </row>
    <row r="3128">
      <c r="L3128" s="13"/>
      <c r="M3128" s="14"/>
      <c r="N3128" s="14"/>
      <c r="O3128" s="14"/>
      <c r="P3128" s="13"/>
    </row>
    <row r="3129">
      <c r="L3129" s="13"/>
      <c r="M3129" s="14"/>
      <c r="N3129" s="14"/>
      <c r="O3129" s="14"/>
      <c r="P3129" s="13"/>
    </row>
    <row r="3130">
      <c r="L3130" s="13"/>
      <c r="M3130" s="14"/>
      <c r="N3130" s="14"/>
      <c r="O3130" s="14"/>
      <c r="P3130" s="13"/>
    </row>
    <row r="3131">
      <c r="L3131" s="13"/>
      <c r="M3131" s="14"/>
      <c r="N3131" s="14"/>
      <c r="O3131" s="14"/>
      <c r="P3131" s="13"/>
    </row>
    <row r="3132">
      <c r="L3132" s="13"/>
      <c r="M3132" s="14"/>
      <c r="N3132" s="14"/>
      <c r="O3132" s="14"/>
      <c r="P3132" s="13"/>
    </row>
    <row r="3133">
      <c r="L3133" s="13"/>
      <c r="M3133" s="14"/>
      <c r="N3133" s="14"/>
      <c r="O3133" s="14"/>
      <c r="P3133" s="13"/>
    </row>
    <row r="3134">
      <c r="L3134" s="13"/>
      <c r="M3134" s="14"/>
      <c r="N3134" s="14"/>
      <c r="O3134" s="14"/>
      <c r="P3134" s="13"/>
    </row>
    <row r="3135">
      <c r="L3135" s="13"/>
      <c r="M3135" s="14"/>
      <c r="N3135" s="14"/>
      <c r="O3135" s="14"/>
      <c r="P3135" s="13"/>
    </row>
    <row r="3136">
      <c r="L3136" s="13"/>
      <c r="M3136" s="14"/>
      <c r="N3136" s="14"/>
      <c r="O3136" s="14"/>
      <c r="P3136" s="13"/>
    </row>
    <row r="3137">
      <c r="L3137" s="13"/>
      <c r="M3137" s="14"/>
      <c r="N3137" s="14"/>
      <c r="O3137" s="14"/>
      <c r="P3137" s="13"/>
    </row>
    <row r="3138">
      <c r="L3138" s="13"/>
      <c r="M3138" s="14"/>
      <c r="N3138" s="14"/>
      <c r="O3138" s="14"/>
      <c r="P3138" s="13"/>
    </row>
    <row r="3139">
      <c r="L3139" s="13"/>
      <c r="M3139" s="14"/>
      <c r="N3139" s="14"/>
      <c r="O3139" s="14"/>
      <c r="P3139" s="13"/>
    </row>
    <row r="3140">
      <c r="L3140" s="13"/>
      <c r="M3140" s="14"/>
      <c r="N3140" s="14"/>
      <c r="O3140" s="14"/>
      <c r="P3140" s="13"/>
    </row>
    <row r="3141">
      <c r="L3141" s="13"/>
      <c r="M3141" s="14"/>
      <c r="N3141" s="14"/>
      <c r="O3141" s="14"/>
      <c r="P3141" s="13"/>
    </row>
    <row r="3142">
      <c r="L3142" s="13"/>
      <c r="M3142" s="14"/>
      <c r="N3142" s="14"/>
      <c r="O3142" s="14"/>
      <c r="P3142" s="13"/>
    </row>
    <row r="3143">
      <c r="L3143" s="13"/>
      <c r="M3143" s="14"/>
      <c r="N3143" s="14"/>
      <c r="O3143" s="14"/>
      <c r="P3143" s="13"/>
    </row>
    <row r="3144">
      <c r="L3144" s="13"/>
      <c r="M3144" s="14"/>
      <c r="N3144" s="14"/>
      <c r="O3144" s="14"/>
      <c r="P3144" s="13"/>
    </row>
    <row r="3145">
      <c r="L3145" s="13"/>
      <c r="M3145" s="14"/>
      <c r="N3145" s="14"/>
      <c r="O3145" s="14"/>
      <c r="P3145" s="13"/>
    </row>
    <row r="3146">
      <c r="L3146" s="13"/>
      <c r="M3146" s="14"/>
      <c r="N3146" s="14"/>
      <c r="O3146" s="14"/>
      <c r="P3146" s="13"/>
    </row>
    <row r="3147">
      <c r="L3147" s="13"/>
      <c r="M3147" s="14"/>
      <c r="N3147" s="14"/>
      <c r="O3147" s="14"/>
      <c r="P3147" s="13"/>
    </row>
    <row r="3148">
      <c r="L3148" s="13"/>
      <c r="M3148" s="14"/>
      <c r="N3148" s="14"/>
      <c r="O3148" s="14"/>
      <c r="P3148" s="13"/>
    </row>
    <row r="3149">
      <c r="L3149" s="13"/>
      <c r="M3149" s="14"/>
      <c r="N3149" s="14"/>
      <c r="O3149" s="14"/>
      <c r="P3149" s="13"/>
    </row>
    <row r="3150">
      <c r="L3150" s="13"/>
      <c r="M3150" s="14"/>
      <c r="N3150" s="14"/>
      <c r="O3150" s="14"/>
      <c r="P3150" s="13"/>
    </row>
    <row r="3151">
      <c r="L3151" s="13"/>
      <c r="M3151" s="14"/>
      <c r="N3151" s="14"/>
      <c r="O3151" s="14"/>
      <c r="P3151" s="13"/>
    </row>
    <row r="3152">
      <c r="L3152" s="13"/>
      <c r="M3152" s="14"/>
      <c r="N3152" s="14"/>
      <c r="O3152" s="14"/>
      <c r="P3152" s="13"/>
    </row>
    <row r="3153">
      <c r="L3153" s="13"/>
      <c r="M3153" s="14"/>
      <c r="N3153" s="14"/>
      <c r="O3153" s="14"/>
      <c r="P3153" s="13"/>
    </row>
    <row r="3154">
      <c r="L3154" s="13"/>
      <c r="M3154" s="14"/>
      <c r="N3154" s="14"/>
      <c r="O3154" s="14"/>
      <c r="P3154" s="13"/>
    </row>
    <row r="3155">
      <c r="L3155" s="13"/>
      <c r="M3155" s="14"/>
      <c r="N3155" s="14"/>
      <c r="O3155" s="14"/>
      <c r="P3155" s="13"/>
    </row>
    <row r="3156">
      <c r="L3156" s="13"/>
      <c r="M3156" s="14"/>
      <c r="N3156" s="14"/>
      <c r="O3156" s="14"/>
      <c r="P3156" s="13"/>
    </row>
    <row r="3157">
      <c r="L3157" s="13"/>
      <c r="M3157" s="14"/>
      <c r="N3157" s="14"/>
      <c r="O3157" s="14"/>
      <c r="P3157" s="13"/>
    </row>
    <row r="3158">
      <c r="L3158" s="13"/>
      <c r="M3158" s="14"/>
      <c r="N3158" s="14"/>
      <c r="O3158" s="14"/>
      <c r="P3158" s="13"/>
    </row>
    <row r="3159">
      <c r="L3159" s="13"/>
      <c r="M3159" s="14"/>
      <c r="N3159" s="14"/>
      <c r="O3159" s="14"/>
      <c r="P3159" s="13"/>
    </row>
    <row r="3160">
      <c r="L3160" s="13"/>
      <c r="M3160" s="14"/>
      <c r="N3160" s="14"/>
      <c r="O3160" s="14"/>
      <c r="P3160" s="13"/>
    </row>
    <row r="3161">
      <c r="L3161" s="13"/>
      <c r="M3161" s="14"/>
      <c r="N3161" s="14"/>
      <c r="O3161" s="14"/>
      <c r="P3161" s="13"/>
    </row>
    <row r="3162">
      <c r="L3162" s="13"/>
      <c r="M3162" s="14"/>
      <c r="N3162" s="14"/>
      <c r="O3162" s="14"/>
      <c r="P3162" s="13"/>
    </row>
    <row r="3163">
      <c r="L3163" s="13"/>
      <c r="M3163" s="14"/>
      <c r="N3163" s="14"/>
      <c r="O3163" s="14"/>
      <c r="P3163" s="13"/>
    </row>
    <row r="3164">
      <c r="L3164" s="13"/>
      <c r="M3164" s="14"/>
      <c r="N3164" s="14"/>
      <c r="O3164" s="14"/>
      <c r="P3164" s="13"/>
    </row>
    <row r="3165">
      <c r="L3165" s="13"/>
      <c r="M3165" s="14"/>
      <c r="N3165" s="14"/>
      <c r="O3165" s="14"/>
      <c r="P3165" s="13"/>
    </row>
    <row r="3166">
      <c r="L3166" s="13"/>
      <c r="M3166" s="14"/>
      <c r="N3166" s="14"/>
      <c r="O3166" s="14"/>
      <c r="P3166" s="13"/>
    </row>
    <row r="3167">
      <c r="L3167" s="13"/>
      <c r="M3167" s="14"/>
      <c r="N3167" s="14"/>
      <c r="O3167" s="14"/>
      <c r="P3167" s="13"/>
    </row>
    <row r="3168">
      <c r="L3168" s="13"/>
      <c r="M3168" s="14"/>
      <c r="N3168" s="14"/>
      <c r="O3168" s="14"/>
      <c r="P3168" s="13"/>
    </row>
    <row r="3169">
      <c r="L3169" s="13"/>
      <c r="M3169" s="14"/>
      <c r="N3169" s="14"/>
      <c r="O3169" s="14"/>
      <c r="P3169" s="13"/>
    </row>
    <row r="3170">
      <c r="L3170" s="13"/>
      <c r="M3170" s="14"/>
      <c r="N3170" s="14"/>
      <c r="O3170" s="14"/>
      <c r="P3170" s="13"/>
    </row>
    <row r="3171">
      <c r="L3171" s="13"/>
      <c r="M3171" s="14"/>
      <c r="N3171" s="14"/>
      <c r="O3171" s="14"/>
      <c r="P3171" s="13"/>
    </row>
    <row r="3172">
      <c r="L3172" s="13"/>
      <c r="M3172" s="14"/>
      <c r="N3172" s="14"/>
      <c r="O3172" s="14"/>
      <c r="P3172" s="13"/>
    </row>
    <row r="3173">
      <c r="L3173" s="13"/>
      <c r="M3173" s="14"/>
      <c r="N3173" s="14"/>
      <c r="O3173" s="14"/>
      <c r="P3173" s="13"/>
    </row>
    <row r="3174">
      <c r="L3174" s="13"/>
      <c r="M3174" s="14"/>
      <c r="N3174" s="14"/>
      <c r="O3174" s="14"/>
      <c r="P3174" s="13"/>
    </row>
    <row r="3175">
      <c r="L3175" s="13"/>
      <c r="M3175" s="14"/>
      <c r="N3175" s="14"/>
      <c r="O3175" s="14"/>
      <c r="P3175" s="13"/>
    </row>
    <row r="3176">
      <c r="L3176" s="13"/>
      <c r="M3176" s="14"/>
      <c r="N3176" s="14"/>
      <c r="O3176" s="14"/>
      <c r="P3176" s="13"/>
    </row>
    <row r="3177">
      <c r="L3177" s="13"/>
      <c r="M3177" s="14"/>
      <c r="N3177" s="14"/>
      <c r="O3177" s="14"/>
      <c r="P3177" s="13"/>
    </row>
    <row r="3178">
      <c r="L3178" s="13"/>
      <c r="M3178" s="14"/>
      <c r="N3178" s="14"/>
      <c r="O3178" s="14"/>
      <c r="P3178" s="13"/>
    </row>
    <row r="3179">
      <c r="L3179" s="13"/>
      <c r="M3179" s="14"/>
      <c r="N3179" s="14"/>
      <c r="O3179" s="14"/>
      <c r="P3179" s="13"/>
    </row>
    <row r="3180">
      <c r="L3180" s="13"/>
      <c r="M3180" s="14"/>
      <c r="N3180" s="14"/>
      <c r="O3180" s="14"/>
      <c r="P3180" s="13"/>
    </row>
    <row r="3181">
      <c r="L3181" s="13"/>
      <c r="M3181" s="14"/>
      <c r="N3181" s="14"/>
      <c r="O3181" s="14"/>
      <c r="P3181" s="13"/>
    </row>
    <row r="3182">
      <c r="L3182" s="13"/>
      <c r="M3182" s="14"/>
      <c r="N3182" s="14"/>
      <c r="O3182" s="14"/>
      <c r="P3182" s="13"/>
    </row>
    <row r="3183">
      <c r="L3183" s="13"/>
      <c r="M3183" s="14"/>
      <c r="N3183" s="14"/>
      <c r="O3183" s="14"/>
      <c r="P3183" s="13"/>
    </row>
    <row r="3184">
      <c r="L3184" s="13"/>
      <c r="M3184" s="14"/>
      <c r="N3184" s="14"/>
      <c r="O3184" s="14"/>
      <c r="P3184" s="13"/>
    </row>
    <row r="3185">
      <c r="L3185" s="13"/>
      <c r="M3185" s="14"/>
      <c r="N3185" s="14"/>
      <c r="O3185" s="14"/>
      <c r="P3185" s="13"/>
    </row>
    <row r="3186">
      <c r="L3186" s="13"/>
      <c r="M3186" s="14"/>
      <c r="N3186" s="14"/>
      <c r="O3186" s="14"/>
      <c r="P3186" s="13"/>
    </row>
    <row r="3187">
      <c r="L3187" s="13"/>
      <c r="M3187" s="14"/>
      <c r="N3187" s="14"/>
      <c r="O3187" s="14"/>
      <c r="P3187" s="13"/>
    </row>
    <row r="3188">
      <c r="L3188" s="13"/>
      <c r="M3188" s="14"/>
      <c r="N3188" s="14"/>
      <c r="O3188" s="14"/>
      <c r="P3188" s="13"/>
    </row>
    <row r="3189">
      <c r="L3189" s="13"/>
      <c r="M3189" s="14"/>
      <c r="N3189" s="14"/>
      <c r="O3189" s="14"/>
      <c r="P3189" s="13"/>
    </row>
    <row r="3190">
      <c r="L3190" s="13"/>
      <c r="M3190" s="14"/>
      <c r="N3190" s="14"/>
      <c r="O3190" s="14"/>
      <c r="P3190" s="13"/>
    </row>
    <row r="3191">
      <c r="L3191" s="13"/>
      <c r="M3191" s="14"/>
      <c r="N3191" s="14"/>
      <c r="O3191" s="14"/>
      <c r="P3191" s="13"/>
    </row>
    <row r="3192">
      <c r="L3192" s="13"/>
      <c r="M3192" s="14"/>
      <c r="N3192" s="14"/>
      <c r="O3192" s="14"/>
      <c r="P3192" s="13"/>
    </row>
    <row r="3193">
      <c r="L3193" s="13"/>
      <c r="M3193" s="14"/>
      <c r="N3193" s="14"/>
      <c r="O3193" s="14"/>
      <c r="P3193" s="13"/>
    </row>
    <row r="3194">
      <c r="L3194" s="13"/>
      <c r="M3194" s="14"/>
      <c r="N3194" s="14"/>
      <c r="O3194" s="14"/>
      <c r="P3194" s="13"/>
    </row>
    <row r="3195">
      <c r="L3195" s="13"/>
      <c r="M3195" s="14"/>
      <c r="N3195" s="14"/>
      <c r="O3195" s="14"/>
      <c r="P3195" s="13"/>
    </row>
    <row r="3196">
      <c r="L3196" s="13"/>
      <c r="M3196" s="14"/>
      <c r="N3196" s="14"/>
      <c r="O3196" s="14"/>
      <c r="P3196" s="13"/>
    </row>
    <row r="3197">
      <c r="L3197" s="13"/>
      <c r="M3197" s="14"/>
      <c r="N3197" s="14"/>
      <c r="O3197" s="14"/>
      <c r="P3197" s="13"/>
    </row>
    <row r="3198">
      <c r="L3198" s="13"/>
      <c r="M3198" s="14"/>
      <c r="N3198" s="14"/>
      <c r="O3198" s="14"/>
      <c r="P3198" s="13"/>
    </row>
    <row r="3199">
      <c r="L3199" s="13"/>
      <c r="M3199" s="14"/>
      <c r="N3199" s="14"/>
      <c r="O3199" s="14"/>
      <c r="P3199" s="13"/>
    </row>
    <row r="3200">
      <c r="L3200" s="13"/>
      <c r="M3200" s="14"/>
      <c r="N3200" s="14"/>
      <c r="O3200" s="14"/>
      <c r="P3200" s="13"/>
    </row>
    <row r="3201">
      <c r="L3201" s="13"/>
      <c r="M3201" s="14"/>
      <c r="N3201" s="14"/>
      <c r="O3201" s="14"/>
      <c r="P3201" s="13"/>
    </row>
    <row r="3202">
      <c r="L3202" s="13"/>
      <c r="M3202" s="14"/>
      <c r="N3202" s="14"/>
      <c r="O3202" s="14"/>
      <c r="P3202" s="13"/>
    </row>
    <row r="3203">
      <c r="L3203" s="13"/>
      <c r="M3203" s="14"/>
      <c r="N3203" s="14"/>
      <c r="O3203" s="14"/>
      <c r="P3203" s="13"/>
    </row>
    <row r="3204">
      <c r="L3204" s="13"/>
      <c r="M3204" s="14"/>
      <c r="N3204" s="14"/>
      <c r="O3204" s="14"/>
      <c r="P3204" s="13"/>
    </row>
    <row r="3205">
      <c r="L3205" s="13"/>
      <c r="M3205" s="14"/>
      <c r="N3205" s="14"/>
      <c r="O3205" s="14"/>
      <c r="P3205" s="13"/>
    </row>
    <row r="3206">
      <c r="L3206" s="13"/>
      <c r="M3206" s="14"/>
      <c r="N3206" s="14"/>
      <c r="O3206" s="14"/>
      <c r="P3206" s="13"/>
    </row>
    <row r="3207">
      <c r="L3207" s="13"/>
      <c r="M3207" s="14"/>
      <c r="N3207" s="14"/>
      <c r="O3207" s="14"/>
      <c r="P3207" s="13"/>
    </row>
    <row r="3208">
      <c r="L3208" s="13"/>
      <c r="M3208" s="14"/>
      <c r="N3208" s="14"/>
      <c r="O3208" s="14"/>
      <c r="P3208" s="13"/>
    </row>
    <row r="3209">
      <c r="L3209" s="13"/>
      <c r="M3209" s="14"/>
      <c r="N3209" s="14"/>
      <c r="O3209" s="14"/>
      <c r="P3209" s="13"/>
    </row>
    <row r="3210">
      <c r="L3210" s="13"/>
      <c r="M3210" s="14"/>
      <c r="N3210" s="14"/>
      <c r="O3210" s="14"/>
      <c r="P3210" s="13"/>
    </row>
    <row r="3211">
      <c r="L3211" s="13"/>
      <c r="M3211" s="14"/>
      <c r="N3211" s="14"/>
      <c r="O3211" s="14"/>
      <c r="P3211" s="13"/>
    </row>
    <row r="3212">
      <c r="L3212" s="13"/>
      <c r="M3212" s="14"/>
      <c r="N3212" s="14"/>
      <c r="O3212" s="14"/>
      <c r="P3212" s="13"/>
    </row>
    <row r="3213">
      <c r="L3213" s="13"/>
      <c r="M3213" s="14"/>
      <c r="N3213" s="14"/>
      <c r="O3213" s="14"/>
      <c r="P3213" s="13"/>
    </row>
    <row r="3214">
      <c r="L3214" s="13"/>
      <c r="M3214" s="14"/>
      <c r="N3214" s="14"/>
      <c r="O3214" s="14"/>
      <c r="P3214" s="13"/>
    </row>
    <row r="3215">
      <c r="L3215" s="13"/>
      <c r="M3215" s="14"/>
      <c r="N3215" s="14"/>
      <c r="O3215" s="14"/>
      <c r="P3215" s="13"/>
    </row>
    <row r="3216">
      <c r="L3216" s="13"/>
      <c r="M3216" s="14"/>
      <c r="N3216" s="14"/>
      <c r="O3216" s="14"/>
      <c r="P3216" s="13"/>
    </row>
    <row r="3217">
      <c r="L3217" s="13"/>
      <c r="M3217" s="14"/>
      <c r="N3217" s="14"/>
      <c r="O3217" s="14"/>
      <c r="P3217" s="13"/>
    </row>
    <row r="3218">
      <c r="L3218" s="13"/>
      <c r="M3218" s="14"/>
      <c r="N3218" s="14"/>
      <c r="O3218" s="14"/>
      <c r="P3218" s="13"/>
    </row>
    <row r="3219">
      <c r="L3219" s="13"/>
      <c r="M3219" s="14"/>
      <c r="N3219" s="14"/>
      <c r="O3219" s="14"/>
      <c r="P3219" s="13"/>
    </row>
    <row r="3220">
      <c r="L3220" s="13"/>
      <c r="M3220" s="14"/>
      <c r="N3220" s="14"/>
      <c r="O3220" s="14"/>
      <c r="P3220" s="13"/>
    </row>
    <row r="3221">
      <c r="L3221" s="13"/>
      <c r="M3221" s="14"/>
      <c r="N3221" s="14"/>
      <c r="O3221" s="14"/>
      <c r="P3221" s="13"/>
    </row>
    <row r="3222">
      <c r="L3222" s="13"/>
      <c r="M3222" s="14"/>
      <c r="N3222" s="14"/>
      <c r="O3222" s="14"/>
      <c r="P3222" s="13"/>
    </row>
    <row r="3223">
      <c r="L3223" s="13"/>
      <c r="M3223" s="14"/>
      <c r="N3223" s="14"/>
      <c r="O3223" s="14"/>
      <c r="P3223" s="13"/>
    </row>
    <row r="3224">
      <c r="L3224" s="13"/>
      <c r="M3224" s="14"/>
      <c r="N3224" s="14"/>
      <c r="O3224" s="14"/>
      <c r="P3224" s="13"/>
    </row>
    <row r="3225">
      <c r="L3225" s="13"/>
      <c r="M3225" s="14"/>
      <c r="N3225" s="14"/>
      <c r="O3225" s="14"/>
      <c r="P3225" s="13"/>
    </row>
    <row r="3226">
      <c r="L3226" s="13"/>
      <c r="M3226" s="14"/>
      <c r="N3226" s="14"/>
      <c r="O3226" s="14"/>
      <c r="P3226" s="13"/>
    </row>
    <row r="3227">
      <c r="L3227" s="13"/>
      <c r="M3227" s="14"/>
      <c r="N3227" s="14"/>
      <c r="O3227" s="14"/>
      <c r="P3227" s="13"/>
    </row>
    <row r="3228">
      <c r="L3228" s="13"/>
      <c r="M3228" s="14"/>
      <c r="N3228" s="14"/>
      <c r="O3228" s="14"/>
      <c r="P3228" s="13"/>
    </row>
    <row r="3229">
      <c r="L3229" s="13"/>
      <c r="M3229" s="14"/>
      <c r="N3229" s="14"/>
      <c r="O3229" s="14"/>
      <c r="P3229" s="13"/>
    </row>
    <row r="3230">
      <c r="L3230" s="13"/>
      <c r="M3230" s="14"/>
      <c r="N3230" s="14"/>
      <c r="O3230" s="14"/>
      <c r="P3230" s="13"/>
    </row>
    <row r="3231">
      <c r="L3231" s="13"/>
      <c r="M3231" s="14"/>
      <c r="N3231" s="14"/>
      <c r="O3231" s="14"/>
      <c r="P3231" s="13"/>
    </row>
    <row r="3232">
      <c r="L3232" s="13"/>
      <c r="M3232" s="14"/>
      <c r="N3232" s="14"/>
      <c r="O3232" s="14"/>
      <c r="P3232" s="13"/>
    </row>
    <row r="3233">
      <c r="L3233" s="13"/>
      <c r="M3233" s="14"/>
      <c r="N3233" s="14"/>
      <c r="O3233" s="14"/>
      <c r="P3233" s="13"/>
    </row>
    <row r="3234">
      <c r="L3234" s="13"/>
      <c r="M3234" s="14"/>
      <c r="N3234" s="14"/>
      <c r="O3234" s="14"/>
      <c r="P3234" s="13"/>
    </row>
    <row r="3235">
      <c r="L3235" s="13"/>
      <c r="M3235" s="14"/>
      <c r="N3235" s="14"/>
      <c r="O3235" s="14"/>
      <c r="P3235" s="13"/>
    </row>
    <row r="3236">
      <c r="L3236" s="13"/>
      <c r="M3236" s="14"/>
      <c r="N3236" s="14"/>
      <c r="O3236" s="14"/>
      <c r="P3236" s="13"/>
    </row>
    <row r="3237">
      <c r="L3237" s="13"/>
      <c r="M3237" s="14"/>
      <c r="N3237" s="14"/>
      <c r="O3237" s="14"/>
      <c r="P3237" s="13"/>
    </row>
    <row r="3238">
      <c r="L3238" s="13"/>
      <c r="M3238" s="14"/>
      <c r="N3238" s="14"/>
      <c r="O3238" s="14"/>
      <c r="P3238" s="13"/>
    </row>
    <row r="3239">
      <c r="L3239" s="13"/>
      <c r="M3239" s="14"/>
      <c r="N3239" s="14"/>
      <c r="O3239" s="14"/>
      <c r="P3239" s="13"/>
    </row>
    <row r="3240">
      <c r="L3240" s="13"/>
      <c r="M3240" s="14"/>
      <c r="N3240" s="14"/>
      <c r="O3240" s="14"/>
      <c r="P3240" s="13"/>
    </row>
    <row r="3241">
      <c r="L3241" s="13"/>
      <c r="M3241" s="14"/>
      <c r="N3241" s="14"/>
      <c r="O3241" s="14"/>
      <c r="P3241" s="13"/>
    </row>
    <row r="3242">
      <c r="L3242" s="13"/>
      <c r="M3242" s="14"/>
      <c r="N3242" s="14"/>
      <c r="O3242" s="14"/>
      <c r="P3242" s="13"/>
    </row>
    <row r="3243">
      <c r="L3243" s="13"/>
      <c r="M3243" s="14"/>
      <c r="N3243" s="14"/>
      <c r="O3243" s="14"/>
      <c r="P3243" s="13"/>
    </row>
    <row r="3244">
      <c r="L3244" s="13"/>
      <c r="M3244" s="14"/>
      <c r="N3244" s="14"/>
      <c r="O3244" s="14"/>
      <c r="P3244" s="13"/>
    </row>
    <row r="3245">
      <c r="L3245" s="13"/>
      <c r="M3245" s="14"/>
      <c r="N3245" s="14"/>
      <c r="O3245" s="14"/>
      <c r="P3245" s="13"/>
    </row>
    <row r="3246">
      <c r="L3246" s="13"/>
      <c r="M3246" s="14"/>
      <c r="N3246" s="14"/>
      <c r="O3246" s="14"/>
      <c r="P3246" s="13"/>
    </row>
    <row r="3247">
      <c r="L3247" s="13"/>
      <c r="M3247" s="14"/>
      <c r="N3247" s="14"/>
      <c r="O3247" s="14"/>
      <c r="P3247" s="13"/>
    </row>
    <row r="3248">
      <c r="L3248" s="13"/>
      <c r="M3248" s="14"/>
      <c r="N3248" s="14"/>
      <c r="O3248" s="14"/>
      <c r="P3248" s="13"/>
    </row>
    <row r="3249">
      <c r="L3249" s="13"/>
      <c r="M3249" s="14"/>
      <c r="N3249" s="14"/>
      <c r="O3249" s="14"/>
      <c r="P3249" s="13"/>
    </row>
    <row r="3250">
      <c r="L3250" s="13"/>
      <c r="M3250" s="14"/>
      <c r="N3250" s="14"/>
      <c r="O3250" s="14"/>
      <c r="P3250" s="13"/>
    </row>
    <row r="3251">
      <c r="L3251" s="13"/>
      <c r="M3251" s="14"/>
      <c r="N3251" s="14"/>
      <c r="O3251" s="14"/>
      <c r="P3251" s="13"/>
    </row>
    <row r="3252">
      <c r="L3252" s="13"/>
      <c r="M3252" s="14"/>
      <c r="N3252" s="14"/>
      <c r="O3252" s="14"/>
      <c r="P3252" s="13"/>
    </row>
    <row r="3253">
      <c r="L3253" s="13"/>
      <c r="M3253" s="14"/>
      <c r="N3253" s="14"/>
      <c r="O3253" s="14"/>
      <c r="P3253" s="13"/>
    </row>
    <row r="3254">
      <c r="L3254" s="13"/>
      <c r="M3254" s="14"/>
      <c r="N3254" s="14"/>
      <c r="O3254" s="14"/>
      <c r="P3254" s="13"/>
    </row>
    <row r="3255">
      <c r="L3255" s="13"/>
      <c r="M3255" s="14"/>
      <c r="N3255" s="14"/>
      <c r="O3255" s="14"/>
      <c r="P3255" s="13"/>
    </row>
    <row r="3256">
      <c r="L3256" s="13"/>
      <c r="M3256" s="14"/>
      <c r="N3256" s="14"/>
      <c r="O3256" s="14"/>
      <c r="P3256" s="13"/>
    </row>
    <row r="3257">
      <c r="L3257" s="13"/>
      <c r="M3257" s="14"/>
      <c r="N3257" s="14"/>
      <c r="O3257" s="14"/>
      <c r="P3257" s="13"/>
    </row>
    <row r="3258">
      <c r="L3258" s="13"/>
      <c r="M3258" s="14"/>
      <c r="N3258" s="14"/>
      <c r="O3258" s="14"/>
      <c r="P3258" s="13"/>
    </row>
    <row r="3259">
      <c r="L3259" s="13"/>
      <c r="M3259" s="14"/>
      <c r="N3259" s="14"/>
      <c r="O3259" s="14"/>
      <c r="P3259" s="13"/>
    </row>
    <row r="3260">
      <c r="L3260" s="13"/>
      <c r="M3260" s="14"/>
      <c r="N3260" s="14"/>
      <c r="O3260" s="14"/>
      <c r="P3260" s="13"/>
    </row>
    <row r="3261">
      <c r="L3261" s="13"/>
      <c r="M3261" s="14"/>
      <c r="N3261" s="14"/>
      <c r="O3261" s="14"/>
      <c r="P3261" s="13"/>
    </row>
    <row r="3262">
      <c r="L3262" s="13"/>
      <c r="M3262" s="14"/>
      <c r="N3262" s="14"/>
      <c r="O3262" s="14"/>
      <c r="P3262" s="13"/>
    </row>
    <row r="3263">
      <c r="L3263" s="13"/>
      <c r="M3263" s="14"/>
      <c r="N3263" s="14"/>
      <c r="O3263" s="14"/>
      <c r="P3263" s="13"/>
    </row>
    <row r="3264">
      <c r="L3264" s="13"/>
      <c r="M3264" s="14"/>
      <c r="N3264" s="14"/>
      <c r="O3264" s="14"/>
      <c r="P3264" s="13"/>
    </row>
    <row r="3265">
      <c r="L3265" s="13"/>
      <c r="M3265" s="14"/>
      <c r="N3265" s="14"/>
      <c r="O3265" s="14"/>
      <c r="P3265" s="13"/>
    </row>
    <row r="3266">
      <c r="L3266" s="13"/>
      <c r="M3266" s="14"/>
      <c r="N3266" s="14"/>
      <c r="O3266" s="14"/>
      <c r="P3266" s="13"/>
    </row>
    <row r="3267">
      <c r="L3267" s="13"/>
      <c r="M3267" s="14"/>
      <c r="N3267" s="14"/>
      <c r="O3267" s="14"/>
      <c r="P3267" s="13"/>
    </row>
    <row r="3268">
      <c r="L3268" s="13"/>
      <c r="M3268" s="14"/>
      <c r="N3268" s="14"/>
      <c r="O3268" s="14"/>
      <c r="P3268" s="13"/>
    </row>
    <row r="3269">
      <c r="L3269" s="13"/>
      <c r="M3269" s="14"/>
      <c r="N3269" s="14"/>
      <c r="O3269" s="14"/>
      <c r="P3269" s="13"/>
    </row>
    <row r="3270">
      <c r="L3270" s="13"/>
      <c r="M3270" s="14"/>
      <c r="N3270" s="14"/>
      <c r="O3270" s="14"/>
      <c r="P3270" s="13"/>
    </row>
    <row r="3271">
      <c r="L3271" s="13"/>
      <c r="M3271" s="14"/>
      <c r="N3271" s="14"/>
      <c r="O3271" s="14"/>
      <c r="P3271" s="13"/>
    </row>
    <row r="3272">
      <c r="L3272" s="13"/>
      <c r="M3272" s="14"/>
      <c r="N3272" s="14"/>
      <c r="O3272" s="14"/>
      <c r="P3272" s="13"/>
    </row>
    <row r="3273">
      <c r="L3273" s="13"/>
      <c r="M3273" s="14"/>
      <c r="N3273" s="14"/>
      <c r="O3273" s="14"/>
      <c r="P3273" s="13"/>
    </row>
    <row r="3274">
      <c r="L3274" s="13"/>
      <c r="M3274" s="14"/>
      <c r="N3274" s="14"/>
      <c r="O3274" s="14"/>
      <c r="P3274" s="13"/>
    </row>
    <row r="3275">
      <c r="L3275" s="13"/>
      <c r="M3275" s="14"/>
      <c r="N3275" s="14"/>
      <c r="O3275" s="14"/>
      <c r="P3275" s="13"/>
    </row>
    <row r="3276">
      <c r="L3276" s="13"/>
      <c r="M3276" s="14"/>
      <c r="N3276" s="14"/>
      <c r="O3276" s="14"/>
      <c r="P3276" s="13"/>
    </row>
    <row r="3277">
      <c r="L3277" s="13"/>
      <c r="M3277" s="14"/>
      <c r="N3277" s="14"/>
      <c r="O3277" s="14"/>
      <c r="P3277" s="13"/>
    </row>
    <row r="3278">
      <c r="L3278" s="13"/>
      <c r="M3278" s="14"/>
      <c r="N3278" s="14"/>
      <c r="O3278" s="14"/>
      <c r="P3278" s="13"/>
    </row>
    <row r="3279">
      <c r="L3279" s="13"/>
      <c r="M3279" s="14"/>
      <c r="N3279" s="14"/>
      <c r="O3279" s="14"/>
      <c r="P3279" s="13"/>
    </row>
    <row r="3280">
      <c r="L3280" s="13"/>
      <c r="M3280" s="14"/>
      <c r="N3280" s="14"/>
      <c r="O3280" s="14"/>
      <c r="P3280" s="13"/>
    </row>
    <row r="3281">
      <c r="L3281" s="13"/>
      <c r="M3281" s="14"/>
      <c r="N3281" s="14"/>
      <c r="O3281" s="14"/>
      <c r="P3281" s="13"/>
    </row>
    <row r="3282">
      <c r="L3282" s="13"/>
      <c r="M3282" s="14"/>
      <c r="N3282" s="14"/>
      <c r="O3282" s="14"/>
      <c r="P3282" s="13"/>
    </row>
    <row r="3283">
      <c r="L3283" s="13"/>
      <c r="M3283" s="14"/>
      <c r="N3283" s="14"/>
      <c r="O3283" s="14"/>
      <c r="P3283" s="13"/>
    </row>
    <row r="3284">
      <c r="L3284" s="13"/>
      <c r="M3284" s="14"/>
      <c r="N3284" s="14"/>
      <c r="O3284" s="14"/>
      <c r="P3284" s="13"/>
    </row>
    <row r="3285">
      <c r="L3285" s="13"/>
      <c r="M3285" s="14"/>
      <c r="N3285" s="14"/>
      <c r="O3285" s="14"/>
      <c r="P3285" s="13"/>
    </row>
    <row r="3286">
      <c r="L3286" s="13"/>
      <c r="M3286" s="14"/>
      <c r="N3286" s="14"/>
      <c r="O3286" s="14"/>
      <c r="P3286" s="13"/>
    </row>
    <row r="3287">
      <c r="L3287" s="13"/>
      <c r="M3287" s="14"/>
      <c r="N3287" s="14"/>
      <c r="O3287" s="14"/>
      <c r="P3287" s="13"/>
    </row>
    <row r="3288">
      <c r="L3288" s="13"/>
      <c r="M3288" s="14"/>
      <c r="N3288" s="14"/>
      <c r="O3288" s="14"/>
      <c r="P3288" s="13"/>
    </row>
    <row r="3289">
      <c r="L3289" s="13"/>
      <c r="M3289" s="14"/>
      <c r="N3289" s="14"/>
      <c r="O3289" s="14"/>
      <c r="P3289" s="13"/>
    </row>
    <row r="3290">
      <c r="L3290" s="13"/>
      <c r="M3290" s="14"/>
      <c r="N3290" s="14"/>
      <c r="O3290" s="14"/>
      <c r="P3290" s="13"/>
    </row>
    <row r="3291">
      <c r="L3291" s="13"/>
      <c r="M3291" s="14"/>
      <c r="N3291" s="14"/>
      <c r="O3291" s="14"/>
      <c r="P3291" s="13"/>
    </row>
    <row r="3292">
      <c r="L3292" s="13"/>
      <c r="M3292" s="14"/>
      <c r="N3292" s="14"/>
      <c r="O3292" s="14"/>
      <c r="P3292" s="13"/>
    </row>
    <row r="3293">
      <c r="L3293" s="13"/>
      <c r="M3293" s="14"/>
      <c r="N3293" s="14"/>
      <c r="O3293" s="14"/>
      <c r="P3293" s="13"/>
    </row>
    <row r="3294">
      <c r="L3294" s="13"/>
      <c r="M3294" s="14"/>
      <c r="N3294" s="14"/>
      <c r="O3294" s="14"/>
      <c r="P3294" s="13"/>
    </row>
    <row r="3295">
      <c r="L3295" s="13"/>
      <c r="M3295" s="14"/>
      <c r="N3295" s="14"/>
      <c r="O3295" s="14"/>
      <c r="P3295" s="13"/>
    </row>
    <row r="3296">
      <c r="L3296" s="13"/>
      <c r="M3296" s="14"/>
      <c r="N3296" s="14"/>
      <c r="O3296" s="14"/>
      <c r="P3296" s="13"/>
    </row>
    <row r="3297">
      <c r="L3297" s="13"/>
      <c r="M3297" s="14"/>
      <c r="N3297" s="14"/>
      <c r="O3297" s="14"/>
      <c r="P3297" s="13"/>
    </row>
    <row r="3298">
      <c r="L3298" s="13"/>
      <c r="M3298" s="14"/>
      <c r="N3298" s="14"/>
      <c r="O3298" s="14"/>
      <c r="P3298" s="13"/>
    </row>
    <row r="3299">
      <c r="L3299" s="13"/>
      <c r="M3299" s="14"/>
      <c r="N3299" s="14"/>
      <c r="O3299" s="14"/>
      <c r="P3299" s="13"/>
    </row>
    <row r="3300">
      <c r="L3300" s="13"/>
      <c r="M3300" s="14"/>
      <c r="N3300" s="14"/>
      <c r="O3300" s="14"/>
      <c r="P3300" s="13"/>
    </row>
    <row r="3301">
      <c r="L3301" s="13"/>
      <c r="M3301" s="14"/>
      <c r="N3301" s="14"/>
      <c r="O3301" s="14"/>
      <c r="P3301" s="13"/>
    </row>
    <row r="3302">
      <c r="L3302" s="13"/>
      <c r="M3302" s="14"/>
      <c r="N3302" s="14"/>
      <c r="O3302" s="14"/>
      <c r="P3302" s="13"/>
    </row>
    <row r="3303">
      <c r="L3303" s="13"/>
      <c r="M3303" s="14"/>
      <c r="N3303" s="14"/>
      <c r="O3303" s="14"/>
      <c r="P3303" s="13"/>
    </row>
    <row r="3304">
      <c r="L3304" s="13"/>
      <c r="M3304" s="14"/>
      <c r="N3304" s="14"/>
      <c r="O3304" s="14"/>
      <c r="P3304" s="13"/>
    </row>
    <row r="3305">
      <c r="L3305" s="13"/>
      <c r="M3305" s="14"/>
      <c r="N3305" s="14"/>
      <c r="O3305" s="14"/>
      <c r="P3305" s="13"/>
    </row>
    <row r="3306">
      <c r="L3306" s="13"/>
      <c r="M3306" s="14"/>
      <c r="N3306" s="14"/>
      <c r="O3306" s="14"/>
      <c r="P3306" s="13"/>
    </row>
    <row r="3307">
      <c r="L3307" s="13"/>
      <c r="M3307" s="14"/>
      <c r="N3307" s="14"/>
      <c r="O3307" s="14"/>
      <c r="P3307" s="13"/>
    </row>
    <row r="3308">
      <c r="L3308" s="13"/>
      <c r="M3308" s="14"/>
      <c r="N3308" s="14"/>
      <c r="O3308" s="14"/>
      <c r="P3308" s="13"/>
    </row>
    <row r="3309">
      <c r="L3309" s="13"/>
      <c r="M3309" s="14"/>
      <c r="N3309" s="14"/>
      <c r="O3309" s="14"/>
      <c r="P3309" s="13"/>
    </row>
    <row r="3310">
      <c r="L3310" s="13"/>
      <c r="M3310" s="14"/>
      <c r="N3310" s="14"/>
      <c r="O3310" s="14"/>
      <c r="P3310" s="13"/>
    </row>
    <row r="3311">
      <c r="L3311" s="13"/>
      <c r="M3311" s="14"/>
      <c r="N3311" s="14"/>
      <c r="O3311" s="14"/>
      <c r="P3311" s="13"/>
    </row>
    <row r="3312">
      <c r="L3312" s="13"/>
      <c r="M3312" s="14"/>
      <c r="N3312" s="14"/>
      <c r="O3312" s="14"/>
      <c r="P3312" s="13"/>
    </row>
    <row r="3313">
      <c r="L3313" s="13"/>
      <c r="M3313" s="14"/>
      <c r="N3313" s="14"/>
      <c r="O3313" s="14"/>
      <c r="P3313" s="13"/>
    </row>
    <row r="3314">
      <c r="L3314" s="13"/>
      <c r="M3314" s="14"/>
      <c r="N3314" s="14"/>
      <c r="O3314" s="14"/>
      <c r="P3314" s="13"/>
    </row>
    <row r="3315">
      <c r="L3315" s="13"/>
      <c r="M3315" s="14"/>
      <c r="N3315" s="14"/>
      <c r="O3315" s="14"/>
      <c r="P3315" s="13"/>
    </row>
    <row r="3316">
      <c r="L3316" s="13"/>
      <c r="M3316" s="14"/>
      <c r="N3316" s="14"/>
      <c r="O3316" s="14"/>
      <c r="P3316" s="13"/>
    </row>
    <row r="3317">
      <c r="L3317" s="13"/>
      <c r="M3317" s="14"/>
      <c r="N3317" s="14"/>
      <c r="O3317" s="14"/>
      <c r="P3317" s="13"/>
    </row>
    <row r="3318">
      <c r="L3318" s="13"/>
      <c r="M3318" s="14"/>
      <c r="N3318" s="14"/>
      <c r="O3318" s="14"/>
      <c r="P3318" s="13"/>
    </row>
    <row r="3319">
      <c r="L3319" s="13"/>
      <c r="M3319" s="14"/>
      <c r="N3319" s="14"/>
      <c r="O3319" s="14"/>
      <c r="P3319" s="13"/>
    </row>
    <row r="3320">
      <c r="L3320" s="13"/>
      <c r="M3320" s="14"/>
      <c r="N3320" s="14"/>
      <c r="O3320" s="14"/>
      <c r="P3320" s="13"/>
    </row>
    <row r="3321">
      <c r="L3321" s="13"/>
      <c r="M3321" s="14"/>
      <c r="N3321" s="14"/>
      <c r="O3321" s="14"/>
      <c r="P3321" s="13"/>
    </row>
    <row r="3322">
      <c r="L3322" s="13"/>
      <c r="M3322" s="14"/>
      <c r="N3322" s="14"/>
      <c r="O3322" s="14"/>
      <c r="P3322" s="13"/>
    </row>
    <row r="3323">
      <c r="L3323" s="13"/>
      <c r="M3323" s="14"/>
      <c r="N3323" s="14"/>
      <c r="O3323" s="14"/>
      <c r="P3323" s="13"/>
    </row>
    <row r="3324">
      <c r="L3324" s="13"/>
      <c r="M3324" s="14"/>
      <c r="N3324" s="14"/>
      <c r="O3324" s="14"/>
      <c r="P3324" s="13"/>
    </row>
    <row r="3325">
      <c r="L3325" s="13"/>
      <c r="M3325" s="14"/>
      <c r="N3325" s="14"/>
      <c r="O3325" s="14"/>
      <c r="P3325" s="13"/>
    </row>
    <row r="3326">
      <c r="L3326" s="13"/>
      <c r="M3326" s="14"/>
      <c r="N3326" s="14"/>
      <c r="O3326" s="14"/>
      <c r="P3326" s="13"/>
    </row>
    <row r="3327">
      <c r="L3327" s="13"/>
      <c r="M3327" s="14"/>
      <c r="N3327" s="14"/>
      <c r="O3327" s="14"/>
      <c r="P3327" s="13"/>
    </row>
    <row r="3328">
      <c r="L3328" s="13"/>
      <c r="M3328" s="14"/>
      <c r="N3328" s="14"/>
      <c r="O3328" s="14"/>
      <c r="P3328" s="13"/>
    </row>
    <row r="3329">
      <c r="L3329" s="13"/>
      <c r="M3329" s="14"/>
      <c r="N3329" s="14"/>
      <c r="O3329" s="14"/>
      <c r="P3329" s="13"/>
    </row>
    <row r="3330">
      <c r="L3330" s="13"/>
      <c r="M3330" s="14"/>
      <c r="N3330" s="14"/>
      <c r="O3330" s="14"/>
      <c r="P3330" s="13"/>
    </row>
    <row r="3331">
      <c r="L3331" s="13"/>
      <c r="M3331" s="14"/>
      <c r="N3331" s="14"/>
      <c r="O3331" s="14"/>
      <c r="P3331" s="13"/>
    </row>
    <row r="3332">
      <c r="L3332" s="13"/>
      <c r="M3332" s="14"/>
      <c r="N3332" s="14"/>
      <c r="O3332" s="14"/>
      <c r="P3332" s="13"/>
    </row>
    <row r="3333">
      <c r="L3333" s="13"/>
      <c r="M3333" s="14"/>
      <c r="N3333" s="14"/>
      <c r="O3333" s="14"/>
      <c r="P3333" s="13"/>
    </row>
    <row r="3334">
      <c r="L3334" s="13"/>
      <c r="M3334" s="14"/>
      <c r="N3334" s="14"/>
      <c r="O3334" s="14"/>
      <c r="P3334" s="13"/>
    </row>
    <row r="3335">
      <c r="L3335" s="13"/>
      <c r="M3335" s="14"/>
      <c r="N3335" s="14"/>
      <c r="O3335" s="14"/>
      <c r="P3335" s="13"/>
    </row>
    <row r="3336">
      <c r="L3336" s="13"/>
      <c r="M3336" s="14"/>
      <c r="N3336" s="14"/>
      <c r="O3336" s="14"/>
      <c r="P3336" s="13"/>
    </row>
    <row r="3337">
      <c r="L3337" s="13"/>
      <c r="M3337" s="14"/>
      <c r="N3337" s="14"/>
      <c r="O3337" s="14"/>
      <c r="P3337" s="13"/>
    </row>
    <row r="3338">
      <c r="L3338" s="13"/>
      <c r="M3338" s="14"/>
      <c r="N3338" s="14"/>
      <c r="O3338" s="14"/>
      <c r="P3338" s="13"/>
    </row>
    <row r="3339">
      <c r="L3339" s="13"/>
      <c r="M3339" s="14"/>
      <c r="N3339" s="14"/>
      <c r="O3339" s="14"/>
      <c r="P3339" s="13"/>
    </row>
    <row r="3340">
      <c r="L3340" s="13"/>
      <c r="M3340" s="14"/>
      <c r="N3340" s="14"/>
      <c r="O3340" s="14"/>
      <c r="P3340" s="13"/>
    </row>
    <row r="3341">
      <c r="L3341" s="13"/>
      <c r="M3341" s="14"/>
      <c r="N3341" s="14"/>
      <c r="O3341" s="14"/>
      <c r="P3341" s="13"/>
    </row>
    <row r="3342">
      <c r="L3342" s="13"/>
      <c r="M3342" s="14"/>
      <c r="N3342" s="14"/>
      <c r="O3342" s="14"/>
      <c r="P3342" s="13"/>
    </row>
    <row r="3343">
      <c r="L3343" s="13"/>
      <c r="M3343" s="14"/>
      <c r="N3343" s="14"/>
      <c r="O3343" s="14"/>
      <c r="P3343" s="13"/>
    </row>
    <row r="3344">
      <c r="L3344" s="13"/>
      <c r="M3344" s="14"/>
      <c r="N3344" s="14"/>
      <c r="O3344" s="14"/>
      <c r="P3344" s="13"/>
    </row>
    <row r="3345">
      <c r="L3345" s="13"/>
      <c r="M3345" s="14"/>
      <c r="N3345" s="14"/>
      <c r="O3345" s="14"/>
      <c r="P3345" s="13"/>
    </row>
    <row r="3346">
      <c r="L3346" s="13"/>
      <c r="M3346" s="14"/>
      <c r="N3346" s="14"/>
      <c r="O3346" s="14"/>
      <c r="P3346" s="13"/>
    </row>
    <row r="3347">
      <c r="L3347" s="13"/>
      <c r="M3347" s="14"/>
      <c r="N3347" s="14"/>
      <c r="O3347" s="14"/>
      <c r="P3347" s="13"/>
    </row>
    <row r="3348">
      <c r="L3348" s="13"/>
      <c r="M3348" s="14"/>
      <c r="N3348" s="14"/>
      <c r="O3348" s="14"/>
      <c r="P3348" s="13"/>
    </row>
    <row r="3349">
      <c r="L3349" s="13"/>
      <c r="M3349" s="14"/>
      <c r="N3349" s="14"/>
      <c r="O3349" s="14"/>
      <c r="P3349" s="13"/>
    </row>
    <row r="3350">
      <c r="L3350" s="13"/>
      <c r="M3350" s="14"/>
      <c r="N3350" s="14"/>
      <c r="O3350" s="14"/>
      <c r="P3350" s="13"/>
    </row>
    <row r="3351">
      <c r="L3351" s="13"/>
      <c r="M3351" s="14"/>
      <c r="N3351" s="14"/>
      <c r="O3351" s="14"/>
      <c r="P3351" s="13"/>
    </row>
    <row r="3352">
      <c r="L3352" s="13"/>
      <c r="M3352" s="14"/>
      <c r="N3352" s="14"/>
      <c r="O3352" s="14"/>
      <c r="P3352" s="13"/>
    </row>
    <row r="3353">
      <c r="L3353" s="13"/>
      <c r="M3353" s="14"/>
      <c r="N3353" s="14"/>
      <c r="O3353" s="14"/>
      <c r="P3353" s="13"/>
    </row>
    <row r="3354">
      <c r="L3354" s="13"/>
      <c r="M3354" s="14"/>
      <c r="N3354" s="14"/>
      <c r="O3354" s="14"/>
      <c r="P3354" s="13"/>
    </row>
    <row r="3355">
      <c r="L3355" s="13"/>
      <c r="M3355" s="14"/>
      <c r="N3355" s="14"/>
      <c r="O3355" s="14"/>
      <c r="P3355" s="13"/>
    </row>
    <row r="3356">
      <c r="L3356" s="13"/>
      <c r="M3356" s="14"/>
      <c r="N3356" s="14"/>
      <c r="O3356" s="14"/>
      <c r="P3356" s="13"/>
    </row>
    <row r="3357">
      <c r="L3357" s="13"/>
      <c r="M3357" s="14"/>
      <c r="N3357" s="14"/>
      <c r="O3357" s="14"/>
      <c r="P3357" s="13"/>
    </row>
    <row r="3358">
      <c r="L3358" s="13"/>
      <c r="M3358" s="14"/>
      <c r="N3358" s="14"/>
      <c r="O3358" s="14"/>
      <c r="P3358" s="13"/>
    </row>
    <row r="3359">
      <c r="L3359" s="13"/>
      <c r="M3359" s="14"/>
      <c r="N3359" s="14"/>
      <c r="O3359" s="14"/>
      <c r="P3359" s="13"/>
    </row>
    <row r="3360">
      <c r="L3360" s="13"/>
      <c r="M3360" s="14"/>
      <c r="N3360" s="14"/>
      <c r="O3360" s="14"/>
      <c r="P3360" s="13"/>
    </row>
    <row r="3361">
      <c r="L3361" s="13"/>
      <c r="M3361" s="14"/>
      <c r="N3361" s="14"/>
      <c r="O3361" s="14"/>
      <c r="P3361" s="13"/>
    </row>
    <row r="3362">
      <c r="L3362" s="13"/>
      <c r="M3362" s="14"/>
      <c r="N3362" s="14"/>
      <c r="O3362" s="14"/>
      <c r="P3362" s="13"/>
    </row>
    <row r="3363">
      <c r="L3363" s="13"/>
      <c r="M3363" s="14"/>
      <c r="N3363" s="14"/>
      <c r="O3363" s="14"/>
      <c r="P3363" s="13"/>
    </row>
    <row r="3364">
      <c r="L3364" s="13"/>
      <c r="M3364" s="14"/>
      <c r="N3364" s="14"/>
      <c r="O3364" s="14"/>
      <c r="P3364" s="13"/>
    </row>
    <row r="3365">
      <c r="L3365" s="13"/>
      <c r="M3365" s="14"/>
      <c r="N3365" s="14"/>
      <c r="O3365" s="14"/>
      <c r="P3365" s="13"/>
    </row>
    <row r="3366">
      <c r="L3366" s="13"/>
      <c r="M3366" s="14"/>
      <c r="N3366" s="14"/>
      <c r="O3366" s="14"/>
      <c r="P3366" s="13"/>
    </row>
    <row r="3367">
      <c r="L3367" s="13"/>
      <c r="M3367" s="14"/>
      <c r="N3367" s="14"/>
      <c r="O3367" s="14"/>
      <c r="P3367" s="13"/>
    </row>
    <row r="3368">
      <c r="L3368" s="13"/>
      <c r="M3368" s="14"/>
      <c r="N3368" s="14"/>
      <c r="O3368" s="14"/>
      <c r="P3368" s="13"/>
    </row>
    <row r="3369">
      <c r="L3369" s="13"/>
      <c r="M3369" s="14"/>
      <c r="N3369" s="14"/>
      <c r="O3369" s="14"/>
      <c r="P3369" s="13"/>
    </row>
    <row r="3370">
      <c r="L3370" s="13"/>
      <c r="M3370" s="14"/>
      <c r="N3370" s="14"/>
      <c r="O3370" s="14"/>
      <c r="P3370" s="13"/>
    </row>
    <row r="3371">
      <c r="L3371" s="13"/>
      <c r="M3371" s="14"/>
      <c r="N3371" s="14"/>
      <c r="O3371" s="14"/>
      <c r="P3371" s="13"/>
    </row>
    <row r="3372">
      <c r="L3372" s="13"/>
      <c r="M3372" s="14"/>
      <c r="N3372" s="14"/>
      <c r="O3372" s="14"/>
      <c r="P3372" s="13"/>
    </row>
    <row r="3373">
      <c r="L3373" s="13"/>
      <c r="M3373" s="14"/>
      <c r="N3373" s="14"/>
      <c r="O3373" s="14"/>
      <c r="P3373" s="13"/>
    </row>
    <row r="3374">
      <c r="L3374" s="13"/>
      <c r="M3374" s="14"/>
      <c r="N3374" s="14"/>
      <c r="O3374" s="14"/>
      <c r="P3374" s="13"/>
    </row>
    <row r="3375">
      <c r="L3375" s="13"/>
      <c r="M3375" s="14"/>
      <c r="N3375" s="14"/>
      <c r="O3375" s="14"/>
      <c r="P3375" s="13"/>
    </row>
    <row r="3376">
      <c r="L3376" s="13"/>
      <c r="M3376" s="14"/>
      <c r="N3376" s="14"/>
      <c r="O3376" s="14"/>
      <c r="P3376" s="13"/>
    </row>
    <row r="3377">
      <c r="L3377" s="13"/>
      <c r="M3377" s="14"/>
      <c r="N3377" s="14"/>
      <c r="O3377" s="14"/>
      <c r="P3377" s="13"/>
    </row>
    <row r="3378">
      <c r="L3378" s="13"/>
      <c r="M3378" s="14"/>
      <c r="N3378" s="14"/>
      <c r="O3378" s="14"/>
      <c r="P3378" s="13"/>
    </row>
    <row r="3379">
      <c r="L3379" s="13"/>
      <c r="M3379" s="14"/>
      <c r="N3379" s="14"/>
      <c r="O3379" s="14"/>
      <c r="P3379" s="13"/>
    </row>
    <row r="3380">
      <c r="L3380" s="13"/>
      <c r="M3380" s="14"/>
      <c r="N3380" s="14"/>
      <c r="O3380" s="14"/>
      <c r="P3380" s="13"/>
    </row>
    <row r="3381">
      <c r="L3381" s="13"/>
      <c r="M3381" s="14"/>
      <c r="N3381" s="14"/>
      <c r="O3381" s="14"/>
      <c r="P3381" s="13"/>
    </row>
    <row r="3382">
      <c r="L3382" s="13"/>
      <c r="M3382" s="14"/>
      <c r="N3382" s="14"/>
      <c r="O3382" s="14"/>
      <c r="P3382" s="13"/>
    </row>
    <row r="3383">
      <c r="L3383" s="13"/>
      <c r="M3383" s="14"/>
      <c r="N3383" s="14"/>
      <c r="O3383" s="14"/>
      <c r="P3383" s="13"/>
    </row>
    <row r="3384">
      <c r="L3384" s="13"/>
      <c r="M3384" s="14"/>
      <c r="N3384" s="14"/>
      <c r="O3384" s="14"/>
      <c r="P3384" s="13"/>
    </row>
    <row r="3385">
      <c r="L3385" s="13"/>
      <c r="M3385" s="14"/>
      <c r="N3385" s="14"/>
      <c r="O3385" s="14"/>
      <c r="P3385" s="13"/>
    </row>
    <row r="3386">
      <c r="L3386" s="13"/>
      <c r="M3386" s="14"/>
      <c r="N3386" s="14"/>
      <c r="O3386" s="14"/>
      <c r="P3386" s="13"/>
    </row>
    <row r="3387">
      <c r="L3387" s="13"/>
      <c r="M3387" s="14"/>
      <c r="N3387" s="14"/>
      <c r="O3387" s="14"/>
      <c r="P3387" s="13"/>
    </row>
    <row r="3388">
      <c r="L3388" s="13"/>
      <c r="M3388" s="14"/>
      <c r="N3388" s="14"/>
      <c r="O3388" s="14"/>
      <c r="P3388" s="13"/>
    </row>
    <row r="3389">
      <c r="L3389" s="13"/>
      <c r="M3389" s="14"/>
      <c r="N3389" s="14"/>
      <c r="O3389" s="14"/>
      <c r="P3389" s="13"/>
    </row>
    <row r="3390">
      <c r="L3390" s="13"/>
      <c r="M3390" s="14"/>
      <c r="N3390" s="14"/>
      <c r="O3390" s="14"/>
      <c r="P3390" s="13"/>
    </row>
    <row r="3391">
      <c r="L3391" s="13"/>
      <c r="M3391" s="14"/>
      <c r="N3391" s="14"/>
      <c r="O3391" s="14"/>
      <c r="P3391" s="13"/>
    </row>
    <row r="3392">
      <c r="L3392" s="13"/>
      <c r="M3392" s="14"/>
      <c r="N3392" s="14"/>
      <c r="O3392" s="14"/>
      <c r="P3392" s="13"/>
    </row>
    <row r="3393">
      <c r="L3393" s="13"/>
      <c r="M3393" s="14"/>
      <c r="N3393" s="14"/>
      <c r="O3393" s="14"/>
      <c r="P3393" s="13"/>
    </row>
    <row r="3394">
      <c r="L3394" s="13"/>
      <c r="M3394" s="14"/>
      <c r="N3394" s="14"/>
      <c r="O3394" s="14"/>
      <c r="P3394" s="13"/>
    </row>
    <row r="3395">
      <c r="L3395" s="13"/>
      <c r="M3395" s="14"/>
      <c r="N3395" s="14"/>
      <c r="O3395" s="14"/>
      <c r="P3395" s="13"/>
    </row>
    <row r="3396">
      <c r="L3396" s="13"/>
      <c r="M3396" s="14"/>
      <c r="N3396" s="14"/>
      <c r="O3396" s="14"/>
      <c r="P3396" s="13"/>
    </row>
    <row r="3397">
      <c r="L3397" s="13"/>
      <c r="M3397" s="14"/>
      <c r="N3397" s="14"/>
      <c r="O3397" s="14"/>
      <c r="P3397" s="13"/>
    </row>
    <row r="3398">
      <c r="L3398" s="13"/>
      <c r="M3398" s="14"/>
      <c r="N3398" s="14"/>
      <c r="O3398" s="14"/>
      <c r="P3398" s="13"/>
    </row>
    <row r="3399">
      <c r="L3399" s="13"/>
      <c r="M3399" s="14"/>
      <c r="N3399" s="14"/>
      <c r="O3399" s="14"/>
      <c r="P3399" s="13"/>
    </row>
    <row r="3400">
      <c r="L3400" s="13"/>
      <c r="M3400" s="14"/>
      <c r="N3400" s="14"/>
      <c r="O3400" s="14"/>
      <c r="P3400" s="13"/>
    </row>
    <row r="3401">
      <c r="L3401" s="13"/>
      <c r="M3401" s="14"/>
      <c r="N3401" s="14"/>
      <c r="O3401" s="14"/>
      <c r="P3401" s="13"/>
    </row>
    <row r="3402">
      <c r="L3402" s="13"/>
      <c r="M3402" s="14"/>
      <c r="N3402" s="14"/>
      <c r="O3402" s="14"/>
      <c r="P3402" s="13"/>
    </row>
    <row r="3403">
      <c r="L3403" s="13"/>
      <c r="M3403" s="14"/>
      <c r="N3403" s="14"/>
      <c r="O3403" s="14"/>
      <c r="P3403" s="13"/>
    </row>
    <row r="3404">
      <c r="L3404" s="13"/>
      <c r="M3404" s="14"/>
      <c r="N3404" s="14"/>
      <c r="O3404" s="14"/>
      <c r="P3404" s="13"/>
    </row>
    <row r="3405">
      <c r="L3405" s="13"/>
      <c r="M3405" s="14"/>
      <c r="N3405" s="14"/>
      <c r="O3405" s="14"/>
      <c r="P3405" s="13"/>
    </row>
    <row r="3406">
      <c r="L3406" s="13"/>
      <c r="M3406" s="14"/>
      <c r="N3406" s="14"/>
      <c r="O3406" s="14"/>
      <c r="P3406" s="13"/>
    </row>
    <row r="3407">
      <c r="L3407" s="13"/>
      <c r="M3407" s="14"/>
      <c r="N3407" s="14"/>
      <c r="O3407" s="14"/>
      <c r="P3407" s="13"/>
    </row>
    <row r="3408">
      <c r="L3408" s="13"/>
      <c r="M3408" s="14"/>
      <c r="N3408" s="14"/>
      <c r="O3408" s="14"/>
      <c r="P3408" s="13"/>
    </row>
    <row r="3409">
      <c r="L3409" s="13"/>
      <c r="M3409" s="14"/>
      <c r="N3409" s="14"/>
      <c r="O3409" s="14"/>
      <c r="P3409" s="13"/>
    </row>
    <row r="3410">
      <c r="L3410" s="13"/>
      <c r="M3410" s="14"/>
      <c r="N3410" s="14"/>
      <c r="O3410" s="14"/>
      <c r="P3410" s="13"/>
    </row>
    <row r="3411">
      <c r="L3411" s="13"/>
      <c r="M3411" s="14"/>
      <c r="N3411" s="14"/>
      <c r="O3411" s="14"/>
      <c r="P3411" s="13"/>
    </row>
    <row r="3412">
      <c r="L3412" s="13"/>
      <c r="M3412" s="14"/>
      <c r="N3412" s="14"/>
      <c r="O3412" s="14"/>
      <c r="P3412" s="13"/>
    </row>
    <row r="3413">
      <c r="L3413" s="13"/>
      <c r="M3413" s="14"/>
      <c r="N3413" s="14"/>
      <c r="O3413" s="14"/>
      <c r="P3413" s="13"/>
    </row>
    <row r="3414">
      <c r="L3414" s="13"/>
      <c r="M3414" s="14"/>
      <c r="N3414" s="14"/>
      <c r="O3414" s="14"/>
      <c r="P3414" s="13"/>
    </row>
    <row r="3415">
      <c r="L3415" s="13"/>
      <c r="M3415" s="14"/>
      <c r="N3415" s="14"/>
      <c r="O3415" s="14"/>
      <c r="P3415" s="13"/>
    </row>
    <row r="3416">
      <c r="L3416" s="13"/>
      <c r="M3416" s="14"/>
      <c r="N3416" s="14"/>
      <c r="O3416" s="14"/>
      <c r="P3416" s="13"/>
    </row>
    <row r="3417">
      <c r="L3417" s="13"/>
      <c r="M3417" s="14"/>
      <c r="N3417" s="14"/>
      <c r="O3417" s="14"/>
      <c r="P3417" s="13"/>
    </row>
    <row r="3418">
      <c r="L3418" s="13"/>
      <c r="M3418" s="14"/>
      <c r="N3418" s="14"/>
      <c r="O3418" s="14"/>
      <c r="P3418" s="13"/>
    </row>
    <row r="3419">
      <c r="L3419" s="13"/>
      <c r="M3419" s="14"/>
      <c r="N3419" s="14"/>
      <c r="O3419" s="14"/>
      <c r="P3419" s="13"/>
    </row>
    <row r="3420">
      <c r="L3420" s="13"/>
      <c r="M3420" s="14"/>
      <c r="N3420" s="14"/>
      <c r="O3420" s="14"/>
      <c r="P3420" s="13"/>
    </row>
    <row r="3421">
      <c r="L3421" s="13"/>
      <c r="M3421" s="14"/>
      <c r="N3421" s="14"/>
      <c r="O3421" s="14"/>
      <c r="P3421" s="13"/>
    </row>
    <row r="3422">
      <c r="L3422" s="13"/>
      <c r="M3422" s="14"/>
      <c r="N3422" s="14"/>
      <c r="O3422" s="14"/>
      <c r="P3422" s="13"/>
    </row>
    <row r="3423">
      <c r="L3423" s="13"/>
      <c r="M3423" s="14"/>
      <c r="N3423" s="14"/>
      <c r="O3423" s="14"/>
      <c r="P3423" s="13"/>
    </row>
    <row r="3424">
      <c r="L3424" s="13"/>
      <c r="M3424" s="14"/>
      <c r="N3424" s="14"/>
      <c r="O3424" s="14"/>
      <c r="P3424" s="13"/>
    </row>
    <row r="3425">
      <c r="L3425" s="13"/>
      <c r="M3425" s="14"/>
      <c r="N3425" s="14"/>
      <c r="O3425" s="14"/>
      <c r="P3425" s="13"/>
    </row>
    <row r="3426">
      <c r="L3426" s="13"/>
      <c r="M3426" s="14"/>
      <c r="N3426" s="14"/>
      <c r="O3426" s="14"/>
      <c r="P3426" s="13"/>
    </row>
    <row r="3427">
      <c r="L3427" s="13"/>
      <c r="M3427" s="14"/>
      <c r="N3427" s="14"/>
      <c r="O3427" s="14"/>
      <c r="P3427" s="13"/>
    </row>
    <row r="3428">
      <c r="L3428" s="13"/>
      <c r="M3428" s="14"/>
      <c r="N3428" s="14"/>
      <c r="O3428" s="14"/>
      <c r="P3428" s="13"/>
    </row>
    <row r="3429">
      <c r="L3429" s="13"/>
      <c r="M3429" s="14"/>
      <c r="N3429" s="14"/>
      <c r="O3429" s="14"/>
      <c r="P3429" s="13"/>
    </row>
    <row r="3430">
      <c r="L3430" s="13"/>
      <c r="M3430" s="14"/>
      <c r="N3430" s="14"/>
      <c r="O3430" s="14"/>
      <c r="P3430" s="13"/>
    </row>
    <row r="3431">
      <c r="L3431" s="13"/>
      <c r="M3431" s="14"/>
      <c r="N3431" s="14"/>
      <c r="O3431" s="14"/>
      <c r="P3431" s="13"/>
    </row>
    <row r="3432">
      <c r="L3432" s="13"/>
      <c r="M3432" s="14"/>
      <c r="N3432" s="14"/>
      <c r="O3432" s="14"/>
      <c r="P3432" s="13"/>
    </row>
    <row r="3433">
      <c r="L3433" s="13"/>
      <c r="M3433" s="14"/>
      <c r="N3433" s="14"/>
      <c r="O3433" s="14"/>
      <c r="P3433" s="13"/>
    </row>
    <row r="3434">
      <c r="L3434" s="13"/>
      <c r="M3434" s="14"/>
      <c r="N3434" s="14"/>
      <c r="O3434" s="14"/>
      <c r="P3434" s="13"/>
    </row>
    <row r="3435">
      <c r="L3435" s="13"/>
      <c r="M3435" s="14"/>
      <c r="N3435" s="14"/>
      <c r="O3435" s="14"/>
      <c r="P3435" s="13"/>
    </row>
    <row r="3436">
      <c r="L3436" s="13"/>
      <c r="M3436" s="14"/>
      <c r="N3436" s="14"/>
      <c r="O3436" s="14"/>
      <c r="P3436" s="13"/>
    </row>
    <row r="3437">
      <c r="L3437" s="13"/>
      <c r="M3437" s="14"/>
      <c r="N3437" s="14"/>
      <c r="O3437" s="14"/>
      <c r="P3437" s="13"/>
    </row>
    <row r="3438">
      <c r="L3438" s="13"/>
      <c r="M3438" s="14"/>
      <c r="N3438" s="14"/>
      <c r="O3438" s="14"/>
      <c r="P3438" s="13"/>
    </row>
    <row r="3439">
      <c r="L3439" s="13"/>
      <c r="M3439" s="14"/>
      <c r="N3439" s="14"/>
      <c r="O3439" s="14"/>
      <c r="P3439" s="13"/>
    </row>
    <row r="3440">
      <c r="L3440" s="13"/>
      <c r="M3440" s="14"/>
      <c r="N3440" s="14"/>
      <c r="O3440" s="14"/>
      <c r="P3440" s="13"/>
    </row>
    <row r="3441">
      <c r="L3441" s="13"/>
      <c r="M3441" s="14"/>
      <c r="N3441" s="14"/>
      <c r="O3441" s="14"/>
      <c r="P3441" s="13"/>
    </row>
    <row r="3442">
      <c r="L3442" s="13"/>
      <c r="M3442" s="14"/>
      <c r="N3442" s="14"/>
      <c r="O3442" s="14"/>
      <c r="P3442" s="13"/>
    </row>
    <row r="3443">
      <c r="L3443" s="13"/>
      <c r="M3443" s="14"/>
      <c r="N3443" s="14"/>
      <c r="O3443" s="14"/>
      <c r="P3443" s="13"/>
    </row>
    <row r="3444">
      <c r="L3444" s="13"/>
      <c r="M3444" s="14"/>
      <c r="N3444" s="14"/>
      <c r="O3444" s="14"/>
      <c r="P3444" s="13"/>
    </row>
    <row r="3445">
      <c r="L3445" s="13"/>
      <c r="M3445" s="14"/>
      <c r="N3445" s="14"/>
      <c r="O3445" s="14"/>
      <c r="P3445" s="13"/>
    </row>
    <row r="3446">
      <c r="L3446" s="13"/>
      <c r="M3446" s="14"/>
      <c r="N3446" s="14"/>
      <c r="O3446" s="14"/>
      <c r="P3446" s="13"/>
    </row>
    <row r="3447">
      <c r="L3447" s="13"/>
      <c r="M3447" s="14"/>
      <c r="N3447" s="14"/>
      <c r="O3447" s="14"/>
      <c r="P3447" s="13"/>
    </row>
    <row r="3448">
      <c r="L3448" s="13"/>
      <c r="M3448" s="14"/>
      <c r="N3448" s="14"/>
      <c r="O3448" s="14"/>
      <c r="P3448" s="13"/>
    </row>
    <row r="3449">
      <c r="L3449" s="13"/>
      <c r="M3449" s="14"/>
      <c r="N3449" s="14"/>
      <c r="O3449" s="14"/>
      <c r="P3449" s="13"/>
    </row>
    <row r="3450">
      <c r="L3450" s="13"/>
      <c r="M3450" s="14"/>
      <c r="N3450" s="14"/>
      <c r="O3450" s="14"/>
      <c r="P3450" s="13"/>
    </row>
    <row r="3451">
      <c r="L3451" s="13"/>
      <c r="M3451" s="14"/>
      <c r="N3451" s="14"/>
      <c r="O3451" s="14"/>
      <c r="P3451" s="13"/>
    </row>
    <row r="3452">
      <c r="L3452" s="13"/>
      <c r="M3452" s="14"/>
      <c r="N3452" s="14"/>
      <c r="O3452" s="14"/>
      <c r="P3452" s="13"/>
    </row>
    <row r="3453">
      <c r="L3453" s="13"/>
      <c r="M3453" s="14"/>
      <c r="N3453" s="14"/>
      <c r="O3453" s="14"/>
      <c r="P3453" s="13"/>
    </row>
    <row r="3454">
      <c r="L3454" s="13"/>
      <c r="M3454" s="14"/>
      <c r="N3454" s="14"/>
      <c r="O3454" s="14"/>
      <c r="P3454" s="13"/>
    </row>
    <row r="3455">
      <c r="L3455" s="13"/>
      <c r="M3455" s="14"/>
      <c r="N3455" s="14"/>
      <c r="O3455" s="14"/>
      <c r="P3455" s="13"/>
    </row>
    <row r="3456">
      <c r="L3456" s="13"/>
      <c r="M3456" s="14"/>
      <c r="N3456" s="14"/>
      <c r="O3456" s="14"/>
      <c r="P3456" s="13"/>
    </row>
    <row r="3457">
      <c r="L3457" s="13"/>
      <c r="M3457" s="14"/>
      <c r="N3457" s="14"/>
      <c r="O3457" s="14"/>
      <c r="P3457" s="13"/>
    </row>
    <row r="3458">
      <c r="L3458" s="13"/>
      <c r="M3458" s="14"/>
      <c r="N3458" s="14"/>
      <c r="O3458" s="14"/>
      <c r="P3458" s="13"/>
    </row>
    <row r="3459">
      <c r="L3459" s="13"/>
      <c r="M3459" s="14"/>
      <c r="N3459" s="14"/>
      <c r="O3459" s="14"/>
      <c r="P3459" s="13"/>
    </row>
    <row r="3460">
      <c r="L3460" s="13"/>
      <c r="M3460" s="14"/>
      <c r="N3460" s="14"/>
      <c r="O3460" s="14"/>
      <c r="P3460" s="13"/>
    </row>
    <row r="3461">
      <c r="L3461" s="13"/>
      <c r="M3461" s="14"/>
      <c r="N3461" s="14"/>
      <c r="O3461" s="14"/>
      <c r="P3461" s="13"/>
    </row>
    <row r="3462">
      <c r="L3462" s="13"/>
      <c r="M3462" s="14"/>
      <c r="N3462" s="14"/>
      <c r="O3462" s="14"/>
      <c r="P3462" s="13"/>
    </row>
    <row r="3463">
      <c r="L3463" s="13"/>
      <c r="M3463" s="14"/>
      <c r="N3463" s="14"/>
      <c r="O3463" s="14"/>
      <c r="P3463" s="13"/>
    </row>
    <row r="3464">
      <c r="L3464" s="13"/>
      <c r="M3464" s="14"/>
      <c r="N3464" s="14"/>
      <c r="O3464" s="14"/>
      <c r="P3464" s="13"/>
    </row>
    <row r="3465">
      <c r="L3465" s="13"/>
      <c r="M3465" s="14"/>
      <c r="N3465" s="14"/>
      <c r="O3465" s="14"/>
      <c r="P3465" s="13"/>
    </row>
    <row r="3466">
      <c r="L3466" s="13"/>
      <c r="M3466" s="14"/>
      <c r="N3466" s="14"/>
      <c r="O3466" s="14"/>
      <c r="P3466" s="13"/>
    </row>
    <row r="3467">
      <c r="L3467" s="13"/>
      <c r="M3467" s="14"/>
      <c r="N3467" s="14"/>
      <c r="O3467" s="14"/>
      <c r="P3467" s="13"/>
    </row>
    <row r="3468">
      <c r="L3468" s="13"/>
      <c r="M3468" s="14"/>
      <c r="N3468" s="14"/>
      <c r="O3468" s="14"/>
      <c r="P3468" s="13"/>
    </row>
    <row r="3469">
      <c r="L3469" s="13"/>
      <c r="M3469" s="14"/>
      <c r="N3469" s="14"/>
      <c r="O3469" s="14"/>
      <c r="P3469" s="13"/>
    </row>
    <row r="3470">
      <c r="L3470" s="13"/>
      <c r="M3470" s="14"/>
      <c r="N3470" s="14"/>
      <c r="O3470" s="14"/>
      <c r="P3470" s="13"/>
    </row>
    <row r="3471">
      <c r="L3471" s="13"/>
      <c r="M3471" s="14"/>
      <c r="N3471" s="14"/>
      <c r="O3471" s="14"/>
      <c r="P3471" s="13"/>
    </row>
    <row r="3472">
      <c r="L3472" s="13"/>
      <c r="M3472" s="14"/>
      <c r="N3472" s="14"/>
      <c r="O3472" s="14"/>
      <c r="P3472" s="13"/>
    </row>
    <row r="3473">
      <c r="L3473" s="13"/>
      <c r="M3473" s="14"/>
      <c r="N3473" s="14"/>
      <c r="O3473" s="14"/>
      <c r="P3473" s="13"/>
    </row>
    <row r="3474">
      <c r="L3474" s="13"/>
      <c r="M3474" s="14"/>
      <c r="N3474" s="14"/>
      <c r="O3474" s="14"/>
      <c r="P3474" s="13"/>
    </row>
    <row r="3475">
      <c r="L3475" s="13"/>
      <c r="M3475" s="14"/>
      <c r="N3475" s="14"/>
      <c r="O3475" s="14"/>
      <c r="P3475" s="13"/>
    </row>
    <row r="3476">
      <c r="L3476" s="13"/>
      <c r="M3476" s="14"/>
      <c r="N3476" s="14"/>
      <c r="O3476" s="14"/>
      <c r="P3476" s="13"/>
    </row>
    <row r="3477">
      <c r="L3477" s="13"/>
      <c r="M3477" s="14"/>
      <c r="N3477" s="14"/>
      <c r="O3477" s="14"/>
      <c r="P3477" s="13"/>
    </row>
    <row r="3478">
      <c r="L3478" s="13"/>
      <c r="M3478" s="14"/>
      <c r="N3478" s="14"/>
      <c r="O3478" s="14"/>
      <c r="P3478" s="13"/>
    </row>
    <row r="3479">
      <c r="L3479" s="13"/>
      <c r="M3479" s="14"/>
      <c r="N3479" s="14"/>
      <c r="O3479" s="14"/>
      <c r="P3479" s="13"/>
    </row>
    <row r="3480">
      <c r="L3480" s="13"/>
      <c r="M3480" s="14"/>
      <c r="N3480" s="14"/>
      <c r="O3480" s="14"/>
      <c r="P3480" s="13"/>
    </row>
    <row r="3481">
      <c r="L3481" s="13"/>
      <c r="M3481" s="14"/>
      <c r="N3481" s="14"/>
      <c r="O3481" s="14"/>
      <c r="P3481" s="13"/>
    </row>
    <row r="3482">
      <c r="L3482" s="13"/>
      <c r="M3482" s="14"/>
      <c r="N3482" s="14"/>
      <c r="O3482" s="14"/>
      <c r="P3482" s="13"/>
    </row>
    <row r="3483">
      <c r="L3483" s="13"/>
      <c r="M3483" s="14"/>
      <c r="N3483" s="14"/>
      <c r="O3483" s="14"/>
      <c r="P3483" s="13"/>
    </row>
    <row r="3484">
      <c r="L3484" s="13"/>
      <c r="M3484" s="14"/>
      <c r="N3484" s="14"/>
      <c r="O3484" s="14"/>
      <c r="P3484" s="13"/>
    </row>
    <row r="3485">
      <c r="L3485" s="13"/>
      <c r="M3485" s="14"/>
      <c r="N3485" s="14"/>
      <c r="O3485" s="14"/>
      <c r="P3485" s="13"/>
    </row>
    <row r="3486">
      <c r="L3486" s="13"/>
      <c r="M3486" s="14"/>
      <c r="N3486" s="14"/>
      <c r="O3486" s="14"/>
      <c r="P3486" s="13"/>
    </row>
    <row r="3487">
      <c r="L3487" s="13"/>
      <c r="M3487" s="14"/>
      <c r="N3487" s="14"/>
      <c r="O3487" s="14"/>
      <c r="P3487" s="13"/>
    </row>
    <row r="3488">
      <c r="L3488" s="13"/>
      <c r="M3488" s="14"/>
      <c r="N3488" s="14"/>
      <c r="O3488" s="14"/>
      <c r="P3488" s="13"/>
    </row>
    <row r="3489">
      <c r="L3489" s="13"/>
      <c r="M3489" s="14"/>
      <c r="N3489" s="14"/>
      <c r="O3489" s="14"/>
      <c r="P3489" s="13"/>
    </row>
    <row r="3490">
      <c r="L3490" s="13"/>
      <c r="M3490" s="14"/>
      <c r="N3490" s="14"/>
      <c r="O3490" s="14"/>
      <c r="P3490" s="13"/>
    </row>
    <row r="3491">
      <c r="L3491" s="13"/>
      <c r="M3491" s="14"/>
      <c r="N3491" s="14"/>
      <c r="O3491" s="14"/>
      <c r="P3491" s="13"/>
    </row>
    <row r="3492">
      <c r="L3492" s="13"/>
      <c r="M3492" s="14"/>
      <c r="N3492" s="14"/>
      <c r="O3492" s="14"/>
      <c r="P3492" s="13"/>
    </row>
    <row r="3493">
      <c r="L3493" s="13"/>
      <c r="M3493" s="14"/>
      <c r="N3493" s="14"/>
      <c r="O3493" s="14"/>
      <c r="P3493" s="13"/>
    </row>
    <row r="3494">
      <c r="L3494" s="13"/>
      <c r="M3494" s="14"/>
      <c r="N3494" s="14"/>
      <c r="O3494" s="14"/>
      <c r="P3494" s="13"/>
    </row>
    <row r="3495">
      <c r="L3495" s="13"/>
      <c r="M3495" s="14"/>
      <c r="N3495" s="14"/>
      <c r="O3495" s="14"/>
      <c r="P3495" s="13"/>
    </row>
    <row r="3496">
      <c r="L3496" s="13"/>
      <c r="M3496" s="14"/>
      <c r="N3496" s="14"/>
      <c r="O3496" s="14"/>
      <c r="P3496" s="13"/>
    </row>
    <row r="3497">
      <c r="L3497" s="13"/>
      <c r="M3497" s="14"/>
      <c r="N3497" s="14"/>
      <c r="O3497" s="14"/>
      <c r="P3497" s="13"/>
    </row>
    <row r="3498">
      <c r="L3498" s="13"/>
      <c r="M3498" s="14"/>
      <c r="N3498" s="14"/>
      <c r="O3498" s="14"/>
      <c r="P3498" s="13"/>
    </row>
    <row r="3499">
      <c r="L3499" s="13"/>
      <c r="M3499" s="14"/>
      <c r="N3499" s="14"/>
      <c r="O3499" s="14"/>
      <c r="P3499" s="13"/>
    </row>
    <row r="3500">
      <c r="L3500" s="13"/>
      <c r="M3500" s="14"/>
      <c r="N3500" s="14"/>
      <c r="O3500" s="14"/>
      <c r="P3500" s="13"/>
    </row>
    <row r="3501">
      <c r="L3501" s="13"/>
      <c r="M3501" s="14"/>
      <c r="N3501" s="14"/>
      <c r="O3501" s="14"/>
      <c r="P3501" s="13"/>
    </row>
    <row r="3502">
      <c r="L3502" s="13"/>
      <c r="M3502" s="14"/>
      <c r="N3502" s="14"/>
      <c r="O3502" s="14"/>
      <c r="P3502" s="13"/>
    </row>
    <row r="3503">
      <c r="L3503" s="13"/>
      <c r="M3503" s="14"/>
      <c r="N3503" s="14"/>
      <c r="O3503" s="14"/>
      <c r="P3503" s="13"/>
    </row>
    <row r="3504">
      <c r="L3504" s="13"/>
      <c r="M3504" s="14"/>
      <c r="N3504" s="14"/>
      <c r="O3504" s="14"/>
      <c r="P3504" s="13"/>
    </row>
    <row r="3505">
      <c r="L3505" s="13"/>
      <c r="M3505" s="14"/>
      <c r="N3505" s="14"/>
      <c r="O3505" s="14"/>
      <c r="P3505" s="13"/>
    </row>
    <row r="3506">
      <c r="L3506" s="13"/>
      <c r="M3506" s="14"/>
      <c r="N3506" s="14"/>
      <c r="O3506" s="14"/>
      <c r="P3506" s="13"/>
    </row>
    <row r="3507">
      <c r="L3507" s="13"/>
      <c r="M3507" s="14"/>
      <c r="N3507" s="14"/>
      <c r="O3507" s="14"/>
      <c r="P3507" s="13"/>
    </row>
    <row r="3508">
      <c r="L3508" s="13"/>
      <c r="M3508" s="14"/>
      <c r="N3508" s="14"/>
      <c r="O3508" s="14"/>
      <c r="P3508" s="13"/>
    </row>
    <row r="3509">
      <c r="L3509" s="13"/>
      <c r="M3509" s="14"/>
      <c r="N3509" s="14"/>
      <c r="O3509" s="14"/>
      <c r="P3509" s="13"/>
    </row>
    <row r="3510">
      <c r="L3510" s="13"/>
      <c r="M3510" s="14"/>
      <c r="N3510" s="14"/>
      <c r="O3510" s="14"/>
      <c r="P3510" s="13"/>
    </row>
    <row r="3511">
      <c r="L3511" s="13"/>
      <c r="M3511" s="14"/>
      <c r="N3511" s="14"/>
      <c r="O3511" s="14"/>
      <c r="P3511" s="13"/>
    </row>
    <row r="3512">
      <c r="L3512" s="13"/>
      <c r="M3512" s="14"/>
      <c r="N3512" s="14"/>
      <c r="O3512" s="14"/>
      <c r="P3512" s="13"/>
    </row>
    <row r="3513">
      <c r="L3513" s="13"/>
      <c r="M3513" s="14"/>
      <c r="N3513" s="14"/>
      <c r="O3513" s="14"/>
      <c r="P3513" s="13"/>
    </row>
    <row r="3514">
      <c r="L3514" s="13"/>
      <c r="M3514" s="14"/>
      <c r="N3514" s="14"/>
      <c r="O3514" s="14"/>
      <c r="P3514" s="13"/>
    </row>
    <row r="3515">
      <c r="L3515" s="13"/>
      <c r="M3515" s="14"/>
      <c r="N3515" s="14"/>
      <c r="O3515" s="14"/>
      <c r="P3515" s="13"/>
    </row>
    <row r="3516">
      <c r="L3516" s="13"/>
      <c r="M3516" s="14"/>
      <c r="N3516" s="14"/>
      <c r="O3516" s="14"/>
      <c r="P3516" s="13"/>
    </row>
    <row r="3517">
      <c r="L3517" s="13"/>
      <c r="M3517" s="14"/>
      <c r="N3517" s="14"/>
      <c r="O3517" s="14"/>
      <c r="P3517" s="13"/>
    </row>
    <row r="3518">
      <c r="L3518" s="13"/>
      <c r="M3518" s="14"/>
      <c r="N3518" s="14"/>
      <c r="O3518" s="14"/>
      <c r="P3518" s="13"/>
    </row>
    <row r="3519">
      <c r="L3519" s="13"/>
      <c r="M3519" s="14"/>
      <c r="N3519" s="14"/>
      <c r="O3519" s="14"/>
      <c r="P3519" s="13"/>
    </row>
    <row r="3520">
      <c r="L3520" s="13"/>
      <c r="M3520" s="14"/>
      <c r="N3520" s="14"/>
      <c r="O3520" s="14"/>
      <c r="P3520" s="13"/>
    </row>
    <row r="3521">
      <c r="L3521" s="13"/>
      <c r="M3521" s="14"/>
      <c r="N3521" s="14"/>
      <c r="O3521" s="14"/>
      <c r="P3521" s="13"/>
    </row>
    <row r="3522">
      <c r="L3522" s="13"/>
      <c r="M3522" s="14"/>
      <c r="N3522" s="14"/>
      <c r="O3522" s="14"/>
      <c r="P3522" s="13"/>
    </row>
    <row r="3523">
      <c r="L3523" s="13"/>
      <c r="M3523" s="14"/>
      <c r="N3523" s="14"/>
      <c r="O3523" s="14"/>
      <c r="P3523" s="13"/>
    </row>
    <row r="3524">
      <c r="L3524" s="13"/>
      <c r="M3524" s="14"/>
      <c r="N3524" s="14"/>
      <c r="O3524" s="14"/>
      <c r="P3524" s="13"/>
    </row>
    <row r="3525">
      <c r="L3525" s="13"/>
      <c r="M3525" s="14"/>
      <c r="N3525" s="14"/>
      <c r="O3525" s="14"/>
      <c r="P3525" s="13"/>
    </row>
    <row r="3526">
      <c r="L3526" s="13"/>
      <c r="M3526" s="14"/>
      <c r="N3526" s="14"/>
      <c r="O3526" s="14"/>
      <c r="P3526" s="13"/>
    </row>
    <row r="3527">
      <c r="L3527" s="13"/>
      <c r="M3527" s="14"/>
      <c r="N3527" s="14"/>
      <c r="O3527" s="14"/>
      <c r="P3527" s="13"/>
    </row>
    <row r="3528">
      <c r="L3528" s="13"/>
      <c r="M3528" s="14"/>
      <c r="N3528" s="14"/>
      <c r="O3528" s="14"/>
      <c r="P3528" s="13"/>
    </row>
    <row r="3529">
      <c r="L3529" s="13"/>
      <c r="M3529" s="14"/>
      <c r="N3529" s="14"/>
      <c r="O3529" s="14"/>
      <c r="P3529" s="13"/>
    </row>
    <row r="3530">
      <c r="L3530" s="13"/>
      <c r="M3530" s="14"/>
      <c r="N3530" s="14"/>
      <c r="O3530" s="14"/>
      <c r="P3530" s="13"/>
    </row>
    <row r="3531">
      <c r="L3531" s="13"/>
      <c r="M3531" s="14"/>
      <c r="N3531" s="14"/>
      <c r="O3531" s="14"/>
      <c r="P3531" s="13"/>
    </row>
    <row r="3532">
      <c r="L3532" s="13"/>
      <c r="M3532" s="14"/>
      <c r="N3532" s="14"/>
      <c r="O3532" s="14"/>
      <c r="P3532" s="13"/>
    </row>
    <row r="3533">
      <c r="L3533" s="13"/>
      <c r="M3533" s="14"/>
      <c r="N3533" s="14"/>
      <c r="O3533" s="14"/>
      <c r="P3533" s="13"/>
    </row>
    <row r="3534">
      <c r="L3534" s="13"/>
      <c r="M3534" s="14"/>
      <c r="N3534" s="14"/>
      <c r="O3534" s="14"/>
      <c r="P3534" s="13"/>
    </row>
    <row r="3535">
      <c r="L3535" s="13"/>
      <c r="M3535" s="14"/>
      <c r="N3535" s="14"/>
      <c r="O3535" s="14"/>
      <c r="P3535" s="13"/>
    </row>
    <row r="3536">
      <c r="L3536" s="13"/>
      <c r="M3536" s="14"/>
      <c r="N3536" s="14"/>
      <c r="O3536" s="14"/>
      <c r="P3536" s="13"/>
    </row>
    <row r="3537">
      <c r="L3537" s="13"/>
      <c r="M3537" s="14"/>
      <c r="N3537" s="14"/>
      <c r="O3537" s="14"/>
      <c r="P3537" s="13"/>
    </row>
    <row r="3538">
      <c r="L3538" s="13"/>
      <c r="M3538" s="14"/>
      <c r="N3538" s="14"/>
      <c r="O3538" s="14"/>
      <c r="P3538" s="13"/>
    </row>
    <row r="3539">
      <c r="L3539" s="13"/>
      <c r="M3539" s="14"/>
      <c r="N3539" s="14"/>
      <c r="O3539" s="14"/>
      <c r="P3539" s="13"/>
    </row>
    <row r="3540">
      <c r="L3540" s="13"/>
      <c r="M3540" s="14"/>
      <c r="N3540" s="14"/>
      <c r="O3540" s="14"/>
      <c r="P3540" s="13"/>
    </row>
    <row r="3541">
      <c r="L3541" s="13"/>
      <c r="M3541" s="14"/>
      <c r="N3541" s="14"/>
      <c r="O3541" s="14"/>
      <c r="P3541" s="13"/>
    </row>
    <row r="3542">
      <c r="L3542" s="13"/>
      <c r="M3542" s="14"/>
      <c r="N3542" s="14"/>
      <c r="O3542" s="14"/>
      <c r="P3542" s="13"/>
    </row>
    <row r="3543">
      <c r="L3543" s="13"/>
      <c r="M3543" s="14"/>
      <c r="N3543" s="14"/>
      <c r="O3543" s="14"/>
      <c r="P3543" s="13"/>
    </row>
    <row r="3544">
      <c r="L3544" s="13"/>
      <c r="M3544" s="14"/>
      <c r="N3544" s="14"/>
      <c r="O3544" s="14"/>
      <c r="P3544" s="13"/>
    </row>
    <row r="3545">
      <c r="L3545" s="13"/>
      <c r="M3545" s="14"/>
      <c r="N3545" s="14"/>
      <c r="O3545" s="14"/>
      <c r="P3545" s="13"/>
    </row>
    <row r="3546">
      <c r="L3546" s="13"/>
      <c r="M3546" s="14"/>
      <c r="N3546" s="14"/>
      <c r="O3546" s="14"/>
      <c r="P3546" s="13"/>
    </row>
    <row r="3547">
      <c r="L3547" s="13"/>
      <c r="M3547" s="14"/>
      <c r="N3547" s="14"/>
      <c r="O3547" s="14"/>
      <c r="P3547" s="13"/>
    </row>
    <row r="3548">
      <c r="L3548" s="13"/>
      <c r="M3548" s="14"/>
      <c r="N3548" s="14"/>
      <c r="O3548" s="14"/>
      <c r="P3548" s="13"/>
    </row>
    <row r="3549">
      <c r="L3549" s="13"/>
      <c r="M3549" s="14"/>
      <c r="N3549" s="14"/>
      <c r="O3549" s="14"/>
      <c r="P3549" s="13"/>
    </row>
    <row r="3550">
      <c r="L3550" s="13"/>
      <c r="M3550" s="14"/>
      <c r="N3550" s="14"/>
      <c r="O3550" s="14"/>
      <c r="P3550" s="13"/>
    </row>
    <row r="3551">
      <c r="L3551" s="13"/>
      <c r="M3551" s="14"/>
      <c r="N3551" s="14"/>
      <c r="O3551" s="14"/>
      <c r="P3551" s="13"/>
    </row>
    <row r="3552">
      <c r="L3552" s="13"/>
      <c r="M3552" s="14"/>
      <c r="N3552" s="14"/>
      <c r="O3552" s="14"/>
      <c r="P3552" s="13"/>
    </row>
    <row r="3553">
      <c r="L3553" s="13"/>
      <c r="M3553" s="14"/>
      <c r="N3553" s="14"/>
      <c r="O3553" s="14"/>
      <c r="P3553" s="13"/>
    </row>
    <row r="3554">
      <c r="L3554" s="13"/>
      <c r="M3554" s="14"/>
      <c r="N3554" s="14"/>
      <c r="O3554" s="14"/>
      <c r="P3554" s="13"/>
    </row>
    <row r="3555">
      <c r="L3555" s="13"/>
      <c r="M3555" s="14"/>
      <c r="N3555" s="14"/>
      <c r="O3555" s="14"/>
      <c r="P3555" s="13"/>
    </row>
    <row r="3556">
      <c r="L3556" s="13"/>
      <c r="M3556" s="14"/>
      <c r="N3556" s="14"/>
      <c r="O3556" s="14"/>
      <c r="P3556" s="13"/>
    </row>
    <row r="3557">
      <c r="L3557" s="13"/>
      <c r="M3557" s="14"/>
      <c r="N3557" s="14"/>
      <c r="O3557" s="14"/>
      <c r="P3557" s="13"/>
    </row>
    <row r="3558">
      <c r="L3558" s="13"/>
      <c r="M3558" s="14"/>
      <c r="N3558" s="14"/>
      <c r="O3558" s="14"/>
      <c r="P3558" s="13"/>
    </row>
    <row r="3559">
      <c r="L3559" s="13"/>
      <c r="M3559" s="14"/>
      <c r="N3559" s="14"/>
      <c r="O3559" s="14"/>
      <c r="P3559" s="13"/>
    </row>
    <row r="3560">
      <c r="L3560" s="13"/>
      <c r="M3560" s="14"/>
      <c r="N3560" s="14"/>
      <c r="O3560" s="14"/>
      <c r="P3560" s="13"/>
    </row>
    <row r="3561">
      <c r="L3561" s="13"/>
      <c r="M3561" s="14"/>
      <c r="N3561" s="14"/>
      <c r="O3561" s="14"/>
      <c r="P3561" s="13"/>
    </row>
    <row r="3562">
      <c r="L3562" s="13"/>
      <c r="M3562" s="14"/>
      <c r="N3562" s="14"/>
      <c r="O3562" s="14"/>
      <c r="P3562" s="13"/>
    </row>
    <row r="3563">
      <c r="L3563" s="13"/>
      <c r="M3563" s="14"/>
      <c r="N3563" s="14"/>
      <c r="O3563" s="14"/>
      <c r="P3563" s="13"/>
    </row>
    <row r="3564">
      <c r="L3564" s="13"/>
      <c r="M3564" s="14"/>
      <c r="N3564" s="14"/>
      <c r="O3564" s="14"/>
      <c r="P3564" s="13"/>
    </row>
    <row r="3565">
      <c r="L3565" s="13"/>
      <c r="M3565" s="14"/>
      <c r="N3565" s="14"/>
      <c r="O3565" s="14"/>
      <c r="P3565" s="13"/>
    </row>
    <row r="3566">
      <c r="L3566" s="13"/>
      <c r="M3566" s="14"/>
      <c r="N3566" s="14"/>
      <c r="O3566" s="14"/>
      <c r="P3566" s="13"/>
    </row>
    <row r="3567">
      <c r="L3567" s="13"/>
      <c r="M3567" s="14"/>
      <c r="N3567" s="14"/>
      <c r="O3567" s="14"/>
      <c r="P3567" s="13"/>
    </row>
    <row r="3568">
      <c r="L3568" s="13"/>
      <c r="M3568" s="14"/>
      <c r="N3568" s="14"/>
      <c r="O3568" s="14"/>
      <c r="P3568" s="13"/>
    </row>
    <row r="3569">
      <c r="L3569" s="13"/>
      <c r="M3569" s="14"/>
      <c r="N3569" s="14"/>
      <c r="O3569" s="14"/>
      <c r="P3569" s="13"/>
    </row>
    <row r="3570">
      <c r="L3570" s="13"/>
      <c r="M3570" s="14"/>
      <c r="N3570" s="14"/>
      <c r="O3570" s="14"/>
      <c r="P3570" s="13"/>
    </row>
    <row r="3571">
      <c r="L3571" s="13"/>
      <c r="M3571" s="14"/>
      <c r="N3571" s="14"/>
      <c r="O3571" s="14"/>
      <c r="P3571" s="13"/>
    </row>
    <row r="3572">
      <c r="L3572" s="13"/>
      <c r="M3572" s="14"/>
      <c r="N3572" s="14"/>
      <c r="O3572" s="14"/>
      <c r="P3572" s="13"/>
    </row>
    <row r="3573">
      <c r="L3573" s="13"/>
      <c r="M3573" s="14"/>
      <c r="N3573" s="14"/>
      <c r="O3573" s="14"/>
      <c r="P3573" s="13"/>
    </row>
    <row r="3574">
      <c r="L3574" s="13"/>
      <c r="M3574" s="14"/>
      <c r="N3574" s="14"/>
      <c r="O3574" s="14"/>
      <c r="P3574" s="13"/>
    </row>
    <row r="3575">
      <c r="L3575" s="13"/>
      <c r="M3575" s="14"/>
      <c r="N3575" s="14"/>
      <c r="O3575" s="14"/>
      <c r="P3575" s="13"/>
    </row>
    <row r="3576">
      <c r="L3576" s="13"/>
      <c r="M3576" s="14"/>
      <c r="N3576" s="14"/>
      <c r="O3576" s="14"/>
      <c r="P3576" s="13"/>
    </row>
    <row r="3577">
      <c r="L3577" s="13"/>
      <c r="M3577" s="14"/>
      <c r="N3577" s="14"/>
      <c r="O3577" s="14"/>
      <c r="P3577" s="13"/>
    </row>
    <row r="3578">
      <c r="L3578" s="13"/>
      <c r="M3578" s="14"/>
      <c r="N3578" s="14"/>
      <c r="O3578" s="14"/>
      <c r="P3578" s="13"/>
    </row>
    <row r="3579">
      <c r="L3579" s="13"/>
      <c r="M3579" s="14"/>
      <c r="N3579" s="14"/>
      <c r="O3579" s="14"/>
      <c r="P3579" s="13"/>
    </row>
    <row r="3580">
      <c r="L3580" s="13"/>
      <c r="M3580" s="14"/>
      <c r="N3580" s="14"/>
      <c r="O3580" s="14"/>
      <c r="P3580" s="13"/>
    </row>
    <row r="3581">
      <c r="L3581" s="13"/>
      <c r="M3581" s="14"/>
      <c r="N3581" s="14"/>
      <c r="O3581" s="14"/>
      <c r="P3581" s="13"/>
    </row>
    <row r="3582">
      <c r="L3582" s="13"/>
      <c r="M3582" s="14"/>
      <c r="N3582" s="14"/>
      <c r="O3582" s="14"/>
      <c r="P3582" s="13"/>
    </row>
    <row r="3583">
      <c r="L3583" s="13"/>
      <c r="M3583" s="14"/>
      <c r="N3583" s="14"/>
      <c r="O3583" s="14"/>
      <c r="P3583" s="13"/>
    </row>
    <row r="3584">
      <c r="L3584" s="13"/>
      <c r="M3584" s="14"/>
      <c r="N3584" s="14"/>
      <c r="O3584" s="14"/>
      <c r="P3584" s="13"/>
    </row>
    <row r="3585">
      <c r="L3585" s="13"/>
      <c r="M3585" s="14"/>
      <c r="N3585" s="14"/>
      <c r="O3585" s="14"/>
      <c r="P3585" s="13"/>
    </row>
    <row r="3586">
      <c r="L3586" s="13"/>
      <c r="M3586" s="14"/>
      <c r="N3586" s="14"/>
      <c r="O3586" s="14"/>
      <c r="P3586" s="13"/>
    </row>
    <row r="3587">
      <c r="L3587" s="13"/>
      <c r="M3587" s="14"/>
      <c r="N3587" s="14"/>
      <c r="O3587" s="14"/>
      <c r="P3587" s="13"/>
    </row>
    <row r="3588">
      <c r="L3588" s="13"/>
      <c r="M3588" s="14"/>
      <c r="N3588" s="14"/>
      <c r="O3588" s="14"/>
      <c r="P3588" s="13"/>
    </row>
    <row r="3589">
      <c r="L3589" s="13"/>
      <c r="M3589" s="14"/>
      <c r="N3589" s="14"/>
      <c r="O3589" s="14"/>
      <c r="P3589" s="13"/>
    </row>
    <row r="3590">
      <c r="L3590" s="13"/>
      <c r="M3590" s="14"/>
      <c r="N3590" s="14"/>
      <c r="O3590" s="14"/>
      <c r="P3590" s="13"/>
    </row>
    <row r="3591">
      <c r="L3591" s="13"/>
      <c r="M3591" s="14"/>
      <c r="N3591" s="14"/>
      <c r="O3591" s="14"/>
      <c r="P3591" s="13"/>
    </row>
    <row r="3592">
      <c r="L3592" s="13"/>
      <c r="M3592" s="14"/>
      <c r="N3592" s="14"/>
      <c r="O3592" s="14"/>
      <c r="P3592" s="13"/>
    </row>
    <row r="3593">
      <c r="L3593" s="13"/>
      <c r="M3593" s="14"/>
      <c r="N3593" s="14"/>
      <c r="O3593" s="14"/>
      <c r="P3593" s="13"/>
    </row>
    <row r="3594">
      <c r="L3594" s="13"/>
      <c r="M3594" s="14"/>
      <c r="N3594" s="14"/>
      <c r="O3594" s="14"/>
      <c r="P3594" s="13"/>
    </row>
    <row r="3595">
      <c r="L3595" s="13"/>
      <c r="M3595" s="14"/>
      <c r="N3595" s="14"/>
      <c r="O3595" s="14"/>
      <c r="P3595" s="13"/>
    </row>
    <row r="3596">
      <c r="L3596" s="13"/>
      <c r="M3596" s="14"/>
      <c r="N3596" s="14"/>
      <c r="O3596" s="14"/>
      <c r="P3596" s="13"/>
    </row>
    <row r="3597">
      <c r="L3597" s="13"/>
      <c r="M3597" s="14"/>
      <c r="N3597" s="14"/>
      <c r="O3597" s="14"/>
      <c r="P3597" s="13"/>
    </row>
    <row r="3598">
      <c r="L3598" s="13"/>
      <c r="M3598" s="14"/>
      <c r="N3598" s="14"/>
      <c r="O3598" s="14"/>
      <c r="P3598" s="13"/>
    </row>
    <row r="3599">
      <c r="L3599" s="13"/>
      <c r="M3599" s="14"/>
      <c r="N3599" s="14"/>
      <c r="O3599" s="14"/>
      <c r="P3599" s="13"/>
    </row>
    <row r="3600">
      <c r="L3600" s="13"/>
      <c r="M3600" s="14"/>
      <c r="N3600" s="14"/>
      <c r="O3600" s="14"/>
      <c r="P3600" s="13"/>
    </row>
    <row r="3601">
      <c r="L3601" s="13"/>
      <c r="M3601" s="14"/>
      <c r="N3601" s="14"/>
      <c r="O3601" s="14"/>
      <c r="P3601" s="13"/>
    </row>
    <row r="3602">
      <c r="L3602" s="13"/>
      <c r="M3602" s="14"/>
      <c r="N3602" s="14"/>
      <c r="O3602" s="14"/>
      <c r="P3602" s="13"/>
    </row>
    <row r="3603">
      <c r="L3603" s="13"/>
      <c r="M3603" s="14"/>
      <c r="N3603" s="14"/>
      <c r="O3603" s="14"/>
      <c r="P3603" s="13"/>
    </row>
    <row r="3604">
      <c r="L3604" s="13"/>
      <c r="M3604" s="14"/>
      <c r="N3604" s="14"/>
      <c r="O3604" s="14"/>
      <c r="P3604" s="13"/>
    </row>
    <row r="3605">
      <c r="L3605" s="13"/>
      <c r="M3605" s="14"/>
      <c r="N3605" s="14"/>
      <c r="O3605" s="14"/>
      <c r="P3605" s="13"/>
    </row>
    <row r="3606">
      <c r="L3606" s="13"/>
      <c r="M3606" s="14"/>
      <c r="N3606" s="14"/>
      <c r="O3606" s="14"/>
      <c r="P3606" s="13"/>
    </row>
    <row r="3607">
      <c r="L3607" s="13"/>
      <c r="M3607" s="14"/>
      <c r="N3607" s="14"/>
      <c r="O3607" s="14"/>
      <c r="P3607" s="13"/>
    </row>
    <row r="3608">
      <c r="L3608" s="13"/>
      <c r="M3608" s="14"/>
      <c r="N3608" s="14"/>
      <c r="O3608" s="14"/>
      <c r="P3608" s="13"/>
    </row>
    <row r="3609">
      <c r="L3609" s="13"/>
      <c r="M3609" s="14"/>
      <c r="N3609" s="14"/>
      <c r="O3609" s="14"/>
      <c r="P3609" s="13"/>
    </row>
    <row r="3610">
      <c r="L3610" s="13"/>
      <c r="M3610" s="14"/>
      <c r="N3610" s="14"/>
      <c r="O3610" s="14"/>
      <c r="P3610" s="13"/>
    </row>
    <row r="3611">
      <c r="L3611" s="13"/>
      <c r="M3611" s="14"/>
      <c r="N3611" s="14"/>
      <c r="O3611" s="14"/>
      <c r="P3611" s="13"/>
    </row>
    <row r="3612">
      <c r="L3612" s="13"/>
      <c r="M3612" s="14"/>
      <c r="N3612" s="14"/>
      <c r="O3612" s="14"/>
      <c r="P3612" s="13"/>
    </row>
    <row r="3613">
      <c r="L3613" s="13"/>
      <c r="M3613" s="14"/>
      <c r="N3613" s="14"/>
      <c r="O3613" s="14"/>
      <c r="P3613" s="13"/>
    </row>
    <row r="3614">
      <c r="L3614" s="13"/>
      <c r="M3614" s="14"/>
      <c r="N3614" s="14"/>
      <c r="O3614" s="14"/>
      <c r="P3614" s="13"/>
    </row>
    <row r="3615">
      <c r="L3615" s="13"/>
      <c r="M3615" s="14"/>
      <c r="N3615" s="14"/>
      <c r="O3615" s="14"/>
      <c r="P3615" s="13"/>
    </row>
    <row r="3616">
      <c r="L3616" s="13"/>
      <c r="M3616" s="14"/>
      <c r="N3616" s="14"/>
      <c r="O3616" s="14"/>
      <c r="P3616" s="13"/>
    </row>
    <row r="3617">
      <c r="L3617" s="13"/>
      <c r="M3617" s="14"/>
      <c r="N3617" s="14"/>
      <c r="O3617" s="14"/>
      <c r="P3617" s="13"/>
    </row>
    <row r="3618">
      <c r="L3618" s="13"/>
      <c r="M3618" s="14"/>
      <c r="N3618" s="14"/>
      <c r="O3618" s="14"/>
      <c r="P3618" s="13"/>
    </row>
    <row r="3619">
      <c r="L3619" s="13"/>
      <c r="M3619" s="14"/>
      <c r="N3619" s="14"/>
      <c r="O3619" s="14"/>
      <c r="P3619" s="13"/>
    </row>
    <row r="3620">
      <c r="L3620" s="13"/>
      <c r="M3620" s="14"/>
      <c r="N3620" s="14"/>
      <c r="O3620" s="14"/>
      <c r="P3620" s="13"/>
    </row>
    <row r="3621">
      <c r="L3621" s="13"/>
      <c r="M3621" s="14"/>
      <c r="N3621" s="14"/>
      <c r="O3621" s="14"/>
      <c r="P3621" s="13"/>
    </row>
    <row r="3622">
      <c r="L3622" s="13"/>
      <c r="M3622" s="14"/>
      <c r="N3622" s="14"/>
      <c r="O3622" s="14"/>
      <c r="P3622" s="13"/>
    </row>
    <row r="3623">
      <c r="L3623" s="13"/>
      <c r="M3623" s="14"/>
      <c r="N3623" s="14"/>
      <c r="O3623" s="14"/>
      <c r="P3623" s="13"/>
    </row>
    <row r="3624">
      <c r="L3624" s="13"/>
      <c r="M3624" s="14"/>
      <c r="N3624" s="14"/>
      <c r="O3624" s="14"/>
      <c r="P3624" s="13"/>
    </row>
    <row r="3625">
      <c r="L3625" s="13"/>
      <c r="M3625" s="14"/>
      <c r="N3625" s="14"/>
      <c r="O3625" s="14"/>
      <c r="P3625" s="13"/>
    </row>
    <row r="3626">
      <c r="L3626" s="13"/>
      <c r="M3626" s="14"/>
      <c r="N3626" s="14"/>
      <c r="O3626" s="14"/>
      <c r="P3626" s="13"/>
    </row>
    <row r="3627">
      <c r="L3627" s="13"/>
      <c r="M3627" s="14"/>
      <c r="N3627" s="14"/>
      <c r="O3627" s="14"/>
      <c r="P3627" s="13"/>
    </row>
    <row r="3628">
      <c r="L3628" s="13"/>
      <c r="M3628" s="14"/>
      <c r="N3628" s="14"/>
      <c r="O3628" s="14"/>
      <c r="P3628" s="13"/>
    </row>
    <row r="3629">
      <c r="L3629" s="13"/>
      <c r="M3629" s="14"/>
      <c r="N3629" s="14"/>
      <c r="O3629" s="14"/>
      <c r="P3629" s="13"/>
    </row>
    <row r="3630">
      <c r="L3630" s="13"/>
      <c r="M3630" s="14"/>
      <c r="N3630" s="14"/>
      <c r="O3630" s="14"/>
      <c r="P3630" s="13"/>
    </row>
    <row r="3631">
      <c r="L3631" s="13"/>
      <c r="M3631" s="14"/>
      <c r="N3631" s="14"/>
      <c r="O3631" s="14"/>
      <c r="P3631" s="13"/>
    </row>
    <row r="3632">
      <c r="L3632" s="13"/>
      <c r="M3632" s="14"/>
      <c r="N3632" s="14"/>
      <c r="O3632" s="14"/>
      <c r="P3632" s="13"/>
    </row>
    <row r="3633">
      <c r="L3633" s="13"/>
      <c r="M3633" s="14"/>
      <c r="N3633" s="14"/>
      <c r="O3633" s="14"/>
      <c r="P3633" s="13"/>
    </row>
    <row r="3634">
      <c r="L3634" s="13"/>
      <c r="M3634" s="14"/>
      <c r="N3634" s="14"/>
      <c r="O3634" s="14"/>
      <c r="P3634" s="13"/>
    </row>
    <row r="3635">
      <c r="L3635" s="13"/>
      <c r="M3635" s="14"/>
      <c r="N3635" s="14"/>
      <c r="O3635" s="14"/>
      <c r="P3635" s="13"/>
    </row>
    <row r="3636">
      <c r="L3636" s="13"/>
      <c r="M3636" s="14"/>
      <c r="N3636" s="14"/>
      <c r="O3636" s="14"/>
      <c r="P3636" s="13"/>
    </row>
    <row r="3637">
      <c r="L3637" s="13"/>
      <c r="M3637" s="14"/>
      <c r="N3637" s="14"/>
      <c r="O3637" s="14"/>
      <c r="P3637" s="13"/>
    </row>
    <row r="3638">
      <c r="L3638" s="13"/>
      <c r="M3638" s="14"/>
      <c r="N3638" s="14"/>
      <c r="O3638" s="14"/>
      <c r="P3638" s="13"/>
    </row>
    <row r="3639">
      <c r="L3639" s="13"/>
      <c r="M3639" s="14"/>
      <c r="N3639" s="14"/>
      <c r="O3639" s="14"/>
      <c r="P3639" s="13"/>
    </row>
    <row r="3640">
      <c r="L3640" s="13"/>
      <c r="M3640" s="14"/>
      <c r="N3640" s="14"/>
      <c r="O3640" s="14"/>
      <c r="P3640" s="13"/>
    </row>
    <row r="3641">
      <c r="L3641" s="13"/>
      <c r="M3641" s="14"/>
      <c r="N3641" s="14"/>
      <c r="O3641" s="14"/>
      <c r="P3641" s="13"/>
    </row>
    <row r="3642">
      <c r="L3642" s="13"/>
      <c r="M3642" s="14"/>
      <c r="N3642" s="14"/>
      <c r="O3642" s="14"/>
      <c r="P3642" s="13"/>
    </row>
    <row r="3643">
      <c r="L3643" s="13"/>
      <c r="M3643" s="14"/>
      <c r="N3643" s="14"/>
      <c r="O3643" s="14"/>
      <c r="P3643" s="13"/>
    </row>
    <row r="3644">
      <c r="L3644" s="13"/>
      <c r="M3644" s="14"/>
      <c r="N3644" s="14"/>
      <c r="O3644" s="14"/>
      <c r="P3644" s="13"/>
    </row>
    <row r="3645">
      <c r="L3645" s="13"/>
      <c r="M3645" s="14"/>
      <c r="N3645" s="14"/>
      <c r="O3645" s="14"/>
      <c r="P3645" s="13"/>
    </row>
    <row r="3646">
      <c r="L3646" s="13"/>
      <c r="M3646" s="14"/>
      <c r="N3646" s="14"/>
      <c r="O3646" s="14"/>
      <c r="P3646" s="13"/>
    </row>
    <row r="3647">
      <c r="L3647" s="13"/>
      <c r="M3647" s="14"/>
      <c r="N3647" s="14"/>
      <c r="O3647" s="14"/>
      <c r="P3647" s="13"/>
    </row>
    <row r="3648">
      <c r="L3648" s="13"/>
      <c r="M3648" s="14"/>
      <c r="N3648" s="14"/>
      <c r="O3648" s="14"/>
      <c r="P3648" s="13"/>
    </row>
    <row r="3649">
      <c r="L3649" s="13"/>
      <c r="M3649" s="14"/>
      <c r="N3649" s="14"/>
      <c r="O3649" s="14"/>
      <c r="P3649" s="13"/>
    </row>
    <row r="3650">
      <c r="L3650" s="13"/>
      <c r="M3650" s="14"/>
      <c r="N3650" s="14"/>
      <c r="O3650" s="14"/>
      <c r="P3650" s="13"/>
    </row>
    <row r="3651">
      <c r="L3651" s="13"/>
      <c r="M3651" s="14"/>
      <c r="N3651" s="14"/>
      <c r="O3651" s="14"/>
      <c r="P3651" s="13"/>
    </row>
    <row r="3652">
      <c r="L3652" s="13"/>
      <c r="M3652" s="14"/>
      <c r="N3652" s="14"/>
      <c r="O3652" s="14"/>
      <c r="P3652" s="13"/>
    </row>
    <row r="3653">
      <c r="L3653" s="13"/>
      <c r="M3653" s="14"/>
      <c r="N3653" s="14"/>
      <c r="O3653" s="14"/>
      <c r="P3653" s="13"/>
    </row>
    <row r="3654">
      <c r="L3654" s="13"/>
      <c r="M3654" s="14"/>
      <c r="N3654" s="14"/>
      <c r="O3654" s="14"/>
      <c r="P3654" s="13"/>
    </row>
    <row r="3655">
      <c r="L3655" s="13"/>
      <c r="M3655" s="14"/>
      <c r="N3655" s="14"/>
      <c r="O3655" s="14"/>
      <c r="P3655" s="13"/>
    </row>
    <row r="3656">
      <c r="L3656" s="13"/>
      <c r="M3656" s="14"/>
      <c r="N3656" s="14"/>
      <c r="O3656" s="14"/>
      <c r="P3656" s="13"/>
    </row>
    <row r="3657">
      <c r="L3657" s="13"/>
      <c r="M3657" s="14"/>
      <c r="N3657" s="14"/>
      <c r="O3657" s="14"/>
      <c r="P3657" s="13"/>
    </row>
    <row r="3658">
      <c r="L3658" s="13"/>
      <c r="M3658" s="14"/>
      <c r="N3658" s="14"/>
      <c r="O3658" s="14"/>
      <c r="P3658" s="13"/>
    </row>
    <row r="3659">
      <c r="L3659" s="13"/>
      <c r="M3659" s="14"/>
      <c r="N3659" s="14"/>
      <c r="O3659" s="14"/>
      <c r="P3659" s="13"/>
    </row>
    <row r="3660">
      <c r="L3660" s="13"/>
      <c r="M3660" s="14"/>
      <c r="N3660" s="14"/>
      <c r="O3660" s="14"/>
      <c r="P3660" s="13"/>
    </row>
    <row r="3661">
      <c r="L3661" s="13"/>
      <c r="M3661" s="14"/>
      <c r="N3661" s="14"/>
      <c r="O3661" s="14"/>
      <c r="P3661" s="13"/>
    </row>
    <row r="3662">
      <c r="L3662" s="13"/>
      <c r="M3662" s="14"/>
      <c r="N3662" s="14"/>
      <c r="O3662" s="14"/>
      <c r="P3662" s="13"/>
    </row>
    <row r="3663">
      <c r="L3663" s="13"/>
      <c r="M3663" s="14"/>
      <c r="N3663" s="14"/>
      <c r="O3663" s="14"/>
      <c r="P3663" s="13"/>
    </row>
    <row r="3664">
      <c r="L3664" s="13"/>
      <c r="M3664" s="14"/>
      <c r="N3664" s="14"/>
      <c r="O3664" s="14"/>
      <c r="P3664" s="13"/>
    </row>
    <row r="3665">
      <c r="L3665" s="13"/>
      <c r="M3665" s="14"/>
      <c r="N3665" s="14"/>
      <c r="O3665" s="14"/>
      <c r="P3665" s="13"/>
    </row>
    <row r="3666">
      <c r="L3666" s="13"/>
      <c r="M3666" s="14"/>
      <c r="N3666" s="14"/>
      <c r="O3666" s="14"/>
      <c r="P3666" s="13"/>
    </row>
    <row r="3667">
      <c r="L3667" s="13"/>
      <c r="M3667" s="14"/>
      <c r="N3667" s="14"/>
      <c r="O3667" s="14"/>
      <c r="P3667" s="13"/>
    </row>
    <row r="3668">
      <c r="L3668" s="13"/>
      <c r="M3668" s="14"/>
      <c r="N3668" s="14"/>
      <c r="O3668" s="14"/>
      <c r="P3668" s="13"/>
    </row>
    <row r="3669">
      <c r="L3669" s="13"/>
      <c r="M3669" s="14"/>
      <c r="N3669" s="14"/>
      <c r="O3669" s="14"/>
      <c r="P3669" s="13"/>
    </row>
    <row r="3670">
      <c r="L3670" s="13"/>
      <c r="M3670" s="14"/>
      <c r="N3670" s="14"/>
      <c r="O3670" s="14"/>
      <c r="P3670" s="13"/>
    </row>
    <row r="3671">
      <c r="L3671" s="13"/>
      <c r="M3671" s="14"/>
      <c r="N3671" s="14"/>
      <c r="O3671" s="14"/>
      <c r="P3671" s="13"/>
    </row>
    <row r="3672">
      <c r="L3672" s="13"/>
      <c r="M3672" s="14"/>
      <c r="N3672" s="14"/>
      <c r="O3672" s="14"/>
      <c r="P3672" s="13"/>
    </row>
    <row r="3673">
      <c r="L3673" s="13"/>
      <c r="M3673" s="14"/>
      <c r="N3673" s="14"/>
      <c r="O3673" s="14"/>
      <c r="P3673" s="13"/>
    </row>
    <row r="3674">
      <c r="L3674" s="13"/>
      <c r="M3674" s="14"/>
      <c r="N3674" s="14"/>
      <c r="O3674" s="14"/>
      <c r="P3674" s="13"/>
    </row>
    <row r="3675">
      <c r="L3675" s="13"/>
      <c r="M3675" s="14"/>
      <c r="N3675" s="14"/>
      <c r="O3675" s="14"/>
      <c r="P3675" s="13"/>
    </row>
    <row r="3676">
      <c r="L3676" s="13"/>
      <c r="M3676" s="14"/>
      <c r="N3676" s="14"/>
      <c r="O3676" s="14"/>
      <c r="P3676" s="13"/>
    </row>
    <row r="3677">
      <c r="L3677" s="13"/>
      <c r="M3677" s="14"/>
      <c r="N3677" s="14"/>
      <c r="O3677" s="14"/>
      <c r="P3677" s="13"/>
    </row>
    <row r="3678">
      <c r="L3678" s="13"/>
      <c r="M3678" s="14"/>
      <c r="N3678" s="14"/>
      <c r="O3678" s="14"/>
      <c r="P3678" s="13"/>
    </row>
    <row r="3679">
      <c r="L3679" s="13"/>
      <c r="M3679" s="14"/>
      <c r="N3679" s="14"/>
      <c r="O3679" s="14"/>
      <c r="P3679" s="13"/>
    </row>
    <row r="3680">
      <c r="L3680" s="13"/>
      <c r="M3680" s="14"/>
      <c r="N3680" s="14"/>
      <c r="O3680" s="14"/>
      <c r="P3680" s="13"/>
    </row>
    <row r="3681">
      <c r="L3681" s="13"/>
      <c r="M3681" s="14"/>
      <c r="N3681" s="14"/>
      <c r="O3681" s="14"/>
      <c r="P3681" s="13"/>
    </row>
    <row r="3682">
      <c r="L3682" s="13"/>
      <c r="M3682" s="14"/>
      <c r="N3682" s="14"/>
      <c r="O3682" s="14"/>
      <c r="P3682" s="13"/>
    </row>
    <row r="3683">
      <c r="L3683" s="13"/>
      <c r="M3683" s="14"/>
      <c r="N3683" s="14"/>
      <c r="O3683" s="14"/>
      <c r="P3683" s="13"/>
    </row>
    <row r="3684">
      <c r="L3684" s="13"/>
      <c r="M3684" s="14"/>
      <c r="N3684" s="14"/>
      <c r="O3684" s="14"/>
      <c r="P3684" s="13"/>
    </row>
    <row r="3685">
      <c r="L3685" s="13"/>
      <c r="M3685" s="14"/>
      <c r="N3685" s="14"/>
      <c r="O3685" s="14"/>
      <c r="P3685" s="13"/>
    </row>
    <row r="3686">
      <c r="L3686" s="13"/>
      <c r="M3686" s="14"/>
      <c r="N3686" s="14"/>
      <c r="O3686" s="14"/>
      <c r="P3686" s="13"/>
    </row>
    <row r="3687">
      <c r="L3687" s="13"/>
      <c r="M3687" s="14"/>
      <c r="N3687" s="14"/>
      <c r="O3687" s="14"/>
      <c r="P3687" s="13"/>
    </row>
    <row r="3688">
      <c r="L3688" s="13"/>
      <c r="M3688" s="14"/>
      <c r="N3688" s="14"/>
      <c r="O3688" s="14"/>
      <c r="P3688" s="13"/>
    </row>
    <row r="3689">
      <c r="L3689" s="13"/>
      <c r="M3689" s="14"/>
      <c r="N3689" s="14"/>
      <c r="O3689" s="14"/>
      <c r="P3689" s="13"/>
    </row>
    <row r="3690">
      <c r="L3690" s="13"/>
      <c r="M3690" s="14"/>
      <c r="N3690" s="14"/>
      <c r="O3690" s="14"/>
      <c r="P3690" s="13"/>
    </row>
    <row r="3691">
      <c r="L3691" s="13"/>
      <c r="M3691" s="14"/>
      <c r="N3691" s="14"/>
      <c r="O3691" s="14"/>
      <c r="P3691" s="13"/>
    </row>
    <row r="3692">
      <c r="L3692" s="13"/>
      <c r="M3692" s="14"/>
      <c r="N3692" s="14"/>
      <c r="O3692" s="14"/>
      <c r="P3692" s="13"/>
    </row>
    <row r="3693">
      <c r="L3693" s="13"/>
      <c r="M3693" s="14"/>
      <c r="N3693" s="14"/>
      <c r="O3693" s="14"/>
      <c r="P3693" s="13"/>
    </row>
    <row r="3694">
      <c r="L3694" s="13"/>
      <c r="M3694" s="14"/>
      <c r="N3694" s="14"/>
      <c r="O3694" s="14"/>
      <c r="P3694" s="13"/>
    </row>
    <row r="3695">
      <c r="L3695" s="13"/>
      <c r="M3695" s="14"/>
      <c r="N3695" s="14"/>
      <c r="O3695" s="14"/>
      <c r="P3695" s="13"/>
    </row>
    <row r="3696">
      <c r="L3696" s="13"/>
      <c r="M3696" s="14"/>
      <c r="N3696" s="14"/>
      <c r="O3696" s="14"/>
      <c r="P3696" s="13"/>
    </row>
    <row r="3697">
      <c r="L3697" s="13"/>
      <c r="M3697" s="14"/>
      <c r="N3697" s="14"/>
      <c r="O3697" s="14"/>
      <c r="P3697" s="13"/>
    </row>
    <row r="3698">
      <c r="L3698" s="13"/>
      <c r="M3698" s="14"/>
      <c r="N3698" s="14"/>
      <c r="O3698" s="14"/>
      <c r="P3698" s="13"/>
    </row>
    <row r="3699">
      <c r="L3699" s="13"/>
      <c r="M3699" s="14"/>
      <c r="N3699" s="14"/>
      <c r="O3699" s="14"/>
      <c r="P3699" s="13"/>
    </row>
    <row r="3700">
      <c r="L3700" s="13"/>
      <c r="M3700" s="14"/>
      <c r="N3700" s="14"/>
      <c r="O3700" s="14"/>
      <c r="P3700" s="13"/>
    </row>
    <row r="3701">
      <c r="L3701" s="13"/>
      <c r="M3701" s="14"/>
      <c r="N3701" s="14"/>
      <c r="O3701" s="14"/>
      <c r="P3701" s="13"/>
    </row>
    <row r="3702">
      <c r="L3702" s="13"/>
      <c r="M3702" s="14"/>
      <c r="N3702" s="14"/>
      <c r="O3702" s="14"/>
      <c r="P3702" s="13"/>
    </row>
    <row r="3703">
      <c r="L3703" s="13"/>
      <c r="M3703" s="14"/>
      <c r="N3703" s="14"/>
      <c r="O3703" s="14"/>
      <c r="P3703" s="13"/>
    </row>
    <row r="3704">
      <c r="L3704" s="13"/>
      <c r="M3704" s="14"/>
      <c r="N3704" s="14"/>
      <c r="O3704" s="14"/>
      <c r="P3704" s="13"/>
    </row>
    <row r="3705">
      <c r="L3705" s="13"/>
      <c r="M3705" s="14"/>
      <c r="N3705" s="14"/>
      <c r="O3705" s="14"/>
      <c r="P3705" s="13"/>
    </row>
    <row r="3706">
      <c r="L3706" s="13"/>
      <c r="M3706" s="14"/>
      <c r="N3706" s="14"/>
      <c r="O3706" s="14"/>
      <c r="P3706" s="13"/>
    </row>
    <row r="3707">
      <c r="L3707" s="13"/>
      <c r="M3707" s="14"/>
      <c r="N3707" s="14"/>
      <c r="O3707" s="14"/>
      <c r="P3707" s="13"/>
    </row>
    <row r="3708">
      <c r="L3708" s="13"/>
      <c r="M3708" s="14"/>
      <c r="N3708" s="14"/>
      <c r="O3708" s="14"/>
      <c r="P3708" s="13"/>
    </row>
    <row r="3709">
      <c r="L3709" s="13"/>
      <c r="M3709" s="14"/>
      <c r="N3709" s="14"/>
      <c r="O3709" s="14"/>
      <c r="P3709" s="13"/>
    </row>
    <row r="3710">
      <c r="L3710" s="13"/>
      <c r="M3710" s="14"/>
      <c r="N3710" s="14"/>
      <c r="O3710" s="14"/>
      <c r="P3710" s="13"/>
    </row>
    <row r="3711">
      <c r="L3711" s="13"/>
      <c r="M3711" s="14"/>
      <c r="N3711" s="14"/>
      <c r="O3711" s="14"/>
      <c r="P3711" s="13"/>
    </row>
    <row r="3712">
      <c r="L3712" s="13"/>
      <c r="M3712" s="14"/>
      <c r="N3712" s="14"/>
      <c r="O3712" s="14"/>
      <c r="P3712" s="13"/>
    </row>
    <row r="3713">
      <c r="L3713" s="13"/>
      <c r="M3713" s="14"/>
      <c r="N3713" s="14"/>
      <c r="O3713" s="14"/>
      <c r="P3713" s="13"/>
    </row>
    <row r="3714">
      <c r="L3714" s="13"/>
      <c r="M3714" s="14"/>
      <c r="N3714" s="14"/>
      <c r="O3714" s="14"/>
      <c r="P3714" s="13"/>
    </row>
    <row r="3715">
      <c r="L3715" s="13"/>
      <c r="M3715" s="14"/>
      <c r="N3715" s="14"/>
      <c r="O3715" s="14"/>
      <c r="P3715" s="13"/>
    </row>
    <row r="3716">
      <c r="L3716" s="13"/>
      <c r="M3716" s="14"/>
      <c r="N3716" s="14"/>
      <c r="O3716" s="14"/>
      <c r="P3716" s="13"/>
    </row>
    <row r="3717">
      <c r="L3717" s="13"/>
      <c r="M3717" s="14"/>
      <c r="N3717" s="14"/>
      <c r="O3717" s="14"/>
      <c r="P3717" s="13"/>
    </row>
    <row r="3718">
      <c r="L3718" s="13"/>
      <c r="M3718" s="14"/>
      <c r="N3718" s="14"/>
      <c r="O3718" s="14"/>
      <c r="P3718" s="13"/>
    </row>
    <row r="3719">
      <c r="L3719" s="13"/>
      <c r="M3719" s="14"/>
      <c r="N3719" s="14"/>
      <c r="O3719" s="14"/>
      <c r="P3719" s="13"/>
    </row>
    <row r="3720">
      <c r="L3720" s="13"/>
      <c r="M3720" s="14"/>
      <c r="N3720" s="14"/>
      <c r="O3720" s="14"/>
      <c r="P3720" s="13"/>
    </row>
    <row r="3721">
      <c r="L3721" s="13"/>
      <c r="M3721" s="14"/>
      <c r="N3721" s="14"/>
      <c r="O3721" s="14"/>
      <c r="P3721" s="13"/>
    </row>
    <row r="3722">
      <c r="L3722" s="13"/>
      <c r="M3722" s="14"/>
      <c r="N3722" s="14"/>
      <c r="O3722" s="14"/>
      <c r="P3722" s="13"/>
    </row>
    <row r="3723">
      <c r="L3723" s="13"/>
      <c r="M3723" s="14"/>
      <c r="N3723" s="14"/>
      <c r="O3723" s="14"/>
      <c r="P3723" s="13"/>
    </row>
    <row r="3724">
      <c r="L3724" s="13"/>
      <c r="M3724" s="14"/>
      <c r="N3724" s="14"/>
      <c r="O3724" s="14"/>
      <c r="P3724" s="13"/>
    </row>
    <row r="3725">
      <c r="L3725" s="13"/>
      <c r="M3725" s="14"/>
      <c r="N3725" s="14"/>
      <c r="O3725" s="14"/>
      <c r="P3725" s="13"/>
    </row>
    <row r="3726">
      <c r="L3726" s="13"/>
      <c r="M3726" s="14"/>
      <c r="N3726" s="14"/>
      <c r="O3726" s="14"/>
      <c r="P3726" s="13"/>
    </row>
    <row r="3727">
      <c r="L3727" s="13"/>
      <c r="M3727" s="14"/>
      <c r="N3727" s="14"/>
      <c r="O3727" s="14"/>
      <c r="P3727" s="13"/>
    </row>
    <row r="3728">
      <c r="L3728" s="13"/>
      <c r="M3728" s="14"/>
      <c r="N3728" s="14"/>
      <c r="O3728" s="14"/>
      <c r="P3728" s="13"/>
    </row>
    <row r="3729">
      <c r="L3729" s="13"/>
      <c r="M3729" s="14"/>
      <c r="N3729" s="14"/>
      <c r="O3729" s="14"/>
      <c r="P3729" s="13"/>
    </row>
    <row r="3730">
      <c r="L3730" s="13"/>
      <c r="M3730" s="14"/>
      <c r="N3730" s="14"/>
      <c r="O3730" s="14"/>
      <c r="P3730" s="13"/>
    </row>
    <row r="3731">
      <c r="L3731" s="13"/>
      <c r="M3731" s="14"/>
      <c r="N3731" s="14"/>
      <c r="O3731" s="14"/>
      <c r="P3731" s="13"/>
    </row>
    <row r="3732">
      <c r="L3732" s="13"/>
      <c r="M3732" s="14"/>
      <c r="N3732" s="14"/>
      <c r="O3732" s="14"/>
      <c r="P3732" s="13"/>
    </row>
    <row r="3733">
      <c r="L3733" s="13"/>
      <c r="M3733" s="14"/>
      <c r="N3733" s="14"/>
      <c r="O3733" s="14"/>
      <c r="P3733" s="13"/>
    </row>
    <row r="3734">
      <c r="L3734" s="13"/>
      <c r="M3734" s="14"/>
      <c r="N3734" s="14"/>
      <c r="O3734" s="14"/>
      <c r="P3734" s="13"/>
    </row>
    <row r="3735">
      <c r="L3735" s="13"/>
      <c r="M3735" s="14"/>
      <c r="N3735" s="14"/>
      <c r="O3735" s="14"/>
      <c r="P3735" s="13"/>
    </row>
    <row r="3736">
      <c r="L3736" s="13"/>
      <c r="M3736" s="14"/>
      <c r="N3736" s="14"/>
      <c r="O3736" s="14"/>
      <c r="P3736" s="13"/>
    </row>
    <row r="3737">
      <c r="L3737" s="13"/>
      <c r="M3737" s="14"/>
      <c r="N3737" s="14"/>
      <c r="O3737" s="14"/>
      <c r="P3737" s="13"/>
    </row>
    <row r="3738">
      <c r="L3738" s="13"/>
      <c r="M3738" s="14"/>
      <c r="N3738" s="14"/>
      <c r="O3738" s="14"/>
      <c r="P3738" s="13"/>
    </row>
    <row r="3739">
      <c r="L3739" s="13"/>
      <c r="M3739" s="14"/>
      <c r="N3739" s="14"/>
      <c r="O3739" s="14"/>
      <c r="P3739" s="13"/>
    </row>
    <row r="3740">
      <c r="L3740" s="13"/>
      <c r="M3740" s="14"/>
      <c r="N3740" s="14"/>
      <c r="O3740" s="14"/>
      <c r="P3740" s="13"/>
    </row>
    <row r="3741">
      <c r="L3741" s="13"/>
      <c r="M3741" s="14"/>
      <c r="N3741" s="14"/>
      <c r="O3741" s="14"/>
      <c r="P3741" s="13"/>
    </row>
    <row r="3742">
      <c r="L3742" s="13"/>
      <c r="M3742" s="14"/>
      <c r="N3742" s="14"/>
      <c r="O3742" s="14"/>
      <c r="P3742" s="13"/>
    </row>
    <row r="3743">
      <c r="L3743" s="13"/>
      <c r="M3743" s="14"/>
      <c r="N3743" s="14"/>
      <c r="O3743" s="14"/>
      <c r="P3743" s="13"/>
    </row>
    <row r="3744">
      <c r="L3744" s="13"/>
      <c r="M3744" s="14"/>
      <c r="N3744" s="14"/>
      <c r="O3744" s="14"/>
      <c r="P3744" s="13"/>
    </row>
    <row r="3745">
      <c r="L3745" s="13"/>
      <c r="M3745" s="14"/>
      <c r="N3745" s="14"/>
      <c r="O3745" s="14"/>
      <c r="P3745" s="13"/>
    </row>
    <row r="3746">
      <c r="L3746" s="13"/>
      <c r="M3746" s="14"/>
      <c r="N3746" s="14"/>
      <c r="O3746" s="14"/>
      <c r="P3746" s="13"/>
    </row>
    <row r="3747">
      <c r="L3747" s="13"/>
      <c r="M3747" s="14"/>
      <c r="N3747" s="14"/>
      <c r="O3747" s="14"/>
      <c r="P3747" s="13"/>
    </row>
    <row r="3748">
      <c r="L3748" s="13"/>
      <c r="M3748" s="14"/>
      <c r="N3748" s="14"/>
      <c r="O3748" s="14"/>
      <c r="P3748" s="13"/>
    </row>
    <row r="3749">
      <c r="L3749" s="13"/>
      <c r="M3749" s="14"/>
      <c r="N3749" s="14"/>
      <c r="O3749" s="14"/>
      <c r="P3749" s="13"/>
    </row>
    <row r="3750">
      <c r="L3750" s="13"/>
      <c r="M3750" s="14"/>
      <c r="N3750" s="14"/>
      <c r="O3750" s="14"/>
      <c r="P3750" s="13"/>
    </row>
    <row r="3751">
      <c r="L3751" s="13"/>
      <c r="M3751" s="14"/>
      <c r="N3751" s="14"/>
      <c r="O3751" s="14"/>
      <c r="P3751" s="13"/>
    </row>
    <row r="3752">
      <c r="L3752" s="13"/>
      <c r="M3752" s="14"/>
      <c r="N3752" s="14"/>
      <c r="O3752" s="14"/>
      <c r="P3752" s="13"/>
    </row>
    <row r="3753">
      <c r="L3753" s="13"/>
      <c r="M3753" s="14"/>
      <c r="N3753" s="14"/>
      <c r="O3753" s="14"/>
      <c r="P3753" s="13"/>
    </row>
    <row r="3754">
      <c r="L3754" s="13"/>
      <c r="M3754" s="14"/>
      <c r="N3754" s="14"/>
      <c r="O3754" s="14"/>
      <c r="P3754" s="13"/>
    </row>
    <row r="3755">
      <c r="L3755" s="13"/>
      <c r="M3755" s="14"/>
      <c r="N3755" s="14"/>
      <c r="O3755" s="14"/>
      <c r="P3755" s="13"/>
    </row>
    <row r="3756">
      <c r="L3756" s="13"/>
      <c r="M3756" s="14"/>
      <c r="N3756" s="14"/>
      <c r="O3756" s="14"/>
      <c r="P3756" s="13"/>
    </row>
    <row r="3757">
      <c r="L3757" s="13"/>
      <c r="M3757" s="14"/>
      <c r="N3757" s="14"/>
      <c r="O3757" s="14"/>
      <c r="P3757" s="13"/>
    </row>
    <row r="3758">
      <c r="L3758" s="13"/>
      <c r="M3758" s="14"/>
      <c r="N3758" s="14"/>
      <c r="O3758" s="14"/>
      <c r="P3758" s="13"/>
    </row>
    <row r="3759">
      <c r="L3759" s="13"/>
      <c r="M3759" s="14"/>
      <c r="N3759" s="14"/>
      <c r="O3759" s="14"/>
      <c r="P3759" s="13"/>
    </row>
    <row r="3760">
      <c r="L3760" s="13"/>
      <c r="M3760" s="14"/>
      <c r="N3760" s="14"/>
      <c r="O3760" s="14"/>
      <c r="P3760" s="13"/>
    </row>
    <row r="3761">
      <c r="L3761" s="13"/>
      <c r="M3761" s="14"/>
      <c r="N3761" s="14"/>
      <c r="O3761" s="14"/>
      <c r="P3761" s="13"/>
    </row>
    <row r="3762">
      <c r="L3762" s="13"/>
      <c r="M3762" s="14"/>
      <c r="N3762" s="14"/>
      <c r="O3762" s="14"/>
      <c r="P3762" s="13"/>
    </row>
    <row r="3763">
      <c r="L3763" s="13"/>
      <c r="M3763" s="14"/>
      <c r="N3763" s="14"/>
      <c r="O3763" s="14"/>
      <c r="P3763" s="13"/>
    </row>
    <row r="3764">
      <c r="L3764" s="13"/>
      <c r="M3764" s="14"/>
      <c r="N3764" s="14"/>
      <c r="O3764" s="14"/>
      <c r="P3764" s="13"/>
    </row>
    <row r="3765">
      <c r="L3765" s="13"/>
      <c r="M3765" s="14"/>
      <c r="N3765" s="14"/>
      <c r="O3765" s="14"/>
      <c r="P3765" s="13"/>
    </row>
    <row r="3766">
      <c r="L3766" s="13"/>
      <c r="M3766" s="14"/>
      <c r="N3766" s="14"/>
      <c r="O3766" s="14"/>
      <c r="P3766" s="13"/>
    </row>
    <row r="3767">
      <c r="L3767" s="13"/>
      <c r="M3767" s="14"/>
      <c r="N3767" s="14"/>
      <c r="O3767" s="14"/>
      <c r="P3767" s="13"/>
    </row>
    <row r="3768">
      <c r="L3768" s="13"/>
      <c r="M3768" s="14"/>
      <c r="N3768" s="14"/>
      <c r="O3768" s="14"/>
      <c r="P3768" s="13"/>
    </row>
    <row r="3769">
      <c r="L3769" s="13"/>
      <c r="M3769" s="14"/>
      <c r="N3769" s="14"/>
      <c r="O3769" s="14"/>
      <c r="P3769" s="13"/>
    </row>
    <row r="3770">
      <c r="L3770" s="13"/>
      <c r="M3770" s="14"/>
      <c r="N3770" s="14"/>
      <c r="O3770" s="14"/>
      <c r="P3770" s="13"/>
    </row>
    <row r="3771">
      <c r="L3771" s="13"/>
      <c r="M3771" s="14"/>
      <c r="N3771" s="14"/>
      <c r="O3771" s="14"/>
      <c r="P3771" s="13"/>
    </row>
    <row r="3772">
      <c r="L3772" s="13"/>
      <c r="M3772" s="14"/>
      <c r="N3772" s="14"/>
      <c r="O3772" s="14"/>
      <c r="P3772" s="13"/>
    </row>
    <row r="3773">
      <c r="L3773" s="13"/>
      <c r="M3773" s="14"/>
      <c r="N3773" s="14"/>
      <c r="O3773" s="14"/>
      <c r="P3773" s="13"/>
    </row>
    <row r="3774">
      <c r="L3774" s="13"/>
      <c r="M3774" s="14"/>
      <c r="N3774" s="14"/>
      <c r="O3774" s="14"/>
      <c r="P3774" s="13"/>
    </row>
    <row r="3775">
      <c r="L3775" s="13"/>
      <c r="M3775" s="14"/>
      <c r="N3775" s="14"/>
      <c r="O3775" s="14"/>
      <c r="P3775" s="13"/>
    </row>
    <row r="3776">
      <c r="L3776" s="13"/>
      <c r="M3776" s="14"/>
      <c r="N3776" s="14"/>
      <c r="O3776" s="14"/>
      <c r="P3776" s="13"/>
    </row>
    <row r="3777">
      <c r="L3777" s="13"/>
      <c r="M3777" s="14"/>
      <c r="N3777" s="14"/>
      <c r="O3777" s="14"/>
      <c r="P3777" s="13"/>
    </row>
    <row r="3778">
      <c r="L3778" s="13"/>
      <c r="M3778" s="14"/>
      <c r="N3778" s="14"/>
      <c r="O3778" s="14"/>
      <c r="P3778" s="13"/>
    </row>
    <row r="3779">
      <c r="L3779" s="13"/>
      <c r="M3779" s="14"/>
      <c r="N3779" s="14"/>
      <c r="O3779" s="14"/>
      <c r="P3779" s="13"/>
    </row>
    <row r="3780">
      <c r="L3780" s="13"/>
      <c r="M3780" s="14"/>
      <c r="N3780" s="14"/>
      <c r="O3780" s="14"/>
      <c r="P3780" s="13"/>
    </row>
    <row r="3781">
      <c r="L3781" s="13"/>
      <c r="M3781" s="14"/>
      <c r="N3781" s="14"/>
      <c r="O3781" s="14"/>
      <c r="P3781" s="13"/>
    </row>
    <row r="3782">
      <c r="L3782" s="13"/>
      <c r="M3782" s="14"/>
      <c r="N3782" s="14"/>
      <c r="O3782" s="14"/>
      <c r="P3782" s="13"/>
    </row>
    <row r="3783">
      <c r="L3783" s="13"/>
      <c r="M3783" s="14"/>
      <c r="N3783" s="14"/>
      <c r="O3783" s="14"/>
      <c r="P3783" s="13"/>
    </row>
    <row r="3784">
      <c r="L3784" s="13"/>
      <c r="M3784" s="14"/>
      <c r="N3784" s="14"/>
      <c r="O3784" s="14"/>
      <c r="P3784" s="13"/>
    </row>
    <row r="3785">
      <c r="L3785" s="13"/>
      <c r="M3785" s="14"/>
      <c r="N3785" s="14"/>
      <c r="O3785" s="14"/>
      <c r="P3785" s="13"/>
    </row>
    <row r="3786">
      <c r="L3786" s="13"/>
      <c r="M3786" s="14"/>
      <c r="N3786" s="14"/>
      <c r="O3786" s="14"/>
      <c r="P3786" s="13"/>
    </row>
    <row r="3787">
      <c r="L3787" s="13"/>
      <c r="M3787" s="14"/>
      <c r="N3787" s="14"/>
      <c r="O3787" s="14"/>
      <c r="P3787" s="13"/>
    </row>
    <row r="3788">
      <c r="L3788" s="13"/>
      <c r="M3788" s="14"/>
      <c r="N3788" s="14"/>
      <c r="O3788" s="14"/>
      <c r="P3788" s="13"/>
    </row>
    <row r="3789">
      <c r="L3789" s="13"/>
      <c r="M3789" s="14"/>
      <c r="N3789" s="14"/>
      <c r="O3789" s="14"/>
      <c r="P3789" s="13"/>
    </row>
    <row r="3790">
      <c r="L3790" s="13"/>
      <c r="M3790" s="14"/>
      <c r="N3790" s="14"/>
      <c r="O3790" s="14"/>
      <c r="P3790" s="13"/>
    </row>
    <row r="3791">
      <c r="L3791" s="13"/>
      <c r="M3791" s="14"/>
      <c r="N3791" s="14"/>
      <c r="O3791" s="14"/>
      <c r="P3791" s="13"/>
    </row>
    <row r="3792">
      <c r="L3792" s="13"/>
      <c r="M3792" s="14"/>
      <c r="N3792" s="14"/>
      <c r="O3792" s="14"/>
      <c r="P3792" s="13"/>
    </row>
    <row r="3793">
      <c r="L3793" s="13"/>
      <c r="M3793" s="14"/>
      <c r="N3793" s="14"/>
      <c r="O3793" s="14"/>
      <c r="P3793" s="13"/>
    </row>
    <row r="3794">
      <c r="L3794" s="13"/>
      <c r="M3794" s="14"/>
      <c r="N3794" s="14"/>
      <c r="O3794" s="14"/>
      <c r="P3794" s="13"/>
    </row>
    <row r="3795">
      <c r="L3795" s="13"/>
      <c r="M3795" s="14"/>
      <c r="N3795" s="14"/>
      <c r="O3795" s="14"/>
      <c r="P3795" s="13"/>
    </row>
    <row r="3796">
      <c r="L3796" s="13"/>
      <c r="M3796" s="14"/>
      <c r="N3796" s="14"/>
      <c r="O3796" s="14"/>
      <c r="P3796" s="13"/>
    </row>
    <row r="3797">
      <c r="L3797" s="13"/>
      <c r="M3797" s="14"/>
      <c r="N3797" s="14"/>
      <c r="O3797" s="14"/>
      <c r="P3797" s="13"/>
    </row>
    <row r="3798">
      <c r="L3798" s="13"/>
      <c r="M3798" s="14"/>
      <c r="N3798" s="14"/>
      <c r="O3798" s="14"/>
      <c r="P3798" s="13"/>
    </row>
    <row r="3799">
      <c r="L3799" s="13"/>
      <c r="M3799" s="14"/>
      <c r="N3799" s="14"/>
      <c r="O3799" s="14"/>
      <c r="P3799" s="13"/>
    </row>
    <row r="3800">
      <c r="L3800" s="13"/>
      <c r="M3800" s="14"/>
      <c r="N3800" s="14"/>
      <c r="O3800" s="14"/>
      <c r="P3800" s="13"/>
    </row>
    <row r="3801">
      <c r="L3801" s="13"/>
      <c r="M3801" s="14"/>
      <c r="N3801" s="14"/>
      <c r="O3801" s="14"/>
      <c r="P3801" s="13"/>
    </row>
    <row r="3802">
      <c r="L3802" s="13"/>
      <c r="M3802" s="14"/>
      <c r="N3802" s="14"/>
      <c r="O3802" s="14"/>
      <c r="P3802" s="13"/>
    </row>
    <row r="3803">
      <c r="L3803" s="13"/>
      <c r="M3803" s="14"/>
      <c r="N3803" s="14"/>
      <c r="O3803" s="14"/>
      <c r="P3803" s="13"/>
    </row>
    <row r="3804">
      <c r="L3804" s="13"/>
      <c r="M3804" s="14"/>
      <c r="N3804" s="14"/>
      <c r="O3804" s="14"/>
      <c r="P3804" s="13"/>
    </row>
    <row r="3805">
      <c r="L3805" s="13"/>
      <c r="M3805" s="14"/>
      <c r="N3805" s="14"/>
      <c r="O3805" s="14"/>
      <c r="P3805" s="13"/>
    </row>
    <row r="3806">
      <c r="L3806" s="13"/>
      <c r="M3806" s="14"/>
      <c r="N3806" s="14"/>
      <c r="O3806" s="14"/>
      <c r="P3806" s="13"/>
    </row>
    <row r="3807">
      <c r="L3807" s="13"/>
      <c r="M3807" s="14"/>
      <c r="N3807" s="14"/>
      <c r="O3807" s="14"/>
      <c r="P3807" s="13"/>
    </row>
    <row r="3808">
      <c r="L3808" s="13"/>
      <c r="M3808" s="14"/>
      <c r="N3808" s="14"/>
      <c r="O3808" s="14"/>
      <c r="P3808" s="13"/>
    </row>
    <row r="3809">
      <c r="L3809" s="13"/>
      <c r="M3809" s="14"/>
      <c r="N3809" s="14"/>
      <c r="O3809" s="14"/>
      <c r="P3809" s="13"/>
    </row>
    <row r="3810">
      <c r="L3810" s="13"/>
      <c r="M3810" s="14"/>
      <c r="N3810" s="14"/>
      <c r="O3810" s="14"/>
      <c r="P3810" s="13"/>
    </row>
    <row r="3811">
      <c r="L3811" s="13"/>
      <c r="M3811" s="14"/>
      <c r="N3811" s="14"/>
      <c r="O3811" s="14"/>
      <c r="P3811" s="13"/>
    </row>
    <row r="3812">
      <c r="L3812" s="13"/>
      <c r="M3812" s="14"/>
      <c r="N3812" s="14"/>
      <c r="O3812" s="14"/>
      <c r="P3812" s="13"/>
    </row>
    <row r="3813">
      <c r="L3813" s="13"/>
      <c r="M3813" s="14"/>
      <c r="N3813" s="14"/>
      <c r="O3813" s="14"/>
      <c r="P3813" s="13"/>
    </row>
    <row r="3814">
      <c r="L3814" s="13"/>
      <c r="M3814" s="14"/>
      <c r="N3814" s="14"/>
      <c r="O3814" s="14"/>
      <c r="P3814" s="13"/>
    </row>
    <row r="3815">
      <c r="L3815" s="13"/>
      <c r="M3815" s="14"/>
      <c r="N3815" s="14"/>
      <c r="O3815" s="14"/>
      <c r="P3815" s="13"/>
    </row>
    <row r="3816">
      <c r="L3816" s="13"/>
      <c r="M3816" s="14"/>
      <c r="N3816" s="14"/>
      <c r="O3816" s="14"/>
      <c r="P3816" s="13"/>
    </row>
    <row r="3817">
      <c r="L3817" s="13"/>
      <c r="M3817" s="14"/>
      <c r="N3817" s="14"/>
      <c r="O3817" s="14"/>
      <c r="P3817" s="13"/>
    </row>
    <row r="3818">
      <c r="L3818" s="13"/>
      <c r="M3818" s="14"/>
      <c r="N3818" s="14"/>
      <c r="O3818" s="14"/>
      <c r="P3818" s="13"/>
    </row>
    <row r="3819">
      <c r="L3819" s="13"/>
      <c r="M3819" s="14"/>
      <c r="N3819" s="14"/>
      <c r="O3819" s="14"/>
      <c r="P3819" s="13"/>
    </row>
    <row r="3820">
      <c r="L3820" s="13"/>
      <c r="M3820" s="14"/>
      <c r="N3820" s="14"/>
      <c r="O3820" s="14"/>
      <c r="P3820" s="13"/>
    </row>
    <row r="3821">
      <c r="L3821" s="13"/>
      <c r="M3821" s="14"/>
      <c r="N3821" s="14"/>
      <c r="O3821" s="14"/>
      <c r="P3821" s="13"/>
    </row>
    <row r="3822">
      <c r="L3822" s="13"/>
      <c r="M3822" s="14"/>
      <c r="N3822" s="14"/>
      <c r="O3822" s="14"/>
      <c r="P3822" s="13"/>
    </row>
    <row r="3823">
      <c r="L3823" s="13"/>
      <c r="M3823" s="14"/>
      <c r="N3823" s="14"/>
      <c r="O3823" s="14"/>
      <c r="P3823" s="13"/>
    </row>
    <row r="3824">
      <c r="L3824" s="13"/>
      <c r="M3824" s="14"/>
      <c r="N3824" s="14"/>
      <c r="O3824" s="14"/>
      <c r="P3824" s="13"/>
    </row>
    <row r="3825">
      <c r="L3825" s="13"/>
      <c r="M3825" s="14"/>
      <c r="N3825" s="14"/>
      <c r="O3825" s="14"/>
      <c r="P3825" s="13"/>
    </row>
    <row r="3826">
      <c r="L3826" s="13"/>
      <c r="M3826" s="14"/>
      <c r="N3826" s="14"/>
      <c r="O3826" s="14"/>
      <c r="P3826" s="13"/>
    </row>
    <row r="3827">
      <c r="L3827" s="13"/>
      <c r="M3827" s="14"/>
      <c r="N3827" s="14"/>
      <c r="O3827" s="14"/>
      <c r="P3827" s="13"/>
    </row>
    <row r="3828">
      <c r="L3828" s="13"/>
      <c r="M3828" s="14"/>
      <c r="N3828" s="14"/>
      <c r="O3828" s="14"/>
      <c r="P3828" s="13"/>
    </row>
    <row r="3829">
      <c r="L3829" s="13"/>
      <c r="M3829" s="14"/>
      <c r="N3829" s="14"/>
      <c r="O3829" s="14"/>
      <c r="P3829" s="13"/>
    </row>
    <row r="3830">
      <c r="L3830" s="13"/>
      <c r="M3830" s="14"/>
      <c r="N3830" s="14"/>
      <c r="O3830" s="14"/>
      <c r="P3830" s="13"/>
    </row>
    <row r="3831">
      <c r="L3831" s="13"/>
      <c r="M3831" s="14"/>
      <c r="N3831" s="14"/>
      <c r="O3831" s="14"/>
      <c r="P3831" s="13"/>
    </row>
    <row r="3832">
      <c r="L3832" s="13"/>
      <c r="M3832" s="14"/>
      <c r="N3832" s="14"/>
      <c r="O3832" s="14"/>
      <c r="P3832" s="13"/>
    </row>
    <row r="3833">
      <c r="L3833" s="13"/>
      <c r="M3833" s="14"/>
      <c r="N3833" s="14"/>
      <c r="O3833" s="14"/>
      <c r="P3833" s="13"/>
    </row>
    <row r="3834">
      <c r="L3834" s="13"/>
      <c r="M3834" s="14"/>
      <c r="N3834" s="14"/>
      <c r="O3834" s="14"/>
      <c r="P3834" s="13"/>
    </row>
    <row r="3835">
      <c r="L3835" s="13"/>
      <c r="M3835" s="14"/>
      <c r="N3835" s="14"/>
      <c r="O3835" s="14"/>
      <c r="P3835" s="13"/>
    </row>
    <row r="3836">
      <c r="L3836" s="13"/>
      <c r="M3836" s="14"/>
      <c r="N3836" s="14"/>
      <c r="O3836" s="14"/>
      <c r="P3836" s="13"/>
    </row>
    <row r="3837">
      <c r="L3837" s="13"/>
      <c r="M3837" s="14"/>
      <c r="N3837" s="14"/>
      <c r="O3837" s="14"/>
      <c r="P3837" s="13"/>
    </row>
    <row r="3838">
      <c r="L3838" s="13"/>
      <c r="M3838" s="14"/>
      <c r="N3838" s="14"/>
      <c r="O3838" s="14"/>
      <c r="P3838" s="13"/>
    </row>
    <row r="3839">
      <c r="L3839" s="13"/>
      <c r="M3839" s="14"/>
      <c r="N3839" s="14"/>
      <c r="O3839" s="14"/>
      <c r="P3839" s="13"/>
    </row>
    <row r="3840">
      <c r="L3840" s="13"/>
      <c r="M3840" s="14"/>
      <c r="N3840" s="14"/>
      <c r="O3840" s="14"/>
      <c r="P3840" s="13"/>
    </row>
    <row r="3841">
      <c r="L3841" s="13"/>
      <c r="M3841" s="14"/>
      <c r="N3841" s="14"/>
      <c r="O3841" s="14"/>
      <c r="P3841" s="13"/>
    </row>
    <row r="3842">
      <c r="L3842" s="13"/>
      <c r="M3842" s="14"/>
      <c r="N3842" s="14"/>
      <c r="O3842" s="14"/>
      <c r="P3842" s="13"/>
    </row>
    <row r="3843">
      <c r="L3843" s="13"/>
      <c r="M3843" s="14"/>
      <c r="N3843" s="14"/>
      <c r="O3843" s="14"/>
      <c r="P3843" s="13"/>
    </row>
    <row r="3844">
      <c r="L3844" s="13"/>
      <c r="M3844" s="14"/>
      <c r="N3844" s="14"/>
      <c r="O3844" s="14"/>
      <c r="P3844" s="13"/>
    </row>
    <row r="3845">
      <c r="L3845" s="13"/>
      <c r="M3845" s="14"/>
      <c r="N3845" s="14"/>
      <c r="O3845" s="14"/>
      <c r="P3845" s="13"/>
    </row>
    <row r="3846">
      <c r="L3846" s="13"/>
      <c r="M3846" s="14"/>
      <c r="N3846" s="14"/>
      <c r="O3846" s="14"/>
      <c r="P3846" s="13"/>
    </row>
    <row r="3847">
      <c r="L3847" s="13"/>
      <c r="M3847" s="14"/>
      <c r="N3847" s="14"/>
      <c r="O3847" s="14"/>
      <c r="P3847" s="13"/>
    </row>
    <row r="3848">
      <c r="L3848" s="13"/>
      <c r="M3848" s="14"/>
      <c r="N3848" s="14"/>
      <c r="O3848" s="14"/>
      <c r="P3848" s="13"/>
    </row>
    <row r="3849">
      <c r="L3849" s="13"/>
      <c r="M3849" s="14"/>
      <c r="N3849" s="14"/>
      <c r="O3849" s="14"/>
      <c r="P3849" s="13"/>
    </row>
    <row r="3850">
      <c r="L3850" s="13"/>
      <c r="M3850" s="14"/>
      <c r="N3850" s="14"/>
      <c r="O3850" s="14"/>
      <c r="P3850" s="13"/>
    </row>
    <row r="3851">
      <c r="L3851" s="13"/>
      <c r="M3851" s="14"/>
      <c r="N3851" s="14"/>
      <c r="O3851" s="14"/>
      <c r="P3851" s="13"/>
    </row>
    <row r="3852">
      <c r="L3852" s="13"/>
      <c r="M3852" s="14"/>
      <c r="N3852" s="14"/>
      <c r="O3852" s="14"/>
      <c r="P3852" s="13"/>
    </row>
    <row r="3853">
      <c r="L3853" s="13"/>
      <c r="M3853" s="14"/>
      <c r="N3853" s="14"/>
      <c r="O3853" s="14"/>
      <c r="P3853" s="13"/>
    </row>
    <row r="3854">
      <c r="L3854" s="13"/>
      <c r="M3854" s="14"/>
      <c r="N3854" s="14"/>
      <c r="O3854" s="14"/>
      <c r="P3854" s="13"/>
    </row>
    <row r="3855">
      <c r="L3855" s="13"/>
      <c r="M3855" s="14"/>
      <c r="N3855" s="14"/>
      <c r="O3855" s="14"/>
      <c r="P3855" s="13"/>
    </row>
    <row r="3856">
      <c r="L3856" s="13"/>
      <c r="M3856" s="14"/>
      <c r="N3856" s="14"/>
      <c r="O3856" s="14"/>
      <c r="P3856" s="13"/>
    </row>
    <row r="3857">
      <c r="L3857" s="13"/>
      <c r="M3857" s="14"/>
      <c r="N3857" s="14"/>
      <c r="O3857" s="14"/>
      <c r="P3857" s="13"/>
    </row>
    <row r="3858">
      <c r="L3858" s="13"/>
      <c r="M3858" s="14"/>
      <c r="N3858" s="14"/>
      <c r="O3858" s="14"/>
      <c r="P3858" s="13"/>
    </row>
    <row r="3859">
      <c r="L3859" s="13"/>
      <c r="M3859" s="14"/>
      <c r="N3859" s="14"/>
      <c r="O3859" s="14"/>
      <c r="P3859" s="13"/>
    </row>
    <row r="3860">
      <c r="L3860" s="13"/>
      <c r="M3860" s="14"/>
      <c r="N3860" s="14"/>
      <c r="O3860" s="14"/>
      <c r="P3860" s="13"/>
    </row>
    <row r="3861">
      <c r="L3861" s="13"/>
      <c r="M3861" s="14"/>
      <c r="N3861" s="14"/>
      <c r="O3861" s="14"/>
      <c r="P3861" s="13"/>
    </row>
    <row r="3862">
      <c r="L3862" s="13"/>
      <c r="M3862" s="14"/>
      <c r="N3862" s="14"/>
      <c r="O3862" s="14"/>
      <c r="P3862" s="13"/>
    </row>
    <row r="3863">
      <c r="L3863" s="13"/>
      <c r="M3863" s="14"/>
      <c r="N3863" s="14"/>
      <c r="O3863" s="14"/>
      <c r="P3863" s="13"/>
    </row>
    <row r="3864">
      <c r="L3864" s="13"/>
      <c r="M3864" s="14"/>
      <c r="N3864" s="14"/>
      <c r="O3864" s="14"/>
      <c r="P3864" s="13"/>
    </row>
    <row r="3865">
      <c r="L3865" s="13"/>
      <c r="M3865" s="14"/>
      <c r="N3865" s="14"/>
      <c r="O3865" s="14"/>
      <c r="P3865" s="13"/>
    </row>
    <row r="3866">
      <c r="L3866" s="13"/>
      <c r="M3866" s="14"/>
      <c r="N3866" s="14"/>
      <c r="O3866" s="14"/>
      <c r="P3866" s="13"/>
    </row>
    <row r="3867">
      <c r="L3867" s="13"/>
      <c r="M3867" s="14"/>
      <c r="N3867" s="14"/>
      <c r="O3867" s="14"/>
      <c r="P3867" s="13"/>
    </row>
    <row r="3868">
      <c r="L3868" s="13"/>
      <c r="M3868" s="14"/>
      <c r="N3868" s="14"/>
      <c r="O3868" s="14"/>
      <c r="P3868" s="13"/>
    </row>
    <row r="3869">
      <c r="L3869" s="13"/>
      <c r="M3869" s="14"/>
      <c r="N3869" s="14"/>
      <c r="O3869" s="14"/>
      <c r="P3869" s="13"/>
    </row>
    <row r="3870">
      <c r="L3870" s="13"/>
      <c r="M3870" s="14"/>
      <c r="N3870" s="14"/>
      <c r="O3870" s="14"/>
      <c r="P3870" s="13"/>
    </row>
    <row r="3871">
      <c r="L3871" s="13"/>
      <c r="M3871" s="14"/>
      <c r="N3871" s="14"/>
      <c r="O3871" s="14"/>
      <c r="P3871" s="13"/>
    </row>
    <row r="3872">
      <c r="L3872" s="13"/>
      <c r="M3872" s="14"/>
      <c r="N3872" s="14"/>
      <c r="O3872" s="14"/>
      <c r="P3872" s="13"/>
    </row>
    <row r="3873">
      <c r="L3873" s="13"/>
      <c r="M3873" s="14"/>
      <c r="N3873" s="14"/>
      <c r="O3873" s="14"/>
      <c r="P3873" s="13"/>
    </row>
    <row r="3874">
      <c r="L3874" s="13"/>
      <c r="M3874" s="14"/>
      <c r="N3874" s="14"/>
      <c r="O3874" s="14"/>
      <c r="P3874" s="13"/>
    </row>
    <row r="3875">
      <c r="L3875" s="13"/>
      <c r="M3875" s="14"/>
      <c r="N3875" s="14"/>
      <c r="O3875" s="14"/>
      <c r="P3875" s="13"/>
    </row>
    <row r="3876">
      <c r="L3876" s="13"/>
      <c r="M3876" s="14"/>
      <c r="N3876" s="14"/>
      <c r="O3876" s="14"/>
      <c r="P3876" s="13"/>
    </row>
    <row r="3877">
      <c r="L3877" s="13"/>
      <c r="M3877" s="14"/>
      <c r="N3877" s="14"/>
      <c r="O3877" s="14"/>
      <c r="P3877" s="13"/>
    </row>
    <row r="3878">
      <c r="L3878" s="13"/>
      <c r="M3878" s="14"/>
      <c r="N3878" s="14"/>
      <c r="O3878" s="14"/>
      <c r="P3878" s="13"/>
    </row>
    <row r="3879">
      <c r="L3879" s="13"/>
      <c r="M3879" s="14"/>
      <c r="N3879" s="14"/>
      <c r="O3879" s="14"/>
      <c r="P3879" s="13"/>
    </row>
    <row r="3880">
      <c r="L3880" s="13"/>
      <c r="M3880" s="14"/>
      <c r="N3880" s="14"/>
      <c r="O3880" s="14"/>
      <c r="P3880" s="13"/>
    </row>
    <row r="3881">
      <c r="L3881" s="13"/>
      <c r="M3881" s="14"/>
      <c r="N3881" s="14"/>
      <c r="O3881" s="14"/>
      <c r="P3881" s="13"/>
    </row>
    <row r="3882">
      <c r="L3882" s="13"/>
      <c r="M3882" s="14"/>
      <c r="N3882" s="14"/>
      <c r="O3882" s="14"/>
      <c r="P3882" s="13"/>
    </row>
    <row r="3883">
      <c r="L3883" s="13"/>
      <c r="M3883" s="14"/>
      <c r="N3883" s="14"/>
      <c r="O3883" s="14"/>
      <c r="P3883" s="13"/>
    </row>
    <row r="3884">
      <c r="L3884" s="13"/>
      <c r="M3884" s="14"/>
      <c r="N3884" s="14"/>
      <c r="O3884" s="14"/>
      <c r="P3884" s="13"/>
    </row>
    <row r="3885">
      <c r="L3885" s="13"/>
      <c r="M3885" s="14"/>
      <c r="N3885" s="14"/>
      <c r="O3885" s="14"/>
      <c r="P3885" s="13"/>
    </row>
    <row r="3886">
      <c r="L3886" s="13"/>
      <c r="M3886" s="14"/>
      <c r="N3886" s="14"/>
      <c r="O3886" s="14"/>
      <c r="P3886" s="13"/>
    </row>
    <row r="3887">
      <c r="L3887" s="13"/>
      <c r="M3887" s="14"/>
      <c r="N3887" s="14"/>
      <c r="O3887" s="14"/>
      <c r="P3887" s="13"/>
    </row>
    <row r="3888">
      <c r="L3888" s="13"/>
      <c r="M3888" s="14"/>
      <c r="N3888" s="14"/>
      <c r="O3888" s="14"/>
      <c r="P3888" s="13"/>
    </row>
    <row r="3889">
      <c r="L3889" s="13"/>
      <c r="M3889" s="14"/>
      <c r="N3889" s="14"/>
      <c r="O3889" s="14"/>
      <c r="P3889" s="13"/>
    </row>
    <row r="3890">
      <c r="L3890" s="13"/>
      <c r="M3890" s="14"/>
      <c r="N3890" s="14"/>
      <c r="O3890" s="14"/>
      <c r="P3890" s="13"/>
    </row>
    <row r="3891">
      <c r="L3891" s="13"/>
      <c r="M3891" s="14"/>
      <c r="N3891" s="14"/>
      <c r="O3891" s="14"/>
      <c r="P3891" s="13"/>
    </row>
    <row r="3892">
      <c r="L3892" s="13"/>
      <c r="M3892" s="14"/>
      <c r="N3892" s="14"/>
      <c r="O3892" s="14"/>
      <c r="P3892" s="13"/>
    </row>
    <row r="3893">
      <c r="L3893" s="13"/>
      <c r="M3893" s="14"/>
      <c r="N3893" s="14"/>
      <c r="O3893" s="14"/>
      <c r="P3893" s="13"/>
    </row>
    <row r="3894">
      <c r="L3894" s="13"/>
      <c r="M3894" s="14"/>
      <c r="N3894" s="14"/>
      <c r="O3894" s="14"/>
      <c r="P3894" s="13"/>
    </row>
    <row r="3895">
      <c r="L3895" s="13"/>
      <c r="M3895" s="14"/>
      <c r="N3895" s="14"/>
      <c r="O3895" s="14"/>
      <c r="P3895" s="13"/>
    </row>
    <row r="3896">
      <c r="L3896" s="13"/>
      <c r="M3896" s="14"/>
      <c r="N3896" s="14"/>
      <c r="O3896" s="14"/>
      <c r="P3896" s="13"/>
    </row>
    <row r="3897">
      <c r="L3897" s="13"/>
      <c r="M3897" s="14"/>
      <c r="N3897" s="14"/>
      <c r="O3897" s="14"/>
      <c r="P3897" s="13"/>
    </row>
    <row r="3898">
      <c r="L3898" s="13"/>
      <c r="M3898" s="14"/>
      <c r="N3898" s="14"/>
      <c r="O3898" s="14"/>
      <c r="P3898" s="13"/>
    </row>
    <row r="3899">
      <c r="L3899" s="13"/>
      <c r="M3899" s="14"/>
      <c r="N3899" s="14"/>
      <c r="O3899" s="14"/>
      <c r="P3899" s="13"/>
    </row>
    <row r="3900">
      <c r="L3900" s="13"/>
      <c r="M3900" s="14"/>
      <c r="N3900" s="14"/>
      <c r="O3900" s="14"/>
      <c r="P3900" s="13"/>
    </row>
    <row r="3901">
      <c r="L3901" s="13"/>
      <c r="M3901" s="14"/>
      <c r="N3901" s="14"/>
      <c r="O3901" s="14"/>
      <c r="P3901" s="13"/>
    </row>
    <row r="3902">
      <c r="L3902" s="13"/>
      <c r="M3902" s="14"/>
      <c r="N3902" s="14"/>
      <c r="O3902" s="14"/>
      <c r="P3902" s="13"/>
    </row>
    <row r="3903">
      <c r="L3903" s="13"/>
      <c r="M3903" s="14"/>
      <c r="N3903" s="14"/>
      <c r="O3903" s="14"/>
      <c r="P3903" s="13"/>
    </row>
    <row r="3904">
      <c r="L3904" s="13"/>
      <c r="M3904" s="14"/>
      <c r="N3904" s="14"/>
      <c r="O3904" s="14"/>
      <c r="P3904" s="13"/>
    </row>
    <row r="3905">
      <c r="L3905" s="13"/>
      <c r="M3905" s="14"/>
      <c r="N3905" s="14"/>
      <c r="O3905" s="14"/>
      <c r="P3905" s="13"/>
    </row>
    <row r="3906">
      <c r="L3906" s="13"/>
      <c r="M3906" s="14"/>
      <c r="N3906" s="14"/>
      <c r="O3906" s="14"/>
      <c r="P3906" s="13"/>
    </row>
    <row r="3907">
      <c r="L3907" s="13"/>
      <c r="M3907" s="14"/>
      <c r="N3907" s="14"/>
      <c r="O3907" s="14"/>
      <c r="P3907" s="13"/>
    </row>
    <row r="3908">
      <c r="L3908" s="13"/>
      <c r="M3908" s="14"/>
      <c r="N3908" s="14"/>
      <c r="O3908" s="14"/>
      <c r="P3908" s="13"/>
    </row>
    <row r="3909">
      <c r="L3909" s="13"/>
      <c r="M3909" s="14"/>
      <c r="N3909" s="14"/>
      <c r="O3909" s="14"/>
      <c r="P3909" s="13"/>
    </row>
    <row r="3910">
      <c r="L3910" s="13"/>
      <c r="M3910" s="14"/>
      <c r="N3910" s="14"/>
      <c r="O3910" s="14"/>
      <c r="P3910" s="13"/>
    </row>
    <row r="3911">
      <c r="L3911" s="13"/>
      <c r="M3911" s="14"/>
      <c r="N3911" s="14"/>
      <c r="O3911" s="14"/>
      <c r="P3911" s="13"/>
    </row>
    <row r="3912">
      <c r="L3912" s="13"/>
      <c r="M3912" s="14"/>
      <c r="N3912" s="14"/>
      <c r="O3912" s="14"/>
      <c r="P3912" s="13"/>
    </row>
    <row r="3913">
      <c r="L3913" s="13"/>
      <c r="M3913" s="14"/>
      <c r="N3913" s="14"/>
      <c r="O3913" s="14"/>
      <c r="P3913" s="13"/>
    </row>
    <row r="3914">
      <c r="L3914" s="13"/>
      <c r="M3914" s="14"/>
      <c r="N3914" s="14"/>
      <c r="O3914" s="14"/>
      <c r="P3914" s="13"/>
    </row>
    <row r="3915">
      <c r="L3915" s="13"/>
      <c r="M3915" s="14"/>
      <c r="N3915" s="14"/>
      <c r="O3915" s="14"/>
      <c r="P3915" s="13"/>
    </row>
    <row r="3916">
      <c r="L3916" s="13"/>
      <c r="M3916" s="14"/>
      <c r="N3916" s="14"/>
      <c r="O3916" s="14"/>
      <c r="P3916" s="13"/>
    </row>
    <row r="3917">
      <c r="L3917" s="13"/>
      <c r="M3917" s="14"/>
      <c r="N3917" s="14"/>
      <c r="O3917" s="14"/>
      <c r="P3917" s="13"/>
    </row>
    <row r="3918">
      <c r="L3918" s="13"/>
      <c r="M3918" s="14"/>
      <c r="N3918" s="14"/>
      <c r="O3918" s="14"/>
      <c r="P3918" s="13"/>
    </row>
    <row r="3919">
      <c r="L3919" s="13"/>
      <c r="M3919" s="14"/>
      <c r="N3919" s="14"/>
      <c r="O3919" s="14"/>
      <c r="P3919" s="13"/>
    </row>
    <row r="3920">
      <c r="L3920" s="13"/>
      <c r="M3920" s="14"/>
      <c r="N3920" s="14"/>
      <c r="O3920" s="14"/>
      <c r="P3920" s="13"/>
    </row>
    <row r="3921">
      <c r="L3921" s="13"/>
      <c r="M3921" s="14"/>
      <c r="N3921" s="14"/>
      <c r="O3921" s="14"/>
      <c r="P3921" s="13"/>
    </row>
    <row r="3922">
      <c r="L3922" s="13"/>
      <c r="M3922" s="14"/>
      <c r="N3922" s="14"/>
      <c r="O3922" s="14"/>
      <c r="P3922" s="13"/>
    </row>
    <row r="3923">
      <c r="L3923" s="13"/>
      <c r="M3923" s="14"/>
      <c r="N3923" s="14"/>
      <c r="O3923" s="14"/>
      <c r="P3923" s="13"/>
    </row>
    <row r="3924">
      <c r="L3924" s="13"/>
      <c r="M3924" s="14"/>
      <c r="N3924" s="14"/>
      <c r="O3924" s="14"/>
      <c r="P3924" s="13"/>
    </row>
    <row r="3925">
      <c r="L3925" s="13"/>
      <c r="M3925" s="14"/>
      <c r="N3925" s="14"/>
      <c r="O3925" s="14"/>
      <c r="P3925" s="13"/>
    </row>
    <row r="3926">
      <c r="L3926" s="13"/>
      <c r="M3926" s="14"/>
      <c r="N3926" s="14"/>
      <c r="O3926" s="14"/>
      <c r="P3926" s="13"/>
    </row>
    <row r="3927">
      <c r="L3927" s="13"/>
      <c r="M3927" s="14"/>
      <c r="N3927" s="14"/>
      <c r="O3927" s="14"/>
      <c r="P3927" s="13"/>
    </row>
    <row r="3928">
      <c r="L3928" s="13"/>
      <c r="M3928" s="14"/>
      <c r="N3928" s="14"/>
      <c r="O3928" s="14"/>
      <c r="P3928" s="13"/>
    </row>
    <row r="3929">
      <c r="L3929" s="13"/>
      <c r="M3929" s="14"/>
      <c r="N3929" s="14"/>
      <c r="O3929" s="14"/>
      <c r="P3929" s="13"/>
    </row>
    <row r="3930">
      <c r="L3930" s="13"/>
      <c r="M3930" s="14"/>
      <c r="N3930" s="14"/>
      <c r="O3930" s="14"/>
      <c r="P3930" s="13"/>
    </row>
    <row r="3931">
      <c r="L3931" s="13"/>
      <c r="M3931" s="14"/>
      <c r="N3931" s="14"/>
      <c r="O3931" s="14"/>
      <c r="P3931" s="13"/>
    </row>
    <row r="3932">
      <c r="L3932" s="13"/>
      <c r="M3932" s="14"/>
      <c r="N3932" s="14"/>
      <c r="O3932" s="14"/>
      <c r="P3932" s="13"/>
    </row>
    <row r="3933">
      <c r="L3933" s="13"/>
      <c r="M3933" s="14"/>
      <c r="N3933" s="14"/>
      <c r="O3933" s="14"/>
      <c r="P3933" s="13"/>
    </row>
    <row r="3934">
      <c r="L3934" s="13"/>
      <c r="M3934" s="14"/>
      <c r="N3934" s="14"/>
      <c r="O3934" s="14"/>
      <c r="P3934" s="13"/>
    </row>
    <row r="3935">
      <c r="L3935" s="13"/>
      <c r="M3935" s="14"/>
      <c r="N3935" s="14"/>
      <c r="O3935" s="14"/>
      <c r="P3935" s="13"/>
    </row>
    <row r="3936">
      <c r="L3936" s="13"/>
      <c r="M3936" s="14"/>
      <c r="N3936" s="14"/>
      <c r="O3936" s="14"/>
      <c r="P3936" s="13"/>
    </row>
    <row r="3937">
      <c r="L3937" s="13"/>
      <c r="M3937" s="14"/>
      <c r="N3937" s="14"/>
      <c r="O3937" s="14"/>
      <c r="P3937" s="13"/>
    </row>
    <row r="3938">
      <c r="L3938" s="13"/>
      <c r="M3938" s="14"/>
      <c r="N3938" s="14"/>
      <c r="O3938" s="14"/>
      <c r="P3938" s="13"/>
    </row>
    <row r="3939">
      <c r="L3939" s="13"/>
      <c r="M3939" s="14"/>
      <c r="N3939" s="14"/>
      <c r="O3939" s="14"/>
      <c r="P3939" s="13"/>
    </row>
    <row r="3940">
      <c r="L3940" s="13"/>
      <c r="M3940" s="14"/>
      <c r="N3940" s="14"/>
      <c r="O3940" s="14"/>
      <c r="P3940" s="13"/>
    </row>
    <row r="3941">
      <c r="L3941" s="13"/>
      <c r="M3941" s="14"/>
      <c r="N3941" s="14"/>
      <c r="O3941" s="14"/>
      <c r="P3941" s="13"/>
    </row>
    <row r="3942">
      <c r="L3942" s="13"/>
      <c r="M3942" s="14"/>
      <c r="N3942" s="14"/>
      <c r="O3942" s="14"/>
      <c r="P3942" s="13"/>
    </row>
    <row r="3943">
      <c r="L3943" s="13"/>
      <c r="M3943" s="14"/>
      <c r="N3943" s="14"/>
      <c r="O3943" s="14"/>
      <c r="P3943" s="13"/>
    </row>
    <row r="3944">
      <c r="L3944" s="13"/>
      <c r="M3944" s="14"/>
      <c r="N3944" s="14"/>
      <c r="O3944" s="14"/>
      <c r="P3944" s="13"/>
    </row>
    <row r="3945">
      <c r="L3945" s="13"/>
      <c r="M3945" s="14"/>
      <c r="N3945" s="14"/>
      <c r="O3945" s="14"/>
      <c r="P3945" s="13"/>
    </row>
    <row r="3946">
      <c r="L3946" s="13"/>
      <c r="M3946" s="14"/>
      <c r="N3946" s="14"/>
      <c r="O3946" s="14"/>
      <c r="P3946" s="13"/>
    </row>
    <row r="3947">
      <c r="L3947" s="13"/>
      <c r="M3947" s="14"/>
      <c r="N3947" s="14"/>
      <c r="O3947" s="14"/>
      <c r="P3947" s="13"/>
    </row>
    <row r="3948">
      <c r="L3948" s="13"/>
      <c r="M3948" s="14"/>
      <c r="N3948" s="14"/>
      <c r="O3948" s="14"/>
      <c r="P3948" s="13"/>
    </row>
    <row r="3949">
      <c r="L3949" s="13"/>
      <c r="M3949" s="14"/>
      <c r="N3949" s="14"/>
      <c r="O3949" s="14"/>
      <c r="P3949" s="13"/>
    </row>
    <row r="3950">
      <c r="L3950" s="13"/>
      <c r="M3950" s="14"/>
      <c r="N3950" s="14"/>
      <c r="O3950" s="14"/>
      <c r="P3950" s="13"/>
    </row>
    <row r="3951">
      <c r="L3951" s="13"/>
      <c r="M3951" s="14"/>
      <c r="N3951" s="14"/>
      <c r="O3951" s="14"/>
      <c r="P3951" s="13"/>
    </row>
    <row r="3952">
      <c r="L3952" s="13"/>
      <c r="M3952" s="14"/>
      <c r="N3952" s="14"/>
      <c r="O3952" s="14"/>
      <c r="P3952" s="13"/>
    </row>
    <row r="3953">
      <c r="L3953" s="13"/>
      <c r="M3953" s="14"/>
      <c r="N3953" s="14"/>
      <c r="O3953" s="14"/>
      <c r="P3953" s="13"/>
    </row>
    <row r="3954">
      <c r="L3954" s="13"/>
      <c r="M3954" s="14"/>
      <c r="N3954" s="14"/>
      <c r="O3954" s="14"/>
      <c r="P3954" s="13"/>
    </row>
    <row r="3955">
      <c r="L3955" s="13"/>
      <c r="M3955" s="14"/>
      <c r="N3955" s="14"/>
      <c r="O3955" s="14"/>
      <c r="P3955" s="13"/>
    </row>
    <row r="3956">
      <c r="L3956" s="13"/>
      <c r="M3956" s="14"/>
      <c r="N3956" s="14"/>
      <c r="O3956" s="14"/>
      <c r="P3956" s="13"/>
    </row>
    <row r="3957">
      <c r="L3957" s="13"/>
      <c r="M3957" s="14"/>
      <c r="N3957" s="14"/>
      <c r="O3957" s="14"/>
      <c r="P3957" s="13"/>
    </row>
    <row r="3958">
      <c r="L3958" s="13"/>
      <c r="M3958" s="14"/>
      <c r="N3958" s="14"/>
      <c r="O3958" s="14"/>
      <c r="P3958" s="13"/>
    </row>
    <row r="3959">
      <c r="L3959" s="13"/>
      <c r="M3959" s="14"/>
      <c r="N3959" s="14"/>
      <c r="O3959" s="14"/>
      <c r="P3959" s="13"/>
    </row>
    <row r="3960">
      <c r="L3960" s="13"/>
      <c r="M3960" s="14"/>
      <c r="N3960" s="14"/>
      <c r="O3960" s="14"/>
      <c r="P3960" s="13"/>
    </row>
    <row r="3961">
      <c r="L3961" s="13"/>
      <c r="M3961" s="14"/>
      <c r="N3961" s="14"/>
      <c r="O3961" s="14"/>
      <c r="P3961" s="13"/>
    </row>
    <row r="3962">
      <c r="L3962" s="13"/>
      <c r="M3962" s="14"/>
      <c r="N3962" s="14"/>
      <c r="O3962" s="14"/>
      <c r="P3962" s="13"/>
    </row>
    <row r="3963">
      <c r="L3963" s="13"/>
      <c r="M3963" s="14"/>
      <c r="N3963" s="14"/>
      <c r="O3963" s="14"/>
      <c r="P3963" s="13"/>
    </row>
    <row r="3964">
      <c r="L3964" s="13"/>
      <c r="M3964" s="14"/>
      <c r="N3964" s="14"/>
      <c r="O3964" s="14"/>
      <c r="P3964" s="13"/>
    </row>
    <row r="3965">
      <c r="L3965" s="13"/>
      <c r="M3965" s="14"/>
      <c r="N3965" s="14"/>
      <c r="O3965" s="14"/>
      <c r="P3965" s="13"/>
    </row>
    <row r="3966">
      <c r="L3966" s="13"/>
      <c r="M3966" s="14"/>
      <c r="N3966" s="14"/>
      <c r="O3966" s="14"/>
      <c r="P3966" s="13"/>
    </row>
    <row r="3967">
      <c r="L3967" s="13"/>
      <c r="M3967" s="14"/>
      <c r="N3967" s="14"/>
      <c r="O3967" s="14"/>
      <c r="P3967" s="13"/>
    </row>
    <row r="3968">
      <c r="L3968" s="13"/>
      <c r="M3968" s="14"/>
      <c r="N3968" s="14"/>
      <c r="O3968" s="14"/>
      <c r="P3968" s="13"/>
    </row>
    <row r="3969">
      <c r="L3969" s="13"/>
      <c r="M3969" s="14"/>
      <c r="N3969" s="14"/>
      <c r="O3969" s="14"/>
      <c r="P3969" s="13"/>
    </row>
    <row r="3970">
      <c r="L3970" s="13"/>
      <c r="M3970" s="14"/>
      <c r="N3970" s="14"/>
      <c r="O3970" s="14"/>
      <c r="P3970" s="13"/>
    </row>
    <row r="3971">
      <c r="L3971" s="13"/>
      <c r="M3971" s="14"/>
      <c r="N3971" s="14"/>
      <c r="O3971" s="14"/>
      <c r="P3971" s="13"/>
    </row>
    <row r="3972">
      <c r="L3972" s="13"/>
      <c r="M3972" s="14"/>
      <c r="N3972" s="14"/>
      <c r="O3972" s="14"/>
      <c r="P3972" s="13"/>
    </row>
    <row r="3973">
      <c r="L3973" s="13"/>
      <c r="M3973" s="14"/>
      <c r="N3973" s="14"/>
      <c r="O3973" s="14"/>
      <c r="P3973" s="13"/>
    </row>
    <row r="3974">
      <c r="L3974" s="13"/>
      <c r="M3974" s="14"/>
      <c r="N3974" s="14"/>
      <c r="O3974" s="14"/>
      <c r="P3974" s="13"/>
    </row>
    <row r="3975">
      <c r="L3975" s="13"/>
      <c r="M3975" s="14"/>
      <c r="N3975" s="14"/>
      <c r="O3975" s="14"/>
      <c r="P3975" s="13"/>
    </row>
    <row r="3976">
      <c r="L3976" s="13"/>
      <c r="M3976" s="14"/>
      <c r="N3976" s="14"/>
      <c r="O3976" s="14"/>
      <c r="P3976" s="13"/>
    </row>
    <row r="3977">
      <c r="L3977" s="13"/>
      <c r="M3977" s="14"/>
      <c r="N3977" s="14"/>
      <c r="O3977" s="14"/>
      <c r="P3977" s="13"/>
    </row>
    <row r="3978">
      <c r="L3978" s="13"/>
      <c r="M3978" s="14"/>
      <c r="N3978" s="14"/>
      <c r="O3978" s="14"/>
      <c r="P3978" s="13"/>
    </row>
    <row r="3979">
      <c r="L3979" s="13"/>
      <c r="M3979" s="14"/>
      <c r="N3979" s="14"/>
      <c r="O3979" s="14"/>
      <c r="P3979" s="13"/>
    </row>
    <row r="3980">
      <c r="L3980" s="13"/>
      <c r="M3980" s="14"/>
      <c r="N3980" s="14"/>
      <c r="O3980" s="14"/>
      <c r="P3980" s="13"/>
    </row>
    <row r="3981">
      <c r="L3981" s="13"/>
      <c r="M3981" s="14"/>
      <c r="N3981" s="14"/>
      <c r="O3981" s="14"/>
      <c r="P3981" s="13"/>
    </row>
    <row r="3982">
      <c r="L3982" s="13"/>
      <c r="M3982" s="14"/>
      <c r="N3982" s="14"/>
      <c r="O3982" s="14"/>
      <c r="P3982" s="13"/>
    </row>
    <row r="3983">
      <c r="L3983" s="13"/>
      <c r="M3983" s="14"/>
      <c r="N3983" s="14"/>
      <c r="O3983" s="14"/>
      <c r="P3983" s="13"/>
    </row>
    <row r="3984">
      <c r="L3984" s="13"/>
      <c r="M3984" s="14"/>
      <c r="N3984" s="14"/>
      <c r="O3984" s="14"/>
      <c r="P3984" s="13"/>
    </row>
    <row r="3985">
      <c r="L3985" s="13"/>
      <c r="M3985" s="14"/>
      <c r="N3985" s="14"/>
      <c r="O3985" s="14"/>
      <c r="P3985" s="13"/>
    </row>
    <row r="3986">
      <c r="L3986" s="13"/>
      <c r="M3986" s="14"/>
      <c r="N3986" s="14"/>
      <c r="O3986" s="14"/>
      <c r="P3986" s="13"/>
    </row>
    <row r="3987">
      <c r="L3987" s="13"/>
      <c r="M3987" s="14"/>
      <c r="N3987" s="14"/>
      <c r="O3987" s="14"/>
      <c r="P3987" s="13"/>
    </row>
    <row r="3988">
      <c r="L3988" s="13"/>
      <c r="M3988" s="14"/>
      <c r="N3988" s="14"/>
      <c r="O3988" s="14"/>
      <c r="P3988" s="13"/>
    </row>
    <row r="3989">
      <c r="L3989" s="13"/>
      <c r="M3989" s="14"/>
      <c r="N3989" s="14"/>
      <c r="O3989" s="14"/>
      <c r="P3989" s="13"/>
    </row>
    <row r="3990">
      <c r="L3990" s="13"/>
      <c r="M3990" s="14"/>
      <c r="N3990" s="14"/>
      <c r="O3990" s="14"/>
      <c r="P3990" s="13"/>
    </row>
    <row r="3991">
      <c r="L3991" s="13"/>
      <c r="M3991" s="14"/>
      <c r="N3991" s="14"/>
      <c r="O3991" s="14"/>
      <c r="P3991" s="13"/>
    </row>
    <row r="3992">
      <c r="L3992" s="13"/>
      <c r="M3992" s="14"/>
      <c r="N3992" s="14"/>
      <c r="O3992" s="14"/>
      <c r="P3992" s="13"/>
    </row>
    <row r="3993">
      <c r="L3993" s="13"/>
      <c r="M3993" s="14"/>
      <c r="N3993" s="14"/>
      <c r="O3993" s="14"/>
      <c r="P3993" s="13"/>
    </row>
    <row r="3994">
      <c r="L3994" s="13"/>
      <c r="M3994" s="14"/>
      <c r="N3994" s="14"/>
      <c r="O3994" s="14"/>
      <c r="P3994" s="13"/>
    </row>
    <row r="3995">
      <c r="L3995" s="13"/>
      <c r="M3995" s="14"/>
      <c r="N3995" s="14"/>
      <c r="O3995" s="14"/>
      <c r="P3995" s="13"/>
    </row>
    <row r="3996">
      <c r="L3996" s="13"/>
      <c r="M3996" s="14"/>
      <c r="N3996" s="14"/>
      <c r="O3996" s="14"/>
      <c r="P3996" s="13"/>
    </row>
    <row r="3997">
      <c r="L3997" s="13"/>
      <c r="M3997" s="14"/>
      <c r="N3997" s="14"/>
      <c r="O3997" s="14"/>
      <c r="P3997" s="13"/>
    </row>
    <row r="3998">
      <c r="L3998" s="13"/>
      <c r="M3998" s="14"/>
      <c r="N3998" s="14"/>
      <c r="O3998" s="14"/>
      <c r="P3998" s="13"/>
    </row>
    <row r="3999">
      <c r="L3999" s="13"/>
      <c r="M3999" s="14"/>
      <c r="N3999" s="14"/>
      <c r="O3999" s="14"/>
      <c r="P3999" s="13"/>
    </row>
    <row r="4000">
      <c r="L4000" s="13"/>
      <c r="M4000" s="14"/>
      <c r="N4000" s="14"/>
      <c r="O4000" s="14"/>
      <c r="P4000" s="13"/>
    </row>
    <row r="4001">
      <c r="L4001" s="13"/>
      <c r="M4001" s="14"/>
      <c r="N4001" s="14"/>
      <c r="O4001" s="14"/>
      <c r="P4001" s="13"/>
    </row>
    <row r="4002">
      <c r="L4002" s="13"/>
      <c r="M4002" s="14"/>
      <c r="N4002" s="14"/>
      <c r="O4002" s="14"/>
      <c r="P4002" s="13"/>
    </row>
    <row r="4003">
      <c r="L4003" s="13"/>
      <c r="M4003" s="14"/>
      <c r="N4003" s="14"/>
      <c r="O4003" s="14"/>
      <c r="P4003" s="13"/>
    </row>
    <row r="4004">
      <c r="L4004" s="13"/>
      <c r="M4004" s="14"/>
      <c r="N4004" s="14"/>
      <c r="O4004" s="14"/>
      <c r="P4004" s="13"/>
    </row>
    <row r="4005">
      <c r="L4005" s="13"/>
      <c r="M4005" s="14"/>
      <c r="N4005" s="14"/>
      <c r="O4005" s="14"/>
      <c r="P4005" s="13"/>
    </row>
    <row r="4006">
      <c r="L4006" s="13"/>
      <c r="M4006" s="14"/>
      <c r="N4006" s="14"/>
      <c r="O4006" s="14"/>
      <c r="P4006" s="13"/>
    </row>
    <row r="4007">
      <c r="L4007" s="13"/>
      <c r="M4007" s="14"/>
      <c r="N4007" s="14"/>
      <c r="O4007" s="14"/>
      <c r="P4007" s="13"/>
    </row>
    <row r="4008">
      <c r="L4008" s="13"/>
      <c r="M4008" s="14"/>
      <c r="N4008" s="14"/>
      <c r="O4008" s="14"/>
      <c r="P4008" s="13"/>
    </row>
    <row r="4009">
      <c r="L4009" s="13"/>
      <c r="M4009" s="14"/>
      <c r="N4009" s="14"/>
      <c r="O4009" s="14"/>
      <c r="P4009" s="13"/>
    </row>
    <row r="4010">
      <c r="L4010" s="13"/>
      <c r="M4010" s="14"/>
      <c r="N4010" s="14"/>
      <c r="O4010" s="14"/>
      <c r="P4010" s="13"/>
    </row>
    <row r="4011">
      <c r="L4011" s="13"/>
      <c r="M4011" s="14"/>
      <c r="N4011" s="14"/>
      <c r="O4011" s="14"/>
      <c r="P4011" s="13"/>
    </row>
    <row r="4012">
      <c r="L4012" s="13"/>
      <c r="M4012" s="14"/>
      <c r="N4012" s="14"/>
      <c r="O4012" s="14"/>
      <c r="P4012" s="13"/>
    </row>
    <row r="4013">
      <c r="L4013" s="13"/>
      <c r="M4013" s="14"/>
      <c r="N4013" s="14"/>
      <c r="O4013" s="14"/>
      <c r="P4013" s="13"/>
    </row>
    <row r="4014">
      <c r="L4014" s="13"/>
      <c r="M4014" s="14"/>
      <c r="N4014" s="14"/>
      <c r="O4014" s="14"/>
      <c r="P4014" s="13"/>
    </row>
    <row r="4015">
      <c r="L4015" s="13"/>
      <c r="M4015" s="14"/>
      <c r="N4015" s="14"/>
      <c r="O4015" s="14"/>
      <c r="P4015" s="13"/>
    </row>
    <row r="4016">
      <c r="L4016" s="13"/>
      <c r="M4016" s="14"/>
      <c r="N4016" s="14"/>
      <c r="O4016" s="14"/>
      <c r="P4016" s="13"/>
    </row>
    <row r="4017">
      <c r="L4017" s="13"/>
      <c r="M4017" s="14"/>
      <c r="N4017" s="14"/>
      <c r="O4017" s="14"/>
      <c r="P4017" s="13"/>
    </row>
    <row r="4018">
      <c r="L4018" s="13"/>
      <c r="M4018" s="14"/>
      <c r="N4018" s="14"/>
      <c r="O4018" s="14"/>
      <c r="P4018" s="13"/>
    </row>
    <row r="4019">
      <c r="L4019" s="13"/>
      <c r="M4019" s="14"/>
      <c r="N4019" s="14"/>
      <c r="O4019" s="14"/>
      <c r="P4019" s="13"/>
    </row>
    <row r="4020">
      <c r="L4020" s="13"/>
      <c r="M4020" s="14"/>
      <c r="N4020" s="14"/>
      <c r="O4020" s="14"/>
      <c r="P4020" s="13"/>
    </row>
    <row r="4021">
      <c r="L4021" s="13"/>
      <c r="M4021" s="14"/>
      <c r="N4021" s="14"/>
      <c r="O4021" s="14"/>
      <c r="P4021" s="13"/>
    </row>
    <row r="4022">
      <c r="L4022" s="13"/>
      <c r="M4022" s="14"/>
      <c r="N4022" s="14"/>
      <c r="O4022" s="14"/>
      <c r="P4022" s="13"/>
    </row>
    <row r="4023">
      <c r="L4023" s="13"/>
      <c r="M4023" s="14"/>
      <c r="N4023" s="14"/>
      <c r="O4023" s="14"/>
      <c r="P4023" s="13"/>
    </row>
    <row r="4024">
      <c r="L4024" s="13"/>
      <c r="M4024" s="14"/>
      <c r="N4024" s="14"/>
      <c r="O4024" s="14"/>
      <c r="P4024" s="13"/>
    </row>
    <row r="4025">
      <c r="L4025" s="13"/>
      <c r="M4025" s="14"/>
      <c r="N4025" s="14"/>
      <c r="O4025" s="14"/>
      <c r="P4025" s="13"/>
    </row>
    <row r="4026">
      <c r="L4026" s="13"/>
      <c r="M4026" s="14"/>
      <c r="N4026" s="14"/>
      <c r="O4026" s="14"/>
      <c r="P4026" s="13"/>
    </row>
    <row r="4027">
      <c r="L4027" s="13"/>
      <c r="M4027" s="14"/>
      <c r="N4027" s="14"/>
      <c r="O4027" s="14"/>
      <c r="P4027" s="13"/>
    </row>
    <row r="4028">
      <c r="L4028" s="13"/>
      <c r="M4028" s="14"/>
      <c r="N4028" s="14"/>
      <c r="O4028" s="14"/>
      <c r="P4028" s="13"/>
    </row>
    <row r="4029">
      <c r="L4029" s="13"/>
      <c r="M4029" s="14"/>
      <c r="N4029" s="14"/>
      <c r="O4029" s="14"/>
      <c r="P4029" s="13"/>
    </row>
    <row r="4030">
      <c r="L4030" s="13"/>
      <c r="M4030" s="14"/>
      <c r="N4030" s="14"/>
      <c r="O4030" s="14"/>
      <c r="P4030" s="13"/>
    </row>
    <row r="4031">
      <c r="L4031" s="13"/>
      <c r="M4031" s="14"/>
      <c r="N4031" s="14"/>
      <c r="O4031" s="14"/>
      <c r="P4031" s="13"/>
    </row>
    <row r="4032">
      <c r="L4032" s="13"/>
      <c r="M4032" s="14"/>
      <c r="N4032" s="14"/>
      <c r="O4032" s="14"/>
      <c r="P4032" s="13"/>
    </row>
    <row r="4033">
      <c r="L4033" s="13"/>
      <c r="M4033" s="14"/>
      <c r="N4033" s="14"/>
      <c r="O4033" s="14"/>
      <c r="P4033" s="13"/>
    </row>
    <row r="4034">
      <c r="L4034" s="13"/>
      <c r="M4034" s="14"/>
      <c r="N4034" s="14"/>
      <c r="O4034" s="14"/>
      <c r="P4034" s="13"/>
    </row>
    <row r="4035">
      <c r="L4035" s="13"/>
      <c r="M4035" s="14"/>
      <c r="N4035" s="14"/>
      <c r="O4035" s="14"/>
      <c r="P4035" s="13"/>
    </row>
    <row r="4036">
      <c r="L4036" s="13"/>
      <c r="M4036" s="14"/>
      <c r="N4036" s="14"/>
      <c r="O4036" s="14"/>
      <c r="P4036" s="13"/>
    </row>
    <row r="4037">
      <c r="L4037" s="13"/>
      <c r="M4037" s="14"/>
      <c r="N4037" s="14"/>
      <c r="O4037" s="14"/>
      <c r="P4037" s="13"/>
    </row>
    <row r="4038">
      <c r="L4038" s="13"/>
      <c r="M4038" s="14"/>
      <c r="N4038" s="14"/>
      <c r="O4038" s="14"/>
      <c r="P4038" s="13"/>
    </row>
    <row r="4039">
      <c r="L4039" s="13"/>
      <c r="M4039" s="14"/>
      <c r="N4039" s="14"/>
      <c r="O4039" s="14"/>
      <c r="P4039" s="13"/>
    </row>
    <row r="4040">
      <c r="L4040" s="13"/>
      <c r="M4040" s="14"/>
      <c r="N4040" s="14"/>
      <c r="O4040" s="14"/>
      <c r="P4040" s="13"/>
    </row>
    <row r="4041">
      <c r="L4041" s="13"/>
      <c r="M4041" s="14"/>
      <c r="N4041" s="14"/>
      <c r="O4041" s="14"/>
      <c r="P4041" s="13"/>
    </row>
    <row r="4042">
      <c r="L4042" s="13"/>
      <c r="M4042" s="14"/>
      <c r="N4042" s="14"/>
      <c r="O4042" s="14"/>
      <c r="P4042" s="13"/>
    </row>
    <row r="4043">
      <c r="L4043" s="13"/>
      <c r="M4043" s="14"/>
      <c r="N4043" s="14"/>
      <c r="O4043" s="14"/>
      <c r="P4043" s="13"/>
    </row>
    <row r="4044">
      <c r="L4044" s="13"/>
      <c r="M4044" s="14"/>
      <c r="N4044" s="14"/>
      <c r="O4044" s="14"/>
      <c r="P4044" s="13"/>
    </row>
    <row r="4045">
      <c r="L4045" s="13"/>
      <c r="M4045" s="14"/>
      <c r="N4045" s="14"/>
      <c r="O4045" s="14"/>
      <c r="P4045" s="13"/>
    </row>
    <row r="4046">
      <c r="L4046" s="13"/>
      <c r="M4046" s="14"/>
      <c r="N4046" s="14"/>
      <c r="O4046" s="14"/>
      <c r="P4046" s="13"/>
    </row>
    <row r="4047">
      <c r="L4047" s="13"/>
      <c r="M4047" s="14"/>
      <c r="N4047" s="14"/>
      <c r="O4047" s="14"/>
      <c r="P4047" s="13"/>
    </row>
    <row r="4048">
      <c r="L4048" s="13"/>
      <c r="M4048" s="14"/>
      <c r="N4048" s="14"/>
      <c r="O4048" s="14"/>
      <c r="P4048" s="13"/>
    </row>
    <row r="4049">
      <c r="L4049" s="13"/>
      <c r="M4049" s="14"/>
      <c r="N4049" s="14"/>
      <c r="O4049" s="14"/>
      <c r="P4049" s="13"/>
    </row>
    <row r="4050">
      <c r="L4050" s="13"/>
      <c r="M4050" s="14"/>
      <c r="N4050" s="14"/>
      <c r="O4050" s="14"/>
      <c r="P4050" s="13"/>
    </row>
    <row r="4051">
      <c r="L4051" s="13"/>
      <c r="M4051" s="14"/>
      <c r="N4051" s="14"/>
      <c r="O4051" s="14"/>
      <c r="P4051" s="13"/>
    </row>
    <row r="4052">
      <c r="L4052" s="13"/>
      <c r="M4052" s="14"/>
      <c r="N4052" s="14"/>
      <c r="O4052" s="14"/>
      <c r="P4052" s="13"/>
    </row>
    <row r="4053">
      <c r="L4053" s="13"/>
      <c r="M4053" s="14"/>
      <c r="N4053" s="14"/>
      <c r="O4053" s="14"/>
      <c r="P4053" s="13"/>
    </row>
    <row r="4054">
      <c r="L4054" s="13"/>
      <c r="M4054" s="14"/>
      <c r="N4054" s="14"/>
      <c r="O4054" s="14"/>
      <c r="P4054" s="13"/>
    </row>
    <row r="4055">
      <c r="L4055" s="13"/>
      <c r="M4055" s="14"/>
      <c r="N4055" s="14"/>
      <c r="O4055" s="14"/>
      <c r="P4055" s="13"/>
    </row>
    <row r="4056">
      <c r="L4056" s="13"/>
      <c r="M4056" s="14"/>
      <c r="N4056" s="14"/>
      <c r="O4056" s="14"/>
      <c r="P4056" s="13"/>
    </row>
    <row r="4057">
      <c r="L4057" s="13"/>
      <c r="M4057" s="14"/>
      <c r="N4057" s="14"/>
      <c r="O4057" s="14"/>
      <c r="P4057" s="13"/>
    </row>
    <row r="4058">
      <c r="L4058" s="13"/>
      <c r="M4058" s="14"/>
      <c r="N4058" s="14"/>
      <c r="O4058" s="14"/>
      <c r="P4058" s="13"/>
    </row>
    <row r="4059">
      <c r="L4059" s="13"/>
      <c r="M4059" s="14"/>
      <c r="N4059" s="14"/>
      <c r="O4059" s="14"/>
      <c r="P4059" s="13"/>
    </row>
    <row r="4060">
      <c r="L4060" s="13"/>
      <c r="M4060" s="14"/>
      <c r="N4060" s="14"/>
      <c r="O4060" s="14"/>
      <c r="P4060" s="13"/>
    </row>
    <row r="4061">
      <c r="L4061" s="13"/>
      <c r="M4061" s="14"/>
      <c r="N4061" s="14"/>
      <c r="O4061" s="14"/>
      <c r="P4061" s="13"/>
    </row>
    <row r="4062">
      <c r="L4062" s="13"/>
      <c r="M4062" s="14"/>
      <c r="N4062" s="14"/>
      <c r="O4062" s="14"/>
      <c r="P4062" s="13"/>
    </row>
    <row r="4063">
      <c r="L4063" s="13"/>
      <c r="M4063" s="14"/>
      <c r="N4063" s="14"/>
      <c r="O4063" s="14"/>
      <c r="P4063" s="13"/>
    </row>
    <row r="4064">
      <c r="L4064" s="13"/>
      <c r="M4064" s="14"/>
      <c r="N4064" s="14"/>
      <c r="O4064" s="14"/>
      <c r="P4064" s="13"/>
    </row>
    <row r="4065">
      <c r="L4065" s="13"/>
      <c r="M4065" s="14"/>
      <c r="N4065" s="14"/>
      <c r="O4065" s="14"/>
      <c r="P4065" s="13"/>
    </row>
    <row r="4066">
      <c r="L4066" s="13"/>
      <c r="M4066" s="14"/>
      <c r="N4066" s="14"/>
      <c r="O4066" s="14"/>
      <c r="P4066" s="13"/>
    </row>
    <row r="4067">
      <c r="L4067" s="13"/>
      <c r="M4067" s="14"/>
      <c r="N4067" s="14"/>
      <c r="O4067" s="14"/>
      <c r="P4067" s="13"/>
    </row>
    <row r="4068">
      <c r="L4068" s="13"/>
      <c r="M4068" s="14"/>
      <c r="N4068" s="14"/>
      <c r="O4068" s="14"/>
      <c r="P4068" s="13"/>
    </row>
    <row r="4069">
      <c r="L4069" s="13"/>
      <c r="M4069" s="14"/>
      <c r="N4069" s="14"/>
      <c r="O4069" s="14"/>
      <c r="P4069" s="13"/>
    </row>
    <row r="4070">
      <c r="L4070" s="13"/>
      <c r="M4070" s="14"/>
      <c r="N4070" s="14"/>
      <c r="O4070" s="14"/>
      <c r="P4070" s="13"/>
    </row>
    <row r="4071">
      <c r="L4071" s="13"/>
      <c r="M4071" s="14"/>
      <c r="N4071" s="14"/>
      <c r="O4071" s="14"/>
      <c r="P4071" s="13"/>
    </row>
    <row r="4072">
      <c r="L4072" s="13"/>
      <c r="M4072" s="14"/>
      <c r="N4072" s="14"/>
      <c r="O4072" s="14"/>
      <c r="P4072" s="13"/>
    </row>
    <row r="4073">
      <c r="L4073" s="13"/>
      <c r="M4073" s="14"/>
      <c r="N4073" s="14"/>
      <c r="O4073" s="14"/>
      <c r="P4073" s="13"/>
    </row>
    <row r="4074">
      <c r="L4074" s="13"/>
      <c r="M4074" s="14"/>
      <c r="N4074" s="14"/>
      <c r="O4074" s="14"/>
      <c r="P4074" s="13"/>
    </row>
    <row r="4075">
      <c r="L4075" s="13"/>
      <c r="M4075" s="14"/>
      <c r="N4075" s="14"/>
      <c r="O4075" s="14"/>
      <c r="P4075" s="13"/>
    </row>
    <row r="4076">
      <c r="L4076" s="13"/>
      <c r="M4076" s="14"/>
      <c r="N4076" s="14"/>
      <c r="O4076" s="14"/>
      <c r="P4076" s="13"/>
    </row>
    <row r="4077">
      <c r="L4077" s="13"/>
      <c r="M4077" s="14"/>
      <c r="N4077" s="14"/>
      <c r="O4077" s="14"/>
      <c r="P4077" s="13"/>
    </row>
    <row r="4078">
      <c r="L4078" s="13"/>
      <c r="M4078" s="14"/>
      <c r="N4078" s="14"/>
      <c r="O4078" s="14"/>
      <c r="P4078" s="13"/>
    </row>
    <row r="4079">
      <c r="L4079" s="13"/>
      <c r="M4079" s="14"/>
      <c r="N4079" s="14"/>
      <c r="O4079" s="14"/>
      <c r="P4079" s="13"/>
    </row>
    <row r="4080">
      <c r="L4080" s="13"/>
      <c r="M4080" s="14"/>
      <c r="N4080" s="14"/>
      <c r="O4080" s="14"/>
      <c r="P4080" s="13"/>
    </row>
    <row r="4081">
      <c r="L4081" s="13"/>
      <c r="M4081" s="14"/>
      <c r="N4081" s="14"/>
      <c r="O4081" s="14"/>
      <c r="P4081" s="13"/>
    </row>
    <row r="4082">
      <c r="L4082" s="13"/>
      <c r="M4082" s="14"/>
      <c r="N4082" s="14"/>
      <c r="O4082" s="14"/>
      <c r="P4082" s="13"/>
    </row>
    <row r="4083">
      <c r="L4083" s="13"/>
      <c r="M4083" s="14"/>
      <c r="N4083" s="14"/>
      <c r="O4083" s="14"/>
      <c r="P4083" s="13"/>
    </row>
    <row r="4084">
      <c r="L4084" s="13"/>
      <c r="M4084" s="14"/>
      <c r="N4084" s="14"/>
      <c r="O4084" s="14"/>
      <c r="P4084" s="13"/>
    </row>
    <row r="4085">
      <c r="L4085" s="13"/>
      <c r="M4085" s="14"/>
      <c r="N4085" s="14"/>
      <c r="O4085" s="14"/>
      <c r="P4085" s="13"/>
    </row>
    <row r="4086">
      <c r="L4086" s="13"/>
      <c r="M4086" s="14"/>
      <c r="N4086" s="14"/>
      <c r="O4086" s="14"/>
      <c r="P4086" s="13"/>
    </row>
    <row r="4087">
      <c r="L4087" s="13"/>
      <c r="M4087" s="14"/>
      <c r="N4087" s="14"/>
      <c r="O4087" s="14"/>
      <c r="P4087" s="13"/>
    </row>
    <row r="4088">
      <c r="L4088" s="13"/>
      <c r="M4088" s="14"/>
      <c r="N4088" s="14"/>
      <c r="O4088" s="14"/>
      <c r="P4088" s="13"/>
    </row>
    <row r="4089">
      <c r="L4089" s="13"/>
      <c r="M4089" s="14"/>
      <c r="N4089" s="14"/>
      <c r="O4089" s="14"/>
      <c r="P4089" s="13"/>
    </row>
    <row r="4090">
      <c r="L4090" s="13"/>
      <c r="M4090" s="14"/>
      <c r="N4090" s="14"/>
      <c r="O4090" s="14"/>
      <c r="P4090" s="13"/>
    </row>
    <row r="4091">
      <c r="L4091" s="13"/>
      <c r="M4091" s="14"/>
      <c r="N4091" s="14"/>
      <c r="O4091" s="14"/>
      <c r="P4091" s="13"/>
    </row>
    <row r="4092">
      <c r="L4092" s="13"/>
      <c r="M4092" s="14"/>
      <c r="N4092" s="14"/>
      <c r="O4092" s="14"/>
      <c r="P4092" s="13"/>
    </row>
    <row r="4093">
      <c r="L4093" s="13"/>
      <c r="M4093" s="14"/>
      <c r="N4093" s="14"/>
      <c r="O4093" s="14"/>
      <c r="P4093" s="13"/>
    </row>
    <row r="4094">
      <c r="L4094" s="13"/>
      <c r="M4094" s="14"/>
      <c r="N4094" s="14"/>
      <c r="O4094" s="14"/>
      <c r="P4094" s="13"/>
    </row>
    <row r="4095">
      <c r="L4095" s="13"/>
      <c r="M4095" s="14"/>
      <c r="N4095" s="14"/>
      <c r="O4095" s="14"/>
      <c r="P4095" s="13"/>
    </row>
    <row r="4096">
      <c r="L4096" s="13"/>
      <c r="M4096" s="14"/>
      <c r="N4096" s="14"/>
      <c r="O4096" s="14"/>
      <c r="P4096" s="13"/>
    </row>
    <row r="4097">
      <c r="L4097" s="13"/>
      <c r="M4097" s="14"/>
      <c r="N4097" s="14"/>
      <c r="O4097" s="14"/>
      <c r="P4097" s="13"/>
    </row>
    <row r="4098">
      <c r="L4098" s="13"/>
      <c r="M4098" s="14"/>
      <c r="N4098" s="14"/>
      <c r="O4098" s="14"/>
      <c r="P4098" s="13"/>
    </row>
    <row r="4099">
      <c r="L4099" s="13"/>
      <c r="M4099" s="14"/>
      <c r="N4099" s="14"/>
      <c r="O4099" s="14"/>
      <c r="P4099" s="13"/>
    </row>
    <row r="4100">
      <c r="L4100" s="13"/>
      <c r="M4100" s="14"/>
      <c r="N4100" s="14"/>
      <c r="O4100" s="14"/>
      <c r="P4100" s="13"/>
    </row>
    <row r="4101">
      <c r="L4101" s="13"/>
      <c r="M4101" s="14"/>
      <c r="N4101" s="14"/>
      <c r="O4101" s="14"/>
      <c r="P4101" s="13"/>
    </row>
    <row r="4102">
      <c r="L4102" s="13"/>
      <c r="M4102" s="14"/>
      <c r="N4102" s="14"/>
      <c r="O4102" s="14"/>
      <c r="P4102" s="13"/>
    </row>
    <row r="4103">
      <c r="L4103" s="13"/>
      <c r="M4103" s="14"/>
      <c r="N4103" s="14"/>
      <c r="O4103" s="14"/>
      <c r="P4103" s="13"/>
    </row>
    <row r="4104">
      <c r="L4104" s="13"/>
      <c r="M4104" s="14"/>
      <c r="N4104" s="14"/>
      <c r="O4104" s="14"/>
      <c r="P4104" s="13"/>
    </row>
    <row r="4105">
      <c r="L4105" s="13"/>
      <c r="M4105" s="14"/>
      <c r="N4105" s="14"/>
      <c r="O4105" s="14"/>
      <c r="P4105" s="13"/>
    </row>
    <row r="4106">
      <c r="L4106" s="13"/>
      <c r="M4106" s="14"/>
      <c r="N4106" s="14"/>
      <c r="O4106" s="14"/>
      <c r="P4106" s="13"/>
    </row>
    <row r="4107">
      <c r="L4107" s="13"/>
      <c r="M4107" s="14"/>
      <c r="N4107" s="14"/>
      <c r="O4107" s="14"/>
      <c r="P4107" s="13"/>
    </row>
    <row r="4108">
      <c r="L4108" s="13"/>
      <c r="M4108" s="14"/>
      <c r="N4108" s="14"/>
      <c r="O4108" s="14"/>
      <c r="P4108" s="13"/>
    </row>
    <row r="4109">
      <c r="L4109" s="13"/>
      <c r="M4109" s="14"/>
      <c r="N4109" s="14"/>
      <c r="O4109" s="14"/>
      <c r="P4109" s="13"/>
    </row>
    <row r="4110">
      <c r="L4110" s="13"/>
      <c r="M4110" s="14"/>
      <c r="N4110" s="14"/>
      <c r="O4110" s="14"/>
      <c r="P4110" s="13"/>
    </row>
    <row r="4111">
      <c r="L4111" s="13"/>
      <c r="M4111" s="14"/>
      <c r="N4111" s="14"/>
      <c r="O4111" s="14"/>
      <c r="P4111" s="13"/>
    </row>
    <row r="4112">
      <c r="L4112" s="13"/>
      <c r="M4112" s="14"/>
      <c r="N4112" s="14"/>
      <c r="O4112" s="14"/>
      <c r="P4112" s="13"/>
    </row>
    <row r="4113">
      <c r="L4113" s="13"/>
      <c r="M4113" s="14"/>
      <c r="N4113" s="14"/>
      <c r="O4113" s="14"/>
      <c r="P4113" s="13"/>
    </row>
    <row r="4114">
      <c r="L4114" s="13"/>
      <c r="M4114" s="14"/>
      <c r="N4114" s="14"/>
      <c r="O4114" s="14"/>
      <c r="P4114" s="13"/>
    </row>
    <row r="4115">
      <c r="L4115" s="13"/>
      <c r="M4115" s="14"/>
      <c r="N4115" s="14"/>
      <c r="O4115" s="14"/>
      <c r="P4115" s="13"/>
    </row>
    <row r="4116">
      <c r="L4116" s="13"/>
      <c r="M4116" s="14"/>
      <c r="N4116" s="14"/>
      <c r="O4116" s="14"/>
      <c r="P4116" s="13"/>
    </row>
    <row r="4117">
      <c r="L4117" s="13"/>
      <c r="M4117" s="14"/>
      <c r="N4117" s="14"/>
      <c r="O4117" s="14"/>
      <c r="P4117" s="13"/>
    </row>
    <row r="4118">
      <c r="L4118" s="13"/>
      <c r="M4118" s="14"/>
      <c r="N4118" s="14"/>
      <c r="O4118" s="14"/>
      <c r="P4118" s="13"/>
    </row>
    <row r="4119">
      <c r="L4119" s="13"/>
      <c r="M4119" s="14"/>
      <c r="N4119" s="14"/>
      <c r="O4119" s="14"/>
      <c r="P4119" s="13"/>
    </row>
    <row r="4120">
      <c r="L4120" s="13"/>
      <c r="M4120" s="14"/>
      <c r="N4120" s="14"/>
      <c r="O4120" s="14"/>
      <c r="P4120" s="13"/>
    </row>
    <row r="4121">
      <c r="L4121" s="13"/>
      <c r="M4121" s="14"/>
      <c r="N4121" s="14"/>
      <c r="O4121" s="14"/>
      <c r="P4121" s="13"/>
    </row>
    <row r="4122">
      <c r="L4122" s="13"/>
      <c r="M4122" s="14"/>
      <c r="N4122" s="14"/>
      <c r="O4122" s="14"/>
      <c r="P4122" s="13"/>
    </row>
    <row r="4123">
      <c r="L4123" s="13"/>
      <c r="M4123" s="14"/>
      <c r="N4123" s="14"/>
      <c r="O4123" s="14"/>
      <c r="P4123" s="13"/>
    </row>
    <row r="4124">
      <c r="L4124" s="13"/>
      <c r="M4124" s="14"/>
      <c r="N4124" s="14"/>
      <c r="O4124" s="14"/>
      <c r="P4124" s="13"/>
    </row>
    <row r="4125">
      <c r="L4125" s="13"/>
      <c r="M4125" s="14"/>
      <c r="N4125" s="14"/>
      <c r="O4125" s="14"/>
      <c r="P4125" s="13"/>
    </row>
    <row r="4126">
      <c r="L4126" s="13"/>
      <c r="M4126" s="14"/>
      <c r="N4126" s="14"/>
      <c r="O4126" s="14"/>
      <c r="P4126" s="13"/>
    </row>
    <row r="4127">
      <c r="L4127" s="13"/>
      <c r="M4127" s="14"/>
      <c r="N4127" s="14"/>
      <c r="O4127" s="14"/>
      <c r="P4127" s="13"/>
    </row>
    <row r="4128">
      <c r="L4128" s="13"/>
      <c r="M4128" s="14"/>
      <c r="N4128" s="14"/>
      <c r="O4128" s="14"/>
      <c r="P4128" s="13"/>
    </row>
    <row r="4129">
      <c r="L4129" s="13"/>
      <c r="M4129" s="14"/>
      <c r="N4129" s="14"/>
      <c r="O4129" s="14"/>
      <c r="P4129" s="13"/>
    </row>
    <row r="4130">
      <c r="L4130" s="13"/>
      <c r="M4130" s="14"/>
      <c r="N4130" s="14"/>
      <c r="O4130" s="14"/>
      <c r="P4130" s="13"/>
    </row>
    <row r="4131">
      <c r="L4131" s="13"/>
      <c r="M4131" s="14"/>
      <c r="N4131" s="14"/>
      <c r="O4131" s="14"/>
      <c r="P4131" s="13"/>
    </row>
    <row r="4132">
      <c r="L4132" s="13"/>
      <c r="M4132" s="14"/>
      <c r="N4132" s="14"/>
      <c r="O4132" s="14"/>
      <c r="P4132" s="13"/>
    </row>
    <row r="4133">
      <c r="L4133" s="13"/>
      <c r="M4133" s="14"/>
      <c r="N4133" s="14"/>
      <c r="O4133" s="14"/>
      <c r="P4133" s="13"/>
    </row>
    <row r="4134">
      <c r="L4134" s="13"/>
      <c r="M4134" s="14"/>
      <c r="N4134" s="14"/>
      <c r="O4134" s="14"/>
      <c r="P4134" s="13"/>
    </row>
    <row r="4135">
      <c r="L4135" s="13"/>
      <c r="M4135" s="14"/>
      <c r="N4135" s="14"/>
      <c r="O4135" s="14"/>
      <c r="P4135" s="13"/>
    </row>
    <row r="4136">
      <c r="L4136" s="13"/>
      <c r="M4136" s="14"/>
      <c r="N4136" s="14"/>
      <c r="O4136" s="14"/>
      <c r="P4136" s="13"/>
    </row>
    <row r="4137">
      <c r="L4137" s="13"/>
      <c r="M4137" s="14"/>
      <c r="N4137" s="14"/>
      <c r="O4137" s="14"/>
      <c r="P4137" s="13"/>
    </row>
    <row r="4138">
      <c r="L4138" s="13"/>
      <c r="M4138" s="14"/>
      <c r="N4138" s="14"/>
      <c r="O4138" s="14"/>
      <c r="P4138" s="13"/>
    </row>
    <row r="4139">
      <c r="L4139" s="13"/>
      <c r="M4139" s="14"/>
      <c r="N4139" s="14"/>
      <c r="O4139" s="14"/>
      <c r="P4139" s="13"/>
    </row>
    <row r="4140">
      <c r="L4140" s="13"/>
      <c r="M4140" s="14"/>
      <c r="N4140" s="14"/>
      <c r="O4140" s="14"/>
      <c r="P4140" s="13"/>
    </row>
    <row r="4141">
      <c r="L4141" s="13"/>
      <c r="M4141" s="14"/>
      <c r="N4141" s="14"/>
      <c r="O4141" s="14"/>
      <c r="P4141" s="13"/>
    </row>
    <row r="4142">
      <c r="L4142" s="13"/>
      <c r="M4142" s="14"/>
      <c r="N4142" s="14"/>
      <c r="O4142" s="14"/>
      <c r="P4142" s="13"/>
    </row>
    <row r="4143">
      <c r="L4143" s="13"/>
      <c r="M4143" s="14"/>
      <c r="N4143" s="14"/>
      <c r="O4143" s="14"/>
      <c r="P4143" s="13"/>
    </row>
    <row r="4144">
      <c r="L4144" s="13"/>
      <c r="M4144" s="14"/>
      <c r="N4144" s="14"/>
      <c r="O4144" s="14"/>
      <c r="P4144" s="13"/>
    </row>
    <row r="4145">
      <c r="L4145" s="13"/>
      <c r="M4145" s="14"/>
      <c r="N4145" s="14"/>
      <c r="O4145" s="14"/>
      <c r="P4145" s="13"/>
    </row>
    <row r="4146">
      <c r="L4146" s="13"/>
      <c r="M4146" s="14"/>
      <c r="N4146" s="14"/>
      <c r="O4146" s="14"/>
      <c r="P4146" s="13"/>
    </row>
    <row r="4147">
      <c r="L4147" s="13"/>
      <c r="M4147" s="14"/>
      <c r="N4147" s="14"/>
      <c r="O4147" s="14"/>
      <c r="P4147" s="13"/>
    </row>
    <row r="4148">
      <c r="L4148" s="13"/>
      <c r="M4148" s="14"/>
      <c r="N4148" s="14"/>
      <c r="O4148" s="14"/>
      <c r="P4148" s="13"/>
    </row>
    <row r="4149">
      <c r="L4149" s="13"/>
      <c r="M4149" s="14"/>
      <c r="N4149" s="14"/>
      <c r="O4149" s="14"/>
      <c r="P4149" s="13"/>
    </row>
    <row r="4150">
      <c r="L4150" s="13"/>
      <c r="M4150" s="14"/>
      <c r="N4150" s="14"/>
      <c r="O4150" s="14"/>
      <c r="P4150" s="13"/>
    </row>
    <row r="4151">
      <c r="L4151" s="13"/>
      <c r="M4151" s="14"/>
      <c r="N4151" s="14"/>
      <c r="O4151" s="14"/>
      <c r="P4151" s="13"/>
    </row>
    <row r="4152">
      <c r="L4152" s="13"/>
      <c r="M4152" s="14"/>
      <c r="N4152" s="14"/>
      <c r="O4152" s="14"/>
      <c r="P4152" s="13"/>
    </row>
    <row r="4153">
      <c r="L4153" s="13"/>
      <c r="M4153" s="14"/>
      <c r="N4153" s="14"/>
      <c r="O4153" s="14"/>
      <c r="P4153" s="13"/>
    </row>
    <row r="4154">
      <c r="L4154" s="13"/>
      <c r="M4154" s="14"/>
      <c r="N4154" s="14"/>
      <c r="O4154" s="14"/>
      <c r="P4154" s="13"/>
    </row>
    <row r="4155">
      <c r="L4155" s="13"/>
      <c r="M4155" s="14"/>
      <c r="N4155" s="14"/>
      <c r="O4155" s="14"/>
      <c r="P4155" s="13"/>
    </row>
    <row r="4156">
      <c r="L4156" s="13"/>
      <c r="M4156" s="14"/>
      <c r="N4156" s="14"/>
      <c r="O4156" s="14"/>
      <c r="P4156" s="13"/>
    </row>
    <row r="4157">
      <c r="L4157" s="13"/>
      <c r="M4157" s="14"/>
      <c r="N4157" s="14"/>
      <c r="O4157" s="14"/>
      <c r="P4157" s="13"/>
    </row>
    <row r="4158">
      <c r="L4158" s="13"/>
      <c r="M4158" s="14"/>
      <c r="N4158" s="14"/>
      <c r="O4158" s="14"/>
      <c r="P4158" s="13"/>
    </row>
    <row r="4159">
      <c r="L4159" s="13"/>
      <c r="M4159" s="14"/>
      <c r="N4159" s="14"/>
      <c r="O4159" s="14"/>
      <c r="P4159" s="13"/>
    </row>
    <row r="4160">
      <c r="L4160" s="13"/>
      <c r="M4160" s="14"/>
      <c r="N4160" s="14"/>
      <c r="O4160" s="14"/>
      <c r="P4160" s="13"/>
    </row>
    <row r="4161">
      <c r="L4161" s="13"/>
      <c r="M4161" s="14"/>
      <c r="N4161" s="14"/>
      <c r="O4161" s="14"/>
      <c r="P4161" s="13"/>
    </row>
    <row r="4162">
      <c r="L4162" s="13"/>
      <c r="M4162" s="14"/>
      <c r="N4162" s="14"/>
      <c r="O4162" s="14"/>
      <c r="P4162" s="13"/>
    </row>
    <row r="4163">
      <c r="L4163" s="13"/>
      <c r="M4163" s="14"/>
      <c r="N4163" s="14"/>
      <c r="O4163" s="14"/>
      <c r="P4163" s="13"/>
    </row>
    <row r="4164">
      <c r="L4164" s="13"/>
      <c r="M4164" s="14"/>
      <c r="N4164" s="14"/>
      <c r="O4164" s="14"/>
      <c r="P4164" s="13"/>
    </row>
    <row r="4165">
      <c r="L4165" s="13"/>
      <c r="M4165" s="14"/>
      <c r="N4165" s="14"/>
      <c r="O4165" s="14"/>
      <c r="P4165" s="13"/>
    </row>
    <row r="4166">
      <c r="L4166" s="13"/>
      <c r="M4166" s="14"/>
      <c r="N4166" s="14"/>
      <c r="O4166" s="14"/>
      <c r="P4166" s="13"/>
    </row>
    <row r="4167">
      <c r="L4167" s="13"/>
      <c r="M4167" s="14"/>
      <c r="N4167" s="14"/>
      <c r="O4167" s="14"/>
      <c r="P4167" s="13"/>
    </row>
    <row r="4168">
      <c r="L4168" s="13"/>
      <c r="M4168" s="14"/>
      <c r="N4168" s="14"/>
      <c r="O4168" s="14"/>
      <c r="P4168" s="13"/>
    </row>
    <row r="4169">
      <c r="L4169" s="13"/>
      <c r="M4169" s="14"/>
      <c r="N4169" s="14"/>
      <c r="O4169" s="14"/>
      <c r="P4169" s="13"/>
    </row>
    <row r="4170">
      <c r="L4170" s="13"/>
      <c r="M4170" s="14"/>
      <c r="N4170" s="14"/>
      <c r="O4170" s="14"/>
      <c r="P4170" s="13"/>
    </row>
    <row r="4171">
      <c r="L4171" s="13"/>
      <c r="M4171" s="14"/>
      <c r="N4171" s="14"/>
      <c r="O4171" s="14"/>
      <c r="P4171" s="13"/>
    </row>
    <row r="4172">
      <c r="L4172" s="13"/>
      <c r="M4172" s="14"/>
      <c r="N4172" s="14"/>
      <c r="O4172" s="14"/>
      <c r="P4172" s="13"/>
    </row>
    <row r="4173">
      <c r="L4173" s="13"/>
      <c r="M4173" s="14"/>
      <c r="N4173" s="14"/>
      <c r="O4173" s="14"/>
      <c r="P4173" s="13"/>
    </row>
    <row r="4174">
      <c r="L4174" s="13"/>
      <c r="M4174" s="14"/>
      <c r="N4174" s="14"/>
      <c r="O4174" s="14"/>
      <c r="P4174" s="13"/>
    </row>
    <row r="4175">
      <c r="L4175" s="13"/>
      <c r="M4175" s="14"/>
      <c r="N4175" s="14"/>
      <c r="O4175" s="14"/>
      <c r="P4175" s="13"/>
    </row>
    <row r="4176">
      <c r="L4176" s="13"/>
      <c r="M4176" s="14"/>
      <c r="N4176" s="14"/>
      <c r="O4176" s="14"/>
      <c r="P4176" s="13"/>
    </row>
    <row r="4177">
      <c r="L4177" s="13"/>
      <c r="M4177" s="14"/>
      <c r="N4177" s="14"/>
      <c r="O4177" s="14"/>
      <c r="P4177" s="13"/>
    </row>
    <row r="4178">
      <c r="L4178" s="13"/>
      <c r="M4178" s="14"/>
      <c r="N4178" s="14"/>
      <c r="O4178" s="14"/>
      <c r="P4178" s="13"/>
    </row>
    <row r="4179">
      <c r="L4179" s="13"/>
      <c r="M4179" s="14"/>
      <c r="N4179" s="14"/>
      <c r="O4179" s="14"/>
      <c r="P4179" s="13"/>
    </row>
    <row r="4180">
      <c r="L4180" s="13"/>
      <c r="M4180" s="14"/>
      <c r="N4180" s="14"/>
      <c r="O4180" s="14"/>
      <c r="P4180" s="13"/>
    </row>
    <row r="4181">
      <c r="L4181" s="13"/>
      <c r="M4181" s="14"/>
      <c r="N4181" s="14"/>
      <c r="O4181" s="14"/>
      <c r="P4181" s="13"/>
    </row>
    <row r="4182">
      <c r="L4182" s="13"/>
      <c r="M4182" s="14"/>
      <c r="N4182" s="14"/>
      <c r="O4182" s="14"/>
      <c r="P4182" s="13"/>
    </row>
    <row r="4183">
      <c r="L4183" s="13"/>
      <c r="M4183" s="14"/>
      <c r="N4183" s="14"/>
      <c r="O4183" s="14"/>
      <c r="P4183" s="13"/>
    </row>
    <row r="4184">
      <c r="L4184" s="13"/>
      <c r="M4184" s="14"/>
      <c r="N4184" s="14"/>
      <c r="O4184" s="14"/>
      <c r="P4184" s="13"/>
    </row>
    <row r="4185">
      <c r="L4185" s="13"/>
      <c r="M4185" s="14"/>
      <c r="N4185" s="14"/>
      <c r="O4185" s="14"/>
      <c r="P4185" s="13"/>
    </row>
    <row r="4186">
      <c r="L4186" s="13"/>
      <c r="M4186" s="14"/>
      <c r="N4186" s="14"/>
      <c r="O4186" s="14"/>
      <c r="P4186" s="13"/>
    </row>
    <row r="4187">
      <c r="L4187" s="13"/>
      <c r="M4187" s="14"/>
      <c r="N4187" s="14"/>
      <c r="O4187" s="14"/>
      <c r="P4187" s="13"/>
    </row>
    <row r="4188">
      <c r="L4188" s="13"/>
      <c r="M4188" s="14"/>
      <c r="N4188" s="14"/>
      <c r="O4188" s="14"/>
      <c r="P4188" s="13"/>
    </row>
    <row r="4189">
      <c r="L4189" s="13"/>
      <c r="M4189" s="14"/>
      <c r="N4189" s="14"/>
      <c r="O4189" s="14"/>
      <c r="P4189" s="13"/>
    </row>
    <row r="4190">
      <c r="L4190" s="13"/>
      <c r="M4190" s="14"/>
      <c r="N4190" s="14"/>
      <c r="O4190" s="14"/>
      <c r="P4190" s="13"/>
    </row>
    <row r="4191">
      <c r="L4191" s="13"/>
      <c r="M4191" s="14"/>
      <c r="N4191" s="14"/>
      <c r="O4191" s="14"/>
      <c r="P4191" s="13"/>
    </row>
    <row r="4192">
      <c r="L4192" s="13"/>
      <c r="M4192" s="14"/>
      <c r="N4192" s="14"/>
      <c r="O4192" s="14"/>
      <c r="P4192" s="13"/>
    </row>
    <row r="4193">
      <c r="L4193" s="13"/>
      <c r="M4193" s="14"/>
      <c r="N4193" s="14"/>
      <c r="O4193" s="14"/>
      <c r="P4193" s="13"/>
    </row>
    <row r="4194">
      <c r="L4194" s="13"/>
      <c r="M4194" s="14"/>
      <c r="N4194" s="14"/>
      <c r="O4194" s="14"/>
      <c r="P4194" s="13"/>
    </row>
    <row r="4195">
      <c r="L4195" s="13"/>
      <c r="M4195" s="14"/>
      <c r="N4195" s="14"/>
      <c r="O4195" s="14"/>
      <c r="P4195" s="13"/>
    </row>
    <row r="4196">
      <c r="L4196" s="13"/>
      <c r="M4196" s="14"/>
      <c r="N4196" s="14"/>
      <c r="O4196" s="14"/>
      <c r="P4196" s="13"/>
    </row>
    <row r="4197">
      <c r="L4197" s="13"/>
      <c r="M4197" s="14"/>
      <c r="N4197" s="14"/>
      <c r="O4197" s="14"/>
      <c r="P4197" s="13"/>
    </row>
    <row r="4198">
      <c r="L4198" s="13"/>
      <c r="M4198" s="14"/>
      <c r="N4198" s="14"/>
      <c r="O4198" s="14"/>
      <c r="P4198" s="13"/>
    </row>
    <row r="4199">
      <c r="L4199" s="13"/>
      <c r="M4199" s="14"/>
      <c r="N4199" s="14"/>
      <c r="O4199" s="14"/>
      <c r="P4199" s="13"/>
    </row>
    <row r="4200">
      <c r="L4200" s="13"/>
      <c r="M4200" s="14"/>
      <c r="N4200" s="14"/>
      <c r="O4200" s="14"/>
      <c r="P4200" s="13"/>
    </row>
    <row r="4201">
      <c r="L4201" s="13"/>
      <c r="M4201" s="14"/>
      <c r="N4201" s="14"/>
      <c r="O4201" s="14"/>
      <c r="P4201" s="13"/>
    </row>
    <row r="4202">
      <c r="L4202" s="13"/>
      <c r="M4202" s="14"/>
      <c r="N4202" s="14"/>
      <c r="O4202" s="14"/>
      <c r="P4202" s="13"/>
    </row>
    <row r="4203">
      <c r="L4203" s="13"/>
      <c r="M4203" s="14"/>
      <c r="N4203" s="14"/>
      <c r="O4203" s="14"/>
      <c r="P4203" s="13"/>
    </row>
    <row r="4204">
      <c r="L4204" s="13"/>
      <c r="M4204" s="14"/>
      <c r="N4204" s="14"/>
      <c r="O4204" s="14"/>
      <c r="P4204" s="13"/>
    </row>
    <row r="4205">
      <c r="L4205" s="13"/>
      <c r="M4205" s="14"/>
      <c r="N4205" s="14"/>
      <c r="O4205" s="14"/>
      <c r="P4205" s="13"/>
    </row>
    <row r="4206">
      <c r="L4206" s="13"/>
      <c r="M4206" s="14"/>
      <c r="N4206" s="14"/>
      <c r="O4206" s="14"/>
      <c r="P4206" s="13"/>
    </row>
    <row r="4207">
      <c r="L4207" s="13"/>
      <c r="M4207" s="14"/>
      <c r="N4207" s="14"/>
      <c r="O4207" s="14"/>
      <c r="P4207" s="13"/>
    </row>
    <row r="4208">
      <c r="L4208" s="13"/>
      <c r="M4208" s="14"/>
      <c r="N4208" s="14"/>
      <c r="O4208" s="14"/>
      <c r="P4208" s="13"/>
    </row>
    <row r="4209">
      <c r="L4209" s="13"/>
      <c r="M4209" s="14"/>
      <c r="N4209" s="14"/>
      <c r="O4209" s="14"/>
      <c r="P4209" s="13"/>
    </row>
    <row r="4210">
      <c r="L4210" s="13"/>
      <c r="M4210" s="14"/>
      <c r="N4210" s="14"/>
      <c r="O4210" s="14"/>
      <c r="P4210" s="13"/>
    </row>
    <row r="4211">
      <c r="L4211" s="13"/>
      <c r="M4211" s="14"/>
      <c r="N4211" s="14"/>
      <c r="O4211" s="14"/>
      <c r="P4211" s="13"/>
    </row>
    <row r="4212">
      <c r="L4212" s="13"/>
      <c r="M4212" s="14"/>
      <c r="N4212" s="14"/>
      <c r="O4212" s="14"/>
      <c r="P4212" s="13"/>
    </row>
    <row r="4213">
      <c r="L4213" s="13"/>
      <c r="M4213" s="14"/>
      <c r="N4213" s="14"/>
      <c r="O4213" s="14"/>
      <c r="P4213" s="13"/>
    </row>
    <row r="4214">
      <c r="L4214" s="13"/>
      <c r="M4214" s="14"/>
      <c r="N4214" s="14"/>
      <c r="O4214" s="14"/>
      <c r="P4214" s="13"/>
    </row>
    <row r="4215">
      <c r="L4215" s="13"/>
      <c r="M4215" s="14"/>
      <c r="N4215" s="14"/>
      <c r="O4215" s="14"/>
      <c r="P4215" s="13"/>
    </row>
    <row r="4216">
      <c r="L4216" s="13"/>
      <c r="M4216" s="14"/>
      <c r="N4216" s="14"/>
      <c r="O4216" s="14"/>
      <c r="P4216" s="13"/>
    </row>
    <row r="4217">
      <c r="L4217" s="13"/>
      <c r="M4217" s="14"/>
      <c r="N4217" s="14"/>
      <c r="O4217" s="14"/>
      <c r="P4217" s="13"/>
    </row>
    <row r="4218">
      <c r="L4218" s="13"/>
      <c r="M4218" s="14"/>
      <c r="N4218" s="14"/>
      <c r="O4218" s="14"/>
      <c r="P4218" s="13"/>
    </row>
    <row r="4219">
      <c r="L4219" s="13"/>
      <c r="M4219" s="14"/>
      <c r="N4219" s="14"/>
      <c r="O4219" s="14"/>
      <c r="P4219" s="13"/>
    </row>
    <row r="4220">
      <c r="L4220" s="13"/>
      <c r="M4220" s="14"/>
      <c r="N4220" s="14"/>
      <c r="O4220" s="14"/>
      <c r="P4220" s="13"/>
    </row>
    <row r="4221">
      <c r="L4221" s="13"/>
      <c r="M4221" s="14"/>
      <c r="N4221" s="14"/>
      <c r="O4221" s="14"/>
      <c r="P4221" s="13"/>
    </row>
    <row r="4222">
      <c r="L4222" s="13"/>
      <c r="M4222" s="14"/>
      <c r="N4222" s="14"/>
      <c r="O4222" s="14"/>
      <c r="P4222" s="13"/>
    </row>
    <row r="4223">
      <c r="L4223" s="13"/>
      <c r="M4223" s="14"/>
      <c r="N4223" s="14"/>
      <c r="O4223" s="14"/>
      <c r="P4223" s="13"/>
    </row>
    <row r="4224">
      <c r="L4224" s="13"/>
      <c r="M4224" s="14"/>
      <c r="N4224" s="14"/>
      <c r="O4224" s="14"/>
      <c r="P4224" s="13"/>
    </row>
    <row r="4225">
      <c r="L4225" s="13"/>
      <c r="M4225" s="14"/>
      <c r="N4225" s="14"/>
      <c r="O4225" s="14"/>
      <c r="P4225" s="13"/>
    </row>
    <row r="4226">
      <c r="L4226" s="13"/>
      <c r="M4226" s="14"/>
      <c r="N4226" s="14"/>
      <c r="O4226" s="14"/>
      <c r="P4226" s="13"/>
    </row>
    <row r="4227">
      <c r="L4227" s="13"/>
      <c r="M4227" s="14"/>
      <c r="N4227" s="14"/>
      <c r="O4227" s="14"/>
      <c r="P4227" s="13"/>
    </row>
    <row r="4228">
      <c r="L4228" s="13"/>
      <c r="M4228" s="14"/>
      <c r="N4228" s="14"/>
      <c r="O4228" s="14"/>
      <c r="P4228" s="13"/>
    </row>
    <row r="4229">
      <c r="L4229" s="13"/>
      <c r="M4229" s="14"/>
      <c r="N4229" s="14"/>
      <c r="O4229" s="14"/>
      <c r="P4229" s="13"/>
    </row>
    <row r="4230">
      <c r="L4230" s="13"/>
      <c r="M4230" s="14"/>
      <c r="N4230" s="14"/>
      <c r="O4230" s="14"/>
      <c r="P4230" s="13"/>
    </row>
    <row r="4231">
      <c r="L4231" s="13"/>
      <c r="M4231" s="14"/>
      <c r="N4231" s="14"/>
      <c r="O4231" s="14"/>
      <c r="P4231" s="13"/>
    </row>
    <row r="4232">
      <c r="L4232" s="13"/>
      <c r="M4232" s="14"/>
      <c r="N4232" s="14"/>
      <c r="O4232" s="14"/>
      <c r="P4232" s="13"/>
    </row>
    <row r="4233">
      <c r="L4233" s="13"/>
      <c r="M4233" s="14"/>
      <c r="N4233" s="14"/>
      <c r="O4233" s="14"/>
      <c r="P4233" s="13"/>
    </row>
    <row r="4234">
      <c r="L4234" s="13"/>
      <c r="M4234" s="14"/>
      <c r="N4234" s="14"/>
      <c r="O4234" s="14"/>
      <c r="P4234" s="13"/>
    </row>
    <row r="4235">
      <c r="L4235" s="13"/>
      <c r="M4235" s="14"/>
      <c r="N4235" s="14"/>
      <c r="O4235" s="14"/>
      <c r="P4235" s="13"/>
    </row>
    <row r="4236">
      <c r="L4236" s="13"/>
      <c r="M4236" s="14"/>
      <c r="N4236" s="14"/>
      <c r="O4236" s="14"/>
      <c r="P4236" s="13"/>
    </row>
    <row r="4237">
      <c r="L4237" s="13"/>
      <c r="M4237" s="14"/>
      <c r="N4237" s="14"/>
      <c r="O4237" s="14"/>
      <c r="P4237" s="13"/>
    </row>
    <row r="4238">
      <c r="L4238" s="13"/>
      <c r="M4238" s="14"/>
      <c r="N4238" s="14"/>
      <c r="O4238" s="14"/>
      <c r="P4238" s="13"/>
    </row>
    <row r="4239">
      <c r="L4239" s="13"/>
      <c r="M4239" s="14"/>
      <c r="N4239" s="14"/>
      <c r="O4239" s="14"/>
      <c r="P4239" s="13"/>
    </row>
    <row r="4240">
      <c r="L4240" s="13"/>
      <c r="M4240" s="14"/>
      <c r="N4240" s="14"/>
      <c r="O4240" s="14"/>
      <c r="P4240" s="13"/>
    </row>
    <row r="4241">
      <c r="L4241" s="13"/>
      <c r="M4241" s="14"/>
      <c r="N4241" s="14"/>
      <c r="O4241" s="14"/>
      <c r="P4241" s="13"/>
    </row>
    <row r="4242">
      <c r="L4242" s="13"/>
      <c r="M4242" s="14"/>
      <c r="N4242" s="14"/>
      <c r="O4242" s="14"/>
      <c r="P4242" s="13"/>
    </row>
    <row r="4243">
      <c r="L4243" s="13"/>
      <c r="M4243" s="14"/>
      <c r="N4243" s="14"/>
      <c r="O4243" s="14"/>
      <c r="P4243" s="13"/>
    </row>
    <row r="4244">
      <c r="L4244" s="13"/>
      <c r="M4244" s="14"/>
      <c r="N4244" s="14"/>
      <c r="O4244" s="14"/>
      <c r="P4244" s="13"/>
    </row>
    <row r="4245">
      <c r="L4245" s="13"/>
      <c r="M4245" s="14"/>
      <c r="N4245" s="14"/>
      <c r="O4245" s="14"/>
      <c r="P4245" s="13"/>
    </row>
    <row r="4246">
      <c r="L4246" s="13"/>
      <c r="M4246" s="14"/>
      <c r="N4246" s="14"/>
      <c r="O4246" s="14"/>
      <c r="P4246" s="13"/>
    </row>
    <row r="4247">
      <c r="L4247" s="13"/>
      <c r="M4247" s="14"/>
      <c r="N4247" s="14"/>
      <c r="O4247" s="14"/>
      <c r="P4247" s="13"/>
    </row>
    <row r="4248">
      <c r="L4248" s="13"/>
      <c r="M4248" s="14"/>
      <c r="N4248" s="14"/>
      <c r="O4248" s="14"/>
      <c r="P4248" s="13"/>
    </row>
    <row r="4249">
      <c r="L4249" s="13"/>
      <c r="M4249" s="14"/>
      <c r="N4249" s="14"/>
      <c r="O4249" s="14"/>
      <c r="P4249" s="13"/>
    </row>
    <row r="4250">
      <c r="L4250" s="13"/>
      <c r="M4250" s="14"/>
      <c r="N4250" s="14"/>
      <c r="O4250" s="14"/>
      <c r="P4250" s="13"/>
    </row>
    <row r="4251">
      <c r="L4251" s="13"/>
      <c r="M4251" s="14"/>
      <c r="N4251" s="14"/>
      <c r="O4251" s="14"/>
      <c r="P4251" s="13"/>
    </row>
    <row r="4252">
      <c r="L4252" s="13"/>
      <c r="M4252" s="14"/>
      <c r="N4252" s="14"/>
      <c r="O4252" s="14"/>
      <c r="P4252" s="13"/>
    </row>
    <row r="4253">
      <c r="L4253" s="13"/>
      <c r="M4253" s="14"/>
      <c r="N4253" s="14"/>
      <c r="O4253" s="14"/>
      <c r="P4253" s="13"/>
    </row>
    <row r="4254">
      <c r="L4254" s="13"/>
      <c r="M4254" s="14"/>
      <c r="N4254" s="14"/>
      <c r="O4254" s="14"/>
      <c r="P4254" s="13"/>
    </row>
    <row r="4255">
      <c r="L4255" s="13"/>
      <c r="M4255" s="14"/>
      <c r="N4255" s="14"/>
      <c r="O4255" s="14"/>
      <c r="P4255" s="13"/>
    </row>
    <row r="4256">
      <c r="L4256" s="13"/>
      <c r="M4256" s="14"/>
      <c r="N4256" s="14"/>
      <c r="O4256" s="14"/>
      <c r="P4256" s="13"/>
    </row>
    <row r="4257">
      <c r="L4257" s="13"/>
      <c r="M4257" s="14"/>
      <c r="N4257" s="14"/>
      <c r="O4257" s="14"/>
      <c r="P4257" s="13"/>
    </row>
    <row r="4258">
      <c r="L4258" s="13"/>
      <c r="M4258" s="14"/>
      <c r="N4258" s="14"/>
      <c r="O4258" s="14"/>
      <c r="P4258" s="13"/>
    </row>
    <row r="4259">
      <c r="L4259" s="13"/>
      <c r="M4259" s="14"/>
      <c r="N4259" s="14"/>
      <c r="O4259" s="14"/>
      <c r="P4259" s="13"/>
    </row>
    <row r="4260">
      <c r="L4260" s="13"/>
      <c r="M4260" s="14"/>
      <c r="N4260" s="14"/>
      <c r="O4260" s="14"/>
      <c r="P4260" s="13"/>
    </row>
    <row r="4261">
      <c r="L4261" s="13"/>
      <c r="M4261" s="14"/>
      <c r="N4261" s="14"/>
      <c r="O4261" s="14"/>
      <c r="P4261" s="13"/>
    </row>
    <row r="4262">
      <c r="L4262" s="13"/>
      <c r="M4262" s="14"/>
      <c r="N4262" s="14"/>
      <c r="O4262" s="14"/>
      <c r="P4262" s="13"/>
    </row>
    <row r="4263">
      <c r="L4263" s="13"/>
      <c r="M4263" s="14"/>
      <c r="N4263" s="14"/>
      <c r="O4263" s="14"/>
      <c r="P4263" s="13"/>
    </row>
    <row r="4264">
      <c r="L4264" s="13"/>
      <c r="M4264" s="14"/>
      <c r="N4264" s="14"/>
      <c r="O4264" s="14"/>
      <c r="P4264" s="13"/>
    </row>
    <row r="4265">
      <c r="L4265" s="13"/>
      <c r="M4265" s="14"/>
      <c r="N4265" s="14"/>
      <c r="O4265" s="14"/>
      <c r="P4265" s="13"/>
    </row>
    <row r="4266">
      <c r="L4266" s="13"/>
      <c r="M4266" s="14"/>
      <c r="N4266" s="14"/>
      <c r="O4266" s="14"/>
      <c r="P4266" s="13"/>
    </row>
    <row r="4267">
      <c r="L4267" s="13"/>
      <c r="M4267" s="14"/>
      <c r="N4267" s="14"/>
      <c r="O4267" s="14"/>
      <c r="P4267" s="13"/>
    </row>
    <row r="4268">
      <c r="L4268" s="13"/>
      <c r="M4268" s="14"/>
      <c r="N4268" s="14"/>
      <c r="O4268" s="14"/>
      <c r="P4268" s="13"/>
    </row>
    <row r="4269">
      <c r="L4269" s="13"/>
      <c r="M4269" s="14"/>
      <c r="N4269" s="14"/>
      <c r="O4269" s="14"/>
      <c r="P4269" s="13"/>
    </row>
    <row r="4270">
      <c r="L4270" s="13"/>
      <c r="M4270" s="14"/>
      <c r="N4270" s="14"/>
      <c r="O4270" s="14"/>
      <c r="P4270" s="13"/>
    </row>
    <row r="4271">
      <c r="L4271" s="13"/>
      <c r="M4271" s="14"/>
      <c r="N4271" s="14"/>
      <c r="O4271" s="14"/>
      <c r="P4271" s="13"/>
    </row>
    <row r="4272">
      <c r="L4272" s="13"/>
      <c r="M4272" s="14"/>
      <c r="N4272" s="14"/>
      <c r="O4272" s="14"/>
      <c r="P4272" s="13"/>
    </row>
    <row r="4273">
      <c r="L4273" s="13"/>
      <c r="M4273" s="14"/>
      <c r="N4273" s="14"/>
      <c r="O4273" s="14"/>
      <c r="P4273" s="13"/>
    </row>
    <row r="4274">
      <c r="L4274" s="13"/>
      <c r="M4274" s="14"/>
      <c r="N4274" s="14"/>
      <c r="O4274" s="14"/>
      <c r="P4274" s="13"/>
    </row>
    <row r="4275">
      <c r="L4275" s="13"/>
      <c r="M4275" s="14"/>
      <c r="N4275" s="14"/>
      <c r="O4275" s="14"/>
      <c r="P4275" s="13"/>
    </row>
    <row r="4276">
      <c r="L4276" s="13"/>
      <c r="M4276" s="14"/>
      <c r="N4276" s="14"/>
      <c r="O4276" s="14"/>
      <c r="P4276" s="13"/>
    </row>
    <row r="4277">
      <c r="L4277" s="13"/>
      <c r="M4277" s="14"/>
      <c r="N4277" s="14"/>
      <c r="O4277" s="14"/>
      <c r="P4277" s="13"/>
    </row>
    <row r="4278">
      <c r="L4278" s="13"/>
      <c r="M4278" s="14"/>
      <c r="N4278" s="14"/>
      <c r="O4278" s="14"/>
      <c r="P4278" s="13"/>
    </row>
    <row r="4279">
      <c r="L4279" s="13"/>
      <c r="M4279" s="14"/>
      <c r="N4279" s="14"/>
      <c r="O4279" s="14"/>
      <c r="P4279" s="13"/>
    </row>
    <row r="4280">
      <c r="L4280" s="13"/>
      <c r="M4280" s="14"/>
      <c r="N4280" s="14"/>
      <c r="O4280" s="14"/>
      <c r="P4280" s="13"/>
    </row>
    <row r="4281">
      <c r="L4281" s="13"/>
      <c r="M4281" s="14"/>
      <c r="N4281" s="14"/>
      <c r="O4281" s="14"/>
      <c r="P4281" s="13"/>
    </row>
    <row r="4282">
      <c r="L4282" s="13"/>
      <c r="M4282" s="14"/>
      <c r="N4282" s="14"/>
      <c r="O4282" s="14"/>
      <c r="P4282" s="13"/>
    </row>
    <row r="4283">
      <c r="L4283" s="13"/>
      <c r="M4283" s="14"/>
      <c r="N4283" s="14"/>
      <c r="O4283" s="14"/>
      <c r="P4283" s="13"/>
    </row>
    <row r="4284">
      <c r="L4284" s="13"/>
      <c r="M4284" s="14"/>
      <c r="N4284" s="14"/>
      <c r="O4284" s="14"/>
      <c r="P4284" s="13"/>
    </row>
    <row r="4285">
      <c r="L4285" s="13"/>
      <c r="M4285" s="14"/>
      <c r="N4285" s="14"/>
      <c r="O4285" s="14"/>
      <c r="P4285" s="13"/>
    </row>
    <row r="4286">
      <c r="L4286" s="13"/>
      <c r="M4286" s="14"/>
      <c r="N4286" s="14"/>
      <c r="O4286" s="14"/>
      <c r="P4286" s="13"/>
    </row>
    <row r="4287">
      <c r="L4287" s="13"/>
      <c r="M4287" s="14"/>
      <c r="N4287" s="14"/>
      <c r="O4287" s="14"/>
      <c r="P4287" s="13"/>
    </row>
    <row r="4288">
      <c r="L4288" s="13"/>
      <c r="M4288" s="14"/>
      <c r="N4288" s="14"/>
      <c r="O4288" s="14"/>
      <c r="P4288" s="13"/>
    </row>
    <row r="4289">
      <c r="L4289" s="13"/>
      <c r="M4289" s="14"/>
      <c r="N4289" s="14"/>
      <c r="O4289" s="14"/>
      <c r="P4289" s="13"/>
    </row>
    <row r="4290">
      <c r="L4290" s="13"/>
      <c r="M4290" s="14"/>
      <c r="N4290" s="14"/>
      <c r="O4290" s="14"/>
      <c r="P4290" s="13"/>
    </row>
    <row r="4291">
      <c r="L4291" s="13"/>
      <c r="M4291" s="14"/>
      <c r="N4291" s="14"/>
      <c r="O4291" s="14"/>
      <c r="P4291" s="13"/>
    </row>
    <row r="4292">
      <c r="L4292" s="13"/>
      <c r="M4292" s="14"/>
      <c r="N4292" s="14"/>
      <c r="O4292" s="14"/>
      <c r="P4292" s="13"/>
    </row>
    <row r="4293">
      <c r="L4293" s="13"/>
      <c r="M4293" s="14"/>
      <c r="N4293" s="14"/>
      <c r="O4293" s="14"/>
      <c r="P4293" s="13"/>
    </row>
    <row r="4294">
      <c r="L4294" s="13"/>
      <c r="M4294" s="14"/>
      <c r="N4294" s="14"/>
      <c r="O4294" s="14"/>
      <c r="P4294" s="13"/>
    </row>
    <row r="4295">
      <c r="L4295" s="13"/>
      <c r="M4295" s="14"/>
      <c r="N4295" s="14"/>
      <c r="O4295" s="14"/>
      <c r="P4295" s="13"/>
    </row>
    <row r="4296">
      <c r="L4296" s="13"/>
      <c r="M4296" s="14"/>
      <c r="N4296" s="14"/>
      <c r="O4296" s="14"/>
      <c r="P4296" s="13"/>
    </row>
    <row r="4297">
      <c r="L4297" s="13"/>
      <c r="M4297" s="14"/>
      <c r="N4297" s="14"/>
      <c r="O4297" s="14"/>
      <c r="P4297" s="13"/>
    </row>
    <row r="4298">
      <c r="L4298" s="13"/>
      <c r="M4298" s="14"/>
      <c r="N4298" s="14"/>
      <c r="O4298" s="14"/>
      <c r="P4298" s="13"/>
    </row>
    <row r="4299">
      <c r="L4299" s="13"/>
      <c r="M4299" s="14"/>
      <c r="N4299" s="14"/>
      <c r="O4299" s="14"/>
      <c r="P4299" s="13"/>
    </row>
    <row r="4300">
      <c r="L4300" s="13"/>
      <c r="M4300" s="14"/>
      <c r="N4300" s="14"/>
      <c r="O4300" s="14"/>
      <c r="P4300" s="13"/>
    </row>
    <row r="4301">
      <c r="L4301" s="13"/>
      <c r="M4301" s="14"/>
      <c r="N4301" s="14"/>
      <c r="O4301" s="14"/>
      <c r="P4301" s="13"/>
    </row>
    <row r="4302">
      <c r="L4302" s="13"/>
      <c r="M4302" s="14"/>
      <c r="N4302" s="14"/>
      <c r="O4302" s="14"/>
      <c r="P4302" s="13"/>
    </row>
    <row r="4303">
      <c r="L4303" s="13"/>
      <c r="M4303" s="14"/>
      <c r="N4303" s="14"/>
      <c r="O4303" s="14"/>
      <c r="P4303" s="13"/>
    </row>
    <row r="4304">
      <c r="L4304" s="13"/>
      <c r="M4304" s="14"/>
      <c r="N4304" s="14"/>
      <c r="O4304" s="14"/>
      <c r="P4304" s="13"/>
    </row>
    <row r="4305">
      <c r="L4305" s="13"/>
      <c r="M4305" s="14"/>
      <c r="N4305" s="14"/>
      <c r="O4305" s="14"/>
      <c r="P4305" s="13"/>
    </row>
    <row r="4306">
      <c r="L4306" s="13"/>
      <c r="M4306" s="14"/>
      <c r="N4306" s="14"/>
      <c r="O4306" s="14"/>
      <c r="P4306" s="13"/>
    </row>
    <row r="4307">
      <c r="L4307" s="13"/>
      <c r="M4307" s="14"/>
      <c r="N4307" s="14"/>
      <c r="O4307" s="14"/>
      <c r="P4307" s="13"/>
    </row>
    <row r="4308">
      <c r="L4308" s="13"/>
      <c r="M4308" s="14"/>
      <c r="N4308" s="14"/>
      <c r="O4308" s="14"/>
      <c r="P4308" s="13"/>
    </row>
    <row r="4309">
      <c r="L4309" s="13"/>
      <c r="M4309" s="14"/>
      <c r="N4309" s="14"/>
      <c r="O4309" s="14"/>
      <c r="P4309" s="13"/>
    </row>
    <row r="4310">
      <c r="L4310" s="13"/>
      <c r="M4310" s="14"/>
      <c r="N4310" s="14"/>
      <c r="O4310" s="14"/>
      <c r="P4310" s="13"/>
    </row>
    <row r="4311">
      <c r="L4311" s="13"/>
      <c r="M4311" s="14"/>
      <c r="N4311" s="14"/>
      <c r="O4311" s="14"/>
      <c r="P4311" s="13"/>
    </row>
    <row r="4312">
      <c r="L4312" s="13"/>
      <c r="M4312" s="14"/>
      <c r="N4312" s="14"/>
      <c r="O4312" s="14"/>
      <c r="P4312" s="13"/>
    </row>
    <row r="4313">
      <c r="L4313" s="13"/>
      <c r="M4313" s="14"/>
      <c r="N4313" s="14"/>
      <c r="O4313" s="14"/>
      <c r="P4313" s="13"/>
    </row>
    <row r="4314">
      <c r="L4314" s="13"/>
      <c r="M4314" s="14"/>
      <c r="N4314" s="14"/>
      <c r="O4314" s="14"/>
      <c r="P4314" s="13"/>
    </row>
    <row r="4315">
      <c r="L4315" s="13"/>
      <c r="M4315" s="14"/>
      <c r="N4315" s="14"/>
      <c r="O4315" s="14"/>
      <c r="P4315" s="13"/>
    </row>
    <row r="4316">
      <c r="L4316" s="13"/>
      <c r="M4316" s="14"/>
      <c r="N4316" s="14"/>
      <c r="O4316" s="14"/>
      <c r="P4316" s="13"/>
    </row>
    <row r="4317">
      <c r="L4317" s="13"/>
      <c r="M4317" s="14"/>
      <c r="N4317" s="14"/>
      <c r="O4317" s="14"/>
      <c r="P4317" s="13"/>
    </row>
    <row r="4318">
      <c r="L4318" s="13"/>
      <c r="M4318" s="14"/>
      <c r="N4318" s="14"/>
      <c r="O4318" s="14"/>
      <c r="P4318" s="13"/>
    </row>
    <row r="4319">
      <c r="L4319" s="13"/>
      <c r="M4319" s="14"/>
      <c r="N4319" s="14"/>
      <c r="O4319" s="14"/>
      <c r="P4319" s="13"/>
    </row>
    <row r="4320">
      <c r="L4320" s="13"/>
      <c r="M4320" s="14"/>
      <c r="N4320" s="14"/>
      <c r="O4320" s="14"/>
      <c r="P4320" s="13"/>
    </row>
    <row r="4321">
      <c r="L4321" s="13"/>
      <c r="M4321" s="14"/>
      <c r="N4321" s="14"/>
      <c r="O4321" s="14"/>
      <c r="P4321" s="13"/>
    </row>
    <row r="4322">
      <c r="L4322" s="13"/>
      <c r="M4322" s="14"/>
      <c r="N4322" s="14"/>
      <c r="O4322" s="14"/>
      <c r="P4322" s="13"/>
    </row>
    <row r="4323">
      <c r="L4323" s="13"/>
      <c r="M4323" s="14"/>
      <c r="N4323" s="14"/>
      <c r="O4323" s="14"/>
      <c r="P4323" s="13"/>
    </row>
    <row r="4324">
      <c r="L4324" s="13"/>
      <c r="M4324" s="14"/>
      <c r="N4324" s="14"/>
      <c r="O4324" s="14"/>
      <c r="P4324" s="13"/>
    </row>
    <row r="4325">
      <c r="L4325" s="13"/>
      <c r="M4325" s="14"/>
      <c r="N4325" s="14"/>
      <c r="O4325" s="14"/>
      <c r="P4325" s="13"/>
    </row>
    <row r="4326">
      <c r="L4326" s="13"/>
      <c r="M4326" s="14"/>
      <c r="N4326" s="14"/>
      <c r="O4326" s="14"/>
      <c r="P4326" s="13"/>
    </row>
    <row r="4327">
      <c r="L4327" s="13"/>
      <c r="M4327" s="14"/>
      <c r="N4327" s="14"/>
      <c r="O4327" s="14"/>
      <c r="P4327" s="13"/>
    </row>
    <row r="4328">
      <c r="L4328" s="13"/>
      <c r="M4328" s="14"/>
      <c r="N4328" s="14"/>
      <c r="O4328" s="14"/>
      <c r="P4328" s="13"/>
    </row>
    <row r="4329">
      <c r="L4329" s="13"/>
      <c r="M4329" s="14"/>
      <c r="N4329" s="14"/>
      <c r="O4329" s="14"/>
      <c r="P4329" s="13"/>
    </row>
    <row r="4330">
      <c r="L4330" s="13"/>
      <c r="M4330" s="14"/>
      <c r="N4330" s="14"/>
      <c r="O4330" s="14"/>
      <c r="P4330" s="13"/>
    </row>
    <row r="4331">
      <c r="L4331" s="13"/>
      <c r="M4331" s="14"/>
      <c r="N4331" s="14"/>
      <c r="O4331" s="14"/>
      <c r="P4331" s="13"/>
    </row>
    <row r="4332">
      <c r="L4332" s="13"/>
      <c r="M4332" s="14"/>
      <c r="N4332" s="14"/>
      <c r="O4332" s="14"/>
      <c r="P4332" s="13"/>
    </row>
    <row r="4333">
      <c r="L4333" s="13"/>
      <c r="M4333" s="14"/>
      <c r="N4333" s="14"/>
      <c r="O4333" s="14"/>
      <c r="P4333" s="13"/>
    </row>
    <row r="4334">
      <c r="L4334" s="13"/>
      <c r="M4334" s="14"/>
      <c r="N4334" s="14"/>
      <c r="O4334" s="14"/>
      <c r="P4334" s="13"/>
    </row>
    <row r="4335">
      <c r="L4335" s="13"/>
      <c r="M4335" s="14"/>
      <c r="N4335" s="14"/>
      <c r="O4335" s="14"/>
      <c r="P4335" s="13"/>
    </row>
    <row r="4336">
      <c r="L4336" s="13"/>
      <c r="M4336" s="14"/>
      <c r="N4336" s="14"/>
      <c r="O4336" s="14"/>
      <c r="P4336" s="13"/>
    </row>
    <row r="4337">
      <c r="L4337" s="13"/>
      <c r="M4337" s="14"/>
      <c r="N4337" s="14"/>
      <c r="O4337" s="14"/>
      <c r="P4337" s="13"/>
    </row>
    <row r="4338">
      <c r="L4338" s="13"/>
      <c r="M4338" s="14"/>
      <c r="N4338" s="14"/>
      <c r="O4338" s="14"/>
      <c r="P4338" s="13"/>
    </row>
    <row r="4339">
      <c r="L4339" s="13"/>
      <c r="M4339" s="14"/>
      <c r="N4339" s="14"/>
      <c r="O4339" s="14"/>
      <c r="P4339" s="13"/>
    </row>
    <row r="4340">
      <c r="L4340" s="13"/>
      <c r="M4340" s="14"/>
      <c r="N4340" s="14"/>
      <c r="O4340" s="14"/>
      <c r="P4340" s="13"/>
    </row>
    <row r="4341">
      <c r="L4341" s="13"/>
      <c r="M4341" s="14"/>
      <c r="N4341" s="14"/>
      <c r="O4341" s="14"/>
      <c r="P4341" s="13"/>
    </row>
    <row r="4342">
      <c r="L4342" s="13"/>
      <c r="M4342" s="14"/>
      <c r="N4342" s="14"/>
      <c r="O4342" s="14"/>
      <c r="P4342" s="13"/>
    </row>
    <row r="4343">
      <c r="L4343" s="13"/>
      <c r="M4343" s="14"/>
      <c r="N4343" s="14"/>
      <c r="O4343" s="14"/>
      <c r="P4343" s="13"/>
    </row>
    <row r="4344">
      <c r="L4344" s="13"/>
      <c r="M4344" s="14"/>
      <c r="N4344" s="14"/>
      <c r="O4344" s="14"/>
      <c r="P4344" s="13"/>
    </row>
    <row r="4345">
      <c r="L4345" s="13"/>
      <c r="M4345" s="14"/>
      <c r="N4345" s="14"/>
      <c r="O4345" s="14"/>
      <c r="P4345" s="13"/>
    </row>
    <row r="4346">
      <c r="L4346" s="13"/>
      <c r="M4346" s="14"/>
      <c r="N4346" s="14"/>
      <c r="O4346" s="14"/>
      <c r="P4346" s="13"/>
    </row>
    <row r="4347">
      <c r="L4347" s="13"/>
      <c r="M4347" s="14"/>
      <c r="N4347" s="14"/>
      <c r="O4347" s="14"/>
      <c r="P4347" s="13"/>
    </row>
    <row r="4348">
      <c r="L4348" s="13"/>
      <c r="M4348" s="14"/>
      <c r="N4348" s="14"/>
      <c r="O4348" s="14"/>
      <c r="P4348" s="13"/>
    </row>
    <row r="4349">
      <c r="L4349" s="13"/>
      <c r="M4349" s="14"/>
      <c r="N4349" s="14"/>
      <c r="O4349" s="14"/>
      <c r="P4349" s="13"/>
    </row>
    <row r="4350">
      <c r="L4350" s="13"/>
      <c r="M4350" s="14"/>
      <c r="N4350" s="14"/>
      <c r="O4350" s="14"/>
      <c r="P4350" s="13"/>
    </row>
    <row r="4351">
      <c r="L4351" s="13"/>
      <c r="M4351" s="14"/>
      <c r="N4351" s="14"/>
      <c r="O4351" s="14"/>
      <c r="P4351" s="13"/>
    </row>
    <row r="4352">
      <c r="L4352" s="13"/>
      <c r="M4352" s="14"/>
      <c r="N4352" s="14"/>
      <c r="O4352" s="14"/>
      <c r="P4352" s="13"/>
    </row>
    <row r="4353">
      <c r="L4353" s="13"/>
      <c r="M4353" s="14"/>
      <c r="N4353" s="14"/>
      <c r="O4353" s="14"/>
      <c r="P4353" s="13"/>
    </row>
    <row r="4354">
      <c r="L4354" s="13"/>
      <c r="M4354" s="14"/>
      <c r="N4354" s="14"/>
      <c r="O4354" s="14"/>
      <c r="P4354" s="13"/>
    </row>
    <row r="4355">
      <c r="L4355" s="13"/>
      <c r="M4355" s="14"/>
      <c r="N4355" s="14"/>
      <c r="O4355" s="14"/>
      <c r="P4355" s="13"/>
    </row>
    <row r="4356">
      <c r="L4356" s="13"/>
      <c r="M4356" s="14"/>
      <c r="N4356" s="14"/>
      <c r="O4356" s="14"/>
      <c r="P4356" s="13"/>
    </row>
    <row r="4357">
      <c r="L4357" s="13"/>
      <c r="M4357" s="14"/>
      <c r="N4357" s="14"/>
      <c r="O4357" s="14"/>
      <c r="P4357" s="13"/>
    </row>
    <row r="4358">
      <c r="L4358" s="13"/>
      <c r="M4358" s="14"/>
      <c r="N4358" s="14"/>
      <c r="O4358" s="14"/>
      <c r="P4358" s="13"/>
    </row>
    <row r="4359">
      <c r="L4359" s="13"/>
      <c r="M4359" s="14"/>
      <c r="N4359" s="14"/>
      <c r="O4359" s="14"/>
      <c r="P4359" s="13"/>
    </row>
    <row r="4360">
      <c r="L4360" s="13"/>
      <c r="M4360" s="14"/>
      <c r="N4360" s="14"/>
      <c r="O4360" s="14"/>
      <c r="P4360" s="13"/>
    </row>
    <row r="4361">
      <c r="L4361" s="13"/>
      <c r="M4361" s="14"/>
      <c r="N4361" s="14"/>
      <c r="O4361" s="14"/>
      <c r="P4361" s="13"/>
    </row>
    <row r="4362">
      <c r="L4362" s="13"/>
      <c r="M4362" s="14"/>
      <c r="N4362" s="14"/>
      <c r="O4362" s="14"/>
      <c r="P4362" s="13"/>
    </row>
    <row r="4363">
      <c r="L4363" s="13"/>
      <c r="M4363" s="14"/>
      <c r="N4363" s="14"/>
      <c r="O4363" s="14"/>
      <c r="P4363" s="13"/>
    </row>
    <row r="4364">
      <c r="L4364" s="13"/>
      <c r="M4364" s="14"/>
      <c r="N4364" s="14"/>
      <c r="O4364" s="14"/>
      <c r="P4364" s="13"/>
    </row>
    <row r="4365">
      <c r="L4365" s="13"/>
      <c r="M4365" s="14"/>
      <c r="N4365" s="14"/>
      <c r="O4365" s="14"/>
      <c r="P4365" s="13"/>
    </row>
    <row r="4366">
      <c r="L4366" s="13"/>
      <c r="M4366" s="14"/>
      <c r="N4366" s="14"/>
      <c r="O4366" s="14"/>
      <c r="P4366" s="13"/>
    </row>
    <row r="4367">
      <c r="L4367" s="13"/>
      <c r="M4367" s="14"/>
      <c r="N4367" s="14"/>
      <c r="O4367" s="14"/>
      <c r="P4367" s="13"/>
    </row>
    <row r="4368">
      <c r="L4368" s="13"/>
      <c r="M4368" s="14"/>
      <c r="N4368" s="14"/>
      <c r="O4368" s="14"/>
      <c r="P4368" s="13"/>
    </row>
    <row r="4369">
      <c r="L4369" s="13"/>
      <c r="M4369" s="14"/>
      <c r="N4369" s="14"/>
      <c r="O4369" s="14"/>
      <c r="P4369" s="13"/>
    </row>
    <row r="4370">
      <c r="L4370" s="13"/>
      <c r="M4370" s="14"/>
      <c r="N4370" s="14"/>
      <c r="O4370" s="14"/>
      <c r="P4370" s="13"/>
    </row>
    <row r="4371">
      <c r="L4371" s="13"/>
      <c r="M4371" s="14"/>
      <c r="N4371" s="14"/>
      <c r="O4371" s="14"/>
      <c r="P4371" s="13"/>
    </row>
    <row r="4372">
      <c r="L4372" s="13"/>
      <c r="M4372" s="14"/>
      <c r="N4372" s="14"/>
      <c r="O4372" s="14"/>
      <c r="P4372" s="13"/>
    </row>
    <row r="4373">
      <c r="L4373" s="13"/>
      <c r="M4373" s="14"/>
      <c r="N4373" s="14"/>
      <c r="O4373" s="14"/>
      <c r="P4373" s="13"/>
    </row>
    <row r="4374">
      <c r="L4374" s="13"/>
      <c r="M4374" s="14"/>
      <c r="N4374" s="14"/>
      <c r="O4374" s="14"/>
      <c r="P4374" s="13"/>
    </row>
    <row r="4375">
      <c r="L4375" s="13"/>
      <c r="M4375" s="14"/>
      <c r="N4375" s="14"/>
      <c r="O4375" s="14"/>
      <c r="P4375" s="13"/>
    </row>
    <row r="4376">
      <c r="L4376" s="13"/>
      <c r="M4376" s="14"/>
      <c r="N4376" s="14"/>
      <c r="O4376" s="14"/>
      <c r="P4376" s="13"/>
    </row>
    <row r="4377">
      <c r="L4377" s="13"/>
      <c r="M4377" s="14"/>
      <c r="N4377" s="14"/>
      <c r="O4377" s="14"/>
      <c r="P4377" s="13"/>
    </row>
    <row r="4378">
      <c r="L4378" s="13"/>
      <c r="M4378" s="14"/>
      <c r="N4378" s="14"/>
      <c r="O4378" s="14"/>
      <c r="P4378" s="13"/>
    </row>
    <row r="4379">
      <c r="L4379" s="13"/>
      <c r="M4379" s="14"/>
      <c r="N4379" s="14"/>
      <c r="O4379" s="14"/>
      <c r="P4379" s="13"/>
    </row>
    <row r="4380">
      <c r="L4380" s="13"/>
      <c r="M4380" s="14"/>
      <c r="N4380" s="14"/>
      <c r="O4380" s="14"/>
      <c r="P4380" s="13"/>
    </row>
    <row r="4381">
      <c r="L4381" s="13"/>
      <c r="M4381" s="14"/>
      <c r="N4381" s="14"/>
      <c r="O4381" s="14"/>
      <c r="P4381" s="13"/>
    </row>
    <row r="4382">
      <c r="L4382" s="13"/>
      <c r="M4382" s="14"/>
      <c r="N4382" s="14"/>
      <c r="O4382" s="14"/>
      <c r="P4382" s="13"/>
    </row>
    <row r="4383">
      <c r="L4383" s="13"/>
      <c r="M4383" s="14"/>
      <c r="N4383" s="14"/>
      <c r="O4383" s="14"/>
      <c r="P4383" s="13"/>
    </row>
    <row r="4384">
      <c r="L4384" s="13"/>
      <c r="M4384" s="14"/>
      <c r="N4384" s="14"/>
      <c r="O4384" s="14"/>
      <c r="P4384" s="13"/>
    </row>
    <row r="4385">
      <c r="L4385" s="13"/>
      <c r="M4385" s="14"/>
      <c r="N4385" s="14"/>
      <c r="O4385" s="14"/>
      <c r="P4385" s="13"/>
    </row>
    <row r="4386">
      <c r="L4386" s="13"/>
      <c r="M4386" s="14"/>
      <c r="N4386" s="14"/>
      <c r="O4386" s="14"/>
      <c r="P4386" s="13"/>
    </row>
    <row r="4387">
      <c r="L4387" s="13"/>
      <c r="M4387" s="14"/>
      <c r="N4387" s="14"/>
      <c r="O4387" s="14"/>
      <c r="P4387" s="13"/>
    </row>
    <row r="4388">
      <c r="L4388" s="13"/>
      <c r="M4388" s="14"/>
      <c r="N4388" s="14"/>
      <c r="O4388" s="14"/>
      <c r="P4388" s="13"/>
    </row>
    <row r="4389">
      <c r="L4389" s="13"/>
      <c r="M4389" s="14"/>
      <c r="N4389" s="14"/>
      <c r="O4389" s="14"/>
      <c r="P4389" s="13"/>
    </row>
    <row r="4390">
      <c r="L4390" s="13"/>
      <c r="M4390" s="14"/>
      <c r="N4390" s="14"/>
      <c r="O4390" s="14"/>
      <c r="P4390" s="13"/>
    </row>
    <row r="4391">
      <c r="L4391" s="13"/>
      <c r="M4391" s="14"/>
      <c r="N4391" s="14"/>
      <c r="O4391" s="14"/>
      <c r="P4391" s="13"/>
    </row>
    <row r="4392">
      <c r="L4392" s="13"/>
      <c r="M4392" s="14"/>
      <c r="N4392" s="14"/>
      <c r="O4392" s="14"/>
      <c r="P4392" s="13"/>
    </row>
    <row r="4393">
      <c r="L4393" s="13"/>
      <c r="M4393" s="14"/>
      <c r="N4393" s="14"/>
      <c r="O4393" s="14"/>
      <c r="P4393" s="13"/>
    </row>
    <row r="4394">
      <c r="L4394" s="13"/>
      <c r="M4394" s="14"/>
      <c r="N4394" s="14"/>
      <c r="O4394" s="14"/>
      <c r="P4394" s="13"/>
    </row>
    <row r="4395">
      <c r="L4395" s="13"/>
      <c r="M4395" s="14"/>
      <c r="N4395" s="14"/>
      <c r="O4395" s="14"/>
      <c r="P4395" s="13"/>
    </row>
    <row r="4396">
      <c r="L4396" s="13"/>
      <c r="M4396" s="14"/>
      <c r="N4396" s="14"/>
      <c r="O4396" s="14"/>
      <c r="P4396" s="13"/>
    </row>
    <row r="4397">
      <c r="L4397" s="13"/>
      <c r="M4397" s="14"/>
      <c r="N4397" s="14"/>
      <c r="O4397" s="14"/>
      <c r="P4397" s="13"/>
    </row>
    <row r="4398">
      <c r="L4398" s="13"/>
      <c r="M4398" s="14"/>
      <c r="N4398" s="14"/>
      <c r="O4398" s="14"/>
      <c r="P4398" s="13"/>
    </row>
    <row r="4399">
      <c r="L4399" s="13"/>
      <c r="M4399" s="14"/>
      <c r="N4399" s="14"/>
      <c r="O4399" s="14"/>
      <c r="P4399" s="13"/>
    </row>
    <row r="4400">
      <c r="L4400" s="13"/>
      <c r="M4400" s="14"/>
      <c r="N4400" s="14"/>
      <c r="O4400" s="14"/>
      <c r="P4400" s="13"/>
    </row>
    <row r="4401">
      <c r="L4401" s="13"/>
      <c r="M4401" s="14"/>
      <c r="N4401" s="14"/>
      <c r="O4401" s="14"/>
      <c r="P4401" s="13"/>
    </row>
    <row r="4402">
      <c r="L4402" s="13"/>
      <c r="M4402" s="14"/>
      <c r="N4402" s="14"/>
      <c r="O4402" s="14"/>
      <c r="P4402" s="13"/>
    </row>
    <row r="4403">
      <c r="L4403" s="13"/>
      <c r="M4403" s="14"/>
      <c r="N4403" s="14"/>
      <c r="O4403" s="14"/>
      <c r="P4403" s="13"/>
    </row>
    <row r="4404">
      <c r="L4404" s="13"/>
      <c r="M4404" s="14"/>
      <c r="N4404" s="14"/>
      <c r="O4404" s="14"/>
      <c r="P4404" s="13"/>
    </row>
    <row r="4405">
      <c r="L4405" s="13"/>
      <c r="M4405" s="14"/>
      <c r="N4405" s="14"/>
      <c r="O4405" s="14"/>
      <c r="P4405" s="13"/>
    </row>
    <row r="4406">
      <c r="L4406" s="13"/>
      <c r="M4406" s="14"/>
      <c r="N4406" s="14"/>
      <c r="O4406" s="14"/>
      <c r="P4406" s="13"/>
    </row>
    <row r="4407">
      <c r="L4407" s="13"/>
      <c r="M4407" s="14"/>
      <c r="N4407" s="14"/>
      <c r="O4407" s="14"/>
      <c r="P4407" s="13"/>
    </row>
    <row r="4408">
      <c r="L4408" s="13"/>
      <c r="M4408" s="14"/>
      <c r="N4408" s="14"/>
      <c r="O4408" s="14"/>
      <c r="P4408" s="13"/>
    </row>
    <row r="4409">
      <c r="L4409" s="13"/>
      <c r="M4409" s="14"/>
      <c r="N4409" s="14"/>
      <c r="O4409" s="14"/>
      <c r="P4409" s="13"/>
    </row>
    <row r="4410">
      <c r="L4410" s="13"/>
      <c r="M4410" s="14"/>
      <c r="N4410" s="14"/>
      <c r="O4410" s="14"/>
      <c r="P4410" s="13"/>
    </row>
    <row r="4411">
      <c r="L4411" s="13"/>
      <c r="M4411" s="14"/>
      <c r="N4411" s="14"/>
      <c r="O4411" s="14"/>
      <c r="P4411" s="13"/>
    </row>
    <row r="4412">
      <c r="L4412" s="13"/>
      <c r="M4412" s="14"/>
      <c r="N4412" s="14"/>
      <c r="O4412" s="14"/>
      <c r="P4412" s="13"/>
    </row>
    <row r="4413">
      <c r="L4413" s="13"/>
      <c r="M4413" s="14"/>
      <c r="N4413" s="14"/>
      <c r="O4413" s="14"/>
      <c r="P4413" s="13"/>
    </row>
    <row r="4414">
      <c r="L4414" s="13"/>
      <c r="M4414" s="14"/>
      <c r="N4414" s="14"/>
      <c r="O4414" s="14"/>
      <c r="P4414" s="13"/>
    </row>
    <row r="4415">
      <c r="L4415" s="13"/>
      <c r="M4415" s="14"/>
      <c r="N4415" s="14"/>
      <c r="O4415" s="14"/>
      <c r="P4415" s="13"/>
    </row>
    <row r="4416">
      <c r="L4416" s="13"/>
      <c r="M4416" s="14"/>
      <c r="N4416" s="14"/>
      <c r="O4416" s="14"/>
      <c r="P4416" s="13"/>
    </row>
    <row r="4417">
      <c r="L4417" s="13"/>
      <c r="M4417" s="14"/>
      <c r="N4417" s="14"/>
      <c r="O4417" s="14"/>
      <c r="P4417" s="13"/>
    </row>
    <row r="4418">
      <c r="L4418" s="13"/>
      <c r="M4418" s="14"/>
      <c r="N4418" s="14"/>
      <c r="O4418" s="14"/>
      <c r="P4418" s="13"/>
    </row>
    <row r="4419">
      <c r="L4419" s="13"/>
      <c r="M4419" s="14"/>
      <c r="N4419" s="14"/>
      <c r="O4419" s="14"/>
      <c r="P4419" s="13"/>
    </row>
    <row r="4420">
      <c r="L4420" s="13"/>
      <c r="M4420" s="14"/>
      <c r="N4420" s="14"/>
      <c r="O4420" s="14"/>
      <c r="P4420" s="13"/>
    </row>
    <row r="4421">
      <c r="L4421" s="13"/>
      <c r="M4421" s="14"/>
      <c r="N4421" s="14"/>
      <c r="O4421" s="14"/>
      <c r="P4421" s="13"/>
    </row>
    <row r="4422">
      <c r="L4422" s="13"/>
      <c r="M4422" s="14"/>
      <c r="N4422" s="14"/>
      <c r="O4422" s="14"/>
      <c r="P4422" s="13"/>
    </row>
    <row r="4423">
      <c r="L4423" s="13"/>
      <c r="M4423" s="14"/>
      <c r="N4423" s="14"/>
      <c r="O4423" s="14"/>
      <c r="P4423" s="13"/>
    </row>
    <row r="4424">
      <c r="L4424" s="13"/>
      <c r="M4424" s="14"/>
      <c r="N4424" s="14"/>
      <c r="O4424" s="14"/>
      <c r="P4424" s="13"/>
    </row>
    <row r="4425">
      <c r="L4425" s="13"/>
      <c r="M4425" s="14"/>
      <c r="N4425" s="14"/>
      <c r="O4425" s="14"/>
      <c r="P4425" s="13"/>
    </row>
    <row r="4426">
      <c r="L4426" s="13"/>
      <c r="M4426" s="14"/>
      <c r="N4426" s="14"/>
      <c r="O4426" s="14"/>
      <c r="P4426" s="13"/>
    </row>
    <row r="4427">
      <c r="L4427" s="13"/>
      <c r="M4427" s="14"/>
      <c r="N4427" s="14"/>
      <c r="O4427" s="14"/>
      <c r="P4427" s="13"/>
    </row>
    <row r="4428">
      <c r="L4428" s="13"/>
      <c r="M4428" s="14"/>
      <c r="N4428" s="14"/>
      <c r="O4428" s="14"/>
      <c r="P4428" s="13"/>
    </row>
    <row r="4429">
      <c r="L4429" s="13"/>
      <c r="M4429" s="14"/>
      <c r="N4429" s="14"/>
      <c r="O4429" s="14"/>
      <c r="P4429" s="13"/>
    </row>
    <row r="4430">
      <c r="L4430" s="13"/>
      <c r="M4430" s="14"/>
      <c r="N4430" s="14"/>
      <c r="O4430" s="14"/>
      <c r="P4430" s="13"/>
    </row>
    <row r="4431">
      <c r="L4431" s="13"/>
      <c r="M4431" s="14"/>
      <c r="N4431" s="14"/>
      <c r="O4431" s="14"/>
      <c r="P4431" s="13"/>
    </row>
    <row r="4432">
      <c r="L4432" s="13"/>
      <c r="M4432" s="14"/>
      <c r="N4432" s="14"/>
      <c r="O4432" s="14"/>
      <c r="P4432" s="13"/>
    </row>
    <row r="4433">
      <c r="L4433" s="13"/>
      <c r="M4433" s="14"/>
      <c r="N4433" s="14"/>
      <c r="O4433" s="14"/>
      <c r="P4433" s="13"/>
    </row>
    <row r="4434">
      <c r="L4434" s="13"/>
      <c r="M4434" s="14"/>
      <c r="N4434" s="14"/>
      <c r="O4434" s="14"/>
      <c r="P4434" s="13"/>
    </row>
    <row r="4435">
      <c r="L4435" s="13"/>
      <c r="M4435" s="14"/>
      <c r="N4435" s="14"/>
      <c r="O4435" s="14"/>
      <c r="P4435" s="13"/>
    </row>
    <row r="4436">
      <c r="L4436" s="13"/>
      <c r="M4436" s="14"/>
      <c r="N4436" s="14"/>
      <c r="O4436" s="14"/>
      <c r="P4436" s="13"/>
    </row>
    <row r="4437">
      <c r="L4437" s="13"/>
      <c r="M4437" s="14"/>
      <c r="N4437" s="14"/>
      <c r="O4437" s="14"/>
      <c r="P4437" s="13"/>
    </row>
    <row r="4438">
      <c r="L4438" s="13"/>
      <c r="M4438" s="14"/>
      <c r="N4438" s="14"/>
      <c r="O4438" s="14"/>
      <c r="P4438" s="13"/>
    </row>
    <row r="4439">
      <c r="L4439" s="13"/>
      <c r="M4439" s="14"/>
      <c r="N4439" s="14"/>
      <c r="O4439" s="14"/>
      <c r="P4439" s="13"/>
    </row>
    <row r="4440">
      <c r="L4440" s="13"/>
      <c r="M4440" s="14"/>
      <c r="N4440" s="14"/>
      <c r="O4440" s="14"/>
      <c r="P4440" s="13"/>
    </row>
    <row r="4441">
      <c r="L4441" s="13"/>
      <c r="M4441" s="14"/>
      <c r="N4441" s="14"/>
      <c r="O4441" s="14"/>
      <c r="P4441" s="13"/>
    </row>
    <row r="4442">
      <c r="L4442" s="13"/>
      <c r="M4442" s="14"/>
      <c r="N4442" s="14"/>
      <c r="O4442" s="14"/>
      <c r="P4442" s="13"/>
    </row>
    <row r="4443">
      <c r="L4443" s="13"/>
      <c r="M4443" s="14"/>
      <c r="N4443" s="14"/>
      <c r="O4443" s="14"/>
      <c r="P4443" s="13"/>
    </row>
    <row r="4444">
      <c r="L4444" s="13"/>
      <c r="M4444" s="14"/>
      <c r="N4444" s="14"/>
      <c r="O4444" s="14"/>
      <c r="P4444" s="13"/>
    </row>
    <row r="4445">
      <c r="L4445" s="13"/>
      <c r="M4445" s="14"/>
      <c r="N4445" s="14"/>
      <c r="O4445" s="14"/>
      <c r="P4445" s="13"/>
    </row>
    <row r="4446">
      <c r="L4446" s="13"/>
      <c r="M4446" s="14"/>
      <c r="N4446" s="14"/>
      <c r="O4446" s="14"/>
      <c r="P4446" s="13"/>
    </row>
    <row r="4447">
      <c r="L4447" s="13"/>
      <c r="M4447" s="14"/>
      <c r="N4447" s="14"/>
      <c r="O4447" s="14"/>
      <c r="P4447" s="13"/>
    </row>
    <row r="4448">
      <c r="L4448" s="13"/>
      <c r="M4448" s="14"/>
      <c r="N4448" s="14"/>
      <c r="O4448" s="14"/>
      <c r="P4448" s="13"/>
    </row>
    <row r="4449">
      <c r="L4449" s="13"/>
      <c r="M4449" s="14"/>
      <c r="N4449" s="14"/>
      <c r="O4449" s="14"/>
      <c r="P4449" s="13"/>
    </row>
    <row r="4450">
      <c r="L4450" s="13"/>
      <c r="M4450" s="14"/>
      <c r="N4450" s="14"/>
      <c r="O4450" s="14"/>
      <c r="P4450" s="13"/>
    </row>
    <row r="4451">
      <c r="L4451" s="13"/>
      <c r="M4451" s="14"/>
      <c r="N4451" s="14"/>
      <c r="O4451" s="14"/>
      <c r="P4451" s="13"/>
    </row>
    <row r="4452">
      <c r="L4452" s="13"/>
      <c r="M4452" s="14"/>
      <c r="N4452" s="14"/>
      <c r="O4452" s="14"/>
      <c r="P4452" s="13"/>
    </row>
    <row r="4453">
      <c r="L4453" s="13"/>
      <c r="M4453" s="14"/>
      <c r="N4453" s="14"/>
      <c r="O4453" s="14"/>
      <c r="P4453" s="13"/>
    </row>
    <row r="4454">
      <c r="L4454" s="13"/>
      <c r="M4454" s="14"/>
      <c r="N4454" s="14"/>
      <c r="O4454" s="14"/>
      <c r="P4454" s="13"/>
    </row>
    <row r="4455">
      <c r="L4455" s="13"/>
      <c r="M4455" s="14"/>
      <c r="N4455" s="14"/>
      <c r="O4455" s="14"/>
      <c r="P4455" s="13"/>
    </row>
    <row r="4456">
      <c r="L4456" s="13"/>
      <c r="M4456" s="14"/>
      <c r="N4456" s="14"/>
      <c r="O4456" s="14"/>
      <c r="P4456" s="13"/>
    </row>
    <row r="4457">
      <c r="L4457" s="13"/>
      <c r="M4457" s="14"/>
      <c r="N4457" s="14"/>
      <c r="O4457" s="14"/>
      <c r="P4457" s="13"/>
    </row>
    <row r="4458">
      <c r="L4458" s="13"/>
      <c r="M4458" s="14"/>
      <c r="N4458" s="14"/>
      <c r="O4458" s="14"/>
      <c r="P4458" s="13"/>
    </row>
    <row r="4459">
      <c r="L4459" s="13"/>
      <c r="M4459" s="14"/>
      <c r="N4459" s="14"/>
      <c r="O4459" s="14"/>
      <c r="P4459" s="13"/>
    </row>
    <row r="4460">
      <c r="L4460" s="13"/>
      <c r="M4460" s="14"/>
      <c r="N4460" s="14"/>
      <c r="O4460" s="14"/>
      <c r="P4460" s="13"/>
    </row>
    <row r="4461">
      <c r="L4461" s="13"/>
      <c r="M4461" s="14"/>
      <c r="N4461" s="14"/>
      <c r="O4461" s="14"/>
      <c r="P4461" s="13"/>
    </row>
    <row r="4462">
      <c r="L4462" s="13"/>
      <c r="M4462" s="14"/>
      <c r="N4462" s="14"/>
      <c r="O4462" s="14"/>
      <c r="P4462" s="13"/>
    </row>
    <row r="4463">
      <c r="L4463" s="13"/>
      <c r="M4463" s="14"/>
      <c r="N4463" s="14"/>
      <c r="O4463" s="14"/>
      <c r="P4463" s="13"/>
    </row>
    <row r="4464">
      <c r="L4464" s="13"/>
      <c r="M4464" s="14"/>
      <c r="N4464" s="14"/>
      <c r="O4464" s="14"/>
      <c r="P4464" s="13"/>
    </row>
    <row r="4465">
      <c r="L4465" s="13"/>
      <c r="M4465" s="14"/>
      <c r="N4465" s="14"/>
      <c r="O4465" s="14"/>
      <c r="P4465" s="13"/>
    </row>
    <row r="4466">
      <c r="L4466" s="13"/>
      <c r="M4466" s="14"/>
      <c r="N4466" s="14"/>
      <c r="O4466" s="14"/>
      <c r="P4466" s="13"/>
    </row>
    <row r="4467">
      <c r="L4467" s="13"/>
      <c r="M4467" s="14"/>
      <c r="N4467" s="14"/>
      <c r="O4467" s="14"/>
      <c r="P4467" s="13"/>
    </row>
    <row r="4468">
      <c r="L4468" s="13"/>
      <c r="M4468" s="14"/>
      <c r="N4468" s="14"/>
      <c r="O4468" s="14"/>
      <c r="P4468" s="13"/>
    </row>
    <row r="4469">
      <c r="L4469" s="13"/>
      <c r="M4469" s="14"/>
      <c r="N4469" s="14"/>
      <c r="O4469" s="14"/>
      <c r="P4469" s="13"/>
    </row>
    <row r="4470">
      <c r="L4470" s="13"/>
      <c r="M4470" s="14"/>
      <c r="N4470" s="14"/>
      <c r="O4470" s="14"/>
      <c r="P4470" s="13"/>
    </row>
    <row r="4471">
      <c r="L4471" s="13"/>
      <c r="M4471" s="14"/>
      <c r="N4471" s="14"/>
      <c r="O4471" s="14"/>
      <c r="P4471" s="13"/>
    </row>
    <row r="4472">
      <c r="L4472" s="13"/>
      <c r="M4472" s="14"/>
      <c r="N4472" s="14"/>
      <c r="O4472" s="14"/>
      <c r="P4472" s="13"/>
    </row>
    <row r="4473">
      <c r="L4473" s="13"/>
      <c r="M4473" s="14"/>
      <c r="N4473" s="14"/>
      <c r="O4473" s="14"/>
      <c r="P4473" s="13"/>
    </row>
    <row r="4474">
      <c r="L4474" s="13"/>
      <c r="M4474" s="14"/>
      <c r="N4474" s="14"/>
      <c r="O4474" s="14"/>
      <c r="P4474" s="13"/>
    </row>
    <row r="4475">
      <c r="L4475" s="13"/>
      <c r="M4475" s="14"/>
      <c r="N4475" s="14"/>
      <c r="O4475" s="14"/>
      <c r="P4475" s="13"/>
    </row>
    <row r="4476">
      <c r="L4476" s="13"/>
      <c r="M4476" s="14"/>
      <c r="N4476" s="14"/>
      <c r="O4476" s="14"/>
      <c r="P4476" s="13"/>
    </row>
    <row r="4477">
      <c r="L4477" s="13"/>
      <c r="M4477" s="14"/>
      <c r="N4477" s="14"/>
      <c r="O4477" s="14"/>
      <c r="P4477" s="13"/>
    </row>
    <row r="4478">
      <c r="L4478" s="13"/>
      <c r="M4478" s="14"/>
      <c r="N4478" s="14"/>
      <c r="O4478" s="14"/>
      <c r="P4478" s="13"/>
    </row>
    <row r="4479">
      <c r="L4479" s="13"/>
      <c r="M4479" s="14"/>
      <c r="N4479" s="14"/>
      <c r="O4479" s="14"/>
      <c r="P4479" s="13"/>
    </row>
    <row r="4480">
      <c r="L4480" s="13"/>
      <c r="M4480" s="14"/>
      <c r="N4480" s="14"/>
      <c r="O4480" s="14"/>
      <c r="P4480" s="13"/>
    </row>
    <row r="4481">
      <c r="L4481" s="13"/>
      <c r="M4481" s="14"/>
      <c r="N4481" s="14"/>
      <c r="O4481" s="14"/>
      <c r="P4481" s="13"/>
    </row>
    <row r="4482">
      <c r="L4482" s="13"/>
      <c r="M4482" s="14"/>
      <c r="N4482" s="14"/>
      <c r="O4482" s="14"/>
      <c r="P4482" s="13"/>
    </row>
    <row r="4483">
      <c r="L4483" s="13"/>
      <c r="M4483" s="14"/>
      <c r="N4483" s="14"/>
      <c r="O4483" s="14"/>
      <c r="P4483" s="13"/>
    </row>
    <row r="4484">
      <c r="L4484" s="13"/>
      <c r="M4484" s="14"/>
      <c r="N4484" s="14"/>
      <c r="O4484" s="14"/>
      <c r="P4484" s="13"/>
    </row>
    <row r="4485">
      <c r="L4485" s="13"/>
      <c r="M4485" s="14"/>
      <c r="N4485" s="14"/>
      <c r="O4485" s="14"/>
      <c r="P4485" s="13"/>
    </row>
    <row r="4486">
      <c r="L4486" s="13"/>
      <c r="M4486" s="14"/>
      <c r="N4486" s="14"/>
      <c r="O4486" s="14"/>
      <c r="P4486" s="13"/>
    </row>
    <row r="4487">
      <c r="L4487" s="13"/>
      <c r="M4487" s="14"/>
      <c r="N4487" s="14"/>
      <c r="O4487" s="14"/>
      <c r="P4487" s="13"/>
    </row>
    <row r="4488">
      <c r="L4488" s="13"/>
      <c r="M4488" s="14"/>
      <c r="N4488" s="14"/>
      <c r="O4488" s="14"/>
      <c r="P4488" s="13"/>
    </row>
    <row r="4489">
      <c r="L4489" s="13"/>
      <c r="M4489" s="14"/>
      <c r="N4489" s="14"/>
      <c r="O4489" s="14"/>
      <c r="P4489" s="13"/>
    </row>
    <row r="4490">
      <c r="L4490" s="13"/>
      <c r="M4490" s="14"/>
      <c r="N4490" s="14"/>
      <c r="O4490" s="14"/>
      <c r="P4490" s="13"/>
    </row>
    <row r="4491">
      <c r="L4491" s="13"/>
      <c r="M4491" s="14"/>
      <c r="N4491" s="14"/>
      <c r="O4491" s="14"/>
      <c r="P4491" s="13"/>
    </row>
    <row r="4492">
      <c r="L4492" s="13"/>
      <c r="M4492" s="14"/>
      <c r="N4492" s="14"/>
      <c r="O4492" s="14"/>
      <c r="P4492" s="13"/>
    </row>
    <row r="4493">
      <c r="L4493" s="13"/>
      <c r="M4493" s="14"/>
      <c r="N4493" s="14"/>
      <c r="O4493" s="14"/>
      <c r="P4493" s="13"/>
    </row>
    <row r="4494">
      <c r="L4494" s="13"/>
      <c r="M4494" s="14"/>
      <c r="N4494" s="14"/>
      <c r="O4494" s="14"/>
      <c r="P4494" s="13"/>
    </row>
    <row r="4495">
      <c r="L4495" s="13"/>
      <c r="M4495" s="14"/>
      <c r="N4495" s="14"/>
      <c r="O4495" s="14"/>
      <c r="P4495" s="13"/>
    </row>
    <row r="4496">
      <c r="L4496" s="13"/>
      <c r="M4496" s="14"/>
      <c r="N4496" s="14"/>
      <c r="O4496" s="14"/>
      <c r="P4496" s="13"/>
    </row>
    <row r="4497">
      <c r="L4497" s="13"/>
      <c r="M4497" s="14"/>
      <c r="N4497" s="14"/>
      <c r="O4497" s="14"/>
      <c r="P4497" s="13"/>
    </row>
    <row r="4498">
      <c r="L4498" s="13"/>
      <c r="M4498" s="14"/>
      <c r="N4498" s="14"/>
      <c r="O4498" s="14"/>
      <c r="P4498" s="13"/>
    </row>
    <row r="4499">
      <c r="L4499" s="13"/>
      <c r="M4499" s="14"/>
      <c r="N4499" s="14"/>
      <c r="O4499" s="14"/>
      <c r="P4499" s="13"/>
    </row>
    <row r="4500">
      <c r="L4500" s="13"/>
      <c r="M4500" s="14"/>
      <c r="N4500" s="14"/>
      <c r="O4500" s="14"/>
      <c r="P4500" s="13"/>
    </row>
    <row r="4501">
      <c r="L4501" s="13"/>
      <c r="M4501" s="14"/>
      <c r="N4501" s="14"/>
      <c r="O4501" s="14"/>
      <c r="P4501" s="13"/>
    </row>
    <row r="4502">
      <c r="L4502" s="13"/>
      <c r="M4502" s="14"/>
      <c r="N4502" s="14"/>
      <c r="O4502" s="14"/>
      <c r="P4502" s="13"/>
    </row>
    <row r="4503">
      <c r="L4503" s="13"/>
      <c r="M4503" s="14"/>
      <c r="N4503" s="14"/>
      <c r="O4503" s="14"/>
      <c r="P4503" s="13"/>
    </row>
    <row r="4504">
      <c r="L4504" s="13"/>
      <c r="M4504" s="14"/>
      <c r="N4504" s="14"/>
      <c r="O4504" s="14"/>
      <c r="P4504" s="13"/>
    </row>
    <row r="4505">
      <c r="L4505" s="13"/>
      <c r="M4505" s="14"/>
      <c r="N4505" s="14"/>
      <c r="O4505" s="14"/>
      <c r="P4505" s="13"/>
    </row>
    <row r="4506">
      <c r="L4506" s="13"/>
      <c r="M4506" s="14"/>
      <c r="N4506" s="14"/>
      <c r="O4506" s="14"/>
      <c r="P4506" s="13"/>
    </row>
    <row r="4507">
      <c r="L4507" s="13"/>
      <c r="M4507" s="14"/>
      <c r="N4507" s="14"/>
      <c r="O4507" s="14"/>
      <c r="P4507" s="13"/>
    </row>
    <row r="4508">
      <c r="L4508" s="13"/>
      <c r="M4508" s="14"/>
      <c r="N4508" s="14"/>
      <c r="O4508" s="14"/>
      <c r="P4508" s="13"/>
    </row>
    <row r="4509">
      <c r="L4509" s="13"/>
      <c r="M4509" s="14"/>
      <c r="N4509" s="14"/>
      <c r="O4509" s="14"/>
      <c r="P4509" s="13"/>
    </row>
    <row r="4510">
      <c r="L4510" s="13"/>
      <c r="M4510" s="14"/>
      <c r="N4510" s="14"/>
      <c r="O4510" s="14"/>
      <c r="P4510" s="13"/>
    </row>
    <row r="4511">
      <c r="L4511" s="13"/>
      <c r="M4511" s="14"/>
      <c r="N4511" s="14"/>
      <c r="O4511" s="14"/>
      <c r="P4511" s="13"/>
    </row>
    <row r="4512">
      <c r="L4512" s="13"/>
      <c r="M4512" s="14"/>
      <c r="N4512" s="14"/>
      <c r="O4512" s="14"/>
      <c r="P4512" s="13"/>
    </row>
    <row r="4513">
      <c r="L4513" s="13"/>
      <c r="M4513" s="14"/>
      <c r="N4513" s="14"/>
      <c r="O4513" s="14"/>
      <c r="P4513" s="13"/>
    </row>
    <row r="4514">
      <c r="L4514" s="13"/>
      <c r="M4514" s="14"/>
      <c r="N4514" s="14"/>
      <c r="O4514" s="14"/>
      <c r="P4514" s="13"/>
    </row>
    <row r="4515">
      <c r="L4515" s="13"/>
      <c r="M4515" s="14"/>
      <c r="N4515" s="14"/>
      <c r="O4515" s="14"/>
      <c r="P4515" s="13"/>
    </row>
    <row r="4516">
      <c r="L4516" s="13"/>
      <c r="M4516" s="14"/>
      <c r="N4516" s="14"/>
      <c r="O4516" s="14"/>
      <c r="P4516" s="13"/>
    </row>
    <row r="4517">
      <c r="L4517" s="13"/>
      <c r="M4517" s="14"/>
      <c r="N4517" s="14"/>
      <c r="O4517" s="14"/>
      <c r="P4517" s="13"/>
    </row>
    <row r="4518">
      <c r="L4518" s="13"/>
      <c r="M4518" s="14"/>
      <c r="N4518" s="14"/>
      <c r="O4518" s="14"/>
      <c r="P4518" s="13"/>
    </row>
    <row r="4519">
      <c r="L4519" s="13"/>
      <c r="M4519" s="14"/>
      <c r="N4519" s="14"/>
      <c r="O4519" s="14"/>
      <c r="P4519" s="13"/>
    </row>
    <row r="4520">
      <c r="L4520" s="13"/>
      <c r="M4520" s="14"/>
      <c r="N4520" s="14"/>
      <c r="O4520" s="14"/>
      <c r="P4520" s="13"/>
    </row>
    <row r="4521">
      <c r="L4521" s="13"/>
      <c r="M4521" s="14"/>
      <c r="N4521" s="14"/>
      <c r="O4521" s="14"/>
      <c r="P4521" s="13"/>
    </row>
    <row r="4522">
      <c r="L4522" s="13"/>
      <c r="M4522" s="14"/>
      <c r="N4522" s="14"/>
      <c r="O4522" s="14"/>
      <c r="P4522" s="13"/>
    </row>
    <row r="4523">
      <c r="L4523" s="13"/>
      <c r="M4523" s="14"/>
      <c r="N4523" s="14"/>
      <c r="O4523" s="14"/>
      <c r="P4523" s="13"/>
    </row>
    <row r="4524">
      <c r="L4524" s="13"/>
      <c r="M4524" s="14"/>
      <c r="N4524" s="14"/>
      <c r="O4524" s="14"/>
      <c r="P4524" s="13"/>
    </row>
    <row r="4525">
      <c r="L4525" s="13"/>
      <c r="M4525" s="14"/>
      <c r="N4525" s="14"/>
      <c r="O4525" s="14"/>
      <c r="P4525" s="13"/>
    </row>
    <row r="4526">
      <c r="L4526" s="13"/>
      <c r="M4526" s="14"/>
      <c r="N4526" s="14"/>
      <c r="O4526" s="14"/>
      <c r="P4526" s="13"/>
    </row>
    <row r="4527">
      <c r="L4527" s="13"/>
      <c r="M4527" s="14"/>
      <c r="N4527" s="14"/>
      <c r="O4527" s="14"/>
      <c r="P4527" s="13"/>
    </row>
    <row r="4528">
      <c r="L4528" s="13"/>
      <c r="M4528" s="14"/>
      <c r="N4528" s="14"/>
      <c r="O4528" s="14"/>
      <c r="P4528" s="13"/>
    </row>
    <row r="4529">
      <c r="L4529" s="13"/>
      <c r="M4529" s="14"/>
      <c r="N4529" s="14"/>
      <c r="O4529" s="14"/>
      <c r="P4529" s="13"/>
    </row>
    <row r="4530">
      <c r="L4530" s="13"/>
      <c r="M4530" s="14"/>
      <c r="N4530" s="14"/>
      <c r="O4530" s="14"/>
      <c r="P4530" s="13"/>
    </row>
    <row r="4531">
      <c r="L4531" s="13"/>
      <c r="M4531" s="14"/>
      <c r="N4531" s="14"/>
      <c r="O4531" s="14"/>
      <c r="P4531" s="13"/>
    </row>
    <row r="4532">
      <c r="L4532" s="13"/>
      <c r="M4532" s="14"/>
      <c r="N4532" s="14"/>
      <c r="O4532" s="14"/>
      <c r="P4532" s="13"/>
    </row>
    <row r="4533">
      <c r="L4533" s="13"/>
      <c r="M4533" s="14"/>
      <c r="N4533" s="14"/>
      <c r="O4533" s="14"/>
      <c r="P4533" s="13"/>
    </row>
    <row r="4534">
      <c r="L4534" s="13"/>
      <c r="M4534" s="14"/>
      <c r="N4534" s="14"/>
      <c r="O4534" s="14"/>
      <c r="P4534" s="13"/>
    </row>
    <row r="4535">
      <c r="L4535" s="13"/>
      <c r="M4535" s="14"/>
      <c r="N4535" s="14"/>
      <c r="O4535" s="14"/>
      <c r="P4535" s="13"/>
    </row>
    <row r="4536">
      <c r="L4536" s="13"/>
      <c r="M4536" s="14"/>
      <c r="N4536" s="14"/>
      <c r="O4536" s="14"/>
      <c r="P4536" s="13"/>
    </row>
    <row r="4537">
      <c r="L4537" s="13"/>
      <c r="M4537" s="14"/>
      <c r="N4537" s="14"/>
      <c r="O4537" s="14"/>
      <c r="P4537" s="13"/>
    </row>
    <row r="4538">
      <c r="L4538" s="13"/>
      <c r="M4538" s="14"/>
      <c r="N4538" s="14"/>
      <c r="O4538" s="14"/>
      <c r="P4538" s="13"/>
    </row>
    <row r="4539">
      <c r="L4539" s="13"/>
      <c r="M4539" s="14"/>
      <c r="N4539" s="14"/>
      <c r="O4539" s="14"/>
      <c r="P4539" s="13"/>
    </row>
    <row r="4540">
      <c r="L4540" s="13"/>
      <c r="M4540" s="14"/>
      <c r="N4540" s="14"/>
      <c r="O4540" s="14"/>
      <c r="P4540" s="13"/>
    </row>
    <row r="4541">
      <c r="L4541" s="13"/>
      <c r="M4541" s="14"/>
      <c r="N4541" s="14"/>
      <c r="O4541" s="14"/>
      <c r="P4541" s="13"/>
    </row>
    <row r="4542">
      <c r="L4542" s="13"/>
      <c r="M4542" s="14"/>
      <c r="N4542" s="14"/>
      <c r="O4542" s="14"/>
      <c r="P4542" s="13"/>
    </row>
    <row r="4543">
      <c r="L4543" s="13"/>
      <c r="M4543" s="14"/>
      <c r="N4543" s="14"/>
      <c r="O4543" s="14"/>
      <c r="P4543" s="13"/>
    </row>
    <row r="4544">
      <c r="L4544" s="13"/>
      <c r="M4544" s="14"/>
      <c r="N4544" s="14"/>
      <c r="O4544" s="14"/>
      <c r="P4544" s="13"/>
    </row>
    <row r="4545">
      <c r="L4545" s="13"/>
      <c r="M4545" s="14"/>
      <c r="N4545" s="14"/>
      <c r="O4545" s="14"/>
      <c r="P4545" s="13"/>
    </row>
    <row r="4546">
      <c r="L4546" s="13"/>
      <c r="M4546" s="14"/>
      <c r="N4546" s="14"/>
      <c r="O4546" s="14"/>
      <c r="P4546" s="13"/>
    </row>
    <row r="4547">
      <c r="L4547" s="13"/>
      <c r="M4547" s="14"/>
      <c r="N4547" s="14"/>
      <c r="O4547" s="14"/>
      <c r="P4547" s="13"/>
    </row>
    <row r="4548">
      <c r="L4548" s="13"/>
      <c r="M4548" s="14"/>
      <c r="N4548" s="14"/>
      <c r="O4548" s="14"/>
      <c r="P4548" s="13"/>
    </row>
    <row r="4549">
      <c r="L4549" s="13"/>
      <c r="M4549" s="14"/>
      <c r="N4549" s="14"/>
      <c r="O4549" s="14"/>
      <c r="P4549" s="13"/>
    </row>
    <row r="4550">
      <c r="L4550" s="13"/>
      <c r="M4550" s="14"/>
      <c r="N4550" s="14"/>
      <c r="O4550" s="14"/>
      <c r="P4550" s="13"/>
    </row>
    <row r="4551">
      <c r="L4551" s="13"/>
      <c r="M4551" s="14"/>
      <c r="N4551" s="14"/>
      <c r="O4551" s="14"/>
      <c r="P4551" s="13"/>
    </row>
    <row r="4552">
      <c r="L4552" s="13"/>
      <c r="M4552" s="14"/>
      <c r="N4552" s="14"/>
      <c r="O4552" s="14"/>
      <c r="P4552" s="13"/>
    </row>
    <row r="4553">
      <c r="L4553" s="13"/>
      <c r="M4553" s="14"/>
      <c r="N4553" s="14"/>
      <c r="O4553" s="14"/>
      <c r="P4553" s="13"/>
    </row>
    <row r="4554">
      <c r="L4554" s="13"/>
      <c r="M4554" s="14"/>
      <c r="N4554" s="14"/>
      <c r="O4554" s="14"/>
      <c r="P4554" s="13"/>
    </row>
    <row r="4555">
      <c r="L4555" s="13"/>
      <c r="M4555" s="14"/>
      <c r="N4555" s="14"/>
      <c r="O4555" s="14"/>
      <c r="P4555" s="13"/>
    </row>
    <row r="4556">
      <c r="L4556" s="13"/>
      <c r="M4556" s="14"/>
      <c r="N4556" s="14"/>
      <c r="O4556" s="14"/>
      <c r="P4556" s="13"/>
    </row>
    <row r="4557">
      <c r="L4557" s="13"/>
      <c r="M4557" s="14"/>
      <c r="N4557" s="14"/>
      <c r="O4557" s="14"/>
      <c r="P4557" s="13"/>
    </row>
    <row r="4558">
      <c r="L4558" s="13"/>
      <c r="M4558" s="14"/>
      <c r="N4558" s="14"/>
      <c r="O4558" s="14"/>
      <c r="P4558" s="13"/>
    </row>
    <row r="4559">
      <c r="L4559" s="13"/>
      <c r="M4559" s="14"/>
      <c r="N4559" s="14"/>
      <c r="O4559" s="14"/>
      <c r="P4559" s="13"/>
    </row>
    <row r="4560">
      <c r="L4560" s="13"/>
      <c r="M4560" s="14"/>
      <c r="N4560" s="14"/>
      <c r="O4560" s="14"/>
      <c r="P4560" s="13"/>
    </row>
    <row r="4561">
      <c r="L4561" s="13"/>
      <c r="M4561" s="14"/>
      <c r="N4561" s="14"/>
      <c r="O4561" s="14"/>
      <c r="P4561" s="13"/>
    </row>
    <row r="4562">
      <c r="L4562" s="13"/>
      <c r="M4562" s="14"/>
      <c r="N4562" s="14"/>
      <c r="O4562" s="14"/>
      <c r="P4562" s="13"/>
    </row>
    <row r="4563">
      <c r="L4563" s="13"/>
      <c r="M4563" s="14"/>
      <c r="N4563" s="14"/>
      <c r="O4563" s="14"/>
      <c r="P4563" s="13"/>
    </row>
    <row r="4564">
      <c r="L4564" s="13"/>
      <c r="M4564" s="14"/>
      <c r="N4564" s="14"/>
      <c r="O4564" s="14"/>
      <c r="P4564" s="13"/>
    </row>
    <row r="4565">
      <c r="L4565" s="13"/>
      <c r="M4565" s="14"/>
      <c r="N4565" s="14"/>
      <c r="O4565" s="14"/>
      <c r="P4565" s="13"/>
    </row>
    <row r="4566">
      <c r="L4566" s="13"/>
      <c r="M4566" s="14"/>
      <c r="N4566" s="14"/>
      <c r="O4566" s="14"/>
      <c r="P4566" s="13"/>
    </row>
    <row r="4567">
      <c r="L4567" s="13"/>
      <c r="M4567" s="14"/>
      <c r="N4567" s="14"/>
      <c r="O4567" s="14"/>
      <c r="P4567" s="13"/>
    </row>
    <row r="4568">
      <c r="L4568" s="13"/>
      <c r="M4568" s="14"/>
      <c r="N4568" s="14"/>
      <c r="O4568" s="14"/>
      <c r="P4568" s="13"/>
    </row>
    <row r="4569">
      <c r="L4569" s="13"/>
      <c r="M4569" s="14"/>
      <c r="N4569" s="14"/>
      <c r="O4569" s="14"/>
      <c r="P4569" s="13"/>
    </row>
    <row r="4570">
      <c r="L4570" s="13"/>
      <c r="M4570" s="14"/>
      <c r="N4570" s="14"/>
      <c r="O4570" s="14"/>
      <c r="P4570" s="13"/>
    </row>
    <row r="4571">
      <c r="L4571" s="13"/>
      <c r="M4571" s="14"/>
      <c r="N4571" s="14"/>
      <c r="O4571" s="14"/>
      <c r="P4571" s="13"/>
    </row>
    <row r="4572">
      <c r="L4572" s="13"/>
      <c r="M4572" s="14"/>
      <c r="N4572" s="14"/>
      <c r="O4572" s="14"/>
      <c r="P4572" s="13"/>
    </row>
    <row r="4573">
      <c r="L4573" s="13"/>
      <c r="M4573" s="14"/>
      <c r="N4573" s="14"/>
      <c r="O4573" s="14"/>
      <c r="P4573" s="13"/>
    </row>
    <row r="4574">
      <c r="L4574" s="13"/>
      <c r="M4574" s="14"/>
      <c r="N4574" s="14"/>
      <c r="O4574" s="14"/>
      <c r="P4574" s="13"/>
    </row>
    <row r="4575">
      <c r="L4575" s="13"/>
      <c r="M4575" s="14"/>
      <c r="N4575" s="14"/>
      <c r="O4575" s="14"/>
      <c r="P4575" s="13"/>
    </row>
    <row r="4576">
      <c r="L4576" s="13"/>
      <c r="M4576" s="14"/>
      <c r="N4576" s="14"/>
      <c r="O4576" s="14"/>
      <c r="P4576" s="13"/>
    </row>
    <row r="4577">
      <c r="L4577" s="13"/>
      <c r="M4577" s="14"/>
      <c r="N4577" s="14"/>
      <c r="O4577" s="14"/>
      <c r="P4577" s="13"/>
    </row>
    <row r="4578">
      <c r="L4578" s="13"/>
      <c r="M4578" s="14"/>
      <c r="N4578" s="14"/>
      <c r="O4578" s="14"/>
      <c r="P4578" s="13"/>
    </row>
    <row r="4579">
      <c r="L4579" s="13"/>
      <c r="M4579" s="14"/>
      <c r="N4579" s="14"/>
      <c r="O4579" s="14"/>
      <c r="P4579" s="13"/>
    </row>
    <row r="4580">
      <c r="L4580" s="13"/>
      <c r="M4580" s="14"/>
      <c r="N4580" s="14"/>
      <c r="O4580" s="14"/>
      <c r="P4580" s="13"/>
    </row>
    <row r="4581">
      <c r="L4581" s="13"/>
      <c r="M4581" s="14"/>
      <c r="N4581" s="14"/>
      <c r="O4581" s="14"/>
      <c r="P4581" s="13"/>
    </row>
    <row r="4582">
      <c r="L4582" s="13"/>
      <c r="M4582" s="14"/>
      <c r="N4582" s="14"/>
      <c r="O4582" s="14"/>
      <c r="P4582" s="13"/>
    </row>
    <row r="4583">
      <c r="L4583" s="13"/>
      <c r="M4583" s="14"/>
      <c r="N4583" s="14"/>
      <c r="O4583" s="14"/>
      <c r="P4583" s="13"/>
    </row>
    <row r="4584">
      <c r="L4584" s="13"/>
      <c r="M4584" s="14"/>
      <c r="N4584" s="14"/>
      <c r="O4584" s="14"/>
      <c r="P4584" s="13"/>
    </row>
    <row r="4585">
      <c r="L4585" s="13"/>
      <c r="M4585" s="14"/>
      <c r="N4585" s="14"/>
      <c r="O4585" s="14"/>
      <c r="P4585" s="13"/>
    </row>
    <row r="4586">
      <c r="L4586" s="13"/>
      <c r="M4586" s="14"/>
      <c r="N4586" s="14"/>
      <c r="O4586" s="14"/>
      <c r="P4586" s="13"/>
    </row>
    <row r="4587">
      <c r="L4587" s="13"/>
      <c r="M4587" s="14"/>
      <c r="N4587" s="14"/>
      <c r="O4587" s="14"/>
      <c r="P4587" s="13"/>
    </row>
    <row r="4588">
      <c r="L4588" s="13"/>
      <c r="M4588" s="14"/>
      <c r="N4588" s="14"/>
      <c r="O4588" s="14"/>
      <c r="P4588" s="13"/>
    </row>
    <row r="4589">
      <c r="L4589" s="13"/>
      <c r="M4589" s="14"/>
      <c r="N4589" s="14"/>
      <c r="O4589" s="14"/>
      <c r="P4589" s="13"/>
    </row>
    <row r="4590">
      <c r="L4590" s="13"/>
      <c r="M4590" s="14"/>
      <c r="N4590" s="14"/>
      <c r="O4590" s="14"/>
      <c r="P4590" s="13"/>
    </row>
    <row r="4591">
      <c r="L4591" s="13"/>
      <c r="M4591" s="14"/>
      <c r="N4591" s="14"/>
      <c r="O4591" s="14"/>
      <c r="P4591" s="13"/>
    </row>
    <row r="4592">
      <c r="L4592" s="13"/>
      <c r="M4592" s="14"/>
      <c r="N4592" s="14"/>
      <c r="O4592" s="14"/>
      <c r="P4592" s="13"/>
    </row>
    <row r="4593">
      <c r="L4593" s="13"/>
      <c r="M4593" s="14"/>
      <c r="N4593" s="14"/>
      <c r="O4593" s="14"/>
      <c r="P4593" s="13"/>
    </row>
    <row r="4594">
      <c r="L4594" s="13"/>
      <c r="M4594" s="14"/>
      <c r="N4594" s="14"/>
      <c r="O4594" s="14"/>
      <c r="P4594" s="13"/>
    </row>
    <row r="4595">
      <c r="L4595" s="13"/>
      <c r="M4595" s="14"/>
      <c r="N4595" s="14"/>
      <c r="O4595" s="14"/>
      <c r="P4595" s="13"/>
    </row>
    <row r="4596">
      <c r="L4596" s="13"/>
      <c r="M4596" s="14"/>
      <c r="N4596" s="14"/>
      <c r="O4596" s="14"/>
      <c r="P4596" s="13"/>
    </row>
    <row r="4597">
      <c r="L4597" s="13"/>
      <c r="M4597" s="14"/>
      <c r="N4597" s="14"/>
      <c r="O4597" s="14"/>
      <c r="P4597" s="13"/>
    </row>
    <row r="4598">
      <c r="L4598" s="13"/>
      <c r="M4598" s="14"/>
      <c r="N4598" s="14"/>
      <c r="O4598" s="14"/>
      <c r="P4598" s="13"/>
    </row>
    <row r="4599">
      <c r="L4599" s="13"/>
      <c r="M4599" s="14"/>
      <c r="N4599" s="14"/>
      <c r="O4599" s="14"/>
      <c r="P4599" s="13"/>
    </row>
    <row r="4600">
      <c r="L4600" s="13"/>
      <c r="M4600" s="14"/>
      <c r="N4600" s="14"/>
      <c r="O4600" s="14"/>
      <c r="P4600" s="13"/>
    </row>
    <row r="4601">
      <c r="L4601" s="13"/>
      <c r="M4601" s="14"/>
      <c r="N4601" s="14"/>
      <c r="O4601" s="14"/>
      <c r="P4601" s="13"/>
    </row>
    <row r="4602">
      <c r="L4602" s="13"/>
      <c r="M4602" s="14"/>
      <c r="N4602" s="14"/>
      <c r="O4602" s="14"/>
      <c r="P4602" s="13"/>
    </row>
    <row r="4603">
      <c r="L4603" s="13"/>
      <c r="M4603" s="14"/>
      <c r="N4603" s="14"/>
      <c r="O4603" s="14"/>
      <c r="P4603" s="13"/>
    </row>
    <row r="4604">
      <c r="L4604" s="13"/>
      <c r="M4604" s="14"/>
      <c r="N4604" s="14"/>
      <c r="O4604" s="14"/>
      <c r="P4604" s="13"/>
    </row>
    <row r="4605">
      <c r="L4605" s="13"/>
      <c r="M4605" s="14"/>
      <c r="N4605" s="14"/>
      <c r="O4605" s="14"/>
      <c r="P4605" s="13"/>
    </row>
    <row r="4606">
      <c r="L4606" s="13"/>
      <c r="M4606" s="14"/>
      <c r="N4606" s="14"/>
      <c r="O4606" s="14"/>
      <c r="P4606" s="13"/>
    </row>
    <row r="4607">
      <c r="L4607" s="13"/>
      <c r="M4607" s="14"/>
      <c r="N4607" s="14"/>
      <c r="O4607" s="14"/>
      <c r="P4607" s="13"/>
    </row>
    <row r="4608">
      <c r="L4608" s="13"/>
      <c r="M4608" s="14"/>
      <c r="N4608" s="14"/>
      <c r="O4608" s="14"/>
      <c r="P4608" s="13"/>
    </row>
    <row r="4609">
      <c r="L4609" s="13"/>
      <c r="M4609" s="14"/>
      <c r="N4609" s="14"/>
      <c r="O4609" s="14"/>
      <c r="P4609" s="13"/>
    </row>
    <row r="4610">
      <c r="L4610" s="13"/>
      <c r="M4610" s="14"/>
      <c r="N4610" s="14"/>
      <c r="O4610" s="14"/>
      <c r="P4610" s="13"/>
    </row>
    <row r="4611">
      <c r="L4611" s="13"/>
      <c r="M4611" s="14"/>
      <c r="N4611" s="14"/>
      <c r="O4611" s="14"/>
      <c r="P4611" s="13"/>
    </row>
    <row r="4612">
      <c r="L4612" s="13"/>
      <c r="M4612" s="14"/>
      <c r="N4612" s="14"/>
      <c r="O4612" s="14"/>
      <c r="P4612" s="13"/>
    </row>
    <row r="4613">
      <c r="L4613" s="13"/>
      <c r="M4613" s="14"/>
      <c r="N4613" s="14"/>
      <c r="O4613" s="14"/>
      <c r="P4613" s="13"/>
    </row>
    <row r="4614">
      <c r="L4614" s="13"/>
      <c r="M4614" s="14"/>
      <c r="N4614" s="14"/>
      <c r="O4614" s="14"/>
      <c r="P4614" s="13"/>
    </row>
    <row r="4615">
      <c r="L4615" s="13"/>
      <c r="M4615" s="14"/>
      <c r="N4615" s="14"/>
      <c r="O4615" s="14"/>
      <c r="P4615" s="13"/>
    </row>
    <row r="4616">
      <c r="L4616" s="13"/>
      <c r="M4616" s="14"/>
      <c r="N4616" s="14"/>
      <c r="O4616" s="14"/>
      <c r="P4616" s="13"/>
    </row>
    <row r="4617">
      <c r="L4617" s="13"/>
      <c r="M4617" s="14"/>
      <c r="N4617" s="14"/>
      <c r="O4617" s="14"/>
      <c r="P4617" s="13"/>
    </row>
    <row r="4618">
      <c r="L4618" s="13"/>
      <c r="M4618" s="14"/>
      <c r="N4618" s="14"/>
      <c r="O4618" s="14"/>
      <c r="P4618" s="13"/>
    </row>
    <row r="4619">
      <c r="L4619" s="13"/>
      <c r="M4619" s="14"/>
      <c r="N4619" s="14"/>
      <c r="O4619" s="14"/>
      <c r="P4619" s="13"/>
    </row>
    <row r="4620">
      <c r="L4620" s="13"/>
      <c r="M4620" s="14"/>
      <c r="N4620" s="14"/>
      <c r="O4620" s="14"/>
      <c r="P4620" s="13"/>
    </row>
    <row r="4621">
      <c r="L4621" s="13"/>
      <c r="M4621" s="14"/>
      <c r="N4621" s="14"/>
      <c r="O4621" s="14"/>
      <c r="P4621" s="13"/>
    </row>
    <row r="4622">
      <c r="L4622" s="13"/>
      <c r="M4622" s="14"/>
      <c r="N4622" s="14"/>
      <c r="O4622" s="14"/>
      <c r="P4622" s="13"/>
    </row>
    <row r="4623">
      <c r="L4623" s="13"/>
      <c r="M4623" s="14"/>
      <c r="N4623" s="14"/>
      <c r="O4623" s="14"/>
      <c r="P4623" s="13"/>
    </row>
    <row r="4624">
      <c r="L4624" s="13"/>
      <c r="M4624" s="14"/>
      <c r="N4624" s="14"/>
      <c r="O4624" s="14"/>
      <c r="P4624" s="13"/>
    </row>
    <row r="4625">
      <c r="L4625" s="13"/>
      <c r="M4625" s="14"/>
      <c r="N4625" s="14"/>
      <c r="O4625" s="14"/>
      <c r="P4625" s="13"/>
    </row>
    <row r="4626">
      <c r="L4626" s="13"/>
      <c r="M4626" s="14"/>
      <c r="N4626" s="14"/>
      <c r="O4626" s="14"/>
      <c r="P4626" s="13"/>
    </row>
    <row r="4627">
      <c r="L4627" s="13"/>
      <c r="M4627" s="14"/>
      <c r="N4627" s="14"/>
      <c r="O4627" s="14"/>
      <c r="P4627" s="13"/>
    </row>
    <row r="4628">
      <c r="L4628" s="13"/>
      <c r="M4628" s="14"/>
      <c r="N4628" s="14"/>
      <c r="O4628" s="14"/>
      <c r="P4628" s="13"/>
    </row>
    <row r="4629">
      <c r="L4629" s="13"/>
      <c r="M4629" s="14"/>
      <c r="N4629" s="14"/>
      <c r="O4629" s="14"/>
      <c r="P4629" s="13"/>
    </row>
    <row r="4630">
      <c r="L4630" s="13"/>
      <c r="M4630" s="14"/>
      <c r="N4630" s="14"/>
      <c r="O4630" s="14"/>
      <c r="P4630" s="13"/>
    </row>
    <row r="4631">
      <c r="L4631" s="13"/>
      <c r="M4631" s="14"/>
      <c r="N4631" s="14"/>
      <c r="O4631" s="14"/>
      <c r="P4631" s="13"/>
    </row>
    <row r="4632">
      <c r="L4632" s="13"/>
      <c r="M4632" s="14"/>
      <c r="N4632" s="14"/>
      <c r="O4632" s="14"/>
      <c r="P4632" s="13"/>
    </row>
    <row r="4633">
      <c r="L4633" s="13"/>
      <c r="M4633" s="14"/>
      <c r="N4633" s="14"/>
      <c r="O4633" s="14"/>
      <c r="P4633" s="13"/>
    </row>
    <row r="4634">
      <c r="L4634" s="13"/>
      <c r="M4634" s="14"/>
      <c r="N4634" s="14"/>
      <c r="O4634" s="14"/>
      <c r="P4634" s="13"/>
    </row>
    <row r="4635">
      <c r="L4635" s="13"/>
      <c r="M4635" s="14"/>
      <c r="N4635" s="14"/>
      <c r="O4635" s="14"/>
      <c r="P4635" s="13"/>
    </row>
    <row r="4636">
      <c r="L4636" s="13"/>
      <c r="M4636" s="14"/>
      <c r="N4636" s="14"/>
      <c r="O4636" s="14"/>
      <c r="P4636" s="13"/>
    </row>
    <row r="4637">
      <c r="L4637" s="13"/>
      <c r="M4637" s="14"/>
      <c r="N4637" s="14"/>
      <c r="O4637" s="14"/>
      <c r="P4637" s="13"/>
    </row>
    <row r="4638">
      <c r="L4638" s="13"/>
      <c r="M4638" s="14"/>
      <c r="N4638" s="14"/>
      <c r="O4638" s="14"/>
      <c r="P4638" s="13"/>
    </row>
    <row r="4639">
      <c r="L4639" s="13"/>
      <c r="M4639" s="14"/>
      <c r="N4639" s="14"/>
      <c r="O4639" s="14"/>
      <c r="P4639" s="13"/>
    </row>
    <row r="4640">
      <c r="L4640" s="13"/>
      <c r="M4640" s="14"/>
      <c r="N4640" s="14"/>
      <c r="O4640" s="14"/>
      <c r="P4640" s="13"/>
    </row>
    <row r="4641">
      <c r="L4641" s="13"/>
      <c r="M4641" s="14"/>
      <c r="N4641" s="14"/>
      <c r="O4641" s="14"/>
      <c r="P4641" s="13"/>
    </row>
    <row r="4642">
      <c r="L4642" s="13"/>
      <c r="M4642" s="14"/>
      <c r="N4642" s="14"/>
      <c r="O4642" s="14"/>
      <c r="P4642" s="13"/>
    </row>
    <row r="4643">
      <c r="L4643" s="13"/>
      <c r="M4643" s="14"/>
      <c r="N4643" s="14"/>
      <c r="O4643" s="14"/>
      <c r="P4643" s="13"/>
    </row>
    <row r="4644">
      <c r="L4644" s="13"/>
      <c r="M4644" s="14"/>
      <c r="N4644" s="14"/>
      <c r="O4644" s="14"/>
      <c r="P4644" s="13"/>
    </row>
    <row r="4645">
      <c r="L4645" s="13"/>
      <c r="M4645" s="14"/>
      <c r="N4645" s="14"/>
      <c r="O4645" s="14"/>
      <c r="P4645" s="13"/>
    </row>
    <row r="4646">
      <c r="L4646" s="13"/>
      <c r="M4646" s="14"/>
      <c r="N4646" s="14"/>
      <c r="O4646" s="14"/>
      <c r="P4646" s="13"/>
    </row>
    <row r="4647">
      <c r="L4647" s="13"/>
      <c r="M4647" s="14"/>
      <c r="N4647" s="14"/>
      <c r="O4647" s="14"/>
      <c r="P4647" s="13"/>
    </row>
    <row r="4648">
      <c r="L4648" s="13"/>
      <c r="M4648" s="14"/>
      <c r="N4648" s="14"/>
      <c r="O4648" s="14"/>
      <c r="P4648" s="13"/>
    </row>
    <row r="4649">
      <c r="L4649" s="13"/>
      <c r="M4649" s="14"/>
      <c r="N4649" s="14"/>
      <c r="O4649" s="14"/>
      <c r="P4649" s="13"/>
    </row>
    <row r="4650">
      <c r="L4650" s="13"/>
      <c r="M4650" s="14"/>
      <c r="N4650" s="14"/>
      <c r="O4650" s="14"/>
      <c r="P4650" s="13"/>
    </row>
    <row r="4651">
      <c r="L4651" s="13"/>
      <c r="M4651" s="14"/>
      <c r="N4651" s="14"/>
      <c r="O4651" s="14"/>
      <c r="P4651" s="13"/>
    </row>
    <row r="4652">
      <c r="L4652" s="13"/>
      <c r="M4652" s="14"/>
      <c r="N4652" s="14"/>
      <c r="O4652" s="14"/>
      <c r="P4652" s="13"/>
    </row>
    <row r="4653">
      <c r="L4653" s="13"/>
      <c r="M4653" s="14"/>
      <c r="N4653" s="14"/>
      <c r="O4653" s="14"/>
      <c r="P4653" s="13"/>
    </row>
    <row r="4654">
      <c r="L4654" s="13"/>
      <c r="M4654" s="14"/>
      <c r="N4654" s="14"/>
      <c r="O4654" s="14"/>
      <c r="P4654" s="13"/>
    </row>
    <row r="4655">
      <c r="L4655" s="13"/>
      <c r="M4655" s="14"/>
      <c r="N4655" s="14"/>
      <c r="O4655" s="14"/>
      <c r="P4655" s="13"/>
    </row>
    <row r="4656">
      <c r="L4656" s="13"/>
      <c r="M4656" s="14"/>
      <c r="N4656" s="14"/>
      <c r="O4656" s="14"/>
      <c r="P4656" s="13"/>
    </row>
    <row r="4657">
      <c r="L4657" s="13"/>
      <c r="M4657" s="14"/>
      <c r="N4657" s="14"/>
      <c r="O4657" s="14"/>
      <c r="P4657" s="13"/>
    </row>
    <row r="4658">
      <c r="L4658" s="13"/>
      <c r="M4658" s="14"/>
      <c r="N4658" s="14"/>
      <c r="O4658" s="14"/>
      <c r="P4658" s="13"/>
    </row>
    <row r="4659">
      <c r="L4659" s="13"/>
      <c r="M4659" s="14"/>
      <c r="N4659" s="14"/>
      <c r="O4659" s="14"/>
      <c r="P4659" s="13"/>
    </row>
    <row r="4660">
      <c r="L4660" s="13"/>
      <c r="M4660" s="14"/>
      <c r="N4660" s="14"/>
      <c r="O4660" s="14"/>
      <c r="P4660" s="13"/>
    </row>
    <row r="4661">
      <c r="L4661" s="13"/>
      <c r="M4661" s="14"/>
      <c r="N4661" s="14"/>
      <c r="O4661" s="14"/>
      <c r="P4661" s="13"/>
    </row>
    <row r="4662">
      <c r="L4662" s="13"/>
      <c r="M4662" s="14"/>
      <c r="N4662" s="14"/>
      <c r="O4662" s="14"/>
      <c r="P4662" s="13"/>
    </row>
    <row r="4663">
      <c r="L4663" s="13"/>
      <c r="M4663" s="14"/>
      <c r="N4663" s="14"/>
      <c r="O4663" s="14"/>
      <c r="P4663" s="13"/>
    </row>
    <row r="4664">
      <c r="L4664" s="13"/>
      <c r="M4664" s="14"/>
      <c r="N4664" s="14"/>
      <c r="O4664" s="14"/>
      <c r="P4664" s="13"/>
    </row>
    <row r="4665">
      <c r="L4665" s="13"/>
      <c r="M4665" s="14"/>
      <c r="N4665" s="14"/>
      <c r="O4665" s="14"/>
      <c r="P4665" s="13"/>
    </row>
    <row r="4666">
      <c r="L4666" s="13"/>
      <c r="M4666" s="14"/>
      <c r="N4666" s="14"/>
      <c r="O4666" s="14"/>
      <c r="P4666" s="13"/>
    </row>
    <row r="4667">
      <c r="L4667" s="13"/>
      <c r="M4667" s="14"/>
      <c r="N4667" s="14"/>
      <c r="O4667" s="14"/>
      <c r="P4667" s="13"/>
    </row>
    <row r="4668">
      <c r="L4668" s="13"/>
      <c r="M4668" s="14"/>
      <c r="N4668" s="14"/>
      <c r="O4668" s="14"/>
      <c r="P4668" s="13"/>
    </row>
    <row r="4669">
      <c r="L4669" s="13"/>
      <c r="M4669" s="14"/>
      <c r="N4669" s="14"/>
      <c r="O4669" s="14"/>
      <c r="P4669" s="13"/>
    </row>
    <row r="4670">
      <c r="L4670" s="13"/>
      <c r="M4670" s="14"/>
      <c r="N4670" s="14"/>
      <c r="O4670" s="14"/>
      <c r="P4670" s="13"/>
    </row>
    <row r="4671">
      <c r="L4671" s="13"/>
      <c r="M4671" s="14"/>
      <c r="N4671" s="14"/>
      <c r="O4671" s="14"/>
      <c r="P4671" s="13"/>
    </row>
    <row r="4672">
      <c r="L4672" s="13"/>
      <c r="M4672" s="14"/>
      <c r="N4672" s="14"/>
      <c r="O4672" s="14"/>
      <c r="P4672" s="13"/>
    </row>
    <row r="4673">
      <c r="L4673" s="13"/>
      <c r="M4673" s="14"/>
      <c r="N4673" s="14"/>
      <c r="O4673" s="14"/>
      <c r="P4673" s="13"/>
    </row>
    <row r="4674">
      <c r="L4674" s="13"/>
      <c r="M4674" s="14"/>
      <c r="N4674" s="14"/>
      <c r="O4674" s="14"/>
      <c r="P4674" s="13"/>
    </row>
    <row r="4675">
      <c r="L4675" s="13"/>
      <c r="M4675" s="14"/>
      <c r="N4675" s="14"/>
      <c r="O4675" s="14"/>
      <c r="P4675" s="13"/>
    </row>
    <row r="4676">
      <c r="L4676" s="13"/>
      <c r="M4676" s="14"/>
      <c r="N4676" s="14"/>
      <c r="O4676" s="14"/>
      <c r="P4676" s="13"/>
    </row>
    <row r="4677">
      <c r="L4677" s="13"/>
      <c r="M4677" s="14"/>
      <c r="N4677" s="14"/>
      <c r="O4677" s="14"/>
      <c r="P4677" s="13"/>
    </row>
    <row r="4678">
      <c r="L4678" s="13"/>
      <c r="M4678" s="14"/>
      <c r="N4678" s="14"/>
      <c r="O4678" s="14"/>
      <c r="P4678" s="13"/>
    </row>
    <row r="4679">
      <c r="L4679" s="13"/>
      <c r="M4679" s="14"/>
      <c r="N4679" s="14"/>
      <c r="O4679" s="14"/>
      <c r="P4679" s="13"/>
    </row>
    <row r="4680">
      <c r="L4680" s="13"/>
      <c r="M4680" s="14"/>
      <c r="N4680" s="14"/>
      <c r="O4680" s="14"/>
      <c r="P4680" s="13"/>
    </row>
    <row r="4681">
      <c r="L4681" s="13"/>
      <c r="M4681" s="14"/>
      <c r="N4681" s="14"/>
      <c r="O4681" s="14"/>
      <c r="P4681" s="13"/>
    </row>
    <row r="4682">
      <c r="L4682" s="13"/>
      <c r="M4682" s="14"/>
      <c r="N4682" s="14"/>
      <c r="O4682" s="14"/>
      <c r="P4682" s="13"/>
    </row>
    <row r="4683">
      <c r="L4683" s="13"/>
      <c r="M4683" s="14"/>
      <c r="N4683" s="14"/>
      <c r="O4683" s="14"/>
      <c r="P4683" s="13"/>
    </row>
    <row r="4684">
      <c r="L4684" s="13"/>
      <c r="M4684" s="14"/>
      <c r="N4684" s="14"/>
      <c r="O4684" s="14"/>
      <c r="P4684" s="13"/>
    </row>
    <row r="4685">
      <c r="L4685" s="13"/>
      <c r="M4685" s="14"/>
      <c r="N4685" s="14"/>
      <c r="O4685" s="14"/>
      <c r="P4685" s="13"/>
    </row>
    <row r="4686">
      <c r="L4686" s="13"/>
      <c r="M4686" s="14"/>
      <c r="N4686" s="14"/>
      <c r="O4686" s="14"/>
      <c r="P4686" s="13"/>
    </row>
    <row r="4687">
      <c r="L4687" s="13"/>
      <c r="M4687" s="14"/>
      <c r="N4687" s="14"/>
      <c r="O4687" s="14"/>
      <c r="P4687" s="13"/>
    </row>
    <row r="4688">
      <c r="L4688" s="13"/>
      <c r="M4688" s="14"/>
      <c r="N4688" s="14"/>
      <c r="O4688" s="14"/>
      <c r="P4688" s="13"/>
    </row>
    <row r="4689">
      <c r="L4689" s="13"/>
      <c r="M4689" s="14"/>
      <c r="N4689" s="14"/>
      <c r="O4689" s="14"/>
      <c r="P4689" s="13"/>
    </row>
    <row r="4690">
      <c r="L4690" s="13"/>
      <c r="M4690" s="14"/>
      <c r="N4690" s="14"/>
      <c r="O4690" s="14"/>
      <c r="P4690" s="13"/>
    </row>
    <row r="4691">
      <c r="L4691" s="13"/>
      <c r="M4691" s="14"/>
      <c r="N4691" s="14"/>
      <c r="O4691" s="14"/>
      <c r="P4691" s="13"/>
    </row>
    <row r="4692">
      <c r="L4692" s="13"/>
      <c r="M4692" s="14"/>
      <c r="N4692" s="14"/>
      <c r="O4692" s="14"/>
      <c r="P4692" s="13"/>
    </row>
    <row r="4693">
      <c r="L4693" s="13"/>
      <c r="M4693" s="14"/>
      <c r="N4693" s="14"/>
      <c r="O4693" s="14"/>
      <c r="P4693" s="13"/>
    </row>
    <row r="4694">
      <c r="L4694" s="13"/>
      <c r="M4694" s="14"/>
      <c r="N4694" s="14"/>
      <c r="O4694" s="14"/>
      <c r="P4694" s="13"/>
    </row>
    <row r="4695">
      <c r="L4695" s="13"/>
      <c r="M4695" s="14"/>
      <c r="N4695" s="14"/>
      <c r="O4695" s="14"/>
      <c r="P4695" s="13"/>
    </row>
    <row r="4696">
      <c r="L4696" s="13"/>
      <c r="M4696" s="14"/>
      <c r="N4696" s="14"/>
      <c r="O4696" s="14"/>
      <c r="P4696" s="13"/>
    </row>
    <row r="4697">
      <c r="L4697" s="13"/>
      <c r="M4697" s="14"/>
      <c r="N4697" s="14"/>
      <c r="O4697" s="14"/>
      <c r="P4697" s="13"/>
    </row>
    <row r="4698">
      <c r="L4698" s="13"/>
      <c r="M4698" s="14"/>
      <c r="N4698" s="14"/>
      <c r="O4698" s="14"/>
      <c r="P4698" s="13"/>
    </row>
    <row r="4699">
      <c r="L4699" s="13"/>
      <c r="M4699" s="14"/>
      <c r="N4699" s="14"/>
      <c r="O4699" s="14"/>
      <c r="P4699" s="13"/>
    </row>
    <row r="4700">
      <c r="L4700" s="13"/>
      <c r="M4700" s="14"/>
      <c r="N4700" s="14"/>
      <c r="O4700" s="14"/>
      <c r="P4700" s="13"/>
    </row>
    <row r="4701">
      <c r="L4701" s="13"/>
      <c r="M4701" s="14"/>
      <c r="N4701" s="14"/>
      <c r="O4701" s="14"/>
      <c r="P4701" s="13"/>
    </row>
    <row r="4702">
      <c r="L4702" s="13"/>
      <c r="M4702" s="14"/>
      <c r="N4702" s="14"/>
      <c r="O4702" s="14"/>
      <c r="P4702" s="13"/>
    </row>
    <row r="4703">
      <c r="L4703" s="13"/>
      <c r="M4703" s="14"/>
      <c r="N4703" s="14"/>
      <c r="O4703" s="14"/>
      <c r="P4703" s="13"/>
    </row>
    <row r="4704">
      <c r="L4704" s="13"/>
      <c r="M4704" s="14"/>
      <c r="N4704" s="14"/>
      <c r="O4704" s="14"/>
      <c r="P4704" s="13"/>
    </row>
    <row r="4705">
      <c r="L4705" s="13"/>
      <c r="M4705" s="14"/>
      <c r="N4705" s="14"/>
      <c r="O4705" s="14"/>
      <c r="P4705" s="13"/>
    </row>
    <row r="4706">
      <c r="L4706" s="13"/>
      <c r="M4706" s="14"/>
      <c r="N4706" s="14"/>
      <c r="O4706" s="14"/>
      <c r="P4706" s="13"/>
    </row>
    <row r="4707">
      <c r="L4707" s="13"/>
      <c r="M4707" s="14"/>
      <c r="N4707" s="14"/>
      <c r="O4707" s="14"/>
      <c r="P4707" s="13"/>
    </row>
    <row r="4708">
      <c r="L4708" s="13"/>
      <c r="M4708" s="14"/>
      <c r="N4708" s="14"/>
      <c r="O4708" s="14"/>
      <c r="P4708" s="13"/>
    </row>
    <row r="4709">
      <c r="L4709" s="13"/>
      <c r="M4709" s="14"/>
      <c r="N4709" s="14"/>
      <c r="O4709" s="14"/>
      <c r="P4709" s="13"/>
    </row>
    <row r="4710">
      <c r="L4710" s="13"/>
      <c r="M4710" s="14"/>
      <c r="N4710" s="14"/>
      <c r="O4710" s="14"/>
      <c r="P4710" s="13"/>
    </row>
    <row r="4711">
      <c r="L4711" s="13"/>
      <c r="M4711" s="14"/>
      <c r="N4711" s="14"/>
      <c r="O4711" s="14"/>
      <c r="P4711" s="13"/>
    </row>
    <row r="4712">
      <c r="L4712" s="13"/>
      <c r="M4712" s="14"/>
      <c r="N4712" s="14"/>
      <c r="O4712" s="14"/>
      <c r="P4712" s="13"/>
    </row>
    <row r="4713">
      <c r="L4713" s="13"/>
      <c r="M4713" s="14"/>
      <c r="N4713" s="14"/>
      <c r="O4713" s="14"/>
      <c r="P4713" s="13"/>
    </row>
    <row r="4714">
      <c r="L4714" s="13"/>
      <c r="M4714" s="14"/>
      <c r="N4714" s="14"/>
      <c r="O4714" s="14"/>
      <c r="P4714" s="13"/>
    </row>
    <row r="4715">
      <c r="L4715" s="13"/>
      <c r="M4715" s="14"/>
      <c r="N4715" s="14"/>
      <c r="O4715" s="14"/>
      <c r="P4715" s="13"/>
    </row>
    <row r="4716">
      <c r="L4716" s="13"/>
      <c r="M4716" s="14"/>
      <c r="N4716" s="14"/>
      <c r="O4716" s="14"/>
      <c r="P4716" s="13"/>
    </row>
    <row r="4717">
      <c r="L4717" s="13"/>
      <c r="M4717" s="14"/>
      <c r="N4717" s="14"/>
      <c r="O4717" s="14"/>
      <c r="P4717" s="13"/>
    </row>
    <row r="4718">
      <c r="L4718" s="13"/>
      <c r="M4718" s="14"/>
      <c r="N4718" s="14"/>
      <c r="O4718" s="14"/>
      <c r="P4718" s="13"/>
    </row>
    <row r="4719">
      <c r="L4719" s="13"/>
      <c r="M4719" s="14"/>
      <c r="N4719" s="14"/>
      <c r="O4719" s="14"/>
      <c r="P4719" s="13"/>
    </row>
    <row r="4720">
      <c r="L4720" s="13"/>
      <c r="M4720" s="14"/>
      <c r="N4720" s="14"/>
      <c r="O4720" s="14"/>
      <c r="P4720" s="13"/>
    </row>
    <row r="4721">
      <c r="L4721" s="13"/>
      <c r="M4721" s="14"/>
      <c r="N4721" s="14"/>
      <c r="O4721" s="14"/>
      <c r="P4721" s="13"/>
    </row>
    <row r="4722">
      <c r="L4722" s="13"/>
      <c r="M4722" s="14"/>
      <c r="N4722" s="14"/>
      <c r="O4722" s="14"/>
      <c r="P4722" s="13"/>
    </row>
    <row r="4723">
      <c r="L4723" s="13"/>
      <c r="M4723" s="14"/>
      <c r="N4723" s="14"/>
      <c r="O4723" s="14"/>
      <c r="P4723" s="13"/>
    </row>
    <row r="4724">
      <c r="L4724" s="13"/>
      <c r="M4724" s="14"/>
      <c r="N4724" s="14"/>
      <c r="O4724" s="14"/>
      <c r="P4724" s="13"/>
    </row>
    <row r="4725">
      <c r="L4725" s="13"/>
      <c r="M4725" s="14"/>
      <c r="N4725" s="14"/>
      <c r="O4725" s="14"/>
      <c r="P4725" s="13"/>
    </row>
    <row r="4726">
      <c r="L4726" s="13"/>
      <c r="M4726" s="14"/>
      <c r="N4726" s="14"/>
      <c r="O4726" s="14"/>
      <c r="P4726" s="13"/>
    </row>
    <row r="4727">
      <c r="L4727" s="13"/>
      <c r="M4727" s="14"/>
      <c r="N4727" s="14"/>
      <c r="O4727" s="14"/>
      <c r="P4727" s="13"/>
    </row>
    <row r="4728">
      <c r="L4728" s="13"/>
      <c r="M4728" s="14"/>
      <c r="N4728" s="14"/>
      <c r="O4728" s="14"/>
      <c r="P4728" s="13"/>
    </row>
    <row r="4729">
      <c r="L4729" s="13"/>
      <c r="M4729" s="14"/>
      <c r="N4729" s="14"/>
      <c r="O4729" s="14"/>
      <c r="P4729" s="13"/>
    </row>
    <row r="4730">
      <c r="L4730" s="13"/>
      <c r="M4730" s="14"/>
      <c r="N4730" s="14"/>
      <c r="O4730" s="14"/>
      <c r="P4730" s="13"/>
    </row>
    <row r="4731">
      <c r="L4731" s="13"/>
      <c r="M4731" s="14"/>
      <c r="N4731" s="14"/>
      <c r="O4731" s="14"/>
      <c r="P4731" s="13"/>
    </row>
    <row r="4732">
      <c r="L4732" s="13"/>
      <c r="M4732" s="14"/>
      <c r="N4732" s="14"/>
      <c r="O4732" s="14"/>
      <c r="P4732" s="13"/>
    </row>
    <row r="4733">
      <c r="L4733" s="13"/>
      <c r="M4733" s="14"/>
      <c r="N4733" s="14"/>
      <c r="O4733" s="14"/>
      <c r="P4733" s="13"/>
    </row>
    <row r="4734">
      <c r="L4734" s="13"/>
      <c r="M4734" s="14"/>
      <c r="N4734" s="14"/>
      <c r="O4734" s="14"/>
      <c r="P4734" s="13"/>
    </row>
    <row r="4735">
      <c r="L4735" s="13"/>
      <c r="M4735" s="14"/>
      <c r="N4735" s="14"/>
      <c r="O4735" s="14"/>
      <c r="P4735" s="13"/>
    </row>
    <row r="4736">
      <c r="L4736" s="13"/>
      <c r="M4736" s="14"/>
      <c r="N4736" s="14"/>
      <c r="O4736" s="14"/>
      <c r="P4736" s="13"/>
    </row>
    <row r="4737">
      <c r="L4737" s="13"/>
      <c r="M4737" s="14"/>
      <c r="N4737" s="14"/>
      <c r="O4737" s="14"/>
      <c r="P4737" s="13"/>
    </row>
    <row r="4738">
      <c r="L4738" s="13"/>
      <c r="M4738" s="14"/>
      <c r="N4738" s="14"/>
      <c r="O4738" s="14"/>
      <c r="P4738" s="13"/>
    </row>
    <row r="4739">
      <c r="L4739" s="13"/>
      <c r="M4739" s="14"/>
      <c r="N4739" s="14"/>
      <c r="O4739" s="14"/>
      <c r="P4739" s="13"/>
    </row>
    <row r="4740">
      <c r="L4740" s="13"/>
      <c r="M4740" s="14"/>
      <c r="N4740" s="14"/>
      <c r="O4740" s="14"/>
      <c r="P4740" s="13"/>
    </row>
    <row r="4741">
      <c r="L4741" s="13"/>
      <c r="M4741" s="14"/>
      <c r="N4741" s="14"/>
      <c r="O4741" s="14"/>
      <c r="P4741" s="13"/>
    </row>
    <row r="4742">
      <c r="L4742" s="13"/>
      <c r="M4742" s="14"/>
      <c r="N4742" s="14"/>
      <c r="O4742" s="14"/>
      <c r="P4742" s="13"/>
    </row>
    <row r="4743">
      <c r="L4743" s="13"/>
      <c r="M4743" s="14"/>
      <c r="N4743" s="14"/>
      <c r="O4743" s="14"/>
      <c r="P4743" s="13"/>
    </row>
    <row r="4744">
      <c r="L4744" s="13"/>
      <c r="M4744" s="14"/>
      <c r="N4744" s="14"/>
      <c r="O4744" s="14"/>
      <c r="P4744" s="13"/>
    </row>
    <row r="4745">
      <c r="L4745" s="13"/>
      <c r="M4745" s="14"/>
      <c r="N4745" s="14"/>
      <c r="O4745" s="14"/>
      <c r="P4745" s="13"/>
    </row>
    <row r="4746">
      <c r="L4746" s="13"/>
      <c r="M4746" s="14"/>
      <c r="N4746" s="14"/>
      <c r="O4746" s="14"/>
      <c r="P4746" s="13"/>
    </row>
    <row r="4747">
      <c r="L4747" s="13"/>
      <c r="M4747" s="14"/>
      <c r="N4747" s="14"/>
      <c r="O4747" s="14"/>
      <c r="P4747" s="13"/>
    </row>
    <row r="4748">
      <c r="L4748" s="13"/>
      <c r="M4748" s="14"/>
      <c r="N4748" s="14"/>
      <c r="O4748" s="14"/>
      <c r="P4748" s="13"/>
    </row>
    <row r="4749">
      <c r="L4749" s="13"/>
      <c r="M4749" s="14"/>
      <c r="N4749" s="14"/>
      <c r="O4749" s="14"/>
      <c r="P4749" s="13"/>
    </row>
    <row r="4750">
      <c r="L4750" s="13"/>
      <c r="M4750" s="14"/>
      <c r="N4750" s="14"/>
      <c r="O4750" s="14"/>
      <c r="P4750" s="13"/>
    </row>
    <row r="4751">
      <c r="L4751" s="13"/>
      <c r="M4751" s="14"/>
      <c r="N4751" s="14"/>
      <c r="O4751" s="14"/>
      <c r="P4751" s="13"/>
    </row>
    <row r="4752">
      <c r="L4752" s="13"/>
      <c r="M4752" s="14"/>
      <c r="N4752" s="14"/>
      <c r="O4752" s="14"/>
      <c r="P4752" s="13"/>
    </row>
    <row r="4753">
      <c r="L4753" s="13"/>
      <c r="M4753" s="14"/>
      <c r="N4753" s="14"/>
      <c r="O4753" s="14"/>
      <c r="P4753" s="13"/>
    </row>
    <row r="4754">
      <c r="L4754" s="13"/>
      <c r="M4754" s="14"/>
      <c r="N4754" s="14"/>
      <c r="O4754" s="14"/>
      <c r="P4754" s="13"/>
    </row>
    <row r="4755">
      <c r="L4755" s="13"/>
      <c r="M4755" s="14"/>
      <c r="N4755" s="14"/>
      <c r="O4755" s="14"/>
      <c r="P4755" s="13"/>
    </row>
    <row r="4756">
      <c r="L4756" s="13"/>
      <c r="M4756" s="14"/>
      <c r="N4756" s="14"/>
      <c r="O4756" s="14"/>
      <c r="P4756" s="13"/>
    </row>
    <row r="4757">
      <c r="L4757" s="13"/>
      <c r="M4757" s="14"/>
      <c r="N4757" s="14"/>
      <c r="O4757" s="14"/>
      <c r="P4757" s="13"/>
    </row>
    <row r="4758">
      <c r="L4758" s="13"/>
      <c r="M4758" s="14"/>
      <c r="N4758" s="14"/>
      <c r="O4758" s="14"/>
      <c r="P4758" s="13"/>
    </row>
    <row r="4759">
      <c r="L4759" s="13"/>
      <c r="M4759" s="14"/>
      <c r="N4759" s="14"/>
      <c r="O4759" s="14"/>
      <c r="P4759" s="13"/>
    </row>
    <row r="4760">
      <c r="L4760" s="13"/>
      <c r="M4760" s="14"/>
      <c r="N4760" s="14"/>
      <c r="O4760" s="14"/>
      <c r="P4760" s="13"/>
    </row>
    <row r="4761">
      <c r="L4761" s="13"/>
      <c r="M4761" s="14"/>
      <c r="N4761" s="14"/>
      <c r="O4761" s="14"/>
      <c r="P4761" s="13"/>
    </row>
    <row r="4762">
      <c r="L4762" s="13"/>
      <c r="M4762" s="14"/>
      <c r="N4762" s="14"/>
      <c r="O4762" s="14"/>
      <c r="P4762" s="13"/>
    </row>
    <row r="4763">
      <c r="L4763" s="13"/>
      <c r="M4763" s="14"/>
      <c r="N4763" s="14"/>
      <c r="O4763" s="14"/>
      <c r="P4763" s="13"/>
    </row>
    <row r="4764">
      <c r="L4764" s="13"/>
      <c r="M4764" s="14"/>
      <c r="N4764" s="14"/>
      <c r="O4764" s="14"/>
      <c r="P4764" s="13"/>
    </row>
    <row r="4765">
      <c r="L4765" s="13"/>
      <c r="M4765" s="14"/>
      <c r="N4765" s="14"/>
      <c r="O4765" s="14"/>
      <c r="P4765" s="13"/>
    </row>
    <row r="4766">
      <c r="L4766" s="13"/>
      <c r="M4766" s="14"/>
      <c r="N4766" s="14"/>
      <c r="O4766" s="14"/>
      <c r="P4766" s="13"/>
    </row>
    <row r="4767">
      <c r="L4767" s="13"/>
      <c r="M4767" s="14"/>
      <c r="N4767" s="14"/>
      <c r="O4767" s="14"/>
      <c r="P4767" s="13"/>
    </row>
    <row r="4768">
      <c r="L4768" s="13"/>
      <c r="M4768" s="14"/>
      <c r="N4768" s="14"/>
      <c r="O4768" s="14"/>
      <c r="P4768" s="13"/>
    </row>
    <row r="4769">
      <c r="L4769" s="13"/>
      <c r="M4769" s="14"/>
      <c r="N4769" s="14"/>
      <c r="O4769" s="14"/>
      <c r="P4769" s="13"/>
    </row>
    <row r="4770">
      <c r="L4770" s="13"/>
      <c r="M4770" s="14"/>
      <c r="N4770" s="14"/>
      <c r="O4770" s="14"/>
      <c r="P4770" s="13"/>
    </row>
    <row r="4771">
      <c r="L4771" s="13"/>
      <c r="M4771" s="14"/>
      <c r="N4771" s="14"/>
      <c r="O4771" s="14"/>
      <c r="P4771" s="13"/>
    </row>
    <row r="4772">
      <c r="L4772" s="13"/>
      <c r="M4772" s="14"/>
      <c r="N4772" s="14"/>
      <c r="O4772" s="14"/>
      <c r="P4772" s="13"/>
    </row>
    <row r="4773">
      <c r="L4773" s="13"/>
      <c r="M4773" s="14"/>
      <c r="N4773" s="14"/>
      <c r="O4773" s="14"/>
      <c r="P4773" s="13"/>
    </row>
    <row r="4774">
      <c r="L4774" s="13"/>
      <c r="M4774" s="14"/>
      <c r="N4774" s="14"/>
      <c r="O4774" s="14"/>
      <c r="P4774" s="13"/>
    </row>
    <row r="4775">
      <c r="L4775" s="13"/>
      <c r="M4775" s="14"/>
      <c r="N4775" s="14"/>
      <c r="O4775" s="14"/>
      <c r="P4775" s="13"/>
    </row>
    <row r="4776">
      <c r="L4776" s="13"/>
      <c r="M4776" s="14"/>
      <c r="N4776" s="14"/>
      <c r="O4776" s="14"/>
      <c r="P4776" s="13"/>
    </row>
    <row r="4777">
      <c r="L4777" s="13"/>
      <c r="M4777" s="14"/>
      <c r="N4777" s="14"/>
      <c r="O4777" s="14"/>
      <c r="P4777" s="13"/>
    </row>
    <row r="4778">
      <c r="L4778" s="13"/>
      <c r="M4778" s="14"/>
      <c r="N4778" s="14"/>
      <c r="O4778" s="14"/>
      <c r="P4778" s="13"/>
    </row>
    <row r="4779">
      <c r="L4779" s="13"/>
      <c r="M4779" s="14"/>
      <c r="N4779" s="14"/>
      <c r="O4779" s="14"/>
      <c r="P4779" s="13"/>
    </row>
    <row r="4780">
      <c r="L4780" s="13"/>
      <c r="M4780" s="14"/>
      <c r="N4780" s="14"/>
      <c r="O4780" s="14"/>
      <c r="P4780" s="13"/>
    </row>
    <row r="4781">
      <c r="L4781" s="13"/>
      <c r="M4781" s="14"/>
      <c r="N4781" s="14"/>
      <c r="O4781" s="14"/>
      <c r="P4781" s="13"/>
    </row>
    <row r="4782">
      <c r="L4782" s="13"/>
      <c r="M4782" s="14"/>
      <c r="N4782" s="14"/>
      <c r="O4782" s="14"/>
      <c r="P4782" s="13"/>
    </row>
    <row r="4783">
      <c r="L4783" s="13"/>
      <c r="M4783" s="14"/>
      <c r="N4783" s="14"/>
      <c r="O4783" s="14"/>
      <c r="P4783" s="13"/>
    </row>
    <row r="4784">
      <c r="L4784" s="13"/>
      <c r="M4784" s="14"/>
      <c r="N4784" s="14"/>
      <c r="O4784" s="14"/>
      <c r="P4784" s="13"/>
    </row>
    <row r="4785">
      <c r="L4785" s="13"/>
      <c r="M4785" s="14"/>
      <c r="N4785" s="14"/>
      <c r="O4785" s="14"/>
      <c r="P4785" s="13"/>
    </row>
    <row r="4786">
      <c r="L4786" s="13"/>
      <c r="M4786" s="14"/>
      <c r="N4786" s="14"/>
      <c r="O4786" s="14"/>
      <c r="P4786" s="13"/>
    </row>
    <row r="4787">
      <c r="L4787" s="13"/>
      <c r="M4787" s="14"/>
      <c r="N4787" s="14"/>
      <c r="O4787" s="14"/>
      <c r="P4787" s="13"/>
    </row>
    <row r="4788">
      <c r="L4788" s="13"/>
      <c r="M4788" s="14"/>
      <c r="N4788" s="14"/>
      <c r="O4788" s="14"/>
      <c r="P4788" s="13"/>
    </row>
    <row r="4789">
      <c r="L4789" s="13"/>
      <c r="M4789" s="14"/>
      <c r="N4789" s="14"/>
      <c r="O4789" s="14"/>
      <c r="P4789" s="13"/>
    </row>
    <row r="4790">
      <c r="L4790" s="13"/>
      <c r="M4790" s="14"/>
      <c r="N4790" s="14"/>
      <c r="O4790" s="14"/>
      <c r="P4790" s="13"/>
    </row>
    <row r="4791">
      <c r="L4791" s="13"/>
      <c r="M4791" s="14"/>
      <c r="N4791" s="14"/>
      <c r="O4791" s="14"/>
      <c r="P4791" s="13"/>
    </row>
    <row r="4792">
      <c r="L4792" s="13"/>
      <c r="M4792" s="14"/>
      <c r="N4792" s="14"/>
      <c r="O4792" s="14"/>
      <c r="P4792" s="13"/>
    </row>
    <row r="4793">
      <c r="L4793" s="13"/>
      <c r="M4793" s="14"/>
      <c r="N4793" s="14"/>
      <c r="O4793" s="14"/>
      <c r="P4793" s="13"/>
    </row>
    <row r="4794">
      <c r="L4794" s="13"/>
      <c r="M4794" s="14"/>
      <c r="N4794" s="14"/>
      <c r="O4794" s="14"/>
      <c r="P4794" s="13"/>
    </row>
    <row r="4795">
      <c r="L4795" s="13"/>
      <c r="M4795" s="14"/>
      <c r="N4795" s="14"/>
      <c r="O4795" s="14"/>
      <c r="P4795" s="13"/>
    </row>
    <row r="4796">
      <c r="L4796" s="13"/>
      <c r="M4796" s="14"/>
      <c r="N4796" s="14"/>
      <c r="O4796" s="14"/>
      <c r="P4796" s="13"/>
    </row>
    <row r="4797">
      <c r="L4797" s="13"/>
      <c r="M4797" s="14"/>
      <c r="N4797" s="14"/>
      <c r="O4797" s="14"/>
      <c r="P4797" s="13"/>
    </row>
    <row r="4798">
      <c r="L4798" s="13"/>
      <c r="M4798" s="14"/>
      <c r="N4798" s="14"/>
      <c r="O4798" s="14"/>
      <c r="P4798" s="13"/>
    </row>
    <row r="4799">
      <c r="L4799" s="13"/>
      <c r="M4799" s="14"/>
      <c r="N4799" s="14"/>
      <c r="O4799" s="14"/>
      <c r="P4799" s="13"/>
    </row>
    <row r="4800">
      <c r="L4800" s="13"/>
      <c r="M4800" s="14"/>
      <c r="N4800" s="14"/>
      <c r="O4800" s="14"/>
      <c r="P4800" s="13"/>
    </row>
    <row r="4801">
      <c r="L4801" s="13"/>
      <c r="M4801" s="14"/>
      <c r="N4801" s="14"/>
      <c r="O4801" s="14"/>
      <c r="P4801" s="13"/>
    </row>
    <row r="4802">
      <c r="L4802" s="13"/>
      <c r="M4802" s="14"/>
      <c r="N4802" s="14"/>
      <c r="O4802" s="14"/>
      <c r="P4802" s="13"/>
    </row>
    <row r="4803">
      <c r="L4803" s="13"/>
      <c r="M4803" s="14"/>
      <c r="N4803" s="14"/>
      <c r="O4803" s="14"/>
      <c r="P4803" s="13"/>
    </row>
    <row r="4804">
      <c r="L4804" s="13"/>
      <c r="M4804" s="14"/>
      <c r="N4804" s="14"/>
      <c r="O4804" s="14"/>
      <c r="P4804" s="13"/>
    </row>
    <row r="4805">
      <c r="L4805" s="13"/>
      <c r="M4805" s="14"/>
      <c r="N4805" s="14"/>
      <c r="O4805" s="14"/>
      <c r="P4805" s="13"/>
    </row>
    <row r="4806">
      <c r="L4806" s="13"/>
      <c r="M4806" s="14"/>
      <c r="N4806" s="14"/>
      <c r="O4806" s="14"/>
      <c r="P4806" s="13"/>
    </row>
    <row r="4807">
      <c r="L4807" s="13"/>
      <c r="M4807" s="14"/>
      <c r="N4807" s="14"/>
      <c r="O4807" s="14"/>
      <c r="P4807" s="13"/>
    </row>
    <row r="4808">
      <c r="L4808" s="13"/>
      <c r="M4808" s="14"/>
      <c r="N4808" s="14"/>
      <c r="O4808" s="14"/>
      <c r="P4808" s="13"/>
    </row>
    <row r="4809">
      <c r="L4809" s="13"/>
      <c r="M4809" s="14"/>
      <c r="N4809" s="14"/>
      <c r="O4809" s="14"/>
      <c r="P4809" s="13"/>
    </row>
    <row r="4810">
      <c r="L4810" s="13"/>
      <c r="M4810" s="14"/>
      <c r="N4810" s="14"/>
      <c r="O4810" s="14"/>
      <c r="P4810" s="13"/>
    </row>
    <row r="4811">
      <c r="L4811" s="13"/>
      <c r="M4811" s="14"/>
      <c r="N4811" s="14"/>
      <c r="O4811" s="14"/>
      <c r="P4811" s="13"/>
    </row>
    <row r="4812">
      <c r="L4812" s="13"/>
      <c r="M4812" s="14"/>
      <c r="N4812" s="14"/>
      <c r="O4812" s="14"/>
      <c r="P4812" s="13"/>
    </row>
    <row r="4813">
      <c r="L4813" s="13"/>
      <c r="M4813" s="14"/>
      <c r="N4813" s="14"/>
      <c r="O4813" s="14"/>
      <c r="P4813" s="13"/>
    </row>
    <row r="4814">
      <c r="L4814" s="13"/>
      <c r="M4814" s="14"/>
      <c r="N4814" s="14"/>
      <c r="O4814" s="14"/>
      <c r="P4814" s="13"/>
    </row>
    <row r="4815">
      <c r="L4815" s="13"/>
      <c r="M4815" s="14"/>
      <c r="N4815" s="14"/>
      <c r="O4815" s="14"/>
      <c r="P4815" s="13"/>
    </row>
    <row r="4816">
      <c r="L4816" s="13"/>
      <c r="M4816" s="14"/>
      <c r="N4816" s="14"/>
      <c r="O4816" s="14"/>
      <c r="P4816" s="13"/>
    </row>
    <row r="4817">
      <c r="L4817" s="13"/>
      <c r="M4817" s="14"/>
      <c r="N4817" s="14"/>
      <c r="O4817" s="14"/>
      <c r="P4817" s="13"/>
    </row>
    <row r="4818">
      <c r="L4818" s="13"/>
      <c r="M4818" s="14"/>
      <c r="N4818" s="14"/>
      <c r="O4818" s="14"/>
      <c r="P4818" s="13"/>
    </row>
    <row r="4819">
      <c r="L4819" s="13"/>
      <c r="M4819" s="14"/>
      <c r="N4819" s="14"/>
      <c r="O4819" s="14"/>
      <c r="P4819" s="13"/>
    </row>
    <row r="4820">
      <c r="L4820" s="13"/>
      <c r="M4820" s="14"/>
      <c r="N4820" s="14"/>
      <c r="O4820" s="14"/>
      <c r="P4820" s="13"/>
    </row>
    <row r="4821">
      <c r="L4821" s="13"/>
      <c r="M4821" s="14"/>
      <c r="N4821" s="14"/>
      <c r="O4821" s="14"/>
      <c r="P4821" s="13"/>
    </row>
    <row r="4822">
      <c r="L4822" s="13"/>
      <c r="M4822" s="14"/>
      <c r="N4822" s="14"/>
      <c r="O4822" s="14"/>
      <c r="P4822" s="13"/>
    </row>
    <row r="4823">
      <c r="L4823" s="13"/>
      <c r="M4823" s="14"/>
      <c r="N4823" s="14"/>
      <c r="O4823" s="14"/>
      <c r="P4823" s="13"/>
    </row>
    <row r="4824">
      <c r="L4824" s="13"/>
      <c r="M4824" s="14"/>
      <c r="N4824" s="14"/>
      <c r="O4824" s="14"/>
      <c r="P4824" s="13"/>
    </row>
    <row r="4825">
      <c r="L4825" s="13"/>
      <c r="M4825" s="14"/>
      <c r="N4825" s="14"/>
      <c r="O4825" s="14"/>
      <c r="P4825" s="13"/>
    </row>
    <row r="4826">
      <c r="L4826" s="13"/>
      <c r="M4826" s="14"/>
      <c r="N4826" s="14"/>
      <c r="O4826" s="14"/>
      <c r="P4826" s="13"/>
    </row>
    <row r="4827">
      <c r="L4827" s="13"/>
      <c r="M4827" s="14"/>
      <c r="N4827" s="14"/>
      <c r="O4827" s="14"/>
      <c r="P4827" s="13"/>
    </row>
    <row r="4828">
      <c r="L4828" s="13"/>
      <c r="M4828" s="14"/>
      <c r="N4828" s="14"/>
      <c r="O4828" s="14"/>
      <c r="P4828" s="13"/>
    </row>
    <row r="4829">
      <c r="L4829" s="13"/>
      <c r="M4829" s="14"/>
      <c r="N4829" s="14"/>
      <c r="O4829" s="14"/>
      <c r="P4829" s="13"/>
    </row>
    <row r="4830">
      <c r="L4830" s="13"/>
      <c r="M4830" s="14"/>
      <c r="N4830" s="14"/>
      <c r="O4830" s="14"/>
      <c r="P4830" s="13"/>
    </row>
    <row r="4831">
      <c r="L4831" s="13"/>
      <c r="M4831" s="14"/>
      <c r="N4831" s="14"/>
      <c r="O4831" s="14"/>
      <c r="P4831" s="13"/>
    </row>
    <row r="4832">
      <c r="L4832" s="13"/>
      <c r="M4832" s="14"/>
      <c r="N4832" s="14"/>
      <c r="O4832" s="14"/>
      <c r="P4832" s="13"/>
    </row>
    <row r="4833">
      <c r="L4833" s="13"/>
      <c r="M4833" s="14"/>
      <c r="N4833" s="14"/>
      <c r="O4833" s="14"/>
      <c r="P4833" s="13"/>
    </row>
    <row r="4834">
      <c r="L4834" s="13"/>
      <c r="M4834" s="14"/>
      <c r="N4834" s="14"/>
      <c r="O4834" s="14"/>
      <c r="P4834" s="13"/>
    </row>
    <row r="4835">
      <c r="L4835" s="13"/>
      <c r="M4835" s="14"/>
      <c r="N4835" s="14"/>
      <c r="O4835" s="14"/>
      <c r="P4835" s="13"/>
    </row>
    <row r="4836">
      <c r="L4836" s="13"/>
      <c r="M4836" s="14"/>
      <c r="N4836" s="14"/>
      <c r="O4836" s="14"/>
      <c r="P4836" s="13"/>
    </row>
    <row r="4837">
      <c r="L4837" s="13"/>
      <c r="M4837" s="14"/>
      <c r="N4837" s="14"/>
      <c r="O4837" s="14"/>
      <c r="P4837" s="13"/>
    </row>
    <row r="4838">
      <c r="L4838" s="13"/>
      <c r="M4838" s="14"/>
      <c r="N4838" s="14"/>
      <c r="O4838" s="14"/>
      <c r="P4838" s="13"/>
    </row>
    <row r="4839">
      <c r="L4839" s="13"/>
      <c r="M4839" s="14"/>
      <c r="N4839" s="14"/>
      <c r="O4839" s="14"/>
      <c r="P4839" s="13"/>
    </row>
    <row r="4840">
      <c r="L4840" s="13"/>
      <c r="M4840" s="14"/>
      <c r="N4840" s="14"/>
      <c r="O4840" s="14"/>
      <c r="P4840" s="13"/>
    </row>
    <row r="4841">
      <c r="L4841" s="13"/>
      <c r="M4841" s="14"/>
      <c r="N4841" s="14"/>
      <c r="O4841" s="14"/>
      <c r="P4841" s="13"/>
    </row>
    <row r="4842">
      <c r="L4842" s="13"/>
      <c r="M4842" s="14"/>
      <c r="N4842" s="14"/>
      <c r="O4842" s="14"/>
      <c r="P4842" s="13"/>
    </row>
    <row r="4843">
      <c r="L4843" s="13"/>
      <c r="M4843" s="14"/>
      <c r="N4843" s="14"/>
      <c r="O4843" s="14"/>
      <c r="P4843" s="13"/>
    </row>
    <row r="4844">
      <c r="L4844" s="13"/>
      <c r="M4844" s="14"/>
      <c r="N4844" s="14"/>
      <c r="O4844" s="14"/>
      <c r="P4844" s="13"/>
    </row>
    <row r="4845">
      <c r="L4845" s="13"/>
      <c r="M4845" s="14"/>
      <c r="N4845" s="14"/>
      <c r="O4845" s="14"/>
      <c r="P4845" s="13"/>
    </row>
    <row r="4846">
      <c r="L4846" s="13"/>
      <c r="M4846" s="14"/>
      <c r="N4846" s="14"/>
      <c r="O4846" s="14"/>
      <c r="P4846" s="13"/>
    </row>
    <row r="4847">
      <c r="L4847" s="13"/>
      <c r="M4847" s="14"/>
      <c r="N4847" s="14"/>
      <c r="O4847" s="14"/>
      <c r="P4847" s="13"/>
    </row>
    <row r="4848">
      <c r="L4848" s="13"/>
      <c r="M4848" s="14"/>
      <c r="N4848" s="14"/>
      <c r="O4848" s="14"/>
      <c r="P4848" s="13"/>
    </row>
    <row r="4849">
      <c r="L4849" s="13"/>
      <c r="M4849" s="14"/>
      <c r="N4849" s="14"/>
      <c r="O4849" s="14"/>
      <c r="P4849" s="13"/>
    </row>
    <row r="4850">
      <c r="L4850" s="13"/>
      <c r="M4850" s="14"/>
      <c r="N4850" s="14"/>
      <c r="O4850" s="14"/>
      <c r="P4850" s="13"/>
    </row>
    <row r="4851">
      <c r="L4851" s="13"/>
      <c r="M4851" s="14"/>
      <c r="N4851" s="14"/>
      <c r="O4851" s="14"/>
      <c r="P4851" s="13"/>
    </row>
    <row r="4852">
      <c r="L4852" s="13"/>
      <c r="M4852" s="14"/>
      <c r="N4852" s="14"/>
      <c r="O4852" s="14"/>
      <c r="P4852" s="13"/>
    </row>
    <row r="4853">
      <c r="L4853" s="13"/>
      <c r="M4853" s="14"/>
      <c r="N4853" s="14"/>
      <c r="O4853" s="14"/>
      <c r="P4853" s="13"/>
    </row>
    <row r="4854">
      <c r="L4854" s="13"/>
      <c r="M4854" s="14"/>
      <c r="N4854" s="14"/>
      <c r="O4854" s="14"/>
      <c r="P4854" s="13"/>
    </row>
    <row r="4855">
      <c r="L4855" s="13"/>
      <c r="M4855" s="14"/>
      <c r="N4855" s="14"/>
      <c r="O4855" s="14"/>
      <c r="P4855" s="13"/>
    </row>
    <row r="4856">
      <c r="L4856" s="13"/>
      <c r="M4856" s="14"/>
      <c r="N4856" s="14"/>
      <c r="O4856" s="14"/>
      <c r="P4856" s="13"/>
    </row>
    <row r="4857">
      <c r="L4857" s="13"/>
      <c r="M4857" s="14"/>
      <c r="N4857" s="14"/>
      <c r="O4857" s="14"/>
      <c r="P4857" s="13"/>
    </row>
    <row r="4858">
      <c r="L4858" s="13"/>
      <c r="M4858" s="14"/>
      <c r="N4858" s="14"/>
      <c r="O4858" s="14"/>
      <c r="P4858" s="13"/>
    </row>
    <row r="4859">
      <c r="L4859" s="13"/>
      <c r="M4859" s="14"/>
      <c r="N4859" s="14"/>
      <c r="O4859" s="14"/>
      <c r="P4859" s="13"/>
    </row>
    <row r="4860">
      <c r="L4860" s="13"/>
      <c r="M4860" s="14"/>
      <c r="N4860" s="14"/>
      <c r="O4860" s="14"/>
      <c r="P4860" s="13"/>
    </row>
    <row r="4861">
      <c r="L4861" s="13"/>
      <c r="M4861" s="14"/>
      <c r="N4861" s="14"/>
      <c r="O4861" s="14"/>
      <c r="P4861" s="13"/>
    </row>
    <row r="4862">
      <c r="L4862" s="13"/>
      <c r="M4862" s="14"/>
      <c r="N4862" s="14"/>
      <c r="O4862" s="14"/>
      <c r="P4862" s="13"/>
    </row>
    <row r="4863">
      <c r="L4863" s="13"/>
      <c r="M4863" s="14"/>
      <c r="N4863" s="14"/>
      <c r="O4863" s="14"/>
      <c r="P4863" s="13"/>
    </row>
    <row r="4864">
      <c r="L4864" s="13"/>
      <c r="M4864" s="14"/>
      <c r="N4864" s="14"/>
      <c r="O4864" s="14"/>
      <c r="P4864" s="13"/>
    </row>
    <row r="4865">
      <c r="L4865" s="13"/>
      <c r="M4865" s="14"/>
      <c r="N4865" s="14"/>
      <c r="O4865" s="14"/>
      <c r="P4865" s="13"/>
    </row>
    <row r="4866">
      <c r="L4866" s="13"/>
      <c r="M4866" s="14"/>
      <c r="N4866" s="14"/>
      <c r="O4866" s="14"/>
      <c r="P4866" s="13"/>
    </row>
    <row r="4867">
      <c r="L4867" s="13"/>
      <c r="M4867" s="14"/>
      <c r="N4867" s="14"/>
      <c r="O4867" s="14"/>
      <c r="P4867" s="13"/>
    </row>
    <row r="4868">
      <c r="L4868" s="13"/>
      <c r="M4868" s="14"/>
      <c r="N4868" s="14"/>
      <c r="O4868" s="14"/>
      <c r="P4868" s="13"/>
    </row>
    <row r="4869">
      <c r="L4869" s="13"/>
      <c r="M4869" s="14"/>
      <c r="N4869" s="14"/>
      <c r="O4869" s="14"/>
      <c r="P4869" s="13"/>
    </row>
    <row r="4870">
      <c r="L4870" s="13"/>
      <c r="M4870" s="14"/>
      <c r="N4870" s="14"/>
      <c r="O4870" s="14"/>
      <c r="P4870" s="13"/>
    </row>
    <row r="4871">
      <c r="L4871" s="13"/>
      <c r="M4871" s="14"/>
      <c r="N4871" s="14"/>
      <c r="O4871" s="14"/>
      <c r="P4871" s="13"/>
    </row>
    <row r="4872">
      <c r="L4872" s="13"/>
      <c r="M4872" s="14"/>
      <c r="N4872" s="14"/>
      <c r="O4872" s="14"/>
      <c r="P4872" s="13"/>
    </row>
    <row r="4873">
      <c r="L4873" s="13"/>
      <c r="M4873" s="14"/>
      <c r="N4873" s="14"/>
      <c r="O4873" s="14"/>
      <c r="P4873" s="13"/>
    </row>
    <row r="4874">
      <c r="L4874" s="13"/>
      <c r="M4874" s="14"/>
      <c r="N4874" s="14"/>
      <c r="O4874" s="14"/>
      <c r="P4874" s="13"/>
    </row>
    <row r="4875">
      <c r="L4875" s="13"/>
      <c r="M4875" s="14"/>
      <c r="N4875" s="14"/>
      <c r="O4875" s="14"/>
      <c r="P4875" s="13"/>
    </row>
    <row r="4876">
      <c r="L4876" s="13"/>
      <c r="M4876" s="14"/>
      <c r="N4876" s="14"/>
      <c r="O4876" s="14"/>
      <c r="P4876" s="13"/>
    </row>
    <row r="4877">
      <c r="L4877" s="13"/>
      <c r="M4877" s="14"/>
      <c r="N4877" s="14"/>
      <c r="O4877" s="14"/>
      <c r="P4877" s="13"/>
    </row>
    <row r="4878">
      <c r="L4878" s="13"/>
      <c r="M4878" s="14"/>
      <c r="N4878" s="14"/>
      <c r="O4878" s="14"/>
      <c r="P4878" s="13"/>
    </row>
    <row r="4879">
      <c r="L4879" s="13"/>
      <c r="M4879" s="14"/>
      <c r="N4879" s="14"/>
      <c r="O4879" s="14"/>
      <c r="P4879" s="13"/>
    </row>
    <row r="4880">
      <c r="L4880" s="13"/>
      <c r="M4880" s="14"/>
      <c r="N4880" s="14"/>
      <c r="O4880" s="14"/>
      <c r="P4880" s="13"/>
    </row>
    <row r="4881">
      <c r="L4881" s="13"/>
      <c r="M4881" s="14"/>
      <c r="N4881" s="14"/>
      <c r="O4881" s="14"/>
      <c r="P4881" s="13"/>
    </row>
    <row r="4882">
      <c r="L4882" s="13"/>
      <c r="M4882" s="14"/>
      <c r="N4882" s="14"/>
      <c r="O4882" s="14"/>
      <c r="P4882" s="13"/>
    </row>
    <row r="4883">
      <c r="L4883" s="13"/>
      <c r="M4883" s="14"/>
      <c r="N4883" s="14"/>
      <c r="O4883" s="14"/>
      <c r="P4883" s="13"/>
    </row>
    <row r="4884">
      <c r="L4884" s="13"/>
      <c r="M4884" s="14"/>
      <c r="N4884" s="14"/>
      <c r="O4884" s="14"/>
      <c r="P4884" s="13"/>
    </row>
    <row r="4885">
      <c r="L4885" s="13"/>
      <c r="M4885" s="14"/>
      <c r="N4885" s="14"/>
      <c r="O4885" s="14"/>
      <c r="P4885" s="13"/>
    </row>
    <row r="4886">
      <c r="L4886" s="13"/>
      <c r="M4886" s="14"/>
      <c r="N4886" s="14"/>
      <c r="O4886" s="14"/>
      <c r="P4886" s="13"/>
    </row>
    <row r="4887">
      <c r="L4887" s="13"/>
      <c r="M4887" s="14"/>
      <c r="N4887" s="14"/>
      <c r="O4887" s="14"/>
      <c r="P4887" s="13"/>
    </row>
    <row r="4888">
      <c r="L4888" s="13"/>
      <c r="M4888" s="14"/>
      <c r="N4888" s="14"/>
      <c r="O4888" s="14"/>
      <c r="P4888" s="13"/>
    </row>
    <row r="4889">
      <c r="L4889" s="13"/>
      <c r="M4889" s="14"/>
      <c r="N4889" s="14"/>
      <c r="O4889" s="14"/>
      <c r="P4889" s="13"/>
    </row>
    <row r="4890">
      <c r="L4890" s="13"/>
      <c r="M4890" s="14"/>
      <c r="N4890" s="14"/>
      <c r="O4890" s="14"/>
      <c r="P4890" s="13"/>
    </row>
    <row r="4891">
      <c r="L4891" s="13"/>
      <c r="M4891" s="14"/>
      <c r="N4891" s="14"/>
      <c r="O4891" s="14"/>
      <c r="P4891" s="13"/>
    </row>
    <row r="4892">
      <c r="L4892" s="13"/>
      <c r="M4892" s="14"/>
      <c r="N4892" s="14"/>
      <c r="O4892" s="14"/>
      <c r="P4892" s="13"/>
    </row>
    <row r="4893">
      <c r="L4893" s="13"/>
      <c r="M4893" s="14"/>
      <c r="N4893" s="14"/>
      <c r="O4893" s="14"/>
      <c r="P4893" s="13"/>
    </row>
    <row r="4894">
      <c r="L4894" s="13"/>
      <c r="M4894" s="14"/>
      <c r="N4894" s="14"/>
      <c r="O4894" s="14"/>
      <c r="P4894" s="13"/>
    </row>
    <row r="4895">
      <c r="L4895" s="13"/>
      <c r="M4895" s="14"/>
      <c r="N4895" s="14"/>
      <c r="O4895" s="14"/>
      <c r="P4895" s="13"/>
    </row>
    <row r="4896">
      <c r="L4896" s="13"/>
      <c r="M4896" s="14"/>
      <c r="N4896" s="14"/>
      <c r="O4896" s="14"/>
      <c r="P4896" s="13"/>
    </row>
    <row r="4897">
      <c r="L4897" s="13"/>
      <c r="M4897" s="14"/>
      <c r="N4897" s="14"/>
      <c r="O4897" s="14"/>
      <c r="P4897" s="13"/>
    </row>
    <row r="4898">
      <c r="L4898" s="13"/>
      <c r="M4898" s="14"/>
      <c r="N4898" s="14"/>
      <c r="O4898" s="14"/>
      <c r="P4898" s="13"/>
    </row>
    <row r="4899">
      <c r="L4899" s="13"/>
      <c r="M4899" s="14"/>
      <c r="N4899" s="14"/>
      <c r="O4899" s="14"/>
      <c r="P4899" s="13"/>
    </row>
    <row r="4900">
      <c r="L4900" s="13"/>
      <c r="M4900" s="14"/>
      <c r="N4900" s="14"/>
      <c r="O4900" s="14"/>
      <c r="P4900" s="13"/>
    </row>
    <row r="4901">
      <c r="L4901" s="13"/>
      <c r="M4901" s="14"/>
      <c r="N4901" s="14"/>
      <c r="O4901" s="14"/>
      <c r="P4901" s="13"/>
    </row>
    <row r="4902">
      <c r="L4902" s="13"/>
      <c r="M4902" s="14"/>
      <c r="N4902" s="14"/>
      <c r="O4902" s="14"/>
      <c r="P4902" s="13"/>
    </row>
    <row r="4903">
      <c r="L4903" s="13"/>
      <c r="M4903" s="14"/>
      <c r="N4903" s="14"/>
      <c r="O4903" s="14"/>
      <c r="P4903" s="13"/>
    </row>
    <row r="4904">
      <c r="L4904" s="13"/>
      <c r="M4904" s="14"/>
      <c r="N4904" s="14"/>
      <c r="O4904" s="14"/>
      <c r="P4904" s="13"/>
    </row>
    <row r="4905">
      <c r="L4905" s="13"/>
      <c r="M4905" s="14"/>
      <c r="N4905" s="14"/>
      <c r="O4905" s="14"/>
      <c r="P4905" s="13"/>
    </row>
    <row r="4906">
      <c r="L4906" s="13"/>
      <c r="M4906" s="14"/>
      <c r="N4906" s="14"/>
      <c r="O4906" s="14"/>
      <c r="P4906" s="13"/>
    </row>
    <row r="4907">
      <c r="L4907" s="13"/>
      <c r="M4907" s="14"/>
      <c r="N4907" s="14"/>
      <c r="O4907" s="14"/>
      <c r="P4907" s="13"/>
    </row>
    <row r="4908">
      <c r="L4908" s="13"/>
      <c r="M4908" s="14"/>
      <c r="N4908" s="14"/>
      <c r="O4908" s="14"/>
      <c r="P4908" s="13"/>
    </row>
    <row r="4909">
      <c r="L4909" s="13"/>
      <c r="M4909" s="14"/>
      <c r="N4909" s="14"/>
      <c r="O4909" s="14"/>
      <c r="P4909" s="13"/>
    </row>
    <row r="4910">
      <c r="L4910" s="13"/>
      <c r="M4910" s="14"/>
      <c r="N4910" s="14"/>
      <c r="O4910" s="14"/>
      <c r="P4910" s="13"/>
    </row>
    <row r="4911">
      <c r="L4911" s="13"/>
      <c r="M4911" s="14"/>
      <c r="N4911" s="14"/>
      <c r="O4911" s="14"/>
      <c r="P4911" s="13"/>
    </row>
    <row r="4912">
      <c r="L4912" s="13"/>
      <c r="M4912" s="14"/>
      <c r="N4912" s="14"/>
      <c r="O4912" s="14"/>
      <c r="P4912" s="13"/>
    </row>
    <row r="4913">
      <c r="L4913" s="13"/>
      <c r="M4913" s="14"/>
      <c r="N4913" s="14"/>
      <c r="O4913" s="14"/>
      <c r="P4913" s="13"/>
    </row>
    <row r="4914">
      <c r="L4914" s="13"/>
      <c r="M4914" s="14"/>
      <c r="N4914" s="14"/>
      <c r="O4914" s="14"/>
      <c r="P4914" s="13"/>
    </row>
    <row r="4915">
      <c r="L4915" s="13"/>
      <c r="M4915" s="14"/>
      <c r="N4915" s="14"/>
      <c r="O4915" s="14"/>
      <c r="P4915" s="13"/>
    </row>
    <row r="4916">
      <c r="L4916" s="13"/>
      <c r="M4916" s="14"/>
      <c r="N4916" s="14"/>
      <c r="O4916" s="14"/>
      <c r="P4916" s="13"/>
    </row>
    <row r="4917">
      <c r="L4917" s="13"/>
      <c r="M4917" s="14"/>
      <c r="N4917" s="14"/>
      <c r="O4917" s="14"/>
      <c r="P4917" s="13"/>
    </row>
    <row r="4918">
      <c r="L4918" s="13"/>
      <c r="M4918" s="14"/>
      <c r="N4918" s="14"/>
      <c r="O4918" s="14"/>
      <c r="P4918" s="13"/>
    </row>
    <row r="4919">
      <c r="L4919" s="13"/>
      <c r="M4919" s="14"/>
      <c r="N4919" s="14"/>
      <c r="O4919" s="14"/>
      <c r="P4919" s="13"/>
    </row>
    <row r="4920">
      <c r="L4920" s="13"/>
      <c r="M4920" s="14"/>
      <c r="N4920" s="14"/>
      <c r="O4920" s="14"/>
      <c r="P4920" s="13"/>
    </row>
    <row r="4921">
      <c r="L4921" s="13"/>
      <c r="M4921" s="14"/>
      <c r="N4921" s="14"/>
      <c r="O4921" s="14"/>
      <c r="P4921" s="13"/>
    </row>
    <row r="4922">
      <c r="L4922" s="13"/>
      <c r="M4922" s="14"/>
      <c r="N4922" s="14"/>
      <c r="O4922" s="14"/>
      <c r="P4922" s="13"/>
    </row>
    <row r="4923">
      <c r="L4923" s="13"/>
      <c r="M4923" s="14"/>
      <c r="N4923" s="14"/>
      <c r="O4923" s="14"/>
      <c r="P4923" s="13"/>
    </row>
    <row r="4924">
      <c r="L4924" s="13"/>
      <c r="M4924" s="14"/>
      <c r="N4924" s="14"/>
      <c r="O4924" s="14"/>
      <c r="P4924" s="13"/>
    </row>
    <row r="4925">
      <c r="L4925" s="13"/>
      <c r="M4925" s="14"/>
      <c r="N4925" s="14"/>
      <c r="O4925" s="14"/>
      <c r="P4925" s="13"/>
    </row>
    <row r="4926">
      <c r="L4926" s="13"/>
      <c r="M4926" s="14"/>
      <c r="N4926" s="14"/>
      <c r="O4926" s="14"/>
      <c r="P4926" s="13"/>
    </row>
    <row r="4927">
      <c r="L4927" s="13"/>
      <c r="M4927" s="14"/>
      <c r="N4927" s="14"/>
      <c r="O4927" s="14"/>
      <c r="P4927" s="13"/>
    </row>
    <row r="4928">
      <c r="L4928" s="13"/>
      <c r="M4928" s="14"/>
      <c r="N4928" s="14"/>
      <c r="O4928" s="14"/>
      <c r="P4928" s="13"/>
    </row>
    <row r="4929">
      <c r="L4929" s="13"/>
      <c r="M4929" s="14"/>
      <c r="N4929" s="14"/>
      <c r="O4929" s="14"/>
      <c r="P4929" s="13"/>
    </row>
    <row r="4930">
      <c r="L4930" s="13"/>
      <c r="M4930" s="14"/>
      <c r="N4930" s="14"/>
      <c r="O4930" s="14"/>
      <c r="P4930" s="13"/>
    </row>
    <row r="4931">
      <c r="L4931" s="13"/>
      <c r="M4931" s="14"/>
      <c r="N4931" s="14"/>
      <c r="O4931" s="14"/>
      <c r="P4931" s="13"/>
    </row>
    <row r="4932">
      <c r="L4932" s="13"/>
      <c r="M4932" s="14"/>
      <c r="N4932" s="14"/>
      <c r="O4932" s="14"/>
      <c r="P4932" s="13"/>
    </row>
    <row r="4933">
      <c r="L4933" s="13"/>
      <c r="M4933" s="14"/>
      <c r="N4933" s="14"/>
      <c r="O4933" s="14"/>
      <c r="P4933" s="13"/>
    </row>
    <row r="4934">
      <c r="L4934" s="13"/>
      <c r="M4934" s="14"/>
      <c r="N4934" s="14"/>
      <c r="O4934" s="14"/>
      <c r="P4934" s="13"/>
    </row>
    <row r="4935">
      <c r="L4935" s="13"/>
      <c r="M4935" s="14"/>
      <c r="N4935" s="14"/>
      <c r="O4935" s="14"/>
      <c r="P4935" s="13"/>
    </row>
    <row r="4936">
      <c r="L4936" s="13"/>
      <c r="M4936" s="14"/>
      <c r="N4936" s="14"/>
      <c r="O4936" s="14"/>
      <c r="P4936" s="13"/>
    </row>
    <row r="4937">
      <c r="L4937" s="13"/>
      <c r="M4937" s="14"/>
      <c r="N4937" s="14"/>
      <c r="O4937" s="14"/>
      <c r="P4937" s="13"/>
    </row>
    <row r="4938">
      <c r="L4938" s="13"/>
      <c r="M4938" s="14"/>
      <c r="N4938" s="14"/>
      <c r="O4938" s="14"/>
      <c r="P4938" s="13"/>
    </row>
    <row r="4939">
      <c r="L4939" s="13"/>
      <c r="M4939" s="14"/>
      <c r="N4939" s="14"/>
      <c r="O4939" s="14"/>
      <c r="P4939" s="13"/>
    </row>
    <row r="4940">
      <c r="L4940" s="13"/>
      <c r="M4940" s="14"/>
      <c r="N4940" s="14"/>
      <c r="O4940" s="14"/>
      <c r="P4940" s="13"/>
    </row>
    <row r="4941">
      <c r="L4941" s="13"/>
      <c r="M4941" s="14"/>
      <c r="N4941" s="14"/>
      <c r="O4941" s="14"/>
      <c r="P4941" s="13"/>
    </row>
    <row r="4942">
      <c r="L4942" s="13"/>
      <c r="M4942" s="14"/>
      <c r="N4942" s="14"/>
      <c r="O4942" s="14"/>
      <c r="P4942" s="13"/>
    </row>
    <row r="4943">
      <c r="L4943" s="13"/>
      <c r="M4943" s="14"/>
      <c r="N4943" s="14"/>
      <c r="O4943" s="14"/>
      <c r="P4943" s="13"/>
    </row>
    <row r="4944">
      <c r="L4944" s="13"/>
      <c r="M4944" s="14"/>
      <c r="N4944" s="14"/>
      <c r="O4944" s="14"/>
      <c r="P4944" s="13"/>
    </row>
    <row r="4945">
      <c r="L4945" s="13"/>
      <c r="M4945" s="14"/>
      <c r="N4945" s="14"/>
      <c r="O4945" s="14"/>
      <c r="P4945" s="13"/>
    </row>
    <row r="4946">
      <c r="L4946" s="13"/>
      <c r="M4946" s="14"/>
      <c r="N4946" s="14"/>
      <c r="O4946" s="14"/>
      <c r="P4946" s="13"/>
    </row>
    <row r="4947">
      <c r="L4947" s="13"/>
      <c r="M4947" s="14"/>
      <c r="N4947" s="14"/>
      <c r="O4947" s="14"/>
      <c r="P4947" s="13"/>
    </row>
    <row r="4948">
      <c r="L4948" s="13"/>
      <c r="M4948" s="14"/>
      <c r="N4948" s="14"/>
      <c r="O4948" s="14"/>
      <c r="P4948" s="13"/>
    </row>
    <row r="4949">
      <c r="L4949" s="13"/>
      <c r="M4949" s="14"/>
      <c r="N4949" s="14"/>
      <c r="O4949" s="14"/>
      <c r="P4949" s="13"/>
    </row>
    <row r="4950">
      <c r="L4950" s="13"/>
      <c r="M4950" s="14"/>
      <c r="N4950" s="14"/>
      <c r="O4950" s="14"/>
      <c r="P4950" s="13"/>
    </row>
    <row r="4951">
      <c r="L4951" s="13"/>
      <c r="M4951" s="14"/>
      <c r="N4951" s="14"/>
      <c r="O4951" s="14"/>
      <c r="P4951" s="13"/>
    </row>
    <row r="4952">
      <c r="L4952" s="13"/>
      <c r="M4952" s="14"/>
      <c r="N4952" s="14"/>
      <c r="O4952" s="14"/>
      <c r="P4952" s="13"/>
    </row>
    <row r="4953">
      <c r="L4953" s="13"/>
      <c r="M4953" s="14"/>
      <c r="N4953" s="14"/>
      <c r="O4953" s="14"/>
      <c r="P4953" s="13"/>
    </row>
    <row r="4954">
      <c r="L4954" s="13"/>
      <c r="M4954" s="14"/>
      <c r="N4954" s="14"/>
      <c r="O4954" s="14"/>
      <c r="P4954" s="13"/>
    </row>
    <row r="4955">
      <c r="L4955" s="13"/>
      <c r="M4955" s="14"/>
      <c r="N4955" s="14"/>
      <c r="O4955" s="14"/>
      <c r="P4955" s="13"/>
    </row>
    <row r="4956">
      <c r="L4956" s="13"/>
      <c r="M4956" s="14"/>
      <c r="N4956" s="14"/>
      <c r="O4956" s="14"/>
      <c r="P4956" s="13"/>
    </row>
    <row r="4957">
      <c r="L4957" s="13"/>
      <c r="M4957" s="14"/>
      <c r="N4957" s="14"/>
      <c r="O4957" s="14"/>
      <c r="P4957" s="13"/>
    </row>
    <row r="4958">
      <c r="L4958" s="13"/>
      <c r="M4958" s="14"/>
      <c r="N4958" s="14"/>
      <c r="O4958" s="14"/>
      <c r="P4958" s="13"/>
    </row>
    <row r="4959">
      <c r="L4959" s="13"/>
      <c r="M4959" s="14"/>
      <c r="N4959" s="14"/>
      <c r="O4959" s="14"/>
      <c r="P4959" s="13"/>
    </row>
    <row r="4960">
      <c r="L4960" s="13"/>
      <c r="M4960" s="14"/>
      <c r="N4960" s="14"/>
      <c r="O4960" s="14"/>
      <c r="P4960" s="13"/>
    </row>
    <row r="4961">
      <c r="L4961" s="13"/>
      <c r="M4961" s="14"/>
      <c r="N4961" s="14"/>
      <c r="O4961" s="14"/>
      <c r="P4961" s="13"/>
    </row>
    <row r="4962">
      <c r="L4962" s="13"/>
      <c r="M4962" s="14"/>
      <c r="N4962" s="14"/>
      <c r="O4962" s="14"/>
      <c r="P4962" s="13"/>
    </row>
    <row r="4963">
      <c r="L4963" s="13"/>
      <c r="M4963" s="14"/>
      <c r="N4963" s="14"/>
      <c r="O4963" s="14"/>
      <c r="P4963" s="13"/>
    </row>
    <row r="4964">
      <c r="L4964" s="13"/>
      <c r="M4964" s="14"/>
      <c r="N4964" s="14"/>
      <c r="O4964" s="14"/>
      <c r="P4964" s="13"/>
    </row>
    <row r="4965">
      <c r="L4965" s="13"/>
      <c r="M4965" s="14"/>
      <c r="N4965" s="14"/>
      <c r="O4965" s="14"/>
      <c r="P4965" s="13"/>
    </row>
    <row r="4966">
      <c r="L4966" s="13"/>
      <c r="M4966" s="14"/>
      <c r="N4966" s="14"/>
      <c r="O4966" s="14"/>
      <c r="P4966" s="13"/>
    </row>
    <row r="4967">
      <c r="L4967" s="13"/>
      <c r="M4967" s="14"/>
      <c r="N4967" s="14"/>
      <c r="O4967" s="14"/>
      <c r="P4967" s="13"/>
    </row>
    <row r="4968">
      <c r="L4968" s="13"/>
      <c r="M4968" s="14"/>
      <c r="N4968" s="14"/>
      <c r="O4968" s="14"/>
      <c r="P4968" s="13"/>
    </row>
    <row r="4969">
      <c r="L4969" s="13"/>
      <c r="M4969" s="14"/>
      <c r="N4969" s="14"/>
      <c r="O4969" s="14"/>
      <c r="P4969" s="13"/>
    </row>
    <row r="4970">
      <c r="L4970" s="13"/>
      <c r="M4970" s="14"/>
      <c r="N4970" s="14"/>
      <c r="O4970" s="14"/>
      <c r="P4970" s="13"/>
    </row>
    <row r="4971">
      <c r="L4971" s="13"/>
      <c r="M4971" s="14"/>
      <c r="N4971" s="14"/>
      <c r="O4971" s="14"/>
      <c r="P4971" s="13"/>
    </row>
    <row r="4972">
      <c r="L4972" s="13"/>
      <c r="M4972" s="14"/>
      <c r="N4972" s="14"/>
      <c r="O4972" s="14"/>
      <c r="P4972" s="13"/>
    </row>
    <row r="4973">
      <c r="L4973" s="13"/>
      <c r="M4973" s="14"/>
      <c r="N4973" s="14"/>
      <c r="O4973" s="14"/>
      <c r="P4973" s="13"/>
    </row>
    <row r="4974">
      <c r="L4974" s="13"/>
      <c r="M4974" s="14"/>
      <c r="N4974" s="14"/>
      <c r="O4974" s="14"/>
      <c r="P4974" s="13"/>
    </row>
    <row r="4975">
      <c r="L4975" s="13"/>
      <c r="M4975" s="14"/>
      <c r="N4975" s="14"/>
      <c r="O4975" s="14"/>
      <c r="P4975" s="13"/>
    </row>
    <row r="4976">
      <c r="L4976" s="13"/>
      <c r="M4976" s="14"/>
      <c r="N4976" s="14"/>
      <c r="O4976" s="14"/>
      <c r="P4976" s="13"/>
    </row>
    <row r="4977">
      <c r="L4977" s="13"/>
      <c r="M4977" s="14"/>
      <c r="N4977" s="14"/>
      <c r="O4977" s="14"/>
      <c r="P4977" s="13"/>
    </row>
    <row r="4978">
      <c r="L4978" s="13"/>
      <c r="M4978" s="14"/>
      <c r="N4978" s="14"/>
      <c r="O4978" s="14"/>
      <c r="P4978" s="13"/>
    </row>
    <row r="4979">
      <c r="L4979" s="13"/>
      <c r="M4979" s="14"/>
      <c r="N4979" s="14"/>
      <c r="O4979" s="14"/>
      <c r="P4979" s="13"/>
    </row>
    <row r="4980">
      <c r="L4980" s="13"/>
      <c r="M4980" s="14"/>
      <c r="N4980" s="14"/>
      <c r="O4980" s="14"/>
      <c r="P4980" s="13"/>
    </row>
    <row r="4981">
      <c r="L4981" s="13"/>
      <c r="M4981" s="14"/>
      <c r="N4981" s="14"/>
      <c r="O4981" s="14"/>
      <c r="P4981" s="13"/>
    </row>
    <row r="4982">
      <c r="L4982" s="13"/>
      <c r="M4982" s="14"/>
      <c r="N4982" s="14"/>
      <c r="O4982" s="14"/>
      <c r="P4982" s="13"/>
    </row>
    <row r="4983">
      <c r="L4983" s="13"/>
      <c r="M4983" s="14"/>
      <c r="N4983" s="14"/>
      <c r="O4983" s="14"/>
      <c r="P4983" s="13"/>
    </row>
    <row r="4984">
      <c r="L4984" s="13"/>
      <c r="M4984" s="14"/>
      <c r="N4984" s="14"/>
      <c r="O4984" s="14"/>
      <c r="P4984" s="13"/>
    </row>
    <row r="4985">
      <c r="L4985" s="13"/>
      <c r="M4985" s="14"/>
      <c r="N4985" s="14"/>
      <c r="O4985" s="14"/>
      <c r="P4985" s="13"/>
    </row>
    <row r="4986">
      <c r="L4986" s="13"/>
      <c r="M4986" s="14"/>
      <c r="N4986" s="14"/>
      <c r="O4986" s="14"/>
      <c r="P4986" s="13"/>
    </row>
    <row r="4987">
      <c r="L4987" s="13"/>
      <c r="M4987" s="14"/>
      <c r="N4987" s="14"/>
      <c r="O4987" s="14"/>
      <c r="P4987" s="13"/>
    </row>
    <row r="4988">
      <c r="L4988" s="13"/>
      <c r="M4988" s="14"/>
      <c r="N4988" s="14"/>
      <c r="O4988" s="14"/>
      <c r="P4988" s="13"/>
    </row>
    <row r="4989">
      <c r="L4989" s="13"/>
      <c r="M4989" s="14"/>
      <c r="N4989" s="14"/>
      <c r="O4989" s="14"/>
      <c r="P4989" s="13"/>
    </row>
    <row r="4990">
      <c r="L4990" s="13"/>
      <c r="M4990" s="14"/>
      <c r="N4990" s="14"/>
      <c r="O4990" s="14"/>
      <c r="P4990" s="13"/>
    </row>
    <row r="4991">
      <c r="L4991" s="13"/>
      <c r="M4991" s="14"/>
      <c r="N4991" s="14"/>
      <c r="O4991" s="14"/>
      <c r="P4991" s="13"/>
    </row>
    <row r="4992">
      <c r="L4992" s="13"/>
      <c r="M4992" s="14"/>
      <c r="N4992" s="14"/>
      <c r="O4992" s="14"/>
      <c r="P4992" s="13"/>
    </row>
    <row r="4993">
      <c r="L4993" s="13"/>
      <c r="M4993" s="14"/>
      <c r="N4993" s="14"/>
      <c r="O4993" s="14"/>
      <c r="P4993" s="13"/>
    </row>
    <row r="4994">
      <c r="L4994" s="13"/>
      <c r="M4994" s="14"/>
      <c r="N4994" s="14"/>
      <c r="O4994" s="14"/>
      <c r="P4994" s="13"/>
    </row>
    <row r="4995">
      <c r="L4995" s="13"/>
      <c r="M4995" s="14"/>
      <c r="N4995" s="14"/>
      <c r="O4995" s="14"/>
      <c r="P4995" s="13"/>
    </row>
    <row r="4996">
      <c r="L4996" s="13"/>
      <c r="M4996" s="14"/>
      <c r="N4996" s="14"/>
      <c r="O4996" s="14"/>
      <c r="P4996" s="13"/>
    </row>
    <row r="4997">
      <c r="L4997" s="13"/>
      <c r="M4997" s="14"/>
      <c r="N4997" s="14"/>
      <c r="O4997" s="14"/>
      <c r="P4997" s="13"/>
    </row>
    <row r="4998">
      <c r="L4998" s="13"/>
      <c r="M4998" s="14"/>
      <c r="N4998" s="14"/>
      <c r="O4998" s="14"/>
      <c r="P4998" s="13"/>
    </row>
    <row r="4999">
      <c r="L4999" s="13"/>
      <c r="M4999" s="14"/>
      <c r="N4999" s="14"/>
      <c r="O4999" s="14"/>
      <c r="P4999" s="13"/>
    </row>
    <row r="5000">
      <c r="L5000" s="13"/>
      <c r="M5000" s="14"/>
      <c r="N5000" s="14"/>
      <c r="O5000" s="14"/>
      <c r="P5000" s="13"/>
    </row>
    <row r="5001">
      <c r="L5001" s="13"/>
      <c r="M5001" s="14"/>
      <c r="N5001" s="14"/>
      <c r="O5001" s="14"/>
      <c r="P5001" s="13"/>
    </row>
    <row r="5002">
      <c r="L5002" s="13"/>
      <c r="M5002" s="14"/>
      <c r="N5002" s="14"/>
      <c r="O5002" s="14"/>
      <c r="P5002" s="13"/>
    </row>
    <row r="5003">
      <c r="L5003" s="13"/>
      <c r="M5003" s="14"/>
      <c r="N5003" s="14"/>
      <c r="O5003" s="14"/>
      <c r="P5003" s="13"/>
    </row>
    <row r="5004">
      <c r="L5004" s="13"/>
      <c r="M5004" s="14"/>
      <c r="N5004" s="14"/>
      <c r="O5004" s="14"/>
      <c r="P5004" s="13"/>
    </row>
    <row r="5005">
      <c r="L5005" s="13"/>
      <c r="M5005" s="14"/>
      <c r="N5005" s="14"/>
      <c r="O5005" s="14"/>
      <c r="P5005" s="13"/>
    </row>
    <row r="5006">
      <c r="L5006" s="13"/>
      <c r="M5006" s="14"/>
      <c r="N5006" s="14"/>
      <c r="O5006" s="14"/>
      <c r="P5006" s="13"/>
    </row>
    <row r="5007">
      <c r="L5007" s="13"/>
      <c r="M5007" s="14"/>
      <c r="N5007" s="14"/>
      <c r="O5007" s="14"/>
      <c r="P5007" s="13"/>
    </row>
    <row r="5008">
      <c r="L5008" s="13"/>
      <c r="M5008" s="14"/>
      <c r="N5008" s="14"/>
      <c r="O5008" s="14"/>
      <c r="P5008" s="13"/>
    </row>
    <row r="5009">
      <c r="L5009" s="13"/>
      <c r="M5009" s="14"/>
      <c r="N5009" s="14"/>
      <c r="O5009" s="14"/>
      <c r="P5009" s="13"/>
    </row>
    <row r="5010">
      <c r="L5010" s="13"/>
      <c r="M5010" s="14"/>
      <c r="N5010" s="14"/>
      <c r="O5010" s="14"/>
      <c r="P5010" s="13"/>
    </row>
    <row r="5011">
      <c r="L5011" s="13"/>
      <c r="M5011" s="14"/>
      <c r="N5011" s="14"/>
      <c r="O5011" s="14"/>
      <c r="P5011" s="13"/>
    </row>
    <row r="5012">
      <c r="L5012" s="13"/>
      <c r="M5012" s="14"/>
      <c r="N5012" s="14"/>
      <c r="O5012" s="14"/>
      <c r="P5012" s="13"/>
    </row>
    <row r="5013">
      <c r="L5013" s="13"/>
      <c r="M5013" s="14"/>
      <c r="N5013" s="14"/>
      <c r="O5013" s="14"/>
      <c r="P5013" s="13"/>
    </row>
    <row r="5014">
      <c r="L5014" s="13"/>
      <c r="M5014" s="14"/>
      <c r="N5014" s="14"/>
      <c r="O5014" s="14"/>
      <c r="P5014" s="13"/>
    </row>
    <row r="5015">
      <c r="L5015" s="13"/>
      <c r="M5015" s="14"/>
      <c r="N5015" s="14"/>
      <c r="O5015" s="14"/>
      <c r="P5015" s="13"/>
    </row>
    <row r="5016">
      <c r="L5016" s="13"/>
      <c r="M5016" s="14"/>
      <c r="N5016" s="14"/>
      <c r="O5016" s="14"/>
      <c r="P5016" s="13"/>
    </row>
    <row r="5017">
      <c r="L5017" s="13"/>
      <c r="M5017" s="14"/>
      <c r="N5017" s="14"/>
      <c r="O5017" s="14"/>
      <c r="P5017" s="13"/>
    </row>
    <row r="5018">
      <c r="L5018" s="13"/>
      <c r="M5018" s="14"/>
      <c r="N5018" s="14"/>
      <c r="O5018" s="14"/>
      <c r="P5018" s="13"/>
    </row>
    <row r="5019">
      <c r="L5019" s="13"/>
      <c r="M5019" s="14"/>
      <c r="N5019" s="14"/>
      <c r="O5019" s="14"/>
      <c r="P5019" s="13"/>
    </row>
    <row r="5020">
      <c r="L5020" s="13"/>
      <c r="M5020" s="14"/>
      <c r="N5020" s="14"/>
      <c r="O5020" s="14"/>
      <c r="P5020" s="13"/>
    </row>
    <row r="5021">
      <c r="L5021" s="13"/>
      <c r="M5021" s="14"/>
      <c r="N5021" s="14"/>
      <c r="O5021" s="14"/>
      <c r="P5021" s="13"/>
    </row>
    <row r="5022">
      <c r="L5022" s="13"/>
      <c r="M5022" s="14"/>
      <c r="N5022" s="14"/>
      <c r="O5022" s="14"/>
      <c r="P5022" s="13"/>
    </row>
    <row r="5023">
      <c r="L5023" s="13"/>
      <c r="M5023" s="14"/>
      <c r="N5023" s="14"/>
      <c r="O5023" s="14"/>
      <c r="P5023" s="13"/>
    </row>
    <row r="5024">
      <c r="L5024" s="13"/>
      <c r="M5024" s="14"/>
      <c r="N5024" s="14"/>
      <c r="O5024" s="14"/>
      <c r="P5024" s="13"/>
    </row>
    <row r="5025">
      <c r="L5025" s="13"/>
      <c r="M5025" s="14"/>
      <c r="N5025" s="14"/>
      <c r="O5025" s="14"/>
      <c r="P5025" s="13"/>
    </row>
    <row r="5026">
      <c r="L5026" s="13"/>
      <c r="M5026" s="14"/>
      <c r="N5026" s="14"/>
      <c r="O5026" s="14"/>
      <c r="P5026" s="13"/>
    </row>
    <row r="5027">
      <c r="L5027" s="13"/>
      <c r="M5027" s="14"/>
      <c r="N5027" s="14"/>
      <c r="O5027" s="14"/>
      <c r="P5027" s="13"/>
    </row>
    <row r="5028">
      <c r="L5028" s="13"/>
      <c r="M5028" s="14"/>
      <c r="N5028" s="14"/>
      <c r="O5028" s="14"/>
      <c r="P5028" s="13"/>
    </row>
    <row r="5029">
      <c r="L5029" s="13"/>
      <c r="M5029" s="14"/>
      <c r="N5029" s="14"/>
      <c r="O5029" s="14"/>
      <c r="P5029" s="13"/>
    </row>
    <row r="5030">
      <c r="L5030" s="13"/>
      <c r="M5030" s="14"/>
      <c r="N5030" s="14"/>
      <c r="O5030" s="14"/>
      <c r="P5030" s="13"/>
    </row>
    <row r="5031">
      <c r="L5031" s="13"/>
      <c r="M5031" s="14"/>
      <c r="N5031" s="14"/>
      <c r="O5031" s="14"/>
      <c r="P5031" s="13"/>
    </row>
    <row r="5032">
      <c r="L5032" s="13"/>
      <c r="M5032" s="14"/>
      <c r="N5032" s="14"/>
      <c r="O5032" s="14"/>
      <c r="P5032" s="13"/>
    </row>
    <row r="5033">
      <c r="L5033" s="13"/>
      <c r="M5033" s="14"/>
      <c r="N5033" s="14"/>
      <c r="O5033" s="14"/>
      <c r="P5033" s="13"/>
    </row>
    <row r="5034">
      <c r="L5034" s="13"/>
      <c r="M5034" s="14"/>
      <c r="N5034" s="14"/>
      <c r="O5034" s="14"/>
      <c r="P5034" s="13"/>
    </row>
    <row r="5035">
      <c r="L5035" s="13"/>
      <c r="M5035" s="14"/>
      <c r="N5035" s="14"/>
      <c r="O5035" s="14"/>
      <c r="P5035" s="13"/>
    </row>
    <row r="5036">
      <c r="L5036" s="13"/>
      <c r="M5036" s="14"/>
      <c r="N5036" s="14"/>
      <c r="O5036" s="14"/>
      <c r="P5036" s="13"/>
    </row>
    <row r="5037">
      <c r="L5037" s="13"/>
      <c r="M5037" s="14"/>
      <c r="N5037" s="14"/>
      <c r="O5037" s="14"/>
      <c r="P5037" s="13"/>
    </row>
    <row r="5038">
      <c r="L5038" s="13"/>
      <c r="M5038" s="14"/>
      <c r="N5038" s="14"/>
      <c r="O5038" s="14"/>
      <c r="P5038" s="13"/>
    </row>
    <row r="5039">
      <c r="L5039" s="13"/>
      <c r="M5039" s="14"/>
      <c r="N5039" s="14"/>
      <c r="O5039" s="14"/>
      <c r="P5039" s="13"/>
    </row>
    <row r="5040">
      <c r="L5040" s="13"/>
      <c r="M5040" s="14"/>
      <c r="N5040" s="14"/>
      <c r="O5040" s="14"/>
      <c r="P5040" s="13"/>
    </row>
    <row r="5041">
      <c r="L5041" s="13"/>
      <c r="M5041" s="14"/>
      <c r="N5041" s="14"/>
      <c r="O5041" s="14"/>
      <c r="P5041" s="13"/>
    </row>
    <row r="5042">
      <c r="L5042" s="13"/>
      <c r="M5042" s="14"/>
      <c r="N5042" s="14"/>
      <c r="O5042" s="14"/>
      <c r="P5042" s="13"/>
    </row>
    <row r="5043">
      <c r="L5043" s="13"/>
      <c r="M5043" s="14"/>
      <c r="N5043" s="14"/>
      <c r="O5043" s="14"/>
      <c r="P5043" s="13"/>
    </row>
    <row r="5044">
      <c r="L5044" s="13"/>
      <c r="M5044" s="14"/>
      <c r="N5044" s="14"/>
      <c r="O5044" s="14"/>
      <c r="P5044" s="13"/>
    </row>
    <row r="5045">
      <c r="L5045" s="13"/>
      <c r="M5045" s="14"/>
      <c r="N5045" s="14"/>
      <c r="O5045" s="14"/>
      <c r="P5045" s="13"/>
    </row>
    <row r="5046">
      <c r="L5046" s="13"/>
      <c r="M5046" s="14"/>
      <c r="N5046" s="14"/>
      <c r="O5046" s="14"/>
      <c r="P5046" s="13"/>
    </row>
    <row r="5047">
      <c r="L5047" s="13"/>
      <c r="M5047" s="14"/>
      <c r="N5047" s="14"/>
      <c r="O5047" s="14"/>
      <c r="P5047" s="13"/>
    </row>
    <row r="5048">
      <c r="L5048" s="13"/>
      <c r="M5048" s="14"/>
      <c r="N5048" s="14"/>
      <c r="O5048" s="14"/>
      <c r="P5048" s="13"/>
    </row>
    <row r="5049">
      <c r="L5049" s="13"/>
      <c r="M5049" s="14"/>
      <c r="N5049" s="14"/>
      <c r="O5049" s="14"/>
      <c r="P5049" s="13"/>
    </row>
    <row r="5050">
      <c r="L5050" s="13"/>
      <c r="M5050" s="14"/>
      <c r="N5050" s="14"/>
      <c r="O5050" s="14"/>
      <c r="P5050" s="13"/>
    </row>
    <row r="5051">
      <c r="L5051" s="13"/>
      <c r="M5051" s="14"/>
      <c r="N5051" s="14"/>
      <c r="O5051" s="14"/>
      <c r="P5051" s="13"/>
    </row>
    <row r="5052">
      <c r="L5052" s="13"/>
      <c r="M5052" s="14"/>
      <c r="N5052" s="14"/>
      <c r="O5052" s="14"/>
      <c r="P5052" s="13"/>
    </row>
    <row r="5053">
      <c r="L5053" s="13"/>
      <c r="M5053" s="14"/>
      <c r="N5053" s="14"/>
      <c r="O5053" s="14"/>
      <c r="P5053" s="13"/>
    </row>
    <row r="5054">
      <c r="L5054" s="13"/>
      <c r="M5054" s="14"/>
      <c r="N5054" s="14"/>
      <c r="O5054" s="14"/>
      <c r="P5054" s="13"/>
    </row>
    <row r="5055">
      <c r="L5055" s="13"/>
      <c r="M5055" s="14"/>
      <c r="N5055" s="14"/>
      <c r="O5055" s="14"/>
      <c r="P5055" s="13"/>
    </row>
    <row r="5056">
      <c r="L5056" s="13"/>
      <c r="M5056" s="14"/>
      <c r="N5056" s="14"/>
      <c r="O5056" s="14"/>
      <c r="P5056" s="13"/>
    </row>
    <row r="5057">
      <c r="L5057" s="13"/>
      <c r="M5057" s="14"/>
      <c r="N5057" s="14"/>
      <c r="O5057" s="14"/>
      <c r="P5057" s="13"/>
    </row>
    <row r="5058">
      <c r="L5058" s="13"/>
      <c r="M5058" s="14"/>
      <c r="N5058" s="14"/>
      <c r="O5058" s="14"/>
      <c r="P5058" s="13"/>
    </row>
    <row r="5059">
      <c r="L5059" s="13"/>
      <c r="M5059" s="14"/>
      <c r="N5059" s="14"/>
      <c r="O5059" s="14"/>
      <c r="P5059" s="13"/>
    </row>
    <row r="5060">
      <c r="L5060" s="13"/>
      <c r="M5060" s="14"/>
      <c r="N5060" s="14"/>
      <c r="O5060" s="14"/>
      <c r="P5060" s="13"/>
    </row>
    <row r="5061">
      <c r="L5061" s="13"/>
      <c r="M5061" s="14"/>
      <c r="N5061" s="14"/>
      <c r="O5061" s="14"/>
      <c r="P5061" s="13"/>
    </row>
    <row r="5062">
      <c r="L5062" s="13"/>
      <c r="M5062" s="14"/>
      <c r="N5062" s="14"/>
      <c r="O5062" s="14"/>
      <c r="P5062" s="13"/>
    </row>
    <row r="5063">
      <c r="L5063" s="13"/>
      <c r="M5063" s="14"/>
      <c r="N5063" s="14"/>
      <c r="O5063" s="14"/>
      <c r="P5063" s="13"/>
    </row>
    <row r="5064">
      <c r="L5064" s="13"/>
      <c r="M5064" s="14"/>
      <c r="N5064" s="14"/>
      <c r="O5064" s="14"/>
      <c r="P5064" s="13"/>
    </row>
    <row r="5065">
      <c r="L5065" s="13"/>
      <c r="M5065" s="14"/>
      <c r="N5065" s="14"/>
      <c r="O5065" s="14"/>
      <c r="P5065" s="13"/>
    </row>
    <row r="5066">
      <c r="L5066" s="13"/>
      <c r="M5066" s="14"/>
      <c r="N5066" s="14"/>
      <c r="O5066" s="14"/>
      <c r="P5066" s="13"/>
    </row>
    <row r="5067">
      <c r="L5067" s="13"/>
      <c r="M5067" s="14"/>
      <c r="N5067" s="14"/>
      <c r="O5067" s="14"/>
      <c r="P5067" s="13"/>
    </row>
    <row r="5068">
      <c r="L5068" s="13"/>
      <c r="M5068" s="14"/>
      <c r="N5068" s="14"/>
      <c r="O5068" s="14"/>
      <c r="P5068" s="13"/>
    </row>
    <row r="5069">
      <c r="L5069" s="13"/>
      <c r="M5069" s="14"/>
      <c r="N5069" s="14"/>
      <c r="O5069" s="14"/>
      <c r="P5069" s="13"/>
    </row>
    <row r="5070">
      <c r="L5070" s="13"/>
      <c r="M5070" s="14"/>
      <c r="N5070" s="14"/>
      <c r="O5070" s="14"/>
      <c r="P5070" s="13"/>
    </row>
    <row r="5071">
      <c r="L5071" s="13"/>
      <c r="M5071" s="14"/>
      <c r="N5071" s="14"/>
      <c r="O5071" s="14"/>
      <c r="P5071" s="13"/>
    </row>
    <row r="5072">
      <c r="L5072" s="13"/>
      <c r="M5072" s="14"/>
      <c r="N5072" s="14"/>
      <c r="O5072" s="14"/>
      <c r="P5072" s="13"/>
    </row>
    <row r="5073">
      <c r="L5073" s="13"/>
      <c r="M5073" s="14"/>
      <c r="N5073" s="14"/>
      <c r="O5073" s="14"/>
      <c r="P5073" s="13"/>
    </row>
    <row r="5074">
      <c r="L5074" s="13"/>
      <c r="M5074" s="14"/>
      <c r="N5074" s="14"/>
      <c r="O5074" s="14"/>
      <c r="P5074" s="13"/>
    </row>
    <row r="5075">
      <c r="L5075" s="13"/>
      <c r="M5075" s="14"/>
      <c r="N5075" s="14"/>
      <c r="O5075" s="14"/>
      <c r="P5075" s="13"/>
    </row>
    <row r="5076">
      <c r="L5076" s="13"/>
      <c r="M5076" s="14"/>
      <c r="N5076" s="14"/>
      <c r="O5076" s="14"/>
      <c r="P5076" s="13"/>
    </row>
    <row r="5077">
      <c r="L5077" s="13"/>
      <c r="M5077" s="14"/>
      <c r="N5077" s="14"/>
      <c r="O5077" s="14"/>
      <c r="P5077" s="13"/>
    </row>
    <row r="5078">
      <c r="L5078" s="13"/>
      <c r="M5078" s="14"/>
      <c r="N5078" s="14"/>
      <c r="O5078" s="14"/>
      <c r="P5078" s="13"/>
    </row>
    <row r="5079">
      <c r="L5079" s="13"/>
      <c r="M5079" s="14"/>
      <c r="N5079" s="14"/>
      <c r="O5079" s="14"/>
      <c r="P5079" s="13"/>
    </row>
    <row r="5080">
      <c r="L5080" s="13"/>
      <c r="M5080" s="14"/>
      <c r="N5080" s="14"/>
      <c r="O5080" s="14"/>
      <c r="P5080" s="13"/>
    </row>
    <row r="5081">
      <c r="L5081" s="13"/>
      <c r="M5081" s="14"/>
      <c r="N5081" s="14"/>
      <c r="O5081" s="14"/>
      <c r="P5081" s="13"/>
    </row>
    <row r="5082">
      <c r="L5082" s="13"/>
      <c r="M5082" s="14"/>
      <c r="N5082" s="14"/>
      <c r="O5082" s="14"/>
      <c r="P5082" s="13"/>
    </row>
    <row r="5083">
      <c r="L5083" s="13"/>
      <c r="M5083" s="14"/>
      <c r="N5083" s="14"/>
      <c r="O5083" s="14"/>
      <c r="P5083" s="13"/>
    </row>
    <row r="5084">
      <c r="L5084" s="13"/>
      <c r="M5084" s="14"/>
      <c r="N5084" s="14"/>
      <c r="O5084" s="14"/>
      <c r="P5084" s="13"/>
    </row>
    <row r="5085">
      <c r="L5085" s="13"/>
      <c r="M5085" s="14"/>
      <c r="N5085" s="14"/>
      <c r="O5085" s="14"/>
      <c r="P5085" s="13"/>
    </row>
    <row r="5086">
      <c r="L5086" s="13"/>
      <c r="M5086" s="14"/>
      <c r="N5086" s="14"/>
      <c r="O5086" s="14"/>
      <c r="P5086" s="13"/>
    </row>
    <row r="5087">
      <c r="L5087" s="13"/>
      <c r="M5087" s="14"/>
      <c r="N5087" s="14"/>
      <c r="O5087" s="14"/>
      <c r="P5087" s="13"/>
    </row>
    <row r="5088">
      <c r="L5088" s="13"/>
      <c r="M5088" s="14"/>
      <c r="N5088" s="14"/>
      <c r="O5088" s="14"/>
      <c r="P5088" s="13"/>
    </row>
    <row r="5089">
      <c r="L5089" s="13"/>
      <c r="M5089" s="14"/>
      <c r="N5089" s="14"/>
      <c r="O5089" s="14"/>
      <c r="P5089" s="13"/>
    </row>
    <row r="5090">
      <c r="L5090" s="13"/>
      <c r="M5090" s="14"/>
      <c r="N5090" s="14"/>
      <c r="O5090" s="14"/>
      <c r="P5090" s="13"/>
    </row>
    <row r="5091">
      <c r="L5091" s="13"/>
      <c r="M5091" s="14"/>
      <c r="N5091" s="14"/>
      <c r="O5091" s="14"/>
      <c r="P5091" s="13"/>
    </row>
    <row r="5092">
      <c r="L5092" s="13"/>
      <c r="M5092" s="14"/>
      <c r="N5092" s="14"/>
      <c r="O5092" s="14"/>
      <c r="P5092" s="13"/>
    </row>
    <row r="5093">
      <c r="L5093" s="13"/>
      <c r="M5093" s="14"/>
      <c r="N5093" s="14"/>
      <c r="O5093" s="14"/>
      <c r="P5093" s="13"/>
    </row>
    <row r="5094">
      <c r="L5094" s="13"/>
      <c r="M5094" s="14"/>
      <c r="N5094" s="14"/>
      <c r="O5094" s="14"/>
      <c r="P5094" s="13"/>
    </row>
    <row r="5095">
      <c r="L5095" s="13"/>
      <c r="M5095" s="14"/>
      <c r="N5095" s="14"/>
      <c r="O5095" s="14"/>
      <c r="P5095" s="13"/>
    </row>
    <row r="5096">
      <c r="L5096" s="13"/>
      <c r="M5096" s="14"/>
      <c r="N5096" s="14"/>
      <c r="O5096" s="14"/>
      <c r="P5096" s="13"/>
    </row>
    <row r="5097">
      <c r="L5097" s="13"/>
      <c r="M5097" s="14"/>
      <c r="N5097" s="14"/>
      <c r="O5097" s="14"/>
      <c r="P5097" s="13"/>
    </row>
    <row r="5098">
      <c r="L5098" s="13"/>
      <c r="M5098" s="14"/>
      <c r="N5098" s="14"/>
      <c r="O5098" s="14"/>
      <c r="P5098" s="13"/>
    </row>
    <row r="5099">
      <c r="L5099" s="13"/>
      <c r="M5099" s="14"/>
      <c r="N5099" s="14"/>
      <c r="O5099" s="14"/>
      <c r="P5099" s="13"/>
    </row>
    <row r="5100">
      <c r="L5100" s="13"/>
      <c r="M5100" s="14"/>
      <c r="N5100" s="14"/>
      <c r="O5100" s="14"/>
      <c r="P5100" s="13"/>
    </row>
    <row r="5101">
      <c r="L5101" s="13"/>
      <c r="M5101" s="14"/>
      <c r="N5101" s="14"/>
      <c r="O5101" s="14"/>
      <c r="P5101" s="13"/>
    </row>
    <row r="5102">
      <c r="L5102" s="13"/>
      <c r="M5102" s="14"/>
      <c r="N5102" s="14"/>
      <c r="O5102" s="14"/>
      <c r="P5102" s="13"/>
    </row>
    <row r="5103">
      <c r="L5103" s="13"/>
      <c r="M5103" s="14"/>
      <c r="N5103" s="14"/>
      <c r="O5103" s="14"/>
      <c r="P5103" s="13"/>
    </row>
    <row r="5104">
      <c r="L5104" s="13"/>
      <c r="M5104" s="14"/>
      <c r="N5104" s="14"/>
      <c r="O5104" s="14"/>
      <c r="P5104" s="13"/>
    </row>
    <row r="5105">
      <c r="L5105" s="13"/>
      <c r="M5105" s="14"/>
      <c r="N5105" s="14"/>
      <c r="O5105" s="14"/>
      <c r="P5105" s="13"/>
    </row>
    <row r="5106">
      <c r="L5106" s="13"/>
      <c r="M5106" s="14"/>
      <c r="N5106" s="14"/>
      <c r="O5106" s="14"/>
      <c r="P5106" s="13"/>
    </row>
    <row r="5107">
      <c r="L5107" s="13"/>
      <c r="M5107" s="14"/>
      <c r="N5107" s="14"/>
      <c r="O5107" s="14"/>
      <c r="P5107" s="13"/>
    </row>
    <row r="5108">
      <c r="L5108" s="13"/>
      <c r="M5108" s="14"/>
      <c r="N5108" s="14"/>
      <c r="O5108" s="14"/>
      <c r="P5108" s="13"/>
    </row>
    <row r="5109">
      <c r="L5109" s="13"/>
      <c r="M5109" s="14"/>
      <c r="N5109" s="14"/>
      <c r="O5109" s="14"/>
      <c r="P5109" s="13"/>
    </row>
    <row r="5110">
      <c r="L5110" s="13"/>
      <c r="M5110" s="14"/>
      <c r="N5110" s="14"/>
      <c r="O5110" s="14"/>
      <c r="P5110" s="13"/>
    </row>
    <row r="5111">
      <c r="L5111" s="13"/>
      <c r="M5111" s="14"/>
      <c r="N5111" s="14"/>
      <c r="O5111" s="14"/>
      <c r="P5111" s="13"/>
    </row>
    <row r="5112">
      <c r="L5112" s="13"/>
      <c r="M5112" s="14"/>
      <c r="N5112" s="14"/>
      <c r="O5112" s="14"/>
      <c r="P5112" s="13"/>
    </row>
    <row r="5113">
      <c r="L5113" s="13"/>
      <c r="M5113" s="14"/>
      <c r="N5113" s="14"/>
      <c r="O5113" s="14"/>
      <c r="P5113" s="13"/>
    </row>
    <row r="5114">
      <c r="L5114" s="13"/>
      <c r="M5114" s="14"/>
      <c r="N5114" s="14"/>
      <c r="O5114" s="14"/>
      <c r="P5114" s="13"/>
    </row>
    <row r="5115">
      <c r="L5115" s="13"/>
      <c r="M5115" s="14"/>
      <c r="N5115" s="14"/>
      <c r="O5115" s="14"/>
      <c r="P5115" s="13"/>
    </row>
    <row r="5116">
      <c r="L5116" s="13"/>
      <c r="M5116" s="14"/>
      <c r="N5116" s="14"/>
      <c r="O5116" s="14"/>
      <c r="P5116" s="13"/>
    </row>
    <row r="5117">
      <c r="L5117" s="13"/>
      <c r="M5117" s="14"/>
      <c r="N5117" s="14"/>
      <c r="O5117" s="14"/>
      <c r="P5117" s="13"/>
    </row>
    <row r="5118">
      <c r="L5118" s="13"/>
      <c r="M5118" s="14"/>
      <c r="N5118" s="14"/>
      <c r="O5118" s="14"/>
      <c r="P5118" s="13"/>
    </row>
    <row r="5119">
      <c r="L5119" s="13"/>
      <c r="M5119" s="14"/>
      <c r="N5119" s="14"/>
      <c r="O5119" s="14"/>
      <c r="P5119" s="13"/>
    </row>
    <row r="5120">
      <c r="L5120" s="13"/>
      <c r="M5120" s="14"/>
      <c r="N5120" s="14"/>
      <c r="O5120" s="14"/>
      <c r="P5120" s="13"/>
    </row>
    <row r="5121">
      <c r="L5121" s="13"/>
      <c r="M5121" s="14"/>
      <c r="N5121" s="14"/>
      <c r="O5121" s="14"/>
      <c r="P5121" s="13"/>
    </row>
    <row r="5122">
      <c r="L5122" s="13"/>
      <c r="M5122" s="14"/>
      <c r="N5122" s="14"/>
      <c r="O5122" s="14"/>
      <c r="P5122" s="13"/>
    </row>
    <row r="5123">
      <c r="L5123" s="13"/>
      <c r="M5123" s="14"/>
      <c r="N5123" s="14"/>
      <c r="O5123" s="14"/>
      <c r="P5123" s="13"/>
    </row>
    <row r="5124">
      <c r="L5124" s="13"/>
      <c r="M5124" s="14"/>
      <c r="N5124" s="14"/>
      <c r="O5124" s="14"/>
      <c r="P5124" s="13"/>
    </row>
    <row r="5125">
      <c r="L5125" s="13"/>
      <c r="M5125" s="14"/>
      <c r="N5125" s="14"/>
      <c r="O5125" s="14"/>
      <c r="P5125" s="13"/>
    </row>
    <row r="5126">
      <c r="L5126" s="13"/>
      <c r="M5126" s="14"/>
      <c r="N5126" s="14"/>
      <c r="O5126" s="14"/>
      <c r="P5126" s="13"/>
    </row>
    <row r="5127">
      <c r="L5127" s="13"/>
      <c r="M5127" s="14"/>
      <c r="N5127" s="14"/>
      <c r="O5127" s="14"/>
      <c r="P5127" s="13"/>
    </row>
    <row r="5128">
      <c r="L5128" s="13"/>
      <c r="M5128" s="14"/>
      <c r="N5128" s="14"/>
      <c r="O5128" s="14"/>
      <c r="P5128" s="13"/>
    </row>
    <row r="5129">
      <c r="L5129" s="13"/>
      <c r="M5129" s="14"/>
      <c r="N5129" s="14"/>
      <c r="O5129" s="14"/>
      <c r="P5129" s="13"/>
    </row>
    <row r="5130">
      <c r="L5130" s="13"/>
      <c r="M5130" s="14"/>
      <c r="N5130" s="14"/>
      <c r="O5130" s="14"/>
      <c r="P5130" s="13"/>
    </row>
    <row r="5131">
      <c r="L5131" s="13"/>
      <c r="M5131" s="14"/>
      <c r="N5131" s="14"/>
      <c r="O5131" s="14"/>
      <c r="P5131" s="13"/>
    </row>
    <row r="5132">
      <c r="L5132" s="13"/>
      <c r="M5132" s="14"/>
      <c r="N5132" s="14"/>
      <c r="O5132" s="14"/>
      <c r="P5132" s="13"/>
    </row>
    <row r="5133">
      <c r="L5133" s="13"/>
      <c r="M5133" s="14"/>
      <c r="N5133" s="14"/>
      <c r="O5133" s="14"/>
      <c r="P5133" s="13"/>
    </row>
    <row r="5134">
      <c r="L5134" s="13"/>
      <c r="M5134" s="14"/>
      <c r="N5134" s="14"/>
      <c r="O5134" s="14"/>
      <c r="P5134" s="13"/>
    </row>
    <row r="5135">
      <c r="L5135" s="13"/>
      <c r="M5135" s="14"/>
      <c r="N5135" s="14"/>
      <c r="O5135" s="14"/>
      <c r="P5135" s="13"/>
    </row>
    <row r="5136">
      <c r="L5136" s="13"/>
      <c r="M5136" s="14"/>
      <c r="N5136" s="14"/>
      <c r="O5136" s="14"/>
      <c r="P5136" s="13"/>
    </row>
    <row r="5137">
      <c r="L5137" s="13"/>
      <c r="M5137" s="14"/>
      <c r="N5137" s="14"/>
      <c r="O5137" s="14"/>
      <c r="P5137" s="13"/>
    </row>
    <row r="5138">
      <c r="L5138" s="13"/>
      <c r="M5138" s="14"/>
      <c r="N5138" s="14"/>
      <c r="O5138" s="14"/>
      <c r="P5138" s="13"/>
    </row>
    <row r="5139">
      <c r="L5139" s="13"/>
      <c r="M5139" s="14"/>
      <c r="N5139" s="14"/>
      <c r="O5139" s="14"/>
      <c r="P5139" s="13"/>
    </row>
    <row r="5140">
      <c r="L5140" s="13"/>
      <c r="M5140" s="14"/>
      <c r="N5140" s="14"/>
      <c r="O5140" s="14"/>
      <c r="P5140" s="13"/>
    </row>
    <row r="5141">
      <c r="L5141" s="13"/>
      <c r="M5141" s="14"/>
      <c r="N5141" s="14"/>
      <c r="O5141" s="14"/>
      <c r="P5141" s="13"/>
    </row>
    <row r="5142">
      <c r="L5142" s="13"/>
      <c r="M5142" s="14"/>
      <c r="N5142" s="14"/>
      <c r="O5142" s="14"/>
      <c r="P5142" s="13"/>
    </row>
    <row r="5143">
      <c r="L5143" s="13"/>
      <c r="M5143" s="14"/>
      <c r="N5143" s="14"/>
      <c r="O5143" s="14"/>
      <c r="P5143" s="13"/>
    </row>
    <row r="5144">
      <c r="L5144" s="13"/>
      <c r="M5144" s="14"/>
      <c r="N5144" s="14"/>
      <c r="O5144" s="14"/>
      <c r="P5144" s="13"/>
    </row>
    <row r="5145">
      <c r="L5145" s="13"/>
      <c r="M5145" s="14"/>
      <c r="N5145" s="14"/>
      <c r="O5145" s="14"/>
      <c r="P5145" s="13"/>
    </row>
    <row r="5146">
      <c r="L5146" s="13"/>
      <c r="M5146" s="14"/>
      <c r="N5146" s="14"/>
      <c r="O5146" s="14"/>
      <c r="P5146" s="13"/>
    </row>
    <row r="5147">
      <c r="L5147" s="13"/>
      <c r="M5147" s="14"/>
      <c r="N5147" s="14"/>
      <c r="O5147" s="14"/>
      <c r="P5147" s="13"/>
    </row>
    <row r="5148">
      <c r="L5148" s="13"/>
      <c r="M5148" s="14"/>
      <c r="N5148" s="14"/>
      <c r="O5148" s="14"/>
      <c r="P5148" s="13"/>
    </row>
    <row r="5149">
      <c r="L5149" s="13"/>
      <c r="M5149" s="14"/>
      <c r="N5149" s="14"/>
      <c r="O5149" s="14"/>
      <c r="P5149" s="13"/>
    </row>
    <row r="5150">
      <c r="L5150" s="13"/>
      <c r="M5150" s="14"/>
      <c r="N5150" s="14"/>
      <c r="O5150" s="14"/>
      <c r="P5150" s="13"/>
    </row>
    <row r="5151">
      <c r="L5151" s="13"/>
      <c r="M5151" s="14"/>
      <c r="N5151" s="14"/>
      <c r="O5151" s="14"/>
      <c r="P5151" s="13"/>
    </row>
    <row r="5152">
      <c r="L5152" s="13"/>
      <c r="M5152" s="14"/>
      <c r="N5152" s="14"/>
      <c r="O5152" s="14"/>
      <c r="P5152" s="13"/>
    </row>
    <row r="5153">
      <c r="L5153" s="13"/>
      <c r="M5153" s="14"/>
      <c r="N5153" s="14"/>
      <c r="O5153" s="14"/>
      <c r="P5153" s="13"/>
    </row>
    <row r="5154">
      <c r="L5154" s="13"/>
      <c r="M5154" s="14"/>
      <c r="N5154" s="14"/>
      <c r="O5154" s="14"/>
      <c r="P5154" s="13"/>
    </row>
    <row r="5155">
      <c r="L5155" s="13"/>
      <c r="M5155" s="14"/>
      <c r="N5155" s="14"/>
      <c r="O5155" s="14"/>
      <c r="P5155" s="13"/>
    </row>
    <row r="5156">
      <c r="L5156" s="13"/>
      <c r="M5156" s="14"/>
      <c r="N5156" s="14"/>
      <c r="O5156" s="14"/>
      <c r="P5156" s="13"/>
    </row>
    <row r="5157">
      <c r="L5157" s="13"/>
      <c r="M5157" s="14"/>
      <c r="N5157" s="14"/>
      <c r="O5157" s="14"/>
      <c r="P5157" s="13"/>
    </row>
    <row r="5158">
      <c r="L5158" s="13"/>
      <c r="M5158" s="14"/>
      <c r="N5158" s="14"/>
      <c r="O5158" s="14"/>
      <c r="P5158" s="13"/>
    </row>
    <row r="5159">
      <c r="L5159" s="13"/>
      <c r="M5159" s="14"/>
      <c r="N5159" s="14"/>
      <c r="O5159" s="14"/>
      <c r="P5159" s="13"/>
    </row>
    <row r="5160">
      <c r="L5160" s="13"/>
      <c r="M5160" s="14"/>
      <c r="N5160" s="14"/>
      <c r="O5160" s="14"/>
      <c r="P5160" s="13"/>
    </row>
    <row r="5161">
      <c r="L5161" s="13"/>
      <c r="M5161" s="14"/>
      <c r="N5161" s="14"/>
      <c r="O5161" s="14"/>
      <c r="P5161" s="13"/>
    </row>
    <row r="5162">
      <c r="L5162" s="13"/>
      <c r="M5162" s="14"/>
      <c r="N5162" s="14"/>
      <c r="O5162" s="14"/>
      <c r="P5162" s="13"/>
    </row>
    <row r="5163">
      <c r="L5163" s="13"/>
      <c r="M5163" s="14"/>
      <c r="N5163" s="14"/>
      <c r="O5163" s="14"/>
      <c r="P5163" s="13"/>
    </row>
    <row r="5164">
      <c r="L5164" s="13"/>
      <c r="M5164" s="14"/>
      <c r="N5164" s="14"/>
      <c r="O5164" s="14"/>
      <c r="P5164" s="13"/>
    </row>
    <row r="5165">
      <c r="L5165" s="13"/>
      <c r="M5165" s="14"/>
      <c r="N5165" s="14"/>
      <c r="O5165" s="14"/>
      <c r="P5165" s="13"/>
    </row>
    <row r="5166">
      <c r="L5166" s="13"/>
      <c r="M5166" s="14"/>
      <c r="N5166" s="14"/>
      <c r="O5166" s="14"/>
      <c r="P5166" s="13"/>
    </row>
    <row r="5167">
      <c r="L5167" s="13"/>
      <c r="M5167" s="14"/>
      <c r="N5167" s="14"/>
      <c r="O5167" s="14"/>
      <c r="P5167" s="13"/>
    </row>
    <row r="5168">
      <c r="L5168" s="13"/>
      <c r="M5168" s="14"/>
      <c r="N5168" s="14"/>
      <c r="O5168" s="14"/>
      <c r="P5168" s="13"/>
    </row>
    <row r="5169">
      <c r="L5169" s="13"/>
      <c r="M5169" s="14"/>
      <c r="N5169" s="14"/>
      <c r="O5169" s="14"/>
      <c r="P5169" s="13"/>
    </row>
    <row r="5170">
      <c r="L5170" s="13"/>
      <c r="M5170" s="14"/>
      <c r="N5170" s="14"/>
      <c r="O5170" s="14"/>
      <c r="P5170" s="13"/>
    </row>
    <row r="5171">
      <c r="L5171" s="13"/>
      <c r="M5171" s="14"/>
      <c r="N5171" s="14"/>
      <c r="O5171" s="14"/>
      <c r="P5171" s="13"/>
    </row>
    <row r="5172">
      <c r="L5172" s="13"/>
      <c r="M5172" s="14"/>
      <c r="N5172" s="14"/>
      <c r="O5172" s="14"/>
      <c r="P5172" s="13"/>
    </row>
    <row r="5173">
      <c r="L5173" s="13"/>
      <c r="M5173" s="14"/>
      <c r="N5173" s="14"/>
      <c r="O5173" s="14"/>
      <c r="P5173" s="13"/>
    </row>
    <row r="5174">
      <c r="L5174" s="13"/>
      <c r="M5174" s="14"/>
      <c r="N5174" s="14"/>
      <c r="O5174" s="14"/>
      <c r="P5174" s="13"/>
    </row>
    <row r="5175">
      <c r="L5175" s="13"/>
      <c r="M5175" s="14"/>
      <c r="N5175" s="14"/>
      <c r="O5175" s="14"/>
      <c r="P5175" s="13"/>
    </row>
    <row r="5176">
      <c r="L5176" s="13"/>
      <c r="M5176" s="14"/>
      <c r="N5176" s="14"/>
      <c r="O5176" s="14"/>
      <c r="P5176" s="13"/>
    </row>
    <row r="5177">
      <c r="L5177" s="13"/>
      <c r="M5177" s="14"/>
      <c r="N5177" s="14"/>
      <c r="O5177" s="14"/>
      <c r="P5177" s="13"/>
    </row>
    <row r="5178">
      <c r="L5178" s="13"/>
      <c r="M5178" s="14"/>
      <c r="N5178" s="14"/>
      <c r="O5178" s="14"/>
      <c r="P5178" s="13"/>
    </row>
    <row r="5179">
      <c r="L5179" s="13"/>
      <c r="M5179" s="14"/>
      <c r="N5179" s="14"/>
      <c r="O5179" s="14"/>
      <c r="P5179" s="13"/>
    </row>
    <row r="5180">
      <c r="L5180" s="13"/>
      <c r="M5180" s="14"/>
      <c r="N5180" s="14"/>
      <c r="O5180" s="14"/>
      <c r="P5180" s="13"/>
    </row>
    <row r="5181">
      <c r="L5181" s="13"/>
      <c r="M5181" s="14"/>
      <c r="N5181" s="14"/>
      <c r="O5181" s="14"/>
      <c r="P5181" s="13"/>
    </row>
    <row r="5182">
      <c r="L5182" s="13"/>
      <c r="M5182" s="14"/>
      <c r="N5182" s="14"/>
      <c r="O5182" s="14"/>
      <c r="P5182" s="13"/>
    </row>
    <row r="5183">
      <c r="L5183" s="13"/>
      <c r="M5183" s="14"/>
      <c r="N5183" s="14"/>
      <c r="O5183" s="14"/>
      <c r="P5183" s="13"/>
    </row>
    <row r="5184">
      <c r="L5184" s="13"/>
      <c r="M5184" s="14"/>
      <c r="N5184" s="14"/>
      <c r="O5184" s="14"/>
      <c r="P5184" s="13"/>
    </row>
    <row r="5185">
      <c r="L5185" s="13"/>
      <c r="M5185" s="14"/>
      <c r="N5185" s="14"/>
      <c r="O5185" s="14"/>
      <c r="P5185" s="13"/>
    </row>
    <row r="5186">
      <c r="L5186" s="13"/>
      <c r="M5186" s="14"/>
      <c r="N5186" s="14"/>
      <c r="O5186" s="14"/>
      <c r="P5186" s="13"/>
    </row>
    <row r="5187">
      <c r="L5187" s="13"/>
      <c r="M5187" s="14"/>
      <c r="N5187" s="14"/>
      <c r="O5187" s="14"/>
      <c r="P5187" s="13"/>
    </row>
    <row r="5188">
      <c r="L5188" s="13"/>
      <c r="M5188" s="14"/>
      <c r="N5188" s="14"/>
      <c r="O5188" s="14"/>
      <c r="P5188" s="13"/>
    </row>
    <row r="5189">
      <c r="L5189" s="13"/>
      <c r="M5189" s="14"/>
      <c r="N5189" s="14"/>
      <c r="O5189" s="14"/>
      <c r="P5189" s="13"/>
    </row>
    <row r="5190">
      <c r="L5190" s="13"/>
      <c r="M5190" s="14"/>
      <c r="N5190" s="14"/>
      <c r="O5190" s="14"/>
      <c r="P5190" s="13"/>
    </row>
    <row r="5191">
      <c r="L5191" s="13"/>
      <c r="M5191" s="14"/>
      <c r="N5191" s="14"/>
      <c r="O5191" s="14"/>
      <c r="P5191" s="13"/>
    </row>
    <row r="5192">
      <c r="L5192" s="13"/>
      <c r="M5192" s="14"/>
      <c r="N5192" s="14"/>
      <c r="O5192" s="14"/>
      <c r="P5192" s="13"/>
    </row>
    <row r="5193">
      <c r="L5193" s="13"/>
      <c r="M5193" s="14"/>
      <c r="N5193" s="14"/>
      <c r="O5193" s="14"/>
      <c r="P5193" s="13"/>
    </row>
    <row r="5194">
      <c r="L5194" s="13"/>
      <c r="M5194" s="14"/>
      <c r="N5194" s="14"/>
      <c r="O5194" s="14"/>
      <c r="P5194" s="13"/>
    </row>
    <row r="5195">
      <c r="L5195" s="13"/>
      <c r="M5195" s="14"/>
      <c r="N5195" s="14"/>
      <c r="O5195" s="14"/>
      <c r="P5195" s="13"/>
    </row>
    <row r="5196">
      <c r="L5196" s="13"/>
      <c r="M5196" s="14"/>
      <c r="N5196" s="14"/>
      <c r="O5196" s="14"/>
      <c r="P5196" s="13"/>
    </row>
    <row r="5197">
      <c r="L5197" s="13"/>
      <c r="M5197" s="14"/>
      <c r="N5197" s="14"/>
      <c r="O5197" s="14"/>
      <c r="P5197" s="13"/>
    </row>
    <row r="5198">
      <c r="L5198" s="13"/>
      <c r="M5198" s="14"/>
      <c r="N5198" s="14"/>
      <c r="O5198" s="14"/>
      <c r="P5198" s="13"/>
    </row>
    <row r="5199">
      <c r="L5199" s="13"/>
      <c r="M5199" s="14"/>
      <c r="N5199" s="14"/>
      <c r="O5199" s="14"/>
      <c r="P5199" s="13"/>
    </row>
    <row r="5200">
      <c r="L5200" s="13"/>
      <c r="M5200" s="14"/>
      <c r="N5200" s="14"/>
      <c r="O5200" s="14"/>
      <c r="P5200" s="13"/>
    </row>
    <row r="5201">
      <c r="L5201" s="13"/>
      <c r="M5201" s="14"/>
      <c r="N5201" s="14"/>
      <c r="O5201" s="14"/>
      <c r="P5201" s="13"/>
    </row>
    <row r="5202">
      <c r="L5202" s="13"/>
      <c r="M5202" s="14"/>
      <c r="N5202" s="14"/>
      <c r="O5202" s="14"/>
      <c r="P5202" s="13"/>
    </row>
    <row r="5203">
      <c r="L5203" s="13"/>
      <c r="M5203" s="14"/>
      <c r="N5203" s="14"/>
      <c r="O5203" s="14"/>
      <c r="P5203" s="13"/>
    </row>
    <row r="5204">
      <c r="L5204" s="13"/>
      <c r="M5204" s="14"/>
      <c r="N5204" s="14"/>
      <c r="O5204" s="14"/>
      <c r="P5204" s="13"/>
    </row>
    <row r="5205">
      <c r="L5205" s="13"/>
      <c r="M5205" s="14"/>
      <c r="N5205" s="14"/>
      <c r="O5205" s="14"/>
      <c r="P5205" s="13"/>
    </row>
    <row r="5206">
      <c r="L5206" s="13"/>
      <c r="M5206" s="14"/>
      <c r="N5206" s="14"/>
      <c r="O5206" s="14"/>
      <c r="P5206" s="13"/>
    </row>
    <row r="5207">
      <c r="L5207" s="13"/>
      <c r="M5207" s="14"/>
      <c r="N5207" s="14"/>
      <c r="O5207" s="14"/>
      <c r="P5207" s="13"/>
    </row>
    <row r="5208">
      <c r="L5208" s="13"/>
      <c r="M5208" s="14"/>
      <c r="N5208" s="14"/>
      <c r="O5208" s="14"/>
      <c r="P5208" s="13"/>
    </row>
    <row r="5209">
      <c r="L5209" s="13"/>
      <c r="M5209" s="14"/>
      <c r="N5209" s="14"/>
      <c r="O5209" s="14"/>
      <c r="P5209" s="13"/>
    </row>
    <row r="5210">
      <c r="L5210" s="13"/>
      <c r="M5210" s="14"/>
      <c r="N5210" s="14"/>
      <c r="O5210" s="14"/>
      <c r="P5210" s="13"/>
    </row>
    <row r="5211">
      <c r="L5211" s="13"/>
      <c r="M5211" s="14"/>
      <c r="N5211" s="14"/>
      <c r="O5211" s="14"/>
      <c r="P5211" s="13"/>
    </row>
    <row r="5212">
      <c r="L5212" s="13"/>
      <c r="M5212" s="14"/>
      <c r="N5212" s="14"/>
      <c r="O5212" s="14"/>
      <c r="P5212" s="13"/>
    </row>
    <row r="5213">
      <c r="L5213" s="13"/>
      <c r="M5213" s="14"/>
      <c r="N5213" s="14"/>
      <c r="O5213" s="14"/>
      <c r="P5213" s="13"/>
    </row>
    <row r="5214">
      <c r="L5214" s="13"/>
      <c r="M5214" s="14"/>
      <c r="N5214" s="14"/>
      <c r="O5214" s="14"/>
      <c r="P5214" s="13"/>
    </row>
    <row r="5215">
      <c r="L5215" s="13"/>
      <c r="M5215" s="14"/>
      <c r="N5215" s="14"/>
      <c r="O5215" s="14"/>
      <c r="P5215" s="13"/>
    </row>
    <row r="5216">
      <c r="L5216" s="13"/>
      <c r="M5216" s="14"/>
      <c r="N5216" s="14"/>
      <c r="O5216" s="14"/>
      <c r="P5216" s="13"/>
    </row>
    <row r="5217">
      <c r="L5217" s="13"/>
      <c r="M5217" s="14"/>
      <c r="N5217" s="14"/>
      <c r="O5217" s="14"/>
      <c r="P5217" s="13"/>
    </row>
    <row r="5218">
      <c r="L5218" s="13"/>
      <c r="M5218" s="14"/>
      <c r="N5218" s="14"/>
      <c r="O5218" s="14"/>
      <c r="P5218" s="13"/>
    </row>
    <row r="5219">
      <c r="L5219" s="13"/>
      <c r="M5219" s="14"/>
      <c r="N5219" s="14"/>
      <c r="O5219" s="14"/>
      <c r="P5219" s="13"/>
    </row>
    <row r="5220">
      <c r="L5220" s="13"/>
      <c r="M5220" s="14"/>
      <c r="N5220" s="14"/>
      <c r="O5220" s="14"/>
      <c r="P5220" s="13"/>
    </row>
    <row r="5221">
      <c r="L5221" s="13"/>
      <c r="M5221" s="14"/>
      <c r="N5221" s="14"/>
      <c r="O5221" s="14"/>
      <c r="P5221" s="13"/>
    </row>
    <row r="5222">
      <c r="L5222" s="13"/>
      <c r="M5222" s="14"/>
      <c r="N5222" s="14"/>
      <c r="O5222" s="14"/>
      <c r="P5222" s="13"/>
    </row>
    <row r="5223">
      <c r="L5223" s="13"/>
      <c r="M5223" s="14"/>
      <c r="N5223" s="14"/>
      <c r="O5223" s="14"/>
      <c r="P5223" s="13"/>
    </row>
    <row r="5224">
      <c r="L5224" s="13"/>
      <c r="M5224" s="14"/>
      <c r="N5224" s="14"/>
      <c r="O5224" s="14"/>
      <c r="P5224" s="13"/>
    </row>
    <row r="5225">
      <c r="L5225" s="13"/>
      <c r="M5225" s="14"/>
      <c r="N5225" s="14"/>
      <c r="O5225" s="14"/>
      <c r="P5225" s="13"/>
    </row>
    <row r="5226">
      <c r="L5226" s="13"/>
      <c r="M5226" s="14"/>
      <c r="N5226" s="14"/>
      <c r="O5226" s="14"/>
      <c r="P5226" s="13"/>
    </row>
    <row r="5227">
      <c r="L5227" s="13"/>
      <c r="M5227" s="14"/>
      <c r="N5227" s="14"/>
      <c r="O5227" s="14"/>
      <c r="P5227" s="13"/>
    </row>
    <row r="5228">
      <c r="L5228" s="13"/>
      <c r="M5228" s="14"/>
      <c r="N5228" s="14"/>
      <c r="O5228" s="14"/>
      <c r="P5228" s="13"/>
    </row>
    <row r="5229">
      <c r="L5229" s="13"/>
      <c r="M5229" s="14"/>
      <c r="N5229" s="14"/>
      <c r="O5229" s="14"/>
      <c r="P5229" s="13"/>
    </row>
    <row r="5230">
      <c r="L5230" s="13"/>
      <c r="M5230" s="14"/>
      <c r="N5230" s="14"/>
      <c r="O5230" s="14"/>
      <c r="P5230" s="13"/>
    </row>
    <row r="5231">
      <c r="L5231" s="13"/>
      <c r="M5231" s="14"/>
      <c r="N5231" s="14"/>
      <c r="O5231" s="14"/>
      <c r="P5231" s="13"/>
    </row>
    <row r="5232">
      <c r="L5232" s="13"/>
      <c r="M5232" s="14"/>
      <c r="N5232" s="14"/>
      <c r="O5232" s="14"/>
      <c r="P5232" s="13"/>
    </row>
    <row r="5233">
      <c r="L5233" s="13"/>
      <c r="M5233" s="14"/>
      <c r="N5233" s="14"/>
      <c r="O5233" s="14"/>
      <c r="P5233" s="13"/>
    </row>
    <row r="5234">
      <c r="L5234" s="13"/>
      <c r="M5234" s="14"/>
      <c r="N5234" s="14"/>
      <c r="O5234" s="14"/>
      <c r="P5234" s="13"/>
    </row>
    <row r="5235">
      <c r="L5235" s="13"/>
      <c r="M5235" s="14"/>
      <c r="N5235" s="14"/>
      <c r="O5235" s="14"/>
      <c r="P5235" s="13"/>
    </row>
    <row r="5236">
      <c r="L5236" s="13"/>
      <c r="M5236" s="14"/>
      <c r="N5236" s="14"/>
      <c r="O5236" s="14"/>
      <c r="P5236" s="13"/>
    </row>
    <row r="5237">
      <c r="L5237" s="13"/>
      <c r="M5237" s="14"/>
      <c r="N5237" s="14"/>
      <c r="O5237" s="14"/>
      <c r="P5237" s="13"/>
    </row>
    <row r="5238">
      <c r="L5238" s="13"/>
      <c r="M5238" s="14"/>
      <c r="N5238" s="14"/>
      <c r="O5238" s="14"/>
      <c r="P5238" s="13"/>
    </row>
    <row r="5239">
      <c r="L5239" s="13"/>
      <c r="M5239" s="14"/>
      <c r="N5239" s="14"/>
      <c r="O5239" s="14"/>
      <c r="P5239" s="13"/>
    </row>
    <row r="5240">
      <c r="L5240" s="13"/>
      <c r="M5240" s="14"/>
      <c r="N5240" s="14"/>
      <c r="O5240" s="14"/>
      <c r="P5240" s="13"/>
    </row>
    <row r="5241">
      <c r="L5241" s="13"/>
      <c r="M5241" s="14"/>
      <c r="N5241" s="14"/>
      <c r="O5241" s="14"/>
      <c r="P5241" s="13"/>
    </row>
    <row r="5242">
      <c r="L5242" s="13"/>
      <c r="M5242" s="14"/>
      <c r="N5242" s="14"/>
      <c r="O5242" s="14"/>
      <c r="P5242" s="13"/>
    </row>
    <row r="5243">
      <c r="L5243" s="13"/>
      <c r="M5243" s="14"/>
      <c r="N5243" s="14"/>
      <c r="O5243" s="14"/>
      <c r="P5243" s="13"/>
    </row>
    <row r="5244">
      <c r="L5244" s="13"/>
      <c r="M5244" s="14"/>
      <c r="N5244" s="14"/>
      <c r="O5244" s="14"/>
      <c r="P5244" s="13"/>
    </row>
    <row r="5245">
      <c r="L5245" s="13"/>
      <c r="M5245" s="14"/>
      <c r="N5245" s="14"/>
      <c r="O5245" s="14"/>
      <c r="P5245" s="13"/>
    </row>
    <row r="5246">
      <c r="L5246" s="13"/>
      <c r="M5246" s="14"/>
      <c r="N5246" s="14"/>
      <c r="O5246" s="14"/>
      <c r="P5246" s="13"/>
    </row>
    <row r="5247">
      <c r="L5247" s="13"/>
      <c r="M5247" s="14"/>
      <c r="N5247" s="14"/>
      <c r="O5247" s="14"/>
      <c r="P5247" s="13"/>
    </row>
    <row r="5248">
      <c r="L5248" s="13"/>
      <c r="M5248" s="14"/>
      <c r="N5248" s="14"/>
      <c r="O5248" s="14"/>
      <c r="P5248" s="13"/>
    </row>
    <row r="5249">
      <c r="L5249" s="13"/>
      <c r="M5249" s="14"/>
      <c r="N5249" s="14"/>
      <c r="O5249" s="14"/>
      <c r="P5249" s="13"/>
    </row>
    <row r="5250">
      <c r="L5250" s="13"/>
      <c r="M5250" s="14"/>
      <c r="N5250" s="14"/>
      <c r="O5250" s="14"/>
      <c r="P5250" s="13"/>
    </row>
    <row r="5251">
      <c r="L5251" s="13"/>
      <c r="M5251" s="14"/>
      <c r="N5251" s="14"/>
      <c r="O5251" s="14"/>
      <c r="P5251" s="13"/>
    </row>
    <row r="5252">
      <c r="L5252" s="13"/>
      <c r="M5252" s="14"/>
      <c r="N5252" s="14"/>
      <c r="O5252" s="14"/>
      <c r="P5252" s="13"/>
    </row>
    <row r="5253">
      <c r="L5253" s="13"/>
      <c r="M5253" s="14"/>
      <c r="N5253" s="14"/>
      <c r="O5253" s="14"/>
      <c r="P5253" s="13"/>
    </row>
    <row r="5254">
      <c r="L5254" s="13"/>
      <c r="M5254" s="14"/>
      <c r="N5254" s="14"/>
      <c r="O5254" s="14"/>
      <c r="P5254" s="13"/>
    </row>
    <row r="5255">
      <c r="L5255" s="13"/>
      <c r="M5255" s="14"/>
      <c r="N5255" s="14"/>
      <c r="O5255" s="14"/>
      <c r="P5255" s="13"/>
    </row>
    <row r="5256">
      <c r="L5256" s="13"/>
      <c r="M5256" s="14"/>
      <c r="N5256" s="14"/>
      <c r="O5256" s="14"/>
      <c r="P5256" s="13"/>
    </row>
    <row r="5257">
      <c r="L5257" s="13"/>
      <c r="M5257" s="14"/>
      <c r="N5257" s="14"/>
      <c r="O5257" s="14"/>
      <c r="P5257" s="13"/>
    </row>
    <row r="5258">
      <c r="L5258" s="13"/>
      <c r="M5258" s="14"/>
      <c r="N5258" s="14"/>
      <c r="O5258" s="14"/>
      <c r="P5258" s="13"/>
    </row>
    <row r="5259">
      <c r="L5259" s="13"/>
      <c r="M5259" s="14"/>
      <c r="N5259" s="14"/>
      <c r="O5259" s="14"/>
      <c r="P5259" s="13"/>
    </row>
    <row r="5260">
      <c r="L5260" s="13"/>
      <c r="M5260" s="14"/>
      <c r="N5260" s="14"/>
      <c r="O5260" s="14"/>
      <c r="P5260" s="13"/>
    </row>
    <row r="5261">
      <c r="L5261" s="13"/>
      <c r="M5261" s="14"/>
      <c r="N5261" s="14"/>
      <c r="O5261" s="14"/>
      <c r="P5261" s="13"/>
    </row>
    <row r="5262">
      <c r="L5262" s="13"/>
      <c r="M5262" s="14"/>
      <c r="N5262" s="14"/>
      <c r="O5262" s="14"/>
      <c r="P5262" s="13"/>
    </row>
    <row r="5263">
      <c r="L5263" s="13"/>
      <c r="M5263" s="14"/>
      <c r="N5263" s="14"/>
      <c r="O5263" s="14"/>
      <c r="P5263" s="13"/>
    </row>
    <row r="5264">
      <c r="L5264" s="13"/>
      <c r="M5264" s="14"/>
      <c r="N5264" s="14"/>
      <c r="O5264" s="14"/>
      <c r="P5264" s="13"/>
    </row>
    <row r="5265">
      <c r="L5265" s="13"/>
      <c r="M5265" s="14"/>
      <c r="N5265" s="14"/>
      <c r="O5265" s="14"/>
      <c r="P5265" s="13"/>
    </row>
    <row r="5266">
      <c r="L5266" s="13"/>
      <c r="M5266" s="14"/>
      <c r="N5266" s="14"/>
      <c r="O5266" s="14"/>
      <c r="P5266" s="13"/>
    </row>
    <row r="5267">
      <c r="L5267" s="13"/>
      <c r="M5267" s="14"/>
      <c r="N5267" s="14"/>
      <c r="O5267" s="14"/>
      <c r="P5267" s="13"/>
    </row>
    <row r="5268">
      <c r="L5268" s="13"/>
      <c r="M5268" s="14"/>
      <c r="N5268" s="14"/>
      <c r="O5268" s="14"/>
      <c r="P5268" s="13"/>
    </row>
    <row r="5269">
      <c r="L5269" s="13"/>
      <c r="M5269" s="14"/>
      <c r="N5269" s="14"/>
      <c r="O5269" s="14"/>
      <c r="P5269" s="13"/>
    </row>
    <row r="5270">
      <c r="L5270" s="13"/>
      <c r="M5270" s="14"/>
      <c r="N5270" s="14"/>
      <c r="O5270" s="14"/>
      <c r="P5270" s="13"/>
    </row>
    <row r="5271">
      <c r="L5271" s="13"/>
      <c r="M5271" s="14"/>
      <c r="N5271" s="14"/>
      <c r="O5271" s="14"/>
      <c r="P5271" s="13"/>
    </row>
    <row r="5272">
      <c r="L5272" s="13"/>
      <c r="M5272" s="14"/>
      <c r="N5272" s="14"/>
      <c r="O5272" s="14"/>
      <c r="P5272" s="13"/>
    </row>
    <row r="5273">
      <c r="L5273" s="13"/>
      <c r="M5273" s="14"/>
      <c r="N5273" s="14"/>
      <c r="O5273" s="14"/>
      <c r="P5273" s="13"/>
    </row>
    <row r="5274">
      <c r="L5274" s="13"/>
      <c r="M5274" s="14"/>
      <c r="N5274" s="14"/>
      <c r="O5274" s="14"/>
      <c r="P5274" s="13"/>
    </row>
    <row r="5275">
      <c r="L5275" s="13"/>
      <c r="M5275" s="14"/>
      <c r="N5275" s="14"/>
      <c r="O5275" s="14"/>
      <c r="P5275" s="13"/>
    </row>
    <row r="5276">
      <c r="L5276" s="13"/>
      <c r="M5276" s="14"/>
      <c r="N5276" s="14"/>
      <c r="O5276" s="14"/>
      <c r="P5276" s="13"/>
    </row>
    <row r="5277">
      <c r="L5277" s="13"/>
      <c r="M5277" s="14"/>
      <c r="N5277" s="14"/>
      <c r="O5277" s="14"/>
      <c r="P5277" s="13"/>
    </row>
    <row r="5278">
      <c r="L5278" s="13"/>
      <c r="M5278" s="14"/>
      <c r="N5278" s="14"/>
      <c r="O5278" s="14"/>
      <c r="P5278" s="13"/>
    </row>
    <row r="5279">
      <c r="L5279" s="13"/>
      <c r="M5279" s="14"/>
      <c r="N5279" s="14"/>
      <c r="O5279" s="14"/>
      <c r="P5279" s="13"/>
    </row>
    <row r="5280">
      <c r="L5280" s="13"/>
      <c r="M5280" s="14"/>
      <c r="N5280" s="14"/>
      <c r="O5280" s="14"/>
      <c r="P5280" s="13"/>
    </row>
    <row r="5281">
      <c r="L5281" s="13"/>
      <c r="M5281" s="14"/>
      <c r="N5281" s="14"/>
      <c r="O5281" s="14"/>
      <c r="P5281" s="13"/>
    </row>
    <row r="5282">
      <c r="L5282" s="13"/>
      <c r="M5282" s="14"/>
      <c r="N5282" s="14"/>
      <c r="O5282" s="14"/>
      <c r="P5282" s="13"/>
    </row>
    <row r="5283">
      <c r="L5283" s="13"/>
      <c r="M5283" s="14"/>
      <c r="N5283" s="14"/>
      <c r="O5283" s="14"/>
      <c r="P5283" s="13"/>
    </row>
    <row r="5284">
      <c r="L5284" s="13"/>
      <c r="M5284" s="14"/>
      <c r="N5284" s="14"/>
      <c r="O5284" s="14"/>
      <c r="P5284" s="13"/>
    </row>
    <row r="5285">
      <c r="L5285" s="13"/>
      <c r="M5285" s="14"/>
      <c r="N5285" s="14"/>
      <c r="O5285" s="14"/>
      <c r="P5285" s="13"/>
    </row>
    <row r="5286">
      <c r="L5286" s="13"/>
      <c r="M5286" s="14"/>
      <c r="N5286" s="14"/>
      <c r="O5286" s="14"/>
      <c r="P5286" s="13"/>
    </row>
    <row r="5287">
      <c r="L5287" s="13"/>
      <c r="M5287" s="14"/>
      <c r="N5287" s="14"/>
      <c r="O5287" s="14"/>
      <c r="P5287" s="13"/>
    </row>
    <row r="5288">
      <c r="L5288" s="13"/>
      <c r="M5288" s="14"/>
      <c r="N5288" s="14"/>
      <c r="O5288" s="14"/>
      <c r="P5288" s="13"/>
    </row>
    <row r="5289">
      <c r="L5289" s="13"/>
      <c r="M5289" s="14"/>
      <c r="N5289" s="14"/>
      <c r="O5289" s="14"/>
      <c r="P5289" s="13"/>
    </row>
    <row r="5290">
      <c r="L5290" s="13"/>
      <c r="M5290" s="14"/>
      <c r="N5290" s="14"/>
      <c r="O5290" s="14"/>
      <c r="P5290" s="13"/>
    </row>
    <row r="5291">
      <c r="L5291" s="13"/>
      <c r="M5291" s="14"/>
      <c r="N5291" s="14"/>
      <c r="O5291" s="14"/>
      <c r="P5291" s="13"/>
    </row>
    <row r="5292">
      <c r="L5292" s="13"/>
      <c r="M5292" s="14"/>
      <c r="N5292" s="14"/>
      <c r="O5292" s="14"/>
      <c r="P5292" s="13"/>
    </row>
    <row r="5293">
      <c r="L5293" s="13"/>
      <c r="M5293" s="14"/>
      <c r="N5293" s="14"/>
      <c r="O5293" s="14"/>
      <c r="P5293" s="13"/>
    </row>
    <row r="5294">
      <c r="L5294" s="13"/>
      <c r="M5294" s="14"/>
      <c r="N5294" s="14"/>
      <c r="O5294" s="14"/>
      <c r="P5294" s="13"/>
    </row>
    <row r="5295">
      <c r="L5295" s="13"/>
      <c r="M5295" s="14"/>
      <c r="N5295" s="14"/>
      <c r="O5295" s="14"/>
      <c r="P5295" s="13"/>
    </row>
    <row r="5296">
      <c r="L5296" s="13"/>
      <c r="M5296" s="14"/>
      <c r="N5296" s="14"/>
      <c r="O5296" s="14"/>
      <c r="P5296" s="13"/>
    </row>
    <row r="5297">
      <c r="L5297" s="13"/>
      <c r="M5297" s="14"/>
      <c r="N5297" s="14"/>
      <c r="O5297" s="14"/>
      <c r="P5297" s="13"/>
    </row>
    <row r="5298">
      <c r="L5298" s="13"/>
      <c r="M5298" s="14"/>
      <c r="N5298" s="14"/>
      <c r="O5298" s="14"/>
      <c r="P5298" s="13"/>
    </row>
    <row r="5299">
      <c r="L5299" s="13"/>
      <c r="M5299" s="14"/>
      <c r="N5299" s="14"/>
      <c r="O5299" s="14"/>
      <c r="P5299" s="13"/>
    </row>
    <row r="5300">
      <c r="L5300" s="13"/>
      <c r="M5300" s="14"/>
      <c r="N5300" s="14"/>
      <c r="O5300" s="14"/>
      <c r="P5300" s="13"/>
    </row>
    <row r="5301">
      <c r="L5301" s="13"/>
      <c r="M5301" s="14"/>
      <c r="N5301" s="14"/>
      <c r="O5301" s="14"/>
      <c r="P5301" s="13"/>
    </row>
    <row r="5302">
      <c r="L5302" s="13"/>
      <c r="M5302" s="14"/>
      <c r="N5302" s="14"/>
      <c r="O5302" s="14"/>
      <c r="P5302" s="13"/>
    </row>
    <row r="5303">
      <c r="L5303" s="13"/>
      <c r="M5303" s="14"/>
      <c r="N5303" s="14"/>
      <c r="O5303" s="14"/>
      <c r="P5303" s="13"/>
    </row>
    <row r="5304">
      <c r="L5304" s="13"/>
      <c r="M5304" s="14"/>
      <c r="N5304" s="14"/>
      <c r="O5304" s="14"/>
      <c r="P5304" s="13"/>
    </row>
    <row r="5305">
      <c r="L5305" s="13"/>
      <c r="M5305" s="14"/>
      <c r="N5305" s="14"/>
      <c r="O5305" s="14"/>
      <c r="P5305" s="13"/>
    </row>
    <row r="5306">
      <c r="L5306" s="13"/>
      <c r="M5306" s="14"/>
      <c r="N5306" s="14"/>
      <c r="O5306" s="14"/>
      <c r="P5306" s="13"/>
    </row>
    <row r="5307">
      <c r="L5307" s="13"/>
      <c r="M5307" s="14"/>
      <c r="N5307" s="14"/>
      <c r="O5307" s="14"/>
      <c r="P5307" s="13"/>
    </row>
    <row r="5308">
      <c r="L5308" s="13"/>
      <c r="M5308" s="14"/>
      <c r="N5308" s="14"/>
      <c r="O5308" s="14"/>
      <c r="P5308" s="13"/>
    </row>
    <row r="5309">
      <c r="L5309" s="13"/>
      <c r="M5309" s="14"/>
      <c r="N5309" s="14"/>
      <c r="O5309" s="14"/>
      <c r="P5309" s="13"/>
    </row>
    <row r="5310">
      <c r="L5310" s="13"/>
      <c r="M5310" s="14"/>
      <c r="N5310" s="14"/>
      <c r="O5310" s="14"/>
      <c r="P5310" s="13"/>
    </row>
    <row r="5311">
      <c r="L5311" s="13"/>
      <c r="M5311" s="14"/>
      <c r="N5311" s="14"/>
      <c r="O5311" s="14"/>
      <c r="P5311" s="13"/>
    </row>
    <row r="5312">
      <c r="L5312" s="13"/>
      <c r="M5312" s="14"/>
      <c r="N5312" s="14"/>
      <c r="O5312" s="14"/>
      <c r="P5312" s="13"/>
    </row>
    <row r="5313">
      <c r="L5313" s="13"/>
      <c r="M5313" s="14"/>
      <c r="N5313" s="14"/>
      <c r="O5313" s="14"/>
      <c r="P5313" s="13"/>
    </row>
    <row r="5314">
      <c r="L5314" s="13"/>
      <c r="M5314" s="14"/>
      <c r="N5314" s="14"/>
      <c r="O5314" s="14"/>
      <c r="P5314" s="13"/>
    </row>
    <row r="5315">
      <c r="L5315" s="13"/>
      <c r="M5315" s="14"/>
      <c r="N5315" s="14"/>
      <c r="O5315" s="14"/>
      <c r="P5315" s="13"/>
    </row>
    <row r="5316">
      <c r="L5316" s="13"/>
      <c r="M5316" s="14"/>
      <c r="N5316" s="14"/>
      <c r="O5316" s="14"/>
      <c r="P5316" s="13"/>
    </row>
    <row r="5317">
      <c r="L5317" s="13"/>
      <c r="M5317" s="14"/>
      <c r="N5317" s="14"/>
      <c r="O5317" s="14"/>
      <c r="P5317" s="13"/>
    </row>
    <row r="5318">
      <c r="L5318" s="13"/>
      <c r="M5318" s="14"/>
      <c r="N5318" s="14"/>
      <c r="O5318" s="14"/>
      <c r="P5318" s="13"/>
    </row>
    <row r="5319">
      <c r="L5319" s="13"/>
      <c r="M5319" s="14"/>
      <c r="N5319" s="14"/>
      <c r="O5319" s="14"/>
      <c r="P5319" s="13"/>
    </row>
    <row r="5320">
      <c r="L5320" s="13"/>
      <c r="M5320" s="14"/>
      <c r="N5320" s="14"/>
      <c r="O5320" s="14"/>
      <c r="P5320" s="13"/>
    </row>
    <row r="5321">
      <c r="L5321" s="13"/>
      <c r="M5321" s="14"/>
      <c r="N5321" s="14"/>
      <c r="O5321" s="14"/>
      <c r="P5321" s="13"/>
    </row>
    <row r="5322">
      <c r="L5322" s="13"/>
      <c r="M5322" s="14"/>
      <c r="N5322" s="14"/>
      <c r="O5322" s="14"/>
      <c r="P5322" s="13"/>
    </row>
    <row r="5323">
      <c r="L5323" s="13"/>
      <c r="M5323" s="14"/>
      <c r="N5323" s="14"/>
      <c r="O5323" s="14"/>
      <c r="P5323" s="13"/>
    </row>
    <row r="5324">
      <c r="L5324" s="13"/>
      <c r="M5324" s="14"/>
      <c r="N5324" s="14"/>
      <c r="O5324" s="14"/>
      <c r="P5324" s="13"/>
    </row>
    <row r="5325">
      <c r="L5325" s="13"/>
      <c r="M5325" s="14"/>
      <c r="N5325" s="14"/>
      <c r="O5325" s="14"/>
      <c r="P5325" s="13"/>
    </row>
    <row r="5326">
      <c r="L5326" s="13"/>
      <c r="M5326" s="14"/>
      <c r="N5326" s="14"/>
      <c r="O5326" s="14"/>
      <c r="P5326" s="13"/>
    </row>
    <row r="5327">
      <c r="L5327" s="13"/>
      <c r="M5327" s="14"/>
      <c r="N5327" s="14"/>
      <c r="O5327" s="14"/>
      <c r="P5327" s="13"/>
    </row>
    <row r="5328">
      <c r="L5328" s="13"/>
      <c r="M5328" s="14"/>
      <c r="N5328" s="14"/>
      <c r="O5328" s="14"/>
      <c r="P5328" s="13"/>
    </row>
    <row r="5329">
      <c r="L5329" s="13"/>
      <c r="M5329" s="14"/>
      <c r="N5329" s="14"/>
      <c r="O5329" s="14"/>
      <c r="P5329" s="13"/>
    </row>
    <row r="5330">
      <c r="L5330" s="13"/>
      <c r="M5330" s="14"/>
      <c r="N5330" s="14"/>
      <c r="O5330" s="14"/>
      <c r="P5330" s="13"/>
    </row>
    <row r="5331">
      <c r="L5331" s="13"/>
      <c r="M5331" s="14"/>
      <c r="N5331" s="14"/>
      <c r="O5331" s="14"/>
      <c r="P5331" s="13"/>
    </row>
    <row r="5332">
      <c r="L5332" s="13"/>
      <c r="M5332" s="14"/>
      <c r="N5332" s="14"/>
      <c r="O5332" s="14"/>
      <c r="P5332" s="13"/>
    </row>
    <row r="5333">
      <c r="L5333" s="13"/>
      <c r="M5333" s="14"/>
      <c r="N5333" s="14"/>
      <c r="O5333" s="14"/>
      <c r="P5333" s="13"/>
    </row>
    <row r="5334">
      <c r="L5334" s="13"/>
      <c r="M5334" s="14"/>
      <c r="N5334" s="14"/>
      <c r="O5334" s="14"/>
      <c r="P5334" s="13"/>
    </row>
    <row r="5335">
      <c r="L5335" s="13"/>
      <c r="M5335" s="14"/>
      <c r="N5335" s="14"/>
      <c r="O5335" s="14"/>
      <c r="P5335" s="13"/>
    </row>
    <row r="5336">
      <c r="L5336" s="13"/>
      <c r="M5336" s="14"/>
      <c r="N5336" s="14"/>
      <c r="O5336" s="14"/>
      <c r="P5336" s="13"/>
    </row>
    <row r="5337">
      <c r="L5337" s="13"/>
      <c r="M5337" s="14"/>
      <c r="N5337" s="14"/>
      <c r="O5337" s="14"/>
      <c r="P5337" s="13"/>
    </row>
    <row r="5338">
      <c r="L5338" s="13"/>
      <c r="M5338" s="14"/>
      <c r="N5338" s="14"/>
      <c r="O5338" s="14"/>
      <c r="P5338" s="13"/>
    </row>
    <row r="5339">
      <c r="L5339" s="13"/>
      <c r="M5339" s="14"/>
      <c r="N5339" s="14"/>
      <c r="O5339" s="14"/>
      <c r="P5339" s="13"/>
    </row>
    <row r="5340">
      <c r="L5340" s="13"/>
      <c r="M5340" s="14"/>
      <c r="N5340" s="14"/>
      <c r="O5340" s="14"/>
      <c r="P5340" s="13"/>
    </row>
    <row r="5341">
      <c r="L5341" s="13"/>
      <c r="M5341" s="14"/>
      <c r="N5341" s="14"/>
      <c r="O5341" s="14"/>
      <c r="P5341" s="13"/>
    </row>
    <row r="5342">
      <c r="L5342" s="13"/>
      <c r="M5342" s="14"/>
      <c r="N5342" s="14"/>
      <c r="O5342" s="14"/>
      <c r="P5342" s="13"/>
    </row>
    <row r="5343">
      <c r="L5343" s="13"/>
      <c r="M5343" s="14"/>
      <c r="N5343" s="14"/>
      <c r="O5343" s="14"/>
      <c r="P5343" s="13"/>
    </row>
    <row r="5344">
      <c r="L5344" s="13"/>
      <c r="M5344" s="14"/>
      <c r="N5344" s="14"/>
      <c r="O5344" s="14"/>
      <c r="P5344" s="13"/>
    </row>
    <row r="5345">
      <c r="L5345" s="13"/>
      <c r="M5345" s="14"/>
      <c r="N5345" s="14"/>
      <c r="O5345" s="14"/>
      <c r="P5345" s="13"/>
    </row>
    <row r="5346">
      <c r="L5346" s="13"/>
      <c r="M5346" s="14"/>
      <c r="N5346" s="14"/>
      <c r="O5346" s="14"/>
      <c r="P5346" s="13"/>
    </row>
    <row r="5347">
      <c r="L5347" s="13"/>
      <c r="M5347" s="14"/>
      <c r="N5347" s="14"/>
      <c r="O5347" s="14"/>
      <c r="P5347" s="13"/>
    </row>
    <row r="5348">
      <c r="L5348" s="13"/>
      <c r="M5348" s="14"/>
      <c r="N5348" s="14"/>
      <c r="O5348" s="14"/>
      <c r="P5348" s="13"/>
    </row>
    <row r="5349">
      <c r="L5349" s="13"/>
      <c r="M5349" s="14"/>
      <c r="N5349" s="14"/>
      <c r="O5349" s="14"/>
      <c r="P5349" s="13"/>
    </row>
    <row r="5350">
      <c r="L5350" s="13"/>
      <c r="M5350" s="14"/>
      <c r="N5350" s="14"/>
      <c r="O5350" s="14"/>
      <c r="P5350" s="13"/>
    </row>
    <row r="5351">
      <c r="L5351" s="13"/>
      <c r="M5351" s="14"/>
      <c r="N5351" s="14"/>
      <c r="O5351" s="14"/>
      <c r="P5351" s="13"/>
    </row>
    <row r="5352">
      <c r="L5352" s="13"/>
      <c r="M5352" s="14"/>
      <c r="N5352" s="14"/>
      <c r="O5352" s="14"/>
      <c r="P5352" s="13"/>
    </row>
    <row r="5353">
      <c r="L5353" s="13"/>
      <c r="M5353" s="14"/>
      <c r="N5353" s="14"/>
      <c r="O5353" s="14"/>
      <c r="P5353" s="13"/>
    </row>
    <row r="5354">
      <c r="L5354" s="13"/>
      <c r="M5354" s="14"/>
      <c r="N5354" s="14"/>
      <c r="O5354" s="14"/>
      <c r="P5354" s="13"/>
    </row>
    <row r="5355">
      <c r="L5355" s="13"/>
      <c r="M5355" s="14"/>
      <c r="N5355" s="14"/>
      <c r="O5355" s="14"/>
      <c r="P5355" s="13"/>
    </row>
    <row r="5356">
      <c r="L5356" s="13"/>
      <c r="M5356" s="14"/>
      <c r="N5356" s="14"/>
      <c r="O5356" s="14"/>
      <c r="P5356" s="13"/>
    </row>
    <row r="5357">
      <c r="L5357" s="13"/>
      <c r="M5357" s="14"/>
      <c r="N5357" s="14"/>
      <c r="O5357" s="14"/>
      <c r="P5357" s="13"/>
    </row>
    <row r="5358">
      <c r="L5358" s="13"/>
      <c r="M5358" s="14"/>
      <c r="N5358" s="14"/>
      <c r="O5358" s="14"/>
      <c r="P5358" s="13"/>
    </row>
    <row r="5359">
      <c r="L5359" s="13"/>
      <c r="M5359" s="14"/>
      <c r="N5359" s="14"/>
      <c r="O5359" s="14"/>
      <c r="P5359" s="13"/>
    </row>
    <row r="5360">
      <c r="L5360" s="13"/>
      <c r="M5360" s="14"/>
      <c r="N5360" s="14"/>
      <c r="O5360" s="14"/>
      <c r="P5360" s="13"/>
    </row>
    <row r="5361">
      <c r="L5361" s="13"/>
      <c r="M5361" s="14"/>
      <c r="N5361" s="14"/>
      <c r="O5361" s="14"/>
      <c r="P5361" s="13"/>
    </row>
    <row r="5362">
      <c r="L5362" s="13"/>
      <c r="M5362" s="14"/>
      <c r="N5362" s="14"/>
      <c r="O5362" s="14"/>
      <c r="P5362" s="13"/>
    </row>
    <row r="5363">
      <c r="L5363" s="13"/>
      <c r="M5363" s="14"/>
      <c r="N5363" s="14"/>
      <c r="O5363" s="14"/>
      <c r="P5363" s="13"/>
    </row>
    <row r="5364">
      <c r="L5364" s="13"/>
      <c r="M5364" s="14"/>
      <c r="N5364" s="14"/>
      <c r="O5364" s="14"/>
      <c r="P5364" s="13"/>
    </row>
    <row r="5365">
      <c r="L5365" s="13"/>
      <c r="M5365" s="14"/>
      <c r="N5365" s="14"/>
      <c r="O5365" s="14"/>
      <c r="P5365" s="13"/>
    </row>
    <row r="5366">
      <c r="L5366" s="13"/>
      <c r="M5366" s="14"/>
      <c r="N5366" s="14"/>
      <c r="O5366" s="14"/>
      <c r="P5366" s="13"/>
    </row>
    <row r="5367">
      <c r="L5367" s="13"/>
      <c r="M5367" s="14"/>
      <c r="N5367" s="14"/>
      <c r="O5367" s="14"/>
      <c r="P5367" s="13"/>
    </row>
    <row r="5368">
      <c r="L5368" s="13"/>
      <c r="M5368" s="14"/>
      <c r="N5368" s="14"/>
      <c r="O5368" s="14"/>
      <c r="P5368" s="13"/>
    </row>
    <row r="5369">
      <c r="L5369" s="13"/>
      <c r="M5369" s="14"/>
      <c r="N5369" s="14"/>
      <c r="O5369" s="14"/>
      <c r="P5369" s="13"/>
    </row>
    <row r="5370">
      <c r="L5370" s="13"/>
      <c r="M5370" s="14"/>
      <c r="N5370" s="14"/>
      <c r="O5370" s="14"/>
      <c r="P5370" s="13"/>
    </row>
    <row r="5371">
      <c r="L5371" s="13"/>
      <c r="M5371" s="14"/>
      <c r="N5371" s="14"/>
      <c r="O5371" s="14"/>
      <c r="P5371" s="13"/>
    </row>
    <row r="5372">
      <c r="L5372" s="13"/>
      <c r="M5372" s="14"/>
      <c r="N5372" s="14"/>
      <c r="O5372" s="14"/>
      <c r="P5372" s="13"/>
    </row>
    <row r="5373">
      <c r="L5373" s="13"/>
      <c r="M5373" s="14"/>
      <c r="N5373" s="14"/>
      <c r="O5373" s="14"/>
      <c r="P5373" s="13"/>
    </row>
    <row r="5374">
      <c r="L5374" s="13"/>
      <c r="M5374" s="14"/>
      <c r="N5374" s="14"/>
      <c r="O5374" s="14"/>
      <c r="P5374" s="13"/>
    </row>
    <row r="5375">
      <c r="L5375" s="13"/>
      <c r="M5375" s="14"/>
      <c r="N5375" s="14"/>
      <c r="O5375" s="14"/>
      <c r="P5375" s="13"/>
    </row>
    <row r="5376">
      <c r="L5376" s="13"/>
      <c r="M5376" s="14"/>
      <c r="N5376" s="14"/>
      <c r="O5376" s="14"/>
      <c r="P5376" s="13"/>
    </row>
    <row r="5377">
      <c r="L5377" s="13"/>
      <c r="M5377" s="14"/>
      <c r="N5377" s="14"/>
      <c r="O5377" s="14"/>
      <c r="P5377" s="13"/>
    </row>
    <row r="5378">
      <c r="L5378" s="13"/>
      <c r="M5378" s="14"/>
      <c r="N5378" s="14"/>
      <c r="O5378" s="14"/>
      <c r="P5378" s="13"/>
    </row>
    <row r="5379">
      <c r="L5379" s="13"/>
      <c r="M5379" s="14"/>
      <c r="N5379" s="14"/>
      <c r="O5379" s="14"/>
      <c r="P5379" s="13"/>
    </row>
    <row r="5380">
      <c r="L5380" s="13"/>
      <c r="M5380" s="14"/>
      <c r="N5380" s="14"/>
      <c r="O5380" s="14"/>
      <c r="P5380" s="13"/>
    </row>
    <row r="5381">
      <c r="L5381" s="13"/>
      <c r="M5381" s="14"/>
      <c r="N5381" s="14"/>
      <c r="O5381" s="14"/>
      <c r="P5381" s="13"/>
    </row>
    <row r="5382">
      <c r="L5382" s="13"/>
      <c r="M5382" s="14"/>
      <c r="N5382" s="14"/>
      <c r="O5382" s="14"/>
      <c r="P5382" s="13"/>
    </row>
    <row r="5383">
      <c r="L5383" s="13"/>
      <c r="M5383" s="14"/>
      <c r="N5383" s="14"/>
      <c r="O5383" s="14"/>
      <c r="P5383" s="13"/>
    </row>
    <row r="5384">
      <c r="L5384" s="13"/>
      <c r="M5384" s="14"/>
      <c r="N5384" s="14"/>
      <c r="O5384" s="14"/>
      <c r="P5384" s="13"/>
    </row>
    <row r="5385">
      <c r="L5385" s="13"/>
      <c r="M5385" s="14"/>
      <c r="N5385" s="14"/>
      <c r="O5385" s="14"/>
      <c r="P5385" s="13"/>
    </row>
    <row r="5386">
      <c r="L5386" s="13"/>
      <c r="M5386" s="14"/>
      <c r="N5386" s="14"/>
      <c r="O5386" s="14"/>
      <c r="P5386" s="13"/>
    </row>
    <row r="5387">
      <c r="L5387" s="13"/>
      <c r="M5387" s="14"/>
      <c r="N5387" s="14"/>
      <c r="O5387" s="14"/>
      <c r="P5387" s="13"/>
    </row>
    <row r="5388">
      <c r="L5388" s="13"/>
      <c r="M5388" s="14"/>
      <c r="N5388" s="14"/>
      <c r="O5388" s="14"/>
      <c r="P5388" s="13"/>
    </row>
    <row r="5389">
      <c r="L5389" s="13"/>
      <c r="M5389" s="14"/>
      <c r="N5389" s="14"/>
      <c r="O5389" s="14"/>
      <c r="P5389" s="13"/>
    </row>
    <row r="5390">
      <c r="L5390" s="13"/>
      <c r="M5390" s="14"/>
      <c r="N5390" s="14"/>
      <c r="O5390" s="14"/>
      <c r="P5390" s="13"/>
    </row>
    <row r="5391">
      <c r="L5391" s="13"/>
      <c r="M5391" s="14"/>
      <c r="N5391" s="14"/>
      <c r="O5391" s="14"/>
      <c r="P5391" s="13"/>
    </row>
    <row r="5392">
      <c r="L5392" s="13"/>
      <c r="M5392" s="14"/>
      <c r="N5392" s="14"/>
      <c r="O5392" s="14"/>
      <c r="P5392" s="13"/>
    </row>
    <row r="5393">
      <c r="L5393" s="13"/>
      <c r="M5393" s="14"/>
      <c r="N5393" s="14"/>
      <c r="O5393" s="14"/>
      <c r="P5393" s="13"/>
    </row>
    <row r="5394">
      <c r="L5394" s="13"/>
      <c r="M5394" s="14"/>
      <c r="N5394" s="14"/>
      <c r="O5394" s="14"/>
      <c r="P5394" s="13"/>
    </row>
    <row r="5395">
      <c r="L5395" s="13"/>
      <c r="M5395" s="14"/>
      <c r="N5395" s="14"/>
      <c r="O5395" s="14"/>
      <c r="P5395" s="13"/>
    </row>
    <row r="5396">
      <c r="L5396" s="13"/>
      <c r="M5396" s="14"/>
      <c r="N5396" s="14"/>
      <c r="O5396" s="14"/>
      <c r="P5396" s="13"/>
    </row>
    <row r="5397">
      <c r="L5397" s="13"/>
      <c r="M5397" s="14"/>
      <c r="N5397" s="14"/>
      <c r="O5397" s="14"/>
      <c r="P5397" s="13"/>
    </row>
    <row r="5398">
      <c r="L5398" s="13"/>
      <c r="M5398" s="14"/>
      <c r="N5398" s="14"/>
      <c r="O5398" s="14"/>
      <c r="P5398" s="13"/>
    </row>
    <row r="5399">
      <c r="L5399" s="13"/>
      <c r="M5399" s="14"/>
      <c r="N5399" s="14"/>
      <c r="O5399" s="14"/>
      <c r="P5399" s="13"/>
    </row>
    <row r="5400">
      <c r="L5400" s="13"/>
      <c r="M5400" s="14"/>
      <c r="N5400" s="14"/>
      <c r="O5400" s="14"/>
      <c r="P5400" s="13"/>
    </row>
    <row r="5401">
      <c r="L5401" s="13"/>
      <c r="M5401" s="14"/>
      <c r="N5401" s="14"/>
      <c r="O5401" s="14"/>
      <c r="P5401" s="13"/>
    </row>
    <row r="5402">
      <c r="L5402" s="13"/>
      <c r="M5402" s="14"/>
      <c r="N5402" s="14"/>
      <c r="O5402" s="14"/>
      <c r="P5402" s="13"/>
    </row>
    <row r="5403">
      <c r="L5403" s="13"/>
      <c r="M5403" s="14"/>
      <c r="N5403" s="14"/>
      <c r="O5403" s="14"/>
      <c r="P5403" s="13"/>
    </row>
    <row r="5404">
      <c r="L5404" s="13"/>
      <c r="M5404" s="14"/>
      <c r="N5404" s="14"/>
      <c r="O5404" s="14"/>
      <c r="P5404" s="13"/>
    </row>
    <row r="5405">
      <c r="L5405" s="13"/>
      <c r="M5405" s="14"/>
      <c r="N5405" s="14"/>
      <c r="O5405" s="14"/>
      <c r="P5405" s="13"/>
    </row>
    <row r="5406">
      <c r="L5406" s="13"/>
      <c r="M5406" s="14"/>
      <c r="N5406" s="14"/>
      <c r="O5406" s="14"/>
      <c r="P5406" s="13"/>
    </row>
    <row r="5407">
      <c r="L5407" s="13"/>
      <c r="M5407" s="14"/>
      <c r="N5407" s="14"/>
      <c r="O5407" s="14"/>
      <c r="P5407" s="13"/>
    </row>
    <row r="5408">
      <c r="L5408" s="13"/>
      <c r="M5408" s="14"/>
      <c r="N5408" s="14"/>
      <c r="O5408" s="14"/>
      <c r="P5408" s="13"/>
    </row>
    <row r="5409">
      <c r="L5409" s="13"/>
      <c r="M5409" s="14"/>
      <c r="N5409" s="14"/>
      <c r="O5409" s="14"/>
      <c r="P5409" s="13"/>
    </row>
    <row r="5410">
      <c r="L5410" s="13"/>
      <c r="M5410" s="14"/>
      <c r="N5410" s="14"/>
      <c r="O5410" s="14"/>
      <c r="P5410" s="13"/>
    </row>
    <row r="5411">
      <c r="L5411" s="13"/>
      <c r="M5411" s="14"/>
      <c r="N5411" s="14"/>
      <c r="O5411" s="14"/>
      <c r="P5411" s="13"/>
    </row>
    <row r="5412">
      <c r="L5412" s="13"/>
      <c r="M5412" s="14"/>
      <c r="N5412" s="14"/>
      <c r="O5412" s="14"/>
      <c r="P5412" s="13"/>
    </row>
    <row r="5413">
      <c r="L5413" s="13"/>
      <c r="M5413" s="14"/>
      <c r="N5413" s="14"/>
      <c r="O5413" s="14"/>
      <c r="P5413" s="13"/>
    </row>
    <row r="5414">
      <c r="L5414" s="13"/>
      <c r="M5414" s="14"/>
      <c r="N5414" s="14"/>
      <c r="O5414" s="14"/>
      <c r="P5414" s="13"/>
    </row>
    <row r="5415">
      <c r="L5415" s="13"/>
      <c r="M5415" s="14"/>
      <c r="N5415" s="14"/>
      <c r="O5415" s="14"/>
      <c r="P5415" s="13"/>
    </row>
    <row r="5416">
      <c r="L5416" s="13"/>
      <c r="M5416" s="14"/>
      <c r="N5416" s="14"/>
      <c r="O5416" s="14"/>
      <c r="P5416" s="13"/>
    </row>
    <row r="5417">
      <c r="L5417" s="13"/>
      <c r="M5417" s="14"/>
      <c r="N5417" s="14"/>
      <c r="O5417" s="14"/>
      <c r="P5417" s="13"/>
    </row>
    <row r="5418">
      <c r="L5418" s="13"/>
      <c r="M5418" s="14"/>
      <c r="N5418" s="14"/>
      <c r="O5418" s="14"/>
      <c r="P5418" s="13"/>
    </row>
    <row r="5419">
      <c r="L5419" s="13"/>
      <c r="M5419" s="14"/>
      <c r="N5419" s="14"/>
      <c r="O5419" s="14"/>
      <c r="P5419" s="13"/>
    </row>
    <row r="5420">
      <c r="L5420" s="13"/>
      <c r="M5420" s="14"/>
      <c r="N5420" s="14"/>
      <c r="O5420" s="14"/>
      <c r="P5420" s="13"/>
    </row>
    <row r="5421">
      <c r="L5421" s="13"/>
      <c r="M5421" s="14"/>
      <c r="N5421" s="14"/>
      <c r="O5421" s="14"/>
      <c r="P5421" s="13"/>
    </row>
    <row r="5422">
      <c r="L5422" s="13"/>
      <c r="M5422" s="14"/>
      <c r="N5422" s="14"/>
      <c r="O5422" s="14"/>
      <c r="P5422" s="13"/>
    </row>
    <row r="5423">
      <c r="L5423" s="13"/>
      <c r="M5423" s="14"/>
      <c r="N5423" s="14"/>
      <c r="O5423" s="14"/>
      <c r="P5423" s="13"/>
    </row>
    <row r="5424">
      <c r="L5424" s="13"/>
      <c r="M5424" s="14"/>
      <c r="N5424" s="14"/>
      <c r="O5424" s="14"/>
      <c r="P5424" s="13"/>
    </row>
    <row r="5425">
      <c r="L5425" s="13"/>
      <c r="M5425" s="14"/>
      <c r="N5425" s="14"/>
      <c r="O5425" s="14"/>
      <c r="P5425" s="13"/>
    </row>
    <row r="5426">
      <c r="L5426" s="13"/>
      <c r="M5426" s="14"/>
      <c r="N5426" s="14"/>
      <c r="O5426" s="14"/>
      <c r="P5426" s="13"/>
    </row>
    <row r="5427">
      <c r="L5427" s="13"/>
      <c r="M5427" s="14"/>
      <c r="N5427" s="14"/>
      <c r="O5427" s="14"/>
      <c r="P5427" s="13"/>
    </row>
    <row r="5428">
      <c r="L5428" s="13"/>
      <c r="M5428" s="14"/>
      <c r="N5428" s="14"/>
      <c r="O5428" s="14"/>
      <c r="P5428" s="13"/>
    </row>
    <row r="5429">
      <c r="L5429" s="13"/>
      <c r="M5429" s="14"/>
      <c r="N5429" s="14"/>
      <c r="O5429" s="14"/>
      <c r="P5429" s="13"/>
    </row>
    <row r="5430">
      <c r="L5430" s="13"/>
      <c r="M5430" s="14"/>
      <c r="N5430" s="14"/>
      <c r="O5430" s="14"/>
      <c r="P5430" s="13"/>
    </row>
    <row r="5431">
      <c r="L5431" s="13"/>
      <c r="M5431" s="14"/>
      <c r="N5431" s="14"/>
      <c r="O5431" s="14"/>
      <c r="P5431" s="13"/>
    </row>
    <row r="5432">
      <c r="L5432" s="13"/>
      <c r="M5432" s="14"/>
      <c r="N5432" s="14"/>
      <c r="O5432" s="14"/>
      <c r="P5432" s="13"/>
    </row>
    <row r="5433">
      <c r="L5433" s="13"/>
      <c r="M5433" s="14"/>
      <c r="N5433" s="14"/>
      <c r="O5433" s="14"/>
      <c r="P5433" s="13"/>
    </row>
    <row r="5434">
      <c r="L5434" s="13"/>
      <c r="M5434" s="14"/>
      <c r="N5434" s="14"/>
      <c r="O5434" s="14"/>
      <c r="P5434" s="13"/>
    </row>
    <row r="5435">
      <c r="L5435" s="13"/>
      <c r="M5435" s="14"/>
      <c r="N5435" s="14"/>
      <c r="O5435" s="14"/>
      <c r="P5435" s="13"/>
    </row>
    <row r="5436">
      <c r="L5436" s="13"/>
      <c r="M5436" s="14"/>
      <c r="N5436" s="14"/>
      <c r="O5436" s="14"/>
      <c r="P5436" s="13"/>
    </row>
    <row r="5437">
      <c r="L5437" s="13"/>
      <c r="M5437" s="14"/>
      <c r="N5437" s="14"/>
      <c r="O5437" s="14"/>
      <c r="P5437" s="13"/>
    </row>
    <row r="5438">
      <c r="L5438" s="13"/>
      <c r="M5438" s="14"/>
      <c r="N5438" s="14"/>
      <c r="O5438" s="14"/>
      <c r="P5438" s="13"/>
    </row>
    <row r="5439">
      <c r="L5439" s="13"/>
      <c r="M5439" s="14"/>
      <c r="N5439" s="14"/>
      <c r="O5439" s="14"/>
      <c r="P5439" s="13"/>
    </row>
    <row r="5440">
      <c r="L5440" s="13"/>
      <c r="M5440" s="14"/>
      <c r="N5440" s="14"/>
      <c r="O5440" s="14"/>
      <c r="P5440" s="13"/>
    </row>
    <row r="5441">
      <c r="L5441" s="13"/>
      <c r="M5441" s="14"/>
      <c r="N5441" s="14"/>
      <c r="O5441" s="14"/>
      <c r="P5441" s="13"/>
    </row>
    <row r="5442">
      <c r="L5442" s="13"/>
      <c r="M5442" s="14"/>
      <c r="N5442" s="14"/>
      <c r="O5442" s="14"/>
      <c r="P5442" s="13"/>
    </row>
    <row r="5443">
      <c r="L5443" s="13"/>
      <c r="M5443" s="14"/>
      <c r="N5443" s="14"/>
      <c r="O5443" s="14"/>
      <c r="P5443" s="13"/>
    </row>
    <row r="5444">
      <c r="L5444" s="13"/>
      <c r="M5444" s="14"/>
      <c r="N5444" s="14"/>
      <c r="O5444" s="14"/>
      <c r="P5444" s="13"/>
    </row>
    <row r="5445">
      <c r="L5445" s="13"/>
      <c r="M5445" s="14"/>
      <c r="N5445" s="14"/>
      <c r="O5445" s="14"/>
      <c r="P5445" s="13"/>
    </row>
    <row r="5446">
      <c r="L5446" s="13"/>
      <c r="M5446" s="14"/>
      <c r="N5446" s="14"/>
      <c r="O5446" s="14"/>
      <c r="P5446" s="13"/>
    </row>
    <row r="5447">
      <c r="L5447" s="13"/>
      <c r="M5447" s="14"/>
      <c r="N5447" s="14"/>
      <c r="O5447" s="14"/>
      <c r="P5447" s="13"/>
    </row>
    <row r="5448">
      <c r="L5448" s="13"/>
      <c r="M5448" s="14"/>
      <c r="N5448" s="14"/>
      <c r="O5448" s="14"/>
      <c r="P5448" s="13"/>
    </row>
    <row r="5449">
      <c r="L5449" s="13"/>
      <c r="M5449" s="14"/>
      <c r="N5449" s="14"/>
      <c r="O5449" s="14"/>
      <c r="P5449" s="13"/>
    </row>
    <row r="5450">
      <c r="L5450" s="13"/>
      <c r="M5450" s="14"/>
      <c r="N5450" s="14"/>
      <c r="O5450" s="14"/>
      <c r="P5450" s="13"/>
    </row>
    <row r="5451">
      <c r="L5451" s="13"/>
      <c r="M5451" s="14"/>
      <c r="N5451" s="14"/>
      <c r="O5451" s="14"/>
      <c r="P5451" s="13"/>
    </row>
    <row r="5452">
      <c r="L5452" s="13"/>
      <c r="M5452" s="14"/>
      <c r="N5452" s="14"/>
      <c r="O5452" s="14"/>
      <c r="P5452" s="13"/>
    </row>
    <row r="5453">
      <c r="L5453" s="13"/>
      <c r="M5453" s="14"/>
      <c r="N5453" s="14"/>
      <c r="O5453" s="14"/>
      <c r="P5453" s="13"/>
    </row>
    <row r="5454">
      <c r="L5454" s="13"/>
      <c r="M5454" s="14"/>
      <c r="N5454" s="14"/>
      <c r="O5454" s="14"/>
      <c r="P5454" s="13"/>
    </row>
    <row r="5455">
      <c r="L5455" s="13"/>
      <c r="M5455" s="14"/>
      <c r="N5455" s="14"/>
      <c r="O5455" s="14"/>
      <c r="P5455" s="13"/>
    </row>
    <row r="5456">
      <c r="L5456" s="13"/>
      <c r="M5456" s="14"/>
      <c r="N5456" s="14"/>
      <c r="O5456" s="14"/>
      <c r="P5456" s="13"/>
    </row>
    <row r="5457">
      <c r="L5457" s="13"/>
      <c r="M5457" s="14"/>
      <c r="N5457" s="14"/>
      <c r="O5457" s="14"/>
      <c r="P5457" s="13"/>
    </row>
    <row r="5458">
      <c r="L5458" s="13"/>
      <c r="M5458" s="14"/>
      <c r="N5458" s="14"/>
      <c r="O5458" s="14"/>
      <c r="P5458" s="13"/>
    </row>
    <row r="5459">
      <c r="L5459" s="13"/>
      <c r="M5459" s="14"/>
      <c r="N5459" s="14"/>
      <c r="O5459" s="14"/>
      <c r="P5459" s="13"/>
    </row>
    <row r="5460">
      <c r="L5460" s="13"/>
      <c r="M5460" s="14"/>
      <c r="N5460" s="14"/>
      <c r="O5460" s="14"/>
      <c r="P5460" s="13"/>
    </row>
    <row r="5461">
      <c r="L5461" s="13"/>
      <c r="M5461" s="14"/>
      <c r="N5461" s="14"/>
      <c r="O5461" s="14"/>
      <c r="P5461" s="13"/>
    </row>
    <row r="5462">
      <c r="L5462" s="13"/>
      <c r="M5462" s="14"/>
      <c r="N5462" s="14"/>
      <c r="O5462" s="14"/>
      <c r="P5462" s="13"/>
    </row>
    <row r="5463">
      <c r="L5463" s="13"/>
      <c r="M5463" s="14"/>
      <c r="N5463" s="14"/>
      <c r="O5463" s="14"/>
      <c r="P5463" s="13"/>
    </row>
    <row r="5464">
      <c r="L5464" s="13"/>
      <c r="M5464" s="14"/>
      <c r="N5464" s="14"/>
      <c r="O5464" s="14"/>
      <c r="P5464" s="13"/>
    </row>
    <row r="5465">
      <c r="L5465" s="13"/>
      <c r="M5465" s="14"/>
      <c r="N5465" s="14"/>
      <c r="O5465" s="14"/>
      <c r="P5465" s="13"/>
    </row>
    <row r="5466">
      <c r="L5466" s="13"/>
      <c r="M5466" s="14"/>
      <c r="N5466" s="14"/>
      <c r="O5466" s="14"/>
      <c r="P5466" s="13"/>
    </row>
    <row r="5467">
      <c r="L5467" s="13"/>
      <c r="M5467" s="14"/>
      <c r="N5467" s="14"/>
      <c r="O5467" s="14"/>
      <c r="P5467" s="13"/>
    </row>
    <row r="5468">
      <c r="L5468" s="13"/>
      <c r="M5468" s="14"/>
      <c r="N5468" s="14"/>
      <c r="O5468" s="14"/>
      <c r="P5468" s="13"/>
    </row>
    <row r="5469">
      <c r="L5469" s="13"/>
      <c r="M5469" s="14"/>
      <c r="N5469" s="14"/>
      <c r="O5469" s="14"/>
      <c r="P5469" s="13"/>
    </row>
    <row r="5470">
      <c r="L5470" s="13"/>
      <c r="M5470" s="14"/>
      <c r="N5470" s="14"/>
      <c r="O5470" s="14"/>
      <c r="P5470" s="13"/>
    </row>
    <row r="5471">
      <c r="L5471" s="13"/>
      <c r="M5471" s="14"/>
      <c r="N5471" s="14"/>
      <c r="O5471" s="14"/>
      <c r="P5471" s="13"/>
    </row>
    <row r="5472">
      <c r="L5472" s="13"/>
      <c r="M5472" s="14"/>
      <c r="N5472" s="14"/>
      <c r="O5472" s="14"/>
      <c r="P5472" s="13"/>
    </row>
    <row r="5473">
      <c r="L5473" s="13"/>
      <c r="M5473" s="14"/>
      <c r="N5473" s="14"/>
      <c r="O5473" s="14"/>
      <c r="P5473" s="13"/>
    </row>
    <row r="5474">
      <c r="L5474" s="13"/>
      <c r="M5474" s="14"/>
      <c r="N5474" s="14"/>
      <c r="O5474" s="14"/>
      <c r="P5474" s="13"/>
    </row>
    <row r="5475">
      <c r="L5475" s="13"/>
      <c r="M5475" s="14"/>
      <c r="N5475" s="14"/>
      <c r="O5475" s="14"/>
      <c r="P5475" s="13"/>
    </row>
    <row r="5476">
      <c r="L5476" s="13"/>
      <c r="M5476" s="14"/>
      <c r="N5476" s="14"/>
      <c r="O5476" s="14"/>
      <c r="P5476" s="13"/>
    </row>
    <row r="5477">
      <c r="L5477" s="13"/>
      <c r="M5477" s="14"/>
      <c r="N5477" s="14"/>
      <c r="O5477" s="14"/>
      <c r="P5477" s="13"/>
    </row>
    <row r="5478">
      <c r="L5478" s="13"/>
      <c r="M5478" s="14"/>
      <c r="N5478" s="14"/>
      <c r="O5478" s="14"/>
      <c r="P5478" s="13"/>
    </row>
    <row r="5479">
      <c r="L5479" s="13"/>
      <c r="M5479" s="14"/>
      <c r="N5479" s="14"/>
      <c r="O5479" s="14"/>
      <c r="P5479" s="13"/>
    </row>
    <row r="5480">
      <c r="L5480" s="13"/>
      <c r="M5480" s="14"/>
      <c r="N5480" s="14"/>
      <c r="O5480" s="14"/>
      <c r="P5480" s="13"/>
    </row>
    <row r="5481">
      <c r="L5481" s="13"/>
      <c r="M5481" s="14"/>
      <c r="N5481" s="14"/>
      <c r="O5481" s="14"/>
      <c r="P5481" s="13"/>
    </row>
    <row r="5482">
      <c r="L5482" s="13"/>
      <c r="M5482" s="14"/>
      <c r="N5482" s="14"/>
      <c r="O5482" s="14"/>
      <c r="P5482" s="13"/>
    </row>
    <row r="5483">
      <c r="L5483" s="13"/>
      <c r="M5483" s="14"/>
      <c r="N5483" s="14"/>
      <c r="O5483" s="14"/>
      <c r="P5483" s="13"/>
    </row>
    <row r="5484">
      <c r="L5484" s="13"/>
      <c r="M5484" s="14"/>
      <c r="N5484" s="14"/>
      <c r="O5484" s="14"/>
      <c r="P5484" s="13"/>
    </row>
    <row r="5485">
      <c r="L5485" s="13"/>
      <c r="M5485" s="14"/>
      <c r="N5485" s="14"/>
      <c r="O5485" s="14"/>
      <c r="P5485" s="13"/>
    </row>
    <row r="5486">
      <c r="L5486" s="13"/>
      <c r="M5486" s="14"/>
      <c r="N5486" s="14"/>
      <c r="O5486" s="14"/>
      <c r="P5486" s="13"/>
    </row>
    <row r="5487">
      <c r="L5487" s="13"/>
      <c r="M5487" s="14"/>
      <c r="N5487" s="14"/>
      <c r="O5487" s="14"/>
      <c r="P5487" s="13"/>
    </row>
    <row r="5488">
      <c r="L5488" s="13"/>
      <c r="M5488" s="14"/>
      <c r="N5488" s="14"/>
      <c r="O5488" s="14"/>
      <c r="P5488" s="13"/>
    </row>
    <row r="5489">
      <c r="L5489" s="13"/>
      <c r="M5489" s="14"/>
      <c r="N5489" s="14"/>
      <c r="O5489" s="14"/>
      <c r="P5489" s="13"/>
    </row>
    <row r="5490">
      <c r="L5490" s="13"/>
      <c r="M5490" s="14"/>
      <c r="N5490" s="14"/>
      <c r="O5490" s="14"/>
      <c r="P5490" s="13"/>
    </row>
    <row r="5491">
      <c r="L5491" s="13"/>
      <c r="M5491" s="14"/>
      <c r="N5491" s="14"/>
      <c r="O5491" s="14"/>
      <c r="P5491" s="13"/>
    </row>
    <row r="5492">
      <c r="L5492" s="13"/>
      <c r="M5492" s="14"/>
      <c r="N5492" s="14"/>
      <c r="O5492" s="14"/>
      <c r="P5492" s="13"/>
    </row>
    <row r="5493">
      <c r="L5493" s="13"/>
      <c r="M5493" s="14"/>
      <c r="N5493" s="14"/>
      <c r="O5493" s="14"/>
      <c r="P5493" s="13"/>
    </row>
    <row r="5494">
      <c r="L5494" s="13"/>
      <c r="M5494" s="14"/>
      <c r="N5494" s="14"/>
      <c r="O5494" s="14"/>
      <c r="P5494" s="13"/>
    </row>
    <row r="5495">
      <c r="L5495" s="13"/>
      <c r="M5495" s="14"/>
      <c r="N5495" s="14"/>
      <c r="O5495" s="14"/>
      <c r="P5495" s="13"/>
    </row>
    <row r="5496">
      <c r="L5496" s="13"/>
      <c r="M5496" s="14"/>
      <c r="N5496" s="14"/>
      <c r="O5496" s="14"/>
      <c r="P5496" s="13"/>
    </row>
    <row r="5497">
      <c r="L5497" s="13"/>
      <c r="M5497" s="14"/>
      <c r="N5497" s="14"/>
      <c r="O5497" s="14"/>
      <c r="P5497" s="13"/>
    </row>
    <row r="5498">
      <c r="L5498" s="13"/>
      <c r="M5498" s="14"/>
      <c r="N5498" s="14"/>
      <c r="O5498" s="14"/>
      <c r="P5498" s="13"/>
    </row>
    <row r="5499">
      <c r="L5499" s="13"/>
      <c r="M5499" s="14"/>
      <c r="N5499" s="14"/>
      <c r="O5499" s="14"/>
      <c r="P5499" s="13"/>
    </row>
    <row r="5500">
      <c r="L5500" s="13"/>
      <c r="M5500" s="14"/>
      <c r="N5500" s="14"/>
      <c r="O5500" s="14"/>
      <c r="P5500" s="13"/>
    </row>
    <row r="5501">
      <c r="L5501" s="13"/>
      <c r="M5501" s="14"/>
      <c r="N5501" s="14"/>
      <c r="O5501" s="14"/>
      <c r="P5501" s="13"/>
    </row>
    <row r="5502">
      <c r="L5502" s="13"/>
      <c r="M5502" s="14"/>
      <c r="N5502" s="14"/>
      <c r="O5502" s="14"/>
      <c r="P5502" s="13"/>
    </row>
    <row r="5503">
      <c r="L5503" s="13"/>
      <c r="M5503" s="14"/>
      <c r="N5503" s="14"/>
      <c r="O5503" s="14"/>
      <c r="P5503" s="13"/>
    </row>
    <row r="5504">
      <c r="L5504" s="13"/>
      <c r="M5504" s="14"/>
      <c r="N5504" s="14"/>
      <c r="O5504" s="14"/>
      <c r="P5504" s="13"/>
    </row>
    <row r="5505">
      <c r="L5505" s="13"/>
      <c r="M5505" s="14"/>
      <c r="N5505" s="14"/>
      <c r="O5505" s="14"/>
      <c r="P5505" s="13"/>
    </row>
    <row r="5506">
      <c r="L5506" s="13"/>
      <c r="M5506" s="14"/>
      <c r="N5506" s="14"/>
      <c r="O5506" s="14"/>
      <c r="P5506" s="13"/>
    </row>
    <row r="5507">
      <c r="L5507" s="13"/>
      <c r="M5507" s="14"/>
      <c r="N5507" s="14"/>
      <c r="O5507" s="14"/>
      <c r="P5507" s="13"/>
    </row>
    <row r="5508">
      <c r="L5508" s="13"/>
      <c r="M5508" s="14"/>
      <c r="N5508" s="14"/>
      <c r="O5508" s="14"/>
      <c r="P5508" s="13"/>
    </row>
    <row r="5509">
      <c r="L5509" s="13"/>
      <c r="M5509" s="14"/>
      <c r="N5509" s="14"/>
      <c r="O5509" s="14"/>
      <c r="P5509" s="13"/>
    </row>
    <row r="5510">
      <c r="L5510" s="13"/>
      <c r="M5510" s="14"/>
      <c r="N5510" s="14"/>
      <c r="O5510" s="14"/>
      <c r="P5510" s="13"/>
    </row>
    <row r="5511">
      <c r="L5511" s="13"/>
      <c r="M5511" s="14"/>
      <c r="N5511" s="14"/>
      <c r="O5511" s="14"/>
      <c r="P5511" s="13"/>
    </row>
    <row r="5512">
      <c r="L5512" s="13"/>
      <c r="M5512" s="14"/>
      <c r="N5512" s="14"/>
      <c r="O5512" s="14"/>
      <c r="P5512" s="13"/>
    </row>
    <row r="5513">
      <c r="L5513" s="13"/>
      <c r="M5513" s="14"/>
      <c r="N5513" s="14"/>
      <c r="O5513" s="14"/>
      <c r="P5513" s="13"/>
    </row>
    <row r="5514">
      <c r="L5514" s="13"/>
      <c r="M5514" s="14"/>
      <c r="N5514" s="14"/>
      <c r="O5514" s="14"/>
      <c r="P5514" s="13"/>
    </row>
    <row r="5515">
      <c r="L5515" s="13"/>
      <c r="M5515" s="14"/>
      <c r="N5515" s="14"/>
      <c r="O5515" s="14"/>
      <c r="P5515" s="13"/>
    </row>
    <row r="5516">
      <c r="L5516" s="13"/>
      <c r="M5516" s="14"/>
      <c r="N5516" s="14"/>
      <c r="O5516" s="14"/>
      <c r="P5516" s="13"/>
    </row>
    <row r="5517">
      <c r="L5517" s="13"/>
      <c r="M5517" s="14"/>
      <c r="N5517" s="14"/>
      <c r="O5517" s="14"/>
      <c r="P5517" s="13"/>
    </row>
    <row r="5518">
      <c r="L5518" s="13"/>
      <c r="M5518" s="14"/>
      <c r="N5518" s="14"/>
      <c r="O5518" s="14"/>
      <c r="P5518" s="13"/>
    </row>
    <row r="5519">
      <c r="L5519" s="13"/>
      <c r="M5519" s="14"/>
      <c r="N5519" s="14"/>
      <c r="O5519" s="14"/>
      <c r="P5519" s="13"/>
    </row>
    <row r="5520">
      <c r="L5520" s="13"/>
      <c r="M5520" s="14"/>
      <c r="N5520" s="14"/>
      <c r="O5520" s="14"/>
      <c r="P5520" s="13"/>
    </row>
    <row r="5521">
      <c r="L5521" s="13"/>
      <c r="M5521" s="14"/>
      <c r="N5521" s="14"/>
      <c r="O5521" s="14"/>
      <c r="P5521" s="13"/>
    </row>
    <row r="5522">
      <c r="L5522" s="13"/>
      <c r="M5522" s="14"/>
      <c r="N5522" s="14"/>
      <c r="O5522" s="14"/>
      <c r="P5522" s="13"/>
    </row>
    <row r="5523">
      <c r="L5523" s="13"/>
      <c r="M5523" s="14"/>
      <c r="N5523" s="14"/>
      <c r="O5523" s="14"/>
      <c r="P5523" s="13"/>
    </row>
    <row r="5524">
      <c r="L5524" s="13"/>
      <c r="M5524" s="14"/>
      <c r="N5524" s="14"/>
      <c r="O5524" s="14"/>
      <c r="P5524" s="13"/>
    </row>
    <row r="5525">
      <c r="L5525" s="13"/>
      <c r="M5525" s="14"/>
      <c r="N5525" s="14"/>
      <c r="O5525" s="14"/>
      <c r="P5525" s="13"/>
    </row>
    <row r="5526">
      <c r="L5526" s="13"/>
      <c r="M5526" s="14"/>
      <c r="N5526" s="14"/>
      <c r="O5526" s="14"/>
      <c r="P5526" s="13"/>
    </row>
    <row r="5527">
      <c r="L5527" s="13"/>
      <c r="M5527" s="14"/>
      <c r="N5527" s="14"/>
      <c r="O5527" s="14"/>
      <c r="P5527" s="13"/>
    </row>
    <row r="5528">
      <c r="L5528" s="13"/>
      <c r="M5528" s="14"/>
      <c r="N5528" s="14"/>
      <c r="O5528" s="14"/>
      <c r="P5528" s="13"/>
    </row>
    <row r="5529">
      <c r="L5529" s="13"/>
      <c r="M5529" s="14"/>
      <c r="N5529" s="14"/>
      <c r="O5529" s="14"/>
      <c r="P5529" s="13"/>
    </row>
    <row r="5530">
      <c r="L5530" s="13"/>
      <c r="M5530" s="14"/>
      <c r="N5530" s="14"/>
      <c r="O5530" s="14"/>
      <c r="P5530" s="13"/>
    </row>
    <row r="5531">
      <c r="L5531" s="13"/>
      <c r="M5531" s="14"/>
      <c r="N5531" s="14"/>
      <c r="O5531" s="14"/>
      <c r="P5531" s="13"/>
    </row>
    <row r="5532">
      <c r="L5532" s="13"/>
      <c r="M5532" s="14"/>
      <c r="N5532" s="14"/>
      <c r="O5532" s="14"/>
      <c r="P5532" s="13"/>
    </row>
    <row r="5533">
      <c r="L5533" s="13"/>
      <c r="M5533" s="14"/>
      <c r="N5533" s="14"/>
      <c r="O5533" s="14"/>
      <c r="P5533" s="13"/>
    </row>
    <row r="5534">
      <c r="L5534" s="13"/>
      <c r="M5534" s="14"/>
      <c r="N5534" s="14"/>
      <c r="O5534" s="14"/>
      <c r="P5534" s="13"/>
    </row>
    <row r="5535">
      <c r="L5535" s="13"/>
      <c r="M5535" s="14"/>
      <c r="N5535" s="14"/>
      <c r="O5535" s="14"/>
      <c r="P5535" s="13"/>
    </row>
    <row r="5536">
      <c r="L5536" s="13"/>
      <c r="M5536" s="14"/>
      <c r="N5536" s="14"/>
      <c r="O5536" s="14"/>
      <c r="P5536" s="13"/>
    </row>
    <row r="5537">
      <c r="L5537" s="13"/>
      <c r="M5537" s="14"/>
      <c r="N5537" s="14"/>
      <c r="O5537" s="14"/>
      <c r="P5537" s="13"/>
    </row>
    <row r="5538">
      <c r="L5538" s="13"/>
      <c r="M5538" s="14"/>
      <c r="N5538" s="14"/>
      <c r="O5538" s="14"/>
      <c r="P5538" s="13"/>
    </row>
    <row r="5539">
      <c r="L5539" s="13"/>
      <c r="M5539" s="14"/>
      <c r="N5539" s="14"/>
      <c r="O5539" s="14"/>
      <c r="P5539" s="13"/>
    </row>
    <row r="5540">
      <c r="L5540" s="13"/>
      <c r="M5540" s="14"/>
      <c r="N5540" s="14"/>
      <c r="O5540" s="14"/>
      <c r="P5540" s="13"/>
    </row>
    <row r="5541">
      <c r="L5541" s="13"/>
      <c r="M5541" s="14"/>
      <c r="N5541" s="14"/>
      <c r="O5541" s="14"/>
      <c r="P5541" s="13"/>
    </row>
    <row r="5542">
      <c r="L5542" s="13"/>
      <c r="M5542" s="14"/>
      <c r="N5542" s="14"/>
      <c r="O5542" s="14"/>
      <c r="P5542" s="13"/>
    </row>
    <row r="5543">
      <c r="L5543" s="13"/>
      <c r="M5543" s="14"/>
      <c r="N5543" s="14"/>
      <c r="O5543" s="14"/>
      <c r="P5543" s="13"/>
    </row>
    <row r="5544">
      <c r="L5544" s="13"/>
      <c r="M5544" s="14"/>
      <c r="N5544" s="14"/>
      <c r="O5544" s="14"/>
      <c r="P5544" s="13"/>
    </row>
    <row r="5545">
      <c r="L5545" s="13"/>
      <c r="M5545" s="14"/>
      <c r="N5545" s="14"/>
      <c r="O5545" s="14"/>
      <c r="P5545" s="13"/>
    </row>
    <row r="5546">
      <c r="L5546" s="13"/>
      <c r="M5546" s="14"/>
      <c r="N5546" s="14"/>
      <c r="O5546" s="14"/>
      <c r="P5546" s="13"/>
    </row>
    <row r="5547">
      <c r="L5547" s="13"/>
      <c r="M5547" s="14"/>
      <c r="N5547" s="14"/>
      <c r="O5547" s="14"/>
      <c r="P5547" s="13"/>
    </row>
    <row r="5548">
      <c r="L5548" s="13"/>
      <c r="M5548" s="14"/>
      <c r="N5548" s="14"/>
      <c r="O5548" s="14"/>
      <c r="P5548" s="13"/>
    </row>
    <row r="5549">
      <c r="L5549" s="13"/>
      <c r="M5549" s="14"/>
      <c r="N5549" s="14"/>
      <c r="O5549" s="14"/>
      <c r="P5549" s="13"/>
    </row>
    <row r="5550">
      <c r="L5550" s="13"/>
      <c r="M5550" s="14"/>
      <c r="N5550" s="14"/>
      <c r="O5550" s="14"/>
      <c r="P5550" s="13"/>
    </row>
    <row r="5551">
      <c r="L5551" s="13"/>
      <c r="M5551" s="14"/>
      <c r="N5551" s="14"/>
      <c r="O5551" s="14"/>
      <c r="P5551" s="13"/>
    </row>
    <row r="5552">
      <c r="L5552" s="13"/>
      <c r="M5552" s="14"/>
      <c r="N5552" s="14"/>
      <c r="O5552" s="14"/>
      <c r="P5552" s="13"/>
    </row>
    <row r="5553">
      <c r="L5553" s="13"/>
      <c r="M5553" s="14"/>
      <c r="N5553" s="14"/>
      <c r="O5553" s="14"/>
      <c r="P5553" s="13"/>
    </row>
    <row r="5554">
      <c r="L5554" s="13"/>
      <c r="M5554" s="14"/>
      <c r="N5554" s="14"/>
      <c r="O5554" s="14"/>
      <c r="P5554" s="13"/>
    </row>
    <row r="5555">
      <c r="L5555" s="13"/>
      <c r="M5555" s="14"/>
      <c r="N5555" s="14"/>
      <c r="O5555" s="14"/>
      <c r="P5555" s="13"/>
    </row>
    <row r="5556">
      <c r="L5556" s="13"/>
      <c r="M5556" s="14"/>
      <c r="N5556" s="14"/>
      <c r="O5556" s="14"/>
      <c r="P5556" s="13"/>
    </row>
    <row r="5557">
      <c r="L5557" s="13"/>
      <c r="M5557" s="14"/>
      <c r="N5557" s="14"/>
      <c r="O5557" s="14"/>
      <c r="P5557" s="13"/>
    </row>
    <row r="5558">
      <c r="L5558" s="13"/>
      <c r="M5558" s="14"/>
      <c r="N5558" s="14"/>
      <c r="O5558" s="14"/>
      <c r="P5558" s="13"/>
    </row>
    <row r="5559">
      <c r="L5559" s="13"/>
      <c r="M5559" s="14"/>
      <c r="N5559" s="14"/>
      <c r="O5559" s="14"/>
      <c r="P5559" s="13"/>
    </row>
    <row r="5560">
      <c r="L5560" s="13"/>
      <c r="M5560" s="14"/>
      <c r="N5560" s="14"/>
      <c r="O5560" s="14"/>
      <c r="P5560" s="13"/>
    </row>
    <row r="5561">
      <c r="L5561" s="13"/>
      <c r="M5561" s="14"/>
      <c r="N5561" s="14"/>
      <c r="O5561" s="14"/>
      <c r="P5561" s="13"/>
    </row>
    <row r="5562">
      <c r="L5562" s="13"/>
      <c r="M5562" s="14"/>
      <c r="N5562" s="14"/>
      <c r="O5562" s="14"/>
      <c r="P5562" s="13"/>
    </row>
    <row r="5563">
      <c r="L5563" s="13"/>
      <c r="M5563" s="14"/>
      <c r="N5563" s="14"/>
      <c r="O5563" s="14"/>
      <c r="P5563" s="13"/>
    </row>
    <row r="5564">
      <c r="L5564" s="13"/>
      <c r="M5564" s="14"/>
      <c r="N5564" s="14"/>
      <c r="O5564" s="14"/>
      <c r="P5564" s="13"/>
    </row>
    <row r="5565">
      <c r="L5565" s="13"/>
      <c r="M5565" s="14"/>
      <c r="N5565" s="14"/>
      <c r="O5565" s="14"/>
      <c r="P5565" s="13"/>
    </row>
    <row r="5566">
      <c r="L5566" s="13"/>
      <c r="M5566" s="14"/>
      <c r="N5566" s="14"/>
      <c r="O5566" s="14"/>
      <c r="P5566" s="13"/>
    </row>
    <row r="5567">
      <c r="L5567" s="13"/>
      <c r="M5567" s="14"/>
      <c r="N5567" s="14"/>
      <c r="O5567" s="14"/>
      <c r="P5567" s="13"/>
    </row>
    <row r="5568">
      <c r="L5568" s="13"/>
      <c r="M5568" s="14"/>
      <c r="N5568" s="14"/>
      <c r="O5568" s="14"/>
      <c r="P5568" s="13"/>
    </row>
    <row r="5569">
      <c r="L5569" s="13"/>
      <c r="M5569" s="14"/>
      <c r="N5569" s="14"/>
      <c r="O5569" s="14"/>
      <c r="P5569" s="13"/>
    </row>
    <row r="5570">
      <c r="L5570" s="13"/>
      <c r="M5570" s="14"/>
      <c r="N5570" s="14"/>
      <c r="O5570" s="14"/>
      <c r="P5570" s="13"/>
    </row>
    <row r="5571">
      <c r="L5571" s="13"/>
      <c r="M5571" s="14"/>
      <c r="N5571" s="14"/>
      <c r="O5571" s="14"/>
      <c r="P5571" s="13"/>
    </row>
    <row r="5572">
      <c r="L5572" s="13"/>
      <c r="M5572" s="14"/>
      <c r="N5572" s="14"/>
      <c r="O5572" s="14"/>
      <c r="P5572" s="13"/>
    </row>
    <row r="5573">
      <c r="L5573" s="13"/>
      <c r="M5573" s="14"/>
      <c r="N5573" s="14"/>
      <c r="O5573" s="14"/>
      <c r="P5573" s="13"/>
    </row>
    <row r="5574">
      <c r="L5574" s="13"/>
      <c r="M5574" s="14"/>
      <c r="N5574" s="14"/>
      <c r="O5574" s="14"/>
      <c r="P5574" s="13"/>
    </row>
    <row r="5575">
      <c r="L5575" s="13"/>
      <c r="M5575" s="14"/>
      <c r="N5575" s="14"/>
      <c r="O5575" s="14"/>
      <c r="P5575" s="13"/>
    </row>
    <row r="5576">
      <c r="L5576" s="13"/>
      <c r="M5576" s="14"/>
      <c r="N5576" s="14"/>
      <c r="O5576" s="14"/>
      <c r="P5576" s="13"/>
    </row>
    <row r="5577">
      <c r="L5577" s="13"/>
      <c r="M5577" s="14"/>
      <c r="N5577" s="14"/>
      <c r="O5577" s="14"/>
      <c r="P5577" s="13"/>
    </row>
    <row r="5578">
      <c r="L5578" s="13"/>
      <c r="M5578" s="14"/>
      <c r="N5578" s="14"/>
      <c r="O5578" s="14"/>
      <c r="P5578" s="13"/>
    </row>
    <row r="5579">
      <c r="L5579" s="13"/>
      <c r="M5579" s="14"/>
      <c r="N5579" s="14"/>
      <c r="O5579" s="14"/>
      <c r="P5579" s="13"/>
    </row>
    <row r="5580">
      <c r="L5580" s="13"/>
      <c r="M5580" s="14"/>
      <c r="N5580" s="14"/>
      <c r="O5580" s="14"/>
      <c r="P5580" s="13"/>
    </row>
    <row r="5581">
      <c r="L5581" s="13"/>
      <c r="M5581" s="14"/>
      <c r="N5581" s="14"/>
      <c r="O5581" s="14"/>
      <c r="P5581" s="13"/>
    </row>
    <row r="5582">
      <c r="L5582" s="13"/>
      <c r="M5582" s="14"/>
      <c r="N5582" s="14"/>
      <c r="O5582" s="14"/>
      <c r="P5582" s="13"/>
    </row>
    <row r="5583">
      <c r="L5583" s="13"/>
      <c r="M5583" s="14"/>
      <c r="N5583" s="14"/>
      <c r="O5583" s="14"/>
      <c r="P5583" s="13"/>
    </row>
    <row r="5584">
      <c r="L5584" s="13"/>
      <c r="M5584" s="14"/>
      <c r="N5584" s="14"/>
      <c r="O5584" s="14"/>
      <c r="P5584" s="13"/>
    </row>
    <row r="5585">
      <c r="L5585" s="13"/>
      <c r="M5585" s="14"/>
      <c r="N5585" s="14"/>
      <c r="O5585" s="14"/>
      <c r="P5585" s="13"/>
    </row>
    <row r="5586">
      <c r="L5586" s="13"/>
      <c r="M5586" s="14"/>
      <c r="N5586" s="14"/>
      <c r="O5586" s="14"/>
      <c r="P5586" s="13"/>
    </row>
    <row r="5587">
      <c r="L5587" s="13"/>
      <c r="M5587" s="14"/>
      <c r="N5587" s="14"/>
      <c r="O5587" s="14"/>
      <c r="P5587" s="13"/>
    </row>
    <row r="5588">
      <c r="L5588" s="13"/>
      <c r="M5588" s="14"/>
      <c r="N5588" s="14"/>
      <c r="O5588" s="14"/>
      <c r="P5588" s="13"/>
    </row>
    <row r="5589">
      <c r="L5589" s="13"/>
      <c r="M5589" s="14"/>
      <c r="N5589" s="14"/>
      <c r="O5589" s="14"/>
      <c r="P5589" s="13"/>
    </row>
    <row r="5590">
      <c r="L5590" s="13"/>
      <c r="M5590" s="14"/>
      <c r="N5590" s="14"/>
      <c r="O5590" s="14"/>
      <c r="P5590" s="13"/>
    </row>
    <row r="5591">
      <c r="L5591" s="13"/>
      <c r="M5591" s="14"/>
      <c r="N5591" s="14"/>
      <c r="O5591" s="14"/>
      <c r="P5591" s="13"/>
    </row>
    <row r="5592">
      <c r="L5592" s="13"/>
      <c r="M5592" s="14"/>
      <c r="N5592" s="14"/>
      <c r="O5592" s="14"/>
      <c r="P5592" s="13"/>
    </row>
    <row r="5593">
      <c r="L5593" s="13"/>
      <c r="M5593" s="14"/>
      <c r="N5593" s="14"/>
      <c r="O5593" s="14"/>
      <c r="P5593" s="13"/>
    </row>
    <row r="5594">
      <c r="L5594" s="13"/>
      <c r="M5594" s="14"/>
      <c r="N5594" s="14"/>
      <c r="O5594" s="14"/>
      <c r="P5594" s="13"/>
    </row>
    <row r="5595">
      <c r="L5595" s="13"/>
      <c r="M5595" s="14"/>
      <c r="N5595" s="14"/>
      <c r="O5595" s="14"/>
      <c r="P5595" s="13"/>
    </row>
    <row r="5596">
      <c r="L5596" s="13"/>
      <c r="M5596" s="14"/>
      <c r="N5596" s="14"/>
      <c r="O5596" s="14"/>
      <c r="P5596" s="13"/>
    </row>
    <row r="5597">
      <c r="L5597" s="13"/>
      <c r="M5597" s="14"/>
      <c r="N5597" s="14"/>
      <c r="O5597" s="14"/>
      <c r="P5597" s="13"/>
    </row>
    <row r="5598">
      <c r="L5598" s="13"/>
      <c r="M5598" s="14"/>
      <c r="N5598" s="14"/>
      <c r="O5598" s="14"/>
      <c r="P5598" s="13"/>
    </row>
    <row r="5599">
      <c r="L5599" s="13"/>
      <c r="M5599" s="14"/>
      <c r="N5599" s="14"/>
      <c r="O5599" s="14"/>
      <c r="P5599" s="13"/>
    </row>
    <row r="5600">
      <c r="L5600" s="13"/>
      <c r="M5600" s="14"/>
      <c r="N5600" s="14"/>
      <c r="O5600" s="14"/>
      <c r="P5600" s="13"/>
    </row>
    <row r="5601">
      <c r="L5601" s="13"/>
      <c r="M5601" s="14"/>
      <c r="N5601" s="14"/>
      <c r="O5601" s="14"/>
      <c r="P5601" s="13"/>
    </row>
    <row r="5602">
      <c r="L5602" s="13"/>
      <c r="M5602" s="14"/>
      <c r="N5602" s="14"/>
      <c r="O5602" s="14"/>
      <c r="P5602" s="13"/>
    </row>
    <row r="5603">
      <c r="L5603" s="13"/>
      <c r="M5603" s="14"/>
      <c r="N5603" s="14"/>
      <c r="O5603" s="14"/>
      <c r="P5603" s="13"/>
    </row>
    <row r="5604">
      <c r="L5604" s="13"/>
      <c r="M5604" s="14"/>
      <c r="N5604" s="14"/>
      <c r="O5604" s="14"/>
      <c r="P5604" s="13"/>
    </row>
    <row r="5605">
      <c r="L5605" s="13"/>
      <c r="M5605" s="14"/>
      <c r="N5605" s="14"/>
      <c r="O5605" s="14"/>
      <c r="P5605" s="13"/>
    </row>
    <row r="5606">
      <c r="L5606" s="13"/>
      <c r="M5606" s="14"/>
      <c r="N5606" s="14"/>
      <c r="O5606" s="14"/>
      <c r="P5606" s="13"/>
    </row>
    <row r="5607">
      <c r="L5607" s="13"/>
      <c r="M5607" s="14"/>
      <c r="N5607" s="14"/>
      <c r="O5607" s="14"/>
      <c r="P5607" s="13"/>
    </row>
    <row r="5608">
      <c r="L5608" s="13"/>
      <c r="M5608" s="14"/>
      <c r="N5608" s="14"/>
      <c r="O5608" s="14"/>
      <c r="P5608" s="13"/>
    </row>
    <row r="5609">
      <c r="L5609" s="13"/>
      <c r="M5609" s="14"/>
      <c r="N5609" s="14"/>
      <c r="O5609" s="14"/>
      <c r="P5609" s="13"/>
    </row>
    <row r="5610">
      <c r="L5610" s="13"/>
      <c r="M5610" s="14"/>
      <c r="N5610" s="14"/>
      <c r="O5610" s="14"/>
      <c r="P5610" s="13"/>
    </row>
    <row r="5611">
      <c r="L5611" s="13"/>
      <c r="M5611" s="14"/>
      <c r="N5611" s="14"/>
      <c r="O5611" s="14"/>
      <c r="P5611" s="13"/>
    </row>
    <row r="5612">
      <c r="L5612" s="13"/>
      <c r="M5612" s="14"/>
      <c r="N5612" s="14"/>
      <c r="O5612" s="14"/>
      <c r="P5612" s="13"/>
    </row>
    <row r="5613">
      <c r="L5613" s="13"/>
      <c r="M5613" s="14"/>
      <c r="N5613" s="14"/>
      <c r="O5613" s="14"/>
      <c r="P5613" s="13"/>
    </row>
    <row r="5614">
      <c r="L5614" s="13"/>
      <c r="M5614" s="14"/>
      <c r="N5614" s="14"/>
      <c r="O5614" s="14"/>
      <c r="P5614" s="13"/>
    </row>
    <row r="5615">
      <c r="L5615" s="13"/>
      <c r="M5615" s="14"/>
      <c r="N5615" s="14"/>
      <c r="O5615" s="14"/>
      <c r="P5615" s="13"/>
    </row>
    <row r="5616">
      <c r="L5616" s="13"/>
      <c r="M5616" s="14"/>
      <c r="N5616" s="14"/>
      <c r="O5616" s="14"/>
      <c r="P5616" s="13"/>
    </row>
    <row r="5617">
      <c r="L5617" s="13"/>
      <c r="M5617" s="14"/>
      <c r="N5617" s="14"/>
      <c r="O5617" s="14"/>
      <c r="P5617" s="13"/>
    </row>
    <row r="5618">
      <c r="L5618" s="13"/>
      <c r="M5618" s="14"/>
      <c r="N5618" s="14"/>
      <c r="O5618" s="14"/>
      <c r="P5618" s="13"/>
    </row>
    <row r="5619">
      <c r="L5619" s="13"/>
      <c r="M5619" s="14"/>
      <c r="N5619" s="14"/>
      <c r="O5619" s="14"/>
      <c r="P5619" s="13"/>
    </row>
    <row r="5620">
      <c r="L5620" s="13"/>
      <c r="M5620" s="14"/>
      <c r="N5620" s="14"/>
      <c r="O5620" s="14"/>
      <c r="P5620" s="13"/>
    </row>
    <row r="5621">
      <c r="L5621" s="13"/>
      <c r="M5621" s="14"/>
      <c r="N5621" s="14"/>
      <c r="O5621" s="14"/>
      <c r="P5621" s="13"/>
    </row>
    <row r="5622">
      <c r="L5622" s="13"/>
      <c r="M5622" s="14"/>
      <c r="N5622" s="14"/>
      <c r="O5622" s="14"/>
      <c r="P5622" s="13"/>
    </row>
    <row r="5623">
      <c r="L5623" s="13"/>
      <c r="M5623" s="14"/>
      <c r="N5623" s="14"/>
      <c r="O5623" s="14"/>
      <c r="P5623" s="13"/>
    </row>
    <row r="5624">
      <c r="L5624" s="13"/>
      <c r="M5624" s="14"/>
      <c r="N5624" s="14"/>
      <c r="O5624" s="14"/>
      <c r="P5624" s="13"/>
    </row>
    <row r="5625">
      <c r="L5625" s="13"/>
      <c r="M5625" s="14"/>
      <c r="N5625" s="14"/>
      <c r="O5625" s="14"/>
      <c r="P5625" s="13"/>
    </row>
    <row r="5626">
      <c r="L5626" s="13"/>
      <c r="M5626" s="14"/>
      <c r="N5626" s="14"/>
      <c r="O5626" s="14"/>
      <c r="P5626" s="13"/>
    </row>
    <row r="5627">
      <c r="L5627" s="13"/>
      <c r="M5627" s="14"/>
      <c r="N5627" s="14"/>
      <c r="O5627" s="14"/>
      <c r="P5627" s="13"/>
    </row>
    <row r="5628">
      <c r="L5628" s="13"/>
      <c r="M5628" s="14"/>
      <c r="N5628" s="14"/>
      <c r="O5628" s="14"/>
      <c r="P5628" s="13"/>
    </row>
    <row r="5629">
      <c r="L5629" s="13"/>
      <c r="M5629" s="14"/>
      <c r="N5629" s="14"/>
      <c r="O5629" s="14"/>
      <c r="P5629" s="13"/>
    </row>
    <row r="5630">
      <c r="L5630" s="13"/>
      <c r="M5630" s="14"/>
      <c r="N5630" s="14"/>
      <c r="O5630" s="14"/>
      <c r="P5630" s="13"/>
    </row>
    <row r="5631">
      <c r="L5631" s="13"/>
      <c r="M5631" s="14"/>
      <c r="N5631" s="14"/>
      <c r="O5631" s="14"/>
      <c r="P5631" s="13"/>
    </row>
    <row r="5632">
      <c r="L5632" s="13"/>
      <c r="M5632" s="14"/>
      <c r="N5632" s="14"/>
      <c r="O5632" s="14"/>
      <c r="P5632" s="13"/>
    </row>
    <row r="5633">
      <c r="L5633" s="13"/>
      <c r="M5633" s="14"/>
      <c r="N5633" s="14"/>
      <c r="O5633" s="14"/>
      <c r="P5633" s="13"/>
    </row>
    <row r="5634">
      <c r="L5634" s="13"/>
      <c r="M5634" s="14"/>
      <c r="N5634" s="14"/>
      <c r="O5634" s="14"/>
      <c r="P5634" s="13"/>
    </row>
    <row r="5635">
      <c r="L5635" s="13"/>
      <c r="M5635" s="14"/>
      <c r="N5635" s="14"/>
      <c r="O5635" s="14"/>
      <c r="P5635" s="13"/>
    </row>
    <row r="5636">
      <c r="L5636" s="13"/>
      <c r="M5636" s="14"/>
      <c r="N5636" s="14"/>
      <c r="O5636" s="14"/>
      <c r="P5636" s="13"/>
    </row>
    <row r="5637">
      <c r="L5637" s="13"/>
      <c r="M5637" s="14"/>
      <c r="N5637" s="14"/>
      <c r="O5637" s="14"/>
      <c r="P5637" s="13"/>
    </row>
    <row r="5638">
      <c r="L5638" s="13"/>
      <c r="M5638" s="14"/>
      <c r="N5638" s="14"/>
      <c r="O5638" s="14"/>
      <c r="P5638" s="13"/>
    </row>
    <row r="5639">
      <c r="L5639" s="13"/>
      <c r="M5639" s="14"/>
      <c r="N5639" s="14"/>
      <c r="O5639" s="14"/>
      <c r="P5639" s="13"/>
    </row>
    <row r="5640">
      <c r="L5640" s="13"/>
      <c r="M5640" s="14"/>
      <c r="N5640" s="14"/>
      <c r="O5640" s="14"/>
      <c r="P5640" s="13"/>
    </row>
    <row r="5641">
      <c r="L5641" s="13"/>
      <c r="M5641" s="14"/>
      <c r="N5641" s="14"/>
      <c r="O5641" s="14"/>
      <c r="P5641" s="13"/>
    </row>
    <row r="5642">
      <c r="L5642" s="13"/>
      <c r="M5642" s="14"/>
      <c r="N5642" s="14"/>
      <c r="O5642" s="14"/>
      <c r="P5642" s="13"/>
    </row>
    <row r="5643">
      <c r="L5643" s="13"/>
      <c r="M5643" s="14"/>
      <c r="N5643" s="14"/>
      <c r="O5643" s="14"/>
      <c r="P5643" s="13"/>
    </row>
    <row r="5644">
      <c r="L5644" s="13"/>
      <c r="M5644" s="14"/>
      <c r="N5644" s="14"/>
      <c r="O5644" s="14"/>
      <c r="P5644" s="13"/>
    </row>
    <row r="5645">
      <c r="L5645" s="13"/>
      <c r="M5645" s="14"/>
      <c r="N5645" s="14"/>
      <c r="O5645" s="14"/>
      <c r="P5645" s="13"/>
    </row>
    <row r="5646">
      <c r="L5646" s="13"/>
      <c r="M5646" s="14"/>
      <c r="N5646" s="14"/>
      <c r="O5646" s="14"/>
      <c r="P5646" s="13"/>
    </row>
    <row r="5647">
      <c r="L5647" s="13"/>
      <c r="M5647" s="14"/>
      <c r="N5647" s="14"/>
      <c r="O5647" s="14"/>
      <c r="P5647" s="13"/>
    </row>
    <row r="5648">
      <c r="L5648" s="13"/>
      <c r="M5648" s="14"/>
      <c r="N5648" s="14"/>
      <c r="O5648" s="14"/>
      <c r="P5648" s="13"/>
    </row>
    <row r="5649">
      <c r="L5649" s="13"/>
      <c r="M5649" s="14"/>
      <c r="N5649" s="14"/>
      <c r="O5649" s="14"/>
      <c r="P5649" s="13"/>
    </row>
    <row r="5650">
      <c r="L5650" s="13"/>
      <c r="M5650" s="14"/>
      <c r="N5650" s="14"/>
      <c r="O5650" s="14"/>
      <c r="P5650" s="13"/>
    </row>
    <row r="5651">
      <c r="L5651" s="13"/>
      <c r="M5651" s="14"/>
      <c r="N5651" s="14"/>
      <c r="O5651" s="14"/>
      <c r="P5651" s="13"/>
    </row>
    <row r="5652">
      <c r="L5652" s="13"/>
      <c r="M5652" s="14"/>
      <c r="N5652" s="14"/>
      <c r="O5652" s="14"/>
      <c r="P5652" s="13"/>
    </row>
    <row r="5653">
      <c r="L5653" s="13"/>
      <c r="M5653" s="14"/>
      <c r="N5653" s="14"/>
      <c r="O5653" s="14"/>
      <c r="P5653" s="13"/>
    </row>
    <row r="5654">
      <c r="L5654" s="13"/>
      <c r="M5654" s="14"/>
      <c r="N5654" s="14"/>
      <c r="O5654" s="14"/>
      <c r="P5654" s="13"/>
    </row>
    <row r="5655">
      <c r="L5655" s="13"/>
      <c r="M5655" s="14"/>
      <c r="N5655" s="14"/>
      <c r="O5655" s="14"/>
      <c r="P5655" s="13"/>
    </row>
    <row r="5656">
      <c r="L5656" s="13"/>
      <c r="M5656" s="14"/>
      <c r="N5656" s="14"/>
      <c r="O5656" s="14"/>
      <c r="P5656" s="13"/>
    </row>
    <row r="5657">
      <c r="L5657" s="13"/>
      <c r="M5657" s="14"/>
      <c r="N5657" s="14"/>
      <c r="O5657" s="14"/>
      <c r="P5657" s="13"/>
    </row>
    <row r="5658">
      <c r="L5658" s="13"/>
      <c r="M5658" s="14"/>
      <c r="N5658" s="14"/>
      <c r="O5658" s="14"/>
      <c r="P5658" s="13"/>
    </row>
    <row r="5659">
      <c r="L5659" s="13"/>
      <c r="M5659" s="14"/>
      <c r="N5659" s="14"/>
      <c r="O5659" s="14"/>
      <c r="P5659" s="13"/>
    </row>
    <row r="5660">
      <c r="L5660" s="13"/>
      <c r="M5660" s="14"/>
      <c r="N5660" s="14"/>
      <c r="O5660" s="14"/>
      <c r="P5660" s="13"/>
    </row>
    <row r="5661">
      <c r="L5661" s="13"/>
      <c r="M5661" s="14"/>
      <c r="N5661" s="14"/>
      <c r="O5661" s="14"/>
      <c r="P5661" s="13"/>
    </row>
    <row r="5662">
      <c r="L5662" s="13"/>
      <c r="M5662" s="14"/>
      <c r="N5662" s="14"/>
      <c r="O5662" s="14"/>
      <c r="P5662" s="13"/>
    </row>
    <row r="5663">
      <c r="L5663" s="13"/>
      <c r="M5663" s="14"/>
      <c r="N5663" s="14"/>
      <c r="O5663" s="14"/>
      <c r="P5663" s="13"/>
    </row>
    <row r="5664">
      <c r="L5664" s="13"/>
      <c r="M5664" s="14"/>
      <c r="N5664" s="14"/>
      <c r="O5664" s="14"/>
      <c r="P5664" s="13"/>
    </row>
    <row r="5665">
      <c r="L5665" s="13"/>
      <c r="M5665" s="14"/>
      <c r="N5665" s="14"/>
      <c r="O5665" s="14"/>
      <c r="P5665" s="13"/>
    </row>
    <row r="5666">
      <c r="L5666" s="13"/>
      <c r="M5666" s="14"/>
      <c r="N5666" s="14"/>
      <c r="O5666" s="14"/>
      <c r="P5666" s="13"/>
    </row>
    <row r="5667">
      <c r="L5667" s="13"/>
      <c r="M5667" s="14"/>
      <c r="N5667" s="14"/>
      <c r="O5667" s="14"/>
      <c r="P5667" s="13"/>
    </row>
    <row r="5668">
      <c r="L5668" s="13"/>
      <c r="M5668" s="14"/>
      <c r="N5668" s="14"/>
      <c r="O5668" s="14"/>
      <c r="P5668" s="13"/>
    </row>
    <row r="5669">
      <c r="L5669" s="13"/>
      <c r="M5669" s="14"/>
      <c r="N5669" s="14"/>
      <c r="O5669" s="14"/>
      <c r="P5669" s="13"/>
    </row>
    <row r="5670">
      <c r="L5670" s="13"/>
      <c r="M5670" s="14"/>
      <c r="N5670" s="14"/>
      <c r="O5670" s="14"/>
      <c r="P5670" s="13"/>
    </row>
    <row r="5671">
      <c r="L5671" s="13"/>
      <c r="M5671" s="14"/>
      <c r="N5671" s="14"/>
      <c r="O5671" s="14"/>
      <c r="P5671" s="13"/>
    </row>
    <row r="5672">
      <c r="L5672" s="13"/>
      <c r="M5672" s="14"/>
      <c r="N5672" s="14"/>
      <c r="O5672" s="14"/>
      <c r="P5672" s="13"/>
    </row>
    <row r="5673">
      <c r="L5673" s="13"/>
      <c r="M5673" s="14"/>
      <c r="N5673" s="14"/>
      <c r="O5673" s="14"/>
      <c r="P5673" s="13"/>
    </row>
    <row r="5674">
      <c r="L5674" s="13"/>
      <c r="M5674" s="14"/>
      <c r="N5674" s="14"/>
      <c r="O5674" s="14"/>
      <c r="P5674" s="13"/>
    </row>
    <row r="5675">
      <c r="L5675" s="13"/>
      <c r="M5675" s="14"/>
      <c r="N5675" s="14"/>
      <c r="O5675" s="14"/>
      <c r="P5675" s="13"/>
    </row>
    <row r="5676">
      <c r="L5676" s="13"/>
      <c r="M5676" s="14"/>
      <c r="N5676" s="14"/>
      <c r="O5676" s="14"/>
      <c r="P5676" s="13"/>
    </row>
    <row r="5677">
      <c r="L5677" s="13"/>
      <c r="M5677" s="14"/>
      <c r="N5677" s="14"/>
      <c r="O5677" s="14"/>
      <c r="P5677" s="13"/>
    </row>
    <row r="5678">
      <c r="L5678" s="13"/>
      <c r="M5678" s="14"/>
      <c r="N5678" s="14"/>
      <c r="O5678" s="14"/>
      <c r="P5678" s="13"/>
    </row>
    <row r="5679">
      <c r="L5679" s="13"/>
      <c r="M5679" s="14"/>
      <c r="N5679" s="14"/>
      <c r="O5679" s="14"/>
      <c r="P5679" s="13"/>
    </row>
    <row r="5680">
      <c r="L5680" s="13"/>
      <c r="M5680" s="14"/>
      <c r="N5680" s="14"/>
      <c r="O5680" s="14"/>
      <c r="P5680" s="13"/>
    </row>
    <row r="5681">
      <c r="L5681" s="13"/>
      <c r="M5681" s="14"/>
      <c r="N5681" s="14"/>
      <c r="O5681" s="14"/>
      <c r="P5681" s="13"/>
    </row>
    <row r="5682">
      <c r="L5682" s="13"/>
      <c r="M5682" s="14"/>
      <c r="N5682" s="14"/>
      <c r="O5682" s="14"/>
      <c r="P5682" s="13"/>
    </row>
    <row r="5683">
      <c r="L5683" s="13"/>
      <c r="M5683" s="14"/>
      <c r="N5683" s="14"/>
      <c r="O5683" s="14"/>
      <c r="P5683" s="13"/>
    </row>
    <row r="5684">
      <c r="L5684" s="13"/>
      <c r="M5684" s="14"/>
      <c r="N5684" s="14"/>
      <c r="O5684" s="14"/>
      <c r="P5684" s="13"/>
    </row>
    <row r="5685">
      <c r="L5685" s="13"/>
      <c r="M5685" s="14"/>
      <c r="N5685" s="14"/>
      <c r="O5685" s="14"/>
      <c r="P5685" s="13"/>
    </row>
    <row r="5686">
      <c r="L5686" s="13"/>
      <c r="M5686" s="14"/>
      <c r="N5686" s="14"/>
      <c r="O5686" s="14"/>
      <c r="P5686" s="13"/>
    </row>
    <row r="5687">
      <c r="L5687" s="13"/>
      <c r="M5687" s="14"/>
      <c r="N5687" s="14"/>
      <c r="O5687" s="14"/>
      <c r="P5687" s="13"/>
    </row>
    <row r="5688">
      <c r="L5688" s="13"/>
      <c r="M5688" s="14"/>
      <c r="N5688" s="14"/>
      <c r="O5688" s="14"/>
      <c r="P5688" s="13"/>
    </row>
    <row r="5689">
      <c r="L5689" s="13"/>
      <c r="M5689" s="14"/>
      <c r="N5689" s="14"/>
      <c r="O5689" s="14"/>
      <c r="P5689" s="13"/>
    </row>
    <row r="5690">
      <c r="L5690" s="13"/>
      <c r="M5690" s="14"/>
      <c r="N5690" s="14"/>
      <c r="O5690" s="14"/>
      <c r="P5690" s="13"/>
    </row>
    <row r="5691">
      <c r="L5691" s="13"/>
      <c r="M5691" s="14"/>
      <c r="N5691" s="14"/>
      <c r="O5691" s="14"/>
      <c r="P5691" s="13"/>
    </row>
    <row r="5692">
      <c r="L5692" s="13"/>
      <c r="M5692" s="14"/>
      <c r="N5692" s="14"/>
      <c r="O5692" s="14"/>
      <c r="P5692" s="13"/>
    </row>
    <row r="5693">
      <c r="L5693" s="13"/>
      <c r="M5693" s="14"/>
      <c r="N5693" s="14"/>
      <c r="O5693" s="14"/>
      <c r="P5693" s="13"/>
    </row>
    <row r="5694">
      <c r="L5694" s="13"/>
      <c r="M5694" s="14"/>
      <c r="N5694" s="14"/>
      <c r="O5694" s="14"/>
      <c r="P5694" s="13"/>
    </row>
    <row r="5695">
      <c r="L5695" s="13"/>
      <c r="M5695" s="14"/>
      <c r="N5695" s="14"/>
      <c r="O5695" s="14"/>
      <c r="P5695" s="13"/>
    </row>
    <row r="5696">
      <c r="L5696" s="13"/>
      <c r="M5696" s="14"/>
      <c r="N5696" s="14"/>
      <c r="O5696" s="14"/>
      <c r="P5696" s="13"/>
    </row>
    <row r="5697">
      <c r="L5697" s="13"/>
      <c r="M5697" s="14"/>
      <c r="N5697" s="14"/>
      <c r="O5697" s="14"/>
      <c r="P5697" s="13"/>
    </row>
    <row r="5698">
      <c r="L5698" s="13"/>
      <c r="M5698" s="14"/>
      <c r="N5698" s="14"/>
      <c r="O5698" s="14"/>
      <c r="P5698" s="13"/>
    </row>
    <row r="5699">
      <c r="L5699" s="13"/>
      <c r="M5699" s="14"/>
      <c r="N5699" s="14"/>
      <c r="O5699" s="14"/>
      <c r="P5699" s="13"/>
    </row>
    <row r="5700">
      <c r="L5700" s="13"/>
      <c r="M5700" s="14"/>
      <c r="N5700" s="14"/>
      <c r="O5700" s="14"/>
      <c r="P5700" s="13"/>
    </row>
    <row r="5701">
      <c r="L5701" s="13"/>
      <c r="M5701" s="14"/>
      <c r="N5701" s="14"/>
      <c r="O5701" s="14"/>
      <c r="P5701" s="13"/>
    </row>
    <row r="5702">
      <c r="L5702" s="13"/>
      <c r="M5702" s="14"/>
      <c r="N5702" s="14"/>
      <c r="O5702" s="14"/>
      <c r="P5702" s="13"/>
    </row>
    <row r="5703">
      <c r="L5703" s="13"/>
      <c r="M5703" s="14"/>
      <c r="N5703" s="14"/>
      <c r="O5703" s="14"/>
      <c r="P5703" s="13"/>
    </row>
    <row r="5704">
      <c r="L5704" s="13"/>
      <c r="M5704" s="14"/>
      <c r="N5704" s="14"/>
      <c r="O5704" s="14"/>
      <c r="P5704" s="13"/>
    </row>
    <row r="5705">
      <c r="L5705" s="13"/>
      <c r="M5705" s="14"/>
      <c r="N5705" s="14"/>
      <c r="O5705" s="14"/>
      <c r="P5705" s="13"/>
    </row>
    <row r="5706">
      <c r="L5706" s="13"/>
      <c r="M5706" s="14"/>
      <c r="N5706" s="14"/>
      <c r="O5706" s="14"/>
      <c r="P5706" s="13"/>
    </row>
    <row r="5707">
      <c r="L5707" s="13"/>
      <c r="M5707" s="14"/>
      <c r="N5707" s="14"/>
      <c r="O5707" s="14"/>
      <c r="P5707" s="13"/>
    </row>
    <row r="5708">
      <c r="L5708" s="13"/>
      <c r="M5708" s="14"/>
      <c r="N5708" s="14"/>
      <c r="O5708" s="14"/>
      <c r="P5708" s="13"/>
    </row>
    <row r="5709">
      <c r="L5709" s="13"/>
      <c r="M5709" s="14"/>
      <c r="N5709" s="14"/>
      <c r="O5709" s="14"/>
      <c r="P5709" s="13"/>
    </row>
    <row r="5710">
      <c r="L5710" s="13"/>
      <c r="M5710" s="14"/>
      <c r="N5710" s="14"/>
      <c r="O5710" s="14"/>
      <c r="P5710" s="13"/>
    </row>
    <row r="5711">
      <c r="L5711" s="13"/>
      <c r="M5711" s="14"/>
      <c r="N5711" s="14"/>
      <c r="O5711" s="14"/>
      <c r="P5711" s="13"/>
    </row>
    <row r="5712">
      <c r="L5712" s="13"/>
      <c r="M5712" s="14"/>
      <c r="N5712" s="14"/>
      <c r="O5712" s="14"/>
      <c r="P5712" s="13"/>
    </row>
    <row r="5713">
      <c r="L5713" s="13"/>
      <c r="M5713" s="14"/>
      <c r="N5713" s="14"/>
      <c r="O5713" s="14"/>
      <c r="P5713" s="13"/>
    </row>
    <row r="5714">
      <c r="L5714" s="13"/>
      <c r="M5714" s="14"/>
      <c r="N5714" s="14"/>
      <c r="O5714" s="14"/>
      <c r="P5714" s="13"/>
    </row>
    <row r="5715">
      <c r="L5715" s="13"/>
      <c r="M5715" s="14"/>
      <c r="N5715" s="14"/>
      <c r="O5715" s="14"/>
      <c r="P5715" s="13"/>
    </row>
    <row r="5716">
      <c r="L5716" s="13"/>
      <c r="M5716" s="14"/>
      <c r="N5716" s="14"/>
      <c r="O5716" s="14"/>
      <c r="P5716" s="13"/>
    </row>
    <row r="5717">
      <c r="L5717" s="13"/>
      <c r="M5717" s="14"/>
      <c r="N5717" s="14"/>
      <c r="O5717" s="14"/>
      <c r="P5717" s="13"/>
    </row>
    <row r="5718">
      <c r="L5718" s="13"/>
      <c r="M5718" s="14"/>
      <c r="N5718" s="14"/>
      <c r="O5718" s="14"/>
      <c r="P5718" s="13"/>
    </row>
    <row r="5719">
      <c r="L5719" s="13"/>
      <c r="M5719" s="14"/>
      <c r="N5719" s="14"/>
      <c r="O5719" s="14"/>
      <c r="P5719" s="13"/>
    </row>
    <row r="5720">
      <c r="L5720" s="13"/>
      <c r="M5720" s="14"/>
      <c r="N5720" s="14"/>
      <c r="O5720" s="14"/>
      <c r="P5720" s="13"/>
    </row>
    <row r="5721">
      <c r="L5721" s="13"/>
      <c r="M5721" s="14"/>
      <c r="N5721" s="14"/>
      <c r="O5721" s="14"/>
      <c r="P5721" s="13"/>
    </row>
    <row r="5722">
      <c r="L5722" s="13"/>
      <c r="M5722" s="14"/>
      <c r="N5722" s="14"/>
      <c r="O5722" s="14"/>
      <c r="P5722" s="13"/>
    </row>
    <row r="5723">
      <c r="L5723" s="13"/>
      <c r="M5723" s="14"/>
      <c r="N5723" s="14"/>
      <c r="O5723" s="14"/>
      <c r="P5723" s="13"/>
    </row>
    <row r="5724">
      <c r="L5724" s="13"/>
      <c r="M5724" s="14"/>
      <c r="N5724" s="14"/>
      <c r="O5724" s="14"/>
      <c r="P5724" s="13"/>
    </row>
    <row r="5725">
      <c r="L5725" s="13"/>
      <c r="M5725" s="14"/>
      <c r="N5725" s="14"/>
      <c r="O5725" s="14"/>
      <c r="P5725" s="13"/>
    </row>
    <row r="5726">
      <c r="L5726" s="13"/>
      <c r="M5726" s="14"/>
      <c r="N5726" s="14"/>
      <c r="O5726" s="14"/>
      <c r="P5726" s="13"/>
    </row>
    <row r="5727">
      <c r="L5727" s="13"/>
      <c r="M5727" s="14"/>
      <c r="N5727" s="14"/>
      <c r="O5727" s="14"/>
      <c r="P5727" s="13"/>
    </row>
    <row r="5728">
      <c r="L5728" s="13"/>
      <c r="M5728" s="14"/>
      <c r="N5728" s="14"/>
      <c r="O5728" s="14"/>
      <c r="P5728" s="13"/>
    </row>
    <row r="5729">
      <c r="L5729" s="13"/>
      <c r="M5729" s="14"/>
      <c r="N5729" s="14"/>
      <c r="O5729" s="14"/>
      <c r="P5729" s="13"/>
    </row>
    <row r="5730">
      <c r="L5730" s="13"/>
      <c r="M5730" s="14"/>
      <c r="N5730" s="14"/>
      <c r="O5730" s="14"/>
      <c r="P5730" s="13"/>
    </row>
    <row r="5731">
      <c r="L5731" s="13"/>
      <c r="M5731" s="14"/>
      <c r="N5731" s="14"/>
      <c r="O5731" s="14"/>
      <c r="P5731" s="13"/>
    </row>
    <row r="5732">
      <c r="L5732" s="13"/>
      <c r="M5732" s="14"/>
      <c r="N5732" s="14"/>
      <c r="O5732" s="14"/>
      <c r="P5732" s="13"/>
    </row>
    <row r="5733">
      <c r="L5733" s="13"/>
      <c r="M5733" s="14"/>
      <c r="N5733" s="14"/>
      <c r="O5733" s="14"/>
      <c r="P5733" s="13"/>
    </row>
    <row r="5734">
      <c r="L5734" s="13"/>
      <c r="M5734" s="14"/>
      <c r="N5734" s="14"/>
      <c r="O5734" s="14"/>
      <c r="P5734" s="13"/>
    </row>
    <row r="5735">
      <c r="L5735" s="13"/>
      <c r="M5735" s="14"/>
      <c r="N5735" s="14"/>
      <c r="O5735" s="14"/>
      <c r="P5735" s="13"/>
    </row>
    <row r="5736">
      <c r="L5736" s="13"/>
      <c r="M5736" s="14"/>
      <c r="N5736" s="14"/>
      <c r="O5736" s="14"/>
      <c r="P5736" s="13"/>
    </row>
    <row r="5737">
      <c r="L5737" s="13"/>
      <c r="M5737" s="14"/>
      <c r="N5737" s="14"/>
      <c r="O5737" s="14"/>
      <c r="P5737" s="13"/>
    </row>
    <row r="5738">
      <c r="L5738" s="13"/>
      <c r="M5738" s="14"/>
      <c r="N5738" s="14"/>
      <c r="O5738" s="14"/>
      <c r="P5738" s="13"/>
    </row>
    <row r="5739">
      <c r="L5739" s="13"/>
      <c r="M5739" s="14"/>
      <c r="N5739" s="14"/>
      <c r="O5739" s="14"/>
      <c r="P5739" s="13"/>
    </row>
    <row r="5740">
      <c r="L5740" s="13"/>
      <c r="M5740" s="14"/>
      <c r="N5740" s="14"/>
      <c r="O5740" s="14"/>
      <c r="P5740" s="13"/>
    </row>
    <row r="5741">
      <c r="L5741" s="13"/>
      <c r="M5741" s="14"/>
      <c r="N5741" s="14"/>
      <c r="O5741" s="14"/>
      <c r="P5741" s="13"/>
    </row>
    <row r="5742">
      <c r="L5742" s="13"/>
      <c r="M5742" s="14"/>
      <c r="N5742" s="14"/>
      <c r="O5742" s="14"/>
      <c r="P5742" s="13"/>
    </row>
    <row r="5743">
      <c r="L5743" s="13"/>
      <c r="M5743" s="14"/>
      <c r="N5743" s="14"/>
      <c r="O5743" s="14"/>
      <c r="P5743" s="13"/>
    </row>
    <row r="5744">
      <c r="L5744" s="13"/>
      <c r="M5744" s="14"/>
      <c r="N5744" s="14"/>
      <c r="O5744" s="14"/>
      <c r="P5744" s="13"/>
    </row>
    <row r="5745">
      <c r="L5745" s="13"/>
      <c r="M5745" s="14"/>
      <c r="N5745" s="14"/>
      <c r="O5745" s="14"/>
      <c r="P5745" s="13"/>
    </row>
    <row r="5746">
      <c r="L5746" s="13"/>
      <c r="M5746" s="14"/>
      <c r="N5746" s="14"/>
      <c r="O5746" s="14"/>
      <c r="P5746" s="13"/>
    </row>
    <row r="5747">
      <c r="L5747" s="13"/>
      <c r="M5747" s="14"/>
      <c r="N5747" s="14"/>
      <c r="O5747" s="14"/>
      <c r="P5747" s="13"/>
    </row>
    <row r="5748">
      <c r="L5748" s="13"/>
      <c r="M5748" s="14"/>
      <c r="N5748" s="14"/>
      <c r="O5748" s="14"/>
      <c r="P5748" s="13"/>
    </row>
    <row r="5749">
      <c r="L5749" s="13"/>
      <c r="M5749" s="14"/>
      <c r="N5749" s="14"/>
      <c r="O5749" s="14"/>
      <c r="P5749" s="13"/>
    </row>
    <row r="5750">
      <c r="L5750" s="13"/>
      <c r="M5750" s="14"/>
      <c r="N5750" s="14"/>
      <c r="O5750" s="14"/>
      <c r="P5750" s="13"/>
    </row>
    <row r="5751">
      <c r="L5751" s="13"/>
      <c r="M5751" s="14"/>
      <c r="N5751" s="14"/>
      <c r="O5751" s="14"/>
      <c r="P5751" s="13"/>
    </row>
    <row r="5752">
      <c r="L5752" s="13"/>
      <c r="M5752" s="14"/>
      <c r="N5752" s="14"/>
      <c r="O5752" s="14"/>
      <c r="P5752" s="13"/>
    </row>
    <row r="5753">
      <c r="L5753" s="13"/>
      <c r="M5753" s="14"/>
      <c r="N5753" s="14"/>
      <c r="O5753" s="14"/>
      <c r="P5753" s="13"/>
    </row>
    <row r="5754">
      <c r="L5754" s="13"/>
      <c r="M5754" s="14"/>
      <c r="N5754" s="14"/>
      <c r="O5754" s="14"/>
      <c r="P5754" s="13"/>
    </row>
    <row r="5755">
      <c r="L5755" s="13"/>
      <c r="M5755" s="14"/>
      <c r="N5755" s="14"/>
      <c r="O5755" s="14"/>
      <c r="P5755" s="13"/>
    </row>
    <row r="5756">
      <c r="L5756" s="13"/>
      <c r="M5756" s="14"/>
      <c r="N5756" s="14"/>
      <c r="O5756" s="14"/>
      <c r="P5756" s="13"/>
    </row>
    <row r="5757">
      <c r="L5757" s="13"/>
      <c r="M5757" s="14"/>
      <c r="N5757" s="14"/>
      <c r="O5757" s="14"/>
      <c r="P5757" s="13"/>
    </row>
    <row r="5758">
      <c r="L5758" s="13"/>
      <c r="M5758" s="14"/>
      <c r="N5758" s="14"/>
      <c r="O5758" s="14"/>
      <c r="P5758" s="13"/>
    </row>
    <row r="5759">
      <c r="L5759" s="13"/>
      <c r="M5759" s="14"/>
      <c r="N5759" s="14"/>
      <c r="O5759" s="14"/>
      <c r="P5759" s="13"/>
    </row>
    <row r="5760">
      <c r="L5760" s="13"/>
      <c r="M5760" s="14"/>
      <c r="N5760" s="14"/>
      <c r="O5760" s="14"/>
      <c r="P5760" s="13"/>
    </row>
    <row r="5761">
      <c r="L5761" s="13"/>
      <c r="M5761" s="14"/>
      <c r="N5761" s="14"/>
      <c r="O5761" s="14"/>
      <c r="P5761" s="13"/>
    </row>
    <row r="5762">
      <c r="L5762" s="13"/>
      <c r="M5762" s="14"/>
      <c r="N5762" s="14"/>
      <c r="O5762" s="14"/>
      <c r="P5762" s="13"/>
    </row>
    <row r="5763">
      <c r="L5763" s="13"/>
      <c r="M5763" s="14"/>
      <c r="N5763" s="14"/>
      <c r="O5763" s="14"/>
      <c r="P5763" s="13"/>
    </row>
    <row r="5764">
      <c r="L5764" s="13"/>
      <c r="M5764" s="14"/>
      <c r="N5764" s="14"/>
      <c r="O5764" s="14"/>
      <c r="P5764" s="13"/>
    </row>
    <row r="5765">
      <c r="L5765" s="13"/>
      <c r="M5765" s="14"/>
      <c r="N5765" s="14"/>
      <c r="O5765" s="14"/>
      <c r="P5765" s="13"/>
    </row>
    <row r="5766">
      <c r="L5766" s="13"/>
      <c r="M5766" s="14"/>
      <c r="N5766" s="14"/>
      <c r="O5766" s="14"/>
      <c r="P5766" s="13"/>
    </row>
    <row r="5767">
      <c r="L5767" s="13"/>
      <c r="M5767" s="14"/>
      <c r="N5767" s="14"/>
      <c r="O5767" s="14"/>
      <c r="P5767" s="13"/>
    </row>
    <row r="5768">
      <c r="L5768" s="13"/>
      <c r="M5768" s="14"/>
      <c r="N5768" s="14"/>
      <c r="O5768" s="14"/>
      <c r="P5768" s="13"/>
    </row>
    <row r="5769">
      <c r="L5769" s="13"/>
      <c r="M5769" s="14"/>
      <c r="N5769" s="14"/>
      <c r="O5769" s="14"/>
      <c r="P5769" s="13"/>
    </row>
    <row r="5770">
      <c r="L5770" s="13"/>
      <c r="M5770" s="14"/>
      <c r="N5770" s="14"/>
      <c r="O5770" s="14"/>
      <c r="P5770" s="13"/>
    </row>
    <row r="5771">
      <c r="L5771" s="13"/>
      <c r="M5771" s="14"/>
      <c r="N5771" s="14"/>
      <c r="O5771" s="14"/>
      <c r="P5771" s="13"/>
    </row>
    <row r="5772">
      <c r="L5772" s="13"/>
      <c r="M5772" s="14"/>
      <c r="N5772" s="14"/>
      <c r="O5772" s="14"/>
      <c r="P5772" s="13"/>
    </row>
    <row r="5773">
      <c r="L5773" s="13"/>
      <c r="M5773" s="14"/>
      <c r="N5773" s="14"/>
      <c r="O5773" s="14"/>
      <c r="P5773" s="13"/>
    </row>
    <row r="5774">
      <c r="L5774" s="13"/>
      <c r="M5774" s="14"/>
      <c r="N5774" s="14"/>
      <c r="O5774" s="14"/>
      <c r="P5774" s="13"/>
    </row>
    <row r="5775">
      <c r="L5775" s="13"/>
      <c r="M5775" s="14"/>
      <c r="N5775" s="14"/>
      <c r="O5775" s="14"/>
      <c r="P5775" s="13"/>
    </row>
    <row r="5776">
      <c r="L5776" s="13"/>
      <c r="M5776" s="14"/>
      <c r="N5776" s="14"/>
      <c r="O5776" s="14"/>
      <c r="P5776" s="13"/>
    </row>
    <row r="5777">
      <c r="L5777" s="13"/>
      <c r="M5777" s="14"/>
      <c r="N5777" s="14"/>
      <c r="O5777" s="14"/>
      <c r="P5777" s="13"/>
    </row>
    <row r="5778">
      <c r="L5778" s="13"/>
      <c r="M5778" s="14"/>
      <c r="N5778" s="14"/>
      <c r="O5778" s="14"/>
      <c r="P5778" s="13"/>
    </row>
    <row r="5779">
      <c r="L5779" s="13"/>
      <c r="M5779" s="14"/>
      <c r="N5779" s="14"/>
      <c r="O5779" s="14"/>
      <c r="P5779" s="13"/>
    </row>
    <row r="5780">
      <c r="L5780" s="13"/>
      <c r="M5780" s="14"/>
      <c r="N5780" s="14"/>
      <c r="O5780" s="14"/>
      <c r="P5780" s="13"/>
    </row>
    <row r="5781">
      <c r="L5781" s="13"/>
      <c r="M5781" s="14"/>
      <c r="N5781" s="14"/>
      <c r="O5781" s="14"/>
      <c r="P5781" s="13"/>
    </row>
    <row r="5782">
      <c r="L5782" s="13"/>
      <c r="M5782" s="14"/>
      <c r="N5782" s="14"/>
      <c r="O5782" s="14"/>
      <c r="P5782" s="13"/>
    </row>
    <row r="5783">
      <c r="L5783" s="13"/>
      <c r="M5783" s="14"/>
      <c r="N5783" s="14"/>
      <c r="O5783" s="14"/>
      <c r="P5783" s="13"/>
    </row>
    <row r="5784">
      <c r="L5784" s="13"/>
      <c r="M5784" s="14"/>
      <c r="N5784" s="14"/>
      <c r="O5784" s="14"/>
      <c r="P5784" s="13"/>
    </row>
    <row r="5785">
      <c r="L5785" s="13"/>
      <c r="M5785" s="14"/>
      <c r="N5785" s="14"/>
      <c r="O5785" s="14"/>
      <c r="P5785" s="13"/>
    </row>
    <row r="5786">
      <c r="L5786" s="13"/>
      <c r="M5786" s="14"/>
      <c r="N5786" s="14"/>
      <c r="O5786" s="14"/>
      <c r="P5786" s="13"/>
    </row>
    <row r="5787">
      <c r="L5787" s="13"/>
      <c r="M5787" s="14"/>
      <c r="N5787" s="14"/>
      <c r="O5787" s="14"/>
      <c r="P5787" s="13"/>
    </row>
    <row r="5788">
      <c r="L5788" s="13"/>
      <c r="M5788" s="14"/>
      <c r="N5788" s="14"/>
      <c r="O5788" s="14"/>
      <c r="P5788" s="13"/>
    </row>
    <row r="5789">
      <c r="L5789" s="13"/>
      <c r="M5789" s="14"/>
      <c r="N5789" s="14"/>
      <c r="O5789" s="14"/>
      <c r="P5789" s="13"/>
    </row>
    <row r="5790">
      <c r="L5790" s="13"/>
      <c r="M5790" s="14"/>
      <c r="N5790" s="14"/>
      <c r="O5790" s="14"/>
      <c r="P5790" s="13"/>
    </row>
    <row r="5791">
      <c r="L5791" s="13"/>
      <c r="M5791" s="14"/>
      <c r="N5791" s="14"/>
      <c r="O5791" s="14"/>
      <c r="P5791" s="13"/>
    </row>
    <row r="5792">
      <c r="L5792" s="13"/>
      <c r="M5792" s="14"/>
      <c r="N5792" s="14"/>
      <c r="O5792" s="14"/>
      <c r="P5792" s="13"/>
    </row>
    <row r="5793">
      <c r="L5793" s="13"/>
      <c r="M5793" s="14"/>
      <c r="N5793" s="14"/>
      <c r="O5793" s="14"/>
      <c r="P5793" s="13"/>
    </row>
    <row r="5794">
      <c r="L5794" s="13"/>
      <c r="M5794" s="14"/>
      <c r="N5794" s="14"/>
      <c r="O5794" s="14"/>
      <c r="P5794" s="13"/>
    </row>
    <row r="5795">
      <c r="L5795" s="13"/>
      <c r="M5795" s="14"/>
      <c r="N5795" s="14"/>
      <c r="O5795" s="14"/>
      <c r="P5795" s="13"/>
    </row>
    <row r="5796">
      <c r="L5796" s="13"/>
      <c r="M5796" s="14"/>
      <c r="N5796" s="14"/>
      <c r="O5796" s="14"/>
      <c r="P5796" s="13"/>
    </row>
    <row r="5797">
      <c r="L5797" s="13"/>
      <c r="M5797" s="14"/>
      <c r="N5797" s="14"/>
      <c r="O5797" s="14"/>
      <c r="P5797" s="13"/>
    </row>
    <row r="5798">
      <c r="L5798" s="13"/>
      <c r="M5798" s="14"/>
      <c r="N5798" s="14"/>
      <c r="O5798" s="14"/>
      <c r="P5798" s="13"/>
    </row>
    <row r="5799">
      <c r="L5799" s="13"/>
      <c r="M5799" s="14"/>
      <c r="N5799" s="14"/>
      <c r="O5799" s="14"/>
      <c r="P5799" s="13"/>
    </row>
    <row r="5800">
      <c r="L5800" s="13"/>
      <c r="M5800" s="14"/>
      <c r="N5800" s="14"/>
      <c r="O5800" s="14"/>
      <c r="P5800" s="13"/>
    </row>
    <row r="5801">
      <c r="L5801" s="13"/>
      <c r="M5801" s="14"/>
      <c r="N5801" s="14"/>
      <c r="O5801" s="14"/>
      <c r="P5801" s="13"/>
    </row>
    <row r="5802">
      <c r="L5802" s="13"/>
      <c r="M5802" s="14"/>
      <c r="N5802" s="14"/>
      <c r="O5802" s="14"/>
      <c r="P5802" s="13"/>
    </row>
    <row r="5803">
      <c r="L5803" s="13"/>
      <c r="M5803" s="14"/>
      <c r="N5803" s="14"/>
      <c r="O5803" s="14"/>
      <c r="P5803" s="13"/>
    </row>
    <row r="5804">
      <c r="L5804" s="13"/>
      <c r="M5804" s="14"/>
      <c r="N5804" s="14"/>
      <c r="O5804" s="14"/>
      <c r="P5804" s="13"/>
    </row>
    <row r="5805">
      <c r="L5805" s="13"/>
      <c r="M5805" s="14"/>
      <c r="N5805" s="14"/>
      <c r="O5805" s="14"/>
      <c r="P5805" s="13"/>
    </row>
    <row r="5806">
      <c r="L5806" s="13"/>
      <c r="M5806" s="14"/>
      <c r="N5806" s="14"/>
      <c r="O5806" s="14"/>
      <c r="P5806" s="13"/>
    </row>
    <row r="5807">
      <c r="L5807" s="13"/>
      <c r="M5807" s="14"/>
      <c r="N5807" s="14"/>
      <c r="O5807" s="14"/>
      <c r="P5807" s="13"/>
    </row>
    <row r="5808">
      <c r="L5808" s="13"/>
      <c r="M5808" s="14"/>
      <c r="N5808" s="14"/>
      <c r="O5808" s="14"/>
      <c r="P5808" s="13"/>
    </row>
    <row r="5809">
      <c r="L5809" s="13"/>
      <c r="M5809" s="14"/>
      <c r="N5809" s="14"/>
      <c r="O5809" s="14"/>
      <c r="P5809" s="13"/>
    </row>
    <row r="5810">
      <c r="L5810" s="13"/>
      <c r="M5810" s="14"/>
      <c r="N5810" s="14"/>
      <c r="O5810" s="14"/>
      <c r="P5810" s="13"/>
    </row>
    <row r="5811">
      <c r="L5811" s="13"/>
      <c r="M5811" s="14"/>
      <c r="N5811" s="14"/>
      <c r="O5811" s="14"/>
      <c r="P5811" s="13"/>
    </row>
    <row r="5812">
      <c r="L5812" s="13"/>
      <c r="M5812" s="14"/>
      <c r="N5812" s="14"/>
      <c r="O5812" s="14"/>
      <c r="P5812" s="13"/>
    </row>
    <row r="5813">
      <c r="L5813" s="13"/>
      <c r="M5813" s="14"/>
      <c r="N5813" s="14"/>
      <c r="O5813" s="14"/>
      <c r="P5813" s="13"/>
    </row>
    <row r="5814">
      <c r="L5814" s="13"/>
      <c r="M5814" s="14"/>
      <c r="N5814" s="14"/>
      <c r="O5814" s="14"/>
      <c r="P5814" s="13"/>
    </row>
    <row r="5815">
      <c r="L5815" s="13"/>
      <c r="M5815" s="14"/>
      <c r="N5815" s="14"/>
      <c r="O5815" s="14"/>
      <c r="P5815" s="13"/>
    </row>
    <row r="5816">
      <c r="L5816" s="13"/>
      <c r="M5816" s="14"/>
      <c r="N5816" s="14"/>
      <c r="O5816" s="14"/>
      <c r="P5816" s="13"/>
    </row>
    <row r="5817">
      <c r="L5817" s="13"/>
      <c r="M5817" s="14"/>
      <c r="N5817" s="14"/>
      <c r="O5817" s="14"/>
      <c r="P5817" s="13"/>
    </row>
    <row r="5818">
      <c r="L5818" s="13"/>
      <c r="M5818" s="14"/>
      <c r="N5818" s="14"/>
      <c r="O5818" s="14"/>
      <c r="P5818" s="13"/>
    </row>
    <row r="5819">
      <c r="L5819" s="13"/>
      <c r="M5819" s="14"/>
      <c r="N5819" s="14"/>
      <c r="O5819" s="14"/>
      <c r="P5819" s="13"/>
    </row>
    <row r="5820">
      <c r="L5820" s="13"/>
      <c r="M5820" s="14"/>
      <c r="N5820" s="14"/>
      <c r="O5820" s="14"/>
      <c r="P5820" s="13"/>
    </row>
    <row r="5821">
      <c r="L5821" s="13"/>
      <c r="M5821" s="14"/>
      <c r="N5821" s="14"/>
      <c r="O5821" s="14"/>
      <c r="P5821" s="13"/>
    </row>
    <row r="5822">
      <c r="L5822" s="13"/>
      <c r="M5822" s="14"/>
      <c r="N5822" s="14"/>
      <c r="O5822" s="14"/>
      <c r="P5822" s="13"/>
    </row>
    <row r="5823">
      <c r="L5823" s="13"/>
      <c r="M5823" s="14"/>
      <c r="N5823" s="14"/>
      <c r="O5823" s="14"/>
      <c r="P5823" s="13"/>
    </row>
    <row r="5824">
      <c r="L5824" s="13"/>
      <c r="M5824" s="14"/>
      <c r="N5824" s="14"/>
      <c r="O5824" s="14"/>
      <c r="P5824" s="13"/>
    </row>
    <row r="5825">
      <c r="L5825" s="13"/>
      <c r="M5825" s="14"/>
      <c r="N5825" s="14"/>
      <c r="O5825" s="14"/>
      <c r="P5825" s="13"/>
    </row>
    <row r="5826">
      <c r="L5826" s="13"/>
      <c r="M5826" s="14"/>
      <c r="N5826" s="14"/>
      <c r="O5826" s="14"/>
      <c r="P5826" s="13"/>
    </row>
    <row r="5827">
      <c r="L5827" s="13"/>
      <c r="M5827" s="14"/>
      <c r="N5827" s="14"/>
      <c r="O5827" s="14"/>
      <c r="P5827" s="13"/>
    </row>
    <row r="5828">
      <c r="L5828" s="13"/>
      <c r="M5828" s="14"/>
      <c r="N5828" s="14"/>
      <c r="O5828" s="14"/>
      <c r="P5828" s="13"/>
    </row>
    <row r="5829">
      <c r="L5829" s="13"/>
      <c r="M5829" s="14"/>
      <c r="N5829" s="14"/>
      <c r="O5829" s="14"/>
      <c r="P5829" s="13"/>
    </row>
    <row r="5830">
      <c r="L5830" s="13"/>
      <c r="M5830" s="14"/>
      <c r="N5830" s="14"/>
      <c r="O5830" s="14"/>
      <c r="P5830" s="13"/>
    </row>
    <row r="5831">
      <c r="L5831" s="13"/>
      <c r="M5831" s="14"/>
      <c r="N5831" s="14"/>
      <c r="O5831" s="14"/>
      <c r="P5831" s="13"/>
    </row>
    <row r="5832">
      <c r="L5832" s="13"/>
      <c r="M5832" s="14"/>
      <c r="N5832" s="14"/>
      <c r="O5832" s="14"/>
      <c r="P5832" s="13"/>
    </row>
    <row r="5833">
      <c r="L5833" s="13"/>
      <c r="M5833" s="14"/>
      <c r="N5833" s="14"/>
      <c r="O5833" s="14"/>
      <c r="P5833" s="13"/>
    </row>
    <row r="5834">
      <c r="L5834" s="13"/>
      <c r="M5834" s="14"/>
      <c r="N5834" s="14"/>
      <c r="O5834" s="14"/>
      <c r="P5834" s="13"/>
    </row>
    <row r="5835">
      <c r="L5835" s="13"/>
      <c r="M5835" s="14"/>
      <c r="N5835" s="14"/>
      <c r="O5835" s="14"/>
      <c r="P5835" s="13"/>
    </row>
    <row r="5836">
      <c r="L5836" s="13"/>
      <c r="M5836" s="14"/>
      <c r="N5836" s="14"/>
      <c r="O5836" s="14"/>
      <c r="P5836" s="13"/>
    </row>
    <row r="5837">
      <c r="L5837" s="13"/>
      <c r="M5837" s="14"/>
      <c r="N5837" s="14"/>
      <c r="O5837" s="14"/>
      <c r="P5837" s="13"/>
    </row>
    <row r="5838">
      <c r="L5838" s="13"/>
      <c r="M5838" s="14"/>
      <c r="N5838" s="14"/>
      <c r="O5838" s="14"/>
      <c r="P5838" s="13"/>
    </row>
    <row r="5839">
      <c r="L5839" s="13"/>
      <c r="M5839" s="14"/>
      <c r="N5839" s="14"/>
      <c r="O5839" s="14"/>
      <c r="P5839" s="13"/>
    </row>
    <row r="5840">
      <c r="L5840" s="13"/>
      <c r="M5840" s="14"/>
      <c r="N5840" s="14"/>
      <c r="O5840" s="14"/>
      <c r="P5840" s="13"/>
    </row>
    <row r="5841">
      <c r="L5841" s="13"/>
      <c r="M5841" s="14"/>
      <c r="N5841" s="14"/>
      <c r="O5841" s="14"/>
      <c r="P5841" s="13"/>
    </row>
    <row r="5842">
      <c r="L5842" s="13"/>
      <c r="M5842" s="14"/>
      <c r="N5842" s="14"/>
      <c r="O5842" s="14"/>
      <c r="P5842" s="13"/>
    </row>
    <row r="5843">
      <c r="L5843" s="13"/>
      <c r="M5843" s="14"/>
      <c r="N5843" s="14"/>
      <c r="O5843" s="14"/>
      <c r="P5843" s="13"/>
    </row>
    <row r="5844">
      <c r="L5844" s="13"/>
      <c r="M5844" s="14"/>
      <c r="N5844" s="14"/>
      <c r="O5844" s="14"/>
      <c r="P5844" s="13"/>
    </row>
    <row r="5845">
      <c r="L5845" s="13"/>
      <c r="M5845" s="14"/>
      <c r="N5845" s="14"/>
      <c r="O5845" s="14"/>
      <c r="P5845" s="13"/>
    </row>
    <row r="5846">
      <c r="L5846" s="13"/>
      <c r="M5846" s="14"/>
      <c r="N5846" s="14"/>
      <c r="O5846" s="14"/>
      <c r="P5846" s="13"/>
    </row>
    <row r="5847">
      <c r="L5847" s="13"/>
      <c r="M5847" s="14"/>
      <c r="N5847" s="14"/>
      <c r="O5847" s="14"/>
      <c r="P5847" s="13"/>
    </row>
    <row r="5848">
      <c r="L5848" s="13"/>
      <c r="M5848" s="14"/>
      <c r="N5848" s="14"/>
      <c r="O5848" s="14"/>
      <c r="P5848" s="13"/>
    </row>
    <row r="5849">
      <c r="L5849" s="13"/>
      <c r="M5849" s="14"/>
      <c r="N5849" s="14"/>
      <c r="O5849" s="14"/>
      <c r="P5849" s="13"/>
    </row>
    <row r="5850">
      <c r="L5850" s="13"/>
      <c r="M5850" s="14"/>
      <c r="N5850" s="14"/>
      <c r="O5850" s="14"/>
      <c r="P5850" s="13"/>
    </row>
    <row r="5851">
      <c r="L5851" s="13"/>
      <c r="M5851" s="14"/>
      <c r="N5851" s="14"/>
      <c r="O5851" s="14"/>
      <c r="P5851" s="13"/>
    </row>
    <row r="5852">
      <c r="L5852" s="13"/>
      <c r="M5852" s="14"/>
      <c r="N5852" s="14"/>
      <c r="O5852" s="14"/>
      <c r="P5852" s="13"/>
    </row>
    <row r="5853">
      <c r="L5853" s="13"/>
      <c r="M5853" s="14"/>
      <c r="N5853" s="14"/>
      <c r="O5853" s="14"/>
      <c r="P5853" s="13"/>
    </row>
    <row r="5854">
      <c r="L5854" s="13"/>
      <c r="M5854" s="14"/>
      <c r="N5854" s="14"/>
      <c r="O5854" s="14"/>
      <c r="P5854" s="13"/>
    </row>
    <row r="5855">
      <c r="L5855" s="13"/>
      <c r="M5855" s="14"/>
      <c r="N5855" s="14"/>
      <c r="O5855" s="14"/>
      <c r="P5855" s="13"/>
    </row>
    <row r="5856">
      <c r="L5856" s="13"/>
      <c r="M5856" s="14"/>
      <c r="N5856" s="14"/>
      <c r="O5856" s="14"/>
      <c r="P5856" s="13"/>
    </row>
    <row r="5857">
      <c r="L5857" s="13"/>
      <c r="M5857" s="14"/>
      <c r="N5857" s="14"/>
      <c r="O5857" s="14"/>
      <c r="P5857" s="13"/>
    </row>
    <row r="5858">
      <c r="L5858" s="13"/>
      <c r="M5858" s="14"/>
      <c r="N5858" s="14"/>
      <c r="O5858" s="14"/>
      <c r="P5858" s="13"/>
    </row>
    <row r="5859">
      <c r="L5859" s="13"/>
      <c r="M5859" s="14"/>
      <c r="N5859" s="14"/>
      <c r="O5859" s="14"/>
      <c r="P5859" s="13"/>
    </row>
    <row r="5860">
      <c r="L5860" s="13"/>
      <c r="M5860" s="14"/>
      <c r="N5860" s="14"/>
      <c r="O5860" s="14"/>
      <c r="P5860" s="13"/>
    </row>
    <row r="5861">
      <c r="L5861" s="13"/>
      <c r="M5861" s="14"/>
      <c r="N5861" s="14"/>
      <c r="O5861" s="14"/>
      <c r="P5861" s="13"/>
    </row>
    <row r="5862">
      <c r="L5862" s="13"/>
      <c r="M5862" s="14"/>
      <c r="N5862" s="14"/>
      <c r="O5862" s="14"/>
      <c r="P5862" s="13"/>
    </row>
    <row r="5863">
      <c r="L5863" s="13"/>
      <c r="M5863" s="14"/>
      <c r="N5863" s="14"/>
      <c r="O5863" s="14"/>
      <c r="P5863" s="13"/>
    </row>
    <row r="5864">
      <c r="L5864" s="13"/>
      <c r="M5864" s="14"/>
      <c r="N5864" s="14"/>
      <c r="O5864" s="14"/>
      <c r="P5864" s="13"/>
    </row>
    <row r="5865">
      <c r="L5865" s="13"/>
      <c r="M5865" s="14"/>
      <c r="N5865" s="14"/>
      <c r="O5865" s="14"/>
      <c r="P5865" s="13"/>
    </row>
    <row r="5866">
      <c r="L5866" s="13"/>
      <c r="M5866" s="14"/>
      <c r="N5866" s="14"/>
      <c r="O5866" s="14"/>
      <c r="P5866" s="13"/>
    </row>
    <row r="5867">
      <c r="L5867" s="13"/>
      <c r="M5867" s="14"/>
      <c r="N5867" s="14"/>
      <c r="O5867" s="14"/>
      <c r="P5867" s="13"/>
    </row>
    <row r="5868">
      <c r="L5868" s="13"/>
      <c r="M5868" s="14"/>
      <c r="N5868" s="14"/>
      <c r="O5868" s="14"/>
      <c r="P5868" s="13"/>
    </row>
    <row r="5869">
      <c r="L5869" s="13"/>
      <c r="M5869" s="14"/>
      <c r="N5869" s="14"/>
      <c r="O5869" s="14"/>
      <c r="P5869" s="13"/>
    </row>
    <row r="5870">
      <c r="L5870" s="13"/>
      <c r="M5870" s="14"/>
      <c r="N5870" s="14"/>
      <c r="O5870" s="14"/>
      <c r="P5870" s="13"/>
    </row>
    <row r="5871">
      <c r="L5871" s="13"/>
      <c r="M5871" s="14"/>
      <c r="N5871" s="14"/>
      <c r="O5871" s="14"/>
      <c r="P5871" s="13"/>
    </row>
    <row r="5872">
      <c r="L5872" s="13"/>
      <c r="M5872" s="14"/>
      <c r="N5872" s="14"/>
      <c r="O5872" s="14"/>
      <c r="P5872" s="13"/>
    </row>
    <row r="5873">
      <c r="L5873" s="13"/>
      <c r="M5873" s="14"/>
      <c r="N5873" s="14"/>
      <c r="O5873" s="14"/>
      <c r="P5873" s="13"/>
    </row>
    <row r="5874">
      <c r="L5874" s="13"/>
      <c r="M5874" s="14"/>
      <c r="N5874" s="14"/>
      <c r="O5874" s="14"/>
      <c r="P5874" s="13"/>
    </row>
    <row r="5875">
      <c r="L5875" s="13"/>
      <c r="M5875" s="14"/>
      <c r="N5875" s="14"/>
      <c r="O5875" s="14"/>
      <c r="P5875" s="13"/>
    </row>
    <row r="5876">
      <c r="L5876" s="13"/>
      <c r="M5876" s="14"/>
      <c r="N5876" s="14"/>
      <c r="O5876" s="14"/>
      <c r="P5876" s="13"/>
    </row>
    <row r="5877">
      <c r="L5877" s="13"/>
      <c r="M5877" s="14"/>
      <c r="N5877" s="14"/>
      <c r="O5877" s="14"/>
      <c r="P5877" s="13"/>
    </row>
    <row r="5878">
      <c r="L5878" s="13"/>
      <c r="M5878" s="14"/>
      <c r="N5878" s="14"/>
      <c r="O5878" s="14"/>
      <c r="P5878" s="13"/>
    </row>
    <row r="5879">
      <c r="L5879" s="13"/>
      <c r="M5879" s="14"/>
      <c r="N5879" s="14"/>
      <c r="O5879" s="14"/>
      <c r="P5879" s="13"/>
    </row>
    <row r="5880">
      <c r="L5880" s="13"/>
      <c r="M5880" s="14"/>
      <c r="N5880" s="14"/>
      <c r="O5880" s="14"/>
      <c r="P5880" s="13"/>
    </row>
    <row r="5881">
      <c r="L5881" s="13"/>
      <c r="M5881" s="14"/>
      <c r="N5881" s="14"/>
      <c r="O5881" s="14"/>
      <c r="P5881" s="13"/>
    </row>
    <row r="5882">
      <c r="L5882" s="13"/>
      <c r="M5882" s="14"/>
      <c r="N5882" s="14"/>
      <c r="O5882" s="14"/>
      <c r="P5882" s="13"/>
    </row>
    <row r="5883">
      <c r="L5883" s="13"/>
      <c r="M5883" s="14"/>
      <c r="N5883" s="14"/>
      <c r="O5883" s="14"/>
      <c r="P5883" s="13"/>
    </row>
    <row r="5884">
      <c r="L5884" s="13"/>
      <c r="M5884" s="14"/>
      <c r="N5884" s="14"/>
      <c r="O5884" s="14"/>
      <c r="P5884" s="13"/>
    </row>
    <row r="5885">
      <c r="L5885" s="13"/>
      <c r="M5885" s="14"/>
      <c r="N5885" s="14"/>
      <c r="O5885" s="14"/>
      <c r="P5885" s="13"/>
    </row>
    <row r="5886">
      <c r="L5886" s="13"/>
      <c r="M5886" s="14"/>
      <c r="N5886" s="14"/>
      <c r="O5886" s="14"/>
      <c r="P5886" s="13"/>
    </row>
    <row r="5887">
      <c r="L5887" s="13"/>
      <c r="M5887" s="14"/>
      <c r="N5887" s="14"/>
      <c r="O5887" s="14"/>
      <c r="P5887" s="13"/>
    </row>
    <row r="5888">
      <c r="L5888" s="13"/>
      <c r="M5888" s="14"/>
      <c r="N5888" s="14"/>
      <c r="O5888" s="14"/>
      <c r="P5888" s="13"/>
    </row>
    <row r="5889">
      <c r="L5889" s="13"/>
      <c r="M5889" s="14"/>
      <c r="N5889" s="14"/>
      <c r="O5889" s="14"/>
      <c r="P5889" s="13"/>
    </row>
    <row r="5890">
      <c r="L5890" s="13"/>
      <c r="M5890" s="14"/>
      <c r="N5890" s="14"/>
      <c r="O5890" s="14"/>
      <c r="P5890" s="13"/>
    </row>
    <row r="5891">
      <c r="L5891" s="13"/>
      <c r="M5891" s="14"/>
      <c r="N5891" s="14"/>
      <c r="O5891" s="14"/>
      <c r="P5891" s="13"/>
    </row>
    <row r="5892">
      <c r="L5892" s="13"/>
      <c r="M5892" s="14"/>
      <c r="N5892" s="14"/>
      <c r="O5892" s="14"/>
      <c r="P5892" s="13"/>
    </row>
    <row r="5893">
      <c r="L5893" s="13"/>
      <c r="M5893" s="14"/>
      <c r="N5893" s="14"/>
      <c r="O5893" s="14"/>
      <c r="P5893" s="13"/>
    </row>
    <row r="5894">
      <c r="L5894" s="13"/>
      <c r="M5894" s="14"/>
      <c r="N5894" s="14"/>
      <c r="O5894" s="14"/>
      <c r="P5894" s="13"/>
    </row>
    <row r="5895">
      <c r="L5895" s="13"/>
      <c r="M5895" s="14"/>
      <c r="N5895" s="14"/>
      <c r="O5895" s="14"/>
      <c r="P5895" s="13"/>
    </row>
    <row r="5896">
      <c r="L5896" s="13"/>
      <c r="M5896" s="14"/>
      <c r="N5896" s="14"/>
      <c r="O5896" s="14"/>
      <c r="P5896" s="13"/>
    </row>
    <row r="5897">
      <c r="L5897" s="13"/>
      <c r="M5897" s="14"/>
      <c r="N5897" s="14"/>
      <c r="O5897" s="14"/>
      <c r="P5897" s="13"/>
    </row>
    <row r="5898">
      <c r="L5898" s="13"/>
      <c r="M5898" s="14"/>
      <c r="N5898" s="14"/>
      <c r="O5898" s="14"/>
      <c r="P5898" s="13"/>
    </row>
    <row r="5899">
      <c r="L5899" s="13"/>
      <c r="M5899" s="14"/>
      <c r="N5899" s="14"/>
      <c r="O5899" s="14"/>
      <c r="P5899" s="13"/>
    </row>
    <row r="5900">
      <c r="L5900" s="13"/>
      <c r="M5900" s="14"/>
      <c r="N5900" s="14"/>
      <c r="O5900" s="14"/>
      <c r="P5900" s="13"/>
    </row>
    <row r="5901">
      <c r="L5901" s="13"/>
      <c r="M5901" s="14"/>
      <c r="N5901" s="14"/>
      <c r="O5901" s="14"/>
      <c r="P5901" s="13"/>
    </row>
    <row r="5902">
      <c r="L5902" s="13"/>
      <c r="M5902" s="14"/>
      <c r="N5902" s="14"/>
      <c r="O5902" s="14"/>
      <c r="P5902" s="13"/>
    </row>
    <row r="5903">
      <c r="L5903" s="13"/>
      <c r="M5903" s="14"/>
      <c r="N5903" s="14"/>
      <c r="O5903" s="14"/>
      <c r="P5903" s="13"/>
    </row>
    <row r="5904">
      <c r="L5904" s="13"/>
      <c r="M5904" s="14"/>
      <c r="N5904" s="14"/>
      <c r="O5904" s="14"/>
      <c r="P5904" s="13"/>
    </row>
    <row r="5905">
      <c r="L5905" s="13"/>
      <c r="M5905" s="14"/>
      <c r="N5905" s="14"/>
      <c r="O5905" s="14"/>
      <c r="P5905" s="13"/>
    </row>
    <row r="5906">
      <c r="L5906" s="13"/>
      <c r="M5906" s="14"/>
      <c r="N5906" s="14"/>
      <c r="O5906" s="14"/>
      <c r="P5906" s="13"/>
    </row>
    <row r="5907">
      <c r="L5907" s="13"/>
      <c r="M5907" s="14"/>
      <c r="N5907" s="14"/>
      <c r="O5907" s="14"/>
      <c r="P5907" s="13"/>
    </row>
    <row r="5908">
      <c r="L5908" s="13"/>
      <c r="M5908" s="14"/>
      <c r="N5908" s="14"/>
      <c r="O5908" s="14"/>
      <c r="P5908" s="13"/>
    </row>
    <row r="5909">
      <c r="L5909" s="13"/>
      <c r="M5909" s="14"/>
      <c r="N5909" s="14"/>
      <c r="O5909" s="14"/>
      <c r="P5909" s="13"/>
    </row>
    <row r="5910">
      <c r="L5910" s="13"/>
      <c r="M5910" s="14"/>
      <c r="N5910" s="14"/>
      <c r="O5910" s="14"/>
      <c r="P5910" s="13"/>
    </row>
    <row r="5911">
      <c r="L5911" s="13"/>
      <c r="M5911" s="14"/>
      <c r="N5911" s="14"/>
      <c r="O5911" s="14"/>
      <c r="P5911" s="13"/>
    </row>
    <row r="5912">
      <c r="L5912" s="13"/>
      <c r="M5912" s="14"/>
      <c r="N5912" s="14"/>
      <c r="O5912" s="14"/>
      <c r="P5912" s="13"/>
    </row>
    <row r="5913">
      <c r="L5913" s="13"/>
      <c r="M5913" s="14"/>
      <c r="N5913" s="14"/>
      <c r="O5913" s="14"/>
      <c r="P5913" s="13"/>
    </row>
    <row r="5914">
      <c r="L5914" s="13"/>
      <c r="M5914" s="14"/>
      <c r="N5914" s="14"/>
      <c r="O5914" s="14"/>
      <c r="P5914" s="13"/>
    </row>
    <row r="5915">
      <c r="L5915" s="13"/>
      <c r="M5915" s="14"/>
      <c r="N5915" s="14"/>
      <c r="O5915" s="14"/>
      <c r="P5915" s="13"/>
    </row>
    <row r="5916">
      <c r="L5916" s="13"/>
      <c r="M5916" s="14"/>
      <c r="N5916" s="14"/>
      <c r="O5916" s="14"/>
      <c r="P5916" s="13"/>
    </row>
    <row r="5917">
      <c r="L5917" s="13"/>
      <c r="M5917" s="14"/>
      <c r="N5917" s="14"/>
      <c r="O5917" s="14"/>
      <c r="P5917" s="13"/>
    </row>
    <row r="5918">
      <c r="L5918" s="13"/>
      <c r="M5918" s="14"/>
      <c r="N5918" s="14"/>
      <c r="O5918" s="14"/>
      <c r="P5918" s="13"/>
    </row>
    <row r="5919">
      <c r="L5919" s="13"/>
      <c r="M5919" s="14"/>
      <c r="N5919" s="14"/>
      <c r="O5919" s="14"/>
      <c r="P5919" s="13"/>
    </row>
    <row r="5920">
      <c r="L5920" s="13"/>
      <c r="M5920" s="14"/>
      <c r="N5920" s="14"/>
      <c r="O5920" s="14"/>
      <c r="P5920" s="13"/>
    </row>
    <row r="5921">
      <c r="L5921" s="13"/>
      <c r="M5921" s="14"/>
      <c r="N5921" s="14"/>
      <c r="O5921" s="14"/>
      <c r="P5921" s="13"/>
    </row>
    <row r="5922">
      <c r="L5922" s="13"/>
      <c r="M5922" s="14"/>
      <c r="N5922" s="14"/>
      <c r="O5922" s="14"/>
      <c r="P5922" s="13"/>
    </row>
    <row r="5923">
      <c r="L5923" s="13"/>
      <c r="M5923" s="14"/>
      <c r="N5923" s="14"/>
      <c r="O5923" s="14"/>
      <c r="P5923" s="13"/>
    </row>
    <row r="5924">
      <c r="L5924" s="13"/>
      <c r="M5924" s="14"/>
      <c r="N5924" s="14"/>
      <c r="O5924" s="14"/>
      <c r="P5924" s="13"/>
    </row>
    <row r="5925">
      <c r="L5925" s="13"/>
      <c r="M5925" s="14"/>
      <c r="N5925" s="14"/>
      <c r="O5925" s="14"/>
      <c r="P5925" s="13"/>
    </row>
    <row r="5926">
      <c r="L5926" s="13"/>
      <c r="M5926" s="14"/>
      <c r="N5926" s="14"/>
      <c r="O5926" s="14"/>
      <c r="P5926" s="13"/>
    </row>
    <row r="5927">
      <c r="L5927" s="13"/>
      <c r="M5927" s="14"/>
      <c r="N5927" s="14"/>
      <c r="O5927" s="14"/>
      <c r="P5927" s="13"/>
    </row>
    <row r="5928">
      <c r="L5928" s="13"/>
      <c r="M5928" s="14"/>
      <c r="N5928" s="14"/>
      <c r="O5928" s="14"/>
      <c r="P5928" s="13"/>
    </row>
    <row r="5929">
      <c r="L5929" s="13"/>
      <c r="M5929" s="14"/>
      <c r="N5929" s="14"/>
      <c r="O5929" s="14"/>
      <c r="P5929" s="13"/>
    </row>
    <row r="5930">
      <c r="L5930" s="13"/>
      <c r="M5930" s="14"/>
      <c r="N5930" s="14"/>
      <c r="O5930" s="14"/>
      <c r="P5930" s="13"/>
    </row>
    <row r="5931">
      <c r="L5931" s="13"/>
      <c r="M5931" s="14"/>
      <c r="N5931" s="14"/>
      <c r="O5931" s="14"/>
      <c r="P5931" s="13"/>
    </row>
    <row r="5932">
      <c r="L5932" s="13"/>
      <c r="M5932" s="14"/>
      <c r="N5932" s="14"/>
      <c r="O5932" s="14"/>
      <c r="P5932" s="13"/>
    </row>
    <row r="5933">
      <c r="L5933" s="13"/>
      <c r="M5933" s="14"/>
      <c r="N5933" s="14"/>
      <c r="O5933" s="14"/>
      <c r="P5933" s="13"/>
    </row>
    <row r="5934">
      <c r="L5934" s="13"/>
      <c r="M5934" s="14"/>
      <c r="N5934" s="14"/>
      <c r="O5934" s="14"/>
      <c r="P5934" s="13"/>
    </row>
    <row r="5935">
      <c r="L5935" s="13"/>
      <c r="M5935" s="14"/>
      <c r="N5935" s="14"/>
      <c r="O5935" s="14"/>
      <c r="P5935" s="13"/>
    </row>
    <row r="5936">
      <c r="L5936" s="13"/>
      <c r="M5936" s="14"/>
      <c r="N5936" s="14"/>
      <c r="O5936" s="14"/>
      <c r="P5936" s="13"/>
    </row>
    <row r="5937">
      <c r="L5937" s="13"/>
      <c r="M5937" s="14"/>
      <c r="N5937" s="14"/>
      <c r="O5937" s="14"/>
      <c r="P5937" s="13"/>
    </row>
    <row r="5938">
      <c r="L5938" s="13"/>
      <c r="M5938" s="14"/>
      <c r="N5938" s="14"/>
      <c r="O5938" s="14"/>
      <c r="P5938" s="13"/>
    </row>
    <row r="5939">
      <c r="L5939" s="13"/>
      <c r="M5939" s="14"/>
      <c r="N5939" s="14"/>
      <c r="O5939" s="14"/>
      <c r="P5939" s="13"/>
    </row>
    <row r="5940">
      <c r="L5940" s="13"/>
      <c r="M5940" s="14"/>
      <c r="N5940" s="14"/>
      <c r="O5940" s="14"/>
      <c r="P5940" s="13"/>
    </row>
    <row r="5941">
      <c r="L5941" s="13"/>
      <c r="M5941" s="14"/>
      <c r="N5941" s="14"/>
      <c r="O5941" s="14"/>
      <c r="P5941" s="13"/>
    </row>
    <row r="5942">
      <c r="L5942" s="13"/>
      <c r="M5942" s="14"/>
      <c r="N5942" s="14"/>
      <c r="O5942" s="14"/>
      <c r="P5942" s="13"/>
    </row>
    <row r="5943">
      <c r="L5943" s="13"/>
      <c r="M5943" s="14"/>
      <c r="N5943" s="14"/>
      <c r="O5943" s="14"/>
      <c r="P5943" s="13"/>
    </row>
    <row r="5944">
      <c r="L5944" s="13"/>
      <c r="M5944" s="14"/>
      <c r="N5944" s="14"/>
      <c r="O5944" s="14"/>
      <c r="P5944" s="13"/>
    </row>
    <row r="5945">
      <c r="L5945" s="13"/>
      <c r="M5945" s="14"/>
      <c r="N5945" s="14"/>
      <c r="O5945" s="14"/>
      <c r="P5945" s="13"/>
    </row>
    <row r="5946">
      <c r="L5946" s="13"/>
      <c r="M5946" s="14"/>
      <c r="N5946" s="14"/>
      <c r="O5946" s="14"/>
      <c r="P5946" s="13"/>
    </row>
    <row r="5947">
      <c r="L5947" s="13"/>
      <c r="M5947" s="14"/>
      <c r="N5947" s="14"/>
      <c r="O5947" s="14"/>
      <c r="P5947" s="13"/>
    </row>
    <row r="5948">
      <c r="L5948" s="13"/>
      <c r="M5948" s="14"/>
      <c r="N5948" s="14"/>
      <c r="O5948" s="14"/>
      <c r="P5948" s="13"/>
    </row>
    <row r="5949">
      <c r="L5949" s="13"/>
      <c r="M5949" s="14"/>
      <c r="N5949" s="14"/>
      <c r="O5949" s="14"/>
      <c r="P5949" s="13"/>
    </row>
    <row r="5950">
      <c r="L5950" s="13"/>
      <c r="M5950" s="14"/>
      <c r="N5950" s="14"/>
      <c r="O5950" s="14"/>
      <c r="P5950" s="13"/>
    </row>
    <row r="5951">
      <c r="L5951" s="13"/>
      <c r="M5951" s="14"/>
      <c r="N5951" s="14"/>
      <c r="O5951" s="14"/>
      <c r="P5951" s="13"/>
    </row>
    <row r="5952">
      <c r="L5952" s="13"/>
      <c r="M5952" s="14"/>
      <c r="N5952" s="14"/>
      <c r="O5952" s="14"/>
      <c r="P5952" s="13"/>
    </row>
    <row r="5953">
      <c r="L5953" s="13"/>
      <c r="M5953" s="14"/>
      <c r="N5953" s="14"/>
      <c r="O5953" s="14"/>
      <c r="P5953" s="13"/>
    </row>
    <row r="5954">
      <c r="L5954" s="13"/>
      <c r="M5954" s="14"/>
      <c r="N5954" s="14"/>
      <c r="O5954" s="14"/>
      <c r="P5954" s="13"/>
    </row>
    <row r="5955">
      <c r="L5955" s="13"/>
      <c r="M5955" s="14"/>
      <c r="N5955" s="14"/>
      <c r="O5955" s="14"/>
      <c r="P5955" s="13"/>
    </row>
    <row r="5956">
      <c r="L5956" s="13"/>
      <c r="M5956" s="14"/>
      <c r="N5956" s="14"/>
      <c r="O5956" s="14"/>
      <c r="P5956" s="13"/>
    </row>
    <row r="5957">
      <c r="L5957" s="13"/>
      <c r="M5957" s="14"/>
      <c r="N5957" s="14"/>
      <c r="O5957" s="14"/>
      <c r="P5957" s="13"/>
    </row>
    <row r="5958">
      <c r="L5958" s="13"/>
      <c r="M5958" s="14"/>
      <c r="N5958" s="14"/>
      <c r="O5958" s="14"/>
      <c r="P5958" s="13"/>
    </row>
    <row r="5959">
      <c r="L5959" s="13"/>
      <c r="M5959" s="14"/>
      <c r="N5959" s="14"/>
      <c r="O5959" s="14"/>
      <c r="P5959" s="13"/>
    </row>
    <row r="5960">
      <c r="L5960" s="13"/>
      <c r="M5960" s="14"/>
      <c r="N5960" s="14"/>
      <c r="O5960" s="14"/>
      <c r="P5960" s="13"/>
    </row>
    <row r="5961">
      <c r="L5961" s="13"/>
      <c r="M5961" s="14"/>
      <c r="N5961" s="14"/>
      <c r="O5961" s="14"/>
      <c r="P5961" s="13"/>
    </row>
    <row r="5962">
      <c r="L5962" s="13"/>
      <c r="M5962" s="14"/>
      <c r="N5962" s="14"/>
      <c r="O5962" s="14"/>
      <c r="P5962" s="13"/>
    </row>
    <row r="5963">
      <c r="L5963" s="13"/>
      <c r="M5963" s="14"/>
      <c r="N5963" s="14"/>
      <c r="O5963" s="14"/>
      <c r="P5963" s="13"/>
    </row>
    <row r="5964">
      <c r="L5964" s="13"/>
      <c r="M5964" s="14"/>
      <c r="N5964" s="14"/>
      <c r="O5964" s="14"/>
      <c r="P5964" s="13"/>
    </row>
    <row r="5965">
      <c r="L5965" s="13"/>
      <c r="M5965" s="14"/>
      <c r="N5965" s="14"/>
      <c r="O5965" s="14"/>
      <c r="P5965" s="13"/>
    </row>
    <row r="5966">
      <c r="L5966" s="13"/>
      <c r="M5966" s="14"/>
      <c r="N5966" s="14"/>
      <c r="O5966" s="14"/>
      <c r="P5966" s="13"/>
    </row>
    <row r="5967">
      <c r="L5967" s="13"/>
      <c r="M5967" s="14"/>
      <c r="N5967" s="14"/>
      <c r="O5967" s="14"/>
      <c r="P5967" s="13"/>
    </row>
    <row r="5968">
      <c r="L5968" s="13"/>
      <c r="M5968" s="14"/>
      <c r="N5968" s="14"/>
      <c r="O5968" s="14"/>
      <c r="P5968" s="13"/>
    </row>
    <row r="5969">
      <c r="L5969" s="13"/>
      <c r="M5969" s="14"/>
      <c r="N5969" s="14"/>
      <c r="O5969" s="14"/>
      <c r="P5969" s="13"/>
    </row>
    <row r="5970">
      <c r="L5970" s="13"/>
      <c r="M5970" s="14"/>
      <c r="N5970" s="14"/>
      <c r="O5970" s="14"/>
      <c r="P5970" s="13"/>
    </row>
    <row r="5971">
      <c r="L5971" s="13"/>
      <c r="M5971" s="14"/>
      <c r="N5971" s="14"/>
      <c r="O5971" s="14"/>
      <c r="P5971" s="13"/>
    </row>
    <row r="5972">
      <c r="L5972" s="13"/>
      <c r="M5972" s="14"/>
      <c r="N5972" s="14"/>
      <c r="O5972" s="14"/>
      <c r="P5972" s="13"/>
    </row>
    <row r="5973">
      <c r="L5973" s="13"/>
      <c r="M5973" s="14"/>
      <c r="N5973" s="14"/>
      <c r="O5973" s="14"/>
      <c r="P5973" s="13"/>
    </row>
    <row r="5974">
      <c r="L5974" s="13"/>
      <c r="M5974" s="14"/>
      <c r="N5974" s="14"/>
      <c r="O5974" s="14"/>
      <c r="P5974" s="13"/>
    </row>
    <row r="5975">
      <c r="L5975" s="13"/>
      <c r="M5975" s="14"/>
      <c r="N5975" s="14"/>
      <c r="O5975" s="14"/>
      <c r="P5975" s="13"/>
    </row>
    <row r="5976">
      <c r="L5976" s="13"/>
      <c r="M5976" s="14"/>
      <c r="N5976" s="14"/>
      <c r="O5976" s="14"/>
      <c r="P5976" s="13"/>
    </row>
    <row r="5977">
      <c r="L5977" s="13"/>
      <c r="M5977" s="14"/>
      <c r="N5977" s="14"/>
      <c r="O5977" s="14"/>
      <c r="P5977" s="13"/>
    </row>
    <row r="5978">
      <c r="L5978" s="13"/>
      <c r="M5978" s="14"/>
      <c r="N5978" s="14"/>
      <c r="O5978" s="14"/>
      <c r="P5978" s="13"/>
    </row>
    <row r="5979">
      <c r="L5979" s="13"/>
      <c r="M5979" s="14"/>
      <c r="N5979" s="14"/>
      <c r="O5979" s="14"/>
      <c r="P5979" s="13"/>
    </row>
    <row r="5980">
      <c r="L5980" s="13"/>
      <c r="M5980" s="14"/>
      <c r="N5980" s="14"/>
      <c r="O5980" s="14"/>
      <c r="P5980" s="13"/>
    </row>
    <row r="5981">
      <c r="L5981" s="13"/>
      <c r="M5981" s="14"/>
      <c r="N5981" s="14"/>
      <c r="O5981" s="14"/>
      <c r="P5981" s="13"/>
    </row>
    <row r="5982">
      <c r="L5982" s="13"/>
      <c r="M5982" s="14"/>
      <c r="N5982" s="14"/>
      <c r="O5982" s="14"/>
      <c r="P5982" s="13"/>
    </row>
    <row r="5983">
      <c r="L5983" s="13"/>
      <c r="M5983" s="14"/>
      <c r="N5983" s="14"/>
      <c r="O5983" s="14"/>
      <c r="P5983" s="13"/>
    </row>
    <row r="5984">
      <c r="L5984" s="13"/>
      <c r="M5984" s="14"/>
      <c r="N5984" s="14"/>
      <c r="O5984" s="14"/>
      <c r="P5984" s="13"/>
    </row>
    <row r="5985">
      <c r="L5985" s="13"/>
      <c r="M5985" s="14"/>
      <c r="N5985" s="14"/>
      <c r="O5985" s="14"/>
      <c r="P5985" s="13"/>
    </row>
    <row r="5986">
      <c r="L5986" s="13"/>
      <c r="M5986" s="14"/>
      <c r="N5986" s="14"/>
      <c r="O5986" s="14"/>
      <c r="P5986" s="13"/>
    </row>
    <row r="5987">
      <c r="L5987" s="13"/>
      <c r="M5987" s="14"/>
      <c r="N5987" s="14"/>
      <c r="O5987" s="14"/>
      <c r="P5987" s="13"/>
    </row>
    <row r="5988">
      <c r="L5988" s="13"/>
      <c r="M5988" s="14"/>
      <c r="N5988" s="14"/>
      <c r="O5988" s="14"/>
      <c r="P5988" s="13"/>
    </row>
    <row r="5989">
      <c r="L5989" s="13"/>
      <c r="M5989" s="14"/>
      <c r="N5989" s="14"/>
      <c r="O5989" s="14"/>
      <c r="P5989" s="13"/>
    </row>
    <row r="5990">
      <c r="L5990" s="13"/>
      <c r="M5990" s="14"/>
      <c r="N5990" s="14"/>
      <c r="O5990" s="14"/>
      <c r="P5990" s="13"/>
    </row>
    <row r="5991">
      <c r="L5991" s="13"/>
      <c r="M5991" s="14"/>
      <c r="N5991" s="14"/>
      <c r="O5991" s="14"/>
      <c r="P5991" s="13"/>
    </row>
    <row r="5992">
      <c r="L5992" s="13"/>
      <c r="M5992" s="14"/>
      <c r="N5992" s="14"/>
      <c r="O5992" s="14"/>
      <c r="P5992" s="13"/>
    </row>
    <row r="5993">
      <c r="L5993" s="13"/>
      <c r="M5993" s="14"/>
      <c r="N5993" s="14"/>
      <c r="O5993" s="14"/>
      <c r="P5993" s="13"/>
    </row>
    <row r="5994">
      <c r="L5994" s="13"/>
      <c r="M5994" s="14"/>
      <c r="N5994" s="14"/>
      <c r="O5994" s="14"/>
      <c r="P5994" s="13"/>
    </row>
    <row r="5995">
      <c r="L5995" s="13"/>
      <c r="M5995" s="14"/>
      <c r="N5995" s="14"/>
      <c r="O5995" s="14"/>
      <c r="P5995" s="13"/>
    </row>
    <row r="5996">
      <c r="L5996" s="13"/>
      <c r="M5996" s="14"/>
      <c r="N5996" s="14"/>
      <c r="O5996" s="14"/>
      <c r="P5996" s="13"/>
    </row>
    <row r="5997">
      <c r="L5997" s="13"/>
      <c r="M5997" s="14"/>
      <c r="N5997" s="14"/>
      <c r="O5997" s="14"/>
      <c r="P5997" s="13"/>
    </row>
    <row r="5998">
      <c r="L5998" s="13"/>
      <c r="M5998" s="14"/>
      <c r="N5998" s="14"/>
      <c r="O5998" s="14"/>
      <c r="P5998" s="13"/>
    </row>
    <row r="5999">
      <c r="L5999" s="13"/>
      <c r="M5999" s="14"/>
      <c r="N5999" s="14"/>
      <c r="O5999" s="14"/>
      <c r="P5999" s="13"/>
    </row>
    <row r="6000">
      <c r="L6000" s="13"/>
      <c r="M6000" s="14"/>
      <c r="N6000" s="14"/>
      <c r="O6000" s="14"/>
      <c r="P6000" s="13"/>
    </row>
    <row r="6001">
      <c r="L6001" s="13"/>
      <c r="M6001" s="14"/>
      <c r="N6001" s="14"/>
      <c r="O6001" s="14"/>
      <c r="P6001" s="13"/>
    </row>
    <row r="6002">
      <c r="L6002" s="13"/>
      <c r="M6002" s="14"/>
      <c r="N6002" s="14"/>
      <c r="O6002" s="14"/>
      <c r="P6002" s="13"/>
    </row>
    <row r="6003">
      <c r="L6003" s="13"/>
      <c r="M6003" s="14"/>
      <c r="N6003" s="14"/>
      <c r="O6003" s="14"/>
      <c r="P6003" s="13"/>
    </row>
    <row r="6004">
      <c r="L6004" s="13"/>
      <c r="M6004" s="14"/>
      <c r="N6004" s="14"/>
      <c r="O6004" s="14"/>
      <c r="P6004" s="13"/>
    </row>
    <row r="6005">
      <c r="L6005" s="13"/>
      <c r="M6005" s="14"/>
      <c r="N6005" s="14"/>
      <c r="O6005" s="14"/>
      <c r="P6005" s="13"/>
    </row>
    <row r="6006">
      <c r="L6006" s="13"/>
      <c r="M6006" s="14"/>
      <c r="N6006" s="14"/>
      <c r="O6006" s="14"/>
      <c r="P6006" s="13"/>
    </row>
    <row r="6007">
      <c r="L6007" s="13"/>
      <c r="M6007" s="14"/>
      <c r="N6007" s="14"/>
      <c r="O6007" s="14"/>
      <c r="P6007" s="13"/>
    </row>
    <row r="6008">
      <c r="L6008" s="13"/>
      <c r="M6008" s="14"/>
      <c r="N6008" s="14"/>
      <c r="O6008" s="14"/>
      <c r="P6008" s="13"/>
    </row>
    <row r="6009">
      <c r="L6009" s="13"/>
      <c r="M6009" s="14"/>
      <c r="N6009" s="14"/>
      <c r="O6009" s="14"/>
      <c r="P6009" s="13"/>
    </row>
    <row r="6010">
      <c r="L6010" s="13"/>
      <c r="M6010" s="14"/>
      <c r="N6010" s="14"/>
      <c r="O6010" s="14"/>
      <c r="P6010" s="13"/>
    </row>
    <row r="6011">
      <c r="L6011" s="13"/>
      <c r="M6011" s="14"/>
      <c r="N6011" s="14"/>
      <c r="O6011" s="14"/>
      <c r="P6011" s="13"/>
    </row>
    <row r="6012">
      <c r="L6012" s="13"/>
      <c r="M6012" s="14"/>
      <c r="N6012" s="14"/>
      <c r="O6012" s="14"/>
      <c r="P6012" s="13"/>
    </row>
    <row r="6013">
      <c r="L6013" s="13"/>
      <c r="M6013" s="14"/>
      <c r="N6013" s="14"/>
      <c r="O6013" s="14"/>
      <c r="P6013" s="13"/>
    </row>
    <row r="6014">
      <c r="L6014" s="13"/>
      <c r="M6014" s="14"/>
      <c r="N6014" s="14"/>
      <c r="O6014" s="14"/>
      <c r="P6014" s="13"/>
    </row>
    <row r="6015">
      <c r="L6015" s="13"/>
      <c r="M6015" s="14"/>
      <c r="N6015" s="14"/>
      <c r="O6015" s="14"/>
      <c r="P6015" s="13"/>
    </row>
    <row r="6016">
      <c r="L6016" s="13"/>
      <c r="M6016" s="14"/>
      <c r="N6016" s="14"/>
      <c r="O6016" s="14"/>
      <c r="P6016" s="13"/>
    </row>
    <row r="6017">
      <c r="L6017" s="13"/>
      <c r="M6017" s="14"/>
      <c r="N6017" s="14"/>
      <c r="O6017" s="14"/>
      <c r="P6017" s="13"/>
    </row>
    <row r="6018">
      <c r="L6018" s="13"/>
      <c r="M6018" s="14"/>
      <c r="N6018" s="14"/>
      <c r="O6018" s="14"/>
      <c r="P6018" s="13"/>
    </row>
    <row r="6019">
      <c r="L6019" s="13"/>
      <c r="M6019" s="14"/>
      <c r="N6019" s="14"/>
      <c r="O6019" s="14"/>
      <c r="P6019" s="13"/>
    </row>
    <row r="6020">
      <c r="L6020" s="13"/>
      <c r="M6020" s="14"/>
      <c r="N6020" s="14"/>
      <c r="O6020" s="14"/>
      <c r="P6020" s="13"/>
    </row>
    <row r="6021">
      <c r="L6021" s="13"/>
      <c r="M6021" s="14"/>
      <c r="N6021" s="14"/>
      <c r="O6021" s="14"/>
      <c r="P6021" s="13"/>
    </row>
    <row r="6022">
      <c r="L6022" s="13"/>
      <c r="M6022" s="14"/>
      <c r="N6022" s="14"/>
      <c r="O6022" s="14"/>
      <c r="P6022" s="13"/>
    </row>
    <row r="6023">
      <c r="L6023" s="13"/>
      <c r="M6023" s="14"/>
      <c r="N6023" s="14"/>
      <c r="O6023" s="14"/>
      <c r="P6023" s="13"/>
    </row>
    <row r="6024">
      <c r="L6024" s="13"/>
      <c r="M6024" s="14"/>
      <c r="N6024" s="14"/>
      <c r="O6024" s="14"/>
      <c r="P6024" s="13"/>
    </row>
    <row r="6025">
      <c r="L6025" s="13"/>
      <c r="M6025" s="14"/>
      <c r="N6025" s="14"/>
      <c r="O6025" s="14"/>
      <c r="P6025" s="13"/>
    </row>
    <row r="6026">
      <c r="L6026" s="13"/>
      <c r="M6026" s="14"/>
      <c r="N6026" s="14"/>
      <c r="O6026" s="14"/>
      <c r="P6026" s="13"/>
    </row>
    <row r="6027">
      <c r="L6027" s="13"/>
      <c r="M6027" s="14"/>
      <c r="N6027" s="14"/>
      <c r="O6027" s="14"/>
      <c r="P6027" s="13"/>
    </row>
    <row r="6028">
      <c r="L6028" s="13"/>
      <c r="M6028" s="14"/>
      <c r="N6028" s="14"/>
      <c r="O6028" s="14"/>
      <c r="P6028" s="13"/>
    </row>
    <row r="6029">
      <c r="L6029" s="13"/>
      <c r="M6029" s="14"/>
      <c r="N6029" s="14"/>
      <c r="O6029" s="14"/>
      <c r="P6029" s="13"/>
    </row>
    <row r="6030">
      <c r="L6030" s="13"/>
      <c r="M6030" s="14"/>
      <c r="N6030" s="14"/>
      <c r="O6030" s="14"/>
      <c r="P6030" s="13"/>
    </row>
    <row r="6031">
      <c r="L6031" s="13"/>
      <c r="M6031" s="14"/>
      <c r="N6031" s="14"/>
      <c r="O6031" s="14"/>
      <c r="P6031" s="13"/>
    </row>
    <row r="6032">
      <c r="L6032" s="13"/>
      <c r="M6032" s="14"/>
      <c r="N6032" s="14"/>
      <c r="O6032" s="14"/>
      <c r="P6032" s="13"/>
    </row>
    <row r="6033">
      <c r="L6033" s="13"/>
      <c r="M6033" s="14"/>
      <c r="N6033" s="14"/>
      <c r="O6033" s="14"/>
      <c r="P6033" s="13"/>
    </row>
    <row r="6034">
      <c r="L6034" s="13"/>
      <c r="M6034" s="14"/>
      <c r="N6034" s="14"/>
      <c r="O6034" s="14"/>
      <c r="P6034" s="13"/>
    </row>
    <row r="6035">
      <c r="L6035" s="13"/>
      <c r="M6035" s="14"/>
      <c r="N6035" s="14"/>
      <c r="O6035" s="14"/>
      <c r="P6035" s="13"/>
    </row>
    <row r="6036">
      <c r="L6036" s="13"/>
      <c r="M6036" s="14"/>
      <c r="N6036" s="14"/>
      <c r="O6036" s="14"/>
      <c r="P6036" s="13"/>
    </row>
    <row r="6037">
      <c r="L6037" s="13"/>
      <c r="M6037" s="14"/>
      <c r="N6037" s="14"/>
      <c r="O6037" s="14"/>
      <c r="P6037" s="13"/>
    </row>
    <row r="6038">
      <c r="L6038" s="13"/>
      <c r="M6038" s="14"/>
      <c r="N6038" s="14"/>
      <c r="O6038" s="14"/>
      <c r="P6038" s="13"/>
    </row>
    <row r="6039">
      <c r="L6039" s="13"/>
      <c r="M6039" s="14"/>
      <c r="N6039" s="14"/>
      <c r="O6039" s="14"/>
      <c r="P6039" s="13"/>
    </row>
    <row r="6040">
      <c r="L6040" s="13"/>
      <c r="M6040" s="14"/>
      <c r="N6040" s="14"/>
      <c r="O6040" s="14"/>
      <c r="P6040" s="13"/>
    </row>
    <row r="6041">
      <c r="L6041" s="13"/>
      <c r="M6041" s="14"/>
      <c r="N6041" s="14"/>
      <c r="O6041" s="14"/>
      <c r="P6041" s="13"/>
    </row>
    <row r="6042">
      <c r="L6042" s="13"/>
      <c r="M6042" s="14"/>
      <c r="N6042" s="14"/>
      <c r="O6042" s="14"/>
      <c r="P6042" s="13"/>
    </row>
    <row r="6043">
      <c r="L6043" s="13"/>
      <c r="M6043" s="14"/>
      <c r="N6043" s="14"/>
      <c r="O6043" s="14"/>
      <c r="P6043" s="13"/>
    </row>
    <row r="6044">
      <c r="L6044" s="13"/>
      <c r="M6044" s="14"/>
      <c r="N6044" s="14"/>
      <c r="O6044" s="14"/>
      <c r="P6044" s="13"/>
    </row>
    <row r="6045">
      <c r="L6045" s="13"/>
      <c r="M6045" s="14"/>
      <c r="N6045" s="14"/>
      <c r="O6045" s="14"/>
      <c r="P6045" s="13"/>
    </row>
    <row r="6046">
      <c r="L6046" s="13"/>
      <c r="M6046" s="14"/>
      <c r="N6046" s="14"/>
      <c r="O6046" s="14"/>
      <c r="P6046" s="13"/>
    </row>
    <row r="6047">
      <c r="L6047" s="13"/>
      <c r="M6047" s="14"/>
      <c r="N6047" s="14"/>
      <c r="O6047" s="14"/>
      <c r="P6047" s="13"/>
    </row>
    <row r="6048">
      <c r="L6048" s="13"/>
      <c r="M6048" s="14"/>
      <c r="N6048" s="14"/>
      <c r="O6048" s="14"/>
      <c r="P6048" s="13"/>
    </row>
    <row r="6049">
      <c r="L6049" s="13"/>
      <c r="M6049" s="14"/>
      <c r="N6049" s="14"/>
      <c r="O6049" s="14"/>
      <c r="P6049" s="13"/>
    </row>
    <row r="6050">
      <c r="L6050" s="13"/>
      <c r="M6050" s="14"/>
      <c r="N6050" s="14"/>
      <c r="O6050" s="14"/>
      <c r="P6050" s="13"/>
    </row>
    <row r="6051">
      <c r="L6051" s="13"/>
      <c r="M6051" s="14"/>
      <c r="N6051" s="14"/>
      <c r="O6051" s="14"/>
      <c r="P6051" s="13"/>
    </row>
    <row r="6052">
      <c r="L6052" s="13"/>
      <c r="M6052" s="14"/>
      <c r="N6052" s="14"/>
      <c r="O6052" s="14"/>
      <c r="P6052" s="13"/>
    </row>
    <row r="6053">
      <c r="L6053" s="13"/>
      <c r="M6053" s="14"/>
      <c r="N6053" s="14"/>
      <c r="O6053" s="14"/>
      <c r="P6053" s="13"/>
    </row>
    <row r="6054">
      <c r="L6054" s="13"/>
      <c r="M6054" s="14"/>
      <c r="N6054" s="14"/>
      <c r="O6054" s="14"/>
      <c r="P6054" s="13"/>
    </row>
    <row r="6055">
      <c r="L6055" s="13"/>
      <c r="M6055" s="14"/>
      <c r="N6055" s="14"/>
      <c r="O6055" s="14"/>
      <c r="P6055" s="13"/>
    </row>
    <row r="6056">
      <c r="L6056" s="13"/>
      <c r="M6056" s="14"/>
      <c r="N6056" s="14"/>
      <c r="O6056" s="14"/>
      <c r="P6056" s="13"/>
    </row>
    <row r="6057">
      <c r="L6057" s="13"/>
      <c r="M6057" s="14"/>
      <c r="N6057" s="14"/>
      <c r="O6057" s="14"/>
      <c r="P6057" s="13"/>
    </row>
    <row r="6058">
      <c r="L6058" s="13"/>
      <c r="M6058" s="14"/>
      <c r="N6058" s="14"/>
      <c r="O6058" s="14"/>
      <c r="P6058" s="13"/>
    </row>
    <row r="6059">
      <c r="L6059" s="13"/>
      <c r="M6059" s="14"/>
      <c r="N6059" s="14"/>
      <c r="O6059" s="14"/>
      <c r="P6059" s="13"/>
    </row>
    <row r="6060">
      <c r="L6060" s="13"/>
      <c r="M6060" s="14"/>
      <c r="N6060" s="14"/>
      <c r="O6060" s="14"/>
      <c r="P6060" s="13"/>
    </row>
    <row r="6061">
      <c r="L6061" s="13"/>
      <c r="M6061" s="14"/>
      <c r="N6061" s="14"/>
      <c r="O6061" s="14"/>
      <c r="P6061" s="13"/>
    </row>
    <row r="6062">
      <c r="L6062" s="13"/>
      <c r="M6062" s="14"/>
      <c r="N6062" s="14"/>
      <c r="O6062" s="14"/>
      <c r="P6062" s="13"/>
    </row>
    <row r="6063">
      <c r="L6063" s="13"/>
      <c r="M6063" s="14"/>
      <c r="N6063" s="14"/>
      <c r="O6063" s="14"/>
      <c r="P6063" s="13"/>
    </row>
    <row r="6064">
      <c r="L6064" s="13"/>
      <c r="M6064" s="14"/>
      <c r="N6064" s="14"/>
      <c r="O6064" s="14"/>
      <c r="P6064" s="13"/>
    </row>
    <row r="6065">
      <c r="L6065" s="13"/>
      <c r="M6065" s="14"/>
      <c r="N6065" s="14"/>
      <c r="O6065" s="14"/>
      <c r="P6065" s="13"/>
    </row>
    <row r="6066">
      <c r="L6066" s="13"/>
      <c r="M6066" s="14"/>
      <c r="N6066" s="14"/>
      <c r="O6066" s="14"/>
      <c r="P6066" s="13"/>
    </row>
    <row r="6067">
      <c r="L6067" s="13"/>
      <c r="M6067" s="14"/>
      <c r="N6067" s="14"/>
      <c r="O6067" s="14"/>
      <c r="P6067" s="13"/>
    </row>
    <row r="6068">
      <c r="L6068" s="13"/>
      <c r="M6068" s="14"/>
      <c r="N6068" s="14"/>
      <c r="O6068" s="14"/>
      <c r="P6068" s="13"/>
    </row>
    <row r="6069">
      <c r="L6069" s="13"/>
      <c r="M6069" s="14"/>
      <c r="N6069" s="14"/>
      <c r="O6069" s="14"/>
      <c r="P6069" s="13"/>
    </row>
    <row r="6070">
      <c r="L6070" s="13"/>
      <c r="M6070" s="14"/>
      <c r="N6070" s="14"/>
      <c r="O6070" s="14"/>
      <c r="P6070" s="13"/>
    </row>
    <row r="6071">
      <c r="L6071" s="13"/>
      <c r="M6071" s="14"/>
      <c r="N6071" s="14"/>
      <c r="O6071" s="14"/>
      <c r="P6071" s="13"/>
    </row>
    <row r="6072">
      <c r="L6072" s="13"/>
      <c r="M6072" s="14"/>
      <c r="N6072" s="14"/>
      <c r="O6072" s="14"/>
      <c r="P6072" s="13"/>
    </row>
    <row r="6073">
      <c r="L6073" s="13"/>
      <c r="M6073" s="14"/>
      <c r="N6073" s="14"/>
      <c r="O6073" s="14"/>
      <c r="P6073" s="13"/>
    </row>
    <row r="6074">
      <c r="L6074" s="13"/>
      <c r="M6074" s="14"/>
      <c r="N6074" s="14"/>
      <c r="O6074" s="14"/>
      <c r="P6074" s="13"/>
    </row>
    <row r="6075">
      <c r="L6075" s="13"/>
      <c r="M6075" s="14"/>
      <c r="N6075" s="14"/>
      <c r="O6075" s="14"/>
      <c r="P6075" s="13"/>
    </row>
    <row r="6076">
      <c r="L6076" s="13"/>
      <c r="M6076" s="14"/>
      <c r="N6076" s="14"/>
      <c r="O6076" s="14"/>
      <c r="P6076" s="13"/>
    </row>
    <row r="6077">
      <c r="L6077" s="13"/>
      <c r="M6077" s="14"/>
      <c r="N6077" s="14"/>
      <c r="O6077" s="14"/>
      <c r="P6077" s="13"/>
    </row>
    <row r="6078">
      <c r="L6078" s="13"/>
      <c r="M6078" s="14"/>
      <c r="N6078" s="14"/>
      <c r="O6078" s="14"/>
      <c r="P6078" s="13"/>
    </row>
    <row r="6079">
      <c r="L6079" s="13"/>
      <c r="M6079" s="14"/>
      <c r="N6079" s="14"/>
      <c r="O6079" s="14"/>
      <c r="P6079" s="13"/>
    </row>
    <row r="6080">
      <c r="L6080" s="13"/>
      <c r="M6080" s="14"/>
      <c r="N6080" s="14"/>
      <c r="O6080" s="14"/>
      <c r="P6080" s="13"/>
    </row>
    <row r="6081">
      <c r="L6081" s="13"/>
      <c r="M6081" s="14"/>
      <c r="N6081" s="14"/>
      <c r="O6081" s="14"/>
      <c r="P6081" s="13"/>
    </row>
    <row r="6082">
      <c r="L6082" s="13"/>
      <c r="M6082" s="14"/>
      <c r="N6082" s="14"/>
      <c r="O6082" s="14"/>
      <c r="P6082" s="13"/>
    </row>
    <row r="6083">
      <c r="L6083" s="13"/>
      <c r="M6083" s="14"/>
      <c r="N6083" s="14"/>
      <c r="O6083" s="14"/>
      <c r="P6083" s="13"/>
    </row>
    <row r="6084">
      <c r="L6084" s="13"/>
      <c r="M6084" s="14"/>
      <c r="N6084" s="14"/>
      <c r="O6084" s="14"/>
      <c r="P6084" s="13"/>
    </row>
    <row r="6085">
      <c r="L6085" s="13"/>
      <c r="M6085" s="14"/>
      <c r="N6085" s="14"/>
      <c r="O6085" s="14"/>
      <c r="P6085" s="13"/>
    </row>
    <row r="6086">
      <c r="L6086" s="13"/>
      <c r="M6086" s="14"/>
      <c r="N6086" s="14"/>
      <c r="O6086" s="14"/>
      <c r="P6086" s="13"/>
    </row>
    <row r="6087">
      <c r="L6087" s="13"/>
      <c r="M6087" s="14"/>
      <c r="N6087" s="14"/>
      <c r="O6087" s="14"/>
      <c r="P6087" s="13"/>
    </row>
    <row r="6088">
      <c r="L6088" s="13"/>
      <c r="M6088" s="14"/>
      <c r="N6088" s="14"/>
      <c r="O6088" s="14"/>
      <c r="P6088" s="13"/>
    </row>
    <row r="6089">
      <c r="L6089" s="13"/>
      <c r="M6089" s="14"/>
      <c r="N6089" s="14"/>
      <c r="O6089" s="14"/>
      <c r="P6089" s="13"/>
    </row>
    <row r="6090">
      <c r="L6090" s="13"/>
      <c r="M6090" s="14"/>
      <c r="N6090" s="14"/>
      <c r="O6090" s="14"/>
      <c r="P6090" s="13"/>
    </row>
    <row r="6091">
      <c r="L6091" s="13"/>
      <c r="M6091" s="14"/>
      <c r="N6091" s="14"/>
      <c r="O6091" s="14"/>
      <c r="P6091" s="13"/>
    </row>
    <row r="6092">
      <c r="L6092" s="13"/>
      <c r="M6092" s="14"/>
      <c r="N6092" s="14"/>
      <c r="O6092" s="14"/>
      <c r="P6092" s="13"/>
    </row>
    <row r="6093">
      <c r="L6093" s="13"/>
      <c r="M6093" s="14"/>
      <c r="N6093" s="14"/>
      <c r="O6093" s="14"/>
      <c r="P6093" s="13"/>
    </row>
    <row r="6094">
      <c r="L6094" s="13"/>
      <c r="M6094" s="14"/>
      <c r="N6094" s="14"/>
      <c r="O6094" s="14"/>
      <c r="P6094" s="13"/>
    </row>
    <row r="6095">
      <c r="L6095" s="13"/>
      <c r="M6095" s="14"/>
      <c r="N6095" s="14"/>
      <c r="O6095" s="14"/>
      <c r="P6095" s="13"/>
    </row>
    <row r="6096">
      <c r="L6096" s="13"/>
      <c r="M6096" s="14"/>
      <c r="N6096" s="14"/>
      <c r="O6096" s="14"/>
      <c r="P6096" s="13"/>
    </row>
    <row r="6097">
      <c r="L6097" s="13"/>
      <c r="M6097" s="14"/>
      <c r="N6097" s="14"/>
      <c r="O6097" s="14"/>
      <c r="P6097" s="13"/>
    </row>
    <row r="6098">
      <c r="L6098" s="13"/>
      <c r="M6098" s="14"/>
      <c r="N6098" s="14"/>
      <c r="O6098" s="14"/>
      <c r="P6098" s="13"/>
    </row>
    <row r="6099">
      <c r="L6099" s="13"/>
      <c r="M6099" s="14"/>
      <c r="N6099" s="14"/>
      <c r="O6099" s="14"/>
      <c r="P6099" s="13"/>
    </row>
    <row r="6100">
      <c r="L6100" s="13"/>
      <c r="M6100" s="14"/>
      <c r="N6100" s="14"/>
      <c r="O6100" s="14"/>
      <c r="P6100" s="13"/>
    </row>
    <row r="6101">
      <c r="L6101" s="13"/>
      <c r="M6101" s="14"/>
      <c r="N6101" s="14"/>
      <c r="O6101" s="14"/>
      <c r="P6101" s="13"/>
    </row>
    <row r="6102">
      <c r="L6102" s="13"/>
      <c r="M6102" s="14"/>
      <c r="N6102" s="14"/>
      <c r="O6102" s="14"/>
      <c r="P6102" s="13"/>
    </row>
    <row r="6103">
      <c r="L6103" s="13"/>
      <c r="M6103" s="14"/>
      <c r="N6103" s="14"/>
      <c r="O6103" s="14"/>
      <c r="P6103" s="13"/>
    </row>
    <row r="6104">
      <c r="L6104" s="13"/>
      <c r="M6104" s="14"/>
      <c r="N6104" s="14"/>
      <c r="O6104" s="14"/>
      <c r="P6104" s="13"/>
    </row>
    <row r="6105">
      <c r="L6105" s="13"/>
      <c r="M6105" s="14"/>
      <c r="N6105" s="14"/>
      <c r="O6105" s="14"/>
      <c r="P6105" s="13"/>
    </row>
    <row r="6106">
      <c r="L6106" s="13"/>
      <c r="M6106" s="14"/>
      <c r="N6106" s="14"/>
      <c r="O6106" s="14"/>
      <c r="P6106" s="13"/>
    </row>
    <row r="6107">
      <c r="L6107" s="13"/>
      <c r="M6107" s="14"/>
      <c r="N6107" s="14"/>
      <c r="O6107" s="14"/>
      <c r="P6107" s="13"/>
    </row>
    <row r="6108">
      <c r="L6108" s="13"/>
      <c r="M6108" s="14"/>
      <c r="N6108" s="14"/>
      <c r="O6108" s="14"/>
      <c r="P6108" s="13"/>
    </row>
    <row r="6109">
      <c r="L6109" s="13"/>
      <c r="M6109" s="14"/>
      <c r="N6109" s="14"/>
      <c r="O6109" s="14"/>
      <c r="P6109" s="13"/>
    </row>
    <row r="6110">
      <c r="L6110" s="13"/>
      <c r="M6110" s="14"/>
      <c r="N6110" s="14"/>
      <c r="O6110" s="14"/>
      <c r="P6110" s="13"/>
    </row>
    <row r="6111">
      <c r="L6111" s="13"/>
      <c r="M6111" s="14"/>
      <c r="N6111" s="14"/>
      <c r="O6111" s="14"/>
      <c r="P6111" s="13"/>
    </row>
    <row r="6112">
      <c r="L6112" s="13"/>
      <c r="M6112" s="14"/>
      <c r="N6112" s="14"/>
      <c r="O6112" s="14"/>
      <c r="P6112" s="13"/>
    </row>
    <row r="6113">
      <c r="L6113" s="13"/>
      <c r="M6113" s="14"/>
      <c r="N6113" s="14"/>
      <c r="O6113" s="14"/>
      <c r="P6113" s="13"/>
    </row>
    <row r="6114">
      <c r="L6114" s="13"/>
      <c r="M6114" s="14"/>
      <c r="N6114" s="14"/>
      <c r="O6114" s="14"/>
      <c r="P6114" s="13"/>
    </row>
    <row r="6115">
      <c r="L6115" s="13"/>
      <c r="M6115" s="14"/>
      <c r="N6115" s="14"/>
      <c r="O6115" s="14"/>
      <c r="P6115" s="13"/>
    </row>
    <row r="6116">
      <c r="L6116" s="13"/>
      <c r="M6116" s="14"/>
      <c r="N6116" s="14"/>
      <c r="O6116" s="14"/>
      <c r="P6116" s="13"/>
    </row>
    <row r="6117">
      <c r="L6117" s="13"/>
      <c r="M6117" s="14"/>
      <c r="N6117" s="14"/>
      <c r="O6117" s="14"/>
      <c r="P6117" s="13"/>
    </row>
    <row r="6118">
      <c r="L6118" s="13"/>
      <c r="M6118" s="14"/>
      <c r="N6118" s="14"/>
      <c r="O6118" s="14"/>
      <c r="P6118" s="13"/>
    </row>
    <row r="6119">
      <c r="L6119" s="13"/>
      <c r="M6119" s="14"/>
      <c r="N6119" s="14"/>
      <c r="O6119" s="14"/>
      <c r="P6119" s="13"/>
    </row>
    <row r="6120">
      <c r="L6120" s="13"/>
      <c r="M6120" s="14"/>
      <c r="N6120" s="14"/>
      <c r="O6120" s="14"/>
      <c r="P6120" s="13"/>
    </row>
    <row r="6121">
      <c r="L6121" s="13"/>
      <c r="M6121" s="14"/>
      <c r="N6121" s="14"/>
      <c r="O6121" s="14"/>
      <c r="P6121" s="13"/>
    </row>
    <row r="6122">
      <c r="L6122" s="13"/>
      <c r="M6122" s="14"/>
      <c r="N6122" s="14"/>
      <c r="O6122" s="14"/>
      <c r="P6122" s="13"/>
    </row>
    <row r="6123">
      <c r="L6123" s="13"/>
      <c r="M6123" s="14"/>
      <c r="N6123" s="14"/>
      <c r="O6123" s="14"/>
      <c r="P6123" s="13"/>
    </row>
    <row r="6124">
      <c r="L6124" s="13"/>
      <c r="M6124" s="14"/>
      <c r="N6124" s="14"/>
      <c r="O6124" s="14"/>
      <c r="P6124" s="13"/>
    </row>
    <row r="6125">
      <c r="L6125" s="13"/>
      <c r="M6125" s="14"/>
      <c r="N6125" s="14"/>
      <c r="O6125" s="14"/>
      <c r="P6125" s="13"/>
    </row>
    <row r="6126">
      <c r="L6126" s="13"/>
      <c r="M6126" s="14"/>
      <c r="N6126" s="14"/>
      <c r="O6126" s="14"/>
      <c r="P6126" s="13"/>
    </row>
    <row r="6127">
      <c r="L6127" s="13"/>
      <c r="M6127" s="14"/>
      <c r="N6127" s="14"/>
      <c r="O6127" s="14"/>
      <c r="P6127" s="13"/>
    </row>
    <row r="6128">
      <c r="L6128" s="13"/>
      <c r="M6128" s="14"/>
      <c r="N6128" s="14"/>
      <c r="O6128" s="14"/>
      <c r="P6128" s="13"/>
    </row>
    <row r="6129">
      <c r="L6129" s="13"/>
      <c r="M6129" s="14"/>
      <c r="N6129" s="14"/>
      <c r="O6129" s="14"/>
      <c r="P6129" s="13"/>
    </row>
    <row r="6130">
      <c r="L6130" s="13"/>
      <c r="M6130" s="14"/>
      <c r="N6130" s="14"/>
      <c r="O6130" s="14"/>
      <c r="P6130" s="13"/>
    </row>
    <row r="6131">
      <c r="L6131" s="13"/>
      <c r="M6131" s="14"/>
      <c r="N6131" s="14"/>
      <c r="O6131" s="14"/>
      <c r="P6131" s="13"/>
    </row>
    <row r="6132">
      <c r="L6132" s="13"/>
      <c r="M6132" s="14"/>
      <c r="N6132" s="14"/>
      <c r="O6132" s="14"/>
      <c r="P6132" s="13"/>
    </row>
    <row r="6133">
      <c r="L6133" s="13"/>
      <c r="M6133" s="14"/>
      <c r="N6133" s="14"/>
      <c r="O6133" s="14"/>
      <c r="P6133" s="13"/>
    </row>
    <row r="6134">
      <c r="L6134" s="13"/>
      <c r="M6134" s="14"/>
      <c r="N6134" s="14"/>
      <c r="O6134" s="14"/>
      <c r="P6134" s="13"/>
    </row>
    <row r="6135">
      <c r="L6135" s="13"/>
      <c r="M6135" s="14"/>
      <c r="N6135" s="14"/>
      <c r="O6135" s="14"/>
      <c r="P6135" s="13"/>
    </row>
    <row r="6136">
      <c r="L6136" s="13"/>
      <c r="M6136" s="14"/>
      <c r="N6136" s="14"/>
      <c r="O6136" s="14"/>
      <c r="P6136" s="13"/>
    </row>
    <row r="6137">
      <c r="L6137" s="13"/>
      <c r="M6137" s="14"/>
      <c r="N6137" s="14"/>
      <c r="O6137" s="14"/>
      <c r="P6137" s="13"/>
    </row>
    <row r="6138">
      <c r="L6138" s="13"/>
      <c r="M6138" s="14"/>
      <c r="N6138" s="14"/>
      <c r="O6138" s="14"/>
      <c r="P6138" s="13"/>
    </row>
    <row r="6139">
      <c r="L6139" s="13"/>
      <c r="M6139" s="14"/>
      <c r="N6139" s="14"/>
      <c r="O6139" s="14"/>
      <c r="P6139" s="13"/>
    </row>
    <row r="6140">
      <c r="L6140" s="13"/>
      <c r="M6140" s="14"/>
      <c r="N6140" s="14"/>
      <c r="O6140" s="14"/>
      <c r="P6140" s="13"/>
    </row>
    <row r="6141">
      <c r="L6141" s="13"/>
      <c r="M6141" s="14"/>
      <c r="N6141" s="14"/>
      <c r="O6141" s="14"/>
      <c r="P6141" s="13"/>
    </row>
    <row r="6142">
      <c r="L6142" s="13"/>
      <c r="M6142" s="14"/>
      <c r="N6142" s="14"/>
      <c r="O6142" s="14"/>
      <c r="P6142" s="13"/>
    </row>
    <row r="6143">
      <c r="L6143" s="13"/>
      <c r="M6143" s="14"/>
      <c r="N6143" s="14"/>
      <c r="O6143" s="14"/>
      <c r="P6143" s="13"/>
    </row>
    <row r="6144">
      <c r="L6144" s="13"/>
      <c r="M6144" s="14"/>
      <c r="N6144" s="14"/>
      <c r="O6144" s="14"/>
      <c r="P6144" s="13"/>
    </row>
    <row r="6145">
      <c r="L6145" s="13"/>
      <c r="M6145" s="14"/>
      <c r="N6145" s="14"/>
      <c r="O6145" s="14"/>
      <c r="P6145" s="13"/>
    </row>
    <row r="6146">
      <c r="L6146" s="13"/>
      <c r="M6146" s="14"/>
      <c r="N6146" s="14"/>
      <c r="O6146" s="14"/>
      <c r="P6146" s="13"/>
    </row>
    <row r="6147">
      <c r="L6147" s="13"/>
      <c r="M6147" s="14"/>
      <c r="N6147" s="14"/>
      <c r="O6147" s="14"/>
      <c r="P6147" s="13"/>
    </row>
    <row r="6148">
      <c r="L6148" s="13"/>
      <c r="M6148" s="14"/>
      <c r="N6148" s="14"/>
      <c r="O6148" s="14"/>
      <c r="P6148" s="13"/>
    </row>
    <row r="6149">
      <c r="L6149" s="13"/>
      <c r="M6149" s="14"/>
      <c r="N6149" s="14"/>
      <c r="O6149" s="14"/>
      <c r="P6149" s="13"/>
    </row>
    <row r="6150">
      <c r="L6150" s="13"/>
      <c r="M6150" s="14"/>
      <c r="N6150" s="14"/>
      <c r="O6150" s="14"/>
      <c r="P6150" s="13"/>
    </row>
    <row r="6151">
      <c r="L6151" s="13"/>
      <c r="M6151" s="14"/>
      <c r="N6151" s="14"/>
      <c r="O6151" s="14"/>
      <c r="P6151" s="13"/>
    </row>
    <row r="6152">
      <c r="L6152" s="13"/>
      <c r="M6152" s="14"/>
      <c r="N6152" s="14"/>
      <c r="O6152" s="14"/>
      <c r="P6152" s="13"/>
    </row>
    <row r="6153">
      <c r="L6153" s="13"/>
      <c r="M6153" s="14"/>
      <c r="N6153" s="14"/>
      <c r="O6153" s="14"/>
      <c r="P6153" s="13"/>
    </row>
    <row r="6154">
      <c r="L6154" s="13"/>
      <c r="M6154" s="14"/>
      <c r="N6154" s="14"/>
      <c r="O6154" s="14"/>
      <c r="P6154" s="13"/>
    </row>
    <row r="6155">
      <c r="L6155" s="13"/>
      <c r="M6155" s="14"/>
      <c r="N6155" s="14"/>
      <c r="O6155" s="14"/>
      <c r="P6155" s="13"/>
    </row>
    <row r="6156">
      <c r="L6156" s="13"/>
      <c r="M6156" s="14"/>
      <c r="N6156" s="14"/>
      <c r="O6156" s="14"/>
      <c r="P6156" s="13"/>
    </row>
    <row r="6157">
      <c r="L6157" s="13"/>
      <c r="M6157" s="14"/>
      <c r="N6157" s="14"/>
      <c r="O6157" s="14"/>
      <c r="P6157" s="13"/>
    </row>
    <row r="6158">
      <c r="L6158" s="13"/>
      <c r="M6158" s="14"/>
      <c r="N6158" s="14"/>
      <c r="O6158" s="14"/>
      <c r="P6158" s="13"/>
    </row>
    <row r="6159">
      <c r="L6159" s="13"/>
      <c r="M6159" s="14"/>
      <c r="N6159" s="14"/>
      <c r="O6159" s="14"/>
      <c r="P6159" s="13"/>
    </row>
    <row r="6160">
      <c r="L6160" s="13"/>
      <c r="M6160" s="14"/>
      <c r="N6160" s="14"/>
      <c r="O6160" s="14"/>
      <c r="P6160" s="13"/>
    </row>
    <row r="6161">
      <c r="L6161" s="13"/>
      <c r="M6161" s="14"/>
      <c r="N6161" s="14"/>
      <c r="O6161" s="14"/>
      <c r="P6161" s="13"/>
    </row>
    <row r="6162">
      <c r="L6162" s="13"/>
      <c r="M6162" s="14"/>
      <c r="N6162" s="14"/>
      <c r="O6162" s="14"/>
      <c r="P6162" s="13"/>
    </row>
    <row r="6163">
      <c r="L6163" s="13"/>
      <c r="M6163" s="14"/>
      <c r="N6163" s="14"/>
      <c r="O6163" s="14"/>
      <c r="P6163" s="13"/>
    </row>
    <row r="6164">
      <c r="L6164" s="13"/>
      <c r="M6164" s="14"/>
      <c r="N6164" s="14"/>
      <c r="O6164" s="14"/>
      <c r="P6164" s="13"/>
    </row>
    <row r="6165">
      <c r="L6165" s="13"/>
      <c r="M6165" s="14"/>
      <c r="N6165" s="14"/>
      <c r="O6165" s="14"/>
      <c r="P6165" s="13"/>
    </row>
    <row r="6166">
      <c r="L6166" s="13"/>
      <c r="M6166" s="14"/>
      <c r="N6166" s="14"/>
      <c r="O6166" s="14"/>
      <c r="P6166" s="13"/>
    </row>
    <row r="6167">
      <c r="L6167" s="13"/>
      <c r="M6167" s="14"/>
      <c r="N6167" s="14"/>
      <c r="O6167" s="14"/>
      <c r="P6167" s="13"/>
    </row>
    <row r="6168">
      <c r="L6168" s="13"/>
      <c r="M6168" s="14"/>
      <c r="N6168" s="14"/>
      <c r="O6168" s="14"/>
      <c r="P6168" s="13"/>
    </row>
    <row r="6169">
      <c r="L6169" s="13"/>
      <c r="M6169" s="14"/>
      <c r="N6169" s="14"/>
      <c r="O6169" s="14"/>
      <c r="P6169" s="13"/>
    </row>
    <row r="6170">
      <c r="L6170" s="13"/>
      <c r="M6170" s="14"/>
      <c r="N6170" s="14"/>
      <c r="O6170" s="14"/>
      <c r="P6170" s="13"/>
    </row>
    <row r="6171">
      <c r="L6171" s="13"/>
      <c r="M6171" s="14"/>
      <c r="N6171" s="14"/>
      <c r="O6171" s="14"/>
      <c r="P6171" s="13"/>
    </row>
    <row r="6172">
      <c r="L6172" s="13"/>
      <c r="M6172" s="14"/>
      <c r="N6172" s="14"/>
      <c r="O6172" s="14"/>
      <c r="P6172" s="13"/>
    </row>
    <row r="6173">
      <c r="L6173" s="13"/>
      <c r="M6173" s="14"/>
      <c r="N6173" s="14"/>
      <c r="O6173" s="14"/>
      <c r="P6173" s="13"/>
    </row>
    <row r="6174">
      <c r="L6174" s="13"/>
      <c r="M6174" s="14"/>
      <c r="N6174" s="14"/>
      <c r="O6174" s="14"/>
      <c r="P6174" s="13"/>
    </row>
    <row r="6175">
      <c r="L6175" s="13"/>
      <c r="M6175" s="14"/>
      <c r="N6175" s="14"/>
      <c r="O6175" s="14"/>
      <c r="P6175" s="13"/>
    </row>
    <row r="6176">
      <c r="L6176" s="13"/>
      <c r="M6176" s="14"/>
      <c r="N6176" s="14"/>
      <c r="O6176" s="14"/>
      <c r="P6176" s="13"/>
    </row>
    <row r="6177">
      <c r="L6177" s="13"/>
      <c r="M6177" s="14"/>
      <c r="N6177" s="14"/>
      <c r="O6177" s="14"/>
      <c r="P6177" s="13"/>
    </row>
    <row r="6178">
      <c r="L6178" s="13"/>
      <c r="M6178" s="14"/>
      <c r="N6178" s="14"/>
      <c r="O6178" s="14"/>
      <c r="P6178" s="13"/>
    </row>
    <row r="6179">
      <c r="L6179" s="13"/>
      <c r="M6179" s="14"/>
      <c r="N6179" s="14"/>
      <c r="O6179" s="14"/>
      <c r="P6179" s="13"/>
    </row>
    <row r="6180">
      <c r="L6180" s="13"/>
      <c r="M6180" s="14"/>
      <c r="N6180" s="14"/>
      <c r="O6180" s="14"/>
      <c r="P6180" s="13"/>
    </row>
    <row r="6181">
      <c r="L6181" s="13"/>
      <c r="M6181" s="14"/>
      <c r="N6181" s="14"/>
      <c r="O6181" s="14"/>
      <c r="P6181" s="13"/>
    </row>
    <row r="6182">
      <c r="L6182" s="13"/>
      <c r="M6182" s="14"/>
      <c r="N6182" s="14"/>
      <c r="O6182" s="14"/>
      <c r="P6182" s="13"/>
    </row>
    <row r="6183">
      <c r="L6183" s="13"/>
      <c r="M6183" s="14"/>
      <c r="N6183" s="14"/>
      <c r="O6183" s="14"/>
      <c r="P6183" s="13"/>
    </row>
    <row r="6184">
      <c r="L6184" s="13"/>
      <c r="M6184" s="14"/>
      <c r="N6184" s="14"/>
      <c r="O6184" s="14"/>
      <c r="P6184" s="13"/>
    </row>
    <row r="6185">
      <c r="L6185" s="13"/>
      <c r="M6185" s="14"/>
      <c r="N6185" s="14"/>
      <c r="O6185" s="14"/>
      <c r="P6185" s="13"/>
    </row>
    <row r="6186">
      <c r="L6186" s="13"/>
      <c r="M6186" s="14"/>
      <c r="N6186" s="14"/>
      <c r="O6186" s="14"/>
      <c r="P6186" s="13"/>
    </row>
    <row r="6187">
      <c r="L6187" s="13"/>
      <c r="M6187" s="14"/>
      <c r="N6187" s="14"/>
      <c r="O6187" s="14"/>
      <c r="P6187" s="13"/>
    </row>
    <row r="6188">
      <c r="L6188" s="13"/>
      <c r="M6188" s="14"/>
      <c r="N6188" s="14"/>
      <c r="O6188" s="14"/>
      <c r="P6188" s="13"/>
    </row>
    <row r="6189">
      <c r="L6189" s="13"/>
      <c r="M6189" s="14"/>
      <c r="N6189" s="14"/>
      <c r="O6189" s="14"/>
      <c r="P6189" s="13"/>
    </row>
    <row r="6190">
      <c r="L6190" s="13"/>
      <c r="M6190" s="14"/>
      <c r="N6190" s="14"/>
      <c r="O6190" s="14"/>
      <c r="P6190" s="13"/>
    </row>
    <row r="6191">
      <c r="L6191" s="13"/>
      <c r="M6191" s="14"/>
      <c r="N6191" s="14"/>
      <c r="O6191" s="14"/>
      <c r="P6191" s="13"/>
    </row>
    <row r="6192">
      <c r="L6192" s="13"/>
      <c r="M6192" s="14"/>
      <c r="N6192" s="14"/>
      <c r="O6192" s="14"/>
      <c r="P6192" s="13"/>
    </row>
    <row r="6193">
      <c r="L6193" s="13"/>
      <c r="M6193" s="14"/>
      <c r="N6193" s="14"/>
      <c r="O6193" s="14"/>
      <c r="P6193" s="13"/>
    </row>
    <row r="6194">
      <c r="L6194" s="13"/>
      <c r="M6194" s="14"/>
      <c r="N6194" s="14"/>
      <c r="O6194" s="14"/>
      <c r="P6194" s="13"/>
    </row>
    <row r="6195">
      <c r="L6195" s="13"/>
      <c r="M6195" s="14"/>
      <c r="N6195" s="14"/>
      <c r="O6195" s="14"/>
      <c r="P6195" s="13"/>
    </row>
    <row r="6196">
      <c r="L6196" s="13"/>
      <c r="M6196" s="14"/>
      <c r="N6196" s="14"/>
      <c r="O6196" s="14"/>
      <c r="P6196" s="13"/>
    </row>
    <row r="6197">
      <c r="L6197" s="13"/>
      <c r="M6197" s="14"/>
      <c r="N6197" s="14"/>
      <c r="O6197" s="14"/>
      <c r="P6197" s="13"/>
    </row>
    <row r="6198">
      <c r="L6198" s="13"/>
      <c r="M6198" s="14"/>
      <c r="N6198" s="14"/>
      <c r="O6198" s="14"/>
      <c r="P6198" s="13"/>
    </row>
    <row r="6199">
      <c r="L6199" s="13"/>
      <c r="M6199" s="14"/>
      <c r="N6199" s="14"/>
      <c r="O6199" s="14"/>
      <c r="P6199" s="13"/>
    </row>
    <row r="6200">
      <c r="L6200" s="13"/>
      <c r="M6200" s="14"/>
      <c r="N6200" s="14"/>
      <c r="O6200" s="14"/>
      <c r="P6200" s="13"/>
    </row>
    <row r="6201">
      <c r="L6201" s="13"/>
      <c r="M6201" s="14"/>
      <c r="N6201" s="14"/>
      <c r="O6201" s="14"/>
      <c r="P6201" s="13"/>
    </row>
    <row r="6202">
      <c r="L6202" s="13"/>
      <c r="M6202" s="14"/>
      <c r="N6202" s="14"/>
      <c r="O6202" s="14"/>
      <c r="P6202" s="13"/>
    </row>
    <row r="6203">
      <c r="L6203" s="13"/>
      <c r="M6203" s="14"/>
      <c r="N6203" s="14"/>
      <c r="O6203" s="14"/>
      <c r="P6203" s="13"/>
    </row>
    <row r="6204">
      <c r="L6204" s="13"/>
      <c r="M6204" s="14"/>
      <c r="N6204" s="14"/>
      <c r="O6204" s="14"/>
      <c r="P6204" s="13"/>
    </row>
    <row r="6205">
      <c r="L6205" s="13"/>
      <c r="M6205" s="14"/>
      <c r="N6205" s="14"/>
      <c r="O6205" s="14"/>
      <c r="P6205" s="13"/>
    </row>
    <row r="6206">
      <c r="L6206" s="13"/>
      <c r="M6206" s="14"/>
      <c r="N6206" s="14"/>
      <c r="O6206" s="14"/>
      <c r="P6206" s="13"/>
    </row>
    <row r="6207">
      <c r="L6207" s="13"/>
      <c r="M6207" s="14"/>
      <c r="N6207" s="14"/>
      <c r="O6207" s="14"/>
      <c r="P6207" s="13"/>
    </row>
    <row r="6208">
      <c r="L6208" s="13"/>
      <c r="M6208" s="14"/>
      <c r="N6208" s="14"/>
      <c r="O6208" s="14"/>
      <c r="P6208" s="13"/>
    </row>
    <row r="6209">
      <c r="L6209" s="13"/>
      <c r="M6209" s="14"/>
      <c r="N6209" s="14"/>
      <c r="O6209" s="14"/>
      <c r="P6209" s="13"/>
    </row>
    <row r="6210">
      <c r="L6210" s="13"/>
      <c r="M6210" s="14"/>
      <c r="N6210" s="14"/>
      <c r="O6210" s="14"/>
      <c r="P6210" s="13"/>
    </row>
    <row r="6211">
      <c r="L6211" s="13"/>
      <c r="M6211" s="14"/>
      <c r="N6211" s="14"/>
      <c r="O6211" s="14"/>
      <c r="P6211" s="13"/>
    </row>
    <row r="6212">
      <c r="L6212" s="13"/>
      <c r="M6212" s="14"/>
      <c r="N6212" s="14"/>
      <c r="O6212" s="14"/>
      <c r="P6212" s="13"/>
    </row>
    <row r="6213">
      <c r="L6213" s="13"/>
      <c r="M6213" s="14"/>
      <c r="N6213" s="14"/>
      <c r="O6213" s="14"/>
      <c r="P6213" s="13"/>
    </row>
    <row r="6214">
      <c r="L6214" s="13"/>
      <c r="M6214" s="14"/>
      <c r="N6214" s="14"/>
      <c r="O6214" s="14"/>
      <c r="P6214" s="13"/>
    </row>
    <row r="6215">
      <c r="L6215" s="13"/>
      <c r="M6215" s="14"/>
      <c r="N6215" s="14"/>
      <c r="O6215" s="14"/>
      <c r="P6215" s="13"/>
    </row>
    <row r="6216">
      <c r="L6216" s="13"/>
      <c r="M6216" s="14"/>
      <c r="N6216" s="14"/>
      <c r="O6216" s="14"/>
      <c r="P6216" s="13"/>
    </row>
    <row r="6217">
      <c r="L6217" s="13"/>
      <c r="M6217" s="14"/>
      <c r="N6217" s="14"/>
      <c r="O6217" s="14"/>
      <c r="P6217" s="13"/>
    </row>
    <row r="6218">
      <c r="L6218" s="13"/>
      <c r="M6218" s="14"/>
      <c r="N6218" s="14"/>
      <c r="O6218" s="14"/>
      <c r="P6218" s="13"/>
    </row>
    <row r="6219">
      <c r="L6219" s="13"/>
      <c r="M6219" s="14"/>
      <c r="N6219" s="14"/>
      <c r="O6219" s="14"/>
      <c r="P6219" s="13"/>
    </row>
    <row r="6220">
      <c r="L6220" s="13"/>
      <c r="M6220" s="14"/>
      <c r="N6220" s="14"/>
      <c r="O6220" s="14"/>
      <c r="P6220" s="13"/>
    </row>
    <row r="6221">
      <c r="L6221" s="13"/>
      <c r="M6221" s="14"/>
      <c r="N6221" s="14"/>
      <c r="O6221" s="14"/>
      <c r="P6221" s="13"/>
    </row>
    <row r="6222">
      <c r="L6222" s="13"/>
      <c r="M6222" s="14"/>
      <c r="N6222" s="14"/>
      <c r="O6222" s="14"/>
      <c r="P6222" s="13"/>
    </row>
    <row r="6223">
      <c r="L6223" s="13"/>
      <c r="M6223" s="14"/>
      <c r="N6223" s="14"/>
      <c r="O6223" s="14"/>
      <c r="P6223" s="13"/>
    </row>
    <row r="6224">
      <c r="L6224" s="13"/>
      <c r="M6224" s="14"/>
      <c r="N6224" s="14"/>
      <c r="O6224" s="14"/>
      <c r="P6224" s="13"/>
    </row>
    <row r="6225">
      <c r="L6225" s="13"/>
      <c r="M6225" s="14"/>
      <c r="N6225" s="14"/>
      <c r="O6225" s="14"/>
      <c r="P6225" s="13"/>
    </row>
    <row r="6226">
      <c r="L6226" s="13"/>
      <c r="M6226" s="14"/>
      <c r="N6226" s="14"/>
      <c r="O6226" s="14"/>
      <c r="P6226" s="13"/>
    </row>
    <row r="6227">
      <c r="L6227" s="13"/>
      <c r="M6227" s="14"/>
      <c r="N6227" s="14"/>
      <c r="O6227" s="14"/>
      <c r="P6227" s="13"/>
    </row>
    <row r="6228">
      <c r="L6228" s="13"/>
      <c r="M6228" s="14"/>
      <c r="N6228" s="14"/>
      <c r="O6228" s="14"/>
      <c r="P6228" s="13"/>
    </row>
    <row r="6229">
      <c r="L6229" s="13"/>
      <c r="M6229" s="14"/>
      <c r="N6229" s="14"/>
      <c r="O6229" s="14"/>
      <c r="P6229" s="13"/>
    </row>
    <row r="6230">
      <c r="L6230" s="13"/>
      <c r="M6230" s="14"/>
      <c r="N6230" s="14"/>
      <c r="O6230" s="14"/>
      <c r="P6230" s="13"/>
    </row>
    <row r="6231">
      <c r="L6231" s="13"/>
      <c r="M6231" s="14"/>
      <c r="N6231" s="14"/>
      <c r="O6231" s="14"/>
      <c r="P6231" s="13"/>
    </row>
    <row r="6232">
      <c r="L6232" s="13"/>
      <c r="M6232" s="14"/>
      <c r="N6232" s="14"/>
      <c r="O6232" s="14"/>
      <c r="P6232" s="13"/>
    </row>
    <row r="6233">
      <c r="L6233" s="13"/>
      <c r="M6233" s="14"/>
      <c r="N6233" s="14"/>
      <c r="O6233" s="14"/>
      <c r="P6233" s="13"/>
    </row>
    <row r="6234">
      <c r="L6234" s="13"/>
      <c r="M6234" s="14"/>
      <c r="N6234" s="14"/>
      <c r="O6234" s="14"/>
      <c r="P6234" s="13"/>
    </row>
    <row r="6235">
      <c r="L6235" s="13"/>
      <c r="M6235" s="14"/>
      <c r="N6235" s="14"/>
      <c r="O6235" s="14"/>
      <c r="P6235" s="13"/>
    </row>
    <row r="6236">
      <c r="L6236" s="13"/>
      <c r="M6236" s="14"/>
      <c r="N6236" s="14"/>
      <c r="O6236" s="14"/>
      <c r="P6236" s="13"/>
    </row>
    <row r="6237">
      <c r="L6237" s="13"/>
      <c r="M6237" s="14"/>
      <c r="N6237" s="14"/>
      <c r="O6237" s="14"/>
      <c r="P6237" s="13"/>
    </row>
    <row r="6238">
      <c r="L6238" s="13"/>
      <c r="M6238" s="14"/>
      <c r="N6238" s="14"/>
      <c r="O6238" s="14"/>
      <c r="P6238" s="13"/>
    </row>
    <row r="6239">
      <c r="L6239" s="13"/>
      <c r="M6239" s="14"/>
      <c r="N6239" s="14"/>
      <c r="O6239" s="14"/>
      <c r="P6239" s="13"/>
    </row>
    <row r="6240">
      <c r="L6240" s="13"/>
      <c r="M6240" s="14"/>
      <c r="N6240" s="14"/>
      <c r="O6240" s="14"/>
      <c r="P6240" s="13"/>
    </row>
    <row r="6241">
      <c r="L6241" s="13"/>
      <c r="M6241" s="14"/>
      <c r="N6241" s="14"/>
      <c r="O6241" s="14"/>
      <c r="P6241" s="13"/>
    </row>
    <row r="6242">
      <c r="L6242" s="13"/>
      <c r="M6242" s="14"/>
      <c r="N6242" s="14"/>
      <c r="O6242" s="14"/>
      <c r="P6242" s="13"/>
    </row>
    <row r="6243">
      <c r="L6243" s="13"/>
      <c r="M6243" s="14"/>
      <c r="N6243" s="14"/>
      <c r="O6243" s="14"/>
      <c r="P6243" s="13"/>
    </row>
    <row r="6244">
      <c r="L6244" s="13"/>
      <c r="M6244" s="14"/>
      <c r="N6244" s="14"/>
      <c r="O6244" s="14"/>
      <c r="P6244" s="13"/>
    </row>
    <row r="6245">
      <c r="L6245" s="13"/>
      <c r="M6245" s="14"/>
      <c r="N6245" s="14"/>
      <c r="O6245" s="14"/>
      <c r="P6245" s="13"/>
    </row>
    <row r="6246">
      <c r="L6246" s="13"/>
      <c r="M6246" s="14"/>
      <c r="N6246" s="14"/>
      <c r="O6246" s="14"/>
      <c r="P6246" s="13"/>
    </row>
    <row r="6247">
      <c r="L6247" s="13"/>
      <c r="M6247" s="14"/>
      <c r="N6247" s="14"/>
      <c r="O6247" s="14"/>
      <c r="P6247" s="13"/>
    </row>
    <row r="6248">
      <c r="L6248" s="13"/>
      <c r="M6248" s="14"/>
      <c r="N6248" s="14"/>
      <c r="O6248" s="14"/>
      <c r="P6248" s="13"/>
    </row>
    <row r="6249">
      <c r="L6249" s="13"/>
      <c r="M6249" s="14"/>
      <c r="N6249" s="14"/>
      <c r="O6249" s="14"/>
      <c r="P6249" s="13"/>
    </row>
    <row r="6250">
      <c r="L6250" s="13"/>
      <c r="M6250" s="14"/>
      <c r="N6250" s="14"/>
      <c r="O6250" s="14"/>
      <c r="P6250" s="13"/>
    </row>
    <row r="6251">
      <c r="L6251" s="13"/>
      <c r="M6251" s="14"/>
      <c r="N6251" s="14"/>
      <c r="O6251" s="14"/>
      <c r="P6251" s="13"/>
    </row>
    <row r="6252">
      <c r="L6252" s="13"/>
      <c r="M6252" s="14"/>
      <c r="N6252" s="14"/>
      <c r="O6252" s="14"/>
      <c r="P6252" s="13"/>
    </row>
    <row r="6253">
      <c r="L6253" s="13"/>
      <c r="M6253" s="14"/>
      <c r="N6253" s="14"/>
      <c r="O6253" s="14"/>
      <c r="P6253" s="13"/>
    </row>
    <row r="6254">
      <c r="L6254" s="13"/>
      <c r="M6254" s="14"/>
      <c r="N6254" s="14"/>
      <c r="O6254" s="14"/>
      <c r="P6254" s="13"/>
    </row>
    <row r="6255">
      <c r="L6255" s="13"/>
      <c r="M6255" s="14"/>
      <c r="N6255" s="14"/>
      <c r="O6255" s="14"/>
      <c r="P6255" s="13"/>
    </row>
    <row r="6256">
      <c r="L6256" s="13"/>
      <c r="M6256" s="14"/>
      <c r="N6256" s="14"/>
      <c r="O6256" s="14"/>
      <c r="P6256" s="13"/>
    </row>
    <row r="6257">
      <c r="L6257" s="13"/>
      <c r="M6257" s="14"/>
      <c r="N6257" s="14"/>
      <c r="O6257" s="14"/>
      <c r="P6257" s="13"/>
    </row>
    <row r="6258">
      <c r="L6258" s="13"/>
      <c r="M6258" s="14"/>
      <c r="N6258" s="14"/>
      <c r="O6258" s="14"/>
      <c r="P6258" s="13"/>
    </row>
    <row r="6259">
      <c r="L6259" s="13"/>
      <c r="M6259" s="14"/>
      <c r="N6259" s="14"/>
      <c r="O6259" s="14"/>
      <c r="P6259" s="13"/>
    </row>
    <row r="6260">
      <c r="L6260" s="13"/>
      <c r="M6260" s="14"/>
      <c r="N6260" s="14"/>
      <c r="O6260" s="14"/>
      <c r="P6260" s="13"/>
    </row>
    <row r="6261">
      <c r="L6261" s="13"/>
      <c r="M6261" s="14"/>
      <c r="N6261" s="14"/>
      <c r="O6261" s="14"/>
      <c r="P6261" s="13"/>
    </row>
    <row r="6262">
      <c r="L6262" s="13"/>
      <c r="M6262" s="14"/>
      <c r="N6262" s="14"/>
      <c r="O6262" s="14"/>
      <c r="P6262" s="13"/>
    </row>
    <row r="6263">
      <c r="L6263" s="13"/>
      <c r="M6263" s="14"/>
      <c r="N6263" s="14"/>
      <c r="O6263" s="14"/>
      <c r="P6263" s="13"/>
    </row>
    <row r="6264">
      <c r="L6264" s="13"/>
      <c r="M6264" s="14"/>
      <c r="N6264" s="14"/>
      <c r="O6264" s="14"/>
      <c r="P6264" s="13"/>
    </row>
    <row r="6265">
      <c r="L6265" s="13"/>
      <c r="M6265" s="14"/>
      <c r="N6265" s="14"/>
      <c r="O6265" s="14"/>
      <c r="P6265" s="13"/>
    </row>
    <row r="6266">
      <c r="L6266" s="13"/>
      <c r="M6266" s="14"/>
      <c r="N6266" s="14"/>
      <c r="O6266" s="14"/>
      <c r="P6266" s="13"/>
    </row>
    <row r="6267">
      <c r="L6267" s="13"/>
      <c r="M6267" s="14"/>
      <c r="N6267" s="14"/>
      <c r="O6267" s="14"/>
      <c r="P6267" s="13"/>
    </row>
    <row r="6268">
      <c r="L6268" s="13"/>
      <c r="M6268" s="14"/>
      <c r="N6268" s="14"/>
      <c r="O6268" s="14"/>
      <c r="P6268" s="13"/>
    </row>
    <row r="6269">
      <c r="L6269" s="13"/>
      <c r="M6269" s="14"/>
      <c r="N6269" s="14"/>
      <c r="O6269" s="14"/>
      <c r="P6269" s="13"/>
    </row>
    <row r="6270">
      <c r="L6270" s="13"/>
      <c r="M6270" s="14"/>
      <c r="N6270" s="14"/>
      <c r="O6270" s="14"/>
      <c r="P6270" s="13"/>
    </row>
    <row r="6271">
      <c r="L6271" s="13"/>
      <c r="M6271" s="14"/>
      <c r="N6271" s="14"/>
      <c r="O6271" s="14"/>
      <c r="P6271" s="13"/>
    </row>
    <row r="6272">
      <c r="L6272" s="13"/>
      <c r="M6272" s="14"/>
      <c r="N6272" s="14"/>
      <c r="O6272" s="14"/>
      <c r="P6272" s="13"/>
    </row>
    <row r="6273">
      <c r="L6273" s="13"/>
      <c r="M6273" s="14"/>
      <c r="N6273" s="14"/>
      <c r="O6273" s="14"/>
      <c r="P6273" s="13"/>
    </row>
    <row r="6274">
      <c r="L6274" s="13"/>
      <c r="M6274" s="14"/>
      <c r="N6274" s="14"/>
      <c r="O6274" s="14"/>
      <c r="P6274" s="13"/>
    </row>
    <row r="6275">
      <c r="L6275" s="13"/>
      <c r="M6275" s="14"/>
      <c r="N6275" s="14"/>
      <c r="O6275" s="14"/>
      <c r="P6275" s="13"/>
    </row>
    <row r="6276">
      <c r="L6276" s="13"/>
      <c r="M6276" s="14"/>
      <c r="N6276" s="14"/>
      <c r="O6276" s="14"/>
      <c r="P6276" s="13"/>
    </row>
    <row r="6277">
      <c r="L6277" s="13"/>
      <c r="M6277" s="14"/>
      <c r="N6277" s="14"/>
      <c r="O6277" s="14"/>
      <c r="P6277" s="13"/>
    </row>
    <row r="6278">
      <c r="L6278" s="13"/>
      <c r="M6278" s="14"/>
      <c r="N6278" s="14"/>
      <c r="O6278" s="14"/>
      <c r="P6278" s="13"/>
    </row>
    <row r="6279">
      <c r="L6279" s="13"/>
      <c r="M6279" s="14"/>
      <c r="N6279" s="14"/>
      <c r="O6279" s="14"/>
      <c r="P6279" s="13"/>
    </row>
    <row r="6280">
      <c r="L6280" s="13"/>
      <c r="M6280" s="14"/>
      <c r="N6280" s="14"/>
      <c r="O6280" s="14"/>
      <c r="P6280" s="13"/>
    </row>
    <row r="6281">
      <c r="L6281" s="13"/>
      <c r="M6281" s="14"/>
      <c r="N6281" s="14"/>
      <c r="O6281" s="14"/>
      <c r="P6281" s="13"/>
    </row>
    <row r="6282">
      <c r="L6282" s="13"/>
      <c r="M6282" s="14"/>
      <c r="N6282" s="14"/>
      <c r="O6282" s="14"/>
      <c r="P6282" s="13"/>
    </row>
    <row r="6283">
      <c r="L6283" s="13"/>
      <c r="M6283" s="14"/>
      <c r="N6283" s="14"/>
      <c r="O6283" s="14"/>
      <c r="P6283" s="13"/>
    </row>
    <row r="6284">
      <c r="L6284" s="13"/>
      <c r="M6284" s="14"/>
      <c r="N6284" s="14"/>
      <c r="O6284" s="14"/>
      <c r="P6284" s="13"/>
    </row>
    <row r="6285">
      <c r="L6285" s="13"/>
      <c r="M6285" s="14"/>
      <c r="N6285" s="14"/>
      <c r="O6285" s="14"/>
      <c r="P6285" s="13"/>
    </row>
    <row r="6286">
      <c r="L6286" s="13"/>
      <c r="M6286" s="14"/>
      <c r="N6286" s="14"/>
      <c r="O6286" s="14"/>
      <c r="P6286" s="13"/>
    </row>
    <row r="6287">
      <c r="L6287" s="13"/>
      <c r="M6287" s="14"/>
      <c r="N6287" s="14"/>
      <c r="O6287" s="14"/>
      <c r="P6287" s="13"/>
    </row>
    <row r="6288">
      <c r="L6288" s="13"/>
      <c r="M6288" s="14"/>
      <c r="N6288" s="14"/>
      <c r="O6288" s="14"/>
      <c r="P6288" s="13"/>
    </row>
    <row r="6289">
      <c r="L6289" s="13"/>
      <c r="M6289" s="14"/>
      <c r="N6289" s="14"/>
      <c r="O6289" s="14"/>
      <c r="P6289" s="13"/>
    </row>
    <row r="6290">
      <c r="L6290" s="13"/>
      <c r="M6290" s="14"/>
      <c r="N6290" s="14"/>
      <c r="O6290" s="14"/>
      <c r="P6290" s="13"/>
    </row>
    <row r="6291">
      <c r="L6291" s="13"/>
      <c r="M6291" s="14"/>
      <c r="N6291" s="14"/>
      <c r="O6291" s="14"/>
      <c r="P6291" s="13"/>
    </row>
    <row r="6292">
      <c r="L6292" s="13"/>
      <c r="M6292" s="14"/>
      <c r="N6292" s="14"/>
      <c r="O6292" s="14"/>
      <c r="P6292" s="13"/>
    </row>
    <row r="6293">
      <c r="L6293" s="13"/>
      <c r="M6293" s="14"/>
      <c r="N6293" s="14"/>
      <c r="O6293" s="14"/>
      <c r="P6293" s="13"/>
    </row>
    <row r="6294">
      <c r="L6294" s="13"/>
      <c r="M6294" s="14"/>
      <c r="N6294" s="14"/>
      <c r="O6294" s="14"/>
      <c r="P6294" s="13"/>
    </row>
    <row r="6295">
      <c r="L6295" s="13"/>
      <c r="M6295" s="14"/>
      <c r="N6295" s="14"/>
      <c r="O6295" s="14"/>
      <c r="P6295" s="13"/>
    </row>
    <row r="6296">
      <c r="L6296" s="13"/>
      <c r="M6296" s="14"/>
      <c r="N6296" s="14"/>
      <c r="O6296" s="14"/>
      <c r="P6296" s="13"/>
    </row>
    <row r="6297">
      <c r="L6297" s="13"/>
      <c r="M6297" s="14"/>
      <c r="N6297" s="14"/>
      <c r="O6297" s="14"/>
      <c r="P6297" s="13"/>
    </row>
    <row r="6298">
      <c r="L6298" s="13"/>
      <c r="M6298" s="14"/>
      <c r="N6298" s="14"/>
      <c r="O6298" s="14"/>
      <c r="P6298" s="13"/>
    </row>
    <row r="6299">
      <c r="L6299" s="13"/>
      <c r="M6299" s="14"/>
      <c r="N6299" s="14"/>
      <c r="O6299" s="14"/>
      <c r="P6299" s="13"/>
    </row>
    <row r="6300">
      <c r="L6300" s="13"/>
      <c r="M6300" s="14"/>
      <c r="N6300" s="14"/>
      <c r="O6300" s="14"/>
      <c r="P6300" s="13"/>
    </row>
    <row r="6301">
      <c r="L6301" s="13"/>
      <c r="M6301" s="14"/>
      <c r="N6301" s="14"/>
      <c r="O6301" s="14"/>
      <c r="P6301" s="13"/>
    </row>
    <row r="6302">
      <c r="L6302" s="13"/>
      <c r="M6302" s="14"/>
      <c r="N6302" s="14"/>
      <c r="O6302" s="14"/>
      <c r="P6302" s="13"/>
    </row>
    <row r="6303">
      <c r="L6303" s="13"/>
      <c r="M6303" s="14"/>
      <c r="N6303" s="14"/>
      <c r="O6303" s="14"/>
      <c r="P6303" s="13"/>
    </row>
    <row r="6304">
      <c r="L6304" s="13"/>
      <c r="M6304" s="14"/>
      <c r="N6304" s="14"/>
      <c r="O6304" s="14"/>
      <c r="P6304" s="13"/>
    </row>
    <row r="6305">
      <c r="L6305" s="13"/>
      <c r="M6305" s="14"/>
      <c r="N6305" s="14"/>
      <c r="O6305" s="14"/>
      <c r="P6305" s="13"/>
    </row>
    <row r="6306">
      <c r="L6306" s="13"/>
      <c r="M6306" s="14"/>
      <c r="N6306" s="14"/>
      <c r="O6306" s="14"/>
      <c r="P6306" s="13"/>
    </row>
    <row r="6307">
      <c r="L6307" s="13"/>
      <c r="M6307" s="14"/>
      <c r="N6307" s="14"/>
      <c r="O6307" s="14"/>
      <c r="P6307" s="13"/>
    </row>
    <row r="6308">
      <c r="L6308" s="13"/>
      <c r="M6308" s="14"/>
      <c r="N6308" s="14"/>
      <c r="O6308" s="14"/>
      <c r="P6308" s="13"/>
    </row>
    <row r="6309">
      <c r="L6309" s="13"/>
      <c r="M6309" s="14"/>
      <c r="N6309" s="14"/>
      <c r="O6309" s="14"/>
      <c r="P6309" s="13"/>
    </row>
    <row r="6310">
      <c r="L6310" s="13"/>
      <c r="M6310" s="14"/>
      <c r="N6310" s="14"/>
      <c r="O6310" s="14"/>
      <c r="P6310" s="13"/>
    </row>
    <row r="6311">
      <c r="L6311" s="13"/>
      <c r="M6311" s="14"/>
      <c r="N6311" s="14"/>
      <c r="O6311" s="14"/>
      <c r="P6311" s="13"/>
    </row>
    <row r="6312">
      <c r="L6312" s="13"/>
      <c r="M6312" s="14"/>
      <c r="N6312" s="14"/>
      <c r="O6312" s="14"/>
      <c r="P6312" s="13"/>
    </row>
    <row r="6313">
      <c r="L6313" s="13"/>
      <c r="M6313" s="14"/>
      <c r="N6313" s="14"/>
      <c r="O6313" s="14"/>
      <c r="P6313" s="13"/>
    </row>
    <row r="6314">
      <c r="L6314" s="13"/>
      <c r="M6314" s="14"/>
      <c r="N6314" s="14"/>
      <c r="O6314" s="14"/>
      <c r="P6314" s="13"/>
    </row>
    <row r="6315">
      <c r="L6315" s="13"/>
      <c r="M6315" s="14"/>
      <c r="N6315" s="14"/>
      <c r="O6315" s="14"/>
      <c r="P6315" s="13"/>
    </row>
    <row r="6316">
      <c r="L6316" s="13"/>
      <c r="M6316" s="14"/>
      <c r="N6316" s="14"/>
      <c r="O6316" s="14"/>
      <c r="P6316" s="13"/>
    </row>
    <row r="6317">
      <c r="L6317" s="13"/>
      <c r="M6317" s="14"/>
      <c r="N6317" s="14"/>
      <c r="O6317" s="14"/>
      <c r="P6317" s="13"/>
    </row>
    <row r="6318">
      <c r="L6318" s="13"/>
      <c r="M6318" s="14"/>
      <c r="N6318" s="14"/>
      <c r="O6318" s="14"/>
      <c r="P6318" s="13"/>
    </row>
    <row r="6319">
      <c r="L6319" s="13"/>
      <c r="M6319" s="14"/>
      <c r="N6319" s="14"/>
      <c r="O6319" s="14"/>
      <c r="P6319" s="13"/>
    </row>
    <row r="6320">
      <c r="L6320" s="13"/>
      <c r="M6320" s="14"/>
      <c r="N6320" s="14"/>
      <c r="O6320" s="14"/>
      <c r="P6320" s="13"/>
    </row>
    <row r="6321">
      <c r="L6321" s="13"/>
      <c r="M6321" s="14"/>
      <c r="N6321" s="14"/>
      <c r="O6321" s="14"/>
      <c r="P6321" s="13"/>
    </row>
    <row r="6322">
      <c r="L6322" s="13"/>
      <c r="M6322" s="14"/>
      <c r="N6322" s="14"/>
      <c r="O6322" s="14"/>
      <c r="P6322" s="13"/>
    </row>
    <row r="6323">
      <c r="L6323" s="13"/>
      <c r="M6323" s="14"/>
      <c r="N6323" s="14"/>
      <c r="O6323" s="14"/>
      <c r="P6323" s="13"/>
    </row>
    <row r="6324">
      <c r="L6324" s="13"/>
      <c r="M6324" s="14"/>
      <c r="N6324" s="14"/>
      <c r="O6324" s="14"/>
      <c r="P6324" s="13"/>
    </row>
    <row r="6325">
      <c r="L6325" s="13"/>
      <c r="M6325" s="14"/>
      <c r="N6325" s="14"/>
      <c r="O6325" s="14"/>
      <c r="P6325" s="13"/>
    </row>
    <row r="6326">
      <c r="L6326" s="13"/>
      <c r="M6326" s="14"/>
      <c r="N6326" s="14"/>
      <c r="O6326" s="14"/>
      <c r="P6326" s="13"/>
    </row>
    <row r="6327">
      <c r="L6327" s="13"/>
      <c r="M6327" s="14"/>
      <c r="N6327" s="14"/>
      <c r="O6327" s="14"/>
      <c r="P6327" s="13"/>
    </row>
    <row r="6328">
      <c r="L6328" s="13"/>
      <c r="M6328" s="14"/>
      <c r="N6328" s="14"/>
      <c r="O6328" s="14"/>
      <c r="P6328" s="13"/>
    </row>
    <row r="6329">
      <c r="L6329" s="13"/>
      <c r="M6329" s="14"/>
      <c r="N6329" s="14"/>
      <c r="O6329" s="14"/>
      <c r="P6329" s="13"/>
    </row>
    <row r="6330">
      <c r="L6330" s="13"/>
      <c r="M6330" s="14"/>
      <c r="N6330" s="14"/>
      <c r="O6330" s="14"/>
      <c r="P6330" s="13"/>
    </row>
    <row r="6331">
      <c r="L6331" s="13"/>
      <c r="M6331" s="14"/>
      <c r="N6331" s="14"/>
      <c r="O6331" s="14"/>
      <c r="P6331" s="13"/>
    </row>
    <row r="6332">
      <c r="L6332" s="13"/>
      <c r="M6332" s="14"/>
      <c r="N6332" s="14"/>
      <c r="O6332" s="14"/>
      <c r="P6332" s="13"/>
    </row>
    <row r="6333">
      <c r="L6333" s="13"/>
      <c r="M6333" s="14"/>
      <c r="N6333" s="14"/>
      <c r="O6333" s="14"/>
      <c r="P6333" s="13"/>
    </row>
    <row r="6334">
      <c r="L6334" s="13"/>
      <c r="M6334" s="14"/>
      <c r="N6334" s="14"/>
      <c r="O6334" s="14"/>
      <c r="P6334" s="13"/>
    </row>
    <row r="6335">
      <c r="L6335" s="13"/>
      <c r="M6335" s="14"/>
      <c r="N6335" s="14"/>
      <c r="O6335" s="14"/>
      <c r="P6335" s="13"/>
    </row>
    <row r="6336">
      <c r="L6336" s="13"/>
      <c r="M6336" s="14"/>
      <c r="N6336" s="14"/>
      <c r="O6336" s="14"/>
      <c r="P6336" s="13"/>
    </row>
    <row r="6337">
      <c r="L6337" s="13"/>
      <c r="M6337" s="14"/>
      <c r="N6337" s="14"/>
      <c r="O6337" s="14"/>
      <c r="P6337" s="13"/>
    </row>
    <row r="6338">
      <c r="L6338" s="13"/>
      <c r="M6338" s="14"/>
      <c r="N6338" s="14"/>
      <c r="O6338" s="14"/>
      <c r="P6338" s="13"/>
    </row>
    <row r="6339">
      <c r="L6339" s="13"/>
      <c r="M6339" s="14"/>
      <c r="N6339" s="14"/>
      <c r="O6339" s="14"/>
      <c r="P6339" s="13"/>
    </row>
    <row r="6340">
      <c r="L6340" s="13"/>
      <c r="M6340" s="14"/>
      <c r="N6340" s="14"/>
      <c r="O6340" s="14"/>
      <c r="P6340" s="13"/>
    </row>
    <row r="6341">
      <c r="L6341" s="13"/>
      <c r="M6341" s="14"/>
      <c r="N6341" s="14"/>
      <c r="O6341" s="14"/>
      <c r="P6341" s="13"/>
    </row>
    <row r="6342">
      <c r="L6342" s="13"/>
      <c r="M6342" s="14"/>
      <c r="N6342" s="14"/>
      <c r="O6342" s="14"/>
      <c r="P6342" s="13"/>
    </row>
    <row r="6343">
      <c r="L6343" s="13"/>
      <c r="M6343" s="14"/>
      <c r="N6343" s="14"/>
      <c r="O6343" s="14"/>
      <c r="P6343" s="13"/>
    </row>
    <row r="6344">
      <c r="L6344" s="13"/>
      <c r="M6344" s="14"/>
      <c r="N6344" s="14"/>
      <c r="O6344" s="14"/>
      <c r="P6344" s="13"/>
    </row>
    <row r="6345">
      <c r="L6345" s="13"/>
      <c r="M6345" s="14"/>
      <c r="N6345" s="14"/>
      <c r="O6345" s="14"/>
      <c r="P6345" s="13"/>
    </row>
    <row r="6346">
      <c r="L6346" s="13"/>
      <c r="M6346" s="14"/>
      <c r="N6346" s="14"/>
      <c r="O6346" s="14"/>
      <c r="P6346" s="13"/>
    </row>
    <row r="6347">
      <c r="L6347" s="13"/>
      <c r="M6347" s="14"/>
      <c r="N6347" s="14"/>
      <c r="O6347" s="14"/>
      <c r="P6347" s="13"/>
    </row>
    <row r="6348">
      <c r="L6348" s="13"/>
      <c r="M6348" s="14"/>
      <c r="N6348" s="14"/>
      <c r="O6348" s="14"/>
      <c r="P6348" s="13"/>
    </row>
    <row r="6349">
      <c r="L6349" s="13"/>
      <c r="M6349" s="14"/>
      <c r="N6349" s="14"/>
      <c r="O6349" s="14"/>
      <c r="P6349" s="13"/>
    </row>
    <row r="6350">
      <c r="L6350" s="13"/>
      <c r="M6350" s="14"/>
      <c r="N6350" s="14"/>
      <c r="O6350" s="14"/>
      <c r="P6350" s="13"/>
    </row>
    <row r="6351">
      <c r="L6351" s="13"/>
      <c r="M6351" s="14"/>
      <c r="N6351" s="14"/>
      <c r="O6351" s="14"/>
      <c r="P6351" s="13"/>
    </row>
    <row r="6352">
      <c r="L6352" s="13"/>
      <c r="M6352" s="14"/>
      <c r="N6352" s="14"/>
      <c r="O6352" s="14"/>
      <c r="P6352" s="13"/>
    </row>
    <row r="6353">
      <c r="L6353" s="13"/>
      <c r="M6353" s="14"/>
      <c r="N6353" s="14"/>
      <c r="O6353" s="14"/>
      <c r="P6353" s="13"/>
    </row>
    <row r="6354">
      <c r="L6354" s="13"/>
      <c r="M6354" s="14"/>
      <c r="N6354" s="14"/>
      <c r="O6354" s="14"/>
      <c r="P6354" s="13"/>
    </row>
    <row r="6355">
      <c r="L6355" s="13"/>
      <c r="M6355" s="14"/>
      <c r="N6355" s="14"/>
      <c r="O6355" s="14"/>
      <c r="P6355" s="13"/>
    </row>
    <row r="6356">
      <c r="L6356" s="13"/>
      <c r="M6356" s="14"/>
      <c r="N6356" s="14"/>
      <c r="O6356" s="14"/>
      <c r="P6356" s="13"/>
    </row>
    <row r="6357">
      <c r="L6357" s="13"/>
      <c r="M6357" s="14"/>
      <c r="N6357" s="14"/>
      <c r="O6357" s="14"/>
      <c r="P6357" s="13"/>
    </row>
    <row r="6358">
      <c r="L6358" s="13"/>
      <c r="M6358" s="14"/>
      <c r="N6358" s="14"/>
      <c r="O6358" s="14"/>
      <c r="P6358" s="13"/>
    </row>
    <row r="6359">
      <c r="L6359" s="13"/>
      <c r="M6359" s="14"/>
      <c r="N6359" s="14"/>
      <c r="O6359" s="14"/>
      <c r="P6359" s="13"/>
    </row>
    <row r="6360">
      <c r="L6360" s="13"/>
      <c r="M6360" s="14"/>
      <c r="N6360" s="14"/>
      <c r="O6360" s="14"/>
      <c r="P6360" s="13"/>
    </row>
    <row r="6361">
      <c r="L6361" s="13"/>
      <c r="M6361" s="14"/>
      <c r="N6361" s="14"/>
      <c r="O6361" s="14"/>
      <c r="P6361" s="13"/>
    </row>
    <row r="6362">
      <c r="L6362" s="13"/>
      <c r="M6362" s="14"/>
      <c r="N6362" s="14"/>
      <c r="O6362" s="14"/>
      <c r="P6362" s="13"/>
    </row>
    <row r="6363">
      <c r="L6363" s="13"/>
      <c r="M6363" s="14"/>
      <c r="N6363" s="14"/>
      <c r="O6363" s="14"/>
      <c r="P6363" s="13"/>
    </row>
    <row r="6364">
      <c r="L6364" s="13"/>
      <c r="M6364" s="14"/>
      <c r="N6364" s="14"/>
      <c r="O6364" s="14"/>
      <c r="P6364" s="13"/>
    </row>
    <row r="6365">
      <c r="L6365" s="13"/>
      <c r="M6365" s="14"/>
      <c r="N6365" s="14"/>
      <c r="O6365" s="14"/>
      <c r="P6365" s="13"/>
    </row>
    <row r="6366">
      <c r="L6366" s="13"/>
      <c r="M6366" s="14"/>
      <c r="N6366" s="14"/>
      <c r="O6366" s="14"/>
      <c r="P6366" s="13"/>
    </row>
    <row r="6367">
      <c r="L6367" s="13"/>
      <c r="M6367" s="14"/>
      <c r="N6367" s="14"/>
      <c r="O6367" s="14"/>
      <c r="P6367" s="13"/>
    </row>
    <row r="6368">
      <c r="L6368" s="13"/>
      <c r="M6368" s="14"/>
      <c r="N6368" s="14"/>
      <c r="O6368" s="14"/>
      <c r="P6368" s="13"/>
    </row>
    <row r="6369">
      <c r="L6369" s="13"/>
      <c r="M6369" s="14"/>
      <c r="N6369" s="14"/>
      <c r="O6369" s="14"/>
      <c r="P6369" s="13"/>
    </row>
    <row r="6370">
      <c r="L6370" s="13"/>
      <c r="M6370" s="14"/>
      <c r="N6370" s="14"/>
      <c r="O6370" s="14"/>
      <c r="P6370" s="13"/>
    </row>
    <row r="6371">
      <c r="L6371" s="13"/>
      <c r="M6371" s="14"/>
      <c r="N6371" s="14"/>
      <c r="O6371" s="14"/>
      <c r="P6371" s="13"/>
    </row>
    <row r="6372">
      <c r="L6372" s="13"/>
      <c r="M6372" s="14"/>
      <c r="N6372" s="14"/>
      <c r="O6372" s="14"/>
      <c r="P6372" s="13"/>
    </row>
    <row r="6373">
      <c r="L6373" s="13"/>
      <c r="M6373" s="14"/>
      <c r="N6373" s="14"/>
      <c r="O6373" s="14"/>
      <c r="P6373" s="13"/>
    </row>
    <row r="6374">
      <c r="L6374" s="13"/>
      <c r="M6374" s="14"/>
      <c r="N6374" s="14"/>
      <c r="O6374" s="14"/>
      <c r="P6374" s="13"/>
    </row>
    <row r="6375">
      <c r="L6375" s="13"/>
      <c r="M6375" s="14"/>
      <c r="N6375" s="14"/>
      <c r="O6375" s="14"/>
      <c r="P6375" s="13"/>
    </row>
    <row r="6376">
      <c r="L6376" s="13"/>
      <c r="M6376" s="14"/>
      <c r="N6376" s="14"/>
      <c r="O6376" s="14"/>
      <c r="P6376" s="13"/>
    </row>
    <row r="6377">
      <c r="L6377" s="13"/>
      <c r="M6377" s="14"/>
      <c r="N6377" s="14"/>
      <c r="O6377" s="14"/>
      <c r="P6377" s="13"/>
    </row>
    <row r="6378">
      <c r="L6378" s="13"/>
      <c r="M6378" s="14"/>
      <c r="N6378" s="14"/>
      <c r="O6378" s="14"/>
      <c r="P6378" s="13"/>
    </row>
    <row r="6379">
      <c r="L6379" s="13"/>
      <c r="M6379" s="14"/>
      <c r="N6379" s="14"/>
      <c r="O6379" s="14"/>
      <c r="P6379" s="13"/>
    </row>
    <row r="6380">
      <c r="L6380" s="13"/>
      <c r="M6380" s="14"/>
      <c r="N6380" s="14"/>
      <c r="O6380" s="14"/>
      <c r="P6380" s="13"/>
    </row>
    <row r="6381">
      <c r="L6381" s="13"/>
      <c r="M6381" s="14"/>
      <c r="N6381" s="14"/>
      <c r="O6381" s="14"/>
      <c r="P6381" s="13"/>
    </row>
    <row r="6382">
      <c r="L6382" s="13"/>
      <c r="M6382" s="14"/>
      <c r="N6382" s="14"/>
      <c r="O6382" s="14"/>
      <c r="P6382" s="13"/>
    </row>
    <row r="6383">
      <c r="L6383" s="13"/>
      <c r="M6383" s="14"/>
      <c r="N6383" s="14"/>
      <c r="O6383" s="14"/>
      <c r="P6383" s="13"/>
    </row>
    <row r="6384">
      <c r="L6384" s="13"/>
      <c r="M6384" s="14"/>
      <c r="N6384" s="14"/>
      <c r="O6384" s="14"/>
      <c r="P6384" s="13"/>
    </row>
    <row r="6385">
      <c r="L6385" s="13"/>
      <c r="M6385" s="14"/>
      <c r="N6385" s="14"/>
      <c r="O6385" s="14"/>
      <c r="P6385" s="13"/>
    </row>
    <row r="6386">
      <c r="L6386" s="13"/>
      <c r="M6386" s="14"/>
      <c r="N6386" s="14"/>
      <c r="O6386" s="14"/>
      <c r="P6386" s="13"/>
    </row>
    <row r="6387">
      <c r="L6387" s="13"/>
      <c r="M6387" s="14"/>
      <c r="N6387" s="14"/>
      <c r="O6387" s="14"/>
      <c r="P6387" s="13"/>
    </row>
    <row r="6388">
      <c r="L6388" s="13"/>
      <c r="M6388" s="14"/>
      <c r="N6388" s="14"/>
      <c r="O6388" s="14"/>
      <c r="P6388" s="13"/>
    </row>
    <row r="6389">
      <c r="L6389" s="13"/>
      <c r="M6389" s="14"/>
      <c r="N6389" s="14"/>
      <c r="O6389" s="14"/>
      <c r="P6389" s="13"/>
    </row>
    <row r="6390">
      <c r="L6390" s="13"/>
      <c r="M6390" s="14"/>
      <c r="N6390" s="14"/>
      <c r="O6390" s="14"/>
      <c r="P6390" s="13"/>
    </row>
    <row r="6391">
      <c r="L6391" s="13"/>
      <c r="M6391" s="14"/>
      <c r="N6391" s="14"/>
      <c r="O6391" s="14"/>
      <c r="P6391" s="13"/>
    </row>
    <row r="6392">
      <c r="L6392" s="13"/>
      <c r="M6392" s="14"/>
      <c r="N6392" s="14"/>
      <c r="O6392" s="14"/>
      <c r="P6392" s="13"/>
    </row>
    <row r="6393">
      <c r="L6393" s="13"/>
      <c r="M6393" s="14"/>
      <c r="N6393" s="14"/>
      <c r="O6393" s="14"/>
      <c r="P6393" s="13"/>
    </row>
    <row r="6394">
      <c r="L6394" s="13"/>
      <c r="M6394" s="14"/>
      <c r="N6394" s="14"/>
      <c r="O6394" s="14"/>
      <c r="P6394" s="13"/>
    </row>
    <row r="6395">
      <c r="L6395" s="13"/>
      <c r="M6395" s="14"/>
      <c r="N6395" s="14"/>
      <c r="O6395" s="14"/>
      <c r="P6395" s="13"/>
    </row>
    <row r="6396">
      <c r="L6396" s="13"/>
      <c r="M6396" s="14"/>
      <c r="N6396" s="14"/>
      <c r="O6396" s="14"/>
      <c r="P6396" s="13"/>
    </row>
    <row r="6397">
      <c r="L6397" s="13"/>
      <c r="M6397" s="14"/>
      <c r="N6397" s="14"/>
      <c r="O6397" s="14"/>
      <c r="P6397" s="13"/>
    </row>
    <row r="6398">
      <c r="L6398" s="13"/>
      <c r="M6398" s="14"/>
      <c r="N6398" s="14"/>
      <c r="O6398" s="14"/>
      <c r="P6398" s="13"/>
    </row>
    <row r="6399">
      <c r="L6399" s="13"/>
      <c r="M6399" s="14"/>
      <c r="N6399" s="14"/>
      <c r="O6399" s="14"/>
      <c r="P6399" s="13"/>
    </row>
    <row r="6400">
      <c r="L6400" s="13"/>
      <c r="M6400" s="14"/>
      <c r="N6400" s="14"/>
      <c r="O6400" s="14"/>
      <c r="P6400" s="13"/>
    </row>
    <row r="6401">
      <c r="L6401" s="13"/>
      <c r="M6401" s="14"/>
      <c r="N6401" s="14"/>
      <c r="O6401" s="14"/>
      <c r="P6401" s="13"/>
    </row>
    <row r="6402">
      <c r="L6402" s="13"/>
      <c r="M6402" s="14"/>
      <c r="N6402" s="14"/>
      <c r="O6402" s="14"/>
      <c r="P6402" s="13"/>
    </row>
    <row r="6403">
      <c r="L6403" s="13"/>
      <c r="M6403" s="14"/>
      <c r="N6403" s="14"/>
      <c r="O6403" s="14"/>
      <c r="P6403" s="13"/>
    </row>
    <row r="6404">
      <c r="L6404" s="13"/>
      <c r="M6404" s="14"/>
      <c r="N6404" s="14"/>
      <c r="O6404" s="14"/>
      <c r="P6404" s="13"/>
    </row>
    <row r="6405">
      <c r="L6405" s="13"/>
      <c r="M6405" s="14"/>
      <c r="N6405" s="14"/>
      <c r="O6405" s="14"/>
      <c r="P6405" s="13"/>
    </row>
    <row r="6406">
      <c r="L6406" s="13"/>
      <c r="M6406" s="14"/>
      <c r="N6406" s="14"/>
      <c r="O6406" s="14"/>
      <c r="P6406" s="13"/>
    </row>
    <row r="6407">
      <c r="L6407" s="13"/>
      <c r="M6407" s="14"/>
      <c r="N6407" s="14"/>
      <c r="O6407" s="14"/>
      <c r="P6407" s="13"/>
    </row>
    <row r="6408">
      <c r="L6408" s="13"/>
      <c r="M6408" s="14"/>
      <c r="N6408" s="14"/>
      <c r="O6408" s="14"/>
      <c r="P6408" s="13"/>
    </row>
    <row r="6409">
      <c r="L6409" s="13"/>
      <c r="M6409" s="14"/>
      <c r="N6409" s="14"/>
      <c r="O6409" s="14"/>
      <c r="P6409" s="13"/>
    </row>
    <row r="6410">
      <c r="L6410" s="13"/>
      <c r="M6410" s="14"/>
      <c r="N6410" s="14"/>
      <c r="O6410" s="14"/>
      <c r="P6410" s="13"/>
    </row>
    <row r="6411">
      <c r="L6411" s="13"/>
      <c r="M6411" s="14"/>
      <c r="N6411" s="14"/>
      <c r="O6411" s="14"/>
      <c r="P6411" s="13"/>
    </row>
    <row r="6412">
      <c r="L6412" s="13"/>
      <c r="M6412" s="14"/>
      <c r="N6412" s="14"/>
      <c r="O6412" s="14"/>
      <c r="P6412" s="13"/>
    </row>
    <row r="6413">
      <c r="L6413" s="13"/>
      <c r="M6413" s="14"/>
      <c r="N6413" s="14"/>
      <c r="O6413" s="14"/>
      <c r="P6413" s="13"/>
    </row>
    <row r="6414">
      <c r="L6414" s="13"/>
      <c r="M6414" s="14"/>
      <c r="N6414" s="14"/>
      <c r="O6414" s="14"/>
      <c r="P6414" s="13"/>
    </row>
    <row r="6415">
      <c r="L6415" s="13"/>
      <c r="M6415" s="14"/>
      <c r="N6415" s="14"/>
      <c r="O6415" s="14"/>
      <c r="P6415" s="13"/>
    </row>
    <row r="6416">
      <c r="L6416" s="13"/>
      <c r="M6416" s="14"/>
      <c r="N6416" s="14"/>
      <c r="O6416" s="14"/>
      <c r="P6416" s="13"/>
    </row>
    <row r="6417">
      <c r="L6417" s="13"/>
      <c r="M6417" s="14"/>
      <c r="N6417" s="14"/>
      <c r="O6417" s="14"/>
      <c r="P6417" s="13"/>
    </row>
    <row r="6418">
      <c r="L6418" s="13"/>
      <c r="M6418" s="14"/>
      <c r="N6418" s="14"/>
      <c r="O6418" s="14"/>
      <c r="P6418" s="13"/>
    </row>
    <row r="6419">
      <c r="L6419" s="13"/>
      <c r="M6419" s="14"/>
      <c r="N6419" s="14"/>
      <c r="O6419" s="14"/>
      <c r="P6419" s="13"/>
    </row>
    <row r="6420">
      <c r="L6420" s="13"/>
      <c r="M6420" s="14"/>
      <c r="N6420" s="14"/>
      <c r="O6420" s="14"/>
      <c r="P6420" s="13"/>
    </row>
    <row r="6421">
      <c r="L6421" s="13"/>
      <c r="M6421" s="14"/>
      <c r="N6421" s="14"/>
      <c r="O6421" s="14"/>
      <c r="P6421" s="13"/>
    </row>
    <row r="6422">
      <c r="L6422" s="13"/>
      <c r="M6422" s="14"/>
      <c r="N6422" s="14"/>
      <c r="O6422" s="14"/>
      <c r="P6422" s="13"/>
    </row>
    <row r="6423">
      <c r="L6423" s="13"/>
      <c r="M6423" s="14"/>
      <c r="N6423" s="14"/>
      <c r="O6423" s="14"/>
      <c r="P6423" s="13"/>
    </row>
    <row r="6424">
      <c r="L6424" s="13"/>
      <c r="M6424" s="14"/>
      <c r="N6424" s="14"/>
      <c r="O6424" s="14"/>
      <c r="P6424" s="13"/>
    </row>
    <row r="6425">
      <c r="L6425" s="13"/>
      <c r="M6425" s="14"/>
      <c r="N6425" s="14"/>
      <c r="O6425" s="14"/>
      <c r="P6425" s="13"/>
    </row>
    <row r="6426">
      <c r="L6426" s="13"/>
      <c r="M6426" s="14"/>
      <c r="N6426" s="14"/>
      <c r="O6426" s="14"/>
      <c r="P6426" s="13"/>
    </row>
    <row r="6427">
      <c r="L6427" s="13"/>
      <c r="M6427" s="14"/>
      <c r="N6427" s="14"/>
      <c r="O6427" s="14"/>
      <c r="P6427" s="13"/>
    </row>
    <row r="6428">
      <c r="L6428" s="13"/>
      <c r="M6428" s="14"/>
      <c r="N6428" s="14"/>
      <c r="O6428" s="14"/>
      <c r="P6428" s="13"/>
    </row>
    <row r="6429">
      <c r="L6429" s="13"/>
      <c r="M6429" s="14"/>
      <c r="N6429" s="14"/>
      <c r="O6429" s="14"/>
      <c r="P6429" s="13"/>
    </row>
    <row r="6430">
      <c r="L6430" s="13"/>
      <c r="M6430" s="14"/>
      <c r="N6430" s="14"/>
      <c r="O6430" s="14"/>
      <c r="P6430" s="13"/>
    </row>
    <row r="6431">
      <c r="L6431" s="13"/>
      <c r="M6431" s="14"/>
      <c r="N6431" s="14"/>
      <c r="O6431" s="14"/>
      <c r="P6431" s="13"/>
    </row>
    <row r="6432">
      <c r="L6432" s="13"/>
      <c r="M6432" s="14"/>
      <c r="N6432" s="14"/>
      <c r="O6432" s="14"/>
      <c r="P6432" s="13"/>
    </row>
    <row r="6433">
      <c r="L6433" s="13"/>
      <c r="M6433" s="14"/>
      <c r="N6433" s="14"/>
      <c r="O6433" s="14"/>
      <c r="P6433" s="13"/>
    </row>
    <row r="6434">
      <c r="L6434" s="13"/>
      <c r="M6434" s="14"/>
      <c r="N6434" s="14"/>
      <c r="O6434" s="14"/>
      <c r="P6434" s="13"/>
    </row>
    <row r="6435">
      <c r="L6435" s="13"/>
      <c r="M6435" s="14"/>
      <c r="N6435" s="14"/>
      <c r="O6435" s="14"/>
      <c r="P6435" s="13"/>
    </row>
    <row r="6436">
      <c r="L6436" s="13"/>
      <c r="M6436" s="14"/>
      <c r="N6436" s="14"/>
      <c r="O6436" s="14"/>
      <c r="P6436" s="13"/>
    </row>
    <row r="6437">
      <c r="L6437" s="13"/>
      <c r="M6437" s="14"/>
      <c r="N6437" s="14"/>
      <c r="O6437" s="14"/>
      <c r="P6437" s="13"/>
    </row>
    <row r="6438">
      <c r="L6438" s="13"/>
      <c r="M6438" s="14"/>
      <c r="N6438" s="14"/>
      <c r="O6438" s="14"/>
      <c r="P6438" s="13"/>
    </row>
    <row r="6439">
      <c r="L6439" s="13"/>
      <c r="M6439" s="14"/>
      <c r="N6439" s="14"/>
      <c r="O6439" s="14"/>
      <c r="P6439" s="13"/>
    </row>
    <row r="6440">
      <c r="L6440" s="13"/>
      <c r="M6440" s="14"/>
      <c r="N6440" s="14"/>
      <c r="O6440" s="14"/>
      <c r="P6440" s="13"/>
    </row>
    <row r="6441">
      <c r="L6441" s="13"/>
      <c r="M6441" s="14"/>
      <c r="N6441" s="14"/>
      <c r="O6441" s="14"/>
      <c r="P6441" s="13"/>
    </row>
    <row r="6442">
      <c r="L6442" s="13"/>
      <c r="M6442" s="14"/>
      <c r="N6442" s="14"/>
      <c r="O6442" s="14"/>
      <c r="P6442" s="13"/>
    </row>
    <row r="6443">
      <c r="L6443" s="13"/>
      <c r="M6443" s="14"/>
      <c r="N6443" s="14"/>
      <c r="O6443" s="14"/>
      <c r="P6443" s="13"/>
    </row>
    <row r="6444">
      <c r="L6444" s="13"/>
      <c r="M6444" s="14"/>
      <c r="N6444" s="14"/>
      <c r="O6444" s="14"/>
      <c r="P6444" s="13"/>
    </row>
    <row r="6445">
      <c r="L6445" s="13"/>
      <c r="M6445" s="14"/>
      <c r="N6445" s="14"/>
      <c r="O6445" s="14"/>
      <c r="P6445" s="13"/>
    </row>
    <row r="6446">
      <c r="L6446" s="13"/>
      <c r="M6446" s="14"/>
      <c r="N6446" s="14"/>
      <c r="O6446" s="14"/>
      <c r="P6446" s="13"/>
    </row>
    <row r="6447">
      <c r="L6447" s="13"/>
      <c r="M6447" s="14"/>
      <c r="N6447" s="14"/>
      <c r="O6447" s="14"/>
      <c r="P6447" s="13"/>
    </row>
    <row r="6448">
      <c r="L6448" s="13"/>
      <c r="M6448" s="14"/>
      <c r="N6448" s="14"/>
      <c r="O6448" s="14"/>
      <c r="P6448" s="13"/>
    </row>
    <row r="6449">
      <c r="L6449" s="13"/>
      <c r="M6449" s="14"/>
      <c r="N6449" s="14"/>
      <c r="O6449" s="14"/>
      <c r="P6449" s="13"/>
    </row>
    <row r="6450">
      <c r="L6450" s="13"/>
      <c r="M6450" s="14"/>
      <c r="N6450" s="14"/>
      <c r="O6450" s="14"/>
      <c r="P6450" s="13"/>
    </row>
    <row r="6451">
      <c r="L6451" s="13"/>
      <c r="M6451" s="14"/>
      <c r="N6451" s="14"/>
      <c r="O6451" s="14"/>
      <c r="P6451" s="13"/>
    </row>
    <row r="6452">
      <c r="L6452" s="13"/>
      <c r="M6452" s="14"/>
      <c r="N6452" s="14"/>
      <c r="O6452" s="14"/>
      <c r="P6452" s="13"/>
    </row>
    <row r="6453">
      <c r="L6453" s="13"/>
      <c r="M6453" s="14"/>
      <c r="N6453" s="14"/>
      <c r="O6453" s="14"/>
      <c r="P6453" s="13"/>
    </row>
    <row r="6454">
      <c r="L6454" s="13"/>
      <c r="M6454" s="14"/>
      <c r="N6454" s="14"/>
      <c r="O6454" s="14"/>
      <c r="P6454" s="13"/>
    </row>
    <row r="6455">
      <c r="L6455" s="13"/>
      <c r="M6455" s="14"/>
      <c r="N6455" s="14"/>
      <c r="O6455" s="14"/>
      <c r="P6455" s="13"/>
    </row>
    <row r="6456">
      <c r="L6456" s="13"/>
      <c r="M6456" s="14"/>
      <c r="N6456" s="14"/>
      <c r="O6456" s="14"/>
      <c r="P6456" s="13"/>
    </row>
    <row r="6457">
      <c r="L6457" s="13"/>
      <c r="M6457" s="14"/>
      <c r="N6457" s="14"/>
      <c r="O6457" s="14"/>
      <c r="P6457" s="13"/>
    </row>
    <row r="6458">
      <c r="L6458" s="13"/>
      <c r="M6458" s="14"/>
      <c r="N6458" s="14"/>
      <c r="O6458" s="14"/>
      <c r="P6458" s="13"/>
    </row>
    <row r="6459">
      <c r="L6459" s="13"/>
      <c r="M6459" s="14"/>
      <c r="N6459" s="14"/>
      <c r="O6459" s="14"/>
      <c r="P6459" s="13"/>
    </row>
    <row r="6460">
      <c r="L6460" s="13"/>
      <c r="M6460" s="14"/>
      <c r="N6460" s="14"/>
      <c r="O6460" s="14"/>
      <c r="P6460" s="13"/>
    </row>
    <row r="6461">
      <c r="L6461" s="13"/>
      <c r="M6461" s="14"/>
      <c r="N6461" s="14"/>
      <c r="O6461" s="14"/>
      <c r="P6461" s="13"/>
    </row>
    <row r="6462">
      <c r="L6462" s="13"/>
      <c r="M6462" s="14"/>
      <c r="N6462" s="14"/>
      <c r="O6462" s="14"/>
      <c r="P6462" s="13"/>
    </row>
    <row r="6463">
      <c r="L6463" s="13"/>
      <c r="M6463" s="14"/>
      <c r="N6463" s="14"/>
      <c r="O6463" s="14"/>
      <c r="P6463" s="13"/>
    </row>
    <row r="6464">
      <c r="L6464" s="13"/>
      <c r="M6464" s="14"/>
      <c r="N6464" s="14"/>
      <c r="O6464" s="14"/>
      <c r="P6464" s="13"/>
    </row>
    <row r="6465">
      <c r="L6465" s="13"/>
      <c r="M6465" s="14"/>
      <c r="N6465" s="14"/>
      <c r="O6465" s="14"/>
      <c r="P6465" s="13"/>
    </row>
    <row r="6466">
      <c r="L6466" s="13"/>
      <c r="M6466" s="14"/>
      <c r="N6466" s="14"/>
      <c r="O6466" s="14"/>
      <c r="P6466" s="13"/>
    </row>
    <row r="6467">
      <c r="L6467" s="13"/>
      <c r="M6467" s="14"/>
      <c r="N6467" s="14"/>
      <c r="O6467" s="14"/>
      <c r="P6467" s="13"/>
    </row>
    <row r="6468">
      <c r="L6468" s="13"/>
      <c r="M6468" s="14"/>
      <c r="N6468" s="14"/>
      <c r="O6468" s="14"/>
      <c r="P6468" s="13"/>
    </row>
    <row r="6469">
      <c r="L6469" s="13"/>
      <c r="M6469" s="14"/>
      <c r="N6469" s="14"/>
      <c r="O6469" s="14"/>
      <c r="P6469" s="13"/>
    </row>
    <row r="6470">
      <c r="L6470" s="13"/>
      <c r="M6470" s="14"/>
      <c r="N6470" s="14"/>
      <c r="O6470" s="14"/>
      <c r="P6470" s="13"/>
    </row>
    <row r="6471">
      <c r="L6471" s="13"/>
      <c r="M6471" s="14"/>
      <c r="N6471" s="14"/>
      <c r="O6471" s="14"/>
      <c r="P6471" s="13"/>
    </row>
    <row r="6472">
      <c r="L6472" s="13"/>
      <c r="M6472" s="14"/>
      <c r="N6472" s="14"/>
      <c r="O6472" s="14"/>
      <c r="P6472" s="13"/>
    </row>
    <row r="6473">
      <c r="L6473" s="13"/>
      <c r="M6473" s="14"/>
      <c r="N6473" s="14"/>
      <c r="O6473" s="14"/>
      <c r="P6473" s="13"/>
    </row>
    <row r="6474">
      <c r="L6474" s="13"/>
      <c r="M6474" s="14"/>
      <c r="N6474" s="14"/>
      <c r="O6474" s="14"/>
      <c r="P6474" s="13"/>
    </row>
    <row r="6475">
      <c r="L6475" s="13"/>
      <c r="M6475" s="14"/>
      <c r="N6475" s="14"/>
      <c r="O6475" s="14"/>
      <c r="P6475" s="13"/>
    </row>
    <row r="6476">
      <c r="L6476" s="13"/>
      <c r="M6476" s="14"/>
      <c r="N6476" s="14"/>
      <c r="O6476" s="14"/>
      <c r="P6476" s="13"/>
    </row>
    <row r="6477">
      <c r="L6477" s="13"/>
      <c r="M6477" s="14"/>
      <c r="N6477" s="14"/>
      <c r="O6477" s="14"/>
      <c r="P6477" s="13"/>
    </row>
    <row r="6478">
      <c r="L6478" s="13"/>
      <c r="M6478" s="14"/>
      <c r="N6478" s="14"/>
      <c r="O6478" s="14"/>
      <c r="P6478" s="13"/>
    </row>
    <row r="6479">
      <c r="L6479" s="13"/>
      <c r="M6479" s="14"/>
      <c r="N6479" s="14"/>
      <c r="O6479" s="14"/>
      <c r="P6479" s="13"/>
    </row>
    <row r="6480">
      <c r="L6480" s="13"/>
      <c r="M6480" s="14"/>
      <c r="N6480" s="14"/>
      <c r="O6480" s="14"/>
      <c r="P6480" s="13"/>
    </row>
    <row r="6481">
      <c r="L6481" s="13"/>
      <c r="M6481" s="14"/>
      <c r="N6481" s="14"/>
      <c r="O6481" s="14"/>
      <c r="P6481" s="13"/>
    </row>
    <row r="6482">
      <c r="L6482" s="13"/>
      <c r="M6482" s="14"/>
      <c r="N6482" s="14"/>
      <c r="O6482" s="14"/>
      <c r="P6482" s="13"/>
    </row>
    <row r="6483">
      <c r="L6483" s="13"/>
      <c r="M6483" s="14"/>
      <c r="N6483" s="14"/>
      <c r="O6483" s="14"/>
      <c r="P6483" s="13"/>
    </row>
    <row r="6484">
      <c r="L6484" s="13"/>
      <c r="M6484" s="14"/>
      <c r="N6484" s="14"/>
      <c r="O6484" s="14"/>
      <c r="P6484" s="13"/>
    </row>
    <row r="6485">
      <c r="L6485" s="13"/>
      <c r="M6485" s="14"/>
      <c r="N6485" s="14"/>
      <c r="O6485" s="14"/>
      <c r="P6485" s="13"/>
    </row>
    <row r="6486">
      <c r="L6486" s="13"/>
      <c r="M6486" s="14"/>
      <c r="N6486" s="14"/>
      <c r="O6486" s="14"/>
      <c r="P6486" s="13"/>
    </row>
    <row r="6487">
      <c r="L6487" s="13"/>
      <c r="M6487" s="14"/>
      <c r="N6487" s="14"/>
      <c r="O6487" s="14"/>
      <c r="P6487" s="13"/>
    </row>
    <row r="6488">
      <c r="L6488" s="13"/>
      <c r="M6488" s="14"/>
      <c r="N6488" s="14"/>
      <c r="O6488" s="14"/>
      <c r="P6488" s="13"/>
    </row>
    <row r="6489">
      <c r="L6489" s="13"/>
      <c r="M6489" s="14"/>
      <c r="N6489" s="14"/>
      <c r="O6489" s="14"/>
      <c r="P6489" s="13"/>
    </row>
    <row r="6490">
      <c r="L6490" s="13"/>
      <c r="M6490" s="14"/>
      <c r="N6490" s="14"/>
      <c r="O6490" s="14"/>
      <c r="P6490" s="13"/>
    </row>
    <row r="6491">
      <c r="L6491" s="13"/>
      <c r="M6491" s="14"/>
      <c r="N6491" s="14"/>
      <c r="O6491" s="14"/>
      <c r="P6491" s="13"/>
    </row>
    <row r="6492">
      <c r="L6492" s="13"/>
      <c r="M6492" s="14"/>
      <c r="N6492" s="14"/>
      <c r="O6492" s="14"/>
      <c r="P6492" s="13"/>
    </row>
    <row r="6493">
      <c r="L6493" s="13"/>
      <c r="M6493" s="14"/>
      <c r="N6493" s="14"/>
      <c r="O6493" s="14"/>
      <c r="P6493" s="13"/>
    </row>
    <row r="6494">
      <c r="L6494" s="13"/>
      <c r="M6494" s="14"/>
      <c r="N6494" s="14"/>
      <c r="O6494" s="14"/>
      <c r="P6494" s="13"/>
    </row>
    <row r="6495">
      <c r="L6495" s="13"/>
      <c r="M6495" s="14"/>
      <c r="N6495" s="14"/>
      <c r="O6495" s="14"/>
      <c r="P6495" s="13"/>
    </row>
    <row r="6496">
      <c r="L6496" s="13"/>
      <c r="M6496" s="14"/>
      <c r="N6496" s="14"/>
      <c r="O6496" s="14"/>
      <c r="P6496" s="13"/>
    </row>
    <row r="6497">
      <c r="L6497" s="13"/>
      <c r="M6497" s="14"/>
      <c r="N6497" s="14"/>
      <c r="O6497" s="14"/>
      <c r="P6497" s="13"/>
    </row>
    <row r="6498">
      <c r="L6498" s="13"/>
      <c r="M6498" s="14"/>
      <c r="N6498" s="14"/>
      <c r="O6498" s="14"/>
      <c r="P6498" s="13"/>
    </row>
    <row r="6499">
      <c r="L6499" s="13"/>
      <c r="M6499" s="14"/>
      <c r="N6499" s="14"/>
      <c r="O6499" s="14"/>
      <c r="P6499" s="13"/>
    </row>
    <row r="6500">
      <c r="L6500" s="13"/>
      <c r="M6500" s="14"/>
      <c r="N6500" s="14"/>
      <c r="O6500" s="14"/>
      <c r="P6500" s="13"/>
    </row>
    <row r="6501">
      <c r="L6501" s="13"/>
      <c r="M6501" s="14"/>
      <c r="N6501" s="14"/>
      <c r="O6501" s="14"/>
      <c r="P6501" s="13"/>
    </row>
    <row r="6502">
      <c r="L6502" s="13"/>
      <c r="M6502" s="14"/>
      <c r="N6502" s="14"/>
      <c r="O6502" s="14"/>
      <c r="P6502" s="13"/>
    </row>
    <row r="6503">
      <c r="L6503" s="13"/>
      <c r="M6503" s="14"/>
      <c r="N6503" s="14"/>
      <c r="O6503" s="14"/>
      <c r="P6503" s="13"/>
    </row>
    <row r="6504">
      <c r="L6504" s="13"/>
      <c r="M6504" s="14"/>
      <c r="N6504" s="14"/>
      <c r="O6504" s="14"/>
      <c r="P6504" s="13"/>
    </row>
    <row r="6505">
      <c r="L6505" s="13"/>
      <c r="M6505" s="14"/>
      <c r="N6505" s="14"/>
      <c r="O6505" s="14"/>
      <c r="P6505" s="13"/>
    </row>
    <row r="6506">
      <c r="L6506" s="13"/>
      <c r="M6506" s="14"/>
      <c r="N6506" s="14"/>
      <c r="O6506" s="14"/>
      <c r="P6506" s="13"/>
    </row>
    <row r="6507">
      <c r="L6507" s="13"/>
      <c r="M6507" s="14"/>
      <c r="N6507" s="14"/>
      <c r="O6507" s="14"/>
      <c r="P6507" s="13"/>
    </row>
    <row r="6508">
      <c r="L6508" s="13"/>
      <c r="M6508" s="14"/>
      <c r="N6508" s="14"/>
      <c r="O6508" s="14"/>
      <c r="P6508" s="13"/>
    </row>
    <row r="6509">
      <c r="L6509" s="13"/>
      <c r="M6509" s="14"/>
      <c r="N6509" s="14"/>
      <c r="O6509" s="14"/>
      <c r="P6509" s="13"/>
    </row>
    <row r="6510">
      <c r="L6510" s="13"/>
      <c r="M6510" s="14"/>
      <c r="N6510" s="14"/>
      <c r="O6510" s="14"/>
      <c r="P6510" s="13"/>
    </row>
    <row r="6511">
      <c r="L6511" s="13"/>
      <c r="M6511" s="14"/>
      <c r="N6511" s="14"/>
      <c r="O6511" s="14"/>
      <c r="P6511" s="13"/>
    </row>
    <row r="6512">
      <c r="L6512" s="13"/>
      <c r="M6512" s="14"/>
      <c r="N6512" s="14"/>
      <c r="O6512" s="14"/>
      <c r="P6512" s="13"/>
    </row>
    <row r="6513">
      <c r="L6513" s="13"/>
      <c r="M6513" s="14"/>
      <c r="N6513" s="14"/>
      <c r="O6513" s="14"/>
      <c r="P6513" s="13"/>
    </row>
    <row r="6514">
      <c r="L6514" s="13"/>
      <c r="M6514" s="14"/>
      <c r="N6514" s="14"/>
      <c r="O6514" s="14"/>
      <c r="P6514" s="13"/>
    </row>
    <row r="6515">
      <c r="L6515" s="13"/>
      <c r="M6515" s="14"/>
      <c r="N6515" s="14"/>
      <c r="O6515" s="14"/>
      <c r="P6515" s="13"/>
    </row>
    <row r="6516">
      <c r="L6516" s="13"/>
      <c r="M6516" s="14"/>
      <c r="N6516" s="14"/>
      <c r="O6516" s="14"/>
      <c r="P6516" s="13"/>
    </row>
    <row r="6517">
      <c r="L6517" s="13"/>
      <c r="M6517" s="14"/>
      <c r="N6517" s="14"/>
      <c r="O6517" s="14"/>
      <c r="P6517" s="13"/>
    </row>
    <row r="6518">
      <c r="L6518" s="13"/>
      <c r="M6518" s="14"/>
      <c r="N6518" s="14"/>
      <c r="O6518" s="14"/>
      <c r="P6518" s="13"/>
    </row>
    <row r="6519">
      <c r="L6519" s="13"/>
      <c r="M6519" s="14"/>
      <c r="N6519" s="14"/>
      <c r="O6519" s="14"/>
      <c r="P6519" s="13"/>
    </row>
    <row r="6520">
      <c r="L6520" s="13"/>
      <c r="M6520" s="14"/>
      <c r="N6520" s="14"/>
      <c r="O6520" s="14"/>
      <c r="P6520" s="13"/>
    </row>
    <row r="6521">
      <c r="L6521" s="13"/>
      <c r="M6521" s="14"/>
      <c r="N6521" s="14"/>
      <c r="O6521" s="14"/>
      <c r="P6521" s="13"/>
    </row>
    <row r="6522">
      <c r="L6522" s="13"/>
      <c r="M6522" s="14"/>
      <c r="N6522" s="14"/>
      <c r="O6522" s="14"/>
      <c r="P6522" s="13"/>
    </row>
    <row r="6523">
      <c r="L6523" s="13"/>
      <c r="M6523" s="14"/>
      <c r="N6523" s="14"/>
      <c r="O6523" s="14"/>
      <c r="P6523" s="13"/>
    </row>
    <row r="6524">
      <c r="L6524" s="13"/>
      <c r="M6524" s="14"/>
      <c r="N6524" s="14"/>
      <c r="O6524" s="14"/>
      <c r="P6524" s="13"/>
    </row>
    <row r="6525">
      <c r="L6525" s="13"/>
      <c r="M6525" s="14"/>
      <c r="N6525" s="14"/>
      <c r="O6525" s="14"/>
      <c r="P6525" s="13"/>
    </row>
    <row r="6526">
      <c r="L6526" s="13"/>
      <c r="M6526" s="14"/>
      <c r="N6526" s="14"/>
      <c r="O6526" s="14"/>
      <c r="P6526" s="13"/>
    </row>
    <row r="6527">
      <c r="L6527" s="13"/>
      <c r="M6527" s="14"/>
      <c r="N6527" s="14"/>
      <c r="O6527" s="14"/>
      <c r="P6527" s="13"/>
    </row>
    <row r="6528">
      <c r="L6528" s="13"/>
      <c r="M6528" s="14"/>
      <c r="N6528" s="14"/>
      <c r="O6528" s="14"/>
      <c r="P6528" s="13"/>
    </row>
    <row r="6529">
      <c r="L6529" s="13"/>
      <c r="M6529" s="14"/>
      <c r="N6529" s="14"/>
      <c r="O6529" s="14"/>
      <c r="P6529" s="13"/>
    </row>
    <row r="6530">
      <c r="L6530" s="13"/>
      <c r="M6530" s="14"/>
      <c r="N6530" s="14"/>
      <c r="O6530" s="14"/>
      <c r="P6530" s="13"/>
    </row>
    <row r="6531">
      <c r="L6531" s="13"/>
      <c r="M6531" s="14"/>
      <c r="N6531" s="14"/>
      <c r="O6531" s="14"/>
      <c r="P6531" s="13"/>
    </row>
    <row r="6532">
      <c r="L6532" s="13"/>
      <c r="M6532" s="14"/>
      <c r="N6532" s="14"/>
      <c r="O6532" s="14"/>
      <c r="P6532" s="13"/>
    </row>
    <row r="6533">
      <c r="L6533" s="13"/>
      <c r="M6533" s="14"/>
      <c r="N6533" s="14"/>
      <c r="O6533" s="14"/>
      <c r="P6533" s="13"/>
    </row>
    <row r="6534">
      <c r="L6534" s="13"/>
      <c r="M6534" s="14"/>
      <c r="N6534" s="14"/>
      <c r="O6534" s="14"/>
      <c r="P6534" s="13"/>
    </row>
    <row r="6535">
      <c r="L6535" s="13"/>
      <c r="M6535" s="14"/>
      <c r="N6535" s="14"/>
      <c r="O6535" s="14"/>
      <c r="P6535" s="13"/>
    </row>
    <row r="6536">
      <c r="L6536" s="13"/>
      <c r="M6536" s="14"/>
      <c r="N6536" s="14"/>
      <c r="O6536" s="14"/>
      <c r="P6536" s="13"/>
    </row>
    <row r="6537">
      <c r="L6537" s="13"/>
      <c r="M6537" s="14"/>
      <c r="N6537" s="14"/>
      <c r="O6537" s="14"/>
      <c r="P6537" s="13"/>
    </row>
    <row r="6538">
      <c r="L6538" s="13"/>
      <c r="M6538" s="14"/>
      <c r="N6538" s="14"/>
      <c r="O6538" s="14"/>
      <c r="P6538" s="13"/>
    </row>
    <row r="6539">
      <c r="L6539" s="13"/>
      <c r="M6539" s="14"/>
      <c r="N6539" s="14"/>
      <c r="O6539" s="14"/>
      <c r="P6539" s="13"/>
    </row>
    <row r="6540">
      <c r="L6540" s="13"/>
      <c r="M6540" s="14"/>
      <c r="N6540" s="14"/>
      <c r="O6540" s="14"/>
      <c r="P6540" s="13"/>
    </row>
    <row r="6541">
      <c r="L6541" s="13"/>
      <c r="M6541" s="14"/>
      <c r="N6541" s="14"/>
      <c r="O6541" s="14"/>
      <c r="P6541" s="13"/>
    </row>
    <row r="6542">
      <c r="L6542" s="13"/>
      <c r="M6542" s="14"/>
      <c r="N6542" s="14"/>
      <c r="O6542" s="14"/>
      <c r="P6542" s="13"/>
    </row>
    <row r="6543">
      <c r="L6543" s="13"/>
      <c r="M6543" s="14"/>
      <c r="N6543" s="14"/>
      <c r="O6543" s="14"/>
      <c r="P6543" s="13"/>
    </row>
    <row r="6544">
      <c r="L6544" s="13"/>
      <c r="M6544" s="14"/>
      <c r="N6544" s="14"/>
      <c r="O6544" s="14"/>
      <c r="P6544" s="13"/>
    </row>
    <row r="6545">
      <c r="L6545" s="13"/>
      <c r="M6545" s="14"/>
      <c r="N6545" s="14"/>
      <c r="O6545" s="14"/>
      <c r="P6545" s="13"/>
    </row>
    <row r="6546">
      <c r="L6546" s="13"/>
      <c r="M6546" s="14"/>
      <c r="N6546" s="14"/>
      <c r="O6546" s="14"/>
      <c r="P6546" s="13"/>
    </row>
    <row r="6547">
      <c r="L6547" s="13"/>
      <c r="M6547" s="14"/>
      <c r="N6547" s="14"/>
      <c r="O6547" s="14"/>
      <c r="P6547" s="13"/>
    </row>
    <row r="6548">
      <c r="L6548" s="13"/>
      <c r="M6548" s="14"/>
      <c r="N6548" s="14"/>
      <c r="O6548" s="14"/>
      <c r="P6548" s="13"/>
    </row>
    <row r="6549">
      <c r="L6549" s="13"/>
      <c r="M6549" s="14"/>
      <c r="N6549" s="14"/>
      <c r="O6549" s="14"/>
      <c r="P6549" s="13"/>
    </row>
    <row r="6550">
      <c r="L6550" s="13"/>
      <c r="M6550" s="14"/>
      <c r="N6550" s="14"/>
      <c r="O6550" s="14"/>
      <c r="P6550" s="13"/>
    </row>
    <row r="6551">
      <c r="L6551" s="13"/>
      <c r="M6551" s="14"/>
      <c r="N6551" s="14"/>
      <c r="O6551" s="14"/>
      <c r="P6551" s="13"/>
    </row>
    <row r="6552">
      <c r="L6552" s="13"/>
      <c r="M6552" s="14"/>
      <c r="N6552" s="14"/>
      <c r="O6552" s="14"/>
      <c r="P6552" s="13"/>
    </row>
    <row r="6553">
      <c r="L6553" s="13"/>
      <c r="M6553" s="14"/>
      <c r="N6553" s="14"/>
      <c r="O6553" s="14"/>
      <c r="P6553" s="13"/>
    </row>
    <row r="6554">
      <c r="L6554" s="13"/>
      <c r="M6554" s="14"/>
      <c r="N6554" s="14"/>
      <c r="O6554" s="14"/>
      <c r="P6554" s="13"/>
    </row>
    <row r="6555">
      <c r="L6555" s="13"/>
      <c r="M6555" s="14"/>
      <c r="N6555" s="14"/>
      <c r="O6555" s="14"/>
      <c r="P6555" s="13"/>
    </row>
    <row r="6556">
      <c r="L6556" s="13"/>
      <c r="M6556" s="14"/>
      <c r="N6556" s="14"/>
      <c r="O6556" s="14"/>
      <c r="P6556" s="13"/>
    </row>
    <row r="6557">
      <c r="L6557" s="13"/>
      <c r="M6557" s="14"/>
      <c r="N6557" s="14"/>
      <c r="O6557" s="14"/>
      <c r="P6557" s="13"/>
    </row>
    <row r="6558">
      <c r="L6558" s="13"/>
      <c r="M6558" s="14"/>
      <c r="N6558" s="14"/>
      <c r="O6558" s="14"/>
      <c r="P6558" s="13"/>
    </row>
    <row r="6559">
      <c r="L6559" s="13"/>
      <c r="M6559" s="14"/>
      <c r="N6559" s="14"/>
      <c r="O6559" s="14"/>
      <c r="P6559" s="13"/>
    </row>
    <row r="6560">
      <c r="L6560" s="13"/>
      <c r="M6560" s="14"/>
      <c r="N6560" s="14"/>
      <c r="O6560" s="14"/>
      <c r="P6560" s="13"/>
    </row>
    <row r="6561">
      <c r="L6561" s="13"/>
      <c r="M6561" s="14"/>
      <c r="N6561" s="14"/>
      <c r="O6561" s="14"/>
      <c r="P6561" s="13"/>
    </row>
    <row r="6562">
      <c r="L6562" s="13"/>
      <c r="M6562" s="14"/>
      <c r="N6562" s="14"/>
      <c r="O6562" s="14"/>
      <c r="P6562" s="13"/>
    </row>
    <row r="6563">
      <c r="L6563" s="13"/>
      <c r="M6563" s="14"/>
      <c r="N6563" s="14"/>
      <c r="O6563" s="14"/>
      <c r="P6563" s="13"/>
    </row>
    <row r="6564">
      <c r="L6564" s="13"/>
      <c r="M6564" s="14"/>
      <c r="N6564" s="14"/>
      <c r="O6564" s="14"/>
      <c r="P6564" s="13"/>
    </row>
    <row r="6565">
      <c r="L6565" s="13"/>
      <c r="M6565" s="14"/>
      <c r="N6565" s="14"/>
      <c r="O6565" s="14"/>
      <c r="P6565" s="13"/>
    </row>
    <row r="6566">
      <c r="L6566" s="13"/>
      <c r="M6566" s="14"/>
      <c r="N6566" s="14"/>
      <c r="O6566" s="14"/>
      <c r="P6566" s="13"/>
    </row>
    <row r="6567">
      <c r="L6567" s="13"/>
      <c r="M6567" s="14"/>
      <c r="N6567" s="14"/>
      <c r="O6567" s="14"/>
      <c r="P6567" s="13"/>
    </row>
    <row r="6568">
      <c r="L6568" s="13"/>
      <c r="M6568" s="14"/>
      <c r="N6568" s="14"/>
      <c r="O6568" s="14"/>
      <c r="P6568" s="13"/>
    </row>
    <row r="6569">
      <c r="L6569" s="13"/>
      <c r="M6569" s="14"/>
      <c r="N6569" s="14"/>
      <c r="O6569" s="14"/>
      <c r="P6569" s="13"/>
    </row>
    <row r="6570">
      <c r="L6570" s="13"/>
      <c r="M6570" s="14"/>
      <c r="N6570" s="14"/>
      <c r="O6570" s="14"/>
      <c r="P6570" s="13"/>
    </row>
    <row r="6571">
      <c r="L6571" s="13"/>
      <c r="M6571" s="14"/>
      <c r="N6571" s="14"/>
      <c r="O6571" s="14"/>
      <c r="P6571" s="13"/>
    </row>
    <row r="6572">
      <c r="L6572" s="13"/>
      <c r="M6572" s="14"/>
      <c r="N6572" s="14"/>
      <c r="O6572" s="14"/>
      <c r="P6572" s="13"/>
    </row>
    <row r="6573">
      <c r="L6573" s="13"/>
      <c r="M6573" s="14"/>
      <c r="N6573" s="14"/>
      <c r="O6573" s="14"/>
      <c r="P6573" s="13"/>
    </row>
    <row r="6574">
      <c r="L6574" s="13"/>
      <c r="M6574" s="14"/>
      <c r="N6574" s="14"/>
      <c r="O6574" s="14"/>
      <c r="P6574" s="13"/>
    </row>
    <row r="6575">
      <c r="L6575" s="13"/>
      <c r="M6575" s="14"/>
      <c r="N6575" s="14"/>
      <c r="O6575" s="14"/>
      <c r="P6575" s="13"/>
    </row>
    <row r="6576">
      <c r="L6576" s="13"/>
      <c r="M6576" s="14"/>
      <c r="N6576" s="14"/>
      <c r="O6576" s="14"/>
      <c r="P6576" s="13"/>
    </row>
    <row r="6577">
      <c r="L6577" s="13"/>
      <c r="M6577" s="14"/>
      <c r="N6577" s="14"/>
      <c r="O6577" s="14"/>
      <c r="P6577" s="13"/>
    </row>
    <row r="6578">
      <c r="L6578" s="13"/>
      <c r="M6578" s="14"/>
      <c r="N6578" s="14"/>
      <c r="O6578" s="14"/>
      <c r="P6578" s="13"/>
    </row>
    <row r="6579">
      <c r="L6579" s="13"/>
      <c r="M6579" s="14"/>
      <c r="N6579" s="14"/>
      <c r="O6579" s="14"/>
      <c r="P6579" s="13"/>
    </row>
    <row r="6580">
      <c r="L6580" s="13"/>
      <c r="M6580" s="14"/>
      <c r="N6580" s="14"/>
      <c r="O6580" s="14"/>
      <c r="P6580" s="13"/>
    </row>
    <row r="6581">
      <c r="L6581" s="13"/>
      <c r="M6581" s="14"/>
      <c r="N6581" s="14"/>
      <c r="O6581" s="14"/>
      <c r="P6581" s="13"/>
    </row>
    <row r="6582">
      <c r="L6582" s="13"/>
      <c r="M6582" s="14"/>
      <c r="N6582" s="14"/>
      <c r="O6582" s="14"/>
      <c r="P6582" s="13"/>
    </row>
    <row r="6583">
      <c r="L6583" s="13"/>
      <c r="M6583" s="14"/>
      <c r="N6583" s="14"/>
      <c r="O6583" s="14"/>
      <c r="P6583" s="13"/>
    </row>
    <row r="6584">
      <c r="L6584" s="13"/>
      <c r="M6584" s="14"/>
      <c r="N6584" s="14"/>
      <c r="O6584" s="14"/>
      <c r="P6584" s="13"/>
    </row>
    <row r="6585">
      <c r="L6585" s="13"/>
      <c r="M6585" s="14"/>
      <c r="N6585" s="14"/>
      <c r="O6585" s="14"/>
      <c r="P6585" s="13"/>
    </row>
    <row r="6586">
      <c r="L6586" s="13"/>
      <c r="M6586" s="14"/>
      <c r="N6586" s="14"/>
      <c r="O6586" s="14"/>
      <c r="P6586" s="13"/>
    </row>
    <row r="6587">
      <c r="L6587" s="13"/>
      <c r="M6587" s="14"/>
      <c r="N6587" s="14"/>
      <c r="O6587" s="14"/>
      <c r="P6587" s="13"/>
    </row>
    <row r="6588">
      <c r="L6588" s="13"/>
      <c r="M6588" s="14"/>
      <c r="N6588" s="14"/>
      <c r="O6588" s="14"/>
      <c r="P6588" s="13"/>
    </row>
    <row r="6589">
      <c r="L6589" s="13"/>
      <c r="M6589" s="14"/>
      <c r="N6589" s="14"/>
      <c r="O6589" s="14"/>
      <c r="P6589" s="13"/>
    </row>
    <row r="6590">
      <c r="L6590" s="13"/>
      <c r="M6590" s="14"/>
      <c r="N6590" s="14"/>
      <c r="O6590" s="14"/>
      <c r="P6590" s="13"/>
    </row>
    <row r="6591">
      <c r="L6591" s="13"/>
      <c r="M6591" s="14"/>
      <c r="N6591" s="14"/>
      <c r="O6591" s="14"/>
      <c r="P6591" s="13"/>
    </row>
    <row r="6592">
      <c r="L6592" s="13"/>
      <c r="M6592" s="14"/>
      <c r="N6592" s="14"/>
      <c r="O6592" s="14"/>
      <c r="P6592" s="13"/>
    </row>
    <row r="6593">
      <c r="L6593" s="13"/>
      <c r="M6593" s="14"/>
      <c r="N6593" s="14"/>
      <c r="O6593" s="14"/>
      <c r="P6593" s="13"/>
    </row>
    <row r="6594">
      <c r="L6594" s="13"/>
      <c r="M6594" s="14"/>
      <c r="N6594" s="14"/>
      <c r="O6594" s="14"/>
      <c r="P6594" s="13"/>
    </row>
    <row r="6595">
      <c r="L6595" s="13"/>
      <c r="M6595" s="14"/>
      <c r="N6595" s="14"/>
      <c r="O6595" s="14"/>
      <c r="P6595" s="13"/>
    </row>
    <row r="6596">
      <c r="L6596" s="13"/>
      <c r="M6596" s="14"/>
      <c r="N6596" s="14"/>
      <c r="O6596" s="14"/>
      <c r="P6596" s="13"/>
    </row>
    <row r="6597">
      <c r="L6597" s="13"/>
      <c r="M6597" s="14"/>
      <c r="N6597" s="14"/>
      <c r="O6597" s="14"/>
      <c r="P6597" s="13"/>
    </row>
    <row r="6598">
      <c r="L6598" s="13"/>
      <c r="M6598" s="14"/>
      <c r="N6598" s="14"/>
      <c r="O6598" s="14"/>
      <c r="P6598" s="13"/>
    </row>
    <row r="6599">
      <c r="L6599" s="13"/>
      <c r="M6599" s="14"/>
      <c r="N6599" s="14"/>
      <c r="O6599" s="14"/>
      <c r="P6599" s="13"/>
    </row>
    <row r="6600">
      <c r="L6600" s="13"/>
      <c r="M6600" s="14"/>
      <c r="N6600" s="14"/>
      <c r="O6600" s="14"/>
      <c r="P6600" s="13"/>
    </row>
    <row r="6601">
      <c r="L6601" s="13"/>
      <c r="M6601" s="14"/>
      <c r="N6601" s="14"/>
      <c r="O6601" s="14"/>
      <c r="P6601" s="13"/>
    </row>
    <row r="6602">
      <c r="L6602" s="13"/>
      <c r="M6602" s="14"/>
      <c r="N6602" s="14"/>
      <c r="O6602" s="14"/>
      <c r="P6602" s="13"/>
    </row>
    <row r="6603">
      <c r="L6603" s="13"/>
      <c r="M6603" s="14"/>
      <c r="N6603" s="14"/>
      <c r="O6603" s="14"/>
      <c r="P6603" s="13"/>
    </row>
    <row r="6604">
      <c r="L6604" s="13"/>
      <c r="M6604" s="14"/>
      <c r="N6604" s="14"/>
      <c r="O6604" s="14"/>
      <c r="P6604" s="13"/>
    </row>
    <row r="6605">
      <c r="L6605" s="13"/>
      <c r="M6605" s="14"/>
      <c r="N6605" s="14"/>
      <c r="O6605" s="14"/>
      <c r="P6605" s="13"/>
    </row>
    <row r="6606">
      <c r="L6606" s="13"/>
      <c r="M6606" s="14"/>
      <c r="N6606" s="14"/>
      <c r="O6606" s="14"/>
      <c r="P6606" s="13"/>
    </row>
    <row r="6607">
      <c r="L6607" s="13"/>
      <c r="M6607" s="14"/>
      <c r="N6607" s="14"/>
      <c r="O6607" s="14"/>
      <c r="P6607" s="13"/>
    </row>
    <row r="6608">
      <c r="L6608" s="13"/>
      <c r="M6608" s="14"/>
      <c r="N6608" s="14"/>
      <c r="O6608" s="14"/>
      <c r="P6608" s="13"/>
    </row>
    <row r="6609">
      <c r="L6609" s="13"/>
      <c r="M6609" s="14"/>
      <c r="N6609" s="14"/>
      <c r="O6609" s="14"/>
      <c r="P6609" s="13"/>
    </row>
    <row r="6610">
      <c r="L6610" s="13"/>
      <c r="M6610" s="14"/>
      <c r="N6610" s="14"/>
      <c r="O6610" s="14"/>
      <c r="P6610" s="13"/>
    </row>
    <row r="6611">
      <c r="L6611" s="13"/>
      <c r="M6611" s="14"/>
      <c r="N6611" s="14"/>
      <c r="O6611" s="14"/>
      <c r="P6611" s="13"/>
    </row>
    <row r="6612">
      <c r="L6612" s="13"/>
      <c r="M6612" s="14"/>
      <c r="N6612" s="14"/>
      <c r="O6612" s="14"/>
      <c r="P6612" s="13"/>
    </row>
    <row r="6613">
      <c r="L6613" s="13"/>
      <c r="M6613" s="14"/>
      <c r="N6613" s="14"/>
      <c r="O6613" s="14"/>
      <c r="P6613" s="13"/>
    </row>
    <row r="6614">
      <c r="L6614" s="13"/>
      <c r="M6614" s="14"/>
      <c r="N6614" s="14"/>
      <c r="O6614" s="14"/>
      <c r="P6614" s="13"/>
    </row>
    <row r="6615">
      <c r="L6615" s="13"/>
      <c r="M6615" s="14"/>
      <c r="N6615" s="14"/>
      <c r="O6615" s="14"/>
      <c r="P6615" s="13"/>
    </row>
    <row r="6616">
      <c r="L6616" s="13"/>
      <c r="M6616" s="14"/>
      <c r="N6616" s="14"/>
      <c r="O6616" s="14"/>
      <c r="P6616" s="13"/>
    </row>
    <row r="6617">
      <c r="L6617" s="13"/>
      <c r="M6617" s="14"/>
      <c r="N6617" s="14"/>
      <c r="O6617" s="14"/>
      <c r="P6617" s="13"/>
    </row>
    <row r="6618">
      <c r="L6618" s="13"/>
      <c r="M6618" s="14"/>
      <c r="N6618" s="14"/>
      <c r="O6618" s="14"/>
      <c r="P6618" s="13"/>
    </row>
    <row r="6619">
      <c r="L6619" s="13"/>
      <c r="M6619" s="14"/>
      <c r="N6619" s="14"/>
      <c r="O6619" s="14"/>
      <c r="P6619" s="13"/>
    </row>
    <row r="6620">
      <c r="L6620" s="13"/>
      <c r="M6620" s="14"/>
      <c r="N6620" s="14"/>
      <c r="O6620" s="14"/>
      <c r="P6620" s="13"/>
    </row>
    <row r="6621">
      <c r="L6621" s="13"/>
      <c r="M6621" s="14"/>
      <c r="N6621" s="14"/>
      <c r="O6621" s="14"/>
      <c r="P6621" s="13"/>
    </row>
    <row r="6622">
      <c r="L6622" s="13"/>
      <c r="M6622" s="14"/>
      <c r="N6622" s="14"/>
      <c r="O6622" s="14"/>
      <c r="P6622" s="13"/>
    </row>
    <row r="6623">
      <c r="L6623" s="13"/>
      <c r="M6623" s="14"/>
      <c r="N6623" s="14"/>
      <c r="O6623" s="14"/>
      <c r="P6623" s="13"/>
    </row>
    <row r="6624">
      <c r="L6624" s="13"/>
      <c r="M6624" s="14"/>
      <c r="N6624" s="14"/>
      <c r="O6624" s="14"/>
      <c r="P6624" s="13"/>
    </row>
    <row r="6625">
      <c r="L6625" s="13"/>
      <c r="M6625" s="14"/>
      <c r="N6625" s="14"/>
      <c r="O6625" s="14"/>
      <c r="P6625" s="13"/>
    </row>
    <row r="6626">
      <c r="L6626" s="13"/>
      <c r="M6626" s="14"/>
      <c r="N6626" s="14"/>
      <c r="O6626" s="14"/>
      <c r="P6626" s="13"/>
    </row>
    <row r="6627">
      <c r="L6627" s="13"/>
      <c r="M6627" s="14"/>
      <c r="N6627" s="14"/>
      <c r="O6627" s="14"/>
      <c r="P6627" s="13"/>
    </row>
    <row r="6628">
      <c r="L6628" s="13"/>
      <c r="M6628" s="14"/>
      <c r="N6628" s="14"/>
      <c r="O6628" s="14"/>
      <c r="P6628" s="13"/>
    </row>
    <row r="6629">
      <c r="L6629" s="13"/>
      <c r="M6629" s="14"/>
      <c r="N6629" s="14"/>
      <c r="O6629" s="14"/>
      <c r="P6629" s="13"/>
    </row>
    <row r="6630">
      <c r="L6630" s="13"/>
      <c r="M6630" s="14"/>
      <c r="N6630" s="14"/>
      <c r="O6630" s="14"/>
      <c r="P6630" s="13"/>
    </row>
    <row r="6631">
      <c r="L6631" s="13"/>
      <c r="M6631" s="14"/>
      <c r="N6631" s="14"/>
      <c r="O6631" s="14"/>
      <c r="P6631" s="13"/>
    </row>
    <row r="6632">
      <c r="L6632" s="13"/>
      <c r="M6632" s="14"/>
      <c r="N6632" s="14"/>
      <c r="O6632" s="14"/>
      <c r="P6632" s="13"/>
    </row>
    <row r="6633">
      <c r="L6633" s="13"/>
      <c r="M6633" s="14"/>
      <c r="N6633" s="14"/>
      <c r="O6633" s="14"/>
      <c r="P6633" s="13"/>
    </row>
    <row r="6634">
      <c r="L6634" s="13"/>
      <c r="M6634" s="14"/>
      <c r="N6634" s="14"/>
      <c r="O6634" s="14"/>
      <c r="P6634" s="13"/>
    </row>
    <row r="6635">
      <c r="L6635" s="13"/>
      <c r="M6635" s="14"/>
      <c r="N6635" s="14"/>
      <c r="O6635" s="14"/>
      <c r="P6635" s="13"/>
    </row>
    <row r="6636">
      <c r="L6636" s="13"/>
      <c r="M6636" s="14"/>
      <c r="N6636" s="14"/>
      <c r="O6636" s="14"/>
      <c r="P6636" s="13"/>
    </row>
    <row r="6637">
      <c r="L6637" s="13"/>
      <c r="M6637" s="14"/>
      <c r="N6637" s="14"/>
      <c r="O6637" s="14"/>
      <c r="P6637" s="13"/>
    </row>
    <row r="6638">
      <c r="L6638" s="13"/>
      <c r="M6638" s="14"/>
      <c r="N6638" s="14"/>
      <c r="O6638" s="14"/>
      <c r="P6638" s="13"/>
    </row>
    <row r="6639">
      <c r="L6639" s="13"/>
      <c r="M6639" s="14"/>
      <c r="N6639" s="14"/>
      <c r="O6639" s="14"/>
      <c r="P6639" s="13"/>
    </row>
    <row r="6640">
      <c r="L6640" s="13"/>
      <c r="M6640" s="14"/>
      <c r="N6640" s="14"/>
      <c r="O6640" s="14"/>
      <c r="P6640" s="13"/>
    </row>
    <row r="6641">
      <c r="L6641" s="13"/>
      <c r="M6641" s="14"/>
      <c r="N6641" s="14"/>
      <c r="O6641" s="14"/>
      <c r="P6641" s="13"/>
    </row>
    <row r="6642">
      <c r="L6642" s="13"/>
      <c r="M6642" s="14"/>
      <c r="N6642" s="14"/>
      <c r="O6642" s="14"/>
      <c r="P6642" s="13"/>
    </row>
    <row r="6643">
      <c r="L6643" s="13"/>
      <c r="M6643" s="14"/>
      <c r="N6643" s="14"/>
      <c r="O6643" s="14"/>
      <c r="P6643" s="13"/>
    </row>
    <row r="6644">
      <c r="L6644" s="13"/>
      <c r="M6644" s="14"/>
      <c r="N6644" s="14"/>
      <c r="O6644" s="14"/>
      <c r="P6644" s="13"/>
    </row>
    <row r="6645">
      <c r="L6645" s="13"/>
      <c r="M6645" s="14"/>
      <c r="N6645" s="14"/>
      <c r="O6645" s="14"/>
      <c r="P6645" s="13"/>
    </row>
    <row r="6646">
      <c r="L6646" s="13"/>
      <c r="M6646" s="14"/>
      <c r="N6646" s="14"/>
      <c r="O6646" s="14"/>
      <c r="P6646" s="13"/>
    </row>
    <row r="6647">
      <c r="L6647" s="13"/>
      <c r="M6647" s="14"/>
      <c r="N6647" s="14"/>
      <c r="O6647" s="14"/>
      <c r="P6647" s="13"/>
    </row>
    <row r="6648">
      <c r="L6648" s="13"/>
      <c r="M6648" s="14"/>
      <c r="N6648" s="14"/>
      <c r="O6648" s="14"/>
      <c r="P6648" s="13"/>
    </row>
    <row r="6649">
      <c r="L6649" s="13"/>
      <c r="M6649" s="14"/>
      <c r="N6649" s="14"/>
      <c r="O6649" s="14"/>
      <c r="P6649" s="13"/>
    </row>
    <row r="6650">
      <c r="L6650" s="13"/>
      <c r="M6650" s="14"/>
      <c r="N6650" s="14"/>
      <c r="O6650" s="14"/>
      <c r="P6650" s="13"/>
    </row>
    <row r="6651">
      <c r="L6651" s="13"/>
      <c r="M6651" s="14"/>
      <c r="N6651" s="14"/>
      <c r="O6651" s="14"/>
      <c r="P6651" s="13"/>
    </row>
    <row r="6652">
      <c r="L6652" s="13"/>
      <c r="M6652" s="14"/>
      <c r="N6652" s="14"/>
      <c r="O6652" s="14"/>
      <c r="P6652" s="13"/>
    </row>
    <row r="6653">
      <c r="L6653" s="13"/>
      <c r="M6653" s="14"/>
      <c r="N6653" s="14"/>
      <c r="O6653" s="14"/>
      <c r="P6653" s="13"/>
    </row>
    <row r="6654">
      <c r="L6654" s="13"/>
      <c r="M6654" s="14"/>
      <c r="N6654" s="14"/>
      <c r="O6654" s="14"/>
      <c r="P6654" s="13"/>
    </row>
    <row r="6655">
      <c r="L6655" s="13"/>
      <c r="M6655" s="14"/>
      <c r="N6655" s="14"/>
      <c r="O6655" s="14"/>
      <c r="P6655" s="13"/>
    </row>
    <row r="6656">
      <c r="L6656" s="13"/>
      <c r="M6656" s="14"/>
      <c r="N6656" s="14"/>
      <c r="O6656" s="14"/>
      <c r="P6656" s="13"/>
    </row>
    <row r="6657">
      <c r="L6657" s="13"/>
      <c r="M6657" s="14"/>
      <c r="N6657" s="14"/>
      <c r="O6657" s="14"/>
      <c r="P6657" s="13"/>
    </row>
    <row r="6658">
      <c r="L6658" s="13"/>
      <c r="M6658" s="14"/>
      <c r="N6658" s="14"/>
      <c r="O6658" s="14"/>
      <c r="P6658" s="13"/>
    </row>
    <row r="6659">
      <c r="L6659" s="13"/>
      <c r="M6659" s="14"/>
      <c r="N6659" s="14"/>
      <c r="O6659" s="14"/>
      <c r="P6659" s="13"/>
    </row>
    <row r="6660">
      <c r="L6660" s="13"/>
      <c r="M6660" s="14"/>
      <c r="N6660" s="14"/>
      <c r="O6660" s="14"/>
      <c r="P6660" s="13"/>
    </row>
    <row r="6661">
      <c r="L6661" s="13"/>
      <c r="M6661" s="14"/>
      <c r="N6661" s="14"/>
      <c r="O6661" s="14"/>
      <c r="P6661" s="13"/>
    </row>
    <row r="6662">
      <c r="L6662" s="13"/>
      <c r="M6662" s="14"/>
      <c r="N6662" s="14"/>
      <c r="O6662" s="14"/>
      <c r="P6662" s="13"/>
    </row>
    <row r="6663">
      <c r="L6663" s="13"/>
      <c r="M6663" s="14"/>
      <c r="N6663" s="14"/>
      <c r="O6663" s="14"/>
      <c r="P6663" s="13"/>
    </row>
    <row r="6664">
      <c r="L6664" s="13"/>
      <c r="M6664" s="14"/>
      <c r="N6664" s="14"/>
      <c r="O6664" s="14"/>
      <c r="P6664" s="13"/>
    </row>
    <row r="6665">
      <c r="L6665" s="13"/>
      <c r="M6665" s="14"/>
      <c r="N6665" s="14"/>
      <c r="O6665" s="14"/>
      <c r="P6665" s="13"/>
    </row>
    <row r="6666">
      <c r="L6666" s="13"/>
      <c r="M6666" s="14"/>
      <c r="N6666" s="14"/>
      <c r="O6666" s="14"/>
      <c r="P6666" s="13"/>
    </row>
    <row r="6667">
      <c r="L6667" s="13"/>
      <c r="M6667" s="14"/>
      <c r="N6667" s="14"/>
      <c r="O6667" s="14"/>
      <c r="P6667" s="13"/>
    </row>
    <row r="6668">
      <c r="L6668" s="13"/>
      <c r="M6668" s="14"/>
      <c r="N6668" s="14"/>
      <c r="O6668" s="14"/>
      <c r="P6668" s="13"/>
    </row>
    <row r="6669">
      <c r="L6669" s="13"/>
      <c r="M6669" s="14"/>
      <c r="N6669" s="14"/>
      <c r="O6669" s="14"/>
      <c r="P6669" s="13"/>
    </row>
    <row r="6670">
      <c r="L6670" s="13"/>
      <c r="M6670" s="14"/>
      <c r="N6670" s="14"/>
      <c r="O6670" s="14"/>
      <c r="P6670" s="13"/>
    </row>
    <row r="6671">
      <c r="L6671" s="13"/>
      <c r="M6671" s="14"/>
      <c r="N6671" s="14"/>
      <c r="O6671" s="14"/>
      <c r="P6671" s="13"/>
    </row>
    <row r="6672">
      <c r="L6672" s="13"/>
      <c r="M6672" s="14"/>
      <c r="N6672" s="14"/>
      <c r="O6672" s="14"/>
      <c r="P6672" s="13"/>
    </row>
    <row r="6673">
      <c r="L6673" s="13"/>
      <c r="M6673" s="14"/>
      <c r="N6673" s="14"/>
      <c r="O6673" s="14"/>
      <c r="P6673" s="13"/>
    </row>
    <row r="6674">
      <c r="L6674" s="13"/>
      <c r="M6674" s="14"/>
      <c r="N6674" s="14"/>
      <c r="O6674" s="14"/>
      <c r="P6674" s="13"/>
    </row>
    <row r="6675">
      <c r="L6675" s="13"/>
      <c r="M6675" s="14"/>
      <c r="N6675" s="14"/>
      <c r="O6675" s="14"/>
      <c r="P6675" s="13"/>
    </row>
    <row r="6676">
      <c r="L6676" s="13"/>
      <c r="M6676" s="14"/>
      <c r="N6676" s="14"/>
      <c r="O6676" s="14"/>
      <c r="P6676" s="13"/>
    </row>
    <row r="6677">
      <c r="L6677" s="13"/>
      <c r="M6677" s="14"/>
      <c r="N6677" s="14"/>
      <c r="O6677" s="14"/>
      <c r="P6677" s="13"/>
    </row>
    <row r="6678">
      <c r="L6678" s="13"/>
      <c r="M6678" s="14"/>
      <c r="N6678" s="14"/>
      <c r="O6678" s="14"/>
      <c r="P6678" s="13"/>
    </row>
    <row r="6679">
      <c r="L6679" s="13"/>
      <c r="M6679" s="14"/>
      <c r="N6679" s="14"/>
      <c r="O6679" s="14"/>
      <c r="P6679" s="13"/>
    </row>
    <row r="6680">
      <c r="L6680" s="13"/>
      <c r="M6680" s="14"/>
      <c r="N6680" s="14"/>
      <c r="O6680" s="14"/>
      <c r="P6680" s="13"/>
    </row>
    <row r="6681">
      <c r="L6681" s="13"/>
      <c r="M6681" s="14"/>
      <c r="N6681" s="14"/>
      <c r="O6681" s="14"/>
      <c r="P6681" s="13"/>
    </row>
    <row r="6682">
      <c r="L6682" s="13"/>
      <c r="M6682" s="14"/>
      <c r="N6682" s="14"/>
      <c r="O6682" s="14"/>
      <c r="P6682" s="13"/>
    </row>
    <row r="6683">
      <c r="L6683" s="13"/>
      <c r="M6683" s="14"/>
      <c r="N6683" s="14"/>
      <c r="O6683" s="14"/>
      <c r="P6683" s="13"/>
    </row>
    <row r="6684">
      <c r="L6684" s="13"/>
      <c r="M6684" s="14"/>
      <c r="N6684" s="14"/>
      <c r="O6684" s="14"/>
      <c r="P6684" s="13"/>
    </row>
    <row r="6685">
      <c r="L6685" s="13"/>
      <c r="M6685" s="14"/>
      <c r="N6685" s="14"/>
      <c r="O6685" s="14"/>
      <c r="P6685" s="13"/>
    </row>
    <row r="6686">
      <c r="L6686" s="13"/>
      <c r="M6686" s="14"/>
      <c r="N6686" s="14"/>
      <c r="O6686" s="14"/>
      <c r="P6686" s="13"/>
    </row>
    <row r="6687">
      <c r="L6687" s="13"/>
      <c r="M6687" s="14"/>
      <c r="N6687" s="14"/>
      <c r="O6687" s="14"/>
      <c r="P6687" s="13"/>
    </row>
    <row r="6688">
      <c r="L6688" s="13"/>
      <c r="M6688" s="14"/>
      <c r="N6688" s="14"/>
      <c r="O6688" s="14"/>
      <c r="P6688" s="13"/>
    </row>
    <row r="6689">
      <c r="L6689" s="13"/>
      <c r="M6689" s="14"/>
      <c r="N6689" s="14"/>
      <c r="O6689" s="14"/>
      <c r="P6689" s="13"/>
    </row>
    <row r="6690">
      <c r="L6690" s="13"/>
      <c r="M6690" s="14"/>
      <c r="N6690" s="14"/>
      <c r="O6690" s="14"/>
      <c r="P6690" s="13"/>
    </row>
    <row r="6691">
      <c r="L6691" s="13"/>
      <c r="M6691" s="14"/>
      <c r="N6691" s="14"/>
      <c r="O6691" s="14"/>
      <c r="P6691" s="13"/>
    </row>
    <row r="6692">
      <c r="L6692" s="13"/>
      <c r="M6692" s="14"/>
      <c r="N6692" s="14"/>
      <c r="O6692" s="14"/>
      <c r="P6692" s="13"/>
    </row>
    <row r="6693">
      <c r="L6693" s="13"/>
      <c r="M6693" s="14"/>
      <c r="N6693" s="14"/>
      <c r="O6693" s="14"/>
      <c r="P6693" s="13"/>
    </row>
    <row r="6694">
      <c r="L6694" s="13"/>
      <c r="M6694" s="14"/>
      <c r="N6694" s="14"/>
      <c r="O6694" s="14"/>
      <c r="P6694" s="13"/>
    </row>
    <row r="6695">
      <c r="L6695" s="13"/>
      <c r="M6695" s="14"/>
      <c r="N6695" s="14"/>
      <c r="O6695" s="14"/>
      <c r="P6695" s="13"/>
    </row>
    <row r="6696">
      <c r="L6696" s="13"/>
      <c r="M6696" s="14"/>
      <c r="N6696" s="14"/>
      <c r="O6696" s="14"/>
      <c r="P6696" s="13"/>
    </row>
    <row r="6697">
      <c r="L6697" s="13"/>
      <c r="M6697" s="14"/>
      <c r="N6697" s="14"/>
      <c r="O6697" s="14"/>
      <c r="P6697" s="13"/>
    </row>
    <row r="6698">
      <c r="L6698" s="13"/>
      <c r="M6698" s="14"/>
      <c r="N6698" s="14"/>
      <c r="O6698" s="14"/>
      <c r="P6698" s="13"/>
    </row>
    <row r="6699">
      <c r="L6699" s="13"/>
      <c r="M6699" s="14"/>
      <c r="N6699" s="14"/>
      <c r="O6699" s="14"/>
      <c r="P6699" s="13"/>
    </row>
    <row r="6700">
      <c r="L6700" s="13"/>
      <c r="M6700" s="14"/>
      <c r="N6700" s="14"/>
      <c r="O6700" s="14"/>
      <c r="P6700" s="13"/>
    </row>
    <row r="6701">
      <c r="L6701" s="13"/>
      <c r="M6701" s="14"/>
      <c r="N6701" s="14"/>
      <c r="O6701" s="14"/>
      <c r="P6701" s="13"/>
    </row>
    <row r="6702">
      <c r="L6702" s="13"/>
      <c r="M6702" s="14"/>
      <c r="N6702" s="14"/>
      <c r="O6702" s="14"/>
      <c r="P6702" s="13"/>
    </row>
    <row r="6703">
      <c r="L6703" s="13"/>
      <c r="M6703" s="14"/>
      <c r="N6703" s="14"/>
      <c r="O6703" s="14"/>
      <c r="P6703" s="13"/>
    </row>
    <row r="6704">
      <c r="L6704" s="13"/>
      <c r="M6704" s="14"/>
      <c r="N6704" s="14"/>
      <c r="O6704" s="14"/>
      <c r="P6704" s="13"/>
    </row>
    <row r="6705">
      <c r="L6705" s="13"/>
      <c r="M6705" s="14"/>
      <c r="N6705" s="14"/>
      <c r="O6705" s="14"/>
      <c r="P6705" s="13"/>
    </row>
    <row r="6706">
      <c r="L6706" s="13"/>
      <c r="M6706" s="14"/>
      <c r="N6706" s="14"/>
      <c r="O6706" s="14"/>
      <c r="P6706" s="13"/>
    </row>
    <row r="6707">
      <c r="L6707" s="13"/>
      <c r="M6707" s="14"/>
      <c r="N6707" s="14"/>
      <c r="O6707" s="14"/>
      <c r="P6707" s="13"/>
    </row>
    <row r="6708">
      <c r="L6708" s="13"/>
      <c r="M6708" s="14"/>
      <c r="N6708" s="14"/>
      <c r="O6708" s="14"/>
      <c r="P6708" s="13"/>
    </row>
    <row r="6709">
      <c r="L6709" s="13"/>
      <c r="M6709" s="14"/>
      <c r="N6709" s="14"/>
      <c r="O6709" s="14"/>
      <c r="P6709" s="13"/>
    </row>
    <row r="6710">
      <c r="L6710" s="13"/>
      <c r="M6710" s="14"/>
      <c r="N6710" s="14"/>
      <c r="O6710" s="14"/>
      <c r="P6710" s="13"/>
    </row>
    <row r="6711">
      <c r="L6711" s="13"/>
      <c r="M6711" s="14"/>
      <c r="N6711" s="14"/>
      <c r="O6711" s="14"/>
      <c r="P6711" s="13"/>
    </row>
    <row r="6712">
      <c r="L6712" s="13"/>
      <c r="M6712" s="14"/>
      <c r="N6712" s="14"/>
      <c r="O6712" s="14"/>
      <c r="P6712" s="13"/>
    </row>
    <row r="6713">
      <c r="L6713" s="13"/>
      <c r="M6713" s="14"/>
      <c r="N6713" s="14"/>
      <c r="O6713" s="14"/>
      <c r="P6713" s="13"/>
    </row>
    <row r="6714">
      <c r="L6714" s="13"/>
      <c r="M6714" s="14"/>
      <c r="N6714" s="14"/>
      <c r="O6714" s="14"/>
      <c r="P6714" s="13"/>
    </row>
    <row r="6715">
      <c r="L6715" s="13"/>
      <c r="M6715" s="14"/>
      <c r="N6715" s="14"/>
      <c r="O6715" s="14"/>
      <c r="P6715" s="13"/>
    </row>
    <row r="6716">
      <c r="L6716" s="13"/>
      <c r="M6716" s="14"/>
      <c r="N6716" s="14"/>
      <c r="O6716" s="14"/>
      <c r="P6716" s="13"/>
    </row>
    <row r="6717">
      <c r="L6717" s="13"/>
      <c r="M6717" s="14"/>
      <c r="N6717" s="14"/>
      <c r="O6717" s="14"/>
      <c r="P6717" s="13"/>
    </row>
    <row r="6718">
      <c r="L6718" s="13"/>
      <c r="M6718" s="14"/>
      <c r="N6718" s="14"/>
      <c r="O6718" s="14"/>
      <c r="P6718" s="13"/>
    </row>
    <row r="6719">
      <c r="L6719" s="13"/>
      <c r="M6719" s="14"/>
      <c r="N6719" s="14"/>
      <c r="O6719" s="14"/>
      <c r="P6719" s="13"/>
    </row>
    <row r="6720">
      <c r="L6720" s="13"/>
      <c r="M6720" s="14"/>
      <c r="N6720" s="14"/>
      <c r="O6720" s="14"/>
      <c r="P6720" s="13"/>
    </row>
    <row r="6721">
      <c r="L6721" s="13"/>
      <c r="M6721" s="14"/>
      <c r="N6721" s="14"/>
      <c r="O6721" s="14"/>
      <c r="P6721" s="13"/>
    </row>
    <row r="6722">
      <c r="L6722" s="13"/>
      <c r="M6722" s="14"/>
      <c r="N6722" s="14"/>
      <c r="O6722" s="14"/>
      <c r="P6722" s="13"/>
    </row>
    <row r="6723">
      <c r="L6723" s="13"/>
      <c r="M6723" s="14"/>
      <c r="N6723" s="14"/>
      <c r="O6723" s="14"/>
      <c r="P6723" s="13"/>
    </row>
    <row r="6724">
      <c r="L6724" s="13"/>
      <c r="M6724" s="14"/>
      <c r="N6724" s="14"/>
      <c r="O6724" s="14"/>
      <c r="P6724" s="13"/>
    </row>
    <row r="6725">
      <c r="L6725" s="13"/>
      <c r="M6725" s="14"/>
      <c r="N6725" s="14"/>
      <c r="O6725" s="14"/>
      <c r="P6725" s="13"/>
    </row>
    <row r="6726">
      <c r="L6726" s="13"/>
      <c r="M6726" s="14"/>
      <c r="N6726" s="14"/>
      <c r="O6726" s="14"/>
      <c r="P6726" s="13"/>
    </row>
    <row r="6727">
      <c r="L6727" s="13"/>
      <c r="M6727" s="14"/>
      <c r="N6727" s="14"/>
      <c r="O6727" s="14"/>
      <c r="P6727" s="13"/>
    </row>
    <row r="6728">
      <c r="L6728" s="13"/>
      <c r="M6728" s="14"/>
      <c r="N6728" s="14"/>
      <c r="O6728" s="14"/>
      <c r="P6728" s="13"/>
    </row>
    <row r="6729">
      <c r="L6729" s="13"/>
      <c r="M6729" s="14"/>
      <c r="N6729" s="14"/>
      <c r="O6729" s="14"/>
      <c r="P6729" s="13"/>
    </row>
    <row r="6730">
      <c r="L6730" s="13"/>
      <c r="M6730" s="14"/>
      <c r="N6730" s="14"/>
      <c r="O6730" s="14"/>
      <c r="P6730" s="13"/>
    </row>
    <row r="6731">
      <c r="L6731" s="13"/>
      <c r="M6731" s="14"/>
      <c r="N6731" s="14"/>
      <c r="O6731" s="14"/>
      <c r="P6731" s="13"/>
    </row>
    <row r="6732">
      <c r="L6732" s="13"/>
      <c r="M6732" s="14"/>
      <c r="N6732" s="14"/>
      <c r="O6732" s="14"/>
      <c r="P6732" s="13"/>
    </row>
    <row r="6733">
      <c r="L6733" s="13"/>
      <c r="M6733" s="14"/>
      <c r="N6733" s="14"/>
      <c r="O6733" s="14"/>
      <c r="P6733" s="13"/>
    </row>
    <row r="6734">
      <c r="L6734" s="13"/>
      <c r="M6734" s="14"/>
      <c r="N6734" s="14"/>
      <c r="O6734" s="14"/>
      <c r="P6734" s="13"/>
    </row>
    <row r="6735">
      <c r="L6735" s="13"/>
      <c r="M6735" s="14"/>
      <c r="N6735" s="14"/>
      <c r="O6735" s="14"/>
      <c r="P6735" s="13"/>
    </row>
    <row r="6736">
      <c r="L6736" s="13"/>
      <c r="M6736" s="14"/>
      <c r="N6736" s="14"/>
      <c r="O6736" s="14"/>
      <c r="P6736" s="13"/>
    </row>
    <row r="6737">
      <c r="L6737" s="13"/>
      <c r="M6737" s="14"/>
      <c r="N6737" s="14"/>
      <c r="O6737" s="14"/>
      <c r="P6737" s="13"/>
    </row>
    <row r="6738">
      <c r="L6738" s="13"/>
      <c r="M6738" s="14"/>
      <c r="N6738" s="14"/>
      <c r="O6738" s="14"/>
      <c r="P6738" s="13"/>
    </row>
    <row r="6739">
      <c r="L6739" s="13"/>
      <c r="M6739" s="14"/>
      <c r="N6739" s="14"/>
      <c r="O6739" s="14"/>
      <c r="P6739" s="13"/>
    </row>
    <row r="6740">
      <c r="L6740" s="13"/>
      <c r="M6740" s="14"/>
      <c r="N6740" s="14"/>
      <c r="O6740" s="14"/>
      <c r="P6740" s="13"/>
    </row>
    <row r="6741">
      <c r="L6741" s="13"/>
      <c r="M6741" s="14"/>
      <c r="N6741" s="14"/>
      <c r="O6741" s="14"/>
      <c r="P6741" s="13"/>
    </row>
    <row r="6742">
      <c r="L6742" s="13"/>
      <c r="M6742" s="14"/>
      <c r="N6742" s="14"/>
      <c r="O6742" s="14"/>
      <c r="P6742" s="13"/>
    </row>
    <row r="6743">
      <c r="L6743" s="13"/>
      <c r="M6743" s="14"/>
      <c r="N6743" s="14"/>
      <c r="O6743" s="14"/>
      <c r="P6743" s="13"/>
    </row>
    <row r="6744">
      <c r="L6744" s="13"/>
      <c r="M6744" s="14"/>
      <c r="N6744" s="14"/>
      <c r="O6744" s="14"/>
      <c r="P6744" s="13"/>
    </row>
    <row r="6745">
      <c r="L6745" s="13"/>
      <c r="M6745" s="14"/>
      <c r="N6745" s="14"/>
      <c r="O6745" s="14"/>
      <c r="P6745" s="13"/>
    </row>
    <row r="6746">
      <c r="L6746" s="13"/>
      <c r="M6746" s="14"/>
      <c r="N6746" s="14"/>
      <c r="O6746" s="14"/>
      <c r="P6746" s="13"/>
    </row>
    <row r="6747">
      <c r="L6747" s="13"/>
      <c r="M6747" s="14"/>
      <c r="N6747" s="14"/>
      <c r="O6747" s="14"/>
      <c r="P6747" s="13"/>
    </row>
    <row r="6748">
      <c r="L6748" s="13"/>
      <c r="M6748" s="14"/>
      <c r="N6748" s="14"/>
      <c r="O6748" s="14"/>
      <c r="P6748" s="13"/>
    </row>
    <row r="6749">
      <c r="L6749" s="13"/>
      <c r="M6749" s="14"/>
      <c r="N6749" s="14"/>
      <c r="O6749" s="14"/>
      <c r="P6749" s="13"/>
    </row>
    <row r="6750">
      <c r="L6750" s="13"/>
      <c r="M6750" s="14"/>
      <c r="N6750" s="14"/>
      <c r="O6750" s="14"/>
      <c r="P6750" s="13"/>
    </row>
    <row r="6751">
      <c r="L6751" s="13"/>
      <c r="M6751" s="14"/>
      <c r="N6751" s="14"/>
      <c r="O6751" s="14"/>
      <c r="P6751" s="13"/>
    </row>
    <row r="6752">
      <c r="L6752" s="13"/>
      <c r="M6752" s="14"/>
      <c r="N6752" s="14"/>
      <c r="O6752" s="14"/>
      <c r="P6752" s="13"/>
    </row>
    <row r="6753">
      <c r="L6753" s="13"/>
      <c r="M6753" s="14"/>
      <c r="N6753" s="14"/>
      <c r="O6753" s="14"/>
      <c r="P6753" s="13"/>
    </row>
    <row r="6754">
      <c r="L6754" s="13"/>
      <c r="M6754" s="14"/>
      <c r="N6754" s="14"/>
      <c r="O6754" s="14"/>
      <c r="P6754" s="13"/>
    </row>
    <row r="6755">
      <c r="L6755" s="13"/>
      <c r="M6755" s="14"/>
      <c r="N6755" s="14"/>
      <c r="O6755" s="14"/>
      <c r="P6755" s="13"/>
    </row>
    <row r="6756">
      <c r="L6756" s="13"/>
      <c r="M6756" s="14"/>
      <c r="N6756" s="14"/>
      <c r="O6756" s="14"/>
      <c r="P6756" s="13"/>
    </row>
    <row r="6757">
      <c r="L6757" s="13"/>
      <c r="M6757" s="14"/>
      <c r="N6757" s="14"/>
      <c r="O6757" s="14"/>
      <c r="P6757" s="13"/>
    </row>
    <row r="6758">
      <c r="L6758" s="13"/>
      <c r="M6758" s="14"/>
      <c r="N6758" s="14"/>
      <c r="O6758" s="14"/>
      <c r="P6758" s="13"/>
    </row>
    <row r="6759">
      <c r="L6759" s="13"/>
      <c r="M6759" s="14"/>
      <c r="N6759" s="14"/>
      <c r="O6759" s="14"/>
      <c r="P6759" s="13"/>
    </row>
    <row r="6760">
      <c r="L6760" s="13"/>
      <c r="M6760" s="14"/>
      <c r="N6760" s="14"/>
      <c r="O6760" s="14"/>
      <c r="P6760" s="13"/>
    </row>
    <row r="6761">
      <c r="L6761" s="13"/>
      <c r="M6761" s="14"/>
      <c r="N6761" s="14"/>
      <c r="O6761" s="14"/>
      <c r="P6761" s="13"/>
    </row>
    <row r="6762">
      <c r="L6762" s="13"/>
      <c r="M6762" s="14"/>
      <c r="N6762" s="14"/>
      <c r="O6762" s="14"/>
      <c r="P6762" s="13"/>
    </row>
    <row r="6763">
      <c r="L6763" s="13"/>
      <c r="M6763" s="14"/>
      <c r="N6763" s="14"/>
      <c r="O6763" s="14"/>
      <c r="P6763" s="13"/>
    </row>
    <row r="6764">
      <c r="L6764" s="13"/>
      <c r="M6764" s="14"/>
      <c r="N6764" s="14"/>
      <c r="O6764" s="14"/>
      <c r="P6764" s="13"/>
    </row>
    <row r="6765">
      <c r="L6765" s="13"/>
      <c r="M6765" s="14"/>
      <c r="N6765" s="14"/>
      <c r="O6765" s="14"/>
      <c r="P6765" s="13"/>
    </row>
    <row r="6766">
      <c r="L6766" s="13"/>
      <c r="M6766" s="14"/>
      <c r="N6766" s="14"/>
      <c r="O6766" s="14"/>
      <c r="P6766" s="13"/>
    </row>
    <row r="6767">
      <c r="L6767" s="13"/>
      <c r="M6767" s="14"/>
      <c r="N6767" s="14"/>
      <c r="O6767" s="14"/>
      <c r="P6767" s="13"/>
    </row>
    <row r="6768">
      <c r="L6768" s="13"/>
      <c r="M6768" s="14"/>
      <c r="N6768" s="14"/>
      <c r="O6768" s="14"/>
      <c r="P6768" s="13"/>
    </row>
    <row r="6769">
      <c r="L6769" s="13"/>
      <c r="M6769" s="14"/>
      <c r="N6769" s="14"/>
      <c r="O6769" s="14"/>
      <c r="P6769" s="13"/>
    </row>
    <row r="6770">
      <c r="L6770" s="13"/>
      <c r="M6770" s="14"/>
      <c r="N6770" s="14"/>
      <c r="O6770" s="14"/>
      <c r="P6770" s="13"/>
    </row>
    <row r="6771">
      <c r="L6771" s="13"/>
      <c r="M6771" s="14"/>
      <c r="N6771" s="14"/>
      <c r="O6771" s="14"/>
      <c r="P6771" s="13"/>
    </row>
    <row r="6772">
      <c r="L6772" s="13"/>
      <c r="M6772" s="14"/>
      <c r="N6772" s="14"/>
      <c r="O6772" s="14"/>
      <c r="P6772" s="13"/>
    </row>
    <row r="6773">
      <c r="L6773" s="13"/>
      <c r="M6773" s="14"/>
      <c r="N6773" s="14"/>
      <c r="O6773" s="14"/>
      <c r="P6773" s="13"/>
    </row>
    <row r="6774">
      <c r="L6774" s="13"/>
      <c r="M6774" s="14"/>
      <c r="N6774" s="14"/>
      <c r="O6774" s="14"/>
      <c r="P6774" s="13"/>
    </row>
    <row r="6775">
      <c r="L6775" s="13"/>
      <c r="M6775" s="14"/>
      <c r="N6775" s="14"/>
      <c r="O6775" s="14"/>
      <c r="P6775" s="13"/>
    </row>
    <row r="6776">
      <c r="L6776" s="13"/>
      <c r="M6776" s="14"/>
      <c r="N6776" s="14"/>
      <c r="O6776" s="14"/>
      <c r="P6776" s="13"/>
    </row>
    <row r="6777">
      <c r="L6777" s="13"/>
      <c r="M6777" s="14"/>
      <c r="N6777" s="14"/>
      <c r="O6777" s="14"/>
      <c r="P6777" s="13"/>
    </row>
    <row r="6778">
      <c r="L6778" s="13"/>
      <c r="M6778" s="14"/>
      <c r="N6778" s="14"/>
      <c r="O6778" s="14"/>
      <c r="P6778" s="13"/>
    </row>
    <row r="6779">
      <c r="L6779" s="13"/>
      <c r="M6779" s="14"/>
      <c r="N6779" s="14"/>
      <c r="O6779" s="14"/>
      <c r="P6779" s="13"/>
    </row>
    <row r="6780">
      <c r="L6780" s="13"/>
      <c r="M6780" s="14"/>
      <c r="N6780" s="14"/>
      <c r="O6780" s="14"/>
      <c r="P6780" s="13"/>
    </row>
    <row r="6781">
      <c r="L6781" s="13"/>
      <c r="M6781" s="14"/>
      <c r="N6781" s="14"/>
      <c r="O6781" s="14"/>
      <c r="P6781" s="13"/>
    </row>
    <row r="6782">
      <c r="L6782" s="13"/>
      <c r="M6782" s="14"/>
      <c r="N6782" s="14"/>
      <c r="O6782" s="14"/>
      <c r="P6782" s="13"/>
    </row>
    <row r="6783">
      <c r="L6783" s="13"/>
      <c r="M6783" s="14"/>
      <c r="N6783" s="14"/>
      <c r="O6783" s="14"/>
      <c r="P6783" s="13"/>
    </row>
    <row r="6784">
      <c r="L6784" s="13"/>
      <c r="M6784" s="14"/>
      <c r="N6784" s="14"/>
      <c r="O6784" s="14"/>
      <c r="P6784" s="13"/>
    </row>
    <row r="6785">
      <c r="L6785" s="13"/>
      <c r="M6785" s="14"/>
      <c r="N6785" s="14"/>
      <c r="O6785" s="14"/>
      <c r="P6785" s="13"/>
    </row>
    <row r="6786">
      <c r="L6786" s="13"/>
      <c r="M6786" s="14"/>
      <c r="N6786" s="14"/>
      <c r="O6786" s="14"/>
      <c r="P6786" s="13"/>
    </row>
    <row r="6787">
      <c r="L6787" s="13"/>
      <c r="M6787" s="14"/>
      <c r="N6787" s="14"/>
      <c r="O6787" s="14"/>
      <c r="P6787" s="13"/>
    </row>
    <row r="6788">
      <c r="L6788" s="13"/>
      <c r="M6788" s="14"/>
      <c r="N6788" s="14"/>
      <c r="O6788" s="14"/>
      <c r="P6788" s="13"/>
    </row>
    <row r="6789">
      <c r="L6789" s="13"/>
      <c r="M6789" s="14"/>
      <c r="N6789" s="14"/>
      <c r="O6789" s="14"/>
      <c r="P6789" s="13"/>
    </row>
    <row r="6790">
      <c r="L6790" s="13"/>
      <c r="M6790" s="14"/>
      <c r="N6790" s="14"/>
      <c r="O6790" s="14"/>
      <c r="P6790" s="13"/>
    </row>
    <row r="6791">
      <c r="L6791" s="13"/>
      <c r="M6791" s="14"/>
      <c r="N6791" s="14"/>
      <c r="O6791" s="14"/>
      <c r="P6791" s="13"/>
    </row>
    <row r="6792">
      <c r="L6792" s="13"/>
      <c r="M6792" s="14"/>
      <c r="N6792" s="14"/>
      <c r="O6792" s="14"/>
      <c r="P6792" s="13"/>
    </row>
    <row r="6793">
      <c r="L6793" s="13"/>
      <c r="M6793" s="14"/>
      <c r="N6793" s="14"/>
      <c r="O6793" s="14"/>
      <c r="P6793" s="13"/>
    </row>
    <row r="6794">
      <c r="L6794" s="13"/>
      <c r="M6794" s="14"/>
      <c r="N6794" s="14"/>
      <c r="O6794" s="14"/>
      <c r="P6794" s="13"/>
    </row>
    <row r="6795">
      <c r="L6795" s="13"/>
      <c r="M6795" s="14"/>
      <c r="N6795" s="14"/>
      <c r="O6795" s="14"/>
      <c r="P6795" s="13"/>
    </row>
    <row r="6796">
      <c r="L6796" s="13"/>
      <c r="M6796" s="14"/>
      <c r="N6796" s="14"/>
      <c r="O6796" s="14"/>
      <c r="P6796" s="13"/>
    </row>
    <row r="6797">
      <c r="L6797" s="13"/>
      <c r="M6797" s="14"/>
      <c r="N6797" s="14"/>
      <c r="O6797" s="14"/>
      <c r="P6797" s="13"/>
    </row>
    <row r="6798">
      <c r="L6798" s="13"/>
      <c r="M6798" s="14"/>
      <c r="N6798" s="14"/>
      <c r="O6798" s="14"/>
      <c r="P6798" s="13"/>
    </row>
    <row r="6799">
      <c r="L6799" s="13"/>
      <c r="M6799" s="14"/>
      <c r="N6799" s="14"/>
      <c r="O6799" s="14"/>
      <c r="P6799" s="13"/>
    </row>
    <row r="6800">
      <c r="L6800" s="13"/>
      <c r="M6800" s="14"/>
      <c r="N6800" s="14"/>
      <c r="O6800" s="14"/>
      <c r="P6800" s="13"/>
    </row>
    <row r="6801">
      <c r="L6801" s="13"/>
      <c r="M6801" s="14"/>
      <c r="N6801" s="14"/>
      <c r="O6801" s="14"/>
      <c r="P6801" s="13"/>
    </row>
    <row r="6802">
      <c r="L6802" s="13"/>
      <c r="M6802" s="14"/>
      <c r="N6802" s="14"/>
      <c r="O6802" s="14"/>
      <c r="P6802" s="13"/>
    </row>
    <row r="6803">
      <c r="L6803" s="13"/>
      <c r="M6803" s="14"/>
      <c r="N6803" s="14"/>
      <c r="O6803" s="14"/>
      <c r="P6803" s="13"/>
    </row>
    <row r="6804">
      <c r="L6804" s="13"/>
      <c r="M6804" s="14"/>
      <c r="N6804" s="14"/>
      <c r="O6804" s="14"/>
      <c r="P6804" s="13"/>
    </row>
    <row r="6805">
      <c r="L6805" s="13"/>
      <c r="M6805" s="14"/>
      <c r="N6805" s="14"/>
      <c r="O6805" s="14"/>
      <c r="P6805" s="13"/>
    </row>
    <row r="6806">
      <c r="L6806" s="13"/>
      <c r="M6806" s="14"/>
      <c r="N6806" s="14"/>
      <c r="O6806" s="14"/>
      <c r="P6806" s="13"/>
    </row>
    <row r="6807">
      <c r="L6807" s="13"/>
      <c r="M6807" s="14"/>
      <c r="N6807" s="14"/>
      <c r="O6807" s="14"/>
      <c r="P6807" s="13"/>
    </row>
    <row r="6808">
      <c r="L6808" s="13"/>
      <c r="M6808" s="14"/>
      <c r="N6808" s="14"/>
      <c r="O6808" s="14"/>
      <c r="P6808" s="13"/>
    </row>
    <row r="6809">
      <c r="L6809" s="13"/>
      <c r="M6809" s="14"/>
      <c r="N6809" s="14"/>
      <c r="O6809" s="14"/>
      <c r="P6809" s="13"/>
    </row>
    <row r="6810">
      <c r="L6810" s="13"/>
      <c r="M6810" s="14"/>
      <c r="N6810" s="14"/>
      <c r="O6810" s="14"/>
      <c r="P6810" s="13"/>
    </row>
    <row r="6811">
      <c r="L6811" s="13"/>
      <c r="M6811" s="14"/>
      <c r="N6811" s="14"/>
      <c r="O6811" s="14"/>
      <c r="P6811" s="13"/>
    </row>
    <row r="6812">
      <c r="L6812" s="13"/>
      <c r="M6812" s="14"/>
      <c r="N6812" s="14"/>
      <c r="O6812" s="14"/>
      <c r="P6812" s="13"/>
    </row>
    <row r="6813">
      <c r="L6813" s="13"/>
      <c r="M6813" s="14"/>
      <c r="N6813" s="14"/>
      <c r="O6813" s="14"/>
      <c r="P6813" s="13"/>
    </row>
    <row r="6814">
      <c r="L6814" s="13"/>
      <c r="M6814" s="14"/>
      <c r="N6814" s="14"/>
      <c r="O6814" s="14"/>
      <c r="P6814" s="13"/>
    </row>
    <row r="6815">
      <c r="L6815" s="13"/>
      <c r="M6815" s="14"/>
      <c r="N6815" s="14"/>
      <c r="O6815" s="14"/>
      <c r="P6815" s="13"/>
    </row>
    <row r="6816">
      <c r="L6816" s="13"/>
      <c r="M6816" s="14"/>
      <c r="N6816" s="14"/>
      <c r="O6816" s="14"/>
      <c r="P6816" s="13"/>
    </row>
    <row r="6817">
      <c r="L6817" s="13"/>
      <c r="M6817" s="14"/>
      <c r="N6817" s="14"/>
      <c r="O6817" s="14"/>
      <c r="P6817" s="13"/>
    </row>
    <row r="6818">
      <c r="L6818" s="13"/>
      <c r="M6818" s="14"/>
      <c r="N6818" s="14"/>
      <c r="O6818" s="14"/>
      <c r="P6818" s="13"/>
    </row>
    <row r="6819">
      <c r="L6819" s="13"/>
      <c r="M6819" s="14"/>
      <c r="N6819" s="14"/>
      <c r="O6819" s="14"/>
      <c r="P6819" s="13"/>
    </row>
    <row r="6820">
      <c r="L6820" s="13"/>
      <c r="M6820" s="14"/>
      <c r="N6820" s="14"/>
      <c r="O6820" s="14"/>
      <c r="P6820" s="13"/>
    </row>
    <row r="6821">
      <c r="L6821" s="13"/>
      <c r="M6821" s="14"/>
      <c r="N6821" s="14"/>
      <c r="O6821" s="14"/>
      <c r="P6821" s="13"/>
    </row>
    <row r="6822">
      <c r="L6822" s="13"/>
      <c r="M6822" s="14"/>
      <c r="N6822" s="14"/>
      <c r="O6822" s="14"/>
      <c r="P6822" s="13"/>
    </row>
    <row r="6823">
      <c r="L6823" s="13"/>
      <c r="M6823" s="14"/>
      <c r="N6823" s="14"/>
      <c r="O6823" s="14"/>
      <c r="P6823" s="13"/>
    </row>
    <row r="6824">
      <c r="L6824" s="13"/>
      <c r="M6824" s="14"/>
      <c r="N6824" s="14"/>
      <c r="O6824" s="14"/>
      <c r="P6824" s="13"/>
    </row>
    <row r="6825">
      <c r="L6825" s="13"/>
      <c r="M6825" s="14"/>
      <c r="N6825" s="14"/>
      <c r="O6825" s="14"/>
      <c r="P6825" s="13"/>
    </row>
    <row r="6826">
      <c r="L6826" s="13"/>
      <c r="M6826" s="14"/>
      <c r="N6826" s="14"/>
      <c r="O6826" s="14"/>
      <c r="P6826" s="13"/>
    </row>
    <row r="6827">
      <c r="L6827" s="13"/>
      <c r="M6827" s="14"/>
      <c r="N6827" s="14"/>
      <c r="O6827" s="14"/>
      <c r="P6827" s="13"/>
    </row>
    <row r="6828">
      <c r="L6828" s="13"/>
      <c r="M6828" s="14"/>
      <c r="N6828" s="14"/>
      <c r="O6828" s="14"/>
      <c r="P6828" s="13"/>
    </row>
    <row r="6829">
      <c r="L6829" s="13"/>
      <c r="M6829" s="14"/>
      <c r="N6829" s="14"/>
      <c r="O6829" s="14"/>
      <c r="P6829" s="13"/>
    </row>
    <row r="6830">
      <c r="L6830" s="13"/>
      <c r="M6830" s="14"/>
      <c r="N6830" s="14"/>
      <c r="O6830" s="14"/>
      <c r="P6830" s="13"/>
    </row>
    <row r="6831">
      <c r="L6831" s="13"/>
      <c r="M6831" s="14"/>
      <c r="N6831" s="14"/>
      <c r="O6831" s="14"/>
      <c r="P6831" s="13"/>
    </row>
    <row r="6832">
      <c r="L6832" s="13"/>
      <c r="M6832" s="14"/>
      <c r="N6832" s="14"/>
      <c r="O6832" s="14"/>
      <c r="P6832" s="13"/>
    </row>
    <row r="6833">
      <c r="L6833" s="13"/>
      <c r="M6833" s="14"/>
      <c r="N6833" s="14"/>
      <c r="O6833" s="14"/>
      <c r="P6833" s="13"/>
    </row>
    <row r="6834">
      <c r="L6834" s="13"/>
      <c r="M6834" s="14"/>
      <c r="N6834" s="14"/>
      <c r="O6834" s="14"/>
      <c r="P6834" s="13"/>
    </row>
    <row r="6835">
      <c r="L6835" s="13"/>
      <c r="M6835" s="14"/>
      <c r="N6835" s="14"/>
      <c r="O6835" s="14"/>
      <c r="P6835" s="13"/>
    </row>
    <row r="6836">
      <c r="L6836" s="13"/>
      <c r="M6836" s="14"/>
      <c r="N6836" s="14"/>
      <c r="O6836" s="14"/>
      <c r="P6836" s="13"/>
    </row>
    <row r="6837">
      <c r="L6837" s="13"/>
      <c r="M6837" s="14"/>
      <c r="N6837" s="14"/>
      <c r="O6837" s="14"/>
      <c r="P6837" s="13"/>
    </row>
    <row r="6838">
      <c r="L6838" s="13"/>
      <c r="M6838" s="14"/>
      <c r="N6838" s="14"/>
      <c r="O6838" s="14"/>
      <c r="P6838" s="13"/>
    </row>
    <row r="6839">
      <c r="L6839" s="13"/>
      <c r="M6839" s="14"/>
      <c r="N6839" s="14"/>
      <c r="O6839" s="14"/>
      <c r="P6839" s="13"/>
    </row>
    <row r="6840">
      <c r="L6840" s="13"/>
      <c r="M6840" s="14"/>
      <c r="N6840" s="14"/>
      <c r="O6840" s="14"/>
      <c r="P6840" s="13"/>
    </row>
    <row r="6841">
      <c r="L6841" s="13"/>
      <c r="M6841" s="14"/>
      <c r="N6841" s="14"/>
      <c r="O6841" s="14"/>
      <c r="P6841" s="13"/>
    </row>
    <row r="6842">
      <c r="L6842" s="13"/>
      <c r="M6842" s="14"/>
      <c r="N6842" s="14"/>
      <c r="O6842" s="14"/>
      <c r="P6842" s="13"/>
    </row>
    <row r="6843">
      <c r="L6843" s="13"/>
      <c r="M6843" s="14"/>
      <c r="N6843" s="14"/>
      <c r="O6843" s="14"/>
      <c r="P6843" s="13"/>
    </row>
    <row r="6844">
      <c r="L6844" s="13"/>
      <c r="M6844" s="14"/>
      <c r="N6844" s="14"/>
      <c r="O6844" s="14"/>
      <c r="P6844" s="13"/>
    </row>
    <row r="6845">
      <c r="L6845" s="13"/>
      <c r="M6845" s="14"/>
      <c r="N6845" s="14"/>
      <c r="O6845" s="14"/>
      <c r="P6845" s="13"/>
    </row>
    <row r="6846">
      <c r="L6846" s="13"/>
      <c r="M6846" s="14"/>
      <c r="N6846" s="14"/>
      <c r="O6846" s="14"/>
      <c r="P6846" s="13"/>
    </row>
    <row r="6847">
      <c r="L6847" s="13"/>
      <c r="M6847" s="14"/>
      <c r="N6847" s="14"/>
      <c r="O6847" s="14"/>
      <c r="P6847" s="13"/>
    </row>
    <row r="6848">
      <c r="L6848" s="13"/>
      <c r="M6848" s="14"/>
      <c r="N6848" s="14"/>
      <c r="O6848" s="14"/>
      <c r="P6848" s="13"/>
    </row>
    <row r="6849">
      <c r="L6849" s="13"/>
      <c r="M6849" s="14"/>
      <c r="N6849" s="14"/>
      <c r="O6849" s="14"/>
      <c r="P6849" s="13"/>
    </row>
    <row r="6850">
      <c r="L6850" s="13"/>
      <c r="M6850" s="14"/>
      <c r="N6850" s="14"/>
      <c r="O6850" s="14"/>
      <c r="P6850" s="13"/>
    </row>
    <row r="6851">
      <c r="L6851" s="13"/>
      <c r="M6851" s="14"/>
      <c r="N6851" s="14"/>
      <c r="O6851" s="14"/>
      <c r="P6851" s="13"/>
    </row>
    <row r="6852">
      <c r="L6852" s="13"/>
      <c r="M6852" s="14"/>
      <c r="N6852" s="14"/>
      <c r="O6852" s="14"/>
      <c r="P6852" s="13"/>
    </row>
    <row r="6853">
      <c r="L6853" s="13"/>
      <c r="M6853" s="14"/>
      <c r="N6853" s="14"/>
      <c r="O6853" s="14"/>
      <c r="P6853" s="13"/>
    </row>
    <row r="6854">
      <c r="L6854" s="13"/>
      <c r="M6854" s="14"/>
      <c r="N6854" s="14"/>
      <c r="O6854" s="14"/>
      <c r="P6854" s="13"/>
    </row>
    <row r="6855">
      <c r="L6855" s="13"/>
      <c r="M6855" s="14"/>
      <c r="N6855" s="14"/>
      <c r="O6855" s="14"/>
      <c r="P6855" s="13"/>
    </row>
    <row r="6856">
      <c r="L6856" s="13"/>
      <c r="M6856" s="14"/>
      <c r="N6856" s="14"/>
      <c r="O6856" s="14"/>
      <c r="P6856" s="13"/>
    </row>
    <row r="6857">
      <c r="L6857" s="13"/>
      <c r="M6857" s="14"/>
      <c r="N6857" s="14"/>
      <c r="O6857" s="14"/>
      <c r="P6857" s="13"/>
    </row>
    <row r="6858">
      <c r="L6858" s="13"/>
      <c r="M6858" s="14"/>
      <c r="N6858" s="14"/>
      <c r="O6858" s="14"/>
      <c r="P6858" s="13"/>
    </row>
    <row r="6859">
      <c r="L6859" s="13"/>
      <c r="M6859" s="14"/>
      <c r="N6859" s="14"/>
      <c r="O6859" s="14"/>
      <c r="P6859" s="13"/>
    </row>
    <row r="6860">
      <c r="L6860" s="13"/>
      <c r="M6860" s="14"/>
      <c r="N6860" s="14"/>
      <c r="O6860" s="14"/>
      <c r="P6860" s="13"/>
    </row>
    <row r="6861">
      <c r="L6861" s="13"/>
      <c r="M6861" s="14"/>
      <c r="N6861" s="14"/>
      <c r="O6861" s="14"/>
      <c r="P6861" s="13"/>
    </row>
    <row r="6862">
      <c r="L6862" s="13"/>
      <c r="M6862" s="14"/>
      <c r="N6862" s="14"/>
      <c r="O6862" s="14"/>
      <c r="P6862" s="13"/>
    </row>
    <row r="6863">
      <c r="L6863" s="13"/>
      <c r="M6863" s="14"/>
      <c r="N6863" s="14"/>
      <c r="O6863" s="14"/>
      <c r="P6863" s="13"/>
    </row>
    <row r="6864">
      <c r="L6864" s="13"/>
      <c r="M6864" s="14"/>
      <c r="N6864" s="14"/>
      <c r="O6864" s="14"/>
      <c r="P6864" s="13"/>
    </row>
    <row r="6865">
      <c r="L6865" s="13"/>
      <c r="M6865" s="14"/>
      <c r="N6865" s="14"/>
      <c r="O6865" s="14"/>
      <c r="P6865" s="13"/>
    </row>
    <row r="6866">
      <c r="L6866" s="13"/>
      <c r="M6866" s="14"/>
      <c r="N6866" s="14"/>
      <c r="O6866" s="14"/>
      <c r="P6866" s="13"/>
    </row>
    <row r="6867">
      <c r="L6867" s="13"/>
      <c r="M6867" s="14"/>
      <c r="N6867" s="14"/>
      <c r="O6867" s="14"/>
      <c r="P6867" s="13"/>
    </row>
    <row r="6868">
      <c r="L6868" s="13"/>
      <c r="M6868" s="14"/>
      <c r="N6868" s="14"/>
      <c r="O6868" s="14"/>
      <c r="P6868" s="13"/>
    </row>
    <row r="6869">
      <c r="L6869" s="13"/>
      <c r="M6869" s="14"/>
      <c r="N6869" s="14"/>
      <c r="O6869" s="14"/>
      <c r="P6869" s="13"/>
    </row>
    <row r="6870">
      <c r="L6870" s="13"/>
      <c r="M6870" s="14"/>
      <c r="N6870" s="14"/>
      <c r="O6870" s="14"/>
      <c r="P6870" s="13"/>
    </row>
    <row r="6871">
      <c r="L6871" s="13"/>
      <c r="M6871" s="14"/>
      <c r="N6871" s="14"/>
      <c r="O6871" s="14"/>
      <c r="P6871" s="13"/>
    </row>
    <row r="6872">
      <c r="L6872" s="13"/>
      <c r="M6872" s="14"/>
      <c r="N6872" s="14"/>
      <c r="O6872" s="14"/>
      <c r="P6872" s="13"/>
    </row>
    <row r="6873">
      <c r="L6873" s="13"/>
      <c r="M6873" s="14"/>
      <c r="N6873" s="14"/>
      <c r="O6873" s="14"/>
      <c r="P6873" s="13"/>
    </row>
    <row r="6874">
      <c r="L6874" s="13"/>
      <c r="M6874" s="14"/>
      <c r="N6874" s="14"/>
      <c r="O6874" s="14"/>
      <c r="P6874" s="13"/>
    </row>
    <row r="6875">
      <c r="L6875" s="13"/>
      <c r="M6875" s="14"/>
      <c r="N6875" s="14"/>
      <c r="O6875" s="14"/>
      <c r="P6875" s="13"/>
    </row>
    <row r="6876">
      <c r="L6876" s="13"/>
      <c r="M6876" s="14"/>
      <c r="N6876" s="14"/>
      <c r="O6876" s="14"/>
      <c r="P6876" s="13"/>
    </row>
    <row r="6877">
      <c r="L6877" s="13"/>
      <c r="M6877" s="14"/>
      <c r="N6877" s="14"/>
      <c r="O6877" s="14"/>
      <c r="P6877" s="13"/>
    </row>
    <row r="6878">
      <c r="L6878" s="13"/>
      <c r="M6878" s="14"/>
      <c r="N6878" s="14"/>
      <c r="O6878" s="14"/>
      <c r="P6878" s="13"/>
    </row>
    <row r="6879">
      <c r="L6879" s="13"/>
      <c r="M6879" s="14"/>
      <c r="N6879" s="14"/>
      <c r="O6879" s="14"/>
      <c r="P6879" s="13"/>
    </row>
    <row r="6880">
      <c r="L6880" s="13"/>
      <c r="M6880" s="14"/>
      <c r="N6880" s="14"/>
      <c r="O6880" s="14"/>
      <c r="P6880" s="13"/>
    </row>
    <row r="6881">
      <c r="L6881" s="13"/>
      <c r="M6881" s="14"/>
      <c r="N6881" s="14"/>
      <c r="O6881" s="14"/>
      <c r="P6881" s="13"/>
    </row>
    <row r="6882">
      <c r="L6882" s="13"/>
      <c r="M6882" s="14"/>
      <c r="N6882" s="14"/>
      <c r="O6882" s="14"/>
      <c r="P6882" s="13"/>
    </row>
    <row r="6883">
      <c r="L6883" s="13"/>
      <c r="M6883" s="14"/>
      <c r="N6883" s="14"/>
      <c r="O6883" s="14"/>
      <c r="P6883" s="13"/>
    </row>
    <row r="6884">
      <c r="L6884" s="13"/>
      <c r="M6884" s="14"/>
      <c r="N6884" s="14"/>
      <c r="O6884" s="14"/>
      <c r="P6884" s="13"/>
    </row>
    <row r="6885">
      <c r="L6885" s="13"/>
      <c r="M6885" s="14"/>
      <c r="N6885" s="14"/>
      <c r="O6885" s="14"/>
      <c r="P6885" s="13"/>
    </row>
    <row r="6886">
      <c r="L6886" s="13"/>
      <c r="M6886" s="14"/>
      <c r="N6886" s="14"/>
      <c r="O6886" s="14"/>
      <c r="P6886" s="13"/>
    </row>
    <row r="6887">
      <c r="L6887" s="13"/>
      <c r="M6887" s="14"/>
      <c r="N6887" s="14"/>
      <c r="O6887" s="14"/>
      <c r="P6887" s="13"/>
    </row>
    <row r="6888">
      <c r="L6888" s="13"/>
      <c r="M6888" s="14"/>
      <c r="N6888" s="14"/>
      <c r="O6888" s="14"/>
      <c r="P6888" s="13"/>
    </row>
    <row r="6889">
      <c r="L6889" s="13"/>
      <c r="M6889" s="14"/>
      <c r="N6889" s="14"/>
      <c r="O6889" s="14"/>
      <c r="P6889" s="13"/>
    </row>
    <row r="6890">
      <c r="L6890" s="13"/>
      <c r="M6890" s="14"/>
      <c r="N6890" s="14"/>
      <c r="O6890" s="14"/>
      <c r="P6890" s="13"/>
    </row>
    <row r="6891">
      <c r="L6891" s="13"/>
      <c r="M6891" s="14"/>
      <c r="N6891" s="14"/>
      <c r="O6891" s="14"/>
      <c r="P6891" s="13"/>
    </row>
    <row r="6892">
      <c r="L6892" s="13"/>
      <c r="M6892" s="14"/>
      <c r="N6892" s="14"/>
      <c r="O6892" s="14"/>
      <c r="P6892" s="13"/>
    </row>
    <row r="6893">
      <c r="L6893" s="13"/>
      <c r="M6893" s="14"/>
      <c r="N6893" s="14"/>
      <c r="O6893" s="14"/>
      <c r="P6893" s="13"/>
    </row>
    <row r="6894">
      <c r="L6894" s="13"/>
      <c r="M6894" s="14"/>
      <c r="N6894" s="14"/>
      <c r="O6894" s="14"/>
      <c r="P6894" s="13"/>
    </row>
    <row r="6895">
      <c r="L6895" s="13"/>
      <c r="M6895" s="14"/>
      <c r="N6895" s="14"/>
      <c r="O6895" s="14"/>
      <c r="P6895" s="13"/>
    </row>
    <row r="6896">
      <c r="L6896" s="13"/>
      <c r="M6896" s="14"/>
      <c r="N6896" s="14"/>
      <c r="O6896" s="14"/>
      <c r="P6896" s="13"/>
    </row>
    <row r="6897">
      <c r="L6897" s="13"/>
      <c r="M6897" s="14"/>
      <c r="N6897" s="14"/>
      <c r="O6897" s="14"/>
      <c r="P6897" s="13"/>
    </row>
    <row r="6898">
      <c r="L6898" s="13"/>
      <c r="M6898" s="14"/>
      <c r="N6898" s="14"/>
      <c r="O6898" s="14"/>
      <c r="P6898" s="13"/>
    </row>
    <row r="6899">
      <c r="L6899" s="13"/>
      <c r="M6899" s="14"/>
      <c r="N6899" s="14"/>
      <c r="O6899" s="14"/>
      <c r="P6899" s="13"/>
    </row>
    <row r="6900">
      <c r="L6900" s="13"/>
      <c r="M6900" s="14"/>
      <c r="N6900" s="14"/>
      <c r="O6900" s="14"/>
      <c r="P6900" s="13"/>
    </row>
    <row r="6901">
      <c r="L6901" s="13"/>
      <c r="M6901" s="14"/>
      <c r="N6901" s="14"/>
      <c r="O6901" s="14"/>
      <c r="P6901" s="13"/>
    </row>
    <row r="6902">
      <c r="L6902" s="13"/>
      <c r="M6902" s="14"/>
      <c r="N6902" s="14"/>
      <c r="O6902" s="14"/>
      <c r="P6902" s="13"/>
    </row>
    <row r="6903">
      <c r="L6903" s="13"/>
      <c r="M6903" s="14"/>
      <c r="N6903" s="14"/>
      <c r="O6903" s="14"/>
      <c r="P6903" s="13"/>
    </row>
    <row r="6904">
      <c r="L6904" s="13"/>
      <c r="M6904" s="14"/>
      <c r="N6904" s="14"/>
      <c r="O6904" s="14"/>
      <c r="P6904" s="13"/>
    </row>
    <row r="6905">
      <c r="L6905" s="13"/>
      <c r="M6905" s="14"/>
      <c r="N6905" s="14"/>
      <c r="O6905" s="14"/>
      <c r="P6905" s="13"/>
    </row>
    <row r="6906">
      <c r="L6906" s="13"/>
      <c r="M6906" s="14"/>
      <c r="N6906" s="14"/>
      <c r="O6906" s="14"/>
      <c r="P6906" s="13"/>
    </row>
    <row r="6907">
      <c r="L6907" s="13"/>
      <c r="M6907" s="14"/>
      <c r="N6907" s="14"/>
      <c r="O6907" s="14"/>
      <c r="P6907" s="13"/>
    </row>
    <row r="6908">
      <c r="L6908" s="13"/>
      <c r="M6908" s="14"/>
      <c r="N6908" s="14"/>
      <c r="O6908" s="14"/>
      <c r="P6908" s="13"/>
    </row>
    <row r="6909">
      <c r="L6909" s="13"/>
      <c r="M6909" s="14"/>
      <c r="N6909" s="14"/>
      <c r="O6909" s="14"/>
      <c r="P6909" s="13"/>
    </row>
    <row r="6910">
      <c r="L6910" s="13"/>
      <c r="M6910" s="14"/>
      <c r="N6910" s="14"/>
      <c r="O6910" s="14"/>
      <c r="P6910" s="13"/>
    </row>
    <row r="6911">
      <c r="L6911" s="13"/>
      <c r="M6911" s="14"/>
      <c r="N6911" s="14"/>
      <c r="O6911" s="14"/>
      <c r="P6911" s="13"/>
    </row>
    <row r="6912">
      <c r="L6912" s="13"/>
      <c r="M6912" s="14"/>
      <c r="N6912" s="14"/>
      <c r="O6912" s="14"/>
      <c r="P6912" s="13"/>
    </row>
    <row r="6913">
      <c r="L6913" s="13"/>
      <c r="M6913" s="14"/>
      <c r="N6913" s="14"/>
      <c r="O6913" s="14"/>
      <c r="P6913" s="13"/>
    </row>
    <row r="6914">
      <c r="L6914" s="13"/>
      <c r="M6914" s="14"/>
      <c r="N6914" s="14"/>
      <c r="O6914" s="14"/>
      <c r="P6914" s="13"/>
    </row>
    <row r="6915">
      <c r="L6915" s="13"/>
      <c r="M6915" s="14"/>
      <c r="N6915" s="14"/>
      <c r="O6915" s="14"/>
      <c r="P6915" s="13"/>
    </row>
    <row r="6916">
      <c r="L6916" s="13"/>
      <c r="M6916" s="14"/>
      <c r="N6916" s="14"/>
      <c r="O6916" s="14"/>
      <c r="P6916" s="13"/>
    </row>
    <row r="6917">
      <c r="L6917" s="13"/>
      <c r="M6917" s="14"/>
      <c r="N6917" s="14"/>
      <c r="O6917" s="14"/>
      <c r="P6917" s="13"/>
    </row>
    <row r="6918">
      <c r="L6918" s="13"/>
      <c r="M6918" s="14"/>
      <c r="N6918" s="14"/>
      <c r="O6918" s="14"/>
      <c r="P6918" s="13"/>
    </row>
    <row r="6919">
      <c r="L6919" s="13"/>
      <c r="M6919" s="14"/>
      <c r="N6919" s="14"/>
      <c r="O6919" s="14"/>
      <c r="P6919" s="13"/>
    </row>
    <row r="6920">
      <c r="L6920" s="13"/>
      <c r="M6920" s="14"/>
      <c r="N6920" s="14"/>
      <c r="O6920" s="14"/>
      <c r="P6920" s="13"/>
    </row>
    <row r="6921">
      <c r="L6921" s="13"/>
      <c r="M6921" s="14"/>
      <c r="N6921" s="14"/>
      <c r="O6921" s="14"/>
      <c r="P6921" s="13"/>
    </row>
    <row r="6922">
      <c r="L6922" s="13"/>
      <c r="M6922" s="14"/>
      <c r="N6922" s="14"/>
      <c r="O6922" s="14"/>
      <c r="P6922" s="13"/>
    </row>
    <row r="6923">
      <c r="L6923" s="13"/>
      <c r="M6923" s="14"/>
      <c r="N6923" s="14"/>
      <c r="O6923" s="14"/>
      <c r="P6923" s="13"/>
    </row>
    <row r="6924">
      <c r="L6924" s="13"/>
      <c r="M6924" s="14"/>
      <c r="N6924" s="14"/>
      <c r="O6924" s="14"/>
      <c r="P6924" s="13"/>
    </row>
    <row r="6925">
      <c r="L6925" s="13"/>
      <c r="M6925" s="14"/>
      <c r="N6925" s="14"/>
      <c r="O6925" s="14"/>
      <c r="P6925" s="13"/>
    </row>
    <row r="6926">
      <c r="L6926" s="13"/>
      <c r="M6926" s="14"/>
      <c r="N6926" s="14"/>
      <c r="O6926" s="14"/>
      <c r="P6926" s="13"/>
    </row>
    <row r="6927">
      <c r="L6927" s="13"/>
      <c r="M6927" s="14"/>
      <c r="N6927" s="14"/>
      <c r="O6927" s="14"/>
      <c r="P6927" s="13"/>
    </row>
    <row r="6928">
      <c r="L6928" s="13"/>
      <c r="M6928" s="14"/>
      <c r="N6928" s="14"/>
      <c r="O6928" s="14"/>
      <c r="P6928" s="13"/>
    </row>
    <row r="6929">
      <c r="L6929" s="13"/>
      <c r="M6929" s="14"/>
      <c r="N6929" s="14"/>
      <c r="O6929" s="14"/>
      <c r="P6929" s="13"/>
    </row>
    <row r="6930">
      <c r="L6930" s="13"/>
      <c r="M6930" s="14"/>
      <c r="N6930" s="14"/>
      <c r="O6930" s="14"/>
      <c r="P6930" s="13"/>
    </row>
    <row r="6931">
      <c r="L6931" s="13"/>
      <c r="M6931" s="14"/>
      <c r="N6931" s="14"/>
      <c r="O6931" s="14"/>
      <c r="P6931" s="13"/>
    </row>
    <row r="6932">
      <c r="L6932" s="13"/>
      <c r="M6932" s="14"/>
      <c r="N6932" s="14"/>
      <c r="O6932" s="14"/>
      <c r="P6932" s="13"/>
    </row>
    <row r="6933">
      <c r="L6933" s="13"/>
      <c r="M6933" s="14"/>
      <c r="N6933" s="14"/>
      <c r="O6933" s="14"/>
      <c r="P6933" s="13"/>
    </row>
    <row r="6934">
      <c r="L6934" s="13"/>
      <c r="M6934" s="14"/>
      <c r="N6934" s="14"/>
      <c r="O6934" s="14"/>
      <c r="P6934" s="13"/>
    </row>
    <row r="6935">
      <c r="L6935" s="13"/>
      <c r="M6935" s="14"/>
      <c r="N6935" s="14"/>
      <c r="O6935" s="14"/>
      <c r="P6935" s="13"/>
    </row>
    <row r="6936">
      <c r="L6936" s="13"/>
      <c r="M6936" s="14"/>
      <c r="N6936" s="14"/>
      <c r="O6936" s="14"/>
      <c r="P6936" s="13"/>
    </row>
    <row r="6937">
      <c r="L6937" s="13"/>
      <c r="M6937" s="14"/>
      <c r="N6937" s="14"/>
      <c r="O6937" s="14"/>
      <c r="P6937" s="13"/>
    </row>
    <row r="6938">
      <c r="L6938" s="13"/>
      <c r="M6938" s="14"/>
      <c r="N6938" s="14"/>
      <c r="O6938" s="14"/>
      <c r="P6938" s="13"/>
    </row>
    <row r="6939">
      <c r="L6939" s="13"/>
      <c r="M6939" s="14"/>
      <c r="N6939" s="14"/>
      <c r="O6939" s="14"/>
      <c r="P6939" s="13"/>
    </row>
    <row r="6940">
      <c r="L6940" s="13"/>
      <c r="M6940" s="14"/>
      <c r="N6940" s="14"/>
      <c r="O6940" s="14"/>
      <c r="P6940" s="13"/>
    </row>
    <row r="6941">
      <c r="L6941" s="13"/>
      <c r="M6941" s="14"/>
      <c r="N6941" s="14"/>
      <c r="O6941" s="14"/>
      <c r="P6941" s="13"/>
    </row>
    <row r="6942">
      <c r="L6942" s="13"/>
      <c r="M6942" s="14"/>
      <c r="N6942" s="14"/>
      <c r="O6942" s="14"/>
      <c r="P6942" s="13"/>
    </row>
    <row r="6943">
      <c r="L6943" s="13"/>
      <c r="M6943" s="14"/>
      <c r="N6943" s="14"/>
      <c r="O6943" s="14"/>
      <c r="P6943" s="13"/>
    </row>
    <row r="6944">
      <c r="L6944" s="13"/>
      <c r="M6944" s="14"/>
      <c r="N6944" s="14"/>
      <c r="O6944" s="14"/>
      <c r="P6944" s="13"/>
    </row>
    <row r="6945">
      <c r="L6945" s="13"/>
      <c r="M6945" s="14"/>
      <c r="N6945" s="14"/>
      <c r="O6945" s="14"/>
      <c r="P6945" s="13"/>
    </row>
    <row r="6946">
      <c r="L6946" s="13"/>
      <c r="M6946" s="14"/>
      <c r="N6946" s="14"/>
      <c r="O6946" s="14"/>
      <c r="P6946" s="13"/>
    </row>
    <row r="6947">
      <c r="L6947" s="13"/>
      <c r="M6947" s="14"/>
      <c r="N6947" s="14"/>
      <c r="O6947" s="14"/>
      <c r="P6947" s="13"/>
    </row>
    <row r="6948">
      <c r="L6948" s="13"/>
      <c r="M6948" s="14"/>
      <c r="N6948" s="14"/>
      <c r="O6948" s="14"/>
      <c r="P6948" s="13"/>
    </row>
    <row r="6949">
      <c r="L6949" s="13"/>
      <c r="M6949" s="14"/>
      <c r="N6949" s="14"/>
      <c r="O6949" s="14"/>
      <c r="P6949" s="13"/>
    </row>
    <row r="6950">
      <c r="L6950" s="13"/>
      <c r="M6950" s="14"/>
      <c r="N6950" s="14"/>
      <c r="O6950" s="14"/>
      <c r="P6950" s="13"/>
    </row>
    <row r="6951">
      <c r="L6951" s="13"/>
      <c r="M6951" s="14"/>
      <c r="N6951" s="14"/>
      <c r="O6951" s="14"/>
      <c r="P6951" s="13"/>
    </row>
    <row r="6952">
      <c r="L6952" s="13"/>
      <c r="M6952" s="14"/>
      <c r="N6952" s="14"/>
      <c r="O6952" s="14"/>
      <c r="P6952" s="13"/>
    </row>
    <row r="6953">
      <c r="L6953" s="13"/>
      <c r="M6953" s="14"/>
      <c r="N6953" s="14"/>
      <c r="O6953" s="14"/>
      <c r="P6953" s="13"/>
    </row>
    <row r="6954">
      <c r="L6954" s="13"/>
      <c r="M6954" s="14"/>
      <c r="N6954" s="14"/>
      <c r="O6954" s="14"/>
      <c r="P6954" s="13"/>
    </row>
    <row r="6955">
      <c r="L6955" s="13"/>
      <c r="M6955" s="14"/>
      <c r="N6955" s="14"/>
      <c r="O6955" s="14"/>
      <c r="P6955" s="13"/>
    </row>
    <row r="6956">
      <c r="L6956" s="13"/>
      <c r="M6956" s="14"/>
      <c r="N6956" s="14"/>
      <c r="O6956" s="14"/>
      <c r="P6956" s="13"/>
    </row>
    <row r="6957">
      <c r="L6957" s="13"/>
      <c r="M6957" s="14"/>
      <c r="N6957" s="14"/>
      <c r="O6957" s="14"/>
      <c r="P6957" s="13"/>
    </row>
    <row r="6958">
      <c r="L6958" s="13"/>
      <c r="M6958" s="14"/>
      <c r="N6958" s="14"/>
      <c r="O6958" s="14"/>
      <c r="P6958" s="13"/>
    </row>
    <row r="6959">
      <c r="L6959" s="13"/>
      <c r="M6959" s="14"/>
      <c r="N6959" s="14"/>
      <c r="O6959" s="14"/>
      <c r="P6959" s="13"/>
    </row>
    <row r="6960">
      <c r="L6960" s="13"/>
      <c r="M6960" s="14"/>
      <c r="N6960" s="14"/>
      <c r="O6960" s="14"/>
      <c r="P6960" s="13"/>
    </row>
    <row r="6961">
      <c r="L6961" s="13"/>
      <c r="M6961" s="14"/>
      <c r="N6961" s="14"/>
      <c r="O6961" s="14"/>
      <c r="P6961" s="13"/>
    </row>
    <row r="6962">
      <c r="L6962" s="13"/>
      <c r="M6962" s="14"/>
      <c r="N6962" s="14"/>
      <c r="O6962" s="14"/>
      <c r="P6962" s="13"/>
    </row>
    <row r="6963">
      <c r="L6963" s="13"/>
      <c r="M6963" s="14"/>
      <c r="N6963" s="14"/>
      <c r="O6963" s="14"/>
      <c r="P6963" s="13"/>
    </row>
    <row r="6964">
      <c r="L6964" s="13"/>
      <c r="M6964" s="14"/>
      <c r="N6964" s="14"/>
      <c r="O6964" s="14"/>
      <c r="P6964" s="13"/>
    </row>
    <row r="6965">
      <c r="L6965" s="13"/>
      <c r="M6965" s="14"/>
      <c r="N6965" s="14"/>
      <c r="O6965" s="14"/>
      <c r="P6965" s="13"/>
    </row>
    <row r="6966">
      <c r="L6966" s="13"/>
      <c r="M6966" s="14"/>
      <c r="N6966" s="14"/>
      <c r="O6966" s="14"/>
      <c r="P6966" s="13"/>
    </row>
    <row r="6967">
      <c r="L6967" s="13"/>
      <c r="M6967" s="14"/>
      <c r="N6967" s="14"/>
      <c r="O6967" s="14"/>
      <c r="P6967" s="13"/>
    </row>
    <row r="6968">
      <c r="L6968" s="13"/>
      <c r="M6968" s="14"/>
      <c r="N6968" s="14"/>
      <c r="O6968" s="14"/>
      <c r="P6968" s="13"/>
    </row>
    <row r="6969">
      <c r="L6969" s="13"/>
      <c r="M6969" s="14"/>
      <c r="N6969" s="14"/>
      <c r="O6969" s="14"/>
      <c r="P6969" s="13"/>
    </row>
    <row r="6970">
      <c r="L6970" s="13"/>
      <c r="M6970" s="14"/>
      <c r="N6970" s="14"/>
      <c r="O6970" s="14"/>
      <c r="P6970" s="13"/>
    </row>
    <row r="6971">
      <c r="L6971" s="13"/>
      <c r="M6971" s="14"/>
      <c r="N6971" s="14"/>
      <c r="O6971" s="14"/>
      <c r="P6971" s="13"/>
    </row>
    <row r="6972">
      <c r="L6972" s="13"/>
      <c r="M6972" s="14"/>
      <c r="N6972" s="14"/>
      <c r="O6972" s="14"/>
      <c r="P6972" s="13"/>
    </row>
    <row r="6973">
      <c r="L6973" s="13"/>
      <c r="M6973" s="14"/>
      <c r="N6973" s="14"/>
      <c r="O6973" s="14"/>
      <c r="P6973" s="13"/>
    </row>
    <row r="6974">
      <c r="L6974" s="13"/>
      <c r="M6974" s="14"/>
      <c r="N6974" s="14"/>
      <c r="O6974" s="14"/>
      <c r="P6974" s="13"/>
    </row>
    <row r="6975">
      <c r="L6975" s="13"/>
      <c r="M6975" s="14"/>
      <c r="N6975" s="14"/>
      <c r="O6975" s="14"/>
      <c r="P6975" s="13"/>
    </row>
    <row r="6976">
      <c r="L6976" s="13"/>
      <c r="M6976" s="14"/>
      <c r="N6976" s="14"/>
      <c r="O6976" s="14"/>
      <c r="P6976" s="13"/>
    </row>
    <row r="6977">
      <c r="L6977" s="13"/>
      <c r="M6977" s="14"/>
      <c r="N6977" s="14"/>
      <c r="O6977" s="14"/>
      <c r="P6977" s="13"/>
    </row>
    <row r="6978">
      <c r="L6978" s="13"/>
      <c r="M6978" s="14"/>
      <c r="N6978" s="14"/>
      <c r="O6978" s="14"/>
      <c r="P6978" s="13"/>
    </row>
    <row r="6979">
      <c r="L6979" s="13"/>
      <c r="M6979" s="14"/>
      <c r="N6979" s="14"/>
      <c r="O6979" s="14"/>
      <c r="P6979" s="13"/>
    </row>
    <row r="6980">
      <c r="L6980" s="13"/>
      <c r="M6980" s="14"/>
      <c r="N6980" s="14"/>
      <c r="O6980" s="14"/>
      <c r="P6980" s="13"/>
    </row>
    <row r="6981">
      <c r="L6981" s="13"/>
      <c r="M6981" s="14"/>
      <c r="N6981" s="14"/>
      <c r="O6981" s="14"/>
      <c r="P6981" s="13"/>
    </row>
    <row r="6982">
      <c r="L6982" s="13"/>
      <c r="M6982" s="14"/>
      <c r="N6982" s="14"/>
      <c r="O6982" s="14"/>
      <c r="P6982" s="13"/>
    </row>
    <row r="6983">
      <c r="L6983" s="13"/>
      <c r="M6983" s="14"/>
      <c r="N6983" s="14"/>
      <c r="O6983" s="14"/>
      <c r="P6983" s="13"/>
    </row>
    <row r="6984">
      <c r="L6984" s="13"/>
      <c r="M6984" s="14"/>
      <c r="N6984" s="14"/>
      <c r="O6984" s="14"/>
      <c r="P6984" s="13"/>
    </row>
    <row r="6985">
      <c r="L6985" s="13"/>
      <c r="M6985" s="14"/>
      <c r="N6985" s="14"/>
      <c r="O6985" s="14"/>
      <c r="P6985" s="13"/>
    </row>
    <row r="6986">
      <c r="L6986" s="13"/>
      <c r="M6986" s="14"/>
      <c r="N6986" s="14"/>
      <c r="O6986" s="14"/>
      <c r="P6986" s="13"/>
    </row>
    <row r="6987">
      <c r="L6987" s="13"/>
      <c r="M6987" s="14"/>
      <c r="N6987" s="14"/>
      <c r="O6987" s="14"/>
      <c r="P6987" s="13"/>
    </row>
    <row r="6988">
      <c r="L6988" s="13"/>
      <c r="M6988" s="14"/>
      <c r="N6988" s="14"/>
      <c r="O6988" s="14"/>
      <c r="P6988" s="13"/>
    </row>
    <row r="6989">
      <c r="L6989" s="13"/>
      <c r="M6989" s="14"/>
      <c r="N6989" s="14"/>
      <c r="O6989" s="14"/>
      <c r="P6989" s="13"/>
    </row>
    <row r="6990">
      <c r="L6990" s="13"/>
      <c r="M6990" s="14"/>
      <c r="N6990" s="14"/>
      <c r="O6990" s="14"/>
      <c r="P6990" s="13"/>
    </row>
    <row r="6991">
      <c r="L6991" s="13"/>
      <c r="M6991" s="14"/>
      <c r="N6991" s="14"/>
      <c r="O6991" s="14"/>
      <c r="P6991" s="13"/>
    </row>
    <row r="6992">
      <c r="L6992" s="13"/>
      <c r="M6992" s="14"/>
      <c r="N6992" s="14"/>
      <c r="O6992" s="14"/>
      <c r="P6992" s="13"/>
    </row>
    <row r="6993">
      <c r="L6993" s="13"/>
      <c r="M6993" s="14"/>
      <c r="N6993" s="14"/>
      <c r="O6993" s="14"/>
      <c r="P6993" s="13"/>
    </row>
    <row r="6994">
      <c r="L6994" s="13"/>
      <c r="M6994" s="14"/>
      <c r="N6994" s="14"/>
      <c r="O6994" s="14"/>
      <c r="P6994" s="13"/>
    </row>
    <row r="6995">
      <c r="L6995" s="13"/>
      <c r="M6995" s="14"/>
      <c r="N6995" s="14"/>
      <c r="O6995" s="14"/>
      <c r="P6995" s="13"/>
    </row>
    <row r="6996">
      <c r="L6996" s="13"/>
      <c r="M6996" s="14"/>
      <c r="N6996" s="14"/>
      <c r="O6996" s="14"/>
      <c r="P6996" s="13"/>
    </row>
    <row r="6997">
      <c r="L6997" s="13"/>
      <c r="M6997" s="14"/>
      <c r="N6997" s="14"/>
      <c r="O6997" s="14"/>
      <c r="P6997" s="13"/>
    </row>
    <row r="6998">
      <c r="L6998" s="13"/>
      <c r="M6998" s="14"/>
      <c r="N6998" s="14"/>
      <c r="O6998" s="14"/>
      <c r="P6998" s="13"/>
    </row>
    <row r="6999">
      <c r="L6999" s="13"/>
      <c r="M6999" s="14"/>
      <c r="N6999" s="14"/>
      <c r="O6999" s="14"/>
      <c r="P6999" s="13"/>
    </row>
    <row r="7000">
      <c r="L7000" s="13"/>
      <c r="M7000" s="14"/>
      <c r="N7000" s="14"/>
      <c r="O7000" s="14"/>
      <c r="P7000" s="13"/>
    </row>
    <row r="7001">
      <c r="L7001" s="13"/>
      <c r="M7001" s="14"/>
      <c r="N7001" s="14"/>
      <c r="O7001" s="14"/>
      <c r="P7001" s="13"/>
    </row>
    <row r="7002">
      <c r="L7002" s="13"/>
      <c r="M7002" s="14"/>
      <c r="N7002" s="14"/>
      <c r="O7002" s="14"/>
      <c r="P7002" s="13"/>
    </row>
    <row r="7003">
      <c r="L7003" s="13"/>
      <c r="M7003" s="14"/>
      <c r="N7003" s="14"/>
      <c r="O7003" s="14"/>
      <c r="P7003" s="13"/>
    </row>
    <row r="7004">
      <c r="L7004" s="13"/>
      <c r="M7004" s="14"/>
      <c r="N7004" s="14"/>
      <c r="O7004" s="14"/>
      <c r="P7004" s="13"/>
    </row>
    <row r="7005">
      <c r="L7005" s="13"/>
      <c r="M7005" s="14"/>
      <c r="N7005" s="14"/>
      <c r="O7005" s="14"/>
      <c r="P7005" s="13"/>
    </row>
    <row r="7006">
      <c r="L7006" s="13"/>
      <c r="M7006" s="14"/>
      <c r="N7006" s="14"/>
      <c r="O7006" s="14"/>
      <c r="P7006" s="13"/>
    </row>
    <row r="7007">
      <c r="L7007" s="13"/>
      <c r="M7007" s="14"/>
      <c r="N7007" s="14"/>
      <c r="O7007" s="14"/>
      <c r="P7007" s="13"/>
    </row>
    <row r="7008">
      <c r="L7008" s="13"/>
      <c r="M7008" s="14"/>
      <c r="N7008" s="14"/>
      <c r="O7008" s="14"/>
      <c r="P7008" s="13"/>
    </row>
    <row r="7009">
      <c r="L7009" s="13"/>
      <c r="M7009" s="14"/>
      <c r="N7009" s="14"/>
      <c r="O7009" s="14"/>
      <c r="P7009" s="13"/>
    </row>
    <row r="7010">
      <c r="L7010" s="13"/>
      <c r="M7010" s="14"/>
      <c r="N7010" s="14"/>
      <c r="O7010" s="14"/>
      <c r="P7010" s="13"/>
    </row>
    <row r="7011">
      <c r="L7011" s="13"/>
      <c r="M7011" s="14"/>
      <c r="N7011" s="14"/>
      <c r="O7011" s="14"/>
      <c r="P7011" s="13"/>
    </row>
    <row r="7012">
      <c r="L7012" s="13"/>
      <c r="M7012" s="14"/>
      <c r="N7012" s="14"/>
      <c r="O7012" s="14"/>
      <c r="P7012" s="13"/>
    </row>
    <row r="7013">
      <c r="L7013" s="13"/>
      <c r="M7013" s="14"/>
      <c r="N7013" s="14"/>
      <c r="O7013" s="14"/>
      <c r="P7013" s="13"/>
    </row>
    <row r="7014">
      <c r="L7014" s="13"/>
      <c r="M7014" s="14"/>
      <c r="N7014" s="14"/>
      <c r="O7014" s="14"/>
      <c r="P7014" s="13"/>
    </row>
    <row r="7015">
      <c r="L7015" s="13"/>
      <c r="M7015" s="14"/>
      <c r="N7015" s="14"/>
      <c r="O7015" s="14"/>
      <c r="P7015" s="13"/>
    </row>
    <row r="7016">
      <c r="L7016" s="13"/>
      <c r="M7016" s="14"/>
      <c r="N7016" s="14"/>
      <c r="O7016" s="14"/>
      <c r="P7016" s="13"/>
    </row>
    <row r="7017">
      <c r="L7017" s="13"/>
      <c r="M7017" s="14"/>
      <c r="N7017" s="14"/>
      <c r="O7017" s="14"/>
      <c r="P7017" s="13"/>
    </row>
    <row r="7018">
      <c r="L7018" s="13"/>
      <c r="M7018" s="14"/>
      <c r="N7018" s="14"/>
      <c r="O7018" s="14"/>
      <c r="P7018" s="13"/>
    </row>
    <row r="7019">
      <c r="L7019" s="13"/>
      <c r="M7019" s="14"/>
      <c r="N7019" s="14"/>
      <c r="O7019" s="14"/>
      <c r="P7019" s="13"/>
    </row>
    <row r="7020">
      <c r="L7020" s="13"/>
      <c r="M7020" s="14"/>
      <c r="N7020" s="14"/>
      <c r="O7020" s="14"/>
      <c r="P7020" s="13"/>
    </row>
    <row r="7021">
      <c r="L7021" s="13"/>
      <c r="M7021" s="14"/>
      <c r="N7021" s="14"/>
      <c r="O7021" s="14"/>
      <c r="P7021" s="13"/>
    </row>
    <row r="7022">
      <c r="L7022" s="13"/>
      <c r="M7022" s="14"/>
      <c r="N7022" s="14"/>
      <c r="O7022" s="14"/>
      <c r="P7022" s="13"/>
    </row>
    <row r="7023">
      <c r="L7023" s="13"/>
      <c r="M7023" s="14"/>
      <c r="N7023" s="14"/>
      <c r="O7023" s="14"/>
      <c r="P7023" s="13"/>
    </row>
    <row r="7024">
      <c r="L7024" s="13"/>
      <c r="M7024" s="14"/>
      <c r="N7024" s="14"/>
      <c r="O7024" s="14"/>
      <c r="P7024" s="13"/>
    </row>
    <row r="7025">
      <c r="L7025" s="13"/>
      <c r="M7025" s="14"/>
      <c r="N7025" s="14"/>
      <c r="O7025" s="14"/>
      <c r="P7025" s="13"/>
    </row>
    <row r="7026">
      <c r="L7026" s="13"/>
      <c r="M7026" s="14"/>
      <c r="N7026" s="14"/>
      <c r="O7026" s="14"/>
      <c r="P7026" s="13"/>
    </row>
    <row r="7027">
      <c r="L7027" s="13"/>
      <c r="M7027" s="14"/>
      <c r="N7027" s="14"/>
      <c r="O7027" s="14"/>
      <c r="P7027" s="13"/>
    </row>
    <row r="7028">
      <c r="L7028" s="13"/>
      <c r="M7028" s="14"/>
      <c r="N7028" s="14"/>
      <c r="O7028" s="14"/>
      <c r="P7028" s="13"/>
    </row>
    <row r="7029">
      <c r="L7029" s="13"/>
      <c r="M7029" s="14"/>
      <c r="N7029" s="14"/>
      <c r="O7029" s="14"/>
      <c r="P7029" s="13"/>
    </row>
    <row r="7030">
      <c r="L7030" s="13"/>
      <c r="M7030" s="14"/>
      <c r="N7030" s="14"/>
      <c r="O7030" s="14"/>
      <c r="P7030" s="13"/>
    </row>
    <row r="7031">
      <c r="L7031" s="13"/>
      <c r="M7031" s="14"/>
      <c r="N7031" s="14"/>
      <c r="O7031" s="14"/>
      <c r="P7031" s="13"/>
    </row>
    <row r="7032">
      <c r="L7032" s="13"/>
      <c r="M7032" s="14"/>
      <c r="N7032" s="14"/>
      <c r="O7032" s="14"/>
      <c r="P7032" s="13"/>
    </row>
    <row r="7033">
      <c r="L7033" s="13"/>
      <c r="M7033" s="14"/>
      <c r="N7033" s="14"/>
      <c r="O7033" s="14"/>
      <c r="P7033" s="13"/>
    </row>
    <row r="7034">
      <c r="L7034" s="13"/>
      <c r="M7034" s="14"/>
      <c r="N7034" s="14"/>
      <c r="O7034" s="14"/>
      <c r="P7034" s="13"/>
    </row>
    <row r="7035">
      <c r="L7035" s="13"/>
      <c r="M7035" s="14"/>
      <c r="N7035" s="14"/>
      <c r="O7035" s="14"/>
      <c r="P7035" s="13"/>
    </row>
    <row r="7036">
      <c r="L7036" s="13"/>
      <c r="M7036" s="14"/>
      <c r="N7036" s="14"/>
      <c r="O7036" s="14"/>
      <c r="P7036" s="13"/>
    </row>
    <row r="7037">
      <c r="L7037" s="13"/>
      <c r="M7037" s="14"/>
      <c r="N7037" s="14"/>
      <c r="O7037" s="14"/>
      <c r="P7037" s="13"/>
    </row>
    <row r="7038">
      <c r="L7038" s="13"/>
      <c r="M7038" s="14"/>
      <c r="N7038" s="14"/>
      <c r="O7038" s="14"/>
      <c r="P7038" s="13"/>
    </row>
    <row r="7039">
      <c r="L7039" s="13"/>
      <c r="M7039" s="14"/>
      <c r="N7039" s="14"/>
      <c r="O7039" s="14"/>
      <c r="P7039" s="13"/>
    </row>
    <row r="7040">
      <c r="L7040" s="13"/>
      <c r="M7040" s="14"/>
      <c r="N7040" s="14"/>
      <c r="O7040" s="14"/>
      <c r="P7040" s="13"/>
    </row>
    <row r="7041">
      <c r="L7041" s="13"/>
      <c r="M7041" s="14"/>
      <c r="N7041" s="14"/>
      <c r="O7041" s="14"/>
      <c r="P7041" s="13"/>
    </row>
    <row r="7042">
      <c r="L7042" s="13"/>
      <c r="M7042" s="14"/>
      <c r="N7042" s="14"/>
      <c r="O7042" s="14"/>
      <c r="P7042" s="13"/>
    </row>
    <row r="7043">
      <c r="L7043" s="13"/>
      <c r="M7043" s="14"/>
      <c r="N7043" s="14"/>
      <c r="O7043" s="14"/>
      <c r="P7043" s="13"/>
    </row>
    <row r="7044">
      <c r="L7044" s="13"/>
      <c r="M7044" s="14"/>
      <c r="N7044" s="14"/>
      <c r="O7044" s="14"/>
      <c r="P7044" s="13"/>
    </row>
    <row r="7045">
      <c r="L7045" s="13"/>
      <c r="M7045" s="14"/>
      <c r="N7045" s="14"/>
      <c r="O7045" s="14"/>
      <c r="P7045" s="13"/>
    </row>
    <row r="7046">
      <c r="L7046" s="13"/>
      <c r="M7046" s="14"/>
      <c r="N7046" s="14"/>
      <c r="O7046" s="14"/>
      <c r="P7046" s="13"/>
    </row>
    <row r="7047">
      <c r="L7047" s="13"/>
      <c r="M7047" s="14"/>
      <c r="N7047" s="14"/>
      <c r="O7047" s="14"/>
      <c r="P7047" s="13"/>
    </row>
    <row r="7048">
      <c r="L7048" s="13"/>
      <c r="M7048" s="14"/>
      <c r="N7048" s="14"/>
      <c r="O7048" s="14"/>
      <c r="P7048" s="13"/>
    </row>
    <row r="7049">
      <c r="L7049" s="13"/>
      <c r="M7049" s="14"/>
      <c r="N7049" s="14"/>
      <c r="O7049" s="14"/>
      <c r="P7049" s="13"/>
    </row>
    <row r="7050">
      <c r="L7050" s="13"/>
      <c r="M7050" s="14"/>
      <c r="N7050" s="14"/>
      <c r="O7050" s="14"/>
      <c r="P7050" s="13"/>
    </row>
    <row r="7051">
      <c r="L7051" s="13"/>
      <c r="M7051" s="14"/>
      <c r="N7051" s="14"/>
      <c r="O7051" s="14"/>
      <c r="P7051" s="13"/>
    </row>
    <row r="7052">
      <c r="L7052" s="13"/>
      <c r="M7052" s="14"/>
      <c r="N7052" s="14"/>
      <c r="O7052" s="14"/>
      <c r="P7052" s="13"/>
    </row>
    <row r="7053">
      <c r="L7053" s="13"/>
      <c r="M7053" s="14"/>
      <c r="N7053" s="14"/>
      <c r="O7053" s="14"/>
      <c r="P7053" s="13"/>
    </row>
    <row r="7054">
      <c r="L7054" s="13"/>
      <c r="M7054" s="14"/>
      <c r="N7054" s="14"/>
      <c r="O7054" s="14"/>
      <c r="P7054" s="13"/>
    </row>
    <row r="7055">
      <c r="L7055" s="13"/>
      <c r="M7055" s="14"/>
      <c r="N7055" s="14"/>
      <c r="O7055" s="14"/>
      <c r="P7055" s="13"/>
    </row>
    <row r="7056">
      <c r="L7056" s="13"/>
      <c r="M7056" s="14"/>
      <c r="N7056" s="14"/>
      <c r="O7056" s="14"/>
      <c r="P7056" s="13"/>
    </row>
    <row r="7057">
      <c r="L7057" s="13"/>
      <c r="M7057" s="14"/>
      <c r="N7057" s="14"/>
      <c r="O7057" s="14"/>
      <c r="P7057" s="13"/>
    </row>
    <row r="7058">
      <c r="L7058" s="13"/>
      <c r="M7058" s="14"/>
      <c r="N7058" s="14"/>
      <c r="O7058" s="14"/>
      <c r="P7058" s="13"/>
    </row>
    <row r="7059">
      <c r="L7059" s="13"/>
      <c r="M7059" s="14"/>
      <c r="N7059" s="14"/>
      <c r="O7059" s="14"/>
      <c r="P7059" s="13"/>
    </row>
    <row r="7060">
      <c r="L7060" s="13"/>
      <c r="M7060" s="14"/>
      <c r="N7060" s="14"/>
      <c r="O7060" s="14"/>
      <c r="P7060" s="13"/>
    </row>
    <row r="7061">
      <c r="L7061" s="13"/>
      <c r="M7061" s="14"/>
      <c r="N7061" s="14"/>
      <c r="O7061" s="14"/>
      <c r="P7061" s="13"/>
    </row>
    <row r="7062">
      <c r="L7062" s="13"/>
      <c r="M7062" s="14"/>
      <c r="N7062" s="14"/>
      <c r="O7062" s="14"/>
      <c r="P7062" s="13"/>
    </row>
    <row r="7063">
      <c r="L7063" s="13"/>
      <c r="M7063" s="14"/>
      <c r="N7063" s="14"/>
      <c r="O7063" s="14"/>
      <c r="P7063" s="13"/>
    </row>
    <row r="7064">
      <c r="L7064" s="13"/>
      <c r="M7064" s="14"/>
      <c r="N7064" s="14"/>
      <c r="O7064" s="14"/>
      <c r="P7064" s="13"/>
    </row>
    <row r="7065">
      <c r="L7065" s="13"/>
      <c r="M7065" s="14"/>
      <c r="N7065" s="14"/>
      <c r="O7065" s="14"/>
      <c r="P7065" s="13"/>
    </row>
    <row r="7066">
      <c r="L7066" s="13"/>
      <c r="M7066" s="14"/>
      <c r="N7066" s="14"/>
      <c r="O7066" s="14"/>
      <c r="P7066" s="13"/>
    </row>
    <row r="7067">
      <c r="L7067" s="13"/>
      <c r="M7067" s="14"/>
      <c r="N7067" s="14"/>
      <c r="O7067" s="14"/>
      <c r="P7067" s="13"/>
    </row>
    <row r="7068">
      <c r="L7068" s="13"/>
      <c r="M7068" s="14"/>
      <c r="N7068" s="14"/>
      <c r="O7068" s="14"/>
      <c r="P7068" s="13"/>
    </row>
    <row r="7069">
      <c r="L7069" s="13"/>
      <c r="M7069" s="14"/>
      <c r="N7069" s="14"/>
      <c r="O7069" s="14"/>
      <c r="P7069" s="13"/>
    </row>
    <row r="7070">
      <c r="L7070" s="13"/>
      <c r="M7070" s="14"/>
      <c r="N7070" s="14"/>
      <c r="O7070" s="14"/>
      <c r="P7070" s="13"/>
    </row>
    <row r="7071">
      <c r="L7071" s="13"/>
      <c r="M7071" s="14"/>
      <c r="N7071" s="14"/>
      <c r="O7071" s="14"/>
      <c r="P7071" s="13"/>
    </row>
    <row r="7072">
      <c r="L7072" s="13"/>
      <c r="M7072" s="14"/>
      <c r="N7072" s="14"/>
      <c r="O7072" s="14"/>
      <c r="P7072" s="13"/>
    </row>
    <row r="7073">
      <c r="L7073" s="13"/>
      <c r="M7073" s="14"/>
      <c r="N7073" s="14"/>
      <c r="O7073" s="14"/>
      <c r="P7073" s="13"/>
    </row>
    <row r="7074">
      <c r="L7074" s="13"/>
      <c r="M7074" s="14"/>
      <c r="N7074" s="14"/>
      <c r="O7074" s="14"/>
      <c r="P7074" s="13"/>
    </row>
    <row r="7075">
      <c r="L7075" s="13"/>
      <c r="M7075" s="14"/>
      <c r="N7075" s="14"/>
      <c r="O7075" s="14"/>
      <c r="P7075" s="13"/>
    </row>
    <row r="7076">
      <c r="L7076" s="13"/>
      <c r="M7076" s="14"/>
      <c r="N7076" s="14"/>
      <c r="O7076" s="14"/>
      <c r="P7076" s="13"/>
    </row>
    <row r="7077">
      <c r="L7077" s="13"/>
      <c r="M7077" s="14"/>
      <c r="N7077" s="14"/>
      <c r="O7077" s="14"/>
      <c r="P7077" s="13"/>
    </row>
    <row r="7078">
      <c r="L7078" s="13"/>
      <c r="M7078" s="14"/>
      <c r="N7078" s="14"/>
      <c r="O7078" s="14"/>
      <c r="P7078" s="13"/>
    </row>
    <row r="7079">
      <c r="L7079" s="13"/>
      <c r="M7079" s="14"/>
      <c r="N7079" s="14"/>
      <c r="O7079" s="14"/>
      <c r="P7079" s="13"/>
    </row>
    <row r="7080">
      <c r="L7080" s="13"/>
      <c r="M7080" s="14"/>
      <c r="N7080" s="14"/>
      <c r="O7080" s="14"/>
      <c r="P7080" s="13"/>
    </row>
    <row r="7081">
      <c r="L7081" s="13"/>
      <c r="M7081" s="14"/>
      <c r="N7081" s="14"/>
      <c r="O7081" s="14"/>
      <c r="P7081" s="13"/>
    </row>
    <row r="7082">
      <c r="L7082" s="13"/>
      <c r="M7082" s="14"/>
      <c r="N7082" s="14"/>
      <c r="O7082" s="14"/>
      <c r="P7082" s="13"/>
    </row>
    <row r="7083">
      <c r="L7083" s="13"/>
      <c r="M7083" s="14"/>
      <c r="N7083" s="14"/>
      <c r="O7083" s="14"/>
      <c r="P7083" s="13"/>
    </row>
    <row r="7084">
      <c r="L7084" s="13"/>
      <c r="M7084" s="14"/>
      <c r="N7084" s="14"/>
      <c r="O7084" s="14"/>
      <c r="P7084" s="13"/>
    </row>
    <row r="7085">
      <c r="L7085" s="13"/>
      <c r="M7085" s="14"/>
      <c r="N7085" s="14"/>
      <c r="O7085" s="14"/>
      <c r="P7085" s="13"/>
    </row>
    <row r="7086">
      <c r="L7086" s="13"/>
      <c r="M7086" s="14"/>
      <c r="N7086" s="14"/>
      <c r="O7086" s="14"/>
      <c r="P7086" s="13"/>
    </row>
    <row r="7087">
      <c r="L7087" s="13"/>
      <c r="M7087" s="14"/>
      <c r="N7087" s="14"/>
      <c r="O7087" s="14"/>
      <c r="P7087" s="13"/>
    </row>
    <row r="7088">
      <c r="L7088" s="13"/>
      <c r="M7088" s="14"/>
      <c r="N7088" s="14"/>
      <c r="O7088" s="14"/>
      <c r="P7088" s="13"/>
    </row>
    <row r="7089">
      <c r="L7089" s="13"/>
      <c r="M7089" s="14"/>
      <c r="N7089" s="14"/>
      <c r="O7089" s="14"/>
      <c r="P7089" s="13"/>
    </row>
    <row r="7090">
      <c r="L7090" s="13"/>
      <c r="M7090" s="14"/>
      <c r="N7090" s="14"/>
      <c r="O7090" s="14"/>
      <c r="P7090" s="13"/>
    </row>
    <row r="7091">
      <c r="L7091" s="13"/>
      <c r="M7091" s="14"/>
      <c r="N7091" s="14"/>
      <c r="O7091" s="14"/>
      <c r="P7091" s="13"/>
    </row>
    <row r="7092">
      <c r="L7092" s="13"/>
      <c r="M7092" s="14"/>
      <c r="N7092" s="14"/>
      <c r="O7092" s="14"/>
      <c r="P7092" s="13"/>
    </row>
    <row r="7093">
      <c r="L7093" s="13"/>
      <c r="M7093" s="14"/>
      <c r="N7093" s="14"/>
      <c r="O7093" s="14"/>
      <c r="P7093" s="13"/>
    </row>
    <row r="7094">
      <c r="L7094" s="13"/>
      <c r="M7094" s="14"/>
      <c r="N7094" s="14"/>
      <c r="O7094" s="14"/>
      <c r="P7094" s="13"/>
    </row>
    <row r="7095">
      <c r="L7095" s="13"/>
      <c r="M7095" s="14"/>
      <c r="N7095" s="14"/>
      <c r="O7095" s="14"/>
      <c r="P7095" s="13"/>
    </row>
    <row r="7096">
      <c r="L7096" s="13"/>
      <c r="M7096" s="14"/>
      <c r="N7096" s="14"/>
      <c r="O7096" s="14"/>
      <c r="P7096" s="13"/>
    </row>
    <row r="7097">
      <c r="L7097" s="13"/>
      <c r="M7097" s="14"/>
      <c r="N7097" s="14"/>
      <c r="O7097" s="14"/>
      <c r="P7097" s="13"/>
    </row>
    <row r="7098">
      <c r="L7098" s="13"/>
      <c r="M7098" s="14"/>
      <c r="N7098" s="14"/>
      <c r="O7098" s="14"/>
      <c r="P7098" s="13"/>
    </row>
    <row r="7099">
      <c r="L7099" s="13"/>
      <c r="M7099" s="14"/>
      <c r="N7099" s="14"/>
      <c r="O7099" s="14"/>
      <c r="P7099" s="13"/>
    </row>
    <row r="7100">
      <c r="L7100" s="13"/>
      <c r="M7100" s="14"/>
      <c r="N7100" s="14"/>
      <c r="O7100" s="14"/>
      <c r="P7100" s="13"/>
    </row>
    <row r="7101">
      <c r="L7101" s="13"/>
      <c r="M7101" s="14"/>
      <c r="N7101" s="14"/>
      <c r="O7101" s="14"/>
      <c r="P7101" s="13"/>
    </row>
    <row r="7102">
      <c r="L7102" s="13"/>
      <c r="M7102" s="14"/>
      <c r="N7102" s="14"/>
      <c r="O7102" s="14"/>
      <c r="P7102" s="13"/>
    </row>
    <row r="7103">
      <c r="L7103" s="13"/>
      <c r="M7103" s="14"/>
      <c r="N7103" s="14"/>
      <c r="O7103" s="14"/>
      <c r="P7103" s="13"/>
    </row>
    <row r="7104">
      <c r="L7104" s="13"/>
      <c r="M7104" s="14"/>
      <c r="N7104" s="14"/>
      <c r="O7104" s="14"/>
      <c r="P7104" s="13"/>
    </row>
    <row r="7105">
      <c r="L7105" s="13"/>
      <c r="M7105" s="14"/>
      <c r="N7105" s="14"/>
      <c r="O7105" s="14"/>
      <c r="P7105" s="13"/>
    </row>
    <row r="7106">
      <c r="L7106" s="13"/>
      <c r="M7106" s="14"/>
      <c r="N7106" s="14"/>
      <c r="O7106" s="14"/>
      <c r="P7106" s="13"/>
    </row>
    <row r="7107">
      <c r="L7107" s="13"/>
      <c r="M7107" s="14"/>
      <c r="N7107" s="14"/>
      <c r="O7107" s="14"/>
      <c r="P7107" s="13"/>
    </row>
    <row r="7108">
      <c r="L7108" s="13"/>
      <c r="M7108" s="14"/>
      <c r="N7108" s="14"/>
      <c r="O7108" s="14"/>
      <c r="P7108" s="13"/>
    </row>
    <row r="7109">
      <c r="L7109" s="13"/>
      <c r="M7109" s="14"/>
      <c r="N7109" s="14"/>
      <c r="O7109" s="14"/>
      <c r="P7109" s="13"/>
    </row>
    <row r="7110">
      <c r="L7110" s="13"/>
      <c r="M7110" s="14"/>
      <c r="N7110" s="14"/>
      <c r="O7110" s="14"/>
      <c r="P7110" s="13"/>
    </row>
    <row r="7111">
      <c r="L7111" s="13"/>
      <c r="M7111" s="14"/>
      <c r="N7111" s="14"/>
      <c r="O7111" s="14"/>
      <c r="P7111" s="13"/>
    </row>
    <row r="7112">
      <c r="L7112" s="13"/>
      <c r="M7112" s="14"/>
      <c r="N7112" s="14"/>
      <c r="O7112" s="14"/>
      <c r="P7112" s="13"/>
    </row>
    <row r="7113">
      <c r="L7113" s="13"/>
      <c r="M7113" s="14"/>
      <c r="N7113" s="14"/>
      <c r="O7113" s="14"/>
      <c r="P7113" s="13"/>
    </row>
    <row r="7114">
      <c r="L7114" s="13"/>
      <c r="M7114" s="14"/>
      <c r="N7114" s="14"/>
      <c r="O7114" s="14"/>
      <c r="P7114" s="13"/>
    </row>
    <row r="7115">
      <c r="L7115" s="13"/>
      <c r="M7115" s="14"/>
      <c r="N7115" s="14"/>
      <c r="O7115" s="14"/>
      <c r="P7115" s="13"/>
    </row>
    <row r="7116">
      <c r="L7116" s="13"/>
      <c r="M7116" s="14"/>
      <c r="N7116" s="14"/>
      <c r="O7116" s="14"/>
      <c r="P7116" s="13"/>
    </row>
    <row r="7117">
      <c r="L7117" s="13"/>
      <c r="M7117" s="14"/>
      <c r="N7117" s="14"/>
      <c r="O7117" s="14"/>
      <c r="P7117" s="13"/>
    </row>
    <row r="7118">
      <c r="L7118" s="13"/>
      <c r="M7118" s="14"/>
      <c r="N7118" s="14"/>
      <c r="O7118" s="14"/>
      <c r="P7118" s="13"/>
    </row>
    <row r="7119">
      <c r="L7119" s="13"/>
      <c r="M7119" s="14"/>
      <c r="N7119" s="14"/>
      <c r="O7119" s="14"/>
      <c r="P7119" s="13"/>
    </row>
    <row r="7120">
      <c r="L7120" s="13"/>
      <c r="M7120" s="14"/>
      <c r="N7120" s="14"/>
      <c r="O7120" s="14"/>
      <c r="P7120" s="13"/>
    </row>
    <row r="7121">
      <c r="L7121" s="13"/>
      <c r="M7121" s="14"/>
      <c r="N7121" s="14"/>
      <c r="O7121" s="14"/>
      <c r="P7121" s="13"/>
    </row>
    <row r="7122">
      <c r="L7122" s="13"/>
      <c r="M7122" s="14"/>
      <c r="N7122" s="14"/>
      <c r="O7122" s="14"/>
      <c r="P7122" s="13"/>
    </row>
    <row r="7123">
      <c r="L7123" s="13"/>
      <c r="M7123" s="14"/>
      <c r="N7123" s="14"/>
      <c r="O7123" s="14"/>
      <c r="P7123" s="13"/>
    </row>
    <row r="7124">
      <c r="L7124" s="13"/>
      <c r="M7124" s="14"/>
      <c r="N7124" s="14"/>
      <c r="O7124" s="14"/>
      <c r="P7124" s="13"/>
    </row>
    <row r="7125">
      <c r="L7125" s="13"/>
      <c r="M7125" s="14"/>
      <c r="N7125" s="14"/>
      <c r="O7125" s="14"/>
      <c r="P7125" s="13"/>
    </row>
    <row r="7126">
      <c r="L7126" s="13"/>
      <c r="M7126" s="14"/>
      <c r="N7126" s="14"/>
      <c r="O7126" s="14"/>
      <c r="P7126" s="13"/>
    </row>
    <row r="7127">
      <c r="L7127" s="13"/>
      <c r="M7127" s="14"/>
      <c r="N7127" s="14"/>
      <c r="O7127" s="14"/>
      <c r="P7127" s="13"/>
    </row>
    <row r="7128">
      <c r="L7128" s="13"/>
      <c r="M7128" s="14"/>
      <c r="N7128" s="14"/>
      <c r="O7128" s="14"/>
      <c r="P7128" s="13"/>
    </row>
    <row r="7129">
      <c r="L7129" s="13"/>
      <c r="M7129" s="14"/>
      <c r="N7129" s="14"/>
      <c r="O7129" s="14"/>
      <c r="P7129" s="13"/>
    </row>
    <row r="7130">
      <c r="L7130" s="13"/>
      <c r="M7130" s="14"/>
      <c r="N7130" s="14"/>
      <c r="O7130" s="14"/>
      <c r="P7130" s="13"/>
    </row>
    <row r="7131">
      <c r="L7131" s="13"/>
      <c r="M7131" s="14"/>
      <c r="N7131" s="14"/>
      <c r="O7131" s="14"/>
      <c r="P7131" s="13"/>
    </row>
    <row r="7132">
      <c r="L7132" s="13"/>
      <c r="M7132" s="14"/>
      <c r="N7132" s="14"/>
      <c r="O7132" s="14"/>
      <c r="P7132" s="13"/>
    </row>
    <row r="7133">
      <c r="L7133" s="13"/>
      <c r="M7133" s="14"/>
      <c r="N7133" s="14"/>
      <c r="O7133" s="14"/>
      <c r="P7133" s="13"/>
    </row>
    <row r="7134">
      <c r="L7134" s="13"/>
      <c r="M7134" s="14"/>
      <c r="N7134" s="14"/>
      <c r="O7134" s="14"/>
      <c r="P7134" s="13"/>
    </row>
    <row r="7135">
      <c r="L7135" s="13"/>
      <c r="M7135" s="14"/>
      <c r="N7135" s="14"/>
      <c r="O7135" s="14"/>
      <c r="P7135" s="13"/>
    </row>
    <row r="7136">
      <c r="L7136" s="13"/>
      <c r="M7136" s="14"/>
      <c r="N7136" s="14"/>
      <c r="O7136" s="14"/>
      <c r="P7136" s="13"/>
    </row>
    <row r="7137">
      <c r="L7137" s="13"/>
      <c r="M7137" s="14"/>
      <c r="N7137" s="14"/>
      <c r="O7137" s="14"/>
      <c r="P7137" s="13"/>
    </row>
    <row r="7138">
      <c r="L7138" s="13"/>
      <c r="M7138" s="14"/>
      <c r="N7138" s="14"/>
      <c r="O7138" s="14"/>
      <c r="P7138" s="13"/>
    </row>
    <row r="7139">
      <c r="L7139" s="13"/>
      <c r="M7139" s="14"/>
      <c r="N7139" s="14"/>
      <c r="O7139" s="14"/>
      <c r="P7139" s="13"/>
    </row>
    <row r="7140">
      <c r="L7140" s="13"/>
      <c r="M7140" s="14"/>
      <c r="N7140" s="14"/>
      <c r="O7140" s="14"/>
      <c r="P7140" s="13"/>
    </row>
    <row r="7141">
      <c r="L7141" s="13"/>
      <c r="M7141" s="14"/>
      <c r="N7141" s="14"/>
      <c r="O7141" s="14"/>
      <c r="P7141" s="13"/>
    </row>
    <row r="7142">
      <c r="L7142" s="13"/>
      <c r="M7142" s="14"/>
      <c r="N7142" s="14"/>
      <c r="O7142" s="14"/>
      <c r="P7142" s="13"/>
    </row>
    <row r="7143">
      <c r="L7143" s="13"/>
      <c r="M7143" s="14"/>
      <c r="N7143" s="14"/>
      <c r="O7143" s="14"/>
      <c r="P7143" s="13"/>
    </row>
    <row r="7144">
      <c r="L7144" s="13"/>
      <c r="M7144" s="14"/>
      <c r="N7144" s="14"/>
      <c r="O7144" s="14"/>
      <c r="P7144" s="13"/>
    </row>
    <row r="7145">
      <c r="L7145" s="13"/>
      <c r="M7145" s="14"/>
      <c r="N7145" s="14"/>
      <c r="O7145" s="14"/>
      <c r="P7145" s="13"/>
    </row>
    <row r="7146">
      <c r="L7146" s="13"/>
      <c r="M7146" s="14"/>
      <c r="N7146" s="14"/>
      <c r="O7146" s="14"/>
      <c r="P7146" s="13"/>
    </row>
    <row r="7147">
      <c r="L7147" s="13"/>
      <c r="M7147" s="14"/>
      <c r="N7147" s="14"/>
      <c r="O7147" s="14"/>
      <c r="P7147" s="13"/>
    </row>
    <row r="7148">
      <c r="L7148" s="13"/>
      <c r="M7148" s="14"/>
      <c r="N7148" s="14"/>
      <c r="O7148" s="14"/>
      <c r="P7148" s="13"/>
    </row>
    <row r="7149">
      <c r="L7149" s="13"/>
      <c r="M7149" s="14"/>
      <c r="N7149" s="14"/>
      <c r="O7149" s="14"/>
      <c r="P7149" s="13"/>
    </row>
    <row r="7150">
      <c r="L7150" s="13"/>
      <c r="M7150" s="14"/>
      <c r="N7150" s="14"/>
      <c r="O7150" s="14"/>
      <c r="P7150" s="13"/>
    </row>
    <row r="7151">
      <c r="L7151" s="13"/>
      <c r="M7151" s="14"/>
      <c r="N7151" s="14"/>
      <c r="O7151" s="14"/>
      <c r="P7151" s="13"/>
    </row>
    <row r="7152">
      <c r="L7152" s="13"/>
      <c r="M7152" s="14"/>
      <c r="N7152" s="14"/>
      <c r="O7152" s="14"/>
      <c r="P7152" s="13"/>
    </row>
    <row r="7153">
      <c r="L7153" s="13"/>
      <c r="M7153" s="14"/>
      <c r="N7153" s="14"/>
      <c r="O7153" s="14"/>
      <c r="P7153" s="13"/>
    </row>
    <row r="7154">
      <c r="L7154" s="13"/>
      <c r="M7154" s="14"/>
      <c r="N7154" s="14"/>
      <c r="O7154" s="14"/>
      <c r="P7154" s="13"/>
    </row>
    <row r="7155">
      <c r="L7155" s="13"/>
      <c r="M7155" s="14"/>
      <c r="N7155" s="14"/>
      <c r="O7155" s="14"/>
      <c r="P7155" s="13"/>
    </row>
    <row r="7156">
      <c r="L7156" s="13"/>
      <c r="M7156" s="14"/>
      <c r="N7156" s="14"/>
      <c r="O7156" s="14"/>
      <c r="P7156" s="13"/>
    </row>
    <row r="7157">
      <c r="L7157" s="13"/>
      <c r="M7157" s="14"/>
      <c r="N7157" s="14"/>
      <c r="O7157" s="14"/>
      <c r="P7157" s="13"/>
    </row>
    <row r="7158">
      <c r="L7158" s="13"/>
      <c r="M7158" s="14"/>
      <c r="N7158" s="14"/>
      <c r="O7158" s="14"/>
      <c r="P7158" s="13"/>
    </row>
    <row r="7159">
      <c r="L7159" s="13"/>
      <c r="M7159" s="14"/>
      <c r="N7159" s="14"/>
      <c r="O7159" s="14"/>
      <c r="P7159" s="13"/>
    </row>
    <row r="7160">
      <c r="L7160" s="13"/>
      <c r="M7160" s="14"/>
      <c r="N7160" s="14"/>
      <c r="O7160" s="14"/>
      <c r="P7160" s="13"/>
    </row>
    <row r="7161">
      <c r="L7161" s="13"/>
      <c r="M7161" s="14"/>
      <c r="N7161" s="14"/>
      <c r="O7161" s="14"/>
      <c r="P7161" s="13"/>
    </row>
    <row r="7162">
      <c r="L7162" s="13"/>
      <c r="M7162" s="14"/>
      <c r="N7162" s="14"/>
      <c r="O7162" s="14"/>
      <c r="P7162" s="13"/>
    </row>
    <row r="7163">
      <c r="L7163" s="13"/>
      <c r="M7163" s="14"/>
      <c r="N7163" s="14"/>
      <c r="O7163" s="14"/>
      <c r="P7163" s="13"/>
    </row>
    <row r="7164">
      <c r="L7164" s="13"/>
      <c r="M7164" s="14"/>
      <c r="N7164" s="14"/>
      <c r="O7164" s="14"/>
      <c r="P7164" s="13"/>
    </row>
    <row r="7165">
      <c r="L7165" s="13"/>
      <c r="M7165" s="14"/>
      <c r="N7165" s="14"/>
      <c r="O7165" s="14"/>
      <c r="P7165" s="13"/>
    </row>
    <row r="7166">
      <c r="L7166" s="13"/>
      <c r="M7166" s="14"/>
      <c r="N7166" s="14"/>
      <c r="O7166" s="14"/>
      <c r="P7166" s="13"/>
    </row>
    <row r="7167">
      <c r="L7167" s="13"/>
      <c r="M7167" s="14"/>
      <c r="N7167" s="14"/>
      <c r="O7167" s="14"/>
      <c r="P7167" s="13"/>
    </row>
    <row r="7168">
      <c r="L7168" s="13"/>
      <c r="M7168" s="14"/>
      <c r="N7168" s="14"/>
      <c r="O7168" s="14"/>
      <c r="P7168" s="13"/>
    </row>
    <row r="7169">
      <c r="L7169" s="13"/>
      <c r="M7169" s="14"/>
      <c r="N7169" s="14"/>
      <c r="O7169" s="14"/>
      <c r="P7169" s="13"/>
    </row>
    <row r="7170">
      <c r="L7170" s="13"/>
      <c r="M7170" s="14"/>
      <c r="N7170" s="14"/>
      <c r="O7170" s="14"/>
      <c r="P7170" s="13"/>
    </row>
    <row r="7171">
      <c r="L7171" s="13"/>
      <c r="M7171" s="14"/>
      <c r="N7171" s="14"/>
      <c r="O7171" s="14"/>
      <c r="P7171" s="13"/>
    </row>
    <row r="7172">
      <c r="L7172" s="13"/>
      <c r="M7172" s="14"/>
      <c r="N7172" s="14"/>
      <c r="O7172" s="14"/>
      <c r="P7172" s="13"/>
    </row>
    <row r="7173">
      <c r="L7173" s="13"/>
      <c r="M7173" s="14"/>
      <c r="N7173" s="14"/>
      <c r="O7173" s="14"/>
      <c r="P7173" s="13"/>
    </row>
    <row r="7174">
      <c r="L7174" s="13"/>
      <c r="M7174" s="14"/>
      <c r="N7174" s="14"/>
      <c r="O7174" s="14"/>
      <c r="P7174" s="13"/>
    </row>
    <row r="7175">
      <c r="L7175" s="13"/>
      <c r="M7175" s="14"/>
      <c r="N7175" s="14"/>
      <c r="O7175" s="14"/>
      <c r="P7175" s="13"/>
    </row>
    <row r="7176">
      <c r="L7176" s="13"/>
      <c r="M7176" s="14"/>
      <c r="N7176" s="14"/>
      <c r="O7176" s="14"/>
      <c r="P7176" s="13"/>
    </row>
    <row r="7177">
      <c r="L7177" s="13"/>
      <c r="M7177" s="14"/>
      <c r="N7177" s="14"/>
      <c r="O7177" s="14"/>
      <c r="P7177" s="13"/>
    </row>
    <row r="7178">
      <c r="L7178" s="13"/>
      <c r="M7178" s="14"/>
      <c r="N7178" s="14"/>
      <c r="O7178" s="14"/>
      <c r="P7178" s="13"/>
    </row>
    <row r="7179">
      <c r="L7179" s="13"/>
      <c r="M7179" s="14"/>
      <c r="N7179" s="14"/>
      <c r="O7179" s="14"/>
      <c r="P7179" s="13"/>
    </row>
    <row r="7180">
      <c r="L7180" s="13"/>
      <c r="M7180" s="14"/>
      <c r="N7180" s="14"/>
      <c r="O7180" s="14"/>
      <c r="P7180" s="13"/>
    </row>
    <row r="7181">
      <c r="L7181" s="13"/>
      <c r="M7181" s="14"/>
      <c r="N7181" s="14"/>
      <c r="O7181" s="14"/>
      <c r="P7181" s="13"/>
    </row>
    <row r="7182">
      <c r="L7182" s="13"/>
      <c r="M7182" s="14"/>
      <c r="N7182" s="14"/>
      <c r="O7182" s="14"/>
      <c r="P7182" s="13"/>
    </row>
    <row r="7183">
      <c r="L7183" s="13"/>
      <c r="M7183" s="14"/>
      <c r="N7183" s="14"/>
      <c r="O7183" s="14"/>
      <c r="P7183" s="13"/>
    </row>
    <row r="7184">
      <c r="L7184" s="13"/>
      <c r="M7184" s="14"/>
      <c r="N7184" s="14"/>
      <c r="O7184" s="14"/>
      <c r="P7184" s="13"/>
    </row>
    <row r="7185">
      <c r="L7185" s="13"/>
      <c r="M7185" s="14"/>
      <c r="N7185" s="14"/>
      <c r="O7185" s="14"/>
      <c r="P7185" s="13"/>
    </row>
    <row r="7186">
      <c r="L7186" s="13"/>
      <c r="M7186" s="14"/>
      <c r="N7186" s="14"/>
      <c r="O7186" s="14"/>
      <c r="P7186" s="13"/>
    </row>
    <row r="7187">
      <c r="L7187" s="13"/>
      <c r="M7187" s="14"/>
      <c r="N7187" s="14"/>
      <c r="O7187" s="14"/>
      <c r="P7187" s="13"/>
    </row>
    <row r="7188">
      <c r="L7188" s="13"/>
      <c r="M7188" s="14"/>
      <c r="N7188" s="14"/>
      <c r="O7188" s="14"/>
      <c r="P7188" s="13"/>
    </row>
    <row r="7189">
      <c r="L7189" s="13"/>
      <c r="M7189" s="14"/>
      <c r="N7189" s="14"/>
      <c r="O7189" s="14"/>
      <c r="P7189" s="13"/>
    </row>
    <row r="7190">
      <c r="L7190" s="13"/>
      <c r="M7190" s="14"/>
      <c r="N7190" s="14"/>
      <c r="O7190" s="14"/>
      <c r="P7190" s="13"/>
    </row>
    <row r="7191">
      <c r="L7191" s="13"/>
      <c r="M7191" s="14"/>
      <c r="N7191" s="14"/>
      <c r="O7191" s="14"/>
      <c r="P7191" s="13"/>
    </row>
    <row r="7192">
      <c r="L7192" s="13"/>
      <c r="M7192" s="14"/>
      <c r="N7192" s="14"/>
      <c r="O7192" s="14"/>
      <c r="P7192" s="13"/>
    </row>
    <row r="7193">
      <c r="L7193" s="13"/>
      <c r="M7193" s="14"/>
      <c r="N7193" s="14"/>
      <c r="O7193" s="14"/>
      <c r="P7193" s="13"/>
    </row>
    <row r="7194">
      <c r="L7194" s="13"/>
      <c r="M7194" s="14"/>
      <c r="N7194" s="14"/>
      <c r="O7194" s="14"/>
      <c r="P7194" s="13"/>
    </row>
    <row r="7195">
      <c r="L7195" s="13"/>
      <c r="M7195" s="14"/>
      <c r="N7195" s="14"/>
      <c r="O7195" s="14"/>
      <c r="P7195" s="13"/>
    </row>
    <row r="7196">
      <c r="L7196" s="13"/>
      <c r="M7196" s="14"/>
      <c r="N7196" s="14"/>
      <c r="O7196" s="14"/>
      <c r="P7196" s="13"/>
    </row>
    <row r="7197">
      <c r="L7197" s="13"/>
      <c r="M7197" s="14"/>
      <c r="N7197" s="14"/>
      <c r="O7197" s="14"/>
      <c r="P7197" s="13"/>
    </row>
    <row r="7198">
      <c r="L7198" s="13"/>
      <c r="M7198" s="14"/>
      <c r="N7198" s="14"/>
      <c r="O7198" s="14"/>
      <c r="P7198" s="13"/>
    </row>
    <row r="7199">
      <c r="L7199" s="13"/>
      <c r="M7199" s="14"/>
      <c r="N7199" s="14"/>
      <c r="O7199" s="14"/>
      <c r="P7199" s="13"/>
    </row>
    <row r="7200">
      <c r="L7200" s="13"/>
      <c r="M7200" s="14"/>
      <c r="N7200" s="14"/>
      <c r="O7200" s="14"/>
      <c r="P7200" s="13"/>
    </row>
    <row r="7201">
      <c r="L7201" s="13"/>
      <c r="M7201" s="14"/>
      <c r="N7201" s="14"/>
      <c r="O7201" s="14"/>
      <c r="P7201" s="13"/>
    </row>
    <row r="7202">
      <c r="L7202" s="13"/>
      <c r="M7202" s="14"/>
      <c r="N7202" s="14"/>
      <c r="O7202" s="14"/>
      <c r="P7202" s="13"/>
    </row>
    <row r="7203">
      <c r="L7203" s="13"/>
      <c r="M7203" s="14"/>
      <c r="N7203" s="14"/>
      <c r="O7203" s="14"/>
      <c r="P7203" s="13"/>
    </row>
    <row r="7204">
      <c r="L7204" s="13"/>
      <c r="M7204" s="14"/>
      <c r="N7204" s="14"/>
      <c r="O7204" s="14"/>
      <c r="P7204" s="13"/>
    </row>
    <row r="7205">
      <c r="L7205" s="13"/>
      <c r="M7205" s="14"/>
      <c r="N7205" s="14"/>
      <c r="O7205" s="14"/>
      <c r="P7205" s="13"/>
    </row>
    <row r="7206">
      <c r="L7206" s="13"/>
      <c r="M7206" s="14"/>
      <c r="N7206" s="14"/>
      <c r="O7206" s="14"/>
      <c r="P7206" s="13"/>
    </row>
    <row r="7207">
      <c r="L7207" s="13"/>
      <c r="M7207" s="14"/>
      <c r="N7207" s="14"/>
      <c r="O7207" s="14"/>
      <c r="P7207" s="13"/>
    </row>
    <row r="7208">
      <c r="L7208" s="13"/>
      <c r="M7208" s="14"/>
      <c r="N7208" s="14"/>
      <c r="O7208" s="14"/>
      <c r="P7208" s="13"/>
    </row>
    <row r="7209">
      <c r="L7209" s="13"/>
      <c r="M7209" s="14"/>
      <c r="N7209" s="14"/>
      <c r="O7209" s="14"/>
      <c r="P7209" s="13"/>
    </row>
    <row r="7210">
      <c r="L7210" s="13"/>
      <c r="M7210" s="14"/>
      <c r="N7210" s="14"/>
      <c r="O7210" s="14"/>
      <c r="P7210" s="13"/>
    </row>
    <row r="7211">
      <c r="L7211" s="13"/>
      <c r="M7211" s="14"/>
      <c r="N7211" s="14"/>
      <c r="O7211" s="14"/>
      <c r="P7211" s="13"/>
    </row>
    <row r="7212">
      <c r="L7212" s="13"/>
      <c r="M7212" s="14"/>
      <c r="N7212" s="14"/>
      <c r="O7212" s="14"/>
      <c r="P7212" s="13"/>
    </row>
    <row r="7213">
      <c r="L7213" s="13"/>
      <c r="M7213" s="14"/>
      <c r="N7213" s="14"/>
      <c r="O7213" s="14"/>
      <c r="P7213" s="13"/>
    </row>
    <row r="7214">
      <c r="L7214" s="13"/>
      <c r="M7214" s="14"/>
      <c r="N7214" s="14"/>
      <c r="O7214" s="14"/>
      <c r="P7214" s="13"/>
    </row>
    <row r="7215">
      <c r="L7215" s="13"/>
      <c r="M7215" s="14"/>
      <c r="N7215" s="14"/>
      <c r="O7215" s="14"/>
      <c r="P7215" s="13"/>
    </row>
    <row r="7216">
      <c r="L7216" s="13"/>
      <c r="M7216" s="14"/>
      <c r="N7216" s="14"/>
      <c r="O7216" s="14"/>
      <c r="P7216" s="13"/>
    </row>
    <row r="7217">
      <c r="L7217" s="13"/>
      <c r="M7217" s="14"/>
      <c r="N7217" s="14"/>
      <c r="O7217" s="14"/>
      <c r="P7217" s="13"/>
    </row>
    <row r="7218">
      <c r="L7218" s="13"/>
      <c r="M7218" s="14"/>
      <c r="N7218" s="14"/>
      <c r="O7218" s="14"/>
      <c r="P7218" s="13"/>
    </row>
    <row r="7219">
      <c r="L7219" s="13"/>
      <c r="M7219" s="14"/>
      <c r="N7219" s="14"/>
      <c r="O7219" s="14"/>
      <c r="P7219" s="13"/>
    </row>
    <row r="7220">
      <c r="L7220" s="13"/>
      <c r="M7220" s="14"/>
      <c r="N7220" s="14"/>
      <c r="O7220" s="14"/>
      <c r="P7220" s="13"/>
    </row>
    <row r="7221">
      <c r="L7221" s="13"/>
      <c r="M7221" s="14"/>
      <c r="N7221" s="14"/>
      <c r="O7221" s="14"/>
      <c r="P7221" s="13"/>
    </row>
    <row r="7222">
      <c r="L7222" s="13"/>
      <c r="M7222" s="14"/>
      <c r="N7222" s="14"/>
      <c r="O7222" s="14"/>
      <c r="P7222" s="13"/>
    </row>
    <row r="7223">
      <c r="L7223" s="13"/>
      <c r="M7223" s="14"/>
      <c r="N7223" s="14"/>
      <c r="O7223" s="14"/>
      <c r="P7223" s="13"/>
    </row>
    <row r="7224">
      <c r="L7224" s="13"/>
      <c r="M7224" s="14"/>
      <c r="N7224" s="14"/>
      <c r="O7224" s="14"/>
      <c r="P7224" s="13"/>
    </row>
    <row r="7225">
      <c r="L7225" s="13"/>
      <c r="M7225" s="14"/>
      <c r="N7225" s="14"/>
      <c r="O7225" s="14"/>
      <c r="P7225" s="13"/>
    </row>
    <row r="7226">
      <c r="L7226" s="13"/>
      <c r="M7226" s="14"/>
      <c r="N7226" s="14"/>
      <c r="O7226" s="14"/>
      <c r="P7226" s="13"/>
    </row>
    <row r="7227">
      <c r="L7227" s="13"/>
      <c r="M7227" s="14"/>
      <c r="N7227" s="14"/>
      <c r="O7227" s="14"/>
      <c r="P7227" s="13"/>
    </row>
    <row r="7228">
      <c r="L7228" s="13"/>
      <c r="M7228" s="14"/>
      <c r="N7228" s="14"/>
      <c r="O7228" s="14"/>
      <c r="P7228" s="13"/>
    </row>
    <row r="7229">
      <c r="L7229" s="13"/>
      <c r="M7229" s="14"/>
      <c r="N7229" s="14"/>
      <c r="O7229" s="14"/>
      <c r="P7229" s="13"/>
    </row>
    <row r="7230">
      <c r="L7230" s="13"/>
      <c r="M7230" s="14"/>
      <c r="N7230" s="14"/>
      <c r="O7230" s="14"/>
      <c r="P7230" s="13"/>
    </row>
    <row r="7231">
      <c r="L7231" s="13"/>
      <c r="M7231" s="14"/>
      <c r="N7231" s="14"/>
      <c r="O7231" s="14"/>
      <c r="P7231" s="13"/>
    </row>
    <row r="7232">
      <c r="L7232" s="13"/>
      <c r="M7232" s="14"/>
      <c r="N7232" s="14"/>
      <c r="O7232" s="14"/>
      <c r="P7232" s="13"/>
    </row>
    <row r="7233">
      <c r="L7233" s="13"/>
      <c r="M7233" s="14"/>
      <c r="N7233" s="14"/>
      <c r="O7233" s="14"/>
      <c r="P7233" s="13"/>
    </row>
    <row r="7234">
      <c r="L7234" s="13"/>
      <c r="M7234" s="14"/>
      <c r="N7234" s="14"/>
      <c r="O7234" s="14"/>
      <c r="P7234" s="13"/>
    </row>
    <row r="7235">
      <c r="L7235" s="13"/>
      <c r="M7235" s="14"/>
      <c r="N7235" s="14"/>
      <c r="O7235" s="14"/>
      <c r="P7235" s="13"/>
    </row>
    <row r="7236">
      <c r="L7236" s="13"/>
      <c r="M7236" s="14"/>
      <c r="N7236" s="14"/>
      <c r="O7236" s="14"/>
      <c r="P7236" s="13"/>
    </row>
    <row r="7237">
      <c r="L7237" s="13"/>
      <c r="M7237" s="14"/>
      <c r="N7237" s="14"/>
      <c r="O7237" s="14"/>
      <c r="P7237" s="13"/>
    </row>
    <row r="7238">
      <c r="L7238" s="13"/>
      <c r="M7238" s="14"/>
      <c r="N7238" s="14"/>
      <c r="O7238" s="14"/>
      <c r="P7238" s="13"/>
    </row>
    <row r="7239">
      <c r="L7239" s="13"/>
      <c r="M7239" s="14"/>
      <c r="N7239" s="14"/>
      <c r="O7239" s="14"/>
      <c r="P7239" s="13"/>
    </row>
    <row r="7240">
      <c r="L7240" s="13"/>
      <c r="M7240" s="14"/>
      <c r="N7240" s="14"/>
      <c r="O7240" s="14"/>
      <c r="P7240" s="13"/>
    </row>
    <row r="7241">
      <c r="L7241" s="13"/>
      <c r="M7241" s="14"/>
      <c r="N7241" s="14"/>
      <c r="O7241" s="14"/>
      <c r="P7241" s="13"/>
    </row>
    <row r="7242">
      <c r="L7242" s="13"/>
      <c r="M7242" s="14"/>
      <c r="N7242" s="14"/>
      <c r="O7242" s="14"/>
      <c r="P7242" s="13"/>
    </row>
    <row r="7243">
      <c r="L7243" s="13"/>
      <c r="M7243" s="14"/>
      <c r="N7243" s="14"/>
      <c r="O7243" s="14"/>
      <c r="P7243" s="13"/>
    </row>
    <row r="7244">
      <c r="L7244" s="13"/>
      <c r="M7244" s="14"/>
      <c r="N7244" s="14"/>
      <c r="O7244" s="14"/>
      <c r="P7244" s="13"/>
    </row>
    <row r="7245">
      <c r="L7245" s="13"/>
      <c r="M7245" s="14"/>
      <c r="N7245" s="14"/>
      <c r="O7245" s="14"/>
      <c r="P7245" s="13"/>
    </row>
    <row r="7246">
      <c r="L7246" s="13"/>
      <c r="M7246" s="14"/>
      <c r="N7246" s="14"/>
      <c r="O7246" s="14"/>
      <c r="P7246" s="13"/>
    </row>
    <row r="7247">
      <c r="L7247" s="13"/>
      <c r="M7247" s="14"/>
      <c r="N7247" s="14"/>
      <c r="O7247" s="14"/>
      <c r="P7247" s="13"/>
    </row>
    <row r="7248">
      <c r="L7248" s="13"/>
      <c r="M7248" s="14"/>
      <c r="N7248" s="14"/>
      <c r="O7248" s="14"/>
      <c r="P7248" s="13"/>
    </row>
    <row r="7249">
      <c r="L7249" s="13"/>
      <c r="M7249" s="14"/>
      <c r="N7249" s="14"/>
      <c r="O7249" s="14"/>
      <c r="P7249" s="13"/>
    </row>
    <row r="7250">
      <c r="L7250" s="13"/>
      <c r="M7250" s="14"/>
      <c r="N7250" s="14"/>
      <c r="O7250" s="14"/>
      <c r="P7250" s="13"/>
    </row>
    <row r="7251">
      <c r="L7251" s="13"/>
      <c r="M7251" s="14"/>
      <c r="N7251" s="14"/>
      <c r="O7251" s="14"/>
      <c r="P7251" s="13"/>
    </row>
    <row r="7252">
      <c r="L7252" s="13"/>
      <c r="M7252" s="14"/>
      <c r="N7252" s="14"/>
      <c r="O7252" s="14"/>
      <c r="P7252" s="13"/>
    </row>
    <row r="7253">
      <c r="L7253" s="13"/>
      <c r="M7253" s="14"/>
      <c r="N7253" s="14"/>
      <c r="O7253" s="14"/>
      <c r="P7253" s="13"/>
    </row>
    <row r="7254">
      <c r="L7254" s="13"/>
      <c r="M7254" s="14"/>
      <c r="N7254" s="14"/>
      <c r="O7254" s="14"/>
      <c r="P7254" s="13"/>
    </row>
    <row r="7255">
      <c r="L7255" s="13"/>
      <c r="M7255" s="14"/>
      <c r="N7255" s="14"/>
      <c r="O7255" s="14"/>
      <c r="P7255" s="13"/>
    </row>
    <row r="7256">
      <c r="L7256" s="13"/>
      <c r="M7256" s="14"/>
      <c r="N7256" s="14"/>
      <c r="O7256" s="14"/>
      <c r="P7256" s="13"/>
    </row>
    <row r="7257">
      <c r="L7257" s="13"/>
      <c r="M7257" s="14"/>
      <c r="N7257" s="14"/>
      <c r="O7257" s="14"/>
      <c r="P7257" s="13"/>
    </row>
    <row r="7258">
      <c r="L7258" s="13"/>
      <c r="M7258" s="14"/>
      <c r="N7258" s="14"/>
      <c r="O7258" s="14"/>
      <c r="P7258" s="13"/>
    </row>
    <row r="7259">
      <c r="L7259" s="13"/>
      <c r="M7259" s="14"/>
      <c r="N7259" s="14"/>
      <c r="O7259" s="14"/>
      <c r="P7259" s="13"/>
    </row>
    <row r="7260">
      <c r="L7260" s="13"/>
      <c r="M7260" s="14"/>
      <c r="N7260" s="14"/>
      <c r="O7260" s="14"/>
      <c r="P7260" s="13"/>
    </row>
    <row r="7261">
      <c r="L7261" s="13"/>
      <c r="M7261" s="14"/>
      <c r="N7261" s="14"/>
      <c r="O7261" s="14"/>
      <c r="P7261" s="13"/>
    </row>
    <row r="7262">
      <c r="L7262" s="13"/>
      <c r="M7262" s="14"/>
      <c r="N7262" s="14"/>
      <c r="O7262" s="14"/>
      <c r="P7262" s="13"/>
    </row>
    <row r="7263">
      <c r="L7263" s="13"/>
      <c r="M7263" s="14"/>
      <c r="N7263" s="14"/>
      <c r="O7263" s="14"/>
      <c r="P7263" s="13"/>
    </row>
    <row r="7264">
      <c r="L7264" s="13"/>
      <c r="M7264" s="14"/>
      <c r="N7264" s="14"/>
      <c r="O7264" s="14"/>
      <c r="P7264" s="13"/>
    </row>
    <row r="7265">
      <c r="L7265" s="13"/>
      <c r="M7265" s="14"/>
      <c r="N7265" s="14"/>
      <c r="O7265" s="14"/>
      <c r="P7265" s="13"/>
    </row>
    <row r="7266">
      <c r="L7266" s="13"/>
      <c r="M7266" s="14"/>
      <c r="N7266" s="14"/>
      <c r="O7266" s="14"/>
      <c r="P7266" s="13"/>
    </row>
    <row r="7267">
      <c r="L7267" s="13"/>
      <c r="M7267" s="14"/>
      <c r="N7267" s="14"/>
      <c r="O7267" s="14"/>
      <c r="P7267" s="13"/>
    </row>
    <row r="7268">
      <c r="L7268" s="13"/>
      <c r="M7268" s="14"/>
      <c r="N7268" s="14"/>
      <c r="O7268" s="14"/>
      <c r="P7268" s="13"/>
    </row>
    <row r="7269">
      <c r="L7269" s="13"/>
      <c r="M7269" s="14"/>
      <c r="N7269" s="14"/>
      <c r="O7269" s="14"/>
      <c r="P7269" s="13"/>
    </row>
    <row r="7270">
      <c r="L7270" s="13"/>
      <c r="M7270" s="14"/>
      <c r="N7270" s="14"/>
      <c r="O7270" s="14"/>
      <c r="P7270" s="13"/>
    </row>
    <row r="7271">
      <c r="L7271" s="13"/>
      <c r="M7271" s="14"/>
      <c r="N7271" s="14"/>
      <c r="O7271" s="14"/>
      <c r="P7271" s="13"/>
    </row>
    <row r="7272">
      <c r="L7272" s="13"/>
      <c r="M7272" s="14"/>
      <c r="N7272" s="14"/>
      <c r="O7272" s="14"/>
      <c r="P7272" s="13"/>
    </row>
    <row r="7273">
      <c r="L7273" s="13"/>
      <c r="M7273" s="14"/>
      <c r="N7273" s="14"/>
      <c r="O7273" s="14"/>
      <c r="P7273" s="13"/>
    </row>
    <row r="7274">
      <c r="L7274" s="13"/>
      <c r="M7274" s="14"/>
      <c r="N7274" s="14"/>
      <c r="O7274" s="14"/>
      <c r="P7274" s="13"/>
    </row>
    <row r="7275">
      <c r="L7275" s="13"/>
      <c r="M7275" s="14"/>
      <c r="N7275" s="14"/>
      <c r="O7275" s="14"/>
      <c r="P7275" s="13"/>
    </row>
    <row r="7276">
      <c r="L7276" s="13"/>
      <c r="M7276" s="14"/>
      <c r="N7276" s="14"/>
      <c r="O7276" s="14"/>
      <c r="P7276" s="13"/>
    </row>
    <row r="7277">
      <c r="L7277" s="13"/>
      <c r="M7277" s="14"/>
      <c r="N7277" s="14"/>
      <c r="O7277" s="14"/>
      <c r="P7277" s="13"/>
    </row>
    <row r="7278">
      <c r="L7278" s="13"/>
      <c r="M7278" s="14"/>
      <c r="N7278" s="14"/>
      <c r="O7278" s="14"/>
      <c r="P7278" s="13"/>
    </row>
    <row r="7279">
      <c r="L7279" s="13"/>
      <c r="M7279" s="14"/>
      <c r="N7279" s="14"/>
      <c r="O7279" s="14"/>
      <c r="P7279" s="13"/>
    </row>
    <row r="7280">
      <c r="L7280" s="13"/>
      <c r="M7280" s="14"/>
      <c r="N7280" s="14"/>
      <c r="O7280" s="14"/>
      <c r="P7280" s="13"/>
    </row>
    <row r="7281">
      <c r="L7281" s="13"/>
      <c r="M7281" s="14"/>
      <c r="N7281" s="14"/>
      <c r="O7281" s="14"/>
      <c r="P7281" s="13"/>
    </row>
    <row r="7282">
      <c r="L7282" s="13"/>
      <c r="M7282" s="14"/>
      <c r="N7282" s="14"/>
      <c r="O7282" s="14"/>
      <c r="P7282" s="13"/>
    </row>
    <row r="7283">
      <c r="L7283" s="13"/>
      <c r="M7283" s="14"/>
      <c r="N7283" s="14"/>
      <c r="O7283" s="14"/>
      <c r="P7283" s="13"/>
    </row>
    <row r="7284">
      <c r="L7284" s="13"/>
      <c r="M7284" s="14"/>
      <c r="N7284" s="14"/>
      <c r="O7284" s="14"/>
      <c r="P7284" s="13"/>
    </row>
    <row r="7285">
      <c r="L7285" s="13"/>
      <c r="M7285" s="14"/>
      <c r="N7285" s="14"/>
      <c r="O7285" s="14"/>
      <c r="P7285" s="13"/>
    </row>
    <row r="7286">
      <c r="L7286" s="13"/>
      <c r="M7286" s="14"/>
      <c r="N7286" s="14"/>
      <c r="O7286" s="14"/>
      <c r="P7286" s="13"/>
    </row>
    <row r="7287">
      <c r="L7287" s="13"/>
      <c r="M7287" s="14"/>
      <c r="N7287" s="14"/>
      <c r="O7287" s="14"/>
      <c r="P7287" s="13"/>
    </row>
    <row r="7288">
      <c r="L7288" s="13"/>
      <c r="M7288" s="14"/>
      <c r="N7288" s="14"/>
      <c r="O7288" s="14"/>
      <c r="P7288" s="13"/>
    </row>
    <row r="7289">
      <c r="L7289" s="13"/>
      <c r="M7289" s="14"/>
      <c r="N7289" s="14"/>
      <c r="O7289" s="14"/>
      <c r="P7289" s="13"/>
    </row>
    <row r="7290">
      <c r="L7290" s="13"/>
      <c r="M7290" s="14"/>
      <c r="N7290" s="14"/>
      <c r="O7290" s="14"/>
      <c r="P7290" s="13"/>
    </row>
    <row r="7291">
      <c r="L7291" s="13"/>
      <c r="M7291" s="14"/>
      <c r="N7291" s="14"/>
      <c r="O7291" s="14"/>
      <c r="P7291" s="13"/>
    </row>
    <row r="7292">
      <c r="L7292" s="13"/>
      <c r="M7292" s="14"/>
      <c r="N7292" s="14"/>
      <c r="O7292" s="14"/>
      <c r="P7292" s="13"/>
    </row>
    <row r="7293">
      <c r="L7293" s="13"/>
      <c r="M7293" s="14"/>
      <c r="N7293" s="14"/>
      <c r="O7293" s="14"/>
      <c r="P7293" s="13"/>
    </row>
    <row r="7294">
      <c r="L7294" s="13"/>
      <c r="M7294" s="14"/>
      <c r="N7294" s="14"/>
      <c r="O7294" s="14"/>
      <c r="P7294" s="13"/>
    </row>
    <row r="7295">
      <c r="L7295" s="13"/>
      <c r="M7295" s="14"/>
      <c r="N7295" s="14"/>
      <c r="O7295" s="14"/>
      <c r="P7295" s="13"/>
    </row>
    <row r="7296">
      <c r="L7296" s="13"/>
      <c r="M7296" s="14"/>
      <c r="N7296" s="14"/>
      <c r="O7296" s="14"/>
      <c r="P7296" s="13"/>
    </row>
    <row r="7297">
      <c r="L7297" s="13"/>
      <c r="M7297" s="14"/>
      <c r="N7297" s="14"/>
      <c r="O7297" s="14"/>
      <c r="P7297" s="13"/>
    </row>
    <row r="7298">
      <c r="L7298" s="13"/>
      <c r="M7298" s="14"/>
      <c r="N7298" s="14"/>
      <c r="O7298" s="14"/>
      <c r="P7298" s="13"/>
    </row>
    <row r="7299">
      <c r="L7299" s="13"/>
      <c r="M7299" s="14"/>
      <c r="N7299" s="14"/>
      <c r="O7299" s="14"/>
      <c r="P7299" s="13"/>
    </row>
    <row r="7300">
      <c r="L7300" s="13"/>
      <c r="M7300" s="14"/>
      <c r="N7300" s="14"/>
      <c r="O7300" s="14"/>
      <c r="P7300" s="13"/>
    </row>
    <row r="7301">
      <c r="L7301" s="13"/>
      <c r="M7301" s="14"/>
      <c r="N7301" s="14"/>
      <c r="O7301" s="14"/>
      <c r="P7301" s="13"/>
    </row>
    <row r="7302">
      <c r="L7302" s="13"/>
      <c r="M7302" s="14"/>
      <c r="N7302" s="14"/>
      <c r="O7302" s="14"/>
      <c r="P7302" s="13"/>
    </row>
    <row r="7303">
      <c r="L7303" s="13"/>
      <c r="M7303" s="14"/>
      <c r="N7303" s="14"/>
      <c r="O7303" s="14"/>
      <c r="P7303" s="13"/>
    </row>
    <row r="7304">
      <c r="L7304" s="13"/>
      <c r="M7304" s="14"/>
      <c r="N7304" s="14"/>
      <c r="O7304" s="14"/>
      <c r="P7304" s="13"/>
    </row>
    <row r="7305">
      <c r="L7305" s="13"/>
      <c r="M7305" s="14"/>
      <c r="N7305" s="14"/>
      <c r="O7305" s="14"/>
      <c r="P7305" s="13"/>
    </row>
    <row r="7306">
      <c r="L7306" s="13"/>
      <c r="M7306" s="14"/>
      <c r="N7306" s="14"/>
      <c r="O7306" s="14"/>
      <c r="P7306" s="13"/>
    </row>
    <row r="7307">
      <c r="L7307" s="13"/>
      <c r="M7307" s="14"/>
      <c r="N7307" s="14"/>
      <c r="O7307" s="14"/>
      <c r="P7307" s="13"/>
    </row>
    <row r="7308">
      <c r="L7308" s="13"/>
      <c r="M7308" s="14"/>
      <c r="N7308" s="14"/>
      <c r="O7308" s="14"/>
      <c r="P7308" s="13"/>
    </row>
    <row r="7309">
      <c r="L7309" s="13"/>
      <c r="M7309" s="14"/>
      <c r="N7309" s="14"/>
      <c r="O7309" s="14"/>
      <c r="P7309" s="13"/>
    </row>
    <row r="7310">
      <c r="L7310" s="13"/>
      <c r="M7310" s="14"/>
      <c r="N7310" s="14"/>
      <c r="O7310" s="14"/>
      <c r="P7310" s="13"/>
    </row>
    <row r="7311">
      <c r="L7311" s="13"/>
      <c r="M7311" s="14"/>
      <c r="N7311" s="14"/>
      <c r="O7311" s="14"/>
      <c r="P7311" s="13"/>
    </row>
    <row r="7312">
      <c r="L7312" s="13"/>
      <c r="M7312" s="14"/>
      <c r="N7312" s="14"/>
      <c r="O7312" s="14"/>
      <c r="P7312" s="13"/>
    </row>
    <row r="7313">
      <c r="L7313" s="13"/>
      <c r="M7313" s="14"/>
      <c r="N7313" s="14"/>
      <c r="O7313" s="14"/>
      <c r="P7313" s="13"/>
    </row>
    <row r="7314">
      <c r="L7314" s="13"/>
      <c r="M7314" s="14"/>
      <c r="N7314" s="14"/>
      <c r="O7314" s="14"/>
      <c r="P7314" s="13"/>
    </row>
    <row r="7315">
      <c r="L7315" s="13"/>
      <c r="M7315" s="14"/>
      <c r="N7315" s="14"/>
      <c r="O7315" s="14"/>
      <c r="P7315" s="13"/>
    </row>
    <row r="7316">
      <c r="L7316" s="13"/>
      <c r="M7316" s="14"/>
      <c r="N7316" s="14"/>
      <c r="O7316" s="14"/>
      <c r="P7316" s="13"/>
    </row>
    <row r="7317">
      <c r="L7317" s="13"/>
      <c r="M7317" s="14"/>
      <c r="N7317" s="14"/>
      <c r="O7317" s="14"/>
      <c r="P7317" s="13"/>
    </row>
    <row r="7318">
      <c r="L7318" s="13"/>
      <c r="M7318" s="14"/>
      <c r="N7318" s="14"/>
      <c r="O7318" s="14"/>
      <c r="P7318" s="13"/>
    </row>
    <row r="7319">
      <c r="L7319" s="13"/>
      <c r="M7319" s="14"/>
      <c r="N7319" s="14"/>
      <c r="O7319" s="14"/>
      <c r="P7319" s="13"/>
    </row>
    <row r="7320">
      <c r="L7320" s="13"/>
      <c r="M7320" s="14"/>
      <c r="N7320" s="14"/>
      <c r="O7320" s="14"/>
      <c r="P7320" s="13"/>
    </row>
    <row r="7321">
      <c r="L7321" s="13"/>
      <c r="M7321" s="14"/>
      <c r="N7321" s="14"/>
      <c r="O7321" s="14"/>
      <c r="P7321" s="13"/>
    </row>
    <row r="7322">
      <c r="L7322" s="13"/>
      <c r="M7322" s="14"/>
      <c r="N7322" s="14"/>
      <c r="O7322" s="14"/>
      <c r="P7322" s="13"/>
    </row>
    <row r="7323">
      <c r="L7323" s="13"/>
      <c r="M7323" s="14"/>
      <c r="N7323" s="14"/>
      <c r="O7323" s="14"/>
      <c r="P7323" s="13"/>
    </row>
    <row r="7324">
      <c r="L7324" s="13"/>
      <c r="M7324" s="14"/>
      <c r="N7324" s="14"/>
      <c r="O7324" s="14"/>
      <c r="P7324" s="13"/>
    </row>
    <row r="7325">
      <c r="L7325" s="13"/>
      <c r="M7325" s="14"/>
      <c r="N7325" s="14"/>
      <c r="O7325" s="14"/>
      <c r="P7325" s="13"/>
    </row>
    <row r="7326">
      <c r="L7326" s="13"/>
      <c r="M7326" s="14"/>
      <c r="N7326" s="14"/>
      <c r="O7326" s="14"/>
      <c r="P7326" s="13"/>
    </row>
    <row r="7327">
      <c r="L7327" s="13"/>
      <c r="M7327" s="14"/>
      <c r="N7327" s="14"/>
      <c r="O7327" s="14"/>
      <c r="P7327" s="13"/>
    </row>
    <row r="7328">
      <c r="L7328" s="13"/>
      <c r="M7328" s="14"/>
      <c r="N7328" s="14"/>
      <c r="O7328" s="14"/>
      <c r="P7328" s="13"/>
    </row>
    <row r="7329">
      <c r="L7329" s="13"/>
      <c r="M7329" s="14"/>
      <c r="N7329" s="14"/>
      <c r="O7329" s="14"/>
      <c r="P7329" s="13"/>
    </row>
    <row r="7330">
      <c r="L7330" s="13"/>
      <c r="M7330" s="14"/>
      <c r="N7330" s="14"/>
      <c r="O7330" s="14"/>
      <c r="P7330" s="13"/>
    </row>
    <row r="7331">
      <c r="L7331" s="13"/>
      <c r="M7331" s="14"/>
      <c r="N7331" s="14"/>
      <c r="O7331" s="14"/>
      <c r="P7331" s="13"/>
    </row>
    <row r="7332">
      <c r="L7332" s="13"/>
      <c r="M7332" s="14"/>
      <c r="N7332" s="14"/>
      <c r="O7332" s="14"/>
      <c r="P7332" s="13"/>
    </row>
    <row r="7333">
      <c r="L7333" s="13"/>
      <c r="M7333" s="14"/>
      <c r="N7333" s="14"/>
      <c r="O7333" s="14"/>
      <c r="P7333" s="13"/>
    </row>
    <row r="7334">
      <c r="L7334" s="13"/>
      <c r="M7334" s="14"/>
      <c r="N7334" s="14"/>
      <c r="O7334" s="14"/>
      <c r="P7334" s="13"/>
    </row>
    <row r="7335">
      <c r="L7335" s="13"/>
      <c r="M7335" s="14"/>
      <c r="N7335" s="14"/>
      <c r="O7335" s="14"/>
      <c r="P7335" s="13"/>
    </row>
    <row r="7336">
      <c r="L7336" s="13"/>
      <c r="M7336" s="14"/>
      <c r="N7336" s="14"/>
      <c r="O7336" s="14"/>
      <c r="P7336" s="13"/>
    </row>
    <row r="7337">
      <c r="L7337" s="13"/>
      <c r="M7337" s="14"/>
      <c r="N7337" s="14"/>
      <c r="O7337" s="14"/>
      <c r="P7337" s="13"/>
    </row>
    <row r="7338">
      <c r="L7338" s="13"/>
      <c r="M7338" s="14"/>
      <c r="N7338" s="14"/>
      <c r="O7338" s="14"/>
      <c r="P7338" s="13"/>
    </row>
    <row r="7339">
      <c r="L7339" s="13"/>
      <c r="M7339" s="14"/>
      <c r="N7339" s="14"/>
      <c r="O7339" s="14"/>
      <c r="P7339" s="13"/>
    </row>
    <row r="7340">
      <c r="L7340" s="13"/>
      <c r="M7340" s="14"/>
      <c r="N7340" s="14"/>
      <c r="O7340" s="14"/>
      <c r="P7340" s="13"/>
    </row>
    <row r="7341">
      <c r="L7341" s="13"/>
      <c r="M7341" s="14"/>
      <c r="N7341" s="14"/>
      <c r="O7341" s="14"/>
      <c r="P7341" s="13"/>
    </row>
    <row r="7342">
      <c r="L7342" s="13"/>
      <c r="M7342" s="14"/>
      <c r="N7342" s="14"/>
      <c r="O7342" s="14"/>
      <c r="P7342" s="13"/>
    </row>
    <row r="7343">
      <c r="L7343" s="13"/>
      <c r="M7343" s="14"/>
      <c r="N7343" s="14"/>
      <c r="O7343" s="14"/>
      <c r="P7343" s="13"/>
    </row>
    <row r="7344">
      <c r="L7344" s="13"/>
      <c r="M7344" s="14"/>
      <c r="N7344" s="14"/>
      <c r="O7344" s="14"/>
      <c r="P7344" s="13"/>
    </row>
    <row r="7345">
      <c r="L7345" s="13"/>
      <c r="M7345" s="14"/>
      <c r="N7345" s="14"/>
      <c r="O7345" s="14"/>
      <c r="P7345" s="13"/>
    </row>
    <row r="7346">
      <c r="L7346" s="13"/>
      <c r="M7346" s="14"/>
      <c r="N7346" s="14"/>
      <c r="O7346" s="14"/>
      <c r="P7346" s="13"/>
    </row>
    <row r="7347">
      <c r="L7347" s="13"/>
      <c r="M7347" s="14"/>
      <c r="N7347" s="14"/>
      <c r="O7347" s="14"/>
      <c r="P7347" s="13"/>
    </row>
    <row r="7348">
      <c r="L7348" s="13"/>
      <c r="M7348" s="14"/>
      <c r="N7348" s="14"/>
      <c r="O7348" s="14"/>
      <c r="P7348" s="13"/>
    </row>
    <row r="7349">
      <c r="L7349" s="13"/>
      <c r="M7349" s="14"/>
      <c r="N7349" s="14"/>
      <c r="O7349" s="14"/>
      <c r="P7349" s="13"/>
    </row>
    <row r="7350">
      <c r="L7350" s="13"/>
      <c r="M7350" s="14"/>
      <c r="N7350" s="14"/>
      <c r="O7350" s="14"/>
      <c r="P7350" s="13"/>
    </row>
    <row r="7351">
      <c r="L7351" s="13"/>
      <c r="M7351" s="14"/>
      <c r="N7351" s="14"/>
      <c r="O7351" s="14"/>
      <c r="P7351" s="13"/>
    </row>
    <row r="7352">
      <c r="L7352" s="13"/>
      <c r="M7352" s="14"/>
      <c r="N7352" s="14"/>
      <c r="O7352" s="14"/>
      <c r="P7352" s="13"/>
    </row>
    <row r="7353">
      <c r="L7353" s="13"/>
      <c r="M7353" s="14"/>
      <c r="N7353" s="14"/>
      <c r="O7353" s="14"/>
      <c r="P7353" s="13"/>
    </row>
    <row r="7354">
      <c r="L7354" s="13"/>
      <c r="M7354" s="14"/>
      <c r="N7354" s="14"/>
      <c r="O7354" s="14"/>
      <c r="P7354" s="13"/>
    </row>
    <row r="7355">
      <c r="L7355" s="13"/>
      <c r="M7355" s="14"/>
      <c r="N7355" s="14"/>
      <c r="O7355" s="14"/>
      <c r="P7355" s="13"/>
    </row>
    <row r="7356">
      <c r="L7356" s="13"/>
      <c r="M7356" s="14"/>
      <c r="N7356" s="14"/>
      <c r="O7356" s="14"/>
      <c r="P7356" s="13"/>
    </row>
    <row r="7357">
      <c r="L7357" s="13"/>
      <c r="M7357" s="14"/>
      <c r="N7357" s="14"/>
      <c r="O7357" s="14"/>
      <c r="P7357" s="13"/>
    </row>
    <row r="7358">
      <c r="L7358" s="13"/>
      <c r="M7358" s="14"/>
      <c r="N7358" s="14"/>
      <c r="O7358" s="14"/>
      <c r="P7358" s="13"/>
    </row>
    <row r="7359">
      <c r="L7359" s="13"/>
      <c r="M7359" s="14"/>
      <c r="N7359" s="14"/>
      <c r="O7359" s="14"/>
      <c r="P7359" s="13"/>
    </row>
    <row r="7360">
      <c r="L7360" s="13"/>
      <c r="M7360" s="14"/>
      <c r="N7360" s="14"/>
      <c r="O7360" s="14"/>
      <c r="P7360" s="13"/>
    </row>
    <row r="7361">
      <c r="L7361" s="13"/>
      <c r="M7361" s="14"/>
      <c r="N7361" s="14"/>
      <c r="O7361" s="14"/>
      <c r="P7361" s="13"/>
    </row>
    <row r="7362">
      <c r="L7362" s="13"/>
      <c r="M7362" s="14"/>
      <c r="N7362" s="14"/>
      <c r="O7362" s="14"/>
      <c r="P7362" s="13"/>
    </row>
    <row r="7363">
      <c r="L7363" s="13"/>
      <c r="M7363" s="14"/>
      <c r="N7363" s="14"/>
      <c r="O7363" s="14"/>
      <c r="P7363" s="13"/>
    </row>
    <row r="7364">
      <c r="L7364" s="13"/>
      <c r="M7364" s="14"/>
      <c r="N7364" s="14"/>
      <c r="O7364" s="14"/>
      <c r="P7364" s="13"/>
    </row>
    <row r="7365">
      <c r="L7365" s="13"/>
      <c r="M7365" s="14"/>
      <c r="N7365" s="14"/>
      <c r="O7365" s="14"/>
      <c r="P7365" s="13"/>
    </row>
    <row r="7366">
      <c r="L7366" s="13"/>
      <c r="M7366" s="14"/>
      <c r="N7366" s="14"/>
      <c r="O7366" s="14"/>
      <c r="P7366" s="13"/>
    </row>
    <row r="7367">
      <c r="L7367" s="13"/>
      <c r="M7367" s="14"/>
      <c r="N7367" s="14"/>
      <c r="O7367" s="14"/>
      <c r="P7367" s="13"/>
    </row>
    <row r="7368">
      <c r="L7368" s="13"/>
      <c r="M7368" s="14"/>
      <c r="N7368" s="14"/>
      <c r="O7368" s="14"/>
      <c r="P7368" s="13"/>
    </row>
    <row r="7369">
      <c r="L7369" s="13"/>
      <c r="M7369" s="14"/>
      <c r="N7369" s="14"/>
      <c r="O7369" s="14"/>
      <c r="P7369" s="13"/>
    </row>
    <row r="7370">
      <c r="L7370" s="13"/>
      <c r="M7370" s="14"/>
      <c r="N7370" s="14"/>
      <c r="O7370" s="14"/>
      <c r="P7370" s="13"/>
    </row>
    <row r="7371">
      <c r="L7371" s="13"/>
      <c r="M7371" s="14"/>
      <c r="N7371" s="14"/>
      <c r="O7371" s="14"/>
      <c r="P7371" s="13"/>
    </row>
    <row r="7372">
      <c r="L7372" s="13"/>
      <c r="M7372" s="14"/>
      <c r="N7372" s="14"/>
      <c r="O7372" s="14"/>
      <c r="P7372" s="13"/>
    </row>
    <row r="7373">
      <c r="L7373" s="13"/>
      <c r="M7373" s="14"/>
      <c r="N7373" s="14"/>
      <c r="O7373" s="14"/>
      <c r="P7373" s="13"/>
    </row>
    <row r="7374">
      <c r="L7374" s="13"/>
      <c r="M7374" s="14"/>
      <c r="N7374" s="14"/>
      <c r="O7374" s="14"/>
      <c r="P7374" s="13"/>
    </row>
    <row r="7375">
      <c r="L7375" s="13"/>
      <c r="M7375" s="14"/>
      <c r="N7375" s="14"/>
      <c r="O7375" s="14"/>
      <c r="P7375" s="13"/>
    </row>
    <row r="7376">
      <c r="L7376" s="13"/>
      <c r="M7376" s="14"/>
      <c r="N7376" s="14"/>
      <c r="O7376" s="14"/>
      <c r="P7376" s="13"/>
    </row>
    <row r="7377">
      <c r="L7377" s="13"/>
      <c r="M7377" s="14"/>
      <c r="N7377" s="14"/>
      <c r="O7377" s="14"/>
      <c r="P7377" s="13"/>
    </row>
    <row r="7378">
      <c r="L7378" s="13"/>
      <c r="M7378" s="14"/>
      <c r="N7378" s="14"/>
      <c r="O7378" s="14"/>
      <c r="P7378" s="13"/>
    </row>
    <row r="7379">
      <c r="L7379" s="13"/>
      <c r="M7379" s="14"/>
      <c r="N7379" s="14"/>
      <c r="O7379" s="14"/>
      <c r="P7379" s="13"/>
    </row>
    <row r="7380">
      <c r="L7380" s="13"/>
      <c r="M7380" s="14"/>
      <c r="N7380" s="14"/>
      <c r="O7380" s="14"/>
      <c r="P7380" s="13"/>
    </row>
    <row r="7381">
      <c r="L7381" s="13"/>
      <c r="M7381" s="14"/>
      <c r="N7381" s="14"/>
      <c r="O7381" s="14"/>
      <c r="P7381" s="13"/>
    </row>
    <row r="7382">
      <c r="L7382" s="13"/>
      <c r="M7382" s="14"/>
      <c r="N7382" s="14"/>
      <c r="O7382" s="14"/>
      <c r="P7382" s="13"/>
    </row>
    <row r="7383">
      <c r="L7383" s="13"/>
      <c r="M7383" s="14"/>
      <c r="N7383" s="14"/>
      <c r="O7383" s="14"/>
      <c r="P7383" s="13"/>
    </row>
    <row r="7384">
      <c r="L7384" s="13"/>
      <c r="M7384" s="14"/>
      <c r="N7384" s="14"/>
      <c r="O7384" s="14"/>
      <c r="P7384" s="13"/>
    </row>
    <row r="7385">
      <c r="L7385" s="13"/>
      <c r="M7385" s="14"/>
      <c r="N7385" s="14"/>
      <c r="O7385" s="14"/>
      <c r="P7385" s="13"/>
    </row>
    <row r="7386">
      <c r="L7386" s="13"/>
      <c r="M7386" s="14"/>
      <c r="N7386" s="14"/>
      <c r="O7386" s="14"/>
      <c r="P7386" s="13"/>
    </row>
    <row r="7387">
      <c r="L7387" s="13"/>
      <c r="M7387" s="14"/>
      <c r="N7387" s="14"/>
      <c r="O7387" s="14"/>
      <c r="P7387" s="13"/>
    </row>
    <row r="7388">
      <c r="L7388" s="13"/>
      <c r="M7388" s="14"/>
      <c r="N7388" s="14"/>
      <c r="O7388" s="14"/>
      <c r="P7388" s="13"/>
    </row>
    <row r="7389">
      <c r="L7389" s="13"/>
      <c r="M7389" s="14"/>
      <c r="N7389" s="14"/>
      <c r="O7389" s="14"/>
      <c r="P7389" s="13"/>
    </row>
    <row r="7390">
      <c r="L7390" s="13"/>
      <c r="M7390" s="14"/>
      <c r="N7390" s="14"/>
      <c r="O7390" s="14"/>
      <c r="P7390" s="13"/>
    </row>
    <row r="7391">
      <c r="L7391" s="13"/>
      <c r="M7391" s="14"/>
      <c r="N7391" s="14"/>
      <c r="O7391" s="14"/>
      <c r="P7391" s="13"/>
    </row>
    <row r="7392">
      <c r="L7392" s="13"/>
      <c r="M7392" s="14"/>
      <c r="N7392" s="14"/>
      <c r="O7392" s="14"/>
      <c r="P7392" s="13"/>
    </row>
    <row r="7393">
      <c r="L7393" s="13"/>
      <c r="M7393" s="14"/>
      <c r="N7393" s="14"/>
      <c r="O7393" s="14"/>
      <c r="P7393" s="13"/>
    </row>
    <row r="7394">
      <c r="L7394" s="13"/>
      <c r="M7394" s="14"/>
      <c r="N7394" s="14"/>
      <c r="O7394" s="14"/>
      <c r="P7394" s="13"/>
    </row>
    <row r="7395">
      <c r="L7395" s="13"/>
      <c r="M7395" s="14"/>
      <c r="N7395" s="14"/>
      <c r="O7395" s="14"/>
      <c r="P7395" s="13"/>
    </row>
    <row r="7396">
      <c r="L7396" s="13"/>
      <c r="M7396" s="14"/>
      <c r="N7396" s="14"/>
      <c r="O7396" s="14"/>
      <c r="P7396" s="13"/>
    </row>
    <row r="7397">
      <c r="L7397" s="13"/>
      <c r="M7397" s="14"/>
      <c r="N7397" s="14"/>
      <c r="O7397" s="14"/>
      <c r="P7397" s="13"/>
    </row>
    <row r="7398">
      <c r="L7398" s="13"/>
      <c r="M7398" s="14"/>
      <c r="N7398" s="14"/>
      <c r="O7398" s="14"/>
      <c r="P7398" s="13"/>
    </row>
    <row r="7399">
      <c r="L7399" s="13"/>
      <c r="M7399" s="14"/>
      <c r="N7399" s="14"/>
      <c r="O7399" s="14"/>
      <c r="P7399" s="13"/>
    </row>
    <row r="7400">
      <c r="L7400" s="13"/>
      <c r="M7400" s="14"/>
      <c r="N7400" s="14"/>
      <c r="O7400" s="14"/>
      <c r="P7400" s="13"/>
    </row>
    <row r="7401">
      <c r="L7401" s="13"/>
      <c r="M7401" s="14"/>
      <c r="N7401" s="14"/>
      <c r="O7401" s="14"/>
      <c r="P7401" s="13"/>
    </row>
    <row r="7402">
      <c r="L7402" s="13"/>
      <c r="M7402" s="14"/>
      <c r="N7402" s="14"/>
      <c r="O7402" s="14"/>
      <c r="P7402" s="13"/>
    </row>
    <row r="7403">
      <c r="L7403" s="13"/>
      <c r="M7403" s="14"/>
      <c r="N7403" s="14"/>
      <c r="O7403" s="14"/>
      <c r="P7403" s="13"/>
    </row>
    <row r="7404">
      <c r="L7404" s="13"/>
      <c r="M7404" s="14"/>
      <c r="N7404" s="14"/>
      <c r="O7404" s="14"/>
      <c r="P7404" s="13"/>
    </row>
    <row r="7405">
      <c r="L7405" s="13"/>
      <c r="M7405" s="14"/>
      <c r="N7405" s="14"/>
      <c r="O7405" s="14"/>
      <c r="P7405" s="13"/>
    </row>
    <row r="7406">
      <c r="L7406" s="13"/>
      <c r="M7406" s="14"/>
      <c r="N7406" s="14"/>
      <c r="O7406" s="14"/>
      <c r="P7406" s="13"/>
    </row>
    <row r="7407">
      <c r="L7407" s="13"/>
      <c r="M7407" s="14"/>
      <c r="N7407" s="14"/>
      <c r="O7407" s="14"/>
      <c r="P7407" s="13"/>
    </row>
    <row r="7408">
      <c r="L7408" s="13"/>
      <c r="M7408" s="14"/>
      <c r="N7408" s="14"/>
      <c r="O7408" s="14"/>
      <c r="P7408" s="13"/>
    </row>
    <row r="7409">
      <c r="L7409" s="13"/>
      <c r="M7409" s="14"/>
      <c r="N7409" s="14"/>
      <c r="O7409" s="14"/>
      <c r="P7409" s="13"/>
    </row>
    <row r="7410">
      <c r="L7410" s="13"/>
      <c r="M7410" s="14"/>
      <c r="N7410" s="14"/>
      <c r="O7410" s="14"/>
      <c r="P7410" s="13"/>
    </row>
    <row r="7411">
      <c r="L7411" s="13"/>
      <c r="M7411" s="14"/>
      <c r="N7411" s="14"/>
      <c r="O7411" s="14"/>
      <c r="P7411" s="13"/>
    </row>
    <row r="7412">
      <c r="L7412" s="13"/>
      <c r="M7412" s="14"/>
      <c r="N7412" s="14"/>
      <c r="O7412" s="14"/>
      <c r="P7412" s="13"/>
    </row>
    <row r="7413">
      <c r="L7413" s="13"/>
      <c r="M7413" s="14"/>
      <c r="N7413" s="14"/>
      <c r="O7413" s="14"/>
      <c r="P7413" s="13"/>
    </row>
    <row r="7414">
      <c r="L7414" s="13"/>
      <c r="M7414" s="14"/>
      <c r="N7414" s="14"/>
      <c r="O7414" s="14"/>
      <c r="P7414" s="13"/>
    </row>
    <row r="7415">
      <c r="L7415" s="13"/>
      <c r="M7415" s="14"/>
      <c r="N7415" s="14"/>
      <c r="O7415" s="14"/>
      <c r="P7415" s="13"/>
    </row>
    <row r="7416">
      <c r="L7416" s="13"/>
      <c r="M7416" s="14"/>
      <c r="N7416" s="14"/>
      <c r="O7416" s="14"/>
      <c r="P7416" s="13"/>
    </row>
    <row r="7417">
      <c r="L7417" s="13"/>
      <c r="M7417" s="14"/>
      <c r="N7417" s="14"/>
      <c r="O7417" s="14"/>
      <c r="P7417" s="13"/>
    </row>
    <row r="7418">
      <c r="L7418" s="13"/>
      <c r="M7418" s="14"/>
      <c r="N7418" s="14"/>
      <c r="O7418" s="14"/>
      <c r="P7418" s="13"/>
    </row>
    <row r="7419">
      <c r="L7419" s="13"/>
      <c r="M7419" s="14"/>
      <c r="N7419" s="14"/>
      <c r="O7419" s="14"/>
      <c r="P7419" s="13"/>
    </row>
    <row r="7420">
      <c r="L7420" s="13"/>
      <c r="M7420" s="14"/>
      <c r="N7420" s="14"/>
      <c r="O7420" s="14"/>
      <c r="P7420" s="13"/>
    </row>
    <row r="7421">
      <c r="L7421" s="13"/>
      <c r="M7421" s="14"/>
      <c r="N7421" s="14"/>
      <c r="O7421" s="14"/>
      <c r="P7421" s="13"/>
    </row>
    <row r="7422">
      <c r="L7422" s="13"/>
      <c r="M7422" s="14"/>
      <c r="N7422" s="14"/>
      <c r="O7422" s="14"/>
      <c r="P7422" s="13"/>
    </row>
    <row r="7423">
      <c r="L7423" s="13"/>
      <c r="M7423" s="14"/>
      <c r="N7423" s="14"/>
      <c r="O7423" s="14"/>
      <c r="P7423" s="13"/>
    </row>
    <row r="7424">
      <c r="L7424" s="13"/>
      <c r="M7424" s="14"/>
      <c r="N7424" s="14"/>
      <c r="O7424" s="14"/>
      <c r="P7424" s="13"/>
    </row>
    <row r="7425">
      <c r="L7425" s="13"/>
      <c r="M7425" s="14"/>
      <c r="N7425" s="14"/>
      <c r="O7425" s="14"/>
      <c r="P7425" s="13"/>
    </row>
    <row r="7426">
      <c r="L7426" s="13"/>
      <c r="M7426" s="14"/>
      <c r="N7426" s="14"/>
      <c r="O7426" s="14"/>
      <c r="P7426" s="13"/>
    </row>
    <row r="7427">
      <c r="L7427" s="13"/>
      <c r="M7427" s="14"/>
      <c r="N7427" s="14"/>
      <c r="O7427" s="14"/>
      <c r="P7427" s="13"/>
    </row>
    <row r="7428">
      <c r="L7428" s="13"/>
      <c r="M7428" s="14"/>
      <c r="N7428" s="14"/>
      <c r="O7428" s="14"/>
      <c r="P7428" s="13"/>
    </row>
    <row r="7429">
      <c r="L7429" s="13"/>
      <c r="M7429" s="14"/>
      <c r="N7429" s="14"/>
      <c r="O7429" s="14"/>
      <c r="P7429" s="13"/>
    </row>
    <row r="7430">
      <c r="L7430" s="13"/>
      <c r="M7430" s="14"/>
      <c r="N7430" s="14"/>
      <c r="O7430" s="14"/>
      <c r="P7430" s="13"/>
    </row>
    <row r="7431">
      <c r="L7431" s="13"/>
      <c r="M7431" s="14"/>
      <c r="N7431" s="14"/>
      <c r="O7431" s="14"/>
      <c r="P7431" s="13"/>
    </row>
    <row r="7432">
      <c r="L7432" s="13"/>
      <c r="M7432" s="14"/>
      <c r="N7432" s="14"/>
      <c r="O7432" s="14"/>
      <c r="P7432" s="13"/>
    </row>
    <row r="7433">
      <c r="L7433" s="13"/>
      <c r="M7433" s="14"/>
      <c r="N7433" s="14"/>
      <c r="O7433" s="14"/>
      <c r="P7433" s="13"/>
    </row>
    <row r="7434">
      <c r="L7434" s="13"/>
      <c r="M7434" s="14"/>
      <c r="N7434" s="14"/>
      <c r="O7434" s="14"/>
      <c r="P7434" s="13"/>
    </row>
    <row r="7435">
      <c r="L7435" s="13"/>
      <c r="M7435" s="14"/>
      <c r="N7435" s="14"/>
      <c r="O7435" s="14"/>
      <c r="P7435" s="13"/>
    </row>
    <row r="7436">
      <c r="L7436" s="13"/>
      <c r="M7436" s="14"/>
      <c r="N7436" s="14"/>
      <c r="O7436" s="14"/>
      <c r="P7436" s="13"/>
    </row>
    <row r="7437">
      <c r="L7437" s="13"/>
      <c r="M7437" s="14"/>
      <c r="N7437" s="14"/>
      <c r="O7437" s="14"/>
      <c r="P7437" s="13"/>
    </row>
    <row r="7438">
      <c r="L7438" s="13"/>
      <c r="M7438" s="14"/>
      <c r="N7438" s="14"/>
      <c r="O7438" s="14"/>
      <c r="P7438" s="13"/>
    </row>
    <row r="7439">
      <c r="L7439" s="13"/>
      <c r="M7439" s="14"/>
      <c r="N7439" s="14"/>
      <c r="O7439" s="14"/>
      <c r="P7439" s="13"/>
    </row>
    <row r="7440">
      <c r="L7440" s="13"/>
      <c r="M7440" s="14"/>
      <c r="N7440" s="14"/>
      <c r="O7440" s="14"/>
      <c r="P7440" s="13"/>
    </row>
    <row r="7441">
      <c r="L7441" s="13"/>
      <c r="M7441" s="14"/>
      <c r="N7441" s="14"/>
      <c r="O7441" s="14"/>
      <c r="P7441" s="13"/>
    </row>
    <row r="7442">
      <c r="L7442" s="13"/>
      <c r="M7442" s="14"/>
      <c r="N7442" s="14"/>
      <c r="O7442" s="14"/>
      <c r="P7442" s="13"/>
    </row>
    <row r="7443">
      <c r="L7443" s="13"/>
      <c r="M7443" s="14"/>
      <c r="N7443" s="14"/>
      <c r="O7443" s="14"/>
      <c r="P7443" s="13"/>
    </row>
    <row r="7444">
      <c r="L7444" s="13"/>
      <c r="M7444" s="14"/>
      <c r="N7444" s="14"/>
      <c r="O7444" s="14"/>
      <c r="P7444" s="13"/>
    </row>
    <row r="7445">
      <c r="L7445" s="13"/>
      <c r="M7445" s="14"/>
      <c r="N7445" s="14"/>
      <c r="O7445" s="14"/>
      <c r="P7445" s="13"/>
    </row>
    <row r="7446">
      <c r="L7446" s="13"/>
      <c r="M7446" s="14"/>
      <c r="N7446" s="14"/>
      <c r="O7446" s="14"/>
      <c r="P7446" s="13"/>
    </row>
    <row r="7447">
      <c r="L7447" s="13"/>
      <c r="M7447" s="14"/>
      <c r="N7447" s="14"/>
      <c r="O7447" s="14"/>
      <c r="P7447" s="13"/>
    </row>
    <row r="7448">
      <c r="L7448" s="13"/>
      <c r="M7448" s="14"/>
      <c r="N7448" s="14"/>
      <c r="O7448" s="14"/>
      <c r="P7448" s="13"/>
    </row>
    <row r="7449">
      <c r="L7449" s="13"/>
      <c r="M7449" s="14"/>
      <c r="N7449" s="14"/>
      <c r="O7449" s="14"/>
      <c r="P7449" s="13"/>
    </row>
    <row r="7450">
      <c r="L7450" s="13"/>
      <c r="M7450" s="14"/>
      <c r="N7450" s="14"/>
      <c r="O7450" s="14"/>
      <c r="P7450" s="13"/>
    </row>
    <row r="7451">
      <c r="L7451" s="13"/>
      <c r="M7451" s="14"/>
      <c r="N7451" s="14"/>
      <c r="O7451" s="14"/>
      <c r="P7451" s="13"/>
    </row>
    <row r="7452">
      <c r="L7452" s="13"/>
      <c r="M7452" s="14"/>
      <c r="N7452" s="14"/>
      <c r="O7452" s="14"/>
      <c r="P7452" s="13"/>
    </row>
    <row r="7453">
      <c r="L7453" s="13"/>
      <c r="M7453" s="14"/>
      <c r="N7453" s="14"/>
      <c r="O7453" s="14"/>
      <c r="P7453" s="13"/>
    </row>
    <row r="7454">
      <c r="L7454" s="13"/>
      <c r="M7454" s="14"/>
      <c r="N7454" s="14"/>
      <c r="O7454" s="14"/>
      <c r="P7454" s="13"/>
    </row>
    <row r="7455">
      <c r="L7455" s="13"/>
      <c r="M7455" s="14"/>
      <c r="N7455" s="14"/>
      <c r="O7455" s="14"/>
      <c r="P7455" s="13"/>
    </row>
    <row r="7456">
      <c r="L7456" s="13"/>
      <c r="M7456" s="14"/>
      <c r="N7456" s="14"/>
      <c r="O7456" s="14"/>
      <c r="P7456" s="13"/>
    </row>
    <row r="7457">
      <c r="L7457" s="13"/>
      <c r="M7457" s="14"/>
      <c r="N7457" s="14"/>
      <c r="O7457" s="14"/>
      <c r="P7457" s="13"/>
    </row>
    <row r="7458">
      <c r="L7458" s="13"/>
      <c r="M7458" s="14"/>
      <c r="N7458" s="14"/>
      <c r="O7458" s="14"/>
      <c r="P7458" s="13"/>
    </row>
    <row r="7459">
      <c r="L7459" s="13"/>
      <c r="M7459" s="14"/>
      <c r="N7459" s="14"/>
      <c r="O7459" s="14"/>
      <c r="P7459" s="13"/>
    </row>
    <row r="7460">
      <c r="L7460" s="13"/>
      <c r="M7460" s="14"/>
      <c r="N7460" s="14"/>
      <c r="O7460" s="14"/>
      <c r="P7460" s="13"/>
    </row>
    <row r="7461">
      <c r="L7461" s="13"/>
      <c r="M7461" s="14"/>
      <c r="N7461" s="14"/>
      <c r="O7461" s="14"/>
      <c r="P7461" s="13"/>
    </row>
    <row r="7462">
      <c r="L7462" s="13"/>
      <c r="M7462" s="14"/>
      <c r="N7462" s="14"/>
      <c r="O7462" s="14"/>
      <c r="P7462" s="13"/>
    </row>
    <row r="7463">
      <c r="L7463" s="13"/>
      <c r="M7463" s="14"/>
      <c r="N7463" s="14"/>
      <c r="O7463" s="14"/>
      <c r="P7463" s="13"/>
    </row>
    <row r="7464">
      <c r="L7464" s="13"/>
      <c r="M7464" s="14"/>
      <c r="N7464" s="14"/>
      <c r="O7464" s="14"/>
      <c r="P7464" s="13"/>
    </row>
    <row r="7465">
      <c r="L7465" s="13"/>
      <c r="M7465" s="14"/>
      <c r="N7465" s="14"/>
      <c r="O7465" s="14"/>
      <c r="P7465" s="13"/>
    </row>
    <row r="7466">
      <c r="L7466" s="13"/>
      <c r="M7466" s="14"/>
      <c r="N7466" s="14"/>
      <c r="O7466" s="14"/>
      <c r="P7466" s="13"/>
    </row>
    <row r="7467">
      <c r="L7467" s="13"/>
      <c r="M7467" s="14"/>
      <c r="N7467" s="14"/>
      <c r="O7467" s="14"/>
      <c r="P7467" s="13"/>
    </row>
    <row r="7468">
      <c r="L7468" s="13"/>
      <c r="M7468" s="14"/>
      <c r="N7468" s="14"/>
      <c r="O7468" s="14"/>
      <c r="P7468" s="13"/>
    </row>
    <row r="7469">
      <c r="L7469" s="13"/>
      <c r="M7469" s="14"/>
      <c r="N7469" s="14"/>
      <c r="O7469" s="14"/>
      <c r="P7469" s="13"/>
    </row>
    <row r="7470">
      <c r="L7470" s="13"/>
      <c r="M7470" s="14"/>
      <c r="N7470" s="14"/>
      <c r="O7470" s="14"/>
      <c r="P7470" s="13"/>
    </row>
    <row r="7471">
      <c r="L7471" s="13"/>
      <c r="M7471" s="14"/>
      <c r="N7471" s="14"/>
      <c r="O7471" s="14"/>
      <c r="P7471" s="13"/>
    </row>
    <row r="7472">
      <c r="L7472" s="13"/>
      <c r="M7472" s="14"/>
      <c r="N7472" s="14"/>
      <c r="O7472" s="14"/>
      <c r="P7472" s="13"/>
    </row>
    <row r="7473">
      <c r="L7473" s="13"/>
      <c r="M7473" s="14"/>
      <c r="N7473" s="14"/>
      <c r="O7473" s="14"/>
      <c r="P7473" s="13"/>
    </row>
    <row r="7474">
      <c r="L7474" s="13"/>
      <c r="M7474" s="14"/>
      <c r="N7474" s="14"/>
      <c r="O7474" s="14"/>
      <c r="P7474" s="13"/>
    </row>
    <row r="7475">
      <c r="L7475" s="13"/>
      <c r="M7475" s="14"/>
      <c r="N7475" s="14"/>
      <c r="O7475" s="14"/>
      <c r="P7475" s="13"/>
    </row>
    <row r="7476">
      <c r="L7476" s="13"/>
      <c r="M7476" s="14"/>
      <c r="N7476" s="14"/>
      <c r="O7476" s="14"/>
      <c r="P7476" s="13"/>
    </row>
    <row r="7477">
      <c r="L7477" s="13"/>
      <c r="M7477" s="14"/>
      <c r="N7477" s="14"/>
      <c r="O7477" s="14"/>
      <c r="P7477" s="13"/>
    </row>
    <row r="7478">
      <c r="L7478" s="13"/>
      <c r="M7478" s="14"/>
      <c r="N7478" s="14"/>
      <c r="O7478" s="14"/>
      <c r="P7478" s="13"/>
    </row>
    <row r="7479">
      <c r="L7479" s="13"/>
      <c r="M7479" s="14"/>
      <c r="N7479" s="14"/>
      <c r="O7479" s="14"/>
      <c r="P7479" s="13"/>
    </row>
    <row r="7480">
      <c r="L7480" s="13"/>
      <c r="M7480" s="14"/>
      <c r="N7480" s="14"/>
      <c r="O7480" s="14"/>
      <c r="P7480" s="13"/>
    </row>
    <row r="7481">
      <c r="L7481" s="13"/>
      <c r="M7481" s="14"/>
      <c r="N7481" s="14"/>
      <c r="O7481" s="14"/>
      <c r="P7481" s="13"/>
    </row>
    <row r="7482">
      <c r="L7482" s="13"/>
      <c r="M7482" s="14"/>
      <c r="N7482" s="14"/>
      <c r="O7482" s="14"/>
      <c r="P7482" s="13"/>
    </row>
    <row r="7483">
      <c r="L7483" s="13"/>
      <c r="M7483" s="14"/>
      <c r="N7483" s="14"/>
      <c r="O7483" s="14"/>
      <c r="P7483" s="13"/>
    </row>
    <row r="7484">
      <c r="L7484" s="13"/>
      <c r="M7484" s="14"/>
      <c r="N7484" s="14"/>
      <c r="O7484" s="14"/>
      <c r="P7484" s="13"/>
    </row>
    <row r="7485">
      <c r="L7485" s="13"/>
      <c r="M7485" s="14"/>
      <c r="N7485" s="14"/>
      <c r="O7485" s="14"/>
      <c r="P7485" s="13"/>
    </row>
    <row r="7486">
      <c r="L7486" s="13"/>
      <c r="M7486" s="14"/>
      <c r="N7486" s="14"/>
      <c r="O7486" s="14"/>
      <c r="P7486" s="13"/>
    </row>
    <row r="7487">
      <c r="L7487" s="13"/>
      <c r="M7487" s="14"/>
      <c r="N7487" s="14"/>
      <c r="O7487" s="14"/>
      <c r="P7487" s="13"/>
    </row>
    <row r="7488">
      <c r="L7488" s="13"/>
      <c r="M7488" s="14"/>
      <c r="N7488" s="14"/>
      <c r="O7488" s="14"/>
      <c r="P7488" s="13"/>
    </row>
    <row r="7489">
      <c r="L7489" s="13"/>
      <c r="M7489" s="14"/>
      <c r="N7489" s="14"/>
      <c r="O7489" s="14"/>
      <c r="P7489" s="13"/>
    </row>
    <row r="7490">
      <c r="L7490" s="13"/>
      <c r="M7490" s="14"/>
      <c r="N7490" s="14"/>
      <c r="O7490" s="14"/>
      <c r="P7490" s="13"/>
    </row>
    <row r="7491">
      <c r="L7491" s="13"/>
      <c r="M7491" s="14"/>
      <c r="N7491" s="14"/>
      <c r="O7491" s="14"/>
      <c r="P7491" s="13"/>
    </row>
    <row r="7492">
      <c r="L7492" s="13"/>
      <c r="M7492" s="14"/>
      <c r="N7492" s="14"/>
      <c r="O7492" s="14"/>
      <c r="P7492" s="13"/>
    </row>
    <row r="7493">
      <c r="L7493" s="13"/>
      <c r="M7493" s="14"/>
      <c r="N7493" s="14"/>
      <c r="O7493" s="14"/>
      <c r="P7493" s="13"/>
    </row>
    <row r="7494">
      <c r="L7494" s="13"/>
      <c r="M7494" s="14"/>
      <c r="N7494" s="14"/>
      <c r="O7494" s="14"/>
      <c r="P7494" s="13"/>
    </row>
    <row r="7495">
      <c r="L7495" s="13"/>
      <c r="M7495" s="14"/>
      <c r="N7495" s="14"/>
      <c r="O7495" s="14"/>
      <c r="P7495" s="13"/>
    </row>
    <row r="7496">
      <c r="L7496" s="13"/>
      <c r="M7496" s="14"/>
      <c r="N7496" s="14"/>
      <c r="O7496" s="14"/>
      <c r="P7496" s="13"/>
    </row>
    <row r="7497">
      <c r="L7497" s="13"/>
      <c r="M7497" s="14"/>
      <c r="N7497" s="14"/>
      <c r="O7497" s="14"/>
      <c r="P7497" s="13"/>
    </row>
    <row r="7498">
      <c r="L7498" s="13"/>
      <c r="M7498" s="14"/>
      <c r="N7498" s="14"/>
      <c r="O7498" s="14"/>
      <c r="P7498" s="13"/>
    </row>
    <row r="7499">
      <c r="L7499" s="13"/>
      <c r="M7499" s="14"/>
      <c r="N7499" s="14"/>
      <c r="O7499" s="14"/>
      <c r="P7499" s="13"/>
    </row>
    <row r="7500">
      <c r="L7500" s="13"/>
      <c r="M7500" s="14"/>
      <c r="N7500" s="14"/>
      <c r="O7500" s="14"/>
      <c r="P7500" s="13"/>
    </row>
    <row r="7501">
      <c r="L7501" s="13"/>
      <c r="M7501" s="14"/>
      <c r="N7501" s="14"/>
      <c r="O7501" s="14"/>
      <c r="P7501" s="13"/>
    </row>
    <row r="7502">
      <c r="L7502" s="13"/>
      <c r="M7502" s="14"/>
      <c r="N7502" s="14"/>
      <c r="O7502" s="14"/>
      <c r="P7502" s="13"/>
    </row>
    <row r="7503">
      <c r="L7503" s="13"/>
      <c r="M7503" s="14"/>
      <c r="N7503" s="14"/>
      <c r="O7503" s="14"/>
      <c r="P7503" s="13"/>
    </row>
    <row r="7504">
      <c r="L7504" s="13"/>
      <c r="M7504" s="14"/>
      <c r="N7504" s="14"/>
      <c r="O7504" s="14"/>
      <c r="P7504" s="13"/>
    </row>
    <row r="7505">
      <c r="L7505" s="13"/>
      <c r="M7505" s="14"/>
      <c r="N7505" s="14"/>
      <c r="O7505" s="14"/>
      <c r="P7505" s="13"/>
    </row>
    <row r="7506">
      <c r="L7506" s="13"/>
      <c r="M7506" s="14"/>
      <c r="N7506" s="14"/>
      <c r="O7506" s="14"/>
      <c r="P7506" s="13"/>
    </row>
    <row r="7507">
      <c r="L7507" s="13"/>
      <c r="M7507" s="14"/>
      <c r="N7507" s="14"/>
      <c r="O7507" s="14"/>
      <c r="P7507" s="13"/>
    </row>
    <row r="7508">
      <c r="L7508" s="13"/>
      <c r="M7508" s="14"/>
      <c r="N7508" s="14"/>
      <c r="O7508" s="14"/>
      <c r="P7508" s="13"/>
    </row>
    <row r="7509">
      <c r="L7509" s="13"/>
      <c r="M7509" s="14"/>
      <c r="N7509" s="14"/>
      <c r="O7509" s="14"/>
      <c r="P7509" s="13"/>
    </row>
    <row r="7510">
      <c r="L7510" s="13"/>
      <c r="M7510" s="14"/>
      <c r="N7510" s="14"/>
      <c r="O7510" s="14"/>
      <c r="P7510" s="13"/>
    </row>
    <row r="7511">
      <c r="L7511" s="13"/>
      <c r="M7511" s="14"/>
      <c r="N7511" s="14"/>
      <c r="O7511" s="14"/>
      <c r="P7511" s="13"/>
    </row>
    <row r="7512">
      <c r="L7512" s="13"/>
      <c r="M7512" s="14"/>
      <c r="N7512" s="14"/>
      <c r="O7512" s="14"/>
      <c r="P7512" s="13"/>
    </row>
    <row r="7513">
      <c r="L7513" s="13"/>
      <c r="M7513" s="14"/>
      <c r="N7513" s="14"/>
      <c r="O7513" s="14"/>
      <c r="P7513" s="13"/>
    </row>
    <row r="7514">
      <c r="L7514" s="13"/>
      <c r="M7514" s="14"/>
      <c r="N7514" s="14"/>
      <c r="O7514" s="14"/>
      <c r="P7514" s="13"/>
    </row>
    <row r="7515">
      <c r="L7515" s="13"/>
      <c r="M7515" s="14"/>
      <c r="N7515" s="14"/>
      <c r="O7515" s="14"/>
      <c r="P7515" s="13"/>
    </row>
    <row r="7516">
      <c r="L7516" s="13"/>
      <c r="M7516" s="14"/>
      <c r="N7516" s="14"/>
      <c r="O7516" s="14"/>
      <c r="P7516" s="13"/>
    </row>
    <row r="7517">
      <c r="L7517" s="13"/>
      <c r="M7517" s="14"/>
      <c r="N7517" s="14"/>
      <c r="O7517" s="14"/>
      <c r="P7517" s="13"/>
    </row>
    <row r="7518">
      <c r="L7518" s="13"/>
      <c r="M7518" s="14"/>
      <c r="N7518" s="14"/>
      <c r="O7518" s="14"/>
      <c r="P7518" s="13"/>
    </row>
    <row r="7519">
      <c r="L7519" s="13"/>
      <c r="M7519" s="14"/>
      <c r="N7519" s="14"/>
      <c r="O7519" s="14"/>
      <c r="P7519" s="13"/>
    </row>
    <row r="7520">
      <c r="L7520" s="13"/>
      <c r="M7520" s="14"/>
      <c r="N7520" s="14"/>
      <c r="O7520" s="14"/>
      <c r="P7520" s="13"/>
    </row>
    <row r="7521">
      <c r="L7521" s="13"/>
      <c r="M7521" s="14"/>
      <c r="N7521" s="14"/>
      <c r="O7521" s="14"/>
      <c r="P7521" s="13"/>
    </row>
    <row r="7522">
      <c r="L7522" s="13"/>
      <c r="M7522" s="14"/>
      <c r="N7522" s="14"/>
      <c r="O7522" s="14"/>
      <c r="P7522" s="13"/>
    </row>
    <row r="7523">
      <c r="L7523" s="13"/>
      <c r="M7523" s="14"/>
      <c r="N7523" s="14"/>
      <c r="O7523" s="14"/>
      <c r="P7523" s="13"/>
    </row>
    <row r="7524">
      <c r="L7524" s="13"/>
      <c r="M7524" s="14"/>
      <c r="N7524" s="14"/>
      <c r="O7524" s="14"/>
      <c r="P7524" s="13"/>
    </row>
    <row r="7525">
      <c r="L7525" s="13"/>
      <c r="M7525" s="14"/>
      <c r="N7525" s="14"/>
      <c r="O7525" s="14"/>
      <c r="P7525" s="13"/>
    </row>
    <row r="7526">
      <c r="L7526" s="13"/>
      <c r="M7526" s="14"/>
      <c r="N7526" s="14"/>
      <c r="O7526" s="14"/>
      <c r="P7526" s="13"/>
    </row>
    <row r="7527">
      <c r="L7527" s="13"/>
      <c r="M7527" s="14"/>
      <c r="N7527" s="14"/>
      <c r="O7527" s="14"/>
      <c r="P7527" s="13"/>
    </row>
    <row r="7528">
      <c r="L7528" s="13"/>
      <c r="M7528" s="14"/>
      <c r="N7528" s="14"/>
      <c r="O7528" s="14"/>
      <c r="P7528" s="13"/>
    </row>
    <row r="7529">
      <c r="L7529" s="13"/>
      <c r="M7529" s="14"/>
      <c r="N7529" s="14"/>
      <c r="O7529" s="14"/>
      <c r="P7529" s="13"/>
    </row>
    <row r="7530">
      <c r="L7530" s="13"/>
      <c r="M7530" s="14"/>
      <c r="N7530" s="14"/>
      <c r="O7530" s="14"/>
      <c r="P7530" s="13"/>
    </row>
    <row r="7531">
      <c r="L7531" s="13"/>
      <c r="M7531" s="14"/>
      <c r="N7531" s="14"/>
      <c r="O7531" s="14"/>
      <c r="P7531" s="13"/>
    </row>
    <row r="7532">
      <c r="L7532" s="13"/>
      <c r="M7532" s="14"/>
      <c r="N7532" s="14"/>
      <c r="O7532" s="14"/>
      <c r="P7532" s="13"/>
    </row>
    <row r="7533">
      <c r="L7533" s="13"/>
      <c r="M7533" s="14"/>
      <c r="N7533" s="14"/>
      <c r="O7533" s="14"/>
      <c r="P7533" s="13"/>
    </row>
    <row r="7534">
      <c r="L7534" s="13"/>
      <c r="M7534" s="14"/>
      <c r="N7534" s="14"/>
      <c r="O7534" s="14"/>
      <c r="P7534" s="13"/>
    </row>
    <row r="7535">
      <c r="L7535" s="13"/>
      <c r="M7535" s="14"/>
      <c r="N7535" s="14"/>
      <c r="O7535" s="14"/>
      <c r="P7535" s="13"/>
    </row>
    <row r="7536">
      <c r="L7536" s="13"/>
      <c r="M7536" s="14"/>
      <c r="N7536" s="14"/>
      <c r="O7536" s="14"/>
      <c r="P7536" s="13"/>
    </row>
    <row r="7537">
      <c r="L7537" s="13"/>
      <c r="M7537" s="14"/>
      <c r="N7537" s="14"/>
      <c r="O7537" s="14"/>
      <c r="P7537" s="13"/>
    </row>
    <row r="7538">
      <c r="L7538" s="13"/>
      <c r="M7538" s="14"/>
      <c r="N7538" s="14"/>
      <c r="O7538" s="14"/>
      <c r="P7538" s="13"/>
    </row>
    <row r="7539">
      <c r="L7539" s="13"/>
      <c r="M7539" s="14"/>
      <c r="N7539" s="14"/>
      <c r="O7539" s="14"/>
      <c r="P7539" s="13"/>
    </row>
    <row r="7540">
      <c r="L7540" s="13"/>
      <c r="M7540" s="14"/>
      <c r="N7540" s="14"/>
      <c r="O7540" s="14"/>
      <c r="P7540" s="13"/>
    </row>
    <row r="7541">
      <c r="L7541" s="13"/>
      <c r="M7541" s="14"/>
      <c r="N7541" s="14"/>
      <c r="O7541" s="14"/>
      <c r="P7541" s="13"/>
    </row>
    <row r="7542">
      <c r="L7542" s="13"/>
      <c r="M7542" s="14"/>
      <c r="N7542" s="14"/>
      <c r="O7542" s="14"/>
      <c r="P7542" s="13"/>
    </row>
    <row r="7543">
      <c r="L7543" s="13"/>
      <c r="M7543" s="14"/>
      <c r="N7543" s="14"/>
      <c r="O7543" s="14"/>
      <c r="P7543" s="13"/>
    </row>
    <row r="7544">
      <c r="L7544" s="13"/>
      <c r="M7544" s="14"/>
      <c r="N7544" s="14"/>
      <c r="O7544" s="14"/>
      <c r="P7544" s="13"/>
    </row>
    <row r="7545">
      <c r="L7545" s="13"/>
      <c r="M7545" s="14"/>
      <c r="N7545" s="14"/>
      <c r="O7545" s="14"/>
      <c r="P7545" s="13"/>
    </row>
    <row r="7546">
      <c r="L7546" s="13"/>
      <c r="M7546" s="14"/>
      <c r="N7546" s="14"/>
      <c r="O7546" s="14"/>
      <c r="P7546" s="13"/>
    </row>
    <row r="7547">
      <c r="L7547" s="13"/>
      <c r="M7547" s="14"/>
      <c r="N7547" s="14"/>
      <c r="O7547" s="14"/>
      <c r="P7547" s="13"/>
    </row>
    <row r="7548">
      <c r="L7548" s="13"/>
      <c r="M7548" s="14"/>
      <c r="N7548" s="14"/>
      <c r="O7548" s="14"/>
      <c r="P7548" s="13"/>
    </row>
    <row r="7549">
      <c r="L7549" s="13"/>
      <c r="M7549" s="14"/>
      <c r="N7549" s="14"/>
      <c r="O7549" s="14"/>
      <c r="P7549" s="13"/>
    </row>
    <row r="7550">
      <c r="L7550" s="13"/>
      <c r="M7550" s="14"/>
      <c r="N7550" s="14"/>
      <c r="O7550" s="14"/>
      <c r="P7550" s="13"/>
    </row>
    <row r="7551">
      <c r="L7551" s="13"/>
      <c r="M7551" s="14"/>
      <c r="N7551" s="14"/>
      <c r="O7551" s="14"/>
      <c r="P7551" s="13"/>
    </row>
    <row r="7552">
      <c r="L7552" s="13"/>
      <c r="M7552" s="14"/>
      <c r="N7552" s="14"/>
      <c r="O7552" s="14"/>
      <c r="P7552" s="13"/>
    </row>
    <row r="7553">
      <c r="L7553" s="13"/>
      <c r="M7553" s="14"/>
      <c r="N7553" s="14"/>
      <c r="O7553" s="14"/>
      <c r="P7553" s="13"/>
    </row>
    <row r="7554">
      <c r="L7554" s="13"/>
      <c r="M7554" s="14"/>
      <c r="N7554" s="14"/>
      <c r="O7554" s="14"/>
      <c r="P7554" s="13"/>
    </row>
    <row r="7555">
      <c r="L7555" s="13"/>
      <c r="M7555" s="14"/>
      <c r="N7555" s="14"/>
      <c r="O7555" s="14"/>
      <c r="P7555" s="13"/>
    </row>
    <row r="7556">
      <c r="L7556" s="13"/>
      <c r="M7556" s="14"/>
      <c r="N7556" s="14"/>
      <c r="O7556" s="14"/>
      <c r="P7556" s="13"/>
    </row>
    <row r="7557">
      <c r="L7557" s="13"/>
      <c r="M7557" s="14"/>
      <c r="N7557" s="14"/>
      <c r="O7557" s="14"/>
      <c r="P7557" s="13"/>
    </row>
    <row r="7558">
      <c r="L7558" s="13"/>
      <c r="M7558" s="14"/>
      <c r="N7558" s="14"/>
      <c r="O7558" s="14"/>
      <c r="P7558" s="13"/>
    </row>
    <row r="7559">
      <c r="L7559" s="13"/>
      <c r="M7559" s="14"/>
      <c r="N7559" s="14"/>
      <c r="O7559" s="14"/>
      <c r="P7559" s="13"/>
    </row>
    <row r="7560">
      <c r="L7560" s="13"/>
      <c r="M7560" s="14"/>
      <c r="N7560" s="14"/>
      <c r="O7560" s="14"/>
      <c r="P7560" s="13"/>
    </row>
    <row r="7561">
      <c r="L7561" s="13"/>
      <c r="M7561" s="14"/>
      <c r="N7561" s="14"/>
      <c r="O7561" s="14"/>
      <c r="P7561" s="13"/>
    </row>
    <row r="7562">
      <c r="L7562" s="13"/>
      <c r="M7562" s="14"/>
      <c r="N7562" s="14"/>
      <c r="O7562" s="14"/>
      <c r="P7562" s="13"/>
    </row>
    <row r="7563">
      <c r="L7563" s="13"/>
      <c r="M7563" s="14"/>
      <c r="N7563" s="14"/>
      <c r="O7563" s="14"/>
      <c r="P7563" s="13"/>
    </row>
    <row r="7564">
      <c r="L7564" s="13"/>
      <c r="M7564" s="14"/>
      <c r="N7564" s="14"/>
      <c r="O7564" s="14"/>
      <c r="P7564" s="13"/>
    </row>
    <row r="7565">
      <c r="L7565" s="13"/>
      <c r="M7565" s="14"/>
      <c r="N7565" s="14"/>
      <c r="O7565" s="14"/>
      <c r="P7565" s="13"/>
    </row>
    <row r="7566">
      <c r="L7566" s="13"/>
      <c r="M7566" s="14"/>
      <c r="N7566" s="14"/>
      <c r="O7566" s="14"/>
      <c r="P7566" s="13"/>
    </row>
    <row r="7567">
      <c r="L7567" s="13"/>
      <c r="M7567" s="14"/>
      <c r="N7567" s="14"/>
      <c r="O7567" s="14"/>
      <c r="P7567" s="13"/>
    </row>
    <row r="7568">
      <c r="L7568" s="13"/>
      <c r="M7568" s="14"/>
      <c r="N7568" s="14"/>
      <c r="O7568" s="14"/>
      <c r="P7568" s="13"/>
    </row>
    <row r="7569">
      <c r="L7569" s="13"/>
      <c r="M7569" s="14"/>
      <c r="N7569" s="14"/>
      <c r="O7569" s="14"/>
      <c r="P7569" s="13"/>
    </row>
    <row r="7570">
      <c r="L7570" s="13"/>
      <c r="M7570" s="14"/>
      <c r="N7570" s="14"/>
      <c r="O7570" s="14"/>
      <c r="P7570" s="13"/>
    </row>
    <row r="7571">
      <c r="L7571" s="13"/>
      <c r="M7571" s="14"/>
      <c r="N7571" s="14"/>
      <c r="O7571" s="14"/>
      <c r="P7571" s="13"/>
    </row>
    <row r="7572">
      <c r="L7572" s="13"/>
      <c r="M7572" s="14"/>
      <c r="N7572" s="14"/>
      <c r="O7572" s="14"/>
      <c r="P7572" s="13"/>
    </row>
    <row r="7573">
      <c r="L7573" s="13"/>
      <c r="M7573" s="14"/>
      <c r="N7573" s="14"/>
      <c r="O7573" s="14"/>
      <c r="P7573" s="13"/>
    </row>
    <row r="7574">
      <c r="L7574" s="13"/>
      <c r="M7574" s="14"/>
      <c r="N7574" s="14"/>
      <c r="O7574" s="14"/>
      <c r="P7574" s="13"/>
    </row>
    <row r="7575">
      <c r="L7575" s="13"/>
      <c r="M7575" s="14"/>
      <c r="N7575" s="14"/>
      <c r="O7575" s="14"/>
      <c r="P7575" s="13"/>
    </row>
    <row r="7576">
      <c r="L7576" s="13"/>
      <c r="M7576" s="14"/>
      <c r="N7576" s="14"/>
      <c r="O7576" s="14"/>
      <c r="P7576" s="13"/>
    </row>
    <row r="7577">
      <c r="L7577" s="13"/>
      <c r="M7577" s="14"/>
      <c r="N7577" s="14"/>
      <c r="O7577" s="14"/>
      <c r="P7577" s="13"/>
    </row>
    <row r="7578">
      <c r="L7578" s="13"/>
      <c r="M7578" s="14"/>
      <c r="N7578" s="14"/>
      <c r="O7578" s="14"/>
      <c r="P7578" s="13"/>
    </row>
    <row r="7579">
      <c r="L7579" s="13"/>
      <c r="M7579" s="14"/>
      <c r="N7579" s="14"/>
      <c r="O7579" s="14"/>
      <c r="P7579" s="13"/>
    </row>
    <row r="7580">
      <c r="L7580" s="13"/>
      <c r="M7580" s="14"/>
      <c r="N7580" s="14"/>
      <c r="O7580" s="14"/>
      <c r="P7580" s="13"/>
    </row>
    <row r="7581">
      <c r="L7581" s="13"/>
      <c r="M7581" s="14"/>
      <c r="N7581" s="14"/>
      <c r="O7581" s="14"/>
      <c r="P7581" s="13"/>
    </row>
    <row r="7582">
      <c r="L7582" s="13"/>
      <c r="M7582" s="14"/>
      <c r="N7582" s="14"/>
      <c r="O7582" s="14"/>
      <c r="P7582" s="13"/>
    </row>
    <row r="7583">
      <c r="L7583" s="13"/>
      <c r="M7583" s="14"/>
      <c r="N7583" s="14"/>
      <c r="O7583" s="14"/>
      <c r="P7583" s="13"/>
    </row>
    <row r="7584">
      <c r="L7584" s="13"/>
      <c r="M7584" s="14"/>
      <c r="N7584" s="14"/>
      <c r="O7584" s="14"/>
      <c r="P7584" s="13"/>
    </row>
    <row r="7585">
      <c r="L7585" s="13"/>
      <c r="M7585" s="14"/>
      <c r="N7585" s="14"/>
      <c r="O7585" s="14"/>
      <c r="P7585" s="13"/>
    </row>
    <row r="7586">
      <c r="L7586" s="13"/>
      <c r="M7586" s="14"/>
      <c r="N7586" s="14"/>
      <c r="O7586" s="14"/>
      <c r="P7586" s="13"/>
    </row>
    <row r="7587">
      <c r="L7587" s="13"/>
      <c r="M7587" s="14"/>
      <c r="N7587" s="14"/>
      <c r="O7587" s="14"/>
      <c r="P7587" s="13"/>
    </row>
    <row r="7588">
      <c r="L7588" s="13"/>
      <c r="M7588" s="14"/>
      <c r="N7588" s="14"/>
      <c r="O7588" s="14"/>
      <c r="P7588" s="13"/>
    </row>
    <row r="7589">
      <c r="L7589" s="13"/>
      <c r="M7589" s="14"/>
      <c r="N7589" s="14"/>
      <c r="O7589" s="14"/>
      <c r="P7589" s="13"/>
    </row>
    <row r="7590">
      <c r="L7590" s="13"/>
      <c r="M7590" s="14"/>
      <c r="N7590" s="14"/>
      <c r="O7590" s="14"/>
      <c r="P7590" s="13"/>
    </row>
    <row r="7591">
      <c r="L7591" s="13"/>
      <c r="M7591" s="14"/>
      <c r="N7591" s="14"/>
      <c r="O7591" s="14"/>
      <c r="P7591" s="13"/>
    </row>
    <row r="7592">
      <c r="L7592" s="13"/>
      <c r="M7592" s="14"/>
      <c r="N7592" s="14"/>
      <c r="O7592" s="14"/>
      <c r="P7592" s="13"/>
    </row>
    <row r="7593">
      <c r="L7593" s="13"/>
      <c r="M7593" s="14"/>
      <c r="N7593" s="14"/>
      <c r="O7593" s="14"/>
      <c r="P7593" s="13"/>
    </row>
    <row r="7594">
      <c r="L7594" s="13"/>
      <c r="M7594" s="14"/>
      <c r="N7594" s="14"/>
      <c r="O7594" s="14"/>
      <c r="P7594" s="13"/>
    </row>
    <row r="7595">
      <c r="L7595" s="13"/>
      <c r="M7595" s="14"/>
      <c r="N7595" s="14"/>
      <c r="O7595" s="14"/>
      <c r="P7595" s="13"/>
    </row>
    <row r="7596">
      <c r="L7596" s="13"/>
      <c r="M7596" s="14"/>
      <c r="N7596" s="14"/>
      <c r="O7596" s="14"/>
      <c r="P7596" s="13"/>
    </row>
    <row r="7597">
      <c r="L7597" s="13"/>
      <c r="M7597" s="14"/>
      <c r="N7597" s="14"/>
      <c r="O7597" s="14"/>
      <c r="P7597" s="13"/>
    </row>
    <row r="7598">
      <c r="L7598" s="13"/>
      <c r="M7598" s="14"/>
      <c r="N7598" s="14"/>
      <c r="O7598" s="14"/>
      <c r="P7598" s="13"/>
    </row>
    <row r="7599">
      <c r="L7599" s="13"/>
      <c r="M7599" s="14"/>
      <c r="N7599" s="14"/>
      <c r="O7599" s="14"/>
      <c r="P7599" s="13"/>
    </row>
    <row r="7600">
      <c r="L7600" s="13"/>
      <c r="M7600" s="14"/>
      <c r="N7600" s="14"/>
      <c r="O7600" s="14"/>
      <c r="P7600" s="13"/>
    </row>
    <row r="7601">
      <c r="L7601" s="13"/>
      <c r="M7601" s="14"/>
      <c r="N7601" s="14"/>
      <c r="O7601" s="14"/>
      <c r="P7601" s="13"/>
    </row>
    <row r="7602">
      <c r="L7602" s="13"/>
      <c r="M7602" s="14"/>
      <c r="N7602" s="14"/>
      <c r="O7602" s="14"/>
      <c r="P7602" s="13"/>
    </row>
    <row r="7603">
      <c r="L7603" s="13"/>
      <c r="M7603" s="14"/>
      <c r="N7603" s="14"/>
      <c r="O7603" s="14"/>
      <c r="P7603" s="13"/>
    </row>
    <row r="7604">
      <c r="L7604" s="13"/>
      <c r="M7604" s="14"/>
      <c r="N7604" s="14"/>
      <c r="O7604" s="14"/>
      <c r="P7604" s="13"/>
    </row>
    <row r="7605">
      <c r="L7605" s="13"/>
      <c r="M7605" s="14"/>
      <c r="N7605" s="14"/>
      <c r="O7605" s="14"/>
      <c r="P7605" s="13"/>
    </row>
    <row r="7606">
      <c r="L7606" s="13"/>
      <c r="M7606" s="14"/>
      <c r="N7606" s="14"/>
      <c r="O7606" s="14"/>
      <c r="P7606" s="13"/>
    </row>
    <row r="7607">
      <c r="L7607" s="13"/>
      <c r="M7607" s="14"/>
      <c r="N7607" s="14"/>
      <c r="O7607" s="14"/>
      <c r="P7607" s="13"/>
    </row>
    <row r="7608">
      <c r="L7608" s="13"/>
      <c r="M7608" s="14"/>
      <c r="N7608" s="14"/>
      <c r="O7608" s="14"/>
      <c r="P7608" s="13"/>
    </row>
    <row r="7609">
      <c r="L7609" s="13"/>
      <c r="M7609" s="14"/>
      <c r="N7609" s="14"/>
      <c r="O7609" s="14"/>
      <c r="P7609" s="13"/>
    </row>
    <row r="7610">
      <c r="L7610" s="13"/>
      <c r="M7610" s="14"/>
      <c r="N7610" s="14"/>
      <c r="O7610" s="14"/>
      <c r="P7610" s="13"/>
    </row>
    <row r="7611">
      <c r="L7611" s="13"/>
      <c r="M7611" s="14"/>
      <c r="N7611" s="14"/>
      <c r="O7611" s="14"/>
      <c r="P7611" s="13"/>
    </row>
    <row r="7612">
      <c r="L7612" s="13"/>
      <c r="M7612" s="14"/>
      <c r="N7612" s="14"/>
      <c r="O7612" s="14"/>
      <c r="P7612" s="13"/>
    </row>
    <row r="7613">
      <c r="L7613" s="13"/>
      <c r="M7613" s="14"/>
      <c r="N7613" s="14"/>
      <c r="O7613" s="14"/>
      <c r="P7613" s="13"/>
    </row>
    <row r="7614">
      <c r="L7614" s="13"/>
      <c r="M7614" s="14"/>
      <c r="N7614" s="14"/>
      <c r="O7614" s="14"/>
      <c r="P7614" s="13"/>
    </row>
    <row r="7615">
      <c r="L7615" s="13"/>
      <c r="M7615" s="14"/>
      <c r="N7615" s="14"/>
      <c r="O7615" s="14"/>
      <c r="P7615" s="13"/>
    </row>
    <row r="7616">
      <c r="L7616" s="13"/>
      <c r="M7616" s="14"/>
      <c r="N7616" s="14"/>
      <c r="O7616" s="14"/>
      <c r="P7616" s="13"/>
    </row>
    <row r="7617">
      <c r="L7617" s="13"/>
      <c r="M7617" s="14"/>
      <c r="N7617" s="14"/>
      <c r="O7617" s="14"/>
      <c r="P7617" s="13"/>
    </row>
    <row r="7618">
      <c r="L7618" s="13"/>
      <c r="M7618" s="14"/>
      <c r="N7618" s="14"/>
      <c r="O7618" s="14"/>
      <c r="P7618" s="13"/>
    </row>
    <row r="7619">
      <c r="L7619" s="13"/>
      <c r="M7619" s="14"/>
      <c r="N7619" s="14"/>
      <c r="O7619" s="14"/>
      <c r="P7619" s="13"/>
    </row>
    <row r="7620">
      <c r="L7620" s="13"/>
      <c r="M7620" s="14"/>
      <c r="N7620" s="14"/>
      <c r="O7620" s="14"/>
      <c r="P7620" s="13"/>
    </row>
    <row r="7621">
      <c r="L7621" s="13"/>
      <c r="M7621" s="14"/>
      <c r="N7621" s="14"/>
      <c r="O7621" s="14"/>
      <c r="P7621" s="13"/>
    </row>
    <row r="7622">
      <c r="L7622" s="13"/>
      <c r="M7622" s="14"/>
      <c r="N7622" s="14"/>
      <c r="O7622" s="14"/>
      <c r="P7622" s="13"/>
    </row>
    <row r="7623">
      <c r="L7623" s="13"/>
      <c r="M7623" s="14"/>
      <c r="N7623" s="14"/>
      <c r="O7623" s="14"/>
      <c r="P7623" s="13"/>
    </row>
    <row r="7624">
      <c r="L7624" s="13"/>
      <c r="M7624" s="14"/>
      <c r="N7624" s="14"/>
      <c r="O7624" s="14"/>
      <c r="P7624" s="13"/>
    </row>
    <row r="7625">
      <c r="L7625" s="13"/>
      <c r="M7625" s="14"/>
      <c r="N7625" s="14"/>
      <c r="O7625" s="14"/>
      <c r="P7625" s="13"/>
    </row>
    <row r="7626">
      <c r="L7626" s="13"/>
      <c r="M7626" s="14"/>
      <c r="N7626" s="14"/>
      <c r="O7626" s="14"/>
      <c r="P7626" s="13"/>
    </row>
    <row r="7627">
      <c r="L7627" s="13"/>
      <c r="M7627" s="14"/>
      <c r="N7627" s="14"/>
      <c r="O7627" s="14"/>
      <c r="P7627" s="13"/>
    </row>
    <row r="7628">
      <c r="L7628" s="13"/>
      <c r="M7628" s="14"/>
      <c r="N7628" s="14"/>
      <c r="O7628" s="14"/>
      <c r="P7628" s="13"/>
    </row>
    <row r="7629">
      <c r="L7629" s="13"/>
      <c r="M7629" s="14"/>
      <c r="N7629" s="14"/>
      <c r="O7629" s="14"/>
      <c r="P7629" s="13"/>
    </row>
    <row r="7630">
      <c r="L7630" s="13"/>
      <c r="M7630" s="14"/>
      <c r="N7630" s="14"/>
      <c r="O7630" s="14"/>
      <c r="P7630" s="13"/>
    </row>
    <row r="7631">
      <c r="L7631" s="13"/>
      <c r="M7631" s="14"/>
      <c r="N7631" s="14"/>
      <c r="O7631" s="14"/>
      <c r="P7631" s="13"/>
    </row>
    <row r="7632">
      <c r="L7632" s="13"/>
      <c r="M7632" s="14"/>
      <c r="N7632" s="14"/>
      <c r="O7632" s="14"/>
      <c r="P7632" s="13"/>
    </row>
    <row r="7633">
      <c r="L7633" s="13"/>
      <c r="M7633" s="14"/>
      <c r="N7633" s="14"/>
      <c r="O7633" s="14"/>
      <c r="P7633" s="13"/>
    </row>
    <row r="7634">
      <c r="L7634" s="13"/>
      <c r="M7634" s="14"/>
      <c r="N7634" s="14"/>
      <c r="O7634" s="14"/>
      <c r="P7634" s="13"/>
    </row>
    <row r="7635">
      <c r="L7635" s="13"/>
      <c r="M7635" s="14"/>
      <c r="N7635" s="14"/>
      <c r="O7635" s="14"/>
      <c r="P7635" s="13"/>
    </row>
    <row r="7636">
      <c r="L7636" s="13"/>
      <c r="M7636" s="14"/>
      <c r="N7636" s="14"/>
      <c r="O7636" s="14"/>
      <c r="P7636" s="13"/>
    </row>
    <row r="7637">
      <c r="L7637" s="13"/>
      <c r="M7637" s="14"/>
      <c r="N7637" s="14"/>
      <c r="O7637" s="14"/>
      <c r="P7637" s="13"/>
    </row>
    <row r="7638">
      <c r="L7638" s="13"/>
      <c r="M7638" s="14"/>
      <c r="N7638" s="14"/>
      <c r="O7638" s="14"/>
      <c r="P7638" s="13"/>
    </row>
    <row r="7639">
      <c r="L7639" s="13"/>
      <c r="M7639" s="14"/>
      <c r="N7639" s="14"/>
      <c r="O7639" s="14"/>
      <c r="P7639" s="13"/>
    </row>
    <row r="7640">
      <c r="L7640" s="13"/>
      <c r="M7640" s="14"/>
      <c r="N7640" s="14"/>
      <c r="O7640" s="14"/>
      <c r="P7640" s="13"/>
    </row>
    <row r="7641">
      <c r="L7641" s="13"/>
      <c r="M7641" s="14"/>
      <c r="N7641" s="14"/>
      <c r="O7641" s="14"/>
      <c r="P7641" s="13"/>
    </row>
    <row r="7642">
      <c r="L7642" s="13"/>
      <c r="M7642" s="14"/>
      <c r="N7642" s="14"/>
      <c r="O7642" s="14"/>
      <c r="P7642" s="13"/>
    </row>
    <row r="7643">
      <c r="L7643" s="13"/>
      <c r="M7643" s="14"/>
      <c r="N7643" s="14"/>
      <c r="O7643" s="14"/>
      <c r="P7643" s="13"/>
    </row>
    <row r="7644">
      <c r="L7644" s="13"/>
      <c r="M7644" s="14"/>
      <c r="N7644" s="14"/>
      <c r="O7644" s="14"/>
      <c r="P7644" s="13"/>
    </row>
    <row r="7645">
      <c r="L7645" s="13"/>
      <c r="M7645" s="14"/>
      <c r="N7645" s="14"/>
      <c r="O7645" s="14"/>
      <c r="P7645" s="13"/>
    </row>
    <row r="7646">
      <c r="L7646" s="13"/>
      <c r="M7646" s="14"/>
      <c r="N7646" s="14"/>
      <c r="O7646" s="14"/>
      <c r="P7646" s="13"/>
    </row>
    <row r="7647">
      <c r="L7647" s="13"/>
      <c r="M7647" s="14"/>
      <c r="N7647" s="14"/>
      <c r="O7647" s="14"/>
      <c r="P7647" s="13"/>
    </row>
    <row r="7648">
      <c r="L7648" s="13"/>
      <c r="M7648" s="14"/>
      <c r="N7648" s="14"/>
      <c r="O7648" s="14"/>
      <c r="P7648" s="13"/>
    </row>
    <row r="7649">
      <c r="L7649" s="13"/>
      <c r="M7649" s="14"/>
      <c r="N7649" s="14"/>
      <c r="O7649" s="14"/>
      <c r="P7649" s="13"/>
    </row>
    <row r="7650">
      <c r="L7650" s="13"/>
      <c r="M7650" s="14"/>
      <c r="N7650" s="14"/>
      <c r="O7650" s="14"/>
      <c r="P7650" s="13"/>
    </row>
    <row r="7651">
      <c r="L7651" s="13"/>
      <c r="M7651" s="14"/>
      <c r="N7651" s="14"/>
      <c r="O7651" s="14"/>
      <c r="P7651" s="13"/>
    </row>
    <row r="7652">
      <c r="L7652" s="13"/>
      <c r="M7652" s="14"/>
      <c r="N7652" s="14"/>
      <c r="O7652" s="14"/>
      <c r="P7652" s="13"/>
    </row>
    <row r="7653">
      <c r="L7653" s="13"/>
      <c r="M7653" s="14"/>
      <c r="N7653" s="14"/>
      <c r="O7653" s="14"/>
      <c r="P7653" s="13"/>
    </row>
    <row r="7654">
      <c r="L7654" s="13"/>
      <c r="M7654" s="14"/>
      <c r="N7654" s="14"/>
      <c r="O7654" s="14"/>
      <c r="P7654" s="13"/>
    </row>
    <row r="7655">
      <c r="L7655" s="13"/>
      <c r="M7655" s="14"/>
      <c r="N7655" s="14"/>
      <c r="O7655" s="14"/>
      <c r="P7655" s="13"/>
    </row>
    <row r="7656">
      <c r="L7656" s="13"/>
      <c r="M7656" s="14"/>
      <c r="N7656" s="14"/>
      <c r="O7656" s="14"/>
      <c r="P7656" s="13"/>
    </row>
    <row r="7657">
      <c r="L7657" s="13"/>
      <c r="M7657" s="14"/>
      <c r="N7657" s="14"/>
      <c r="O7657" s="14"/>
      <c r="P7657" s="13"/>
    </row>
    <row r="7658">
      <c r="L7658" s="13"/>
      <c r="M7658" s="14"/>
      <c r="N7658" s="14"/>
      <c r="O7658" s="14"/>
      <c r="P7658" s="13"/>
    </row>
    <row r="7659">
      <c r="L7659" s="13"/>
      <c r="M7659" s="14"/>
      <c r="N7659" s="14"/>
      <c r="O7659" s="14"/>
      <c r="P7659" s="13"/>
    </row>
    <row r="7660">
      <c r="L7660" s="13"/>
      <c r="M7660" s="14"/>
      <c r="N7660" s="14"/>
      <c r="O7660" s="14"/>
      <c r="P7660" s="13"/>
    </row>
    <row r="7661">
      <c r="L7661" s="13"/>
      <c r="M7661" s="14"/>
      <c r="N7661" s="14"/>
      <c r="O7661" s="14"/>
      <c r="P7661" s="13"/>
    </row>
    <row r="7662">
      <c r="L7662" s="13"/>
      <c r="M7662" s="14"/>
      <c r="N7662" s="14"/>
      <c r="O7662" s="14"/>
      <c r="P7662" s="13"/>
    </row>
    <row r="7663">
      <c r="L7663" s="13"/>
      <c r="M7663" s="14"/>
      <c r="N7663" s="14"/>
      <c r="O7663" s="14"/>
      <c r="P7663" s="13"/>
    </row>
    <row r="7664">
      <c r="L7664" s="13"/>
      <c r="M7664" s="14"/>
      <c r="N7664" s="14"/>
      <c r="O7664" s="14"/>
      <c r="P7664" s="13"/>
    </row>
    <row r="7665">
      <c r="L7665" s="13"/>
      <c r="M7665" s="14"/>
      <c r="N7665" s="14"/>
      <c r="O7665" s="14"/>
      <c r="P7665" s="13"/>
    </row>
    <row r="7666">
      <c r="L7666" s="13"/>
      <c r="M7666" s="14"/>
      <c r="N7666" s="14"/>
      <c r="O7666" s="14"/>
      <c r="P7666" s="13"/>
    </row>
    <row r="7667">
      <c r="L7667" s="13"/>
      <c r="M7667" s="14"/>
      <c r="N7667" s="14"/>
      <c r="O7667" s="14"/>
      <c r="P7667" s="13"/>
    </row>
    <row r="7668">
      <c r="L7668" s="13"/>
      <c r="M7668" s="14"/>
      <c r="N7668" s="14"/>
      <c r="O7668" s="14"/>
      <c r="P7668" s="13"/>
    </row>
    <row r="7669">
      <c r="L7669" s="13"/>
      <c r="M7669" s="14"/>
      <c r="N7669" s="14"/>
      <c r="O7669" s="14"/>
      <c r="P7669" s="13"/>
    </row>
    <row r="7670">
      <c r="L7670" s="13"/>
      <c r="M7670" s="14"/>
      <c r="N7670" s="14"/>
      <c r="O7670" s="14"/>
      <c r="P7670" s="13"/>
    </row>
    <row r="7671">
      <c r="L7671" s="13"/>
      <c r="M7671" s="14"/>
      <c r="N7671" s="14"/>
      <c r="O7671" s="14"/>
      <c r="P7671" s="13"/>
    </row>
    <row r="7672">
      <c r="L7672" s="13"/>
      <c r="M7672" s="14"/>
      <c r="N7672" s="14"/>
      <c r="O7672" s="14"/>
      <c r="P7672" s="13"/>
    </row>
    <row r="7673">
      <c r="L7673" s="13"/>
      <c r="M7673" s="14"/>
      <c r="N7673" s="14"/>
      <c r="O7673" s="14"/>
      <c r="P7673" s="13"/>
    </row>
    <row r="7674">
      <c r="L7674" s="13"/>
      <c r="M7674" s="14"/>
      <c r="N7674" s="14"/>
      <c r="O7674" s="14"/>
      <c r="P7674" s="13"/>
    </row>
    <row r="7675">
      <c r="L7675" s="13"/>
      <c r="M7675" s="14"/>
      <c r="N7675" s="14"/>
      <c r="O7675" s="14"/>
      <c r="P7675" s="13"/>
    </row>
    <row r="7676">
      <c r="L7676" s="13"/>
      <c r="M7676" s="14"/>
      <c r="N7676" s="14"/>
      <c r="O7676" s="14"/>
      <c r="P7676" s="13"/>
    </row>
    <row r="7677">
      <c r="L7677" s="13"/>
      <c r="M7677" s="14"/>
      <c r="N7677" s="14"/>
      <c r="O7677" s="14"/>
      <c r="P7677" s="13"/>
    </row>
    <row r="7678">
      <c r="L7678" s="13"/>
      <c r="M7678" s="14"/>
      <c r="N7678" s="14"/>
      <c r="O7678" s="14"/>
      <c r="P7678" s="13"/>
    </row>
    <row r="7679">
      <c r="L7679" s="13"/>
      <c r="M7679" s="14"/>
      <c r="N7679" s="14"/>
      <c r="O7679" s="14"/>
      <c r="P7679" s="13"/>
    </row>
    <row r="7680">
      <c r="L7680" s="13"/>
      <c r="M7680" s="14"/>
      <c r="N7680" s="14"/>
      <c r="O7680" s="14"/>
      <c r="P7680" s="13"/>
    </row>
    <row r="7681">
      <c r="L7681" s="13"/>
      <c r="M7681" s="14"/>
      <c r="N7681" s="14"/>
      <c r="O7681" s="14"/>
      <c r="P7681" s="13"/>
    </row>
    <row r="7682">
      <c r="L7682" s="13"/>
      <c r="M7682" s="14"/>
      <c r="N7682" s="14"/>
      <c r="O7682" s="14"/>
      <c r="P7682" s="13"/>
    </row>
    <row r="7683">
      <c r="L7683" s="13"/>
      <c r="M7683" s="14"/>
      <c r="N7683" s="14"/>
      <c r="O7683" s="14"/>
      <c r="P7683" s="13"/>
    </row>
    <row r="7684">
      <c r="L7684" s="13"/>
      <c r="M7684" s="14"/>
      <c r="N7684" s="14"/>
      <c r="O7684" s="14"/>
      <c r="P7684" s="13"/>
    </row>
    <row r="7685">
      <c r="L7685" s="13"/>
      <c r="M7685" s="14"/>
      <c r="N7685" s="14"/>
      <c r="O7685" s="14"/>
      <c r="P7685" s="13"/>
    </row>
    <row r="7686">
      <c r="L7686" s="13"/>
      <c r="M7686" s="14"/>
      <c r="N7686" s="14"/>
      <c r="O7686" s="14"/>
      <c r="P7686" s="13"/>
    </row>
    <row r="7687">
      <c r="L7687" s="13"/>
      <c r="M7687" s="14"/>
      <c r="N7687" s="14"/>
      <c r="O7687" s="14"/>
      <c r="P7687" s="13"/>
    </row>
    <row r="7688">
      <c r="L7688" s="13"/>
      <c r="M7688" s="14"/>
      <c r="N7688" s="14"/>
      <c r="O7688" s="14"/>
      <c r="P7688" s="13"/>
    </row>
    <row r="7689">
      <c r="L7689" s="13"/>
      <c r="M7689" s="14"/>
      <c r="N7689" s="14"/>
      <c r="O7689" s="14"/>
      <c r="P7689" s="13"/>
    </row>
    <row r="7690">
      <c r="L7690" s="13"/>
      <c r="M7690" s="14"/>
      <c r="N7690" s="14"/>
      <c r="O7690" s="14"/>
      <c r="P7690" s="13"/>
    </row>
    <row r="7691">
      <c r="L7691" s="13"/>
      <c r="M7691" s="14"/>
      <c r="N7691" s="14"/>
      <c r="O7691" s="14"/>
      <c r="P7691" s="13"/>
    </row>
    <row r="7692">
      <c r="L7692" s="13"/>
      <c r="M7692" s="14"/>
      <c r="N7692" s="14"/>
      <c r="O7692" s="14"/>
      <c r="P7692" s="13"/>
    </row>
    <row r="7693">
      <c r="L7693" s="13"/>
      <c r="M7693" s="14"/>
      <c r="N7693" s="14"/>
      <c r="O7693" s="14"/>
      <c r="P7693" s="13"/>
    </row>
    <row r="7694">
      <c r="L7694" s="13"/>
      <c r="M7694" s="14"/>
      <c r="N7694" s="14"/>
      <c r="O7694" s="14"/>
      <c r="P7694" s="13"/>
    </row>
    <row r="7695">
      <c r="L7695" s="13"/>
      <c r="M7695" s="14"/>
      <c r="N7695" s="14"/>
      <c r="O7695" s="14"/>
      <c r="P7695" s="13"/>
    </row>
    <row r="7696">
      <c r="L7696" s="13"/>
      <c r="M7696" s="14"/>
      <c r="N7696" s="14"/>
      <c r="O7696" s="14"/>
      <c r="P7696" s="13"/>
    </row>
    <row r="7697">
      <c r="L7697" s="13"/>
      <c r="M7697" s="14"/>
      <c r="N7697" s="14"/>
      <c r="O7697" s="14"/>
      <c r="P7697" s="13"/>
    </row>
    <row r="7698">
      <c r="L7698" s="13"/>
      <c r="M7698" s="14"/>
      <c r="N7698" s="14"/>
      <c r="O7698" s="14"/>
      <c r="P7698" s="13"/>
    </row>
    <row r="7699">
      <c r="L7699" s="13"/>
      <c r="M7699" s="14"/>
      <c r="N7699" s="14"/>
      <c r="O7699" s="14"/>
      <c r="P7699" s="13"/>
    </row>
    <row r="7700">
      <c r="L7700" s="13"/>
      <c r="M7700" s="14"/>
      <c r="N7700" s="14"/>
      <c r="O7700" s="14"/>
      <c r="P7700" s="13"/>
    </row>
    <row r="7701">
      <c r="L7701" s="13"/>
      <c r="M7701" s="14"/>
      <c r="N7701" s="14"/>
      <c r="O7701" s="14"/>
      <c r="P7701" s="13"/>
    </row>
    <row r="7702">
      <c r="L7702" s="13"/>
      <c r="M7702" s="14"/>
      <c r="N7702" s="14"/>
      <c r="O7702" s="14"/>
      <c r="P7702" s="13"/>
    </row>
    <row r="7703">
      <c r="L7703" s="13"/>
      <c r="M7703" s="14"/>
      <c r="N7703" s="14"/>
      <c r="O7703" s="14"/>
      <c r="P7703" s="13"/>
    </row>
    <row r="7704">
      <c r="L7704" s="13"/>
      <c r="M7704" s="14"/>
      <c r="N7704" s="14"/>
      <c r="O7704" s="14"/>
      <c r="P7704" s="13"/>
    </row>
    <row r="7705">
      <c r="L7705" s="13"/>
      <c r="M7705" s="14"/>
      <c r="N7705" s="14"/>
      <c r="O7705" s="14"/>
      <c r="P7705" s="13"/>
    </row>
    <row r="7706">
      <c r="L7706" s="13"/>
      <c r="M7706" s="14"/>
      <c r="N7706" s="14"/>
      <c r="O7706" s="14"/>
      <c r="P7706" s="13"/>
    </row>
    <row r="7707">
      <c r="L7707" s="13"/>
      <c r="M7707" s="14"/>
      <c r="N7707" s="14"/>
      <c r="O7707" s="14"/>
      <c r="P7707" s="13"/>
    </row>
    <row r="7708">
      <c r="L7708" s="13"/>
      <c r="M7708" s="14"/>
      <c r="N7708" s="14"/>
      <c r="O7708" s="14"/>
      <c r="P7708" s="13"/>
    </row>
    <row r="7709">
      <c r="L7709" s="13"/>
      <c r="M7709" s="14"/>
      <c r="N7709" s="14"/>
      <c r="O7709" s="14"/>
      <c r="P7709" s="13"/>
    </row>
    <row r="7710">
      <c r="L7710" s="13"/>
      <c r="M7710" s="14"/>
      <c r="N7710" s="14"/>
      <c r="O7710" s="14"/>
      <c r="P7710" s="13"/>
    </row>
    <row r="7711">
      <c r="L7711" s="13"/>
      <c r="M7711" s="14"/>
      <c r="N7711" s="14"/>
      <c r="O7711" s="14"/>
      <c r="P7711" s="13"/>
    </row>
    <row r="7712">
      <c r="L7712" s="13"/>
      <c r="M7712" s="14"/>
      <c r="N7712" s="14"/>
      <c r="O7712" s="14"/>
      <c r="P7712" s="13"/>
    </row>
    <row r="7713">
      <c r="L7713" s="13"/>
      <c r="M7713" s="14"/>
      <c r="N7713" s="14"/>
      <c r="O7713" s="14"/>
      <c r="P7713" s="13"/>
    </row>
    <row r="7714">
      <c r="L7714" s="13"/>
      <c r="M7714" s="14"/>
      <c r="N7714" s="14"/>
      <c r="O7714" s="14"/>
      <c r="P7714" s="13"/>
    </row>
    <row r="7715">
      <c r="L7715" s="13"/>
      <c r="M7715" s="14"/>
      <c r="N7715" s="14"/>
      <c r="O7715" s="14"/>
      <c r="P7715" s="13"/>
    </row>
    <row r="7716">
      <c r="L7716" s="13"/>
      <c r="M7716" s="14"/>
      <c r="N7716" s="14"/>
      <c r="O7716" s="14"/>
      <c r="P7716" s="13"/>
    </row>
    <row r="7717">
      <c r="L7717" s="13"/>
      <c r="M7717" s="14"/>
      <c r="N7717" s="14"/>
      <c r="O7717" s="14"/>
      <c r="P7717" s="13"/>
    </row>
    <row r="7718">
      <c r="L7718" s="13"/>
      <c r="M7718" s="14"/>
      <c r="N7718" s="14"/>
      <c r="O7718" s="14"/>
      <c r="P7718" s="13"/>
    </row>
    <row r="7719">
      <c r="L7719" s="13"/>
      <c r="M7719" s="14"/>
      <c r="N7719" s="14"/>
      <c r="O7719" s="14"/>
      <c r="P7719" s="13"/>
    </row>
    <row r="7720">
      <c r="L7720" s="13"/>
      <c r="M7720" s="14"/>
      <c r="N7720" s="14"/>
      <c r="O7720" s="14"/>
      <c r="P7720" s="13"/>
    </row>
    <row r="7721">
      <c r="L7721" s="13"/>
      <c r="M7721" s="14"/>
      <c r="N7721" s="14"/>
      <c r="O7721" s="14"/>
      <c r="P7721" s="13"/>
    </row>
    <row r="7722">
      <c r="L7722" s="13"/>
      <c r="M7722" s="14"/>
      <c r="N7722" s="14"/>
      <c r="O7722" s="14"/>
      <c r="P7722" s="13"/>
    </row>
    <row r="7723">
      <c r="L7723" s="13"/>
      <c r="M7723" s="14"/>
      <c r="N7723" s="14"/>
      <c r="O7723" s="14"/>
      <c r="P7723" s="13"/>
    </row>
    <row r="7724">
      <c r="L7724" s="13"/>
      <c r="M7724" s="14"/>
      <c r="N7724" s="14"/>
      <c r="O7724" s="14"/>
      <c r="P7724" s="13"/>
    </row>
    <row r="7725">
      <c r="L7725" s="13"/>
      <c r="M7725" s="14"/>
      <c r="N7725" s="14"/>
      <c r="O7725" s="14"/>
      <c r="P7725" s="13"/>
    </row>
    <row r="7726">
      <c r="L7726" s="13"/>
      <c r="M7726" s="14"/>
      <c r="N7726" s="14"/>
      <c r="O7726" s="14"/>
      <c r="P7726" s="13"/>
    </row>
    <row r="7727">
      <c r="L7727" s="13"/>
      <c r="M7727" s="14"/>
      <c r="N7727" s="14"/>
      <c r="O7727" s="14"/>
      <c r="P7727" s="13"/>
    </row>
    <row r="7728">
      <c r="L7728" s="13"/>
      <c r="M7728" s="14"/>
      <c r="N7728" s="14"/>
      <c r="O7728" s="14"/>
      <c r="P7728" s="13"/>
    </row>
    <row r="7729">
      <c r="L7729" s="13"/>
      <c r="M7729" s="14"/>
      <c r="N7729" s="14"/>
      <c r="O7729" s="14"/>
      <c r="P7729" s="13"/>
    </row>
    <row r="7730">
      <c r="L7730" s="13"/>
      <c r="M7730" s="14"/>
      <c r="N7730" s="14"/>
      <c r="O7730" s="14"/>
      <c r="P7730" s="13"/>
    </row>
    <row r="7731">
      <c r="L7731" s="13"/>
      <c r="M7731" s="14"/>
      <c r="N7731" s="14"/>
      <c r="O7731" s="14"/>
      <c r="P7731" s="13"/>
    </row>
    <row r="7732">
      <c r="L7732" s="13"/>
      <c r="M7732" s="14"/>
      <c r="N7732" s="14"/>
      <c r="O7732" s="14"/>
      <c r="P7732" s="13"/>
    </row>
    <row r="7733">
      <c r="L7733" s="13"/>
      <c r="M7733" s="14"/>
      <c r="N7733" s="14"/>
      <c r="O7733" s="14"/>
      <c r="P7733" s="13"/>
    </row>
    <row r="7734">
      <c r="L7734" s="13"/>
      <c r="M7734" s="14"/>
      <c r="N7734" s="14"/>
      <c r="O7734" s="14"/>
      <c r="P7734" s="13"/>
    </row>
    <row r="7735">
      <c r="L7735" s="13"/>
      <c r="M7735" s="14"/>
      <c r="N7735" s="14"/>
      <c r="O7735" s="14"/>
      <c r="P7735" s="13"/>
    </row>
    <row r="7736">
      <c r="L7736" s="13"/>
      <c r="M7736" s="14"/>
      <c r="N7736" s="14"/>
      <c r="O7736" s="14"/>
      <c r="P7736" s="13"/>
    </row>
    <row r="7737">
      <c r="L7737" s="13"/>
      <c r="M7737" s="14"/>
      <c r="N7737" s="14"/>
      <c r="O7737" s="14"/>
      <c r="P7737" s="13"/>
    </row>
    <row r="7738">
      <c r="L7738" s="13"/>
      <c r="M7738" s="14"/>
      <c r="N7738" s="14"/>
      <c r="O7738" s="14"/>
      <c r="P7738" s="13"/>
    </row>
    <row r="7739">
      <c r="L7739" s="13"/>
      <c r="M7739" s="14"/>
      <c r="N7739" s="14"/>
      <c r="O7739" s="14"/>
      <c r="P7739" s="13"/>
    </row>
    <row r="7740">
      <c r="L7740" s="13"/>
      <c r="M7740" s="14"/>
      <c r="N7740" s="14"/>
      <c r="O7740" s="14"/>
      <c r="P7740" s="13"/>
    </row>
    <row r="7741">
      <c r="L7741" s="13"/>
      <c r="M7741" s="14"/>
      <c r="N7741" s="14"/>
      <c r="O7741" s="14"/>
      <c r="P7741" s="13"/>
    </row>
    <row r="7742">
      <c r="L7742" s="13"/>
      <c r="M7742" s="14"/>
      <c r="N7742" s="14"/>
      <c r="O7742" s="14"/>
      <c r="P7742" s="13"/>
    </row>
    <row r="7743">
      <c r="L7743" s="13"/>
      <c r="M7743" s="14"/>
      <c r="N7743" s="14"/>
      <c r="O7743" s="14"/>
      <c r="P7743" s="13"/>
    </row>
    <row r="7744">
      <c r="L7744" s="13"/>
      <c r="M7744" s="14"/>
      <c r="N7744" s="14"/>
      <c r="O7744" s="14"/>
      <c r="P7744" s="13"/>
    </row>
    <row r="7745">
      <c r="L7745" s="13"/>
      <c r="M7745" s="14"/>
      <c r="N7745" s="14"/>
      <c r="O7745" s="14"/>
      <c r="P7745" s="13"/>
    </row>
    <row r="7746">
      <c r="L7746" s="13"/>
      <c r="M7746" s="14"/>
      <c r="N7746" s="14"/>
      <c r="O7746" s="14"/>
      <c r="P7746" s="13"/>
    </row>
    <row r="7747">
      <c r="L7747" s="13"/>
      <c r="M7747" s="14"/>
      <c r="N7747" s="14"/>
      <c r="O7747" s="14"/>
      <c r="P7747" s="13"/>
    </row>
    <row r="7748">
      <c r="L7748" s="13"/>
      <c r="M7748" s="14"/>
      <c r="N7748" s="14"/>
      <c r="O7748" s="14"/>
      <c r="P7748" s="13"/>
    </row>
    <row r="7749">
      <c r="L7749" s="13"/>
      <c r="M7749" s="14"/>
      <c r="N7749" s="14"/>
      <c r="O7749" s="14"/>
      <c r="P7749" s="13"/>
    </row>
    <row r="7750">
      <c r="L7750" s="13"/>
      <c r="M7750" s="14"/>
      <c r="N7750" s="14"/>
      <c r="O7750" s="14"/>
      <c r="P7750" s="13"/>
    </row>
    <row r="7751">
      <c r="L7751" s="13"/>
      <c r="M7751" s="14"/>
      <c r="N7751" s="14"/>
      <c r="O7751" s="14"/>
      <c r="P7751" s="13"/>
    </row>
    <row r="7752">
      <c r="L7752" s="13"/>
      <c r="M7752" s="14"/>
      <c r="N7752" s="14"/>
      <c r="O7752" s="14"/>
      <c r="P7752" s="13"/>
    </row>
    <row r="7753">
      <c r="L7753" s="13"/>
      <c r="M7753" s="14"/>
      <c r="N7753" s="14"/>
      <c r="O7753" s="14"/>
      <c r="P7753" s="13"/>
    </row>
    <row r="7754">
      <c r="L7754" s="13"/>
      <c r="M7754" s="14"/>
      <c r="N7754" s="14"/>
      <c r="O7754" s="14"/>
      <c r="P7754" s="13"/>
    </row>
    <row r="7755">
      <c r="L7755" s="13"/>
      <c r="M7755" s="14"/>
      <c r="N7755" s="14"/>
      <c r="O7755" s="14"/>
      <c r="P7755" s="13"/>
    </row>
    <row r="7756">
      <c r="L7756" s="13"/>
      <c r="M7756" s="14"/>
      <c r="N7756" s="14"/>
      <c r="O7756" s="14"/>
      <c r="P7756" s="13"/>
    </row>
    <row r="7757">
      <c r="L7757" s="13"/>
      <c r="M7757" s="14"/>
      <c r="N7757" s="14"/>
      <c r="O7757" s="14"/>
      <c r="P7757" s="13"/>
    </row>
    <row r="7758">
      <c r="L7758" s="13"/>
      <c r="M7758" s="14"/>
      <c r="N7758" s="14"/>
      <c r="O7758" s="14"/>
      <c r="P7758" s="13"/>
    </row>
    <row r="7759">
      <c r="L7759" s="13"/>
      <c r="M7759" s="14"/>
      <c r="N7759" s="14"/>
      <c r="O7759" s="14"/>
      <c r="P7759" s="13"/>
    </row>
    <row r="7760">
      <c r="L7760" s="13"/>
      <c r="M7760" s="14"/>
      <c r="N7760" s="14"/>
      <c r="O7760" s="14"/>
      <c r="P7760" s="13"/>
    </row>
    <row r="7761">
      <c r="L7761" s="13"/>
      <c r="M7761" s="14"/>
      <c r="N7761" s="14"/>
      <c r="O7761" s="14"/>
      <c r="P7761" s="13"/>
    </row>
    <row r="7762">
      <c r="L7762" s="13"/>
      <c r="M7762" s="14"/>
      <c r="N7762" s="14"/>
      <c r="O7762" s="14"/>
      <c r="P7762" s="13"/>
    </row>
    <row r="7763">
      <c r="L7763" s="13"/>
      <c r="M7763" s="14"/>
      <c r="N7763" s="14"/>
      <c r="O7763" s="14"/>
      <c r="P7763" s="13"/>
    </row>
    <row r="7764">
      <c r="L7764" s="13"/>
      <c r="M7764" s="14"/>
      <c r="N7764" s="14"/>
      <c r="O7764" s="14"/>
      <c r="P7764" s="13"/>
    </row>
    <row r="7765">
      <c r="L7765" s="13"/>
      <c r="M7765" s="14"/>
      <c r="N7765" s="14"/>
      <c r="O7765" s="14"/>
      <c r="P7765" s="13"/>
    </row>
    <row r="7766">
      <c r="L7766" s="13"/>
      <c r="M7766" s="14"/>
      <c r="N7766" s="14"/>
      <c r="O7766" s="14"/>
      <c r="P7766" s="13"/>
    </row>
    <row r="7767">
      <c r="L7767" s="13"/>
      <c r="M7767" s="14"/>
      <c r="N7767" s="14"/>
      <c r="O7767" s="14"/>
      <c r="P7767" s="13"/>
    </row>
    <row r="7768">
      <c r="L7768" s="13"/>
      <c r="M7768" s="14"/>
      <c r="N7768" s="14"/>
      <c r="O7768" s="14"/>
      <c r="P7768" s="13"/>
    </row>
    <row r="7769">
      <c r="L7769" s="13"/>
      <c r="M7769" s="14"/>
      <c r="N7769" s="14"/>
      <c r="O7769" s="14"/>
      <c r="P7769" s="13"/>
    </row>
    <row r="7770">
      <c r="L7770" s="13"/>
      <c r="M7770" s="14"/>
      <c r="N7770" s="14"/>
      <c r="O7770" s="14"/>
      <c r="P7770" s="13"/>
    </row>
    <row r="7771">
      <c r="L7771" s="13"/>
      <c r="M7771" s="14"/>
      <c r="N7771" s="14"/>
      <c r="O7771" s="14"/>
      <c r="P7771" s="13"/>
    </row>
    <row r="7772">
      <c r="L7772" s="13"/>
      <c r="M7772" s="14"/>
      <c r="N7772" s="14"/>
      <c r="O7772" s="14"/>
      <c r="P7772" s="13"/>
    </row>
    <row r="7773">
      <c r="L7773" s="13"/>
      <c r="M7773" s="14"/>
      <c r="N7773" s="14"/>
      <c r="O7773" s="14"/>
      <c r="P7773" s="13"/>
    </row>
    <row r="7774">
      <c r="L7774" s="13"/>
      <c r="M7774" s="14"/>
      <c r="N7774" s="14"/>
      <c r="O7774" s="14"/>
      <c r="P7774" s="13"/>
    </row>
    <row r="7775">
      <c r="L7775" s="13"/>
      <c r="M7775" s="14"/>
      <c r="N7775" s="14"/>
      <c r="O7775" s="14"/>
      <c r="P7775" s="13"/>
    </row>
    <row r="7776">
      <c r="L7776" s="13"/>
      <c r="M7776" s="14"/>
      <c r="N7776" s="14"/>
      <c r="O7776" s="14"/>
      <c r="P7776" s="13"/>
    </row>
    <row r="7777">
      <c r="L7777" s="13"/>
      <c r="M7777" s="14"/>
      <c r="N7777" s="14"/>
      <c r="O7777" s="14"/>
      <c r="P7777" s="13"/>
    </row>
    <row r="7778">
      <c r="L7778" s="13"/>
      <c r="M7778" s="14"/>
      <c r="N7778" s="14"/>
      <c r="O7778" s="14"/>
      <c r="P7778" s="13"/>
    </row>
    <row r="7779">
      <c r="L7779" s="13"/>
      <c r="M7779" s="14"/>
      <c r="N7779" s="14"/>
      <c r="O7779" s="14"/>
      <c r="P7779" s="13"/>
    </row>
    <row r="7780">
      <c r="L7780" s="13"/>
      <c r="M7780" s="14"/>
      <c r="N7780" s="14"/>
      <c r="O7780" s="14"/>
      <c r="P7780" s="13"/>
    </row>
    <row r="7781">
      <c r="L7781" s="13"/>
      <c r="M7781" s="14"/>
      <c r="N7781" s="14"/>
      <c r="O7781" s="14"/>
      <c r="P7781" s="13"/>
    </row>
    <row r="7782">
      <c r="L7782" s="13"/>
      <c r="M7782" s="14"/>
      <c r="N7782" s="14"/>
      <c r="O7782" s="14"/>
      <c r="P7782" s="13"/>
    </row>
    <row r="7783">
      <c r="L7783" s="13"/>
      <c r="M7783" s="14"/>
      <c r="N7783" s="14"/>
      <c r="O7783" s="14"/>
      <c r="P7783" s="13"/>
    </row>
    <row r="7784">
      <c r="L7784" s="13"/>
      <c r="M7784" s="14"/>
      <c r="N7784" s="14"/>
      <c r="O7784" s="14"/>
      <c r="P7784" s="13"/>
    </row>
    <row r="7785">
      <c r="L7785" s="13"/>
      <c r="M7785" s="14"/>
      <c r="N7785" s="14"/>
      <c r="O7785" s="14"/>
      <c r="P7785" s="13"/>
    </row>
    <row r="7786">
      <c r="L7786" s="13"/>
      <c r="M7786" s="14"/>
      <c r="N7786" s="14"/>
      <c r="O7786" s="14"/>
      <c r="P7786" s="13"/>
    </row>
    <row r="7787">
      <c r="L7787" s="13"/>
      <c r="M7787" s="14"/>
      <c r="N7787" s="14"/>
      <c r="O7787" s="14"/>
      <c r="P7787" s="13"/>
    </row>
    <row r="7788">
      <c r="L7788" s="13"/>
      <c r="M7788" s="14"/>
      <c r="N7788" s="14"/>
      <c r="O7788" s="14"/>
      <c r="P7788" s="13"/>
    </row>
    <row r="7789">
      <c r="L7789" s="13"/>
      <c r="M7789" s="14"/>
      <c r="N7789" s="14"/>
      <c r="O7789" s="14"/>
      <c r="P7789" s="13"/>
    </row>
    <row r="7790">
      <c r="L7790" s="13"/>
      <c r="M7790" s="14"/>
      <c r="N7790" s="14"/>
      <c r="O7790" s="14"/>
      <c r="P7790" s="13"/>
    </row>
    <row r="7791">
      <c r="L7791" s="13"/>
      <c r="M7791" s="14"/>
      <c r="N7791" s="14"/>
      <c r="O7791" s="14"/>
      <c r="P7791" s="13"/>
    </row>
    <row r="7792">
      <c r="L7792" s="13"/>
      <c r="M7792" s="14"/>
      <c r="N7792" s="14"/>
      <c r="O7792" s="14"/>
      <c r="P7792" s="13"/>
    </row>
    <row r="7793">
      <c r="L7793" s="13"/>
      <c r="M7793" s="14"/>
      <c r="N7793" s="14"/>
      <c r="O7793" s="14"/>
      <c r="P7793" s="13"/>
    </row>
    <row r="7794">
      <c r="L7794" s="13"/>
      <c r="M7794" s="14"/>
      <c r="N7794" s="14"/>
      <c r="O7794" s="14"/>
      <c r="P7794" s="13"/>
    </row>
    <row r="7795">
      <c r="L7795" s="13"/>
      <c r="M7795" s="14"/>
      <c r="N7795" s="14"/>
      <c r="O7795" s="14"/>
      <c r="P7795" s="13"/>
    </row>
    <row r="7796">
      <c r="L7796" s="13"/>
      <c r="M7796" s="14"/>
      <c r="N7796" s="14"/>
      <c r="O7796" s="14"/>
      <c r="P7796" s="13"/>
    </row>
    <row r="7797">
      <c r="L7797" s="13"/>
      <c r="M7797" s="14"/>
      <c r="N7797" s="14"/>
      <c r="O7797" s="14"/>
      <c r="P7797" s="13"/>
    </row>
    <row r="7798">
      <c r="L7798" s="13"/>
      <c r="M7798" s="14"/>
      <c r="N7798" s="14"/>
      <c r="O7798" s="14"/>
      <c r="P7798" s="13"/>
    </row>
    <row r="7799">
      <c r="L7799" s="13"/>
      <c r="M7799" s="14"/>
      <c r="N7799" s="14"/>
      <c r="O7799" s="14"/>
      <c r="P7799" s="13"/>
    </row>
    <row r="7800">
      <c r="L7800" s="13"/>
      <c r="M7800" s="14"/>
      <c r="N7800" s="14"/>
      <c r="O7800" s="14"/>
      <c r="P7800" s="13"/>
    </row>
    <row r="7801">
      <c r="L7801" s="13"/>
      <c r="M7801" s="14"/>
      <c r="N7801" s="14"/>
      <c r="O7801" s="14"/>
      <c r="P7801" s="13"/>
    </row>
    <row r="7802">
      <c r="L7802" s="13"/>
      <c r="M7802" s="14"/>
      <c r="N7802" s="14"/>
      <c r="O7802" s="14"/>
      <c r="P7802" s="13"/>
    </row>
    <row r="7803">
      <c r="L7803" s="13"/>
      <c r="M7803" s="14"/>
      <c r="N7803" s="14"/>
      <c r="O7803" s="14"/>
      <c r="P7803" s="13"/>
    </row>
    <row r="7804">
      <c r="L7804" s="13"/>
      <c r="M7804" s="14"/>
      <c r="N7804" s="14"/>
      <c r="O7804" s="14"/>
      <c r="P7804" s="13"/>
    </row>
    <row r="7805">
      <c r="L7805" s="13"/>
      <c r="M7805" s="14"/>
      <c r="N7805" s="14"/>
      <c r="O7805" s="14"/>
      <c r="P7805" s="13"/>
    </row>
    <row r="7806">
      <c r="L7806" s="13"/>
      <c r="M7806" s="14"/>
      <c r="N7806" s="14"/>
      <c r="O7806" s="14"/>
      <c r="P7806" s="13"/>
    </row>
    <row r="7807">
      <c r="L7807" s="13"/>
      <c r="M7807" s="14"/>
      <c r="N7807" s="14"/>
      <c r="O7807" s="14"/>
      <c r="P7807" s="13"/>
    </row>
    <row r="7808">
      <c r="L7808" s="13"/>
      <c r="M7808" s="14"/>
      <c r="N7808" s="14"/>
      <c r="O7808" s="14"/>
      <c r="P7808" s="13"/>
    </row>
    <row r="7809">
      <c r="L7809" s="13"/>
      <c r="M7809" s="14"/>
      <c r="N7809" s="14"/>
      <c r="O7809" s="14"/>
      <c r="P7809" s="13"/>
    </row>
    <row r="7810">
      <c r="L7810" s="13"/>
      <c r="M7810" s="14"/>
      <c r="N7810" s="14"/>
      <c r="O7810" s="14"/>
      <c r="P7810" s="13"/>
    </row>
    <row r="7811">
      <c r="L7811" s="13"/>
      <c r="M7811" s="14"/>
      <c r="N7811" s="14"/>
      <c r="O7811" s="14"/>
      <c r="P7811" s="13"/>
    </row>
    <row r="7812">
      <c r="L7812" s="13"/>
      <c r="M7812" s="14"/>
      <c r="N7812" s="14"/>
      <c r="O7812" s="14"/>
      <c r="P7812" s="13"/>
    </row>
    <row r="7813">
      <c r="L7813" s="13"/>
      <c r="M7813" s="14"/>
      <c r="N7813" s="14"/>
      <c r="O7813" s="14"/>
      <c r="P7813" s="13"/>
    </row>
    <row r="7814">
      <c r="L7814" s="13"/>
      <c r="M7814" s="14"/>
      <c r="N7814" s="14"/>
      <c r="O7814" s="14"/>
      <c r="P7814" s="13"/>
    </row>
    <row r="7815">
      <c r="L7815" s="13"/>
      <c r="M7815" s="14"/>
      <c r="N7815" s="14"/>
      <c r="O7815" s="14"/>
      <c r="P7815" s="13"/>
    </row>
    <row r="7816">
      <c r="L7816" s="13"/>
      <c r="M7816" s="14"/>
      <c r="N7816" s="14"/>
      <c r="O7816" s="14"/>
      <c r="P7816" s="13"/>
    </row>
    <row r="7817">
      <c r="L7817" s="13"/>
      <c r="M7817" s="14"/>
      <c r="N7817" s="14"/>
      <c r="O7817" s="14"/>
      <c r="P7817" s="13"/>
    </row>
    <row r="7818">
      <c r="L7818" s="13"/>
      <c r="M7818" s="14"/>
      <c r="N7818" s="14"/>
      <c r="O7818" s="14"/>
      <c r="P7818" s="13"/>
    </row>
    <row r="7819">
      <c r="L7819" s="13"/>
      <c r="M7819" s="14"/>
      <c r="N7819" s="14"/>
      <c r="O7819" s="14"/>
      <c r="P7819" s="13"/>
    </row>
    <row r="7820">
      <c r="L7820" s="13"/>
      <c r="M7820" s="14"/>
      <c r="N7820" s="14"/>
      <c r="O7820" s="14"/>
      <c r="P7820" s="13"/>
    </row>
    <row r="7821">
      <c r="L7821" s="13"/>
      <c r="M7821" s="14"/>
      <c r="N7821" s="14"/>
      <c r="O7821" s="14"/>
      <c r="P7821" s="13"/>
    </row>
    <row r="7822">
      <c r="L7822" s="13"/>
      <c r="M7822" s="14"/>
      <c r="N7822" s="14"/>
      <c r="O7822" s="14"/>
      <c r="P7822" s="13"/>
    </row>
    <row r="7823">
      <c r="L7823" s="13"/>
      <c r="M7823" s="14"/>
      <c r="N7823" s="14"/>
      <c r="O7823" s="14"/>
      <c r="P7823" s="13"/>
    </row>
    <row r="7824">
      <c r="L7824" s="13"/>
      <c r="M7824" s="14"/>
      <c r="N7824" s="14"/>
      <c r="O7824" s="14"/>
      <c r="P7824" s="13"/>
    </row>
    <row r="7825">
      <c r="L7825" s="13"/>
      <c r="M7825" s="14"/>
      <c r="N7825" s="14"/>
      <c r="O7825" s="14"/>
      <c r="P7825" s="13"/>
    </row>
    <row r="7826">
      <c r="L7826" s="13"/>
      <c r="M7826" s="14"/>
      <c r="N7826" s="14"/>
      <c r="O7826" s="14"/>
      <c r="P7826" s="13"/>
    </row>
    <row r="7827">
      <c r="L7827" s="13"/>
      <c r="M7827" s="14"/>
      <c r="N7827" s="14"/>
      <c r="O7827" s="14"/>
      <c r="P7827" s="13"/>
    </row>
    <row r="7828">
      <c r="L7828" s="13"/>
      <c r="M7828" s="14"/>
      <c r="N7828" s="14"/>
      <c r="O7828" s="14"/>
      <c r="P7828" s="13"/>
    </row>
    <row r="7829">
      <c r="L7829" s="13"/>
      <c r="M7829" s="14"/>
      <c r="N7829" s="14"/>
      <c r="O7829" s="14"/>
      <c r="P7829" s="13"/>
    </row>
    <row r="7830">
      <c r="L7830" s="13"/>
      <c r="M7830" s="14"/>
      <c r="N7830" s="14"/>
      <c r="O7830" s="14"/>
      <c r="P7830" s="13"/>
    </row>
    <row r="7831">
      <c r="L7831" s="13"/>
      <c r="M7831" s="14"/>
      <c r="N7831" s="14"/>
      <c r="O7831" s="14"/>
      <c r="P7831" s="13"/>
    </row>
    <row r="7832">
      <c r="L7832" s="13"/>
      <c r="M7832" s="14"/>
      <c r="N7832" s="14"/>
      <c r="O7832" s="14"/>
      <c r="P7832" s="13"/>
    </row>
    <row r="7833">
      <c r="L7833" s="13"/>
      <c r="M7833" s="14"/>
      <c r="N7833" s="14"/>
      <c r="O7833" s="14"/>
      <c r="P7833" s="13"/>
    </row>
    <row r="7834">
      <c r="L7834" s="13"/>
      <c r="M7834" s="14"/>
      <c r="N7834" s="14"/>
      <c r="O7834" s="14"/>
      <c r="P7834" s="13"/>
    </row>
    <row r="7835">
      <c r="L7835" s="13"/>
      <c r="M7835" s="14"/>
      <c r="N7835" s="14"/>
      <c r="O7835" s="14"/>
      <c r="P7835" s="13"/>
    </row>
    <row r="7836">
      <c r="L7836" s="13"/>
      <c r="M7836" s="14"/>
      <c r="N7836" s="14"/>
      <c r="O7836" s="14"/>
      <c r="P7836" s="13"/>
    </row>
    <row r="7837">
      <c r="L7837" s="13"/>
      <c r="M7837" s="14"/>
      <c r="N7837" s="14"/>
      <c r="O7837" s="14"/>
      <c r="P7837" s="13"/>
    </row>
    <row r="7838">
      <c r="L7838" s="13"/>
      <c r="M7838" s="14"/>
      <c r="N7838" s="14"/>
      <c r="O7838" s="14"/>
      <c r="P7838" s="13"/>
    </row>
    <row r="7839">
      <c r="L7839" s="13"/>
      <c r="M7839" s="14"/>
      <c r="N7839" s="14"/>
      <c r="O7839" s="14"/>
      <c r="P7839" s="13"/>
    </row>
    <row r="7840">
      <c r="L7840" s="13"/>
      <c r="M7840" s="14"/>
      <c r="N7840" s="14"/>
      <c r="O7840" s="14"/>
      <c r="P7840" s="13"/>
    </row>
    <row r="7841">
      <c r="L7841" s="13"/>
      <c r="M7841" s="14"/>
      <c r="N7841" s="14"/>
      <c r="O7841" s="14"/>
      <c r="P7841" s="13"/>
    </row>
    <row r="7842">
      <c r="L7842" s="13"/>
      <c r="M7842" s="14"/>
      <c r="N7842" s="14"/>
      <c r="O7842" s="14"/>
      <c r="P7842" s="13"/>
    </row>
    <row r="7843">
      <c r="L7843" s="13"/>
      <c r="M7843" s="14"/>
      <c r="N7843" s="14"/>
      <c r="O7843" s="14"/>
      <c r="P7843" s="13"/>
    </row>
    <row r="7844">
      <c r="L7844" s="13"/>
      <c r="M7844" s="14"/>
      <c r="N7844" s="14"/>
      <c r="O7844" s="14"/>
      <c r="P7844" s="13"/>
    </row>
    <row r="7845">
      <c r="L7845" s="13"/>
      <c r="M7845" s="14"/>
      <c r="N7845" s="14"/>
      <c r="O7845" s="14"/>
      <c r="P7845" s="13"/>
    </row>
    <row r="7846">
      <c r="L7846" s="13"/>
      <c r="M7846" s="14"/>
      <c r="N7846" s="14"/>
      <c r="O7846" s="14"/>
      <c r="P7846" s="13"/>
    </row>
    <row r="7847">
      <c r="L7847" s="13"/>
      <c r="M7847" s="14"/>
      <c r="N7847" s="14"/>
      <c r="O7847" s="14"/>
      <c r="P7847" s="13"/>
    </row>
    <row r="7848">
      <c r="L7848" s="13"/>
      <c r="M7848" s="14"/>
      <c r="N7848" s="14"/>
      <c r="O7848" s="14"/>
      <c r="P7848" s="13"/>
    </row>
    <row r="7849">
      <c r="L7849" s="13"/>
      <c r="M7849" s="14"/>
      <c r="N7849" s="14"/>
      <c r="O7849" s="14"/>
      <c r="P7849" s="13"/>
    </row>
    <row r="7850">
      <c r="L7850" s="13"/>
      <c r="M7850" s="14"/>
      <c r="N7850" s="14"/>
      <c r="O7850" s="14"/>
      <c r="P7850" s="13"/>
    </row>
    <row r="7851">
      <c r="L7851" s="13"/>
      <c r="M7851" s="14"/>
      <c r="N7851" s="14"/>
      <c r="O7851" s="14"/>
      <c r="P7851" s="13"/>
    </row>
    <row r="7852">
      <c r="L7852" s="13"/>
      <c r="M7852" s="14"/>
      <c r="N7852" s="14"/>
      <c r="O7852" s="14"/>
      <c r="P7852" s="13"/>
    </row>
    <row r="7853">
      <c r="L7853" s="13"/>
      <c r="M7853" s="14"/>
      <c r="N7853" s="14"/>
      <c r="O7853" s="14"/>
      <c r="P7853" s="13"/>
    </row>
    <row r="7854">
      <c r="L7854" s="13"/>
      <c r="M7854" s="14"/>
      <c r="N7854" s="14"/>
      <c r="O7854" s="14"/>
      <c r="P7854" s="13"/>
    </row>
    <row r="7855">
      <c r="L7855" s="13"/>
      <c r="M7855" s="14"/>
      <c r="N7855" s="14"/>
      <c r="O7855" s="14"/>
      <c r="P7855" s="13"/>
    </row>
    <row r="7856">
      <c r="L7856" s="13"/>
      <c r="M7856" s="14"/>
      <c r="N7856" s="14"/>
      <c r="O7856" s="14"/>
      <c r="P7856" s="13"/>
    </row>
    <row r="7857">
      <c r="L7857" s="13"/>
      <c r="M7857" s="14"/>
      <c r="N7857" s="14"/>
      <c r="O7857" s="14"/>
      <c r="P7857" s="13"/>
    </row>
    <row r="7858">
      <c r="L7858" s="13"/>
      <c r="M7858" s="14"/>
      <c r="N7858" s="14"/>
      <c r="O7858" s="14"/>
      <c r="P7858" s="13"/>
    </row>
    <row r="7859">
      <c r="L7859" s="13"/>
      <c r="M7859" s="14"/>
      <c r="N7859" s="14"/>
      <c r="O7859" s="14"/>
      <c r="P7859" s="13"/>
    </row>
    <row r="7860">
      <c r="L7860" s="13"/>
      <c r="M7860" s="14"/>
      <c r="N7860" s="14"/>
      <c r="O7860" s="14"/>
      <c r="P7860" s="13"/>
    </row>
    <row r="7861">
      <c r="L7861" s="13"/>
      <c r="M7861" s="14"/>
      <c r="N7861" s="14"/>
      <c r="O7861" s="14"/>
      <c r="P7861" s="13"/>
    </row>
    <row r="7862">
      <c r="L7862" s="13"/>
      <c r="M7862" s="14"/>
      <c r="N7862" s="14"/>
      <c r="O7862" s="14"/>
      <c r="P7862" s="13"/>
    </row>
    <row r="7863">
      <c r="L7863" s="13"/>
      <c r="M7863" s="14"/>
      <c r="N7863" s="14"/>
      <c r="O7863" s="14"/>
      <c r="P7863" s="13"/>
    </row>
    <row r="7864">
      <c r="L7864" s="13"/>
      <c r="M7864" s="14"/>
      <c r="N7864" s="14"/>
      <c r="O7864" s="14"/>
      <c r="P7864" s="13"/>
    </row>
    <row r="7865">
      <c r="L7865" s="13"/>
      <c r="M7865" s="14"/>
      <c r="N7865" s="14"/>
      <c r="O7865" s="14"/>
      <c r="P7865" s="13"/>
    </row>
    <row r="7866">
      <c r="L7866" s="13"/>
      <c r="M7866" s="14"/>
      <c r="N7866" s="14"/>
      <c r="O7866" s="14"/>
      <c r="P7866" s="13"/>
    </row>
    <row r="7867">
      <c r="L7867" s="13"/>
      <c r="M7867" s="14"/>
      <c r="N7867" s="14"/>
      <c r="O7867" s="14"/>
      <c r="P7867" s="13"/>
    </row>
    <row r="7868">
      <c r="L7868" s="13"/>
      <c r="M7868" s="14"/>
      <c r="N7868" s="14"/>
      <c r="O7868" s="14"/>
      <c r="P7868" s="13"/>
    </row>
    <row r="7869">
      <c r="L7869" s="13"/>
      <c r="M7869" s="14"/>
      <c r="N7869" s="14"/>
      <c r="O7869" s="14"/>
      <c r="P7869" s="13"/>
    </row>
    <row r="7870">
      <c r="L7870" s="13"/>
      <c r="M7870" s="14"/>
      <c r="N7870" s="14"/>
      <c r="O7870" s="14"/>
      <c r="P7870" s="13"/>
    </row>
    <row r="7871">
      <c r="L7871" s="13"/>
      <c r="M7871" s="14"/>
      <c r="N7871" s="14"/>
      <c r="O7871" s="14"/>
      <c r="P7871" s="13"/>
    </row>
    <row r="7872">
      <c r="L7872" s="13"/>
      <c r="M7872" s="14"/>
      <c r="N7872" s="14"/>
      <c r="O7872" s="14"/>
      <c r="P7872" s="13"/>
    </row>
    <row r="7873">
      <c r="L7873" s="13"/>
      <c r="M7873" s="14"/>
      <c r="N7873" s="14"/>
      <c r="O7873" s="14"/>
      <c r="P7873" s="13"/>
    </row>
    <row r="7874">
      <c r="L7874" s="13"/>
      <c r="M7874" s="14"/>
      <c r="N7874" s="14"/>
      <c r="O7874" s="14"/>
      <c r="P7874" s="13"/>
    </row>
    <row r="7875">
      <c r="L7875" s="13"/>
      <c r="M7875" s="14"/>
      <c r="N7875" s="14"/>
      <c r="O7875" s="14"/>
      <c r="P7875" s="13"/>
    </row>
    <row r="7876">
      <c r="L7876" s="13"/>
      <c r="M7876" s="14"/>
      <c r="N7876" s="14"/>
      <c r="O7876" s="14"/>
      <c r="P7876" s="13"/>
    </row>
    <row r="7877">
      <c r="L7877" s="13"/>
      <c r="M7877" s="14"/>
      <c r="N7877" s="14"/>
      <c r="O7877" s="14"/>
      <c r="P7877" s="13"/>
    </row>
    <row r="7878">
      <c r="L7878" s="13"/>
      <c r="M7878" s="14"/>
      <c r="N7878" s="14"/>
      <c r="O7878" s="14"/>
      <c r="P7878" s="13"/>
    </row>
    <row r="7879">
      <c r="L7879" s="13"/>
      <c r="M7879" s="14"/>
      <c r="N7879" s="14"/>
      <c r="O7879" s="14"/>
      <c r="P7879" s="13"/>
    </row>
    <row r="7880">
      <c r="L7880" s="13"/>
      <c r="M7880" s="14"/>
      <c r="N7880" s="14"/>
      <c r="O7880" s="14"/>
      <c r="P7880" s="13"/>
    </row>
    <row r="7881">
      <c r="L7881" s="13"/>
      <c r="M7881" s="14"/>
      <c r="N7881" s="14"/>
      <c r="O7881" s="14"/>
      <c r="P7881" s="13"/>
    </row>
    <row r="7882">
      <c r="L7882" s="13"/>
      <c r="M7882" s="14"/>
      <c r="N7882" s="14"/>
      <c r="O7882" s="14"/>
      <c r="P7882" s="13"/>
    </row>
    <row r="7883">
      <c r="L7883" s="13"/>
      <c r="M7883" s="14"/>
      <c r="N7883" s="14"/>
      <c r="O7883" s="14"/>
      <c r="P7883" s="13"/>
    </row>
    <row r="7884">
      <c r="L7884" s="13"/>
      <c r="M7884" s="14"/>
      <c r="N7884" s="14"/>
      <c r="O7884" s="14"/>
      <c r="P7884" s="13"/>
    </row>
    <row r="7885">
      <c r="L7885" s="13"/>
      <c r="M7885" s="14"/>
      <c r="N7885" s="14"/>
      <c r="O7885" s="14"/>
      <c r="P7885" s="13"/>
    </row>
    <row r="7886">
      <c r="L7886" s="13"/>
      <c r="M7886" s="14"/>
      <c r="N7886" s="14"/>
      <c r="O7886" s="14"/>
      <c r="P7886" s="13"/>
    </row>
    <row r="7887">
      <c r="L7887" s="13"/>
      <c r="M7887" s="14"/>
      <c r="N7887" s="14"/>
      <c r="O7887" s="14"/>
      <c r="P7887" s="13"/>
    </row>
    <row r="7888">
      <c r="L7888" s="13"/>
      <c r="M7888" s="14"/>
      <c r="N7888" s="14"/>
      <c r="O7888" s="14"/>
      <c r="P7888" s="13"/>
    </row>
    <row r="7889">
      <c r="L7889" s="13"/>
      <c r="M7889" s="14"/>
      <c r="N7889" s="14"/>
      <c r="O7889" s="14"/>
      <c r="P7889" s="13"/>
    </row>
    <row r="7890">
      <c r="L7890" s="13"/>
      <c r="M7890" s="14"/>
      <c r="N7890" s="14"/>
      <c r="O7890" s="14"/>
      <c r="P7890" s="13"/>
    </row>
    <row r="7891">
      <c r="L7891" s="13"/>
      <c r="M7891" s="14"/>
      <c r="N7891" s="14"/>
      <c r="O7891" s="14"/>
      <c r="P7891" s="13"/>
    </row>
    <row r="7892">
      <c r="L7892" s="13"/>
      <c r="M7892" s="14"/>
      <c r="N7892" s="14"/>
      <c r="O7892" s="14"/>
      <c r="P7892" s="13"/>
    </row>
    <row r="7893">
      <c r="L7893" s="13"/>
      <c r="M7893" s="14"/>
      <c r="N7893" s="14"/>
      <c r="O7893" s="14"/>
      <c r="P7893" s="13"/>
    </row>
    <row r="7894">
      <c r="L7894" s="13"/>
      <c r="M7894" s="14"/>
      <c r="N7894" s="14"/>
      <c r="O7894" s="14"/>
      <c r="P7894" s="13"/>
    </row>
    <row r="7895">
      <c r="L7895" s="13"/>
      <c r="M7895" s="14"/>
      <c r="N7895" s="14"/>
      <c r="O7895" s="14"/>
      <c r="P7895" s="13"/>
    </row>
    <row r="7896">
      <c r="L7896" s="13"/>
      <c r="M7896" s="14"/>
      <c r="N7896" s="14"/>
      <c r="O7896" s="14"/>
      <c r="P7896" s="13"/>
    </row>
    <row r="7897">
      <c r="L7897" s="13"/>
      <c r="M7897" s="14"/>
      <c r="N7897" s="14"/>
      <c r="O7897" s="14"/>
      <c r="P7897" s="13"/>
    </row>
    <row r="7898">
      <c r="L7898" s="13"/>
      <c r="M7898" s="14"/>
      <c r="N7898" s="14"/>
      <c r="O7898" s="14"/>
      <c r="P7898" s="13"/>
    </row>
    <row r="7899">
      <c r="L7899" s="13"/>
      <c r="M7899" s="14"/>
      <c r="N7899" s="14"/>
      <c r="O7899" s="14"/>
      <c r="P7899" s="13"/>
    </row>
    <row r="7900">
      <c r="L7900" s="13"/>
      <c r="M7900" s="14"/>
      <c r="N7900" s="14"/>
      <c r="O7900" s="14"/>
      <c r="P7900" s="13"/>
    </row>
    <row r="7901">
      <c r="L7901" s="13"/>
      <c r="M7901" s="14"/>
      <c r="N7901" s="14"/>
      <c r="O7901" s="14"/>
      <c r="P7901" s="13"/>
    </row>
    <row r="7902">
      <c r="L7902" s="13"/>
      <c r="M7902" s="14"/>
      <c r="N7902" s="14"/>
      <c r="O7902" s="14"/>
      <c r="P7902" s="13"/>
    </row>
    <row r="7903">
      <c r="L7903" s="13"/>
      <c r="M7903" s="14"/>
      <c r="N7903" s="14"/>
      <c r="O7903" s="14"/>
      <c r="P7903" s="13"/>
    </row>
    <row r="7904">
      <c r="L7904" s="13"/>
      <c r="M7904" s="14"/>
      <c r="N7904" s="14"/>
      <c r="O7904" s="14"/>
      <c r="P7904" s="13"/>
    </row>
    <row r="7905">
      <c r="L7905" s="13"/>
      <c r="M7905" s="14"/>
      <c r="N7905" s="14"/>
      <c r="O7905" s="14"/>
      <c r="P7905" s="13"/>
    </row>
    <row r="7906">
      <c r="L7906" s="13"/>
      <c r="M7906" s="14"/>
      <c r="N7906" s="14"/>
      <c r="O7906" s="14"/>
      <c r="P7906" s="13"/>
    </row>
    <row r="7907">
      <c r="L7907" s="13"/>
      <c r="M7907" s="14"/>
      <c r="N7907" s="14"/>
      <c r="O7907" s="14"/>
      <c r="P7907" s="13"/>
    </row>
    <row r="7908">
      <c r="L7908" s="13"/>
      <c r="M7908" s="14"/>
      <c r="N7908" s="14"/>
      <c r="O7908" s="14"/>
      <c r="P7908" s="13"/>
    </row>
    <row r="7909">
      <c r="L7909" s="13"/>
      <c r="M7909" s="14"/>
      <c r="N7909" s="14"/>
      <c r="O7909" s="14"/>
      <c r="P7909" s="13"/>
    </row>
    <row r="7910">
      <c r="L7910" s="13"/>
      <c r="M7910" s="14"/>
      <c r="N7910" s="14"/>
      <c r="O7910" s="14"/>
      <c r="P7910" s="13"/>
    </row>
    <row r="7911">
      <c r="L7911" s="13"/>
      <c r="M7911" s="14"/>
      <c r="N7911" s="14"/>
      <c r="O7911" s="14"/>
      <c r="P7911" s="13"/>
    </row>
    <row r="7912">
      <c r="L7912" s="13"/>
      <c r="M7912" s="14"/>
      <c r="N7912" s="14"/>
      <c r="O7912" s="14"/>
      <c r="P7912" s="13"/>
    </row>
    <row r="7913">
      <c r="L7913" s="13"/>
      <c r="M7913" s="14"/>
      <c r="N7913" s="14"/>
      <c r="O7913" s="14"/>
      <c r="P7913" s="13"/>
    </row>
    <row r="7914">
      <c r="L7914" s="13"/>
      <c r="M7914" s="14"/>
      <c r="N7914" s="14"/>
      <c r="O7914" s="14"/>
      <c r="P7914" s="13"/>
    </row>
    <row r="7915">
      <c r="L7915" s="13"/>
      <c r="M7915" s="14"/>
      <c r="N7915" s="14"/>
      <c r="O7915" s="14"/>
      <c r="P7915" s="13"/>
    </row>
    <row r="7916">
      <c r="L7916" s="13"/>
      <c r="M7916" s="14"/>
      <c r="N7916" s="14"/>
      <c r="O7916" s="14"/>
      <c r="P7916" s="13"/>
    </row>
    <row r="7917">
      <c r="L7917" s="13"/>
      <c r="M7917" s="14"/>
      <c r="N7917" s="14"/>
      <c r="O7917" s="14"/>
      <c r="P7917" s="13"/>
    </row>
    <row r="7918">
      <c r="L7918" s="13"/>
      <c r="M7918" s="14"/>
      <c r="N7918" s="14"/>
      <c r="O7918" s="14"/>
      <c r="P7918" s="13"/>
    </row>
    <row r="7919">
      <c r="L7919" s="13"/>
      <c r="M7919" s="14"/>
      <c r="N7919" s="14"/>
      <c r="O7919" s="14"/>
      <c r="P7919" s="13"/>
    </row>
    <row r="7920">
      <c r="L7920" s="13"/>
      <c r="M7920" s="14"/>
      <c r="N7920" s="14"/>
      <c r="O7920" s="14"/>
      <c r="P7920" s="13"/>
    </row>
    <row r="7921">
      <c r="L7921" s="13"/>
      <c r="M7921" s="14"/>
      <c r="N7921" s="14"/>
      <c r="O7921" s="14"/>
      <c r="P7921" s="13"/>
    </row>
    <row r="7922">
      <c r="L7922" s="13"/>
      <c r="M7922" s="14"/>
      <c r="N7922" s="14"/>
      <c r="O7922" s="14"/>
      <c r="P7922" s="13"/>
    </row>
    <row r="7923">
      <c r="L7923" s="13"/>
      <c r="M7923" s="14"/>
      <c r="N7923" s="14"/>
      <c r="O7923" s="14"/>
      <c r="P7923" s="13"/>
    </row>
    <row r="7924">
      <c r="L7924" s="13"/>
      <c r="M7924" s="14"/>
      <c r="N7924" s="14"/>
      <c r="O7924" s="14"/>
      <c r="P7924" s="13"/>
    </row>
    <row r="7925">
      <c r="L7925" s="13"/>
      <c r="M7925" s="14"/>
      <c r="N7925" s="14"/>
      <c r="O7925" s="14"/>
      <c r="P7925" s="13"/>
    </row>
    <row r="7926">
      <c r="L7926" s="13"/>
      <c r="M7926" s="14"/>
      <c r="N7926" s="14"/>
      <c r="O7926" s="14"/>
      <c r="P7926" s="13"/>
    </row>
    <row r="7927">
      <c r="L7927" s="13"/>
      <c r="M7927" s="14"/>
      <c r="N7927" s="14"/>
      <c r="O7927" s="14"/>
      <c r="P7927" s="13"/>
    </row>
    <row r="7928">
      <c r="L7928" s="13"/>
      <c r="M7928" s="14"/>
      <c r="N7928" s="14"/>
      <c r="O7928" s="14"/>
      <c r="P7928" s="13"/>
    </row>
    <row r="7929">
      <c r="L7929" s="13"/>
      <c r="M7929" s="14"/>
      <c r="N7929" s="14"/>
      <c r="O7929" s="14"/>
      <c r="P7929" s="13"/>
    </row>
    <row r="7930">
      <c r="L7930" s="13"/>
      <c r="M7930" s="14"/>
      <c r="N7930" s="14"/>
      <c r="O7930" s="14"/>
      <c r="P7930" s="13"/>
    </row>
    <row r="7931">
      <c r="L7931" s="13"/>
      <c r="M7931" s="14"/>
      <c r="N7931" s="14"/>
      <c r="O7931" s="14"/>
      <c r="P7931" s="13"/>
    </row>
    <row r="7932">
      <c r="L7932" s="13"/>
      <c r="M7932" s="14"/>
      <c r="N7932" s="14"/>
      <c r="O7932" s="14"/>
      <c r="P7932" s="13"/>
    </row>
    <row r="7933">
      <c r="L7933" s="13"/>
      <c r="M7933" s="14"/>
      <c r="N7933" s="14"/>
      <c r="O7933" s="14"/>
      <c r="P7933" s="13"/>
    </row>
    <row r="7934">
      <c r="L7934" s="13"/>
      <c r="M7934" s="14"/>
      <c r="N7934" s="14"/>
      <c r="O7934" s="14"/>
      <c r="P7934" s="13"/>
    </row>
    <row r="7935">
      <c r="L7935" s="13"/>
      <c r="M7935" s="14"/>
      <c r="N7935" s="14"/>
      <c r="O7935" s="14"/>
      <c r="P7935" s="13"/>
    </row>
    <row r="7936">
      <c r="L7936" s="13"/>
      <c r="M7936" s="14"/>
      <c r="N7936" s="14"/>
      <c r="O7936" s="14"/>
      <c r="P7936" s="13"/>
    </row>
    <row r="7937">
      <c r="L7937" s="13"/>
      <c r="M7937" s="14"/>
      <c r="N7937" s="14"/>
      <c r="O7937" s="14"/>
      <c r="P7937" s="13"/>
    </row>
    <row r="7938">
      <c r="L7938" s="13"/>
      <c r="M7938" s="14"/>
      <c r="N7938" s="14"/>
      <c r="O7938" s="14"/>
      <c r="P7938" s="13"/>
    </row>
    <row r="7939">
      <c r="L7939" s="13"/>
      <c r="M7939" s="14"/>
      <c r="N7939" s="14"/>
      <c r="O7939" s="14"/>
      <c r="P7939" s="13"/>
    </row>
    <row r="7940">
      <c r="L7940" s="13"/>
      <c r="M7940" s="14"/>
      <c r="N7940" s="14"/>
      <c r="O7940" s="14"/>
      <c r="P7940" s="13"/>
    </row>
    <row r="7941">
      <c r="L7941" s="13"/>
      <c r="M7941" s="14"/>
      <c r="N7941" s="14"/>
      <c r="O7941" s="14"/>
      <c r="P7941" s="13"/>
    </row>
    <row r="7942">
      <c r="L7942" s="13"/>
      <c r="M7942" s="14"/>
      <c r="N7942" s="14"/>
      <c r="O7942" s="14"/>
      <c r="P7942" s="13"/>
    </row>
    <row r="7943">
      <c r="L7943" s="13"/>
      <c r="M7943" s="14"/>
      <c r="N7943" s="14"/>
      <c r="O7943" s="14"/>
      <c r="P7943" s="13"/>
    </row>
    <row r="7944">
      <c r="L7944" s="13"/>
      <c r="M7944" s="14"/>
      <c r="N7944" s="14"/>
      <c r="O7944" s="14"/>
      <c r="P7944" s="13"/>
    </row>
    <row r="7945">
      <c r="L7945" s="13"/>
      <c r="M7945" s="14"/>
      <c r="N7945" s="14"/>
      <c r="O7945" s="14"/>
      <c r="P7945" s="13"/>
    </row>
    <row r="7946">
      <c r="L7946" s="13"/>
      <c r="M7946" s="14"/>
      <c r="N7946" s="14"/>
      <c r="O7946" s="14"/>
      <c r="P7946" s="13"/>
    </row>
    <row r="7947">
      <c r="L7947" s="13"/>
      <c r="M7947" s="14"/>
      <c r="N7947" s="14"/>
      <c r="O7947" s="14"/>
      <c r="P7947" s="13"/>
    </row>
    <row r="7948">
      <c r="L7948" s="13"/>
      <c r="M7948" s="14"/>
      <c r="N7948" s="14"/>
      <c r="O7948" s="14"/>
      <c r="P7948" s="13"/>
    </row>
    <row r="7949">
      <c r="L7949" s="13"/>
      <c r="M7949" s="14"/>
      <c r="N7949" s="14"/>
      <c r="O7949" s="14"/>
      <c r="P7949" s="13"/>
    </row>
    <row r="7950">
      <c r="L7950" s="13"/>
      <c r="M7950" s="14"/>
      <c r="N7950" s="14"/>
      <c r="O7950" s="14"/>
      <c r="P7950" s="13"/>
    </row>
    <row r="7951">
      <c r="L7951" s="13"/>
      <c r="M7951" s="14"/>
      <c r="N7951" s="14"/>
      <c r="O7951" s="14"/>
      <c r="P7951" s="13"/>
    </row>
    <row r="7952">
      <c r="L7952" s="13"/>
      <c r="M7952" s="14"/>
      <c r="N7952" s="14"/>
      <c r="O7952" s="14"/>
      <c r="P7952" s="13"/>
    </row>
    <row r="7953">
      <c r="L7953" s="13"/>
      <c r="M7953" s="14"/>
      <c r="N7953" s="14"/>
      <c r="O7953" s="14"/>
      <c r="P7953" s="13"/>
    </row>
    <row r="7954">
      <c r="L7954" s="13"/>
      <c r="M7954" s="14"/>
      <c r="N7954" s="14"/>
      <c r="O7954" s="14"/>
      <c r="P7954" s="13"/>
    </row>
    <row r="7955">
      <c r="L7955" s="13"/>
      <c r="M7955" s="14"/>
      <c r="N7955" s="14"/>
      <c r="O7955" s="14"/>
      <c r="P7955" s="13"/>
    </row>
    <row r="7956">
      <c r="L7956" s="13"/>
      <c r="M7956" s="14"/>
      <c r="N7956" s="14"/>
      <c r="O7956" s="14"/>
      <c r="P7956" s="13"/>
    </row>
    <row r="7957">
      <c r="L7957" s="13"/>
      <c r="M7957" s="14"/>
      <c r="N7957" s="14"/>
      <c r="O7957" s="14"/>
      <c r="P7957" s="13"/>
    </row>
    <row r="7958">
      <c r="L7958" s="13"/>
      <c r="M7958" s="14"/>
      <c r="N7958" s="14"/>
      <c r="O7958" s="14"/>
      <c r="P7958" s="13"/>
    </row>
    <row r="7959">
      <c r="L7959" s="13"/>
      <c r="M7959" s="14"/>
      <c r="N7959" s="14"/>
      <c r="O7959" s="14"/>
      <c r="P7959" s="13"/>
    </row>
    <row r="7960">
      <c r="L7960" s="13"/>
      <c r="M7960" s="14"/>
      <c r="N7960" s="14"/>
      <c r="O7960" s="14"/>
      <c r="P7960" s="13"/>
    </row>
    <row r="7961">
      <c r="L7961" s="13"/>
      <c r="M7961" s="14"/>
      <c r="N7961" s="14"/>
      <c r="O7961" s="14"/>
      <c r="P7961" s="13"/>
    </row>
    <row r="7962">
      <c r="L7962" s="13"/>
      <c r="M7962" s="14"/>
      <c r="N7962" s="14"/>
      <c r="O7962" s="14"/>
      <c r="P7962" s="13"/>
    </row>
    <row r="7963">
      <c r="L7963" s="13"/>
      <c r="M7963" s="14"/>
      <c r="N7963" s="14"/>
      <c r="O7963" s="14"/>
      <c r="P7963" s="13"/>
    </row>
    <row r="7964">
      <c r="L7964" s="13"/>
      <c r="M7964" s="14"/>
      <c r="N7964" s="14"/>
      <c r="O7964" s="14"/>
      <c r="P7964" s="13"/>
    </row>
    <row r="7965">
      <c r="L7965" s="13"/>
      <c r="M7965" s="14"/>
      <c r="N7965" s="14"/>
      <c r="O7965" s="14"/>
      <c r="P7965" s="13"/>
    </row>
    <row r="7966">
      <c r="L7966" s="13"/>
      <c r="M7966" s="14"/>
      <c r="N7966" s="14"/>
      <c r="O7966" s="14"/>
      <c r="P7966" s="13"/>
    </row>
    <row r="7967">
      <c r="L7967" s="13"/>
      <c r="M7967" s="14"/>
      <c r="N7967" s="14"/>
      <c r="O7967" s="14"/>
      <c r="P7967" s="13"/>
    </row>
    <row r="7968">
      <c r="L7968" s="13"/>
      <c r="M7968" s="14"/>
      <c r="N7968" s="14"/>
      <c r="O7968" s="14"/>
      <c r="P7968" s="13"/>
    </row>
    <row r="7969">
      <c r="L7969" s="13"/>
      <c r="M7969" s="14"/>
      <c r="N7969" s="14"/>
      <c r="O7969" s="14"/>
      <c r="P7969" s="13"/>
    </row>
    <row r="7970">
      <c r="L7970" s="13"/>
      <c r="M7970" s="14"/>
      <c r="N7970" s="14"/>
      <c r="O7970" s="14"/>
      <c r="P7970" s="13"/>
    </row>
    <row r="7971">
      <c r="L7971" s="13"/>
      <c r="M7971" s="14"/>
      <c r="N7971" s="14"/>
      <c r="O7971" s="14"/>
      <c r="P7971" s="13"/>
    </row>
    <row r="7972">
      <c r="L7972" s="13"/>
      <c r="M7972" s="14"/>
      <c r="N7972" s="14"/>
      <c r="O7972" s="14"/>
      <c r="P7972" s="13"/>
    </row>
    <row r="7973">
      <c r="L7973" s="13"/>
      <c r="M7973" s="14"/>
      <c r="N7973" s="14"/>
      <c r="O7973" s="14"/>
      <c r="P7973" s="13"/>
    </row>
    <row r="7974">
      <c r="L7974" s="13"/>
      <c r="M7974" s="14"/>
      <c r="N7974" s="14"/>
      <c r="O7974" s="14"/>
      <c r="P7974" s="13"/>
    </row>
    <row r="7975">
      <c r="L7975" s="13"/>
      <c r="M7975" s="14"/>
      <c r="N7975" s="14"/>
      <c r="O7975" s="14"/>
      <c r="P7975" s="13"/>
    </row>
    <row r="7976">
      <c r="L7976" s="13"/>
      <c r="M7976" s="14"/>
      <c r="N7976" s="14"/>
      <c r="O7976" s="14"/>
      <c r="P7976" s="13"/>
    </row>
    <row r="7977">
      <c r="L7977" s="13"/>
      <c r="M7977" s="14"/>
      <c r="N7977" s="14"/>
      <c r="O7977" s="14"/>
      <c r="P7977" s="13"/>
    </row>
    <row r="7978">
      <c r="L7978" s="13"/>
      <c r="M7978" s="14"/>
      <c r="N7978" s="14"/>
      <c r="O7978" s="14"/>
      <c r="P7978" s="13"/>
    </row>
    <row r="7979">
      <c r="L7979" s="13"/>
      <c r="M7979" s="14"/>
      <c r="N7979" s="14"/>
      <c r="O7979" s="14"/>
      <c r="P7979" s="13"/>
    </row>
    <row r="7980">
      <c r="L7980" s="13"/>
      <c r="M7980" s="14"/>
      <c r="N7980" s="14"/>
      <c r="O7980" s="14"/>
      <c r="P7980" s="13"/>
    </row>
    <row r="7981">
      <c r="L7981" s="13"/>
      <c r="M7981" s="14"/>
      <c r="N7981" s="14"/>
      <c r="O7981" s="14"/>
      <c r="P7981" s="13"/>
    </row>
    <row r="7982">
      <c r="L7982" s="13"/>
      <c r="M7982" s="14"/>
      <c r="N7982" s="14"/>
      <c r="O7982" s="14"/>
      <c r="P7982" s="13"/>
    </row>
    <row r="7983">
      <c r="L7983" s="13"/>
      <c r="M7983" s="14"/>
      <c r="N7983" s="14"/>
      <c r="O7983" s="14"/>
      <c r="P7983" s="13"/>
    </row>
    <row r="7984">
      <c r="L7984" s="13"/>
      <c r="M7984" s="14"/>
      <c r="N7984" s="14"/>
      <c r="O7984" s="14"/>
      <c r="P7984" s="13"/>
    </row>
    <row r="7985">
      <c r="L7985" s="13"/>
      <c r="M7985" s="14"/>
      <c r="N7985" s="14"/>
      <c r="O7985" s="14"/>
      <c r="P7985" s="13"/>
    </row>
    <row r="7986">
      <c r="L7986" s="13"/>
      <c r="M7986" s="14"/>
      <c r="N7986" s="14"/>
      <c r="O7986" s="14"/>
      <c r="P7986" s="13"/>
    </row>
    <row r="7987">
      <c r="L7987" s="13"/>
      <c r="M7987" s="14"/>
      <c r="N7987" s="14"/>
      <c r="O7987" s="14"/>
      <c r="P7987" s="13"/>
    </row>
    <row r="7988">
      <c r="L7988" s="13"/>
      <c r="M7988" s="14"/>
      <c r="N7988" s="14"/>
      <c r="O7988" s="14"/>
      <c r="P7988" s="13"/>
    </row>
    <row r="7989">
      <c r="L7989" s="13"/>
      <c r="M7989" s="14"/>
      <c r="N7989" s="14"/>
      <c r="O7989" s="14"/>
      <c r="P7989" s="13"/>
    </row>
    <row r="7990">
      <c r="L7990" s="13"/>
      <c r="M7990" s="14"/>
      <c r="N7990" s="14"/>
      <c r="O7990" s="14"/>
      <c r="P7990" s="13"/>
    </row>
    <row r="7991">
      <c r="L7991" s="13"/>
      <c r="M7991" s="14"/>
      <c r="N7991" s="14"/>
      <c r="O7991" s="14"/>
      <c r="P7991" s="13"/>
    </row>
    <row r="7992">
      <c r="L7992" s="13"/>
      <c r="M7992" s="14"/>
      <c r="N7992" s="14"/>
      <c r="O7992" s="14"/>
      <c r="P7992" s="13"/>
    </row>
    <row r="7993">
      <c r="L7993" s="13"/>
      <c r="M7993" s="14"/>
      <c r="N7993" s="14"/>
      <c r="O7993" s="14"/>
      <c r="P7993" s="13"/>
    </row>
    <row r="7994">
      <c r="L7994" s="13"/>
      <c r="M7994" s="14"/>
      <c r="N7994" s="14"/>
      <c r="O7994" s="14"/>
      <c r="P7994" s="13"/>
    </row>
    <row r="7995">
      <c r="L7995" s="13"/>
      <c r="M7995" s="14"/>
      <c r="N7995" s="14"/>
      <c r="O7995" s="14"/>
      <c r="P7995" s="13"/>
    </row>
    <row r="7996">
      <c r="L7996" s="13"/>
      <c r="M7996" s="14"/>
      <c r="N7996" s="14"/>
      <c r="O7996" s="14"/>
      <c r="P7996" s="13"/>
    </row>
    <row r="7997">
      <c r="L7997" s="13"/>
      <c r="M7997" s="14"/>
      <c r="N7997" s="14"/>
      <c r="O7997" s="14"/>
      <c r="P7997" s="13"/>
    </row>
    <row r="7998">
      <c r="L7998" s="13"/>
      <c r="M7998" s="14"/>
      <c r="N7998" s="14"/>
      <c r="O7998" s="14"/>
      <c r="P7998" s="13"/>
    </row>
    <row r="7999">
      <c r="L7999" s="13"/>
      <c r="M7999" s="14"/>
      <c r="N7999" s="14"/>
      <c r="O7999" s="14"/>
      <c r="P7999" s="13"/>
    </row>
    <row r="8000">
      <c r="L8000" s="13"/>
      <c r="M8000" s="14"/>
      <c r="N8000" s="14"/>
      <c r="O8000" s="14"/>
      <c r="P8000" s="13"/>
    </row>
    <row r="8001">
      <c r="L8001" s="13"/>
      <c r="M8001" s="14"/>
      <c r="N8001" s="14"/>
      <c r="O8001" s="14"/>
      <c r="P8001" s="13"/>
    </row>
    <row r="8002">
      <c r="L8002" s="13"/>
      <c r="M8002" s="14"/>
      <c r="N8002" s="14"/>
      <c r="O8002" s="14"/>
      <c r="P8002" s="13"/>
    </row>
    <row r="8003">
      <c r="L8003" s="13"/>
      <c r="M8003" s="14"/>
      <c r="N8003" s="14"/>
      <c r="O8003" s="14"/>
      <c r="P8003" s="13"/>
    </row>
    <row r="8004">
      <c r="L8004" s="13"/>
      <c r="M8004" s="14"/>
      <c r="N8004" s="14"/>
      <c r="O8004" s="14"/>
      <c r="P8004" s="13"/>
    </row>
    <row r="8005">
      <c r="L8005" s="13"/>
      <c r="M8005" s="14"/>
      <c r="N8005" s="14"/>
      <c r="O8005" s="14"/>
      <c r="P8005" s="13"/>
    </row>
    <row r="8006">
      <c r="L8006" s="13"/>
      <c r="M8006" s="14"/>
      <c r="N8006" s="14"/>
      <c r="O8006" s="14"/>
      <c r="P8006" s="13"/>
    </row>
    <row r="8007">
      <c r="L8007" s="13"/>
      <c r="M8007" s="14"/>
      <c r="N8007" s="14"/>
      <c r="O8007" s="14"/>
      <c r="P8007" s="13"/>
    </row>
    <row r="8008">
      <c r="L8008" s="13"/>
      <c r="M8008" s="14"/>
      <c r="N8008" s="14"/>
      <c r="O8008" s="14"/>
      <c r="P8008" s="13"/>
    </row>
    <row r="8009">
      <c r="L8009" s="13"/>
      <c r="M8009" s="14"/>
      <c r="N8009" s="14"/>
      <c r="O8009" s="14"/>
      <c r="P8009" s="13"/>
    </row>
    <row r="8010">
      <c r="L8010" s="13"/>
      <c r="M8010" s="14"/>
      <c r="N8010" s="14"/>
      <c r="O8010" s="14"/>
      <c r="P8010" s="13"/>
    </row>
    <row r="8011">
      <c r="L8011" s="13"/>
      <c r="M8011" s="14"/>
      <c r="N8011" s="14"/>
      <c r="O8011" s="14"/>
      <c r="P8011" s="13"/>
    </row>
    <row r="8012">
      <c r="L8012" s="13"/>
      <c r="M8012" s="14"/>
      <c r="N8012" s="14"/>
      <c r="O8012" s="14"/>
      <c r="P8012" s="13"/>
    </row>
    <row r="8013">
      <c r="L8013" s="13"/>
      <c r="M8013" s="14"/>
      <c r="N8013" s="14"/>
      <c r="O8013" s="14"/>
      <c r="P8013" s="13"/>
    </row>
    <row r="8014">
      <c r="L8014" s="13"/>
      <c r="M8014" s="14"/>
      <c r="N8014" s="14"/>
      <c r="O8014" s="14"/>
      <c r="P8014" s="13"/>
    </row>
    <row r="8015">
      <c r="L8015" s="13"/>
      <c r="M8015" s="14"/>
      <c r="N8015" s="14"/>
      <c r="O8015" s="14"/>
      <c r="P8015" s="13"/>
    </row>
    <row r="8016">
      <c r="L8016" s="13"/>
      <c r="M8016" s="14"/>
      <c r="N8016" s="14"/>
      <c r="O8016" s="14"/>
      <c r="P8016" s="13"/>
    </row>
    <row r="8017">
      <c r="L8017" s="13"/>
      <c r="M8017" s="14"/>
      <c r="N8017" s="14"/>
      <c r="O8017" s="14"/>
      <c r="P8017" s="13"/>
    </row>
    <row r="8018">
      <c r="L8018" s="13"/>
      <c r="M8018" s="14"/>
      <c r="N8018" s="14"/>
      <c r="O8018" s="14"/>
      <c r="P8018" s="13"/>
    </row>
    <row r="8019">
      <c r="L8019" s="13"/>
      <c r="M8019" s="14"/>
      <c r="N8019" s="14"/>
      <c r="O8019" s="14"/>
      <c r="P8019" s="13"/>
    </row>
    <row r="8020">
      <c r="L8020" s="13"/>
      <c r="M8020" s="14"/>
      <c r="N8020" s="14"/>
      <c r="O8020" s="14"/>
      <c r="P8020" s="13"/>
    </row>
    <row r="8021">
      <c r="L8021" s="13"/>
      <c r="M8021" s="14"/>
      <c r="N8021" s="14"/>
      <c r="O8021" s="14"/>
      <c r="P8021" s="13"/>
    </row>
    <row r="8022">
      <c r="L8022" s="13"/>
      <c r="M8022" s="14"/>
      <c r="N8022" s="14"/>
      <c r="O8022" s="14"/>
      <c r="P8022" s="13"/>
    </row>
    <row r="8023">
      <c r="L8023" s="13"/>
      <c r="M8023" s="14"/>
      <c r="N8023" s="14"/>
      <c r="O8023" s="14"/>
      <c r="P8023" s="13"/>
    </row>
    <row r="8024">
      <c r="L8024" s="13"/>
      <c r="M8024" s="14"/>
      <c r="N8024" s="14"/>
      <c r="O8024" s="14"/>
      <c r="P8024" s="13"/>
    </row>
    <row r="8025">
      <c r="L8025" s="13"/>
      <c r="M8025" s="14"/>
      <c r="N8025" s="14"/>
      <c r="O8025" s="14"/>
      <c r="P8025" s="13"/>
    </row>
    <row r="8026">
      <c r="L8026" s="13"/>
      <c r="M8026" s="14"/>
      <c r="N8026" s="14"/>
      <c r="O8026" s="14"/>
      <c r="P8026" s="13"/>
    </row>
    <row r="8027">
      <c r="L8027" s="13"/>
      <c r="M8027" s="14"/>
      <c r="N8027" s="14"/>
      <c r="O8027" s="14"/>
      <c r="P8027" s="13"/>
    </row>
    <row r="8028">
      <c r="L8028" s="13"/>
      <c r="M8028" s="14"/>
      <c r="N8028" s="14"/>
      <c r="O8028" s="14"/>
      <c r="P8028" s="13"/>
    </row>
    <row r="8029">
      <c r="L8029" s="13"/>
      <c r="M8029" s="14"/>
      <c r="N8029" s="14"/>
      <c r="O8029" s="14"/>
      <c r="P8029" s="13"/>
    </row>
    <row r="8030">
      <c r="L8030" s="13"/>
      <c r="M8030" s="14"/>
      <c r="N8030" s="14"/>
      <c r="O8030" s="14"/>
      <c r="P8030" s="13"/>
    </row>
    <row r="8031">
      <c r="L8031" s="13"/>
      <c r="M8031" s="14"/>
      <c r="N8031" s="14"/>
      <c r="O8031" s="14"/>
      <c r="P8031" s="13"/>
    </row>
    <row r="8032">
      <c r="L8032" s="13"/>
      <c r="M8032" s="14"/>
      <c r="N8032" s="14"/>
      <c r="O8032" s="14"/>
      <c r="P8032" s="13"/>
    </row>
    <row r="8033">
      <c r="L8033" s="13"/>
      <c r="M8033" s="14"/>
      <c r="N8033" s="14"/>
      <c r="O8033" s="14"/>
      <c r="P8033" s="13"/>
    </row>
    <row r="8034">
      <c r="L8034" s="13"/>
      <c r="M8034" s="14"/>
      <c r="N8034" s="14"/>
      <c r="O8034" s="14"/>
      <c r="P8034" s="13"/>
    </row>
    <row r="8035">
      <c r="L8035" s="13"/>
      <c r="M8035" s="14"/>
      <c r="N8035" s="14"/>
      <c r="O8035" s="14"/>
      <c r="P8035" s="13"/>
    </row>
    <row r="8036">
      <c r="L8036" s="13"/>
      <c r="M8036" s="14"/>
      <c r="N8036" s="14"/>
      <c r="O8036" s="14"/>
      <c r="P8036" s="13"/>
    </row>
    <row r="8037">
      <c r="L8037" s="13"/>
      <c r="M8037" s="14"/>
      <c r="N8037" s="14"/>
      <c r="O8037" s="14"/>
      <c r="P8037" s="13"/>
    </row>
    <row r="8038">
      <c r="L8038" s="13"/>
      <c r="M8038" s="14"/>
      <c r="N8038" s="14"/>
      <c r="O8038" s="14"/>
      <c r="P8038" s="13"/>
    </row>
    <row r="8039">
      <c r="L8039" s="13"/>
      <c r="M8039" s="14"/>
      <c r="N8039" s="14"/>
      <c r="O8039" s="14"/>
      <c r="P8039" s="13"/>
    </row>
    <row r="8040">
      <c r="L8040" s="13"/>
      <c r="M8040" s="14"/>
      <c r="N8040" s="14"/>
      <c r="O8040" s="14"/>
      <c r="P8040" s="13"/>
    </row>
    <row r="8041">
      <c r="L8041" s="13"/>
      <c r="M8041" s="14"/>
      <c r="N8041" s="14"/>
      <c r="O8041" s="14"/>
      <c r="P8041" s="13"/>
    </row>
    <row r="8042">
      <c r="L8042" s="13"/>
      <c r="M8042" s="14"/>
      <c r="N8042" s="14"/>
      <c r="O8042" s="14"/>
      <c r="P8042" s="13"/>
    </row>
    <row r="8043">
      <c r="L8043" s="13"/>
      <c r="M8043" s="14"/>
      <c r="N8043" s="14"/>
      <c r="O8043" s="14"/>
      <c r="P8043" s="13"/>
    </row>
    <row r="8044">
      <c r="L8044" s="13"/>
      <c r="M8044" s="14"/>
      <c r="N8044" s="14"/>
      <c r="O8044" s="14"/>
      <c r="P8044" s="13"/>
    </row>
    <row r="8045">
      <c r="L8045" s="13"/>
      <c r="M8045" s="14"/>
      <c r="N8045" s="14"/>
      <c r="O8045" s="14"/>
      <c r="P8045" s="13"/>
    </row>
    <row r="8046">
      <c r="L8046" s="13"/>
      <c r="M8046" s="14"/>
      <c r="N8046" s="14"/>
      <c r="O8046" s="14"/>
      <c r="P8046" s="13"/>
    </row>
    <row r="8047">
      <c r="L8047" s="13"/>
      <c r="M8047" s="14"/>
      <c r="N8047" s="14"/>
      <c r="O8047" s="14"/>
      <c r="P8047" s="13"/>
    </row>
    <row r="8048">
      <c r="L8048" s="13"/>
      <c r="M8048" s="14"/>
      <c r="N8048" s="14"/>
      <c r="O8048" s="14"/>
      <c r="P8048" s="13"/>
    </row>
    <row r="8049">
      <c r="L8049" s="13"/>
      <c r="M8049" s="14"/>
      <c r="N8049" s="14"/>
      <c r="O8049" s="14"/>
      <c r="P8049" s="13"/>
    </row>
    <row r="8050">
      <c r="L8050" s="13"/>
      <c r="M8050" s="14"/>
      <c r="N8050" s="14"/>
      <c r="O8050" s="14"/>
      <c r="P8050" s="13"/>
    </row>
    <row r="8051">
      <c r="L8051" s="13"/>
      <c r="M8051" s="14"/>
      <c r="N8051" s="14"/>
      <c r="O8051" s="14"/>
      <c r="P8051" s="13"/>
    </row>
    <row r="8052">
      <c r="L8052" s="13"/>
      <c r="M8052" s="14"/>
      <c r="N8052" s="14"/>
      <c r="O8052" s="14"/>
      <c r="P8052" s="13"/>
    </row>
    <row r="8053">
      <c r="L8053" s="13"/>
      <c r="M8053" s="14"/>
      <c r="N8053" s="14"/>
      <c r="O8053" s="14"/>
      <c r="P8053" s="13"/>
    </row>
    <row r="8054">
      <c r="L8054" s="13"/>
      <c r="M8054" s="14"/>
      <c r="N8054" s="14"/>
      <c r="O8054" s="14"/>
      <c r="P8054" s="13"/>
    </row>
    <row r="8055">
      <c r="L8055" s="13"/>
      <c r="M8055" s="14"/>
      <c r="N8055" s="14"/>
      <c r="O8055" s="14"/>
      <c r="P8055" s="13"/>
    </row>
    <row r="8056">
      <c r="L8056" s="13"/>
      <c r="M8056" s="14"/>
      <c r="N8056" s="14"/>
      <c r="O8056" s="14"/>
      <c r="P8056" s="13"/>
    </row>
    <row r="8057">
      <c r="L8057" s="13"/>
      <c r="M8057" s="14"/>
      <c r="N8057" s="14"/>
      <c r="O8057" s="14"/>
      <c r="P8057" s="13"/>
    </row>
    <row r="8058">
      <c r="L8058" s="13"/>
      <c r="M8058" s="14"/>
      <c r="N8058" s="14"/>
      <c r="O8058" s="14"/>
      <c r="P8058" s="13"/>
    </row>
    <row r="8059">
      <c r="L8059" s="13"/>
      <c r="M8059" s="14"/>
      <c r="N8059" s="14"/>
      <c r="O8059" s="14"/>
      <c r="P8059" s="13"/>
    </row>
    <row r="8060">
      <c r="L8060" s="13"/>
      <c r="M8060" s="14"/>
      <c r="N8060" s="14"/>
      <c r="O8060" s="14"/>
      <c r="P8060" s="13"/>
    </row>
    <row r="8061">
      <c r="L8061" s="13"/>
      <c r="M8061" s="14"/>
      <c r="N8061" s="14"/>
      <c r="O8061" s="14"/>
      <c r="P8061" s="13"/>
    </row>
    <row r="8062">
      <c r="L8062" s="13"/>
      <c r="M8062" s="14"/>
      <c r="N8062" s="14"/>
      <c r="O8062" s="14"/>
      <c r="P8062" s="13"/>
    </row>
    <row r="8063">
      <c r="L8063" s="13"/>
      <c r="M8063" s="14"/>
      <c r="N8063" s="14"/>
      <c r="O8063" s="14"/>
      <c r="P8063" s="13"/>
    </row>
    <row r="8064">
      <c r="L8064" s="13"/>
      <c r="M8064" s="14"/>
      <c r="N8064" s="14"/>
      <c r="O8064" s="14"/>
      <c r="P8064" s="13"/>
    </row>
    <row r="8065">
      <c r="L8065" s="13"/>
      <c r="M8065" s="14"/>
      <c r="N8065" s="14"/>
      <c r="O8065" s="14"/>
      <c r="P8065" s="13"/>
    </row>
    <row r="8066">
      <c r="L8066" s="13"/>
      <c r="M8066" s="14"/>
      <c r="N8066" s="14"/>
      <c r="O8066" s="14"/>
      <c r="P8066" s="13"/>
    </row>
    <row r="8067">
      <c r="L8067" s="13"/>
      <c r="M8067" s="14"/>
      <c r="N8067" s="14"/>
      <c r="O8067" s="14"/>
      <c r="P8067" s="13"/>
    </row>
    <row r="8068">
      <c r="L8068" s="13"/>
      <c r="M8068" s="14"/>
      <c r="N8068" s="14"/>
      <c r="O8068" s="14"/>
      <c r="P8068" s="13"/>
    </row>
    <row r="8069">
      <c r="L8069" s="13"/>
      <c r="M8069" s="14"/>
      <c r="N8069" s="14"/>
      <c r="O8069" s="14"/>
      <c r="P8069" s="13"/>
    </row>
    <row r="8070">
      <c r="L8070" s="13"/>
      <c r="M8070" s="14"/>
      <c r="N8070" s="14"/>
      <c r="O8070" s="14"/>
      <c r="P8070" s="13"/>
    </row>
    <row r="8071">
      <c r="L8071" s="13"/>
      <c r="M8071" s="14"/>
      <c r="N8071" s="14"/>
      <c r="O8071" s="14"/>
      <c r="P8071" s="13"/>
    </row>
    <row r="8072">
      <c r="L8072" s="13"/>
      <c r="M8072" s="14"/>
      <c r="N8072" s="14"/>
      <c r="O8072" s="14"/>
      <c r="P8072" s="13"/>
    </row>
    <row r="8073">
      <c r="L8073" s="13"/>
      <c r="M8073" s="14"/>
      <c r="N8073" s="14"/>
      <c r="O8073" s="14"/>
      <c r="P8073" s="13"/>
    </row>
    <row r="8074">
      <c r="L8074" s="13"/>
      <c r="M8074" s="14"/>
      <c r="N8074" s="14"/>
      <c r="O8074" s="14"/>
      <c r="P8074" s="13"/>
    </row>
    <row r="8075">
      <c r="L8075" s="13"/>
      <c r="M8075" s="14"/>
      <c r="N8075" s="14"/>
      <c r="O8075" s="14"/>
      <c r="P8075" s="13"/>
    </row>
    <row r="8076">
      <c r="L8076" s="13"/>
      <c r="M8076" s="14"/>
      <c r="N8076" s="14"/>
      <c r="O8076" s="14"/>
      <c r="P8076" s="13"/>
    </row>
    <row r="8077">
      <c r="L8077" s="13"/>
      <c r="M8077" s="14"/>
      <c r="N8077" s="14"/>
      <c r="O8077" s="14"/>
      <c r="P8077" s="13"/>
    </row>
    <row r="8078">
      <c r="L8078" s="13"/>
      <c r="M8078" s="14"/>
      <c r="N8078" s="14"/>
      <c r="O8078" s="14"/>
      <c r="P8078" s="13"/>
    </row>
    <row r="8079">
      <c r="L8079" s="13"/>
      <c r="M8079" s="14"/>
      <c r="N8079" s="14"/>
      <c r="O8079" s="14"/>
      <c r="P8079" s="13"/>
    </row>
    <row r="8080">
      <c r="L8080" s="13"/>
      <c r="M8080" s="14"/>
      <c r="N8080" s="14"/>
      <c r="O8080" s="14"/>
      <c r="P8080" s="13"/>
    </row>
    <row r="8081">
      <c r="L8081" s="13"/>
      <c r="M8081" s="14"/>
      <c r="N8081" s="14"/>
      <c r="O8081" s="14"/>
      <c r="P8081" s="13"/>
    </row>
    <row r="8082">
      <c r="L8082" s="13"/>
      <c r="M8082" s="14"/>
      <c r="N8082" s="14"/>
      <c r="O8082" s="14"/>
      <c r="P8082" s="13"/>
    </row>
    <row r="8083">
      <c r="L8083" s="13"/>
      <c r="M8083" s="14"/>
      <c r="N8083" s="14"/>
      <c r="O8083" s="14"/>
      <c r="P8083" s="13"/>
    </row>
    <row r="8084">
      <c r="L8084" s="13"/>
      <c r="M8084" s="14"/>
      <c r="N8084" s="14"/>
      <c r="O8084" s="14"/>
      <c r="P8084" s="13"/>
    </row>
    <row r="8085">
      <c r="L8085" s="13"/>
      <c r="M8085" s="14"/>
      <c r="N8085" s="14"/>
      <c r="O8085" s="14"/>
      <c r="P8085" s="13"/>
    </row>
    <row r="8086">
      <c r="L8086" s="13"/>
      <c r="M8086" s="14"/>
      <c r="N8086" s="14"/>
      <c r="O8086" s="14"/>
      <c r="P8086" s="13"/>
    </row>
    <row r="8087">
      <c r="L8087" s="13"/>
      <c r="M8087" s="14"/>
      <c r="N8087" s="14"/>
      <c r="O8087" s="14"/>
      <c r="P8087" s="13"/>
    </row>
    <row r="8088">
      <c r="L8088" s="13"/>
      <c r="M8088" s="14"/>
      <c r="N8088" s="14"/>
      <c r="O8088" s="14"/>
      <c r="P8088" s="13"/>
    </row>
    <row r="8089">
      <c r="L8089" s="13"/>
      <c r="M8089" s="14"/>
      <c r="N8089" s="14"/>
      <c r="O8089" s="14"/>
      <c r="P8089" s="13"/>
    </row>
    <row r="8090">
      <c r="L8090" s="13"/>
      <c r="M8090" s="14"/>
      <c r="N8090" s="14"/>
      <c r="O8090" s="14"/>
      <c r="P8090" s="13"/>
    </row>
    <row r="8091">
      <c r="L8091" s="13"/>
      <c r="M8091" s="14"/>
      <c r="N8091" s="14"/>
      <c r="O8091" s="14"/>
      <c r="P8091" s="13"/>
    </row>
    <row r="8092">
      <c r="L8092" s="13"/>
      <c r="M8092" s="14"/>
      <c r="N8092" s="14"/>
      <c r="O8092" s="14"/>
      <c r="P8092" s="13"/>
    </row>
    <row r="8093">
      <c r="L8093" s="13"/>
      <c r="M8093" s="14"/>
      <c r="N8093" s="14"/>
      <c r="O8093" s="14"/>
      <c r="P8093" s="13"/>
    </row>
    <row r="8094">
      <c r="L8094" s="13"/>
      <c r="M8094" s="14"/>
      <c r="N8094" s="14"/>
      <c r="O8094" s="14"/>
      <c r="P8094" s="13"/>
    </row>
    <row r="8095">
      <c r="L8095" s="13"/>
      <c r="M8095" s="14"/>
      <c r="N8095" s="14"/>
      <c r="O8095" s="14"/>
      <c r="P8095" s="13"/>
    </row>
    <row r="8096">
      <c r="L8096" s="13"/>
      <c r="M8096" s="14"/>
      <c r="N8096" s="14"/>
      <c r="O8096" s="14"/>
      <c r="P8096" s="13"/>
    </row>
    <row r="8097">
      <c r="L8097" s="13"/>
      <c r="M8097" s="14"/>
      <c r="N8097" s="14"/>
      <c r="O8097" s="14"/>
      <c r="P8097" s="13"/>
    </row>
    <row r="8098">
      <c r="L8098" s="13"/>
      <c r="M8098" s="14"/>
      <c r="N8098" s="14"/>
      <c r="O8098" s="14"/>
      <c r="P8098" s="13"/>
    </row>
    <row r="8099">
      <c r="L8099" s="13"/>
      <c r="M8099" s="14"/>
      <c r="N8099" s="14"/>
      <c r="O8099" s="14"/>
      <c r="P8099" s="13"/>
    </row>
    <row r="8100">
      <c r="L8100" s="13"/>
      <c r="M8100" s="14"/>
      <c r="N8100" s="14"/>
      <c r="O8100" s="14"/>
      <c r="P8100" s="13"/>
    </row>
    <row r="8101">
      <c r="L8101" s="13"/>
      <c r="M8101" s="14"/>
      <c r="N8101" s="14"/>
      <c r="O8101" s="14"/>
      <c r="P8101" s="13"/>
    </row>
    <row r="8102">
      <c r="L8102" s="13"/>
      <c r="M8102" s="14"/>
      <c r="N8102" s="14"/>
      <c r="O8102" s="14"/>
      <c r="P8102" s="13"/>
    </row>
    <row r="8103">
      <c r="L8103" s="13"/>
      <c r="M8103" s="14"/>
      <c r="N8103" s="14"/>
      <c r="O8103" s="14"/>
      <c r="P8103" s="13"/>
    </row>
    <row r="8104">
      <c r="L8104" s="13"/>
      <c r="M8104" s="14"/>
      <c r="N8104" s="14"/>
      <c r="O8104" s="14"/>
      <c r="P8104" s="13"/>
    </row>
    <row r="8105">
      <c r="L8105" s="13"/>
      <c r="M8105" s="14"/>
      <c r="N8105" s="14"/>
      <c r="O8105" s="14"/>
      <c r="P8105" s="13"/>
    </row>
    <row r="8106">
      <c r="L8106" s="13"/>
      <c r="M8106" s="14"/>
      <c r="N8106" s="14"/>
      <c r="O8106" s="14"/>
      <c r="P8106" s="13"/>
    </row>
    <row r="8107">
      <c r="L8107" s="13"/>
      <c r="M8107" s="14"/>
      <c r="N8107" s="14"/>
      <c r="O8107" s="14"/>
      <c r="P8107" s="13"/>
    </row>
    <row r="8108">
      <c r="L8108" s="13"/>
      <c r="M8108" s="14"/>
      <c r="N8108" s="14"/>
      <c r="O8108" s="14"/>
      <c r="P8108" s="13"/>
    </row>
    <row r="8109">
      <c r="L8109" s="13"/>
      <c r="M8109" s="14"/>
      <c r="N8109" s="14"/>
      <c r="O8109" s="14"/>
      <c r="P8109" s="13"/>
    </row>
    <row r="8110">
      <c r="L8110" s="13"/>
      <c r="M8110" s="14"/>
      <c r="N8110" s="14"/>
      <c r="O8110" s="14"/>
      <c r="P8110" s="13"/>
    </row>
    <row r="8111">
      <c r="L8111" s="13"/>
      <c r="M8111" s="14"/>
      <c r="N8111" s="14"/>
      <c r="O8111" s="14"/>
      <c r="P8111" s="13"/>
    </row>
    <row r="8112">
      <c r="L8112" s="13"/>
      <c r="M8112" s="14"/>
      <c r="N8112" s="14"/>
      <c r="O8112" s="14"/>
      <c r="P8112" s="13"/>
    </row>
    <row r="8113">
      <c r="L8113" s="13"/>
      <c r="M8113" s="14"/>
      <c r="N8113" s="14"/>
      <c r="O8113" s="14"/>
      <c r="P8113" s="13"/>
    </row>
    <row r="8114">
      <c r="L8114" s="13"/>
      <c r="M8114" s="14"/>
      <c r="N8114" s="14"/>
      <c r="O8114" s="14"/>
      <c r="P8114" s="13"/>
    </row>
    <row r="8115">
      <c r="L8115" s="13"/>
      <c r="M8115" s="14"/>
      <c r="N8115" s="14"/>
      <c r="O8115" s="14"/>
      <c r="P8115" s="13"/>
    </row>
    <row r="8116">
      <c r="L8116" s="13"/>
      <c r="M8116" s="14"/>
      <c r="N8116" s="14"/>
      <c r="O8116" s="14"/>
      <c r="P8116" s="13"/>
    </row>
    <row r="8117">
      <c r="L8117" s="13"/>
      <c r="M8117" s="14"/>
      <c r="N8117" s="14"/>
      <c r="O8117" s="14"/>
      <c r="P8117" s="13"/>
    </row>
    <row r="8118">
      <c r="L8118" s="13"/>
      <c r="M8118" s="14"/>
      <c r="N8118" s="14"/>
      <c r="O8118" s="14"/>
      <c r="P8118" s="13"/>
    </row>
    <row r="8119">
      <c r="L8119" s="13"/>
      <c r="M8119" s="14"/>
      <c r="N8119" s="14"/>
      <c r="O8119" s="14"/>
      <c r="P8119" s="13"/>
    </row>
    <row r="8120">
      <c r="L8120" s="13"/>
      <c r="M8120" s="14"/>
      <c r="N8120" s="14"/>
      <c r="O8120" s="14"/>
      <c r="P8120" s="13"/>
    </row>
    <row r="8121">
      <c r="L8121" s="13"/>
      <c r="M8121" s="14"/>
      <c r="N8121" s="14"/>
      <c r="O8121" s="14"/>
      <c r="P8121" s="13"/>
    </row>
    <row r="8122">
      <c r="L8122" s="13"/>
      <c r="M8122" s="14"/>
      <c r="N8122" s="14"/>
      <c r="O8122" s="14"/>
      <c r="P8122" s="13"/>
    </row>
    <row r="8123">
      <c r="L8123" s="13"/>
      <c r="M8123" s="14"/>
      <c r="N8123" s="14"/>
      <c r="O8123" s="14"/>
      <c r="P8123" s="13"/>
    </row>
    <row r="8124">
      <c r="L8124" s="13"/>
      <c r="M8124" s="14"/>
      <c r="N8124" s="14"/>
      <c r="O8124" s="14"/>
      <c r="P8124" s="13"/>
    </row>
    <row r="8125">
      <c r="L8125" s="13"/>
      <c r="M8125" s="14"/>
      <c r="N8125" s="14"/>
      <c r="O8125" s="14"/>
      <c r="P8125" s="13"/>
    </row>
    <row r="8126">
      <c r="L8126" s="13"/>
      <c r="M8126" s="14"/>
      <c r="N8126" s="14"/>
      <c r="O8126" s="14"/>
      <c r="P8126" s="13"/>
    </row>
    <row r="8127">
      <c r="L8127" s="13"/>
      <c r="M8127" s="14"/>
      <c r="N8127" s="14"/>
      <c r="O8127" s="14"/>
      <c r="P8127" s="13"/>
    </row>
    <row r="8128">
      <c r="L8128" s="13"/>
      <c r="M8128" s="14"/>
      <c r="N8128" s="14"/>
      <c r="O8128" s="14"/>
      <c r="P8128" s="13"/>
    </row>
    <row r="8129">
      <c r="L8129" s="13"/>
      <c r="M8129" s="14"/>
      <c r="N8129" s="14"/>
      <c r="O8129" s="14"/>
      <c r="P8129" s="13"/>
    </row>
    <row r="8130">
      <c r="L8130" s="13"/>
      <c r="M8130" s="14"/>
      <c r="N8130" s="14"/>
      <c r="O8130" s="14"/>
      <c r="P8130" s="13"/>
    </row>
    <row r="8131">
      <c r="L8131" s="13"/>
      <c r="M8131" s="14"/>
      <c r="N8131" s="14"/>
      <c r="O8131" s="14"/>
      <c r="P8131" s="13"/>
    </row>
    <row r="8132">
      <c r="L8132" s="13"/>
      <c r="M8132" s="14"/>
      <c r="N8132" s="14"/>
      <c r="O8132" s="14"/>
      <c r="P8132" s="13"/>
    </row>
    <row r="8133">
      <c r="L8133" s="13"/>
      <c r="M8133" s="14"/>
      <c r="N8133" s="14"/>
      <c r="O8133" s="14"/>
      <c r="P8133" s="13"/>
    </row>
    <row r="8134">
      <c r="L8134" s="13"/>
      <c r="M8134" s="14"/>
      <c r="N8134" s="14"/>
      <c r="O8134" s="14"/>
      <c r="P8134" s="13"/>
    </row>
    <row r="8135">
      <c r="L8135" s="13"/>
      <c r="M8135" s="14"/>
      <c r="N8135" s="14"/>
      <c r="O8135" s="14"/>
      <c r="P8135" s="13"/>
    </row>
    <row r="8136">
      <c r="L8136" s="13"/>
      <c r="M8136" s="14"/>
      <c r="N8136" s="14"/>
      <c r="O8136" s="14"/>
      <c r="P8136" s="13"/>
    </row>
    <row r="8137">
      <c r="L8137" s="13"/>
      <c r="M8137" s="14"/>
      <c r="N8137" s="14"/>
      <c r="O8137" s="14"/>
      <c r="P8137" s="13"/>
    </row>
    <row r="8138">
      <c r="L8138" s="13"/>
      <c r="M8138" s="14"/>
      <c r="N8138" s="14"/>
      <c r="O8138" s="14"/>
      <c r="P8138" s="13"/>
    </row>
    <row r="8139">
      <c r="L8139" s="13"/>
      <c r="M8139" s="14"/>
      <c r="N8139" s="14"/>
      <c r="O8139" s="14"/>
      <c r="P8139" s="13"/>
    </row>
    <row r="8140">
      <c r="L8140" s="13"/>
      <c r="M8140" s="14"/>
      <c r="N8140" s="14"/>
      <c r="O8140" s="14"/>
      <c r="P8140" s="13"/>
    </row>
    <row r="8141">
      <c r="L8141" s="13"/>
      <c r="M8141" s="14"/>
      <c r="N8141" s="14"/>
      <c r="O8141" s="14"/>
      <c r="P8141" s="13"/>
    </row>
    <row r="8142">
      <c r="L8142" s="13"/>
      <c r="M8142" s="14"/>
      <c r="N8142" s="14"/>
      <c r="O8142" s="14"/>
      <c r="P8142" s="13"/>
    </row>
    <row r="8143">
      <c r="L8143" s="13"/>
      <c r="M8143" s="14"/>
      <c r="N8143" s="14"/>
      <c r="O8143" s="14"/>
      <c r="P8143" s="13"/>
    </row>
    <row r="8144">
      <c r="L8144" s="13"/>
      <c r="M8144" s="14"/>
      <c r="N8144" s="14"/>
      <c r="O8144" s="14"/>
      <c r="P8144" s="13"/>
    </row>
    <row r="8145">
      <c r="L8145" s="13"/>
      <c r="M8145" s="14"/>
      <c r="N8145" s="14"/>
      <c r="O8145" s="14"/>
      <c r="P8145" s="13"/>
    </row>
    <row r="8146">
      <c r="L8146" s="13"/>
      <c r="M8146" s="14"/>
      <c r="N8146" s="14"/>
      <c r="O8146" s="14"/>
      <c r="P8146" s="13"/>
    </row>
    <row r="8147">
      <c r="L8147" s="13"/>
      <c r="M8147" s="14"/>
      <c r="N8147" s="14"/>
      <c r="O8147" s="14"/>
      <c r="P8147" s="13"/>
    </row>
    <row r="8148">
      <c r="L8148" s="13"/>
      <c r="M8148" s="14"/>
      <c r="N8148" s="14"/>
      <c r="O8148" s="14"/>
      <c r="P8148" s="13"/>
    </row>
    <row r="8149">
      <c r="L8149" s="13"/>
      <c r="M8149" s="14"/>
      <c r="N8149" s="14"/>
      <c r="O8149" s="14"/>
      <c r="P8149" s="13"/>
    </row>
    <row r="8150">
      <c r="L8150" s="13"/>
      <c r="M8150" s="14"/>
      <c r="N8150" s="14"/>
      <c r="O8150" s="14"/>
      <c r="P8150" s="13"/>
    </row>
    <row r="8151">
      <c r="L8151" s="13"/>
      <c r="M8151" s="14"/>
      <c r="N8151" s="14"/>
      <c r="O8151" s="14"/>
      <c r="P8151" s="13"/>
    </row>
    <row r="8152">
      <c r="L8152" s="13"/>
      <c r="M8152" s="14"/>
      <c r="N8152" s="14"/>
      <c r="O8152" s="14"/>
      <c r="P8152" s="13"/>
    </row>
    <row r="8153">
      <c r="L8153" s="13"/>
      <c r="M8153" s="14"/>
      <c r="N8153" s="14"/>
      <c r="O8153" s="14"/>
      <c r="P8153" s="13"/>
    </row>
    <row r="8154">
      <c r="L8154" s="13"/>
      <c r="M8154" s="14"/>
      <c r="N8154" s="14"/>
      <c r="O8154" s="14"/>
      <c r="P8154" s="13"/>
    </row>
    <row r="8155">
      <c r="L8155" s="13"/>
      <c r="M8155" s="14"/>
      <c r="N8155" s="14"/>
      <c r="O8155" s="14"/>
      <c r="P8155" s="13"/>
    </row>
    <row r="8156">
      <c r="L8156" s="13"/>
      <c r="M8156" s="14"/>
      <c r="N8156" s="14"/>
      <c r="O8156" s="14"/>
      <c r="P8156" s="13"/>
    </row>
    <row r="8157">
      <c r="L8157" s="13"/>
      <c r="M8157" s="14"/>
      <c r="N8157" s="14"/>
      <c r="O8157" s="14"/>
      <c r="P8157" s="13"/>
    </row>
    <row r="8158">
      <c r="L8158" s="13"/>
      <c r="M8158" s="14"/>
      <c r="N8158" s="14"/>
      <c r="O8158" s="14"/>
      <c r="P8158" s="13"/>
    </row>
    <row r="8159">
      <c r="L8159" s="13"/>
      <c r="M8159" s="14"/>
      <c r="N8159" s="14"/>
      <c r="O8159" s="14"/>
      <c r="P8159" s="13"/>
    </row>
    <row r="8160">
      <c r="L8160" s="13"/>
      <c r="M8160" s="14"/>
      <c r="N8160" s="14"/>
      <c r="O8160" s="14"/>
      <c r="P8160" s="13"/>
    </row>
    <row r="8161">
      <c r="L8161" s="13"/>
      <c r="M8161" s="14"/>
      <c r="N8161" s="14"/>
      <c r="O8161" s="14"/>
      <c r="P8161" s="13"/>
    </row>
    <row r="8162">
      <c r="L8162" s="13"/>
      <c r="M8162" s="14"/>
      <c r="N8162" s="14"/>
      <c r="O8162" s="14"/>
      <c r="P8162" s="13"/>
    </row>
    <row r="8163">
      <c r="L8163" s="13"/>
      <c r="M8163" s="14"/>
      <c r="N8163" s="14"/>
      <c r="O8163" s="14"/>
      <c r="P8163" s="13"/>
    </row>
    <row r="8164">
      <c r="L8164" s="13"/>
      <c r="M8164" s="14"/>
      <c r="N8164" s="14"/>
      <c r="O8164" s="14"/>
      <c r="P8164" s="13"/>
    </row>
    <row r="8165">
      <c r="L8165" s="13"/>
      <c r="M8165" s="14"/>
      <c r="N8165" s="14"/>
      <c r="O8165" s="14"/>
      <c r="P8165" s="13"/>
    </row>
    <row r="8166">
      <c r="L8166" s="13"/>
      <c r="M8166" s="14"/>
      <c r="N8166" s="14"/>
      <c r="O8166" s="14"/>
      <c r="P8166" s="13"/>
    </row>
    <row r="8167">
      <c r="L8167" s="13"/>
      <c r="M8167" s="14"/>
      <c r="N8167" s="14"/>
      <c r="O8167" s="14"/>
      <c r="P8167" s="13"/>
    </row>
    <row r="8168">
      <c r="L8168" s="13"/>
      <c r="M8168" s="14"/>
      <c r="N8168" s="14"/>
      <c r="O8168" s="14"/>
      <c r="P8168" s="13"/>
    </row>
    <row r="8169">
      <c r="L8169" s="13"/>
      <c r="M8169" s="14"/>
      <c r="N8169" s="14"/>
      <c r="O8169" s="14"/>
      <c r="P8169" s="13"/>
    </row>
    <row r="8170">
      <c r="L8170" s="13"/>
      <c r="M8170" s="14"/>
      <c r="N8170" s="14"/>
      <c r="O8170" s="14"/>
      <c r="P8170" s="13"/>
    </row>
    <row r="8171">
      <c r="L8171" s="13"/>
      <c r="M8171" s="14"/>
      <c r="N8171" s="14"/>
      <c r="O8171" s="14"/>
      <c r="P8171" s="13"/>
    </row>
    <row r="8172">
      <c r="L8172" s="13"/>
      <c r="M8172" s="14"/>
      <c r="N8172" s="14"/>
      <c r="O8172" s="14"/>
      <c r="P8172" s="13"/>
    </row>
    <row r="8173">
      <c r="L8173" s="13"/>
      <c r="M8173" s="14"/>
      <c r="N8173" s="14"/>
      <c r="O8173" s="14"/>
      <c r="P8173" s="13"/>
    </row>
    <row r="8174">
      <c r="L8174" s="13"/>
      <c r="M8174" s="14"/>
      <c r="N8174" s="14"/>
      <c r="O8174" s="14"/>
      <c r="P8174" s="13"/>
    </row>
    <row r="8175">
      <c r="L8175" s="13"/>
      <c r="M8175" s="14"/>
      <c r="N8175" s="14"/>
      <c r="O8175" s="14"/>
      <c r="P8175" s="13"/>
    </row>
    <row r="8176">
      <c r="L8176" s="13"/>
      <c r="M8176" s="14"/>
      <c r="N8176" s="14"/>
      <c r="O8176" s="14"/>
      <c r="P8176" s="13"/>
    </row>
    <row r="8177">
      <c r="L8177" s="13"/>
      <c r="M8177" s="14"/>
      <c r="N8177" s="14"/>
      <c r="O8177" s="14"/>
      <c r="P8177" s="13"/>
    </row>
    <row r="8178">
      <c r="L8178" s="13"/>
      <c r="M8178" s="14"/>
      <c r="N8178" s="14"/>
      <c r="O8178" s="14"/>
      <c r="P8178" s="13"/>
    </row>
    <row r="8179">
      <c r="L8179" s="13"/>
      <c r="M8179" s="14"/>
      <c r="N8179" s="14"/>
      <c r="O8179" s="14"/>
      <c r="P8179" s="13"/>
    </row>
    <row r="8180">
      <c r="L8180" s="13"/>
      <c r="M8180" s="14"/>
      <c r="N8180" s="14"/>
      <c r="O8180" s="14"/>
      <c r="P8180" s="13"/>
    </row>
    <row r="8181">
      <c r="L8181" s="13"/>
      <c r="M8181" s="14"/>
      <c r="N8181" s="14"/>
      <c r="O8181" s="14"/>
      <c r="P8181" s="13"/>
    </row>
    <row r="8182">
      <c r="L8182" s="13"/>
      <c r="M8182" s="14"/>
      <c r="N8182" s="14"/>
      <c r="O8182" s="14"/>
      <c r="P8182" s="13"/>
    </row>
    <row r="8183">
      <c r="L8183" s="13"/>
      <c r="M8183" s="14"/>
      <c r="N8183" s="14"/>
      <c r="O8183" s="14"/>
      <c r="P8183" s="13"/>
    </row>
    <row r="8184">
      <c r="L8184" s="13"/>
      <c r="M8184" s="14"/>
      <c r="N8184" s="14"/>
      <c r="O8184" s="14"/>
      <c r="P8184" s="13"/>
    </row>
    <row r="8185">
      <c r="L8185" s="13"/>
      <c r="M8185" s="14"/>
      <c r="N8185" s="14"/>
      <c r="O8185" s="14"/>
      <c r="P8185" s="13"/>
    </row>
    <row r="8186">
      <c r="L8186" s="13"/>
      <c r="M8186" s="14"/>
      <c r="N8186" s="14"/>
      <c r="O8186" s="14"/>
      <c r="P8186" s="13"/>
    </row>
    <row r="8187">
      <c r="L8187" s="13"/>
      <c r="M8187" s="14"/>
      <c r="N8187" s="14"/>
      <c r="O8187" s="14"/>
      <c r="P8187" s="13"/>
    </row>
    <row r="8188">
      <c r="L8188" s="13"/>
      <c r="M8188" s="14"/>
      <c r="N8188" s="14"/>
      <c r="O8188" s="14"/>
      <c r="P8188" s="13"/>
    </row>
    <row r="8189">
      <c r="L8189" s="13"/>
      <c r="M8189" s="14"/>
      <c r="N8189" s="14"/>
      <c r="O8189" s="14"/>
      <c r="P8189" s="13"/>
    </row>
    <row r="8190">
      <c r="L8190" s="13"/>
      <c r="M8190" s="14"/>
      <c r="N8190" s="14"/>
      <c r="O8190" s="14"/>
      <c r="P8190" s="13"/>
    </row>
    <row r="8191">
      <c r="L8191" s="13"/>
      <c r="M8191" s="14"/>
      <c r="N8191" s="14"/>
      <c r="O8191" s="14"/>
      <c r="P8191" s="13"/>
    </row>
    <row r="8192">
      <c r="L8192" s="13"/>
      <c r="M8192" s="14"/>
      <c r="N8192" s="14"/>
      <c r="O8192" s="14"/>
      <c r="P8192" s="13"/>
    </row>
    <row r="8193">
      <c r="L8193" s="13"/>
      <c r="M8193" s="14"/>
      <c r="N8193" s="14"/>
      <c r="O8193" s="14"/>
      <c r="P8193" s="13"/>
    </row>
    <row r="8194">
      <c r="L8194" s="13"/>
      <c r="M8194" s="14"/>
      <c r="N8194" s="14"/>
      <c r="O8194" s="14"/>
      <c r="P8194" s="13"/>
    </row>
    <row r="8195">
      <c r="L8195" s="13"/>
      <c r="M8195" s="14"/>
      <c r="N8195" s="14"/>
      <c r="O8195" s="14"/>
      <c r="P8195" s="13"/>
    </row>
    <row r="8196">
      <c r="L8196" s="13"/>
      <c r="M8196" s="14"/>
      <c r="N8196" s="14"/>
      <c r="O8196" s="14"/>
      <c r="P8196" s="13"/>
    </row>
    <row r="8197">
      <c r="L8197" s="13"/>
      <c r="M8197" s="14"/>
      <c r="N8197" s="14"/>
      <c r="O8197" s="14"/>
      <c r="P8197" s="13"/>
    </row>
    <row r="8198">
      <c r="L8198" s="13"/>
      <c r="M8198" s="14"/>
      <c r="N8198" s="14"/>
      <c r="O8198" s="14"/>
      <c r="P8198" s="13"/>
    </row>
    <row r="8199">
      <c r="L8199" s="13"/>
      <c r="M8199" s="14"/>
      <c r="N8199" s="14"/>
      <c r="O8199" s="14"/>
      <c r="P8199" s="13"/>
    </row>
    <row r="8200">
      <c r="L8200" s="13"/>
      <c r="M8200" s="14"/>
      <c r="N8200" s="14"/>
      <c r="O8200" s="14"/>
      <c r="P8200" s="13"/>
    </row>
    <row r="8201">
      <c r="L8201" s="13"/>
      <c r="M8201" s="14"/>
      <c r="N8201" s="14"/>
      <c r="O8201" s="14"/>
      <c r="P8201" s="13"/>
    </row>
    <row r="8202">
      <c r="L8202" s="13"/>
      <c r="M8202" s="14"/>
      <c r="N8202" s="14"/>
      <c r="O8202" s="14"/>
      <c r="P8202" s="13"/>
    </row>
    <row r="8203">
      <c r="L8203" s="13"/>
      <c r="M8203" s="14"/>
      <c r="N8203" s="14"/>
      <c r="O8203" s="14"/>
      <c r="P8203" s="13"/>
    </row>
    <row r="8204">
      <c r="L8204" s="13"/>
      <c r="M8204" s="14"/>
      <c r="N8204" s="14"/>
      <c r="O8204" s="14"/>
      <c r="P8204" s="13"/>
    </row>
    <row r="8205">
      <c r="L8205" s="13"/>
      <c r="M8205" s="14"/>
      <c r="N8205" s="14"/>
      <c r="O8205" s="14"/>
      <c r="P8205" s="13"/>
    </row>
    <row r="8206">
      <c r="L8206" s="13"/>
      <c r="M8206" s="14"/>
      <c r="N8206" s="14"/>
      <c r="O8206" s="14"/>
      <c r="P8206" s="13"/>
    </row>
    <row r="8207">
      <c r="L8207" s="13"/>
      <c r="M8207" s="14"/>
      <c r="N8207" s="14"/>
      <c r="O8207" s="14"/>
      <c r="P8207" s="13"/>
    </row>
    <row r="8208">
      <c r="L8208" s="13"/>
      <c r="M8208" s="14"/>
      <c r="N8208" s="14"/>
      <c r="O8208" s="14"/>
      <c r="P8208" s="13"/>
    </row>
    <row r="8209">
      <c r="L8209" s="13"/>
      <c r="M8209" s="14"/>
      <c r="N8209" s="14"/>
      <c r="O8209" s="14"/>
      <c r="P8209" s="13"/>
    </row>
    <row r="8210">
      <c r="L8210" s="13"/>
      <c r="M8210" s="14"/>
      <c r="N8210" s="14"/>
      <c r="O8210" s="14"/>
      <c r="P8210" s="13"/>
    </row>
    <row r="8211">
      <c r="L8211" s="13"/>
      <c r="M8211" s="14"/>
      <c r="N8211" s="14"/>
      <c r="O8211" s="14"/>
      <c r="P8211" s="13"/>
    </row>
    <row r="8212">
      <c r="L8212" s="13"/>
      <c r="M8212" s="14"/>
      <c r="N8212" s="14"/>
      <c r="O8212" s="14"/>
      <c r="P8212" s="13"/>
    </row>
    <row r="8213">
      <c r="L8213" s="13"/>
      <c r="M8213" s="14"/>
      <c r="N8213" s="14"/>
      <c r="O8213" s="14"/>
      <c r="P8213" s="13"/>
    </row>
    <row r="8214">
      <c r="L8214" s="13"/>
      <c r="M8214" s="14"/>
      <c r="N8214" s="14"/>
      <c r="O8214" s="14"/>
      <c r="P8214" s="13"/>
    </row>
    <row r="8215">
      <c r="L8215" s="13"/>
      <c r="M8215" s="14"/>
      <c r="N8215" s="14"/>
      <c r="O8215" s="14"/>
      <c r="P8215" s="13"/>
    </row>
    <row r="8216">
      <c r="L8216" s="13"/>
      <c r="M8216" s="14"/>
      <c r="N8216" s="14"/>
      <c r="O8216" s="14"/>
      <c r="P8216" s="13"/>
    </row>
    <row r="8217">
      <c r="L8217" s="13"/>
      <c r="M8217" s="14"/>
      <c r="N8217" s="14"/>
      <c r="O8217" s="14"/>
      <c r="P8217" s="13"/>
    </row>
    <row r="8218">
      <c r="L8218" s="13"/>
      <c r="M8218" s="14"/>
      <c r="N8218" s="14"/>
      <c r="O8218" s="14"/>
      <c r="P8218" s="13"/>
    </row>
    <row r="8219">
      <c r="L8219" s="13"/>
      <c r="M8219" s="14"/>
      <c r="N8219" s="14"/>
      <c r="O8219" s="14"/>
      <c r="P8219" s="13"/>
    </row>
    <row r="8220">
      <c r="L8220" s="13"/>
      <c r="M8220" s="14"/>
      <c r="N8220" s="14"/>
      <c r="O8220" s="14"/>
      <c r="P8220" s="13"/>
    </row>
    <row r="8221">
      <c r="L8221" s="13"/>
      <c r="M8221" s="14"/>
      <c r="N8221" s="14"/>
      <c r="O8221" s="14"/>
      <c r="P8221" s="13"/>
    </row>
    <row r="8222">
      <c r="L8222" s="13"/>
      <c r="M8222" s="14"/>
      <c r="N8222" s="14"/>
      <c r="O8222" s="14"/>
      <c r="P8222" s="13"/>
    </row>
    <row r="8223">
      <c r="L8223" s="13"/>
      <c r="M8223" s="14"/>
      <c r="N8223" s="14"/>
      <c r="O8223" s="14"/>
      <c r="P8223" s="13"/>
    </row>
    <row r="8224">
      <c r="L8224" s="13"/>
      <c r="M8224" s="14"/>
      <c r="N8224" s="14"/>
      <c r="O8224" s="14"/>
      <c r="P8224" s="13"/>
    </row>
    <row r="8225">
      <c r="L8225" s="13"/>
      <c r="M8225" s="14"/>
      <c r="N8225" s="14"/>
      <c r="O8225" s="14"/>
      <c r="P8225" s="13"/>
    </row>
    <row r="8226">
      <c r="L8226" s="13"/>
      <c r="M8226" s="14"/>
      <c r="N8226" s="14"/>
      <c r="O8226" s="14"/>
      <c r="P8226" s="13"/>
    </row>
    <row r="8227">
      <c r="L8227" s="13"/>
      <c r="M8227" s="14"/>
      <c r="N8227" s="14"/>
      <c r="O8227" s="14"/>
      <c r="P8227" s="13"/>
    </row>
    <row r="8228">
      <c r="L8228" s="13"/>
      <c r="M8228" s="14"/>
      <c r="N8228" s="14"/>
      <c r="O8228" s="14"/>
      <c r="P8228" s="13"/>
    </row>
    <row r="8229">
      <c r="L8229" s="13"/>
      <c r="M8229" s="14"/>
      <c r="N8229" s="14"/>
      <c r="O8229" s="14"/>
      <c r="P8229" s="13"/>
    </row>
    <row r="8230">
      <c r="L8230" s="13"/>
      <c r="M8230" s="14"/>
      <c r="N8230" s="14"/>
      <c r="O8230" s="14"/>
      <c r="P8230" s="13"/>
    </row>
    <row r="8231">
      <c r="L8231" s="13"/>
      <c r="M8231" s="14"/>
      <c r="N8231" s="14"/>
      <c r="O8231" s="14"/>
      <c r="P8231" s="13"/>
    </row>
    <row r="8232">
      <c r="L8232" s="13"/>
      <c r="M8232" s="14"/>
      <c r="N8232" s="14"/>
      <c r="O8232" s="14"/>
      <c r="P8232" s="13"/>
    </row>
    <row r="8233">
      <c r="L8233" s="13"/>
      <c r="M8233" s="14"/>
      <c r="N8233" s="14"/>
      <c r="O8233" s="14"/>
      <c r="P8233" s="13"/>
    </row>
    <row r="8234">
      <c r="L8234" s="13"/>
      <c r="M8234" s="14"/>
      <c r="N8234" s="14"/>
      <c r="O8234" s="14"/>
      <c r="P8234" s="13"/>
    </row>
    <row r="8235">
      <c r="L8235" s="13"/>
      <c r="M8235" s="14"/>
      <c r="N8235" s="14"/>
      <c r="O8235" s="14"/>
      <c r="P8235" s="13"/>
    </row>
    <row r="8236">
      <c r="L8236" s="13"/>
      <c r="M8236" s="14"/>
      <c r="N8236" s="14"/>
      <c r="O8236" s="14"/>
      <c r="P8236" s="13"/>
    </row>
    <row r="8237">
      <c r="L8237" s="13"/>
      <c r="M8237" s="14"/>
      <c r="N8237" s="14"/>
      <c r="O8237" s="14"/>
      <c r="P8237" s="13"/>
    </row>
    <row r="8238">
      <c r="L8238" s="13"/>
      <c r="M8238" s="14"/>
      <c r="N8238" s="14"/>
      <c r="O8238" s="14"/>
      <c r="P8238" s="13"/>
    </row>
    <row r="8239">
      <c r="L8239" s="13"/>
      <c r="M8239" s="14"/>
      <c r="N8239" s="14"/>
      <c r="O8239" s="14"/>
      <c r="P8239" s="13"/>
    </row>
    <row r="8240">
      <c r="L8240" s="13"/>
      <c r="M8240" s="14"/>
      <c r="N8240" s="14"/>
      <c r="O8240" s="14"/>
      <c r="P8240" s="13"/>
    </row>
    <row r="8241">
      <c r="L8241" s="13"/>
      <c r="M8241" s="14"/>
      <c r="N8241" s="14"/>
      <c r="O8241" s="14"/>
      <c r="P8241" s="13"/>
    </row>
    <row r="8242">
      <c r="L8242" s="13"/>
      <c r="M8242" s="14"/>
      <c r="N8242" s="14"/>
      <c r="O8242" s="14"/>
      <c r="P8242" s="13"/>
    </row>
    <row r="8243">
      <c r="L8243" s="13"/>
      <c r="M8243" s="14"/>
      <c r="N8243" s="14"/>
      <c r="O8243" s="14"/>
      <c r="P8243" s="13"/>
    </row>
    <row r="8244">
      <c r="L8244" s="13"/>
      <c r="M8244" s="14"/>
      <c r="N8244" s="14"/>
      <c r="O8244" s="14"/>
      <c r="P8244" s="13"/>
    </row>
    <row r="8245">
      <c r="L8245" s="13"/>
      <c r="M8245" s="14"/>
      <c r="N8245" s="14"/>
      <c r="O8245" s="14"/>
      <c r="P8245" s="13"/>
    </row>
    <row r="8246">
      <c r="L8246" s="13"/>
      <c r="M8246" s="14"/>
      <c r="N8246" s="14"/>
      <c r="O8246" s="14"/>
      <c r="P8246" s="13"/>
    </row>
    <row r="8247">
      <c r="L8247" s="13"/>
      <c r="M8247" s="14"/>
      <c r="N8247" s="14"/>
      <c r="O8247" s="14"/>
      <c r="P8247" s="13"/>
    </row>
    <row r="8248">
      <c r="L8248" s="13"/>
      <c r="M8248" s="14"/>
      <c r="N8248" s="14"/>
      <c r="O8248" s="14"/>
      <c r="P8248" s="13"/>
    </row>
    <row r="8249">
      <c r="L8249" s="13"/>
      <c r="M8249" s="14"/>
      <c r="N8249" s="14"/>
      <c r="O8249" s="14"/>
      <c r="P8249" s="13"/>
    </row>
    <row r="8250">
      <c r="L8250" s="13"/>
      <c r="M8250" s="14"/>
      <c r="N8250" s="14"/>
      <c r="O8250" s="14"/>
      <c r="P8250" s="13"/>
    </row>
    <row r="8251">
      <c r="L8251" s="13"/>
      <c r="M8251" s="14"/>
      <c r="N8251" s="14"/>
      <c r="O8251" s="14"/>
      <c r="P8251" s="13"/>
    </row>
    <row r="8252">
      <c r="L8252" s="13"/>
      <c r="M8252" s="14"/>
      <c r="N8252" s="14"/>
      <c r="O8252" s="14"/>
      <c r="P8252" s="13"/>
    </row>
    <row r="8253">
      <c r="L8253" s="13"/>
      <c r="M8253" s="14"/>
      <c r="N8253" s="14"/>
      <c r="O8253" s="14"/>
      <c r="P8253" s="13"/>
    </row>
    <row r="8254">
      <c r="L8254" s="13"/>
      <c r="M8254" s="14"/>
      <c r="N8254" s="14"/>
      <c r="O8254" s="14"/>
      <c r="P8254" s="13"/>
    </row>
    <row r="8255">
      <c r="L8255" s="13"/>
      <c r="M8255" s="14"/>
      <c r="N8255" s="14"/>
      <c r="O8255" s="14"/>
      <c r="P8255" s="13"/>
    </row>
    <row r="8256">
      <c r="L8256" s="13"/>
      <c r="M8256" s="14"/>
      <c r="N8256" s="14"/>
      <c r="O8256" s="14"/>
      <c r="P8256" s="13"/>
    </row>
    <row r="8257">
      <c r="L8257" s="13"/>
      <c r="M8257" s="14"/>
      <c r="N8257" s="14"/>
      <c r="O8257" s="14"/>
      <c r="P8257" s="13"/>
    </row>
    <row r="8258">
      <c r="L8258" s="13"/>
      <c r="M8258" s="14"/>
      <c r="N8258" s="14"/>
      <c r="O8258" s="14"/>
      <c r="P8258" s="13"/>
    </row>
    <row r="8259">
      <c r="L8259" s="13"/>
      <c r="M8259" s="14"/>
      <c r="N8259" s="14"/>
      <c r="O8259" s="14"/>
      <c r="P8259" s="13"/>
    </row>
    <row r="8260">
      <c r="L8260" s="13"/>
      <c r="M8260" s="14"/>
      <c r="N8260" s="14"/>
      <c r="O8260" s="14"/>
      <c r="P8260" s="13"/>
    </row>
    <row r="8261">
      <c r="L8261" s="13"/>
      <c r="M8261" s="14"/>
      <c r="N8261" s="14"/>
      <c r="O8261" s="14"/>
      <c r="P8261" s="13"/>
    </row>
    <row r="8262">
      <c r="L8262" s="13"/>
      <c r="M8262" s="14"/>
      <c r="N8262" s="14"/>
      <c r="O8262" s="14"/>
      <c r="P8262" s="13"/>
    </row>
    <row r="8263">
      <c r="L8263" s="13"/>
      <c r="M8263" s="14"/>
      <c r="N8263" s="14"/>
      <c r="O8263" s="14"/>
      <c r="P8263" s="13"/>
    </row>
    <row r="8264">
      <c r="L8264" s="13"/>
      <c r="M8264" s="14"/>
      <c r="N8264" s="14"/>
      <c r="O8264" s="14"/>
      <c r="P8264" s="13"/>
    </row>
    <row r="8265">
      <c r="L8265" s="13"/>
      <c r="M8265" s="14"/>
      <c r="N8265" s="14"/>
      <c r="O8265" s="14"/>
      <c r="P8265" s="13"/>
    </row>
    <row r="8266">
      <c r="L8266" s="13"/>
      <c r="M8266" s="14"/>
      <c r="N8266" s="14"/>
      <c r="O8266" s="14"/>
      <c r="P8266" s="13"/>
    </row>
    <row r="8267">
      <c r="L8267" s="13"/>
      <c r="M8267" s="14"/>
      <c r="N8267" s="14"/>
      <c r="O8267" s="14"/>
      <c r="P8267" s="13"/>
    </row>
    <row r="8268">
      <c r="L8268" s="13"/>
      <c r="M8268" s="14"/>
      <c r="N8268" s="14"/>
      <c r="O8268" s="14"/>
      <c r="P8268" s="13"/>
    </row>
    <row r="8269">
      <c r="L8269" s="13"/>
      <c r="M8269" s="14"/>
      <c r="N8269" s="14"/>
      <c r="O8269" s="14"/>
      <c r="P8269" s="13"/>
    </row>
    <row r="8270">
      <c r="L8270" s="13"/>
      <c r="M8270" s="14"/>
      <c r="N8270" s="14"/>
      <c r="O8270" s="14"/>
      <c r="P8270" s="13"/>
    </row>
    <row r="8271">
      <c r="L8271" s="13"/>
      <c r="M8271" s="14"/>
      <c r="N8271" s="14"/>
      <c r="O8271" s="14"/>
      <c r="P8271" s="13"/>
    </row>
    <row r="8272">
      <c r="L8272" s="13"/>
      <c r="M8272" s="14"/>
      <c r="N8272" s="14"/>
      <c r="O8272" s="14"/>
      <c r="P8272" s="13"/>
    </row>
    <row r="8273">
      <c r="L8273" s="13"/>
      <c r="M8273" s="14"/>
      <c r="N8273" s="14"/>
      <c r="O8273" s="14"/>
      <c r="P8273" s="13"/>
    </row>
    <row r="8274">
      <c r="L8274" s="13"/>
      <c r="M8274" s="14"/>
      <c r="N8274" s="14"/>
      <c r="O8274" s="14"/>
      <c r="P8274" s="13"/>
    </row>
    <row r="8275">
      <c r="L8275" s="13"/>
      <c r="M8275" s="14"/>
      <c r="N8275" s="14"/>
      <c r="O8275" s="14"/>
      <c r="P8275" s="13"/>
    </row>
    <row r="8276">
      <c r="L8276" s="13"/>
      <c r="M8276" s="14"/>
      <c r="N8276" s="14"/>
      <c r="O8276" s="14"/>
      <c r="P8276" s="13"/>
    </row>
    <row r="8277">
      <c r="L8277" s="13"/>
      <c r="M8277" s="14"/>
      <c r="N8277" s="14"/>
      <c r="O8277" s="14"/>
      <c r="P8277" s="13"/>
    </row>
    <row r="8278">
      <c r="L8278" s="13"/>
      <c r="M8278" s="14"/>
      <c r="N8278" s="14"/>
      <c r="O8278" s="14"/>
      <c r="P8278" s="13"/>
    </row>
    <row r="8279">
      <c r="L8279" s="13"/>
      <c r="M8279" s="14"/>
      <c r="N8279" s="14"/>
      <c r="O8279" s="14"/>
      <c r="P8279" s="13"/>
    </row>
    <row r="8280">
      <c r="L8280" s="13"/>
      <c r="M8280" s="14"/>
      <c r="N8280" s="14"/>
      <c r="O8280" s="14"/>
      <c r="P8280" s="13"/>
    </row>
    <row r="8281">
      <c r="L8281" s="13"/>
      <c r="M8281" s="14"/>
      <c r="N8281" s="14"/>
      <c r="O8281" s="14"/>
      <c r="P8281" s="13"/>
    </row>
    <row r="8282">
      <c r="L8282" s="13"/>
      <c r="M8282" s="14"/>
      <c r="N8282" s="14"/>
      <c r="O8282" s="14"/>
      <c r="P8282" s="13"/>
    </row>
    <row r="8283">
      <c r="L8283" s="13"/>
      <c r="M8283" s="14"/>
      <c r="N8283" s="14"/>
      <c r="O8283" s="14"/>
      <c r="P8283" s="13"/>
    </row>
    <row r="8284">
      <c r="L8284" s="13"/>
      <c r="M8284" s="14"/>
      <c r="N8284" s="14"/>
      <c r="O8284" s="14"/>
      <c r="P8284" s="13"/>
    </row>
    <row r="8285">
      <c r="L8285" s="13"/>
      <c r="M8285" s="14"/>
      <c r="N8285" s="14"/>
      <c r="O8285" s="14"/>
      <c r="P8285" s="13"/>
    </row>
    <row r="8286">
      <c r="L8286" s="13"/>
      <c r="M8286" s="14"/>
      <c r="N8286" s="14"/>
      <c r="O8286" s="14"/>
      <c r="P8286" s="13"/>
    </row>
    <row r="8287">
      <c r="L8287" s="13"/>
      <c r="M8287" s="14"/>
      <c r="N8287" s="14"/>
      <c r="O8287" s="14"/>
      <c r="P8287" s="13"/>
    </row>
    <row r="8288">
      <c r="L8288" s="13"/>
      <c r="M8288" s="14"/>
      <c r="N8288" s="14"/>
      <c r="O8288" s="14"/>
      <c r="P8288" s="13"/>
    </row>
    <row r="8289">
      <c r="L8289" s="13"/>
      <c r="M8289" s="14"/>
      <c r="N8289" s="14"/>
      <c r="O8289" s="14"/>
      <c r="P8289" s="13"/>
    </row>
    <row r="8290">
      <c r="L8290" s="13"/>
      <c r="M8290" s="14"/>
      <c r="N8290" s="14"/>
      <c r="O8290" s="14"/>
      <c r="P8290" s="13"/>
    </row>
    <row r="8291">
      <c r="L8291" s="13"/>
      <c r="M8291" s="14"/>
      <c r="N8291" s="14"/>
      <c r="O8291" s="14"/>
      <c r="P8291" s="13"/>
    </row>
    <row r="8292">
      <c r="L8292" s="13"/>
      <c r="M8292" s="14"/>
      <c r="N8292" s="14"/>
      <c r="O8292" s="14"/>
      <c r="P8292" s="13"/>
    </row>
    <row r="8293">
      <c r="L8293" s="13"/>
      <c r="M8293" s="14"/>
      <c r="N8293" s="14"/>
      <c r="O8293" s="14"/>
      <c r="P8293" s="13"/>
    </row>
    <row r="8294">
      <c r="L8294" s="13"/>
      <c r="M8294" s="14"/>
      <c r="N8294" s="14"/>
      <c r="O8294" s="14"/>
      <c r="P8294" s="13"/>
    </row>
    <row r="8295">
      <c r="L8295" s="13"/>
      <c r="M8295" s="14"/>
      <c r="N8295" s="14"/>
      <c r="O8295" s="14"/>
      <c r="P8295" s="13"/>
    </row>
    <row r="8296">
      <c r="L8296" s="13"/>
      <c r="M8296" s="14"/>
      <c r="N8296" s="14"/>
      <c r="O8296" s="14"/>
      <c r="P8296" s="13"/>
    </row>
    <row r="8297">
      <c r="L8297" s="13"/>
      <c r="M8297" s="14"/>
      <c r="N8297" s="14"/>
      <c r="O8297" s="14"/>
      <c r="P8297" s="13"/>
    </row>
    <row r="8298">
      <c r="L8298" s="13"/>
      <c r="M8298" s="14"/>
      <c r="N8298" s="14"/>
      <c r="O8298" s="14"/>
      <c r="P8298" s="13"/>
    </row>
    <row r="8299">
      <c r="L8299" s="13"/>
      <c r="M8299" s="14"/>
      <c r="N8299" s="14"/>
      <c r="O8299" s="14"/>
      <c r="P8299" s="13"/>
    </row>
    <row r="8300">
      <c r="L8300" s="13"/>
      <c r="M8300" s="14"/>
      <c r="N8300" s="14"/>
      <c r="O8300" s="14"/>
      <c r="P8300" s="13"/>
    </row>
    <row r="8301">
      <c r="L8301" s="13"/>
      <c r="M8301" s="14"/>
      <c r="N8301" s="14"/>
      <c r="O8301" s="14"/>
      <c r="P8301" s="13"/>
    </row>
    <row r="8302">
      <c r="L8302" s="13"/>
      <c r="M8302" s="14"/>
      <c r="N8302" s="14"/>
      <c r="O8302" s="14"/>
      <c r="P8302" s="13"/>
    </row>
    <row r="8303">
      <c r="L8303" s="13"/>
      <c r="M8303" s="14"/>
      <c r="N8303" s="14"/>
      <c r="O8303" s="14"/>
      <c r="P8303" s="13"/>
    </row>
    <row r="8304">
      <c r="L8304" s="13"/>
      <c r="M8304" s="14"/>
      <c r="N8304" s="14"/>
      <c r="O8304" s="14"/>
      <c r="P8304" s="13"/>
    </row>
    <row r="8305">
      <c r="L8305" s="13"/>
      <c r="M8305" s="14"/>
      <c r="N8305" s="14"/>
      <c r="O8305" s="14"/>
      <c r="P8305" s="13"/>
    </row>
    <row r="8306">
      <c r="L8306" s="13"/>
      <c r="M8306" s="14"/>
      <c r="N8306" s="14"/>
      <c r="O8306" s="14"/>
      <c r="P8306" s="13"/>
    </row>
    <row r="8307">
      <c r="L8307" s="13"/>
      <c r="M8307" s="14"/>
      <c r="N8307" s="14"/>
      <c r="O8307" s="14"/>
      <c r="P8307" s="13"/>
    </row>
    <row r="8308">
      <c r="L8308" s="13"/>
      <c r="M8308" s="14"/>
      <c r="N8308" s="14"/>
      <c r="O8308" s="14"/>
      <c r="P8308" s="13"/>
    </row>
    <row r="8309">
      <c r="L8309" s="13"/>
      <c r="M8309" s="14"/>
      <c r="N8309" s="14"/>
      <c r="O8309" s="14"/>
      <c r="P8309" s="13"/>
    </row>
    <row r="8310">
      <c r="L8310" s="13"/>
      <c r="M8310" s="14"/>
      <c r="N8310" s="14"/>
      <c r="O8310" s="14"/>
      <c r="P8310" s="13"/>
    </row>
    <row r="8311">
      <c r="L8311" s="13"/>
      <c r="M8311" s="14"/>
      <c r="N8311" s="14"/>
      <c r="O8311" s="14"/>
      <c r="P8311" s="13"/>
    </row>
    <row r="8312">
      <c r="L8312" s="13"/>
      <c r="M8312" s="14"/>
      <c r="N8312" s="14"/>
      <c r="O8312" s="14"/>
      <c r="P8312" s="13"/>
    </row>
    <row r="8313">
      <c r="L8313" s="13"/>
      <c r="M8313" s="14"/>
      <c r="N8313" s="14"/>
      <c r="O8313" s="14"/>
      <c r="P8313" s="13"/>
    </row>
    <row r="8314">
      <c r="L8314" s="13"/>
      <c r="M8314" s="14"/>
      <c r="N8314" s="14"/>
      <c r="O8314" s="14"/>
      <c r="P8314" s="13"/>
    </row>
    <row r="8315">
      <c r="L8315" s="13"/>
      <c r="M8315" s="14"/>
      <c r="N8315" s="14"/>
      <c r="O8315" s="14"/>
      <c r="P8315" s="13"/>
    </row>
    <row r="8316">
      <c r="L8316" s="13"/>
      <c r="M8316" s="14"/>
      <c r="N8316" s="14"/>
      <c r="O8316" s="14"/>
      <c r="P8316" s="13"/>
    </row>
    <row r="8317">
      <c r="L8317" s="13"/>
      <c r="M8317" s="14"/>
      <c r="N8317" s="14"/>
      <c r="O8317" s="14"/>
      <c r="P8317" s="13"/>
    </row>
    <row r="8318">
      <c r="L8318" s="13"/>
      <c r="M8318" s="14"/>
      <c r="N8318" s="14"/>
      <c r="O8318" s="14"/>
      <c r="P8318" s="13"/>
    </row>
    <row r="8319">
      <c r="L8319" s="13"/>
      <c r="M8319" s="14"/>
      <c r="N8319" s="14"/>
      <c r="O8319" s="14"/>
      <c r="P8319" s="13"/>
    </row>
    <row r="8320">
      <c r="L8320" s="13"/>
      <c r="M8320" s="14"/>
      <c r="N8320" s="14"/>
      <c r="O8320" s="14"/>
      <c r="P8320" s="13"/>
    </row>
    <row r="8321">
      <c r="L8321" s="13"/>
      <c r="M8321" s="14"/>
      <c r="N8321" s="14"/>
      <c r="O8321" s="14"/>
      <c r="P8321" s="13"/>
    </row>
    <row r="8322">
      <c r="L8322" s="13"/>
      <c r="M8322" s="14"/>
      <c r="N8322" s="14"/>
      <c r="O8322" s="14"/>
      <c r="P8322" s="13"/>
    </row>
    <row r="8323">
      <c r="L8323" s="13"/>
      <c r="M8323" s="14"/>
      <c r="N8323" s="14"/>
      <c r="O8323" s="14"/>
      <c r="P8323" s="13"/>
    </row>
    <row r="8324">
      <c r="L8324" s="13"/>
      <c r="M8324" s="14"/>
      <c r="N8324" s="14"/>
      <c r="O8324" s="14"/>
      <c r="P8324" s="13"/>
    </row>
    <row r="8325">
      <c r="L8325" s="13"/>
      <c r="M8325" s="14"/>
      <c r="N8325" s="14"/>
      <c r="O8325" s="14"/>
      <c r="P8325" s="13"/>
    </row>
    <row r="8326">
      <c r="L8326" s="13"/>
      <c r="M8326" s="14"/>
      <c r="N8326" s="14"/>
      <c r="O8326" s="14"/>
      <c r="P8326" s="13"/>
    </row>
    <row r="8327">
      <c r="L8327" s="13"/>
      <c r="M8327" s="14"/>
      <c r="N8327" s="14"/>
      <c r="O8327" s="14"/>
      <c r="P8327" s="13"/>
    </row>
    <row r="8328">
      <c r="L8328" s="13"/>
      <c r="M8328" s="14"/>
      <c r="N8328" s="14"/>
      <c r="O8328" s="14"/>
      <c r="P8328" s="13"/>
    </row>
    <row r="8329">
      <c r="L8329" s="13"/>
      <c r="M8329" s="14"/>
      <c r="N8329" s="14"/>
      <c r="O8329" s="14"/>
      <c r="P8329" s="13"/>
    </row>
    <row r="8330">
      <c r="L8330" s="13"/>
      <c r="M8330" s="14"/>
      <c r="N8330" s="14"/>
      <c r="O8330" s="14"/>
      <c r="P8330" s="13"/>
    </row>
    <row r="8331">
      <c r="L8331" s="13"/>
      <c r="M8331" s="14"/>
      <c r="N8331" s="14"/>
      <c r="O8331" s="14"/>
      <c r="P8331" s="13"/>
    </row>
    <row r="8332">
      <c r="L8332" s="13"/>
      <c r="M8332" s="14"/>
      <c r="N8332" s="14"/>
      <c r="O8332" s="14"/>
      <c r="P8332" s="13"/>
    </row>
    <row r="8333">
      <c r="L8333" s="13"/>
      <c r="M8333" s="14"/>
      <c r="N8333" s="14"/>
      <c r="O8333" s="14"/>
      <c r="P8333" s="13"/>
    </row>
    <row r="8334">
      <c r="L8334" s="13"/>
      <c r="M8334" s="14"/>
      <c r="N8334" s="14"/>
      <c r="O8334" s="14"/>
      <c r="P8334" s="13"/>
    </row>
    <row r="8335">
      <c r="L8335" s="13"/>
      <c r="M8335" s="14"/>
      <c r="N8335" s="14"/>
      <c r="O8335" s="14"/>
      <c r="P8335" s="13"/>
    </row>
    <row r="8336">
      <c r="L8336" s="13"/>
      <c r="M8336" s="14"/>
      <c r="N8336" s="14"/>
      <c r="O8336" s="14"/>
      <c r="P8336" s="13"/>
    </row>
    <row r="8337">
      <c r="L8337" s="13"/>
      <c r="M8337" s="14"/>
      <c r="N8337" s="14"/>
      <c r="O8337" s="14"/>
      <c r="P8337" s="13"/>
    </row>
    <row r="8338">
      <c r="L8338" s="13"/>
      <c r="M8338" s="14"/>
      <c r="N8338" s="14"/>
      <c r="O8338" s="14"/>
      <c r="P8338" s="13"/>
    </row>
    <row r="8339">
      <c r="L8339" s="13"/>
      <c r="M8339" s="14"/>
      <c r="N8339" s="14"/>
      <c r="O8339" s="14"/>
      <c r="P8339" s="13"/>
    </row>
    <row r="8340">
      <c r="L8340" s="13"/>
      <c r="M8340" s="14"/>
      <c r="N8340" s="14"/>
      <c r="O8340" s="14"/>
      <c r="P8340" s="13"/>
    </row>
    <row r="8341">
      <c r="L8341" s="13"/>
      <c r="M8341" s="14"/>
      <c r="N8341" s="14"/>
      <c r="O8341" s="14"/>
      <c r="P8341" s="13"/>
    </row>
    <row r="8342">
      <c r="L8342" s="13"/>
      <c r="M8342" s="14"/>
      <c r="N8342" s="14"/>
      <c r="O8342" s="14"/>
      <c r="P8342" s="13"/>
    </row>
    <row r="8343">
      <c r="L8343" s="13"/>
      <c r="M8343" s="14"/>
      <c r="N8343" s="14"/>
      <c r="O8343" s="14"/>
      <c r="P8343" s="13"/>
    </row>
    <row r="8344">
      <c r="L8344" s="13"/>
      <c r="M8344" s="14"/>
      <c r="N8344" s="14"/>
      <c r="O8344" s="14"/>
      <c r="P8344" s="13"/>
    </row>
    <row r="8345">
      <c r="L8345" s="13"/>
      <c r="M8345" s="14"/>
      <c r="N8345" s="14"/>
      <c r="O8345" s="14"/>
      <c r="P8345" s="13"/>
    </row>
    <row r="8346">
      <c r="L8346" s="13"/>
      <c r="M8346" s="14"/>
      <c r="N8346" s="14"/>
      <c r="O8346" s="14"/>
      <c r="P8346" s="13"/>
    </row>
    <row r="8347">
      <c r="L8347" s="13"/>
      <c r="M8347" s="14"/>
      <c r="N8347" s="14"/>
      <c r="O8347" s="14"/>
      <c r="P8347" s="13"/>
    </row>
    <row r="8348">
      <c r="L8348" s="13"/>
      <c r="M8348" s="14"/>
      <c r="N8348" s="14"/>
      <c r="O8348" s="14"/>
      <c r="P8348" s="13"/>
    </row>
    <row r="8349">
      <c r="L8349" s="13"/>
      <c r="M8349" s="14"/>
      <c r="N8349" s="14"/>
      <c r="O8349" s="14"/>
      <c r="P8349" s="13"/>
    </row>
    <row r="8350">
      <c r="L8350" s="13"/>
      <c r="M8350" s="14"/>
      <c r="N8350" s="14"/>
      <c r="O8350" s="14"/>
      <c r="P8350" s="13"/>
    </row>
    <row r="8351">
      <c r="L8351" s="13"/>
      <c r="M8351" s="14"/>
      <c r="N8351" s="14"/>
      <c r="O8351" s="14"/>
      <c r="P8351" s="13"/>
    </row>
    <row r="8352">
      <c r="L8352" s="13"/>
      <c r="M8352" s="14"/>
      <c r="N8352" s="14"/>
      <c r="O8352" s="14"/>
      <c r="P8352" s="13"/>
    </row>
    <row r="8353">
      <c r="L8353" s="13"/>
      <c r="M8353" s="14"/>
      <c r="N8353" s="14"/>
      <c r="O8353" s="14"/>
      <c r="P8353" s="13"/>
    </row>
    <row r="8354">
      <c r="L8354" s="13"/>
      <c r="M8354" s="14"/>
      <c r="N8354" s="14"/>
      <c r="O8354" s="14"/>
      <c r="P8354" s="13"/>
    </row>
    <row r="8355">
      <c r="L8355" s="13"/>
      <c r="M8355" s="14"/>
      <c r="N8355" s="14"/>
      <c r="O8355" s="14"/>
      <c r="P8355" s="13"/>
    </row>
    <row r="8356">
      <c r="L8356" s="13"/>
      <c r="M8356" s="14"/>
      <c r="N8356" s="14"/>
      <c r="O8356" s="14"/>
      <c r="P8356" s="13"/>
    </row>
    <row r="8357">
      <c r="L8357" s="13"/>
      <c r="M8357" s="14"/>
      <c r="N8357" s="14"/>
      <c r="O8357" s="14"/>
      <c r="P8357" s="13"/>
    </row>
    <row r="8358">
      <c r="L8358" s="13"/>
      <c r="M8358" s="14"/>
      <c r="N8358" s="14"/>
      <c r="O8358" s="14"/>
      <c r="P8358" s="13"/>
    </row>
    <row r="8359">
      <c r="L8359" s="13"/>
      <c r="M8359" s="14"/>
      <c r="N8359" s="14"/>
      <c r="O8359" s="14"/>
      <c r="P8359" s="13"/>
    </row>
    <row r="8360">
      <c r="L8360" s="13"/>
      <c r="M8360" s="14"/>
      <c r="N8360" s="14"/>
      <c r="O8360" s="14"/>
      <c r="P8360" s="13"/>
    </row>
    <row r="8361">
      <c r="L8361" s="13"/>
      <c r="M8361" s="14"/>
      <c r="N8361" s="14"/>
      <c r="O8361" s="14"/>
      <c r="P8361" s="13"/>
    </row>
    <row r="8362">
      <c r="L8362" s="13"/>
      <c r="M8362" s="14"/>
      <c r="N8362" s="14"/>
      <c r="O8362" s="14"/>
      <c r="P8362" s="13"/>
    </row>
    <row r="8363">
      <c r="L8363" s="13"/>
      <c r="M8363" s="14"/>
      <c r="N8363" s="14"/>
      <c r="O8363" s="14"/>
      <c r="P8363" s="13"/>
    </row>
    <row r="8364">
      <c r="L8364" s="13"/>
      <c r="M8364" s="14"/>
      <c r="N8364" s="14"/>
      <c r="O8364" s="14"/>
      <c r="P8364" s="13"/>
    </row>
    <row r="8365">
      <c r="L8365" s="13"/>
      <c r="M8365" s="14"/>
      <c r="N8365" s="14"/>
      <c r="O8365" s="14"/>
      <c r="P8365" s="13"/>
    </row>
    <row r="8366">
      <c r="L8366" s="13"/>
      <c r="M8366" s="14"/>
      <c r="N8366" s="14"/>
      <c r="O8366" s="14"/>
      <c r="P8366" s="13"/>
    </row>
    <row r="8367">
      <c r="L8367" s="13"/>
      <c r="M8367" s="14"/>
      <c r="N8367" s="14"/>
      <c r="O8367" s="14"/>
      <c r="P8367" s="13"/>
    </row>
    <row r="8368">
      <c r="L8368" s="13"/>
      <c r="M8368" s="14"/>
      <c r="N8368" s="14"/>
      <c r="O8368" s="14"/>
      <c r="P8368" s="13"/>
    </row>
    <row r="8369">
      <c r="L8369" s="13"/>
      <c r="M8369" s="14"/>
      <c r="N8369" s="14"/>
      <c r="O8369" s="14"/>
      <c r="P8369" s="13"/>
    </row>
    <row r="8370">
      <c r="L8370" s="13"/>
      <c r="M8370" s="14"/>
      <c r="N8370" s="14"/>
      <c r="O8370" s="14"/>
      <c r="P8370" s="13"/>
    </row>
    <row r="8371">
      <c r="L8371" s="13"/>
      <c r="M8371" s="14"/>
      <c r="N8371" s="14"/>
      <c r="O8371" s="14"/>
      <c r="P8371" s="13"/>
    </row>
    <row r="8372">
      <c r="L8372" s="13"/>
      <c r="M8372" s="14"/>
      <c r="N8372" s="14"/>
      <c r="O8372" s="14"/>
      <c r="P8372" s="13"/>
    </row>
    <row r="8373">
      <c r="L8373" s="13"/>
      <c r="M8373" s="14"/>
      <c r="N8373" s="14"/>
      <c r="O8373" s="14"/>
      <c r="P8373" s="13"/>
    </row>
    <row r="8374">
      <c r="L8374" s="13"/>
      <c r="M8374" s="14"/>
      <c r="N8374" s="14"/>
      <c r="O8374" s="14"/>
      <c r="P8374" s="13"/>
    </row>
    <row r="8375">
      <c r="L8375" s="13"/>
      <c r="M8375" s="14"/>
      <c r="N8375" s="14"/>
      <c r="O8375" s="14"/>
      <c r="P8375" s="13"/>
    </row>
    <row r="8376">
      <c r="L8376" s="13"/>
      <c r="M8376" s="14"/>
      <c r="N8376" s="14"/>
      <c r="O8376" s="14"/>
      <c r="P8376" s="13"/>
    </row>
    <row r="8377">
      <c r="L8377" s="13"/>
      <c r="M8377" s="14"/>
      <c r="N8377" s="14"/>
      <c r="O8377" s="14"/>
      <c r="P8377" s="13"/>
    </row>
    <row r="8378">
      <c r="L8378" s="13"/>
      <c r="M8378" s="14"/>
      <c r="N8378" s="14"/>
      <c r="O8378" s="14"/>
      <c r="P8378" s="13"/>
    </row>
    <row r="8379">
      <c r="L8379" s="13"/>
      <c r="M8379" s="14"/>
      <c r="N8379" s="14"/>
      <c r="O8379" s="14"/>
      <c r="P8379" s="13"/>
    </row>
    <row r="8380">
      <c r="L8380" s="13"/>
      <c r="M8380" s="14"/>
      <c r="N8380" s="14"/>
      <c r="O8380" s="14"/>
      <c r="P8380" s="13"/>
    </row>
    <row r="8381">
      <c r="L8381" s="13"/>
      <c r="M8381" s="14"/>
      <c r="N8381" s="14"/>
      <c r="O8381" s="14"/>
      <c r="P8381" s="13"/>
    </row>
    <row r="8382">
      <c r="L8382" s="13"/>
      <c r="M8382" s="14"/>
      <c r="N8382" s="14"/>
      <c r="O8382" s="14"/>
      <c r="P8382" s="13"/>
    </row>
    <row r="8383">
      <c r="L8383" s="13"/>
      <c r="M8383" s="14"/>
      <c r="N8383" s="14"/>
      <c r="O8383" s="14"/>
      <c r="P8383" s="13"/>
    </row>
    <row r="8384">
      <c r="L8384" s="13"/>
      <c r="M8384" s="14"/>
      <c r="N8384" s="14"/>
      <c r="O8384" s="14"/>
      <c r="P8384" s="13"/>
    </row>
    <row r="8385">
      <c r="L8385" s="13"/>
      <c r="M8385" s="14"/>
      <c r="N8385" s="14"/>
      <c r="O8385" s="14"/>
      <c r="P8385" s="13"/>
    </row>
    <row r="8386">
      <c r="L8386" s="13"/>
      <c r="M8386" s="14"/>
      <c r="N8386" s="14"/>
      <c r="O8386" s="14"/>
      <c r="P8386" s="13"/>
    </row>
    <row r="8387">
      <c r="L8387" s="13"/>
      <c r="M8387" s="14"/>
      <c r="N8387" s="14"/>
      <c r="O8387" s="14"/>
      <c r="P8387" s="13"/>
    </row>
    <row r="8388">
      <c r="L8388" s="13"/>
      <c r="M8388" s="14"/>
      <c r="N8388" s="14"/>
      <c r="O8388" s="14"/>
      <c r="P8388" s="13"/>
    </row>
    <row r="8389">
      <c r="L8389" s="13"/>
      <c r="M8389" s="14"/>
      <c r="N8389" s="14"/>
      <c r="O8389" s="14"/>
      <c r="P8389" s="13"/>
    </row>
    <row r="8390">
      <c r="L8390" s="13"/>
      <c r="M8390" s="14"/>
      <c r="N8390" s="14"/>
      <c r="O8390" s="14"/>
      <c r="P8390" s="13"/>
    </row>
    <row r="8391">
      <c r="L8391" s="13"/>
      <c r="M8391" s="14"/>
      <c r="N8391" s="14"/>
      <c r="O8391" s="14"/>
      <c r="P8391" s="13"/>
    </row>
    <row r="8392">
      <c r="L8392" s="13"/>
      <c r="M8392" s="14"/>
      <c r="N8392" s="14"/>
      <c r="O8392" s="14"/>
      <c r="P8392" s="13"/>
    </row>
    <row r="8393">
      <c r="L8393" s="13"/>
      <c r="M8393" s="14"/>
      <c r="N8393" s="14"/>
      <c r="O8393" s="14"/>
      <c r="P8393" s="13"/>
    </row>
    <row r="8394">
      <c r="L8394" s="13"/>
      <c r="M8394" s="14"/>
      <c r="N8394" s="14"/>
      <c r="O8394" s="14"/>
      <c r="P8394" s="13"/>
    </row>
    <row r="8395">
      <c r="L8395" s="13"/>
      <c r="M8395" s="14"/>
      <c r="N8395" s="14"/>
      <c r="O8395" s="14"/>
      <c r="P8395" s="13"/>
    </row>
    <row r="8396">
      <c r="L8396" s="13"/>
      <c r="M8396" s="14"/>
      <c r="N8396" s="14"/>
      <c r="O8396" s="14"/>
      <c r="P8396" s="13"/>
    </row>
    <row r="8397">
      <c r="L8397" s="13"/>
      <c r="M8397" s="14"/>
      <c r="N8397" s="14"/>
      <c r="O8397" s="14"/>
      <c r="P8397" s="13"/>
    </row>
    <row r="8398">
      <c r="L8398" s="13"/>
      <c r="M8398" s="14"/>
      <c r="N8398" s="14"/>
      <c r="O8398" s="14"/>
      <c r="P8398" s="13"/>
    </row>
    <row r="8399">
      <c r="L8399" s="13"/>
      <c r="M8399" s="14"/>
      <c r="N8399" s="14"/>
      <c r="O8399" s="14"/>
      <c r="P8399" s="13"/>
    </row>
    <row r="8400">
      <c r="L8400" s="13"/>
      <c r="M8400" s="14"/>
      <c r="N8400" s="14"/>
      <c r="O8400" s="14"/>
      <c r="P8400" s="13"/>
    </row>
    <row r="8401">
      <c r="L8401" s="13"/>
      <c r="M8401" s="14"/>
      <c r="N8401" s="14"/>
      <c r="O8401" s="14"/>
      <c r="P8401" s="13"/>
    </row>
    <row r="8402">
      <c r="L8402" s="13"/>
      <c r="M8402" s="14"/>
      <c r="N8402" s="14"/>
      <c r="O8402" s="14"/>
      <c r="P8402" s="13"/>
    </row>
    <row r="8403">
      <c r="L8403" s="13"/>
      <c r="M8403" s="14"/>
      <c r="N8403" s="14"/>
      <c r="O8403" s="14"/>
      <c r="P8403" s="13"/>
    </row>
    <row r="8404">
      <c r="L8404" s="13"/>
      <c r="M8404" s="14"/>
      <c r="N8404" s="14"/>
      <c r="O8404" s="14"/>
      <c r="P8404" s="13"/>
    </row>
    <row r="8405">
      <c r="L8405" s="13"/>
      <c r="M8405" s="14"/>
      <c r="N8405" s="14"/>
      <c r="O8405" s="14"/>
      <c r="P8405" s="13"/>
    </row>
    <row r="8406">
      <c r="L8406" s="13"/>
      <c r="M8406" s="14"/>
      <c r="N8406" s="14"/>
      <c r="O8406" s="14"/>
      <c r="P8406" s="13"/>
    </row>
    <row r="8407">
      <c r="L8407" s="13"/>
      <c r="M8407" s="14"/>
      <c r="N8407" s="14"/>
      <c r="O8407" s="14"/>
      <c r="P8407" s="13"/>
    </row>
    <row r="8408">
      <c r="L8408" s="13"/>
      <c r="M8408" s="14"/>
      <c r="N8408" s="14"/>
      <c r="O8408" s="14"/>
      <c r="P8408" s="13"/>
    </row>
    <row r="8409">
      <c r="L8409" s="13"/>
      <c r="M8409" s="14"/>
      <c r="N8409" s="14"/>
      <c r="O8409" s="14"/>
      <c r="P8409" s="13"/>
    </row>
    <row r="8410">
      <c r="L8410" s="13"/>
      <c r="M8410" s="14"/>
      <c r="N8410" s="14"/>
      <c r="O8410" s="14"/>
      <c r="P8410" s="13"/>
    </row>
    <row r="8411">
      <c r="L8411" s="13"/>
      <c r="M8411" s="14"/>
      <c r="N8411" s="14"/>
      <c r="O8411" s="14"/>
      <c r="P8411" s="13"/>
    </row>
    <row r="8412">
      <c r="L8412" s="13"/>
      <c r="M8412" s="14"/>
      <c r="N8412" s="14"/>
      <c r="O8412" s="14"/>
      <c r="P8412" s="13"/>
    </row>
    <row r="8413">
      <c r="L8413" s="13"/>
      <c r="M8413" s="14"/>
      <c r="N8413" s="14"/>
      <c r="O8413" s="14"/>
      <c r="P8413" s="13"/>
    </row>
    <row r="8414">
      <c r="L8414" s="13"/>
      <c r="M8414" s="14"/>
      <c r="N8414" s="14"/>
      <c r="O8414" s="14"/>
      <c r="P8414" s="13"/>
    </row>
    <row r="8415">
      <c r="L8415" s="13"/>
      <c r="M8415" s="14"/>
      <c r="N8415" s="14"/>
      <c r="O8415" s="14"/>
      <c r="P8415" s="13"/>
    </row>
    <row r="8416">
      <c r="L8416" s="13"/>
      <c r="M8416" s="14"/>
      <c r="N8416" s="14"/>
      <c r="O8416" s="14"/>
      <c r="P8416" s="13"/>
    </row>
    <row r="8417">
      <c r="L8417" s="13"/>
      <c r="M8417" s="14"/>
      <c r="N8417" s="14"/>
      <c r="O8417" s="14"/>
      <c r="P8417" s="13"/>
    </row>
    <row r="8418">
      <c r="L8418" s="13"/>
      <c r="M8418" s="14"/>
      <c r="N8418" s="14"/>
      <c r="O8418" s="14"/>
      <c r="P8418" s="13"/>
    </row>
    <row r="8419">
      <c r="L8419" s="13"/>
      <c r="M8419" s="14"/>
      <c r="N8419" s="14"/>
      <c r="O8419" s="14"/>
      <c r="P8419" s="13"/>
    </row>
    <row r="8420">
      <c r="L8420" s="13"/>
      <c r="M8420" s="14"/>
      <c r="N8420" s="14"/>
      <c r="O8420" s="14"/>
      <c r="P8420" s="13"/>
    </row>
    <row r="8421">
      <c r="L8421" s="13"/>
      <c r="M8421" s="14"/>
      <c r="N8421" s="14"/>
      <c r="O8421" s="14"/>
      <c r="P8421" s="13"/>
    </row>
    <row r="8422">
      <c r="L8422" s="13"/>
      <c r="M8422" s="14"/>
      <c r="N8422" s="14"/>
      <c r="O8422" s="14"/>
      <c r="P8422" s="13"/>
    </row>
    <row r="8423">
      <c r="L8423" s="13"/>
      <c r="M8423" s="14"/>
      <c r="N8423" s="14"/>
      <c r="O8423" s="14"/>
      <c r="P8423" s="13"/>
    </row>
    <row r="8424">
      <c r="L8424" s="13"/>
      <c r="M8424" s="14"/>
      <c r="N8424" s="14"/>
      <c r="O8424" s="14"/>
      <c r="P8424" s="13"/>
    </row>
    <row r="8425">
      <c r="L8425" s="13"/>
      <c r="M8425" s="14"/>
      <c r="N8425" s="14"/>
      <c r="O8425" s="14"/>
      <c r="P8425" s="13"/>
    </row>
    <row r="8426">
      <c r="L8426" s="13"/>
      <c r="M8426" s="14"/>
      <c r="N8426" s="14"/>
      <c r="O8426" s="14"/>
      <c r="P8426" s="13"/>
    </row>
    <row r="8427">
      <c r="L8427" s="13"/>
      <c r="M8427" s="14"/>
      <c r="N8427" s="14"/>
      <c r="O8427" s="14"/>
      <c r="P8427" s="13"/>
    </row>
    <row r="8428">
      <c r="L8428" s="13"/>
      <c r="M8428" s="14"/>
      <c r="N8428" s="14"/>
      <c r="O8428" s="14"/>
      <c r="P8428" s="13"/>
    </row>
    <row r="8429">
      <c r="L8429" s="13"/>
      <c r="M8429" s="14"/>
      <c r="N8429" s="14"/>
      <c r="O8429" s="14"/>
      <c r="P8429" s="13"/>
    </row>
    <row r="8430">
      <c r="L8430" s="13"/>
      <c r="M8430" s="14"/>
      <c r="N8430" s="14"/>
      <c r="O8430" s="14"/>
      <c r="P8430" s="13"/>
    </row>
    <row r="8431">
      <c r="L8431" s="13"/>
      <c r="M8431" s="14"/>
      <c r="N8431" s="14"/>
      <c r="O8431" s="14"/>
      <c r="P8431" s="13"/>
    </row>
    <row r="8432">
      <c r="L8432" s="13"/>
      <c r="M8432" s="14"/>
      <c r="N8432" s="14"/>
      <c r="O8432" s="14"/>
      <c r="P8432" s="13"/>
    </row>
    <row r="8433">
      <c r="L8433" s="13"/>
      <c r="M8433" s="14"/>
      <c r="N8433" s="14"/>
      <c r="O8433" s="14"/>
      <c r="P8433" s="13"/>
    </row>
    <row r="8434">
      <c r="L8434" s="13"/>
      <c r="M8434" s="14"/>
      <c r="N8434" s="14"/>
      <c r="O8434" s="14"/>
      <c r="P8434" s="13"/>
    </row>
    <row r="8435">
      <c r="L8435" s="13"/>
      <c r="M8435" s="14"/>
      <c r="N8435" s="14"/>
      <c r="O8435" s="14"/>
      <c r="P8435" s="13"/>
    </row>
    <row r="8436">
      <c r="L8436" s="13"/>
      <c r="M8436" s="14"/>
      <c r="N8436" s="14"/>
      <c r="O8436" s="14"/>
      <c r="P8436" s="13"/>
    </row>
    <row r="8437">
      <c r="L8437" s="13"/>
      <c r="M8437" s="14"/>
      <c r="N8437" s="14"/>
      <c r="O8437" s="14"/>
      <c r="P8437" s="13"/>
    </row>
    <row r="8438">
      <c r="L8438" s="13"/>
      <c r="M8438" s="14"/>
      <c r="N8438" s="14"/>
      <c r="O8438" s="14"/>
      <c r="P8438" s="13"/>
    </row>
    <row r="8439">
      <c r="L8439" s="13"/>
      <c r="M8439" s="14"/>
      <c r="N8439" s="14"/>
      <c r="O8439" s="14"/>
      <c r="P8439" s="13"/>
    </row>
    <row r="8440">
      <c r="L8440" s="13"/>
      <c r="M8440" s="14"/>
      <c r="N8440" s="14"/>
      <c r="O8440" s="14"/>
      <c r="P8440" s="13"/>
    </row>
    <row r="8441">
      <c r="L8441" s="13"/>
      <c r="M8441" s="14"/>
      <c r="N8441" s="14"/>
      <c r="O8441" s="14"/>
      <c r="P8441" s="13"/>
    </row>
    <row r="8442">
      <c r="L8442" s="13"/>
      <c r="M8442" s="14"/>
      <c r="N8442" s="14"/>
      <c r="O8442" s="14"/>
      <c r="P8442" s="13"/>
    </row>
    <row r="8443">
      <c r="L8443" s="13"/>
      <c r="M8443" s="14"/>
      <c r="N8443" s="14"/>
      <c r="O8443" s="14"/>
      <c r="P8443" s="13"/>
    </row>
    <row r="8444">
      <c r="L8444" s="13"/>
      <c r="M8444" s="14"/>
      <c r="N8444" s="14"/>
      <c r="O8444" s="14"/>
      <c r="P8444" s="13"/>
    </row>
    <row r="8445">
      <c r="L8445" s="13"/>
      <c r="M8445" s="14"/>
      <c r="N8445" s="14"/>
      <c r="O8445" s="14"/>
      <c r="P8445" s="13"/>
    </row>
    <row r="8446">
      <c r="L8446" s="13"/>
      <c r="M8446" s="14"/>
      <c r="N8446" s="14"/>
      <c r="O8446" s="14"/>
      <c r="P8446" s="13"/>
    </row>
    <row r="8447">
      <c r="L8447" s="13"/>
      <c r="M8447" s="14"/>
      <c r="N8447" s="14"/>
      <c r="O8447" s="14"/>
      <c r="P8447" s="13"/>
    </row>
    <row r="8448">
      <c r="L8448" s="13"/>
      <c r="M8448" s="14"/>
      <c r="N8448" s="14"/>
      <c r="O8448" s="14"/>
      <c r="P8448" s="13"/>
    </row>
    <row r="8449">
      <c r="L8449" s="13"/>
      <c r="M8449" s="14"/>
      <c r="N8449" s="14"/>
      <c r="O8449" s="14"/>
      <c r="P8449" s="13"/>
    </row>
    <row r="8450">
      <c r="L8450" s="13"/>
      <c r="M8450" s="14"/>
      <c r="N8450" s="14"/>
      <c r="O8450" s="14"/>
      <c r="P8450" s="13"/>
    </row>
    <row r="8451">
      <c r="L8451" s="13"/>
      <c r="M8451" s="14"/>
      <c r="N8451" s="14"/>
      <c r="O8451" s="14"/>
      <c r="P8451" s="13"/>
    </row>
    <row r="8452">
      <c r="L8452" s="13"/>
      <c r="M8452" s="14"/>
      <c r="N8452" s="14"/>
      <c r="O8452" s="14"/>
      <c r="P8452" s="13"/>
    </row>
    <row r="8453">
      <c r="L8453" s="13"/>
      <c r="M8453" s="14"/>
      <c r="N8453" s="14"/>
      <c r="O8453" s="14"/>
      <c r="P8453" s="13"/>
    </row>
    <row r="8454">
      <c r="L8454" s="13"/>
      <c r="M8454" s="14"/>
      <c r="N8454" s="14"/>
      <c r="O8454" s="14"/>
      <c r="P8454" s="13"/>
    </row>
    <row r="8455">
      <c r="L8455" s="13"/>
      <c r="M8455" s="14"/>
      <c r="N8455" s="14"/>
      <c r="O8455" s="14"/>
      <c r="P8455" s="13"/>
    </row>
    <row r="8456">
      <c r="L8456" s="13"/>
      <c r="M8456" s="14"/>
      <c r="N8456" s="14"/>
      <c r="O8456" s="14"/>
      <c r="P8456" s="13"/>
    </row>
    <row r="8457">
      <c r="L8457" s="13"/>
      <c r="M8457" s="14"/>
      <c r="N8457" s="14"/>
      <c r="O8457" s="14"/>
      <c r="P8457" s="13"/>
    </row>
    <row r="8458">
      <c r="L8458" s="13"/>
      <c r="M8458" s="14"/>
      <c r="N8458" s="14"/>
      <c r="O8458" s="14"/>
      <c r="P8458" s="13"/>
    </row>
    <row r="8459">
      <c r="L8459" s="13"/>
      <c r="M8459" s="14"/>
      <c r="N8459" s="14"/>
      <c r="O8459" s="14"/>
      <c r="P8459" s="13"/>
    </row>
    <row r="8460">
      <c r="L8460" s="13"/>
      <c r="M8460" s="14"/>
      <c r="N8460" s="14"/>
      <c r="O8460" s="14"/>
      <c r="P8460" s="13"/>
    </row>
    <row r="8461">
      <c r="L8461" s="13"/>
      <c r="M8461" s="14"/>
      <c r="N8461" s="14"/>
      <c r="O8461" s="14"/>
      <c r="P8461" s="13"/>
    </row>
    <row r="8462">
      <c r="L8462" s="13"/>
      <c r="M8462" s="14"/>
      <c r="N8462" s="14"/>
      <c r="O8462" s="14"/>
      <c r="P8462" s="13"/>
    </row>
    <row r="8463">
      <c r="L8463" s="13"/>
      <c r="M8463" s="14"/>
      <c r="N8463" s="14"/>
      <c r="O8463" s="14"/>
      <c r="P8463" s="13"/>
    </row>
    <row r="8464">
      <c r="L8464" s="13"/>
      <c r="M8464" s="14"/>
      <c r="N8464" s="14"/>
      <c r="O8464" s="14"/>
      <c r="P8464" s="13"/>
    </row>
    <row r="8465">
      <c r="L8465" s="13"/>
      <c r="M8465" s="14"/>
      <c r="N8465" s="14"/>
      <c r="O8465" s="14"/>
      <c r="P8465" s="13"/>
    </row>
    <row r="8466">
      <c r="L8466" s="13"/>
      <c r="M8466" s="14"/>
      <c r="N8466" s="14"/>
      <c r="O8466" s="14"/>
      <c r="P8466" s="13"/>
    </row>
    <row r="8467">
      <c r="L8467" s="13"/>
      <c r="M8467" s="14"/>
      <c r="N8467" s="14"/>
      <c r="O8467" s="14"/>
      <c r="P8467" s="13"/>
    </row>
    <row r="8468">
      <c r="L8468" s="13"/>
      <c r="M8468" s="14"/>
      <c r="N8468" s="14"/>
      <c r="O8468" s="14"/>
      <c r="P8468" s="13"/>
    </row>
    <row r="8469">
      <c r="L8469" s="13"/>
      <c r="M8469" s="14"/>
      <c r="N8469" s="14"/>
      <c r="O8469" s="14"/>
      <c r="P8469" s="13"/>
    </row>
    <row r="8470">
      <c r="L8470" s="13"/>
      <c r="M8470" s="14"/>
      <c r="N8470" s="14"/>
      <c r="O8470" s="14"/>
      <c r="P8470" s="13"/>
    </row>
    <row r="8471">
      <c r="L8471" s="13"/>
      <c r="M8471" s="14"/>
      <c r="N8471" s="14"/>
      <c r="O8471" s="14"/>
      <c r="P8471" s="13"/>
    </row>
    <row r="8472">
      <c r="L8472" s="13"/>
      <c r="M8472" s="14"/>
      <c r="N8472" s="14"/>
      <c r="O8472" s="14"/>
      <c r="P8472" s="13"/>
    </row>
    <row r="8473">
      <c r="L8473" s="13"/>
      <c r="M8473" s="14"/>
      <c r="N8473" s="14"/>
      <c r="O8473" s="14"/>
      <c r="P8473" s="13"/>
    </row>
    <row r="8474">
      <c r="L8474" s="13"/>
      <c r="M8474" s="14"/>
      <c r="N8474" s="14"/>
      <c r="O8474" s="14"/>
      <c r="P8474" s="13"/>
    </row>
    <row r="8475">
      <c r="L8475" s="13"/>
      <c r="M8475" s="14"/>
      <c r="N8475" s="14"/>
      <c r="O8475" s="14"/>
      <c r="P8475" s="13"/>
    </row>
    <row r="8476">
      <c r="L8476" s="13"/>
      <c r="M8476" s="14"/>
      <c r="N8476" s="14"/>
      <c r="O8476" s="14"/>
      <c r="P8476" s="13"/>
    </row>
    <row r="8477">
      <c r="L8477" s="13"/>
      <c r="M8477" s="14"/>
      <c r="N8477" s="14"/>
      <c r="O8477" s="14"/>
      <c r="P8477" s="13"/>
    </row>
    <row r="8478">
      <c r="L8478" s="13"/>
      <c r="M8478" s="14"/>
      <c r="N8478" s="14"/>
      <c r="O8478" s="14"/>
      <c r="P8478" s="13"/>
    </row>
    <row r="8479">
      <c r="L8479" s="13"/>
      <c r="M8479" s="14"/>
      <c r="N8479" s="14"/>
      <c r="O8479" s="14"/>
      <c r="P8479" s="13"/>
    </row>
    <row r="8480">
      <c r="L8480" s="13"/>
      <c r="M8480" s="14"/>
      <c r="N8480" s="14"/>
      <c r="O8480" s="14"/>
      <c r="P8480" s="13"/>
    </row>
    <row r="8481">
      <c r="L8481" s="13"/>
      <c r="M8481" s="14"/>
      <c r="N8481" s="14"/>
      <c r="O8481" s="14"/>
      <c r="P8481" s="13"/>
    </row>
    <row r="8482">
      <c r="L8482" s="13"/>
      <c r="M8482" s="14"/>
      <c r="N8482" s="14"/>
      <c r="O8482" s="14"/>
      <c r="P8482" s="13"/>
    </row>
    <row r="8483">
      <c r="L8483" s="13"/>
      <c r="M8483" s="14"/>
      <c r="N8483" s="14"/>
      <c r="O8483" s="14"/>
      <c r="P8483" s="13"/>
    </row>
    <row r="8484">
      <c r="L8484" s="13"/>
      <c r="M8484" s="14"/>
      <c r="N8484" s="14"/>
      <c r="O8484" s="14"/>
      <c r="P8484" s="13"/>
    </row>
    <row r="8485">
      <c r="L8485" s="13"/>
      <c r="M8485" s="14"/>
      <c r="N8485" s="14"/>
      <c r="O8485" s="14"/>
      <c r="P8485" s="13"/>
    </row>
    <row r="8486">
      <c r="L8486" s="13"/>
      <c r="M8486" s="14"/>
      <c r="N8486" s="14"/>
      <c r="O8486" s="14"/>
      <c r="P8486" s="13"/>
    </row>
    <row r="8487">
      <c r="L8487" s="13"/>
      <c r="M8487" s="14"/>
      <c r="N8487" s="14"/>
      <c r="O8487" s="14"/>
      <c r="P8487" s="13"/>
    </row>
    <row r="8488">
      <c r="L8488" s="13"/>
      <c r="M8488" s="14"/>
      <c r="N8488" s="14"/>
      <c r="O8488" s="14"/>
      <c r="P8488" s="13"/>
    </row>
    <row r="8489">
      <c r="L8489" s="13"/>
      <c r="M8489" s="14"/>
      <c r="N8489" s="14"/>
      <c r="O8489" s="14"/>
      <c r="P8489" s="13"/>
    </row>
    <row r="8490">
      <c r="L8490" s="13"/>
      <c r="M8490" s="14"/>
      <c r="N8490" s="14"/>
      <c r="O8490" s="14"/>
      <c r="P8490" s="13"/>
    </row>
    <row r="8491">
      <c r="L8491" s="13"/>
      <c r="M8491" s="14"/>
      <c r="N8491" s="14"/>
      <c r="O8491" s="14"/>
      <c r="P8491" s="13"/>
    </row>
    <row r="8492">
      <c r="L8492" s="13"/>
      <c r="M8492" s="14"/>
      <c r="N8492" s="14"/>
      <c r="O8492" s="14"/>
      <c r="P8492" s="13"/>
    </row>
    <row r="8493">
      <c r="L8493" s="13"/>
      <c r="M8493" s="14"/>
      <c r="N8493" s="14"/>
      <c r="O8493" s="14"/>
      <c r="P8493" s="13"/>
    </row>
    <row r="8494">
      <c r="L8494" s="13"/>
      <c r="M8494" s="14"/>
      <c r="N8494" s="14"/>
      <c r="O8494" s="14"/>
      <c r="P8494" s="13"/>
    </row>
    <row r="8495">
      <c r="L8495" s="13"/>
      <c r="M8495" s="14"/>
      <c r="N8495" s="14"/>
      <c r="O8495" s="14"/>
      <c r="P8495" s="13"/>
    </row>
    <row r="8496">
      <c r="L8496" s="13"/>
      <c r="M8496" s="14"/>
      <c r="N8496" s="14"/>
      <c r="O8496" s="14"/>
      <c r="P8496" s="13"/>
    </row>
    <row r="8497">
      <c r="L8497" s="13"/>
      <c r="M8497" s="14"/>
      <c r="N8497" s="14"/>
      <c r="O8497" s="14"/>
      <c r="P8497" s="13"/>
    </row>
    <row r="8498">
      <c r="L8498" s="13"/>
      <c r="M8498" s="14"/>
      <c r="N8498" s="14"/>
      <c r="O8498" s="14"/>
      <c r="P8498" s="13"/>
    </row>
    <row r="8499">
      <c r="L8499" s="13"/>
      <c r="M8499" s="14"/>
      <c r="N8499" s="14"/>
      <c r="O8499" s="14"/>
      <c r="P8499" s="13"/>
    </row>
    <row r="8500">
      <c r="L8500" s="13"/>
      <c r="M8500" s="14"/>
      <c r="N8500" s="14"/>
      <c r="O8500" s="14"/>
      <c r="P8500" s="13"/>
    </row>
    <row r="8501">
      <c r="L8501" s="13"/>
      <c r="M8501" s="14"/>
      <c r="N8501" s="14"/>
      <c r="O8501" s="14"/>
      <c r="P8501" s="13"/>
    </row>
    <row r="8502">
      <c r="L8502" s="13"/>
      <c r="M8502" s="14"/>
      <c r="N8502" s="14"/>
      <c r="O8502" s="14"/>
      <c r="P8502" s="13"/>
    </row>
    <row r="8503">
      <c r="L8503" s="13"/>
      <c r="M8503" s="14"/>
      <c r="N8503" s="14"/>
      <c r="O8503" s="14"/>
      <c r="P8503" s="13"/>
    </row>
    <row r="8504">
      <c r="L8504" s="13"/>
      <c r="M8504" s="14"/>
      <c r="N8504" s="14"/>
      <c r="O8504" s="14"/>
      <c r="P8504" s="13"/>
    </row>
    <row r="8505">
      <c r="L8505" s="13"/>
      <c r="M8505" s="14"/>
      <c r="N8505" s="14"/>
      <c r="O8505" s="14"/>
      <c r="P8505" s="13"/>
    </row>
    <row r="8506">
      <c r="L8506" s="13"/>
      <c r="M8506" s="14"/>
      <c r="N8506" s="14"/>
      <c r="O8506" s="14"/>
      <c r="P8506" s="13"/>
    </row>
    <row r="8507">
      <c r="L8507" s="13"/>
      <c r="M8507" s="14"/>
      <c r="N8507" s="14"/>
      <c r="O8507" s="14"/>
      <c r="P8507" s="13"/>
    </row>
    <row r="8508">
      <c r="L8508" s="13"/>
      <c r="M8508" s="14"/>
      <c r="N8508" s="14"/>
      <c r="O8508" s="14"/>
      <c r="P8508" s="13"/>
    </row>
    <row r="8509">
      <c r="L8509" s="13"/>
      <c r="M8509" s="14"/>
      <c r="N8509" s="14"/>
      <c r="O8509" s="14"/>
      <c r="P8509" s="13"/>
    </row>
    <row r="8510">
      <c r="L8510" s="13"/>
      <c r="M8510" s="14"/>
      <c r="N8510" s="14"/>
      <c r="O8510" s="14"/>
      <c r="P8510" s="13"/>
    </row>
    <row r="8511">
      <c r="L8511" s="13"/>
      <c r="M8511" s="14"/>
      <c r="N8511" s="14"/>
      <c r="O8511" s="14"/>
      <c r="P8511" s="13"/>
    </row>
    <row r="8512">
      <c r="L8512" s="13"/>
      <c r="M8512" s="14"/>
      <c r="N8512" s="14"/>
      <c r="O8512" s="14"/>
      <c r="P8512" s="13"/>
    </row>
    <row r="8513">
      <c r="L8513" s="13"/>
      <c r="M8513" s="14"/>
      <c r="N8513" s="14"/>
      <c r="O8513" s="14"/>
      <c r="P8513" s="13"/>
    </row>
    <row r="8514">
      <c r="L8514" s="13"/>
      <c r="M8514" s="14"/>
      <c r="N8514" s="14"/>
      <c r="O8514" s="14"/>
      <c r="P8514" s="13"/>
    </row>
    <row r="8515">
      <c r="L8515" s="13"/>
      <c r="M8515" s="14"/>
      <c r="N8515" s="14"/>
      <c r="O8515" s="14"/>
      <c r="P8515" s="13"/>
    </row>
    <row r="8516">
      <c r="L8516" s="13"/>
      <c r="M8516" s="14"/>
      <c r="N8516" s="14"/>
      <c r="O8516" s="14"/>
      <c r="P8516" s="13"/>
    </row>
    <row r="8517">
      <c r="L8517" s="13"/>
      <c r="M8517" s="14"/>
      <c r="N8517" s="14"/>
      <c r="O8517" s="14"/>
      <c r="P8517" s="13"/>
    </row>
    <row r="8518">
      <c r="L8518" s="13"/>
      <c r="M8518" s="14"/>
      <c r="N8518" s="14"/>
      <c r="O8518" s="14"/>
      <c r="P8518" s="13"/>
    </row>
    <row r="8519">
      <c r="L8519" s="13"/>
      <c r="M8519" s="14"/>
      <c r="N8519" s="14"/>
      <c r="O8519" s="14"/>
      <c r="P8519" s="13"/>
    </row>
    <row r="8520">
      <c r="L8520" s="13"/>
      <c r="M8520" s="14"/>
      <c r="N8520" s="14"/>
      <c r="O8520" s="14"/>
      <c r="P8520" s="13"/>
    </row>
    <row r="8521">
      <c r="L8521" s="13"/>
      <c r="M8521" s="14"/>
      <c r="N8521" s="14"/>
      <c r="O8521" s="14"/>
      <c r="P8521" s="13"/>
    </row>
    <row r="8522">
      <c r="L8522" s="13"/>
      <c r="M8522" s="14"/>
      <c r="N8522" s="14"/>
      <c r="O8522" s="14"/>
      <c r="P8522" s="13"/>
    </row>
    <row r="8523">
      <c r="L8523" s="13"/>
      <c r="M8523" s="14"/>
      <c r="N8523" s="14"/>
      <c r="O8523" s="14"/>
      <c r="P8523" s="13"/>
    </row>
    <row r="8524">
      <c r="L8524" s="13"/>
      <c r="M8524" s="14"/>
      <c r="N8524" s="14"/>
      <c r="O8524" s="14"/>
      <c r="P8524" s="13"/>
    </row>
    <row r="8525">
      <c r="L8525" s="13"/>
      <c r="M8525" s="14"/>
      <c r="N8525" s="14"/>
      <c r="O8525" s="14"/>
      <c r="P8525" s="13"/>
    </row>
    <row r="8526">
      <c r="L8526" s="13"/>
      <c r="M8526" s="14"/>
      <c r="N8526" s="14"/>
      <c r="O8526" s="14"/>
      <c r="P8526" s="13"/>
    </row>
    <row r="8527">
      <c r="L8527" s="13"/>
      <c r="M8527" s="14"/>
      <c r="N8527" s="14"/>
      <c r="O8527" s="14"/>
      <c r="P8527" s="13"/>
    </row>
    <row r="8528">
      <c r="L8528" s="13"/>
      <c r="M8528" s="14"/>
      <c r="N8528" s="14"/>
      <c r="O8528" s="14"/>
      <c r="P8528" s="13"/>
    </row>
    <row r="8529">
      <c r="L8529" s="13"/>
      <c r="M8529" s="14"/>
      <c r="N8529" s="14"/>
      <c r="O8529" s="14"/>
      <c r="P8529" s="13"/>
    </row>
    <row r="8530">
      <c r="L8530" s="13"/>
      <c r="M8530" s="14"/>
      <c r="N8530" s="14"/>
      <c r="O8530" s="14"/>
      <c r="P8530" s="13"/>
    </row>
    <row r="8531">
      <c r="L8531" s="13"/>
      <c r="M8531" s="14"/>
      <c r="N8531" s="14"/>
      <c r="O8531" s="14"/>
      <c r="P8531" s="13"/>
    </row>
    <row r="8532">
      <c r="L8532" s="13"/>
      <c r="M8532" s="14"/>
      <c r="N8532" s="14"/>
      <c r="O8532" s="14"/>
      <c r="P8532" s="13"/>
    </row>
    <row r="8533">
      <c r="L8533" s="13"/>
      <c r="M8533" s="14"/>
      <c r="N8533" s="14"/>
      <c r="O8533" s="14"/>
      <c r="P8533" s="13"/>
    </row>
    <row r="8534">
      <c r="L8534" s="13"/>
      <c r="M8534" s="14"/>
      <c r="N8534" s="14"/>
      <c r="O8534" s="14"/>
      <c r="P8534" s="13"/>
    </row>
    <row r="8535">
      <c r="L8535" s="13"/>
      <c r="M8535" s="14"/>
      <c r="N8535" s="14"/>
      <c r="O8535" s="14"/>
      <c r="P8535" s="13"/>
    </row>
    <row r="8536">
      <c r="L8536" s="13"/>
      <c r="M8536" s="14"/>
      <c r="N8536" s="14"/>
      <c r="O8536" s="14"/>
      <c r="P8536" s="13"/>
    </row>
    <row r="8537">
      <c r="L8537" s="13"/>
      <c r="M8537" s="14"/>
      <c r="N8537" s="14"/>
      <c r="O8537" s="14"/>
      <c r="P8537" s="13"/>
    </row>
    <row r="8538">
      <c r="L8538" s="13"/>
      <c r="M8538" s="14"/>
      <c r="N8538" s="14"/>
      <c r="O8538" s="14"/>
      <c r="P8538" s="13"/>
    </row>
    <row r="8539">
      <c r="L8539" s="13"/>
      <c r="M8539" s="14"/>
      <c r="N8539" s="14"/>
      <c r="O8539" s="14"/>
      <c r="P8539" s="13"/>
    </row>
    <row r="8540">
      <c r="L8540" s="13"/>
      <c r="M8540" s="14"/>
      <c r="N8540" s="14"/>
      <c r="O8540" s="14"/>
      <c r="P8540" s="13"/>
    </row>
    <row r="8541">
      <c r="L8541" s="13"/>
      <c r="M8541" s="14"/>
      <c r="N8541" s="14"/>
      <c r="O8541" s="14"/>
      <c r="P8541" s="13"/>
    </row>
    <row r="8542">
      <c r="L8542" s="13"/>
      <c r="M8542" s="14"/>
      <c r="N8542" s="14"/>
      <c r="O8542" s="14"/>
      <c r="P8542" s="13"/>
    </row>
    <row r="8543">
      <c r="L8543" s="13"/>
      <c r="M8543" s="14"/>
      <c r="N8543" s="14"/>
      <c r="O8543" s="14"/>
      <c r="P8543" s="13"/>
    </row>
    <row r="8544">
      <c r="L8544" s="13"/>
      <c r="M8544" s="14"/>
      <c r="N8544" s="14"/>
      <c r="O8544" s="14"/>
      <c r="P8544" s="13"/>
    </row>
    <row r="8545">
      <c r="L8545" s="13"/>
      <c r="M8545" s="14"/>
      <c r="N8545" s="14"/>
      <c r="O8545" s="14"/>
      <c r="P8545" s="13"/>
    </row>
    <row r="8546">
      <c r="L8546" s="13"/>
      <c r="M8546" s="14"/>
      <c r="N8546" s="14"/>
      <c r="O8546" s="14"/>
      <c r="P8546" s="13"/>
    </row>
    <row r="8547">
      <c r="L8547" s="13"/>
      <c r="M8547" s="14"/>
      <c r="N8547" s="14"/>
      <c r="O8547" s="14"/>
      <c r="P8547" s="13"/>
    </row>
    <row r="8548">
      <c r="L8548" s="13"/>
      <c r="M8548" s="14"/>
      <c r="N8548" s="14"/>
      <c r="O8548" s="14"/>
      <c r="P8548" s="13"/>
    </row>
    <row r="8549">
      <c r="L8549" s="13"/>
      <c r="M8549" s="14"/>
      <c r="N8549" s="14"/>
      <c r="O8549" s="14"/>
      <c r="P8549" s="13"/>
    </row>
    <row r="8550">
      <c r="L8550" s="13"/>
      <c r="M8550" s="14"/>
      <c r="N8550" s="14"/>
      <c r="O8550" s="14"/>
      <c r="P8550" s="13"/>
    </row>
    <row r="8551">
      <c r="L8551" s="13"/>
      <c r="M8551" s="14"/>
      <c r="N8551" s="14"/>
      <c r="O8551" s="14"/>
      <c r="P8551" s="13"/>
    </row>
    <row r="8552">
      <c r="L8552" s="13"/>
      <c r="M8552" s="14"/>
      <c r="N8552" s="14"/>
      <c r="O8552" s="14"/>
      <c r="P8552" s="13"/>
    </row>
    <row r="8553">
      <c r="L8553" s="13"/>
      <c r="M8553" s="14"/>
      <c r="N8553" s="14"/>
      <c r="O8553" s="14"/>
      <c r="P8553" s="13"/>
    </row>
    <row r="8554">
      <c r="L8554" s="13"/>
      <c r="M8554" s="14"/>
      <c r="N8554" s="14"/>
      <c r="O8554" s="14"/>
      <c r="P8554" s="13"/>
    </row>
    <row r="8555">
      <c r="L8555" s="13"/>
      <c r="M8555" s="14"/>
      <c r="N8555" s="14"/>
      <c r="O8555" s="14"/>
      <c r="P8555" s="13"/>
    </row>
    <row r="8556">
      <c r="L8556" s="13"/>
      <c r="M8556" s="14"/>
      <c r="N8556" s="14"/>
      <c r="O8556" s="14"/>
      <c r="P8556" s="13"/>
    </row>
    <row r="8557">
      <c r="L8557" s="13"/>
      <c r="M8557" s="14"/>
      <c r="N8557" s="14"/>
      <c r="O8557" s="14"/>
      <c r="P8557" s="13"/>
    </row>
    <row r="8558">
      <c r="L8558" s="13"/>
      <c r="M8558" s="14"/>
      <c r="N8558" s="14"/>
      <c r="O8558" s="14"/>
      <c r="P8558" s="13"/>
    </row>
    <row r="8559">
      <c r="L8559" s="13"/>
      <c r="M8559" s="14"/>
      <c r="N8559" s="14"/>
      <c r="O8559" s="14"/>
      <c r="P8559" s="13"/>
    </row>
    <row r="8560">
      <c r="L8560" s="13"/>
      <c r="M8560" s="14"/>
      <c r="N8560" s="14"/>
      <c r="O8560" s="14"/>
      <c r="P8560" s="13"/>
    </row>
    <row r="8561">
      <c r="L8561" s="13"/>
      <c r="M8561" s="14"/>
      <c r="N8561" s="14"/>
      <c r="O8561" s="14"/>
      <c r="P8561" s="13"/>
    </row>
    <row r="8562">
      <c r="L8562" s="13"/>
      <c r="M8562" s="14"/>
      <c r="N8562" s="14"/>
      <c r="O8562" s="14"/>
      <c r="P8562" s="13"/>
    </row>
    <row r="8563">
      <c r="L8563" s="13"/>
      <c r="M8563" s="14"/>
      <c r="N8563" s="14"/>
      <c r="O8563" s="14"/>
      <c r="P8563" s="13"/>
    </row>
    <row r="8564">
      <c r="L8564" s="13"/>
      <c r="M8564" s="14"/>
      <c r="N8564" s="14"/>
      <c r="O8564" s="14"/>
      <c r="P8564" s="13"/>
    </row>
    <row r="8565">
      <c r="L8565" s="13"/>
      <c r="M8565" s="14"/>
      <c r="N8565" s="14"/>
      <c r="O8565" s="14"/>
      <c r="P8565" s="13"/>
    </row>
    <row r="8566">
      <c r="L8566" s="13"/>
      <c r="M8566" s="14"/>
      <c r="N8566" s="14"/>
      <c r="O8566" s="14"/>
      <c r="P8566" s="13"/>
    </row>
    <row r="8567">
      <c r="L8567" s="13"/>
      <c r="M8567" s="14"/>
      <c r="N8567" s="14"/>
      <c r="O8567" s="14"/>
      <c r="P8567" s="13"/>
    </row>
    <row r="8568">
      <c r="L8568" s="13"/>
      <c r="M8568" s="14"/>
      <c r="N8568" s="14"/>
      <c r="O8568" s="14"/>
      <c r="P8568" s="13"/>
    </row>
    <row r="8569">
      <c r="L8569" s="13"/>
      <c r="M8569" s="14"/>
      <c r="N8569" s="14"/>
      <c r="O8569" s="14"/>
      <c r="P8569" s="13"/>
    </row>
    <row r="8570">
      <c r="L8570" s="13"/>
      <c r="M8570" s="14"/>
      <c r="N8570" s="14"/>
      <c r="O8570" s="14"/>
      <c r="P8570" s="13"/>
    </row>
    <row r="8571">
      <c r="L8571" s="13"/>
      <c r="M8571" s="14"/>
      <c r="N8571" s="14"/>
      <c r="O8571" s="14"/>
      <c r="P8571" s="13"/>
    </row>
    <row r="8572">
      <c r="L8572" s="13"/>
      <c r="M8572" s="14"/>
      <c r="N8572" s="14"/>
      <c r="O8572" s="14"/>
      <c r="P8572" s="13"/>
    </row>
    <row r="8573">
      <c r="L8573" s="13"/>
      <c r="M8573" s="14"/>
      <c r="N8573" s="14"/>
      <c r="O8573" s="14"/>
      <c r="P8573" s="13"/>
    </row>
    <row r="8574">
      <c r="L8574" s="13"/>
      <c r="M8574" s="14"/>
      <c r="N8574" s="14"/>
      <c r="O8574" s="14"/>
      <c r="P8574" s="13"/>
    </row>
    <row r="8575">
      <c r="L8575" s="13"/>
      <c r="M8575" s="14"/>
      <c r="N8575" s="14"/>
      <c r="O8575" s="14"/>
      <c r="P8575" s="13"/>
    </row>
    <row r="8576">
      <c r="L8576" s="13"/>
      <c r="M8576" s="14"/>
      <c r="N8576" s="14"/>
      <c r="O8576" s="14"/>
      <c r="P8576" s="13"/>
    </row>
    <row r="8577">
      <c r="L8577" s="13"/>
      <c r="M8577" s="14"/>
      <c r="N8577" s="14"/>
      <c r="O8577" s="14"/>
      <c r="P8577" s="13"/>
    </row>
    <row r="8578">
      <c r="L8578" s="13"/>
      <c r="M8578" s="14"/>
      <c r="N8578" s="14"/>
      <c r="O8578" s="14"/>
      <c r="P8578" s="13"/>
    </row>
    <row r="8579">
      <c r="L8579" s="13"/>
      <c r="M8579" s="14"/>
      <c r="N8579" s="14"/>
      <c r="O8579" s="14"/>
      <c r="P8579" s="13"/>
    </row>
    <row r="8580">
      <c r="L8580" s="13"/>
      <c r="M8580" s="14"/>
      <c r="N8580" s="14"/>
      <c r="O8580" s="14"/>
      <c r="P8580" s="13"/>
    </row>
    <row r="8581">
      <c r="L8581" s="13"/>
      <c r="M8581" s="14"/>
      <c r="N8581" s="14"/>
      <c r="O8581" s="14"/>
      <c r="P8581" s="13"/>
    </row>
    <row r="8582">
      <c r="L8582" s="13"/>
      <c r="M8582" s="14"/>
      <c r="N8582" s="14"/>
      <c r="O8582" s="14"/>
      <c r="P8582" s="13"/>
    </row>
    <row r="8583">
      <c r="L8583" s="13"/>
      <c r="M8583" s="14"/>
      <c r="N8583" s="14"/>
      <c r="O8583" s="14"/>
      <c r="P8583" s="13"/>
    </row>
    <row r="8584">
      <c r="L8584" s="13"/>
      <c r="M8584" s="14"/>
      <c r="N8584" s="14"/>
      <c r="O8584" s="14"/>
      <c r="P8584" s="13"/>
    </row>
    <row r="8585">
      <c r="L8585" s="13"/>
      <c r="M8585" s="14"/>
      <c r="N8585" s="14"/>
      <c r="O8585" s="14"/>
      <c r="P8585" s="13"/>
    </row>
    <row r="8586">
      <c r="L8586" s="13"/>
      <c r="M8586" s="14"/>
      <c r="N8586" s="14"/>
      <c r="O8586" s="14"/>
      <c r="P8586" s="13"/>
    </row>
    <row r="8587">
      <c r="L8587" s="13"/>
      <c r="M8587" s="14"/>
      <c r="N8587" s="14"/>
      <c r="O8587" s="14"/>
      <c r="P8587" s="13"/>
    </row>
    <row r="8588">
      <c r="L8588" s="13"/>
      <c r="M8588" s="14"/>
      <c r="N8588" s="14"/>
      <c r="O8588" s="14"/>
      <c r="P8588" s="13"/>
    </row>
    <row r="8589">
      <c r="L8589" s="13"/>
      <c r="M8589" s="14"/>
      <c r="N8589" s="14"/>
      <c r="O8589" s="14"/>
      <c r="P8589" s="13"/>
    </row>
    <row r="8590">
      <c r="L8590" s="13"/>
      <c r="M8590" s="14"/>
      <c r="N8590" s="14"/>
      <c r="O8590" s="14"/>
      <c r="P8590" s="13"/>
    </row>
    <row r="8591">
      <c r="L8591" s="13"/>
      <c r="M8591" s="14"/>
      <c r="N8591" s="14"/>
      <c r="O8591" s="14"/>
      <c r="P8591" s="13"/>
    </row>
    <row r="8592">
      <c r="L8592" s="13"/>
      <c r="M8592" s="14"/>
      <c r="N8592" s="14"/>
      <c r="O8592" s="14"/>
      <c r="P8592" s="13"/>
    </row>
    <row r="8593">
      <c r="L8593" s="13"/>
      <c r="M8593" s="14"/>
      <c r="N8593" s="14"/>
      <c r="O8593" s="14"/>
      <c r="P8593" s="13"/>
    </row>
    <row r="8594">
      <c r="L8594" s="13"/>
      <c r="M8594" s="14"/>
      <c r="N8594" s="14"/>
      <c r="O8594" s="14"/>
      <c r="P8594" s="13"/>
    </row>
    <row r="8595">
      <c r="L8595" s="13"/>
      <c r="M8595" s="14"/>
      <c r="N8595" s="14"/>
      <c r="O8595" s="14"/>
      <c r="P8595" s="13"/>
    </row>
    <row r="8596">
      <c r="L8596" s="13"/>
      <c r="M8596" s="14"/>
      <c r="N8596" s="14"/>
      <c r="O8596" s="14"/>
      <c r="P8596" s="13"/>
    </row>
    <row r="8597">
      <c r="L8597" s="13"/>
      <c r="M8597" s="14"/>
      <c r="N8597" s="14"/>
      <c r="O8597" s="14"/>
      <c r="P8597" s="13"/>
    </row>
    <row r="8598">
      <c r="L8598" s="13"/>
      <c r="M8598" s="14"/>
      <c r="N8598" s="14"/>
      <c r="O8598" s="14"/>
      <c r="P8598" s="13"/>
    </row>
    <row r="8599">
      <c r="L8599" s="13"/>
      <c r="M8599" s="14"/>
      <c r="N8599" s="14"/>
      <c r="O8599" s="14"/>
      <c r="P8599" s="13"/>
    </row>
    <row r="8600">
      <c r="L8600" s="13"/>
      <c r="M8600" s="14"/>
      <c r="N8600" s="14"/>
      <c r="O8600" s="14"/>
      <c r="P8600" s="13"/>
    </row>
    <row r="8601">
      <c r="L8601" s="13"/>
      <c r="M8601" s="14"/>
      <c r="N8601" s="14"/>
      <c r="O8601" s="14"/>
      <c r="P8601" s="13"/>
    </row>
    <row r="8602">
      <c r="L8602" s="13"/>
      <c r="M8602" s="14"/>
      <c r="N8602" s="14"/>
      <c r="O8602" s="14"/>
      <c r="P8602" s="13"/>
    </row>
    <row r="8603">
      <c r="L8603" s="13"/>
      <c r="M8603" s="14"/>
      <c r="N8603" s="14"/>
      <c r="O8603" s="14"/>
      <c r="P8603" s="13"/>
    </row>
    <row r="8604">
      <c r="L8604" s="13"/>
      <c r="M8604" s="14"/>
      <c r="N8604" s="14"/>
      <c r="O8604" s="14"/>
      <c r="P8604" s="13"/>
    </row>
    <row r="8605">
      <c r="L8605" s="13"/>
      <c r="M8605" s="14"/>
      <c r="N8605" s="14"/>
      <c r="O8605" s="14"/>
      <c r="P8605" s="13"/>
    </row>
    <row r="8606">
      <c r="L8606" s="13"/>
      <c r="M8606" s="14"/>
      <c r="N8606" s="14"/>
      <c r="O8606" s="14"/>
      <c r="P8606" s="13"/>
    </row>
    <row r="8607">
      <c r="L8607" s="13"/>
      <c r="M8607" s="14"/>
      <c r="N8607" s="14"/>
      <c r="O8607" s="14"/>
      <c r="P8607" s="13"/>
    </row>
    <row r="8608">
      <c r="L8608" s="13"/>
      <c r="M8608" s="14"/>
      <c r="N8608" s="14"/>
      <c r="O8608" s="14"/>
      <c r="P8608" s="13"/>
    </row>
    <row r="8609">
      <c r="L8609" s="13"/>
      <c r="M8609" s="14"/>
      <c r="N8609" s="14"/>
      <c r="O8609" s="14"/>
      <c r="P8609" s="13"/>
    </row>
    <row r="8610">
      <c r="L8610" s="13"/>
      <c r="M8610" s="14"/>
      <c r="N8610" s="14"/>
      <c r="O8610" s="14"/>
      <c r="P8610" s="13"/>
    </row>
    <row r="8611">
      <c r="L8611" s="13"/>
      <c r="M8611" s="14"/>
      <c r="N8611" s="14"/>
      <c r="O8611" s="14"/>
      <c r="P8611" s="13"/>
    </row>
    <row r="8612">
      <c r="L8612" s="13"/>
      <c r="M8612" s="14"/>
      <c r="N8612" s="14"/>
      <c r="O8612" s="14"/>
      <c r="P8612" s="13"/>
    </row>
    <row r="8613">
      <c r="L8613" s="13"/>
      <c r="M8613" s="14"/>
      <c r="N8613" s="14"/>
      <c r="O8613" s="14"/>
      <c r="P8613" s="13"/>
    </row>
    <row r="8614">
      <c r="L8614" s="13"/>
      <c r="M8614" s="14"/>
      <c r="N8614" s="14"/>
      <c r="O8614" s="14"/>
      <c r="P8614" s="13"/>
    </row>
    <row r="8615">
      <c r="L8615" s="13"/>
      <c r="M8615" s="14"/>
      <c r="N8615" s="14"/>
      <c r="O8615" s="14"/>
      <c r="P8615" s="13"/>
    </row>
    <row r="8616">
      <c r="L8616" s="13"/>
      <c r="M8616" s="14"/>
      <c r="N8616" s="14"/>
      <c r="O8616" s="14"/>
      <c r="P8616" s="13"/>
    </row>
    <row r="8617">
      <c r="L8617" s="13"/>
      <c r="M8617" s="14"/>
      <c r="N8617" s="14"/>
      <c r="O8617" s="14"/>
      <c r="P8617" s="13"/>
    </row>
    <row r="8618">
      <c r="L8618" s="13"/>
      <c r="M8618" s="14"/>
      <c r="N8618" s="14"/>
      <c r="O8618" s="14"/>
      <c r="P8618" s="13"/>
    </row>
    <row r="8619">
      <c r="L8619" s="13"/>
      <c r="M8619" s="14"/>
      <c r="N8619" s="14"/>
      <c r="O8619" s="14"/>
      <c r="P8619" s="13"/>
    </row>
    <row r="8620">
      <c r="L8620" s="13"/>
      <c r="M8620" s="14"/>
      <c r="N8620" s="14"/>
      <c r="O8620" s="14"/>
      <c r="P8620" s="13"/>
    </row>
    <row r="8621">
      <c r="L8621" s="13"/>
      <c r="M8621" s="14"/>
      <c r="N8621" s="14"/>
      <c r="O8621" s="14"/>
      <c r="P8621" s="13"/>
    </row>
    <row r="8622">
      <c r="L8622" s="13"/>
      <c r="M8622" s="14"/>
      <c r="N8622" s="14"/>
      <c r="O8622" s="14"/>
      <c r="P8622" s="13"/>
    </row>
    <row r="8623">
      <c r="L8623" s="13"/>
      <c r="M8623" s="14"/>
      <c r="N8623" s="14"/>
      <c r="O8623" s="14"/>
      <c r="P8623" s="13"/>
    </row>
    <row r="8624">
      <c r="L8624" s="13"/>
      <c r="M8624" s="14"/>
      <c r="N8624" s="14"/>
      <c r="O8624" s="14"/>
      <c r="P8624" s="13"/>
    </row>
    <row r="8625">
      <c r="L8625" s="13"/>
      <c r="M8625" s="14"/>
      <c r="N8625" s="14"/>
      <c r="O8625" s="14"/>
      <c r="P8625" s="13"/>
    </row>
    <row r="8626">
      <c r="L8626" s="13"/>
      <c r="M8626" s="14"/>
      <c r="N8626" s="14"/>
      <c r="O8626" s="14"/>
      <c r="P8626" s="13"/>
    </row>
    <row r="8627">
      <c r="L8627" s="13"/>
      <c r="M8627" s="14"/>
      <c r="N8627" s="14"/>
      <c r="O8627" s="14"/>
      <c r="P8627" s="13"/>
    </row>
    <row r="8628">
      <c r="L8628" s="13"/>
      <c r="M8628" s="14"/>
      <c r="N8628" s="14"/>
      <c r="O8628" s="14"/>
      <c r="P8628" s="13"/>
    </row>
    <row r="8629">
      <c r="L8629" s="13"/>
      <c r="M8629" s="14"/>
      <c r="N8629" s="14"/>
      <c r="O8629" s="14"/>
      <c r="P8629" s="13"/>
    </row>
    <row r="8630">
      <c r="L8630" s="13"/>
      <c r="M8630" s="14"/>
      <c r="N8630" s="14"/>
      <c r="O8630" s="14"/>
      <c r="P8630" s="13"/>
    </row>
    <row r="8631">
      <c r="L8631" s="13"/>
      <c r="M8631" s="14"/>
      <c r="N8631" s="14"/>
      <c r="O8631" s="14"/>
      <c r="P8631" s="13"/>
    </row>
    <row r="8632">
      <c r="L8632" s="13"/>
      <c r="M8632" s="14"/>
      <c r="N8632" s="14"/>
      <c r="O8632" s="14"/>
      <c r="P8632" s="13"/>
    </row>
    <row r="8633">
      <c r="L8633" s="13"/>
      <c r="M8633" s="14"/>
      <c r="N8633" s="14"/>
      <c r="O8633" s="14"/>
      <c r="P8633" s="13"/>
    </row>
    <row r="8634">
      <c r="L8634" s="13"/>
      <c r="M8634" s="14"/>
      <c r="N8634" s="14"/>
      <c r="O8634" s="14"/>
      <c r="P8634" s="13"/>
    </row>
    <row r="8635">
      <c r="L8635" s="13"/>
      <c r="M8635" s="14"/>
      <c r="N8635" s="14"/>
      <c r="O8635" s="14"/>
      <c r="P8635" s="13"/>
    </row>
    <row r="8636">
      <c r="L8636" s="13"/>
      <c r="M8636" s="14"/>
      <c r="N8636" s="14"/>
      <c r="O8636" s="14"/>
      <c r="P8636" s="13"/>
    </row>
    <row r="8637">
      <c r="L8637" s="13"/>
      <c r="M8637" s="14"/>
      <c r="N8637" s="14"/>
      <c r="O8637" s="14"/>
      <c r="P8637" s="13"/>
    </row>
    <row r="8638">
      <c r="L8638" s="13"/>
      <c r="M8638" s="14"/>
      <c r="N8638" s="14"/>
      <c r="O8638" s="14"/>
      <c r="P8638" s="13"/>
    </row>
    <row r="8639">
      <c r="L8639" s="13"/>
      <c r="M8639" s="14"/>
      <c r="N8639" s="14"/>
      <c r="O8639" s="14"/>
      <c r="P8639" s="13"/>
    </row>
    <row r="8640">
      <c r="L8640" s="13"/>
      <c r="M8640" s="14"/>
      <c r="N8640" s="14"/>
      <c r="O8640" s="14"/>
      <c r="P8640" s="13"/>
    </row>
    <row r="8641">
      <c r="L8641" s="13"/>
      <c r="M8641" s="14"/>
      <c r="N8641" s="14"/>
      <c r="O8641" s="14"/>
      <c r="P8641" s="13"/>
    </row>
    <row r="8642">
      <c r="L8642" s="13"/>
      <c r="M8642" s="14"/>
      <c r="N8642" s="14"/>
      <c r="O8642" s="14"/>
      <c r="P8642" s="13"/>
    </row>
    <row r="8643">
      <c r="L8643" s="13"/>
      <c r="M8643" s="14"/>
      <c r="N8643" s="14"/>
      <c r="O8643" s="14"/>
      <c r="P8643" s="13"/>
    </row>
    <row r="8644">
      <c r="L8644" s="13"/>
      <c r="M8644" s="14"/>
      <c r="N8644" s="14"/>
      <c r="O8644" s="14"/>
      <c r="P8644" s="13"/>
    </row>
    <row r="8645">
      <c r="L8645" s="13"/>
      <c r="M8645" s="14"/>
      <c r="N8645" s="14"/>
      <c r="O8645" s="14"/>
      <c r="P8645" s="13"/>
    </row>
    <row r="8646">
      <c r="L8646" s="13"/>
      <c r="M8646" s="14"/>
      <c r="N8646" s="14"/>
      <c r="O8646" s="14"/>
      <c r="P8646" s="13"/>
    </row>
    <row r="8647">
      <c r="L8647" s="13"/>
      <c r="M8647" s="14"/>
      <c r="N8647" s="14"/>
      <c r="O8647" s="14"/>
      <c r="P8647" s="13"/>
    </row>
    <row r="8648">
      <c r="L8648" s="13"/>
      <c r="M8648" s="14"/>
      <c r="N8648" s="14"/>
      <c r="O8648" s="14"/>
      <c r="P8648" s="13"/>
    </row>
    <row r="8649">
      <c r="L8649" s="13"/>
      <c r="M8649" s="14"/>
      <c r="N8649" s="14"/>
      <c r="O8649" s="14"/>
      <c r="P8649" s="13"/>
    </row>
    <row r="8650">
      <c r="L8650" s="13"/>
      <c r="M8650" s="14"/>
      <c r="N8650" s="14"/>
      <c r="O8650" s="14"/>
      <c r="P8650" s="13"/>
    </row>
    <row r="8651">
      <c r="L8651" s="13"/>
      <c r="M8651" s="14"/>
      <c r="N8651" s="14"/>
      <c r="O8651" s="14"/>
      <c r="P8651" s="13"/>
    </row>
    <row r="8652">
      <c r="L8652" s="13"/>
      <c r="M8652" s="14"/>
      <c r="N8652" s="14"/>
      <c r="O8652" s="14"/>
      <c r="P8652" s="13"/>
    </row>
    <row r="8653">
      <c r="L8653" s="13"/>
      <c r="M8653" s="14"/>
      <c r="N8653" s="14"/>
      <c r="O8653" s="14"/>
      <c r="P8653" s="13"/>
    </row>
    <row r="8654">
      <c r="L8654" s="13"/>
      <c r="M8654" s="14"/>
      <c r="N8654" s="14"/>
      <c r="O8654" s="14"/>
      <c r="P8654" s="13"/>
    </row>
    <row r="8655">
      <c r="L8655" s="13"/>
      <c r="M8655" s="14"/>
      <c r="N8655" s="14"/>
      <c r="O8655" s="14"/>
      <c r="P8655" s="13"/>
    </row>
    <row r="8656">
      <c r="L8656" s="13"/>
      <c r="M8656" s="14"/>
      <c r="N8656" s="14"/>
      <c r="O8656" s="14"/>
      <c r="P8656" s="13"/>
    </row>
    <row r="8657">
      <c r="L8657" s="13"/>
      <c r="M8657" s="14"/>
      <c r="N8657" s="14"/>
      <c r="O8657" s="14"/>
      <c r="P8657" s="13"/>
    </row>
    <row r="8658">
      <c r="L8658" s="13"/>
      <c r="M8658" s="14"/>
      <c r="N8658" s="14"/>
      <c r="O8658" s="14"/>
      <c r="P8658" s="13"/>
    </row>
    <row r="8659">
      <c r="L8659" s="13"/>
      <c r="M8659" s="14"/>
      <c r="N8659" s="14"/>
      <c r="O8659" s="14"/>
      <c r="P8659" s="13"/>
    </row>
    <row r="8660">
      <c r="L8660" s="13"/>
      <c r="M8660" s="14"/>
      <c r="N8660" s="14"/>
      <c r="O8660" s="14"/>
      <c r="P8660" s="13"/>
    </row>
    <row r="8661">
      <c r="L8661" s="13"/>
      <c r="M8661" s="14"/>
      <c r="N8661" s="14"/>
      <c r="O8661" s="14"/>
      <c r="P8661" s="13"/>
    </row>
    <row r="8662">
      <c r="L8662" s="13"/>
      <c r="M8662" s="14"/>
      <c r="N8662" s="14"/>
      <c r="O8662" s="14"/>
      <c r="P8662" s="13"/>
    </row>
    <row r="8663">
      <c r="L8663" s="13"/>
      <c r="M8663" s="14"/>
      <c r="N8663" s="14"/>
      <c r="O8663" s="14"/>
      <c r="P8663" s="13"/>
    </row>
    <row r="8664">
      <c r="L8664" s="13"/>
      <c r="M8664" s="14"/>
      <c r="N8664" s="14"/>
      <c r="O8664" s="14"/>
      <c r="P8664" s="13"/>
    </row>
    <row r="8665">
      <c r="L8665" s="13"/>
      <c r="M8665" s="14"/>
      <c r="N8665" s="14"/>
      <c r="O8665" s="14"/>
      <c r="P8665" s="13"/>
    </row>
    <row r="8666">
      <c r="L8666" s="13"/>
      <c r="M8666" s="14"/>
      <c r="N8666" s="14"/>
      <c r="O8666" s="14"/>
      <c r="P8666" s="13"/>
    </row>
    <row r="8667">
      <c r="L8667" s="13"/>
      <c r="M8667" s="14"/>
      <c r="N8667" s="14"/>
      <c r="O8667" s="14"/>
      <c r="P8667" s="13"/>
    </row>
    <row r="8668">
      <c r="L8668" s="13"/>
      <c r="M8668" s="14"/>
      <c r="N8668" s="14"/>
      <c r="O8668" s="14"/>
      <c r="P8668" s="13"/>
    </row>
    <row r="8669">
      <c r="L8669" s="13"/>
      <c r="M8669" s="14"/>
      <c r="N8669" s="14"/>
      <c r="O8669" s="14"/>
      <c r="P8669" s="13"/>
    </row>
    <row r="8670">
      <c r="L8670" s="13"/>
      <c r="M8670" s="14"/>
      <c r="N8670" s="14"/>
      <c r="O8670" s="14"/>
      <c r="P8670" s="13"/>
    </row>
    <row r="8671">
      <c r="L8671" s="13"/>
      <c r="M8671" s="14"/>
      <c r="N8671" s="14"/>
      <c r="O8671" s="14"/>
      <c r="P8671" s="13"/>
    </row>
    <row r="8672">
      <c r="L8672" s="13"/>
      <c r="M8672" s="14"/>
      <c r="N8672" s="14"/>
      <c r="O8672" s="14"/>
      <c r="P8672" s="13"/>
    </row>
    <row r="8673">
      <c r="L8673" s="13"/>
      <c r="M8673" s="14"/>
      <c r="N8673" s="14"/>
      <c r="O8673" s="14"/>
      <c r="P8673" s="13"/>
    </row>
    <row r="8674">
      <c r="L8674" s="13"/>
      <c r="M8674" s="14"/>
      <c r="N8674" s="14"/>
      <c r="O8674" s="14"/>
      <c r="P8674" s="13"/>
    </row>
    <row r="8675">
      <c r="L8675" s="13"/>
      <c r="M8675" s="14"/>
      <c r="N8675" s="14"/>
      <c r="O8675" s="14"/>
      <c r="P8675" s="13"/>
    </row>
    <row r="8676">
      <c r="L8676" s="13"/>
      <c r="M8676" s="14"/>
      <c r="N8676" s="14"/>
      <c r="O8676" s="14"/>
      <c r="P8676" s="13"/>
    </row>
    <row r="8677">
      <c r="L8677" s="13"/>
      <c r="M8677" s="14"/>
      <c r="N8677" s="14"/>
      <c r="O8677" s="14"/>
      <c r="P8677" s="13"/>
    </row>
    <row r="8678">
      <c r="L8678" s="13"/>
      <c r="M8678" s="14"/>
      <c r="N8678" s="14"/>
      <c r="O8678" s="14"/>
      <c r="P8678" s="13"/>
    </row>
    <row r="8679">
      <c r="L8679" s="13"/>
      <c r="M8679" s="14"/>
      <c r="N8679" s="14"/>
      <c r="O8679" s="14"/>
      <c r="P8679" s="13"/>
    </row>
    <row r="8680">
      <c r="L8680" s="13"/>
      <c r="M8680" s="14"/>
      <c r="N8680" s="14"/>
      <c r="O8680" s="14"/>
      <c r="P8680" s="13"/>
    </row>
    <row r="8681">
      <c r="L8681" s="13"/>
      <c r="M8681" s="14"/>
      <c r="N8681" s="14"/>
      <c r="O8681" s="14"/>
      <c r="P8681" s="13"/>
    </row>
    <row r="8682">
      <c r="L8682" s="13"/>
      <c r="M8682" s="14"/>
      <c r="N8682" s="14"/>
      <c r="O8682" s="14"/>
      <c r="P8682" s="13"/>
    </row>
    <row r="8683">
      <c r="L8683" s="13"/>
      <c r="M8683" s="14"/>
      <c r="N8683" s="14"/>
      <c r="O8683" s="14"/>
      <c r="P8683" s="13"/>
    </row>
    <row r="8684">
      <c r="L8684" s="13"/>
      <c r="M8684" s="14"/>
      <c r="N8684" s="14"/>
      <c r="O8684" s="14"/>
      <c r="P8684" s="13"/>
    </row>
    <row r="8685">
      <c r="L8685" s="13"/>
      <c r="M8685" s="14"/>
      <c r="N8685" s="14"/>
      <c r="O8685" s="14"/>
      <c r="P8685" s="13"/>
    </row>
    <row r="8686">
      <c r="L8686" s="13"/>
      <c r="M8686" s="14"/>
      <c r="N8686" s="14"/>
      <c r="O8686" s="14"/>
      <c r="P8686" s="13"/>
    </row>
    <row r="8687">
      <c r="L8687" s="13"/>
      <c r="M8687" s="14"/>
      <c r="N8687" s="14"/>
      <c r="O8687" s="14"/>
      <c r="P8687" s="13"/>
    </row>
    <row r="8688">
      <c r="L8688" s="13"/>
      <c r="M8688" s="14"/>
      <c r="N8688" s="14"/>
      <c r="O8688" s="14"/>
      <c r="P8688" s="13"/>
    </row>
    <row r="8689">
      <c r="L8689" s="13"/>
      <c r="M8689" s="14"/>
      <c r="N8689" s="14"/>
      <c r="O8689" s="14"/>
      <c r="P8689" s="13"/>
    </row>
    <row r="8690">
      <c r="L8690" s="13"/>
      <c r="M8690" s="14"/>
      <c r="N8690" s="14"/>
      <c r="O8690" s="14"/>
      <c r="P8690" s="13"/>
    </row>
    <row r="8691">
      <c r="L8691" s="13"/>
      <c r="M8691" s="14"/>
      <c r="N8691" s="14"/>
      <c r="O8691" s="14"/>
      <c r="P8691" s="13"/>
    </row>
    <row r="8692">
      <c r="L8692" s="13"/>
      <c r="M8692" s="14"/>
      <c r="N8692" s="14"/>
      <c r="O8692" s="14"/>
      <c r="P8692" s="13"/>
    </row>
    <row r="8693">
      <c r="L8693" s="13"/>
      <c r="M8693" s="14"/>
      <c r="N8693" s="14"/>
      <c r="O8693" s="14"/>
      <c r="P8693" s="13"/>
    </row>
    <row r="8694">
      <c r="L8694" s="13"/>
      <c r="M8694" s="14"/>
      <c r="N8694" s="14"/>
      <c r="O8694" s="14"/>
      <c r="P8694" s="13"/>
    </row>
    <row r="8695">
      <c r="L8695" s="13"/>
      <c r="M8695" s="14"/>
      <c r="N8695" s="14"/>
      <c r="O8695" s="14"/>
      <c r="P8695" s="13"/>
    </row>
    <row r="8696">
      <c r="L8696" s="13"/>
      <c r="M8696" s="14"/>
      <c r="N8696" s="14"/>
      <c r="O8696" s="14"/>
      <c r="P8696" s="13"/>
    </row>
    <row r="8697">
      <c r="L8697" s="13"/>
      <c r="M8697" s="14"/>
      <c r="N8697" s="14"/>
      <c r="O8697" s="14"/>
      <c r="P8697" s="13"/>
    </row>
    <row r="8698">
      <c r="L8698" s="13"/>
      <c r="M8698" s="14"/>
      <c r="N8698" s="14"/>
      <c r="O8698" s="14"/>
      <c r="P8698" s="13"/>
    </row>
    <row r="8699">
      <c r="L8699" s="13"/>
      <c r="M8699" s="14"/>
      <c r="N8699" s="14"/>
      <c r="O8699" s="14"/>
      <c r="P8699" s="13"/>
    </row>
    <row r="8700">
      <c r="L8700" s="13"/>
      <c r="M8700" s="14"/>
      <c r="N8700" s="14"/>
      <c r="O8700" s="14"/>
      <c r="P8700" s="13"/>
    </row>
    <row r="8701">
      <c r="L8701" s="13"/>
      <c r="M8701" s="14"/>
      <c r="N8701" s="14"/>
      <c r="O8701" s="14"/>
      <c r="P8701" s="13"/>
    </row>
    <row r="8702">
      <c r="L8702" s="13"/>
      <c r="M8702" s="14"/>
      <c r="N8702" s="14"/>
      <c r="O8702" s="14"/>
      <c r="P8702" s="13"/>
    </row>
    <row r="8703">
      <c r="L8703" s="13"/>
      <c r="M8703" s="14"/>
      <c r="N8703" s="14"/>
      <c r="O8703" s="14"/>
      <c r="P8703" s="13"/>
    </row>
    <row r="8704">
      <c r="L8704" s="13"/>
      <c r="M8704" s="14"/>
      <c r="N8704" s="14"/>
      <c r="O8704" s="14"/>
      <c r="P8704" s="13"/>
    </row>
    <row r="8705">
      <c r="L8705" s="13"/>
      <c r="M8705" s="14"/>
      <c r="N8705" s="14"/>
      <c r="O8705" s="14"/>
      <c r="P8705" s="13"/>
    </row>
    <row r="8706">
      <c r="L8706" s="13"/>
      <c r="M8706" s="14"/>
      <c r="N8706" s="14"/>
      <c r="O8706" s="14"/>
      <c r="P8706" s="13"/>
    </row>
    <row r="8707">
      <c r="L8707" s="13"/>
      <c r="M8707" s="14"/>
      <c r="N8707" s="14"/>
      <c r="O8707" s="14"/>
      <c r="P8707" s="13"/>
    </row>
    <row r="8708">
      <c r="L8708" s="13"/>
      <c r="M8708" s="14"/>
      <c r="N8708" s="14"/>
      <c r="O8708" s="14"/>
      <c r="P8708" s="13"/>
    </row>
    <row r="8709">
      <c r="L8709" s="13"/>
      <c r="M8709" s="14"/>
      <c r="N8709" s="14"/>
      <c r="O8709" s="14"/>
      <c r="P8709" s="13"/>
    </row>
    <row r="8710">
      <c r="L8710" s="13"/>
      <c r="M8710" s="14"/>
      <c r="N8710" s="14"/>
      <c r="O8710" s="14"/>
      <c r="P8710" s="13"/>
    </row>
    <row r="8711">
      <c r="L8711" s="13"/>
      <c r="M8711" s="14"/>
      <c r="N8711" s="14"/>
      <c r="O8711" s="14"/>
      <c r="P8711" s="13"/>
    </row>
    <row r="8712">
      <c r="L8712" s="13"/>
      <c r="M8712" s="14"/>
      <c r="N8712" s="14"/>
      <c r="O8712" s="14"/>
      <c r="P8712" s="13"/>
    </row>
    <row r="8713">
      <c r="L8713" s="13"/>
      <c r="M8713" s="14"/>
      <c r="N8713" s="14"/>
      <c r="O8713" s="14"/>
      <c r="P8713" s="13"/>
    </row>
    <row r="8714">
      <c r="L8714" s="13"/>
      <c r="M8714" s="14"/>
      <c r="N8714" s="14"/>
      <c r="O8714" s="14"/>
      <c r="P8714" s="13"/>
    </row>
    <row r="8715">
      <c r="L8715" s="13"/>
      <c r="M8715" s="14"/>
      <c r="N8715" s="14"/>
      <c r="O8715" s="14"/>
      <c r="P8715" s="13"/>
    </row>
    <row r="8716">
      <c r="L8716" s="13"/>
      <c r="M8716" s="14"/>
      <c r="N8716" s="14"/>
      <c r="O8716" s="14"/>
      <c r="P8716" s="13"/>
    </row>
    <row r="8717">
      <c r="L8717" s="13"/>
      <c r="M8717" s="14"/>
      <c r="N8717" s="14"/>
      <c r="O8717" s="14"/>
      <c r="P8717" s="13"/>
    </row>
    <row r="8718">
      <c r="L8718" s="13"/>
      <c r="M8718" s="14"/>
      <c r="N8718" s="14"/>
      <c r="O8718" s="14"/>
      <c r="P8718" s="13"/>
    </row>
    <row r="8719">
      <c r="L8719" s="13"/>
      <c r="M8719" s="14"/>
      <c r="N8719" s="14"/>
      <c r="O8719" s="14"/>
      <c r="P8719" s="13"/>
    </row>
    <row r="8720">
      <c r="L8720" s="13"/>
      <c r="M8720" s="14"/>
      <c r="N8720" s="14"/>
      <c r="O8720" s="14"/>
      <c r="P8720" s="13"/>
    </row>
    <row r="8721">
      <c r="L8721" s="13"/>
      <c r="M8721" s="14"/>
      <c r="N8721" s="14"/>
      <c r="O8721" s="14"/>
      <c r="P8721" s="13"/>
    </row>
    <row r="8722">
      <c r="L8722" s="13"/>
      <c r="M8722" s="14"/>
      <c r="N8722" s="14"/>
      <c r="O8722" s="14"/>
      <c r="P8722" s="13"/>
    </row>
    <row r="8723">
      <c r="L8723" s="13"/>
      <c r="M8723" s="14"/>
      <c r="N8723" s="14"/>
      <c r="O8723" s="14"/>
      <c r="P8723" s="13"/>
    </row>
    <row r="8724">
      <c r="L8724" s="13"/>
      <c r="M8724" s="14"/>
      <c r="N8724" s="14"/>
      <c r="O8724" s="14"/>
      <c r="P8724" s="13"/>
    </row>
    <row r="8725">
      <c r="L8725" s="13"/>
      <c r="M8725" s="14"/>
      <c r="N8725" s="14"/>
      <c r="O8725" s="14"/>
      <c r="P8725" s="13"/>
    </row>
    <row r="8726">
      <c r="L8726" s="13"/>
      <c r="M8726" s="14"/>
      <c r="N8726" s="14"/>
      <c r="O8726" s="14"/>
      <c r="P8726" s="13"/>
    </row>
    <row r="8727">
      <c r="L8727" s="13"/>
      <c r="M8727" s="14"/>
      <c r="N8727" s="14"/>
      <c r="O8727" s="14"/>
      <c r="P8727" s="13"/>
    </row>
    <row r="8728">
      <c r="L8728" s="13"/>
      <c r="M8728" s="14"/>
      <c r="N8728" s="14"/>
      <c r="O8728" s="14"/>
      <c r="P8728" s="13"/>
    </row>
    <row r="8729">
      <c r="L8729" s="13"/>
      <c r="M8729" s="14"/>
      <c r="N8729" s="14"/>
      <c r="O8729" s="14"/>
      <c r="P8729" s="13"/>
    </row>
    <row r="8730">
      <c r="L8730" s="13"/>
      <c r="M8730" s="14"/>
      <c r="N8730" s="14"/>
      <c r="O8730" s="14"/>
      <c r="P8730" s="13"/>
    </row>
    <row r="8731">
      <c r="L8731" s="13"/>
      <c r="M8731" s="14"/>
      <c r="N8731" s="14"/>
      <c r="O8731" s="14"/>
      <c r="P8731" s="13"/>
    </row>
    <row r="8732">
      <c r="L8732" s="13"/>
      <c r="M8732" s="14"/>
      <c r="N8732" s="14"/>
      <c r="O8732" s="14"/>
      <c r="P8732" s="13"/>
    </row>
    <row r="8733">
      <c r="L8733" s="13"/>
      <c r="M8733" s="14"/>
      <c r="N8733" s="14"/>
      <c r="O8733" s="14"/>
      <c r="P8733" s="13"/>
    </row>
    <row r="8734">
      <c r="L8734" s="13"/>
      <c r="M8734" s="14"/>
      <c r="N8734" s="14"/>
      <c r="O8734" s="14"/>
      <c r="P8734" s="13"/>
    </row>
    <row r="8735">
      <c r="L8735" s="13"/>
      <c r="M8735" s="14"/>
      <c r="N8735" s="14"/>
      <c r="O8735" s="14"/>
      <c r="P8735" s="13"/>
    </row>
    <row r="8736">
      <c r="L8736" s="13"/>
      <c r="M8736" s="14"/>
      <c r="N8736" s="14"/>
      <c r="O8736" s="14"/>
      <c r="P8736" s="13"/>
    </row>
    <row r="8737">
      <c r="L8737" s="13"/>
      <c r="M8737" s="14"/>
      <c r="N8737" s="14"/>
      <c r="O8737" s="14"/>
      <c r="P8737" s="13"/>
    </row>
    <row r="8738">
      <c r="L8738" s="13"/>
      <c r="M8738" s="14"/>
      <c r="N8738" s="14"/>
      <c r="O8738" s="14"/>
      <c r="P8738" s="13"/>
    </row>
    <row r="8739">
      <c r="L8739" s="13"/>
      <c r="M8739" s="14"/>
      <c r="N8739" s="14"/>
      <c r="O8739" s="14"/>
      <c r="P8739" s="13"/>
    </row>
    <row r="8740">
      <c r="L8740" s="13"/>
      <c r="M8740" s="14"/>
      <c r="N8740" s="14"/>
      <c r="O8740" s="14"/>
      <c r="P8740" s="13"/>
    </row>
    <row r="8741">
      <c r="L8741" s="13"/>
      <c r="M8741" s="14"/>
      <c r="N8741" s="14"/>
      <c r="O8741" s="14"/>
      <c r="P8741" s="13"/>
    </row>
    <row r="8742">
      <c r="L8742" s="13"/>
      <c r="M8742" s="14"/>
      <c r="N8742" s="14"/>
      <c r="O8742" s="14"/>
      <c r="P8742" s="13"/>
    </row>
    <row r="8743">
      <c r="L8743" s="13"/>
      <c r="M8743" s="14"/>
      <c r="N8743" s="14"/>
      <c r="O8743" s="14"/>
      <c r="P8743" s="13"/>
    </row>
    <row r="8744">
      <c r="L8744" s="13"/>
      <c r="M8744" s="14"/>
      <c r="N8744" s="14"/>
      <c r="O8744" s="14"/>
      <c r="P8744" s="13"/>
    </row>
    <row r="8745">
      <c r="L8745" s="13"/>
      <c r="M8745" s="14"/>
      <c r="N8745" s="14"/>
      <c r="O8745" s="14"/>
      <c r="P8745" s="13"/>
    </row>
    <row r="8746">
      <c r="L8746" s="13"/>
      <c r="M8746" s="14"/>
      <c r="N8746" s="14"/>
      <c r="O8746" s="14"/>
      <c r="P8746" s="13"/>
    </row>
    <row r="8747">
      <c r="L8747" s="13"/>
      <c r="M8747" s="14"/>
      <c r="N8747" s="14"/>
      <c r="O8747" s="14"/>
      <c r="P8747" s="13"/>
    </row>
    <row r="8748">
      <c r="L8748" s="13"/>
      <c r="M8748" s="14"/>
      <c r="N8748" s="14"/>
      <c r="O8748" s="14"/>
      <c r="P8748" s="13"/>
    </row>
    <row r="8749">
      <c r="L8749" s="13"/>
      <c r="M8749" s="14"/>
      <c r="N8749" s="14"/>
      <c r="O8749" s="14"/>
      <c r="P8749" s="13"/>
    </row>
    <row r="8750">
      <c r="L8750" s="13"/>
      <c r="M8750" s="14"/>
      <c r="N8750" s="14"/>
      <c r="O8750" s="14"/>
      <c r="P8750" s="13"/>
    </row>
    <row r="8751">
      <c r="L8751" s="13"/>
      <c r="M8751" s="14"/>
      <c r="N8751" s="14"/>
      <c r="O8751" s="14"/>
      <c r="P8751" s="13"/>
    </row>
    <row r="8752">
      <c r="L8752" s="13"/>
      <c r="M8752" s="14"/>
      <c r="N8752" s="14"/>
      <c r="O8752" s="14"/>
      <c r="P8752" s="13"/>
    </row>
    <row r="8753">
      <c r="L8753" s="13"/>
      <c r="M8753" s="14"/>
      <c r="N8753" s="14"/>
      <c r="O8753" s="14"/>
      <c r="P8753" s="13"/>
    </row>
    <row r="8754">
      <c r="L8754" s="13"/>
      <c r="M8754" s="14"/>
      <c r="N8754" s="14"/>
      <c r="O8754" s="14"/>
      <c r="P8754" s="13"/>
    </row>
    <row r="8755">
      <c r="L8755" s="13"/>
      <c r="M8755" s="14"/>
      <c r="N8755" s="14"/>
      <c r="O8755" s="14"/>
      <c r="P8755" s="13"/>
    </row>
    <row r="8756">
      <c r="L8756" s="13"/>
      <c r="M8756" s="14"/>
      <c r="N8756" s="14"/>
      <c r="O8756" s="14"/>
      <c r="P8756" s="13"/>
    </row>
    <row r="8757">
      <c r="L8757" s="13"/>
      <c r="M8757" s="14"/>
      <c r="N8757" s="14"/>
      <c r="O8757" s="14"/>
      <c r="P8757" s="13"/>
    </row>
    <row r="8758">
      <c r="L8758" s="13"/>
      <c r="M8758" s="14"/>
      <c r="N8758" s="14"/>
      <c r="O8758" s="14"/>
      <c r="P8758" s="13"/>
    </row>
    <row r="8759">
      <c r="L8759" s="13"/>
      <c r="M8759" s="14"/>
      <c r="N8759" s="14"/>
      <c r="O8759" s="14"/>
      <c r="P8759" s="13"/>
    </row>
    <row r="8760">
      <c r="L8760" s="13"/>
      <c r="M8760" s="14"/>
      <c r="N8760" s="14"/>
      <c r="O8760" s="14"/>
      <c r="P8760" s="13"/>
    </row>
    <row r="8761">
      <c r="L8761" s="13"/>
      <c r="M8761" s="14"/>
      <c r="N8761" s="14"/>
      <c r="O8761" s="14"/>
      <c r="P8761" s="13"/>
    </row>
    <row r="8762">
      <c r="L8762" s="13"/>
      <c r="M8762" s="14"/>
      <c r="N8762" s="14"/>
      <c r="O8762" s="14"/>
      <c r="P8762" s="13"/>
    </row>
    <row r="8763">
      <c r="L8763" s="13"/>
      <c r="M8763" s="14"/>
      <c r="N8763" s="14"/>
      <c r="O8763" s="14"/>
      <c r="P8763" s="13"/>
    </row>
    <row r="8764">
      <c r="L8764" s="13"/>
      <c r="M8764" s="14"/>
      <c r="N8764" s="14"/>
      <c r="O8764" s="14"/>
      <c r="P8764" s="13"/>
    </row>
    <row r="8765">
      <c r="L8765" s="13"/>
      <c r="M8765" s="14"/>
      <c r="N8765" s="14"/>
      <c r="O8765" s="14"/>
      <c r="P8765" s="13"/>
    </row>
    <row r="8766">
      <c r="L8766" s="13"/>
      <c r="M8766" s="14"/>
      <c r="N8766" s="14"/>
      <c r="O8766" s="14"/>
      <c r="P8766" s="13"/>
    </row>
    <row r="8767">
      <c r="L8767" s="13"/>
      <c r="M8767" s="14"/>
      <c r="N8767" s="14"/>
      <c r="O8767" s="14"/>
      <c r="P8767" s="13"/>
    </row>
    <row r="8768">
      <c r="L8768" s="13"/>
      <c r="M8768" s="14"/>
      <c r="N8768" s="14"/>
      <c r="O8768" s="14"/>
      <c r="P8768" s="13"/>
    </row>
    <row r="8769">
      <c r="L8769" s="13"/>
      <c r="M8769" s="14"/>
      <c r="N8769" s="14"/>
      <c r="O8769" s="14"/>
      <c r="P8769" s="13"/>
    </row>
    <row r="8770">
      <c r="L8770" s="13"/>
      <c r="M8770" s="14"/>
      <c r="N8770" s="14"/>
      <c r="O8770" s="14"/>
      <c r="P8770" s="13"/>
    </row>
    <row r="8771">
      <c r="L8771" s="13"/>
      <c r="M8771" s="14"/>
      <c r="N8771" s="14"/>
      <c r="O8771" s="14"/>
      <c r="P8771" s="13"/>
    </row>
    <row r="8772">
      <c r="L8772" s="13"/>
      <c r="M8772" s="14"/>
      <c r="N8772" s="14"/>
      <c r="O8772" s="14"/>
      <c r="P8772" s="13"/>
    </row>
    <row r="8773">
      <c r="L8773" s="13"/>
      <c r="M8773" s="14"/>
      <c r="N8773" s="14"/>
      <c r="O8773" s="14"/>
      <c r="P8773" s="13"/>
    </row>
    <row r="8774">
      <c r="L8774" s="13"/>
      <c r="M8774" s="14"/>
      <c r="N8774" s="14"/>
      <c r="O8774" s="14"/>
      <c r="P8774" s="13"/>
    </row>
    <row r="8775">
      <c r="L8775" s="13"/>
      <c r="M8775" s="14"/>
      <c r="N8775" s="14"/>
      <c r="O8775" s="14"/>
      <c r="P8775" s="13"/>
    </row>
    <row r="8776">
      <c r="L8776" s="13"/>
      <c r="M8776" s="14"/>
      <c r="N8776" s="14"/>
      <c r="O8776" s="14"/>
      <c r="P8776" s="13"/>
    </row>
    <row r="8777">
      <c r="L8777" s="13"/>
      <c r="M8777" s="14"/>
      <c r="N8777" s="14"/>
      <c r="O8777" s="14"/>
      <c r="P8777" s="13"/>
    </row>
    <row r="8778">
      <c r="L8778" s="13"/>
      <c r="M8778" s="14"/>
      <c r="N8778" s="14"/>
      <c r="O8778" s="14"/>
      <c r="P8778" s="13"/>
    </row>
    <row r="8779">
      <c r="L8779" s="13"/>
      <c r="M8779" s="14"/>
      <c r="N8779" s="14"/>
      <c r="O8779" s="14"/>
      <c r="P8779" s="13"/>
    </row>
    <row r="8780">
      <c r="L8780" s="13"/>
      <c r="M8780" s="14"/>
      <c r="N8780" s="14"/>
      <c r="O8780" s="14"/>
      <c r="P8780" s="13"/>
    </row>
    <row r="8781">
      <c r="L8781" s="13"/>
      <c r="M8781" s="14"/>
      <c r="N8781" s="14"/>
      <c r="O8781" s="14"/>
      <c r="P8781" s="13"/>
    </row>
    <row r="8782">
      <c r="L8782" s="13"/>
      <c r="M8782" s="14"/>
      <c r="N8782" s="14"/>
      <c r="O8782" s="14"/>
      <c r="P8782" s="13"/>
    </row>
    <row r="8783">
      <c r="L8783" s="13"/>
      <c r="M8783" s="14"/>
      <c r="N8783" s="14"/>
      <c r="O8783" s="14"/>
      <c r="P8783" s="13"/>
    </row>
    <row r="8784">
      <c r="L8784" s="13"/>
      <c r="M8784" s="14"/>
      <c r="N8784" s="14"/>
      <c r="O8784" s="14"/>
      <c r="P8784" s="13"/>
    </row>
    <row r="8785">
      <c r="L8785" s="13"/>
      <c r="M8785" s="14"/>
      <c r="N8785" s="14"/>
      <c r="O8785" s="14"/>
      <c r="P8785" s="13"/>
    </row>
    <row r="8786">
      <c r="L8786" s="13"/>
      <c r="M8786" s="14"/>
      <c r="N8786" s="14"/>
      <c r="O8786" s="14"/>
      <c r="P8786" s="13"/>
    </row>
    <row r="8787">
      <c r="L8787" s="13"/>
      <c r="M8787" s="14"/>
      <c r="N8787" s="14"/>
      <c r="O8787" s="14"/>
      <c r="P8787" s="13"/>
    </row>
    <row r="8788">
      <c r="L8788" s="13"/>
      <c r="M8788" s="14"/>
      <c r="N8788" s="14"/>
      <c r="O8788" s="14"/>
      <c r="P8788" s="13"/>
    </row>
    <row r="8789">
      <c r="L8789" s="13"/>
      <c r="M8789" s="14"/>
      <c r="N8789" s="14"/>
      <c r="O8789" s="14"/>
      <c r="P8789" s="13"/>
    </row>
    <row r="8790">
      <c r="L8790" s="13"/>
      <c r="M8790" s="14"/>
      <c r="N8790" s="14"/>
      <c r="O8790" s="14"/>
      <c r="P8790" s="13"/>
    </row>
    <row r="8791">
      <c r="L8791" s="13"/>
      <c r="M8791" s="14"/>
      <c r="N8791" s="14"/>
      <c r="O8791" s="14"/>
      <c r="P8791" s="13"/>
    </row>
    <row r="8792">
      <c r="L8792" s="13"/>
      <c r="M8792" s="14"/>
      <c r="N8792" s="14"/>
      <c r="O8792" s="14"/>
      <c r="P8792" s="13"/>
    </row>
    <row r="8793">
      <c r="L8793" s="13"/>
      <c r="M8793" s="14"/>
      <c r="N8793" s="14"/>
      <c r="O8793" s="14"/>
      <c r="P8793" s="13"/>
    </row>
    <row r="8794">
      <c r="L8794" s="13"/>
      <c r="M8794" s="14"/>
      <c r="N8794" s="14"/>
      <c r="O8794" s="14"/>
      <c r="P8794" s="13"/>
    </row>
    <row r="8795">
      <c r="L8795" s="13"/>
      <c r="M8795" s="14"/>
      <c r="N8795" s="14"/>
      <c r="O8795" s="14"/>
      <c r="P8795" s="13"/>
    </row>
    <row r="8796">
      <c r="L8796" s="13"/>
      <c r="M8796" s="14"/>
      <c r="N8796" s="14"/>
      <c r="O8796" s="14"/>
      <c r="P8796" s="13"/>
    </row>
    <row r="8797">
      <c r="L8797" s="13"/>
      <c r="M8797" s="14"/>
      <c r="N8797" s="14"/>
      <c r="O8797" s="14"/>
      <c r="P8797" s="13"/>
    </row>
    <row r="8798">
      <c r="L8798" s="13"/>
      <c r="M8798" s="14"/>
      <c r="N8798" s="14"/>
      <c r="O8798" s="14"/>
      <c r="P8798" s="13"/>
    </row>
    <row r="8799">
      <c r="L8799" s="13"/>
      <c r="M8799" s="14"/>
      <c r="N8799" s="14"/>
      <c r="O8799" s="14"/>
      <c r="P8799" s="13"/>
    </row>
    <row r="8800">
      <c r="L8800" s="13"/>
      <c r="M8800" s="14"/>
      <c r="N8800" s="14"/>
      <c r="O8800" s="14"/>
      <c r="P8800" s="13"/>
    </row>
    <row r="8801">
      <c r="L8801" s="13"/>
      <c r="M8801" s="14"/>
      <c r="N8801" s="14"/>
      <c r="O8801" s="14"/>
      <c r="P8801" s="13"/>
    </row>
    <row r="8802">
      <c r="L8802" s="13"/>
      <c r="M8802" s="14"/>
      <c r="N8802" s="14"/>
      <c r="O8802" s="14"/>
      <c r="P8802" s="13"/>
    </row>
    <row r="8803">
      <c r="L8803" s="13"/>
      <c r="M8803" s="14"/>
      <c r="N8803" s="14"/>
      <c r="O8803" s="14"/>
      <c r="P8803" s="13"/>
    </row>
    <row r="8804">
      <c r="L8804" s="13"/>
      <c r="M8804" s="14"/>
      <c r="N8804" s="14"/>
      <c r="O8804" s="14"/>
      <c r="P8804" s="13"/>
    </row>
    <row r="8805">
      <c r="L8805" s="13"/>
      <c r="M8805" s="14"/>
      <c r="N8805" s="14"/>
      <c r="O8805" s="14"/>
      <c r="P8805" s="13"/>
    </row>
    <row r="8806">
      <c r="L8806" s="13"/>
      <c r="M8806" s="14"/>
      <c r="N8806" s="14"/>
      <c r="O8806" s="14"/>
      <c r="P8806" s="13"/>
    </row>
    <row r="8807">
      <c r="L8807" s="13"/>
      <c r="M8807" s="14"/>
      <c r="N8807" s="14"/>
      <c r="O8807" s="14"/>
      <c r="P8807" s="13"/>
    </row>
    <row r="8808">
      <c r="L8808" s="13"/>
      <c r="M8808" s="14"/>
      <c r="N8808" s="14"/>
      <c r="O8808" s="14"/>
      <c r="P8808" s="13"/>
    </row>
    <row r="8809">
      <c r="L8809" s="13"/>
      <c r="M8809" s="14"/>
      <c r="N8809" s="14"/>
      <c r="O8809" s="14"/>
      <c r="P8809" s="13"/>
    </row>
    <row r="8810">
      <c r="L8810" s="13"/>
      <c r="M8810" s="14"/>
      <c r="N8810" s="14"/>
      <c r="O8810" s="14"/>
      <c r="P8810" s="13"/>
    </row>
    <row r="8811">
      <c r="L8811" s="13"/>
      <c r="M8811" s="14"/>
      <c r="N8811" s="14"/>
      <c r="O8811" s="14"/>
      <c r="P8811" s="13"/>
    </row>
    <row r="8812">
      <c r="L8812" s="13"/>
      <c r="M8812" s="14"/>
      <c r="N8812" s="14"/>
      <c r="O8812" s="14"/>
      <c r="P8812" s="13"/>
    </row>
    <row r="8813">
      <c r="L8813" s="13"/>
      <c r="M8813" s="14"/>
      <c r="N8813" s="14"/>
      <c r="O8813" s="14"/>
      <c r="P8813" s="13"/>
    </row>
    <row r="8814">
      <c r="L8814" s="13"/>
      <c r="M8814" s="14"/>
      <c r="N8814" s="14"/>
      <c r="O8814" s="14"/>
      <c r="P8814" s="13"/>
    </row>
    <row r="8815">
      <c r="L8815" s="13"/>
      <c r="M8815" s="14"/>
      <c r="N8815" s="14"/>
      <c r="O8815" s="14"/>
      <c r="P8815" s="13"/>
    </row>
    <row r="8816">
      <c r="L8816" s="13"/>
      <c r="M8816" s="14"/>
      <c r="N8816" s="14"/>
      <c r="O8816" s="14"/>
      <c r="P8816" s="13"/>
    </row>
    <row r="8817">
      <c r="L8817" s="13"/>
      <c r="M8817" s="14"/>
      <c r="N8817" s="14"/>
      <c r="O8817" s="14"/>
      <c r="P8817" s="13"/>
    </row>
    <row r="8818">
      <c r="L8818" s="13"/>
      <c r="M8818" s="14"/>
      <c r="N8818" s="14"/>
      <c r="O8818" s="14"/>
      <c r="P8818" s="13"/>
    </row>
    <row r="8819">
      <c r="L8819" s="13"/>
      <c r="M8819" s="14"/>
      <c r="N8819" s="14"/>
      <c r="O8819" s="14"/>
      <c r="P8819" s="13"/>
    </row>
    <row r="8820">
      <c r="L8820" s="13"/>
      <c r="M8820" s="14"/>
      <c r="N8820" s="14"/>
      <c r="O8820" s="14"/>
      <c r="P8820" s="13"/>
    </row>
    <row r="8821">
      <c r="L8821" s="13"/>
      <c r="M8821" s="14"/>
      <c r="N8821" s="14"/>
      <c r="O8821" s="14"/>
      <c r="P8821" s="13"/>
    </row>
    <row r="8822">
      <c r="L8822" s="13"/>
      <c r="M8822" s="14"/>
      <c r="N8822" s="14"/>
      <c r="O8822" s="14"/>
      <c r="P8822" s="13"/>
    </row>
    <row r="8823">
      <c r="L8823" s="13"/>
      <c r="M8823" s="14"/>
      <c r="N8823" s="14"/>
      <c r="O8823" s="14"/>
      <c r="P8823" s="13"/>
    </row>
    <row r="8824">
      <c r="L8824" s="13"/>
      <c r="M8824" s="14"/>
      <c r="N8824" s="14"/>
      <c r="O8824" s="14"/>
      <c r="P8824" s="13"/>
    </row>
    <row r="8825">
      <c r="L8825" s="13"/>
      <c r="M8825" s="14"/>
      <c r="N8825" s="14"/>
      <c r="O8825" s="14"/>
      <c r="P8825" s="13"/>
    </row>
    <row r="8826">
      <c r="L8826" s="13"/>
      <c r="M8826" s="14"/>
      <c r="N8826" s="14"/>
      <c r="O8826" s="14"/>
      <c r="P8826" s="13"/>
    </row>
    <row r="8827">
      <c r="L8827" s="13"/>
      <c r="M8827" s="14"/>
      <c r="N8827" s="14"/>
      <c r="O8827" s="14"/>
      <c r="P8827" s="13"/>
    </row>
    <row r="8828">
      <c r="L8828" s="13"/>
      <c r="M8828" s="14"/>
      <c r="N8828" s="14"/>
      <c r="O8828" s="14"/>
      <c r="P8828" s="13"/>
    </row>
    <row r="8829">
      <c r="L8829" s="13"/>
      <c r="M8829" s="14"/>
      <c r="N8829" s="14"/>
      <c r="O8829" s="14"/>
      <c r="P8829" s="13"/>
    </row>
    <row r="8830">
      <c r="L8830" s="13"/>
      <c r="M8830" s="14"/>
      <c r="N8830" s="14"/>
      <c r="O8830" s="14"/>
      <c r="P8830" s="13"/>
    </row>
    <row r="8831">
      <c r="L8831" s="13"/>
      <c r="M8831" s="14"/>
      <c r="N8831" s="14"/>
      <c r="O8831" s="14"/>
      <c r="P8831" s="13"/>
    </row>
    <row r="8832">
      <c r="L8832" s="13"/>
      <c r="M8832" s="14"/>
      <c r="N8832" s="14"/>
      <c r="O8832" s="14"/>
      <c r="P8832" s="13"/>
    </row>
    <row r="8833">
      <c r="L8833" s="13"/>
      <c r="M8833" s="14"/>
      <c r="N8833" s="14"/>
      <c r="O8833" s="14"/>
      <c r="P8833" s="13"/>
    </row>
    <row r="8834">
      <c r="L8834" s="13"/>
      <c r="M8834" s="14"/>
      <c r="N8834" s="14"/>
      <c r="O8834" s="14"/>
      <c r="P8834" s="13"/>
    </row>
    <row r="8835">
      <c r="L8835" s="13"/>
      <c r="M8835" s="14"/>
      <c r="N8835" s="14"/>
      <c r="O8835" s="14"/>
      <c r="P8835" s="13"/>
    </row>
    <row r="8836">
      <c r="L8836" s="13"/>
      <c r="M8836" s="14"/>
      <c r="N8836" s="14"/>
      <c r="O8836" s="14"/>
      <c r="P8836" s="13"/>
    </row>
    <row r="8837">
      <c r="L8837" s="13"/>
      <c r="M8837" s="14"/>
      <c r="N8837" s="14"/>
      <c r="O8837" s="14"/>
      <c r="P8837" s="13"/>
    </row>
    <row r="8838">
      <c r="L8838" s="13"/>
      <c r="M8838" s="14"/>
      <c r="N8838" s="14"/>
      <c r="O8838" s="14"/>
      <c r="P8838" s="13"/>
    </row>
    <row r="8839">
      <c r="L8839" s="13"/>
      <c r="M8839" s="14"/>
      <c r="N8839" s="14"/>
      <c r="O8839" s="14"/>
      <c r="P8839" s="13"/>
    </row>
    <row r="8840">
      <c r="L8840" s="13"/>
      <c r="M8840" s="14"/>
      <c r="N8840" s="14"/>
      <c r="O8840" s="14"/>
      <c r="P8840" s="13"/>
    </row>
    <row r="8841">
      <c r="L8841" s="13"/>
      <c r="M8841" s="14"/>
      <c r="N8841" s="14"/>
      <c r="O8841" s="14"/>
      <c r="P8841" s="13"/>
    </row>
    <row r="8842">
      <c r="L8842" s="13"/>
      <c r="M8842" s="14"/>
      <c r="N8842" s="14"/>
      <c r="O8842" s="14"/>
      <c r="P8842" s="13"/>
    </row>
    <row r="8843">
      <c r="L8843" s="13"/>
      <c r="M8843" s="14"/>
      <c r="N8843" s="14"/>
      <c r="O8843" s="14"/>
      <c r="P8843" s="13"/>
    </row>
    <row r="8844">
      <c r="L8844" s="13"/>
      <c r="M8844" s="14"/>
      <c r="N8844" s="14"/>
      <c r="O8844" s="14"/>
      <c r="P8844" s="13"/>
    </row>
    <row r="8845">
      <c r="L8845" s="13"/>
      <c r="M8845" s="14"/>
      <c r="N8845" s="14"/>
      <c r="O8845" s="14"/>
      <c r="P8845" s="13"/>
    </row>
    <row r="8846">
      <c r="L8846" s="13"/>
      <c r="M8846" s="14"/>
      <c r="N8846" s="14"/>
      <c r="O8846" s="14"/>
      <c r="P8846" s="13"/>
    </row>
    <row r="8847">
      <c r="L8847" s="13"/>
      <c r="M8847" s="14"/>
      <c r="N8847" s="14"/>
      <c r="O8847" s="14"/>
      <c r="P8847" s="13"/>
    </row>
    <row r="8848">
      <c r="L8848" s="13"/>
      <c r="M8848" s="14"/>
      <c r="N8848" s="14"/>
      <c r="O8848" s="14"/>
      <c r="P8848" s="13"/>
    </row>
    <row r="8849">
      <c r="L8849" s="13"/>
      <c r="M8849" s="14"/>
      <c r="N8849" s="14"/>
      <c r="O8849" s="14"/>
      <c r="P8849" s="13"/>
    </row>
    <row r="8850">
      <c r="L8850" s="13"/>
      <c r="M8850" s="14"/>
      <c r="N8850" s="14"/>
      <c r="O8850" s="14"/>
      <c r="P8850" s="13"/>
    </row>
    <row r="8851">
      <c r="L8851" s="13"/>
      <c r="M8851" s="14"/>
      <c r="N8851" s="14"/>
      <c r="O8851" s="14"/>
      <c r="P8851" s="13"/>
    </row>
    <row r="8852">
      <c r="L8852" s="13"/>
      <c r="M8852" s="14"/>
      <c r="N8852" s="14"/>
      <c r="O8852" s="14"/>
      <c r="P8852" s="13"/>
    </row>
    <row r="8853">
      <c r="L8853" s="13"/>
      <c r="M8853" s="14"/>
      <c r="N8853" s="14"/>
      <c r="O8853" s="14"/>
      <c r="P8853" s="13"/>
    </row>
    <row r="8854">
      <c r="L8854" s="13"/>
      <c r="M8854" s="14"/>
      <c r="N8854" s="14"/>
      <c r="O8854" s="14"/>
      <c r="P8854" s="13"/>
    </row>
    <row r="8855">
      <c r="L8855" s="13"/>
      <c r="M8855" s="14"/>
      <c r="N8855" s="14"/>
      <c r="O8855" s="14"/>
      <c r="P8855" s="13"/>
    </row>
    <row r="8856">
      <c r="L8856" s="13"/>
      <c r="M8856" s="14"/>
      <c r="N8856" s="14"/>
      <c r="O8856" s="14"/>
      <c r="P8856" s="13"/>
    </row>
    <row r="8857">
      <c r="L8857" s="13"/>
      <c r="M8857" s="14"/>
      <c r="N8857" s="14"/>
      <c r="O8857" s="14"/>
      <c r="P8857" s="13"/>
    </row>
    <row r="8858">
      <c r="L8858" s="13"/>
      <c r="M8858" s="14"/>
      <c r="N8858" s="14"/>
      <c r="O8858" s="14"/>
      <c r="P8858" s="13"/>
    </row>
    <row r="8859">
      <c r="L8859" s="13"/>
      <c r="M8859" s="14"/>
      <c r="N8859" s="14"/>
      <c r="O8859" s="14"/>
      <c r="P8859" s="13"/>
    </row>
    <row r="8860">
      <c r="L8860" s="13"/>
      <c r="M8860" s="14"/>
      <c r="N8860" s="14"/>
      <c r="O8860" s="14"/>
      <c r="P8860" s="13"/>
    </row>
    <row r="8861">
      <c r="L8861" s="13"/>
      <c r="M8861" s="14"/>
      <c r="N8861" s="14"/>
      <c r="O8861" s="14"/>
      <c r="P8861" s="13"/>
    </row>
    <row r="8862">
      <c r="L8862" s="13"/>
      <c r="M8862" s="14"/>
      <c r="N8862" s="14"/>
      <c r="O8862" s="14"/>
      <c r="P8862" s="13"/>
    </row>
    <row r="8863">
      <c r="L8863" s="13"/>
      <c r="M8863" s="14"/>
      <c r="N8863" s="14"/>
      <c r="O8863" s="14"/>
      <c r="P8863" s="13"/>
    </row>
    <row r="8864">
      <c r="L8864" s="13"/>
      <c r="M8864" s="14"/>
      <c r="N8864" s="14"/>
      <c r="O8864" s="14"/>
      <c r="P8864" s="13"/>
    </row>
    <row r="8865">
      <c r="L8865" s="13"/>
      <c r="M8865" s="14"/>
      <c r="N8865" s="14"/>
      <c r="O8865" s="14"/>
      <c r="P8865" s="13"/>
    </row>
    <row r="8866">
      <c r="L8866" s="13"/>
      <c r="M8866" s="14"/>
      <c r="N8866" s="14"/>
      <c r="O8866" s="14"/>
      <c r="P8866" s="13"/>
    </row>
    <row r="8867">
      <c r="L8867" s="13"/>
      <c r="M8867" s="14"/>
      <c r="N8867" s="14"/>
      <c r="O8867" s="14"/>
      <c r="P8867" s="13"/>
    </row>
    <row r="8868">
      <c r="L8868" s="13"/>
      <c r="M8868" s="14"/>
      <c r="N8868" s="14"/>
      <c r="O8868" s="14"/>
      <c r="P8868" s="13"/>
    </row>
    <row r="8869">
      <c r="L8869" s="13"/>
      <c r="M8869" s="14"/>
      <c r="N8869" s="14"/>
      <c r="O8869" s="14"/>
      <c r="P8869" s="13"/>
    </row>
    <row r="8870">
      <c r="L8870" s="13"/>
      <c r="M8870" s="14"/>
      <c r="N8870" s="14"/>
      <c r="O8870" s="14"/>
      <c r="P8870" s="13"/>
    </row>
    <row r="8871">
      <c r="L8871" s="13"/>
      <c r="M8871" s="14"/>
      <c r="N8871" s="14"/>
      <c r="O8871" s="14"/>
      <c r="P8871" s="13"/>
    </row>
    <row r="8872">
      <c r="L8872" s="13"/>
      <c r="M8872" s="14"/>
      <c r="N8872" s="14"/>
      <c r="O8872" s="14"/>
      <c r="P8872" s="13"/>
    </row>
    <row r="8873">
      <c r="L8873" s="13"/>
      <c r="M8873" s="14"/>
      <c r="N8873" s="14"/>
      <c r="O8873" s="14"/>
      <c r="P8873" s="13"/>
    </row>
    <row r="8874">
      <c r="L8874" s="13"/>
      <c r="M8874" s="14"/>
      <c r="N8874" s="14"/>
      <c r="O8874" s="14"/>
      <c r="P8874" s="13"/>
    </row>
    <row r="8875">
      <c r="L8875" s="13"/>
      <c r="M8875" s="14"/>
      <c r="N8875" s="14"/>
      <c r="O8875" s="14"/>
      <c r="P8875" s="13"/>
    </row>
    <row r="8876">
      <c r="L8876" s="13"/>
      <c r="M8876" s="14"/>
      <c r="N8876" s="14"/>
      <c r="O8876" s="14"/>
      <c r="P8876" s="13"/>
    </row>
    <row r="8877">
      <c r="L8877" s="13"/>
      <c r="M8877" s="14"/>
      <c r="N8877" s="14"/>
      <c r="O8877" s="14"/>
      <c r="P8877" s="13"/>
    </row>
    <row r="8878">
      <c r="L8878" s="13"/>
      <c r="M8878" s="14"/>
      <c r="N8878" s="14"/>
      <c r="O8878" s="14"/>
      <c r="P8878" s="13"/>
    </row>
    <row r="8879">
      <c r="L8879" s="13"/>
      <c r="M8879" s="14"/>
      <c r="N8879" s="14"/>
      <c r="O8879" s="14"/>
      <c r="P8879" s="13"/>
    </row>
    <row r="8880">
      <c r="L8880" s="13"/>
      <c r="M8880" s="14"/>
      <c r="N8880" s="14"/>
      <c r="O8880" s="14"/>
      <c r="P8880" s="13"/>
    </row>
    <row r="8881">
      <c r="L8881" s="13"/>
      <c r="M8881" s="14"/>
      <c r="N8881" s="14"/>
      <c r="O8881" s="14"/>
      <c r="P8881" s="13"/>
    </row>
    <row r="8882">
      <c r="L8882" s="13"/>
      <c r="M8882" s="14"/>
      <c r="N8882" s="14"/>
      <c r="O8882" s="14"/>
      <c r="P8882" s="13"/>
    </row>
    <row r="8883">
      <c r="L8883" s="13"/>
      <c r="M8883" s="14"/>
      <c r="N8883" s="14"/>
      <c r="O8883" s="14"/>
      <c r="P8883" s="13"/>
    </row>
    <row r="8884">
      <c r="L8884" s="13"/>
      <c r="M8884" s="14"/>
      <c r="N8884" s="14"/>
      <c r="O8884" s="14"/>
      <c r="P8884" s="13"/>
    </row>
    <row r="8885">
      <c r="L8885" s="13"/>
      <c r="M8885" s="14"/>
      <c r="N8885" s="14"/>
      <c r="O8885" s="14"/>
      <c r="P8885" s="13"/>
    </row>
    <row r="8886">
      <c r="L8886" s="13"/>
      <c r="M8886" s="14"/>
      <c r="N8886" s="14"/>
      <c r="O8886" s="14"/>
      <c r="P8886" s="13"/>
    </row>
    <row r="8887">
      <c r="L8887" s="13"/>
      <c r="M8887" s="14"/>
      <c r="N8887" s="14"/>
      <c r="O8887" s="14"/>
      <c r="P8887" s="13"/>
    </row>
    <row r="8888">
      <c r="L8888" s="13"/>
      <c r="M8888" s="14"/>
      <c r="N8888" s="14"/>
      <c r="O8888" s="14"/>
      <c r="P8888" s="13"/>
    </row>
    <row r="8889">
      <c r="L8889" s="13"/>
      <c r="M8889" s="14"/>
      <c r="N8889" s="14"/>
      <c r="O8889" s="14"/>
      <c r="P8889" s="13"/>
    </row>
    <row r="8890">
      <c r="L8890" s="13"/>
      <c r="M8890" s="14"/>
      <c r="N8890" s="14"/>
      <c r="O8890" s="14"/>
      <c r="P8890" s="13"/>
    </row>
    <row r="8891">
      <c r="L8891" s="13"/>
      <c r="M8891" s="14"/>
      <c r="N8891" s="14"/>
      <c r="O8891" s="14"/>
      <c r="P8891" s="13"/>
    </row>
    <row r="8892">
      <c r="L8892" s="13"/>
      <c r="M8892" s="14"/>
      <c r="N8892" s="14"/>
      <c r="O8892" s="14"/>
      <c r="P8892" s="13"/>
    </row>
    <row r="8893">
      <c r="L8893" s="13"/>
      <c r="M8893" s="14"/>
      <c r="N8893" s="14"/>
      <c r="O8893" s="14"/>
      <c r="P8893" s="13"/>
    </row>
    <row r="8894">
      <c r="L8894" s="13"/>
      <c r="M8894" s="14"/>
      <c r="N8894" s="14"/>
      <c r="O8894" s="14"/>
      <c r="P8894" s="13"/>
    </row>
    <row r="8895">
      <c r="L8895" s="13"/>
      <c r="M8895" s="14"/>
      <c r="N8895" s="14"/>
      <c r="O8895" s="14"/>
      <c r="P8895" s="13"/>
    </row>
    <row r="8896">
      <c r="L8896" s="13"/>
      <c r="M8896" s="14"/>
      <c r="N8896" s="14"/>
      <c r="O8896" s="14"/>
      <c r="P8896" s="13"/>
    </row>
    <row r="8897">
      <c r="L8897" s="13"/>
      <c r="M8897" s="14"/>
      <c r="N8897" s="14"/>
      <c r="O8897" s="14"/>
      <c r="P8897" s="13"/>
    </row>
    <row r="8898">
      <c r="L8898" s="13"/>
      <c r="M8898" s="14"/>
      <c r="N8898" s="14"/>
      <c r="O8898" s="14"/>
      <c r="P8898" s="13"/>
    </row>
    <row r="8899">
      <c r="L8899" s="13"/>
      <c r="M8899" s="14"/>
      <c r="N8899" s="14"/>
      <c r="O8899" s="14"/>
      <c r="P8899" s="13"/>
    </row>
    <row r="8900">
      <c r="L8900" s="13"/>
      <c r="M8900" s="14"/>
      <c r="N8900" s="14"/>
      <c r="O8900" s="14"/>
      <c r="P8900" s="13"/>
    </row>
    <row r="8901">
      <c r="L8901" s="13"/>
      <c r="M8901" s="14"/>
      <c r="N8901" s="14"/>
      <c r="O8901" s="14"/>
      <c r="P8901" s="13"/>
    </row>
    <row r="8902">
      <c r="L8902" s="13"/>
      <c r="M8902" s="14"/>
      <c r="N8902" s="14"/>
      <c r="O8902" s="14"/>
      <c r="P8902" s="13"/>
    </row>
    <row r="8903">
      <c r="L8903" s="13"/>
      <c r="M8903" s="14"/>
      <c r="N8903" s="14"/>
      <c r="O8903" s="14"/>
      <c r="P8903" s="13"/>
    </row>
    <row r="8904">
      <c r="L8904" s="13"/>
      <c r="M8904" s="14"/>
      <c r="N8904" s="14"/>
      <c r="O8904" s="14"/>
      <c r="P8904" s="13"/>
    </row>
    <row r="8905">
      <c r="L8905" s="13"/>
      <c r="M8905" s="14"/>
      <c r="N8905" s="14"/>
      <c r="O8905" s="14"/>
      <c r="P8905" s="13"/>
    </row>
    <row r="8906">
      <c r="L8906" s="13"/>
      <c r="M8906" s="14"/>
      <c r="N8906" s="14"/>
      <c r="O8906" s="14"/>
      <c r="P8906" s="13"/>
    </row>
    <row r="8907">
      <c r="L8907" s="13"/>
      <c r="M8907" s="14"/>
      <c r="N8907" s="14"/>
      <c r="O8907" s="14"/>
      <c r="P8907" s="13"/>
    </row>
    <row r="8908">
      <c r="L8908" s="13"/>
      <c r="M8908" s="14"/>
      <c r="N8908" s="14"/>
      <c r="O8908" s="14"/>
      <c r="P8908" s="13"/>
    </row>
    <row r="8909">
      <c r="L8909" s="13"/>
      <c r="M8909" s="14"/>
      <c r="N8909" s="14"/>
      <c r="O8909" s="14"/>
      <c r="P8909" s="13"/>
    </row>
    <row r="8910">
      <c r="L8910" s="13"/>
      <c r="M8910" s="14"/>
      <c r="N8910" s="14"/>
      <c r="O8910" s="14"/>
      <c r="P8910" s="13"/>
    </row>
    <row r="8911">
      <c r="L8911" s="13"/>
      <c r="M8911" s="14"/>
      <c r="N8911" s="14"/>
      <c r="O8911" s="14"/>
      <c r="P8911" s="13"/>
    </row>
    <row r="8912">
      <c r="L8912" s="13"/>
      <c r="M8912" s="14"/>
      <c r="N8912" s="14"/>
      <c r="O8912" s="14"/>
      <c r="P8912" s="13"/>
    </row>
    <row r="8913">
      <c r="L8913" s="13"/>
      <c r="M8913" s="14"/>
      <c r="N8913" s="14"/>
      <c r="O8913" s="14"/>
      <c r="P8913" s="13"/>
    </row>
    <row r="8914">
      <c r="L8914" s="13"/>
      <c r="M8914" s="14"/>
      <c r="N8914" s="14"/>
      <c r="O8914" s="14"/>
      <c r="P8914" s="13"/>
    </row>
    <row r="8915">
      <c r="L8915" s="13"/>
      <c r="M8915" s="14"/>
      <c r="N8915" s="14"/>
      <c r="O8915" s="14"/>
      <c r="P8915" s="13"/>
    </row>
    <row r="8916">
      <c r="L8916" s="13"/>
      <c r="M8916" s="14"/>
      <c r="N8916" s="14"/>
      <c r="O8916" s="14"/>
      <c r="P8916" s="13"/>
    </row>
    <row r="8917">
      <c r="L8917" s="13"/>
      <c r="M8917" s="14"/>
      <c r="N8917" s="14"/>
      <c r="O8917" s="14"/>
      <c r="P8917" s="13"/>
    </row>
    <row r="8918">
      <c r="L8918" s="13"/>
      <c r="M8918" s="14"/>
      <c r="N8918" s="14"/>
      <c r="O8918" s="14"/>
      <c r="P8918" s="13"/>
    </row>
    <row r="8919">
      <c r="L8919" s="13"/>
      <c r="M8919" s="14"/>
      <c r="N8919" s="14"/>
      <c r="O8919" s="14"/>
      <c r="P8919" s="13"/>
    </row>
    <row r="8920">
      <c r="L8920" s="13"/>
      <c r="M8920" s="14"/>
      <c r="N8920" s="14"/>
      <c r="O8920" s="14"/>
      <c r="P8920" s="13"/>
    </row>
    <row r="8921">
      <c r="L8921" s="13"/>
      <c r="M8921" s="14"/>
      <c r="N8921" s="14"/>
      <c r="O8921" s="14"/>
      <c r="P8921" s="13"/>
    </row>
    <row r="8922">
      <c r="L8922" s="13"/>
      <c r="M8922" s="14"/>
      <c r="N8922" s="14"/>
      <c r="O8922" s="14"/>
      <c r="P8922" s="13"/>
    </row>
    <row r="8923">
      <c r="L8923" s="13"/>
      <c r="M8923" s="14"/>
      <c r="N8923" s="14"/>
      <c r="O8923" s="14"/>
      <c r="P8923" s="13"/>
    </row>
    <row r="8924">
      <c r="L8924" s="13"/>
      <c r="M8924" s="14"/>
      <c r="N8924" s="14"/>
      <c r="O8924" s="14"/>
      <c r="P8924" s="13"/>
    </row>
    <row r="8925">
      <c r="L8925" s="13"/>
      <c r="M8925" s="14"/>
      <c r="N8925" s="14"/>
      <c r="O8925" s="14"/>
      <c r="P8925" s="13"/>
    </row>
    <row r="8926">
      <c r="L8926" s="13"/>
      <c r="M8926" s="14"/>
      <c r="N8926" s="14"/>
      <c r="O8926" s="14"/>
      <c r="P8926" s="13"/>
    </row>
    <row r="8927">
      <c r="L8927" s="13"/>
      <c r="M8927" s="14"/>
      <c r="N8927" s="14"/>
      <c r="O8927" s="14"/>
      <c r="P8927" s="13"/>
    </row>
    <row r="8928">
      <c r="L8928" s="13"/>
      <c r="M8928" s="14"/>
      <c r="N8928" s="14"/>
      <c r="O8928" s="14"/>
      <c r="P8928" s="13"/>
    </row>
    <row r="8929">
      <c r="L8929" s="13"/>
      <c r="M8929" s="14"/>
      <c r="N8929" s="14"/>
      <c r="O8929" s="14"/>
      <c r="P8929" s="13"/>
    </row>
    <row r="8930">
      <c r="L8930" s="13"/>
      <c r="M8930" s="14"/>
      <c r="N8930" s="14"/>
      <c r="O8930" s="14"/>
      <c r="P8930" s="13"/>
    </row>
    <row r="8931">
      <c r="L8931" s="13"/>
      <c r="M8931" s="14"/>
      <c r="N8931" s="14"/>
      <c r="O8931" s="14"/>
      <c r="P8931" s="13"/>
    </row>
    <row r="8932">
      <c r="L8932" s="13"/>
      <c r="M8932" s="14"/>
      <c r="N8932" s="14"/>
      <c r="O8932" s="14"/>
      <c r="P8932" s="13"/>
    </row>
    <row r="8933">
      <c r="L8933" s="13"/>
      <c r="M8933" s="14"/>
      <c r="N8933" s="14"/>
      <c r="O8933" s="14"/>
      <c r="P8933" s="13"/>
    </row>
    <row r="8934">
      <c r="L8934" s="13"/>
      <c r="M8934" s="14"/>
      <c r="N8934" s="14"/>
      <c r="O8934" s="14"/>
      <c r="P8934" s="13"/>
    </row>
    <row r="8935">
      <c r="L8935" s="13"/>
      <c r="M8935" s="14"/>
      <c r="N8935" s="14"/>
      <c r="O8935" s="14"/>
      <c r="P8935" s="13"/>
    </row>
    <row r="8936">
      <c r="L8936" s="13"/>
      <c r="M8936" s="14"/>
      <c r="N8936" s="14"/>
      <c r="O8936" s="14"/>
      <c r="P8936" s="13"/>
    </row>
    <row r="8937">
      <c r="L8937" s="13"/>
      <c r="M8937" s="14"/>
      <c r="N8937" s="14"/>
      <c r="O8937" s="14"/>
      <c r="P8937" s="13"/>
    </row>
    <row r="8938">
      <c r="L8938" s="13"/>
      <c r="M8938" s="14"/>
      <c r="N8938" s="14"/>
      <c r="O8938" s="14"/>
      <c r="P8938" s="13"/>
    </row>
    <row r="8939">
      <c r="L8939" s="13"/>
      <c r="M8939" s="14"/>
      <c r="N8939" s="14"/>
      <c r="O8939" s="14"/>
      <c r="P8939" s="13"/>
    </row>
    <row r="8940">
      <c r="L8940" s="13"/>
      <c r="M8940" s="14"/>
      <c r="N8940" s="14"/>
      <c r="O8940" s="14"/>
      <c r="P8940" s="13"/>
    </row>
    <row r="8941">
      <c r="L8941" s="13"/>
      <c r="M8941" s="14"/>
      <c r="N8941" s="14"/>
      <c r="O8941" s="14"/>
      <c r="P8941" s="13"/>
    </row>
    <row r="8942">
      <c r="L8942" s="13"/>
      <c r="M8942" s="14"/>
      <c r="N8942" s="14"/>
      <c r="O8942" s="14"/>
      <c r="P8942" s="13"/>
    </row>
    <row r="8943">
      <c r="L8943" s="13"/>
      <c r="M8943" s="14"/>
      <c r="N8943" s="14"/>
      <c r="O8943" s="14"/>
      <c r="P8943" s="13"/>
    </row>
    <row r="8944">
      <c r="L8944" s="13"/>
      <c r="M8944" s="14"/>
      <c r="N8944" s="14"/>
      <c r="O8944" s="14"/>
      <c r="P8944" s="13"/>
    </row>
    <row r="8945">
      <c r="L8945" s="13"/>
      <c r="M8945" s="14"/>
      <c r="N8945" s="14"/>
      <c r="O8945" s="14"/>
      <c r="P8945" s="13"/>
    </row>
    <row r="8946">
      <c r="L8946" s="13"/>
      <c r="M8946" s="14"/>
      <c r="N8946" s="14"/>
      <c r="O8946" s="14"/>
      <c r="P8946" s="13"/>
    </row>
    <row r="8947">
      <c r="L8947" s="13"/>
      <c r="M8947" s="14"/>
      <c r="N8947" s="14"/>
      <c r="O8947" s="14"/>
      <c r="P8947" s="13"/>
    </row>
    <row r="8948">
      <c r="L8948" s="13"/>
      <c r="M8948" s="14"/>
      <c r="N8948" s="14"/>
      <c r="O8948" s="14"/>
      <c r="P8948" s="13"/>
    </row>
    <row r="8949">
      <c r="L8949" s="13"/>
      <c r="M8949" s="14"/>
      <c r="N8949" s="14"/>
      <c r="O8949" s="14"/>
      <c r="P8949" s="13"/>
    </row>
    <row r="8950">
      <c r="L8950" s="13"/>
      <c r="M8950" s="14"/>
      <c r="N8950" s="14"/>
      <c r="O8950" s="14"/>
      <c r="P8950" s="13"/>
    </row>
    <row r="8951">
      <c r="L8951" s="13"/>
      <c r="M8951" s="14"/>
      <c r="N8951" s="14"/>
      <c r="O8951" s="14"/>
      <c r="P8951" s="13"/>
    </row>
    <row r="8952">
      <c r="L8952" s="13"/>
      <c r="M8952" s="14"/>
      <c r="N8952" s="14"/>
      <c r="O8952" s="14"/>
      <c r="P8952" s="13"/>
    </row>
    <row r="8953">
      <c r="L8953" s="13"/>
      <c r="M8953" s="14"/>
      <c r="N8953" s="14"/>
      <c r="O8953" s="14"/>
      <c r="P8953" s="13"/>
    </row>
    <row r="8954">
      <c r="L8954" s="13"/>
      <c r="M8954" s="14"/>
      <c r="N8954" s="14"/>
      <c r="O8954" s="14"/>
      <c r="P8954" s="13"/>
    </row>
    <row r="8955">
      <c r="L8955" s="13"/>
      <c r="M8955" s="14"/>
      <c r="N8955" s="14"/>
      <c r="O8955" s="14"/>
      <c r="P8955" s="13"/>
    </row>
    <row r="8956">
      <c r="L8956" s="13"/>
      <c r="M8956" s="14"/>
      <c r="N8956" s="14"/>
      <c r="O8956" s="14"/>
      <c r="P8956" s="13"/>
    </row>
    <row r="8957">
      <c r="L8957" s="13"/>
      <c r="M8957" s="14"/>
      <c r="N8957" s="14"/>
      <c r="O8957" s="14"/>
      <c r="P8957" s="13"/>
    </row>
    <row r="8958">
      <c r="L8958" s="13"/>
      <c r="M8958" s="14"/>
      <c r="N8958" s="14"/>
      <c r="O8958" s="14"/>
      <c r="P8958" s="13"/>
    </row>
    <row r="8959">
      <c r="L8959" s="13"/>
      <c r="M8959" s="14"/>
      <c r="N8959" s="14"/>
      <c r="O8959" s="14"/>
      <c r="P8959" s="13"/>
    </row>
    <row r="8960">
      <c r="L8960" s="13"/>
      <c r="M8960" s="14"/>
      <c r="N8960" s="14"/>
      <c r="O8960" s="14"/>
      <c r="P8960" s="13"/>
    </row>
    <row r="8961">
      <c r="L8961" s="13"/>
      <c r="M8961" s="14"/>
      <c r="N8961" s="14"/>
      <c r="O8961" s="14"/>
      <c r="P8961" s="13"/>
    </row>
    <row r="8962">
      <c r="L8962" s="13"/>
      <c r="M8962" s="14"/>
      <c r="N8962" s="14"/>
      <c r="O8962" s="14"/>
      <c r="P8962" s="13"/>
    </row>
    <row r="8963">
      <c r="L8963" s="13"/>
      <c r="M8963" s="14"/>
      <c r="N8963" s="14"/>
      <c r="O8963" s="14"/>
      <c r="P8963" s="13"/>
    </row>
    <row r="8964">
      <c r="L8964" s="13"/>
      <c r="M8964" s="14"/>
      <c r="N8964" s="14"/>
      <c r="O8964" s="14"/>
      <c r="P8964" s="13"/>
    </row>
    <row r="8965">
      <c r="L8965" s="13"/>
      <c r="M8965" s="14"/>
      <c r="N8965" s="14"/>
      <c r="O8965" s="14"/>
      <c r="P8965" s="13"/>
    </row>
    <row r="8966">
      <c r="L8966" s="13"/>
      <c r="M8966" s="14"/>
      <c r="N8966" s="14"/>
      <c r="O8966" s="14"/>
      <c r="P8966" s="13"/>
    </row>
    <row r="8967">
      <c r="L8967" s="13"/>
      <c r="M8967" s="14"/>
      <c r="N8967" s="14"/>
      <c r="O8967" s="14"/>
      <c r="P8967" s="13"/>
    </row>
    <row r="8968">
      <c r="L8968" s="13"/>
      <c r="M8968" s="14"/>
      <c r="N8968" s="14"/>
      <c r="O8968" s="14"/>
      <c r="P8968" s="13"/>
    </row>
    <row r="8969">
      <c r="L8969" s="13"/>
      <c r="M8969" s="14"/>
      <c r="N8969" s="14"/>
      <c r="O8969" s="14"/>
      <c r="P8969" s="13"/>
    </row>
    <row r="8970">
      <c r="L8970" s="13"/>
      <c r="M8970" s="14"/>
      <c r="N8970" s="14"/>
      <c r="O8970" s="14"/>
      <c r="P8970" s="13"/>
    </row>
    <row r="8971">
      <c r="L8971" s="13"/>
      <c r="M8971" s="14"/>
      <c r="N8971" s="14"/>
      <c r="O8971" s="14"/>
      <c r="P8971" s="13"/>
    </row>
    <row r="8972">
      <c r="L8972" s="13"/>
      <c r="M8972" s="14"/>
      <c r="N8972" s="14"/>
      <c r="O8972" s="14"/>
      <c r="P8972" s="13"/>
    </row>
    <row r="8973">
      <c r="L8973" s="13"/>
      <c r="M8973" s="14"/>
      <c r="N8973" s="14"/>
      <c r="O8973" s="14"/>
      <c r="P8973" s="13"/>
    </row>
    <row r="8974">
      <c r="L8974" s="13"/>
      <c r="M8974" s="14"/>
      <c r="N8974" s="14"/>
      <c r="O8974" s="14"/>
      <c r="P8974" s="13"/>
    </row>
    <row r="8975">
      <c r="L8975" s="13"/>
      <c r="M8975" s="14"/>
      <c r="N8975" s="14"/>
      <c r="O8975" s="14"/>
      <c r="P8975" s="13"/>
    </row>
    <row r="8976">
      <c r="L8976" s="13"/>
      <c r="M8976" s="14"/>
      <c r="N8976" s="14"/>
      <c r="O8976" s="14"/>
      <c r="P8976" s="13"/>
    </row>
    <row r="8977">
      <c r="L8977" s="13"/>
      <c r="M8977" s="14"/>
      <c r="N8977" s="14"/>
      <c r="O8977" s="14"/>
      <c r="P8977" s="13"/>
    </row>
    <row r="8978">
      <c r="L8978" s="13"/>
      <c r="M8978" s="14"/>
      <c r="N8978" s="14"/>
      <c r="O8978" s="14"/>
      <c r="P8978" s="13"/>
    </row>
    <row r="8979">
      <c r="L8979" s="13"/>
      <c r="M8979" s="14"/>
      <c r="N8979" s="14"/>
      <c r="O8979" s="14"/>
      <c r="P8979" s="13"/>
    </row>
    <row r="8980">
      <c r="L8980" s="13"/>
      <c r="M8980" s="14"/>
      <c r="N8980" s="14"/>
      <c r="O8980" s="14"/>
      <c r="P8980" s="13"/>
    </row>
    <row r="8981">
      <c r="L8981" s="13"/>
      <c r="M8981" s="14"/>
      <c r="N8981" s="14"/>
      <c r="O8981" s="14"/>
      <c r="P8981" s="13"/>
    </row>
    <row r="8982">
      <c r="L8982" s="13"/>
      <c r="M8982" s="14"/>
      <c r="N8982" s="14"/>
      <c r="O8982" s="14"/>
      <c r="P8982" s="13"/>
    </row>
    <row r="8983">
      <c r="L8983" s="13"/>
      <c r="M8983" s="14"/>
      <c r="N8983" s="14"/>
      <c r="O8983" s="14"/>
      <c r="P8983" s="13"/>
    </row>
    <row r="8984">
      <c r="L8984" s="13"/>
      <c r="M8984" s="14"/>
      <c r="N8984" s="14"/>
      <c r="O8984" s="14"/>
      <c r="P8984" s="13"/>
    </row>
    <row r="8985">
      <c r="L8985" s="13"/>
      <c r="M8985" s="14"/>
      <c r="N8985" s="14"/>
      <c r="O8985" s="14"/>
      <c r="P8985" s="13"/>
    </row>
    <row r="8986">
      <c r="L8986" s="13"/>
      <c r="M8986" s="14"/>
      <c r="N8986" s="14"/>
      <c r="O8986" s="14"/>
      <c r="P8986" s="13"/>
    </row>
    <row r="8987">
      <c r="L8987" s="13"/>
      <c r="M8987" s="14"/>
      <c r="N8987" s="14"/>
      <c r="O8987" s="14"/>
      <c r="P8987" s="13"/>
    </row>
    <row r="8988">
      <c r="L8988" s="13"/>
      <c r="M8988" s="14"/>
      <c r="N8988" s="14"/>
      <c r="O8988" s="14"/>
      <c r="P8988" s="13"/>
    </row>
    <row r="8989">
      <c r="L8989" s="13"/>
      <c r="M8989" s="14"/>
      <c r="N8989" s="14"/>
      <c r="O8989" s="14"/>
      <c r="P8989" s="13"/>
    </row>
    <row r="8990">
      <c r="L8990" s="13"/>
      <c r="M8990" s="14"/>
      <c r="N8990" s="14"/>
      <c r="O8990" s="14"/>
      <c r="P8990" s="13"/>
    </row>
    <row r="8991">
      <c r="L8991" s="13"/>
      <c r="M8991" s="14"/>
      <c r="N8991" s="14"/>
      <c r="O8991" s="14"/>
      <c r="P8991" s="13"/>
    </row>
    <row r="8992">
      <c r="L8992" s="13"/>
      <c r="M8992" s="14"/>
      <c r="N8992" s="14"/>
      <c r="O8992" s="14"/>
      <c r="P8992" s="13"/>
    </row>
    <row r="8993">
      <c r="L8993" s="13"/>
      <c r="M8993" s="14"/>
      <c r="N8993" s="14"/>
      <c r="O8993" s="14"/>
      <c r="P8993" s="13"/>
    </row>
    <row r="8994">
      <c r="L8994" s="13"/>
      <c r="M8994" s="14"/>
      <c r="N8994" s="14"/>
      <c r="O8994" s="14"/>
      <c r="P8994" s="13"/>
    </row>
    <row r="8995">
      <c r="L8995" s="13"/>
      <c r="M8995" s="14"/>
      <c r="N8995" s="14"/>
      <c r="O8995" s="14"/>
      <c r="P8995" s="13"/>
    </row>
    <row r="8996">
      <c r="L8996" s="13"/>
      <c r="M8996" s="14"/>
      <c r="N8996" s="14"/>
      <c r="O8996" s="14"/>
      <c r="P8996" s="13"/>
    </row>
    <row r="8997">
      <c r="L8997" s="13"/>
      <c r="M8997" s="14"/>
      <c r="N8997" s="14"/>
      <c r="O8997" s="14"/>
      <c r="P8997" s="13"/>
    </row>
    <row r="8998">
      <c r="L8998" s="13"/>
      <c r="M8998" s="14"/>
      <c r="N8998" s="14"/>
      <c r="O8998" s="14"/>
      <c r="P8998" s="13"/>
    </row>
    <row r="8999">
      <c r="L8999" s="13"/>
      <c r="M8999" s="14"/>
      <c r="N8999" s="14"/>
      <c r="O8999" s="14"/>
      <c r="P8999" s="13"/>
    </row>
    <row r="9000">
      <c r="L9000" s="13"/>
      <c r="M9000" s="14"/>
      <c r="N9000" s="14"/>
      <c r="O9000" s="14"/>
      <c r="P9000" s="13"/>
    </row>
    <row r="9001">
      <c r="L9001" s="13"/>
      <c r="M9001" s="14"/>
      <c r="N9001" s="14"/>
      <c r="O9001" s="14"/>
      <c r="P9001" s="13"/>
    </row>
    <row r="9002">
      <c r="L9002" s="13"/>
      <c r="M9002" s="14"/>
      <c r="N9002" s="14"/>
      <c r="O9002" s="14"/>
      <c r="P9002" s="13"/>
    </row>
    <row r="9003">
      <c r="L9003" s="13"/>
      <c r="M9003" s="14"/>
      <c r="N9003" s="14"/>
      <c r="O9003" s="14"/>
      <c r="P9003" s="13"/>
    </row>
    <row r="9004">
      <c r="L9004" s="13"/>
      <c r="M9004" s="14"/>
      <c r="N9004" s="14"/>
      <c r="O9004" s="14"/>
      <c r="P9004" s="13"/>
    </row>
    <row r="9005">
      <c r="L9005" s="13"/>
      <c r="M9005" s="14"/>
      <c r="N9005" s="14"/>
      <c r="O9005" s="14"/>
      <c r="P9005" s="13"/>
    </row>
    <row r="9006">
      <c r="L9006" s="13"/>
      <c r="M9006" s="14"/>
      <c r="N9006" s="14"/>
      <c r="O9006" s="14"/>
      <c r="P9006" s="13"/>
    </row>
    <row r="9007">
      <c r="L9007" s="13"/>
      <c r="M9007" s="14"/>
      <c r="N9007" s="14"/>
      <c r="O9007" s="14"/>
      <c r="P9007" s="13"/>
    </row>
    <row r="9008">
      <c r="L9008" s="13"/>
      <c r="M9008" s="14"/>
      <c r="N9008" s="14"/>
      <c r="O9008" s="14"/>
      <c r="P9008" s="13"/>
    </row>
    <row r="9009">
      <c r="L9009" s="13"/>
      <c r="M9009" s="14"/>
      <c r="N9009" s="14"/>
      <c r="O9009" s="14"/>
      <c r="P9009" s="13"/>
    </row>
    <row r="9010">
      <c r="L9010" s="13"/>
      <c r="M9010" s="14"/>
      <c r="N9010" s="14"/>
      <c r="O9010" s="14"/>
      <c r="P9010" s="13"/>
    </row>
    <row r="9011">
      <c r="L9011" s="13"/>
      <c r="M9011" s="14"/>
      <c r="N9011" s="14"/>
      <c r="O9011" s="14"/>
      <c r="P9011" s="13"/>
    </row>
    <row r="9012">
      <c r="L9012" s="13"/>
      <c r="M9012" s="14"/>
      <c r="N9012" s="14"/>
      <c r="O9012" s="14"/>
      <c r="P9012" s="13"/>
    </row>
    <row r="9013">
      <c r="L9013" s="13"/>
      <c r="M9013" s="14"/>
      <c r="N9013" s="14"/>
      <c r="O9013" s="14"/>
      <c r="P9013" s="13"/>
    </row>
    <row r="9014">
      <c r="L9014" s="13"/>
      <c r="M9014" s="14"/>
      <c r="N9014" s="14"/>
      <c r="O9014" s="14"/>
      <c r="P9014" s="13"/>
    </row>
    <row r="9015">
      <c r="L9015" s="13"/>
      <c r="M9015" s="14"/>
      <c r="N9015" s="14"/>
      <c r="O9015" s="14"/>
      <c r="P9015" s="13"/>
    </row>
    <row r="9016">
      <c r="L9016" s="13"/>
      <c r="M9016" s="14"/>
      <c r="N9016" s="14"/>
      <c r="O9016" s="14"/>
      <c r="P9016" s="13"/>
    </row>
    <row r="9017">
      <c r="L9017" s="13"/>
      <c r="M9017" s="14"/>
      <c r="N9017" s="14"/>
      <c r="O9017" s="14"/>
      <c r="P9017" s="13"/>
    </row>
    <row r="9018">
      <c r="L9018" s="13"/>
      <c r="M9018" s="14"/>
      <c r="N9018" s="14"/>
      <c r="O9018" s="14"/>
      <c r="P9018" s="13"/>
    </row>
    <row r="9019">
      <c r="L9019" s="13"/>
      <c r="M9019" s="14"/>
      <c r="N9019" s="14"/>
      <c r="O9019" s="14"/>
      <c r="P9019" s="13"/>
    </row>
    <row r="9020">
      <c r="L9020" s="13"/>
      <c r="M9020" s="14"/>
      <c r="N9020" s="14"/>
      <c r="O9020" s="14"/>
      <c r="P9020" s="13"/>
    </row>
    <row r="9021">
      <c r="L9021" s="13"/>
      <c r="M9021" s="14"/>
      <c r="N9021" s="14"/>
      <c r="O9021" s="14"/>
      <c r="P9021" s="13"/>
    </row>
    <row r="9022">
      <c r="L9022" s="13"/>
      <c r="M9022" s="14"/>
      <c r="N9022" s="14"/>
      <c r="O9022" s="14"/>
      <c r="P9022" s="13"/>
    </row>
    <row r="9023">
      <c r="L9023" s="13"/>
      <c r="M9023" s="14"/>
      <c r="N9023" s="14"/>
      <c r="O9023" s="14"/>
      <c r="P9023" s="13"/>
    </row>
    <row r="9024">
      <c r="L9024" s="13"/>
      <c r="M9024" s="14"/>
      <c r="N9024" s="14"/>
      <c r="O9024" s="14"/>
      <c r="P9024" s="13"/>
    </row>
    <row r="9025">
      <c r="L9025" s="13"/>
      <c r="M9025" s="14"/>
      <c r="N9025" s="14"/>
      <c r="O9025" s="14"/>
      <c r="P9025" s="13"/>
    </row>
    <row r="9026">
      <c r="L9026" s="13"/>
      <c r="M9026" s="14"/>
      <c r="N9026" s="14"/>
      <c r="O9026" s="14"/>
      <c r="P9026" s="13"/>
    </row>
    <row r="9027">
      <c r="L9027" s="13"/>
      <c r="M9027" s="14"/>
      <c r="N9027" s="14"/>
      <c r="O9027" s="14"/>
      <c r="P9027" s="13"/>
    </row>
    <row r="9028">
      <c r="L9028" s="13"/>
      <c r="M9028" s="14"/>
      <c r="N9028" s="14"/>
      <c r="O9028" s="14"/>
      <c r="P9028" s="13"/>
    </row>
    <row r="9029">
      <c r="L9029" s="13"/>
      <c r="M9029" s="14"/>
      <c r="N9029" s="14"/>
      <c r="O9029" s="14"/>
      <c r="P9029" s="13"/>
    </row>
    <row r="9030">
      <c r="L9030" s="13"/>
      <c r="M9030" s="14"/>
      <c r="N9030" s="14"/>
      <c r="O9030" s="14"/>
      <c r="P9030" s="13"/>
    </row>
    <row r="9031">
      <c r="L9031" s="13"/>
      <c r="M9031" s="14"/>
      <c r="N9031" s="14"/>
      <c r="O9031" s="14"/>
      <c r="P9031" s="13"/>
    </row>
    <row r="9032">
      <c r="L9032" s="13"/>
      <c r="M9032" s="14"/>
      <c r="N9032" s="14"/>
      <c r="O9032" s="14"/>
      <c r="P9032" s="13"/>
    </row>
    <row r="9033">
      <c r="L9033" s="13"/>
      <c r="M9033" s="14"/>
      <c r="N9033" s="14"/>
      <c r="O9033" s="14"/>
      <c r="P9033" s="13"/>
    </row>
    <row r="9034">
      <c r="L9034" s="13"/>
      <c r="M9034" s="14"/>
      <c r="N9034" s="14"/>
      <c r="O9034" s="14"/>
      <c r="P9034" s="13"/>
    </row>
    <row r="9035">
      <c r="L9035" s="13"/>
      <c r="M9035" s="14"/>
      <c r="N9035" s="14"/>
      <c r="O9035" s="14"/>
      <c r="P9035" s="13"/>
    </row>
    <row r="9036">
      <c r="L9036" s="13"/>
      <c r="M9036" s="14"/>
      <c r="N9036" s="14"/>
      <c r="O9036" s="14"/>
      <c r="P9036" s="13"/>
    </row>
    <row r="9037">
      <c r="L9037" s="13"/>
      <c r="M9037" s="14"/>
      <c r="N9037" s="14"/>
      <c r="O9037" s="14"/>
      <c r="P9037" s="13"/>
    </row>
    <row r="9038">
      <c r="L9038" s="13"/>
      <c r="M9038" s="14"/>
      <c r="N9038" s="14"/>
      <c r="O9038" s="14"/>
      <c r="P9038" s="13"/>
    </row>
    <row r="9039">
      <c r="L9039" s="13"/>
      <c r="M9039" s="14"/>
      <c r="N9039" s="14"/>
      <c r="O9039" s="14"/>
      <c r="P9039" s="13"/>
    </row>
    <row r="9040">
      <c r="L9040" s="13"/>
      <c r="M9040" s="14"/>
      <c r="N9040" s="14"/>
      <c r="O9040" s="14"/>
      <c r="P9040" s="13"/>
    </row>
    <row r="9041">
      <c r="L9041" s="13"/>
      <c r="M9041" s="14"/>
      <c r="N9041" s="14"/>
      <c r="O9041" s="14"/>
      <c r="P9041" s="13"/>
    </row>
    <row r="9042">
      <c r="L9042" s="13"/>
      <c r="M9042" s="14"/>
      <c r="N9042" s="14"/>
      <c r="O9042" s="14"/>
      <c r="P9042" s="13"/>
    </row>
    <row r="9043">
      <c r="L9043" s="13"/>
      <c r="M9043" s="14"/>
      <c r="N9043" s="14"/>
      <c r="O9043" s="14"/>
      <c r="P9043" s="13"/>
    </row>
    <row r="9044">
      <c r="L9044" s="13"/>
      <c r="M9044" s="14"/>
      <c r="N9044" s="14"/>
      <c r="O9044" s="14"/>
      <c r="P9044" s="13"/>
    </row>
    <row r="9045">
      <c r="L9045" s="13"/>
      <c r="M9045" s="14"/>
      <c r="N9045" s="14"/>
      <c r="O9045" s="14"/>
      <c r="P9045" s="13"/>
    </row>
    <row r="9046">
      <c r="L9046" s="13"/>
      <c r="M9046" s="14"/>
      <c r="N9046" s="14"/>
      <c r="O9046" s="14"/>
      <c r="P9046" s="13"/>
    </row>
    <row r="9047">
      <c r="L9047" s="13"/>
      <c r="M9047" s="14"/>
      <c r="N9047" s="14"/>
      <c r="O9047" s="14"/>
      <c r="P9047" s="13"/>
    </row>
    <row r="9048">
      <c r="L9048" s="13"/>
      <c r="M9048" s="14"/>
      <c r="N9048" s="14"/>
      <c r="O9048" s="14"/>
      <c r="P9048" s="13"/>
    </row>
    <row r="9049">
      <c r="L9049" s="13"/>
      <c r="M9049" s="14"/>
      <c r="N9049" s="14"/>
      <c r="O9049" s="14"/>
      <c r="P9049" s="13"/>
    </row>
    <row r="9050">
      <c r="L9050" s="13"/>
      <c r="M9050" s="14"/>
      <c r="N9050" s="14"/>
      <c r="O9050" s="14"/>
      <c r="P9050" s="13"/>
    </row>
    <row r="9051">
      <c r="L9051" s="13"/>
      <c r="M9051" s="14"/>
      <c r="N9051" s="14"/>
      <c r="O9051" s="14"/>
      <c r="P9051" s="13"/>
    </row>
    <row r="9052">
      <c r="L9052" s="13"/>
      <c r="M9052" s="14"/>
      <c r="N9052" s="14"/>
      <c r="O9052" s="14"/>
      <c r="P9052" s="13"/>
    </row>
    <row r="9053">
      <c r="L9053" s="13"/>
      <c r="M9053" s="14"/>
      <c r="N9053" s="14"/>
      <c r="O9053" s="14"/>
      <c r="P9053" s="13"/>
    </row>
    <row r="9054">
      <c r="L9054" s="13"/>
      <c r="M9054" s="14"/>
      <c r="N9054" s="14"/>
      <c r="O9054" s="14"/>
      <c r="P9054" s="13"/>
    </row>
    <row r="9055">
      <c r="L9055" s="13"/>
      <c r="M9055" s="14"/>
      <c r="N9055" s="14"/>
      <c r="O9055" s="14"/>
      <c r="P9055" s="13"/>
    </row>
    <row r="9056">
      <c r="L9056" s="13"/>
      <c r="M9056" s="14"/>
      <c r="N9056" s="14"/>
      <c r="O9056" s="14"/>
      <c r="P9056" s="13"/>
    </row>
    <row r="9057">
      <c r="L9057" s="13"/>
      <c r="M9057" s="14"/>
      <c r="N9057" s="14"/>
      <c r="O9057" s="14"/>
      <c r="P9057" s="13"/>
    </row>
    <row r="9058">
      <c r="L9058" s="13"/>
      <c r="M9058" s="14"/>
      <c r="N9058" s="14"/>
      <c r="O9058" s="14"/>
      <c r="P9058" s="13"/>
    </row>
    <row r="9059">
      <c r="L9059" s="13"/>
      <c r="M9059" s="14"/>
      <c r="N9059" s="14"/>
      <c r="O9059" s="14"/>
      <c r="P9059" s="13"/>
    </row>
    <row r="9060">
      <c r="L9060" s="13"/>
      <c r="M9060" s="14"/>
      <c r="N9060" s="14"/>
      <c r="O9060" s="14"/>
      <c r="P9060" s="13"/>
    </row>
    <row r="9061">
      <c r="L9061" s="13"/>
      <c r="M9061" s="14"/>
      <c r="N9061" s="14"/>
      <c r="O9061" s="14"/>
      <c r="P9061" s="13"/>
    </row>
    <row r="9062">
      <c r="L9062" s="13"/>
      <c r="M9062" s="14"/>
      <c r="N9062" s="14"/>
      <c r="O9062" s="14"/>
      <c r="P9062" s="13"/>
    </row>
    <row r="9063">
      <c r="L9063" s="13"/>
      <c r="M9063" s="14"/>
      <c r="N9063" s="14"/>
      <c r="O9063" s="14"/>
      <c r="P9063" s="13"/>
    </row>
    <row r="9064">
      <c r="L9064" s="13"/>
      <c r="M9064" s="14"/>
      <c r="N9064" s="14"/>
      <c r="O9064" s="14"/>
      <c r="P9064" s="13"/>
    </row>
    <row r="9065">
      <c r="L9065" s="13"/>
      <c r="M9065" s="14"/>
      <c r="N9065" s="14"/>
      <c r="O9065" s="14"/>
      <c r="P9065" s="13"/>
    </row>
    <row r="9066">
      <c r="L9066" s="13"/>
      <c r="M9066" s="14"/>
      <c r="N9066" s="14"/>
      <c r="O9066" s="14"/>
      <c r="P9066" s="13"/>
    </row>
    <row r="9067">
      <c r="L9067" s="13"/>
      <c r="M9067" s="14"/>
      <c r="N9067" s="14"/>
      <c r="O9067" s="14"/>
      <c r="P9067" s="13"/>
    </row>
    <row r="9068">
      <c r="L9068" s="13"/>
      <c r="M9068" s="14"/>
      <c r="N9068" s="14"/>
      <c r="O9068" s="14"/>
      <c r="P9068" s="13"/>
    </row>
    <row r="9069">
      <c r="L9069" s="13"/>
      <c r="M9069" s="14"/>
      <c r="N9069" s="14"/>
      <c r="O9069" s="14"/>
      <c r="P9069" s="13"/>
    </row>
    <row r="9070">
      <c r="L9070" s="13"/>
      <c r="M9070" s="14"/>
      <c r="N9070" s="14"/>
      <c r="O9070" s="14"/>
      <c r="P9070" s="13"/>
    </row>
    <row r="9071">
      <c r="L9071" s="13"/>
      <c r="M9071" s="14"/>
      <c r="N9071" s="14"/>
      <c r="O9071" s="14"/>
      <c r="P9071" s="13"/>
    </row>
    <row r="9072">
      <c r="L9072" s="13"/>
      <c r="M9072" s="14"/>
      <c r="N9072" s="14"/>
      <c r="O9072" s="14"/>
      <c r="P9072" s="13"/>
    </row>
    <row r="9073">
      <c r="L9073" s="13"/>
      <c r="M9073" s="14"/>
      <c r="N9073" s="14"/>
      <c r="O9073" s="14"/>
      <c r="P9073" s="13"/>
    </row>
    <row r="9074">
      <c r="L9074" s="13"/>
      <c r="M9074" s="14"/>
      <c r="N9074" s="14"/>
      <c r="O9074" s="14"/>
      <c r="P9074" s="13"/>
    </row>
    <row r="9075">
      <c r="L9075" s="13"/>
      <c r="M9075" s="14"/>
      <c r="N9075" s="14"/>
      <c r="O9075" s="14"/>
      <c r="P9075" s="13"/>
    </row>
    <row r="9076">
      <c r="L9076" s="13"/>
      <c r="M9076" s="14"/>
      <c r="N9076" s="14"/>
      <c r="O9076" s="14"/>
      <c r="P9076" s="13"/>
    </row>
    <row r="9077">
      <c r="L9077" s="13"/>
      <c r="M9077" s="14"/>
      <c r="N9077" s="14"/>
      <c r="O9077" s="14"/>
      <c r="P9077" s="13"/>
    </row>
    <row r="9078">
      <c r="L9078" s="13"/>
      <c r="M9078" s="14"/>
      <c r="N9078" s="14"/>
      <c r="O9078" s="14"/>
      <c r="P9078" s="13"/>
    </row>
    <row r="9079">
      <c r="L9079" s="13"/>
      <c r="M9079" s="14"/>
      <c r="N9079" s="14"/>
      <c r="O9079" s="14"/>
      <c r="P9079" s="13"/>
    </row>
    <row r="9080">
      <c r="L9080" s="13"/>
      <c r="M9080" s="14"/>
      <c r="N9080" s="14"/>
      <c r="O9080" s="14"/>
      <c r="P9080" s="13"/>
    </row>
    <row r="9081">
      <c r="L9081" s="13"/>
      <c r="M9081" s="14"/>
      <c r="N9081" s="14"/>
      <c r="O9081" s="14"/>
      <c r="P9081" s="13"/>
    </row>
    <row r="9082">
      <c r="L9082" s="13"/>
      <c r="M9082" s="14"/>
      <c r="N9082" s="14"/>
      <c r="O9082" s="14"/>
      <c r="P9082" s="13"/>
    </row>
    <row r="9083">
      <c r="L9083" s="13"/>
      <c r="M9083" s="14"/>
      <c r="N9083" s="14"/>
      <c r="O9083" s="14"/>
      <c r="P9083" s="13"/>
    </row>
    <row r="9084">
      <c r="L9084" s="13"/>
      <c r="M9084" s="14"/>
      <c r="N9084" s="14"/>
      <c r="O9084" s="14"/>
      <c r="P9084" s="13"/>
    </row>
    <row r="9085">
      <c r="L9085" s="13"/>
      <c r="M9085" s="14"/>
      <c r="N9085" s="14"/>
      <c r="O9085" s="14"/>
      <c r="P9085" s="13"/>
    </row>
    <row r="9086">
      <c r="L9086" s="13"/>
      <c r="M9086" s="14"/>
      <c r="N9086" s="14"/>
      <c r="O9086" s="14"/>
      <c r="P9086" s="13"/>
    </row>
    <row r="9087">
      <c r="L9087" s="13"/>
      <c r="M9087" s="14"/>
      <c r="N9087" s="14"/>
      <c r="O9087" s="14"/>
      <c r="P9087" s="13"/>
    </row>
    <row r="9088">
      <c r="L9088" s="13"/>
      <c r="M9088" s="14"/>
      <c r="N9088" s="14"/>
      <c r="O9088" s="14"/>
      <c r="P9088" s="13"/>
    </row>
    <row r="9089">
      <c r="L9089" s="13"/>
      <c r="M9089" s="14"/>
      <c r="N9089" s="14"/>
      <c r="O9089" s="14"/>
      <c r="P9089" s="13"/>
    </row>
    <row r="9090">
      <c r="L9090" s="13"/>
      <c r="M9090" s="14"/>
      <c r="N9090" s="14"/>
      <c r="O9090" s="14"/>
      <c r="P9090" s="13"/>
    </row>
    <row r="9091">
      <c r="L9091" s="13"/>
      <c r="M9091" s="14"/>
      <c r="N9091" s="14"/>
      <c r="O9091" s="14"/>
      <c r="P9091" s="13"/>
    </row>
    <row r="9092">
      <c r="L9092" s="13"/>
      <c r="M9092" s="14"/>
      <c r="N9092" s="14"/>
      <c r="O9092" s="14"/>
      <c r="P9092" s="13"/>
    </row>
    <row r="9093">
      <c r="L9093" s="13"/>
      <c r="M9093" s="14"/>
      <c r="N9093" s="14"/>
      <c r="O9093" s="14"/>
      <c r="P9093" s="13"/>
    </row>
    <row r="9094">
      <c r="L9094" s="13"/>
      <c r="M9094" s="14"/>
      <c r="N9094" s="14"/>
      <c r="O9094" s="14"/>
      <c r="P9094" s="13"/>
    </row>
    <row r="9095">
      <c r="L9095" s="13"/>
      <c r="M9095" s="14"/>
      <c r="N9095" s="14"/>
      <c r="O9095" s="14"/>
      <c r="P9095" s="13"/>
    </row>
    <row r="9096">
      <c r="L9096" s="13"/>
      <c r="M9096" s="14"/>
      <c r="N9096" s="14"/>
      <c r="O9096" s="14"/>
      <c r="P9096" s="13"/>
    </row>
    <row r="9097">
      <c r="L9097" s="13"/>
      <c r="M9097" s="14"/>
      <c r="N9097" s="14"/>
      <c r="O9097" s="14"/>
      <c r="P9097" s="13"/>
    </row>
    <row r="9098">
      <c r="L9098" s="13"/>
      <c r="M9098" s="14"/>
      <c r="N9098" s="14"/>
      <c r="O9098" s="14"/>
      <c r="P9098" s="13"/>
    </row>
    <row r="9099">
      <c r="L9099" s="13"/>
      <c r="M9099" s="14"/>
      <c r="N9099" s="14"/>
      <c r="O9099" s="14"/>
      <c r="P9099" s="13"/>
    </row>
    <row r="9100">
      <c r="L9100" s="13"/>
      <c r="M9100" s="14"/>
      <c r="N9100" s="14"/>
      <c r="O9100" s="14"/>
      <c r="P9100" s="13"/>
    </row>
    <row r="9101">
      <c r="L9101" s="13"/>
      <c r="M9101" s="14"/>
      <c r="N9101" s="14"/>
      <c r="O9101" s="14"/>
      <c r="P9101" s="13"/>
    </row>
    <row r="9102">
      <c r="L9102" s="13"/>
      <c r="M9102" s="14"/>
      <c r="N9102" s="14"/>
      <c r="O9102" s="14"/>
      <c r="P9102" s="13"/>
    </row>
    <row r="9103">
      <c r="L9103" s="13"/>
      <c r="M9103" s="14"/>
      <c r="N9103" s="14"/>
      <c r="O9103" s="14"/>
      <c r="P9103" s="13"/>
    </row>
    <row r="9104">
      <c r="L9104" s="13"/>
      <c r="M9104" s="14"/>
      <c r="N9104" s="14"/>
      <c r="O9104" s="14"/>
      <c r="P9104" s="13"/>
    </row>
    <row r="9105">
      <c r="L9105" s="13"/>
      <c r="M9105" s="14"/>
      <c r="N9105" s="14"/>
      <c r="O9105" s="14"/>
      <c r="P9105" s="13"/>
    </row>
    <row r="9106">
      <c r="L9106" s="13"/>
      <c r="M9106" s="14"/>
      <c r="N9106" s="14"/>
      <c r="O9106" s="14"/>
      <c r="P9106" s="13"/>
    </row>
    <row r="9107">
      <c r="L9107" s="13"/>
      <c r="M9107" s="14"/>
      <c r="N9107" s="14"/>
      <c r="O9107" s="14"/>
      <c r="P9107" s="13"/>
    </row>
    <row r="9108">
      <c r="L9108" s="13"/>
      <c r="M9108" s="14"/>
      <c r="N9108" s="14"/>
      <c r="O9108" s="14"/>
      <c r="P9108" s="13"/>
    </row>
    <row r="9109">
      <c r="L9109" s="13"/>
      <c r="M9109" s="14"/>
      <c r="N9109" s="14"/>
      <c r="O9109" s="14"/>
      <c r="P9109" s="13"/>
    </row>
    <row r="9110">
      <c r="L9110" s="13"/>
      <c r="M9110" s="14"/>
      <c r="N9110" s="14"/>
      <c r="O9110" s="14"/>
      <c r="P9110" s="13"/>
    </row>
    <row r="9111">
      <c r="L9111" s="13"/>
      <c r="M9111" s="14"/>
      <c r="N9111" s="14"/>
      <c r="O9111" s="14"/>
      <c r="P9111" s="13"/>
    </row>
    <row r="9112">
      <c r="L9112" s="13"/>
      <c r="M9112" s="14"/>
      <c r="N9112" s="14"/>
      <c r="O9112" s="14"/>
      <c r="P9112" s="13"/>
    </row>
    <row r="9113">
      <c r="L9113" s="13"/>
      <c r="M9113" s="14"/>
      <c r="N9113" s="14"/>
      <c r="O9113" s="14"/>
      <c r="P9113" s="13"/>
    </row>
    <row r="9114">
      <c r="L9114" s="13"/>
      <c r="M9114" s="14"/>
      <c r="N9114" s="14"/>
      <c r="O9114" s="14"/>
      <c r="P9114" s="13"/>
    </row>
    <row r="9115">
      <c r="L9115" s="13"/>
      <c r="M9115" s="14"/>
      <c r="N9115" s="14"/>
      <c r="O9115" s="14"/>
      <c r="P9115" s="13"/>
    </row>
    <row r="9116">
      <c r="L9116" s="13"/>
      <c r="M9116" s="14"/>
      <c r="N9116" s="14"/>
      <c r="O9116" s="14"/>
      <c r="P9116" s="13"/>
    </row>
    <row r="9117">
      <c r="L9117" s="13"/>
      <c r="M9117" s="14"/>
      <c r="N9117" s="14"/>
      <c r="O9117" s="14"/>
      <c r="P9117" s="13"/>
    </row>
    <row r="9118">
      <c r="L9118" s="13"/>
      <c r="M9118" s="14"/>
      <c r="N9118" s="14"/>
      <c r="O9118" s="14"/>
      <c r="P9118" s="13"/>
    </row>
    <row r="9119">
      <c r="L9119" s="13"/>
      <c r="M9119" s="14"/>
      <c r="N9119" s="14"/>
      <c r="O9119" s="14"/>
      <c r="P9119" s="13"/>
    </row>
    <row r="9120">
      <c r="L9120" s="13"/>
      <c r="M9120" s="14"/>
      <c r="N9120" s="14"/>
      <c r="O9120" s="14"/>
      <c r="P9120" s="13"/>
    </row>
    <row r="9121">
      <c r="L9121" s="13"/>
      <c r="M9121" s="14"/>
      <c r="N9121" s="14"/>
      <c r="O9121" s="14"/>
      <c r="P9121" s="13"/>
    </row>
    <row r="9122">
      <c r="L9122" s="13"/>
      <c r="M9122" s="14"/>
      <c r="N9122" s="14"/>
      <c r="O9122" s="14"/>
      <c r="P9122" s="13"/>
    </row>
    <row r="9123">
      <c r="L9123" s="13"/>
      <c r="M9123" s="14"/>
      <c r="N9123" s="14"/>
      <c r="O9123" s="14"/>
      <c r="P9123" s="13"/>
    </row>
    <row r="9124">
      <c r="L9124" s="13"/>
      <c r="M9124" s="14"/>
      <c r="N9124" s="14"/>
      <c r="O9124" s="14"/>
      <c r="P9124" s="13"/>
    </row>
    <row r="9125">
      <c r="L9125" s="13"/>
      <c r="M9125" s="14"/>
      <c r="N9125" s="14"/>
      <c r="O9125" s="14"/>
      <c r="P9125" s="13"/>
    </row>
    <row r="9126">
      <c r="L9126" s="13"/>
      <c r="M9126" s="14"/>
      <c r="N9126" s="14"/>
      <c r="O9126" s="14"/>
      <c r="P9126" s="13"/>
    </row>
    <row r="9127">
      <c r="L9127" s="13"/>
      <c r="M9127" s="14"/>
      <c r="N9127" s="14"/>
      <c r="O9127" s="14"/>
      <c r="P9127" s="13"/>
    </row>
    <row r="9128">
      <c r="L9128" s="13"/>
      <c r="M9128" s="14"/>
      <c r="N9128" s="14"/>
      <c r="O9128" s="14"/>
      <c r="P9128" s="13"/>
    </row>
    <row r="9129">
      <c r="L9129" s="13"/>
      <c r="M9129" s="14"/>
      <c r="N9129" s="14"/>
      <c r="O9129" s="14"/>
      <c r="P9129" s="13"/>
    </row>
    <row r="9130">
      <c r="L9130" s="13"/>
      <c r="M9130" s="14"/>
      <c r="N9130" s="14"/>
      <c r="O9130" s="14"/>
      <c r="P9130" s="13"/>
    </row>
    <row r="9131">
      <c r="L9131" s="13"/>
      <c r="M9131" s="14"/>
      <c r="N9131" s="14"/>
      <c r="O9131" s="14"/>
      <c r="P9131" s="13"/>
    </row>
    <row r="9132">
      <c r="L9132" s="13"/>
      <c r="M9132" s="14"/>
      <c r="N9132" s="14"/>
      <c r="O9132" s="14"/>
      <c r="P9132" s="13"/>
    </row>
    <row r="9133">
      <c r="L9133" s="13"/>
      <c r="M9133" s="14"/>
      <c r="N9133" s="14"/>
      <c r="O9133" s="14"/>
      <c r="P9133" s="13"/>
    </row>
    <row r="9134">
      <c r="L9134" s="13"/>
      <c r="M9134" s="14"/>
      <c r="N9134" s="14"/>
      <c r="O9134" s="14"/>
      <c r="P9134" s="13"/>
    </row>
    <row r="9135">
      <c r="L9135" s="13"/>
      <c r="M9135" s="14"/>
      <c r="N9135" s="14"/>
      <c r="O9135" s="14"/>
      <c r="P9135" s="13"/>
    </row>
    <row r="9136">
      <c r="L9136" s="13"/>
      <c r="M9136" s="14"/>
      <c r="N9136" s="14"/>
      <c r="O9136" s="14"/>
      <c r="P9136" s="13"/>
    </row>
    <row r="9137">
      <c r="L9137" s="13"/>
      <c r="M9137" s="14"/>
      <c r="N9137" s="14"/>
      <c r="O9137" s="14"/>
      <c r="P9137" s="13"/>
    </row>
    <row r="9138">
      <c r="L9138" s="13"/>
      <c r="M9138" s="14"/>
      <c r="N9138" s="14"/>
      <c r="O9138" s="14"/>
      <c r="P9138" s="13"/>
    </row>
    <row r="9139">
      <c r="L9139" s="13"/>
      <c r="M9139" s="14"/>
      <c r="N9139" s="14"/>
      <c r="O9139" s="14"/>
      <c r="P9139" s="13"/>
    </row>
    <row r="9140">
      <c r="L9140" s="13"/>
      <c r="M9140" s="14"/>
      <c r="N9140" s="14"/>
      <c r="O9140" s="14"/>
      <c r="P9140" s="13"/>
    </row>
    <row r="9141">
      <c r="L9141" s="13"/>
      <c r="M9141" s="14"/>
      <c r="N9141" s="14"/>
      <c r="O9141" s="14"/>
      <c r="P9141" s="13"/>
    </row>
    <row r="9142">
      <c r="L9142" s="13"/>
      <c r="M9142" s="14"/>
      <c r="N9142" s="14"/>
      <c r="O9142" s="14"/>
      <c r="P9142" s="13"/>
    </row>
    <row r="9143">
      <c r="L9143" s="13"/>
      <c r="M9143" s="14"/>
      <c r="N9143" s="14"/>
      <c r="O9143" s="14"/>
      <c r="P9143" s="13"/>
    </row>
    <row r="9144">
      <c r="L9144" s="13"/>
      <c r="M9144" s="14"/>
      <c r="N9144" s="14"/>
      <c r="O9144" s="14"/>
      <c r="P9144" s="13"/>
    </row>
    <row r="9145">
      <c r="L9145" s="13"/>
      <c r="M9145" s="14"/>
      <c r="N9145" s="14"/>
      <c r="O9145" s="14"/>
      <c r="P9145" s="13"/>
    </row>
    <row r="9146">
      <c r="L9146" s="13"/>
      <c r="M9146" s="14"/>
      <c r="N9146" s="14"/>
      <c r="O9146" s="14"/>
      <c r="P9146" s="13"/>
    </row>
    <row r="9147">
      <c r="L9147" s="13"/>
      <c r="M9147" s="14"/>
      <c r="N9147" s="14"/>
      <c r="O9147" s="14"/>
      <c r="P9147" s="13"/>
    </row>
    <row r="9148">
      <c r="L9148" s="13"/>
      <c r="M9148" s="14"/>
      <c r="N9148" s="14"/>
      <c r="O9148" s="14"/>
      <c r="P9148" s="13"/>
    </row>
    <row r="9149">
      <c r="L9149" s="13"/>
      <c r="M9149" s="14"/>
      <c r="N9149" s="14"/>
      <c r="O9149" s="14"/>
      <c r="P9149" s="13"/>
    </row>
    <row r="9150">
      <c r="L9150" s="13"/>
      <c r="M9150" s="14"/>
      <c r="N9150" s="14"/>
      <c r="O9150" s="14"/>
      <c r="P9150" s="13"/>
    </row>
    <row r="9151">
      <c r="L9151" s="13"/>
      <c r="M9151" s="14"/>
      <c r="N9151" s="14"/>
      <c r="O9151" s="14"/>
      <c r="P9151" s="13"/>
    </row>
    <row r="9152">
      <c r="L9152" s="13"/>
      <c r="M9152" s="14"/>
      <c r="N9152" s="14"/>
      <c r="O9152" s="14"/>
      <c r="P9152" s="13"/>
    </row>
    <row r="9153">
      <c r="L9153" s="13"/>
      <c r="M9153" s="14"/>
      <c r="N9153" s="14"/>
      <c r="O9153" s="14"/>
      <c r="P9153" s="13"/>
    </row>
    <row r="9154">
      <c r="L9154" s="13"/>
      <c r="M9154" s="14"/>
      <c r="N9154" s="14"/>
      <c r="O9154" s="14"/>
      <c r="P9154" s="13"/>
    </row>
    <row r="9155">
      <c r="L9155" s="13"/>
      <c r="M9155" s="14"/>
      <c r="N9155" s="14"/>
      <c r="O9155" s="14"/>
      <c r="P9155" s="13"/>
    </row>
    <row r="9156">
      <c r="L9156" s="13"/>
      <c r="M9156" s="14"/>
      <c r="N9156" s="14"/>
      <c r="O9156" s="14"/>
      <c r="P9156" s="13"/>
    </row>
    <row r="9157">
      <c r="L9157" s="13"/>
      <c r="M9157" s="14"/>
      <c r="N9157" s="14"/>
      <c r="O9157" s="14"/>
      <c r="P9157" s="13"/>
    </row>
    <row r="9158">
      <c r="L9158" s="13"/>
      <c r="M9158" s="14"/>
      <c r="N9158" s="14"/>
      <c r="O9158" s="14"/>
      <c r="P9158" s="13"/>
    </row>
    <row r="9159">
      <c r="L9159" s="13"/>
      <c r="M9159" s="14"/>
      <c r="N9159" s="14"/>
      <c r="O9159" s="14"/>
      <c r="P9159" s="13"/>
    </row>
    <row r="9160">
      <c r="L9160" s="13"/>
      <c r="M9160" s="14"/>
      <c r="N9160" s="14"/>
      <c r="O9160" s="14"/>
      <c r="P9160" s="13"/>
    </row>
    <row r="9161">
      <c r="L9161" s="13"/>
      <c r="M9161" s="14"/>
      <c r="N9161" s="14"/>
      <c r="O9161" s="14"/>
      <c r="P9161" s="13"/>
    </row>
    <row r="9162">
      <c r="L9162" s="13"/>
      <c r="M9162" s="14"/>
      <c r="N9162" s="14"/>
      <c r="O9162" s="14"/>
      <c r="P9162" s="13"/>
    </row>
    <row r="9163">
      <c r="L9163" s="13"/>
      <c r="M9163" s="14"/>
      <c r="N9163" s="14"/>
      <c r="O9163" s="14"/>
      <c r="P9163" s="13"/>
    </row>
    <row r="9164">
      <c r="L9164" s="13"/>
      <c r="M9164" s="14"/>
      <c r="N9164" s="14"/>
      <c r="O9164" s="14"/>
      <c r="P9164" s="13"/>
    </row>
    <row r="9165">
      <c r="L9165" s="13"/>
      <c r="M9165" s="14"/>
      <c r="N9165" s="14"/>
      <c r="O9165" s="14"/>
      <c r="P9165" s="13"/>
    </row>
    <row r="9166">
      <c r="L9166" s="13"/>
      <c r="M9166" s="14"/>
      <c r="N9166" s="14"/>
      <c r="O9166" s="14"/>
      <c r="P9166" s="13"/>
    </row>
    <row r="9167">
      <c r="L9167" s="13"/>
      <c r="M9167" s="14"/>
      <c r="N9167" s="14"/>
      <c r="O9167" s="14"/>
      <c r="P9167" s="13"/>
    </row>
    <row r="9168">
      <c r="L9168" s="13"/>
      <c r="M9168" s="14"/>
      <c r="N9168" s="14"/>
      <c r="O9168" s="14"/>
      <c r="P9168" s="13"/>
    </row>
    <row r="9169">
      <c r="L9169" s="13"/>
      <c r="M9169" s="14"/>
      <c r="N9169" s="14"/>
      <c r="O9169" s="14"/>
      <c r="P9169" s="13"/>
    </row>
    <row r="9170">
      <c r="L9170" s="13"/>
      <c r="M9170" s="14"/>
      <c r="N9170" s="14"/>
      <c r="O9170" s="14"/>
      <c r="P9170" s="13"/>
    </row>
    <row r="9171">
      <c r="L9171" s="13"/>
      <c r="M9171" s="14"/>
      <c r="N9171" s="14"/>
      <c r="O9171" s="14"/>
      <c r="P9171" s="13"/>
    </row>
    <row r="9172">
      <c r="L9172" s="13"/>
      <c r="M9172" s="14"/>
      <c r="N9172" s="14"/>
      <c r="O9172" s="14"/>
      <c r="P9172" s="13"/>
    </row>
    <row r="9173">
      <c r="L9173" s="13"/>
      <c r="M9173" s="14"/>
      <c r="N9173" s="14"/>
      <c r="O9173" s="14"/>
      <c r="P9173" s="13"/>
    </row>
    <row r="9174">
      <c r="L9174" s="13"/>
      <c r="M9174" s="14"/>
      <c r="N9174" s="14"/>
      <c r="O9174" s="14"/>
      <c r="P9174" s="13"/>
    </row>
    <row r="9175">
      <c r="L9175" s="13"/>
      <c r="M9175" s="14"/>
      <c r="N9175" s="14"/>
      <c r="O9175" s="14"/>
      <c r="P9175" s="13"/>
    </row>
    <row r="9176">
      <c r="L9176" s="13"/>
      <c r="M9176" s="14"/>
      <c r="N9176" s="14"/>
      <c r="O9176" s="14"/>
      <c r="P9176" s="13"/>
    </row>
    <row r="9177">
      <c r="L9177" s="13"/>
      <c r="M9177" s="14"/>
      <c r="N9177" s="14"/>
      <c r="O9177" s="14"/>
      <c r="P9177" s="13"/>
    </row>
    <row r="9178">
      <c r="L9178" s="13"/>
      <c r="M9178" s="14"/>
      <c r="N9178" s="14"/>
      <c r="O9178" s="14"/>
      <c r="P9178" s="13"/>
    </row>
    <row r="9179">
      <c r="L9179" s="13"/>
      <c r="M9179" s="14"/>
      <c r="N9179" s="14"/>
      <c r="O9179" s="14"/>
      <c r="P9179" s="13"/>
    </row>
    <row r="9180">
      <c r="L9180" s="13"/>
      <c r="M9180" s="14"/>
      <c r="N9180" s="14"/>
      <c r="O9180" s="14"/>
      <c r="P9180" s="13"/>
    </row>
    <row r="9181">
      <c r="L9181" s="13"/>
      <c r="M9181" s="14"/>
      <c r="N9181" s="14"/>
      <c r="O9181" s="14"/>
      <c r="P9181" s="13"/>
    </row>
    <row r="9182">
      <c r="L9182" s="13"/>
      <c r="M9182" s="14"/>
      <c r="N9182" s="14"/>
      <c r="O9182" s="14"/>
      <c r="P9182" s="13"/>
    </row>
    <row r="9183">
      <c r="L9183" s="13"/>
      <c r="M9183" s="14"/>
      <c r="N9183" s="14"/>
      <c r="O9183" s="14"/>
      <c r="P9183" s="13"/>
    </row>
    <row r="9184">
      <c r="L9184" s="13"/>
      <c r="M9184" s="14"/>
      <c r="N9184" s="14"/>
      <c r="O9184" s="14"/>
      <c r="P9184" s="13"/>
    </row>
    <row r="9185">
      <c r="L9185" s="13"/>
      <c r="M9185" s="14"/>
      <c r="N9185" s="14"/>
      <c r="O9185" s="14"/>
      <c r="P9185" s="13"/>
    </row>
    <row r="9186">
      <c r="L9186" s="13"/>
      <c r="M9186" s="14"/>
      <c r="N9186" s="14"/>
      <c r="O9186" s="14"/>
      <c r="P9186" s="13"/>
    </row>
    <row r="9187">
      <c r="L9187" s="13"/>
      <c r="M9187" s="14"/>
      <c r="N9187" s="14"/>
      <c r="O9187" s="14"/>
      <c r="P9187" s="13"/>
    </row>
    <row r="9188">
      <c r="L9188" s="13"/>
      <c r="M9188" s="14"/>
      <c r="N9188" s="14"/>
      <c r="O9188" s="14"/>
      <c r="P9188" s="13"/>
    </row>
    <row r="9189">
      <c r="L9189" s="13"/>
      <c r="M9189" s="14"/>
      <c r="N9189" s="14"/>
      <c r="O9189" s="14"/>
      <c r="P9189" s="13"/>
    </row>
    <row r="9190">
      <c r="L9190" s="13"/>
      <c r="M9190" s="14"/>
      <c r="N9190" s="14"/>
      <c r="O9190" s="14"/>
      <c r="P9190" s="13"/>
    </row>
    <row r="9191">
      <c r="L9191" s="13"/>
      <c r="M9191" s="14"/>
      <c r="N9191" s="14"/>
      <c r="O9191" s="14"/>
      <c r="P9191" s="13"/>
    </row>
    <row r="9192">
      <c r="L9192" s="13"/>
      <c r="M9192" s="14"/>
      <c r="N9192" s="14"/>
      <c r="O9192" s="14"/>
      <c r="P9192" s="13"/>
    </row>
    <row r="9193">
      <c r="L9193" s="13"/>
      <c r="M9193" s="14"/>
      <c r="N9193" s="14"/>
      <c r="O9193" s="14"/>
      <c r="P9193" s="13"/>
    </row>
    <row r="9194">
      <c r="L9194" s="13"/>
      <c r="M9194" s="14"/>
      <c r="N9194" s="14"/>
      <c r="O9194" s="14"/>
      <c r="P9194" s="13"/>
    </row>
    <row r="9195">
      <c r="L9195" s="13"/>
      <c r="M9195" s="14"/>
      <c r="N9195" s="14"/>
      <c r="O9195" s="14"/>
      <c r="P9195" s="13"/>
    </row>
    <row r="9196">
      <c r="L9196" s="13"/>
      <c r="M9196" s="14"/>
      <c r="N9196" s="14"/>
      <c r="O9196" s="14"/>
      <c r="P9196" s="13"/>
    </row>
    <row r="9197">
      <c r="L9197" s="13"/>
      <c r="M9197" s="14"/>
      <c r="N9197" s="14"/>
      <c r="O9197" s="14"/>
      <c r="P9197" s="13"/>
    </row>
    <row r="9198">
      <c r="L9198" s="13"/>
      <c r="M9198" s="14"/>
      <c r="N9198" s="14"/>
      <c r="O9198" s="14"/>
      <c r="P9198" s="13"/>
    </row>
    <row r="9199">
      <c r="L9199" s="13"/>
      <c r="M9199" s="14"/>
      <c r="N9199" s="14"/>
      <c r="O9199" s="14"/>
      <c r="P9199" s="13"/>
    </row>
    <row r="9200">
      <c r="L9200" s="13"/>
      <c r="M9200" s="14"/>
      <c r="N9200" s="14"/>
      <c r="O9200" s="14"/>
      <c r="P9200" s="13"/>
    </row>
    <row r="9201">
      <c r="L9201" s="13"/>
      <c r="M9201" s="14"/>
      <c r="N9201" s="14"/>
      <c r="O9201" s="14"/>
      <c r="P9201" s="13"/>
    </row>
    <row r="9202">
      <c r="L9202" s="13"/>
      <c r="M9202" s="14"/>
      <c r="N9202" s="14"/>
      <c r="O9202" s="14"/>
      <c r="P9202" s="13"/>
    </row>
    <row r="9203">
      <c r="L9203" s="13"/>
      <c r="M9203" s="14"/>
      <c r="N9203" s="14"/>
      <c r="O9203" s="14"/>
      <c r="P9203" s="13"/>
    </row>
    <row r="9204">
      <c r="L9204" s="13"/>
      <c r="M9204" s="14"/>
      <c r="N9204" s="14"/>
      <c r="O9204" s="14"/>
      <c r="P9204" s="13"/>
    </row>
    <row r="9205">
      <c r="L9205" s="13"/>
      <c r="M9205" s="14"/>
      <c r="N9205" s="14"/>
      <c r="O9205" s="14"/>
      <c r="P9205" s="13"/>
    </row>
    <row r="9206">
      <c r="L9206" s="13"/>
      <c r="M9206" s="14"/>
      <c r="N9206" s="14"/>
      <c r="O9206" s="14"/>
      <c r="P9206" s="13"/>
    </row>
    <row r="9207">
      <c r="L9207" s="13"/>
      <c r="M9207" s="14"/>
      <c r="N9207" s="14"/>
      <c r="O9207" s="14"/>
      <c r="P9207" s="13"/>
    </row>
    <row r="9208">
      <c r="L9208" s="13"/>
      <c r="M9208" s="14"/>
      <c r="N9208" s="14"/>
      <c r="O9208" s="14"/>
      <c r="P9208" s="13"/>
    </row>
    <row r="9209">
      <c r="L9209" s="13"/>
      <c r="M9209" s="14"/>
      <c r="N9209" s="14"/>
      <c r="O9209" s="14"/>
      <c r="P9209" s="13"/>
    </row>
    <row r="9210">
      <c r="L9210" s="13"/>
      <c r="M9210" s="14"/>
      <c r="N9210" s="14"/>
      <c r="O9210" s="14"/>
      <c r="P9210" s="13"/>
    </row>
    <row r="9211">
      <c r="L9211" s="13"/>
      <c r="M9211" s="14"/>
      <c r="N9211" s="14"/>
      <c r="O9211" s="14"/>
      <c r="P9211" s="13"/>
    </row>
    <row r="9212">
      <c r="L9212" s="13"/>
      <c r="M9212" s="14"/>
      <c r="N9212" s="14"/>
      <c r="O9212" s="14"/>
      <c r="P9212" s="13"/>
    </row>
    <row r="9213">
      <c r="L9213" s="13"/>
      <c r="M9213" s="14"/>
      <c r="N9213" s="14"/>
      <c r="O9213" s="14"/>
      <c r="P9213" s="13"/>
    </row>
    <row r="9214">
      <c r="L9214" s="13"/>
      <c r="M9214" s="14"/>
      <c r="N9214" s="14"/>
      <c r="O9214" s="14"/>
      <c r="P9214" s="13"/>
    </row>
    <row r="9215">
      <c r="L9215" s="13"/>
      <c r="M9215" s="14"/>
      <c r="N9215" s="14"/>
      <c r="O9215" s="14"/>
      <c r="P9215" s="13"/>
    </row>
    <row r="9216">
      <c r="L9216" s="13"/>
      <c r="M9216" s="14"/>
      <c r="N9216" s="14"/>
      <c r="O9216" s="14"/>
      <c r="P9216" s="13"/>
    </row>
    <row r="9217">
      <c r="L9217" s="13"/>
      <c r="M9217" s="14"/>
      <c r="N9217" s="14"/>
      <c r="O9217" s="14"/>
      <c r="P9217" s="13"/>
    </row>
    <row r="9218">
      <c r="L9218" s="13"/>
      <c r="M9218" s="14"/>
      <c r="N9218" s="14"/>
      <c r="O9218" s="14"/>
      <c r="P9218" s="13"/>
    </row>
    <row r="9219">
      <c r="L9219" s="13"/>
      <c r="M9219" s="14"/>
      <c r="N9219" s="14"/>
      <c r="O9219" s="14"/>
      <c r="P9219" s="13"/>
    </row>
    <row r="9220">
      <c r="L9220" s="13"/>
      <c r="M9220" s="14"/>
      <c r="N9220" s="14"/>
      <c r="O9220" s="14"/>
      <c r="P9220" s="13"/>
    </row>
    <row r="9221">
      <c r="L9221" s="13"/>
      <c r="M9221" s="14"/>
      <c r="N9221" s="14"/>
      <c r="O9221" s="14"/>
      <c r="P9221" s="13"/>
    </row>
    <row r="9222">
      <c r="L9222" s="13"/>
      <c r="M9222" s="14"/>
      <c r="N9222" s="14"/>
      <c r="O9222" s="14"/>
      <c r="P9222" s="13"/>
    </row>
    <row r="9223">
      <c r="L9223" s="13"/>
      <c r="M9223" s="14"/>
      <c r="N9223" s="14"/>
      <c r="O9223" s="14"/>
      <c r="P9223" s="13"/>
    </row>
    <row r="9224">
      <c r="L9224" s="13"/>
      <c r="M9224" s="14"/>
      <c r="N9224" s="14"/>
      <c r="O9224" s="14"/>
      <c r="P9224" s="13"/>
    </row>
    <row r="9225">
      <c r="L9225" s="13"/>
      <c r="M9225" s="14"/>
      <c r="N9225" s="14"/>
      <c r="O9225" s="14"/>
      <c r="P9225" s="13"/>
    </row>
    <row r="9226">
      <c r="L9226" s="13"/>
      <c r="M9226" s="14"/>
      <c r="N9226" s="14"/>
      <c r="O9226" s="14"/>
      <c r="P9226" s="13"/>
    </row>
    <row r="9227">
      <c r="L9227" s="13"/>
      <c r="M9227" s="14"/>
      <c r="N9227" s="14"/>
      <c r="O9227" s="14"/>
      <c r="P9227" s="13"/>
    </row>
    <row r="9228">
      <c r="L9228" s="13"/>
      <c r="M9228" s="14"/>
      <c r="N9228" s="14"/>
      <c r="O9228" s="14"/>
      <c r="P9228" s="13"/>
    </row>
    <row r="9229">
      <c r="L9229" s="13"/>
      <c r="M9229" s="14"/>
      <c r="N9229" s="14"/>
      <c r="O9229" s="14"/>
      <c r="P9229" s="13"/>
    </row>
    <row r="9230">
      <c r="L9230" s="13"/>
      <c r="M9230" s="14"/>
      <c r="N9230" s="14"/>
      <c r="O9230" s="14"/>
      <c r="P9230" s="13"/>
    </row>
    <row r="9231">
      <c r="L9231" s="13"/>
      <c r="M9231" s="14"/>
      <c r="N9231" s="14"/>
      <c r="O9231" s="14"/>
      <c r="P9231" s="13"/>
    </row>
    <row r="9232">
      <c r="L9232" s="13"/>
      <c r="M9232" s="14"/>
      <c r="N9232" s="14"/>
      <c r="O9232" s="14"/>
      <c r="P9232" s="13"/>
    </row>
    <row r="9233">
      <c r="L9233" s="13"/>
      <c r="M9233" s="14"/>
      <c r="N9233" s="14"/>
      <c r="O9233" s="14"/>
      <c r="P9233" s="13"/>
    </row>
    <row r="9234">
      <c r="L9234" s="13"/>
      <c r="M9234" s="14"/>
      <c r="N9234" s="14"/>
      <c r="O9234" s="14"/>
      <c r="P9234" s="13"/>
    </row>
    <row r="9235">
      <c r="L9235" s="13"/>
      <c r="M9235" s="14"/>
      <c r="N9235" s="14"/>
      <c r="O9235" s="14"/>
      <c r="P9235" s="13"/>
    </row>
    <row r="9236">
      <c r="L9236" s="13"/>
      <c r="M9236" s="14"/>
      <c r="N9236" s="14"/>
      <c r="O9236" s="14"/>
      <c r="P9236" s="13"/>
    </row>
    <row r="9237">
      <c r="L9237" s="13"/>
      <c r="M9237" s="14"/>
      <c r="N9237" s="14"/>
      <c r="O9237" s="14"/>
      <c r="P9237" s="13"/>
    </row>
    <row r="9238">
      <c r="L9238" s="13"/>
      <c r="M9238" s="14"/>
      <c r="N9238" s="14"/>
      <c r="O9238" s="14"/>
      <c r="P9238" s="13"/>
    </row>
    <row r="9239">
      <c r="L9239" s="13"/>
      <c r="M9239" s="14"/>
      <c r="N9239" s="14"/>
      <c r="O9239" s="14"/>
      <c r="P9239" s="13"/>
    </row>
    <row r="9240">
      <c r="L9240" s="13"/>
      <c r="M9240" s="14"/>
      <c r="N9240" s="14"/>
      <c r="O9240" s="14"/>
      <c r="P9240" s="13"/>
    </row>
    <row r="9241">
      <c r="L9241" s="13"/>
      <c r="M9241" s="14"/>
      <c r="N9241" s="14"/>
      <c r="O9241" s="14"/>
      <c r="P9241" s="13"/>
    </row>
    <row r="9242">
      <c r="L9242" s="13"/>
      <c r="M9242" s="14"/>
      <c r="N9242" s="14"/>
      <c r="O9242" s="14"/>
      <c r="P9242" s="13"/>
    </row>
    <row r="9243">
      <c r="L9243" s="13"/>
      <c r="M9243" s="14"/>
      <c r="N9243" s="14"/>
      <c r="O9243" s="14"/>
      <c r="P9243" s="13"/>
    </row>
    <row r="9244">
      <c r="L9244" s="13"/>
      <c r="M9244" s="14"/>
      <c r="N9244" s="14"/>
      <c r="O9244" s="14"/>
      <c r="P9244" s="13"/>
    </row>
    <row r="9245">
      <c r="L9245" s="13"/>
      <c r="M9245" s="14"/>
      <c r="N9245" s="14"/>
      <c r="O9245" s="14"/>
      <c r="P9245" s="13"/>
    </row>
    <row r="9246">
      <c r="L9246" s="13"/>
      <c r="M9246" s="14"/>
      <c r="N9246" s="14"/>
      <c r="O9246" s="14"/>
      <c r="P9246" s="13"/>
    </row>
    <row r="9247">
      <c r="L9247" s="13"/>
      <c r="M9247" s="14"/>
      <c r="N9247" s="14"/>
      <c r="O9247" s="14"/>
      <c r="P9247" s="13"/>
    </row>
    <row r="9248">
      <c r="L9248" s="13"/>
      <c r="M9248" s="14"/>
      <c r="N9248" s="14"/>
      <c r="O9248" s="14"/>
      <c r="P9248" s="13"/>
    </row>
    <row r="9249">
      <c r="L9249" s="13"/>
      <c r="M9249" s="14"/>
      <c r="N9249" s="14"/>
      <c r="O9249" s="14"/>
      <c r="P9249" s="13"/>
    </row>
    <row r="9250">
      <c r="L9250" s="13"/>
      <c r="M9250" s="14"/>
      <c r="N9250" s="14"/>
      <c r="O9250" s="14"/>
      <c r="P9250" s="13"/>
    </row>
    <row r="9251">
      <c r="L9251" s="13"/>
      <c r="M9251" s="14"/>
      <c r="N9251" s="14"/>
      <c r="O9251" s="14"/>
      <c r="P9251" s="13"/>
    </row>
    <row r="9252">
      <c r="L9252" s="13"/>
      <c r="M9252" s="14"/>
      <c r="N9252" s="14"/>
      <c r="O9252" s="14"/>
      <c r="P9252" s="13"/>
    </row>
    <row r="9253">
      <c r="L9253" s="13"/>
      <c r="M9253" s="14"/>
      <c r="N9253" s="14"/>
      <c r="O9253" s="14"/>
      <c r="P9253" s="13"/>
    </row>
    <row r="9254">
      <c r="L9254" s="13"/>
      <c r="M9254" s="14"/>
      <c r="N9254" s="14"/>
      <c r="O9254" s="14"/>
      <c r="P9254" s="13"/>
    </row>
    <row r="9255">
      <c r="L9255" s="13"/>
      <c r="M9255" s="14"/>
      <c r="N9255" s="14"/>
      <c r="O9255" s="14"/>
      <c r="P9255" s="13"/>
    </row>
    <row r="9256">
      <c r="L9256" s="13"/>
      <c r="M9256" s="14"/>
      <c r="N9256" s="14"/>
      <c r="O9256" s="14"/>
      <c r="P9256" s="13"/>
    </row>
    <row r="9257">
      <c r="L9257" s="13"/>
      <c r="M9257" s="14"/>
      <c r="N9257" s="14"/>
      <c r="O9257" s="14"/>
      <c r="P9257" s="13"/>
    </row>
    <row r="9258">
      <c r="L9258" s="13"/>
      <c r="M9258" s="14"/>
      <c r="N9258" s="14"/>
      <c r="O9258" s="14"/>
      <c r="P9258" s="13"/>
    </row>
    <row r="9259">
      <c r="L9259" s="13"/>
      <c r="M9259" s="14"/>
      <c r="N9259" s="14"/>
      <c r="O9259" s="14"/>
      <c r="P9259" s="13"/>
    </row>
    <row r="9260">
      <c r="L9260" s="13"/>
      <c r="M9260" s="14"/>
      <c r="N9260" s="14"/>
      <c r="O9260" s="14"/>
      <c r="P9260" s="13"/>
    </row>
    <row r="9261">
      <c r="L9261" s="13"/>
      <c r="M9261" s="14"/>
      <c r="N9261" s="14"/>
      <c r="O9261" s="14"/>
      <c r="P9261" s="13"/>
    </row>
    <row r="9262">
      <c r="L9262" s="13"/>
      <c r="M9262" s="14"/>
      <c r="N9262" s="14"/>
      <c r="O9262" s="14"/>
      <c r="P9262" s="13"/>
    </row>
    <row r="9263">
      <c r="L9263" s="13"/>
      <c r="M9263" s="14"/>
      <c r="N9263" s="14"/>
      <c r="O9263" s="14"/>
      <c r="P9263" s="13"/>
    </row>
    <row r="9264">
      <c r="L9264" s="13"/>
      <c r="M9264" s="14"/>
      <c r="N9264" s="14"/>
      <c r="O9264" s="14"/>
      <c r="P9264" s="13"/>
    </row>
    <row r="9265">
      <c r="L9265" s="13"/>
      <c r="M9265" s="14"/>
      <c r="N9265" s="14"/>
      <c r="O9265" s="14"/>
      <c r="P9265" s="13"/>
    </row>
    <row r="9266">
      <c r="L9266" s="13"/>
      <c r="M9266" s="14"/>
      <c r="N9266" s="14"/>
      <c r="O9266" s="14"/>
      <c r="P9266" s="13"/>
    </row>
    <row r="9267">
      <c r="L9267" s="13"/>
      <c r="M9267" s="14"/>
      <c r="N9267" s="14"/>
      <c r="O9267" s="14"/>
      <c r="P9267" s="13"/>
    </row>
    <row r="9268">
      <c r="L9268" s="13"/>
      <c r="M9268" s="14"/>
      <c r="N9268" s="14"/>
      <c r="O9268" s="14"/>
      <c r="P9268" s="13"/>
    </row>
    <row r="9269">
      <c r="L9269" s="13"/>
      <c r="M9269" s="14"/>
      <c r="N9269" s="14"/>
      <c r="O9269" s="14"/>
      <c r="P9269" s="13"/>
    </row>
    <row r="9270">
      <c r="L9270" s="13"/>
      <c r="M9270" s="14"/>
      <c r="N9270" s="14"/>
      <c r="O9270" s="14"/>
      <c r="P9270" s="13"/>
    </row>
    <row r="9271">
      <c r="L9271" s="13"/>
      <c r="M9271" s="14"/>
      <c r="N9271" s="14"/>
      <c r="O9271" s="14"/>
      <c r="P9271" s="13"/>
    </row>
    <row r="9272">
      <c r="L9272" s="13"/>
      <c r="M9272" s="14"/>
      <c r="N9272" s="14"/>
      <c r="O9272" s="14"/>
      <c r="P9272" s="13"/>
    </row>
    <row r="9273">
      <c r="L9273" s="13"/>
      <c r="M9273" s="14"/>
      <c r="N9273" s="14"/>
      <c r="O9273" s="14"/>
      <c r="P9273" s="13"/>
    </row>
    <row r="9274">
      <c r="L9274" s="13"/>
      <c r="M9274" s="14"/>
      <c r="N9274" s="14"/>
      <c r="O9274" s="14"/>
      <c r="P9274" s="13"/>
    </row>
    <row r="9275">
      <c r="L9275" s="13"/>
      <c r="M9275" s="14"/>
      <c r="N9275" s="14"/>
      <c r="O9275" s="14"/>
      <c r="P9275" s="13"/>
    </row>
    <row r="9276">
      <c r="L9276" s="13"/>
      <c r="M9276" s="14"/>
      <c r="N9276" s="14"/>
      <c r="O9276" s="14"/>
      <c r="P9276" s="13"/>
    </row>
    <row r="9277">
      <c r="L9277" s="13"/>
      <c r="M9277" s="14"/>
      <c r="N9277" s="14"/>
      <c r="O9277" s="14"/>
      <c r="P9277" s="13"/>
    </row>
    <row r="9278">
      <c r="L9278" s="13"/>
      <c r="M9278" s="14"/>
      <c r="N9278" s="14"/>
      <c r="O9278" s="14"/>
      <c r="P9278" s="13"/>
    </row>
    <row r="9279">
      <c r="L9279" s="13"/>
      <c r="M9279" s="14"/>
      <c r="N9279" s="14"/>
      <c r="O9279" s="14"/>
      <c r="P9279" s="13"/>
    </row>
    <row r="9280">
      <c r="L9280" s="13"/>
      <c r="M9280" s="14"/>
      <c r="N9280" s="14"/>
      <c r="O9280" s="14"/>
      <c r="P9280" s="13"/>
    </row>
    <row r="9281">
      <c r="L9281" s="13"/>
      <c r="M9281" s="14"/>
      <c r="N9281" s="14"/>
      <c r="O9281" s="14"/>
      <c r="P9281" s="13"/>
    </row>
    <row r="9282">
      <c r="L9282" s="13"/>
      <c r="M9282" s="14"/>
      <c r="N9282" s="14"/>
      <c r="O9282" s="14"/>
      <c r="P9282" s="13"/>
    </row>
    <row r="9283">
      <c r="L9283" s="13"/>
      <c r="M9283" s="14"/>
      <c r="N9283" s="14"/>
      <c r="O9283" s="14"/>
      <c r="P9283" s="13"/>
    </row>
    <row r="9284">
      <c r="L9284" s="13"/>
      <c r="M9284" s="14"/>
      <c r="N9284" s="14"/>
      <c r="O9284" s="14"/>
      <c r="P9284" s="13"/>
    </row>
    <row r="9285">
      <c r="L9285" s="13"/>
      <c r="M9285" s="14"/>
      <c r="N9285" s="14"/>
      <c r="O9285" s="14"/>
      <c r="P9285" s="13"/>
    </row>
    <row r="9286">
      <c r="L9286" s="13"/>
      <c r="M9286" s="14"/>
      <c r="N9286" s="14"/>
      <c r="O9286" s="14"/>
      <c r="P9286" s="13"/>
    </row>
    <row r="9287">
      <c r="L9287" s="13"/>
      <c r="M9287" s="14"/>
      <c r="N9287" s="14"/>
      <c r="O9287" s="14"/>
      <c r="P9287" s="13"/>
    </row>
    <row r="9288">
      <c r="L9288" s="13"/>
      <c r="M9288" s="14"/>
      <c r="N9288" s="14"/>
      <c r="O9288" s="14"/>
      <c r="P9288" s="13"/>
    </row>
    <row r="9289">
      <c r="L9289" s="13"/>
      <c r="M9289" s="14"/>
      <c r="N9289" s="14"/>
      <c r="O9289" s="14"/>
      <c r="P9289" s="13"/>
    </row>
    <row r="9290">
      <c r="L9290" s="13"/>
      <c r="M9290" s="14"/>
      <c r="N9290" s="14"/>
      <c r="O9290" s="14"/>
      <c r="P9290" s="13"/>
    </row>
    <row r="9291">
      <c r="L9291" s="13"/>
      <c r="M9291" s="14"/>
      <c r="N9291" s="14"/>
      <c r="O9291" s="14"/>
      <c r="P9291" s="13"/>
    </row>
    <row r="9292">
      <c r="L9292" s="13"/>
      <c r="M9292" s="14"/>
      <c r="N9292" s="14"/>
      <c r="O9292" s="14"/>
      <c r="P9292" s="13"/>
    </row>
    <row r="9293">
      <c r="L9293" s="13"/>
      <c r="M9293" s="14"/>
      <c r="N9293" s="14"/>
      <c r="O9293" s="14"/>
      <c r="P9293" s="13"/>
    </row>
    <row r="9294">
      <c r="L9294" s="13"/>
      <c r="M9294" s="14"/>
      <c r="N9294" s="14"/>
      <c r="O9294" s="14"/>
      <c r="P9294" s="13"/>
    </row>
    <row r="9295">
      <c r="L9295" s="13"/>
      <c r="M9295" s="14"/>
      <c r="N9295" s="14"/>
      <c r="O9295" s="14"/>
      <c r="P9295" s="13"/>
    </row>
    <row r="9296">
      <c r="L9296" s="13"/>
      <c r="M9296" s="14"/>
      <c r="N9296" s="14"/>
      <c r="O9296" s="14"/>
      <c r="P9296" s="13"/>
    </row>
    <row r="9297">
      <c r="L9297" s="13"/>
      <c r="M9297" s="14"/>
      <c r="N9297" s="14"/>
      <c r="O9297" s="14"/>
      <c r="P9297" s="13"/>
    </row>
    <row r="9298">
      <c r="L9298" s="13"/>
      <c r="M9298" s="14"/>
      <c r="N9298" s="14"/>
      <c r="O9298" s="14"/>
      <c r="P9298" s="13"/>
    </row>
    <row r="9299">
      <c r="L9299" s="13"/>
      <c r="M9299" s="14"/>
      <c r="N9299" s="14"/>
      <c r="O9299" s="14"/>
      <c r="P9299" s="13"/>
    </row>
    <row r="9300">
      <c r="L9300" s="13"/>
      <c r="M9300" s="14"/>
      <c r="N9300" s="14"/>
      <c r="O9300" s="14"/>
      <c r="P9300" s="13"/>
    </row>
    <row r="9301">
      <c r="L9301" s="13"/>
      <c r="M9301" s="14"/>
      <c r="N9301" s="14"/>
      <c r="O9301" s="14"/>
      <c r="P9301" s="13"/>
    </row>
    <row r="9302">
      <c r="L9302" s="13"/>
      <c r="M9302" s="14"/>
      <c r="N9302" s="14"/>
      <c r="O9302" s="14"/>
      <c r="P9302" s="13"/>
    </row>
    <row r="9303">
      <c r="L9303" s="13"/>
      <c r="M9303" s="14"/>
      <c r="N9303" s="14"/>
      <c r="O9303" s="14"/>
      <c r="P9303" s="13"/>
    </row>
    <row r="9304">
      <c r="L9304" s="13"/>
      <c r="M9304" s="14"/>
      <c r="N9304" s="14"/>
      <c r="O9304" s="14"/>
      <c r="P9304" s="13"/>
    </row>
    <row r="9305">
      <c r="L9305" s="13"/>
      <c r="M9305" s="14"/>
      <c r="N9305" s="14"/>
      <c r="O9305" s="14"/>
      <c r="P9305" s="13"/>
    </row>
    <row r="9306">
      <c r="L9306" s="13"/>
      <c r="M9306" s="14"/>
      <c r="N9306" s="14"/>
      <c r="O9306" s="14"/>
      <c r="P9306" s="13"/>
    </row>
    <row r="9307">
      <c r="L9307" s="13"/>
      <c r="M9307" s="14"/>
      <c r="N9307" s="14"/>
      <c r="O9307" s="14"/>
      <c r="P9307" s="13"/>
    </row>
    <row r="9308">
      <c r="L9308" s="13"/>
      <c r="M9308" s="14"/>
      <c r="N9308" s="14"/>
      <c r="O9308" s="14"/>
      <c r="P9308" s="13"/>
    </row>
    <row r="9309">
      <c r="L9309" s="13"/>
      <c r="M9309" s="14"/>
      <c r="N9309" s="14"/>
      <c r="O9309" s="14"/>
      <c r="P9309" s="13"/>
    </row>
    <row r="9310">
      <c r="L9310" s="13"/>
      <c r="M9310" s="14"/>
      <c r="N9310" s="14"/>
      <c r="O9310" s="14"/>
      <c r="P9310" s="13"/>
    </row>
    <row r="9311">
      <c r="L9311" s="13"/>
      <c r="M9311" s="14"/>
      <c r="N9311" s="14"/>
      <c r="O9311" s="14"/>
      <c r="P9311" s="13"/>
    </row>
    <row r="9312">
      <c r="L9312" s="13"/>
      <c r="M9312" s="14"/>
      <c r="N9312" s="14"/>
      <c r="O9312" s="14"/>
      <c r="P9312" s="13"/>
    </row>
    <row r="9313">
      <c r="L9313" s="13"/>
      <c r="M9313" s="14"/>
      <c r="N9313" s="14"/>
      <c r="O9313" s="14"/>
      <c r="P9313" s="13"/>
    </row>
    <row r="9314">
      <c r="L9314" s="13"/>
      <c r="M9314" s="14"/>
      <c r="N9314" s="14"/>
      <c r="O9314" s="14"/>
      <c r="P9314" s="13"/>
    </row>
    <row r="9315">
      <c r="L9315" s="13"/>
      <c r="M9315" s="14"/>
      <c r="N9315" s="14"/>
      <c r="O9315" s="14"/>
      <c r="P9315" s="13"/>
    </row>
    <row r="9316">
      <c r="L9316" s="13"/>
      <c r="M9316" s="14"/>
      <c r="N9316" s="14"/>
      <c r="O9316" s="14"/>
      <c r="P9316" s="13"/>
    </row>
    <row r="9317">
      <c r="L9317" s="13"/>
      <c r="M9317" s="14"/>
      <c r="N9317" s="14"/>
      <c r="O9317" s="14"/>
      <c r="P9317" s="13"/>
    </row>
    <row r="9318">
      <c r="L9318" s="13"/>
      <c r="M9318" s="14"/>
      <c r="N9318" s="14"/>
      <c r="O9318" s="14"/>
      <c r="P9318" s="13"/>
    </row>
    <row r="9319">
      <c r="L9319" s="13"/>
      <c r="M9319" s="14"/>
      <c r="N9319" s="14"/>
      <c r="O9319" s="14"/>
      <c r="P9319" s="13"/>
    </row>
    <row r="9320">
      <c r="L9320" s="13"/>
      <c r="M9320" s="14"/>
      <c r="N9320" s="14"/>
      <c r="O9320" s="14"/>
      <c r="P9320" s="13"/>
    </row>
    <row r="9321">
      <c r="L9321" s="13"/>
      <c r="M9321" s="14"/>
      <c r="N9321" s="14"/>
      <c r="O9321" s="14"/>
      <c r="P9321" s="13"/>
    </row>
    <row r="9322">
      <c r="L9322" s="13"/>
      <c r="M9322" s="14"/>
      <c r="N9322" s="14"/>
      <c r="O9322" s="14"/>
      <c r="P9322" s="13"/>
    </row>
    <row r="9323">
      <c r="L9323" s="13"/>
      <c r="M9323" s="14"/>
      <c r="N9323" s="14"/>
      <c r="O9323" s="14"/>
      <c r="P9323" s="13"/>
    </row>
    <row r="9324">
      <c r="L9324" s="13"/>
      <c r="M9324" s="14"/>
      <c r="N9324" s="14"/>
      <c r="O9324" s="14"/>
      <c r="P9324" s="13"/>
    </row>
    <row r="9325">
      <c r="L9325" s="13"/>
      <c r="M9325" s="14"/>
      <c r="N9325" s="14"/>
      <c r="O9325" s="14"/>
      <c r="P9325" s="13"/>
    </row>
    <row r="9326">
      <c r="L9326" s="13"/>
      <c r="M9326" s="14"/>
      <c r="N9326" s="14"/>
      <c r="O9326" s="14"/>
      <c r="P9326" s="13"/>
    </row>
    <row r="9327">
      <c r="L9327" s="13"/>
      <c r="M9327" s="14"/>
      <c r="N9327" s="14"/>
      <c r="O9327" s="14"/>
      <c r="P9327" s="13"/>
    </row>
    <row r="9328">
      <c r="L9328" s="13"/>
      <c r="M9328" s="14"/>
      <c r="N9328" s="14"/>
      <c r="O9328" s="14"/>
      <c r="P9328" s="13"/>
    </row>
    <row r="9329">
      <c r="L9329" s="13"/>
      <c r="M9329" s="14"/>
      <c r="N9329" s="14"/>
      <c r="O9329" s="14"/>
      <c r="P9329" s="13"/>
    </row>
    <row r="9330">
      <c r="L9330" s="13"/>
      <c r="M9330" s="14"/>
      <c r="N9330" s="14"/>
      <c r="O9330" s="14"/>
      <c r="P9330" s="13"/>
    </row>
    <row r="9331">
      <c r="L9331" s="13"/>
      <c r="M9331" s="14"/>
      <c r="N9331" s="14"/>
      <c r="O9331" s="14"/>
      <c r="P9331" s="13"/>
    </row>
    <row r="9332">
      <c r="L9332" s="13"/>
      <c r="M9332" s="14"/>
      <c r="N9332" s="14"/>
      <c r="O9332" s="14"/>
      <c r="P9332" s="13"/>
    </row>
    <row r="9333">
      <c r="L9333" s="13"/>
      <c r="M9333" s="14"/>
      <c r="N9333" s="14"/>
      <c r="O9333" s="14"/>
      <c r="P9333" s="13"/>
    </row>
    <row r="9334">
      <c r="L9334" s="13"/>
      <c r="M9334" s="14"/>
      <c r="N9334" s="14"/>
      <c r="O9334" s="14"/>
      <c r="P9334" s="13"/>
    </row>
    <row r="9335">
      <c r="L9335" s="13"/>
      <c r="M9335" s="14"/>
      <c r="N9335" s="14"/>
      <c r="O9335" s="14"/>
      <c r="P9335" s="13"/>
    </row>
    <row r="9336">
      <c r="L9336" s="13"/>
      <c r="M9336" s="14"/>
      <c r="N9336" s="14"/>
      <c r="O9336" s="14"/>
      <c r="P9336" s="13"/>
    </row>
    <row r="9337">
      <c r="L9337" s="13"/>
      <c r="M9337" s="14"/>
      <c r="N9337" s="14"/>
      <c r="O9337" s="14"/>
      <c r="P9337" s="13"/>
    </row>
    <row r="9338">
      <c r="L9338" s="13"/>
      <c r="M9338" s="14"/>
      <c r="N9338" s="14"/>
      <c r="O9338" s="14"/>
      <c r="P9338" s="13"/>
    </row>
    <row r="9339">
      <c r="L9339" s="13"/>
      <c r="M9339" s="14"/>
      <c r="N9339" s="14"/>
      <c r="O9339" s="14"/>
      <c r="P9339" s="13"/>
    </row>
    <row r="9340">
      <c r="L9340" s="13"/>
      <c r="M9340" s="14"/>
      <c r="N9340" s="14"/>
      <c r="O9340" s="14"/>
      <c r="P9340" s="13"/>
    </row>
    <row r="9341">
      <c r="L9341" s="13"/>
      <c r="M9341" s="14"/>
      <c r="N9341" s="14"/>
      <c r="O9341" s="14"/>
      <c r="P9341" s="13"/>
    </row>
    <row r="9342">
      <c r="L9342" s="13"/>
      <c r="M9342" s="14"/>
      <c r="N9342" s="14"/>
      <c r="O9342" s="14"/>
      <c r="P9342" s="13"/>
    </row>
    <row r="9343">
      <c r="L9343" s="13"/>
      <c r="M9343" s="14"/>
      <c r="N9343" s="14"/>
      <c r="O9343" s="14"/>
      <c r="P9343" s="13"/>
    </row>
    <row r="9344">
      <c r="L9344" s="13"/>
      <c r="M9344" s="14"/>
      <c r="N9344" s="14"/>
      <c r="O9344" s="14"/>
      <c r="P9344" s="13"/>
    </row>
    <row r="9345">
      <c r="L9345" s="13"/>
      <c r="M9345" s="14"/>
      <c r="N9345" s="14"/>
      <c r="O9345" s="14"/>
      <c r="P9345" s="13"/>
    </row>
    <row r="9346">
      <c r="L9346" s="13"/>
      <c r="M9346" s="14"/>
      <c r="N9346" s="14"/>
      <c r="O9346" s="14"/>
      <c r="P9346" s="13"/>
    </row>
    <row r="9347">
      <c r="L9347" s="13"/>
      <c r="M9347" s="14"/>
      <c r="N9347" s="14"/>
      <c r="O9347" s="14"/>
      <c r="P9347" s="13"/>
    </row>
    <row r="9348">
      <c r="L9348" s="13"/>
      <c r="M9348" s="14"/>
      <c r="N9348" s="14"/>
      <c r="O9348" s="14"/>
      <c r="P9348" s="13"/>
    </row>
    <row r="9349">
      <c r="L9349" s="13"/>
      <c r="M9349" s="14"/>
      <c r="N9349" s="14"/>
      <c r="O9349" s="14"/>
      <c r="P9349" s="13"/>
    </row>
    <row r="9350">
      <c r="L9350" s="13"/>
      <c r="M9350" s="14"/>
      <c r="N9350" s="14"/>
      <c r="O9350" s="14"/>
      <c r="P9350" s="13"/>
    </row>
    <row r="9351">
      <c r="L9351" s="13"/>
      <c r="M9351" s="14"/>
      <c r="N9351" s="14"/>
      <c r="O9351" s="14"/>
      <c r="P9351" s="13"/>
    </row>
    <row r="9352">
      <c r="L9352" s="13"/>
      <c r="M9352" s="14"/>
      <c r="N9352" s="14"/>
      <c r="O9352" s="14"/>
      <c r="P9352" s="13"/>
    </row>
    <row r="9353">
      <c r="L9353" s="13"/>
      <c r="M9353" s="14"/>
      <c r="N9353" s="14"/>
      <c r="O9353" s="14"/>
      <c r="P9353" s="13"/>
    </row>
    <row r="9354">
      <c r="L9354" s="13"/>
      <c r="M9354" s="14"/>
      <c r="N9354" s="14"/>
      <c r="O9354" s="14"/>
      <c r="P9354" s="13"/>
    </row>
    <row r="9355">
      <c r="L9355" s="13"/>
      <c r="M9355" s="14"/>
      <c r="N9355" s="14"/>
      <c r="O9355" s="14"/>
      <c r="P9355" s="13"/>
    </row>
    <row r="9356">
      <c r="L9356" s="13"/>
      <c r="M9356" s="14"/>
      <c r="N9356" s="14"/>
      <c r="O9356" s="14"/>
      <c r="P9356" s="13"/>
    </row>
    <row r="9357">
      <c r="L9357" s="13"/>
      <c r="M9357" s="14"/>
      <c r="N9357" s="14"/>
      <c r="O9357" s="14"/>
      <c r="P9357" s="13"/>
    </row>
    <row r="9358">
      <c r="L9358" s="13"/>
      <c r="M9358" s="14"/>
      <c r="N9358" s="14"/>
      <c r="O9358" s="14"/>
      <c r="P9358" s="13"/>
    </row>
    <row r="9359">
      <c r="L9359" s="13"/>
      <c r="M9359" s="14"/>
      <c r="N9359" s="14"/>
      <c r="O9359" s="14"/>
      <c r="P9359" s="13"/>
    </row>
    <row r="9360">
      <c r="L9360" s="13"/>
      <c r="M9360" s="14"/>
      <c r="N9360" s="14"/>
      <c r="O9360" s="14"/>
      <c r="P9360" s="13"/>
    </row>
    <row r="9361">
      <c r="L9361" s="13"/>
      <c r="M9361" s="14"/>
      <c r="N9361" s="14"/>
      <c r="O9361" s="14"/>
      <c r="P9361" s="13"/>
    </row>
    <row r="9362">
      <c r="L9362" s="13"/>
      <c r="M9362" s="14"/>
      <c r="N9362" s="14"/>
      <c r="O9362" s="14"/>
      <c r="P9362" s="13"/>
    </row>
    <row r="9363">
      <c r="L9363" s="13"/>
      <c r="M9363" s="14"/>
      <c r="N9363" s="14"/>
      <c r="O9363" s="14"/>
      <c r="P9363" s="13"/>
    </row>
    <row r="9364">
      <c r="L9364" s="13"/>
      <c r="M9364" s="14"/>
      <c r="N9364" s="14"/>
      <c r="O9364" s="14"/>
      <c r="P9364" s="13"/>
    </row>
    <row r="9365">
      <c r="L9365" s="13"/>
      <c r="M9365" s="14"/>
      <c r="N9365" s="14"/>
      <c r="O9365" s="14"/>
      <c r="P9365" s="13"/>
    </row>
    <row r="9366">
      <c r="L9366" s="13"/>
      <c r="M9366" s="14"/>
      <c r="N9366" s="14"/>
      <c r="O9366" s="14"/>
      <c r="P9366" s="13"/>
    </row>
    <row r="9367">
      <c r="L9367" s="13"/>
      <c r="M9367" s="14"/>
      <c r="N9367" s="14"/>
      <c r="O9367" s="14"/>
      <c r="P9367" s="13"/>
    </row>
    <row r="9368">
      <c r="L9368" s="13"/>
      <c r="M9368" s="14"/>
      <c r="N9368" s="14"/>
      <c r="O9368" s="14"/>
      <c r="P9368" s="13"/>
    </row>
    <row r="9369">
      <c r="L9369" s="13"/>
      <c r="M9369" s="14"/>
      <c r="N9369" s="14"/>
      <c r="O9369" s="14"/>
      <c r="P9369" s="13"/>
    </row>
    <row r="9370">
      <c r="L9370" s="13"/>
      <c r="M9370" s="14"/>
      <c r="N9370" s="14"/>
      <c r="O9370" s="14"/>
      <c r="P9370" s="13"/>
    </row>
    <row r="9371">
      <c r="L9371" s="13"/>
      <c r="M9371" s="14"/>
      <c r="N9371" s="14"/>
      <c r="O9371" s="14"/>
      <c r="P9371" s="13"/>
    </row>
    <row r="9372">
      <c r="L9372" s="13"/>
      <c r="M9372" s="14"/>
      <c r="N9372" s="14"/>
      <c r="O9372" s="14"/>
      <c r="P9372" s="13"/>
    </row>
    <row r="9373">
      <c r="L9373" s="13"/>
      <c r="M9373" s="14"/>
      <c r="N9373" s="14"/>
      <c r="O9373" s="14"/>
      <c r="P9373" s="13"/>
    </row>
    <row r="9374">
      <c r="L9374" s="13"/>
      <c r="M9374" s="14"/>
      <c r="N9374" s="14"/>
      <c r="O9374" s="14"/>
      <c r="P9374" s="13"/>
    </row>
    <row r="9375">
      <c r="L9375" s="13"/>
      <c r="M9375" s="14"/>
      <c r="N9375" s="14"/>
      <c r="O9375" s="14"/>
      <c r="P9375" s="13"/>
    </row>
    <row r="9376">
      <c r="L9376" s="13"/>
      <c r="M9376" s="14"/>
      <c r="N9376" s="14"/>
      <c r="O9376" s="14"/>
      <c r="P9376" s="13"/>
    </row>
    <row r="9377">
      <c r="L9377" s="13"/>
      <c r="M9377" s="14"/>
      <c r="N9377" s="14"/>
      <c r="O9377" s="14"/>
      <c r="P9377" s="13"/>
    </row>
    <row r="9378">
      <c r="L9378" s="13"/>
      <c r="M9378" s="14"/>
      <c r="N9378" s="14"/>
      <c r="O9378" s="14"/>
      <c r="P9378" s="13"/>
    </row>
    <row r="9379">
      <c r="L9379" s="13"/>
      <c r="M9379" s="14"/>
      <c r="N9379" s="14"/>
      <c r="O9379" s="14"/>
      <c r="P9379" s="13"/>
    </row>
    <row r="9380">
      <c r="L9380" s="13"/>
      <c r="M9380" s="14"/>
      <c r="N9380" s="14"/>
      <c r="O9380" s="14"/>
      <c r="P9380" s="13"/>
    </row>
    <row r="9381">
      <c r="L9381" s="13"/>
      <c r="M9381" s="14"/>
      <c r="N9381" s="14"/>
      <c r="O9381" s="14"/>
      <c r="P9381" s="13"/>
    </row>
    <row r="9382">
      <c r="L9382" s="13"/>
      <c r="M9382" s="14"/>
      <c r="N9382" s="14"/>
      <c r="O9382" s="14"/>
      <c r="P9382" s="13"/>
    </row>
    <row r="9383">
      <c r="L9383" s="13"/>
      <c r="M9383" s="14"/>
      <c r="N9383" s="14"/>
      <c r="O9383" s="14"/>
      <c r="P9383" s="13"/>
    </row>
    <row r="9384">
      <c r="L9384" s="13"/>
      <c r="M9384" s="14"/>
      <c r="N9384" s="14"/>
      <c r="O9384" s="14"/>
      <c r="P9384" s="13"/>
    </row>
    <row r="9385">
      <c r="L9385" s="13"/>
      <c r="M9385" s="14"/>
      <c r="N9385" s="14"/>
      <c r="O9385" s="14"/>
      <c r="P9385" s="13"/>
    </row>
    <row r="9386">
      <c r="L9386" s="13"/>
      <c r="M9386" s="14"/>
      <c r="N9386" s="14"/>
      <c r="O9386" s="14"/>
      <c r="P9386" s="13"/>
    </row>
    <row r="9387">
      <c r="L9387" s="13"/>
      <c r="M9387" s="14"/>
      <c r="N9387" s="14"/>
      <c r="O9387" s="14"/>
      <c r="P9387" s="13"/>
    </row>
    <row r="9388">
      <c r="L9388" s="13"/>
      <c r="M9388" s="14"/>
      <c r="N9388" s="14"/>
      <c r="O9388" s="14"/>
      <c r="P9388" s="13"/>
    </row>
    <row r="9389">
      <c r="L9389" s="13"/>
      <c r="M9389" s="14"/>
      <c r="N9389" s="14"/>
      <c r="O9389" s="14"/>
      <c r="P9389" s="13"/>
    </row>
    <row r="9390">
      <c r="L9390" s="13"/>
      <c r="M9390" s="14"/>
      <c r="N9390" s="14"/>
      <c r="O9390" s="14"/>
      <c r="P9390" s="13"/>
    </row>
    <row r="9391">
      <c r="L9391" s="13"/>
      <c r="M9391" s="14"/>
      <c r="N9391" s="14"/>
      <c r="O9391" s="14"/>
      <c r="P9391" s="13"/>
    </row>
    <row r="9392">
      <c r="L9392" s="13"/>
      <c r="M9392" s="14"/>
      <c r="N9392" s="14"/>
      <c r="O9392" s="14"/>
      <c r="P9392" s="13"/>
    </row>
    <row r="9393">
      <c r="L9393" s="13"/>
      <c r="M9393" s="14"/>
      <c r="N9393" s="14"/>
      <c r="O9393" s="14"/>
      <c r="P9393" s="13"/>
    </row>
    <row r="9394">
      <c r="L9394" s="13"/>
      <c r="M9394" s="14"/>
      <c r="N9394" s="14"/>
      <c r="O9394" s="14"/>
      <c r="P9394" s="13"/>
    </row>
    <row r="9395">
      <c r="L9395" s="13"/>
      <c r="M9395" s="14"/>
      <c r="N9395" s="14"/>
      <c r="O9395" s="14"/>
      <c r="P9395" s="13"/>
    </row>
    <row r="9396">
      <c r="L9396" s="13"/>
      <c r="M9396" s="14"/>
      <c r="N9396" s="14"/>
      <c r="O9396" s="14"/>
      <c r="P9396" s="13"/>
    </row>
    <row r="9397">
      <c r="L9397" s="13"/>
      <c r="M9397" s="14"/>
      <c r="N9397" s="14"/>
      <c r="O9397" s="14"/>
      <c r="P9397" s="13"/>
    </row>
    <row r="9398">
      <c r="L9398" s="13"/>
      <c r="M9398" s="14"/>
      <c r="N9398" s="14"/>
      <c r="O9398" s="14"/>
      <c r="P9398" s="13"/>
    </row>
    <row r="9399">
      <c r="L9399" s="13"/>
      <c r="M9399" s="14"/>
      <c r="N9399" s="14"/>
      <c r="O9399" s="14"/>
      <c r="P9399" s="13"/>
    </row>
    <row r="9400">
      <c r="L9400" s="13"/>
      <c r="M9400" s="14"/>
      <c r="N9400" s="14"/>
      <c r="O9400" s="14"/>
      <c r="P9400" s="13"/>
    </row>
    <row r="9401">
      <c r="L9401" s="13"/>
      <c r="M9401" s="14"/>
      <c r="N9401" s="14"/>
      <c r="O9401" s="14"/>
      <c r="P9401" s="13"/>
    </row>
    <row r="9402">
      <c r="L9402" s="13"/>
      <c r="M9402" s="14"/>
      <c r="N9402" s="14"/>
      <c r="O9402" s="14"/>
      <c r="P9402" s="13"/>
    </row>
    <row r="9403">
      <c r="L9403" s="13"/>
      <c r="M9403" s="14"/>
      <c r="N9403" s="14"/>
      <c r="O9403" s="14"/>
      <c r="P9403" s="13"/>
    </row>
    <row r="9404">
      <c r="L9404" s="13"/>
      <c r="M9404" s="14"/>
      <c r="N9404" s="14"/>
      <c r="O9404" s="14"/>
      <c r="P9404" s="13"/>
    </row>
    <row r="9405">
      <c r="L9405" s="13"/>
      <c r="M9405" s="14"/>
      <c r="N9405" s="14"/>
      <c r="O9405" s="14"/>
      <c r="P9405" s="13"/>
    </row>
    <row r="9406">
      <c r="L9406" s="13"/>
      <c r="M9406" s="14"/>
      <c r="N9406" s="14"/>
      <c r="O9406" s="14"/>
      <c r="P9406" s="13"/>
    </row>
    <row r="9407">
      <c r="L9407" s="13"/>
      <c r="M9407" s="14"/>
      <c r="N9407" s="14"/>
      <c r="O9407" s="14"/>
      <c r="P9407" s="13"/>
    </row>
    <row r="9408">
      <c r="L9408" s="13"/>
      <c r="M9408" s="14"/>
      <c r="N9408" s="14"/>
      <c r="O9408" s="14"/>
      <c r="P9408" s="13"/>
    </row>
    <row r="9409">
      <c r="L9409" s="13"/>
      <c r="M9409" s="14"/>
      <c r="N9409" s="14"/>
      <c r="O9409" s="14"/>
      <c r="P9409" s="13"/>
    </row>
    <row r="9410">
      <c r="L9410" s="13"/>
      <c r="M9410" s="14"/>
      <c r="N9410" s="14"/>
      <c r="O9410" s="14"/>
      <c r="P9410" s="13"/>
    </row>
    <row r="9411">
      <c r="L9411" s="13"/>
      <c r="M9411" s="14"/>
      <c r="N9411" s="14"/>
      <c r="O9411" s="14"/>
      <c r="P9411" s="13"/>
    </row>
    <row r="9412">
      <c r="L9412" s="13"/>
      <c r="M9412" s="14"/>
      <c r="N9412" s="14"/>
      <c r="O9412" s="14"/>
      <c r="P9412" s="13"/>
    </row>
    <row r="9413">
      <c r="L9413" s="13"/>
      <c r="M9413" s="14"/>
      <c r="N9413" s="14"/>
      <c r="O9413" s="14"/>
      <c r="P9413" s="13"/>
    </row>
    <row r="9414">
      <c r="L9414" s="13"/>
      <c r="M9414" s="14"/>
      <c r="N9414" s="14"/>
      <c r="O9414" s="14"/>
      <c r="P9414" s="13"/>
    </row>
    <row r="9415">
      <c r="L9415" s="13"/>
      <c r="M9415" s="14"/>
      <c r="N9415" s="14"/>
      <c r="O9415" s="14"/>
      <c r="P9415" s="13"/>
    </row>
    <row r="9416">
      <c r="L9416" s="13"/>
      <c r="M9416" s="14"/>
      <c r="N9416" s="14"/>
      <c r="O9416" s="14"/>
      <c r="P9416" s="13"/>
    </row>
    <row r="9417">
      <c r="L9417" s="13"/>
      <c r="M9417" s="14"/>
      <c r="N9417" s="14"/>
      <c r="O9417" s="14"/>
      <c r="P9417" s="13"/>
    </row>
    <row r="9418">
      <c r="L9418" s="13"/>
      <c r="M9418" s="14"/>
      <c r="N9418" s="14"/>
      <c r="O9418" s="14"/>
      <c r="P9418" s="13"/>
    </row>
    <row r="9419">
      <c r="L9419" s="13"/>
      <c r="M9419" s="14"/>
      <c r="N9419" s="14"/>
      <c r="O9419" s="14"/>
      <c r="P9419" s="13"/>
    </row>
    <row r="9420">
      <c r="L9420" s="13"/>
      <c r="M9420" s="14"/>
      <c r="N9420" s="14"/>
      <c r="O9420" s="14"/>
      <c r="P9420" s="13"/>
    </row>
    <row r="9421">
      <c r="L9421" s="13"/>
      <c r="M9421" s="14"/>
      <c r="N9421" s="14"/>
      <c r="O9421" s="14"/>
      <c r="P9421" s="13"/>
    </row>
    <row r="9422">
      <c r="L9422" s="13"/>
      <c r="M9422" s="14"/>
      <c r="N9422" s="14"/>
      <c r="O9422" s="14"/>
      <c r="P9422" s="13"/>
    </row>
    <row r="9423">
      <c r="L9423" s="13"/>
      <c r="M9423" s="14"/>
      <c r="N9423" s="14"/>
      <c r="O9423" s="14"/>
      <c r="P9423" s="13"/>
    </row>
    <row r="9424">
      <c r="L9424" s="13"/>
      <c r="M9424" s="14"/>
      <c r="N9424" s="14"/>
      <c r="O9424" s="14"/>
      <c r="P9424" s="13"/>
    </row>
    <row r="9425">
      <c r="L9425" s="13"/>
      <c r="M9425" s="14"/>
      <c r="N9425" s="14"/>
      <c r="O9425" s="14"/>
      <c r="P9425" s="13"/>
    </row>
    <row r="9426">
      <c r="L9426" s="13"/>
      <c r="M9426" s="14"/>
      <c r="N9426" s="14"/>
      <c r="O9426" s="14"/>
      <c r="P9426" s="13"/>
    </row>
    <row r="9427">
      <c r="L9427" s="13"/>
      <c r="M9427" s="14"/>
      <c r="N9427" s="14"/>
      <c r="O9427" s="14"/>
      <c r="P9427" s="13"/>
    </row>
    <row r="9428">
      <c r="L9428" s="13"/>
      <c r="M9428" s="14"/>
      <c r="N9428" s="14"/>
      <c r="O9428" s="14"/>
      <c r="P9428" s="13"/>
    </row>
    <row r="9429">
      <c r="L9429" s="13"/>
      <c r="M9429" s="14"/>
      <c r="N9429" s="14"/>
      <c r="O9429" s="14"/>
      <c r="P9429" s="13"/>
    </row>
    <row r="9430">
      <c r="L9430" s="13"/>
      <c r="M9430" s="14"/>
      <c r="N9430" s="14"/>
      <c r="O9430" s="14"/>
      <c r="P9430" s="13"/>
    </row>
    <row r="9431">
      <c r="L9431" s="13"/>
      <c r="M9431" s="14"/>
      <c r="N9431" s="14"/>
      <c r="O9431" s="14"/>
      <c r="P9431" s="13"/>
    </row>
    <row r="9432">
      <c r="L9432" s="13"/>
      <c r="M9432" s="14"/>
      <c r="N9432" s="14"/>
      <c r="O9432" s="14"/>
      <c r="P9432" s="13"/>
    </row>
    <row r="9433">
      <c r="L9433" s="13"/>
      <c r="M9433" s="14"/>
      <c r="N9433" s="14"/>
      <c r="O9433" s="14"/>
      <c r="P9433" s="13"/>
    </row>
    <row r="9434">
      <c r="L9434" s="13"/>
      <c r="M9434" s="14"/>
      <c r="N9434" s="14"/>
      <c r="O9434" s="14"/>
      <c r="P9434" s="13"/>
    </row>
    <row r="9435">
      <c r="L9435" s="13"/>
      <c r="M9435" s="14"/>
      <c r="N9435" s="14"/>
      <c r="O9435" s="14"/>
      <c r="P9435" s="13"/>
    </row>
    <row r="9436">
      <c r="L9436" s="13"/>
      <c r="M9436" s="14"/>
      <c r="N9436" s="14"/>
      <c r="O9436" s="14"/>
      <c r="P9436" s="13"/>
    </row>
    <row r="9437">
      <c r="L9437" s="13"/>
      <c r="M9437" s="14"/>
      <c r="N9437" s="14"/>
      <c r="O9437" s="14"/>
      <c r="P9437" s="13"/>
    </row>
    <row r="9438">
      <c r="L9438" s="13"/>
      <c r="M9438" s="14"/>
      <c r="N9438" s="14"/>
      <c r="O9438" s="14"/>
      <c r="P9438" s="13"/>
    </row>
    <row r="9439">
      <c r="L9439" s="13"/>
      <c r="M9439" s="14"/>
      <c r="N9439" s="14"/>
      <c r="O9439" s="14"/>
      <c r="P9439" s="13"/>
    </row>
    <row r="9440">
      <c r="L9440" s="13"/>
      <c r="M9440" s="14"/>
      <c r="N9440" s="14"/>
      <c r="O9440" s="14"/>
      <c r="P9440" s="13"/>
    </row>
    <row r="9441">
      <c r="L9441" s="13"/>
      <c r="M9441" s="14"/>
      <c r="N9441" s="14"/>
      <c r="O9441" s="14"/>
      <c r="P9441" s="13"/>
    </row>
    <row r="9442">
      <c r="L9442" s="13"/>
      <c r="M9442" s="14"/>
      <c r="N9442" s="14"/>
      <c r="O9442" s="14"/>
      <c r="P9442" s="13"/>
    </row>
    <row r="9443">
      <c r="L9443" s="13"/>
      <c r="M9443" s="14"/>
      <c r="N9443" s="14"/>
      <c r="O9443" s="14"/>
      <c r="P9443" s="13"/>
    </row>
    <row r="9444">
      <c r="L9444" s="13"/>
      <c r="M9444" s="14"/>
      <c r="N9444" s="14"/>
      <c r="O9444" s="14"/>
      <c r="P9444" s="13"/>
    </row>
    <row r="9445">
      <c r="L9445" s="13"/>
      <c r="M9445" s="14"/>
      <c r="N9445" s="14"/>
      <c r="O9445" s="14"/>
      <c r="P9445" s="13"/>
    </row>
    <row r="9446">
      <c r="L9446" s="13"/>
      <c r="M9446" s="14"/>
      <c r="N9446" s="14"/>
      <c r="O9446" s="14"/>
      <c r="P9446" s="13"/>
    </row>
    <row r="9447">
      <c r="L9447" s="13"/>
      <c r="M9447" s="14"/>
      <c r="N9447" s="14"/>
      <c r="O9447" s="14"/>
      <c r="P9447" s="13"/>
    </row>
    <row r="9448">
      <c r="L9448" s="13"/>
      <c r="M9448" s="14"/>
      <c r="N9448" s="14"/>
      <c r="O9448" s="14"/>
      <c r="P9448" s="13"/>
    </row>
    <row r="9449">
      <c r="L9449" s="13"/>
      <c r="M9449" s="14"/>
      <c r="N9449" s="14"/>
      <c r="O9449" s="14"/>
      <c r="P9449" s="13"/>
    </row>
    <row r="9450">
      <c r="L9450" s="13"/>
      <c r="M9450" s="14"/>
      <c r="N9450" s="14"/>
      <c r="O9450" s="14"/>
      <c r="P9450" s="13"/>
    </row>
    <row r="9451">
      <c r="L9451" s="13"/>
      <c r="M9451" s="14"/>
      <c r="N9451" s="14"/>
      <c r="O9451" s="14"/>
      <c r="P9451" s="13"/>
    </row>
    <row r="9452">
      <c r="L9452" s="13"/>
      <c r="M9452" s="14"/>
      <c r="N9452" s="14"/>
      <c r="O9452" s="14"/>
      <c r="P9452" s="13"/>
    </row>
    <row r="9453">
      <c r="L9453" s="13"/>
      <c r="M9453" s="14"/>
      <c r="N9453" s="14"/>
      <c r="O9453" s="14"/>
      <c r="P9453" s="13"/>
    </row>
    <row r="9454">
      <c r="L9454" s="13"/>
      <c r="M9454" s="14"/>
      <c r="N9454" s="14"/>
      <c r="O9454" s="14"/>
      <c r="P9454" s="13"/>
    </row>
    <row r="9455">
      <c r="L9455" s="13"/>
      <c r="M9455" s="14"/>
      <c r="N9455" s="14"/>
      <c r="O9455" s="14"/>
      <c r="P9455" s="13"/>
    </row>
    <row r="9456">
      <c r="L9456" s="13"/>
      <c r="M9456" s="14"/>
      <c r="N9456" s="14"/>
      <c r="O9456" s="14"/>
      <c r="P9456" s="13"/>
    </row>
    <row r="9457">
      <c r="L9457" s="13"/>
      <c r="M9457" s="14"/>
      <c r="N9457" s="14"/>
      <c r="O9457" s="14"/>
      <c r="P9457" s="13"/>
    </row>
    <row r="9458">
      <c r="L9458" s="13"/>
      <c r="M9458" s="14"/>
      <c r="N9458" s="14"/>
      <c r="O9458" s="14"/>
      <c r="P9458" s="13"/>
    </row>
    <row r="9459">
      <c r="L9459" s="13"/>
      <c r="M9459" s="14"/>
      <c r="N9459" s="14"/>
      <c r="O9459" s="14"/>
      <c r="P9459" s="13"/>
    </row>
    <row r="9460">
      <c r="L9460" s="13"/>
      <c r="M9460" s="14"/>
      <c r="N9460" s="14"/>
      <c r="O9460" s="14"/>
      <c r="P9460" s="13"/>
    </row>
    <row r="9461">
      <c r="L9461" s="13"/>
      <c r="M9461" s="14"/>
      <c r="N9461" s="14"/>
      <c r="O9461" s="14"/>
      <c r="P9461" s="13"/>
    </row>
    <row r="9462">
      <c r="L9462" s="13"/>
      <c r="M9462" s="14"/>
      <c r="N9462" s="14"/>
      <c r="O9462" s="14"/>
      <c r="P9462" s="13"/>
    </row>
    <row r="9463">
      <c r="L9463" s="13"/>
      <c r="M9463" s="14"/>
      <c r="N9463" s="14"/>
      <c r="O9463" s="14"/>
      <c r="P9463" s="13"/>
    </row>
    <row r="9464">
      <c r="L9464" s="13"/>
      <c r="M9464" s="14"/>
      <c r="N9464" s="14"/>
      <c r="O9464" s="14"/>
      <c r="P9464" s="13"/>
    </row>
    <row r="9465">
      <c r="L9465" s="13"/>
      <c r="M9465" s="14"/>
      <c r="N9465" s="14"/>
      <c r="O9465" s="14"/>
      <c r="P9465" s="13"/>
    </row>
    <row r="9466">
      <c r="L9466" s="13"/>
      <c r="M9466" s="14"/>
      <c r="N9466" s="14"/>
      <c r="O9466" s="14"/>
      <c r="P9466" s="13"/>
    </row>
    <row r="9467">
      <c r="L9467" s="13"/>
      <c r="M9467" s="14"/>
      <c r="N9467" s="14"/>
      <c r="O9467" s="14"/>
      <c r="P9467" s="13"/>
    </row>
    <row r="9468">
      <c r="L9468" s="13"/>
      <c r="M9468" s="14"/>
      <c r="N9468" s="14"/>
      <c r="O9468" s="14"/>
      <c r="P9468" s="13"/>
    </row>
    <row r="9469">
      <c r="L9469" s="13"/>
      <c r="M9469" s="14"/>
      <c r="N9469" s="14"/>
      <c r="O9469" s="14"/>
      <c r="P9469" s="13"/>
    </row>
    <row r="9470">
      <c r="L9470" s="13"/>
      <c r="M9470" s="14"/>
      <c r="N9470" s="14"/>
      <c r="O9470" s="14"/>
      <c r="P9470" s="13"/>
    </row>
    <row r="9471">
      <c r="L9471" s="13"/>
      <c r="M9471" s="14"/>
      <c r="N9471" s="14"/>
      <c r="O9471" s="14"/>
      <c r="P9471" s="13"/>
    </row>
    <row r="9472">
      <c r="L9472" s="13"/>
      <c r="M9472" s="14"/>
      <c r="N9472" s="14"/>
      <c r="O9472" s="14"/>
      <c r="P9472" s="13"/>
    </row>
    <row r="9473">
      <c r="L9473" s="13"/>
      <c r="M9473" s="14"/>
      <c r="N9473" s="14"/>
      <c r="O9473" s="14"/>
      <c r="P9473" s="13"/>
    </row>
    <row r="9474">
      <c r="L9474" s="13"/>
      <c r="M9474" s="14"/>
      <c r="N9474" s="14"/>
      <c r="O9474" s="14"/>
      <c r="P9474" s="13"/>
    </row>
    <row r="9475">
      <c r="L9475" s="13"/>
      <c r="M9475" s="14"/>
      <c r="N9475" s="14"/>
      <c r="O9475" s="14"/>
      <c r="P9475" s="13"/>
    </row>
    <row r="9476">
      <c r="L9476" s="13"/>
      <c r="M9476" s="14"/>
      <c r="N9476" s="14"/>
      <c r="O9476" s="14"/>
      <c r="P9476" s="13"/>
    </row>
    <row r="9477">
      <c r="L9477" s="13"/>
      <c r="M9477" s="14"/>
      <c r="N9477" s="14"/>
      <c r="O9477" s="14"/>
      <c r="P9477" s="13"/>
    </row>
    <row r="9478">
      <c r="L9478" s="13"/>
      <c r="M9478" s="14"/>
      <c r="N9478" s="14"/>
      <c r="O9478" s="14"/>
      <c r="P9478" s="13"/>
    </row>
    <row r="9479">
      <c r="L9479" s="13"/>
      <c r="M9479" s="14"/>
      <c r="N9479" s="14"/>
      <c r="O9479" s="14"/>
      <c r="P9479" s="13"/>
    </row>
    <row r="9480">
      <c r="L9480" s="13"/>
      <c r="M9480" s="14"/>
      <c r="N9480" s="14"/>
      <c r="O9480" s="14"/>
      <c r="P9480" s="13"/>
    </row>
    <row r="9481">
      <c r="L9481" s="13"/>
      <c r="M9481" s="14"/>
      <c r="N9481" s="14"/>
      <c r="O9481" s="14"/>
      <c r="P9481" s="13"/>
    </row>
    <row r="9482">
      <c r="L9482" s="13"/>
      <c r="M9482" s="14"/>
      <c r="N9482" s="14"/>
      <c r="O9482" s="14"/>
      <c r="P9482" s="13"/>
    </row>
    <row r="9483">
      <c r="L9483" s="13"/>
      <c r="M9483" s="14"/>
      <c r="N9483" s="14"/>
      <c r="O9483" s="14"/>
      <c r="P9483" s="13"/>
    </row>
    <row r="9484">
      <c r="L9484" s="13"/>
      <c r="M9484" s="14"/>
      <c r="N9484" s="14"/>
      <c r="O9484" s="14"/>
      <c r="P9484" s="13"/>
    </row>
    <row r="9485">
      <c r="L9485" s="13"/>
      <c r="M9485" s="14"/>
      <c r="N9485" s="14"/>
      <c r="O9485" s="14"/>
      <c r="P9485" s="13"/>
    </row>
    <row r="9486">
      <c r="L9486" s="13"/>
      <c r="M9486" s="14"/>
      <c r="N9486" s="14"/>
      <c r="O9486" s="14"/>
      <c r="P9486" s="13"/>
    </row>
    <row r="9487">
      <c r="L9487" s="13"/>
      <c r="M9487" s="14"/>
      <c r="N9487" s="14"/>
      <c r="O9487" s="14"/>
      <c r="P9487" s="13"/>
    </row>
    <row r="9488">
      <c r="L9488" s="13"/>
      <c r="M9488" s="14"/>
      <c r="N9488" s="14"/>
      <c r="O9488" s="14"/>
      <c r="P9488" s="13"/>
    </row>
    <row r="9489">
      <c r="L9489" s="13"/>
      <c r="M9489" s="14"/>
      <c r="N9489" s="14"/>
      <c r="O9489" s="14"/>
      <c r="P9489" s="13"/>
    </row>
    <row r="9490">
      <c r="L9490" s="13"/>
      <c r="M9490" s="14"/>
      <c r="N9490" s="14"/>
      <c r="O9490" s="14"/>
      <c r="P9490" s="13"/>
    </row>
    <row r="9491">
      <c r="L9491" s="13"/>
      <c r="M9491" s="14"/>
      <c r="N9491" s="14"/>
      <c r="O9491" s="14"/>
      <c r="P9491" s="13"/>
    </row>
    <row r="9492">
      <c r="L9492" s="13"/>
      <c r="M9492" s="14"/>
      <c r="N9492" s="14"/>
      <c r="O9492" s="14"/>
      <c r="P9492" s="13"/>
    </row>
    <row r="9493">
      <c r="L9493" s="13"/>
      <c r="M9493" s="14"/>
      <c r="N9493" s="14"/>
      <c r="O9493" s="14"/>
      <c r="P9493" s="13"/>
    </row>
    <row r="9494">
      <c r="L9494" s="13"/>
      <c r="M9494" s="14"/>
      <c r="N9494" s="14"/>
      <c r="O9494" s="14"/>
      <c r="P9494" s="13"/>
    </row>
    <row r="9495">
      <c r="L9495" s="13"/>
      <c r="M9495" s="14"/>
      <c r="N9495" s="14"/>
      <c r="O9495" s="14"/>
      <c r="P9495" s="13"/>
    </row>
    <row r="9496">
      <c r="L9496" s="13"/>
      <c r="M9496" s="14"/>
      <c r="N9496" s="14"/>
      <c r="O9496" s="14"/>
      <c r="P9496" s="13"/>
    </row>
    <row r="9497">
      <c r="L9497" s="13"/>
      <c r="M9497" s="14"/>
      <c r="N9497" s="14"/>
      <c r="O9497" s="14"/>
      <c r="P9497" s="13"/>
    </row>
    <row r="9498">
      <c r="L9498" s="13"/>
      <c r="M9498" s="14"/>
      <c r="N9498" s="14"/>
      <c r="O9498" s="14"/>
      <c r="P9498" s="13"/>
    </row>
    <row r="9499">
      <c r="L9499" s="13"/>
      <c r="M9499" s="14"/>
      <c r="N9499" s="14"/>
      <c r="O9499" s="14"/>
      <c r="P9499" s="13"/>
    </row>
    <row r="9500">
      <c r="L9500" s="13"/>
      <c r="M9500" s="14"/>
      <c r="N9500" s="14"/>
      <c r="O9500" s="14"/>
      <c r="P9500" s="13"/>
    </row>
    <row r="9501">
      <c r="L9501" s="13"/>
      <c r="M9501" s="14"/>
      <c r="N9501" s="14"/>
      <c r="O9501" s="14"/>
      <c r="P9501" s="13"/>
    </row>
    <row r="9502">
      <c r="L9502" s="13"/>
      <c r="M9502" s="14"/>
      <c r="N9502" s="14"/>
      <c r="O9502" s="14"/>
      <c r="P9502" s="13"/>
    </row>
    <row r="9503">
      <c r="L9503" s="13"/>
      <c r="M9503" s="14"/>
      <c r="N9503" s="14"/>
      <c r="O9503" s="14"/>
      <c r="P9503" s="13"/>
    </row>
    <row r="9504">
      <c r="L9504" s="13"/>
      <c r="M9504" s="14"/>
      <c r="N9504" s="14"/>
      <c r="O9504" s="14"/>
      <c r="P9504" s="13"/>
    </row>
    <row r="9505">
      <c r="L9505" s="13"/>
      <c r="M9505" s="14"/>
      <c r="N9505" s="14"/>
      <c r="O9505" s="14"/>
      <c r="P9505" s="13"/>
    </row>
    <row r="9506">
      <c r="L9506" s="13"/>
      <c r="M9506" s="14"/>
      <c r="N9506" s="14"/>
      <c r="O9506" s="14"/>
      <c r="P9506" s="13"/>
    </row>
    <row r="9507">
      <c r="L9507" s="13"/>
      <c r="M9507" s="14"/>
      <c r="N9507" s="14"/>
      <c r="O9507" s="14"/>
      <c r="P9507" s="13"/>
    </row>
    <row r="9508">
      <c r="L9508" s="13"/>
      <c r="M9508" s="14"/>
      <c r="N9508" s="14"/>
      <c r="O9508" s="14"/>
      <c r="P9508" s="13"/>
    </row>
    <row r="9509">
      <c r="L9509" s="13"/>
      <c r="M9509" s="14"/>
      <c r="N9509" s="14"/>
      <c r="O9509" s="14"/>
      <c r="P9509" s="13"/>
    </row>
    <row r="9510">
      <c r="L9510" s="13"/>
      <c r="M9510" s="14"/>
      <c r="N9510" s="14"/>
      <c r="O9510" s="14"/>
      <c r="P9510" s="13"/>
    </row>
    <row r="9511">
      <c r="L9511" s="13"/>
      <c r="M9511" s="14"/>
      <c r="N9511" s="14"/>
      <c r="O9511" s="14"/>
      <c r="P9511" s="13"/>
    </row>
    <row r="9512">
      <c r="L9512" s="13"/>
      <c r="M9512" s="14"/>
      <c r="N9512" s="14"/>
      <c r="O9512" s="14"/>
      <c r="P9512" s="13"/>
    </row>
    <row r="9513">
      <c r="L9513" s="13"/>
      <c r="M9513" s="14"/>
      <c r="N9513" s="14"/>
      <c r="O9513" s="14"/>
      <c r="P9513" s="13"/>
    </row>
    <row r="9514">
      <c r="L9514" s="13"/>
      <c r="M9514" s="14"/>
      <c r="N9514" s="14"/>
      <c r="O9514" s="14"/>
      <c r="P9514" s="13"/>
    </row>
    <row r="9515">
      <c r="L9515" s="13"/>
      <c r="M9515" s="14"/>
      <c r="N9515" s="14"/>
      <c r="O9515" s="14"/>
      <c r="P9515" s="13"/>
    </row>
    <row r="9516">
      <c r="L9516" s="13"/>
      <c r="M9516" s="14"/>
      <c r="N9516" s="14"/>
      <c r="O9516" s="14"/>
      <c r="P9516" s="13"/>
    </row>
    <row r="9517">
      <c r="L9517" s="13"/>
      <c r="M9517" s="14"/>
      <c r="N9517" s="14"/>
      <c r="O9517" s="14"/>
      <c r="P9517" s="13"/>
    </row>
    <row r="9518">
      <c r="L9518" s="13"/>
      <c r="M9518" s="14"/>
      <c r="N9518" s="14"/>
      <c r="O9518" s="14"/>
      <c r="P9518" s="13"/>
    </row>
    <row r="9519">
      <c r="L9519" s="13"/>
      <c r="M9519" s="14"/>
      <c r="N9519" s="14"/>
      <c r="O9519" s="14"/>
      <c r="P9519" s="13"/>
    </row>
    <row r="9520">
      <c r="L9520" s="13"/>
      <c r="M9520" s="14"/>
      <c r="N9520" s="14"/>
      <c r="O9520" s="14"/>
      <c r="P9520" s="13"/>
    </row>
    <row r="9521">
      <c r="L9521" s="13"/>
      <c r="M9521" s="14"/>
      <c r="N9521" s="14"/>
      <c r="O9521" s="14"/>
      <c r="P9521" s="13"/>
    </row>
    <row r="9522">
      <c r="L9522" s="13"/>
      <c r="M9522" s="14"/>
      <c r="N9522" s="14"/>
      <c r="O9522" s="14"/>
      <c r="P9522" s="13"/>
    </row>
    <row r="9523">
      <c r="L9523" s="13"/>
      <c r="M9523" s="14"/>
      <c r="N9523" s="14"/>
      <c r="O9523" s="14"/>
      <c r="P9523" s="13"/>
    </row>
    <row r="9524">
      <c r="L9524" s="13"/>
      <c r="M9524" s="14"/>
      <c r="N9524" s="14"/>
      <c r="O9524" s="14"/>
      <c r="P9524" s="13"/>
    </row>
    <row r="9525">
      <c r="L9525" s="13"/>
      <c r="M9525" s="14"/>
      <c r="N9525" s="14"/>
      <c r="O9525" s="14"/>
      <c r="P9525" s="13"/>
    </row>
    <row r="9526">
      <c r="L9526" s="13"/>
      <c r="M9526" s="14"/>
      <c r="N9526" s="14"/>
      <c r="O9526" s="14"/>
      <c r="P9526" s="13"/>
    </row>
    <row r="9527">
      <c r="L9527" s="13"/>
      <c r="M9527" s="14"/>
      <c r="N9527" s="14"/>
      <c r="O9527" s="14"/>
      <c r="P9527" s="13"/>
    </row>
    <row r="9528">
      <c r="L9528" s="13"/>
      <c r="M9528" s="14"/>
      <c r="N9528" s="14"/>
      <c r="O9528" s="14"/>
      <c r="P9528" s="13"/>
    </row>
    <row r="9529">
      <c r="L9529" s="13"/>
      <c r="M9529" s="14"/>
      <c r="N9529" s="14"/>
      <c r="O9529" s="14"/>
      <c r="P9529" s="13"/>
    </row>
    <row r="9530">
      <c r="L9530" s="13"/>
      <c r="M9530" s="14"/>
      <c r="N9530" s="14"/>
      <c r="O9530" s="14"/>
      <c r="P9530" s="13"/>
    </row>
    <row r="9531">
      <c r="L9531" s="13"/>
      <c r="M9531" s="14"/>
      <c r="N9531" s="14"/>
      <c r="O9531" s="14"/>
      <c r="P9531" s="13"/>
    </row>
    <row r="9532">
      <c r="L9532" s="13"/>
      <c r="M9532" s="14"/>
      <c r="N9532" s="14"/>
      <c r="O9532" s="14"/>
      <c r="P9532" s="13"/>
    </row>
    <row r="9533">
      <c r="L9533" s="13"/>
      <c r="M9533" s="14"/>
      <c r="N9533" s="14"/>
      <c r="O9533" s="14"/>
      <c r="P9533" s="13"/>
    </row>
    <row r="9534">
      <c r="L9534" s="13"/>
      <c r="M9534" s="14"/>
      <c r="N9534" s="14"/>
      <c r="O9534" s="14"/>
      <c r="P9534" s="13"/>
    </row>
    <row r="9535">
      <c r="L9535" s="13"/>
      <c r="M9535" s="14"/>
      <c r="N9535" s="14"/>
      <c r="O9535" s="14"/>
      <c r="P9535" s="13"/>
    </row>
    <row r="9536">
      <c r="L9536" s="13"/>
      <c r="M9536" s="14"/>
      <c r="N9536" s="14"/>
      <c r="O9536" s="14"/>
      <c r="P9536" s="13"/>
    </row>
    <row r="9537">
      <c r="L9537" s="13"/>
      <c r="M9537" s="14"/>
      <c r="N9537" s="14"/>
      <c r="O9537" s="14"/>
      <c r="P9537" s="13"/>
    </row>
    <row r="9538">
      <c r="L9538" s="13"/>
      <c r="M9538" s="14"/>
      <c r="N9538" s="14"/>
      <c r="O9538" s="14"/>
      <c r="P9538" s="13"/>
    </row>
    <row r="9539">
      <c r="L9539" s="13"/>
      <c r="M9539" s="14"/>
      <c r="N9539" s="14"/>
      <c r="O9539" s="14"/>
      <c r="P9539" s="13"/>
    </row>
    <row r="9540">
      <c r="L9540" s="13"/>
      <c r="M9540" s="14"/>
      <c r="N9540" s="14"/>
      <c r="O9540" s="14"/>
      <c r="P9540" s="13"/>
    </row>
    <row r="9541">
      <c r="L9541" s="13"/>
      <c r="M9541" s="14"/>
      <c r="N9541" s="14"/>
      <c r="O9541" s="14"/>
      <c r="P9541" s="13"/>
    </row>
    <row r="9542">
      <c r="L9542" s="13"/>
      <c r="M9542" s="14"/>
      <c r="N9542" s="14"/>
      <c r="O9542" s="14"/>
      <c r="P9542" s="13"/>
    </row>
    <row r="9543">
      <c r="L9543" s="13"/>
      <c r="M9543" s="14"/>
      <c r="N9543" s="14"/>
      <c r="O9543" s="14"/>
      <c r="P9543" s="13"/>
    </row>
    <row r="9544">
      <c r="L9544" s="13"/>
      <c r="M9544" s="14"/>
      <c r="N9544" s="14"/>
      <c r="O9544" s="14"/>
      <c r="P9544" s="13"/>
    </row>
    <row r="9545">
      <c r="L9545" s="13"/>
      <c r="M9545" s="14"/>
      <c r="N9545" s="14"/>
      <c r="O9545" s="14"/>
      <c r="P9545" s="13"/>
    </row>
    <row r="9546">
      <c r="L9546" s="13"/>
      <c r="M9546" s="14"/>
      <c r="N9546" s="14"/>
      <c r="O9546" s="14"/>
      <c r="P9546" s="13"/>
    </row>
    <row r="9547">
      <c r="L9547" s="13"/>
      <c r="M9547" s="14"/>
      <c r="N9547" s="14"/>
      <c r="O9547" s="14"/>
      <c r="P9547" s="13"/>
    </row>
    <row r="9548">
      <c r="L9548" s="13"/>
      <c r="M9548" s="14"/>
      <c r="N9548" s="14"/>
      <c r="O9548" s="14"/>
      <c r="P9548" s="13"/>
    </row>
    <row r="9549">
      <c r="L9549" s="13"/>
      <c r="M9549" s="14"/>
      <c r="N9549" s="14"/>
      <c r="O9549" s="14"/>
      <c r="P9549" s="13"/>
    </row>
    <row r="9550">
      <c r="L9550" s="13"/>
      <c r="M9550" s="14"/>
      <c r="N9550" s="14"/>
      <c r="O9550" s="14"/>
      <c r="P9550" s="13"/>
    </row>
    <row r="9551">
      <c r="L9551" s="13"/>
      <c r="M9551" s="14"/>
      <c r="N9551" s="14"/>
      <c r="O9551" s="14"/>
      <c r="P9551" s="13"/>
    </row>
    <row r="9552">
      <c r="L9552" s="13"/>
      <c r="M9552" s="14"/>
      <c r="N9552" s="14"/>
      <c r="O9552" s="14"/>
      <c r="P9552" s="13"/>
    </row>
    <row r="9553">
      <c r="L9553" s="13"/>
      <c r="M9553" s="14"/>
      <c r="N9553" s="14"/>
      <c r="O9553" s="14"/>
      <c r="P9553" s="13"/>
    </row>
    <row r="9554">
      <c r="L9554" s="13"/>
      <c r="M9554" s="14"/>
      <c r="N9554" s="14"/>
      <c r="O9554" s="14"/>
      <c r="P9554" s="13"/>
    </row>
    <row r="9555">
      <c r="L9555" s="13"/>
      <c r="M9555" s="14"/>
      <c r="N9555" s="14"/>
      <c r="O9555" s="14"/>
      <c r="P9555" s="13"/>
    </row>
    <row r="9556">
      <c r="L9556" s="13"/>
      <c r="M9556" s="14"/>
      <c r="N9556" s="14"/>
      <c r="O9556" s="14"/>
      <c r="P9556" s="13"/>
    </row>
    <row r="9557">
      <c r="L9557" s="13"/>
      <c r="M9557" s="14"/>
      <c r="N9557" s="14"/>
      <c r="O9557" s="14"/>
      <c r="P9557" s="13"/>
    </row>
    <row r="9558">
      <c r="L9558" s="13"/>
      <c r="M9558" s="14"/>
      <c r="N9558" s="14"/>
      <c r="O9558" s="14"/>
      <c r="P9558" s="13"/>
    </row>
    <row r="9559">
      <c r="L9559" s="13"/>
      <c r="M9559" s="14"/>
      <c r="N9559" s="14"/>
      <c r="O9559" s="14"/>
      <c r="P9559" s="13"/>
    </row>
    <row r="9560">
      <c r="L9560" s="13"/>
      <c r="M9560" s="14"/>
      <c r="N9560" s="14"/>
      <c r="O9560" s="14"/>
      <c r="P9560" s="13"/>
    </row>
    <row r="9561">
      <c r="L9561" s="13"/>
      <c r="M9561" s="14"/>
      <c r="N9561" s="14"/>
      <c r="O9561" s="14"/>
      <c r="P9561" s="13"/>
    </row>
    <row r="9562">
      <c r="L9562" s="13"/>
      <c r="M9562" s="14"/>
      <c r="N9562" s="14"/>
      <c r="O9562" s="14"/>
      <c r="P9562" s="13"/>
    </row>
    <row r="9563">
      <c r="L9563" s="13"/>
      <c r="M9563" s="14"/>
      <c r="N9563" s="14"/>
      <c r="O9563" s="14"/>
      <c r="P9563" s="13"/>
    </row>
    <row r="9564">
      <c r="L9564" s="13"/>
      <c r="M9564" s="14"/>
      <c r="N9564" s="14"/>
      <c r="O9564" s="14"/>
      <c r="P9564" s="13"/>
    </row>
    <row r="9565">
      <c r="L9565" s="13"/>
      <c r="M9565" s="14"/>
      <c r="N9565" s="14"/>
      <c r="O9565" s="14"/>
      <c r="P9565" s="13"/>
    </row>
    <row r="9566">
      <c r="L9566" s="13"/>
      <c r="M9566" s="14"/>
      <c r="N9566" s="14"/>
      <c r="O9566" s="14"/>
      <c r="P9566" s="13"/>
    </row>
    <row r="9567">
      <c r="L9567" s="13"/>
      <c r="M9567" s="14"/>
      <c r="N9567" s="14"/>
      <c r="O9567" s="14"/>
      <c r="P9567" s="13"/>
    </row>
    <row r="9568">
      <c r="L9568" s="13"/>
      <c r="M9568" s="14"/>
      <c r="N9568" s="14"/>
      <c r="O9568" s="14"/>
      <c r="P9568" s="13"/>
    </row>
    <row r="9569">
      <c r="L9569" s="13"/>
      <c r="M9569" s="14"/>
      <c r="N9569" s="14"/>
      <c r="O9569" s="14"/>
      <c r="P9569" s="13"/>
    </row>
    <row r="9570">
      <c r="L9570" s="13"/>
      <c r="M9570" s="14"/>
      <c r="N9570" s="14"/>
      <c r="O9570" s="14"/>
      <c r="P9570" s="13"/>
    </row>
    <row r="9571">
      <c r="L9571" s="13"/>
      <c r="M9571" s="14"/>
      <c r="N9571" s="14"/>
      <c r="O9571" s="14"/>
      <c r="P9571" s="13"/>
    </row>
    <row r="9572">
      <c r="L9572" s="13"/>
      <c r="M9572" s="14"/>
      <c r="N9572" s="14"/>
      <c r="O9572" s="14"/>
      <c r="P9572" s="13"/>
    </row>
    <row r="9573">
      <c r="L9573" s="13"/>
      <c r="M9573" s="14"/>
      <c r="N9573" s="14"/>
      <c r="O9573" s="14"/>
      <c r="P9573" s="13"/>
    </row>
    <row r="9574">
      <c r="L9574" s="13"/>
      <c r="M9574" s="14"/>
      <c r="N9574" s="14"/>
      <c r="O9574" s="14"/>
      <c r="P9574" s="13"/>
    </row>
    <row r="9575">
      <c r="L9575" s="13"/>
      <c r="M9575" s="14"/>
      <c r="N9575" s="14"/>
      <c r="O9575" s="14"/>
      <c r="P9575" s="13"/>
    </row>
    <row r="9576">
      <c r="L9576" s="13"/>
      <c r="M9576" s="14"/>
      <c r="N9576" s="14"/>
      <c r="O9576" s="14"/>
      <c r="P9576" s="13"/>
    </row>
    <row r="9577">
      <c r="L9577" s="13"/>
      <c r="M9577" s="14"/>
      <c r="N9577" s="14"/>
      <c r="O9577" s="14"/>
      <c r="P9577" s="13"/>
    </row>
    <row r="9578">
      <c r="L9578" s="13"/>
      <c r="M9578" s="14"/>
      <c r="N9578" s="14"/>
      <c r="O9578" s="14"/>
      <c r="P9578" s="13"/>
    </row>
    <row r="9579">
      <c r="L9579" s="13"/>
      <c r="M9579" s="14"/>
      <c r="N9579" s="14"/>
      <c r="O9579" s="14"/>
      <c r="P9579" s="13"/>
    </row>
    <row r="9580">
      <c r="L9580" s="13"/>
      <c r="M9580" s="14"/>
      <c r="N9580" s="14"/>
      <c r="O9580" s="14"/>
      <c r="P9580" s="13"/>
    </row>
    <row r="9581">
      <c r="L9581" s="13"/>
      <c r="M9581" s="14"/>
      <c r="N9581" s="14"/>
      <c r="O9581" s="14"/>
      <c r="P9581" s="13"/>
    </row>
    <row r="9582">
      <c r="L9582" s="13"/>
      <c r="M9582" s="14"/>
      <c r="N9582" s="14"/>
      <c r="O9582" s="14"/>
      <c r="P9582" s="13"/>
    </row>
    <row r="9583">
      <c r="L9583" s="13"/>
      <c r="M9583" s="14"/>
      <c r="N9583" s="14"/>
      <c r="O9583" s="14"/>
      <c r="P9583" s="13"/>
    </row>
    <row r="9584">
      <c r="L9584" s="13"/>
      <c r="M9584" s="14"/>
      <c r="N9584" s="14"/>
      <c r="O9584" s="14"/>
      <c r="P9584" s="13"/>
    </row>
    <row r="9585">
      <c r="L9585" s="13"/>
      <c r="M9585" s="14"/>
      <c r="N9585" s="14"/>
      <c r="O9585" s="14"/>
      <c r="P9585" s="13"/>
    </row>
    <row r="9586">
      <c r="L9586" s="13"/>
      <c r="M9586" s="14"/>
      <c r="N9586" s="14"/>
      <c r="O9586" s="14"/>
      <c r="P9586" s="13"/>
    </row>
    <row r="9587">
      <c r="L9587" s="13"/>
      <c r="M9587" s="14"/>
      <c r="N9587" s="14"/>
      <c r="O9587" s="14"/>
      <c r="P9587" s="13"/>
    </row>
    <row r="9588">
      <c r="L9588" s="13"/>
      <c r="M9588" s="14"/>
      <c r="N9588" s="14"/>
      <c r="O9588" s="14"/>
      <c r="P9588" s="13"/>
    </row>
    <row r="9589">
      <c r="L9589" s="13"/>
      <c r="M9589" s="14"/>
      <c r="N9589" s="14"/>
      <c r="O9589" s="14"/>
      <c r="P9589" s="13"/>
    </row>
    <row r="9590">
      <c r="L9590" s="13"/>
      <c r="M9590" s="14"/>
      <c r="N9590" s="14"/>
      <c r="O9590" s="14"/>
      <c r="P9590" s="13"/>
    </row>
    <row r="9591">
      <c r="L9591" s="13"/>
      <c r="M9591" s="14"/>
      <c r="N9591" s="14"/>
      <c r="O9591" s="14"/>
      <c r="P9591" s="13"/>
    </row>
    <row r="9592">
      <c r="L9592" s="13"/>
      <c r="M9592" s="14"/>
      <c r="N9592" s="14"/>
      <c r="O9592" s="14"/>
      <c r="P9592" s="13"/>
    </row>
    <row r="9593">
      <c r="L9593" s="13"/>
      <c r="M9593" s="14"/>
      <c r="N9593" s="14"/>
      <c r="O9593" s="14"/>
      <c r="P9593" s="13"/>
    </row>
    <row r="9594">
      <c r="L9594" s="13"/>
      <c r="M9594" s="14"/>
      <c r="N9594" s="14"/>
      <c r="O9594" s="14"/>
      <c r="P9594" s="13"/>
    </row>
    <row r="9595">
      <c r="L9595" s="13"/>
      <c r="M9595" s="14"/>
      <c r="N9595" s="14"/>
      <c r="O9595" s="14"/>
      <c r="P9595" s="13"/>
    </row>
    <row r="9596">
      <c r="L9596" s="13"/>
      <c r="M9596" s="14"/>
      <c r="N9596" s="14"/>
      <c r="O9596" s="14"/>
      <c r="P9596" s="13"/>
    </row>
    <row r="9597">
      <c r="L9597" s="13"/>
      <c r="M9597" s="14"/>
      <c r="N9597" s="14"/>
      <c r="O9597" s="14"/>
      <c r="P9597" s="13"/>
    </row>
    <row r="9598">
      <c r="L9598" s="13"/>
      <c r="M9598" s="14"/>
      <c r="N9598" s="14"/>
      <c r="O9598" s="14"/>
      <c r="P9598" s="13"/>
    </row>
    <row r="9599">
      <c r="L9599" s="13"/>
      <c r="M9599" s="14"/>
      <c r="N9599" s="14"/>
      <c r="O9599" s="14"/>
      <c r="P9599" s="13"/>
    </row>
    <row r="9600">
      <c r="L9600" s="13"/>
      <c r="M9600" s="14"/>
      <c r="N9600" s="14"/>
      <c r="O9600" s="14"/>
      <c r="P9600" s="13"/>
    </row>
    <row r="9601">
      <c r="L9601" s="13"/>
      <c r="M9601" s="14"/>
      <c r="N9601" s="14"/>
      <c r="O9601" s="14"/>
      <c r="P9601" s="13"/>
    </row>
    <row r="9602">
      <c r="L9602" s="13"/>
      <c r="M9602" s="14"/>
      <c r="N9602" s="14"/>
      <c r="O9602" s="14"/>
      <c r="P9602" s="13"/>
    </row>
    <row r="9603">
      <c r="L9603" s="13"/>
      <c r="M9603" s="14"/>
      <c r="N9603" s="14"/>
      <c r="O9603" s="14"/>
      <c r="P9603" s="13"/>
    </row>
    <row r="9604">
      <c r="L9604" s="13"/>
      <c r="M9604" s="14"/>
      <c r="N9604" s="14"/>
      <c r="O9604" s="14"/>
      <c r="P9604" s="13"/>
    </row>
    <row r="9605">
      <c r="L9605" s="13"/>
      <c r="M9605" s="14"/>
      <c r="N9605" s="14"/>
      <c r="O9605" s="14"/>
      <c r="P9605" s="13"/>
    </row>
    <row r="9606">
      <c r="L9606" s="13"/>
      <c r="M9606" s="14"/>
      <c r="N9606" s="14"/>
      <c r="O9606" s="14"/>
      <c r="P9606" s="13"/>
    </row>
    <row r="9607">
      <c r="L9607" s="13"/>
      <c r="M9607" s="14"/>
      <c r="N9607" s="14"/>
      <c r="O9607" s="14"/>
      <c r="P9607" s="13"/>
    </row>
    <row r="9608">
      <c r="L9608" s="13"/>
      <c r="M9608" s="14"/>
      <c r="N9608" s="14"/>
      <c r="O9608" s="14"/>
      <c r="P9608" s="13"/>
    </row>
    <row r="9609">
      <c r="L9609" s="13"/>
      <c r="M9609" s="14"/>
      <c r="N9609" s="14"/>
      <c r="O9609" s="14"/>
      <c r="P9609" s="13"/>
    </row>
    <row r="9610">
      <c r="L9610" s="13"/>
      <c r="M9610" s="14"/>
      <c r="N9610" s="14"/>
      <c r="O9610" s="14"/>
      <c r="P9610" s="13"/>
    </row>
    <row r="9611">
      <c r="L9611" s="13"/>
      <c r="M9611" s="14"/>
      <c r="N9611" s="14"/>
      <c r="O9611" s="14"/>
      <c r="P9611" s="13"/>
    </row>
    <row r="9612">
      <c r="L9612" s="13"/>
      <c r="M9612" s="14"/>
      <c r="N9612" s="14"/>
      <c r="O9612" s="14"/>
      <c r="P9612" s="13"/>
    </row>
    <row r="9613">
      <c r="L9613" s="13"/>
      <c r="M9613" s="14"/>
      <c r="N9613" s="14"/>
      <c r="O9613" s="14"/>
      <c r="P9613" s="13"/>
    </row>
    <row r="9614">
      <c r="L9614" s="13"/>
      <c r="M9614" s="14"/>
      <c r="N9614" s="14"/>
      <c r="O9614" s="14"/>
      <c r="P9614" s="13"/>
    </row>
    <row r="9615">
      <c r="L9615" s="13"/>
      <c r="M9615" s="14"/>
      <c r="N9615" s="14"/>
      <c r="O9615" s="14"/>
      <c r="P9615" s="13"/>
    </row>
    <row r="9616">
      <c r="L9616" s="13"/>
      <c r="M9616" s="14"/>
      <c r="N9616" s="14"/>
      <c r="O9616" s="14"/>
      <c r="P9616" s="13"/>
    </row>
    <row r="9617">
      <c r="L9617" s="13"/>
      <c r="M9617" s="14"/>
      <c r="N9617" s="14"/>
      <c r="O9617" s="14"/>
      <c r="P9617" s="13"/>
    </row>
    <row r="9618">
      <c r="L9618" s="13"/>
      <c r="M9618" s="14"/>
      <c r="N9618" s="14"/>
      <c r="O9618" s="14"/>
      <c r="P9618" s="13"/>
    </row>
    <row r="9619">
      <c r="L9619" s="13"/>
      <c r="M9619" s="14"/>
      <c r="N9619" s="14"/>
      <c r="O9619" s="14"/>
      <c r="P9619" s="13"/>
    </row>
    <row r="9620">
      <c r="L9620" s="13"/>
      <c r="M9620" s="14"/>
      <c r="N9620" s="14"/>
      <c r="O9620" s="14"/>
      <c r="P9620" s="13"/>
    </row>
    <row r="9621">
      <c r="L9621" s="13"/>
      <c r="M9621" s="14"/>
      <c r="N9621" s="14"/>
      <c r="O9621" s="14"/>
      <c r="P9621" s="13"/>
    </row>
    <row r="9622">
      <c r="L9622" s="13"/>
      <c r="M9622" s="14"/>
      <c r="N9622" s="14"/>
      <c r="O9622" s="14"/>
      <c r="P9622" s="13"/>
    </row>
    <row r="9623">
      <c r="L9623" s="13"/>
      <c r="M9623" s="14"/>
      <c r="N9623" s="14"/>
      <c r="O9623" s="14"/>
      <c r="P9623" s="13"/>
    </row>
    <row r="9624">
      <c r="L9624" s="13"/>
      <c r="M9624" s="14"/>
      <c r="N9624" s="14"/>
      <c r="O9624" s="14"/>
      <c r="P9624" s="13"/>
    </row>
    <row r="9625">
      <c r="L9625" s="13"/>
      <c r="M9625" s="14"/>
      <c r="N9625" s="14"/>
      <c r="O9625" s="14"/>
      <c r="P9625" s="13"/>
    </row>
    <row r="9626">
      <c r="L9626" s="13"/>
      <c r="M9626" s="14"/>
      <c r="N9626" s="14"/>
      <c r="O9626" s="14"/>
      <c r="P9626" s="13"/>
    </row>
    <row r="9627">
      <c r="L9627" s="13"/>
      <c r="M9627" s="14"/>
      <c r="N9627" s="14"/>
      <c r="O9627" s="14"/>
      <c r="P9627" s="13"/>
    </row>
    <row r="9628">
      <c r="L9628" s="13"/>
      <c r="M9628" s="14"/>
      <c r="N9628" s="14"/>
      <c r="O9628" s="14"/>
      <c r="P9628" s="13"/>
    </row>
    <row r="9629">
      <c r="L9629" s="13"/>
      <c r="M9629" s="14"/>
      <c r="N9629" s="14"/>
      <c r="O9629" s="14"/>
      <c r="P9629" s="13"/>
    </row>
    <row r="9630">
      <c r="L9630" s="13"/>
      <c r="M9630" s="14"/>
      <c r="N9630" s="14"/>
      <c r="O9630" s="14"/>
      <c r="P9630" s="13"/>
    </row>
    <row r="9631">
      <c r="L9631" s="13"/>
      <c r="M9631" s="14"/>
      <c r="N9631" s="14"/>
      <c r="O9631" s="14"/>
      <c r="P9631" s="13"/>
    </row>
    <row r="9632">
      <c r="L9632" s="13"/>
      <c r="M9632" s="14"/>
      <c r="N9632" s="14"/>
      <c r="O9632" s="14"/>
      <c r="P9632" s="13"/>
    </row>
    <row r="9633">
      <c r="L9633" s="13"/>
      <c r="M9633" s="14"/>
      <c r="N9633" s="14"/>
      <c r="O9633" s="14"/>
      <c r="P9633" s="13"/>
    </row>
    <row r="9634">
      <c r="L9634" s="13"/>
      <c r="M9634" s="14"/>
      <c r="N9634" s="14"/>
      <c r="O9634" s="14"/>
      <c r="P9634" s="13"/>
    </row>
    <row r="9635">
      <c r="L9635" s="13"/>
      <c r="M9635" s="14"/>
      <c r="N9635" s="14"/>
      <c r="O9635" s="14"/>
      <c r="P9635" s="13"/>
    </row>
    <row r="9636">
      <c r="L9636" s="13"/>
      <c r="M9636" s="14"/>
      <c r="N9636" s="14"/>
      <c r="O9636" s="14"/>
      <c r="P9636" s="13"/>
    </row>
    <row r="9637">
      <c r="L9637" s="13"/>
      <c r="M9637" s="14"/>
      <c r="N9637" s="14"/>
      <c r="O9637" s="14"/>
      <c r="P9637" s="13"/>
    </row>
    <row r="9638">
      <c r="L9638" s="13"/>
      <c r="M9638" s="14"/>
      <c r="N9638" s="14"/>
      <c r="O9638" s="14"/>
      <c r="P9638" s="13"/>
    </row>
    <row r="9639">
      <c r="L9639" s="13"/>
      <c r="M9639" s="14"/>
      <c r="N9639" s="14"/>
      <c r="O9639" s="14"/>
      <c r="P9639" s="13"/>
    </row>
    <row r="9640">
      <c r="L9640" s="13"/>
      <c r="M9640" s="14"/>
      <c r="N9640" s="14"/>
      <c r="O9640" s="14"/>
      <c r="P9640" s="13"/>
    </row>
    <row r="9641">
      <c r="L9641" s="13"/>
      <c r="M9641" s="14"/>
      <c r="N9641" s="14"/>
      <c r="O9641" s="14"/>
      <c r="P9641" s="13"/>
    </row>
    <row r="9642">
      <c r="L9642" s="13"/>
      <c r="M9642" s="14"/>
      <c r="N9642" s="14"/>
      <c r="O9642" s="14"/>
      <c r="P9642" s="13"/>
    </row>
    <row r="9643">
      <c r="L9643" s="13"/>
      <c r="M9643" s="14"/>
      <c r="N9643" s="14"/>
      <c r="O9643" s="14"/>
      <c r="P9643" s="13"/>
    </row>
    <row r="9644">
      <c r="L9644" s="13"/>
      <c r="M9644" s="14"/>
      <c r="N9644" s="14"/>
      <c r="O9644" s="14"/>
      <c r="P9644" s="13"/>
    </row>
    <row r="9645">
      <c r="L9645" s="13"/>
      <c r="M9645" s="14"/>
      <c r="N9645" s="14"/>
      <c r="O9645" s="14"/>
      <c r="P9645" s="13"/>
    </row>
    <row r="9646">
      <c r="L9646" s="13"/>
      <c r="M9646" s="14"/>
      <c r="N9646" s="14"/>
      <c r="O9646" s="14"/>
      <c r="P9646" s="13"/>
    </row>
    <row r="9647">
      <c r="L9647" s="13"/>
      <c r="M9647" s="14"/>
      <c r="N9647" s="14"/>
      <c r="O9647" s="14"/>
      <c r="P9647" s="13"/>
    </row>
    <row r="9648">
      <c r="L9648" s="13"/>
      <c r="M9648" s="14"/>
      <c r="N9648" s="14"/>
      <c r="O9648" s="14"/>
      <c r="P9648" s="13"/>
    </row>
    <row r="9649">
      <c r="L9649" s="13"/>
      <c r="M9649" s="14"/>
      <c r="N9649" s="14"/>
      <c r="O9649" s="14"/>
      <c r="P9649" s="13"/>
    </row>
    <row r="9650">
      <c r="L9650" s="13"/>
      <c r="M9650" s="14"/>
      <c r="N9650" s="14"/>
      <c r="O9650" s="14"/>
      <c r="P9650" s="13"/>
    </row>
    <row r="9651">
      <c r="L9651" s="13"/>
      <c r="M9651" s="14"/>
      <c r="N9651" s="14"/>
      <c r="O9651" s="14"/>
      <c r="P9651" s="13"/>
    </row>
    <row r="9652">
      <c r="L9652" s="13"/>
      <c r="M9652" s="14"/>
      <c r="N9652" s="14"/>
      <c r="O9652" s="14"/>
      <c r="P9652" s="13"/>
    </row>
    <row r="9653">
      <c r="L9653" s="13"/>
      <c r="M9653" s="14"/>
      <c r="N9653" s="14"/>
      <c r="O9653" s="14"/>
      <c r="P9653" s="13"/>
    </row>
    <row r="9654">
      <c r="L9654" s="13"/>
      <c r="M9654" s="14"/>
      <c r="N9654" s="14"/>
      <c r="O9654" s="14"/>
      <c r="P9654" s="13"/>
    </row>
    <row r="9655">
      <c r="L9655" s="13"/>
      <c r="M9655" s="14"/>
      <c r="N9655" s="14"/>
      <c r="O9655" s="14"/>
      <c r="P9655" s="13"/>
    </row>
    <row r="9656">
      <c r="L9656" s="13"/>
      <c r="M9656" s="14"/>
      <c r="N9656" s="14"/>
      <c r="O9656" s="14"/>
      <c r="P9656" s="13"/>
    </row>
    <row r="9657">
      <c r="L9657" s="13"/>
      <c r="M9657" s="14"/>
      <c r="N9657" s="14"/>
      <c r="O9657" s="14"/>
      <c r="P9657" s="13"/>
    </row>
    <row r="9658">
      <c r="L9658" s="13"/>
      <c r="M9658" s="14"/>
      <c r="N9658" s="14"/>
      <c r="O9658" s="14"/>
      <c r="P9658" s="13"/>
    </row>
    <row r="9659">
      <c r="L9659" s="13"/>
      <c r="M9659" s="14"/>
      <c r="N9659" s="14"/>
      <c r="O9659" s="14"/>
      <c r="P9659" s="13"/>
    </row>
    <row r="9660">
      <c r="L9660" s="13"/>
      <c r="M9660" s="14"/>
      <c r="N9660" s="14"/>
      <c r="O9660" s="14"/>
      <c r="P9660" s="13"/>
    </row>
    <row r="9661">
      <c r="L9661" s="13"/>
      <c r="M9661" s="14"/>
      <c r="N9661" s="14"/>
      <c r="O9661" s="14"/>
      <c r="P9661" s="13"/>
    </row>
    <row r="9662">
      <c r="L9662" s="13"/>
      <c r="M9662" s="14"/>
      <c r="N9662" s="14"/>
      <c r="O9662" s="14"/>
      <c r="P9662" s="13"/>
    </row>
    <row r="9663">
      <c r="L9663" s="13"/>
      <c r="M9663" s="14"/>
      <c r="N9663" s="14"/>
      <c r="O9663" s="14"/>
      <c r="P9663" s="13"/>
    </row>
    <row r="9664">
      <c r="L9664" s="13"/>
      <c r="M9664" s="14"/>
      <c r="N9664" s="14"/>
      <c r="O9664" s="14"/>
      <c r="P9664" s="13"/>
    </row>
    <row r="9665">
      <c r="L9665" s="13"/>
      <c r="M9665" s="14"/>
      <c r="N9665" s="14"/>
      <c r="O9665" s="14"/>
      <c r="P9665" s="13"/>
    </row>
    <row r="9666">
      <c r="L9666" s="13"/>
      <c r="M9666" s="14"/>
      <c r="N9666" s="14"/>
      <c r="O9666" s="14"/>
      <c r="P9666" s="13"/>
    </row>
    <row r="9667">
      <c r="L9667" s="13"/>
      <c r="M9667" s="14"/>
      <c r="N9667" s="14"/>
      <c r="O9667" s="14"/>
      <c r="P9667" s="13"/>
    </row>
    <row r="9668">
      <c r="L9668" s="13"/>
      <c r="M9668" s="14"/>
      <c r="N9668" s="14"/>
      <c r="O9668" s="14"/>
      <c r="P9668" s="13"/>
    </row>
    <row r="9669">
      <c r="L9669" s="13"/>
      <c r="M9669" s="14"/>
      <c r="N9669" s="14"/>
      <c r="O9669" s="14"/>
      <c r="P9669" s="13"/>
    </row>
    <row r="9670">
      <c r="L9670" s="13"/>
      <c r="M9670" s="14"/>
      <c r="N9670" s="14"/>
      <c r="O9670" s="14"/>
      <c r="P9670" s="13"/>
    </row>
    <row r="9671">
      <c r="L9671" s="13"/>
      <c r="M9671" s="14"/>
      <c r="N9671" s="14"/>
      <c r="O9671" s="14"/>
      <c r="P9671" s="13"/>
    </row>
    <row r="9672">
      <c r="L9672" s="13"/>
      <c r="M9672" s="14"/>
      <c r="N9672" s="14"/>
      <c r="O9672" s="14"/>
      <c r="P9672" s="13"/>
    </row>
    <row r="9673">
      <c r="L9673" s="13"/>
      <c r="M9673" s="14"/>
      <c r="N9673" s="14"/>
      <c r="O9673" s="14"/>
      <c r="P9673" s="13"/>
    </row>
    <row r="9674">
      <c r="L9674" s="13"/>
      <c r="M9674" s="14"/>
      <c r="N9674" s="14"/>
      <c r="O9674" s="14"/>
      <c r="P9674" s="13"/>
    </row>
    <row r="9675">
      <c r="L9675" s="13"/>
      <c r="M9675" s="14"/>
      <c r="N9675" s="14"/>
      <c r="O9675" s="14"/>
      <c r="P9675" s="13"/>
    </row>
    <row r="9676">
      <c r="L9676" s="13"/>
      <c r="M9676" s="14"/>
      <c r="N9676" s="14"/>
      <c r="O9676" s="14"/>
      <c r="P9676" s="13"/>
    </row>
    <row r="9677">
      <c r="L9677" s="13"/>
      <c r="M9677" s="14"/>
      <c r="N9677" s="14"/>
      <c r="O9677" s="14"/>
      <c r="P9677" s="13"/>
    </row>
    <row r="9678">
      <c r="L9678" s="13"/>
      <c r="M9678" s="14"/>
      <c r="N9678" s="14"/>
      <c r="O9678" s="14"/>
      <c r="P9678" s="13"/>
    </row>
    <row r="9679">
      <c r="L9679" s="13"/>
      <c r="M9679" s="14"/>
      <c r="N9679" s="14"/>
      <c r="O9679" s="14"/>
      <c r="P9679" s="13"/>
    </row>
    <row r="9680">
      <c r="L9680" s="13"/>
      <c r="M9680" s="14"/>
      <c r="N9680" s="14"/>
      <c r="O9680" s="14"/>
      <c r="P9680" s="13"/>
    </row>
    <row r="9681">
      <c r="L9681" s="13"/>
      <c r="M9681" s="14"/>
      <c r="N9681" s="14"/>
      <c r="O9681" s="14"/>
      <c r="P9681" s="13"/>
    </row>
    <row r="9682">
      <c r="L9682" s="13"/>
      <c r="M9682" s="14"/>
      <c r="N9682" s="14"/>
      <c r="O9682" s="14"/>
      <c r="P9682" s="13"/>
    </row>
    <row r="9683">
      <c r="L9683" s="13"/>
      <c r="M9683" s="14"/>
      <c r="N9683" s="14"/>
      <c r="O9683" s="14"/>
      <c r="P9683" s="13"/>
    </row>
    <row r="9684">
      <c r="L9684" s="13"/>
      <c r="M9684" s="14"/>
      <c r="N9684" s="14"/>
      <c r="O9684" s="14"/>
      <c r="P9684" s="13"/>
    </row>
    <row r="9685">
      <c r="L9685" s="13"/>
      <c r="M9685" s="14"/>
      <c r="N9685" s="14"/>
      <c r="O9685" s="14"/>
      <c r="P9685" s="13"/>
    </row>
    <row r="9686">
      <c r="L9686" s="13"/>
      <c r="M9686" s="14"/>
      <c r="N9686" s="14"/>
      <c r="O9686" s="14"/>
      <c r="P9686" s="13"/>
    </row>
    <row r="9687">
      <c r="L9687" s="13"/>
      <c r="M9687" s="14"/>
      <c r="N9687" s="14"/>
      <c r="O9687" s="14"/>
      <c r="P9687" s="13"/>
    </row>
    <row r="9688">
      <c r="L9688" s="13"/>
      <c r="M9688" s="14"/>
      <c r="N9688" s="14"/>
      <c r="O9688" s="14"/>
      <c r="P9688" s="13"/>
    </row>
    <row r="9689">
      <c r="L9689" s="13"/>
      <c r="M9689" s="14"/>
      <c r="N9689" s="14"/>
      <c r="O9689" s="14"/>
      <c r="P9689" s="13"/>
    </row>
    <row r="9690">
      <c r="L9690" s="13"/>
      <c r="M9690" s="14"/>
      <c r="N9690" s="14"/>
      <c r="O9690" s="14"/>
      <c r="P9690" s="13"/>
    </row>
    <row r="9691">
      <c r="L9691" s="13"/>
      <c r="M9691" s="14"/>
      <c r="N9691" s="14"/>
      <c r="O9691" s="14"/>
      <c r="P9691" s="13"/>
    </row>
    <row r="9692">
      <c r="L9692" s="13"/>
      <c r="M9692" s="14"/>
      <c r="N9692" s="14"/>
      <c r="O9692" s="14"/>
      <c r="P9692" s="13"/>
    </row>
    <row r="9693">
      <c r="L9693" s="13"/>
      <c r="M9693" s="14"/>
      <c r="N9693" s="14"/>
      <c r="O9693" s="14"/>
      <c r="P9693" s="13"/>
    </row>
    <row r="9694">
      <c r="L9694" s="13"/>
      <c r="M9694" s="14"/>
      <c r="N9694" s="14"/>
      <c r="O9694" s="14"/>
      <c r="P9694" s="13"/>
    </row>
    <row r="9695">
      <c r="L9695" s="13"/>
      <c r="M9695" s="14"/>
      <c r="N9695" s="14"/>
      <c r="O9695" s="14"/>
      <c r="P9695" s="13"/>
    </row>
    <row r="9696">
      <c r="L9696" s="13"/>
      <c r="M9696" s="14"/>
      <c r="N9696" s="14"/>
      <c r="O9696" s="14"/>
      <c r="P9696" s="13"/>
    </row>
    <row r="9697">
      <c r="L9697" s="13"/>
      <c r="M9697" s="14"/>
      <c r="N9697" s="14"/>
      <c r="O9697" s="14"/>
      <c r="P9697" s="13"/>
    </row>
    <row r="9698">
      <c r="L9698" s="13"/>
      <c r="M9698" s="14"/>
      <c r="N9698" s="14"/>
      <c r="O9698" s="14"/>
      <c r="P9698" s="13"/>
    </row>
    <row r="9699">
      <c r="L9699" s="13"/>
      <c r="M9699" s="14"/>
      <c r="N9699" s="14"/>
      <c r="O9699" s="14"/>
      <c r="P9699" s="13"/>
    </row>
    <row r="9700">
      <c r="L9700" s="13"/>
      <c r="M9700" s="14"/>
      <c r="N9700" s="14"/>
      <c r="O9700" s="14"/>
      <c r="P9700" s="13"/>
    </row>
    <row r="9701">
      <c r="L9701" s="13"/>
      <c r="M9701" s="14"/>
      <c r="N9701" s="14"/>
      <c r="O9701" s="14"/>
      <c r="P9701" s="13"/>
    </row>
    <row r="9702">
      <c r="L9702" s="13"/>
      <c r="M9702" s="14"/>
      <c r="N9702" s="14"/>
      <c r="O9702" s="14"/>
      <c r="P9702" s="13"/>
    </row>
    <row r="9703">
      <c r="L9703" s="13"/>
      <c r="M9703" s="14"/>
      <c r="N9703" s="14"/>
      <c r="O9703" s="14"/>
      <c r="P9703" s="13"/>
    </row>
    <row r="9704">
      <c r="L9704" s="13"/>
      <c r="M9704" s="14"/>
      <c r="N9704" s="14"/>
      <c r="O9704" s="14"/>
      <c r="P9704" s="13"/>
    </row>
    <row r="9705">
      <c r="L9705" s="13"/>
      <c r="M9705" s="14"/>
      <c r="N9705" s="14"/>
      <c r="O9705" s="14"/>
      <c r="P9705" s="13"/>
    </row>
    <row r="9706">
      <c r="L9706" s="13"/>
      <c r="M9706" s="14"/>
      <c r="N9706" s="14"/>
      <c r="O9706" s="14"/>
      <c r="P9706" s="13"/>
    </row>
    <row r="9707">
      <c r="L9707" s="13"/>
      <c r="M9707" s="14"/>
      <c r="N9707" s="14"/>
      <c r="O9707" s="14"/>
      <c r="P9707" s="13"/>
    </row>
    <row r="9708">
      <c r="L9708" s="13"/>
      <c r="M9708" s="14"/>
      <c r="N9708" s="14"/>
      <c r="O9708" s="14"/>
      <c r="P9708" s="13"/>
    </row>
    <row r="9709">
      <c r="L9709" s="13"/>
      <c r="M9709" s="14"/>
      <c r="N9709" s="14"/>
      <c r="O9709" s="14"/>
      <c r="P9709" s="13"/>
    </row>
    <row r="9710">
      <c r="L9710" s="13"/>
      <c r="M9710" s="14"/>
      <c r="N9710" s="14"/>
      <c r="O9710" s="14"/>
      <c r="P9710" s="13"/>
    </row>
    <row r="9711">
      <c r="L9711" s="13"/>
      <c r="M9711" s="14"/>
      <c r="N9711" s="14"/>
      <c r="O9711" s="14"/>
      <c r="P9711" s="13"/>
    </row>
    <row r="9712">
      <c r="L9712" s="13"/>
      <c r="M9712" s="14"/>
      <c r="N9712" s="14"/>
      <c r="O9712" s="14"/>
      <c r="P9712" s="13"/>
    </row>
    <row r="9713">
      <c r="L9713" s="13"/>
      <c r="M9713" s="14"/>
      <c r="N9713" s="14"/>
      <c r="O9713" s="14"/>
      <c r="P9713" s="13"/>
    </row>
    <row r="9714">
      <c r="L9714" s="13"/>
      <c r="M9714" s="14"/>
      <c r="N9714" s="14"/>
      <c r="O9714" s="14"/>
      <c r="P9714" s="13"/>
    </row>
    <row r="9715">
      <c r="L9715" s="13"/>
      <c r="M9715" s="14"/>
      <c r="N9715" s="14"/>
      <c r="O9715" s="14"/>
      <c r="P9715" s="13"/>
    </row>
    <row r="9716">
      <c r="L9716" s="13"/>
      <c r="M9716" s="14"/>
      <c r="N9716" s="14"/>
      <c r="O9716" s="14"/>
      <c r="P9716" s="13"/>
    </row>
    <row r="9717">
      <c r="L9717" s="13"/>
      <c r="M9717" s="14"/>
      <c r="N9717" s="14"/>
      <c r="O9717" s="14"/>
      <c r="P9717" s="13"/>
    </row>
    <row r="9718">
      <c r="L9718" s="13"/>
      <c r="M9718" s="14"/>
      <c r="N9718" s="14"/>
      <c r="O9718" s="14"/>
      <c r="P9718" s="13"/>
    </row>
    <row r="9719">
      <c r="L9719" s="13"/>
      <c r="M9719" s="14"/>
      <c r="N9719" s="14"/>
      <c r="O9719" s="14"/>
      <c r="P9719" s="13"/>
    </row>
    <row r="9720">
      <c r="L9720" s="13"/>
      <c r="M9720" s="14"/>
      <c r="N9720" s="14"/>
      <c r="O9720" s="14"/>
      <c r="P9720" s="13"/>
    </row>
    <row r="9721">
      <c r="L9721" s="13"/>
      <c r="M9721" s="14"/>
      <c r="N9721" s="14"/>
      <c r="O9721" s="14"/>
      <c r="P9721" s="13"/>
    </row>
    <row r="9722">
      <c r="L9722" s="13"/>
      <c r="M9722" s="14"/>
      <c r="N9722" s="14"/>
      <c r="O9722" s="14"/>
      <c r="P9722" s="13"/>
    </row>
    <row r="9723">
      <c r="L9723" s="13"/>
      <c r="M9723" s="14"/>
      <c r="N9723" s="14"/>
      <c r="O9723" s="14"/>
      <c r="P9723" s="13"/>
    </row>
    <row r="9724">
      <c r="L9724" s="13"/>
      <c r="M9724" s="14"/>
      <c r="N9724" s="14"/>
      <c r="O9724" s="14"/>
      <c r="P9724" s="13"/>
    </row>
    <row r="9725">
      <c r="L9725" s="13"/>
      <c r="M9725" s="14"/>
      <c r="N9725" s="14"/>
      <c r="O9725" s="14"/>
      <c r="P9725" s="13"/>
    </row>
    <row r="9726">
      <c r="L9726" s="13"/>
      <c r="M9726" s="14"/>
      <c r="N9726" s="14"/>
      <c r="O9726" s="14"/>
      <c r="P9726" s="13"/>
    </row>
    <row r="9727">
      <c r="L9727" s="13"/>
      <c r="M9727" s="14"/>
      <c r="N9727" s="14"/>
      <c r="O9727" s="14"/>
      <c r="P9727" s="13"/>
    </row>
    <row r="9728">
      <c r="L9728" s="13"/>
      <c r="M9728" s="14"/>
      <c r="N9728" s="14"/>
      <c r="O9728" s="14"/>
      <c r="P9728" s="13"/>
    </row>
    <row r="9729">
      <c r="L9729" s="13"/>
      <c r="M9729" s="14"/>
      <c r="N9729" s="14"/>
      <c r="O9729" s="14"/>
      <c r="P9729" s="13"/>
    </row>
    <row r="9730">
      <c r="L9730" s="13"/>
      <c r="M9730" s="14"/>
      <c r="N9730" s="14"/>
      <c r="O9730" s="14"/>
      <c r="P9730" s="13"/>
    </row>
    <row r="9731">
      <c r="L9731" s="13"/>
      <c r="M9731" s="14"/>
      <c r="N9731" s="14"/>
      <c r="O9731" s="14"/>
      <c r="P9731" s="13"/>
    </row>
    <row r="9732">
      <c r="L9732" s="13"/>
      <c r="M9732" s="14"/>
      <c r="N9732" s="14"/>
      <c r="O9732" s="14"/>
      <c r="P9732" s="13"/>
    </row>
    <row r="9733">
      <c r="L9733" s="13"/>
      <c r="M9733" s="14"/>
      <c r="N9733" s="14"/>
      <c r="O9733" s="14"/>
      <c r="P9733" s="13"/>
    </row>
    <row r="9734">
      <c r="L9734" s="13"/>
      <c r="M9734" s="14"/>
      <c r="N9734" s="14"/>
      <c r="O9734" s="14"/>
      <c r="P9734" s="13"/>
    </row>
    <row r="9735">
      <c r="L9735" s="13"/>
      <c r="M9735" s="14"/>
      <c r="N9735" s="14"/>
      <c r="O9735" s="14"/>
      <c r="P9735" s="13"/>
    </row>
    <row r="9736">
      <c r="L9736" s="13"/>
      <c r="M9736" s="14"/>
      <c r="N9736" s="14"/>
      <c r="O9736" s="14"/>
      <c r="P9736" s="13"/>
    </row>
    <row r="9737">
      <c r="L9737" s="13"/>
      <c r="M9737" s="14"/>
      <c r="N9737" s="14"/>
      <c r="O9737" s="14"/>
      <c r="P9737" s="13"/>
    </row>
    <row r="9738">
      <c r="L9738" s="13"/>
      <c r="M9738" s="14"/>
      <c r="N9738" s="14"/>
      <c r="O9738" s="14"/>
      <c r="P9738" s="13"/>
    </row>
    <row r="9739">
      <c r="L9739" s="13"/>
      <c r="M9739" s="14"/>
      <c r="N9739" s="14"/>
      <c r="O9739" s="14"/>
      <c r="P9739" s="13"/>
    </row>
    <row r="9740">
      <c r="L9740" s="13"/>
      <c r="M9740" s="14"/>
      <c r="N9740" s="14"/>
      <c r="O9740" s="14"/>
      <c r="P9740" s="13"/>
    </row>
    <row r="9741">
      <c r="L9741" s="13"/>
      <c r="M9741" s="14"/>
      <c r="N9741" s="14"/>
      <c r="O9741" s="14"/>
      <c r="P9741" s="13"/>
    </row>
    <row r="9742">
      <c r="L9742" s="13"/>
      <c r="M9742" s="14"/>
      <c r="N9742" s="14"/>
      <c r="O9742" s="14"/>
      <c r="P9742" s="13"/>
    </row>
    <row r="9743">
      <c r="L9743" s="13"/>
      <c r="M9743" s="14"/>
      <c r="N9743" s="14"/>
      <c r="O9743" s="14"/>
      <c r="P9743" s="13"/>
    </row>
    <row r="9744">
      <c r="L9744" s="13"/>
      <c r="M9744" s="14"/>
      <c r="N9744" s="14"/>
      <c r="O9744" s="14"/>
      <c r="P9744" s="13"/>
    </row>
    <row r="9745">
      <c r="L9745" s="13"/>
      <c r="M9745" s="14"/>
      <c r="N9745" s="14"/>
      <c r="O9745" s="14"/>
      <c r="P9745" s="13"/>
    </row>
    <row r="9746">
      <c r="L9746" s="13"/>
      <c r="M9746" s="14"/>
      <c r="N9746" s="14"/>
      <c r="O9746" s="14"/>
      <c r="P9746" s="13"/>
    </row>
    <row r="9747">
      <c r="L9747" s="13"/>
      <c r="M9747" s="14"/>
      <c r="N9747" s="14"/>
      <c r="O9747" s="14"/>
      <c r="P9747" s="13"/>
    </row>
    <row r="9748">
      <c r="L9748" s="13"/>
      <c r="M9748" s="14"/>
      <c r="N9748" s="14"/>
      <c r="O9748" s="14"/>
      <c r="P9748" s="13"/>
    </row>
    <row r="9749">
      <c r="L9749" s="13"/>
      <c r="M9749" s="14"/>
      <c r="N9749" s="14"/>
      <c r="O9749" s="14"/>
      <c r="P9749" s="13"/>
    </row>
    <row r="9750">
      <c r="L9750" s="13"/>
      <c r="M9750" s="14"/>
      <c r="N9750" s="14"/>
      <c r="O9750" s="14"/>
      <c r="P9750" s="13"/>
    </row>
    <row r="9751">
      <c r="L9751" s="13"/>
      <c r="M9751" s="14"/>
      <c r="N9751" s="14"/>
      <c r="O9751" s="14"/>
      <c r="P9751" s="13"/>
    </row>
    <row r="9752">
      <c r="L9752" s="13"/>
      <c r="M9752" s="14"/>
      <c r="N9752" s="14"/>
      <c r="O9752" s="14"/>
      <c r="P9752" s="13"/>
    </row>
    <row r="9753">
      <c r="L9753" s="13"/>
      <c r="M9753" s="14"/>
      <c r="N9753" s="14"/>
      <c r="O9753" s="14"/>
      <c r="P9753" s="13"/>
    </row>
    <row r="9754">
      <c r="L9754" s="13"/>
      <c r="M9754" s="14"/>
      <c r="N9754" s="14"/>
      <c r="O9754" s="14"/>
      <c r="P9754" s="13"/>
    </row>
    <row r="9755">
      <c r="L9755" s="13"/>
      <c r="M9755" s="14"/>
      <c r="N9755" s="14"/>
      <c r="O9755" s="14"/>
      <c r="P9755" s="13"/>
    </row>
    <row r="9756">
      <c r="L9756" s="13"/>
      <c r="M9756" s="14"/>
      <c r="N9756" s="14"/>
      <c r="O9756" s="14"/>
      <c r="P9756" s="13"/>
    </row>
    <row r="9757">
      <c r="L9757" s="13"/>
      <c r="M9757" s="14"/>
      <c r="N9757" s="14"/>
      <c r="O9757" s="14"/>
      <c r="P9757" s="13"/>
    </row>
    <row r="9758">
      <c r="L9758" s="13"/>
      <c r="M9758" s="14"/>
      <c r="N9758" s="14"/>
      <c r="O9758" s="14"/>
      <c r="P9758" s="13"/>
    </row>
    <row r="9759">
      <c r="L9759" s="13"/>
      <c r="M9759" s="14"/>
      <c r="N9759" s="14"/>
      <c r="O9759" s="14"/>
      <c r="P9759" s="13"/>
    </row>
    <row r="9760">
      <c r="L9760" s="13"/>
      <c r="M9760" s="14"/>
      <c r="N9760" s="14"/>
      <c r="O9760" s="14"/>
      <c r="P9760" s="13"/>
    </row>
    <row r="9761">
      <c r="L9761" s="13"/>
      <c r="M9761" s="14"/>
      <c r="N9761" s="14"/>
      <c r="O9761" s="14"/>
      <c r="P9761" s="13"/>
    </row>
    <row r="9762">
      <c r="L9762" s="13"/>
      <c r="M9762" s="14"/>
      <c r="N9762" s="14"/>
      <c r="O9762" s="14"/>
      <c r="P9762" s="13"/>
    </row>
    <row r="9763">
      <c r="L9763" s="13"/>
      <c r="M9763" s="14"/>
      <c r="N9763" s="14"/>
      <c r="O9763" s="14"/>
      <c r="P9763" s="13"/>
    </row>
    <row r="9764">
      <c r="L9764" s="13"/>
      <c r="M9764" s="14"/>
      <c r="N9764" s="14"/>
      <c r="O9764" s="14"/>
      <c r="P9764" s="13"/>
    </row>
    <row r="9765">
      <c r="L9765" s="13"/>
      <c r="M9765" s="14"/>
      <c r="N9765" s="14"/>
      <c r="O9765" s="14"/>
      <c r="P9765" s="13"/>
    </row>
    <row r="9766">
      <c r="L9766" s="13"/>
      <c r="M9766" s="14"/>
      <c r="N9766" s="14"/>
      <c r="O9766" s="14"/>
      <c r="P9766" s="13"/>
    </row>
    <row r="9767">
      <c r="L9767" s="13"/>
      <c r="M9767" s="14"/>
      <c r="N9767" s="14"/>
      <c r="O9767" s="14"/>
      <c r="P9767" s="13"/>
    </row>
    <row r="9768">
      <c r="L9768" s="13"/>
      <c r="M9768" s="14"/>
      <c r="N9768" s="14"/>
      <c r="O9768" s="14"/>
      <c r="P9768" s="13"/>
    </row>
    <row r="9769">
      <c r="L9769" s="13"/>
      <c r="M9769" s="14"/>
      <c r="N9769" s="14"/>
      <c r="O9769" s="14"/>
      <c r="P9769" s="13"/>
    </row>
    <row r="9770">
      <c r="L9770" s="13"/>
      <c r="M9770" s="14"/>
      <c r="N9770" s="14"/>
      <c r="O9770" s="14"/>
      <c r="P9770" s="13"/>
    </row>
    <row r="9771">
      <c r="L9771" s="13"/>
      <c r="M9771" s="14"/>
      <c r="N9771" s="14"/>
      <c r="O9771" s="14"/>
      <c r="P9771" s="13"/>
    </row>
    <row r="9772">
      <c r="L9772" s="13"/>
      <c r="M9772" s="14"/>
      <c r="N9772" s="14"/>
      <c r="O9772" s="14"/>
      <c r="P9772" s="13"/>
    </row>
    <row r="9773">
      <c r="L9773" s="13"/>
      <c r="M9773" s="14"/>
      <c r="N9773" s="14"/>
      <c r="O9773" s="14"/>
      <c r="P9773" s="13"/>
    </row>
    <row r="9774">
      <c r="L9774" s="13"/>
      <c r="M9774" s="14"/>
      <c r="N9774" s="14"/>
      <c r="O9774" s="14"/>
      <c r="P9774" s="13"/>
    </row>
    <row r="9775">
      <c r="L9775" s="13"/>
      <c r="M9775" s="14"/>
      <c r="N9775" s="14"/>
      <c r="O9775" s="14"/>
      <c r="P9775" s="13"/>
    </row>
    <row r="9776">
      <c r="L9776" s="13"/>
      <c r="M9776" s="14"/>
      <c r="N9776" s="14"/>
      <c r="O9776" s="14"/>
      <c r="P9776" s="13"/>
    </row>
    <row r="9777">
      <c r="L9777" s="13"/>
      <c r="M9777" s="14"/>
      <c r="N9777" s="14"/>
      <c r="O9777" s="14"/>
      <c r="P9777" s="13"/>
    </row>
    <row r="9778">
      <c r="L9778" s="13"/>
      <c r="M9778" s="14"/>
      <c r="N9778" s="14"/>
      <c r="O9778" s="14"/>
      <c r="P9778" s="13"/>
    </row>
    <row r="9779">
      <c r="L9779" s="13"/>
      <c r="M9779" s="14"/>
      <c r="N9779" s="14"/>
      <c r="O9779" s="14"/>
      <c r="P9779" s="13"/>
    </row>
    <row r="9780">
      <c r="L9780" s="13"/>
      <c r="M9780" s="14"/>
      <c r="N9780" s="14"/>
      <c r="O9780" s="14"/>
      <c r="P9780" s="13"/>
    </row>
    <row r="9781">
      <c r="L9781" s="13"/>
      <c r="M9781" s="14"/>
      <c r="N9781" s="14"/>
      <c r="O9781" s="14"/>
      <c r="P9781" s="13"/>
    </row>
    <row r="9782">
      <c r="L9782" s="13"/>
      <c r="M9782" s="14"/>
      <c r="N9782" s="14"/>
      <c r="O9782" s="14"/>
      <c r="P9782" s="13"/>
    </row>
    <row r="9783">
      <c r="L9783" s="13"/>
      <c r="M9783" s="14"/>
      <c r="N9783" s="14"/>
      <c r="O9783" s="14"/>
      <c r="P9783" s="13"/>
    </row>
    <row r="9784">
      <c r="L9784" s="13"/>
      <c r="M9784" s="14"/>
      <c r="N9784" s="14"/>
      <c r="O9784" s="14"/>
      <c r="P9784" s="13"/>
    </row>
    <row r="9785">
      <c r="L9785" s="13"/>
      <c r="M9785" s="14"/>
      <c r="N9785" s="14"/>
      <c r="O9785" s="14"/>
      <c r="P9785" s="13"/>
    </row>
    <row r="9786">
      <c r="L9786" s="13"/>
      <c r="M9786" s="14"/>
      <c r="N9786" s="14"/>
      <c r="O9786" s="14"/>
      <c r="P9786" s="13"/>
    </row>
    <row r="9787">
      <c r="L9787" s="13"/>
      <c r="M9787" s="14"/>
      <c r="N9787" s="14"/>
      <c r="O9787" s="14"/>
      <c r="P9787" s="13"/>
    </row>
    <row r="9788">
      <c r="L9788" s="13"/>
      <c r="M9788" s="14"/>
      <c r="N9788" s="14"/>
      <c r="O9788" s="14"/>
      <c r="P9788" s="13"/>
    </row>
    <row r="9789">
      <c r="L9789" s="13"/>
      <c r="M9789" s="14"/>
      <c r="N9789" s="14"/>
      <c r="O9789" s="14"/>
      <c r="P9789" s="13"/>
    </row>
    <row r="9790">
      <c r="L9790" s="13"/>
      <c r="M9790" s="14"/>
      <c r="N9790" s="14"/>
      <c r="O9790" s="14"/>
      <c r="P9790" s="13"/>
    </row>
    <row r="9791">
      <c r="L9791" s="13"/>
      <c r="M9791" s="14"/>
      <c r="N9791" s="14"/>
      <c r="O9791" s="14"/>
      <c r="P9791" s="13"/>
    </row>
    <row r="9792">
      <c r="L9792" s="13"/>
      <c r="M9792" s="14"/>
      <c r="N9792" s="14"/>
      <c r="O9792" s="14"/>
      <c r="P9792" s="13"/>
    </row>
    <row r="9793">
      <c r="L9793" s="13"/>
      <c r="M9793" s="14"/>
      <c r="N9793" s="14"/>
      <c r="O9793" s="14"/>
      <c r="P9793" s="13"/>
    </row>
    <row r="9794">
      <c r="L9794" s="13"/>
      <c r="M9794" s="14"/>
      <c r="N9794" s="14"/>
      <c r="O9794" s="14"/>
      <c r="P9794" s="13"/>
    </row>
    <row r="9795">
      <c r="L9795" s="13"/>
      <c r="M9795" s="14"/>
      <c r="N9795" s="14"/>
      <c r="O9795" s="14"/>
      <c r="P9795" s="13"/>
    </row>
    <row r="9796">
      <c r="L9796" s="13"/>
      <c r="M9796" s="14"/>
      <c r="N9796" s="14"/>
      <c r="O9796" s="14"/>
      <c r="P9796" s="13"/>
    </row>
    <row r="9797">
      <c r="L9797" s="13"/>
      <c r="M9797" s="14"/>
      <c r="N9797" s="14"/>
      <c r="O9797" s="14"/>
      <c r="P9797" s="13"/>
    </row>
    <row r="9798">
      <c r="L9798" s="13"/>
      <c r="M9798" s="14"/>
      <c r="N9798" s="14"/>
      <c r="O9798" s="14"/>
      <c r="P9798" s="13"/>
    </row>
    <row r="9799">
      <c r="L9799" s="13"/>
      <c r="M9799" s="14"/>
      <c r="N9799" s="14"/>
      <c r="O9799" s="14"/>
      <c r="P9799" s="13"/>
    </row>
    <row r="9800">
      <c r="L9800" s="13"/>
      <c r="M9800" s="14"/>
      <c r="N9800" s="14"/>
      <c r="O9800" s="14"/>
      <c r="P9800" s="13"/>
    </row>
    <row r="9801">
      <c r="L9801" s="13"/>
      <c r="M9801" s="14"/>
      <c r="N9801" s="14"/>
      <c r="O9801" s="14"/>
      <c r="P9801" s="13"/>
    </row>
    <row r="9802">
      <c r="L9802" s="13"/>
      <c r="M9802" s="14"/>
      <c r="N9802" s="14"/>
      <c r="O9802" s="14"/>
      <c r="P9802" s="13"/>
    </row>
    <row r="9803">
      <c r="L9803" s="13"/>
      <c r="M9803" s="14"/>
      <c r="N9803" s="14"/>
      <c r="O9803" s="14"/>
      <c r="P9803" s="13"/>
    </row>
    <row r="9804">
      <c r="L9804" s="13"/>
      <c r="M9804" s="14"/>
      <c r="N9804" s="14"/>
      <c r="O9804" s="14"/>
      <c r="P9804" s="13"/>
    </row>
    <row r="9805">
      <c r="L9805" s="13"/>
      <c r="M9805" s="14"/>
      <c r="N9805" s="14"/>
      <c r="O9805" s="14"/>
      <c r="P9805" s="13"/>
    </row>
    <row r="9806">
      <c r="L9806" s="13"/>
      <c r="M9806" s="14"/>
      <c r="N9806" s="14"/>
      <c r="O9806" s="14"/>
      <c r="P9806" s="13"/>
    </row>
    <row r="9807">
      <c r="L9807" s="13"/>
      <c r="M9807" s="14"/>
      <c r="N9807" s="14"/>
      <c r="O9807" s="14"/>
      <c r="P9807" s="13"/>
    </row>
    <row r="9808">
      <c r="L9808" s="13"/>
      <c r="M9808" s="14"/>
      <c r="N9808" s="14"/>
      <c r="O9808" s="14"/>
      <c r="P9808" s="13"/>
    </row>
    <row r="9809">
      <c r="L9809" s="13"/>
      <c r="M9809" s="14"/>
      <c r="N9809" s="14"/>
      <c r="O9809" s="14"/>
      <c r="P9809" s="13"/>
    </row>
    <row r="9810">
      <c r="L9810" s="13"/>
      <c r="M9810" s="14"/>
      <c r="N9810" s="14"/>
      <c r="O9810" s="14"/>
      <c r="P9810" s="13"/>
    </row>
    <row r="9811">
      <c r="L9811" s="13"/>
      <c r="M9811" s="14"/>
      <c r="N9811" s="14"/>
      <c r="O9811" s="14"/>
      <c r="P9811" s="13"/>
    </row>
    <row r="9812">
      <c r="L9812" s="13"/>
      <c r="M9812" s="14"/>
      <c r="N9812" s="14"/>
      <c r="O9812" s="14"/>
      <c r="P9812" s="13"/>
    </row>
    <row r="9813">
      <c r="L9813" s="13"/>
      <c r="M9813" s="14"/>
      <c r="N9813" s="14"/>
      <c r="O9813" s="14"/>
      <c r="P9813" s="13"/>
    </row>
    <row r="9814">
      <c r="L9814" s="13"/>
      <c r="M9814" s="14"/>
      <c r="N9814" s="14"/>
      <c r="O9814" s="14"/>
      <c r="P9814" s="13"/>
    </row>
    <row r="9815">
      <c r="L9815" s="13"/>
      <c r="M9815" s="14"/>
      <c r="N9815" s="14"/>
      <c r="O9815" s="14"/>
      <c r="P9815" s="13"/>
    </row>
    <row r="9816">
      <c r="L9816" s="13"/>
      <c r="M9816" s="14"/>
      <c r="N9816" s="14"/>
      <c r="O9816" s="14"/>
      <c r="P9816" s="13"/>
    </row>
    <row r="9817">
      <c r="L9817" s="13"/>
      <c r="M9817" s="14"/>
      <c r="N9817" s="14"/>
      <c r="O9817" s="14"/>
      <c r="P9817" s="13"/>
    </row>
    <row r="9818">
      <c r="L9818" s="13"/>
      <c r="M9818" s="14"/>
      <c r="N9818" s="14"/>
      <c r="O9818" s="14"/>
      <c r="P9818" s="13"/>
    </row>
    <row r="9819">
      <c r="L9819" s="13"/>
      <c r="M9819" s="14"/>
      <c r="N9819" s="14"/>
      <c r="O9819" s="14"/>
      <c r="P9819" s="13"/>
    </row>
    <row r="9820">
      <c r="L9820" s="13"/>
      <c r="M9820" s="14"/>
      <c r="N9820" s="14"/>
      <c r="O9820" s="14"/>
      <c r="P9820" s="13"/>
    </row>
    <row r="9821">
      <c r="L9821" s="13"/>
      <c r="M9821" s="14"/>
      <c r="N9821" s="14"/>
      <c r="O9821" s="14"/>
      <c r="P9821" s="13"/>
    </row>
    <row r="9822">
      <c r="L9822" s="13"/>
      <c r="M9822" s="14"/>
      <c r="N9822" s="14"/>
      <c r="O9822" s="14"/>
      <c r="P9822" s="13"/>
    </row>
    <row r="9823">
      <c r="L9823" s="13"/>
      <c r="M9823" s="14"/>
      <c r="N9823" s="14"/>
      <c r="O9823" s="14"/>
      <c r="P9823" s="13"/>
    </row>
    <row r="9824">
      <c r="L9824" s="13"/>
      <c r="M9824" s="14"/>
      <c r="N9824" s="14"/>
      <c r="O9824" s="14"/>
      <c r="P9824" s="13"/>
    </row>
    <row r="9825">
      <c r="L9825" s="13"/>
      <c r="M9825" s="14"/>
      <c r="N9825" s="14"/>
      <c r="O9825" s="14"/>
      <c r="P9825" s="13"/>
    </row>
    <row r="9826">
      <c r="L9826" s="13"/>
      <c r="M9826" s="14"/>
      <c r="N9826" s="14"/>
      <c r="O9826" s="14"/>
      <c r="P9826" s="13"/>
    </row>
    <row r="9827">
      <c r="L9827" s="13"/>
      <c r="M9827" s="14"/>
      <c r="N9827" s="14"/>
      <c r="O9827" s="14"/>
      <c r="P9827" s="13"/>
    </row>
    <row r="9828">
      <c r="L9828" s="13"/>
      <c r="M9828" s="14"/>
      <c r="N9828" s="14"/>
      <c r="O9828" s="14"/>
      <c r="P9828" s="13"/>
    </row>
    <row r="9829">
      <c r="L9829" s="13"/>
      <c r="M9829" s="14"/>
      <c r="N9829" s="14"/>
      <c r="O9829" s="14"/>
      <c r="P9829" s="13"/>
    </row>
    <row r="9830">
      <c r="L9830" s="13"/>
      <c r="M9830" s="14"/>
      <c r="N9830" s="14"/>
      <c r="O9830" s="14"/>
      <c r="P9830" s="13"/>
    </row>
    <row r="9831">
      <c r="L9831" s="13"/>
      <c r="M9831" s="14"/>
      <c r="N9831" s="14"/>
      <c r="O9831" s="14"/>
      <c r="P9831" s="13"/>
    </row>
    <row r="9832">
      <c r="L9832" s="13"/>
      <c r="M9832" s="14"/>
      <c r="N9832" s="14"/>
      <c r="O9832" s="14"/>
      <c r="P9832" s="13"/>
    </row>
    <row r="9833">
      <c r="L9833" s="13"/>
      <c r="M9833" s="14"/>
      <c r="N9833" s="14"/>
      <c r="O9833" s="14"/>
      <c r="P9833" s="13"/>
    </row>
    <row r="9834">
      <c r="L9834" s="13"/>
      <c r="M9834" s="14"/>
      <c r="N9834" s="14"/>
      <c r="O9834" s="14"/>
      <c r="P9834" s="13"/>
    </row>
    <row r="9835">
      <c r="L9835" s="13"/>
      <c r="M9835" s="14"/>
      <c r="N9835" s="14"/>
      <c r="O9835" s="14"/>
      <c r="P9835" s="13"/>
    </row>
    <row r="9836">
      <c r="L9836" s="13"/>
      <c r="M9836" s="14"/>
      <c r="N9836" s="14"/>
      <c r="O9836" s="14"/>
      <c r="P9836" s="13"/>
    </row>
    <row r="9837">
      <c r="L9837" s="13"/>
      <c r="M9837" s="14"/>
      <c r="N9837" s="14"/>
      <c r="O9837" s="14"/>
      <c r="P9837" s="13"/>
    </row>
    <row r="9838">
      <c r="L9838" s="13"/>
      <c r="M9838" s="14"/>
      <c r="N9838" s="14"/>
      <c r="O9838" s="14"/>
      <c r="P9838" s="13"/>
    </row>
    <row r="9839">
      <c r="L9839" s="13"/>
      <c r="M9839" s="14"/>
      <c r="N9839" s="14"/>
      <c r="O9839" s="14"/>
      <c r="P9839" s="13"/>
    </row>
    <row r="9840">
      <c r="L9840" s="13"/>
      <c r="M9840" s="14"/>
      <c r="N9840" s="14"/>
      <c r="O9840" s="14"/>
      <c r="P9840" s="13"/>
    </row>
    <row r="9841">
      <c r="L9841" s="13"/>
      <c r="M9841" s="14"/>
      <c r="N9841" s="14"/>
      <c r="O9841" s="14"/>
      <c r="P9841" s="13"/>
    </row>
    <row r="9842">
      <c r="L9842" s="13"/>
      <c r="M9842" s="14"/>
      <c r="N9842" s="14"/>
      <c r="O9842" s="14"/>
      <c r="P9842" s="13"/>
    </row>
    <row r="9843">
      <c r="L9843" s="13"/>
      <c r="M9843" s="14"/>
      <c r="N9843" s="14"/>
      <c r="O9843" s="14"/>
      <c r="P9843" s="13"/>
    </row>
    <row r="9844">
      <c r="L9844" s="13"/>
      <c r="M9844" s="14"/>
      <c r="N9844" s="14"/>
      <c r="O9844" s="14"/>
      <c r="P9844" s="13"/>
    </row>
    <row r="9845">
      <c r="L9845" s="13"/>
      <c r="M9845" s="14"/>
      <c r="N9845" s="14"/>
      <c r="O9845" s="14"/>
      <c r="P9845" s="13"/>
    </row>
    <row r="9846">
      <c r="L9846" s="13"/>
      <c r="M9846" s="14"/>
      <c r="N9846" s="14"/>
      <c r="O9846" s="14"/>
      <c r="P9846" s="13"/>
    </row>
    <row r="9847">
      <c r="L9847" s="13"/>
      <c r="M9847" s="14"/>
      <c r="N9847" s="14"/>
      <c r="O9847" s="14"/>
      <c r="P9847" s="13"/>
    </row>
    <row r="9848">
      <c r="L9848" s="13"/>
      <c r="M9848" s="14"/>
      <c r="N9848" s="14"/>
      <c r="O9848" s="14"/>
      <c r="P9848" s="13"/>
    </row>
    <row r="9849">
      <c r="L9849" s="13"/>
      <c r="M9849" s="14"/>
      <c r="N9849" s="14"/>
      <c r="O9849" s="14"/>
      <c r="P9849" s="13"/>
    </row>
    <row r="9850">
      <c r="L9850" s="13"/>
      <c r="M9850" s="14"/>
      <c r="N9850" s="14"/>
      <c r="O9850" s="14"/>
      <c r="P9850" s="13"/>
    </row>
    <row r="9851">
      <c r="L9851" s="13"/>
      <c r="M9851" s="14"/>
      <c r="N9851" s="14"/>
      <c r="O9851" s="14"/>
      <c r="P9851" s="13"/>
    </row>
    <row r="9852">
      <c r="L9852" s="13"/>
      <c r="M9852" s="14"/>
      <c r="N9852" s="14"/>
      <c r="O9852" s="14"/>
      <c r="P9852" s="13"/>
    </row>
    <row r="9853">
      <c r="L9853" s="13"/>
      <c r="M9853" s="14"/>
      <c r="N9853" s="14"/>
      <c r="O9853" s="14"/>
      <c r="P9853" s="13"/>
    </row>
    <row r="9854">
      <c r="L9854" s="13"/>
      <c r="M9854" s="14"/>
      <c r="N9854" s="14"/>
      <c r="O9854" s="14"/>
      <c r="P9854" s="13"/>
    </row>
    <row r="9855">
      <c r="L9855" s="13"/>
      <c r="M9855" s="14"/>
      <c r="N9855" s="14"/>
      <c r="O9855" s="14"/>
      <c r="P9855" s="13"/>
    </row>
    <row r="9856">
      <c r="L9856" s="13"/>
      <c r="M9856" s="14"/>
      <c r="N9856" s="14"/>
      <c r="O9856" s="14"/>
      <c r="P9856" s="13"/>
    </row>
    <row r="9857">
      <c r="L9857" s="13"/>
      <c r="M9857" s="14"/>
      <c r="N9857" s="14"/>
      <c r="O9857" s="14"/>
      <c r="P9857" s="13"/>
    </row>
    <row r="9858">
      <c r="L9858" s="13"/>
      <c r="M9858" s="14"/>
      <c r="N9858" s="14"/>
      <c r="O9858" s="14"/>
      <c r="P9858" s="13"/>
    </row>
    <row r="9859">
      <c r="L9859" s="13"/>
      <c r="M9859" s="14"/>
      <c r="N9859" s="14"/>
      <c r="O9859" s="14"/>
      <c r="P9859" s="13"/>
    </row>
    <row r="9860">
      <c r="L9860" s="13"/>
      <c r="M9860" s="14"/>
      <c r="N9860" s="14"/>
      <c r="O9860" s="14"/>
      <c r="P9860" s="13"/>
    </row>
    <row r="9861">
      <c r="L9861" s="13"/>
      <c r="M9861" s="14"/>
      <c r="N9861" s="14"/>
      <c r="O9861" s="14"/>
      <c r="P9861" s="13"/>
    </row>
    <row r="9862">
      <c r="L9862" s="13"/>
      <c r="M9862" s="14"/>
      <c r="N9862" s="14"/>
      <c r="O9862" s="14"/>
      <c r="P9862" s="13"/>
    </row>
    <row r="9863">
      <c r="L9863" s="13"/>
      <c r="M9863" s="14"/>
      <c r="N9863" s="14"/>
      <c r="O9863" s="14"/>
      <c r="P9863" s="13"/>
    </row>
    <row r="9864">
      <c r="L9864" s="13"/>
      <c r="M9864" s="14"/>
      <c r="N9864" s="14"/>
      <c r="O9864" s="14"/>
      <c r="P9864" s="13"/>
    </row>
    <row r="9865">
      <c r="L9865" s="13"/>
      <c r="M9865" s="14"/>
      <c r="N9865" s="14"/>
      <c r="O9865" s="14"/>
      <c r="P9865" s="13"/>
    </row>
    <row r="9866">
      <c r="L9866" s="13"/>
      <c r="M9866" s="14"/>
      <c r="N9866" s="14"/>
      <c r="O9866" s="14"/>
      <c r="P9866" s="13"/>
    </row>
    <row r="9867">
      <c r="L9867" s="13"/>
      <c r="M9867" s="14"/>
      <c r="N9867" s="14"/>
      <c r="O9867" s="14"/>
      <c r="P9867" s="13"/>
    </row>
    <row r="9868">
      <c r="L9868" s="13"/>
      <c r="M9868" s="14"/>
      <c r="N9868" s="14"/>
      <c r="O9868" s="14"/>
      <c r="P9868" s="13"/>
    </row>
    <row r="9869">
      <c r="L9869" s="13"/>
      <c r="M9869" s="14"/>
      <c r="N9869" s="14"/>
      <c r="O9869" s="14"/>
      <c r="P9869" s="13"/>
    </row>
    <row r="9870">
      <c r="L9870" s="13"/>
      <c r="M9870" s="14"/>
      <c r="N9870" s="14"/>
      <c r="O9870" s="14"/>
      <c r="P9870" s="13"/>
    </row>
    <row r="9871">
      <c r="L9871" s="13"/>
      <c r="M9871" s="14"/>
      <c r="N9871" s="14"/>
      <c r="O9871" s="14"/>
      <c r="P9871" s="13"/>
    </row>
    <row r="9872">
      <c r="L9872" s="13"/>
      <c r="M9872" s="14"/>
      <c r="N9872" s="14"/>
      <c r="O9872" s="14"/>
      <c r="P9872" s="13"/>
    </row>
    <row r="9873">
      <c r="L9873" s="13"/>
      <c r="M9873" s="14"/>
      <c r="N9873" s="14"/>
      <c r="O9873" s="14"/>
      <c r="P9873" s="13"/>
    </row>
    <row r="9874">
      <c r="L9874" s="13"/>
      <c r="M9874" s="14"/>
      <c r="N9874" s="14"/>
      <c r="O9874" s="14"/>
      <c r="P9874" s="13"/>
    </row>
    <row r="9875">
      <c r="L9875" s="13"/>
      <c r="M9875" s="14"/>
      <c r="N9875" s="14"/>
      <c r="O9875" s="14"/>
      <c r="P9875" s="13"/>
    </row>
    <row r="9876">
      <c r="L9876" s="13"/>
      <c r="M9876" s="14"/>
      <c r="N9876" s="14"/>
      <c r="O9876" s="14"/>
      <c r="P9876" s="13"/>
    </row>
    <row r="9877">
      <c r="L9877" s="13"/>
      <c r="M9877" s="14"/>
      <c r="N9877" s="14"/>
      <c r="O9877" s="14"/>
      <c r="P9877" s="13"/>
    </row>
    <row r="9878">
      <c r="L9878" s="13"/>
      <c r="M9878" s="14"/>
      <c r="N9878" s="14"/>
      <c r="O9878" s="14"/>
      <c r="P9878" s="13"/>
    </row>
    <row r="9879">
      <c r="L9879" s="13"/>
      <c r="M9879" s="14"/>
      <c r="N9879" s="14"/>
      <c r="O9879" s="14"/>
      <c r="P9879" s="13"/>
    </row>
    <row r="9880">
      <c r="L9880" s="13"/>
      <c r="M9880" s="14"/>
      <c r="N9880" s="14"/>
      <c r="O9880" s="14"/>
      <c r="P9880" s="13"/>
    </row>
    <row r="9881">
      <c r="L9881" s="13"/>
      <c r="M9881" s="14"/>
      <c r="N9881" s="14"/>
      <c r="O9881" s="14"/>
      <c r="P9881" s="13"/>
    </row>
    <row r="9882">
      <c r="L9882" s="13"/>
      <c r="M9882" s="14"/>
      <c r="N9882" s="14"/>
      <c r="O9882" s="14"/>
      <c r="P9882" s="13"/>
    </row>
    <row r="9883">
      <c r="L9883" s="13"/>
      <c r="M9883" s="14"/>
      <c r="N9883" s="14"/>
      <c r="O9883" s="14"/>
      <c r="P9883" s="13"/>
    </row>
    <row r="9884">
      <c r="L9884" s="13"/>
      <c r="M9884" s="14"/>
      <c r="N9884" s="14"/>
      <c r="O9884" s="14"/>
      <c r="P9884" s="13"/>
    </row>
    <row r="9885">
      <c r="L9885" s="13"/>
      <c r="M9885" s="14"/>
      <c r="N9885" s="14"/>
      <c r="O9885" s="14"/>
      <c r="P9885" s="13"/>
    </row>
    <row r="9886">
      <c r="L9886" s="13"/>
      <c r="M9886" s="14"/>
      <c r="N9886" s="14"/>
      <c r="O9886" s="14"/>
      <c r="P9886" s="13"/>
    </row>
    <row r="9887">
      <c r="L9887" s="13"/>
      <c r="M9887" s="14"/>
      <c r="N9887" s="14"/>
      <c r="O9887" s="14"/>
      <c r="P9887" s="13"/>
    </row>
    <row r="9888">
      <c r="L9888" s="13"/>
      <c r="M9888" s="14"/>
      <c r="N9888" s="14"/>
      <c r="O9888" s="14"/>
      <c r="P9888" s="13"/>
    </row>
    <row r="9889">
      <c r="L9889" s="13"/>
      <c r="M9889" s="14"/>
      <c r="N9889" s="14"/>
      <c r="O9889" s="14"/>
      <c r="P9889" s="13"/>
    </row>
    <row r="9890">
      <c r="L9890" s="13"/>
      <c r="M9890" s="14"/>
      <c r="N9890" s="14"/>
      <c r="O9890" s="14"/>
      <c r="P9890" s="13"/>
    </row>
    <row r="9891">
      <c r="L9891" s="13"/>
      <c r="M9891" s="14"/>
      <c r="N9891" s="14"/>
      <c r="O9891" s="14"/>
      <c r="P9891" s="13"/>
    </row>
    <row r="9892">
      <c r="L9892" s="13"/>
      <c r="M9892" s="14"/>
      <c r="N9892" s="14"/>
      <c r="O9892" s="14"/>
      <c r="P9892" s="13"/>
    </row>
    <row r="9893">
      <c r="L9893" s="13"/>
      <c r="M9893" s="14"/>
      <c r="N9893" s="14"/>
      <c r="O9893" s="14"/>
      <c r="P9893" s="13"/>
    </row>
    <row r="9894">
      <c r="L9894" s="13"/>
      <c r="M9894" s="14"/>
      <c r="N9894" s="14"/>
      <c r="O9894" s="14"/>
      <c r="P9894" s="13"/>
    </row>
    <row r="9895">
      <c r="L9895" s="13"/>
      <c r="M9895" s="14"/>
      <c r="N9895" s="14"/>
      <c r="O9895" s="14"/>
      <c r="P9895" s="13"/>
    </row>
    <row r="9896">
      <c r="L9896" s="13"/>
      <c r="M9896" s="14"/>
      <c r="N9896" s="14"/>
      <c r="O9896" s="14"/>
      <c r="P9896" s="13"/>
    </row>
    <row r="9897">
      <c r="L9897" s="13"/>
      <c r="M9897" s="14"/>
      <c r="N9897" s="14"/>
      <c r="O9897" s="14"/>
      <c r="P9897" s="13"/>
    </row>
    <row r="9898">
      <c r="L9898" s="13"/>
      <c r="M9898" s="14"/>
      <c r="N9898" s="14"/>
      <c r="O9898" s="14"/>
      <c r="P9898" s="13"/>
    </row>
    <row r="9899">
      <c r="L9899" s="13"/>
      <c r="M9899" s="14"/>
      <c r="N9899" s="14"/>
      <c r="O9899" s="14"/>
      <c r="P9899" s="13"/>
    </row>
    <row r="9900">
      <c r="L9900" s="13"/>
      <c r="M9900" s="14"/>
      <c r="N9900" s="14"/>
      <c r="O9900" s="14"/>
      <c r="P9900" s="13"/>
    </row>
    <row r="9901">
      <c r="L9901" s="13"/>
      <c r="M9901" s="14"/>
      <c r="N9901" s="14"/>
      <c r="O9901" s="14"/>
      <c r="P9901" s="13"/>
    </row>
    <row r="9902">
      <c r="L9902" s="13"/>
      <c r="M9902" s="14"/>
      <c r="N9902" s="14"/>
      <c r="O9902" s="14"/>
      <c r="P9902" s="13"/>
    </row>
    <row r="9903">
      <c r="L9903" s="13"/>
      <c r="M9903" s="14"/>
      <c r="N9903" s="14"/>
      <c r="O9903" s="14"/>
      <c r="P9903" s="13"/>
    </row>
    <row r="9904">
      <c r="L9904" s="13"/>
      <c r="M9904" s="14"/>
      <c r="N9904" s="14"/>
      <c r="O9904" s="14"/>
      <c r="P9904" s="13"/>
    </row>
    <row r="9905">
      <c r="L9905" s="13"/>
      <c r="M9905" s="14"/>
      <c r="N9905" s="14"/>
      <c r="O9905" s="14"/>
      <c r="P9905" s="13"/>
    </row>
    <row r="9906">
      <c r="L9906" s="13"/>
      <c r="M9906" s="14"/>
      <c r="N9906" s="14"/>
      <c r="O9906" s="14"/>
      <c r="P9906" s="13"/>
    </row>
    <row r="9907">
      <c r="L9907" s="13"/>
      <c r="M9907" s="14"/>
      <c r="N9907" s="14"/>
      <c r="O9907" s="14"/>
      <c r="P9907" s="13"/>
    </row>
    <row r="9908">
      <c r="L9908" s="13"/>
      <c r="M9908" s="14"/>
      <c r="N9908" s="14"/>
      <c r="O9908" s="14"/>
      <c r="P9908" s="13"/>
    </row>
    <row r="9909">
      <c r="L9909" s="13"/>
      <c r="M9909" s="14"/>
      <c r="N9909" s="14"/>
      <c r="O9909" s="14"/>
      <c r="P9909" s="13"/>
    </row>
    <row r="9910">
      <c r="L9910" s="13"/>
      <c r="M9910" s="14"/>
      <c r="N9910" s="14"/>
      <c r="O9910" s="14"/>
      <c r="P9910" s="13"/>
    </row>
    <row r="9911">
      <c r="L9911" s="13"/>
      <c r="M9911" s="14"/>
      <c r="N9911" s="14"/>
      <c r="O9911" s="14"/>
      <c r="P9911" s="13"/>
    </row>
    <row r="9912">
      <c r="L9912" s="13"/>
      <c r="M9912" s="14"/>
      <c r="N9912" s="14"/>
      <c r="O9912" s="14"/>
      <c r="P9912" s="13"/>
    </row>
    <row r="9913">
      <c r="L9913" s="13"/>
      <c r="M9913" s="14"/>
      <c r="N9913" s="14"/>
      <c r="O9913" s="14"/>
      <c r="P9913" s="13"/>
    </row>
    <row r="9914">
      <c r="L9914" s="13"/>
      <c r="M9914" s="14"/>
      <c r="N9914" s="14"/>
      <c r="O9914" s="14"/>
      <c r="P9914" s="13"/>
    </row>
    <row r="9915">
      <c r="L9915" s="13"/>
      <c r="M9915" s="14"/>
      <c r="N9915" s="14"/>
      <c r="O9915" s="14"/>
      <c r="P9915" s="13"/>
    </row>
    <row r="9916">
      <c r="L9916" s="13"/>
      <c r="M9916" s="14"/>
      <c r="N9916" s="14"/>
      <c r="O9916" s="14"/>
      <c r="P9916" s="13"/>
    </row>
    <row r="9917">
      <c r="L9917" s="13"/>
      <c r="M9917" s="14"/>
      <c r="N9917" s="14"/>
      <c r="O9917" s="14"/>
      <c r="P9917" s="13"/>
    </row>
    <row r="9918">
      <c r="L9918" s="13"/>
      <c r="M9918" s="14"/>
      <c r="N9918" s="14"/>
      <c r="O9918" s="14"/>
      <c r="P9918" s="13"/>
    </row>
    <row r="9919">
      <c r="L9919" s="13"/>
      <c r="M9919" s="14"/>
      <c r="N9919" s="14"/>
      <c r="O9919" s="14"/>
      <c r="P9919" s="13"/>
    </row>
    <row r="9920">
      <c r="L9920" s="13"/>
      <c r="M9920" s="14"/>
      <c r="N9920" s="14"/>
      <c r="O9920" s="14"/>
      <c r="P9920" s="13"/>
    </row>
    <row r="9921">
      <c r="L9921" s="13"/>
      <c r="M9921" s="14"/>
      <c r="N9921" s="14"/>
      <c r="O9921" s="14"/>
      <c r="P9921" s="13"/>
    </row>
    <row r="9922">
      <c r="L9922" s="13"/>
      <c r="M9922" s="14"/>
      <c r="N9922" s="14"/>
      <c r="O9922" s="14"/>
      <c r="P9922" s="13"/>
    </row>
    <row r="9923">
      <c r="L9923" s="13"/>
      <c r="M9923" s="14"/>
      <c r="N9923" s="14"/>
      <c r="O9923" s="14"/>
      <c r="P9923" s="13"/>
    </row>
    <row r="9924">
      <c r="L9924" s="13"/>
      <c r="M9924" s="14"/>
      <c r="N9924" s="14"/>
      <c r="O9924" s="14"/>
      <c r="P9924" s="13"/>
    </row>
    <row r="9925">
      <c r="L9925" s="13"/>
      <c r="M9925" s="14"/>
      <c r="N9925" s="14"/>
      <c r="O9925" s="14"/>
      <c r="P9925" s="13"/>
    </row>
    <row r="9926">
      <c r="L9926" s="13"/>
      <c r="M9926" s="14"/>
      <c r="N9926" s="14"/>
      <c r="O9926" s="14"/>
      <c r="P9926" s="13"/>
    </row>
    <row r="9927">
      <c r="L9927" s="13"/>
      <c r="M9927" s="14"/>
      <c r="N9927" s="14"/>
      <c r="O9927" s="14"/>
      <c r="P9927" s="13"/>
    </row>
    <row r="9928">
      <c r="L9928" s="13"/>
      <c r="M9928" s="14"/>
      <c r="N9928" s="14"/>
      <c r="O9928" s="14"/>
      <c r="P9928" s="13"/>
    </row>
    <row r="9929">
      <c r="L9929" s="13"/>
      <c r="M9929" s="14"/>
      <c r="N9929" s="14"/>
      <c r="O9929" s="14"/>
      <c r="P9929" s="13"/>
    </row>
    <row r="9930">
      <c r="L9930" s="13"/>
      <c r="M9930" s="14"/>
      <c r="N9930" s="14"/>
      <c r="O9930" s="14"/>
      <c r="P9930" s="13"/>
    </row>
    <row r="9931">
      <c r="L9931" s="13"/>
      <c r="M9931" s="14"/>
      <c r="N9931" s="14"/>
      <c r="O9931" s="14"/>
      <c r="P9931" s="13"/>
    </row>
    <row r="9932">
      <c r="L9932" s="13"/>
      <c r="M9932" s="14"/>
      <c r="N9932" s="14"/>
      <c r="O9932" s="14"/>
      <c r="P9932" s="13"/>
    </row>
    <row r="9933">
      <c r="L9933" s="13"/>
      <c r="M9933" s="14"/>
      <c r="N9933" s="14"/>
      <c r="O9933" s="14"/>
      <c r="P9933" s="13"/>
    </row>
    <row r="9934">
      <c r="L9934" s="13"/>
      <c r="M9934" s="14"/>
      <c r="N9934" s="14"/>
      <c r="O9934" s="14"/>
      <c r="P9934" s="13"/>
    </row>
    <row r="9935">
      <c r="L9935" s="13"/>
      <c r="M9935" s="14"/>
      <c r="N9935" s="14"/>
      <c r="O9935" s="14"/>
      <c r="P9935" s="13"/>
    </row>
    <row r="9936">
      <c r="L9936" s="13"/>
      <c r="M9936" s="14"/>
      <c r="N9936" s="14"/>
      <c r="O9936" s="14"/>
      <c r="P9936" s="13"/>
    </row>
    <row r="9937">
      <c r="L9937" s="13"/>
      <c r="M9937" s="14"/>
      <c r="N9937" s="14"/>
      <c r="O9937" s="14"/>
      <c r="P9937" s="13"/>
    </row>
    <row r="9938">
      <c r="L9938" s="13"/>
      <c r="M9938" s="14"/>
      <c r="N9938" s="14"/>
      <c r="O9938" s="14"/>
      <c r="P9938" s="13"/>
    </row>
    <row r="9939">
      <c r="L9939" s="13"/>
      <c r="M9939" s="14"/>
      <c r="N9939" s="14"/>
      <c r="O9939" s="14"/>
      <c r="P9939" s="13"/>
    </row>
    <row r="9940">
      <c r="L9940" s="13"/>
      <c r="M9940" s="14"/>
      <c r="N9940" s="14"/>
      <c r="O9940" s="14"/>
      <c r="P9940" s="13"/>
    </row>
    <row r="9941">
      <c r="L9941" s="13"/>
      <c r="M9941" s="14"/>
      <c r="N9941" s="14"/>
      <c r="O9941" s="14"/>
      <c r="P9941" s="13"/>
    </row>
    <row r="9942">
      <c r="L9942" s="13"/>
      <c r="M9942" s="14"/>
      <c r="N9942" s="14"/>
      <c r="O9942" s="14"/>
      <c r="P9942" s="13"/>
    </row>
    <row r="9943">
      <c r="L9943" s="13"/>
      <c r="M9943" s="14"/>
      <c r="N9943" s="14"/>
      <c r="O9943" s="14"/>
      <c r="P9943" s="13"/>
    </row>
    <row r="9944">
      <c r="L9944" s="13"/>
      <c r="M9944" s="14"/>
      <c r="N9944" s="14"/>
      <c r="O9944" s="14"/>
      <c r="P9944" s="13"/>
    </row>
    <row r="9945">
      <c r="L9945" s="13"/>
      <c r="M9945" s="14"/>
      <c r="N9945" s="14"/>
      <c r="O9945" s="14"/>
      <c r="P9945" s="13"/>
    </row>
    <row r="9946">
      <c r="L9946" s="13"/>
      <c r="M9946" s="14"/>
      <c r="N9946" s="14"/>
      <c r="O9946" s="14"/>
      <c r="P9946" s="13"/>
    </row>
    <row r="9947">
      <c r="L9947" s="13"/>
      <c r="M9947" s="14"/>
      <c r="N9947" s="14"/>
      <c r="O9947" s="14"/>
      <c r="P9947" s="13"/>
    </row>
    <row r="9948">
      <c r="L9948" s="13"/>
      <c r="M9948" s="14"/>
      <c r="N9948" s="14"/>
      <c r="O9948" s="14"/>
      <c r="P9948" s="13"/>
    </row>
    <row r="9949">
      <c r="L9949" s="13"/>
      <c r="M9949" s="14"/>
      <c r="N9949" s="14"/>
      <c r="O9949" s="14"/>
      <c r="P9949" s="13"/>
    </row>
    <row r="9950">
      <c r="L9950" s="13"/>
      <c r="M9950" s="14"/>
      <c r="N9950" s="14"/>
      <c r="O9950" s="14"/>
      <c r="P9950" s="13"/>
    </row>
    <row r="9951">
      <c r="L9951" s="13"/>
      <c r="M9951" s="14"/>
      <c r="N9951" s="14"/>
      <c r="O9951" s="14"/>
      <c r="P9951" s="13"/>
    </row>
    <row r="9952">
      <c r="L9952" s="13"/>
      <c r="M9952" s="14"/>
      <c r="N9952" s="14"/>
      <c r="O9952" s="14"/>
      <c r="P9952" s="13"/>
    </row>
    <row r="9953">
      <c r="L9953" s="13"/>
      <c r="M9953" s="14"/>
      <c r="N9953" s="14"/>
      <c r="O9953" s="14"/>
      <c r="P9953" s="13"/>
    </row>
    <row r="9954">
      <c r="L9954" s="13"/>
      <c r="M9954" s="14"/>
      <c r="N9954" s="14"/>
      <c r="O9954" s="14"/>
      <c r="P9954" s="13"/>
    </row>
    <row r="9955">
      <c r="L9955" s="13"/>
      <c r="M9955" s="14"/>
      <c r="N9955" s="14"/>
      <c r="O9955" s="14"/>
      <c r="P9955" s="13"/>
    </row>
    <row r="9956">
      <c r="L9956" s="13"/>
      <c r="M9956" s="14"/>
      <c r="N9956" s="14"/>
      <c r="O9956" s="14"/>
      <c r="P9956" s="13"/>
    </row>
    <row r="9957">
      <c r="L9957" s="13"/>
      <c r="M9957" s="14"/>
      <c r="N9957" s="14"/>
      <c r="O9957" s="14"/>
      <c r="P9957" s="13"/>
    </row>
    <row r="9958">
      <c r="L9958" s="13"/>
      <c r="M9958" s="14"/>
      <c r="N9958" s="14"/>
      <c r="O9958" s="14"/>
      <c r="P9958" s="13"/>
    </row>
    <row r="9959">
      <c r="L9959" s="13"/>
      <c r="M9959" s="14"/>
      <c r="N9959" s="14"/>
      <c r="O9959" s="14"/>
      <c r="P9959" s="13"/>
    </row>
    <row r="9960">
      <c r="L9960" s="13"/>
      <c r="M9960" s="14"/>
      <c r="N9960" s="14"/>
      <c r="O9960" s="14"/>
      <c r="P9960" s="13"/>
    </row>
    <row r="9961">
      <c r="L9961" s="13"/>
      <c r="M9961" s="14"/>
      <c r="N9961" s="14"/>
      <c r="O9961" s="14"/>
      <c r="P9961" s="13"/>
    </row>
    <row r="9962">
      <c r="L9962" s="13"/>
      <c r="M9962" s="14"/>
      <c r="N9962" s="14"/>
      <c r="O9962" s="14"/>
      <c r="P9962" s="13"/>
    </row>
    <row r="9963">
      <c r="L9963" s="13"/>
      <c r="M9963" s="14"/>
      <c r="N9963" s="14"/>
      <c r="O9963" s="14"/>
      <c r="P9963" s="13"/>
    </row>
    <row r="9964">
      <c r="L9964" s="13"/>
      <c r="M9964" s="14"/>
      <c r="N9964" s="14"/>
      <c r="O9964" s="14"/>
      <c r="P9964" s="13"/>
    </row>
    <row r="9965">
      <c r="L9965" s="13"/>
      <c r="M9965" s="14"/>
      <c r="N9965" s="14"/>
      <c r="O9965" s="14"/>
      <c r="P9965" s="13"/>
    </row>
    <row r="9966">
      <c r="L9966" s="13"/>
      <c r="M9966" s="14"/>
      <c r="N9966" s="14"/>
      <c r="O9966" s="14"/>
      <c r="P9966" s="13"/>
    </row>
    <row r="9967">
      <c r="L9967" s="13"/>
      <c r="M9967" s="14"/>
      <c r="N9967" s="14"/>
      <c r="O9967" s="14"/>
      <c r="P9967" s="13"/>
    </row>
    <row r="9968">
      <c r="L9968" s="13"/>
      <c r="M9968" s="14"/>
      <c r="N9968" s="14"/>
      <c r="O9968" s="14"/>
      <c r="P9968" s="13"/>
    </row>
    <row r="9969">
      <c r="L9969" s="13"/>
      <c r="M9969" s="14"/>
      <c r="N9969" s="14"/>
      <c r="O9969" s="14"/>
      <c r="P9969" s="13"/>
    </row>
    <row r="9970">
      <c r="L9970" s="13"/>
      <c r="M9970" s="14"/>
      <c r="N9970" s="14"/>
      <c r="O9970" s="14"/>
      <c r="P9970" s="13"/>
    </row>
    <row r="9971">
      <c r="L9971" s="13"/>
      <c r="M9971" s="14"/>
      <c r="N9971" s="14"/>
      <c r="O9971" s="14"/>
      <c r="P9971" s="13"/>
    </row>
    <row r="9972">
      <c r="L9972" s="13"/>
      <c r="M9972" s="14"/>
      <c r="N9972" s="14"/>
      <c r="O9972" s="14"/>
      <c r="P9972" s="13"/>
    </row>
    <row r="9973">
      <c r="L9973" s="13"/>
      <c r="M9973" s="14"/>
      <c r="N9973" s="14"/>
      <c r="O9973" s="14"/>
      <c r="P9973" s="13"/>
    </row>
    <row r="9974">
      <c r="L9974" s="13"/>
      <c r="M9974" s="14"/>
      <c r="N9974" s="14"/>
      <c r="O9974" s="14"/>
      <c r="P9974" s="13"/>
    </row>
    <row r="9975">
      <c r="L9975" s="13"/>
      <c r="M9975" s="14"/>
      <c r="N9975" s="14"/>
      <c r="O9975" s="14"/>
      <c r="P9975" s="13"/>
    </row>
    <row r="9976">
      <c r="L9976" s="13"/>
      <c r="M9976" s="14"/>
      <c r="N9976" s="14"/>
      <c r="O9976" s="14"/>
      <c r="P9976" s="13"/>
    </row>
    <row r="9977">
      <c r="L9977" s="13"/>
      <c r="M9977" s="14"/>
      <c r="N9977" s="14"/>
      <c r="O9977" s="14"/>
      <c r="P9977" s="13"/>
    </row>
    <row r="9978">
      <c r="L9978" s="13"/>
      <c r="M9978" s="14"/>
      <c r="N9978" s="14"/>
      <c r="O9978" s="14"/>
      <c r="P9978" s="13"/>
    </row>
    <row r="9979">
      <c r="L9979" s="13"/>
      <c r="M9979" s="14"/>
      <c r="N9979" s="14"/>
      <c r="O9979" s="14"/>
      <c r="P9979" s="13"/>
    </row>
    <row r="9980">
      <c r="L9980" s="13"/>
      <c r="M9980" s="14"/>
      <c r="N9980" s="14"/>
      <c r="O9980" s="14"/>
      <c r="P9980" s="13"/>
    </row>
    <row r="9981">
      <c r="L9981" s="13"/>
      <c r="M9981" s="14"/>
      <c r="N9981" s="14"/>
      <c r="O9981" s="14"/>
      <c r="P9981" s="13"/>
    </row>
    <row r="9982">
      <c r="L9982" s="13"/>
      <c r="M9982" s="14"/>
      <c r="N9982" s="14"/>
      <c r="O9982" s="14"/>
      <c r="P9982" s="13"/>
    </row>
    <row r="9983">
      <c r="L9983" s="13"/>
      <c r="M9983" s="14"/>
      <c r="N9983" s="14"/>
      <c r="O9983" s="14"/>
      <c r="P9983" s="13"/>
    </row>
    <row r="9984">
      <c r="L9984" s="13"/>
      <c r="M9984" s="14"/>
      <c r="N9984" s="14"/>
      <c r="O9984" s="14"/>
      <c r="P9984" s="13"/>
    </row>
    <row r="9985">
      <c r="L9985" s="13"/>
      <c r="M9985" s="14"/>
      <c r="N9985" s="14"/>
      <c r="O9985" s="14"/>
      <c r="P9985" s="13"/>
    </row>
    <row r="9986">
      <c r="L9986" s="13"/>
      <c r="M9986" s="14"/>
      <c r="N9986" s="14"/>
      <c r="O9986" s="14"/>
      <c r="P9986" s="13"/>
    </row>
    <row r="9987">
      <c r="L9987" s="13"/>
      <c r="M9987" s="14"/>
      <c r="N9987" s="14"/>
      <c r="O9987" s="14"/>
      <c r="P9987" s="13"/>
    </row>
    <row r="9988">
      <c r="L9988" s="13"/>
      <c r="M9988" s="14"/>
      <c r="N9988" s="14"/>
      <c r="O9988" s="14"/>
      <c r="P9988" s="13"/>
    </row>
    <row r="9989">
      <c r="L9989" s="13"/>
      <c r="M9989" s="14"/>
      <c r="N9989" s="14"/>
      <c r="O9989" s="14"/>
      <c r="P9989" s="13"/>
    </row>
    <row r="9990">
      <c r="L9990" s="13"/>
      <c r="M9990" s="14"/>
      <c r="N9990" s="14"/>
      <c r="O9990" s="14"/>
      <c r="P9990" s="13"/>
    </row>
    <row r="9991">
      <c r="L9991" s="13"/>
      <c r="M9991" s="14"/>
      <c r="N9991" s="14"/>
      <c r="O9991" s="14"/>
      <c r="P9991" s="13"/>
    </row>
    <row r="9992">
      <c r="L9992" s="13"/>
      <c r="M9992" s="14"/>
      <c r="N9992" s="14"/>
      <c r="O9992" s="14"/>
      <c r="P9992" s="13"/>
    </row>
    <row r="9993">
      <c r="L9993" s="13"/>
      <c r="M9993" s="14"/>
      <c r="N9993" s="14"/>
      <c r="O9993" s="14"/>
      <c r="P9993" s="13"/>
    </row>
    <row r="9994">
      <c r="L9994" s="13"/>
      <c r="M9994" s="14"/>
      <c r="N9994" s="14"/>
      <c r="O9994" s="14"/>
      <c r="P9994" s="13"/>
    </row>
    <row r="9995">
      <c r="L9995" s="13"/>
      <c r="M9995" s="14"/>
      <c r="N9995" s="14"/>
      <c r="O9995" s="14"/>
      <c r="P9995" s="13"/>
    </row>
    <row r="9996">
      <c r="L9996" s="13"/>
      <c r="M9996" s="14"/>
      <c r="N9996" s="14"/>
      <c r="O9996" s="14"/>
      <c r="P9996" s="13"/>
    </row>
    <row r="9997">
      <c r="L9997" s="13"/>
      <c r="M9997" s="14"/>
      <c r="N9997" s="14"/>
      <c r="O9997" s="14"/>
      <c r="P9997" s="13"/>
    </row>
    <row r="9998">
      <c r="L9998" s="13"/>
      <c r="M9998" s="14"/>
      <c r="N9998" s="14"/>
      <c r="O9998" s="14"/>
      <c r="P9998" s="13"/>
    </row>
    <row r="9999">
      <c r="L9999" s="13"/>
      <c r="M9999" s="14"/>
      <c r="N9999" s="14"/>
      <c r="O9999" s="14"/>
      <c r="P9999" s="13"/>
    </row>
    <row r="10000">
      <c r="L10000" s="13"/>
      <c r="M10000" s="14"/>
      <c r="N10000" s="14"/>
      <c r="O10000" s="14"/>
      <c r="P10000" s="13"/>
    </row>
    <row r="10001">
      <c r="L10001" s="13"/>
      <c r="M10001" s="14"/>
      <c r="N10001" s="14"/>
      <c r="O10001" s="14"/>
      <c r="P10001" s="13"/>
    </row>
    <row r="10002">
      <c r="L10002" s="13"/>
      <c r="M10002" s="14"/>
      <c r="N10002" s="14"/>
      <c r="O10002" s="14"/>
      <c r="P10002" s="13"/>
    </row>
    <row r="10003">
      <c r="L10003" s="13"/>
      <c r="M10003" s="14"/>
      <c r="N10003" s="14"/>
      <c r="O10003" s="14"/>
      <c r="P10003" s="13"/>
    </row>
    <row r="10004">
      <c r="L10004" s="13"/>
      <c r="M10004" s="14"/>
      <c r="N10004" s="14"/>
      <c r="O10004" s="14"/>
      <c r="P10004" s="13"/>
    </row>
    <row r="10005">
      <c r="L10005" s="13"/>
      <c r="M10005" s="14"/>
      <c r="N10005" s="14"/>
      <c r="O10005" s="14"/>
      <c r="P10005" s="13"/>
    </row>
    <row r="10006">
      <c r="L10006" s="13"/>
      <c r="M10006" s="14"/>
      <c r="N10006" s="14"/>
      <c r="O10006" s="14"/>
      <c r="P10006" s="13"/>
    </row>
    <row r="10007">
      <c r="L10007" s="13"/>
      <c r="M10007" s="14"/>
      <c r="N10007" s="14"/>
      <c r="O10007" s="14"/>
      <c r="P10007" s="13"/>
    </row>
    <row r="10008">
      <c r="L10008" s="13"/>
      <c r="M10008" s="14"/>
      <c r="N10008" s="14"/>
      <c r="O10008" s="14"/>
      <c r="P10008" s="13"/>
    </row>
    <row r="10009">
      <c r="L10009" s="13"/>
      <c r="M10009" s="14"/>
      <c r="N10009" s="14"/>
      <c r="O10009" s="14"/>
      <c r="P10009" s="13"/>
    </row>
    <row r="10010">
      <c r="L10010" s="13"/>
      <c r="M10010" s="14"/>
      <c r="N10010" s="14"/>
      <c r="O10010" s="14"/>
      <c r="P10010" s="13"/>
    </row>
    <row r="10011">
      <c r="L10011" s="13"/>
      <c r="M10011" s="14"/>
      <c r="N10011" s="14"/>
      <c r="O10011" s="14"/>
      <c r="P10011" s="13"/>
    </row>
    <row r="10012">
      <c r="L10012" s="13"/>
      <c r="M10012" s="14"/>
      <c r="N10012" s="14"/>
      <c r="O10012" s="14"/>
      <c r="P10012" s="13"/>
    </row>
    <row r="10013">
      <c r="L10013" s="13"/>
      <c r="M10013" s="14"/>
      <c r="N10013" s="14"/>
      <c r="O10013" s="14"/>
      <c r="P10013" s="13"/>
    </row>
    <row r="10014">
      <c r="L10014" s="13"/>
      <c r="M10014" s="14"/>
      <c r="N10014" s="14"/>
      <c r="O10014" s="14"/>
      <c r="P10014" s="13"/>
    </row>
    <row r="10015">
      <c r="L10015" s="13"/>
      <c r="M10015" s="14"/>
      <c r="N10015" s="14"/>
      <c r="O10015" s="14"/>
      <c r="P10015" s="13"/>
    </row>
    <row r="10016">
      <c r="L10016" s="13"/>
      <c r="M10016" s="14"/>
      <c r="N10016" s="14"/>
      <c r="O10016" s="14"/>
      <c r="P10016" s="13"/>
    </row>
    <row r="10017">
      <c r="L10017" s="13"/>
      <c r="M10017" s="14"/>
      <c r="N10017" s="14"/>
      <c r="O10017" s="14"/>
      <c r="P10017" s="13"/>
    </row>
    <row r="10018">
      <c r="L10018" s="13"/>
      <c r="M10018" s="14"/>
      <c r="N10018" s="14"/>
      <c r="O10018" s="14"/>
      <c r="P10018" s="13"/>
    </row>
    <row r="10019">
      <c r="L10019" s="13"/>
      <c r="M10019" s="14"/>
      <c r="N10019" s="14"/>
      <c r="O10019" s="14"/>
      <c r="P10019" s="13"/>
    </row>
    <row r="10020">
      <c r="L10020" s="13"/>
      <c r="M10020" s="14"/>
      <c r="N10020" s="14"/>
      <c r="O10020" s="14"/>
      <c r="P10020" s="13"/>
    </row>
    <row r="10021">
      <c r="L10021" s="13"/>
      <c r="M10021" s="14"/>
      <c r="N10021" s="14"/>
      <c r="O10021" s="14"/>
      <c r="P10021" s="13"/>
    </row>
    <row r="10022">
      <c r="L10022" s="13"/>
      <c r="M10022" s="14"/>
      <c r="N10022" s="14"/>
      <c r="O10022" s="14"/>
      <c r="P10022" s="13"/>
    </row>
    <row r="10023">
      <c r="L10023" s="13"/>
      <c r="M10023" s="14"/>
      <c r="N10023" s="14"/>
      <c r="O10023" s="14"/>
      <c r="P10023" s="13"/>
    </row>
    <row r="10024">
      <c r="L10024" s="13"/>
      <c r="M10024" s="14"/>
      <c r="N10024" s="14"/>
      <c r="O10024" s="14"/>
      <c r="P10024" s="13"/>
    </row>
    <row r="10025">
      <c r="L10025" s="13"/>
      <c r="M10025" s="14"/>
      <c r="N10025" s="14"/>
      <c r="O10025" s="14"/>
      <c r="P10025" s="13"/>
    </row>
    <row r="10026">
      <c r="L10026" s="13"/>
      <c r="M10026" s="14"/>
      <c r="N10026" s="14"/>
      <c r="O10026" s="14"/>
      <c r="P10026" s="13"/>
    </row>
    <row r="10027">
      <c r="L10027" s="13"/>
      <c r="M10027" s="14"/>
      <c r="N10027" s="14"/>
      <c r="O10027" s="14"/>
      <c r="P10027" s="13"/>
    </row>
    <row r="10028">
      <c r="L10028" s="13"/>
      <c r="M10028" s="14"/>
      <c r="N10028" s="14"/>
      <c r="O10028" s="14"/>
      <c r="P10028" s="13"/>
    </row>
    <row r="10029">
      <c r="L10029" s="13"/>
      <c r="M10029" s="14"/>
      <c r="N10029" s="14"/>
      <c r="O10029" s="14"/>
      <c r="P10029" s="13"/>
    </row>
    <row r="10030">
      <c r="L10030" s="13"/>
      <c r="M10030" s="14"/>
      <c r="N10030" s="14"/>
      <c r="O10030" s="14"/>
      <c r="P10030" s="13"/>
    </row>
    <row r="10031">
      <c r="L10031" s="13"/>
      <c r="M10031" s="14"/>
      <c r="N10031" s="14"/>
      <c r="O10031" s="14"/>
      <c r="P10031" s="13"/>
    </row>
    <row r="10032">
      <c r="L10032" s="13"/>
      <c r="M10032" s="14"/>
      <c r="N10032" s="14"/>
      <c r="O10032" s="14"/>
      <c r="P10032" s="13"/>
    </row>
    <row r="10033">
      <c r="L10033" s="13"/>
      <c r="M10033" s="14"/>
      <c r="N10033" s="14"/>
      <c r="O10033" s="14"/>
      <c r="P10033" s="13"/>
    </row>
    <row r="10034">
      <c r="L10034" s="13"/>
      <c r="M10034" s="14"/>
      <c r="N10034" s="14"/>
      <c r="O10034" s="14"/>
      <c r="P10034" s="13"/>
    </row>
    <row r="10035">
      <c r="L10035" s="13"/>
      <c r="M10035" s="14"/>
      <c r="N10035" s="14"/>
      <c r="O10035" s="14"/>
      <c r="P10035" s="13"/>
    </row>
    <row r="10036">
      <c r="L10036" s="13"/>
      <c r="M10036" s="14"/>
      <c r="N10036" s="14"/>
      <c r="O10036" s="14"/>
      <c r="P10036" s="13"/>
    </row>
    <row r="10037">
      <c r="L10037" s="13"/>
      <c r="M10037" s="14"/>
      <c r="N10037" s="14"/>
      <c r="O10037" s="14"/>
      <c r="P10037" s="13"/>
    </row>
    <row r="10038">
      <c r="L10038" s="13"/>
      <c r="M10038" s="14"/>
      <c r="N10038" s="14"/>
      <c r="O10038" s="14"/>
      <c r="P10038" s="13"/>
    </row>
    <row r="10039">
      <c r="L10039" s="13"/>
      <c r="M10039" s="14"/>
      <c r="N10039" s="14"/>
      <c r="O10039" s="14"/>
      <c r="P10039" s="13"/>
    </row>
    <row r="10040">
      <c r="L10040" s="13"/>
      <c r="M10040" s="14"/>
      <c r="N10040" s="14"/>
      <c r="O10040" s="14"/>
      <c r="P10040" s="13"/>
    </row>
    <row r="10041">
      <c r="L10041" s="13"/>
      <c r="M10041" s="14"/>
      <c r="N10041" s="14"/>
      <c r="O10041" s="14"/>
      <c r="P10041" s="13"/>
    </row>
    <row r="10042">
      <c r="L10042" s="13"/>
      <c r="M10042" s="14"/>
      <c r="N10042" s="14"/>
      <c r="O10042" s="14"/>
      <c r="P10042" s="13"/>
    </row>
    <row r="10043">
      <c r="L10043" s="13"/>
      <c r="M10043" s="14"/>
      <c r="N10043" s="14"/>
      <c r="O10043" s="14"/>
      <c r="P10043" s="13"/>
    </row>
    <row r="10044">
      <c r="L10044" s="13"/>
      <c r="M10044" s="14"/>
      <c r="N10044" s="14"/>
      <c r="O10044" s="14"/>
      <c r="P10044" s="13"/>
    </row>
    <row r="10045">
      <c r="L10045" s="13"/>
      <c r="M10045" s="14"/>
      <c r="N10045" s="14"/>
      <c r="O10045" s="14"/>
      <c r="P10045" s="13"/>
    </row>
    <row r="10046">
      <c r="L10046" s="13"/>
      <c r="M10046" s="14"/>
      <c r="N10046" s="14"/>
      <c r="O10046" s="14"/>
      <c r="P10046" s="13"/>
    </row>
    <row r="10047">
      <c r="L10047" s="13"/>
      <c r="M10047" s="14"/>
      <c r="N10047" s="14"/>
      <c r="O10047" s="14"/>
      <c r="P10047" s="13"/>
    </row>
    <row r="10048">
      <c r="L10048" s="13"/>
      <c r="M10048" s="14"/>
      <c r="N10048" s="14"/>
      <c r="O10048" s="14"/>
      <c r="P10048" s="13"/>
    </row>
    <row r="10049">
      <c r="L10049" s="13"/>
      <c r="M10049" s="14"/>
      <c r="N10049" s="14"/>
      <c r="O10049" s="14"/>
      <c r="P10049" s="13"/>
    </row>
    <row r="10050">
      <c r="L10050" s="13"/>
      <c r="M10050" s="14"/>
      <c r="N10050" s="14"/>
      <c r="O10050" s="14"/>
      <c r="P10050" s="13"/>
    </row>
    <row r="10051">
      <c r="L10051" s="13"/>
      <c r="M10051" s="14"/>
      <c r="N10051" s="14"/>
      <c r="O10051" s="14"/>
      <c r="P10051" s="13"/>
    </row>
    <row r="10052">
      <c r="L10052" s="13"/>
      <c r="M10052" s="14"/>
      <c r="N10052" s="14"/>
      <c r="O10052" s="14"/>
      <c r="P10052" s="13"/>
    </row>
    <row r="10053">
      <c r="L10053" s="13"/>
      <c r="M10053" s="14"/>
      <c r="N10053" s="14"/>
      <c r="O10053" s="14"/>
      <c r="P10053" s="13"/>
    </row>
    <row r="10054">
      <c r="L10054" s="13"/>
      <c r="M10054" s="14"/>
      <c r="N10054" s="14"/>
      <c r="O10054" s="14"/>
      <c r="P10054" s="13"/>
    </row>
    <row r="10055">
      <c r="L10055" s="13"/>
      <c r="M10055" s="14"/>
      <c r="N10055" s="14"/>
      <c r="O10055" s="14"/>
      <c r="P10055" s="13"/>
    </row>
    <row r="10056">
      <c r="L10056" s="13"/>
      <c r="M10056" s="14"/>
      <c r="N10056" s="14"/>
      <c r="O10056" s="14"/>
      <c r="P10056" s="13"/>
    </row>
    <row r="10057">
      <c r="L10057" s="13"/>
      <c r="M10057" s="14"/>
      <c r="N10057" s="14"/>
      <c r="O10057" s="14"/>
      <c r="P10057" s="13"/>
    </row>
    <row r="10058">
      <c r="L10058" s="13"/>
      <c r="M10058" s="14"/>
      <c r="N10058" s="14"/>
      <c r="O10058" s="14"/>
      <c r="P10058" s="13"/>
    </row>
    <row r="10059">
      <c r="L10059" s="13"/>
      <c r="M10059" s="14"/>
      <c r="N10059" s="14"/>
      <c r="O10059" s="14"/>
      <c r="P10059" s="13"/>
    </row>
    <row r="10060">
      <c r="L10060" s="13"/>
      <c r="M10060" s="14"/>
      <c r="N10060" s="14"/>
      <c r="O10060" s="14"/>
      <c r="P10060" s="13"/>
    </row>
    <row r="10061">
      <c r="L10061" s="13"/>
      <c r="M10061" s="14"/>
      <c r="N10061" s="14"/>
      <c r="O10061" s="14"/>
      <c r="P10061" s="13"/>
    </row>
    <row r="10062">
      <c r="L10062" s="13"/>
      <c r="M10062" s="14"/>
      <c r="N10062" s="14"/>
      <c r="O10062" s="14"/>
      <c r="P10062" s="13"/>
    </row>
    <row r="10063">
      <c r="L10063" s="13"/>
      <c r="M10063" s="14"/>
      <c r="N10063" s="14"/>
      <c r="O10063" s="14"/>
      <c r="P10063" s="13"/>
    </row>
    <row r="10064">
      <c r="L10064" s="13"/>
      <c r="M10064" s="14"/>
      <c r="N10064" s="14"/>
      <c r="O10064" s="14"/>
      <c r="P10064" s="13"/>
    </row>
    <row r="10065">
      <c r="L10065" s="13"/>
      <c r="M10065" s="14"/>
      <c r="N10065" s="14"/>
      <c r="O10065" s="14"/>
      <c r="P10065" s="13"/>
    </row>
    <row r="10066">
      <c r="L10066" s="13"/>
      <c r="M10066" s="14"/>
      <c r="N10066" s="14"/>
      <c r="O10066" s="14"/>
      <c r="P10066" s="13"/>
    </row>
    <row r="10067">
      <c r="L10067" s="13"/>
      <c r="M10067" s="14"/>
      <c r="N10067" s="14"/>
      <c r="O10067" s="14"/>
      <c r="P10067" s="13"/>
    </row>
    <row r="10068">
      <c r="L10068" s="13"/>
      <c r="M10068" s="14"/>
      <c r="N10068" s="14"/>
      <c r="O10068" s="14"/>
      <c r="P10068" s="13"/>
    </row>
    <row r="10069">
      <c r="L10069" s="13"/>
      <c r="M10069" s="14"/>
      <c r="N10069" s="14"/>
      <c r="O10069" s="14"/>
      <c r="P10069" s="13"/>
    </row>
    <row r="10070">
      <c r="L10070" s="13"/>
      <c r="M10070" s="14"/>
      <c r="N10070" s="14"/>
      <c r="O10070" s="14"/>
      <c r="P10070" s="13"/>
    </row>
    <row r="10071">
      <c r="L10071" s="13"/>
      <c r="M10071" s="14"/>
      <c r="N10071" s="14"/>
      <c r="O10071" s="14"/>
      <c r="P10071" s="13"/>
    </row>
    <row r="10072">
      <c r="L10072" s="13"/>
      <c r="M10072" s="14"/>
      <c r="N10072" s="14"/>
      <c r="O10072" s="14"/>
      <c r="P10072" s="13"/>
    </row>
    <row r="10073">
      <c r="L10073" s="13"/>
      <c r="M10073" s="14"/>
      <c r="N10073" s="14"/>
      <c r="O10073" s="14"/>
      <c r="P10073" s="13"/>
    </row>
    <row r="10074">
      <c r="L10074" s="13"/>
      <c r="M10074" s="14"/>
      <c r="N10074" s="14"/>
      <c r="O10074" s="14"/>
      <c r="P10074" s="13"/>
    </row>
    <row r="10075">
      <c r="L10075" s="13"/>
      <c r="M10075" s="14"/>
      <c r="N10075" s="14"/>
      <c r="O10075" s="14"/>
      <c r="P10075" s="13"/>
    </row>
    <row r="10076">
      <c r="L10076" s="13"/>
      <c r="M10076" s="14"/>
      <c r="N10076" s="14"/>
      <c r="O10076" s="14"/>
      <c r="P10076" s="13"/>
    </row>
    <row r="10077">
      <c r="L10077" s="13"/>
      <c r="M10077" s="14"/>
      <c r="N10077" s="14"/>
      <c r="O10077" s="14"/>
      <c r="P10077" s="13"/>
    </row>
    <row r="10078">
      <c r="L10078" s="13"/>
      <c r="M10078" s="14"/>
      <c r="N10078" s="14"/>
      <c r="O10078" s="14"/>
      <c r="P10078" s="13"/>
    </row>
    <row r="10079">
      <c r="L10079" s="13"/>
      <c r="M10079" s="14"/>
      <c r="N10079" s="14"/>
      <c r="O10079" s="14"/>
      <c r="P10079" s="13"/>
    </row>
    <row r="10080">
      <c r="L10080" s="13"/>
      <c r="M10080" s="14"/>
      <c r="N10080" s="14"/>
      <c r="O10080" s="14"/>
      <c r="P10080" s="13"/>
    </row>
    <row r="10081">
      <c r="L10081" s="13"/>
      <c r="M10081" s="14"/>
      <c r="N10081" s="14"/>
      <c r="O10081" s="14"/>
      <c r="P10081" s="13"/>
    </row>
    <row r="10082">
      <c r="L10082" s="13"/>
      <c r="M10082" s="14"/>
      <c r="N10082" s="14"/>
      <c r="O10082" s="14"/>
      <c r="P10082" s="13"/>
    </row>
    <row r="10083">
      <c r="L10083" s="13"/>
      <c r="M10083" s="14"/>
      <c r="N10083" s="14"/>
      <c r="O10083" s="14"/>
      <c r="P10083" s="13"/>
    </row>
    <row r="10084">
      <c r="L10084" s="13"/>
      <c r="M10084" s="14"/>
      <c r="N10084" s="14"/>
      <c r="O10084" s="14"/>
      <c r="P10084" s="13"/>
    </row>
    <row r="10085">
      <c r="L10085" s="13"/>
      <c r="M10085" s="14"/>
      <c r="N10085" s="14"/>
      <c r="O10085" s="14"/>
      <c r="P10085" s="13"/>
    </row>
    <row r="10086">
      <c r="L10086" s="13"/>
      <c r="M10086" s="14"/>
      <c r="N10086" s="14"/>
      <c r="O10086" s="14"/>
      <c r="P10086" s="13"/>
    </row>
    <row r="10087">
      <c r="L10087" s="13"/>
      <c r="M10087" s="14"/>
      <c r="N10087" s="14"/>
      <c r="O10087" s="14"/>
      <c r="P10087" s="13"/>
    </row>
    <row r="10088">
      <c r="L10088" s="13"/>
      <c r="M10088" s="14"/>
      <c r="N10088" s="14"/>
      <c r="O10088" s="14"/>
      <c r="P10088" s="13"/>
    </row>
    <row r="10089">
      <c r="L10089" s="13"/>
      <c r="M10089" s="14"/>
      <c r="N10089" s="14"/>
      <c r="O10089" s="14"/>
      <c r="P10089" s="13"/>
    </row>
    <row r="10090">
      <c r="L10090" s="13"/>
      <c r="M10090" s="14"/>
      <c r="N10090" s="14"/>
      <c r="O10090" s="14"/>
      <c r="P10090" s="13"/>
    </row>
    <row r="10091">
      <c r="L10091" s="13"/>
      <c r="M10091" s="14"/>
      <c r="N10091" s="14"/>
      <c r="O10091" s="14"/>
      <c r="P10091" s="13"/>
    </row>
    <row r="10092">
      <c r="L10092" s="13"/>
      <c r="M10092" s="14"/>
      <c r="N10092" s="14"/>
      <c r="O10092" s="14"/>
      <c r="P10092" s="13"/>
    </row>
    <row r="10093">
      <c r="L10093" s="13"/>
      <c r="M10093" s="14"/>
      <c r="N10093" s="14"/>
      <c r="O10093" s="14"/>
      <c r="P10093" s="13"/>
    </row>
    <row r="10094">
      <c r="L10094" s="13"/>
      <c r="M10094" s="14"/>
      <c r="N10094" s="14"/>
      <c r="O10094" s="14"/>
      <c r="P10094" s="13"/>
    </row>
    <row r="10095">
      <c r="L10095" s="13"/>
      <c r="M10095" s="14"/>
      <c r="N10095" s="14"/>
      <c r="O10095" s="14"/>
      <c r="P10095" s="13"/>
    </row>
    <row r="10096">
      <c r="L10096" s="13"/>
      <c r="M10096" s="14"/>
      <c r="N10096" s="14"/>
      <c r="O10096" s="14"/>
      <c r="P10096" s="13"/>
    </row>
    <row r="10097">
      <c r="L10097" s="13"/>
      <c r="M10097" s="14"/>
      <c r="N10097" s="14"/>
      <c r="O10097" s="14"/>
      <c r="P10097" s="13"/>
    </row>
    <row r="10098">
      <c r="L10098" s="13"/>
      <c r="M10098" s="14"/>
      <c r="N10098" s="14"/>
      <c r="O10098" s="14"/>
      <c r="P10098" s="13"/>
    </row>
    <row r="10099">
      <c r="L10099" s="13"/>
      <c r="M10099" s="14"/>
      <c r="N10099" s="14"/>
      <c r="O10099" s="14"/>
      <c r="P10099" s="13"/>
    </row>
    <row r="10100">
      <c r="L10100" s="13"/>
      <c r="M10100" s="14"/>
      <c r="N10100" s="14"/>
      <c r="O10100" s="14"/>
      <c r="P10100" s="13"/>
    </row>
    <row r="10101">
      <c r="L10101" s="13"/>
      <c r="M10101" s="14"/>
      <c r="N10101" s="14"/>
      <c r="O10101" s="14"/>
      <c r="P10101" s="13"/>
    </row>
    <row r="10102">
      <c r="L10102" s="13"/>
      <c r="M10102" s="14"/>
      <c r="N10102" s="14"/>
      <c r="O10102" s="14"/>
      <c r="P10102" s="13"/>
    </row>
    <row r="10103">
      <c r="L10103" s="13"/>
      <c r="M10103" s="14"/>
      <c r="N10103" s="14"/>
      <c r="O10103" s="14"/>
      <c r="P10103" s="13"/>
    </row>
    <row r="10104">
      <c r="L10104" s="13"/>
      <c r="M10104" s="14"/>
      <c r="N10104" s="14"/>
      <c r="O10104" s="14"/>
      <c r="P10104" s="13"/>
    </row>
    <row r="10105">
      <c r="L10105" s="13"/>
      <c r="M10105" s="14"/>
      <c r="N10105" s="14"/>
      <c r="O10105" s="14"/>
      <c r="P10105" s="13"/>
    </row>
    <row r="10106">
      <c r="L10106" s="13"/>
      <c r="M10106" s="14"/>
      <c r="N10106" s="14"/>
      <c r="O10106" s="14"/>
      <c r="P10106" s="13"/>
    </row>
    <row r="10107">
      <c r="L10107" s="13"/>
      <c r="M10107" s="14"/>
      <c r="N10107" s="14"/>
      <c r="O10107" s="14"/>
      <c r="P10107" s="13"/>
    </row>
    <row r="10108">
      <c r="L10108" s="13"/>
      <c r="M10108" s="14"/>
      <c r="N10108" s="14"/>
      <c r="O10108" s="14"/>
      <c r="P10108" s="13"/>
    </row>
    <row r="10109">
      <c r="L10109" s="13"/>
      <c r="M10109" s="14"/>
      <c r="N10109" s="14"/>
      <c r="O10109" s="14"/>
      <c r="P10109" s="13"/>
    </row>
    <row r="10110">
      <c r="L10110" s="13"/>
      <c r="M10110" s="14"/>
      <c r="N10110" s="14"/>
      <c r="O10110" s="14"/>
      <c r="P10110" s="13"/>
    </row>
    <row r="10111">
      <c r="L10111" s="13"/>
      <c r="M10111" s="14"/>
      <c r="N10111" s="14"/>
      <c r="O10111" s="14"/>
      <c r="P10111" s="13"/>
    </row>
    <row r="10112">
      <c r="L10112" s="13"/>
      <c r="M10112" s="14"/>
      <c r="N10112" s="14"/>
      <c r="O10112" s="14"/>
      <c r="P10112" s="13"/>
    </row>
    <row r="10113">
      <c r="L10113" s="13"/>
      <c r="M10113" s="14"/>
      <c r="N10113" s="14"/>
      <c r="O10113" s="14"/>
      <c r="P10113" s="13"/>
    </row>
    <row r="10114">
      <c r="L10114" s="13"/>
      <c r="M10114" s="14"/>
      <c r="N10114" s="14"/>
      <c r="O10114" s="14"/>
      <c r="P10114" s="13"/>
    </row>
    <row r="10115">
      <c r="L10115" s="13"/>
      <c r="M10115" s="14"/>
      <c r="N10115" s="14"/>
      <c r="O10115" s="14"/>
      <c r="P10115" s="13"/>
    </row>
    <row r="10116">
      <c r="L10116" s="13"/>
      <c r="M10116" s="14"/>
      <c r="N10116" s="14"/>
      <c r="O10116" s="14"/>
      <c r="P10116" s="13"/>
    </row>
    <row r="10117">
      <c r="L10117" s="13"/>
      <c r="M10117" s="14"/>
      <c r="N10117" s="14"/>
      <c r="O10117" s="14"/>
      <c r="P10117" s="13"/>
    </row>
    <row r="10118">
      <c r="L10118" s="13"/>
      <c r="M10118" s="14"/>
      <c r="N10118" s="14"/>
      <c r="O10118" s="14"/>
      <c r="P10118" s="13"/>
    </row>
    <row r="10119">
      <c r="L10119" s="13"/>
      <c r="M10119" s="14"/>
      <c r="N10119" s="14"/>
      <c r="O10119" s="14"/>
      <c r="P10119" s="13"/>
    </row>
    <row r="10120">
      <c r="L10120" s="13"/>
      <c r="M10120" s="14"/>
      <c r="N10120" s="14"/>
      <c r="O10120" s="14"/>
      <c r="P10120" s="13"/>
    </row>
    <row r="10121">
      <c r="L10121" s="13"/>
      <c r="M10121" s="14"/>
      <c r="N10121" s="14"/>
      <c r="O10121" s="14"/>
      <c r="P10121" s="13"/>
    </row>
    <row r="10122">
      <c r="L10122" s="13"/>
      <c r="M10122" s="14"/>
      <c r="N10122" s="14"/>
      <c r="O10122" s="14"/>
      <c r="P10122" s="13"/>
    </row>
    <row r="10123">
      <c r="L10123" s="13"/>
      <c r="M10123" s="14"/>
      <c r="N10123" s="14"/>
      <c r="O10123" s="14"/>
      <c r="P10123" s="13"/>
    </row>
    <row r="10124">
      <c r="L10124" s="13"/>
      <c r="M10124" s="14"/>
      <c r="N10124" s="14"/>
      <c r="O10124" s="14"/>
      <c r="P10124" s="13"/>
    </row>
    <row r="10125">
      <c r="L10125" s="13"/>
      <c r="M10125" s="14"/>
      <c r="N10125" s="14"/>
      <c r="O10125" s="14"/>
      <c r="P10125" s="13"/>
    </row>
    <row r="10126">
      <c r="L10126" s="13"/>
      <c r="M10126" s="14"/>
      <c r="N10126" s="14"/>
      <c r="O10126" s="14"/>
      <c r="P10126" s="13"/>
    </row>
    <row r="10127">
      <c r="L10127" s="13"/>
      <c r="M10127" s="14"/>
      <c r="N10127" s="14"/>
      <c r="O10127" s="14"/>
      <c r="P10127" s="13"/>
    </row>
    <row r="10128">
      <c r="L10128" s="13"/>
      <c r="M10128" s="14"/>
      <c r="N10128" s="14"/>
      <c r="O10128" s="14"/>
      <c r="P10128" s="13"/>
    </row>
    <row r="10129">
      <c r="L10129" s="13"/>
      <c r="M10129" s="14"/>
      <c r="N10129" s="14"/>
      <c r="O10129" s="14"/>
      <c r="P10129" s="13"/>
    </row>
    <row r="10130">
      <c r="L10130" s="13"/>
      <c r="M10130" s="14"/>
      <c r="N10130" s="14"/>
      <c r="O10130" s="14"/>
      <c r="P10130" s="13"/>
    </row>
    <row r="10131">
      <c r="L10131" s="13"/>
      <c r="M10131" s="14"/>
      <c r="N10131" s="14"/>
      <c r="O10131" s="14"/>
      <c r="P10131" s="13"/>
    </row>
    <row r="10132">
      <c r="L10132" s="13"/>
      <c r="M10132" s="14"/>
      <c r="N10132" s="14"/>
      <c r="O10132" s="14"/>
      <c r="P10132" s="13"/>
    </row>
    <row r="10133">
      <c r="L10133" s="13"/>
      <c r="M10133" s="14"/>
      <c r="N10133" s="14"/>
      <c r="O10133" s="14"/>
      <c r="P10133" s="13"/>
    </row>
    <row r="10134">
      <c r="L10134" s="13"/>
      <c r="M10134" s="14"/>
      <c r="N10134" s="14"/>
      <c r="O10134" s="14"/>
      <c r="P10134" s="13"/>
    </row>
    <row r="10135">
      <c r="L10135" s="13"/>
      <c r="M10135" s="14"/>
      <c r="N10135" s="14"/>
      <c r="O10135" s="14"/>
      <c r="P10135" s="13"/>
    </row>
    <row r="10136">
      <c r="L10136" s="13"/>
      <c r="M10136" s="14"/>
      <c r="N10136" s="14"/>
      <c r="O10136" s="14"/>
      <c r="P10136" s="13"/>
    </row>
    <row r="10137">
      <c r="L10137" s="13"/>
      <c r="M10137" s="14"/>
      <c r="N10137" s="14"/>
      <c r="O10137" s="14"/>
      <c r="P10137" s="13"/>
    </row>
    <row r="10138">
      <c r="L10138" s="13"/>
      <c r="M10138" s="14"/>
      <c r="N10138" s="14"/>
      <c r="O10138" s="14"/>
      <c r="P10138" s="13"/>
    </row>
    <row r="10139">
      <c r="L10139" s="13"/>
      <c r="M10139" s="14"/>
      <c r="N10139" s="14"/>
      <c r="O10139" s="14"/>
      <c r="P10139" s="13"/>
    </row>
    <row r="10140">
      <c r="L10140" s="13"/>
      <c r="M10140" s="14"/>
      <c r="N10140" s="14"/>
      <c r="O10140" s="14"/>
      <c r="P10140" s="13"/>
    </row>
    <row r="10141">
      <c r="L10141" s="13"/>
      <c r="M10141" s="14"/>
      <c r="N10141" s="14"/>
      <c r="O10141" s="14"/>
      <c r="P10141" s="13"/>
    </row>
    <row r="10142">
      <c r="L10142" s="13"/>
      <c r="M10142" s="14"/>
      <c r="N10142" s="14"/>
      <c r="O10142" s="14"/>
      <c r="P10142" s="13"/>
    </row>
    <row r="10143">
      <c r="L10143" s="13"/>
      <c r="M10143" s="14"/>
      <c r="N10143" s="14"/>
      <c r="O10143" s="14"/>
      <c r="P10143" s="13"/>
    </row>
    <row r="10144">
      <c r="L10144" s="13"/>
      <c r="M10144" s="14"/>
      <c r="N10144" s="14"/>
      <c r="O10144" s="14"/>
      <c r="P10144" s="13"/>
    </row>
    <row r="10145">
      <c r="L10145" s="13"/>
      <c r="M10145" s="14"/>
      <c r="N10145" s="14"/>
      <c r="O10145" s="14"/>
      <c r="P10145" s="13"/>
    </row>
    <row r="10146">
      <c r="L10146" s="13"/>
      <c r="M10146" s="14"/>
      <c r="N10146" s="14"/>
      <c r="O10146" s="14"/>
      <c r="P10146" s="13"/>
    </row>
    <row r="10147">
      <c r="L10147" s="13"/>
      <c r="M10147" s="14"/>
      <c r="N10147" s="14"/>
      <c r="O10147" s="14"/>
      <c r="P10147" s="13"/>
    </row>
    <row r="10148">
      <c r="L10148" s="13"/>
      <c r="M10148" s="14"/>
      <c r="N10148" s="14"/>
      <c r="O10148" s="14"/>
      <c r="P10148" s="13"/>
    </row>
    <row r="10149">
      <c r="L10149" s="13"/>
      <c r="M10149" s="14"/>
      <c r="N10149" s="14"/>
      <c r="O10149" s="14"/>
      <c r="P10149" s="13"/>
    </row>
    <row r="10150">
      <c r="L10150" s="13"/>
      <c r="M10150" s="14"/>
      <c r="N10150" s="14"/>
      <c r="O10150" s="14"/>
      <c r="P10150" s="13"/>
    </row>
    <row r="10151">
      <c r="L10151" s="13"/>
      <c r="M10151" s="14"/>
      <c r="N10151" s="14"/>
      <c r="O10151" s="14"/>
      <c r="P10151" s="13"/>
    </row>
    <row r="10152">
      <c r="L10152" s="13"/>
      <c r="M10152" s="14"/>
      <c r="N10152" s="14"/>
      <c r="O10152" s="14"/>
      <c r="P10152" s="13"/>
    </row>
    <row r="10153">
      <c r="L10153" s="13"/>
      <c r="M10153" s="14"/>
      <c r="N10153" s="14"/>
      <c r="O10153" s="14"/>
      <c r="P10153" s="13"/>
    </row>
    <row r="10154">
      <c r="L10154" s="13"/>
      <c r="M10154" s="14"/>
      <c r="N10154" s="14"/>
      <c r="O10154" s="14"/>
      <c r="P10154" s="13"/>
    </row>
    <row r="10155">
      <c r="L10155" s="13"/>
      <c r="M10155" s="14"/>
      <c r="N10155" s="14"/>
      <c r="O10155" s="14"/>
      <c r="P10155" s="13"/>
    </row>
    <row r="10156">
      <c r="L10156" s="13"/>
      <c r="M10156" s="14"/>
      <c r="N10156" s="14"/>
      <c r="O10156" s="14"/>
      <c r="P10156" s="13"/>
    </row>
    <row r="10157">
      <c r="L10157" s="13"/>
      <c r="M10157" s="14"/>
      <c r="N10157" s="14"/>
      <c r="O10157" s="14"/>
      <c r="P10157" s="13"/>
    </row>
    <row r="10158">
      <c r="L10158" s="13"/>
      <c r="M10158" s="14"/>
      <c r="N10158" s="14"/>
      <c r="O10158" s="14"/>
      <c r="P10158" s="13"/>
    </row>
    <row r="10159">
      <c r="L10159" s="13"/>
      <c r="M10159" s="14"/>
      <c r="N10159" s="14"/>
      <c r="O10159" s="14"/>
      <c r="P10159" s="13"/>
    </row>
    <row r="10160">
      <c r="L10160" s="13"/>
      <c r="M10160" s="14"/>
      <c r="N10160" s="14"/>
      <c r="O10160" s="14"/>
      <c r="P10160" s="13"/>
    </row>
    <row r="10161">
      <c r="L10161" s="13"/>
      <c r="M10161" s="14"/>
      <c r="N10161" s="14"/>
      <c r="O10161" s="14"/>
      <c r="P10161" s="13"/>
    </row>
    <row r="10162">
      <c r="L10162" s="13"/>
      <c r="M10162" s="14"/>
      <c r="N10162" s="14"/>
      <c r="O10162" s="14"/>
      <c r="P10162" s="13"/>
    </row>
    <row r="10163">
      <c r="L10163" s="13"/>
      <c r="M10163" s="14"/>
      <c r="N10163" s="14"/>
      <c r="O10163" s="14"/>
      <c r="P10163" s="13"/>
    </row>
    <row r="10164">
      <c r="L10164" s="13"/>
      <c r="M10164" s="14"/>
      <c r="N10164" s="14"/>
      <c r="O10164" s="14"/>
      <c r="P10164" s="13"/>
    </row>
    <row r="10165">
      <c r="L10165" s="13"/>
      <c r="M10165" s="14"/>
      <c r="N10165" s="14"/>
      <c r="O10165" s="14"/>
      <c r="P10165" s="13"/>
    </row>
    <row r="10166">
      <c r="L10166" s="13"/>
      <c r="M10166" s="14"/>
      <c r="N10166" s="14"/>
      <c r="O10166" s="14"/>
      <c r="P10166" s="13"/>
    </row>
    <row r="10167">
      <c r="L10167" s="13"/>
      <c r="M10167" s="14"/>
      <c r="N10167" s="14"/>
      <c r="O10167" s="14"/>
      <c r="P10167" s="13"/>
    </row>
    <row r="10168">
      <c r="L10168" s="13"/>
      <c r="M10168" s="14"/>
      <c r="N10168" s="14"/>
      <c r="O10168" s="14"/>
      <c r="P10168" s="13"/>
    </row>
    <row r="10169">
      <c r="L10169" s="13"/>
      <c r="M10169" s="14"/>
      <c r="N10169" s="14"/>
      <c r="O10169" s="14"/>
      <c r="P10169" s="13"/>
    </row>
    <row r="10170">
      <c r="L10170" s="13"/>
      <c r="M10170" s="14"/>
      <c r="N10170" s="14"/>
      <c r="O10170" s="14"/>
      <c r="P10170" s="13"/>
    </row>
    <row r="10171">
      <c r="L10171" s="13"/>
      <c r="M10171" s="14"/>
      <c r="N10171" s="14"/>
      <c r="O10171" s="14"/>
      <c r="P10171" s="13"/>
    </row>
    <row r="10172">
      <c r="L10172" s="13"/>
      <c r="M10172" s="14"/>
      <c r="N10172" s="14"/>
      <c r="O10172" s="14"/>
      <c r="P10172" s="13"/>
    </row>
    <row r="10173">
      <c r="L10173" s="13"/>
      <c r="M10173" s="14"/>
      <c r="N10173" s="14"/>
      <c r="O10173" s="14"/>
      <c r="P10173" s="13"/>
    </row>
    <row r="10174">
      <c r="L10174" s="13"/>
      <c r="M10174" s="14"/>
      <c r="N10174" s="14"/>
      <c r="O10174" s="14"/>
      <c r="P10174" s="13"/>
    </row>
    <row r="10175">
      <c r="L10175" s="13"/>
      <c r="M10175" s="14"/>
      <c r="N10175" s="14"/>
      <c r="O10175" s="14"/>
      <c r="P10175" s="13"/>
    </row>
    <row r="10176">
      <c r="L10176" s="13"/>
      <c r="M10176" s="14"/>
      <c r="N10176" s="14"/>
      <c r="O10176" s="14"/>
      <c r="P10176" s="13"/>
    </row>
    <row r="10177">
      <c r="L10177" s="13"/>
      <c r="M10177" s="14"/>
      <c r="N10177" s="14"/>
      <c r="O10177" s="14"/>
      <c r="P10177" s="13"/>
    </row>
    <row r="10178">
      <c r="L10178" s="13"/>
      <c r="M10178" s="14"/>
      <c r="N10178" s="14"/>
      <c r="O10178" s="14"/>
      <c r="P10178" s="13"/>
    </row>
    <row r="10179">
      <c r="L10179" s="13"/>
      <c r="M10179" s="14"/>
      <c r="N10179" s="14"/>
      <c r="O10179" s="14"/>
      <c r="P10179" s="13"/>
    </row>
    <row r="10180">
      <c r="L10180" s="13"/>
      <c r="M10180" s="14"/>
      <c r="N10180" s="14"/>
      <c r="O10180" s="14"/>
      <c r="P10180" s="13"/>
    </row>
    <row r="10181">
      <c r="L10181" s="13"/>
      <c r="M10181" s="14"/>
      <c r="N10181" s="14"/>
      <c r="O10181" s="14"/>
      <c r="P10181" s="13"/>
    </row>
    <row r="10182">
      <c r="L10182" s="13"/>
      <c r="M10182" s="14"/>
      <c r="N10182" s="14"/>
      <c r="O10182" s="14"/>
      <c r="P10182" s="13"/>
    </row>
    <row r="10183">
      <c r="L10183" s="13"/>
      <c r="M10183" s="14"/>
      <c r="N10183" s="14"/>
      <c r="O10183" s="14"/>
      <c r="P10183" s="13"/>
    </row>
    <row r="10184">
      <c r="L10184" s="13"/>
      <c r="M10184" s="14"/>
      <c r="N10184" s="14"/>
      <c r="O10184" s="14"/>
      <c r="P10184" s="13"/>
    </row>
    <row r="10185">
      <c r="L10185" s="13"/>
      <c r="M10185" s="14"/>
      <c r="N10185" s="14"/>
      <c r="O10185" s="14"/>
      <c r="P10185" s="13"/>
    </row>
    <row r="10186">
      <c r="L10186" s="13"/>
      <c r="M10186" s="14"/>
      <c r="N10186" s="14"/>
      <c r="O10186" s="14"/>
      <c r="P10186" s="13"/>
    </row>
    <row r="10187">
      <c r="L10187" s="13"/>
      <c r="M10187" s="14"/>
      <c r="N10187" s="14"/>
      <c r="O10187" s="14"/>
      <c r="P10187" s="13"/>
    </row>
    <row r="10188">
      <c r="L10188" s="13"/>
      <c r="M10188" s="14"/>
      <c r="N10188" s="14"/>
      <c r="O10188" s="14"/>
      <c r="P10188" s="13"/>
    </row>
    <row r="10189">
      <c r="L10189" s="13"/>
      <c r="M10189" s="14"/>
      <c r="N10189" s="14"/>
      <c r="O10189" s="14"/>
      <c r="P10189" s="13"/>
    </row>
    <row r="10190">
      <c r="L10190" s="13"/>
      <c r="M10190" s="14"/>
      <c r="N10190" s="14"/>
      <c r="O10190" s="14"/>
      <c r="P10190" s="13"/>
    </row>
    <row r="10191">
      <c r="L10191" s="13"/>
      <c r="M10191" s="14"/>
      <c r="N10191" s="14"/>
      <c r="O10191" s="14"/>
      <c r="P10191" s="13"/>
    </row>
    <row r="10192">
      <c r="L10192" s="13"/>
      <c r="M10192" s="14"/>
      <c r="N10192" s="14"/>
      <c r="O10192" s="14"/>
      <c r="P10192" s="13"/>
    </row>
    <row r="10193">
      <c r="L10193" s="13"/>
      <c r="M10193" s="14"/>
      <c r="N10193" s="14"/>
      <c r="O10193" s="14"/>
      <c r="P10193" s="13"/>
    </row>
    <row r="10194">
      <c r="L10194" s="13"/>
      <c r="M10194" s="14"/>
      <c r="N10194" s="14"/>
      <c r="O10194" s="14"/>
      <c r="P10194" s="13"/>
    </row>
    <row r="10195">
      <c r="L10195" s="13"/>
      <c r="M10195" s="14"/>
      <c r="N10195" s="14"/>
      <c r="O10195" s="14"/>
      <c r="P10195" s="13"/>
    </row>
    <row r="10196">
      <c r="L10196" s="13"/>
      <c r="M10196" s="14"/>
      <c r="N10196" s="14"/>
      <c r="O10196" s="14"/>
      <c r="P10196" s="13"/>
    </row>
    <row r="10197">
      <c r="L10197" s="13"/>
      <c r="M10197" s="14"/>
      <c r="N10197" s="14"/>
      <c r="O10197" s="14"/>
      <c r="P10197" s="13"/>
    </row>
    <row r="10198">
      <c r="L10198" s="13"/>
      <c r="M10198" s="14"/>
      <c r="N10198" s="14"/>
      <c r="O10198" s="14"/>
      <c r="P10198" s="13"/>
    </row>
    <row r="10199">
      <c r="L10199" s="13"/>
      <c r="M10199" s="14"/>
      <c r="N10199" s="14"/>
      <c r="O10199" s="14"/>
      <c r="P10199" s="13"/>
    </row>
    <row r="10200">
      <c r="L10200" s="13"/>
      <c r="M10200" s="14"/>
      <c r="N10200" s="14"/>
      <c r="O10200" s="14"/>
      <c r="P10200" s="13"/>
    </row>
    <row r="10201">
      <c r="L10201" s="13"/>
      <c r="M10201" s="14"/>
      <c r="N10201" s="14"/>
      <c r="O10201" s="14"/>
      <c r="P10201" s="13"/>
    </row>
    <row r="10202">
      <c r="L10202" s="13"/>
      <c r="M10202" s="14"/>
      <c r="N10202" s="14"/>
      <c r="O10202" s="14"/>
      <c r="P10202" s="13"/>
    </row>
    <row r="10203">
      <c r="L10203" s="13"/>
      <c r="M10203" s="14"/>
      <c r="N10203" s="14"/>
      <c r="O10203" s="14"/>
      <c r="P10203" s="13"/>
    </row>
    <row r="10204">
      <c r="L10204" s="13"/>
      <c r="M10204" s="14"/>
      <c r="N10204" s="14"/>
      <c r="O10204" s="14"/>
      <c r="P10204" s="13"/>
    </row>
    <row r="10205">
      <c r="L10205" s="13"/>
      <c r="M10205" s="14"/>
      <c r="N10205" s="14"/>
      <c r="O10205" s="14"/>
      <c r="P10205" s="13"/>
    </row>
    <row r="10206">
      <c r="L10206" s="13"/>
      <c r="M10206" s="14"/>
      <c r="N10206" s="14"/>
      <c r="O10206" s="14"/>
      <c r="P10206" s="13"/>
    </row>
    <row r="10207">
      <c r="L10207" s="13"/>
      <c r="M10207" s="14"/>
      <c r="N10207" s="14"/>
      <c r="O10207" s="14"/>
      <c r="P10207" s="13"/>
    </row>
    <row r="10208">
      <c r="L10208" s="13"/>
      <c r="M10208" s="14"/>
      <c r="N10208" s="14"/>
      <c r="O10208" s="14"/>
      <c r="P10208" s="13"/>
    </row>
    <row r="10209">
      <c r="L10209" s="13"/>
      <c r="M10209" s="14"/>
      <c r="N10209" s="14"/>
      <c r="O10209" s="14"/>
      <c r="P10209" s="13"/>
    </row>
    <row r="10210">
      <c r="L10210" s="13"/>
      <c r="M10210" s="14"/>
      <c r="N10210" s="14"/>
      <c r="O10210" s="14"/>
      <c r="P10210" s="13"/>
    </row>
    <row r="10211">
      <c r="L10211" s="13"/>
      <c r="M10211" s="14"/>
      <c r="N10211" s="14"/>
      <c r="O10211" s="14"/>
      <c r="P10211" s="13"/>
    </row>
    <row r="10212">
      <c r="L10212" s="13"/>
      <c r="M10212" s="14"/>
      <c r="N10212" s="14"/>
      <c r="O10212" s="14"/>
      <c r="P10212" s="13"/>
    </row>
    <row r="10213">
      <c r="L10213" s="13"/>
      <c r="M10213" s="14"/>
      <c r="N10213" s="14"/>
      <c r="O10213" s="14"/>
      <c r="P10213" s="13"/>
    </row>
    <row r="10214">
      <c r="L10214" s="13"/>
      <c r="M10214" s="14"/>
      <c r="N10214" s="14"/>
      <c r="O10214" s="14"/>
      <c r="P10214" s="13"/>
    </row>
    <row r="10215">
      <c r="L10215" s="13"/>
      <c r="M10215" s="14"/>
      <c r="N10215" s="14"/>
      <c r="O10215" s="14"/>
      <c r="P10215" s="13"/>
    </row>
    <row r="10216">
      <c r="L10216" s="13"/>
      <c r="M10216" s="14"/>
      <c r="N10216" s="14"/>
      <c r="O10216" s="14"/>
      <c r="P10216" s="13"/>
    </row>
    <row r="10217">
      <c r="L10217" s="13"/>
      <c r="M10217" s="14"/>
      <c r="N10217" s="14"/>
      <c r="O10217" s="14"/>
      <c r="P10217" s="13"/>
    </row>
    <row r="10218">
      <c r="L10218" s="13"/>
      <c r="M10218" s="14"/>
      <c r="N10218" s="14"/>
      <c r="O10218" s="14"/>
      <c r="P10218" s="13"/>
    </row>
    <row r="10219">
      <c r="L10219" s="13"/>
      <c r="M10219" s="14"/>
      <c r="N10219" s="14"/>
      <c r="O10219" s="14"/>
      <c r="P10219" s="13"/>
    </row>
    <row r="10220">
      <c r="L10220" s="13"/>
      <c r="M10220" s="14"/>
      <c r="N10220" s="14"/>
      <c r="O10220" s="14"/>
      <c r="P10220" s="13"/>
    </row>
    <row r="10221">
      <c r="L10221" s="13"/>
      <c r="M10221" s="14"/>
      <c r="N10221" s="14"/>
      <c r="O10221" s="14"/>
      <c r="P10221" s="13"/>
    </row>
    <row r="10222">
      <c r="L10222" s="13"/>
      <c r="M10222" s="14"/>
      <c r="N10222" s="14"/>
      <c r="O10222" s="14"/>
      <c r="P10222" s="13"/>
    </row>
    <row r="10223">
      <c r="L10223" s="13"/>
      <c r="M10223" s="14"/>
      <c r="N10223" s="14"/>
      <c r="O10223" s="14"/>
      <c r="P10223" s="13"/>
    </row>
    <row r="10224">
      <c r="L10224" s="13"/>
      <c r="M10224" s="14"/>
      <c r="N10224" s="14"/>
      <c r="O10224" s="14"/>
      <c r="P10224" s="13"/>
    </row>
    <row r="10225">
      <c r="L10225" s="13"/>
      <c r="M10225" s="14"/>
      <c r="N10225" s="14"/>
      <c r="O10225" s="14"/>
      <c r="P10225" s="13"/>
    </row>
    <row r="10226">
      <c r="L10226" s="13"/>
      <c r="M10226" s="14"/>
      <c r="N10226" s="14"/>
      <c r="O10226" s="14"/>
      <c r="P10226" s="13"/>
    </row>
    <row r="10227">
      <c r="L10227" s="13"/>
      <c r="M10227" s="14"/>
      <c r="N10227" s="14"/>
      <c r="O10227" s="14"/>
      <c r="P10227" s="13"/>
    </row>
    <row r="10228">
      <c r="L10228" s="13"/>
      <c r="M10228" s="14"/>
      <c r="N10228" s="14"/>
      <c r="O10228" s="14"/>
      <c r="P10228" s="13"/>
    </row>
    <row r="10229">
      <c r="L10229" s="13"/>
      <c r="M10229" s="14"/>
      <c r="N10229" s="14"/>
      <c r="O10229" s="14"/>
      <c r="P10229" s="13"/>
    </row>
    <row r="10230">
      <c r="L10230" s="13"/>
      <c r="M10230" s="14"/>
      <c r="N10230" s="14"/>
      <c r="O10230" s="14"/>
      <c r="P10230" s="13"/>
    </row>
    <row r="10231">
      <c r="L10231" s="13"/>
      <c r="M10231" s="14"/>
      <c r="N10231" s="14"/>
      <c r="O10231" s="14"/>
      <c r="P10231" s="13"/>
    </row>
    <row r="10232">
      <c r="L10232" s="13"/>
      <c r="M10232" s="14"/>
      <c r="N10232" s="14"/>
      <c r="O10232" s="14"/>
      <c r="P10232" s="13"/>
    </row>
    <row r="10233">
      <c r="L10233" s="13"/>
      <c r="M10233" s="14"/>
      <c r="N10233" s="14"/>
      <c r="O10233" s="14"/>
      <c r="P10233" s="13"/>
    </row>
    <row r="10234">
      <c r="L10234" s="13"/>
      <c r="M10234" s="14"/>
      <c r="N10234" s="14"/>
      <c r="O10234" s="14"/>
      <c r="P10234" s="13"/>
    </row>
    <row r="10235">
      <c r="L10235" s="13"/>
      <c r="M10235" s="14"/>
      <c r="N10235" s="14"/>
      <c r="O10235" s="14"/>
      <c r="P10235" s="13"/>
    </row>
    <row r="10236">
      <c r="L10236" s="13"/>
      <c r="M10236" s="14"/>
      <c r="N10236" s="14"/>
      <c r="O10236" s="14"/>
      <c r="P10236" s="13"/>
    </row>
    <row r="10237">
      <c r="L10237" s="13"/>
      <c r="M10237" s="14"/>
      <c r="N10237" s="14"/>
      <c r="O10237" s="14"/>
      <c r="P10237" s="13"/>
    </row>
    <row r="10238">
      <c r="L10238" s="13"/>
      <c r="M10238" s="14"/>
      <c r="N10238" s="14"/>
      <c r="O10238" s="14"/>
      <c r="P10238" s="13"/>
    </row>
    <row r="10239">
      <c r="L10239" s="13"/>
      <c r="M10239" s="14"/>
      <c r="N10239" s="14"/>
      <c r="O10239" s="14"/>
      <c r="P10239" s="13"/>
    </row>
    <row r="10240">
      <c r="L10240" s="13"/>
      <c r="M10240" s="14"/>
      <c r="N10240" s="14"/>
      <c r="O10240" s="14"/>
      <c r="P10240" s="13"/>
    </row>
    <row r="10241">
      <c r="L10241" s="13"/>
      <c r="M10241" s="14"/>
      <c r="N10241" s="14"/>
      <c r="O10241" s="14"/>
      <c r="P10241" s="13"/>
    </row>
    <row r="10242">
      <c r="L10242" s="13"/>
      <c r="M10242" s="14"/>
      <c r="N10242" s="14"/>
      <c r="O10242" s="14"/>
      <c r="P10242" s="13"/>
    </row>
    <row r="10243">
      <c r="L10243" s="13"/>
      <c r="M10243" s="14"/>
      <c r="N10243" s="14"/>
      <c r="O10243" s="14"/>
      <c r="P10243" s="13"/>
    </row>
    <row r="10244">
      <c r="L10244" s="13"/>
      <c r="M10244" s="14"/>
      <c r="N10244" s="14"/>
      <c r="O10244" s="14"/>
      <c r="P10244" s="13"/>
    </row>
    <row r="10245">
      <c r="L10245" s="13"/>
      <c r="M10245" s="14"/>
      <c r="N10245" s="14"/>
      <c r="O10245" s="14"/>
      <c r="P10245" s="13"/>
    </row>
    <row r="10246">
      <c r="L10246" s="13"/>
      <c r="M10246" s="14"/>
      <c r="N10246" s="14"/>
      <c r="O10246" s="14"/>
      <c r="P10246" s="13"/>
    </row>
    <row r="10247">
      <c r="L10247" s="13"/>
      <c r="M10247" s="14"/>
      <c r="N10247" s="14"/>
      <c r="O10247" s="14"/>
      <c r="P10247" s="13"/>
    </row>
    <row r="10248">
      <c r="L10248" s="13"/>
      <c r="M10248" s="14"/>
      <c r="N10248" s="14"/>
      <c r="O10248" s="14"/>
      <c r="P10248" s="13"/>
    </row>
    <row r="10249">
      <c r="L10249" s="13"/>
      <c r="M10249" s="14"/>
      <c r="N10249" s="14"/>
      <c r="O10249" s="14"/>
      <c r="P10249" s="13"/>
    </row>
    <row r="10250">
      <c r="L10250" s="13"/>
      <c r="M10250" s="14"/>
      <c r="N10250" s="14"/>
      <c r="O10250" s="14"/>
      <c r="P10250" s="13"/>
    </row>
    <row r="10251">
      <c r="L10251" s="13"/>
      <c r="M10251" s="14"/>
      <c r="N10251" s="14"/>
      <c r="O10251" s="14"/>
      <c r="P10251" s="13"/>
    </row>
    <row r="10252">
      <c r="L10252" s="13"/>
      <c r="M10252" s="14"/>
      <c r="N10252" s="14"/>
      <c r="O10252" s="14"/>
      <c r="P10252" s="13"/>
    </row>
    <row r="10253">
      <c r="L10253" s="13"/>
      <c r="M10253" s="14"/>
      <c r="N10253" s="14"/>
      <c r="O10253" s="14"/>
      <c r="P10253" s="13"/>
    </row>
    <row r="10254">
      <c r="L10254" s="13"/>
      <c r="M10254" s="14"/>
      <c r="N10254" s="14"/>
      <c r="O10254" s="14"/>
      <c r="P10254" s="13"/>
    </row>
    <row r="10255">
      <c r="L10255" s="13"/>
      <c r="M10255" s="14"/>
      <c r="N10255" s="14"/>
      <c r="O10255" s="14"/>
      <c r="P10255" s="13"/>
    </row>
    <row r="10256">
      <c r="L10256" s="13"/>
      <c r="M10256" s="14"/>
      <c r="N10256" s="14"/>
      <c r="O10256" s="14"/>
      <c r="P10256" s="13"/>
    </row>
    <row r="10257">
      <c r="L10257" s="13"/>
      <c r="M10257" s="14"/>
      <c r="N10257" s="14"/>
      <c r="O10257" s="14"/>
      <c r="P10257" s="13"/>
    </row>
    <row r="10258">
      <c r="L10258" s="13"/>
      <c r="M10258" s="14"/>
      <c r="N10258" s="14"/>
      <c r="O10258" s="14"/>
      <c r="P10258" s="13"/>
    </row>
    <row r="10259">
      <c r="L10259" s="13"/>
      <c r="M10259" s="14"/>
      <c r="N10259" s="14"/>
      <c r="O10259" s="14"/>
      <c r="P10259" s="13"/>
    </row>
    <row r="10260">
      <c r="L10260" s="13"/>
      <c r="M10260" s="14"/>
      <c r="N10260" s="14"/>
      <c r="O10260" s="14"/>
      <c r="P10260" s="13"/>
    </row>
    <row r="10261">
      <c r="L10261" s="13"/>
      <c r="M10261" s="14"/>
      <c r="N10261" s="14"/>
      <c r="O10261" s="14"/>
      <c r="P10261" s="13"/>
    </row>
    <row r="10262">
      <c r="L10262" s="13"/>
      <c r="M10262" s="14"/>
      <c r="N10262" s="14"/>
      <c r="O10262" s="14"/>
      <c r="P10262" s="13"/>
    </row>
    <row r="10263">
      <c r="L10263" s="13"/>
      <c r="M10263" s="14"/>
      <c r="N10263" s="14"/>
      <c r="O10263" s="14"/>
      <c r="P10263" s="13"/>
    </row>
    <row r="10264">
      <c r="L10264" s="13"/>
      <c r="M10264" s="14"/>
      <c r="N10264" s="14"/>
      <c r="O10264" s="14"/>
      <c r="P10264" s="13"/>
    </row>
    <row r="10265">
      <c r="L10265" s="13"/>
      <c r="M10265" s="14"/>
      <c r="N10265" s="14"/>
      <c r="O10265" s="14"/>
      <c r="P10265" s="13"/>
    </row>
    <row r="10266">
      <c r="L10266" s="13"/>
      <c r="M10266" s="14"/>
      <c r="N10266" s="14"/>
      <c r="O10266" s="14"/>
      <c r="P10266" s="13"/>
    </row>
    <row r="10267">
      <c r="L10267" s="13"/>
      <c r="M10267" s="14"/>
      <c r="N10267" s="14"/>
      <c r="O10267" s="14"/>
      <c r="P10267" s="13"/>
    </row>
    <row r="10268">
      <c r="L10268" s="13"/>
      <c r="M10268" s="14"/>
      <c r="N10268" s="14"/>
      <c r="O10268" s="14"/>
      <c r="P10268" s="13"/>
    </row>
    <row r="10269">
      <c r="L10269" s="13"/>
      <c r="M10269" s="14"/>
      <c r="N10269" s="14"/>
      <c r="O10269" s="14"/>
      <c r="P10269" s="13"/>
    </row>
    <row r="10270">
      <c r="L10270" s="13"/>
      <c r="M10270" s="14"/>
      <c r="N10270" s="14"/>
      <c r="O10270" s="14"/>
      <c r="P10270" s="13"/>
    </row>
    <row r="10271">
      <c r="L10271" s="13"/>
      <c r="M10271" s="14"/>
      <c r="N10271" s="14"/>
      <c r="O10271" s="14"/>
      <c r="P10271" s="13"/>
    </row>
    <row r="10272">
      <c r="L10272" s="13"/>
      <c r="M10272" s="14"/>
      <c r="N10272" s="14"/>
      <c r="O10272" s="14"/>
      <c r="P10272" s="13"/>
    </row>
    <row r="10273">
      <c r="L10273" s="13"/>
      <c r="M10273" s="14"/>
      <c r="N10273" s="14"/>
      <c r="O10273" s="14"/>
      <c r="P10273" s="13"/>
    </row>
    <row r="10274">
      <c r="L10274" s="13"/>
      <c r="M10274" s="14"/>
      <c r="N10274" s="14"/>
      <c r="O10274" s="14"/>
      <c r="P10274" s="13"/>
    </row>
    <row r="10275">
      <c r="L10275" s="13"/>
      <c r="M10275" s="14"/>
      <c r="N10275" s="14"/>
      <c r="O10275" s="14"/>
      <c r="P10275" s="13"/>
    </row>
    <row r="10276">
      <c r="L10276" s="13"/>
      <c r="M10276" s="14"/>
      <c r="N10276" s="14"/>
      <c r="O10276" s="14"/>
      <c r="P10276" s="13"/>
    </row>
    <row r="10277">
      <c r="L10277" s="13"/>
      <c r="M10277" s="14"/>
      <c r="N10277" s="14"/>
      <c r="O10277" s="14"/>
      <c r="P10277" s="13"/>
    </row>
    <row r="10278">
      <c r="L10278" s="13"/>
      <c r="M10278" s="14"/>
      <c r="N10278" s="14"/>
      <c r="O10278" s="14"/>
      <c r="P10278" s="13"/>
    </row>
    <row r="10279">
      <c r="L10279" s="13"/>
      <c r="M10279" s="14"/>
      <c r="N10279" s="14"/>
      <c r="O10279" s="14"/>
      <c r="P10279" s="13"/>
    </row>
    <row r="10280">
      <c r="L10280" s="13"/>
      <c r="M10280" s="14"/>
      <c r="N10280" s="14"/>
      <c r="O10280" s="14"/>
      <c r="P10280" s="13"/>
    </row>
    <row r="10281">
      <c r="L10281" s="13"/>
      <c r="M10281" s="14"/>
      <c r="N10281" s="14"/>
      <c r="O10281" s="14"/>
      <c r="P10281" s="13"/>
    </row>
    <row r="10282">
      <c r="L10282" s="13"/>
      <c r="M10282" s="14"/>
      <c r="N10282" s="14"/>
      <c r="O10282" s="14"/>
      <c r="P10282" s="13"/>
    </row>
    <row r="10283">
      <c r="L10283" s="13"/>
      <c r="M10283" s="14"/>
      <c r="N10283" s="14"/>
      <c r="O10283" s="14"/>
      <c r="P10283" s="13"/>
    </row>
    <row r="10284">
      <c r="L10284" s="13"/>
      <c r="M10284" s="14"/>
      <c r="N10284" s="14"/>
      <c r="O10284" s="14"/>
      <c r="P10284" s="13"/>
    </row>
    <row r="10285">
      <c r="L10285" s="13"/>
      <c r="M10285" s="14"/>
      <c r="N10285" s="14"/>
      <c r="O10285" s="14"/>
      <c r="P10285" s="13"/>
    </row>
    <row r="10286">
      <c r="L10286" s="13"/>
      <c r="M10286" s="14"/>
      <c r="N10286" s="14"/>
      <c r="O10286" s="14"/>
      <c r="P10286" s="13"/>
    </row>
    <row r="10287">
      <c r="L10287" s="13"/>
      <c r="M10287" s="14"/>
      <c r="N10287" s="14"/>
      <c r="O10287" s="14"/>
      <c r="P10287" s="13"/>
    </row>
    <row r="10288">
      <c r="L10288" s="13"/>
      <c r="M10288" s="14"/>
      <c r="N10288" s="14"/>
      <c r="O10288" s="14"/>
      <c r="P10288" s="13"/>
    </row>
    <row r="10289">
      <c r="L10289" s="13"/>
      <c r="M10289" s="14"/>
      <c r="N10289" s="14"/>
      <c r="O10289" s="14"/>
      <c r="P10289" s="13"/>
    </row>
    <row r="10290">
      <c r="L10290" s="13"/>
      <c r="M10290" s="14"/>
      <c r="N10290" s="14"/>
      <c r="O10290" s="14"/>
      <c r="P10290" s="13"/>
    </row>
    <row r="10291">
      <c r="L10291" s="13"/>
      <c r="M10291" s="14"/>
      <c r="N10291" s="14"/>
      <c r="O10291" s="14"/>
      <c r="P10291" s="13"/>
    </row>
    <row r="10292">
      <c r="L10292" s="13"/>
      <c r="M10292" s="14"/>
      <c r="N10292" s="14"/>
      <c r="O10292" s="14"/>
      <c r="P10292" s="13"/>
    </row>
    <row r="10293">
      <c r="L10293" s="13"/>
      <c r="M10293" s="14"/>
      <c r="N10293" s="14"/>
      <c r="O10293" s="14"/>
      <c r="P10293" s="13"/>
    </row>
    <row r="10294">
      <c r="L10294" s="13"/>
      <c r="M10294" s="14"/>
      <c r="N10294" s="14"/>
      <c r="O10294" s="14"/>
      <c r="P10294" s="13"/>
    </row>
    <row r="10295">
      <c r="L10295" s="13"/>
      <c r="M10295" s="14"/>
      <c r="N10295" s="14"/>
      <c r="O10295" s="14"/>
      <c r="P10295" s="13"/>
    </row>
    <row r="10296">
      <c r="L10296" s="13"/>
      <c r="M10296" s="14"/>
      <c r="N10296" s="14"/>
      <c r="O10296" s="14"/>
      <c r="P10296" s="13"/>
    </row>
    <row r="10297">
      <c r="L10297" s="13"/>
      <c r="M10297" s="14"/>
      <c r="N10297" s="14"/>
      <c r="O10297" s="14"/>
      <c r="P10297" s="13"/>
    </row>
    <row r="10298">
      <c r="L10298" s="13"/>
      <c r="M10298" s="14"/>
      <c r="N10298" s="14"/>
      <c r="O10298" s="14"/>
      <c r="P10298" s="13"/>
    </row>
    <row r="10299">
      <c r="L10299" s="13"/>
      <c r="M10299" s="14"/>
      <c r="N10299" s="14"/>
      <c r="O10299" s="14"/>
      <c r="P10299" s="13"/>
    </row>
    <row r="10300">
      <c r="L10300" s="13"/>
      <c r="M10300" s="14"/>
      <c r="N10300" s="14"/>
      <c r="O10300" s="14"/>
      <c r="P10300" s="13"/>
    </row>
    <row r="10301">
      <c r="L10301" s="13"/>
      <c r="M10301" s="14"/>
      <c r="N10301" s="14"/>
      <c r="O10301" s="14"/>
      <c r="P10301" s="13"/>
    </row>
    <row r="10302">
      <c r="L10302" s="13"/>
      <c r="M10302" s="14"/>
      <c r="N10302" s="14"/>
      <c r="O10302" s="14"/>
      <c r="P10302" s="13"/>
    </row>
    <row r="10303">
      <c r="L10303" s="13"/>
      <c r="M10303" s="14"/>
      <c r="N10303" s="14"/>
      <c r="O10303" s="14"/>
      <c r="P10303" s="13"/>
    </row>
    <row r="10304">
      <c r="L10304" s="13"/>
      <c r="M10304" s="14"/>
      <c r="N10304" s="14"/>
      <c r="O10304" s="14"/>
      <c r="P10304" s="13"/>
    </row>
    <row r="10305">
      <c r="L10305" s="13"/>
      <c r="M10305" s="14"/>
      <c r="N10305" s="14"/>
      <c r="O10305" s="14"/>
      <c r="P10305" s="13"/>
    </row>
    <row r="10306">
      <c r="L10306" s="13"/>
      <c r="M10306" s="14"/>
      <c r="N10306" s="14"/>
      <c r="O10306" s="14"/>
      <c r="P10306" s="13"/>
    </row>
    <row r="10307">
      <c r="L10307" s="13"/>
      <c r="M10307" s="14"/>
      <c r="N10307" s="14"/>
      <c r="O10307" s="14"/>
      <c r="P10307" s="13"/>
    </row>
    <row r="10308">
      <c r="L10308" s="13"/>
      <c r="M10308" s="14"/>
      <c r="N10308" s="14"/>
      <c r="O10308" s="14"/>
      <c r="P10308" s="13"/>
    </row>
    <row r="10309">
      <c r="L10309" s="13"/>
      <c r="M10309" s="14"/>
      <c r="N10309" s="14"/>
      <c r="O10309" s="14"/>
      <c r="P10309" s="13"/>
    </row>
    <row r="10310">
      <c r="L10310" s="13"/>
      <c r="M10310" s="14"/>
      <c r="N10310" s="14"/>
      <c r="O10310" s="14"/>
      <c r="P10310" s="13"/>
    </row>
    <row r="10311">
      <c r="L10311" s="13"/>
      <c r="M10311" s="14"/>
      <c r="N10311" s="14"/>
      <c r="O10311" s="14"/>
      <c r="P10311" s="13"/>
    </row>
    <row r="10312">
      <c r="L10312" s="13"/>
      <c r="M10312" s="14"/>
      <c r="N10312" s="14"/>
      <c r="O10312" s="14"/>
      <c r="P10312" s="13"/>
    </row>
    <row r="10313">
      <c r="L10313" s="13"/>
      <c r="M10313" s="14"/>
      <c r="N10313" s="14"/>
      <c r="O10313" s="14"/>
      <c r="P10313" s="13"/>
    </row>
    <row r="10314">
      <c r="L10314" s="13"/>
      <c r="M10314" s="14"/>
      <c r="N10314" s="14"/>
      <c r="O10314" s="14"/>
      <c r="P10314" s="13"/>
    </row>
    <row r="10315">
      <c r="L10315" s="13"/>
      <c r="M10315" s="14"/>
      <c r="N10315" s="14"/>
      <c r="O10315" s="14"/>
      <c r="P10315" s="13"/>
    </row>
    <row r="10316">
      <c r="L10316" s="13"/>
      <c r="M10316" s="14"/>
      <c r="N10316" s="14"/>
      <c r="O10316" s="14"/>
      <c r="P10316" s="13"/>
    </row>
    <row r="10317">
      <c r="L10317" s="13"/>
      <c r="M10317" s="14"/>
      <c r="N10317" s="14"/>
      <c r="O10317" s="14"/>
      <c r="P10317" s="13"/>
    </row>
    <row r="10318">
      <c r="L10318" s="13"/>
      <c r="M10318" s="14"/>
      <c r="N10318" s="14"/>
      <c r="O10318" s="14"/>
      <c r="P10318" s="13"/>
    </row>
    <row r="10319">
      <c r="L10319" s="13"/>
      <c r="M10319" s="14"/>
      <c r="N10319" s="14"/>
      <c r="O10319" s="14"/>
      <c r="P10319" s="13"/>
    </row>
    <row r="10320">
      <c r="L10320" s="13"/>
      <c r="M10320" s="14"/>
      <c r="N10320" s="14"/>
      <c r="O10320" s="14"/>
      <c r="P10320" s="13"/>
    </row>
    <row r="10321">
      <c r="L10321" s="13"/>
      <c r="M10321" s="14"/>
      <c r="N10321" s="14"/>
      <c r="O10321" s="14"/>
      <c r="P10321" s="13"/>
    </row>
    <row r="10322">
      <c r="L10322" s="13"/>
      <c r="M10322" s="14"/>
      <c r="N10322" s="14"/>
      <c r="O10322" s="14"/>
      <c r="P10322" s="13"/>
    </row>
    <row r="10323">
      <c r="L10323" s="13"/>
      <c r="M10323" s="14"/>
      <c r="N10323" s="14"/>
      <c r="O10323" s="14"/>
      <c r="P10323" s="13"/>
    </row>
    <row r="10324">
      <c r="L10324" s="13"/>
      <c r="M10324" s="14"/>
      <c r="N10324" s="14"/>
      <c r="O10324" s="14"/>
      <c r="P10324" s="13"/>
    </row>
    <row r="10325">
      <c r="L10325" s="13"/>
      <c r="M10325" s="14"/>
      <c r="N10325" s="14"/>
      <c r="O10325" s="14"/>
      <c r="P10325" s="13"/>
    </row>
    <row r="10326">
      <c r="L10326" s="13"/>
      <c r="M10326" s="14"/>
      <c r="N10326" s="14"/>
      <c r="O10326" s="14"/>
      <c r="P10326" s="13"/>
    </row>
    <row r="10327">
      <c r="L10327" s="13"/>
      <c r="M10327" s="14"/>
      <c r="N10327" s="14"/>
      <c r="O10327" s="14"/>
      <c r="P10327" s="13"/>
    </row>
    <row r="10328">
      <c r="L10328" s="13"/>
      <c r="M10328" s="14"/>
      <c r="N10328" s="14"/>
      <c r="O10328" s="14"/>
      <c r="P10328" s="13"/>
    </row>
    <row r="10329">
      <c r="L10329" s="13"/>
      <c r="M10329" s="14"/>
      <c r="N10329" s="14"/>
      <c r="O10329" s="14"/>
      <c r="P10329" s="13"/>
    </row>
    <row r="10330">
      <c r="L10330" s="13"/>
      <c r="M10330" s="14"/>
      <c r="N10330" s="14"/>
      <c r="O10330" s="14"/>
      <c r="P10330" s="13"/>
    </row>
    <row r="10331">
      <c r="L10331" s="13"/>
      <c r="M10331" s="14"/>
      <c r="N10331" s="14"/>
      <c r="O10331" s="14"/>
      <c r="P10331" s="13"/>
    </row>
    <row r="10332">
      <c r="L10332" s="13"/>
      <c r="M10332" s="14"/>
      <c r="N10332" s="14"/>
      <c r="O10332" s="14"/>
      <c r="P10332" s="13"/>
    </row>
    <row r="10333">
      <c r="L10333" s="13"/>
      <c r="M10333" s="14"/>
      <c r="N10333" s="14"/>
      <c r="O10333" s="14"/>
      <c r="P10333" s="13"/>
    </row>
    <row r="10334">
      <c r="L10334" s="13"/>
      <c r="M10334" s="14"/>
      <c r="N10334" s="14"/>
      <c r="O10334" s="14"/>
      <c r="P10334" s="13"/>
    </row>
    <row r="10335">
      <c r="L10335" s="13"/>
      <c r="M10335" s="14"/>
      <c r="N10335" s="14"/>
      <c r="O10335" s="14"/>
      <c r="P10335" s="13"/>
    </row>
    <row r="10336">
      <c r="L10336" s="13"/>
      <c r="M10336" s="14"/>
      <c r="N10336" s="14"/>
      <c r="O10336" s="14"/>
      <c r="P10336" s="13"/>
    </row>
    <row r="10337">
      <c r="L10337" s="13"/>
      <c r="M10337" s="14"/>
      <c r="N10337" s="14"/>
      <c r="O10337" s="14"/>
      <c r="P10337" s="13"/>
    </row>
    <row r="10338">
      <c r="L10338" s="13"/>
      <c r="M10338" s="14"/>
      <c r="N10338" s="14"/>
      <c r="O10338" s="14"/>
      <c r="P10338" s="13"/>
    </row>
    <row r="10339">
      <c r="L10339" s="13"/>
      <c r="M10339" s="14"/>
      <c r="N10339" s="14"/>
      <c r="O10339" s="14"/>
      <c r="P10339" s="13"/>
    </row>
    <row r="10340">
      <c r="L10340" s="13"/>
      <c r="M10340" s="14"/>
      <c r="N10340" s="14"/>
      <c r="O10340" s="14"/>
      <c r="P10340" s="13"/>
    </row>
    <row r="10341">
      <c r="L10341" s="13"/>
      <c r="M10341" s="14"/>
      <c r="N10341" s="14"/>
      <c r="O10341" s="14"/>
      <c r="P10341" s="13"/>
    </row>
    <row r="10342">
      <c r="L10342" s="13"/>
      <c r="M10342" s="14"/>
      <c r="N10342" s="14"/>
      <c r="O10342" s="14"/>
      <c r="P10342" s="13"/>
    </row>
    <row r="10343">
      <c r="L10343" s="13"/>
      <c r="M10343" s="14"/>
      <c r="N10343" s="14"/>
      <c r="O10343" s="14"/>
      <c r="P10343" s="13"/>
    </row>
    <row r="10344">
      <c r="L10344" s="13"/>
      <c r="M10344" s="14"/>
      <c r="N10344" s="14"/>
      <c r="O10344" s="14"/>
      <c r="P10344" s="13"/>
    </row>
    <row r="10345">
      <c r="L10345" s="13"/>
      <c r="M10345" s="14"/>
      <c r="N10345" s="14"/>
      <c r="O10345" s="14"/>
      <c r="P10345" s="13"/>
    </row>
    <row r="10346">
      <c r="L10346" s="13"/>
      <c r="M10346" s="14"/>
      <c r="N10346" s="14"/>
      <c r="O10346" s="14"/>
      <c r="P10346" s="13"/>
    </row>
    <row r="10347">
      <c r="L10347" s="13"/>
      <c r="M10347" s="14"/>
      <c r="N10347" s="14"/>
      <c r="O10347" s="14"/>
      <c r="P10347" s="13"/>
    </row>
    <row r="10348">
      <c r="L10348" s="13"/>
      <c r="M10348" s="14"/>
      <c r="N10348" s="14"/>
      <c r="O10348" s="14"/>
      <c r="P10348" s="13"/>
    </row>
    <row r="10349">
      <c r="L10349" s="13"/>
      <c r="M10349" s="14"/>
      <c r="N10349" s="14"/>
      <c r="O10349" s="14"/>
      <c r="P10349" s="13"/>
    </row>
    <row r="10350">
      <c r="L10350" s="13"/>
      <c r="M10350" s="14"/>
      <c r="N10350" s="14"/>
      <c r="O10350" s="14"/>
      <c r="P10350" s="13"/>
    </row>
    <row r="10351">
      <c r="L10351" s="13"/>
      <c r="M10351" s="14"/>
      <c r="N10351" s="14"/>
      <c r="O10351" s="14"/>
      <c r="P10351" s="13"/>
    </row>
    <row r="10352">
      <c r="L10352" s="13"/>
      <c r="M10352" s="14"/>
      <c r="N10352" s="14"/>
      <c r="O10352" s="14"/>
      <c r="P10352" s="13"/>
    </row>
    <row r="10353">
      <c r="L10353" s="13"/>
      <c r="M10353" s="14"/>
      <c r="N10353" s="14"/>
      <c r="O10353" s="14"/>
      <c r="P10353" s="13"/>
    </row>
    <row r="10354">
      <c r="L10354" s="13"/>
      <c r="M10354" s="14"/>
      <c r="N10354" s="14"/>
      <c r="O10354" s="14"/>
      <c r="P10354" s="13"/>
    </row>
    <row r="10355">
      <c r="L10355" s="13"/>
      <c r="M10355" s="14"/>
      <c r="N10355" s="14"/>
      <c r="O10355" s="14"/>
      <c r="P10355" s="13"/>
    </row>
    <row r="10356">
      <c r="L10356" s="13"/>
      <c r="M10356" s="14"/>
      <c r="N10356" s="14"/>
      <c r="O10356" s="14"/>
      <c r="P10356" s="13"/>
    </row>
    <row r="10357">
      <c r="L10357" s="13"/>
      <c r="M10357" s="14"/>
      <c r="N10357" s="14"/>
      <c r="O10357" s="14"/>
      <c r="P10357" s="13"/>
    </row>
    <row r="10358">
      <c r="L10358" s="13"/>
      <c r="M10358" s="14"/>
      <c r="N10358" s="14"/>
      <c r="O10358" s="14"/>
      <c r="P10358" s="13"/>
    </row>
    <row r="10359">
      <c r="L10359" s="13"/>
      <c r="M10359" s="14"/>
      <c r="N10359" s="14"/>
      <c r="O10359" s="14"/>
      <c r="P10359" s="13"/>
    </row>
    <row r="10360">
      <c r="L10360" s="13"/>
      <c r="M10360" s="14"/>
      <c r="N10360" s="14"/>
      <c r="O10360" s="14"/>
      <c r="P10360" s="13"/>
    </row>
    <row r="10361">
      <c r="L10361" s="13"/>
      <c r="M10361" s="14"/>
      <c r="N10361" s="14"/>
      <c r="O10361" s="14"/>
      <c r="P10361" s="13"/>
    </row>
    <row r="10362">
      <c r="L10362" s="13"/>
      <c r="M10362" s="14"/>
      <c r="N10362" s="14"/>
      <c r="O10362" s="14"/>
      <c r="P10362" s="13"/>
    </row>
    <row r="10363">
      <c r="L10363" s="13"/>
      <c r="M10363" s="14"/>
      <c r="N10363" s="14"/>
      <c r="O10363" s="14"/>
      <c r="P10363" s="13"/>
    </row>
    <row r="10364">
      <c r="L10364" s="13"/>
      <c r="M10364" s="14"/>
      <c r="N10364" s="14"/>
      <c r="O10364" s="14"/>
      <c r="P10364" s="13"/>
    </row>
    <row r="10365">
      <c r="L10365" s="13"/>
      <c r="M10365" s="14"/>
      <c r="N10365" s="14"/>
      <c r="O10365" s="14"/>
      <c r="P10365" s="13"/>
    </row>
    <row r="10366">
      <c r="L10366" s="13"/>
      <c r="M10366" s="14"/>
      <c r="N10366" s="14"/>
      <c r="O10366" s="14"/>
      <c r="P10366" s="13"/>
    </row>
    <row r="10367">
      <c r="L10367" s="13"/>
      <c r="M10367" s="14"/>
      <c r="N10367" s="14"/>
      <c r="O10367" s="14"/>
      <c r="P10367" s="13"/>
    </row>
    <row r="10368">
      <c r="L10368" s="13"/>
      <c r="M10368" s="14"/>
      <c r="N10368" s="14"/>
      <c r="O10368" s="14"/>
      <c r="P10368" s="13"/>
    </row>
    <row r="10369">
      <c r="L10369" s="13"/>
      <c r="M10369" s="14"/>
      <c r="N10369" s="14"/>
      <c r="O10369" s="14"/>
      <c r="P10369" s="13"/>
    </row>
    <row r="10370">
      <c r="L10370" s="13"/>
      <c r="M10370" s="14"/>
      <c r="N10370" s="14"/>
      <c r="O10370" s="14"/>
      <c r="P10370" s="13"/>
    </row>
    <row r="10371">
      <c r="L10371" s="13"/>
      <c r="M10371" s="14"/>
      <c r="N10371" s="14"/>
      <c r="O10371" s="14"/>
      <c r="P10371" s="13"/>
    </row>
    <row r="10372">
      <c r="L10372" s="13"/>
      <c r="M10372" s="14"/>
      <c r="N10372" s="14"/>
      <c r="O10372" s="14"/>
      <c r="P10372" s="13"/>
    </row>
    <row r="10373">
      <c r="L10373" s="13"/>
      <c r="M10373" s="14"/>
      <c r="N10373" s="14"/>
      <c r="O10373" s="14"/>
      <c r="P10373" s="13"/>
    </row>
    <row r="10374">
      <c r="L10374" s="13"/>
      <c r="M10374" s="14"/>
      <c r="N10374" s="14"/>
      <c r="O10374" s="14"/>
      <c r="P10374" s="13"/>
    </row>
    <row r="10375">
      <c r="L10375" s="13"/>
      <c r="M10375" s="14"/>
      <c r="N10375" s="14"/>
      <c r="O10375" s="14"/>
      <c r="P10375" s="13"/>
    </row>
    <row r="10376">
      <c r="L10376" s="13"/>
      <c r="M10376" s="14"/>
      <c r="N10376" s="14"/>
      <c r="O10376" s="14"/>
      <c r="P10376" s="13"/>
    </row>
    <row r="10377">
      <c r="L10377" s="13"/>
      <c r="M10377" s="14"/>
      <c r="N10377" s="14"/>
      <c r="O10377" s="14"/>
      <c r="P10377" s="13"/>
    </row>
    <row r="10378">
      <c r="L10378" s="13"/>
      <c r="M10378" s="14"/>
      <c r="N10378" s="14"/>
      <c r="O10378" s="14"/>
      <c r="P10378" s="13"/>
    </row>
    <row r="10379">
      <c r="L10379" s="13"/>
      <c r="M10379" s="14"/>
      <c r="N10379" s="14"/>
      <c r="O10379" s="14"/>
      <c r="P10379" s="13"/>
    </row>
    <row r="10380">
      <c r="L10380" s="13"/>
      <c r="M10380" s="14"/>
      <c r="N10380" s="14"/>
      <c r="O10380" s="14"/>
      <c r="P10380" s="13"/>
    </row>
    <row r="10381">
      <c r="L10381" s="13"/>
      <c r="M10381" s="14"/>
      <c r="N10381" s="14"/>
      <c r="O10381" s="14"/>
      <c r="P10381" s="13"/>
    </row>
    <row r="10382">
      <c r="L10382" s="13"/>
      <c r="M10382" s="14"/>
      <c r="N10382" s="14"/>
      <c r="O10382" s="14"/>
      <c r="P10382" s="13"/>
    </row>
    <row r="10383">
      <c r="L10383" s="13"/>
      <c r="M10383" s="14"/>
      <c r="N10383" s="14"/>
      <c r="O10383" s="14"/>
      <c r="P10383" s="13"/>
    </row>
    <row r="10384">
      <c r="L10384" s="13"/>
      <c r="M10384" s="14"/>
      <c r="N10384" s="14"/>
      <c r="O10384" s="14"/>
      <c r="P10384" s="13"/>
    </row>
    <row r="10385">
      <c r="L10385" s="13"/>
      <c r="M10385" s="14"/>
      <c r="N10385" s="14"/>
      <c r="O10385" s="14"/>
      <c r="P10385" s="13"/>
    </row>
    <row r="10386">
      <c r="L10386" s="13"/>
      <c r="M10386" s="14"/>
      <c r="N10386" s="14"/>
      <c r="O10386" s="14"/>
      <c r="P10386" s="13"/>
    </row>
    <row r="10387">
      <c r="L10387" s="13"/>
      <c r="M10387" s="14"/>
      <c r="N10387" s="14"/>
      <c r="O10387" s="14"/>
      <c r="P10387" s="13"/>
    </row>
    <row r="10388">
      <c r="L10388" s="13"/>
      <c r="M10388" s="14"/>
      <c r="N10388" s="14"/>
      <c r="O10388" s="14"/>
      <c r="P10388" s="13"/>
    </row>
    <row r="10389">
      <c r="L10389" s="13"/>
      <c r="M10389" s="14"/>
      <c r="N10389" s="14"/>
      <c r="O10389" s="14"/>
      <c r="P10389" s="13"/>
    </row>
    <row r="10390">
      <c r="L10390" s="13"/>
      <c r="M10390" s="14"/>
      <c r="N10390" s="14"/>
      <c r="O10390" s="14"/>
      <c r="P10390" s="13"/>
    </row>
    <row r="10391">
      <c r="L10391" s="13"/>
      <c r="M10391" s="14"/>
      <c r="N10391" s="14"/>
      <c r="O10391" s="14"/>
      <c r="P10391" s="13"/>
    </row>
    <row r="10392">
      <c r="L10392" s="13"/>
      <c r="M10392" s="14"/>
      <c r="N10392" s="14"/>
      <c r="O10392" s="14"/>
      <c r="P10392" s="13"/>
    </row>
    <row r="10393">
      <c r="L10393" s="13"/>
      <c r="M10393" s="14"/>
      <c r="N10393" s="14"/>
      <c r="O10393" s="14"/>
      <c r="P10393" s="13"/>
    </row>
    <row r="10394">
      <c r="L10394" s="13"/>
      <c r="M10394" s="14"/>
      <c r="N10394" s="14"/>
      <c r="O10394" s="14"/>
      <c r="P10394" s="13"/>
    </row>
    <row r="10395">
      <c r="L10395" s="13"/>
      <c r="M10395" s="14"/>
      <c r="N10395" s="14"/>
      <c r="O10395" s="14"/>
      <c r="P10395" s="13"/>
    </row>
    <row r="10396">
      <c r="L10396" s="13"/>
      <c r="M10396" s="14"/>
      <c r="N10396" s="14"/>
      <c r="O10396" s="14"/>
      <c r="P10396" s="13"/>
    </row>
    <row r="10397">
      <c r="L10397" s="13"/>
      <c r="M10397" s="14"/>
      <c r="N10397" s="14"/>
      <c r="O10397" s="14"/>
      <c r="P10397" s="13"/>
    </row>
    <row r="10398">
      <c r="L10398" s="13"/>
      <c r="M10398" s="14"/>
      <c r="N10398" s="14"/>
      <c r="O10398" s="14"/>
      <c r="P10398" s="13"/>
    </row>
    <row r="10399">
      <c r="L10399" s="13"/>
      <c r="M10399" s="14"/>
      <c r="N10399" s="14"/>
      <c r="O10399" s="14"/>
      <c r="P10399" s="13"/>
    </row>
    <row r="10400">
      <c r="L10400" s="13"/>
      <c r="M10400" s="14"/>
      <c r="N10400" s="14"/>
      <c r="O10400" s="14"/>
      <c r="P10400" s="13"/>
    </row>
    <row r="10401">
      <c r="L10401" s="13"/>
      <c r="M10401" s="14"/>
      <c r="N10401" s="14"/>
      <c r="O10401" s="14"/>
      <c r="P10401" s="13"/>
    </row>
    <row r="10402">
      <c r="L10402" s="13"/>
      <c r="M10402" s="14"/>
      <c r="N10402" s="14"/>
      <c r="O10402" s="14"/>
      <c r="P10402" s="13"/>
    </row>
    <row r="10403">
      <c r="L10403" s="13"/>
      <c r="M10403" s="14"/>
      <c r="N10403" s="14"/>
      <c r="O10403" s="14"/>
      <c r="P10403" s="13"/>
    </row>
    <row r="10404">
      <c r="L10404" s="13"/>
      <c r="M10404" s="14"/>
      <c r="N10404" s="14"/>
      <c r="O10404" s="14"/>
      <c r="P10404" s="13"/>
    </row>
    <row r="10405">
      <c r="L10405" s="13"/>
      <c r="M10405" s="14"/>
      <c r="N10405" s="14"/>
      <c r="O10405" s="14"/>
      <c r="P10405" s="13"/>
    </row>
    <row r="10406">
      <c r="L10406" s="13"/>
      <c r="M10406" s="14"/>
      <c r="N10406" s="14"/>
      <c r="O10406" s="14"/>
      <c r="P10406" s="13"/>
    </row>
    <row r="10407">
      <c r="L10407" s="13"/>
      <c r="M10407" s="14"/>
      <c r="N10407" s="14"/>
      <c r="O10407" s="14"/>
      <c r="P10407" s="13"/>
    </row>
    <row r="10408">
      <c r="L10408" s="13"/>
      <c r="M10408" s="14"/>
      <c r="N10408" s="14"/>
      <c r="O10408" s="14"/>
      <c r="P10408" s="13"/>
    </row>
    <row r="10409">
      <c r="L10409" s="13"/>
      <c r="M10409" s="14"/>
      <c r="N10409" s="14"/>
      <c r="O10409" s="14"/>
      <c r="P10409" s="13"/>
    </row>
    <row r="10410">
      <c r="L10410" s="13"/>
      <c r="M10410" s="14"/>
      <c r="N10410" s="14"/>
      <c r="O10410" s="14"/>
      <c r="P10410" s="13"/>
    </row>
    <row r="10411">
      <c r="L10411" s="13"/>
      <c r="M10411" s="14"/>
      <c r="N10411" s="14"/>
      <c r="O10411" s="14"/>
      <c r="P10411" s="13"/>
    </row>
    <row r="10412">
      <c r="L10412" s="13"/>
      <c r="M10412" s="14"/>
      <c r="N10412" s="14"/>
      <c r="O10412" s="14"/>
      <c r="P10412" s="13"/>
    </row>
    <row r="10413">
      <c r="L10413" s="13"/>
      <c r="M10413" s="14"/>
      <c r="N10413" s="14"/>
      <c r="O10413" s="14"/>
      <c r="P10413" s="13"/>
    </row>
    <row r="10414">
      <c r="L10414" s="13"/>
      <c r="M10414" s="14"/>
      <c r="N10414" s="14"/>
      <c r="O10414" s="14"/>
      <c r="P10414" s="13"/>
    </row>
    <row r="10415">
      <c r="L10415" s="13"/>
      <c r="M10415" s="14"/>
      <c r="N10415" s="14"/>
      <c r="O10415" s="14"/>
      <c r="P10415" s="13"/>
    </row>
    <row r="10416">
      <c r="L10416" s="13"/>
      <c r="M10416" s="14"/>
      <c r="N10416" s="14"/>
      <c r="O10416" s="14"/>
      <c r="P10416" s="13"/>
    </row>
    <row r="10417">
      <c r="L10417" s="13"/>
      <c r="M10417" s="14"/>
      <c r="N10417" s="14"/>
      <c r="O10417" s="14"/>
      <c r="P10417" s="13"/>
    </row>
    <row r="10418">
      <c r="L10418" s="13"/>
      <c r="M10418" s="14"/>
      <c r="N10418" s="14"/>
      <c r="O10418" s="14"/>
      <c r="P10418" s="13"/>
    </row>
    <row r="10419">
      <c r="L10419" s="13"/>
      <c r="M10419" s="14"/>
      <c r="N10419" s="14"/>
      <c r="O10419" s="14"/>
      <c r="P10419" s="13"/>
    </row>
    <row r="10420">
      <c r="L10420" s="13"/>
      <c r="M10420" s="14"/>
      <c r="N10420" s="14"/>
      <c r="O10420" s="14"/>
      <c r="P10420" s="13"/>
    </row>
    <row r="10421">
      <c r="L10421" s="13"/>
      <c r="M10421" s="14"/>
      <c r="N10421" s="14"/>
      <c r="O10421" s="14"/>
      <c r="P10421" s="13"/>
    </row>
    <row r="10422">
      <c r="L10422" s="13"/>
      <c r="M10422" s="14"/>
      <c r="N10422" s="14"/>
      <c r="O10422" s="14"/>
      <c r="P10422" s="13"/>
    </row>
    <row r="10423">
      <c r="L10423" s="13"/>
      <c r="M10423" s="14"/>
      <c r="N10423" s="14"/>
      <c r="O10423" s="14"/>
      <c r="P10423" s="13"/>
    </row>
    <row r="10424">
      <c r="L10424" s="13"/>
      <c r="M10424" s="14"/>
      <c r="N10424" s="14"/>
      <c r="O10424" s="14"/>
      <c r="P10424" s="13"/>
    </row>
    <row r="10425">
      <c r="L10425" s="13"/>
      <c r="M10425" s="14"/>
      <c r="N10425" s="14"/>
      <c r="O10425" s="14"/>
      <c r="P10425" s="13"/>
    </row>
    <row r="10426">
      <c r="L10426" s="13"/>
      <c r="M10426" s="14"/>
      <c r="N10426" s="14"/>
      <c r="O10426" s="14"/>
      <c r="P10426" s="13"/>
    </row>
    <row r="10427">
      <c r="L10427" s="13"/>
      <c r="M10427" s="14"/>
      <c r="N10427" s="14"/>
      <c r="O10427" s="14"/>
      <c r="P10427" s="13"/>
    </row>
    <row r="10428">
      <c r="L10428" s="13"/>
      <c r="M10428" s="14"/>
      <c r="N10428" s="14"/>
      <c r="O10428" s="14"/>
      <c r="P10428" s="13"/>
    </row>
    <row r="10429">
      <c r="L10429" s="13"/>
      <c r="M10429" s="14"/>
      <c r="N10429" s="14"/>
      <c r="O10429" s="14"/>
      <c r="P10429" s="13"/>
    </row>
    <row r="10430">
      <c r="L10430" s="13"/>
      <c r="M10430" s="14"/>
      <c r="N10430" s="14"/>
      <c r="O10430" s="14"/>
      <c r="P10430" s="13"/>
    </row>
    <row r="10431">
      <c r="L10431" s="13"/>
      <c r="M10431" s="14"/>
      <c r="N10431" s="14"/>
      <c r="O10431" s="14"/>
      <c r="P10431" s="13"/>
    </row>
    <row r="10432">
      <c r="L10432" s="13"/>
      <c r="M10432" s="14"/>
      <c r="N10432" s="14"/>
      <c r="O10432" s="14"/>
      <c r="P10432" s="13"/>
    </row>
    <row r="10433">
      <c r="L10433" s="13"/>
      <c r="M10433" s="14"/>
      <c r="N10433" s="14"/>
      <c r="O10433" s="14"/>
      <c r="P10433" s="13"/>
    </row>
    <row r="10434">
      <c r="L10434" s="13"/>
      <c r="M10434" s="14"/>
      <c r="N10434" s="14"/>
      <c r="O10434" s="14"/>
      <c r="P10434" s="13"/>
    </row>
    <row r="10435">
      <c r="L10435" s="13"/>
      <c r="M10435" s="14"/>
      <c r="N10435" s="14"/>
      <c r="O10435" s="14"/>
      <c r="P10435" s="13"/>
    </row>
    <row r="10436">
      <c r="L10436" s="13"/>
      <c r="M10436" s="14"/>
      <c r="N10436" s="14"/>
      <c r="O10436" s="14"/>
      <c r="P10436" s="13"/>
    </row>
    <row r="10437">
      <c r="L10437" s="13"/>
      <c r="M10437" s="14"/>
      <c r="N10437" s="14"/>
      <c r="O10437" s="14"/>
      <c r="P10437" s="13"/>
    </row>
    <row r="10438">
      <c r="L10438" s="13"/>
      <c r="M10438" s="14"/>
      <c r="N10438" s="14"/>
      <c r="O10438" s="14"/>
      <c r="P10438" s="13"/>
    </row>
    <row r="10439">
      <c r="L10439" s="13"/>
      <c r="M10439" s="14"/>
      <c r="N10439" s="14"/>
      <c r="O10439" s="14"/>
      <c r="P10439" s="13"/>
    </row>
    <row r="10440">
      <c r="L10440" s="13"/>
      <c r="M10440" s="14"/>
      <c r="N10440" s="14"/>
      <c r="O10440" s="14"/>
      <c r="P10440" s="13"/>
    </row>
    <row r="10441">
      <c r="L10441" s="13"/>
      <c r="M10441" s="14"/>
      <c r="N10441" s="14"/>
      <c r="O10441" s="14"/>
      <c r="P10441" s="13"/>
    </row>
    <row r="10442">
      <c r="L10442" s="13"/>
      <c r="M10442" s="14"/>
      <c r="N10442" s="14"/>
      <c r="O10442" s="14"/>
      <c r="P10442" s="13"/>
    </row>
    <row r="10443">
      <c r="L10443" s="13"/>
      <c r="M10443" s="14"/>
      <c r="N10443" s="14"/>
      <c r="O10443" s="14"/>
      <c r="P10443" s="13"/>
    </row>
    <row r="10444">
      <c r="L10444" s="13"/>
      <c r="M10444" s="14"/>
      <c r="N10444" s="14"/>
      <c r="O10444" s="14"/>
      <c r="P10444" s="13"/>
    </row>
    <row r="10445">
      <c r="L10445" s="13"/>
      <c r="M10445" s="14"/>
      <c r="N10445" s="14"/>
      <c r="O10445" s="14"/>
      <c r="P10445" s="13"/>
    </row>
    <row r="10446">
      <c r="L10446" s="13"/>
      <c r="M10446" s="14"/>
      <c r="N10446" s="14"/>
      <c r="O10446" s="14"/>
      <c r="P10446" s="13"/>
    </row>
    <row r="10447">
      <c r="L10447" s="13"/>
      <c r="M10447" s="14"/>
      <c r="N10447" s="14"/>
      <c r="O10447" s="14"/>
      <c r="P10447" s="13"/>
    </row>
    <row r="10448">
      <c r="L10448" s="13"/>
      <c r="M10448" s="14"/>
      <c r="N10448" s="14"/>
      <c r="O10448" s="14"/>
      <c r="P10448" s="13"/>
    </row>
    <row r="10449">
      <c r="L10449" s="13"/>
      <c r="M10449" s="14"/>
      <c r="N10449" s="14"/>
      <c r="O10449" s="14"/>
      <c r="P10449" s="13"/>
    </row>
    <row r="10450">
      <c r="L10450" s="13"/>
      <c r="M10450" s="14"/>
      <c r="N10450" s="14"/>
      <c r="O10450" s="14"/>
      <c r="P10450" s="13"/>
    </row>
    <row r="10451">
      <c r="L10451" s="13"/>
      <c r="M10451" s="14"/>
      <c r="N10451" s="14"/>
      <c r="O10451" s="14"/>
      <c r="P10451" s="13"/>
    </row>
    <row r="10452">
      <c r="L10452" s="13"/>
      <c r="M10452" s="14"/>
      <c r="N10452" s="14"/>
      <c r="O10452" s="14"/>
      <c r="P10452" s="13"/>
    </row>
    <row r="10453">
      <c r="L10453" s="13"/>
      <c r="M10453" s="14"/>
      <c r="N10453" s="14"/>
      <c r="O10453" s="14"/>
      <c r="P10453" s="13"/>
    </row>
    <row r="10454">
      <c r="L10454" s="13"/>
      <c r="M10454" s="14"/>
      <c r="N10454" s="14"/>
      <c r="O10454" s="14"/>
      <c r="P10454" s="13"/>
    </row>
    <row r="10455">
      <c r="L10455" s="13"/>
      <c r="M10455" s="14"/>
      <c r="N10455" s="14"/>
      <c r="O10455" s="14"/>
      <c r="P10455" s="13"/>
    </row>
    <row r="10456">
      <c r="L10456" s="13"/>
      <c r="M10456" s="14"/>
      <c r="N10456" s="14"/>
      <c r="O10456" s="14"/>
      <c r="P10456" s="13"/>
    </row>
    <row r="10457">
      <c r="L10457" s="13"/>
      <c r="M10457" s="14"/>
      <c r="N10457" s="14"/>
      <c r="O10457" s="14"/>
      <c r="P10457" s="13"/>
    </row>
    <row r="10458">
      <c r="L10458" s="13"/>
      <c r="M10458" s="14"/>
      <c r="N10458" s="14"/>
      <c r="O10458" s="14"/>
      <c r="P10458" s="13"/>
    </row>
    <row r="10459">
      <c r="L10459" s="13"/>
      <c r="M10459" s="14"/>
      <c r="N10459" s="14"/>
      <c r="O10459" s="14"/>
      <c r="P10459" s="13"/>
    </row>
    <row r="10460">
      <c r="L10460" s="13"/>
      <c r="M10460" s="14"/>
      <c r="N10460" s="14"/>
      <c r="O10460" s="14"/>
      <c r="P10460" s="13"/>
    </row>
    <row r="10461">
      <c r="L10461" s="13"/>
      <c r="M10461" s="14"/>
      <c r="N10461" s="14"/>
      <c r="O10461" s="14"/>
      <c r="P10461" s="13"/>
    </row>
    <row r="10462">
      <c r="L10462" s="13"/>
      <c r="M10462" s="14"/>
      <c r="N10462" s="14"/>
      <c r="O10462" s="14"/>
      <c r="P10462" s="13"/>
    </row>
    <row r="10463">
      <c r="L10463" s="13"/>
      <c r="M10463" s="14"/>
      <c r="N10463" s="14"/>
      <c r="O10463" s="14"/>
      <c r="P10463" s="13"/>
    </row>
    <row r="10464">
      <c r="L10464" s="13"/>
      <c r="M10464" s="14"/>
      <c r="N10464" s="14"/>
      <c r="O10464" s="14"/>
      <c r="P10464" s="13"/>
    </row>
    <row r="10465">
      <c r="L10465" s="13"/>
      <c r="M10465" s="14"/>
      <c r="N10465" s="14"/>
      <c r="O10465" s="14"/>
      <c r="P10465" s="13"/>
    </row>
    <row r="10466">
      <c r="L10466" s="13"/>
      <c r="M10466" s="14"/>
      <c r="N10466" s="14"/>
      <c r="O10466" s="14"/>
      <c r="P10466" s="13"/>
    </row>
    <row r="10467">
      <c r="L10467" s="13"/>
      <c r="M10467" s="14"/>
      <c r="N10467" s="14"/>
      <c r="O10467" s="14"/>
      <c r="P10467" s="13"/>
    </row>
    <row r="10468">
      <c r="L10468" s="13"/>
      <c r="M10468" s="14"/>
      <c r="N10468" s="14"/>
      <c r="O10468" s="14"/>
      <c r="P10468" s="13"/>
    </row>
    <row r="10469">
      <c r="L10469" s="13"/>
      <c r="M10469" s="14"/>
      <c r="N10469" s="14"/>
      <c r="O10469" s="14"/>
      <c r="P10469" s="13"/>
    </row>
    <row r="10470">
      <c r="L10470" s="13"/>
      <c r="M10470" s="14"/>
      <c r="N10470" s="14"/>
      <c r="O10470" s="14"/>
      <c r="P10470" s="13"/>
    </row>
    <row r="10471">
      <c r="L10471" s="13"/>
      <c r="M10471" s="14"/>
      <c r="N10471" s="14"/>
      <c r="O10471" s="14"/>
      <c r="P10471" s="13"/>
    </row>
    <row r="10472">
      <c r="L10472" s="13"/>
      <c r="M10472" s="14"/>
      <c r="N10472" s="14"/>
      <c r="O10472" s="14"/>
      <c r="P10472" s="13"/>
    </row>
    <row r="10473">
      <c r="L10473" s="13"/>
      <c r="M10473" s="14"/>
      <c r="N10473" s="14"/>
      <c r="O10473" s="14"/>
      <c r="P10473" s="13"/>
    </row>
    <row r="10474">
      <c r="L10474" s="13"/>
      <c r="M10474" s="14"/>
      <c r="N10474" s="14"/>
      <c r="O10474" s="14"/>
      <c r="P10474" s="13"/>
    </row>
    <row r="10475">
      <c r="L10475" s="13"/>
      <c r="M10475" s="14"/>
      <c r="N10475" s="14"/>
      <c r="O10475" s="14"/>
      <c r="P10475" s="13"/>
    </row>
    <row r="10476">
      <c r="L10476" s="13"/>
      <c r="M10476" s="14"/>
      <c r="N10476" s="14"/>
      <c r="O10476" s="14"/>
      <c r="P10476" s="13"/>
    </row>
    <row r="10477">
      <c r="L10477" s="13"/>
      <c r="M10477" s="14"/>
      <c r="N10477" s="14"/>
      <c r="O10477" s="14"/>
      <c r="P10477" s="13"/>
    </row>
    <row r="10478">
      <c r="L10478" s="13"/>
      <c r="M10478" s="14"/>
      <c r="N10478" s="14"/>
      <c r="O10478" s="14"/>
      <c r="P10478" s="13"/>
    </row>
    <row r="10479">
      <c r="L10479" s="13"/>
      <c r="M10479" s="14"/>
      <c r="N10479" s="14"/>
      <c r="O10479" s="14"/>
      <c r="P10479" s="13"/>
    </row>
    <row r="10480">
      <c r="L10480" s="13"/>
      <c r="M10480" s="14"/>
      <c r="N10480" s="14"/>
      <c r="O10480" s="14"/>
      <c r="P10480" s="13"/>
    </row>
    <row r="10481">
      <c r="L10481" s="13"/>
      <c r="M10481" s="14"/>
      <c r="N10481" s="14"/>
      <c r="O10481" s="14"/>
      <c r="P10481" s="13"/>
    </row>
    <row r="10482">
      <c r="L10482" s="13"/>
      <c r="M10482" s="14"/>
      <c r="N10482" s="14"/>
      <c r="O10482" s="14"/>
      <c r="P10482" s="13"/>
    </row>
    <row r="10483">
      <c r="L10483" s="13"/>
      <c r="M10483" s="14"/>
      <c r="N10483" s="14"/>
      <c r="O10483" s="14"/>
      <c r="P10483" s="13"/>
    </row>
    <row r="10484">
      <c r="L10484" s="13"/>
      <c r="M10484" s="14"/>
      <c r="N10484" s="14"/>
      <c r="O10484" s="14"/>
      <c r="P10484" s="13"/>
    </row>
    <row r="10485">
      <c r="L10485" s="13"/>
      <c r="M10485" s="14"/>
      <c r="N10485" s="14"/>
      <c r="O10485" s="14"/>
      <c r="P10485" s="13"/>
    </row>
    <row r="10486">
      <c r="L10486" s="13"/>
      <c r="M10486" s="14"/>
      <c r="N10486" s="14"/>
      <c r="O10486" s="14"/>
      <c r="P10486" s="13"/>
    </row>
    <row r="10487">
      <c r="L10487" s="13"/>
      <c r="M10487" s="14"/>
      <c r="N10487" s="14"/>
      <c r="O10487" s="14"/>
      <c r="P10487" s="13"/>
    </row>
    <row r="10488">
      <c r="L10488" s="13"/>
      <c r="M10488" s="14"/>
      <c r="N10488" s="14"/>
      <c r="O10488" s="14"/>
      <c r="P10488" s="13"/>
    </row>
    <row r="10489">
      <c r="L10489" s="13"/>
      <c r="M10489" s="14"/>
      <c r="N10489" s="14"/>
      <c r="O10489" s="14"/>
      <c r="P10489" s="13"/>
    </row>
    <row r="10490">
      <c r="L10490" s="13"/>
      <c r="M10490" s="14"/>
      <c r="N10490" s="14"/>
      <c r="O10490" s="14"/>
      <c r="P10490" s="13"/>
    </row>
    <row r="10491">
      <c r="L10491" s="13"/>
      <c r="M10491" s="14"/>
      <c r="N10491" s="14"/>
      <c r="O10491" s="14"/>
      <c r="P10491" s="13"/>
    </row>
    <row r="10492">
      <c r="L10492" s="13"/>
      <c r="M10492" s="14"/>
      <c r="N10492" s="14"/>
      <c r="O10492" s="14"/>
      <c r="P10492" s="13"/>
    </row>
    <row r="10493">
      <c r="L10493" s="13"/>
      <c r="M10493" s="14"/>
      <c r="N10493" s="14"/>
      <c r="O10493" s="14"/>
      <c r="P10493" s="13"/>
    </row>
    <row r="10494">
      <c r="L10494" s="13"/>
      <c r="M10494" s="14"/>
      <c r="N10494" s="14"/>
      <c r="O10494" s="14"/>
      <c r="P10494" s="13"/>
    </row>
    <row r="10495">
      <c r="L10495" s="13"/>
      <c r="M10495" s="14"/>
      <c r="N10495" s="14"/>
      <c r="O10495" s="14"/>
      <c r="P10495" s="13"/>
    </row>
    <row r="10496">
      <c r="L10496" s="13"/>
      <c r="M10496" s="14"/>
      <c r="N10496" s="14"/>
      <c r="O10496" s="14"/>
      <c r="P10496" s="13"/>
    </row>
    <row r="10497">
      <c r="L10497" s="13"/>
      <c r="M10497" s="14"/>
      <c r="N10497" s="14"/>
      <c r="O10497" s="14"/>
      <c r="P10497" s="13"/>
    </row>
    <row r="10498">
      <c r="L10498" s="13"/>
      <c r="M10498" s="14"/>
      <c r="N10498" s="14"/>
      <c r="O10498" s="14"/>
      <c r="P10498" s="13"/>
    </row>
    <row r="10499">
      <c r="L10499" s="13"/>
      <c r="M10499" s="14"/>
      <c r="N10499" s="14"/>
      <c r="O10499" s="14"/>
      <c r="P10499" s="13"/>
    </row>
    <row r="10500">
      <c r="L10500" s="13"/>
      <c r="M10500" s="14"/>
      <c r="N10500" s="14"/>
      <c r="O10500" s="14"/>
      <c r="P10500" s="13"/>
    </row>
    <row r="10501">
      <c r="L10501" s="13"/>
      <c r="M10501" s="14"/>
      <c r="N10501" s="14"/>
      <c r="O10501" s="14"/>
      <c r="P10501" s="13"/>
    </row>
    <row r="10502">
      <c r="L10502" s="13"/>
      <c r="M10502" s="14"/>
      <c r="N10502" s="14"/>
      <c r="O10502" s="14"/>
      <c r="P10502" s="13"/>
    </row>
    <row r="10503">
      <c r="L10503" s="13"/>
      <c r="M10503" s="14"/>
      <c r="N10503" s="14"/>
      <c r="O10503" s="14"/>
      <c r="P10503" s="13"/>
    </row>
    <row r="10504">
      <c r="L10504" s="13"/>
      <c r="M10504" s="14"/>
      <c r="N10504" s="14"/>
      <c r="O10504" s="14"/>
      <c r="P10504" s="13"/>
    </row>
    <row r="10505">
      <c r="L10505" s="13"/>
      <c r="M10505" s="14"/>
      <c r="N10505" s="14"/>
      <c r="O10505" s="14"/>
      <c r="P10505" s="13"/>
    </row>
    <row r="10506">
      <c r="L10506" s="13"/>
      <c r="M10506" s="14"/>
      <c r="N10506" s="14"/>
      <c r="O10506" s="14"/>
      <c r="P10506" s="13"/>
    </row>
    <row r="10507">
      <c r="L10507" s="13"/>
      <c r="M10507" s="14"/>
      <c r="N10507" s="14"/>
      <c r="O10507" s="14"/>
      <c r="P10507" s="13"/>
    </row>
    <row r="10508">
      <c r="L10508" s="13"/>
      <c r="M10508" s="14"/>
      <c r="N10508" s="14"/>
      <c r="O10508" s="14"/>
      <c r="P10508" s="13"/>
    </row>
    <row r="10509">
      <c r="L10509" s="13"/>
      <c r="M10509" s="14"/>
      <c r="N10509" s="14"/>
      <c r="O10509" s="14"/>
      <c r="P10509" s="13"/>
    </row>
    <row r="10510">
      <c r="L10510" s="13"/>
      <c r="M10510" s="14"/>
      <c r="N10510" s="14"/>
      <c r="O10510" s="14"/>
      <c r="P10510" s="13"/>
    </row>
    <row r="10511">
      <c r="L10511" s="13"/>
      <c r="M10511" s="14"/>
      <c r="N10511" s="14"/>
      <c r="O10511" s="14"/>
      <c r="P10511" s="13"/>
    </row>
    <row r="10512">
      <c r="L10512" s="13"/>
      <c r="M10512" s="14"/>
      <c r="N10512" s="14"/>
      <c r="O10512" s="14"/>
      <c r="P10512" s="13"/>
    </row>
    <row r="10513">
      <c r="L10513" s="13"/>
      <c r="M10513" s="14"/>
      <c r="N10513" s="14"/>
      <c r="O10513" s="14"/>
      <c r="P10513" s="13"/>
    </row>
    <row r="10514">
      <c r="L10514" s="13"/>
      <c r="M10514" s="14"/>
      <c r="N10514" s="14"/>
      <c r="O10514" s="14"/>
      <c r="P10514" s="13"/>
    </row>
    <row r="10515">
      <c r="L10515" s="13"/>
      <c r="M10515" s="14"/>
      <c r="N10515" s="14"/>
      <c r="O10515" s="14"/>
      <c r="P10515" s="13"/>
    </row>
    <row r="10516">
      <c r="L10516" s="13"/>
      <c r="M10516" s="14"/>
      <c r="N10516" s="14"/>
      <c r="O10516" s="14"/>
      <c r="P10516" s="13"/>
    </row>
    <row r="10517">
      <c r="L10517" s="13"/>
      <c r="M10517" s="14"/>
      <c r="N10517" s="14"/>
      <c r="O10517" s="14"/>
      <c r="P10517" s="13"/>
    </row>
    <row r="10518">
      <c r="L10518" s="13"/>
      <c r="M10518" s="14"/>
      <c r="N10518" s="14"/>
      <c r="O10518" s="14"/>
      <c r="P10518" s="13"/>
    </row>
    <row r="10519">
      <c r="L10519" s="13"/>
      <c r="M10519" s="14"/>
      <c r="N10519" s="14"/>
      <c r="O10519" s="14"/>
      <c r="P10519" s="13"/>
    </row>
    <row r="10520">
      <c r="L10520" s="13"/>
      <c r="M10520" s="14"/>
      <c r="N10520" s="14"/>
      <c r="O10520" s="14"/>
      <c r="P10520" s="13"/>
    </row>
    <row r="10521">
      <c r="L10521" s="13"/>
      <c r="M10521" s="14"/>
      <c r="N10521" s="14"/>
      <c r="O10521" s="14"/>
      <c r="P10521" s="13"/>
    </row>
    <row r="10522">
      <c r="L10522" s="13"/>
      <c r="M10522" s="14"/>
      <c r="N10522" s="14"/>
      <c r="O10522" s="14"/>
      <c r="P10522" s="13"/>
    </row>
    <row r="10523">
      <c r="L10523" s="13"/>
      <c r="M10523" s="14"/>
      <c r="N10523" s="14"/>
      <c r="O10523" s="14"/>
      <c r="P10523" s="13"/>
    </row>
    <row r="10524">
      <c r="L10524" s="13"/>
      <c r="M10524" s="14"/>
      <c r="N10524" s="14"/>
      <c r="O10524" s="14"/>
      <c r="P10524" s="13"/>
    </row>
    <row r="10525">
      <c r="L10525" s="13"/>
      <c r="M10525" s="14"/>
      <c r="N10525" s="14"/>
      <c r="O10525" s="14"/>
      <c r="P10525" s="13"/>
    </row>
    <row r="10526">
      <c r="L10526" s="13"/>
      <c r="M10526" s="14"/>
      <c r="N10526" s="14"/>
      <c r="O10526" s="14"/>
      <c r="P10526" s="13"/>
    </row>
    <row r="10527">
      <c r="L10527" s="13"/>
      <c r="M10527" s="14"/>
      <c r="N10527" s="14"/>
      <c r="O10527" s="14"/>
      <c r="P10527" s="13"/>
    </row>
    <row r="10528">
      <c r="L10528" s="13"/>
      <c r="M10528" s="14"/>
      <c r="N10528" s="14"/>
      <c r="O10528" s="14"/>
      <c r="P10528" s="13"/>
    </row>
    <row r="10529">
      <c r="L10529" s="13"/>
      <c r="M10529" s="14"/>
      <c r="N10529" s="14"/>
      <c r="O10529" s="14"/>
      <c r="P10529" s="13"/>
    </row>
    <row r="10530">
      <c r="L10530" s="13"/>
      <c r="M10530" s="14"/>
      <c r="N10530" s="14"/>
      <c r="O10530" s="14"/>
      <c r="P10530" s="13"/>
    </row>
    <row r="10531">
      <c r="L10531" s="13"/>
      <c r="M10531" s="14"/>
      <c r="N10531" s="14"/>
      <c r="O10531" s="14"/>
      <c r="P10531" s="13"/>
    </row>
    <row r="10532">
      <c r="L10532" s="13"/>
      <c r="M10532" s="14"/>
      <c r="N10532" s="14"/>
      <c r="O10532" s="14"/>
      <c r="P10532" s="13"/>
    </row>
    <row r="10533">
      <c r="L10533" s="13"/>
      <c r="M10533" s="14"/>
      <c r="N10533" s="14"/>
      <c r="O10533" s="14"/>
      <c r="P10533" s="13"/>
    </row>
    <row r="10534">
      <c r="L10534" s="13"/>
      <c r="M10534" s="14"/>
      <c r="N10534" s="14"/>
      <c r="O10534" s="14"/>
      <c r="P10534" s="13"/>
    </row>
    <row r="10535">
      <c r="L10535" s="13"/>
      <c r="M10535" s="14"/>
      <c r="N10535" s="14"/>
      <c r="O10535" s="14"/>
      <c r="P10535" s="13"/>
    </row>
    <row r="10536">
      <c r="L10536" s="13"/>
      <c r="M10536" s="14"/>
      <c r="N10536" s="14"/>
      <c r="O10536" s="14"/>
      <c r="P10536" s="13"/>
    </row>
    <row r="10537">
      <c r="L10537" s="13"/>
      <c r="M10537" s="14"/>
      <c r="N10537" s="14"/>
      <c r="O10537" s="14"/>
      <c r="P10537" s="13"/>
    </row>
    <row r="10538">
      <c r="L10538" s="13"/>
      <c r="M10538" s="14"/>
      <c r="N10538" s="14"/>
      <c r="O10538" s="14"/>
      <c r="P10538" s="13"/>
    </row>
    <row r="10539">
      <c r="L10539" s="13"/>
      <c r="M10539" s="14"/>
      <c r="N10539" s="14"/>
      <c r="O10539" s="14"/>
      <c r="P10539" s="13"/>
    </row>
    <row r="10540">
      <c r="L10540" s="13"/>
      <c r="M10540" s="14"/>
      <c r="N10540" s="14"/>
      <c r="O10540" s="14"/>
      <c r="P10540" s="13"/>
    </row>
    <row r="10541">
      <c r="L10541" s="13"/>
      <c r="M10541" s="14"/>
      <c r="N10541" s="14"/>
      <c r="O10541" s="14"/>
      <c r="P10541" s="13"/>
    </row>
    <row r="10542">
      <c r="L10542" s="13"/>
      <c r="M10542" s="14"/>
      <c r="N10542" s="14"/>
      <c r="O10542" s="14"/>
      <c r="P10542" s="13"/>
    </row>
    <row r="10543">
      <c r="L10543" s="13"/>
      <c r="M10543" s="14"/>
      <c r="N10543" s="14"/>
      <c r="O10543" s="14"/>
      <c r="P10543" s="13"/>
    </row>
    <row r="10544">
      <c r="L10544" s="13"/>
      <c r="M10544" s="14"/>
      <c r="N10544" s="14"/>
      <c r="O10544" s="14"/>
      <c r="P10544" s="13"/>
    </row>
    <row r="10545">
      <c r="L10545" s="13"/>
      <c r="M10545" s="14"/>
      <c r="N10545" s="14"/>
      <c r="O10545" s="14"/>
      <c r="P10545" s="13"/>
    </row>
    <row r="10546">
      <c r="L10546" s="13"/>
      <c r="M10546" s="14"/>
      <c r="N10546" s="14"/>
      <c r="O10546" s="14"/>
      <c r="P10546" s="13"/>
    </row>
    <row r="10547">
      <c r="L10547" s="13"/>
      <c r="M10547" s="14"/>
      <c r="N10547" s="14"/>
      <c r="O10547" s="14"/>
      <c r="P10547" s="13"/>
    </row>
    <row r="10548">
      <c r="L10548" s="13"/>
      <c r="M10548" s="14"/>
      <c r="N10548" s="14"/>
      <c r="O10548" s="14"/>
      <c r="P10548" s="13"/>
    </row>
    <row r="10549">
      <c r="L10549" s="13"/>
      <c r="M10549" s="14"/>
      <c r="N10549" s="14"/>
      <c r="O10549" s="14"/>
      <c r="P10549" s="13"/>
    </row>
    <row r="10550">
      <c r="L10550" s="13"/>
      <c r="M10550" s="14"/>
      <c r="N10550" s="14"/>
      <c r="O10550" s="14"/>
      <c r="P10550" s="13"/>
    </row>
    <row r="10551">
      <c r="L10551" s="13"/>
      <c r="M10551" s="14"/>
      <c r="N10551" s="14"/>
      <c r="O10551" s="14"/>
      <c r="P10551" s="13"/>
    </row>
    <row r="10552">
      <c r="L10552" s="13"/>
      <c r="M10552" s="14"/>
      <c r="N10552" s="14"/>
      <c r="O10552" s="14"/>
      <c r="P10552" s="13"/>
    </row>
    <row r="10553">
      <c r="L10553" s="13"/>
      <c r="M10553" s="14"/>
      <c r="N10553" s="14"/>
      <c r="O10553" s="14"/>
      <c r="P10553" s="13"/>
    </row>
    <row r="10554">
      <c r="L10554" s="13"/>
      <c r="M10554" s="14"/>
      <c r="N10554" s="14"/>
      <c r="O10554" s="14"/>
      <c r="P10554" s="13"/>
    </row>
    <row r="10555">
      <c r="L10555" s="13"/>
      <c r="M10555" s="14"/>
      <c r="N10555" s="14"/>
      <c r="O10555" s="14"/>
      <c r="P10555" s="13"/>
    </row>
    <row r="10556">
      <c r="L10556" s="13"/>
      <c r="M10556" s="14"/>
      <c r="N10556" s="14"/>
      <c r="O10556" s="14"/>
      <c r="P10556" s="13"/>
    </row>
    <row r="10557">
      <c r="L10557" s="13"/>
      <c r="M10557" s="14"/>
      <c r="N10557" s="14"/>
      <c r="O10557" s="14"/>
      <c r="P10557" s="13"/>
    </row>
    <row r="10558">
      <c r="L10558" s="13"/>
      <c r="M10558" s="14"/>
      <c r="N10558" s="14"/>
      <c r="O10558" s="14"/>
      <c r="P10558" s="13"/>
    </row>
    <row r="10559">
      <c r="L10559" s="13"/>
      <c r="M10559" s="14"/>
      <c r="N10559" s="14"/>
      <c r="O10559" s="14"/>
      <c r="P10559" s="13"/>
    </row>
    <row r="10560">
      <c r="L10560" s="13"/>
      <c r="M10560" s="14"/>
      <c r="N10560" s="14"/>
      <c r="O10560" s="14"/>
      <c r="P10560" s="13"/>
    </row>
    <row r="10561">
      <c r="L10561" s="13"/>
      <c r="M10561" s="14"/>
      <c r="N10561" s="14"/>
      <c r="O10561" s="14"/>
      <c r="P10561" s="13"/>
    </row>
    <row r="10562">
      <c r="L10562" s="13"/>
      <c r="M10562" s="14"/>
      <c r="N10562" s="14"/>
      <c r="O10562" s="14"/>
      <c r="P10562" s="13"/>
    </row>
    <row r="10563">
      <c r="L10563" s="13"/>
      <c r="M10563" s="14"/>
      <c r="N10563" s="14"/>
      <c r="O10563" s="14"/>
      <c r="P10563" s="13"/>
    </row>
    <row r="10564">
      <c r="L10564" s="13"/>
      <c r="M10564" s="14"/>
      <c r="N10564" s="14"/>
      <c r="O10564" s="14"/>
      <c r="P10564" s="13"/>
    </row>
    <row r="10565">
      <c r="L10565" s="13"/>
      <c r="M10565" s="14"/>
      <c r="N10565" s="14"/>
      <c r="O10565" s="14"/>
      <c r="P10565" s="13"/>
    </row>
    <row r="10566">
      <c r="L10566" s="13"/>
      <c r="M10566" s="14"/>
      <c r="N10566" s="14"/>
      <c r="O10566" s="14"/>
      <c r="P10566" s="13"/>
    </row>
    <row r="10567">
      <c r="L10567" s="13"/>
      <c r="M10567" s="14"/>
      <c r="N10567" s="14"/>
      <c r="O10567" s="14"/>
      <c r="P10567" s="13"/>
    </row>
    <row r="10568">
      <c r="L10568" s="13"/>
      <c r="M10568" s="14"/>
      <c r="N10568" s="14"/>
      <c r="O10568" s="14"/>
      <c r="P10568" s="13"/>
    </row>
    <row r="10569">
      <c r="L10569" s="13"/>
      <c r="M10569" s="14"/>
      <c r="N10569" s="14"/>
      <c r="O10569" s="14"/>
      <c r="P10569" s="13"/>
    </row>
    <row r="10570">
      <c r="L10570" s="13"/>
      <c r="M10570" s="14"/>
      <c r="N10570" s="14"/>
      <c r="O10570" s="14"/>
      <c r="P10570" s="13"/>
    </row>
    <row r="10571">
      <c r="L10571" s="13"/>
      <c r="M10571" s="14"/>
      <c r="N10571" s="14"/>
      <c r="O10571" s="14"/>
      <c r="P10571" s="13"/>
    </row>
    <row r="10572">
      <c r="L10572" s="13"/>
      <c r="M10572" s="14"/>
      <c r="N10572" s="14"/>
      <c r="O10572" s="14"/>
      <c r="P10572" s="13"/>
    </row>
    <row r="10573">
      <c r="L10573" s="13"/>
      <c r="M10573" s="14"/>
      <c r="N10573" s="14"/>
      <c r="O10573" s="14"/>
      <c r="P10573" s="13"/>
    </row>
    <row r="10574">
      <c r="L10574" s="13"/>
      <c r="M10574" s="14"/>
      <c r="N10574" s="14"/>
      <c r="O10574" s="14"/>
      <c r="P10574" s="13"/>
    </row>
    <row r="10575">
      <c r="L10575" s="13"/>
      <c r="M10575" s="14"/>
      <c r="N10575" s="14"/>
      <c r="O10575" s="14"/>
      <c r="P10575" s="13"/>
    </row>
    <row r="10576">
      <c r="L10576" s="13"/>
      <c r="M10576" s="14"/>
      <c r="N10576" s="14"/>
      <c r="O10576" s="14"/>
      <c r="P10576" s="13"/>
    </row>
    <row r="10577">
      <c r="L10577" s="13"/>
      <c r="M10577" s="14"/>
      <c r="N10577" s="14"/>
      <c r="O10577" s="14"/>
      <c r="P10577" s="13"/>
    </row>
    <row r="10578">
      <c r="L10578" s="13"/>
      <c r="M10578" s="14"/>
      <c r="N10578" s="14"/>
      <c r="O10578" s="14"/>
      <c r="P10578" s="13"/>
    </row>
    <row r="10579">
      <c r="L10579" s="13"/>
      <c r="M10579" s="14"/>
      <c r="N10579" s="14"/>
      <c r="O10579" s="14"/>
      <c r="P10579" s="13"/>
    </row>
    <row r="10580">
      <c r="L10580" s="13"/>
      <c r="M10580" s="14"/>
      <c r="N10580" s="14"/>
      <c r="O10580" s="14"/>
      <c r="P10580" s="13"/>
    </row>
    <row r="10581">
      <c r="L10581" s="13"/>
      <c r="M10581" s="14"/>
      <c r="N10581" s="14"/>
      <c r="O10581" s="14"/>
      <c r="P10581" s="13"/>
    </row>
    <row r="10582">
      <c r="L10582" s="13"/>
      <c r="M10582" s="14"/>
      <c r="N10582" s="14"/>
      <c r="O10582" s="14"/>
      <c r="P10582" s="13"/>
    </row>
    <row r="10583">
      <c r="L10583" s="13"/>
      <c r="M10583" s="14"/>
      <c r="N10583" s="14"/>
      <c r="O10583" s="14"/>
      <c r="P10583" s="13"/>
    </row>
    <row r="10584">
      <c r="L10584" s="13"/>
      <c r="M10584" s="14"/>
      <c r="N10584" s="14"/>
      <c r="O10584" s="14"/>
      <c r="P10584" s="13"/>
    </row>
    <row r="10585">
      <c r="L10585" s="13"/>
      <c r="M10585" s="14"/>
      <c r="N10585" s="14"/>
      <c r="O10585" s="14"/>
      <c r="P10585" s="13"/>
    </row>
    <row r="10586">
      <c r="L10586" s="13"/>
      <c r="M10586" s="14"/>
      <c r="N10586" s="14"/>
      <c r="O10586" s="14"/>
      <c r="P10586" s="13"/>
    </row>
    <row r="10587">
      <c r="L10587" s="13"/>
      <c r="M10587" s="14"/>
      <c r="N10587" s="14"/>
      <c r="O10587" s="14"/>
      <c r="P10587" s="13"/>
    </row>
    <row r="10588">
      <c r="L10588" s="13"/>
      <c r="M10588" s="14"/>
      <c r="N10588" s="14"/>
      <c r="O10588" s="14"/>
      <c r="P10588" s="13"/>
    </row>
    <row r="10589">
      <c r="L10589" s="13"/>
      <c r="M10589" s="14"/>
      <c r="N10589" s="14"/>
      <c r="O10589" s="14"/>
      <c r="P10589" s="13"/>
    </row>
    <row r="10590">
      <c r="L10590" s="13"/>
      <c r="M10590" s="14"/>
      <c r="N10590" s="14"/>
      <c r="O10590" s="14"/>
      <c r="P10590" s="13"/>
    </row>
    <row r="10591">
      <c r="L10591" s="13"/>
      <c r="M10591" s="14"/>
      <c r="N10591" s="14"/>
      <c r="O10591" s="14"/>
      <c r="P10591" s="13"/>
    </row>
    <row r="10592">
      <c r="L10592" s="13"/>
      <c r="M10592" s="14"/>
      <c r="N10592" s="14"/>
      <c r="O10592" s="14"/>
      <c r="P10592" s="13"/>
    </row>
    <row r="10593">
      <c r="L10593" s="13"/>
      <c r="M10593" s="14"/>
      <c r="N10593" s="14"/>
      <c r="O10593" s="14"/>
      <c r="P10593" s="13"/>
    </row>
    <row r="10594">
      <c r="L10594" s="13"/>
      <c r="M10594" s="14"/>
      <c r="N10594" s="14"/>
      <c r="O10594" s="14"/>
      <c r="P10594" s="13"/>
    </row>
    <row r="10595">
      <c r="L10595" s="13"/>
      <c r="M10595" s="14"/>
      <c r="N10595" s="14"/>
      <c r="O10595" s="14"/>
      <c r="P10595" s="13"/>
    </row>
    <row r="10596">
      <c r="L10596" s="13"/>
      <c r="M10596" s="14"/>
      <c r="N10596" s="14"/>
      <c r="O10596" s="14"/>
      <c r="P10596" s="13"/>
    </row>
    <row r="10597">
      <c r="L10597" s="13"/>
      <c r="M10597" s="14"/>
      <c r="N10597" s="14"/>
      <c r="O10597" s="14"/>
      <c r="P10597" s="13"/>
    </row>
    <row r="10598">
      <c r="L10598" s="13"/>
      <c r="M10598" s="14"/>
      <c r="N10598" s="14"/>
      <c r="O10598" s="14"/>
      <c r="P10598" s="13"/>
    </row>
    <row r="10599">
      <c r="L10599" s="13"/>
      <c r="M10599" s="14"/>
      <c r="N10599" s="14"/>
      <c r="O10599" s="14"/>
      <c r="P10599" s="13"/>
    </row>
    <row r="10600">
      <c r="L10600" s="13"/>
      <c r="M10600" s="14"/>
      <c r="N10600" s="14"/>
      <c r="O10600" s="14"/>
      <c r="P10600" s="13"/>
    </row>
    <row r="10601">
      <c r="L10601" s="13"/>
      <c r="M10601" s="14"/>
      <c r="N10601" s="14"/>
      <c r="O10601" s="14"/>
      <c r="P10601" s="13"/>
    </row>
    <row r="10602">
      <c r="L10602" s="13"/>
      <c r="M10602" s="14"/>
      <c r="N10602" s="14"/>
      <c r="O10602" s="14"/>
      <c r="P10602" s="13"/>
    </row>
    <row r="10603">
      <c r="L10603" s="13"/>
      <c r="M10603" s="14"/>
      <c r="N10603" s="14"/>
      <c r="O10603" s="14"/>
      <c r="P10603" s="13"/>
    </row>
    <row r="10604">
      <c r="L10604" s="13"/>
      <c r="M10604" s="14"/>
      <c r="N10604" s="14"/>
      <c r="O10604" s="14"/>
      <c r="P10604" s="13"/>
    </row>
    <row r="10605">
      <c r="L10605" s="13"/>
      <c r="M10605" s="14"/>
      <c r="N10605" s="14"/>
      <c r="O10605" s="14"/>
      <c r="P10605" s="13"/>
    </row>
    <row r="10606">
      <c r="L10606" s="13"/>
      <c r="M10606" s="14"/>
      <c r="N10606" s="14"/>
      <c r="O10606" s="14"/>
      <c r="P10606" s="13"/>
    </row>
    <row r="10607">
      <c r="L10607" s="13"/>
      <c r="M10607" s="14"/>
      <c r="N10607" s="14"/>
      <c r="O10607" s="14"/>
      <c r="P10607" s="13"/>
    </row>
    <row r="10608">
      <c r="L10608" s="13"/>
      <c r="M10608" s="14"/>
      <c r="N10608" s="14"/>
      <c r="O10608" s="14"/>
      <c r="P10608" s="13"/>
    </row>
    <row r="10609">
      <c r="L10609" s="13"/>
      <c r="M10609" s="14"/>
      <c r="N10609" s="14"/>
      <c r="O10609" s="14"/>
      <c r="P10609" s="13"/>
    </row>
    <row r="10610">
      <c r="L10610" s="13"/>
      <c r="M10610" s="14"/>
      <c r="N10610" s="14"/>
      <c r="O10610" s="14"/>
      <c r="P10610" s="13"/>
    </row>
    <row r="10611">
      <c r="L10611" s="13"/>
      <c r="M10611" s="14"/>
      <c r="N10611" s="14"/>
      <c r="O10611" s="14"/>
      <c r="P10611" s="13"/>
    </row>
    <row r="10612">
      <c r="L10612" s="13"/>
      <c r="M10612" s="14"/>
      <c r="N10612" s="14"/>
      <c r="O10612" s="14"/>
      <c r="P10612" s="13"/>
    </row>
    <row r="10613">
      <c r="L10613" s="13"/>
      <c r="M10613" s="14"/>
      <c r="N10613" s="14"/>
      <c r="O10613" s="14"/>
      <c r="P10613" s="13"/>
    </row>
    <row r="10614">
      <c r="L10614" s="13"/>
      <c r="M10614" s="14"/>
      <c r="N10614" s="14"/>
      <c r="O10614" s="14"/>
      <c r="P10614" s="13"/>
    </row>
    <row r="10615">
      <c r="L10615" s="13"/>
      <c r="M10615" s="14"/>
      <c r="N10615" s="14"/>
      <c r="O10615" s="14"/>
      <c r="P10615" s="13"/>
    </row>
    <row r="10616">
      <c r="L10616" s="13"/>
      <c r="M10616" s="14"/>
      <c r="N10616" s="14"/>
      <c r="O10616" s="14"/>
      <c r="P10616" s="13"/>
    </row>
    <row r="10617">
      <c r="L10617" s="13"/>
      <c r="M10617" s="14"/>
      <c r="N10617" s="14"/>
      <c r="O10617" s="14"/>
      <c r="P10617" s="13"/>
    </row>
    <row r="10618">
      <c r="L10618" s="13"/>
      <c r="M10618" s="14"/>
      <c r="N10618" s="14"/>
      <c r="O10618" s="14"/>
      <c r="P10618" s="13"/>
    </row>
    <row r="10619">
      <c r="L10619" s="13"/>
      <c r="M10619" s="14"/>
      <c r="N10619" s="14"/>
      <c r="O10619" s="14"/>
      <c r="P10619" s="13"/>
    </row>
    <row r="10620">
      <c r="L10620" s="13"/>
      <c r="M10620" s="14"/>
      <c r="N10620" s="14"/>
      <c r="O10620" s="14"/>
      <c r="P10620" s="13"/>
    </row>
    <row r="10621">
      <c r="L10621" s="13"/>
      <c r="M10621" s="14"/>
      <c r="N10621" s="14"/>
      <c r="O10621" s="14"/>
      <c r="P10621" s="13"/>
    </row>
    <row r="10622">
      <c r="L10622" s="13"/>
      <c r="M10622" s="14"/>
      <c r="N10622" s="14"/>
      <c r="O10622" s="14"/>
      <c r="P10622" s="13"/>
    </row>
    <row r="10623">
      <c r="L10623" s="13"/>
      <c r="M10623" s="14"/>
      <c r="N10623" s="14"/>
      <c r="O10623" s="14"/>
      <c r="P10623" s="13"/>
    </row>
    <row r="10624">
      <c r="L10624" s="13"/>
      <c r="M10624" s="14"/>
      <c r="N10624" s="14"/>
      <c r="O10624" s="14"/>
      <c r="P10624" s="13"/>
    </row>
    <row r="10625">
      <c r="L10625" s="13"/>
      <c r="M10625" s="14"/>
      <c r="N10625" s="14"/>
      <c r="O10625" s="14"/>
      <c r="P10625" s="13"/>
    </row>
    <row r="10626">
      <c r="L10626" s="13"/>
      <c r="M10626" s="14"/>
      <c r="N10626" s="14"/>
      <c r="O10626" s="14"/>
      <c r="P10626" s="13"/>
    </row>
    <row r="10627">
      <c r="L10627" s="13"/>
      <c r="M10627" s="14"/>
      <c r="N10627" s="14"/>
      <c r="O10627" s="14"/>
      <c r="P10627" s="13"/>
    </row>
    <row r="10628">
      <c r="L10628" s="13"/>
      <c r="M10628" s="14"/>
      <c r="N10628" s="14"/>
      <c r="O10628" s="14"/>
      <c r="P10628" s="13"/>
    </row>
    <row r="10629">
      <c r="L10629" s="13"/>
      <c r="M10629" s="14"/>
      <c r="N10629" s="14"/>
      <c r="O10629" s="14"/>
      <c r="P10629" s="13"/>
    </row>
    <row r="10630">
      <c r="L10630" s="13"/>
      <c r="M10630" s="14"/>
      <c r="N10630" s="14"/>
      <c r="O10630" s="14"/>
      <c r="P10630" s="13"/>
    </row>
    <row r="10631">
      <c r="L10631" s="13"/>
      <c r="M10631" s="14"/>
      <c r="N10631" s="14"/>
      <c r="O10631" s="14"/>
      <c r="P10631" s="13"/>
    </row>
    <row r="10632">
      <c r="L10632" s="13"/>
      <c r="M10632" s="14"/>
      <c r="N10632" s="14"/>
      <c r="O10632" s="14"/>
      <c r="P10632" s="13"/>
    </row>
    <row r="10633">
      <c r="L10633" s="13"/>
      <c r="M10633" s="14"/>
      <c r="N10633" s="14"/>
      <c r="O10633" s="14"/>
      <c r="P10633" s="13"/>
    </row>
    <row r="10634">
      <c r="L10634" s="13"/>
      <c r="M10634" s="14"/>
      <c r="N10634" s="14"/>
      <c r="O10634" s="14"/>
      <c r="P10634" s="13"/>
    </row>
    <row r="10635">
      <c r="L10635" s="13"/>
      <c r="M10635" s="14"/>
      <c r="N10635" s="14"/>
      <c r="O10635" s="14"/>
      <c r="P10635" s="13"/>
    </row>
    <row r="10636">
      <c r="L10636" s="13"/>
      <c r="M10636" s="14"/>
      <c r="N10636" s="14"/>
      <c r="O10636" s="14"/>
      <c r="P10636" s="13"/>
    </row>
    <row r="10637">
      <c r="L10637" s="13"/>
      <c r="M10637" s="14"/>
      <c r="N10637" s="14"/>
      <c r="O10637" s="14"/>
      <c r="P10637" s="13"/>
    </row>
    <row r="10638">
      <c r="L10638" s="13"/>
      <c r="M10638" s="14"/>
      <c r="N10638" s="14"/>
      <c r="O10638" s="14"/>
      <c r="P10638" s="13"/>
    </row>
    <row r="10639">
      <c r="L10639" s="13"/>
      <c r="M10639" s="14"/>
      <c r="N10639" s="14"/>
      <c r="O10639" s="14"/>
      <c r="P10639" s="13"/>
    </row>
    <row r="10640">
      <c r="L10640" s="13"/>
      <c r="M10640" s="14"/>
      <c r="N10640" s="14"/>
      <c r="O10640" s="14"/>
      <c r="P10640" s="13"/>
    </row>
    <row r="10641">
      <c r="L10641" s="13"/>
      <c r="M10641" s="14"/>
      <c r="N10641" s="14"/>
      <c r="O10641" s="14"/>
      <c r="P10641" s="13"/>
    </row>
    <row r="10642">
      <c r="L10642" s="13"/>
      <c r="M10642" s="14"/>
      <c r="N10642" s="14"/>
      <c r="O10642" s="14"/>
      <c r="P10642" s="13"/>
    </row>
    <row r="10643">
      <c r="L10643" s="13"/>
      <c r="M10643" s="14"/>
      <c r="N10643" s="14"/>
      <c r="O10643" s="14"/>
      <c r="P10643" s="13"/>
    </row>
    <row r="10644">
      <c r="L10644" s="13"/>
      <c r="M10644" s="14"/>
      <c r="N10644" s="14"/>
      <c r="O10644" s="14"/>
      <c r="P10644" s="13"/>
    </row>
    <row r="10645">
      <c r="L10645" s="13"/>
      <c r="M10645" s="14"/>
      <c r="N10645" s="14"/>
      <c r="O10645" s="14"/>
      <c r="P10645" s="13"/>
    </row>
    <row r="10646">
      <c r="L10646" s="13"/>
      <c r="M10646" s="14"/>
      <c r="N10646" s="14"/>
      <c r="O10646" s="14"/>
      <c r="P10646" s="13"/>
    </row>
    <row r="10647">
      <c r="L10647" s="13"/>
      <c r="M10647" s="14"/>
      <c r="N10647" s="14"/>
      <c r="O10647" s="14"/>
      <c r="P10647" s="13"/>
    </row>
    <row r="10648">
      <c r="L10648" s="13"/>
      <c r="M10648" s="14"/>
      <c r="N10648" s="14"/>
      <c r="O10648" s="14"/>
      <c r="P10648" s="13"/>
    </row>
    <row r="10649">
      <c r="L10649" s="13"/>
      <c r="M10649" s="14"/>
      <c r="N10649" s="14"/>
      <c r="O10649" s="14"/>
      <c r="P10649" s="13"/>
    </row>
    <row r="10650">
      <c r="L10650" s="13"/>
      <c r="M10650" s="14"/>
      <c r="N10650" s="14"/>
      <c r="O10650" s="14"/>
      <c r="P10650" s="13"/>
    </row>
    <row r="10651">
      <c r="L10651" s="13"/>
      <c r="M10651" s="14"/>
      <c r="N10651" s="14"/>
      <c r="O10651" s="14"/>
      <c r="P10651" s="13"/>
    </row>
    <row r="10652">
      <c r="L10652" s="13"/>
      <c r="M10652" s="14"/>
      <c r="N10652" s="14"/>
      <c r="O10652" s="14"/>
      <c r="P10652" s="13"/>
    </row>
    <row r="10653">
      <c r="L10653" s="13"/>
      <c r="M10653" s="14"/>
      <c r="N10653" s="14"/>
      <c r="O10653" s="14"/>
      <c r="P10653" s="13"/>
    </row>
    <row r="10654">
      <c r="L10654" s="13"/>
      <c r="M10654" s="14"/>
      <c r="N10654" s="14"/>
      <c r="O10654" s="14"/>
      <c r="P10654" s="13"/>
    </row>
    <row r="10655">
      <c r="L10655" s="13"/>
      <c r="M10655" s="14"/>
      <c r="N10655" s="14"/>
      <c r="O10655" s="14"/>
      <c r="P10655" s="13"/>
    </row>
    <row r="10656">
      <c r="L10656" s="13"/>
      <c r="M10656" s="14"/>
      <c r="N10656" s="14"/>
      <c r="O10656" s="14"/>
      <c r="P10656" s="13"/>
    </row>
    <row r="10657">
      <c r="L10657" s="13"/>
      <c r="M10657" s="14"/>
      <c r="N10657" s="14"/>
      <c r="O10657" s="14"/>
      <c r="P10657" s="13"/>
    </row>
    <row r="10658">
      <c r="L10658" s="13"/>
      <c r="M10658" s="14"/>
      <c r="N10658" s="14"/>
      <c r="O10658" s="14"/>
      <c r="P10658" s="13"/>
    </row>
    <row r="10659">
      <c r="L10659" s="13"/>
      <c r="M10659" s="14"/>
      <c r="N10659" s="14"/>
      <c r="O10659" s="14"/>
      <c r="P10659" s="13"/>
    </row>
    <row r="10660">
      <c r="L10660" s="13"/>
      <c r="M10660" s="14"/>
      <c r="N10660" s="14"/>
      <c r="O10660" s="14"/>
      <c r="P10660" s="13"/>
    </row>
    <row r="10661">
      <c r="L10661" s="13"/>
      <c r="M10661" s="14"/>
      <c r="N10661" s="14"/>
      <c r="O10661" s="14"/>
      <c r="P10661" s="13"/>
    </row>
    <row r="10662">
      <c r="L10662" s="13"/>
      <c r="M10662" s="14"/>
      <c r="N10662" s="14"/>
      <c r="O10662" s="14"/>
      <c r="P10662" s="13"/>
    </row>
    <row r="10663">
      <c r="L10663" s="13"/>
      <c r="M10663" s="14"/>
      <c r="N10663" s="14"/>
      <c r="O10663" s="14"/>
      <c r="P10663" s="13"/>
    </row>
    <row r="10664">
      <c r="L10664" s="13"/>
      <c r="M10664" s="14"/>
      <c r="N10664" s="14"/>
      <c r="O10664" s="14"/>
      <c r="P10664" s="13"/>
    </row>
    <row r="10665">
      <c r="L10665" s="13"/>
      <c r="M10665" s="14"/>
      <c r="N10665" s="14"/>
      <c r="O10665" s="14"/>
      <c r="P10665" s="13"/>
    </row>
    <row r="10666">
      <c r="L10666" s="13"/>
      <c r="M10666" s="14"/>
      <c r="N10666" s="14"/>
      <c r="O10666" s="14"/>
      <c r="P10666" s="13"/>
    </row>
    <row r="10667">
      <c r="L10667" s="13"/>
      <c r="M10667" s="14"/>
      <c r="N10667" s="14"/>
      <c r="O10667" s="14"/>
      <c r="P10667" s="13"/>
    </row>
    <row r="10668">
      <c r="L10668" s="13"/>
      <c r="M10668" s="14"/>
      <c r="N10668" s="14"/>
      <c r="O10668" s="14"/>
      <c r="P10668" s="13"/>
    </row>
    <row r="10669">
      <c r="L10669" s="13"/>
      <c r="M10669" s="14"/>
      <c r="N10669" s="14"/>
      <c r="O10669" s="14"/>
      <c r="P10669" s="13"/>
    </row>
    <row r="10670">
      <c r="L10670" s="13"/>
      <c r="M10670" s="14"/>
      <c r="N10670" s="14"/>
      <c r="O10670" s="14"/>
      <c r="P10670" s="13"/>
    </row>
    <row r="10671">
      <c r="L10671" s="13"/>
      <c r="M10671" s="14"/>
      <c r="N10671" s="14"/>
      <c r="O10671" s="14"/>
      <c r="P10671" s="13"/>
    </row>
    <row r="10672">
      <c r="L10672" s="13"/>
      <c r="M10672" s="14"/>
      <c r="N10672" s="14"/>
      <c r="O10672" s="14"/>
      <c r="P10672" s="13"/>
    </row>
    <row r="10673">
      <c r="L10673" s="13"/>
      <c r="M10673" s="14"/>
      <c r="N10673" s="14"/>
      <c r="O10673" s="14"/>
      <c r="P10673" s="13"/>
    </row>
    <row r="10674">
      <c r="L10674" s="13"/>
      <c r="M10674" s="14"/>
      <c r="N10674" s="14"/>
      <c r="O10674" s="14"/>
      <c r="P10674" s="13"/>
    </row>
    <row r="10675">
      <c r="L10675" s="13"/>
      <c r="M10675" s="14"/>
      <c r="N10675" s="14"/>
      <c r="O10675" s="14"/>
      <c r="P10675" s="13"/>
    </row>
    <row r="10676">
      <c r="L10676" s="13"/>
      <c r="M10676" s="14"/>
      <c r="N10676" s="14"/>
      <c r="O10676" s="14"/>
      <c r="P10676" s="13"/>
    </row>
    <row r="10677">
      <c r="L10677" s="13"/>
      <c r="M10677" s="14"/>
      <c r="N10677" s="14"/>
      <c r="O10677" s="14"/>
      <c r="P10677" s="13"/>
    </row>
    <row r="10678">
      <c r="L10678" s="13"/>
      <c r="M10678" s="14"/>
      <c r="N10678" s="14"/>
      <c r="O10678" s="14"/>
      <c r="P10678" s="13"/>
    </row>
    <row r="10679">
      <c r="L10679" s="13"/>
      <c r="M10679" s="14"/>
      <c r="N10679" s="14"/>
      <c r="O10679" s="14"/>
      <c r="P10679" s="13"/>
    </row>
    <row r="10680">
      <c r="L10680" s="13"/>
      <c r="M10680" s="14"/>
      <c r="N10680" s="14"/>
      <c r="O10680" s="14"/>
      <c r="P10680" s="13"/>
    </row>
    <row r="10681">
      <c r="L10681" s="13"/>
      <c r="M10681" s="14"/>
      <c r="N10681" s="14"/>
      <c r="O10681" s="14"/>
      <c r="P10681" s="13"/>
    </row>
    <row r="10682">
      <c r="L10682" s="13"/>
      <c r="M10682" s="14"/>
      <c r="N10682" s="14"/>
      <c r="O10682" s="14"/>
      <c r="P10682" s="13"/>
    </row>
    <row r="10683">
      <c r="L10683" s="13"/>
      <c r="M10683" s="14"/>
      <c r="N10683" s="14"/>
      <c r="O10683" s="14"/>
      <c r="P10683" s="13"/>
    </row>
    <row r="10684">
      <c r="L10684" s="13"/>
      <c r="M10684" s="14"/>
      <c r="N10684" s="14"/>
      <c r="O10684" s="14"/>
      <c r="P10684" s="13"/>
    </row>
    <row r="10685">
      <c r="L10685" s="13"/>
      <c r="M10685" s="14"/>
      <c r="N10685" s="14"/>
      <c r="O10685" s="14"/>
      <c r="P10685" s="13"/>
    </row>
    <row r="10686">
      <c r="L10686" s="13"/>
      <c r="M10686" s="14"/>
      <c r="N10686" s="14"/>
      <c r="O10686" s="14"/>
      <c r="P10686" s="13"/>
    </row>
    <row r="10687">
      <c r="L10687" s="13"/>
      <c r="M10687" s="14"/>
      <c r="N10687" s="14"/>
      <c r="O10687" s="14"/>
      <c r="P10687" s="13"/>
    </row>
    <row r="10688">
      <c r="L10688" s="13"/>
      <c r="M10688" s="14"/>
      <c r="N10688" s="14"/>
      <c r="O10688" s="14"/>
      <c r="P10688" s="13"/>
    </row>
    <row r="10689">
      <c r="L10689" s="13"/>
      <c r="M10689" s="14"/>
      <c r="N10689" s="14"/>
      <c r="O10689" s="14"/>
      <c r="P10689" s="13"/>
    </row>
    <row r="10690">
      <c r="L10690" s="13"/>
      <c r="M10690" s="14"/>
      <c r="N10690" s="14"/>
      <c r="O10690" s="14"/>
      <c r="P10690" s="13"/>
    </row>
    <row r="10691">
      <c r="L10691" s="13"/>
      <c r="M10691" s="14"/>
      <c r="N10691" s="14"/>
      <c r="O10691" s="14"/>
      <c r="P10691" s="13"/>
    </row>
    <row r="10692">
      <c r="L10692" s="13"/>
      <c r="M10692" s="14"/>
      <c r="N10692" s="14"/>
      <c r="O10692" s="14"/>
      <c r="P10692" s="13"/>
    </row>
    <row r="10693">
      <c r="L10693" s="13"/>
      <c r="M10693" s="14"/>
      <c r="N10693" s="14"/>
      <c r="O10693" s="14"/>
      <c r="P10693" s="13"/>
    </row>
    <row r="10694">
      <c r="L10694" s="13"/>
      <c r="M10694" s="14"/>
      <c r="N10694" s="14"/>
      <c r="O10694" s="14"/>
      <c r="P10694" s="13"/>
    </row>
    <row r="10695">
      <c r="L10695" s="13"/>
      <c r="M10695" s="14"/>
      <c r="N10695" s="14"/>
      <c r="O10695" s="14"/>
      <c r="P10695" s="13"/>
    </row>
    <row r="10696">
      <c r="L10696" s="13"/>
      <c r="M10696" s="14"/>
      <c r="N10696" s="14"/>
      <c r="O10696" s="14"/>
      <c r="P10696" s="13"/>
    </row>
    <row r="10697">
      <c r="L10697" s="13"/>
      <c r="M10697" s="14"/>
      <c r="N10697" s="14"/>
      <c r="O10697" s="14"/>
      <c r="P10697" s="13"/>
    </row>
    <row r="10698">
      <c r="L10698" s="13"/>
      <c r="M10698" s="14"/>
      <c r="N10698" s="14"/>
      <c r="O10698" s="14"/>
      <c r="P10698" s="13"/>
    </row>
    <row r="10699">
      <c r="L10699" s="13"/>
      <c r="M10699" s="14"/>
      <c r="N10699" s="14"/>
      <c r="O10699" s="14"/>
      <c r="P10699" s="13"/>
    </row>
    <row r="10700">
      <c r="L10700" s="13"/>
      <c r="M10700" s="14"/>
      <c r="N10700" s="14"/>
      <c r="O10700" s="14"/>
      <c r="P10700" s="13"/>
    </row>
    <row r="10701">
      <c r="L10701" s="13"/>
      <c r="M10701" s="14"/>
      <c r="N10701" s="14"/>
      <c r="O10701" s="14"/>
      <c r="P10701" s="13"/>
    </row>
    <row r="10702">
      <c r="L10702" s="13"/>
      <c r="M10702" s="14"/>
      <c r="N10702" s="14"/>
      <c r="O10702" s="14"/>
      <c r="P10702" s="13"/>
    </row>
    <row r="10703">
      <c r="L10703" s="13"/>
      <c r="M10703" s="14"/>
      <c r="N10703" s="14"/>
      <c r="O10703" s="14"/>
      <c r="P10703" s="13"/>
    </row>
    <row r="10704">
      <c r="L10704" s="13"/>
      <c r="M10704" s="14"/>
      <c r="N10704" s="14"/>
      <c r="O10704" s="14"/>
      <c r="P10704" s="13"/>
    </row>
    <row r="10705">
      <c r="L10705" s="13"/>
      <c r="M10705" s="14"/>
      <c r="N10705" s="14"/>
      <c r="O10705" s="14"/>
      <c r="P10705" s="13"/>
    </row>
    <row r="10706">
      <c r="L10706" s="13"/>
      <c r="M10706" s="14"/>
      <c r="N10706" s="14"/>
      <c r="O10706" s="14"/>
      <c r="P10706" s="13"/>
    </row>
    <row r="10707">
      <c r="L10707" s="13"/>
      <c r="M10707" s="14"/>
      <c r="N10707" s="14"/>
      <c r="O10707" s="14"/>
      <c r="P10707" s="13"/>
    </row>
    <row r="10708">
      <c r="L10708" s="13"/>
      <c r="M10708" s="14"/>
      <c r="N10708" s="14"/>
      <c r="O10708" s="14"/>
      <c r="P10708" s="13"/>
    </row>
    <row r="10709">
      <c r="L10709" s="13"/>
      <c r="M10709" s="14"/>
      <c r="N10709" s="14"/>
      <c r="O10709" s="14"/>
      <c r="P10709" s="13"/>
    </row>
    <row r="10710">
      <c r="L10710" s="13"/>
      <c r="M10710" s="14"/>
      <c r="N10710" s="14"/>
      <c r="O10710" s="14"/>
      <c r="P10710" s="13"/>
    </row>
    <row r="10711">
      <c r="L10711" s="13"/>
      <c r="M10711" s="14"/>
      <c r="N10711" s="14"/>
      <c r="O10711" s="14"/>
      <c r="P10711" s="13"/>
    </row>
    <row r="10712">
      <c r="L10712" s="13"/>
      <c r="M10712" s="14"/>
      <c r="N10712" s="14"/>
      <c r="O10712" s="14"/>
      <c r="P10712" s="13"/>
    </row>
    <row r="10713">
      <c r="L10713" s="13"/>
      <c r="M10713" s="14"/>
      <c r="N10713" s="14"/>
      <c r="O10713" s="14"/>
      <c r="P10713" s="13"/>
    </row>
    <row r="10714">
      <c r="L10714" s="13"/>
      <c r="M10714" s="14"/>
      <c r="N10714" s="14"/>
      <c r="O10714" s="14"/>
      <c r="P10714" s="13"/>
    </row>
    <row r="10715">
      <c r="L10715" s="13"/>
      <c r="M10715" s="14"/>
      <c r="N10715" s="14"/>
      <c r="O10715" s="14"/>
      <c r="P10715" s="13"/>
    </row>
    <row r="10716">
      <c r="L10716" s="13"/>
      <c r="M10716" s="14"/>
      <c r="N10716" s="14"/>
      <c r="O10716" s="14"/>
      <c r="P10716" s="13"/>
    </row>
    <row r="10717">
      <c r="L10717" s="13"/>
      <c r="M10717" s="14"/>
      <c r="N10717" s="14"/>
      <c r="O10717" s="14"/>
      <c r="P10717" s="13"/>
    </row>
    <row r="10718">
      <c r="L10718" s="13"/>
      <c r="M10718" s="14"/>
      <c r="N10718" s="14"/>
      <c r="O10718" s="14"/>
      <c r="P10718" s="13"/>
    </row>
    <row r="10719">
      <c r="L10719" s="13"/>
      <c r="M10719" s="14"/>
      <c r="N10719" s="14"/>
      <c r="O10719" s="14"/>
      <c r="P10719" s="13"/>
    </row>
    <row r="10720">
      <c r="L10720" s="13"/>
      <c r="M10720" s="14"/>
      <c r="N10720" s="14"/>
      <c r="O10720" s="14"/>
      <c r="P10720" s="13"/>
    </row>
    <row r="10721">
      <c r="L10721" s="13"/>
      <c r="M10721" s="14"/>
      <c r="N10721" s="14"/>
      <c r="O10721" s="14"/>
      <c r="P10721" s="13"/>
    </row>
    <row r="10722">
      <c r="L10722" s="13"/>
      <c r="M10722" s="14"/>
      <c r="N10722" s="14"/>
      <c r="O10722" s="14"/>
      <c r="P10722" s="13"/>
    </row>
    <row r="10723">
      <c r="L10723" s="13"/>
      <c r="M10723" s="14"/>
      <c r="N10723" s="14"/>
      <c r="O10723" s="14"/>
      <c r="P10723" s="13"/>
    </row>
    <row r="10724">
      <c r="L10724" s="13"/>
      <c r="M10724" s="14"/>
      <c r="N10724" s="14"/>
      <c r="O10724" s="14"/>
      <c r="P10724" s="13"/>
    </row>
    <row r="10725">
      <c r="L10725" s="13"/>
      <c r="M10725" s="14"/>
      <c r="N10725" s="14"/>
      <c r="O10725" s="14"/>
      <c r="P10725" s="13"/>
    </row>
    <row r="10726">
      <c r="L10726" s="13"/>
      <c r="M10726" s="14"/>
      <c r="N10726" s="14"/>
      <c r="O10726" s="14"/>
      <c r="P10726" s="13"/>
    </row>
    <row r="10727">
      <c r="L10727" s="13"/>
      <c r="M10727" s="14"/>
      <c r="N10727" s="14"/>
      <c r="O10727" s="14"/>
      <c r="P10727" s="13"/>
    </row>
    <row r="10728">
      <c r="L10728" s="13"/>
      <c r="M10728" s="14"/>
      <c r="N10728" s="14"/>
      <c r="O10728" s="14"/>
      <c r="P10728" s="13"/>
    </row>
    <row r="10729">
      <c r="L10729" s="13"/>
      <c r="M10729" s="14"/>
      <c r="N10729" s="14"/>
      <c r="O10729" s="14"/>
      <c r="P10729" s="13"/>
    </row>
    <row r="10730">
      <c r="L10730" s="13"/>
      <c r="M10730" s="14"/>
      <c r="N10730" s="14"/>
      <c r="O10730" s="14"/>
      <c r="P10730" s="13"/>
    </row>
    <row r="10731">
      <c r="L10731" s="13"/>
      <c r="M10731" s="14"/>
      <c r="N10731" s="14"/>
      <c r="O10731" s="14"/>
      <c r="P10731" s="13"/>
    </row>
    <row r="10732">
      <c r="L10732" s="13"/>
      <c r="M10732" s="14"/>
      <c r="N10732" s="14"/>
      <c r="O10732" s="14"/>
      <c r="P10732" s="13"/>
    </row>
    <row r="10733">
      <c r="L10733" s="13"/>
      <c r="M10733" s="14"/>
      <c r="N10733" s="14"/>
      <c r="O10733" s="14"/>
      <c r="P10733" s="13"/>
    </row>
    <row r="10734">
      <c r="L10734" s="13"/>
      <c r="M10734" s="14"/>
      <c r="N10734" s="14"/>
      <c r="O10734" s="14"/>
      <c r="P10734" s="13"/>
    </row>
    <row r="10735">
      <c r="L10735" s="13"/>
      <c r="M10735" s="14"/>
      <c r="N10735" s="14"/>
      <c r="O10735" s="14"/>
      <c r="P10735" s="13"/>
    </row>
    <row r="10736">
      <c r="L10736" s="13"/>
      <c r="M10736" s="14"/>
      <c r="N10736" s="14"/>
      <c r="O10736" s="14"/>
      <c r="P10736" s="13"/>
    </row>
    <row r="10737">
      <c r="L10737" s="13"/>
      <c r="M10737" s="14"/>
      <c r="N10737" s="14"/>
      <c r="O10737" s="14"/>
      <c r="P10737" s="13"/>
    </row>
    <row r="10738">
      <c r="L10738" s="13"/>
      <c r="M10738" s="14"/>
      <c r="N10738" s="14"/>
      <c r="O10738" s="14"/>
      <c r="P10738" s="13"/>
    </row>
    <row r="10739">
      <c r="L10739" s="13"/>
      <c r="M10739" s="14"/>
      <c r="N10739" s="14"/>
      <c r="O10739" s="14"/>
      <c r="P10739" s="13"/>
    </row>
    <row r="10740">
      <c r="L10740" s="13"/>
      <c r="M10740" s="14"/>
      <c r="N10740" s="14"/>
      <c r="O10740" s="14"/>
      <c r="P10740" s="13"/>
    </row>
    <row r="10741">
      <c r="L10741" s="13"/>
      <c r="M10741" s="14"/>
      <c r="N10741" s="14"/>
      <c r="O10741" s="14"/>
      <c r="P10741" s="13"/>
    </row>
    <row r="10742">
      <c r="L10742" s="13"/>
      <c r="M10742" s="14"/>
      <c r="N10742" s="14"/>
      <c r="O10742" s="14"/>
      <c r="P10742" s="13"/>
    </row>
    <row r="10743">
      <c r="L10743" s="13"/>
      <c r="M10743" s="14"/>
      <c r="N10743" s="14"/>
      <c r="O10743" s="14"/>
      <c r="P10743" s="13"/>
    </row>
    <row r="10744">
      <c r="L10744" s="13"/>
      <c r="M10744" s="14"/>
      <c r="N10744" s="14"/>
      <c r="O10744" s="14"/>
      <c r="P10744" s="13"/>
    </row>
    <row r="10745">
      <c r="L10745" s="13"/>
      <c r="M10745" s="14"/>
      <c r="N10745" s="14"/>
      <c r="O10745" s="14"/>
      <c r="P10745" s="13"/>
    </row>
    <row r="10746">
      <c r="L10746" s="13"/>
      <c r="M10746" s="14"/>
      <c r="N10746" s="14"/>
      <c r="O10746" s="14"/>
      <c r="P10746" s="13"/>
    </row>
    <row r="10747">
      <c r="L10747" s="13"/>
      <c r="M10747" s="14"/>
      <c r="N10747" s="14"/>
      <c r="O10747" s="14"/>
      <c r="P10747" s="13"/>
    </row>
    <row r="10748">
      <c r="L10748" s="13"/>
      <c r="M10748" s="14"/>
      <c r="N10748" s="14"/>
      <c r="O10748" s="14"/>
      <c r="P10748" s="13"/>
    </row>
    <row r="10749">
      <c r="L10749" s="13"/>
      <c r="M10749" s="14"/>
      <c r="N10749" s="14"/>
      <c r="O10749" s="14"/>
      <c r="P10749" s="13"/>
    </row>
    <row r="10750">
      <c r="L10750" s="13"/>
      <c r="M10750" s="14"/>
      <c r="N10750" s="14"/>
      <c r="O10750" s="14"/>
      <c r="P10750" s="13"/>
    </row>
    <row r="10751">
      <c r="L10751" s="13"/>
      <c r="M10751" s="14"/>
      <c r="N10751" s="14"/>
      <c r="O10751" s="14"/>
      <c r="P10751" s="13"/>
    </row>
    <row r="10752">
      <c r="L10752" s="13"/>
      <c r="M10752" s="14"/>
      <c r="N10752" s="14"/>
      <c r="O10752" s="14"/>
      <c r="P10752" s="13"/>
    </row>
    <row r="10753">
      <c r="L10753" s="13"/>
      <c r="M10753" s="14"/>
      <c r="N10753" s="14"/>
      <c r="O10753" s="14"/>
      <c r="P10753" s="13"/>
    </row>
    <row r="10754">
      <c r="L10754" s="13"/>
      <c r="M10754" s="14"/>
      <c r="N10754" s="14"/>
      <c r="O10754" s="14"/>
      <c r="P10754" s="13"/>
    </row>
    <row r="10755">
      <c r="L10755" s="13"/>
      <c r="M10755" s="14"/>
      <c r="N10755" s="14"/>
      <c r="O10755" s="14"/>
      <c r="P10755" s="13"/>
    </row>
    <row r="10756">
      <c r="L10756" s="13"/>
      <c r="M10756" s="14"/>
      <c r="N10756" s="14"/>
      <c r="O10756" s="14"/>
      <c r="P10756" s="13"/>
    </row>
    <row r="10757">
      <c r="L10757" s="13"/>
      <c r="M10757" s="14"/>
      <c r="N10757" s="14"/>
      <c r="O10757" s="14"/>
      <c r="P10757" s="13"/>
    </row>
    <row r="10758">
      <c r="L10758" s="13"/>
      <c r="M10758" s="14"/>
      <c r="N10758" s="14"/>
      <c r="O10758" s="14"/>
      <c r="P10758" s="13"/>
    </row>
    <row r="10759">
      <c r="L10759" s="13"/>
      <c r="M10759" s="14"/>
      <c r="N10759" s="14"/>
      <c r="O10759" s="14"/>
      <c r="P10759" s="13"/>
    </row>
    <row r="10760">
      <c r="L10760" s="13"/>
      <c r="M10760" s="14"/>
      <c r="N10760" s="14"/>
      <c r="O10760" s="14"/>
      <c r="P10760" s="13"/>
    </row>
    <row r="10761">
      <c r="L10761" s="13"/>
      <c r="M10761" s="14"/>
      <c r="N10761" s="14"/>
      <c r="O10761" s="14"/>
      <c r="P10761" s="13"/>
    </row>
    <row r="10762">
      <c r="L10762" s="13"/>
      <c r="M10762" s="14"/>
      <c r="N10762" s="14"/>
      <c r="O10762" s="14"/>
      <c r="P10762" s="13"/>
    </row>
    <row r="10763">
      <c r="L10763" s="13"/>
      <c r="M10763" s="14"/>
      <c r="N10763" s="14"/>
      <c r="O10763" s="14"/>
      <c r="P10763" s="13"/>
    </row>
    <row r="10764">
      <c r="L10764" s="13"/>
      <c r="M10764" s="14"/>
      <c r="N10764" s="14"/>
      <c r="O10764" s="14"/>
      <c r="P10764" s="13"/>
    </row>
    <row r="10765">
      <c r="L10765" s="13"/>
      <c r="M10765" s="14"/>
      <c r="N10765" s="14"/>
      <c r="O10765" s="14"/>
      <c r="P10765" s="13"/>
    </row>
    <row r="10766">
      <c r="L10766" s="13"/>
      <c r="M10766" s="14"/>
      <c r="N10766" s="14"/>
      <c r="O10766" s="14"/>
      <c r="P10766" s="13"/>
    </row>
    <row r="10767">
      <c r="L10767" s="13"/>
      <c r="M10767" s="14"/>
      <c r="N10767" s="14"/>
      <c r="O10767" s="14"/>
      <c r="P10767" s="13"/>
    </row>
    <row r="10768">
      <c r="L10768" s="13"/>
      <c r="M10768" s="14"/>
      <c r="N10768" s="14"/>
      <c r="O10768" s="14"/>
      <c r="P10768" s="13"/>
    </row>
    <row r="10769">
      <c r="L10769" s="13"/>
      <c r="M10769" s="14"/>
      <c r="N10769" s="14"/>
      <c r="O10769" s="14"/>
      <c r="P10769" s="13"/>
    </row>
    <row r="10770">
      <c r="L10770" s="13"/>
      <c r="M10770" s="14"/>
      <c r="N10770" s="14"/>
      <c r="O10770" s="14"/>
      <c r="P10770" s="13"/>
    </row>
    <row r="10771">
      <c r="L10771" s="13"/>
      <c r="M10771" s="14"/>
      <c r="N10771" s="14"/>
      <c r="O10771" s="14"/>
      <c r="P10771" s="13"/>
    </row>
    <row r="10772">
      <c r="L10772" s="13"/>
      <c r="M10772" s="14"/>
      <c r="N10772" s="14"/>
      <c r="O10772" s="14"/>
      <c r="P10772" s="13"/>
    </row>
    <row r="10773">
      <c r="L10773" s="13"/>
      <c r="M10773" s="14"/>
      <c r="N10773" s="14"/>
      <c r="O10773" s="14"/>
      <c r="P10773" s="13"/>
    </row>
    <row r="10774">
      <c r="L10774" s="13"/>
      <c r="M10774" s="14"/>
      <c r="N10774" s="14"/>
      <c r="O10774" s="14"/>
      <c r="P10774" s="13"/>
    </row>
    <row r="10775">
      <c r="L10775" s="13"/>
      <c r="M10775" s="14"/>
      <c r="N10775" s="14"/>
      <c r="O10775" s="14"/>
      <c r="P10775" s="13"/>
    </row>
    <row r="10776">
      <c r="L10776" s="13"/>
      <c r="M10776" s="14"/>
      <c r="N10776" s="14"/>
      <c r="O10776" s="14"/>
      <c r="P10776" s="13"/>
    </row>
    <row r="10777">
      <c r="L10777" s="13"/>
      <c r="M10777" s="14"/>
      <c r="N10777" s="14"/>
      <c r="O10777" s="14"/>
      <c r="P10777" s="13"/>
    </row>
    <row r="10778">
      <c r="L10778" s="13"/>
      <c r="M10778" s="14"/>
      <c r="N10778" s="14"/>
      <c r="O10778" s="14"/>
      <c r="P10778" s="13"/>
    </row>
    <row r="10779">
      <c r="L10779" s="13"/>
      <c r="M10779" s="14"/>
      <c r="N10779" s="14"/>
      <c r="O10779" s="14"/>
      <c r="P10779" s="13"/>
    </row>
    <row r="10780">
      <c r="L10780" s="13"/>
      <c r="M10780" s="14"/>
      <c r="N10780" s="14"/>
      <c r="O10780" s="14"/>
      <c r="P10780" s="13"/>
    </row>
    <row r="10781">
      <c r="L10781" s="13"/>
      <c r="M10781" s="14"/>
      <c r="N10781" s="14"/>
      <c r="O10781" s="14"/>
      <c r="P10781" s="13"/>
    </row>
    <row r="10782">
      <c r="L10782" s="13"/>
      <c r="M10782" s="14"/>
      <c r="N10782" s="14"/>
      <c r="O10782" s="14"/>
      <c r="P10782" s="13"/>
    </row>
    <row r="10783">
      <c r="L10783" s="13"/>
      <c r="M10783" s="14"/>
      <c r="N10783" s="14"/>
      <c r="O10783" s="14"/>
      <c r="P10783" s="13"/>
    </row>
    <row r="10784">
      <c r="L10784" s="13"/>
      <c r="M10784" s="14"/>
      <c r="N10784" s="14"/>
      <c r="O10784" s="14"/>
      <c r="P10784" s="13"/>
    </row>
    <row r="10785">
      <c r="L10785" s="13"/>
      <c r="M10785" s="14"/>
      <c r="N10785" s="14"/>
      <c r="O10785" s="14"/>
      <c r="P10785" s="13"/>
    </row>
    <row r="10786">
      <c r="L10786" s="13"/>
      <c r="M10786" s="14"/>
      <c r="N10786" s="14"/>
      <c r="O10786" s="14"/>
      <c r="P10786" s="13"/>
    </row>
    <row r="10787">
      <c r="L10787" s="13"/>
      <c r="M10787" s="14"/>
      <c r="N10787" s="14"/>
      <c r="O10787" s="14"/>
      <c r="P10787" s="13"/>
    </row>
    <row r="10788">
      <c r="L10788" s="13"/>
      <c r="M10788" s="14"/>
      <c r="N10788" s="14"/>
      <c r="O10788" s="14"/>
      <c r="P10788" s="13"/>
    </row>
    <row r="10789">
      <c r="L10789" s="13"/>
      <c r="M10789" s="14"/>
      <c r="N10789" s="14"/>
      <c r="O10789" s="14"/>
      <c r="P10789" s="13"/>
    </row>
    <row r="10790">
      <c r="L10790" s="13"/>
      <c r="M10790" s="14"/>
      <c r="N10790" s="14"/>
      <c r="O10790" s="14"/>
      <c r="P10790" s="13"/>
    </row>
    <row r="10791">
      <c r="L10791" s="13"/>
      <c r="M10791" s="14"/>
      <c r="N10791" s="14"/>
      <c r="O10791" s="14"/>
      <c r="P10791" s="13"/>
    </row>
    <row r="10792">
      <c r="L10792" s="13"/>
      <c r="M10792" s="14"/>
      <c r="N10792" s="14"/>
      <c r="O10792" s="14"/>
      <c r="P10792" s="13"/>
    </row>
    <row r="10793">
      <c r="L10793" s="13"/>
      <c r="M10793" s="14"/>
      <c r="N10793" s="14"/>
      <c r="O10793" s="14"/>
      <c r="P10793" s="13"/>
    </row>
    <row r="10794">
      <c r="L10794" s="13"/>
      <c r="M10794" s="14"/>
      <c r="N10794" s="14"/>
      <c r="O10794" s="14"/>
      <c r="P10794" s="13"/>
    </row>
    <row r="10795">
      <c r="L10795" s="13"/>
      <c r="M10795" s="14"/>
      <c r="N10795" s="14"/>
      <c r="O10795" s="14"/>
      <c r="P10795" s="13"/>
    </row>
    <row r="10796">
      <c r="L10796" s="13"/>
      <c r="M10796" s="14"/>
      <c r="N10796" s="14"/>
      <c r="O10796" s="14"/>
      <c r="P10796" s="13"/>
    </row>
    <row r="10797">
      <c r="L10797" s="13"/>
      <c r="M10797" s="14"/>
      <c r="N10797" s="14"/>
      <c r="O10797" s="14"/>
      <c r="P10797" s="13"/>
    </row>
    <row r="10798">
      <c r="L10798" s="13"/>
      <c r="M10798" s="14"/>
      <c r="N10798" s="14"/>
      <c r="O10798" s="14"/>
      <c r="P10798" s="13"/>
    </row>
    <row r="10799">
      <c r="L10799" s="13"/>
      <c r="M10799" s="14"/>
      <c r="N10799" s="14"/>
      <c r="O10799" s="14"/>
      <c r="P10799" s="13"/>
    </row>
    <row r="10800">
      <c r="L10800" s="13"/>
      <c r="M10800" s="14"/>
      <c r="N10800" s="14"/>
      <c r="O10800" s="14"/>
      <c r="P10800" s="13"/>
    </row>
    <row r="10801">
      <c r="L10801" s="13"/>
      <c r="M10801" s="14"/>
      <c r="N10801" s="14"/>
      <c r="O10801" s="14"/>
      <c r="P10801" s="13"/>
    </row>
    <row r="10802">
      <c r="L10802" s="13"/>
      <c r="M10802" s="14"/>
      <c r="N10802" s="14"/>
      <c r="O10802" s="14"/>
      <c r="P10802" s="13"/>
    </row>
    <row r="10803">
      <c r="L10803" s="13"/>
      <c r="M10803" s="14"/>
      <c r="N10803" s="14"/>
      <c r="O10803" s="14"/>
      <c r="P10803" s="13"/>
    </row>
    <row r="10804">
      <c r="L10804" s="13"/>
      <c r="M10804" s="14"/>
      <c r="N10804" s="14"/>
      <c r="O10804" s="14"/>
      <c r="P10804" s="13"/>
    </row>
    <row r="10805">
      <c r="L10805" s="13"/>
      <c r="M10805" s="14"/>
      <c r="N10805" s="14"/>
      <c r="O10805" s="14"/>
      <c r="P10805" s="13"/>
    </row>
    <row r="10806">
      <c r="L10806" s="13"/>
      <c r="M10806" s="14"/>
      <c r="N10806" s="14"/>
      <c r="O10806" s="14"/>
      <c r="P10806" s="13"/>
    </row>
    <row r="10807">
      <c r="L10807" s="13"/>
      <c r="M10807" s="14"/>
      <c r="N10807" s="14"/>
      <c r="O10807" s="14"/>
      <c r="P10807" s="13"/>
    </row>
    <row r="10808">
      <c r="L10808" s="13"/>
      <c r="M10808" s="14"/>
      <c r="N10808" s="14"/>
      <c r="O10808" s="14"/>
      <c r="P10808" s="13"/>
    </row>
    <row r="10809">
      <c r="L10809" s="13"/>
      <c r="M10809" s="14"/>
      <c r="N10809" s="14"/>
      <c r="O10809" s="14"/>
      <c r="P10809" s="13"/>
    </row>
    <row r="10810">
      <c r="L10810" s="13"/>
      <c r="M10810" s="14"/>
      <c r="N10810" s="14"/>
      <c r="O10810" s="14"/>
      <c r="P10810" s="13"/>
    </row>
    <row r="10811">
      <c r="L10811" s="13"/>
      <c r="M10811" s="14"/>
      <c r="N10811" s="14"/>
      <c r="O10811" s="14"/>
      <c r="P10811" s="13"/>
    </row>
    <row r="10812">
      <c r="L10812" s="13"/>
      <c r="M10812" s="14"/>
      <c r="N10812" s="14"/>
      <c r="O10812" s="14"/>
      <c r="P10812" s="13"/>
    </row>
    <row r="10813">
      <c r="L10813" s="13"/>
      <c r="M10813" s="14"/>
      <c r="N10813" s="14"/>
      <c r="O10813" s="14"/>
      <c r="P10813" s="13"/>
    </row>
    <row r="10814">
      <c r="L10814" s="13"/>
      <c r="M10814" s="14"/>
      <c r="N10814" s="14"/>
      <c r="O10814" s="14"/>
      <c r="P10814" s="13"/>
    </row>
    <row r="10815">
      <c r="L10815" s="13"/>
      <c r="M10815" s="14"/>
      <c r="N10815" s="14"/>
      <c r="O10815" s="14"/>
      <c r="P10815" s="13"/>
    </row>
    <row r="10816">
      <c r="L10816" s="13"/>
      <c r="M10816" s="14"/>
      <c r="N10816" s="14"/>
      <c r="O10816" s="14"/>
      <c r="P10816" s="13"/>
    </row>
    <row r="10817">
      <c r="L10817" s="13"/>
      <c r="M10817" s="14"/>
      <c r="N10817" s="14"/>
      <c r="O10817" s="14"/>
      <c r="P10817" s="13"/>
    </row>
    <row r="10818">
      <c r="L10818" s="13"/>
      <c r="M10818" s="14"/>
      <c r="N10818" s="14"/>
      <c r="O10818" s="14"/>
      <c r="P10818" s="13"/>
    </row>
    <row r="10819">
      <c r="L10819" s="13"/>
      <c r="M10819" s="14"/>
      <c r="N10819" s="14"/>
      <c r="O10819" s="14"/>
      <c r="P10819" s="13"/>
    </row>
    <row r="10820">
      <c r="L10820" s="13"/>
      <c r="M10820" s="14"/>
      <c r="N10820" s="14"/>
      <c r="O10820" s="14"/>
      <c r="P10820" s="13"/>
    </row>
    <row r="10821">
      <c r="L10821" s="13"/>
      <c r="M10821" s="14"/>
      <c r="N10821" s="14"/>
      <c r="O10821" s="14"/>
      <c r="P10821" s="13"/>
    </row>
    <row r="10822">
      <c r="L10822" s="13"/>
      <c r="M10822" s="14"/>
      <c r="N10822" s="14"/>
      <c r="O10822" s="14"/>
      <c r="P10822" s="13"/>
    </row>
    <row r="10823">
      <c r="L10823" s="13"/>
      <c r="M10823" s="14"/>
      <c r="N10823" s="14"/>
      <c r="O10823" s="14"/>
      <c r="P10823" s="13"/>
    </row>
    <row r="10824">
      <c r="L10824" s="13"/>
      <c r="M10824" s="14"/>
      <c r="N10824" s="14"/>
      <c r="O10824" s="14"/>
      <c r="P10824" s="13"/>
    </row>
    <row r="10825">
      <c r="L10825" s="13"/>
      <c r="M10825" s="14"/>
      <c r="N10825" s="14"/>
      <c r="O10825" s="14"/>
      <c r="P10825" s="13"/>
    </row>
    <row r="10826">
      <c r="L10826" s="13"/>
      <c r="M10826" s="14"/>
      <c r="N10826" s="14"/>
      <c r="O10826" s="14"/>
      <c r="P10826" s="13"/>
    </row>
    <row r="10827">
      <c r="L10827" s="13"/>
      <c r="M10827" s="14"/>
      <c r="N10827" s="14"/>
      <c r="O10827" s="14"/>
      <c r="P10827" s="13"/>
    </row>
    <row r="10828">
      <c r="L10828" s="13"/>
      <c r="M10828" s="14"/>
      <c r="N10828" s="14"/>
      <c r="O10828" s="14"/>
      <c r="P10828" s="13"/>
    </row>
    <row r="10829">
      <c r="L10829" s="13"/>
      <c r="M10829" s="14"/>
      <c r="N10829" s="14"/>
      <c r="O10829" s="14"/>
      <c r="P10829" s="13"/>
    </row>
    <row r="10830">
      <c r="L10830" s="13"/>
      <c r="M10830" s="14"/>
      <c r="N10830" s="14"/>
      <c r="O10830" s="14"/>
      <c r="P10830" s="13"/>
    </row>
    <row r="10831">
      <c r="L10831" s="13"/>
      <c r="M10831" s="14"/>
      <c r="N10831" s="14"/>
      <c r="O10831" s="14"/>
      <c r="P10831" s="13"/>
    </row>
    <row r="10832">
      <c r="L10832" s="13"/>
      <c r="M10832" s="14"/>
      <c r="N10832" s="14"/>
      <c r="O10832" s="14"/>
      <c r="P10832" s="13"/>
    </row>
    <row r="10833">
      <c r="L10833" s="13"/>
      <c r="M10833" s="14"/>
      <c r="N10833" s="14"/>
      <c r="O10833" s="14"/>
      <c r="P10833" s="13"/>
    </row>
    <row r="10834">
      <c r="L10834" s="13"/>
      <c r="M10834" s="14"/>
      <c r="N10834" s="14"/>
      <c r="O10834" s="14"/>
      <c r="P10834" s="13"/>
    </row>
    <row r="10835">
      <c r="L10835" s="13"/>
      <c r="M10835" s="14"/>
      <c r="N10835" s="14"/>
      <c r="O10835" s="14"/>
      <c r="P10835" s="13"/>
    </row>
    <row r="10836">
      <c r="L10836" s="13"/>
      <c r="M10836" s="14"/>
      <c r="N10836" s="14"/>
      <c r="O10836" s="14"/>
      <c r="P10836" s="13"/>
    </row>
    <row r="10837">
      <c r="L10837" s="13"/>
      <c r="M10837" s="14"/>
      <c r="N10837" s="14"/>
      <c r="O10837" s="14"/>
      <c r="P10837" s="13"/>
    </row>
    <row r="10838">
      <c r="L10838" s="13"/>
      <c r="M10838" s="14"/>
      <c r="N10838" s="14"/>
      <c r="O10838" s="14"/>
      <c r="P10838" s="13"/>
    </row>
    <row r="10839">
      <c r="L10839" s="13"/>
      <c r="M10839" s="14"/>
      <c r="N10839" s="14"/>
      <c r="O10839" s="14"/>
      <c r="P10839" s="13"/>
    </row>
    <row r="10840">
      <c r="L10840" s="13"/>
      <c r="M10840" s="14"/>
      <c r="N10840" s="14"/>
      <c r="O10840" s="14"/>
      <c r="P10840" s="13"/>
    </row>
    <row r="10841">
      <c r="L10841" s="13"/>
      <c r="M10841" s="14"/>
      <c r="N10841" s="14"/>
      <c r="O10841" s="14"/>
      <c r="P10841" s="13"/>
    </row>
    <row r="10842">
      <c r="L10842" s="13"/>
      <c r="M10842" s="14"/>
      <c r="N10842" s="14"/>
      <c r="O10842" s="14"/>
      <c r="P10842" s="13"/>
    </row>
    <row r="10843">
      <c r="L10843" s="13"/>
      <c r="M10843" s="14"/>
      <c r="N10843" s="14"/>
      <c r="O10843" s="14"/>
      <c r="P10843" s="13"/>
    </row>
    <row r="10844">
      <c r="L10844" s="13"/>
      <c r="M10844" s="14"/>
      <c r="N10844" s="14"/>
      <c r="O10844" s="14"/>
      <c r="P10844" s="13"/>
    </row>
    <row r="10845">
      <c r="L10845" s="13"/>
      <c r="M10845" s="14"/>
      <c r="N10845" s="14"/>
      <c r="O10845" s="14"/>
      <c r="P10845" s="13"/>
    </row>
    <row r="10846">
      <c r="L10846" s="13"/>
      <c r="M10846" s="14"/>
      <c r="N10846" s="14"/>
      <c r="O10846" s="14"/>
      <c r="P10846" s="13"/>
    </row>
    <row r="10847">
      <c r="L10847" s="13"/>
      <c r="M10847" s="14"/>
      <c r="N10847" s="14"/>
      <c r="O10847" s="14"/>
      <c r="P10847" s="13"/>
    </row>
    <row r="10848">
      <c r="L10848" s="13"/>
      <c r="M10848" s="14"/>
      <c r="N10848" s="14"/>
      <c r="O10848" s="14"/>
      <c r="P10848" s="13"/>
    </row>
    <row r="10849">
      <c r="L10849" s="13"/>
      <c r="M10849" s="14"/>
      <c r="N10849" s="14"/>
      <c r="O10849" s="14"/>
      <c r="P10849" s="13"/>
    </row>
    <row r="10850">
      <c r="L10850" s="13"/>
      <c r="M10850" s="14"/>
      <c r="N10850" s="14"/>
      <c r="O10850" s="14"/>
      <c r="P10850" s="13"/>
    </row>
    <row r="10851">
      <c r="L10851" s="13"/>
      <c r="M10851" s="14"/>
      <c r="N10851" s="14"/>
      <c r="O10851" s="14"/>
      <c r="P10851" s="13"/>
    </row>
    <row r="10852">
      <c r="L10852" s="13"/>
      <c r="M10852" s="14"/>
      <c r="N10852" s="14"/>
      <c r="O10852" s="14"/>
      <c r="P10852" s="13"/>
    </row>
    <row r="10853">
      <c r="L10853" s="13"/>
      <c r="M10853" s="14"/>
      <c r="N10853" s="14"/>
      <c r="O10853" s="14"/>
      <c r="P10853" s="13"/>
    </row>
    <row r="10854">
      <c r="L10854" s="13"/>
      <c r="M10854" s="14"/>
      <c r="N10854" s="14"/>
      <c r="O10854" s="14"/>
      <c r="P10854" s="13"/>
    </row>
    <row r="10855">
      <c r="L10855" s="13"/>
      <c r="M10855" s="14"/>
      <c r="N10855" s="14"/>
      <c r="O10855" s="14"/>
      <c r="P10855" s="13"/>
    </row>
    <row r="10856">
      <c r="L10856" s="13"/>
      <c r="M10856" s="14"/>
      <c r="N10856" s="14"/>
      <c r="O10856" s="14"/>
      <c r="P10856" s="13"/>
    </row>
    <row r="10857">
      <c r="L10857" s="13"/>
      <c r="M10857" s="14"/>
      <c r="N10857" s="14"/>
      <c r="O10857" s="14"/>
      <c r="P10857" s="13"/>
    </row>
    <row r="10858">
      <c r="L10858" s="13"/>
      <c r="M10858" s="14"/>
      <c r="N10858" s="14"/>
      <c r="O10858" s="14"/>
      <c r="P10858" s="13"/>
    </row>
    <row r="10859">
      <c r="L10859" s="13"/>
      <c r="M10859" s="14"/>
      <c r="N10859" s="14"/>
      <c r="O10859" s="14"/>
      <c r="P10859" s="13"/>
    </row>
    <row r="10860">
      <c r="L10860" s="13"/>
      <c r="M10860" s="14"/>
      <c r="N10860" s="14"/>
      <c r="O10860" s="14"/>
      <c r="P10860" s="13"/>
    </row>
    <row r="10861">
      <c r="L10861" s="13"/>
      <c r="M10861" s="14"/>
      <c r="N10861" s="14"/>
      <c r="O10861" s="14"/>
      <c r="P10861" s="13"/>
    </row>
    <row r="10862">
      <c r="L10862" s="13"/>
      <c r="M10862" s="14"/>
      <c r="N10862" s="14"/>
      <c r="O10862" s="14"/>
      <c r="P10862" s="13"/>
    </row>
    <row r="10863">
      <c r="L10863" s="13"/>
      <c r="M10863" s="14"/>
      <c r="N10863" s="14"/>
      <c r="O10863" s="14"/>
      <c r="P10863" s="13"/>
    </row>
    <row r="10864">
      <c r="L10864" s="13"/>
      <c r="M10864" s="14"/>
      <c r="N10864" s="14"/>
      <c r="O10864" s="14"/>
      <c r="P10864" s="13"/>
    </row>
    <row r="10865">
      <c r="L10865" s="13"/>
      <c r="M10865" s="14"/>
      <c r="N10865" s="14"/>
      <c r="O10865" s="14"/>
      <c r="P10865" s="13"/>
    </row>
    <row r="10866">
      <c r="L10866" s="13"/>
      <c r="M10866" s="14"/>
      <c r="N10866" s="14"/>
      <c r="O10866" s="14"/>
      <c r="P10866" s="13"/>
    </row>
    <row r="10867">
      <c r="L10867" s="13"/>
      <c r="M10867" s="14"/>
      <c r="N10867" s="14"/>
      <c r="O10867" s="14"/>
      <c r="P10867" s="13"/>
    </row>
    <row r="10868">
      <c r="L10868" s="13"/>
      <c r="M10868" s="14"/>
      <c r="N10868" s="14"/>
      <c r="O10868" s="14"/>
      <c r="P10868" s="13"/>
    </row>
    <row r="10869">
      <c r="L10869" s="13"/>
      <c r="M10869" s="14"/>
      <c r="N10869" s="14"/>
      <c r="O10869" s="14"/>
      <c r="P10869" s="13"/>
    </row>
    <row r="10870">
      <c r="L10870" s="13"/>
      <c r="M10870" s="14"/>
      <c r="N10870" s="14"/>
      <c r="O10870" s="14"/>
      <c r="P10870" s="13"/>
    </row>
    <row r="10871">
      <c r="L10871" s="13"/>
      <c r="M10871" s="14"/>
      <c r="N10871" s="14"/>
      <c r="O10871" s="14"/>
      <c r="P10871" s="13"/>
    </row>
    <row r="10872">
      <c r="L10872" s="13"/>
      <c r="M10872" s="14"/>
      <c r="N10872" s="14"/>
      <c r="O10872" s="14"/>
      <c r="P10872" s="13"/>
    </row>
    <row r="10873">
      <c r="L10873" s="13"/>
      <c r="M10873" s="14"/>
      <c r="N10873" s="14"/>
      <c r="O10873" s="14"/>
      <c r="P10873" s="13"/>
    </row>
    <row r="10874">
      <c r="L10874" s="13"/>
      <c r="M10874" s="14"/>
      <c r="N10874" s="14"/>
      <c r="O10874" s="14"/>
      <c r="P10874" s="13"/>
    </row>
    <row r="10875">
      <c r="L10875" s="13"/>
      <c r="M10875" s="14"/>
      <c r="N10875" s="14"/>
      <c r="O10875" s="14"/>
      <c r="P10875" s="13"/>
    </row>
    <row r="10876">
      <c r="L10876" s="13"/>
      <c r="M10876" s="14"/>
      <c r="N10876" s="14"/>
      <c r="O10876" s="14"/>
      <c r="P10876" s="13"/>
    </row>
    <row r="10877">
      <c r="L10877" s="13"/>
      <c r="M10877" s="14"/>
      <c r="N10877" s="14"/>
      <c r="O10877" s="14"/>
      <c r="P10877" s="13"/>
    </row>
    <row r="10878">
      <c r="L10878" s="13"/>
      <c r="M10878" s="14"/>
      <c r="N10878" s="14"/>
      <c r="O10878" s="14"/>
      <c r="P10878" s="13"/>
    </row>
    <row r="10879">
      <c r="L10879" s="13"/>
      <c r="M10879" s="14"/>
      <c r="N10879" s="14"/>
      <c r="O10879" s="14"/>
      <c r="P10879" s="13"/>
    </row>
    <row r="10880">
      <c r="L10880" s="13"/>
      <c r="M10880" s="14"/>
      <c r="N10880" s="14"/>
      <c r="O10880" s="14"/>
      <c r="P10880" s="13"/>
    </row>
    <row r="10881">
      <c r="L10881" s="13"/>
      <c r="M10881" s="14"/>
      <c r="N10881" s="14"/>
      <c r="O10881" s="14"/>
      <c r="P10881" s="13"/>
    </row>
    <row r="10882">
      <c r="L10882" s="13"/>
      <c r="M10882" s="14"/>
      <c r="N10882" s="14"/>
      <c r="O10882" s="14"/>
      <c r="P10882" s="13"/>
    </row>
    <row r="10883">
      <c r="L10883" s="13"/>
      <c r="M10883" s="14"/>
      <c r="N10883" s="14"/>
      <c r="O10883" s="14"/>
      <c r="P10883" s="13"/>
    </row>
    <row r="10884">
      <c r="L10884" s="13"/>
      <c r="M10884" s="14"/>
      <c r="N10884" s="14"/>
      <c r="O10884" s="14"/>
      <c r="P10884" s="13"/>
    </row>
    <row r="10885">
      <c r="L10885" s="13"/>
      <c r="M10885" s="14"/>
      <c r="N10885" s="14"/>
      <c r="O10885" s="14"/>
      <c r="P10885" s="13"/>
    </row>
    <row r="10886">
      <c r="L10886" s="13"/>
      <c r="M10886" s="14"/>
      <c r="N10886" s="14"/>
      <c r="O10886" s="14"/>
      <c r="P10886" s="13"/>
    </row>
    <row r="10887">
      <c r="L10887" s="13"/>
      <c r="M10887" s="14"/>
      <c r="N10887" s="14"/>
      <c r="O10887" s="14"/>
      <c r="P10887" s="13"/>
    </row>
    <row r="10888">
      <c r="L10888" s="13"/>
      <c r="M10888" s="14"/>
      <c r="N10888" s="14"/>
      <c r="O10888" s="14"/>
      <c r="P10888" s="13"/>
    </row>
    <row r="10889">
      <c r="L10889" s="13"/>
      <c r="M10889" s="14"/>
      <c r="N10889" s="14"/>
      <c r="O10889" s="14"/>
      <c r="P10889" s="13"/>
    </row>
    <row r="10890">
      <c r="L10890" s="13"/>
      <c r="M10890" s="14"/>
      <c r="N10890" s="14"/>
      <c r="O10890" s="14"/>
      <c r="P10890" s="13"/>
    </row>
    <row r="10891">
      <c r="L10891" s="13"/>
      <c r="M10891" s="14"/>
      <c r="N10891" s="14"/>
      <c r="O10891" s="14"/>
      <c r="P10891" s="13"/>
    </row>
    <row r="10892">
      <c r="L10892" s="13"/>
      <c r="M10892" s="14"/>
      <c r="N10892" s="14"/>
      <c r="O10892" s="14"/>
      <c r="P10892" s="13"/>
    </row>
    <row r="10893">
      <c r="L10893" s="13"/>
      <c r="M10893" s="14"/>
      <c r="N10893" s="14"/>
      <c r="O10893" s="14"/>
      <c r="P10893" s="13"/>
    </row>
    <row r="10894">
      <c r="L10894" s="13"/>
      <c r="M10894" s="14"/>
      <c r="N10894" s="14"/>
      <c r="O10894" s="14"/>
      <c r="P10894" s="13"/>
    </row>
    <row r="10895">
      <c r="L10895" s="13"/>
      <c r="M10895" s="14"/>
      <c r="N10895" s="14"/>
      <c r="O10895" s="14"/>
      <c r="P10895" s="13"/>
    </row>
    <row r="10896">
      <c r="L10896" s="13"/>
      <c r="M10896" s="14"/>
      <c r="N10896" s="14"/>
      <c r="O10896" s="14"/>
      <c r="P10896" s="13"/>
    </row>
    <row r="10897">
      <c r="L10897" s="13"/>
      <c r="M10897" s="14"/>
      <c r="N10897" s="14"/>
      <c r="O10897" s="14"/>
      <c r="P10897" s="13"/>
    </row>
    <row r="10898">
      <c r="L10898" s="13"/>
      <c r="M10898" s="14"/>
      <c r="N10898" s="14"/>
      <c r="O10898" s="14"/>
      <c r="P10898" s="13"/>
    </row>
    <row r="10899">
      <c r="L10899" s="13"/>
      <c r="M10899" s="14"/>
      <c r="N10899" s="14"/>
      <c r="O10899" s="14"/>
      <c r="P10899" s="13"/>
    </row>
    <row r="10900">
      <c r="L10900" s="13"/>
      <c r="M10900" s="14"/>
      <c r="N10900" s="14"/>
      <c r="O10900" s="14"/>
      <c r="P10900" s="13"/>
    </row>
    <row r="10901">
      <c r="L10901" s="13"/>
      <c r="M10901" s="14"/>
      <c r="N10901" s="14"/>
      <c r="O10901" s="14"/>
      <c r="P10901" s="13"/>
    </row>
    <row r="10902">
      <c r="L10902" s="13"/>
      <c r="M10902" s="14"/>
      <c r="N10902" s="14"/>
      <c r="O10902" s="14"/>
      <c r="P10902" s="13"/>
    </row>
    <row r="10903">
      <c r="L10903" s="13"/>
      <c r="M10903" s="14"/>
      <c r="N10903" s="14"/>
      <c r="O10903" s="14"/>
      <c r="P10903" s="13"/>
    </row>
    <row r="10904">
      <c r="L10904" s="13"/>
      <c r="M10904" s="14"/>
      <c r="N10904" s="14"/>
      <c r="O10904" s="14"/>
      <c r="P10904" s="13"/>
    </row>
    <row r="10905">
      <c r="L10905" s="13"/>
      <c r="M10905" s="14"/>
      <c r="N10905" s="14"/>
      <c r="O10905" s="14"/>
      <c r="P10905" s="13"/>
    </row>
    <row r="10906">
      <c r="L10906" s="13"/>
      <c r="M10906" s="14"/>
      <c r="N10906" s="14"/>
      <c r="O10906" s="14"/>
      <c r="P10906" s="13"/>
    </row>
    <row r="10907">
      <c r="L10907" s="13"/>
      <c r="M10907" s="14"/>
      <c r="N10907" s="14"/>
      <c r="O10907" s="14"/>
      <c r="P10907" s="13"/>
    </row>
    <row r="10908">
      <c r="L10908" s="13"/>
      <c r="M10908" s="14"/>
      <c r="N10908" s="14"/>
      <c r="O10908" s="14"/>
      <c r="P10908" s="13"/>
    </row>
    <row r="10909">
      <c r="L10909" s="13"/>
      <c r="M10909" s="14"/>
      <c r="N10909" s="14"/>
      <c r="O10909" s="14"/>
      <c r="P10909" s="13"/>
    </row>
    <row r="10910">
      <c r="L10910" s="13"/>
      <c r="M10910" s="14"/>
      <c r="N10910" s="14"/>
      <c r="O10910" s="14"/>
      <c r="P10910" s="13"/>
    </row>
    <row r="10911">
      <c r="L10911" s="13"/>
      <c r="M10911" s="14"/>
      <c r="N10911" s="14"/>
      <c r="O10911" s="14"/>
      <c r="P10911" s="13"/>
    </row>
    <row r="10912">
      <c r="L10912" s="13"/>
      <c r="M10912" s="14"/>
      <c r="N10912" s="14"/>
      <c r="O10912" s="14"/>
      <c r="P10912" s="13"/>
    </row>
    <row r="10913">
      <c r="L10913" s="13"/>
      <c r="M10913" s="14"/>
      <c r="N10913" s="14"/>
      <c r="O10913" s="14"/>
      <c r="P10913" s="13"/>
    </row>
    <row r="10914">
      <c r="L10914" s="13"/>
      <c r="M10914" s="14"/>
      <c r="N10914" s="14"/>
      <c r="O10914" s="14"/>
      <c r="P10914" s="13"/>
    </row>
    <row r="10915">
      <c r="L10915" s="13"/>
      <c r="M10915" s="14"/>
      <c r="N10915" s="14"/>
      <c r="O10915" s="14"/>
      <c r="P10915" s="13"/>
    </row>
    <row r="10916">
      <c r="L10916" s="13"/>
      <c r="M10916" s="14"/>
      <c r="N10916" s="14"/>
      <c r="O10916" s="14"/>
      <c r="P10916" s="13"/>
    </row>
    <row r="10917">
      <c r="L10917" s="13"/>
      <c r="M10917" s="14"/>
      <c r="N10917" s="14"/>
      <c r="O10917" s="14"/>
      <c r="P10917" s="13"/>
    </row>
    <row r="10918">
      <c r="L10918" s="13"/>
      <c r="M10918" s="14"/>
      <c r="N10918" s="14"/>
      <c r="O10918" s="14"/>
      <c r="P10918" s="13"/>
    </row>
    <row r="10919">
      <c r="L10919" s="13"/>
      <c r="M10919" s="14"/>
      <c r="N10919" s="14"/>
      <c r="O10919" s="14"/>
      <c r="P10919" s="13"/>
    </row>
    <row r="10920">
      <c r="L10920" s="13"/>
      <c r="M10920" s="14"/>
      <c r="N10920" s="14"/>
      <c r="O10920" s="14"/>
      <c r="P10920" s="13"/>
    </row>
    <row r="10921">
      <c r="L10921" s="13"/>
      <c r="M10921" s="14"/>
      <c r="N10921" s="14"/>
      <c r="O10921" s="14"/>
      <c r="P10921" s="13"/>
    </row>
    <row r="10922">
      <c r="L10922" s="13"/>
      <c r="M10922" s="14"/>
      <c r="N10922" s="14"/>
      <c r="O10922" s="14"/>
      <c r="P10922" s="13"/>
    </row>
    <row r="10923">
      <c r="L10923" s="13"/>
      <c r="M10923" s="14"/>
      <c r="N10923" s="14"/>
      <c r="O10923" s="14"/>
      <c r="P10923" s="13"/>
    </row>
    <row r="10924">
      <c r="L10924" s="13"/>
      <c r="M10924" s="14"/>
      <c r="N10924" s="14"/>
      <c r="O10924" s="14"/>
      <c r="P10924" s="13"/>
    </row>
    <row r="10925">
      <c r="L10925" s="13"/>
      <c r="M10925" s="14"/>
      <c r="N10925" s="14"/>
      <c r="O10925" s="14"/>
      <c r="P10925" s="13"/>
    </row>
    <row r="10926">
      <c r="L10926" s="13"/>
      <c r="M10926" s="14"/>
      <c r="N10926" s="14"/>
      <c r="O10926" s="14"/>
      <c r="P10926" s="13"/>
    </row>
    <row r="10927">
      <c r="L10927" s="13"/>
      <c r="M10927" s="14"/>
      <c r="N10927" s="14"/>
      <c r="O10927" s="14"/>
      <c r="P10927" s="13"/>
    </row>
    <row r="10928">
      <c r="L10928" s="13"/>
      <c r="M10928" s="14"/>
      <c r="N10928" s="14"/>
      <c r="O10928" s="14"/>
      <c r="P10928" s="13"/>
    </row>
    <row r="10929">
      <c r="L10929" s="13"/>
      <c r="M10929" s="14"/>
      <c r="N10929" s="14"/>
      <c r="O10929" s="14"/>
      <c r="P10929" s="13"/>
    </row>
    <row r="10930">
      <c r="L10930" s="13"/>
      <c r="M10930" s="14"/>
      <c r="N10930" s="14"/>
      <c r="O10930" s="14"/>
      <c r="P10930" s="13"/>
    </row>
    <row r="10931">
      <c r="L10931" s="13"/>
      <c r="M10931" s="14"/>
      <c r="N10931" s="14"/>
      <c r="O10931" s="14"/>
      <c r="P10931" s="13"/>
    </row>
    <row r="10932">
      <c r="L10932" s="13"/>
      <c r="M10932" s="14"/>
      <c r="N10932" s="14"/>
      <c r="O10932" s="14"/>
      <c r="P10932" s="13"/>
    </row>
    <row r="10933">
      <c r="L10933" s="13"/>
      <c r="M10933" s="14"/>
      <c r="N10933" s="14"/>
      <c r="O10933" s="14"/>
      <c r="P10933" s="13"/>
    </row>
    <row r="10934">
      <c r="L10934" s="13"/>
      <c r="M10934" s="14"/>
      <c r="N10934" s="14"/>
      <c r="O10934" s="14"/>
      <c r="P10934" s="13"/>
    </row>
    <row r="10935">
      <c r="L10935" s="13"/>
      <c r="M10935" s="14"/>
      <c r="N10935" s="14"/>
      <c r="O10935" s="14"/>
      <c r="P10935" s="13"/>
    </row>
    <row r="10936">
      <c r="L10936" s="13"/>
      <c r="M10936" s="14"/>
      <c r="N10936" s="14"/>
      <c r="O10936" s="14"/>
      <c r="P10936" s="13"/>
    </row>
    <row r="10937">
      <c r="L10937" s="13"/>
      <c r="M10937" s="14"/>
      <c r="N10937" s="14"/>
      <c r="O10937" s="14"/>
      <c r="P10937" s="13"/>
    </row>
    <row r="10938">
      <c r="L10938" s="13"/>
      <c r="M10938" s="14"/>
      <c r="N10938" s="14"/>
      <c r="O10938" s="14"/>
      <c r="P10938" s="13"/>
    </row>
    <row r="10939">
      <c r="L10939" s="13"/>
      <c r="M10939" s="14"/>
      <c r="N10939" s="14"/>
      <c r="O10939" s="14"/>
      <c r="P10939" s="13"/>
    </row>
    <row r="10940">
      <c r="L10940" s="13"/>
      <c r="M10940" s="14"/>
      <c r="N10940" s="14"/>
      <c r="O10940" s="14"/>
      <c r="P10940" s="13"/>
    </row>
    <row r="10941">
      <c r="L10941" s="13"/>
      <c r="M10941" s="14"/>
      <c r="N10941" s="14"/>
      <c r="O10941" s="14"/>
      <c r="P10941" s="13"/>
    </row>
    <row r="10942">
      <c r="L10942" s="13"/>
      <c r="M10942" s="14"/>
      <c r="N10942" s="14"/>
      <c r="O10942" s="14"/>
      <c r="P10942" s="13"/>
    </row>
    <row r="10943">
      <c r="L10943" s="13"/>
      <c r="M10943" s="14"/>
      <c r="N10943" s="14"/>
      <c r="O10943" s="14"/>
      <c r="P10943" s="13"/>
    </row>
    <row r="10944">
      <c r="L10944" s="13"/>
      <c r="M10944" s="14"/>
      <c r="N10944" s="14"/>
      <c r="O10944" s="14"/>
      <c r="P10944" s="13"/>
    </row>
    <row r="10945">
      <c r="L10945" s="13"/>
      <c r="M10945" s="14"/>
      <c r="N10945" s="14"/>
      <c r="O10945" s="14"/>
      <c r="P10945" s="13"/>
    </row>
    <row r="10946">
      <c r="L10946" s="13"/>
      <c r="M10946" s="14"/>
      <c r="N10946" s="14"/>
      <c r="O10946" s="14"/>
      <c r="P10946" s="13"/>
    </row>
    <row r="10947">
      <c r="L10947" s="13"/>
      <c r="M10947" s="14"/>
      <c r="N10947" s="14"/>
      <c r="O10947" s="14"/>
      <c r="P10947" s="13"/>
    </row>
    <row r="10948">
      <c r="L10948" s="13"/>
      <c r="M10948" s="14"/>
      <c r="N10948" s="14"/>
      <c r="O10948" s="14"/>
      <c r="P10948" s="13"/>
    </row>
    <row r="10949">
      <c r="L10949" s="13"/>
      <c r="M10949" s="14"/>
      <c r="N10949" s="14"/>
      <c r="O10949" s="14"/>
      <c r="P10949" s="13"/>
    </row>
    <row r="10950">
      <c r="L10950" s="13"/>
      <c r="M10950" s="14"/>
      <c r="N10950" s="14"/>
      <c r="O10950" s="14"/>
      <c r="P10950" s="13"/>
    </row>
    <row r="10951">
      <c r="L10951" s="13"/>
      <c r="M10951" s="14"/>
      <c r="N10951" s="14"/>
      <c r="O10951" s="14"/>
      <c r="P10951" s="13"/>
    </row>
    <row r="10952">
      <c r="L10952" s="13"/>
      <c r="M10952" s="14"/>
      <c r="N10952" s="14"/>
      <c r="O10952" s="14"/>
      <c r="P10952" s="13"/>
    </row>
    <row r="10953">
      <c r="L10953" s="13"/>
      <c r="M10953" s="14"/>
      <c r="N10953" s="14"/>
      <c r="O10953" s="14"/>
      <c r="P10953" s="13"/>
    </row>
    <row r="10954">
      <c r="L10954" s="13"/>
      <c r="M10954" s="14"/>
      <c r="N10954" s="14"/>
      <c r="O10954" s="14"/>
      <c r="P10954" s="13"/>
    </row>
    <row r="10955">
      <c r="L10955" s="13"/>
      <c r="M10955" s="14"/>
      <c r="N10955" s="14"/>
      <c r="O10955" s="14"/>
      <c r="P10955" s="13"/>
    </row>
    <row r="10956">
      <c r="L10956" s="13"/>
      <c r="M10956" s="14"/>
      <c r="N10956" s="14"/>
      <c r="O10956" s="14"/>
      <c r="P10956" s="13"/>
    </row>
    <row r="10957">
      <c r="L10957" s="13"/>
      <c r="M10957" s="14"/>
      <c r="N10957" s="14"/>
      <c r="O10957" s="14"/>
      <c r="P10957" s="13"/>
    </row>
    <row r="10958">
      <c r="L10958" s="13"/>
      <c r="M10958" s="14"/>
      <c r="N10958" s="14"/>
      <c r="O10958" s="14"/>
      <c r="P10958" s="13"/>
    </row>
    <row r="10959">
      <c r="L10959" s="13"/>
      <c r="M10959" s="14"/>
      <c r="N10959" s="14"/>
      <c r="O10959" s="14"/>
      <c r="P10959" s="13"/>
    </row>
    <row r="10960">
      <c r="L10960" s="13"/>
      <c r="M10960" s="14"/>
      <c r="N10960" s="14"/>
      <c r="O10960" s="14"/>
      <c r="P10960" s="13"/>
    </row>
    <row r="10961">
      <c r="L10961" s="13"/>
      <c r="M10961" s="14"/>
      <c r="N10961" s="14"/>
      <c r="O10961" s="14"/>
      <c r="P10961" s="13"/>
    </row>
    <row r="10962">
      <c r="L10962" s="13"/>
      <c r="M10962" s="14"/>
      <c r="N10962" s="14"/>
      <c r="O10962" s="14"/>
      <c r="P10962" s="13"/>
    </row>
    <row r="10963">
      <c r="L10963" s="13"/>
      <c r="M10963" s="14"/>
      <c r="N10963" s="14"/>
      <c r="O10963" s="14"/>
      <c r="P10963" s="13"/>
    </row>
    <row r="10964">
      <c r="L10964" s="13"/>
      <c r="M10964" s="14"/>
      <c r="N10964" s="14"/>
      <c r="O10964" s="14"/>
      <c r="P10964" s="13"/>
    </row>
    <row r="10965">
      <c r="L10965" s="13"/>
      <c r="M10965" s="14"/>
      <c r="N10965" s="14"/>
      <c r="O10965" s="14"/>
      <c r="P10965" s="13"/>
    </row>
    <row r="10966">
      <c r="L10966" s="13"/>
      <c r="M10966" s="14"/>
      <c r="N10966" s="14"/>
      <c r="O10966" s="14"/>
      <c r="P10966" s="13"/>
    </row>
    <row r="10967">
      <c r="L10967" s="13"/>
      <c r="M10967" s="14"/>
      <c r="N10967" s="14"/>
      <c r="O10967" s="14"/>
      <c r="P10967" s="13"/>
    </row>
    <row r="10968">
      <c r="L10968" s="13"/>
      <c r="M10968" s="14"/>
      <c r="N10968" s="14"/>
      <c r="O10968" s="14"/>
      <c r="P10968" s="13"/>
    </row>
    <row r="10969">
      <c r="L10969" s="13"/>
      <c r="M10969" s="14"/>
      <c r="N10969" s="14"/>
      <c r="O10969" s="14"/>
      <c r="P10969" s="13"/>
    </row>
    <row r="10970">
      <c r="L10970" s="13"/>
      <c r="M10970" s="14"/>
      <c r="N10970" s="14"/>
      <c r="O10970" s="14"/>
      <c r="P10970" s="13"/>
    </row>
    <row r="10971">
      <c r="L10971" s="13"/>
      <c r="M10971" s="14"/>
      <c r="N10971" s="14"/>
      <c r="O10971" s="14"/>
      <c r="P10971" s="13"/>
    </row>
    <row r="10972">
      <c r="L10972" s="13"/>
      <c r="M10972" s="14"/>
      <c r="N10972" s="14"/>
      <c r="O10972" s="14"/>
      <c r="P10972" s="13"/>
    </row>
    <row r="10973">
      <c r="L10973" s="13"/>
      <c r="M10973" s="14"/>
      <c r="N10973" s="14"/>
      <c r="O10973" s="14"/>
      <c r="P10973" s="13"/>
    </row>
    <row r="10974">
      <c r="L10974" s="13"/>
      <c r="M10974" s="14"/>
      <c r="N10974" s="14"/>
      <c r="O10974" s="14"/>
      <c r="P10974" s="13"/>
    </row>
    <row r="10975">
      <c r="L10975" s="13"/>
      <c r="M10975" s="14"/>
      <c r="N10975" s="14"/>
      <c r="O10975" s="14"/>
      <c r="P10975" s="13"/>
    </row>
    <row r="10976">
      <c r="L10976" s="13"/>
      <c r="M10976" s="14"/>
      <c r="N10976" s="14"/>
      <c r="O10976" s="14"/>
      <c r="P10976" s="13"/>
    </row>
    <row r="10977">
      <c r="L10977" s="13"/>
      <c r="M10977" s="14"/>
      <c r="N10977" s="14"/>
      <c r="O10977" s="14"/>
      <c r="P10977" s="13"/>
    </row>
    <row r="10978">
      <c r="L10978" s="13"/>
      <c r="M10978" s="14"/>
      <c r="N10978" s="14"/>
      <c r="O10978" s="14"/>
      <c r="P10978" s="13"/>
    </row>
    <row r="10979">
      <c r="L10979" s="13"/>
      <c r="M10979" s="14"/>
      <c r="N10979" s="14"/>
      <c r="O10979" s="14"/>
      <c r="P10979" s="13"/>
    </row>
    <row r="10980">
      <c r="L10980" s="13"/>
      <c r="M10980" s="14"/>
      <c r="N10980" s="14"/>
      <c r="O10980" s="14"/>
      <c r="P10980" s="13"/>
    </row>
    <row r="10981">
      <c r="L10981" s="13"/>
      <c r="M10981" s="14"/>
      <c r="N10981" s="14"/>
      <c r="O10981" s="14"/>
      <c r="P10981" s="13"/>
    </row>
    <row r="10982">
      <c r="L10982" s="13"/>
      <c r="M10982" s="14"/>
      <c r="N10982" s="14"/>
      <c r="O10982" s="14"/>
      <c r="P10982" s="13"/>
    </row>
    <row r="10983">
      <c r="L10983" s="13"/>
      <c r="M10983" s="14"/>
      <c r="N10983" s="14"/>
      <c r="O10983" s="14"/>
      <c r="P10983" s="13"/>
    </row>
    <row r="10984">
      <c r="L10984" s="13"/>
      <c r="M10984" s="14"/>
      <c r="N10984" s="14"/>
      <c r="O10984" s="14"/>
      <c r="P10984" s="13"/>
    </row>
    <row r="10985">
      <c r="L10985" s="13"/>
      <c r="M10985" s="14"/>
      <c r="N10985" s="14"/>
      <c r="O10985" s="14"/>
      <c r="P10985" s="13"/>
    </row>
    <row r="10986">
      <c r="L10986" s="13"/>
      <c r="M10986" s="14"/>
      <c r="N10986" s="14"/>
      <c r="O10986" s="14"/>
      <c r="P10986" s="13"/>
    </row>
    <row r="10987">
      <c r="L10987" s="13"/>
      <c r="M10987" s="14"/>
      <c r="N10987" s="14"/>
      <c r="O10987" s="14"/>
      <c r="P10987" s="13"/>
    </row>
    <row r="10988">
      <c r="L10988" s="13"/>
      <c r="M10988" s="14"/>
      <c r="N10988" s="14"/>
      <c r="O10988" s="14"/>
      <c r="P10988" s="13"/>
    </row>
    <row r="10989">
      <c r="L10989" s="13"/>
      <c r="M10989" s="14"/>
      <c r="N10989" s="14"/>
      <c r="O10989" s="14"/>
      <c r="P10989" s="13"/>
    </row>
    <row r="10990">
      <c r="L10990" s="13"/>
      <c r="M10990" s="14"/>
      <c r="N10990" s="14"/>
      <c r="O10990" s="14"/>
      <c r="P10990" s="13"/>
    </row>
    <row r="10991">
      <c r="L10991" s="13"/>
      <c r="M10991" s="14"/>
      <c r="N10991" s="14"/>
      <c r="O10991" s="14"/>
      <c r="P10991" s="13"/>
    </row>
    <row r="10992">
      <c r="L10992" s="13"/>
      <c r="M10992" s="14"/>
      <c r="N10992" s="14"/>
      <c r="O10992" s="14"/>
      <c r="P10992" s="13"/>
    </row>
    <row r="10993">
      <c r="L10993" s="13"/>
      <c r="M10993" s="14"/>
      <c r="N10993" s="14"/>
      <c r="O10993" s="14"/>
      <c r="P10993" s="13"/>
    </row>
    <row r="10994">
      <c r="L10994" s="13"/>
      <c r="M10994" s="14"/>
      <c r="N10994" s="14"/>
      <c r="O10994" s="14"/>
      <c r="P10994" s="13"/>
    </row>
    <row r="10995">
      <c r="L10995" s="13"/>
      <c r="M10995" s="14"/>
      <c r="N10995" s="14"/>
      <c r="O10995" s="14"/>
      <c r="P10995" s="13"/>
    </row>
    <row r="10996">
      <c r="L10996" s="13"/>
      <c r="M10996" s="14"/>
      <c r="N10996" s="14"/>
      <c r="O10996" s="14"/>
      <c r="P10996" s="13"/>
    </row>
    <row r="10997">
      <c r="L10997" s="13"/>
      <c r="M10997" s="14"/>
      <c r="N10997" s="14"/>
      <c r="O10997" s="14"/>
      <c r="P10997" s="13"/>
    </row>
    <row r="10998">
      <c r="L10998" s="13"/>
      <c r="M10998" s="14"/>
      <c r="N10998" s="14"/>
      <c r="O10998" s="14"/>
      <c r="P10998" s="13"/>
    </row>
    <row r="10999">
      <c r="L10999" s="13"/>
      <c r="M10999" s="14"/>
      <c r="N10999" s="14"/>
      <c r="O10999" s="14"/>
      <c r="P10999" s="13"/>
    </row>
    <row r="11000">
      <c r="L11000" s="13"/>
      <c r="M11000" s="14"/>
      <c r="N11000" s="14"/>
      <c r="O11000" s="14"/>
      <c r="P11000" s="13"/>
    </row>
    <row r="11001">
      <c r="L11001" s="13"/>
      <c r="M11001" s="14"/>
      <c r="N11001" s="14"/>
      <c r="O11001" s="14"/>
      <c r="P11001" s="13"/>
    </row>
    <row r="11002">
      <c r="L11002" s="13"/>
      <c r="M11002" s="14"/>
      <c r="N11002" s="14"/>
      <c r="O11002" s="14"/>
      <c r="P11002" s="13"/>
    </row>
    <row r="11003">
      <c r="L11003" s="13"/>
      <c r="M11003" s="14"/>
      <c r="N11003" s="14"/>
      <c r="O11003" s="14"/>
      <c r="P11003" s="13"/>
    </row>
    <row r="11004">
      <c r="L11004" s="13"/>
      <c r="M11004" s="14"/>
      <c r="N11004" s="14"/>
      <c r="O11004" s="14"/>
      <c r="P11004" s="13"/>
    </row>
    <row r="11005">
      <c r="L11005" s="13"/>
      <c r="M11005" s="14"/>
      <c r="N11005" s="14"/>
      <c r="O11005" s="14"/>
      <c r="P11005" s="13"/>
    </row>
    <row r="11006">
      <c r="L11006" s="13"/>
      <c r="M11006" s="14"/>
      <c r="N11006" s="14"/>
      <c r="O11006" s="14"/>
      <c r="P11006" s="13"/>
    </row>
    <row r="11007">
      <c r="L11007" s="13"/>
      <c r="M11007" s="14"/>
      <c r="N11007" s="14"/>
      <c r="O11007" s="14"/>
      <c r="P11007" s="13"/>
    </row>
    <row r="11008">
      <c r="L11008" s="13"/>
      <c r="M11008" s="14"/>
      <c r="N11008" s="14"/>
      <c r="O11008" s="14"/>
      <c r="P11008" s="13"/>
    </row>
    <row r="11009">
      <c r="L11009" s="13"/>
      <c r="M11009" s="14"/>
      <c r="N11009" s="14"/>
      <c r="O11009" s="14"/>
      <c r="P11009" s="13"/>
    </row>
    <row r="11010">
      <c r="L11010" s="13"/>
      <c r="M11010" s="14"/>
      <c r="N11010" s="14"/>
      <c r="O11010" s="14"/>
      <c r="P11010" s="13"/>
    </row>
    <row r="11011">
      <c r="L11011" s="13"/>
      <c r="M11011" s="14"/>
      <c r="N11011" s="14"/>
      <c r="O11011" s="14"/>
      <c r="P11011" s="13"/>
    </row>
    <row r="11012">
      <c r="L11012" s="13"/>
      <c r="M11012" s="14"/>
      <c r="N11012" s="14"/>
      <c r="O11012" s="14"/>
      <c r="P11012" s="13"/>
    </row>
    <row r="11013">
      <c r="L11013" s="13"/>
      <c r="M11013" s="14"/>
      <c r="N11013" s="14"/>
      <c r="O11013" s="14"/>
      <c r="P11013" s="13"/>
    </row>
    <row r="11014">
      <c r="L11014" s="13"/>
      <c r="M11014" s="14"/>
      <c r="N11014" s="14"/>
      <c r="O11014" s="14"/>
      <c r="P11014" s="13"/>
    </row>
    <row r="11015">
      <c r="L11015" s="13"/>
      <c r="M11015" s="14"/>
      <c r="N11015" s="14"/>
      <c r="O11015" s="14"/>
      <c r="P11015" s="13"/>
    </row>
    <row r="11016">
      <c r="L11016" s="13"/>
      <c r="M11016" s="14"/>
      <c r="N11016" s="14"/>
      <c r="O11016" s="14"/>
      <c r="P11016" s="13"/>
    </row>
    <row r="11017">
      <c r="L11017" s="13"/>
      <c r="M11017" s="14"/>
      <c r="N11017" s="14"/>
      <c r="O11017" s="14"/>
      <c r="P11017" s="13"/>
    </row>
    <row r="11018">
      <c r="L11018" s="13"/>
      <c r="M11018" s="14"/>
      <c r="N11018" s="14"/>
      <c r="O11018" s="14"/>
      <c r="P11018" s="13"/>
    </row>
    <row r="11019">
      <c r="L11019" s="13"/>
      <c r="M11019" s="14"/>
      <c r="N11019" s="14"/>
      <c r="O11019" s="14"/>
      <c r="P11019" s="13"/>
    </row>
    <row r="11020">
      <c r="L11020" s="13"/>
      <c r="M11020" s="14"/>
      <c r="N11020" s="14"/>
      <c r="O11020" s="14"/>
      <c r="P11020" s="13"/>
    </row>
    <row r="11021">
      <c r="L11021" s="13"/>
      <c r="M11021" s="14"/>
      <c r="N11021" s="14"/>
      <c r="O11021" s="14"/>
      <c r="P11021" s="13"/>
    </row>
    <row r="11022">
      <c r="L11022" s="13"/>
      <c r="M11022" s="14"/>
      <c r="N11022" s="14"/>
      <c r="O11022" s="14"/>
      <c r="P11022" s="13"/>
    </row>
    <row r="11023">
      <c r="L11023" s="13"/>
      <c r="M11023" s="14"/>
      <c r="N11023" s="14"/>
      <c r="O11023" s="14"/>
      <c r="P11023" s="13"/>
    </row>
    <row r="11024">
      <c r="L11024" s="13"/>
      <c r="M11024" s="14"/>
      <c r="N11024" s="14"/>
      <c r="O11024" s="14"/>
      <c r="P11024" s="13"/>
    </row>
    <row r="11025">
      <c r="L11025" s="13"/>
      <c r="M11025" s="14"/>
      <c r="N11025" s="14"/>
      <c r="O11025" s="14"/>
      <c r="P11025" s="13"/>
    </row>
    <row r="11026">
      <c r="L11026" s="13"/>
      <c r="M11026" s="14"/>
      <c r="N11026" s="14"/>
      <c r="O11026" s="14"/>
      <c r="P11026" s="13"/>
    </row>
    <row r="11027">
      <c r="L11027" s="13"/>
      <c r="M11027" s="14"/>
      <c r="N11027" s="14"/>
      <c r="O11027" s="14"/>
      <c r="P11027" s="13"/>
    </row>
    <row r="11028">
      <c r="L11028" s="13"/>
      <c r="M11028" s="14"/>
      <c r="N11028" s="14"/>
      <c r="O11028" s="14"/>
      <c r="P11028" s="13"/>
    </row>
    <row r="11029">
      <c r="L11029" s="13"/>
      <c r="M11029" s="14"/>
      <c r="N11029" s="14"/>
      <c r="O11029" s="14"/>
      <c r="P11029" s="13"/>
    </row>
    <row r="11030">
      <c r="L11030" s="13"/>
      <c r="M11030" s="14"/>
      <c r="N11030" s="14"/>
      <c r="O11030" s="14"/>
      <c r="P11030" s="13"/>
    </row>
    <row r="11031">
      <c r="L11031" s="13"/>
      <c r="M11031" s="14"/>
      <c r="N11031" s="14"/>
      <c r="O11031" s="14"/>
      <c r="P11031" s="13"/>
    </row>
    <row r="11032">
      <c r="L11032" s="13"/>
      <c r="M11032" s="14"/>
      <c r="N11032" s="14"/>
      <c r="O11032" s="14"/>
      <c r="P11032" s="13"/>
    </row>
    <row r="11033">
      <c r="L11033" s="13"/>
      <c r="M11033" s="14"/>
      <c r="N11033" s="14"/>
      <c r="O11033" s="14"/>
      <c r="P11033" s="13"/>
    </row>
    <row r="11034">
      <c r="L11034" s="13"/>
      <c r="M11034" s="14"/>
      <c r="N11034" s="14"/>
      <c r="O11034" s="14"/>
      <c r="P11034" s="13"/>
    </row>
    <row r="11035">
      <c r="L11035" s="13"/>
      <c r="M11035" s="14"/>
      <c r="N11035" s="14"/>
      <c r="O11035" s="14"/>
      <c r="P11035" s="13"/>
    </row>
    <row r="11036">
      <c r="L11036" s="13"/>
      <c r="M11036" s="14"/>
      <c r="N11036" s="14"/>
      <c r="O11036" s="14"/>
      <c r="P11036" s="13"/>
    </row>
    <row r="11037">
      <c r="L11037" s="13"/>
      <c r="M11037" s="14"/>
      <c r="N11037" s="14"/>
      <c r="O11037" s="14"/>
      <c r="P11037" s="13"/>
    </row>
    <row r="11038">
      <c r="L11038" s="13"/>
      <c r="M11038" s="14"/>
      <c r="N11038" s="14"/>
      <c r="O11038" s="14"/>
      <c r="P11038" s="13"/>
    </row>
    <row r="11039">
      <c r="L11039" s="13"/>
      <c r="M11039" s="14"/>
      <c r="N11039" s="14"/>
      <c r="O11039" s="14"/>
      <c r="P11039" s="13"/>
    </row>
    <row r="11040">
      <c r="L11040" s="13"/>
      <c r="M11040" s="14"/>
      <c r="N11040" s="14"/>
      <c r="O11040" s="14"/>
      <c r="P11040" s="13"/>
    </row>
    <row r="11041">
      <c r="L11041" s="13"/>
      <c r="M11041" s="14"/>
      <c r="N11041" s="14"/>
      <c r="O11041" s="14"/>
      <c r="P11041" s="13"/>
    </row>
    <row r="11042">
      <c r="L11042" s="13"/>
      <c r="M11042" s="14"/>
      <c r="N11042" s="14"/>
      <c r="O11042" s="14"/>
      <c r="P11042" s="13"/>
    </row>
    <row r="11043">
      <c r="L11043" s="13"/>
      <c r="M11043" s="14"/>
      <c r="N11043" s="14"/>
      <c r="O11043" s="14"/>
      <c r="P11043" s="13"/>
    </row>
    <row r="11044">
      <c r="L11044" s="13"/>
      <c r="M11044" s="14"/>
      <c r="N11044" s="14"/>
      <c r="O11044" s="14"/>
      <c r="P11044" s="13"/>
    </row>
    <row r="11045">
      <c r="L11045" s="13"/>
      <c r="M11045" s="14"/>
      <c r="N11045" s="14"/>
      <c r="O11045" s="14"/>
      <c r="P11045" s="13"/>
    </row>
    <row r="11046">
      <c r="L11046" s="13"/>
      <c r="M11046" s="14"/>
      <c r="N11046" s="14"/>
      <c r="O11046" s="14"/>
      <c r="P11046" s="13"/>
    </row>
    <row r="11047">
      <c r="L11047" s="13"/>
      <c r="M11047" s="14"/>
      <c r="N11047" s="14"/>
      <c r="O11047" s="14"/>
      <c r="P11047" s="13"/>
    </row>
    <row r="11048">
      <c r="L11048" s="13"/>
      <c r="M11048" s="14"/>
      <c r="N11048" s="14"/>
      <c r="O11048" s="14"/>
      <c r="P11048" s="13"/>
    </row>
    <row r="11049">
      <c r="L11049" s="13"/>
      <c r="M11049" s="14"/>
      <c r="N11049" s="14"/>
      <c r="O11049" s="14"/>
      <c r="P11049" s="13"/>
    </row>
    <row r="11050">
      <c r="L11050" s="13"/>
      <c r="M11050" s="14"/>
      <c r="N11050" s="14"/>
      <c r="O11050" s="14"/>
      <c r="P11050" s="13"/>
    </row>
    <row r="11051">
      <c r="L11051" s="13"/>
      <c r="M11051" s="14"/>
      <c r="N11051" s="14"/>
      <c r="O11051" s="14"/>
      <c r="P11051" s="13"/>
    </row>
    <row r="11052">
      <c r="L11052" s="13"/>
      <c r="M11052" s="14"/>
      <c r="N11052" s="14"/>
      <c r="O11052" s="14"/>
      <c r="P11052" s="13"/>
    </row>
    <row r="11053">
      <c r="L11053" s="13"/>
      <c r="M11053" s="14"/>
      <c r="N11053" s="14"/>
      <c r="O11053" s="14"/>
      <c r="P11053" s="13"/>
    </row>
    <row r="11054">
      <c r="L11054" s="13"/>
      <c r="M11054" s="14"/>
      <c r="N11054" s="14"/>
      <c r="O11054" s="14"/>
      <c r="P11054" s="13"/>
    </row>
    <row r="11055">
      <c r="L11055" s="13"/>
      <c r="M11055" s="14"/>
      <c r="N11055" s="14"/>
      <c r="O11055" s="14"/>
      <c r="P11055" s="13"/>
    </row>
    <row r="11056">
      <c r="L11056" s="13"/>
      <c r="M11056" s="14"/>
      <c r="N11056" s="14"/>
      <c r="O11056" s="14"/>
      <c r="P11056" s="13"/>
    </row>
    <row r="11057">
      <c r="L11057" s="13"/>
      <c r="M11057" s="14"/>
      <c r="N11057" s="14"/>
      <c r="O11057" s="14"/>
      <c r="P11057" s="13"/>
    </row>
    <row r="11058">
      <c r="L11058" s="13"/>
      <c r="M11058" s="14"/>
      <c r="N11058" s="14"/>
      <c r="O11058" s="14"/>
      <c r="P11058" s="13"/>
    </row>
    <row r="11059">
      <c r="L11059" s="13"/>
      <c r="M11059" s="14"/>
      <c r="N11059" s="14"/>
      <c r="O11059" s="14"/>
      <c r="P11059" s="13"/>
    </row>
    <row r="11060">
      <c r="L11060" s="13"/>
      <c r="M11060" s="14"/>
      <c r="N11060" s="14"/>
      <c r="O11060" s="14"/>
      <c r="P11060" s="13"/>
    </row>
    <row r="11061">
      <c r="L11061" s="13"/>
      <c r="M11061" s="14"/>
      <c r="N11061" s="14"/>
      <c r="O11061" s="14"/>
      <c r="P11061" s="13"/>
    </row>
    <row r="11062">
      <c r="L11062" s="13"/>
      <c r="M11062" s="14"/>
      <c r="N11062" s="14"/>
      <c r="O11062" s="14"/>
      <c r="P11062" s="13"/>
    </row>
    <row r="11063">
      <c r="L11063" s="13"/>
      <c r="M11063" s="14"/>
      <c r="N11063" s="14"/>
      <c r="O11063" s="14"/>
      <c r="P11063" s="13"/>
    </row>
    <row r="11064">
      <c r="L11064" s="13"/>
      <c r="M11064" s="14"/>
      <c r="N11064" s="14"/>
      <c r="O11064" s="14"/>
      <c r="P11064" s="13"/>
    </row>
    <row r="11065">
      <c r="L11065" s="13"/>
      <c r="M11065" s="14"/>
      <c r="N11065" s="14"/>
      <c r="O11065" s="14"/>
      <c r="P11065" s="13"/>
    </row>
    <row r="11066">
      <c r="L11066" s="13"/>
      <c r="M11066" s="14"/>
      <c r="N11066" s="14"/>
      <c r="O11066" s="14"/>
      <c r="P11066" s="13"/>
    </row>
    <row r="11067">
      <c r="L11067" s="13"/>
      <c r="M11067" s="14"/>
      <c r="N11067" s="14"/>
      <c r="O11067" s="14"/>
      <c r="P11067" s="13"/>
    </row>
    <row r="11068">
      <c r="L11068" s="13"/>
      <c r="M11068" s="14"/>
      <c r="N11068" s="14"/>
      <c r="O11068" s="14"/>
      <c r="P11068" s="13"/>
    </row>
    <row r="11069">
      <c r="L11069" s="13"/>
      <c r="M11069" s="14"/>
      <c r="N11069" s="14"/>
      <c r="O11069" s="14"/>
      <c r="P11069" s="13"/>
    </row>
    <row r="11070">
      <c r="L11070" s="13"/>
      <c r="M11070" s="14"/>
      <c r="N11070" s="14"/>
      <c r="O11070" s="14"/>
      <c r="P11070" s="13"/>
    </row>
    <row r="11071">
      <c r="L11071" s="13"/>
      <c r="M11071" s="14"/>
      <c r="N11071" s="14"/>
      <c r="O11071" s="14"/>
      <c r="P11071" s="13"/>
    </row>
    <row r="11072">
      <c r="L11072" s="13"/>
      <c r="M11072" s="14"/>
      <c r="N11072" s="14"/>
      <c r="O11072" s="14"/>
      <c r="P11072" s="13"/>
    </row>
    <row r="11073">
      <c r="L11073" s="13"/>
      <c r="M11073" s="14"/>
      <c r="N11073" s="14"/>
      <c r="O11073" s="14"/>
      <c r="P11073" s="13"/>
    </row>
    <row r="11074">
      <c r="L11074" s="13"/>
      <c r="M11074" s="14"/>
      <c r="N11074" s="14"/>
      <c r="O11074" s="14"/>
      <c r="P11074" s="13"/>
    </row>
    <row r="11075">
      <c r="L11075" s="13"/>
      <c r="M11075" s="14"/>
      <c r="N11075" s="14"/>
      <c r="O11075" s="14"/>
      <c r="P11075" s="13"/>
    </row>
    <row r="11076">
      <c r="L11076" s="13"/>
      <c r="M11076" s="14"/>
      <c r="N11076" s="14"/>
      <c r="O11076" s="14"/>
      <c r="P11076" s="13"/>
    </row>
    <row r="11077">
      <c r="L11077" s="13"/>
      <c r="M11077" s="14"/>
      <c r="N11077" s="14"/>
      <c r="O11077" s="14"/>
      <c r="P11077" s="13"/>
    </row>
    <row r="11078">
      <c r="L11078" s="13"/>
      <c r="M11078" s="14"/>
      <c r="N11078" s="14"/>
      <c r="O11078" s="14"/>
      <c r="P11078" s="13"/>
    </row>
    <row r="11079">
      <c r="L11079" s="13"/>
      <c r="M11079" s="14"/>
      <c r="N11079" s="14"/>
      <c r="O11079" s="14"/>
      <c r="P11079" s="13"/>
    </row>
    <row r="11080">
      <c r="L11080" s="13"/>
      <c r="M11080" s="14"/>
      <c r="N11080" s="14"/>
      <c r="O11080" s="14"/>
      <c r="P11080" s="13"/>
    </row>
    <row r="11081">
      <c r="L11081" s="13"/>
      <c r="M11081" s="14"/>
      <c r="N11081" s="14"/>
      <c r="O11081" s="14"/>
      <c r="P11081" s="13"/>
    </row>
    <row r="11082">
      <c r="L11082" s="13"/>
      <c r="M11082" s="14"/>
      <c r="N11082" s="14"/>
      <c r="O11082" s="14"/>
      <c r="P11082" s="13"/>
    </row>
    <row r="11083">
      <c r="L11083" s="13"/>
      <c r="M11083" s="14"/>
      <c r="N11083" s="14"/>
      <c r="O11083" s="14"/>
      <c r="P11083" s="13"/>
    </row>
    <row r="11084">
      <c r="L11084" s="13"/>
      <c r="M11084" s="14"/>
      <c r="N11084" s="14"/>
      <c r="O11084" s="14"/>
      <c r="P11084" s="13"/>
    </row>
    <row r="11085">
      <c r="L11085" s="13"/>
      <c r="M11085" s="14"/>
      <c r="N11085" s="14"/>
      <c r="O11085" s="14"/>
      <c r="P11085" s="13"/>
    </row>
    <row r="11086">
      <c r="L11086" s="13"/>
      <c r="M11086" s="14"/>
      <c r="N11086" s="14"/>
      <c r="O11086" s="14"/>
      <c r="P11086" s="13"/>
    </row>
    <row r="11087">
      <c r="L11087" s="13"/>
      <c r="M11087" s="14"/>
      <c r="N11087" s="14"/>
      <c r="O11087" s="14"/>
      <c r="P11087" s="13"/>
    </row>
    <row r="11088">
      <c r="L11088" s="13"/>
      <c r="M11088" s="14"/>
      <c r="N11088" s="14"/>
      <c r="O11088" s="14"/>
      <c r="P11088" s="13"/>
    </row>
    <row r="11089">
      <c r="L11089" s="13"/>
      <c r="M11089" s="14"/>
      <c r="N11089" s="14"/>
      <c r="O11089" s="14"/>
      <c r="P11089" s="13"/>
    </row>
    <row r="11090">
      <c r="L11090" s="13"/>
      <c r="M11090" s="14"/>
      <c r="N11090" s="14"/>
      <c r="O11090" s="14"/>
      <c r="P11090" s="13"/>
    </row>
    <row r="11091">
      <c r="L11091" s="13"/>
      <c r="M11091" s="14"/>
      <c r="N11091" s="14"/>
      <c r="O11091" s="14"/>
      <c r="P11091" s="13"/>
    </row>
    <row r="11092">
      <c r="L11092" s="13"/>
      <c r="M11092" s="14"/>
      <c r="N11092" s="14"/>
      <c r="O11092" s="14"/>
      <c r="P11092" s="13"/>
    </row>
    <row r="11093">
      <c r="L11093" s="13"/>
      <c r="M11093" s="14"/>
      <c r="N11093" s="14"/>
      <c r="O11093" s="14"/>
      <c r="P11093" s="13"/>
    </row>
    <row r="11094">
      <c r="L11094" s="13"/>
      <c r="M11094" s="14"/>
      <c r="N11094" s="14"/>
      <c r="O11094" s="14"/>
      <c r="P11094" s="13"/>
    </row>
    <row r="11095">
      <c r="L11095" s="13"/>
      <c r="M11095" s="14"/>
      <c r="N11095" s="14"/>
      <c r="O11095" s="14"/>
      <c r="P11095" s="13"/>
    </row>
    <row r="11096">
      <c r="L11096" s="13"/>
      <c r="M11096" s="14"/>
      <c r="N11096" s="14"/>
      <c r="O11096" s="14"/>
      <c r="P11096" s="13"/>
    </row>
    <row r="11097">
      <c r="L11097" s="13"/>
      <c r="M11097" s="14"/>
      <c r="N11097" s="14"/>
      <c r="O11097" s="14"/>
      <c r="P11097" s="13"/>
    </row>
    <row r="11098">
      <c r="L11098" s="13"/>
      <c r="M11098" s="14"/>
      <c r="N11098" s="14"/>
      <c r="O11098" s="14"/>
      <c r="P11098" s="13"/>
    </row>
    <row r="11099">
      <c r="L11099" s="13"/>
      <c r="M11099" s="14"/>
      <c r="N11099" s="14"/>
      <c r="O11099" s="14"/>
      <c r="P11099" s="13"/>
    </row>
    <row r="11100">
      <c r="L11100" s="13"/>
      <c r="M11100" s="14"/>
      <c r="N11100" s="14"/>
      <c r="O11100" s="14"/>
      <c r="P11100" s="13"/>
    </row>
    <row r="11101">
      <c r="L11101" s="13"/>
      <c r="M11101" s="14"/>
      <c r="N11101" s="14"/>
      <c r="O11101" s="14"/>
      <c r="P11101" s="13"/>
    </row>
    <row r="11102">
      <c r="L11102" s="13"/>
      <c r="M11102" s="14"/>
      <c r="N11102" s="14"/>
      <c r="O11102" s="14"/>
      <c r="P11102" s="13"/>
    </row>
    <row r="11103">
      <c r="L11103" s="13"/>
      <c r="M11103" s="14"/>
      <c r="N11103" s="14"/>
      <c r="O11103" s="14"/>
      <c r="P11103" s="13"/>
    </row>
    <row r="11104">
      <c r="L11104" s="13"/>
      <c r="M11104" s="14"/>
      <c r="N11104" s="14"/>
      <c r="O11104" s="14"/>
      <c r="P11104" s="13"/>
    </row>
    <row r="11105">
      <c r="L11105" s="13"/>
      <c r="M11105" s="14"/>
      <c r="N11105" s="14"/>
      <c r="O11105" s="14"/>
      <c r="P11105" s="13"/>
    </row>
    <row r="11106">
      <c r="L11106" s="13"/>
      <c r="M11106" s="14"/>
      <c r="N11106" s="14"/>
      <c r="O11106" s="14"/>
      <c r="P11106" s="13"/>
    </row>
    <row r="11107">
      <c r="L11107" s="13"/>
      <c r="M11107" s="14"/>
      <c r="N11107" s="14"/>
      <c r="O11107" s="14"/>
      <c r="P11107" s="13"/>
    </row>
    <row r="11108">
      <c r="L11108" s="13"/>
      <c r="M11108" s="14"/>
      <c r="N11108" s="14"/>
      <c r="O11108" s="14"/>
      <c r="P11108" s="13"/>
    </row>
    <row r="11109">
      <c r="L11109" s="13"/>
      <c r="M11109" s="14"/>
      <c r="N11109" s="14"/>
      <c r="O11109" s="14"/>
      <c r="P11109" s="13"/>
    </row>
    <row r="11110">
      <c r="L11110" s="13"/>
      <c r="M11110" s="14"/>
      <c r="N11110" s="14"/>
      <c r="O11110" s="14"/>
      <c r="P11110" s="13"/>
    </row>
    <row r="11111">
      <c r="L11111" s="13"/>
      <c r="M11111" s="14"/>
      <c r="N11111" s="14"/>
      <c r="O11111" s="14"/>
      <c r="P11111" s="13"/>
    </row>
    <row r="11112">
      <c r="L11112" s="13"/>
      <c r="M11112" s="14"/>
      <c r="N11112" s="14"/>
      <c r="O11112" s="14"/>
      <c r="P11112" s="13"/>
    </row>
    <row r="11113">
      <c r="L11113" s="13"/>
      <c r="M11113" s="14"/>
      <c r="N11113" s="14"/>
      <c r="O11113" s="14"/>
      <c r="P11113" s="13"/>
    </row>
    <row r="11114">
      <c r="L11114" s="13"/>
      <c r="M11114" s="14"/>
      <c r="N11114" s="14"/>
      <c r="O11114" s="14"/>
      <c r="P11114" s="13"/>
    </row>
    <row r="11115">
      <c r="L11115" s="13"/>
      <c r="M11115" s="14"/>
      <c r="N11115" s="14"/>
      <c r="O11115" s="14"/>
      <c r="P11115" s="13"/>
    </row>
    <row r="11116">
      <c r="L11116" s="13"/>
      <c r="M11116" s="14"/>
      <c r="N11116" s="14"/>
      <c r="O11116" s="14"/>
      <c r="P11116" s="13"/>
    </row>
    <row r="11117">
      <c r="L11117" s="13"/>
      <c r="M11117" s="14"/>
      <c r="N11117" s="14"/>
      <c r="O11117" s="14"/>
      <c r="P11117" s="13"/>
    </row>
    <row r="11118">
      <c r="L11118" s="13"/>
      <c r="M11118" s="14"/>
      <c r="N11118" s="14"/>
      <c r="O11118" s="14"/>
      <c r="P11118" s="13"/>
    </row>
    <row r="11119">
      <c r="L11119" s="13"/>
      <c r="M11119" s="14"/>
      <c r="N11119" s="14"/>
      <c r="O11119" s="14"/>
      <c r="P11119" s="13"/>
    </row>
    <row r="11120">
      <c r="L11120" s="13"/>
      <c r="M11120" s="14"/>
      <c r="N11120" s="14"/>
      <c r="O11120" s="14"/>
      <c r="P11120" s="13"/>
    </row>
    <row r="11121">
      <c r="L11121" s="13"/>
      <c r="M11121" s="14"/>
      <c r="N11121" s="14"/>
      <c r="O11121" s="14"/>
      <c r="P11121" s="13"/>
    </row>
    <row r="11122">
      <c r="L11122" s="13"/>
      <c r="M11122" s="14"/>
      <c r="N11122" s="14"/>
      <c r="O11122" s="14"/>
      <c r="P11122" s="13"/>
    </row>
    <row r="11123">
      <c r="L11123" s="13"/>
      <c r="M11123" s="14"/>
      <c r="N11123" s="14"/>
      <c r="O11123" s="14"/>
      <c r="P11123" s="13"/>
    </row>
    <row r="11124">
      <c r="L11124" s="13"/>
      <c r="M11124" s="14"/>
      <c r="N11124" s="14"/>
      <c r="O11124" s="14"/>
      <c r="P11124" s="13"/>
    </row>
    <row r="11125">
      <c r="L11125" s="13"/>
      <c r="M11125" s="14"/>
      <c r="N11125" s="14"/>
      <c r="O11125" s="14"/>
      <c r="P11125" s="13"/>
    </row>
    <row r="11126">
      <c r="L11126" s="13"/>
      <c r="M11126" s="14"/>
      <c r="N11126" s="14"/>
      <c r="O11126" s="14"/>
      <c r="P11126" s="13"/>
    </row>
    <row r="11127">
      <c r="L11127" s="13"/>
      <c r="M11127" s="14"/>
      <c r="N11127" s="14"/>
      <c r="O11127" s="14"/>
      <c r="P11127" s="13"/>
    </row>
    <row r="11128">
      <c r="L11128" s="13"/>
      <c r="M11128" s="14"/>
      <c r="N11128" s="14"/>
      <c r="O11128" s="14"/>
      <c r="P11128" s="13"/>
    </row>
    <row r="11129">
      <c r="L11129" s="13"/>
      <c r="M11129" s="14"/>
      <c r="N11129" s="14"/>
      <c r="O11129" s="14"/>
      <c r="P11129" s="13"/>
    </row>
    <row r="11130">
      <c r="L11130" s="13"/>
      <c r="M11130" s="14"/>
      <c r="N11130" s="14"/>
      <c r="O11130" s="14"/>
      <c r="P11130" s="13"/>
    </row>
    <row r="11131">
      <c r="L11131" s="13"/>
      <c r="M11131" s="14"/>
      <c r="N11131" s="14"/>
      <c r="O11131" s="14"/>
      <c r="P11131" s="13"/>
    </row>
    <row r="11132">
      <c r="L11132" s="13"/>
      <c r="M11132" s="14"/>
      <c r="N11132" s="14"/>
      <c r="O11132" s="14"/>
      <c r="P11132" s="13"/>
    </row>
    <row r="11133">
      <c r="L11133" s="13"/>
      <c r="M11133" s="14"/>
      <c r="N11133" s="14"/>
      <c r="O11133" s="14"/>
      <c r="P11133" s="13"/>
    </row>
    <row r="11134">
      <c r="L11134" s="13"/>
      <c r="M11134" s="14"/>
      <c r="N11134" s="14"/>
      <c r="O11134" s="14"/>
      <c r="P11134" s="13"/>
    </row>
    <row r="11135">
      <c r="L11135" s="13"/>
      <c r="M11135" s="14"/>
      <c r="N11135" s="14"/>
      <c r="O11135" s="14"/>
      <c r="P11135" s="13"/>
    </row>
    <row r="11136">
      <c r="L11136" s="13"/>
      <c r="M11136" s="14"/>
      <c r="N11136" s="14"/>
      <c r="O11136" s="14"/>
      <c r="P11136" s="13"/>
    </row>
    <row r="11137">
      <c r="L11137" s="13"/>
      <c r="M11137" s="14"/>
      <c r="N11137" s="14"/>
      <c r="O11137" s="14"/>
      <c r="P11137" s="13"/>
    </row>
    <row r="11138">
      <c r="L11138" s="13"/>
      <c r="M11138" s="14"/>
      <c r="N11138" s="14"/>
      <c r="O11138" s="14"/>
      <c r="P11138" s="13"/>
    </row>
    <row r="11139">
      <c r="L11139" s="13"/>
      <c r="M11139" s="14"/>
      <c r="N11139" s="14"/>
      <c r="O11139" s="14"/>
      <c r="P11139" s="13"/>
    </row>
    <row r="11140">
      <c r="L11140" s="13"/>
      <c r="M11140" s="14"/>
      <c r="N11140" s="14"/>
      <c r="O11140" s="14"/>
      <c r="P11140" s="13"/>
    </row>
    <row r="11141">
      <c r="L11141" s="13"/>
      <c r="M11141" s="14"/>
      <c r="N11141" s="14"/>
      <c r="O11141" s="14"/>
      <c r="P11141" s="13"/>
    </row>
    <row r="11142">
      <c r="L11142" s="13"/>
      <c r="M11142" s="14"/>
      <c r="N11142" s="14"/>
      <c r="O11142" s="14"/>
      <c r="P11142" s="13"/>
    </row>
    <row r="11143">
      <c r="L11143" s="13"/>
      <c r="M11143" s="14"/>
      <c r="N11143" s="14"/>
      <c r="O11143" s="14"/>
      <c r="P11143" s="13"/>
    </row>
    <row r="11144">
      <c r="L11144" s="13"/>
      <c r="M11144" s="14"/>
      <c r="N11144" s="14"/>
      <c r="O11144" s="14"/>
      <c r="P11144" s="13"/>
    </row>
    <row r="11145">
      <c r="L11145" s="13"/>
      <c r="M11145" s="14"/>
      <c r="N11145" s="14"/>
      <c r="O11145" s="14"/>
      <c r="P11145" s="13"/>
    </row>
    <row r="11146">
      <c r="L11146" s="13"/>
      <c r="M11146" s="14"/>
      <c r="N11146" s="14"/>
      <c r="O11146" s="14"/>
      <c r="P11146" s="13"/>
    </row>
    <row r="11147">
      <c r="L11147" s="13"/>
      <c r="M11147" s="14"/>
      <c r="N11147" s="14"/>
      <c r="O11147" s="14"/>
      <c r="P11147" s="13"/>
    </row>
    <row r="11148">
      <c r="L11148" s="13"/>
      <c r="M11148" s="14"/>
      <c r="N11148" s="14"/>
      <c r="O11148" s="14"/>
      <c r="P11148" s="13"/>
    </row>
    <row r="11149">
      <c r="L11149" s="13"/>
      <c r="M11149" s="14"/>
      <c r="N11149" s="14"/>
      <c r="O11149" s="14"/>
      <c r="P11149" s="13"/>
    </row>
    <row r="11150">
      <c r="L11150" s="13"/>
      <c r="M11150" s="14"/>
      <c r="N11150" s="14"/>
      <c r="O11150" s="14"/>
      <c r="P11150" s="13"/>
    </row>
    <row r="11151">
      <c r="L11151" s="13"/>
      <c r="M11151" s="14"/>
      <c r="N11151" s="14"/>
      <c r="O11151" s="14"/>
      <c r="P11151" s="13"/>
    </row>
    <row r="11152">
      <c r="L11152" s="13"/>
      <c r="M11152" s="14"/>
      <c r="N11152" s="14"/>
      <c r="O11152" s="14"/>
      <c r="P11152" s="13"/>
    </row>
    <row r="11153">
      <c r="L11153" s="13"/>
      <c r="M11153" s="14"/>
      <c r="N11153" s="14"/>
      <c r="O11153" s="14"/>
      <c r="P11153" s="13"/>
    </row>
    <row r="11154">
      <c r="L11154" s="13"/>
      <c r="M11154" s="14"/>
      <c r="N11154" s="14"/>
      <c r="O11154" s="14"/>
      <c r="P11154" s="13"/>
    </row>
    <row r="11155">
      <c r="L11155" s="13"/>
      <c r="M11155" s="14"/>
      <c r="N11155" s="14"/>
      <c r="O11155" s="14"/>
      <c r="P11155" s="13"/>
    </row>
    <row r="11156">
      <c r="L11156" s="13"/>
      <c r="M11156" s="14"/>
      <c r="N11156" s="14"/>
      <c r="O11156" s="14"/>
      <c r="P11156" s="13"/>
    </row>
    <row r="11157">
      <c r="L11157" s="13"/>
      <c r="M11157" s="14"/>
      <c r="N11157" s="14"/>
      <c r="O11157" s="14"/>
      <c r="P11157" s="13"/>
    </row>
    <row r="11158">
      <c r="L11158" s="13"/>
      <c r="M11158" s="14"/>
      <c r="N11158" s="14"/>
      <c r="O11158" s="14"/>
      <c r="P11158" s="13"/>
    </row>
    <row r="11159">
      <c r="L11159" s="13"/>
      <c r="M11159" s="14"/>
      <c r="N11159" s="14"/>
      <c r="O11159" s="14"/>
      <c r="P11159" s="13"/>
    </row>
    <row r="11160">
      <c r="L11160" s="13"/>
      <c r="M11160" s="14"/>
      <c r="N11160" s="14"/>
      <c r="O11160" s="14"/>
      <c r="P11160" s="13"/>
    </row>
    <row r="11161">
      <c r="L11161" s="13"/>
      <c r="M11161" s="14"/>
      <c r="N11161" s="14"/>
      <c r="O11161" s="14"/>
      <c r="P11161" s="13"/>
    </row>
    <row r="11162">
      <c r="L11162" s="13"/>
      <c r="M11162" s="14"/>
      <c r="N11162" s="14"/>
      <c r="O11162" s="14"/>
      <c r="P11162" s="13"/>
    </row>
    <row r="11163">
      <c r="L11163" s="13"/>
      <c r="M11163" s="14"/>
      <c r="N11163" s="14"/>
      <c r="O11163" s="14"/>
      <c r="P11163" s="13"/>
    </row>
    <row r="11164">
      <c r="L11164" s="13"/>
      <c r="M11164" s="14"/>
      <c r="N11164" s="14"/>
      <c r="O11164" s="14"/>
      <c r="P11164" s="13"/>
    </row>
    <row r="11165">
      <c r="L11165" s="13"/>
      <c r="M11165" s="14"/>
      <c r="N11165" s="14"/>
      <c r="O11165" s="14"/>
      <c r="P11165" s="13"/>
    </row>
    <row r="11166">
      <c r="L11166" s="13"/>
      <c r="M11166" s="14"/>
      <c r="N11166" s="14"/>
      <c r="O11166" s="14"/>
      <c r="P11166" s="13"/>
    </row>
    <row r="11167">
      <c r="L11167" s="13"/>
      <c r="M11167" s="14"/>
      <c r="N11167" s="14"/>
      <c r="O11167" s="14"/>
      <c r="P11167" s="13"/>
    </row>
    <row r="11168">
      <c r="L11168" s="13"/>
      <c r="M11168" s="14"/>
      <c r="N11168" s="14"/>
      <c r="O11168" s="14"/>
      <c r="P11168" s="13"/>
    </row>
    <row r="11169">
      <c r="L11169" s="13"/>
      <c r="M11169" s="14"/>
      <c r="N11169" s="14"/>
      <c r="O11169" s="14"/>
      <c r="P11169" s="13"/>
    </row>
    <row r="11170">
      <c r="L11170" s="13"/>
      <c r="M11170" s="14"/>
      <c r="N11170" s="14"/>
      <c r="O11170" s="14"/>
      <c r="P11170" s="13"/>
    </row>
    <row r="11171">
      <c r="L11171" s="13"/>
      <c r="M11171" s="14"/>
      <c r="N11171" s="14"/>
      <c r="O11171" s="14"/>
      <c r="P11171" s="13"/>
    </row>
    <row r="11172">
      <c r="L11172" s="13"/>
      <c r="M11172" s="14"/>
      <c r="N11172" s="14"/>
      <c r="O11172" s="14"/>
      <c r="P11172" s="13"/>
    </row>
    <row r="11173">
      <c r="L11173" s="13"/>
      <c r="M11173" s="14"/>
      <c r="N11173" s="14"/>
      <c r="O11173" s="14"/>
      <c r="P11173" s="13"/>
    </row>
    <row r="11174">
      <c r="L11174" s="13"/>
      <c r="M11174" s="14"/>
      <c r="N11174" s="14"/>
      <c r="O11174" s="14"/>
      <c r="P11174" s="13"/>
    </row>
    <row r="11175">
      <c r="L11175" s="13"/>
      <c r="M11175" s="14"/>
      <c r="N11175" s="14"/>
      <c r="O11175" s="14"/>
      <c r="P11175" s="13"/>
    </row>
    <row r="11176">
      <c r="L11176" s="13"/>
      <c r="M11176" s="14"/>
      <c r="N11176" s="14"/>
      <c r="O11176" s="14"/>
      <c r="P11176" s="13"/>
    </row>
    <row r="11177">
      <c r="L11177" s="13"/>
      <c r="M11177" s="14"/>
      <c r="N11177" s="14"/>
      <c r="O11177" s="14"/>
      <c r="P11177" s="13"/>
    </row>
    <row r="11178">
      <c r="L11178" s="13"/>
      <c r="M11178" s="14"/>
      <c r="N11178" s="14"/>
      <c r="O11178" s="14"/>
      <c r="P11178" s="13"/>
    </row>
    <row r="11179">
      <c r="L11179" s="13"/>
      <c r="M11179" s="14"/>
      <c r="N11179" s="14"/>
      <c r="O11179" s="14"/>
      <c r="P11179" s="13"/>
    </row>
    <row r="11180">
      <c r="L11180" s="13"/>
      <c r="M11180" s="14"/>
      <c r="N11180" s="14"/>
      <c r="O11180" s="14"/>
      <c r="P11180" s="13"/>
    </row>
    <row r="11181">
      <c r="L11181" s="13"/>
      <c r="M11181" s="14"/>
      <c r="N11181" s="14"/>
      <c r="O11181" s="14"/>
      <c r="P11181" s="13"/>
    </row>
    <row r="11182">
      <c r="L11182" s="13"/>
      <c r="M11182" s="14"/>
      <c r="N11182" s="14"/>
      <c r="O11182" s="14"/>
      <c r="P11182" s="13"/>
    </row>
    <row r="11183">
      <c r="L11183" s="13"/>
      <c r="M11183" s="14"/>
      <c r="N11183" s="14"/>
      <c r="O11183" s="14"/>
      <c r="P11183" s="13"/>
    </row>
    <row r="11184">
      <c r="L11184" s="13"/>
      <c r="M11184" s="14"/>
      <c r="N11184" s="14"/>
      <c r="O11184" s="14"/>
      <c r="P11184" s="13"/>
    </row>
    <row r="11185">
      <c r="L11185" s="13"/>
      <c r="M11185" s="14"/>
      <c r="N11185" s="14"/>
      <c r="O11185" s="14"/>
      <c r="P11185" s="13"/>
    </row>
    <row r="11186">
      <c r="L11186" s="13"/>
      <c r="M11186" s="14"/>
      <c r="N11186" s="14"/>
      <c r="O11186" s="14"/>
      <c r="P11186" s="13"/>
    </row>
    <row r="11187">
      <c r="L11187" s="13"/>
      <c r="M11187" s="14"/>
      <c r="N11187" s="14"/>
      <c r="O11187" s="14"/>
      <c r="P11187" s="13"/>
    </row>
    <row r="11188">
      <c r="L11188" s="13"/>
      <c r="M11188" s="14"/>
      <c r="N11188" s="14"/>
      <c r="O11188" s="14"/>
      <c r="P11188" s="13"/>
    </row>
    <row r="11189">
      <c r="L11189" s="13"/>
      <c r="M11189" s="14"/>
      <c r="N11189" s="14"/>
      <c r="O11189" s="14"/>
      <c r="P11189" s="13"/>
    </row>
    <row r="11190">
      <c r="L11190" s="13"/>
      <c r="M11190" s="14"/>
      <c r="N11190" s="14"/>
      <c r="O11190" s="14"/>
      <c r="P11190" s="13"/>
    </row>
    <row r="11191">
      <c r="L11191" s="13"/>
      <c r="M11191" s="14"/>
      <c r="N11191" s="14"/>
      <c r="O11191" s="14"/>
      <c r="P11191" s="13"/>
    </row>
    <row r="11192">
      <c r="L11192" s="13"/>
      <c r="M11192" s="14"/>
      <c r="N11192" s="14"/>
      <c r="O11192" s="14"/>
      <c r="P11192" s="13"/>
    </row>
    <row r="11193">
      <c r="L11193" s="13"/>
      <c r="M11193" s="14"/>
      <c r="N11193" s="14"/>
      <c r="O11193" s="14"/>
      <c r="P11193" s="13"/>
    </row>
    <row r="11194">
      <c r="L11194" s="13"/>
      <c r="M11194" s="14"/>
      <c r="N11194" s="14"/>
      <c r="O11194" s="14"/>
      <c r="P11194" s="13"/>
    </row>
    <row r="11195">
      <c r="L11195" s="13"/>
      <c r="M11195" s="14"/>
      <c r="N11195" s="14"/>
      <c r="O11195" s="14"/>
      <c r="P11195" s="13"/>
    </row>
    <row r="11196">
      <c r="L11196" s="13"/>
      <c r="M11196" s="14"/>
      <c r="N11196" s="14"/>
      <c r="O11196" s="14"/>
      <c r="P11196" s="13"/>
    </row>
    <row r="11197">
      <c r="L11197" s="13"/>
      <c r="M11197" s="14"/>
      <c r="N11197" s="14"/>
      <c r="O11197" s="14"/>
      <c r="P11197" s="13"/>
    </row>
    <row r="11198">
      <c r="L11198" s="13"/>
      <c r="M11198" s="14"/>
      <c r="N11198" s="14"/>
      <c r="O11198" s="14"/>
      <c r="P11198" s="13"/>
    </row>
    <row r="11199">
      <c r="L11199" s="13"/>
      <c r="M11199" s="14"/>
      <c r="N11199" s="14"/>
      <c r="O11199" s="14"/>
      <c r="P11199" s="13"/>
    </row>
    <row r="11200">
      <c r="L11200" s="13"/>
      <c r="M11200" s="14"/>
      <c r="N11200" s="14"/>
      <c r="O11200" s="14"/>
      <c r="P11200" s="13"/>
    </row>
    <row r="11201">
      <c r="L11201" s="13"/>
      <c r="M11201" s="14"/>
      <c r="N11201" s="14"/>
      <c r="O11201" s="14"/>
      <c r="P11201" s="13"/>
    </row>
    <row r="11202">
      <c r="L11202" s="13"/>
      <c r="M11202" s="14"/>
      <c r="N11202" s="14"/>
      <c r="O11202" s="14"/>
      <c r="P11202" s="13"/>
    </row>
    <row r="11203">
      <c r="L11203" s="13"/>
      <c r="M11203" s="14"/>
      <c r="N11203" s="14"/>
      <c r="O11203" s="14"/>
      <c r="P11203" s="13"/>
    </row>
    <row r="11204">
      <c r="L11204" s="13"/>
      <c r="M11204" s="14"/>
      <c r="N11204" s="14"/>
      <c r="O11204" s="14"/>
      <c r="P11204" s="13"/>
    </row>
    <row r="11205">
      <c r="L11205" s="13"/>
      <c r="M11205" s="14"/>
      <c r="N11205" s="14"/>
      <c r="O11205" s="14"/>
      <c r="P11205" s="13"/>
    </row>
    <row r="11206">
      <c r="L11206" s="13"/>
      <c r="M11206" s="14"/>
      <c r="N11206" s="14"/>
      <c r="O11206" s="14"/>
      <c r="P11206" s="13"/>
    </row>
    <row r="11207">
      <c r="L11207" s="13"/>
      <c r="M11207" s="14"/>
      <c r="N11207" s="14"/>
      <c r="O11207" s="14"/>
      <c r="P11207" s="13"/>
    </row>
    <row r="11208">
      <c r="L11208" s="13"/>
      <c r="M11208" s="14"/>
      <c r="N11208" s="14"/>
      <c r="O11208" s="14"/>
      <c r="P11208" s="13"/>
    </row>
    <row r="11209">
      <c r="L11209" s="13"/>
      <c r="M11209" s="14"/>
      <c r="N11209" s="14"/>
      <c r="O11209" s="14"/>
      <c r="P11209" s="13"/>
    </row>
    <row r="11210">
      <c r="L11210" s="13"/>
      <c r="M11210" s="14"/>
      <c r="N11210" s="14"/>
      <c r="O11210" s="14"/>
      <c r="P11210" s="13"/>
    </row>
    <row r="11211">
      <c r="L11211" s="13"/>
      <c r="M11211" s="14"/>
      <c r="N11211" s="14"/>
      <c r="O11211" s="14"/>
      <c r="P11211" s="13"/>
    </row>
    <row r="11212">
      <c r="L11212" s="13"/>
      <c r="M11212" s="14"/>
      <c r="N11212" s="14"/>
      <c r="O11212" s="14"/>
      <c r="P11212" s="13"/>
    </row>
    <row r="11213">
      <c r="L11213" s="13"/>
      <c r="M11213" s="14"/>
      <c r="N11213" s="14"/>
      <c r="O11213" s="14"/>
      <c r="P11213" s="13"/>
    </row>
    <row r="11214">
      <c r="L11214" s="13"/>
      <c r="M11214" s="14"/>
      <c r="N11214" s="14"/>
      <c r="O11214" s="14"/>
      <c r="P11214" s="13"/>
    </row>
    <row r="11215">
      <c r="L11215" s="13"/>
      <c r="M11215" s="14"/>
      <c r="N11215" s="14"/>
      <c r="O11215" s="14"/>
      <c r="P11215" s="13"/>
    </row>
    <row r="11216">
      <c r="L11216" s="13"/>
      <c r="M11216" s="14"/>
      <c r="N11216" s="14"/>
      <c r="O11216" s="14"/>
      <c r="P11216" s="13"/>
    </row>
    <row r="11217">
      <c r="L11217" s="13"/>
      <c r="M11217" s="14"/>
      <c r="N11217" s="14"/>
      <c r="O11217" s="14"/>
      <c r="P11217" s="13"/>
    </row>
    <row r="11218">
      <c r="L11218" s="13"/>
      <c r="M11218" s="14"/>
      <c r="N11218" s="14"/>
      <c r="O11218" s="14"/>
      <c r="P11218" s="13"/>
    </row>
    <row r="11219">
      <c r="L11219" s="13"/>
      <c r="M11219" s="14"/>
      <c r="N11219" s="14"/>
      <c r="O11219" s="14"/>
      <c r="P11219" s="13"/>
    </row>
    <row r="11220">
      <c r="L11220" s="13"/>
      <c r="M11220" s="14"/>
      <c r="N11220" s="14"/>
      <c r="O11220" s="14"/>
      <c r="P11220" s="13"/>
    </row>
    <row r="11221">
      <c r="L11221" s="13"/>
      <c r="M11221" s="14"/>
      <c r="N11221" s="14"/>
      <c r="O11221" s="14"/>
      <c r="P11221" s="13"/>
    </row>
    <row r="11222">
      <c r="L11222" s="13"/>
      <c r="M11222" s="14"/>
      <c r="N11222" s="14"/>
      <c r="O11222" s="14"/>
      <c r="P11222" s="13"/>
    </row>
    <row r="11223">
      <c r="L11223" s="13"/>
      <c r="M11223" s="14"/>
      <c r="N11223" s="14"/>
      <c r="O11223" s="14"/>
      <c r="P11223" s="13"/>
    </row>
    <row r="11224">
      <c r="L11224" s="13"/>
      <c r="M11224" s="14"/>
      <c r="N11224" s="14"/>
      <c r="O11224" s="14"/>
      <c r="P11224" s="13"/>
    </row>
    <row r="11225">
      <c r="L11225" s="13"/>
      <c r="M11225" s="14"/>
      <c r="N11225" s="14"/>
      <c r="O11225" s="14"/>
      <c r="P11225" s="13"/>
    </row>
    <row r="11226">
      <c r="L11226" s="13"/>
      <c r="M11226" s="14"/>
      <c r="N11226" s="14"/>
      <c r="O11226" s="14"/>
      <c r="P11226" s="13"/>
    </row>
    <row r="11227">
      <c r="L11227" s="13"/>
      <c r="M11227" s="14"/>
      <c r="N11227" s="14"/>
      <c r="O11227" s="14"/>
      <c r="P11227" s="13"/>
    </row>
    <row r="11228">
      <c r="L11228" s="13"/>
      <c r="M11228" s="14"/>
      <c r="N11228" s="14"/>
      <c r="O11228" s="14"/>
      <c r="P11228" s="13"/>
    </row>
    <row r="11229">
      <c r="L11229" s="13"/>
      <c r="M11229" s="14"/>
      <c r="N11229" s="14"/>
      <c r="O11229" s="14"/>
      <c r="P11229" s="13"/>
    </row>
    <row r="11230">
      <c r="L11230" s="13"/>
      <c r="M11230" s="14"/>
      <c r="N11230" s="14"/>
      <c r="O11230" s="14"/>
      <c r="P11230" s="13"/>
    </row>
    <row r="11231">
      <c r="L11231" s="13"/>
      <c r="M11231" s="14"/>
      <c r="N11231" s="14"/>
      <c r="O11231" s="14"/>
      <c r="P11231" s="13"/>
    </row>
    <row r="11232">
      <c r="L11232" s="13"/>
      <c r="M11232" s="14"/>
      <c r="N11232" s="14"/>
      <c r="O11232" s="14"/>
      <c r="P11232" s="13"/>
    </row>
    <row r="11233">
      <c r="L11233" s="13"/>
      <c r="M11233" s="14"/>
      <c r="N11233" s="14"/>
      <c r="O11233" s="14"/>
      <c r="P11233" s="13"/>
    </row>
    <row r="11234">
      <c r="L11234" s="13"/>
      <c r="M11234" s="14"/>
      <c r="N11234" s="14"/>
      <c r="O11234" s="14"/>
      <c r="P11234" s="13"/>
    </row>
    <row r="11235">
      <c r="L11235" s="13"/>
      <c r="M11235" s="14"/>
      <c r="N11235" s="14"/>
      <c r="O11235" s="14"/>
      <c r="P11235" s="13"/>
    </row>
    <row r="11236">
      <c r="L11236" s="13"/>
      <c r="M11236" s="14"/>
      <c r="N11236" s="14"/>
      <c r="O11236" s="14"/>
      <c r="P11236" s="13"/>
    </row>
    <row r="11237">
      <c r="L11237" s="13"/>
      <c r="M11237" s="14"/>
      <c r="N11237" s="14"/>
      <c r="O11237" s="14"/>
      <c r="P11237" s="13"/>
    </row>
    <row r="11238">
      <c r="L11238" s="13"/>
      <c r="M11238" s="14"/>
      <c r="N11238" s="14"/>
      <c r="O11238" s="14"/>
      <c r="P11238" s="13"/>
    </row>
    <row r="11239">
      <c r="L11239" s="13"/>
      <c r="M11239" s="14"/>
      <c r="N11239" s="14"/>
      <c r="O11239" s="14"/>
      <c r="P11239" s="13"/>
    </row>
    <row r="11240">
      <c r="L11240" s="13"/>
      <c r="M11240" s="14"/>
      <c r="N11240" s="14"/>
      <c r="O11240" s="14"/>
      <c r="P11240" s="13"/>
    </row>
    <row r="11241">
      <c r="L11241" s="13"/>
      <c r="M11241" s="14"/>
      <c r="N11241" s="14"/>
      <c r="O11241" s="14"/>
      <c r="P11241" s="13"/>
    </row>
    <row r="11242">
      <c r="L11242" s="13"/>
      <c r="M11242" s="14"/>
      <c r="N11242" s="14"/>
      <c r="O11242" s="14"/>
      <c r="P11242" s="13"/>
    </row>
    <row r="11243">
      <c r="L11243" s="13"/>
      <c r="M11243" s="14"/>
      <c r="N11243" s="14"/>
      <c r="O11243" s="14"/>
      <c r="P11243" s="13"/>
    </row>
    <row r="11244">
      <c r="L11244" s="13"/>
      <c r="M11244" s="14"/>
      <c r="N11244" s="14"/>
      <c r="O11244" s="14"/>
      <c r="P11244" s="13"/>
    </row>
    <row r="11245">
      <c r="L11245" s="13"/>
      <c r="M11245" s="14"/>
      <c r="N11245" s="14"/>
      <c r="O11245" s="14"/>
      <c r="P11245" s="13"/>
    </row>
    <row r="11246">
      <c r="L11246" s="13"/>
      <c r="M11246" s="14"/>
      <c r="N11246" s="14"/>
      <c r="O11246" s="14"/>
      <c r="P11246" s="13"/>
    </row>
    <row r="11247">
      <c r="L11247" s="13"/>
      <c r="M11247" s="14"/>
      <c r="N11247" s="14"/>
      <c r="O11247" s="14"/>
      <c r="P11247" s="13"/>
    </row>
    <row r="11248">
      <c r="L11248" s="13"/>
      <c r="M11248" s="14"/>
      <c r="N11248" s="14"/>
      <c r="O11248" s="14"/>
      <c r="P11248" s="13"/>
    </row>
    <row r="11249">
      <c r="L11249" s="13"/>
      <c r="M11249" s="14"/>
      <c r="N11249" s="14"/>
      <c r="O11249" s="14"/>
      <c r="P11249" s="13"/>
    </row>
    <row r="11250">
      <c r="L11250" s="13"/>
      <c r="M11250" s="14"/>
      <c r="N11250" s="14"/>
      <c r="O11250" s="14"/>
      <c r="P11250" s="13"/>
    </row>
    <row r="11251">
      <c r="L11251" s="13"/>
      <c r="M11251" s="14"/>
      <c r="N11251" s="14"/>
      <c r="O11251" s="14"/>
      <c r="P11251" s="13"/>
    </row>
    <row r="11252">
      <c r="L11252" s="13"/>
      <c r="M11252" s="14"/>
      <c r="N11252" s="14"/>
      <c r="O11252" s="14"/>
      <c r="P11252" s="13"/>
    </row>
    <row r="11253">
      <c r="L11253" s="13"/>
      <c r="M11253" s="14"/>
      <c r="N11253" s="14"/>
      <c r="O11253" s="14"/>
      <c r="P11253" s="13"/>
    </row>
    <row r="11254">
      <c r="L11254" s="13"/>
      <c r="M11254" s="14"/>
      <c r="N11254" s="14"/>
      <c r="O11254" s="14"/>
      <c r="P11254" s="13"/>
    </row>
    <row r="11255">
      <c r="L11255" s="13"/>
      <c r="M11255" s="14"/>
      <c r="N11255" s="14"/>
      <c r="O11255" s="14"/>
      <c r="P11255" s="13"/>
    </row>
    <row r="11256">
      <c r="L11256" s="13"/>
      <c r="M11256" s="14"/>
      <c r="N11256" s="14"/>
      <c r="O11256" s="14"/>
      <c r="P11256" s="13"/>
    </row>
    <row r="11257">
      <c r="L11257" s="13"/>
      <c r="M11257" s="14"/>
      <c r="N11257" s="14"/>
      <c r="O11257" s="14"/>
      <c r="P11257" s="13"/>
    </row>
    <row r="11258">
      <c r="L11258" s="13"/>
      <c r="M11258" s="14"/>
      <c r="N11258" s="14"/>
      <c r="O11258" s="14"/>
      <c r="P11258" s="13"/>
    </row>
    <row r="11259">
      <c r="L11259" s="13"/>
      <c r="M11259" s="14"/>
      <c r="N11259" s="14"/>
      <c r="O11259" s="14"/>
      <c r="P11259" s="13"/>
    </row>
    <row r="11260">
      <c r="L11260" s="13"/>
      <c r="M11260" s="14"/>
      <c r="N11260" s="14"/>
      <c r="O11260" s="14"/>
      <c r="P11260" s="13"/>
    </row>
    <row r="11261">
      <c r="L11261" s="13"/>
      <c r="M11261" s="14"/>
      <c r="N11261" s="14"/>
      <c r="O11261" s="14"/>
      <c r="P11261" s="13"/>
    </row>
    <row r="11262">
      <c r="L11262" s="13"/>
      <c r="M11262" s="14"/>
      <c r="N11262" s="14"/>
      <c r="O11262" s="14"/>
      <c r="P11262" s="13"/>
    </row>
    <row r="11263">
      <c r="L11263" s="13"/>
      <c r="M11263" s="14"/>
      <c r="N11263" s="14"/>
      <c r="O11263" s="14"/>
      <c r="P11263" s="13"/>
    </row>
    <row r="11264">
      <c r="L11264" s="13"/>
      <c r="M11264" s="14"/>
      <c r="N11264" s="14"/>
      <c r="O11264" s="14"/>
      <c r="P11264" s="13"/>
    </row>
    <row r="11265">
      <c r="L11265" s="13"/>
      <c r="M11265" s="14"/>
      <c r="N11265" s="14"/>
      <c r="O11265" s="14"/>
      <c r="P11265" s="13"/>
    </row>
    <row r="11266">
      <c r="L11266" s="13"/>
      <c r="M11266" s="14"/>
      <c r="N11266" s="14"/>
      <c r="O11266" s="14"/>
      <c r="P11266" s="13"/>
    </row>
    <row r="11267">
      <c r="L11267" s="13"/>
      <c r="M11267" s="14"/>
      <c r="N11267" s="14"/>
      <c r="O11267" s="14"/>
      <c r="P11267" s="13"/>
    </row>
    <row r="11268">
      <c r="L11268" s="13"/>
      <c r="M11268" s="14"/>
      <c r="N11268" s="14"/>
      <c r="O11268" s="14"/>
      <c r="P11268" s="13"/>
    </row>
    <row r="11269">
      <c r="L11269" s="13"/>
      <c r="M11269" s="14"/>
      <c r="N11269" s="14"/>
      <c r="O11269" s="14"/>
      <c r="P11269" s="13"/>
    </row>
    <row r="11270">
      <c r="L11270" s="13"/>
      <c r="M11270" s="14"/>
      <c r="N11270" s="14"/>
      <c r="O11270" s="14"/>
      <c r="P11270" s="13"/>
    </row>
    <row r="11271">
      <c r="L11271" s="13"/>
      <c r="M11271" s="14"/>
      <c r="N11271" s="14"/>
      <c r="O11271" s="14"/>
      <c r="P11271" s="13"/>
    </row>
    <row r="11272">
      <c r="L11272" s="13"/>
      <c r="M11272" s="14"/>
      <c r="N11272" s="14"/>
      <c r="O11272" s="14"/>
      <c r="P11272" s="13"/>
    </row>
    <row r="11273">
      <c r="L11273" s="13"/>
      <c r="M11273" s="14"/>
      <c r="N11273" s="14"/>
      <c r="O11273" s="14"/>
      <c r="P11273" s="13"/>
    </row>
    <row r="11274">
      <c r="L11274" s="13"/>
      <c r="M11274" s="14"/>
      <c r="N11274" s="14"/>
      <c r="O11274" s="14"/>
      <c r="P11274" s="13"/>
    </row>
    <row r="11275">
      <c r="L11275" s="13"/>
      <c r="M11275" s="14"/>
      <c r="N11275" s="14"/>
      <c r="O11275" s="14"/>
      <c r="P11275" s="13"/>
    </row>
    <row r="11276">
      <c r="L11276" s="13"/>
      <c r="M11276" s="14"/>
      <c r="N11276" s="14"/>
      <c r="O11276" s="14"/>
      <c r="P11276" s="13"/>
    </row>
    <row r="11277">
      <c r="L11277" s="13"/>
      <c r="M11277" s="14"/>
      <c r="N11277" s="14"/>
      <c r="O11277" s="14"/>
      <c r="P11277" s="13"/>
    </row>
    <row r="11278">
      <c r="L11278" s="13"/>
      <c r="M11278" s="14"/>
      <c r="N11278" s="14"/>
      <c r="O11278" s="14"/>
      <c r="P11278" s="13"/>
    </row>
    <row r="11279">
      <c r="L11279" s="13"/>
      <c r="M11279" s="14"/>
      <c r="N11279" s="14"/>
      <c r="O11279" s="14"/>
      <c r="P11279" s="13"/>
    </row>
    <row r="11280">
      <c r="L11280" s="13"/>
      <c r="M11280" s="14"/>
      <c r="N11280" s="14"/>
      <c r="O11280" s="14"/>
      <c r="P11280" s="13"/>
    </row>
    <row r="11281">
      <c r="L11281" s="13"/>
      <c r="M11281" s="14"/>
      <c r="N11281" s="14"/>
      <c r="O11281" s="14"/>
      <c r="P11281" s="13"/>
    </row>
    <row r="11282">
      <c r="L11282" s="13"/>
      <c r="M11282" s="14"/>
      <c r="N11282" s="14"/>
      <c r="O11282" s="14"/>
      <c r="P11282" s="13"/>
    </row>
    <row r="11283">
      <c r="L11283" s="13"/>
      <c r="M11283" s="14"/>
      <c r="N11283" s="14"/>
      <c r="O11283" s="14"/>
      <c r="P11283" s="13"/>
    </row>
    <row r="11284">
      <c r="L11284" s="13"/>
      <c r="M11284" s="14"/>
      <c r="N11284" s="14"/>
      <c r="O11284" s="14"/>
      <c r="P11284" s="13"/>
    </row>
    <row r="11285">
      <c r="L11285" s="13"/>
      <c r="M11285" s="14"/>
      <c r="N11285" s="14"/>
      <c r="O11285" s="14"/>
      <c r="P11285" s="13"/>
    </row>
    <row r="11286">
      <c r="L11286" s="13"/>
      <c r="M11286" s="14"/>
      <c r="N11286" s="14"/>
      <c r="O11286" s="14"/>
      <c r="P11286" s="13"/>
    </row>
    <row r="11287">
      <c r="L11287" s="13"/>
      <c r="M11287" s="14"/>
      <c r="N11287" s="14"/>
      <c r="O11287" s="14"/>
      <c r="P11287" s="13"/>
    </row>
    <row r="11288">
      <c r="L11288" s="13"/>
      <c r="M11288" s="14"/>
      <c r="N11288" s="14"/>
      <c r="O11288" s="14"/>
      <c r="P11288" s="13"/>
    </row>
    <row r="11289">
      <c r="L11289" s="13"/>
      <c r="M11289" s="14"/>
      <c r="N11289" s="14"/>
      <c r="O11289" s="14"/>
      <c r="P11289" s="13"/>
    </row>
    <row r="11290">
      <c r="L11290" s="13"/>
      <c r="M11290" s="14"/>
      <c r="N11290" s="14"/>
      <c r="O11290" s="14"/>
      <c r="P11290" s="13"/>
    </row>
    <row r="11291">
      <c r="L11291" s="13"/>
      <c r="M11291" s="14"/>
      <c r="N11291" s="14"/>
      <c r="O11291" s="14"/>
      <c r="P11291" s="13"/>
    </row>
    <row r="11292">
      <c r="L11292" s="13"/>
      <c r="M11292" s="14"/>
      <c r="N11292" s="14"/>
      <c r="O11292" s="14"/>
      <c r="P11292" s="13"/>
    </row>
    <row r="11293">
      <c r="L11293" s="13"/>
      <c r="M11293" s="14"/>
      <c r="N11293" s="14"/>
      <c r="O11293" s="14"/>
      <c r="P11293" s="13"/>
    </row>
    <row r="11294">
      <c r="L11294" s="13"/>
      <c r="M11294" s="14"/>
      <c r="N11294" s="14"/>
      <c r="O11294" s="14"/>
      <c r="P11294" s="13"/>
    </row>
    <row r="11295">
      <c r="L11295" s="13"/>
      <c r="M11295" s="14"/>
      <c r="N11295" s="14"/>
      <c r="O11295" s="14"/>
      <c r="P11295" s="13"/>
    </row>
    <row r="11296">
      <c r="L11296" s="13"/>
      <c r="M11296" s="14"/>
      <c r="N11296" s="14"/>
      <c r="O11296" s="14"/>
      <c r="P11296" s="13"/>
    </row>
    <row r="11297">
      <c r="L11297" s="13"/>
      <c r="M11297" s="14"/>
      <c r="N11297" s="14"/>
      <c r="O11297" s="14"/>
      <c r="P11297" s="13"/>
    </row>
    <row r="11298">
      <c r="L11298" s="13"/>
      <c r="M11298" s="14"/>
      <c r="N11298" s="14"/>
      <c r="O11298" s="14"/>
      <c r="P11298" s="13"/>
    </row>
    <row r="11299">
      <c r="L11299" s="13"/>
      <c r="M11299" s="14"/>
      <c r="N11299" s="14"/>
      <c r="O11299" s="14"/>
      <c r="P11299" s="13"/>
    </row>
    <row r="11300">
      <c r="L11300" s="13"/>
      <c r="M11300" s="14"/>
      <c r="N11300" s="14"/>
      <c r="O11300" s="14"/>
      <c r="P11300" s="13"/>
    </row>
    <row r="11301">
      <c r="L11301" s="13"/>
      <c r="M11301" s="14"/>
      <c r="N11301" s="14"/>
      <c r="O11301" s="14"/>
      <c r="P11301" s="13"/>
    </row>
    <row r="11302">
      <c r="L11302" s="13"/>
      <c r="M11302" s="14"/>
      <c r="N11302" s="14"/>
      <c r="O11302" s="14"/>
      <c r="P11302" s="13"/>
    </row>
    <row r="11303">
      <c r="L11303" s="13"/>
      <c r="M11303" s="14"/>
      <c r="N11303" s="14"/>
      <c r="O11303" s="14"/>
      <c r="P11303" s="13"/>
    </row>
    <row r="11304">
      <c r="L11304" s="13"/>
      <c r="M11304" s="14"/>
      <c r="N11304" s="14"/>
      <c r="O11304" s="14"/>
      <c r="P11304" s="13"/>
    </row>
    <row r="11305">
      <c r="L11305" s="13"/>
      <c r="M11305" s="14"/>
      <c r="N11305" s="14"/>
      <c r="O11305" s="14"/>
      <c r="P11305" s="13"/>
    </row>
    <row r="11306">
      <c r="L11306" s="13"/>
      <c r="M11306" s="14"/>
      <c r="N11306" s="14"/>
      <c r="O11306" s="14"/>
      <c r="P11306" s="13"/>
    </row>
    <row r="11307">
      <c r="L11307" s="13"/>
      <c r="M11307" s="14"/>
      <c r="N11307" s="14"/>
      <c r="O11307" s="14"/>
      <c r="P11307" s="13"/>
    </row>
    <row r="11308">
      <c r="L11308" s="13"/>
      <c r="M11308" s="14"/>
      <c r="N11308" s="14"/>
      <c r="O11308" s="14"/>
      <c r="P11308" s="13"/>
    </row>
    <row r="11309">
      <c r="L11309" s="13"/>
      <c r="M11309" s="14"/>
      <c r="N11309" s="14"/>
      <c r="O11309" s="14"/>
      <c r="P11309" s="13"/>
    </row>
    <row r="11310">
      <c r="L11310" s="13"/>
      <c r="M11310" s="14"/>
      <c r="N11310" s="14"/>
      <c r="O11310" s="14"/>
      <c r="P11310" s="13"/>
    </row>
    <row r="11311">
      <c r="L11311" s="13"/>
      <c r="M11311" s="14"/>
      <c r="N11311" s="14"/>
      <c r="O11311" s="14"/>
      <c r="P11311" s="13"/>
    </row>
    <row r="11312">
      <c r="L11312" s="13"/>
      <c r="M11312" s="14"/>
      <c r="N11312" s="14"/>
      <c r="O11312" s="14"/>
      <c r="P11312" s="13"/>
    </row>
    <row r="11313">
      <c r="L11313" s="13"/>
      <c r="M11313" s="14"/>
      <c r="N11313" s="14"/>
      <c r="O11313" s="14"/>
      <c r="P11313" s="13"/>
    </row>
    <row r="11314">
      <c r="L11314" s="13"/>
      <c r="M11314" s="14"/>
      <c r="N11314" s="14"/>
      <c r="O11314" s="14"/>
      <c r="P11314" s="13"/>
    </row>
    <row r="11315">
      <c r="L11315" s="13"/>
      <c r="M11315" s="14"/>
      <c r="N11315" s="14"/>
      <c r="O11315" s="14"/>
      <c r="P11315" s="13"/>
    </row>
    <row r="11316">
      <c r="L11316" s="13"/>
      <c r="M11316" s="14"/>
      <c r="N11316" s="14"/>
      <c r="O11316" s="14"/>
      <c r="P11316" s="13"/>
    </row>
    <row r="11317">
      <c r="L11317" s="13"/>
      <c r="M11317" s="14"/>
      <c r="N11317" s="14"/>
      <c r="O11317" s="14"/>
      <c r="P11317" s="13"/>
    </row>
    <row r="11318">
      <c r="L11318" s="13"/>
      <c r="M11318" s="14"/>
      <c r="N11318" s="14"/>
      <c r="O11318" s="14"/>
      <c r="P11318" s="13"/>
    </row>
    <row r="11319">
      <c r="L11319" s="13"/>
      <c r="M11319" s="14"/>
      <c r="N11319" s="14"/>
      <c r="O11319" s="14"/>
      <c r="P11319" s="13"/>
    </row>
    <row r="11320">
      <c r="L11320" s="13"/>
      <c r="M11320" s="14"/>
      <c r="N11320" s="14"/>
      <c r="O11320" s="14"/>
      <c r="P11320" s="13"/>
    </row>
    <row r="11321">
      <c r="L11321" s="13"/>
      <c r="M11321" s="14"/>
      <c r="N11321" s="14"/>
      <c r="O11321" s="14"/>
      <c r="P11321" s="13"/>
    </row>
    <row r="11322">
      <c r="L11322" s="13"/>
      <c r="M11322" s="14"/>
      <c r="N11322" s="14"/>
      <c r="O11322" s="14"/>
      <c r="P11322" s="13"/>
    </row>
    <row r="11323">
      <c r="L11323" s="13"/>
      <c r="M11323" s="14"/>
      <c r="N11323" s="14"/>
      <c r="O11323" s="14"/>
      <c r="P11323" s="13"/>
    </row>
    <row r="11324">
      <c r="L11324" s="13"/>
      <c r="M11324" s="14"/>
      <c r="N11324" s="14"/>
      <c r="O11324" s="14"/>
      <c r="P11324" s="13"/>
    </row>
    <row r="11325">
      <c r="L11325" s="13"/>
      <c r="M11325" s="14"/>
      <c r="N11325" s="14"/>
      <c r="O11325" s="14"/>
      <c r="P11325" s="13"/>
    </row>
    <row r="11326">
      <c r="L11326" s="13"/>
      <c r="M11326" s="14"/>
      <c r="N11326" s="14"/>
      <c r="O11326" s="14"/>
      <c r="P11326" s="13"/>
    </row>
    <row r="11327">
      <c r="L11327" s="13"/>
      <c r="M11327" s="14"/>
      <c r="N11327" s="14"/>
      <c r="O11327" s="14"/>
      <c r="P11327" s="13"/>
    </row>
    <row r="11328">
      <c r="L11328" s="13"/>
      <c r="M11328" s="14"/>
      <c r="N11328" s="14"/>
      <c r="O11328" s="14"/>
      <c r="P11328" s="13"/>
    </row>
    <row r="11329">
      <c r="L11329" s="13"/>
      <c r="M11329" s="14"/>
      <c r="N11329" s="14"/>
      <c r="O11329" s="14"/>
      <c r="P11329" s="13"/>
    </row>
    <row r="11330">
      <c r="L11330" s="13"/>
      <c r="M11330" s="14"/>
      <c r="N11330" s="14"/>
      <c r="O11330" s="14"/>
      <c r="P11330" s="13"/>
    </row>
    <row r="11331">
      <c r="L11331" s="13"/>
      <c r="M11331" s="14"/>
      <c r="N11331" s="14"/>
      <c r="O11331" s="14"/>
      <c r="P11331" s="13"/>
    </row>
    <row r="11332">
      <c r="L11332" s="13"/>
      <c r="M11332" s="14"/>
      <c r="N11332" s="14"/>
      <c r="O11332" s="14"/>
      <c r="P11332" s="13"/>
    </row>
    <row r="11333">
      <c r="L11333" s="13"/>
      <c r="M11333" s="14"/>
      <c r="N11333" s="14"/>
      <c r="O11333" s="14"/>
      <c r="P11333" s="13"/>
    </row>
    <row r="11334">
      <c r="L11334" s="13"/>
      <c r="M11334" s="14"/>
      <c r="N11334" s="14"/>
      <c r="O11334" s="14"/>
      <c r="P11334" s="13"/>
    </row>
    <row r="11335">
      <c r="L11335" s="13"/>
      <c r="M11335" s="14"/>
      <c r="N11335" s="14"/>
      <c r="O11335" s="14"/>
      <c r="P11335" s="13"/>
    </row>
    <row r="11336">
      <c r="L11336" s="13"/>
      <c r="M11336" s="14"/>
      <c r="N11336" s="14"/>
      <c r="O11336" s="14"/>
      <c r="P11336" s="13"/>
    </row>
    <row r="11337">
      <c r="L11337" s="13"/>
      <c r="M11337" s="14"/>
      <c r="N11337" s="14"/>
      <c r="O11337" s="14"/>
      <c r="P11337" s="13"/>
    </row>
    <row r="11338">
      <c r="L11338" s="13"/>
      <c r="M11338" s="14"/>
      <c r="N11338" s="14"/>
      <c r="O11338" s="14"/>
      <c r="P11338" s="13"/>
    </row>
    <row r="11339">
      <c r="L11339" s="13"/>
      <c r="M11339" s="14"/>
      <c r="N11339" s="14"/>
      <c r="O11339" s="14"/>
      <c r="P11339" s="13"/>
    </row>
    <row r="11340">
      <c r="L11340" s="13"/>
      <c r="M11340" s="14"/>
      <c r="N11340" s="14"/>
      <c r="O11340" s="14"/>
      <c r="P11340" s="13"/>
    </row>
    <row r="11341">
      <c r="L11341" s="13"/>
      <c r="M11341" s="14"/>
      <c r="N11341" s="14"/>
      <c r="O11341" s="14"/>
      <c r="P11341" s="13"/>
    </row>
    <row r="11342">
      <c r="L11342" s="13"/>
      <c r="M11342" s="14"/>
      <c r="N11342" s="14"/>
      <c r="O11342" s="14"/>
      <c r="P11342" s="13"/>
    </row>
    <row r="11343">
      <c r="L11343" s="13"/>
      <c r="M11343" s="14"/>
      <c r="N11343" s="14"/>
      <c r="O11343" s="14"/>
      <c r="P11343" s="13"/>
    </row>
    <row r="11344">
      <c r="L11344" s="13"/>
      <c r="M11344" s="14"/>
      <c r="N11344" s="14"/>
      <c r="O11344" s="14"/>
      <c r="P11344" s="13"/>
    </row>
    <row r="11345">
      <c r="L11345" s="13"/>
      <c r="M11345" s="14"/>
      <c r="N11345" s="14"/>
      <c r="O11345" s="14"/>
      <c r="P11345" s="13"/>
    </row>
    <row r="11346">
      <c r="L11346" s="13"/>
      <c r="M11346" s="14"/>
      <c r="N11346" s="14"/>
      <c r="O11346" s="14"/>
      <c r="P11346" s="13"/>
    </row>
    <row r="11347">
      <c r="L11347" s="13"/>
      <c r="M11347" s="14"/>
      <c r="N11347" s="14"/>
      <c r="O11347" s="14"/>
      <c r="P11347" s="13"/>
    </row>
    <row r="11348">
      <c r="L11348" s="13"/>
      <c r="M11348" s="14"/>
      <c r="N11348" s="14"/>
      <c r="O11348" s="14"/>
      <c r="P11348" s="13"/>
    </row>
    <row r="11349">
      <c r="L11349" s="13"/>
      <c r="M11349" s="14"/>
      <c r="N11349" s="14"/>
      <c r="O11349" s="14"/>
      <c r="P11349" s="13"/>
    </row>
    <row r="11350">
      <c r="L11350" s="13"/>
      <c r="M11350" s="14"/>
      <c r="N11350" s="14"/>
      <c r="O11350" s="14"/>
      <c r="P11350" s="13"/>
    </row>
    <row r="11351">
      <c r="L11351" s="13"/>
      <c r="M11351" s="14"/>
      <c r="N11351" s="14"/>
      <c r="O11351" s="14"/>
      <c r="P11351" s="13"/>
    </row>
    <row r="11352">
      <c r="L11352" s="13"/>
      <c r="M11352" s="14"/>
      <c r="N11352" s="14"/>
      <c r="O11352" s="14"/>
      <c r="P11352" s="13"/>
    </row>
    <row r="11353">
      <c r="L11353" s="13"/>
      <c r="M11353" s="14"/>
      <c r="N11353" s="14"/>
      <c r="O11353" s="14"/>
      <c r="P11353" s="13"/>
    </row>
    <row r="11354">
      <c r="L11354" s="13"/>
      <c r="M11354" s="14"/>
      <c r="N11354" s="14"/>
      <c r="O11354" s="14"/>
      <c r="P11354" s="13"/>
    </row>
    <row r="11355">
      <c r="L11355" s="13"/>
      <c r="M11355" s="14"/>
      <c r="N11355" s="14"/>
      <c r="O11355" s="14"/>
      <c r="P11355" s="13"/>
    </row>
    <row r="11356">
      <c r="L11356" s="13"/>
      <c r="M11356" s="14"/>
      <c r="N11356" s="14"/>
      <c r="O11356" s="14"/>
      <c r="P11356" s="13"/>
    </row>
    <row r="11357">
      <c r="L11357" s="13"/>
      <c r="M11357" s="14"/>
      <c r="N11357" s="14"/>
      <c r="O11357" s="14"/>
      <c r="P11357" s="13"/>
    </row>
    <row r="11358">
      <c r="L11358" s="13"/>
      <c r="M11358" s="14"/>
      <c r="N11358" s="14"/>
      <c r="O11358" s="14"/>
      <c r="P11358" s="13"/>
    </row>
    <row r="11359">
      <c r="L11359" s="13"/>
      <c r="M11359" s="14"/>
      <c r="N11359" s="14"/>
      <c r="O11359" s="14"/>
      <c r="P11359" s="13"/>
    </row>
    <row r="11360">
      <c r="L11360" s="13"/>
      <c r="M11360" s="14"/>
      <c r="N11360" s="14"/>
      <c r="O11360" s="14"/>
      <c r="P11360" s="13"/>
    </row>
    <row r="11361">
      <c r="L11361" s="13"/>
      <c r="M11361" s="14"/>
      <c r="N11361" s="14"/>
      <c r="O11361" s="14"/>
      <c r="P11361" s="13"/>
    </row>
    <row r="11362">
      <c r="L11362" s="13"/>
      <c r="M11362" s="14"/>
      <c r="N11362" s="14"/>
      <c r="O11362" s="14"/>
      <c r="P11362" s="13"/>
    </row>
    <row r="11363">
      <c r="L11363" s="13"/>
      <c r="M11363" s="14"/>
      <c r="N11363" s="14"/>
      <c r="O11363" s="14"/>
      <c r="P11363" s="13"/>
    </row>
    <row r="11364">
      <c r="L11364" s="13"/>
      <c r="M11364" s="14"/>
      <c r="N11364" s="14"/>
      <c r="O11364" s="14"/>
      <c r="P11364" s="13"/>
    </row>
    <row r="11365">
      <c r="L11365" s="13"/>
      <c r="M11365" s="14"/>
      <c r="N11365" s="14"/>
      <c r="O11365" s="14"/>
      <c r="P11365" s="13"/>
    </row>
    <row r="11366">
      <c r="L11366" s="13"/>
      <c r="M11366" s="14"/>
      <c r="N11366" s="14"/>
      <c r="O11366" s="14"/>
      <c r="P11366" s="13"/>
    </row>
    <row r="11367">
      <c r="L11367" s="13"/>
      <c r="M11367" s="14"/>
      <c r="N11367" s="14"/>
      <c r="O11367" s="14"/>
      <c r="P11367" s="13"/>
    </row>
    <row r="11368">
      <c r="L11368" s="13"/>
      <c r="M11368" s="14"/>
      <c r="N11368" s="14"/>
      <c r="O11368" s="14"/>
      <c r="P11368" s="13"/>
    </row>
    <row r="11369">
      <c r="L11369" s="13"/>
      <c r="M11369" s="14"/>
      <c r="N11369" s="14"/>
      <c r="O11369" s="14"/>
      <c r="P11369" s="13"/>
    </row>
    <row r="11370">
      <c r="L11370" s="13"/>
      <c r="M11370" s="14"/>
      <c r="N11370" s="14"/>
      <c r="O11370" s="14"/>
      <c r="P11370" s="13"/>
    </row>
    <row r="11371">
      <c r="L11371" s="13"/>
      <c r="M11371" s="14"/>
      <c r="N11371" s="14"/>
      <c r="O11371" s="14"/>
      <c r="P11371" s="13"/>
    </row>
    <row r="11372">
      <c r="L11372" s="13"/>
      <c r="M11372" s="14"/>
      <c r="N11372" s="14"/>
      <c r="O11372" s="14"/>
      <c r="P11372" s="13"/>
    </row>
    <row r="11373">
      <c r="L11373" s="13"/>
      <c r="M11373" s="14"/>
      <c r="N11373" s="14"/>
      <c r="O11373" s="14"/>
      <c r="P11373" s="13"/>
    </row>
    <row r="11374">
      <c r="L11374" s="13"/>
      <c r="M11374" s="14"/>
      <c r="N11374" s="14"/>
      <c r="O11374" s="14"/>
      <c r="P11374" s="13"/>
    </row>
    <row r="11375">
      <c r="L11375" s="13"/>
      <c r="M11375" s="14"/>
      <c r="N11375" s="14"/>
      <c r="O11375" s="14"/>
      <c r="P11375" s="13"/>
    </row>
    <row r="11376">
      <c r="L11376" s="13"/>
      <c r="M11376" s="14"/>
      <c r="N11376" s="14"/>
      <c r="O11376" s="14"/>
      <c r="P11376" s="13"/>
    </row>
    <row r="11377">
      <c r="L11377" s="13"/>
      <c r="M11377" s="14"/>
      <c r="N11377" s="14"/>
      <c r="O11377" s="14"/>
      <c r="P11377" s="13"/>
    </row>
    <row r="11378">
      <c r="L11378" s="13"/>
      <c r="M11378" s="14"/>
      <c r="N11378" s="14"/>
      <c r="O11378" s="14"/>
      <c r="P11378" s="13"/>
    </row>
    <row r="11379">
      <c r="L11379" s="13"/>
      <c r="M11379" s="14"/>
      <c r="N11379" s="14"/>
      <c r="O11379" s="14"/>
      <c r="P11379" s="13"/>
    </row>
    <row r="11380">
      <c r="L11380" s="13"/>
      <c r="M11380" s="14"/>
      <c r="N11380" s="14"/>
      <c r="O11380" s="14"/>
      <c r="P11380" s="13"/>
    </row>
    <row r="11381">
      <c r="L11381" s="13"/>
      <c r="M11381" s="14"/>
      <c r="N11381" s="14"/>
      <c r="O11381" s="14"/>
      <c r="P11381" s="13"/>
    </row>
    <row r="11382">
      <c r="L11382" s="13"/>
      <c r="M11382" s="14"/>
      <c r="N11382" s="14"/>
      <c r="O11382" s="14"/>
      <c r="P11382" s="13"/>
    </row>
    <row r="11383">
      <c r="L11383" s="13"/>
      <c r="M11383" s="14"/>
      <c r="N11383" s="14"/>
      <c r="O11383" s="14"/>
      <c r="P11383" s="13"/>
    </row>
    <row r="11384">
      <c r="L11384" s="13"/>
      <c r="M11384" s="14"/>
      <c r="N11384" s="14"/>
      <c r="O11384" s="14"/>
      <c r="P11384" s="13"/>
    </row>
    <row r="11385">
      <c r="L11385" s="13"/>
      <c r="M11385" s="14"/>
      <c r="N11385" s="14"/>
      <c r="O11385" s="14"/>
      <c r="P11385" s="13"/>
    </row>
    <row r="11386">
      <c r="L11386" s="13"/>
      <c r="M11386" s="14"/>
      <c r="N11386" s="14"/>
      <c r="O11386" s="14"/>
      <c r="P11386" s="13"/>
    </row>
    <row r="11387">
      <c r="L11387" s="13"/>
      <c r="M11387" s="14"/>
      <c r="N11387" s="14"/>
      <c r="O11387" s="14"/>
      <c r="P11387" s="13"/>
    </row>
    <row r="11388">
      <c r="L11388" s="13"/>
      <c r="M11388" s="14"/>
      <c r="N11388" s="14"/>
      <c r="O11388" s="14"/>
      <c r="P11388" s="13"/>
    </row>
    <row r="11389">
      <c r="L11389" s="13"/>
      <c r="M11389" s="14"/>
      <c r="N11389" s="14"/>
      <c r="O11389" s="14"/>
      <c r="P11389" s="13"/>
    </row>
    <row r="11390">
      <c r="L11390" s="13"/>
      <c r="M11390" s="14"/>
      <c r="N11390" s="14"/>
      <c r="O11390" s="14"/>
      <c r="P11390" s="13"/>
    </row>
    <row r="11391">
      <c r="L11391" s="13"/>
      <c r="M11391" s="14"/>
      <c r="N11391" s="14"/>
      <c r="O11391" s="14"/>
      <c r="P11391" s="13"/>
    </row>
    <row r="11392">
      <c r="L11392" s="13"/>
      <c r="M11392" s="14"/>
      <c r="N11392" s="14"/>
      <c r="O11392" s="14"/>
      <c r="P11392" s="13"/>
    </row>
    <row r="11393">
      <c r="L11393" s="13"/>
      <c r="M11393" s="14"/>
      <c r="N11393" s="14"/>
      <c r="O11393" s="14"/>
      <c r="P11393" s="13"/>
    </row>
    <row r="11394">
      <c r="L11394" s="13"/>
      <c r="M11394" s="14"/>
      <c r="N11394" s="14"/>
      <c r="O11394" s="14"/>
      <c r="P11394" s="13"/>
    </row>
    <row r="11395">
      <c r="L11395" s="13"/>
      <c r="M11395" s="14"/>
      <c r="N11395" s="14"/>
      <c r="O11395" s="14"/>
      <c r="P11395" s="13"/>
    </row>
    <row r="11396">
      <c r="L11396" s="13"/>
      <c r="M11396" s="14"/>
      <c r="N11396" s="14"/>
      <c r="O11396" s="14"/>
      <c r="P11396" s="13"/>
    </row>
    <row r="11397">
      <c r="L11397" s="13"/>
      <c r="M11397" s="14"/>
      <c r="N11397" s="14"/>
      <c r="O11397" s="14"/>
      <c r="P11397" s="13"/>
    </row>
    <row r="11398">
      <c r="L11398" s="13"/>
      <c r="M11398" s="14"/>
      <c r="N11398" s="14"/>
      <c r="O11398" s="14"/>
      <c r="P11398" s="13"/>
    </row>
    <row r="11399">
      <c r="L11399" s="13"/>
      <c r="M11399" s="14"/>
      <c r="N11399" s="14"/>
      <c r="O11399" s="14"/>
      <c r="P11399" s="13"/>
    </row>
    <row r="11400">
      <c r="L11400" s="13"/>
      <c r="M11400" s="14"/>
      <c r="N11400" s="14"/>
      <c r="O11400" s="14"/>
      <c r="P11400" s="13"/>
    </row>
    <row r="11401">
      <c r="L11401" s="13"/>
      <c r="M11401" s="14"/>
      <c r="N11401" s="14"/>
      <c r="O11401" s="14"/>
      <c r="P11401" s="13"/>
    </row>
    <row r="11402">
      <c r="L11402" s="13"/>
      <c r="M11402" s="14"/>
      <c r="N11402" s="14"/>
      <c r="O11402" s="14"/>
      <c r="P11402" s="13"/>
    </row>
    <row r="11403">
      <c r="L11403" s="13"/>
      <c r="M11403" s="14"/>
      <c r="N11403" s="14"/>
      <c r="O11403" s="14"/>
      <c r="P11403" s="13"/>
    </row>
    <row r="11404">
      <c r="L11404" s="13"/>
      <c r="M11404" s="14"/>
      <c r="N11404" s="14"/>
      <c r="O11404" s="14"/>
      <c r="P11404" s="13"/>
    </row>
    <row r="11405">
      <c r="L11405" s="13"/>
      <c r="M11405" s="14"/>
      <c r="N11405" s="14"/>
      <c r="O11405" s="14"/>
      <c r="P11405" s="13"/>
    </row>
    <row r="11406">
      <c r="L11406" s="13"/>
      <c r="M11406" s="14"/>
      <c r="N11406" s="14"/>
      <c r="O11406" s="14"/>
      <c r="P11406" s="13"/>
    </row>
    <row r="11407">
      <c r="L11407" s="13"/>
      <c r="M11407" s="14"/>
      <c r="N11407" s="14"/>
      <c r="O11407" s="14"/>
      <c r="P11407" s="13"/>
    </row>
    <row r="11408">
      <c r="L11408" s="13"/>
      <c r="M11408" s="14"/>
      <c r="N11408" s="14"/>
      <c r="O11408" s="14"/>
      <c r="P11408" s="13"/>
    </row>
    <row r="11409">
      <c r="L11409" s="13"/>
      <c r="M11409" s="14"/>
      <c r="N11409" s="14"/>
      <c r="O11409" s="14"/>
      <c r="P11409" s="13"/>
    </row>
    <row r="11410">
      <c r="L11410" s="13"/>
      <c r="M11410" s="14"/>
      <c r="N11410" s="14"/>
      <c r="O11410" s="14"/>
      <c r="P11410" s="13"/>
    </row>
    <row r="11411">
      <c r="L11411" s="13"/>
      <c r="M11411" s="14"/>
      <c r="N11411" s="14"/>
      <c r="O11411" s="14"/>
      <c r="P11411" s="13"/>
    </row>
    <row r="11412">
      <c r="L11412" s="13"/>
      <c r="M11412" s="14"/>
      <c r="N11412" s="14"/>
      <c r="O11412" s="14"/>
      <c r="P11412" s="13"/>
    </row>
    <row r="11413">
      <c r="L11413" s="13"/>
      <c r="M11413" s="14"/>
      <c r="N11413" s="14"/>
      <c r="O11413" s="14"/>
      <c r="P11413" s="13"/>
    </row>
    <row r="11414">
      <c r="L11414" s="13"/>
      <c r="M11414" s="14"/>
      <c r="N11414" s="14"/>
      <c r="O11414" s="14"/>
      <c r="P11414" s="13"/>
    </row>
    <row r="11415">
      <c r="L11415" s="13"/>
      <c r="M11415" s="14"/>
      <c r="N11415" s="14"/>
      <c r="O11415" s="14"/>
      <c r="P11415" s="13"/>
    </row>
    <row r="11416">
      <c r="L11416" s="13"/>
      <c r="M11416" s="14"/>
      <c r="N11416" s="14"/>
      <c r="O11416" s="14"/>
      <c r="P11416" s="13"/>
    </row>
    <row r="11417">
      <c r="L11417" s="13"/>
      <c r="M11417" s="14"/>
      <c r="N11417" s="14"/>
      <c r="O11417" s="14"/>
      <c r="P11417" s="13"/>
    </row>
    <row r="11418">
      <c r="L11418" s="13"/>
      <c r="M11418" s="14"/>
      <c r="N11418" s="14"/>
      <c r="O11418" s="14"/>
      <c r="P11418" s="13"/>
    </row>
    <row r="11419">
      <c r="L11419" s="13"/>
      <c r="M11419" s="14"/>
      <c r="N11419" s="14"/>
      <c r="O11419" s="14"/>
      <c r="P11419" s="13"/>
    </row>
    <row r="11420">
      <c r="L11420" s="13"/>
      <c r="M11420" s="14"/>
      <c r="N11420" s="14"/>
      <c r="O11420" s="14"/>
      <c r="P11420" s="13"/>
    </row>
    <row r="11421">
      <c r="L11421" s="13"/>
      <c r="M11421" s="14"/>
      <c r="N11421" s="14"/>
      <c r="O11421" s="14"/>
      <c r="P11421" s="13"/>
    </row>
    <row r="11422">
      <c r="L11422" s="13"/>
      <c r="M11422" s="14"/>
      <c r="N11422" s="14"/>
      <c r="O11422" s="14"/>
      <c r="P11422" s="13"/>
    </row>
    <row r="11423">
      <c r="L11423" s="13"/>
      <c r="M11423" s="14"/>
      <c r="N11423" s="14"/>
      <c r="O11423" s="14"/>
      <c r="P11423" s="13"/>
    </row>
    <row r="11424">
      <c r="L11424" s="13"/>
      <c r="M11424" s="14"/>
      <c r="N11424" s="14"/>
      <c r="O11424" s="14"/>
      <c r="P11424" s="13"/>
    </row>
    <row r="11425">
      <c r="L11425" s="13"/>
      <c r="M11425" s="14"/>
      <c r="N11425" s="14"/>
      <c r="O11425" s="14"/>
      <c r="P11425" s="13"/>
    </row>
    <row r="11426">
      <c r="L11426" s="13"/>
      <c r="M11426" s="14"/>
      <c r="N11426" s="14"/>
      <c r="O11426" s="14"/>
      <c r="P11426" s="13"/>
    </row>
    <row r="11427">
      <c r="L11427" s="13"/>
      <c r="M11427" s="14"/>
      <c r="N11427" s="14"/>
      <c r="O11427" s="14"/>
      <c r="P11427" s="13"/>
    </row>
    <row r="11428">
      <c r="L11428" s="13"/>
      <c r="M11428" s="14"/>
      <c r="N11428" s="14"/>
      <c r="O11428" s="14"/>
      <c r="P11428" s="13"/>
    </row>
    <row r="11429">
      <c r="L11429" s="13"/>
      <c r="M11429" s="14"/>
      <c r="N11429" s="14"/>
      <c r="O11429" s="14"/>
      <c r="P11429" s="13"/>
    </row>
    <row r="11430">
      <c r="L11430" s="13"/>
      <c r="M11430" s="14"/>
      <c r="N11430" s="14"/>
      <c r="O11430" s="14"/>
      <c r="P11430" s="13"/>
    </row>
    <row r="11431">
      <c r="L11431" s="13"/>
      <c r="M11431" s="14"/>
      <c r="N11431" s="14"/>
      <c r="O11431" s="14"/>
      <c r="P11431" s="13"/>
    </row>
    <row r="11432">
      <c r="L11432" s="13"/>
      <c r="M11432" s="14"/>
      <c r="N11432" s="14"/>
      <c r="O11432" s="14"/>
      <c r="P11432" s="13"/>
    </row>
    <row r="11433">
      <c r="L11433" s="13"/>
      <c r="M11433" s="14"/>
      <c r="N11433" s="14"/>
      <c r="O11433" s="14"/>
      <c r="P11433" s="13"/>
    </row>
    <row r="11434">
      <c r="L11434" s="13"/>
      <c r="M11434" s="14"/>
      <c r="N11434" s="14"/>
      <c r="O11434" s="14"/>
      <c r="P11434" s="13"/>
    </row>
    <row r="11435">
      <c r="L11435" s="13"/>
      <c r="M11435" s="14"/>
      <c r="N11435" s="14"/>
      <c r="O11435" s="14"/>
      <c r="P11435" s="13"/>
    </row>
    <row r="11436">
      <c r="L11436" s="13"/>
      <c r="M11436" s="14"/>
      <c r="N11436" s="14"/>
      <c r="O11436" s="14"/>
      <c r="P11436" s="13"/>
    </row>
    <row r="11437">
      <c r="L11437" s="13"/>
      <c r="M11437" s="14"/>
      <c r="N11437" s="14"/>
      <c r="O11437" s="14"/>
      <c r="P11437" s="13"/>
    </row>
    <row r="11438">
      <c r="L11438" s="13"/>
      <c r="M11438" s="14"/>
      <c r="N11438" s="14"/>
      <c r="O11438" s="14"/>
      <c r="P11438" s="13"/>
    </row>
    <row r="11439">
      <c r="L11439" s="13"/>
      <c r="M11439" s="14"/>
      <c r="N11439" s="14"/>
      <c r="O11439" s="14"/>
      <c r="P11439" s="13"/>
    </row>
    <row r="11440">
      <c r="L11440" s="13"/>
      <c r="M11440" s="14"/>
      <c r="N11440" s="14"/>
      <c r="O11440" s="14"/>
      <c r="P11440" s="13"/>
    </row>
    <row r="11441">
      <c r="L11441" s="13"/>
      <c r="M11441" s="14"/>
      <c r="N11441" s="14"/>
      <c r="O11441" s="14"/>
      <c r="P11441" s="13"/>
    </row>
    <row r="11442">
      <c r="L11442" s="13"/>
      <c r="M11442" s="14"/>
      <c r="N11442" s="14"/>
      <c r="O11442" s="14"/>
      <c r="P11442" s="13"/>
    </row>
    <row r="11443">
      <c r="L11443" s="13"/>
      <c r="M11443" s="14"/>
      <c r="N11443" s="14"/>
      <c r="O11443" s="14"/>
      <c r="P11443" s="13"/>
    </row>
    <row r="11444">
      <c r="L11444" s="13"/>
      <c r="M11444" s="14"/>
      <c r="N11444" s="14"/>
      <c r="O11444" s="14"/>
      <c r="P11444" s="13"/>
    </row>
    <row r="11445">
      <c r="L11445" s="13"/>
      <c r="M11445" s="14"/>
      <c r="N11445" s="14"/>
      <c r="O11445" s="14"/>
      <c r="P11445" s="13"/>
    </row>
    <row r="11446">
      <c r="L11446" s="13"/>
      <c r="M11446" s="14"/>
      <c r="N11446" s="14"/>
      <c r="O11446" s="14"/>
      <c r="P11446" s="13"/>
    </row>
    <row r="11447">
      <c r="L11447" s="13"/>
      <c r="M11447" s="14"/>
      <c r="N11447" s="14"/>
      <c r="O11447" s="14"/>
      <c r="P11447" s="13"/>
    </row>
    <row r="11448">
      <c r="L11448" s="13"/>
      <c r="M11448" s="14"/>
      <c r="N11448" s="14"/>
      <c r="O11448" s="14"/>
      <c r="P11448" s="13"/>
    </row>
    <row r="11449">
      <c r="L11449" s="13"/>
      <c r="M11449" s="14"/>
      <c r="N11449" s="14"/>
      <c r="O11449" s="14"/>
      <c r="P11449" s="13"/>
    </row>
    <row r="11450">
      <c r="L11450" s="13"/>
      <c r="M11450" s="14"/>
      <c r="N11450" s="14"/>
      <c r="O11450" s="14"/>
      <c r="P11450" s="13"/>
    </row>
    <row r="11451">
      <c r="L11451" s="13"/>
      <c r="M11451" s="14"/>
      <c r="N11451" s="14"/>
      <c r="O11451" s="14"/>
      <c r="P11451" s="13"/>
    </row>
    <row r="11452">
      <c r="L11452" s="13"/>
      <c r="M11452" s="14"/>
      <c r="N11452" s="14"/>
      <c r="O11452" s="14"/>
      <c r="P11452" s="13"/>
    </row>
    <row r="11453">
      <c r="L11453" s="13"/>
      <c r="M11453" s="14"/>
      <c r="N11453" s="14"/>
      <c r="O11453" s="14"/>
      <c r="P11453" s="13"/>
    </row>
    <row r="11454">
      <c r="L11454" s="13"/>
      <c r="M11454" s="14"/>
      <c r="N11454" s="14"/>
      <c r="O11454" s="14"/>
      <c r="P11454" s="13"/>
    </row>
    <row r="11455">
      <c r="L11455" s="13"/>
      <c r="M11455" s="14"/>
      <c r="N11455" s="14"/>
      <c r="O11455" s="14"/>
      <c r="P11455" s="13"/>
    </row>
    <row r="11456">
      <c r="L11456" s="13"/>
      <c r="M11456" s="14"/>
      <c r="N11456" s="14"/>
      <c r="O11456" s="14"/>
      <c r="P11456" s="13"/>
    </row>
    <row r="11457">
      <c r="L11457" s="13"/>
      <c r="M11457" s="14"/>
      <c r="N11457" s="14"/>
      <c r="O11457" s="14"/>
      <c r="P11457" s="13"/>
    </row>
    <row r="11458">
      <c r="L11458" s="13"/>
      <c r="M11458" s="14"/>
      <c r="N11458" s="14"/>
      <c r="O11458" s="14"/>
      <c r="P11458" s="13"/>
    </row>
    <row r="11459">
      <c r="L11459" s="13"/>
      <c r="M11459" s="14"/>
      <c r="N11459" s="14"/>
      <c r="O11459" s="14"/>
      <c r="P11459" s="13"/>
    </row>
    <row r="11460">
      <c r="L11460" s="13"/>
      <c r="M11460" s="14"/>
      <c r="N11460" s="14"/>
      <c r="O11460" s="14"/>
      <c r="P11460" s="13"/>
    </row>
    <row r="11461">
      <c r="L11461" s="13"/>
      <c r="M11461" s="14"/>
      <c r="N11461" s="14"/>
      <c r="O11461" s="14"/>
      <c r="P11461" s="13"/>
    </row>
    <row r="11462">
      <c r="L11462" s="13"/>
      <c r="M11462" s="14"/>
      <c r="N11462" s="14"/>
      <c r="O11462" s="14"/>
      <c r="P11462" s="13"/>
    </row>
    <row r="11463">
      <c r="L11463" s="13"/>
      <c r="M11463" s="14"/>
      <c r="N11463" s="14"/>
      <c r="O11463" s="14"/>
      <c r="P11463" s="13"/>
    </row>
    <row r="11464">
      <c r="L11464" s="13"/>
      <c r="M11464" s="14"/>
      <c r="N11464" s="14"/>
      <c r="O11464" s="14"/>
      <c r="P11464" s="13"/>
    </row>
    <row r="11465">
      <c r="L11465" s="13"/>
      <c r="M11465" s="14"/>
      <c r="N11465" s="14"/>
      <c r="O11465" s="14"/>
      <c r="P11465" s="13"/>
    </row>
    <row r="11466">
      <c r="L11466" s="13"/>
      <c r="M11466" s="14"/>
      <c r="N11466" s="14"/>
      <c r="O11466" s="14"/>
      <c r="P11466" s="13"/>
    </row>
    <row r="11467">
      <c r="L11467" s="13"/>
      <c r="M11467" s="14"/>
      <c r="N11467" s="14"/>
      <c r="O11467" s="14"/>
      <c r="P11467" s="13"/>
    </row>
    <row r="11468">
      <c r="L11468" s="13"/>
      <c r="M11468" s="14"/>
      <c r="N11468" s="14"/>
      <c r="O11468" s="14"/>
      <c r="P11468" s="13"/>
    </row>
    <row r="11469">
      <c r="L11469" s="13"/>
      <c r="M11469" s="14"/>
      <c r="N11469" s="14"/>
      <c r="O11469" s="14"/>
      <c r="P11469" s="13"/>
    </row>
    <row r="11470">
      <c r="L11470" s="13"/>
      <c r="M11470" s="14"/>
      <c r="N11470" s="14"/>
      <c r="O11470" s="14"/>
      <c r="P11470" s="13"/>
    </row>
    <row r="11471">
      <c r="L11471" s="13"/>
      <c r="M11471" s="14"/>
      <c r="N11471" s="14"/>
      <c r="O11471" s="14"/>
      <c r="P11471" s="13"/>
    </row>
    <row r="11472">
      <c r="L11472" s="13"/>
      <c r="M11472" s="14"/>
      <c r="N11472" s="14"/>
      <c r="O11472" s="14"/>
      <c r="P11472" s="13"/>
    </row>
    <row r="11473">
      <c r="L11473" s="13"/>
      <c r="M11473" s="14"/>
      <c r="N11473" s="14"/>
      <c r="O11473" s="14"/>
      <c r="P11473" s="13"/>
    </row>
    <row r="11474">
      <c r="L11474" s="13"/>
      <c r="M11474" s="14"/>
      <c r="N11474" s="14"/>
      <c r="O11474" s="14"/>
      <c r="P11474" s="13"/>
    </row>
    <row r="11475">
      <c r="L11475" s="13"/>
      <c r="M11475" s="14"/>
      <c r="N11475" s="14"/>
      <c r="O11475" s="14"/>
      <c r="P11475" s="13"/>
    </row>
    <row r="11476">
      <c r="L11476" s="13"/>
      <c r="M11476" s="14"/>
      <c r="N11476" s="14"/>
      <c r="O11476" s="14"/>
      <c r="P11476" s="13"/>
    </row>
    <row r="11477">
      <c r="L11477" s="13"/>
      <c r="M11477" s="14"/>
      <c r="N11477" s="14"/>
      <c r="O11477" s="14"/>
      <c r="P11477" s="13"/>
    </row>
    <row r="11478">
      <c r="L11478" s="13"/>
      <c r="M11478" s="14"/>
      <c r="N11478" s="14"/>
      <c r="O11478" s="14"/>
      <c r="P11478" s="13"/>
    </row>
    <row r="11479">
      <c r="L11479" s="13"/>
      <c r="M11479" s="14"/>
      <c r="N11479" s="14"/>
      <c r="O11479" s="14"/>
      <c r="P11479" s="13"/>
    </row>
    <row r="11480">
      <c r="L11480" s="13"/>
      <c r="M11480" s="14"/>
      <c r="N11480" s="14"/>
      <c r="O11480" s="14"/>
      <c r="P11480" s="13"/>
    </row>
    <row r="11481">
      <c r="L11481" s="13"/>
      <c r="M11481" s="14"/>
      <c r="N11481" s="14"/>
      <c r="O11481" s="14"/>
      <c r="P11481" s="13"/>
    </row>
    <row r="11482">
      <c r="L11482" s="13"/>
      <c r="M11482" s="14"/>
      <c r="N11482" s="14"/>
      <c r="O11482" s="14"/>
      <c r="P11482" s="13"/>
    </row>
    <row r="11483">
      <c r="L11483" s="13"/>
      <c r="M11483" s="14"/>
      <c r="N11483" s="14"/>
      <c r="O11483" s="14"/>
      <c r="P11483" s="13"/>
    </row>
    <row r="11484">
      <c r="L11484" s="13"/>
      <c r="M11484" s="14"/>
      <c r="N11484" s="14"/>
      <c r="O11484" s="14"/>
      <c r="P11484" s="13"/>
    </row>
    <row r="11485">
      <c r="L11485" s="13"/>
      <c r="M11485" s="14"/>
      <c r="N11485" s="14"/>
      <c r="O11485" s="14"/>
      <c r="P11485" s="13"/>
    </row>
    <row r="11486">
      <c r="L11486" s="13"/>
      <c r="M11486" s="14"/>
      <c r="N11486" s="14"/>
      <c r="O11486" s="14"/>
      <c r="P11486" s="13"/>
    </row>
    <row r="11487">
      <c r="L11487" s="13"/>
      <c r="M11487" s="14"/>
      <c r="N11487" s="14"/>
      <c r="O11487" s="14"/>
      <c r="P11487" s="13"/>
    </row>
    <row r="11488">
      <c r="L11488" s="13"/>
      <c r="M11488" s="14"/>
      <c r="N11488" s="14"/>
      <c r="O11488" s="14"/>
      <c r="P11488" s="13"/>
    </row>
    <row r="11489">
      <c r="L11489" s="13"/>
      <c r="M11489" s="14"/>
      <c r="N11489" s="14"/>
      <c r="O11489" s="14"/>
      <c r="P11489" s="13"/>
    </row>
    <row r="11490">
      <c r="L11490" s="13"/>
      <c r="M11490" s="14"/>
      <c r="N11490" s="14"/>
      <c r="O11490" s="14"/>
      <c r="P11490" s="13"/>
    </row>
    <row r="11491">
      <c r="L11491" s="13"/>
      <c r="M11491" s="14"/>
      <c r="N11491" s="14"/>
      <c r="O11491" s="14"/>
      <c r="P11491" s="13"/>
    </row>
    <row r="11492">
      <c r="L11492" s="13"/>
      <c r="M11492" s="14"/>
      <c r="N11492" s="14"/>
      <c r="O11492" s="14"/>
      <c r="P11492" s="13"/>
    </row>
    <row r="11493">
      <c r="L11493" s="13"/>
      <c r="M11493" s="14"/>
      <c r="N11493" s="14"/>
      <c r="O11493" s="14"/>
      <c r="P11493" s="13"/>
    </row>
    <row r="11494">
      <c r="L11494" s="13"/>
      <c r="M11494" s="14"/>
      <c r="N11494" s="14"/>
      <c r="O11494" s="14"/>
      <c r="P11494" s="13"/>
    </row>
    <row r="11495">
      <c r="L11495" s="13"/>
      <c r="M11495" s="14"/>
      <c r="N11495" s="14"/>
      <c r="O11495" s="14"/>
      <c r="P11495" s="13"/>
    </row>
    <row r="11496">
      <c r="L11496" s="13"/>
      <c r="M11496" s="14"/>
      <c r="N11496" s="14"/>
      <c r="O11496" s="14"/>
      <c r="P11496" s="13"/>
    </row>
    <row r="11497">
      <c r="L11497" s="13"/>
      <c r="M11497" s="14"/>
      <c r="N11497" s="14"/>
      <c r="O11497" s="14"/>
      <c r="P11497" s="13"/>
    </row>
    <row r="11498">
      <c r="L11498" s="13"/>
      <c r="M11498" s="14"/>
      <c r="N11498" s="14"/>
      <c r="O11498" s="14"/>
      <c r="P11498" s="13"/>
    </row>
    <row r="11499">
      <c r="L11499" s="13"/>
      <c r="M11499" s="14"/>
      <c r="N11499" s="14"/>
      <c r="O11499" s="14"/>
      <c r="P11499" s="13"/>
    </row>
    <row r="11500">
      <c r="L11500" s="13"/>
      <c r="M11500" s="14"/>
      <c r="N11500" s="14"/>
      <c r="O11500" s="14"/>
      <c r="P11500" s="13"/>
    </row>
    <row r="11501">
      <c r="L11501" s="13"/>
      <c r="M11501" s="14"/>
      <c r="N11501" s="14"/>
      <c r="O11501" s="14"/>
      <c r="P11501" s="13"/>
    </row>
    <row r="11502">
      <c r="L11502" s="13"/>
      <c r="M11502" s="14"/>
      <c r="N11502" s="14"/>
      <c r="O11502" s="14"/>
      <c r="P11502" s="13"/>
    </row>
    <row r="11503">
      <c r="L11503" s="13"/>
      <c r="M11503" s="14"/>
      <c r="N11503" s="14"/>
      <c r="O11503" s="14"/>
      <c r="P11503" s="13"/>
    </row>
    <row r="11504">
      <c r="L11504" s="13"/>
      <c r="M11504" s="14"/>
      <c r="N11504" s="14"/>
      <c r="O11504" s="14"/>
      <c r="P11504" s="13"/>
    </row>
    <row r="11505">
      <c r="L11505" s="13"/>
      <c r="M11505" s="14"/>
      <c r="N11505" s="14"/>
      <c r="O11505" s="14"/>
      <c r="P11505" s="13"/>
    </row>
    <row r="11506">
      <c r="L11506" s="13"/>
      <c r="M11506" s="14"/>
      <c r="N11506" s="14"/>
      <c r="O11506" s="14"/>
      <c r="P11506" s="13"/>
    </row>
    <row r="11507">
      <c r="L11507" s="13"/>
      <c r="M11507" s="14"/>
      <c r="N11507" s="14"/>
      <c r="O11507" s="14"/>
      <c r="P11507" s="13"/>
    </row>
    <row r="11508">
      <c r="L11508" s="13"/>
      <c r="M11508" s="14"/>
      <c r="N11508" s="14"/>
      <c r="O11508" s="14"/>
      <c r="P11508" s="13"/>
    </row>
    <row r="11509">
      <c r="L11509" s="13"/>
      <c r="M11509" s="14"/>
      <c r="N11509" s="14"/>
      <c r="O11509" s="14"/>
      <c r="P11509" s="13"/>
    </row>
    <row r="11510">
      <c r="L11510" s="13"/>
      <c r="M11510" s="14"/>
      <c r="N11510" s="14"/>
      <c r="O11510" s="14"/>
      <c r="P11510" s="13"/>
    </row>
    <row r="11511">
      <c r="L11511" s="13"/>
      <c r="M11511" s="14"/>
      <c r="N11511" s="14"/>
      <c r="O11511" s="14"/>
      <c r="P11511" s="13"/>
    </row>
    <row r="11512">
      <c r="L11512" s="13"/>
      <c r="M11512" s="14"/>
      <c r="N11512" s="14"/>
      <c r="O11512" s="14"/>
      <c r="P11512" s="13"/>
    </row>
    <row r="11513">
      <c r="L11513" s="13"/>
      <c r="M11513" s="14"/>
      <c r="N11513" s="14"/>
      <c r="O11513" s="14"/>
      <c r="P11513" s="13"/>
    </row>
    <row r="11514">
      <c r="L11514" s="13"/>
      <c r="M11514" s="14"/>
      <c r="N11514" s="14"/>
      <c r="O11514" s="14"/>
      <c r="P11514" s="13"/>
    </row>
    <row r="11515">
      <c r="L11515" s="13"/>
      <c r="M11515" s="14"/>
      <c r="N11515" s="14"/>
      <c r="O11515" s="14"/>
      <c r="P11515" s="13"/>
    </row>
    <row r="11516">
      <c r="L11516" s="13"/>
      <c r="M11516" s="14"/>
      <c r="N11516" s="14"/>
      <c r="O11516" s="14"/>
      <c r="P11516" s="13"/>
    </row>
    <row r="11517">
      <c r="L11517" s="13"/>
      <c r="M11517" s="14"/>
      <c r="N11517" s="14"/>
      <c r="O11517" s="14"/>
      <c r="P11517" s="13"/>
    </row>
    <row r="11518">
      <c r="L11518" s="13"/>
      <c r="M11518" s="14"/>
      <c r="N11518" s="14"/>
      <c r="O11518" s="14"/>
      <c r="P11518" s="13"/>
    </row>
    <row r="11519">
      <c r="L11519" s="13"/>
      <c r="M11519" s="14"/>
      <c r="N11519" s="14"/>
      <c r="O11519" s="14"/>
      <c r="P11519" s="13"/>
    </row>
    <row r="11520">
      <c r="L11520" s="13"/>
      <c r="M11520" s="14"/>
      <c r="N11520" s="14"/>
      <c r="O11520" s="14"/>
      <c r="P11520" s="13"/>
    </row>
    <row r="11521">
      <c r="L11521" s="13"/>
      <c r="M11521" s="14"/>
      <c r="N11521" s="14"/>
      <c r="O11521" s="14"/>
      <c r="P11521" s="13"/>
    </row>
    <row r="11522">
      <c r="L11522" s="13"/>
      <c r="M11522" s="14"/>
      <c r="N11522" s="14"/>
      <c r="O11522" s="14"/>
      <c r="P11522" s="13"/>
    </row>
    <row r="11523">
      <c r="L11523" s="13"/>
      <c r="M11523" s="14"/>
      <c r="N11523" s="14"/>
      <c r="O11523" s="14"/>
      <c r="P11523" s="13"/>
    </row>
    <row r="11524">
      <c r="L11524" s="13"/>
      <c r="M11524" s="14"/>
      <c r="N11524" s="14"/>
      <c r="O11524" s="14"/>
      <c r="P11524" s="13"/>
    </row>
    <row r="11525">
      <c r="L11525" s="13"/>
      <c r="M11525" s="14"/>
      <c r="N11525" s="14"/>
      <c r="O11525" s="14"/>
      <c r="P11525" s="13"/>
    </row>
    <row r="11526">
      <c r="L11526" s="13"/>
      <c r="M11526" s="14"/>
      <c r="N11526" s="14"/>
      <c r="O11526" s="14"/>
      <c r="P11526" s="13"/>
    </row>
    <row r="11527">
      <c r="L11527" s="13"/>
      <c r="M11527" s="14"/>
      <c r="N11527" s="14"/>
      <c r="O11527" s="14"/>
      <c r="P11527" s="13"/>
    </row>
    <row r="11528">
      <c r="L11528" s="13"/>
      <c r="M11528" s="14"/>
      <c r="N11528" s="14"/>
      <c r="O11528" s="14"/>
      <c r="P11528" s="13"/>
    </row>
    <row r="11529">
      <c r="L11529" s="13"/>
      <c r="M11529" s="14"/>
      <c r="N11529" s="14"/>
      <c r="O11529" s="14"/>
      <c r="P11529" s="13"/>
    </row>
    <row r="11530">
      <c r="L11530" s="13"/>
      <c r="M11530" s="14"/>
      <c r="N11530" s="14"/>
      <c r="O11530" s="14"/>
      <c r="P11530" s="13"/>
    </row>
    <row r="11531">
      <c r="L11531" s="13"/>
      <c r="M11531" s="14"/>
      <c r="N11531" s="14"/>
      <c r="O11531" s="14"/>
      <c r="P11531" s="13"/>
    </row>
    <row r="11532">
      <c r="L11532" s="13"/>
      <c r="M11532" s="14"/>
      <c r="N11532" s="14"/>
      <c r="O11532" s="14"/>
      <c r="P11532" s="13"/>
    </row>
    <row r="11533">
      <c r="L11533" s="13"/>
      <c r="M11533" s="14"/>
      <c r="N11533" s="14"/>
      <c r="O11533" s="14"/>
      <c r="P11533" s="13"/>
    </row>
    <row r="11534">
      <c r="L11534" s="13"/>
      <c r="M11534" s="14"/>
      <c r="N11534" s="14"/>
      <c r="O11534" s="14"/>
      <c r="P11534" s="13"/>
    </row>
    <row r="11535">
      <c r="L11535" s="13"/>
      <c r="M11535" s="14"/>
      <c r="N11535" s="14"/>
      <c r="O11535" s="14"/>
      <c r="P11535" s="13"/>
    </row>
    <row r="11536">
      <c r="L11536" s="13"/>
      <c r="M11536" s="14"/>
      <c r="N11536" s="14"/>
      <c r="O11536" s="14"/>
      <c r="P11536" s="13"/>
    </row>
    <row r="11537">
      <c r="L11537" s="13"/>
      <c r="M11537" s="14"/>
      <c r="N11537" s="14"/>
      <c r="O11537" s="14"/>
      <c r="P11537" s="13"/>
    </row>
    <row r="11538">
      <c r="L11538" s="13"/>
      <c r="M11538" s="14"/>
      <c r="N11538" s="14"/>
      <c r="O11538" s="14"/>
      <c r="P11538" s="13"/>
    </row>
    <row r="11539">
      <c r="L11539" s="13"/>
      <c r="M11539" s="14"/>
      <c r="N11539" s="14"/>
      <c r="O11539" s="14"/>
      <c r="P11539" s="13"/>
    </row>
    <row r="11540">
      <c r="L11540" s="13"/>
      <c r="M11540" s="14"/>
      <c r="N11540" s="14"/>
      <c r="O11540" s="14"/>
      <c r="P11540" s="13"/>
    </row>
    <row r="11541">
      <c r="L11541" s="13"/>
      <c r="M11541" s="14"/>
      <c r="N11541" s="14"/>
      <c r="O11541" s="14"/>
      <c r="P11541" s="13"/>
    </row>
    <row r="11542">
      <c r="L11542" s="13"/>
      <c r="M11542" s="14"/>
      <c r="N11542" s="14"/>
      <c r="O11542" s="14"/>
      <c r="P11542" s="13"/>
    </row>
    <row r="11543">
      <c r="L11543" s="13"/>
      <c r="M11543" s="14"/>
      <c r="N11543" s="14"/>
      <c r="O11543" s="14"/>
      <c r="P11543" s="13"/>
    </row>
    <row r="11544">
      <c r="L11544" s="13"/>
      <c r="M11544" s="14"/>
      <c r="N11544" s="14"/>
      <c r="O11544" s="14"/>
      <c r="P11544" s="13"/>
    </row>
    <row r="11545">
      <c r="L11545" s="13"/>
      <c r="M11545" s="14"/>
      <c r="N11545" s="14"/>
      <c r="O11545" s="14"/>
      <c r="P11545" s="13"/>
    </row>
    <row r="11546">
      <c r="L11546" s="13"/>
      <c r="M11546" s="14"/>
      <c r="N11546" s="14"/>
      <c r="O11546" s="14"/>
      <c r="P11546" s="13"/>
    </row>
    <row r="11547">
      <c r="L11547" s="13"/>
      <c r="M11547" s="14"/>
      <c r="N11547" s="14"/>
      <c r="O11547" s="14"/>
      <c r="P11547" s="13"/>
    </row>
    <row r="11548">
      <c r="L11548" s="13"/>
      <c r="M11548" s="14"/>
      <c r="N11548" s="14"/>
      <c r="O11548" s="14"/>
      <c r="P11548" s="13"/>
    </row>
    <row r="11549">
      <c r="L11549" s="13"/>
      <c r="M11549" s="14"/>
      <c r="N11549" s="14"/>
      <c r="O11549" s="14"/>
      <c r="P11549" s="13"/>
    </row>
    <row r="11550">
      <c r="L11550" s="13"/>
      <c r="M11550" s="14"/>
      <c r="N11550" s="14"/>
      <c r="O11550" s="14"/>
      <c r="P11550" s="13"/>
    </row>
    <row r="11551">
      <c r="L11551" s="13"/>
      <c r="M11551" s="14"/>
      <c r="N11551" s="14"/>
      <c r="O11551" s="14"/>
      <c r="P11551" s="13"/>
    </row>
    <row r="11552">
      <c r="L11552" s="13"/>
      <c r="M11552" s="14"/>
      <c r="N11552" s="14"/>
      <c r="O11552" s="14"/>
      <c r="P11552" s="13"/>
    </row>
    <row r="11553">
      <c r="L11553" s="13"/>
      <c r="M11553" s="14"/>
      <c r="N11553" s="14"/>
      <c r="O11553" s="14"/>
      <c r="P11553" s="13"/>
    </row>
    <row r="11554">
      <c r="L11554" s="13"/>
      <c r="M11554" s="14"/>
      <c r="N11554" s="14"/>
      <c r="O11554" s="14"/>
      <c r="P11554" s="13"/>
    </row>
    <row r="11555">
      <c r="L11555" s="13"/>
      <c r="M11555" s="14"/>
      <c r="N11555" s="14"/>
      <c r="O11555" s="14"/>
      <c r="P11555" s="13"/>
    </row>
    <row r="11556">
      <c r="L11556" s="13"/>
      <c r="M11556" s="14"/>
      <c r="N11556" s="14"/>
      <c r="O11556" s="14"/>
      <c r="P11556" s="13"/>
    </row>
    <row r="11557">
      <c r="L11557" s="13"/>
      <c r="M11557" s="14"/>
      <c r="N11557" s="14"/>
      <c r="O11557" s="14"/>
      <c r="P11557" s="13"/>
    </row>
    <row r="11558">
      <c r="L11558" s="13"/>
      <c r="M11558" s="14"/>
      <c r="N11558" s="14"/>
      <c r="O11558" s="14"/>
      <c r="P11558" s="13"/>
    </row>
    <row r="11559">
      <c r="L11559" s="13"/>
      <c r="M11559" s="14"/>
      <c r="N11559" s="14"/>
      <c r="O11559" s="14"/>
      <c r="P11559" s="13"/>
    </row>
    <row r="11560">
      <c r="L11560" s="13"/>
      <c r="M11560" s="14"/>
      <c r="N11560" s="14"/>
      <c r="O11560" s="14"/>
      <c r="P11560" s="13"/>
    </row>
    <row r="11561">
      <c r="L11561" s="13"/>
      <c r="M11561" s="14"/>
      <c r="N11561" s="14"/>
      <c r="O11561" s="14"/>
      <c r="P11561" s="13"/>
    </row>
    <row r="11562">
      <c r="L11562" s="13"/>
      <c r="M11562" s="14"/>
      <c r="N11562" s="14"/>
      <c r="O11562" s="14"/>
      <c r="P11562" s="13"/>
    </row>
    <row r="11563">
      <c r="L11563" s="13"/>
      <c r="M11563" s="14"/>
      <c r="N11563" s="14"/>
      <c r="O11563" s="14"/>
      <c r="P11563" s="13"/>
    </row>
    <row r="11564">
      <c r="L11564" s="13"/>
      <c r="M11564" s="14"/>
      <c r="N11564" s="14"/>
      <c r="O11564" s="14"/>
      <c r="P11564" s="13"/>
    </row>
    <row r="11565">
      <c r="L11565" s="13"/>
      <c r="M11565" s="14"/>
      <c r="N11565" s="14"/>
      <c r="O11565" s="14"/>
      <c r="P11565" s="13"/>
    </row>
    <row r="11566">
      <c r="L11566" s="13"/>
      <c r="M11566" s="14"/>
      <c r="N11566" s="14"/>
      <c r="O11566" s="14"/>
      <c r="P11566" s="13"/>
    </row>
    <row r="11567">
      <c r="L11567" s="13"/>
      <c r="M11567" s="14"/>
      <c r="N11567" s="14"/>
      <c r="O11567" s="14"/>
      <c r="P11567" s="13"/>
    </row>
    <row r="11568">
      <c r="L11568" s="13"/>
      <c r="M11568" s="14"/>
      <c r="N11568" s="14"/>
      <c r="O11568" s="14"/>
      <c r="P11568" s="13"/>
    </row>
    <row r="11569">
      <c r="L11569" s="13"/>
      <c r="M11569" s="14"/>
      <c r="N11569" s="14"/>
      <c r="O11569" s="14"/>
      <c r="P11569" s="13"/>
    </row>
    <row r="11570">
      <c r="L11570" s="13"/>
      <c r="M11570" s="14"/>
      <c r="N11570" s="14"/>
      <c r="O11570" s="14"/>
      <c r="P11570" s="13"/>
    </row>
    <row r="11571">
      <c r="L11571" s="13"/>
      <c r="M11571" s="14"/>
      <c r="N11571" s="14"/>
      <c r="O11571" s="14"/>
      <c r="P11571" s="13"/>
    </row>
    <row r="11572">
      <c r="L11572" s="13"/>
      <c r="M11572" s="14"/>
      <c r="N11572" s="14"/>
      <c r="O11572" s="14"/>
      <c r="P11572" s="13"/>
    </row>
    <row r="11573">
      <c r="L11573" s="13"/>
      <c r="M11573" s="14"/>
      <c r="N11573" s="14"/>
      <c r="O11573" s="14"/>
      <c r="P11573" s="13"/>
    </row>
    <row r="11574">
      <c r="L11574" s="13"/>
      <c r="M11574" s="14"/>
      <c r="N11574" s="14"/>
      <c r="O11574" s="14"/>
      <c r="P11574" s="13"/>
    </row>
    <row r="11575">
      <c r="L11575" s="13"/>
      <c r="M11575" s="14"/>
      <c r="N11575" s="14"/>
      <c r="O11575" s="14"/>
      <c r="P11575" s="13"/>
    </row>
    <row r="11576">
      <c r="L11576" s="13"/>
      <c r="M11576" s="14"/>
      <c r="N11576" s="14"/>
      <c r="O11576" s="14"/>
      <c r="P11576" s="13"/>
    </row>
    <row r="11577">
      <c r="L11577" s="13"/>
      <c r="M11577" s="14"/>
      <c r="N11577" s="14"/>
      <c r="O11577" s="14"/>
      <c r="P11577" s="13"/>
    </row>
    <row r="11578">
      <c r="L11578" s="13"/>
      <c r="M11578" s="14"/>
      <c r="N11578" s="14"/>
      <c r="O11578" s="14"/>
      <c r="P11578" s="13"/>
    </row>
    <row r="11579">
      <c r="L11579" s="13"/>
      <c r="M11579" s="14"/>
      <c r="N11579" s="14"/>
      <c r="O11579" s="14"/>
      <c r="P11579" s="13"/>
    </row>
    <row r="11580">
      <c r="L11580" s="13"/>
      <c r="M11580" s="14"/>
      <c r="N11580" s="14"/>
      <c r="O11580" s="14"/>
      <c r="P11580" s="13"/>
    </row>
    <row r="11581">
      <c r="L11581" s="13"/>
      <c r="M11581" s="14"/>
      <c r="N11581" s="14"/>
      <c r="O11581" s="14"/>
      <c r="P11581" s="13"/>
    </row>
    <row r="11582">
      <c r="L11582" s="13"/>
      <c r="M11582" s="14"/>
      <c r="N11582" s="14"/>
      <c r="O11582" s="14"/>
      <c r="P11582" s="13"/>
    </row>
    <row r="11583">
      <c r="L11583" s="13"/>
      <c r="M11583" s="14"/>
      <c r="N11583" s="14"/>
      <c r="O11583" s="14"/>
      <c r="P11583" s="13"/>
    </row>
    <row r="11584">
      <c r="L11584" s="13"/>
      <c r="M11584" s="14"/>
      <c r="N11584" s="14"/>
      <c r="O11584" s="14"/>
      <c r="P11584" s="13"/>
    </row>
    <row r="11585">
      <c r="L11585" s="13"/>
      <c r="M11585" s="14"/>
      <c r="N11585" s="14"/>
      <c r="O11585" s="14"/>
      <c r="P11585" s="13"/>
    </row>
    <row r="11586">
      <c r="L11586" s="13"/>
      <c r="M11586" s="14"/>
      <c r="N11586" s="14"/>
      <c r="O11586" s="14"/>
      <c r="P11586" s="13"/>
    </row>
    <row r="11587">
      <c r="L11587" s="13"/>
      <c r="M11587" s="14"/>
      <c r="N11587" s="14"/>
      <c r="O11587" s="14"/>
      <c r="P11587" s="13"/>
    </row>
    <row r="11588">
      <c r="L11588" s="13"/>
      <c r="M11588" s="14"/>
      <c r="N11588" s="14"/>
      <c r="O11588" s="14"/>
      <c r="P11588" s="13"/>
    </row>
    <row r="11589">
      <c r="L11589" s="13"/>
      <c r="M11589" s="14"/>
      <c r="N11589" s="14"/>
      <c r="O11589" s="14"/>
      <c r="P11589" s="13"/>
    </row>
    <row r="11590">
      <c r="L11590" s="13"/>
      <c r="M11590" s="14"/>
      <c r="N11590" s="14"/>
      <c r="O11590" s="14"/>
      <c r="P11590" s="13"/>
    </row>
    <row r="11591">
      <c r="L11591" s="13"/>
      <c r="M11591" s="14"/>
      <c r="N11591" s="14"/>
      <c r="O11591" s="14"/>
      <c r="P11591" s="13"/>
    </row>
    <row r="11592">
      <c r="L11592" s="13"/>
      <c r="M11592" s="14"/>
      <c r="N11592" s="14"/>
      <c r="O11592" s="14"/>
      <c r="P11592" s="13"/>
    </row>
    <row r="11593">
      <c r="L11593" s="13"/>
      <c r="M11593" s="14"/>
      <c r="N11593" s="14"/>
      <c r="O11593" s="14"/>
      <c r="P11593" s="13"/>
    </row>
    <row r="11594">
      <c r="L11594" s="13"/>
      <c r="M11594" s="14"/>
      <c r="N11594" s="14"/>
      <c r="O11594" s="14"/>
      <c r="P11594" s="13"/>
    </row>
    <row r="11595">
      <c r="L11595" s="13"/>
      <c r="M11595" s="14"/>
      <c r="N11595" s="14"/>
      <c r="O11595" s="14"/>
      <c r="P11595" s="13"/>
    </row>
    <row r="11596">
      <c r="L11596" s="13"/>
      <c r="M11596" s="14"/>
      <c r="N11596" s="14"/>
      <c r="O11596" s="14"/>
      <c r="P11596" s="13"/>
    </row>
    <row r="11597">
      <c r="L11597" s="13"/>
      <c r="M11597" s="14"/>
      <c r="N11597" s="14"/>
      <c r="O11597" s="14"/>
      <c r="P11597" s="13"/>
    </row>
    <row r="11598">
      <c r="L11598" s="13"/>
      <c r="M11598" s="14"/>
      <c r="N11598" s="14"/>
      <c r="O11598" s="14"/>
      <c r="P11598" s="13"/>
    </row>
    <row r="11599">
      <c r="L11599" s="13"/>
      <c r="M11599" s="14"/>
      <c r="N11599" s="14"/>
      <c r="O11599" s="14"/>
      <c r="P11599" s="13"/>
    </row>
    <row r="11600">
      <c r="L11600" s="13"/>
      <c r="M11600" s="14"/>
      <c r="N11600" s="14"/>
      <c r="O11600" s="14"/>
      <c r="P11600" s="13"/>
    </row>
    <row r="11601">
      <c r="L11601" s="13"/>
      <c r="M11601" s="14"/>
      <c r="N11601" s="14"/>
      <c r="O11601" s="14"/>
      <c r="P11601" s="13"/>
    </row>
    <row r="11602">
      <c r="L11602" s="13"/>
      <c r="M11602" s="14"/>
      <c r="N11602" s="14"/>
      <c r="O11602" s="14"/>
      <c r="P11602" s="13"/>
    </row>
    <row r="11603">
      <c r="L11603" s="13"/>
      <c r="M11603" s="14"/>
      <c r="N11603" s="14"/>
      <c r="O11603" s="14"/>
      <c r="P11603" s="13"/>
    </row>
    <row r="11604">
      <c r="L11604" s="13"/>
      <c r="M11604" s="14"/>
      <c r="N11604" s="14"/>
      <c r="O11604" s="14"/>
      <c r="P11604" s="13"/>
    </row>
    <row r="11605">
      <c r="L11605" s="13"/>
      <c r="M11605" s="14"/>
      <c r="N11605" s="14"/>
      <c r="O11605" s="14"/>
      <c r="P11605" s="13"/>
    </row>
    <row r="11606">
      <c r="L11606" s="13"/>
      <c r="M11606" s="14"/>
      <c r="N11606" s="14"/>
      <c r="O11606" s="14"/>
      <c r="P11606" s="13"/>
    </row>
    <row r="11607">
      <c r="L11607" s="13"/>
      <c r="M11607" s="14"/>
      <c r="N11607" s="14"/>
      <c r="O11607" s="14"/>
      <c r="P11607" s="13"/>
    </row>
    <row r="11608">
      <c r="L11608" s="13"/>
      <c r="M11608" s="14"/>
      <c r="N11608" s="14"/>
      <c r="O11608" s="14"/>
      <c r="P11608" s="13"/>
    </row>
    <row r="11609">
      <c r="L11609" s="13"/>
      <c r="M11609" s="14"/>
      <c r="N11609" s="14"/>
      <c r="O11609" s="14"/>
      <c r="P11609" s="13"/>
    </row>
    <row r="11610">
      <c r="L11610" s="13"/>
      <c r="M11610" s="14"/>
      <c r="N11610" s="14"/>
      <c r="O11610" s="14"/>
      <c r="P11610" s="13"/>
    </row>
    <row r="11611">
      <c r="L11611" s="13"/>
      <c r="M11611" s="14"/>
      <c r="N11611" s="14"/>
      <c r="O11611" s="14"/>
      <c r="P11611" s="13"/>
    </row>
    <row r="11612">
      <c r="L11612" s="13"/>
      <c r="M11612" s="14"/>
      <c r="N11612" s="14"/>
      <c r="O11612" s="14"/>
      <c r="P11612" s="13"/>
    </row>
    <row r="11613">
      <c r="L11613" s="13"/>
      <c r="M11613" s="14"/>
      <c r="N11613" s="14"/>
      <c r="O11613" s="14"/>
      <c r="P11613" s="13"/>
    </row>
    <row r="11614">
      <c r="L11614" s="13"/>
      <c r="M11614" s="14"/>
      <c r="N11614" s="14"/>
      <c r="O11614" s="14"/>
      <c r="P11614" s="13"/>
    </row>
    <row r="11615">
      <c r="L11615" s="13"/>
      <c r="M11615" s="14"/>
      <c r="N11615" s="14"/>
      <c r="O11615" s="14"/>
      <c r="P11615" s="13"/>
    </row>
    <row r="11616">
      <c r="L11616" s="13"/>
      <c r="M11616" s="14"/>
      <c r="N11616" s="14"/>
      <c r="O11616" s="14"/>
      <c r="P11616" s="13"/>
    </row>
    <row r="11617">
      <c r="L11617" s="13"/>
      <c r="M11617" s="14"/>
      <c r="N11617" s="14"/>
      <c r="O11617" s="14"/>
      <c r="P11617" s="13"/>
    </row>
    <row r="11618">
      <c r="L11618" s="13"/>
      <c r="M11618" s="14"/>
      <c r="N11618" s="14"/>
      <c r="O11618" s="14"/>
      <c r="P11618" s="13"/>
    </row>
    <row r="11619">
      <c r="L11619" s="13"/>
      <c r="M11619" s="14"/>
      <c r="N11619" s="14"/>
      <c r="O11619" s="14"/>
      <c r="P11619" s="13"/>
    </row>
    <row r="11620">
      <c r="L11620" s="13"/>
      <c r="M11620" s="14"/>
      <c r="N11620" s="14"/>
      <c r="O11620" s="14"/>
      <c r="P11620" s="13"/>
    </row>
    <row r="11621">
      <c r="L11621" s="13"/>
      <c r="M11621" s="14"/>
      <c r="N11621" s="14"/>
      <c r="O11621" s="14"/>
      <c r="P11621" s="13"/>
    </row>
    <row r="11622">
      <c r="L11622" s="13"/>
      <c r="M11622" s="14"/>
      <c r="N11622" s="14"/>
      <c r="O11622" s="14"/>
      <c r="P11622" s="13"/>
    </row>
    <row r="11623">
      <c r="L11623" s="13"/>
      <c r="M11623" s="14"/>
      <c r="N11623" s="14"/>
      <c r="O11623" s="14"/>
      <c r="P11623" s="13"/>
    </row>
    <row r="11624">
      <c r="L11624" s="13"/>
      <c r="M11624" s="14"/>
      <c r="N11624" s="14"/>
      <c r="O11624" s="14"/>
      <c r="P11624" s="13"/>
    </row>
    <row r="11625">
      <c r="L11625" s="13"/>
      <c r="M11625" s="14"/>
      <c r="N11625" s="14"/>
      <c r="O11625" s="14"/>
      <c r="P11625" s="13"/>
    </row>
    <row r="11626">
      <c r="L11626" s="13"/>
      <c r="M11626" s="14"/>
      <c r="N11626" s="14"/>
      <c r="O11626" s="14"/>
      <c r="P11626" s="13"/>
    </row>
    <row r="11627">
      <c r="L11627" s="13"/>
      <c r="M11627" s="14"/>
      <c r="N11627" s="14"/>
      <c r="O11627" s="14"/>
      <c r="P11627" s="13"/>
    </row>
    <row r="11628">
      <c r="L11628" s="13"/>
      <c r="M11628" s="14"/>
      <c r="N11628" s="14"/>
      <c r="O11628" s="14"/>
      <c r="P11628" s="13"/>
    </row>
    <row r="11629">
      <c r="L11629" s="13"/>
      <c r="M11629" s="14"/>
      <c r="N11629" s="14"/>
      <c r="O11629" s="14"/>
      <c r="P11629" s="13"/>
    </row>
    <row r="11630">
      <c r="L11630" s="13"/>
      <c r="M11630" s="14"/>
      <c r="N11630" s="14"/>
      <c r="O11630" s="14"/>
      <c r="P11630" s="13"/>
    </row>
    <row r="11631">
      <c r="L11631" s="13"/>
      <c r="M11631" s="14"/>
      <c r="N11631" s="14"/>
      <c r="O11631" s="14"/>
      <c r="P11631" s="13"/>
    </row>
    <row r="11632">
      <c r="L11632" s="13"/>
      <c r="M11632" s="14"/>
      <c r="N11632" s="14"/>
      <c r="O11632" s="14"/>
      <c r="P11632" s="13"/>
    </row>
    <row r="11633">
      <c r="L11633" s="13"/>
      <c r="M11633" s="14"/>
      <c r="N11633" s="14"/>
      <c r="O11633" s="14"/>
      <c r="P11633" s="13"/>
    </row>
    <row r="11634">
      <c r="L11634" s="13"/>
      <c r="M11634" s="14"/>
      <c r="N11634" s="14"/>
      <c r="O11634" s="14"/>
      <c r="P11634" s="13"/>
    </row>
    <row r="11635">
      <c r="L11635" s="13"/>
      <c r="M11635" s="14"/>
      <c r="N11635" s="14"/>
      <c r="O11635" s="14"/>
      <c r="P11635" s="13"/>
    </row>
    <row r="11636">
      <c r="L11636" s="13"/>
      <c r="M11636" s="14"/>
      <c r="N11636" s="14"/>
      <c r="O11636" s="14"/>
      <c r="P11636" s="13"/>
    </row>
    <row r="11637">
      <c r="L11637" s="13"/>
      <c r="M11637" s="14"/>
      <c r="N11637" s="14"/>
      <c r="O11637" s="14"/>
      <c r="P11637" s="13"/>
    </row>
    <row r="11638">
      <c r="L11638" s="13"/>
      <c r="M11638" s="14"/>
      <c r="N11638" s="14"/>
      <c r="O11638" s="14"/>
      <c r="P11638" s="13"/>
    </row>
    <row r="11639">
      <c r="L11639" s="13"/>
      <c r="M11639" s="14"/>
      <c r="N11639" s="14"/>
      <c r="O11639" s="14"/>
      <c r="P11639" s="13"/>
    </row>
    <row r="11640">
      <c r="L11640" s="13"/>
      <c r="M11640" s="14"/>
      <c r="N11640" s="14"/>
      <c r="O11640" s="14"/>
      <c r="P11640" s="13"/>
    </row>
    <row r="11641">
      <c r="L11641" s="13"/>
      <c r="M11641" s="14"/>
      <c r="N11641" s="14"/>
      <c r="O11641" s="14"/>
      <c r="P11641" s="13"/>
    </row>
    <row r="11642">
      <c r="L11642" s="13"/>
      <c r="M11642" s="14"/>
      <c r="N11642" s="14"/>
      <c r="O11642" s="14"/>
      <c r="P11642" s="13"/>
    </row>
    <row r="11643">
      <c r="L11643" s="13"/>
      <c r="M11643" s="14"/>
      <c r="N11643" s="14"/>
      <c r="O11643" s="14"/>
      <c r="P11643" s="13"/>
    </row>
    <row r="11644">
      <c r="L11644" s="13"/>
      <c r="M11644" s="14"/>
      <c r="N11644" s="14"/>
      <c r="O11644" s="14"/>
      <c r="P11644" s="13"/>
    </row>
    <row r="11645">
      <c r="L11645" s="13"/>
      <c r="M11645" s="14"/>
      <c r="N11645" s="14"/>
      <c r="O11645" s="14"/>
      <c r="P11645" s="13"/>
    </row>
    <row r="11646">
      <c r="L11646" s="13"/>
      <c r="M11646" s="14"/>
      <c r="N11646" s="14"/>
      <c r="O11646" s="14"/>
      <c r="P11646" s="13"/>
    </row>
    <row r="11647">
      <c r="L11647" s="13"/>
      <c r="M11647" s="14"/>
      <c r="N11647" s="14"/>
      <c r="O11647" s="14"/>
      <c r="P11647" s="13"/>
    </row>
    <row r="11648">
      <c r="L11648" s="13"/>
      <c r="M11648" s="14"/>
      <c r="N11648" s="14"/>
      <c r="O11648" s="14"/>
      <c r="P11648" s="13"/>
    </row>
    <row r="11649">
      <c r="L11649" s="13"/>
      <c r="M11649" s="14"/>
      <c r="N11649" s="14"/>
      <c r="O11649" s="14"/>
      <c r="P11649" s="13"/>
    </row>
    <row r="11650">
      <c r="L11650" s="13"/>
      <c r="M11650" s="14"/>
      <c r="N11650" s="14"/>
      <c r="O11650" s="14"/>
      <c r="P11650" s="13"/>
    </row>
    <row r="11651">
      <c r="L11651" s="13"/>
      <c r="M11651" s="14"/>
      <c r="N11651" s="14"/>
      <c r="O11651" s="14"/>
      <c r="P11651" s="13"/>
    </row>
    <row r="11652">
      <c r="L11652" s="13"/>
      <c r="M11652" s="14"/>
      <c r="N11652" s="14"/>
      <c r="O11652" s="14"/>
      <c r="P11652" s="13"/>
    </row>
    <row r="11653">
      <c r="L11653" s="13"/>
      <c r="M11653" s="14"/>
      <c r="N11653" s="14"/>
      <c r="O11653" s="14"/>
      <c r="P11653" s="13"/>
    </row>
    <row r="11654">
      <c r="L11654" s="13"/>
      <c r="M11654" s="14"/>
      <c r="N11654" s="14"/>
      <c r="O11654" s="14"/>
      <c r="P11654" s="13"/>
    </row>
    <row r="11655">
      <c r="L11655" s="13"/>
      <c r="M11655" s="14"/>
      <c r="N11655" s="14"/>
      <c r="O11655" s="14"/>
      <c r="P11655" s="13"/>
    </row>
    <row r="11656">
      <c r="L11656" s="13"/>
      <c r="M11656" s="14"/>
      <c r="N11656" s="14"/>
      <c r="O11656" s="14"/>
      <c r="P11656" s="13"/>
    </row>
    <row r="11657">
      <c r="L11657" s="13"/>
      <c r="M11657" s="14"/>
      <c r="N11657" s="14"/>
      <c r="O11657" s="14"/>
      <c r="P11657" s="13"/>
    </row>
    <row r="11658">
      <c r="L11658" s="13"/>
      <c r="M11658" s="14"/>
      <c r="N11658" s="14"/>
      <c r="O11658" s="14"/>
      <c r="P11658" s="13"/>
    </row>
    <row r="11659">
      <c r="L11659" s="13"/>
      <c r="M11659" s="14"/>
      <c r="N11659" s="14"/>
      <c r="O11659" s="14"/>
      <c r="P11659" s="13"/>
    </row>
    <row r="11660">
      <c r="L11660" s="13"/>
      <c r="M11660" s="14"/>
      <c r="N11660" s="14"/>
      <c r="O11660" s="14"/>
      <c r="P11660" s="13"/>
    </row>
    <row r="11661">
      <c r="L11661" s="13"/>
      <c r="M11661" s="14"/>
      <c r="N11661" s="14"/>
      <c r="O11661" s="14"/>
      <c r="P11661" s="13"/>
    </row>
    <row r="11662">
      <c r="L11662" s="13"/>
      <c r="M11662" s="14"/>
      <c r="N11662" s="14"/>
      <c r="O11662" s="14"/>
      <c r="P11662" s="13"/>
    </row>
    <row r="11663">
      <c r="L11663" s="13"/>
      <c r="M11663" s="14"/>
      <c r="N11663" s="14"/>
      <c r="O11663" s="14"/>
      <c r="P11663" s="13"/>
    </row>
    <row r="11664">
      <c r="L11664" s="13"/>
      <c r="M11664" s="14"/>
      <c r="N11664" s="14"/>
      <c r="O11664" s="14"/>
      <c r="P11664" s="13"/>
    </row>
    <row r="11665">
      <c r="L11665" s="13"/>
      <c r="M11665" s="14"/>
      <c r="N11665" s="14"/>
      <c r="O11665" s="14"/>
      <c r="P11665" s="13"/>
    </row>
    <row r="11666">
      <c r="L11666" s="13"/>
      <c r="M11666" s="14"/>
      <c r="N11666" s="14"/>
      <c r="O11666" s="14"/>
      <c r="P11666" s="13"/>
    </row>
    <row r="11667">
      <c r="L11667" s="13"/>
      <c r="M11667" s="14"/>
      <c r="N11667" s="14"/>
      <c r="O11667" s="14"/>
      <c r="P11667" s="13"/>
    </row>
    <row r="11668">
      <c r="L11668" s="13"/>
      <c r="M11668" s="14"/>
      <c r="N11668" s="14"/>
      <c r="O11668" s="14"/>
      <c r="P11668" s="13"/>
    </row>
    <row r="11669">
      <c r="L11669" s="13"/>
      <c r="M11669" s="14"/>
      <c r="N11669" s="14"/>
      <c r="O11669" s="14"/>
      <c r="P11669" s="13"/>
    </row>
    <row r="11670">
      <c r="L11670" s="13"/>
      <c r="M11670" s="14"/>
      <c r="N11670" s="14"/>
      <c r="O11670" s="14"/>
      <c r="P11670" s="13"/>
    </row>
    <row r="11671">
      <c r="L11671" s="13"/>
      <c r="M11671" s="14"/>
      <c r="N11671" s="14"/>
      <c r="O11671" s="14"/>
      <c r="P11671" s="13"/>
    </row>
    <row r="11672">
      <c r="L11672" s="13"/>
      <c r="M11672" s="14"/>
      <c r="N11672" s="14"/>
      <c r="O11672" s="14"/>
      <c r="P11672" s="13"/>
    </row>
    <row r="11673">
      <c r="L11673" s="13"/>
      <c r="M11673" s="14"/>
      <c r="N11673" s="14"/>
      <c r="O11673" s="14"/>
      <c r="P11673" s="13"/>
    </row>
    <row r="11674">
      <c r="L11674" s="13"/>
      <c r="M11674" s="14"/>
      <c r="N11674" s="14"/>
      <c r="O11674" s="14"/>
      <c r="P11674" s="13"/>
    </row>
    <row r="11675">
      <c r="L11675" s="13"/>
      <c r="M11675" s="14"/>
      <c r="N11675" s="14"/>
      <c r="O11675" s="14"/>
      <c r="P11675" s="13"/>
    </row>
    <row r="11676">
      <c r="L11676" s="13"/>
      <c r="M11676" s="14"/>
      <c r="N11676" s="14"/>
      <c r="O11676" s="14"/>
      <c r="P11676" s="13"/>
    </row>
    <row r="11677">
      <c r="L11677" s="13"/>
      <c r="M11677" s="14"/>
      <c r="N11677" s="14"/>
      <c r="O11677" s="14"/>
      <c r="P11677" s="13"/>
    </row>
    <row r="11678">
      <c r="L11678" s="13"/>
      <c r="M11678" s="14"/>
      <c r="N11678" s="14"/>
      <c r="O11678" s="14"/>
      <c r="P11678" s="13"/>
    </row>
    <row r="11679">
      <c r="L11679" s="13"/>
      <c r="M11679" s="14"/>
      <c r="N11679" s="14"/>
      <c r="O11679" s="14"/>
      <c r="P11679" s="13"/>
    </row>
    <row r="11680">
      <c r="L11680" s="13"/>
      <c r="M11680" s="14"/>
      <c r="N11680" s="14"/>
      <c r="O11680" s="14"/>
      <c r="P11680" s="13"/>
    </row>
    <row r="11681">
      <c r="L11681" s="13"/>
      <c r="M11681" s="14"/>
      <c r="N11681" s="14"/>
      <c r="O11681" s="14"/>
      <c r="P11681" s="13"/>
    </row>
    <row r="11682">
      <c r="L11682" s="13"/>
      <c r="M11682" s="14"/>
      <c r="N11682" s="14"/>
      <c r="O11682" s="14"/>
      <c r="P11682" s="13"/>
    </row>
    <row r="11683">
      <c r="L11683" s="13"/>
      <c r="M11683" s="14"/>
      <c r="N11683" s="14"/>
      <c r="O11683" s="14"/>
      <c r="P11683" s="13"/>
    </row>
    <row r="11684">
      <c r="L11684" s="13"/>
      <c r="M11684" s="14"/>
      <c r="N11684" s="14"/>
      <c r="O11684" s="14"/>
      <c r="P11684" s="13"/>
    </row>
    <row r="11685">
      <c r="L11685" s="13"/>
      <c r="M11685" s="14"/>
      <c r="N11685" s="14"/>
      <c r="O11685" s="14"/>
      <c r="P11685" s="13"/>
    </row>
    <row r="11686">
      <c r="L11686" s="13"/>
      <c r="M11686" s="14"/>
      <c r="N11686" s="14"/>
      <c r="O11686" s="14"/>
      <c r="P11686" s="13"/>
    </row>
    <row r="11687">
      <c r="L11687" s="13"/>
      <c r="M11687" s="14"/>
      <c r="N11687" s="14"/>
      <c r="O11687" s="14"/>
      <c r="P11687" s="13"/>
    </row>
    <row r="11688">
      <c r="L11688" s="13"/>
      <c r="M11688" s="14"/>
      <c r="N11688" s="14"/>
      <c r="O11688" s="14"/>
      <c r="P11688" s="13"/>
    </row>
    <row r="11689">
      <c r="L11689" s="13"/>
      <c r="M11689" s="14"/>
      <c r="N11689" s="14"/>
      <c r="O11689" s="14"/>
      <c r="P11689" s="13"/>
    </row>
    <row r="11690">
      <c r="L11690" s="13"/>
      <c r="M11690" s="14"/>
      <c r="N11690" s="14"/>
      <c r="O11690" s="14"/>
      <c r="P11690" s="13"/>
    </row>
    <row r="11691">
      <c r="L11691" s="13"/>
      <c r="M11691" s="14"/>
      <c r="N11691" s="14"/>
      <c r="O11691" s="14"/>
      <c r="P11691" s="13"/>
    </row>
    <row r="11692">
      <c r="L11692" s="13"/>
      <c r="M11692" s="14"/>
      <c r="N11692" s="14"/>
      <c r="O11692" s="14"/>
      <c r="P11692" s="13"/>
    </row>
    <row r="11693">
      <c r="L11693" s="13"/>
      <c r="M11693" s="14"/>
      <c r="N11693" s="14"/>
      <c r="O11693" s="14"/>
      <c r="P11693" s="13"/>
    </row>
    <row r="11694">
      <c r="L11694" s="13"/>
      <c r="M11694" s="14"/>
      <c r="N11694" s="14"/>
      <c r="O11694" s="14"/>
      <c r="P11694" s="13"/>
    </row>
    <row r="11695">
      <c r="L11695" s="13"/>
      <c r="M11695" s="14"/>
      <c r="N11695" s="14"/>
      <c r="O11695" s="14"/>
      <c r="P11695" s="13"/>
    </row>
    <row r="11696">
      <c r="L11696" s="13"/>
      <c r="M11696" s="14"/>
      <c r="N11696" s="14"/>
      <c r="O11696" s="14"/>
      <c r="P11696" s="13"/>
    </row>
    <row r="11697">
      <c r="L11697" s="13"/>
      <c r="M11697" s="14"/>
      <c r="N11697" s="14"/>
      <c r="O11697" s="14"/>
      <c r="P11697" s="13"/>
    </row>
    <row r="11698">
      <c r="L11698" s="13"/>
      <c r="M11698" s="14"/>
      <c r="N11698" s="14"/>
      <c r="O11698" s="14"/>
      <c r="P11698" s="13"/>
    </row>
    <row r="11699">
      <c r="L11699" s="13"/>
      <c r="M11699" s="14"/>
      <c r="N11699" s="14"/>
      <c r="O11699" s="14"/>
      <c r="P11699" s="13"/>
    </row>
    <row r="11700">
      <c r="L11700" s="13"/>
      <c r="M11700" s="14"/>
      <c r="N11700" s="14"/>
      <c r="O11700" s="14"/>
      <c r="P11700" s="13"/>
    </row>
    <row r="11701">
      <c r="L11701" s="13"/>
      <c r="M11701" s="14"/>
      <c r="N11701" s="14"/>
      <c r="O11701" s="14"/>
      <c r="P11701" s="13"/>
    </row>
    <row r="11702">
      <c r="L11702" s="13"/>
      <c r="M11702" s="14"/>
      <c r="N11702" s="14"/>
      <c r="O11702" s="14"/>
      <c r="P11702" s="13"/>
    </row>
    <row r="11703">
      <c r="L11703" s="13"/>
      <c r="M11703" s="14"/>
      <c r="N11703" s="14"/>
      <c r="O11703" s="14"/>
      <c r="P11703" s="13"/>
    </row>
    <row r="11704">
      <c r="L11704" s="13"/>
      <c r="M11704" s="14"/>
      <c r="N11704" s="14"/>
      <c r="O11704" s="14"/>
      <c r="P11704" s="13"/>
    </row>
    <row r="11705">
      <c r="L11705" s="13"/>
      <c r="M11705" s="14"/>
      <c r="N11705" s="14"/>
      <c r="O11705" s="14"/>
      <c r="P11705" s="13"/>
    </row>
    <row r="11706">
      <c r="L11706" s="13"/>
      <c r="M11706" s="14"/>
      <c r="N11706" s="14"/>
      <c r="O11706" s="14"/>
      <c r="P11706" s="13"/>
    </row>
    <row r="11707">
      <c r="L11707" s="13"/>
      <c r="M11707" s="14"/>
      <c r="N11707" s="14"/>
      <c r="O11707" s="14"/>
      <c r="P11707" s="13"/>
    </row>
    <row r="11708">
      <c r="L11708" s="13"/>
      <c r="M11708" s="14"/>
      <c r="N11708" s="14"/>
      <c r="O11708" s="14"/>
      <c r="P11708" s="13"/>
    </row>
    <row r="11709">
      <c r="L11709" s="13"/>
      <c r="M11709" s="14"/>
      <c r="N11709" s="14"/>
      <c r="O11709" s="14"/>
      <c r="P11709" s="13"/>
    </row>
    <row r="11710">
      <c r="L11710" s="13"/>
      <c r="M11710" s="14"/>
      <c r="N11710" s="14"/>
      <c r="O11710" s="14"/>
      <c r="P11710" s="13"/>
    </row>
    <row r="11711">
      <c r="L11711" s="13"/>
      <c r="M11711" s="14"/>
      <c r="N11711" s="14"/>
      <c r="O11711" s="14"/>
      <c r="P11711" s="13"/>
    </row>
    <row r="11712">
      <c r="L11712" s="13"/>
      <c r="M11712" s="14"/>
      <c r="N11712" s="14"/>
      <c r="O11712" s="14"/>
      <c r="P11712" s="13"/>
    </row>
    <row r="11713">
      <c r="L11713" s="13"/>
      <c r="M11713" s="14"/>
      <c r="N11713" s="14"/>
      <c r="O11713" s="14"/>
      <c r="P11713" s="13"/>
    </row>
    <row r="11714">
      <c r="L11714" s="13"/>
      <c r="M11714" s="14"/>
      <c r="N11714" s="14"/>
      <c r="O11714" s="14"/>
      <c r="P11714" s="13"/>
    </row>
    <row r="11715">
      <c r="L11715" s="13"/>
      <c r="M11715" s="14"/>
      <c r="N11715" s="14"/>
      <c r="O11715" s="14"/>
      <c r="P11715" s="13"/>
    </row>
    <row r="11716">
      <c r="L11716" s="13"/>
      <c r="M11716" s="14"/>
      <c r="N11716" s="14"/>
      <c r="O11716" s="14"/>
      <c r="P11716" s="13"/>
    </row>
    <row r="11717">
      <c r="L11717" s="13"/>
      <c r="M11717" s="14"/>
      <c r="N11717" s="14"/>
      <c r="O11717" s="14"/>
      <c r="P11717" s="13"/>
    </row>
    <row r="11718">
      <c r="L11718" s="13"/>
      <c r="M11718" s="14"/>
      <c r="N11718" s="14"/>
      <c r="O11718" s="14"/>
      <c r="P11718" s="13"/>
    </row>
    <row r="11719">
      <c r="L11719" s="13"/>
      <c r="M11719" s="14"/>
      <c r="N11719" s="14"/>
      <c r="O11719" s="14"/>
      <c r="P11719" s="13"/>
    </row>
    <row r="11720">
      <c r="L11720" s="13"/>
      <c r="M11720" s="14"/>
      <c r="N11720" s="14"/>
      <c r="O11720" s="14"/>
      <c r="P11720" s="13"/>
    </row>
    <row r="11721">
      <c r="L11721" s="13"/>
      <c r="M11721" s="14"/>
      <c r="N11721" s="14"/>
      <c r="O11721" s="14"/>
      <c r="P11721" s="13"/>
    </row>
    <row r="11722">
      <c r="L11722" s="13"/>
      <c r="M11722" s="14"/>
      <c r="N11722" s="14"/>
      <c r="O11722" s="14"/>
      <c r="P11722" s="13"/>
    </row>
    <row r="11723">
      <c r="L11723" s="13"/>
      <c r="M11723" s="14"/>
      <c r="N11723" s="14"/>
      <c r="O11723" s="14"/>
      <c r="P11723" s="13"/>
    </row>
    <row r="11724">
      <c r="L11724" s="13"/>
      <c r="M11724" s="14"/>
      <c r="N11724" s="14"/>
      <c r="O11724" s="14"/>
      <c r="P11724" s="13"/>
    </row>
    <row r="11725">
      <c r="L11725" s="13"/>
      <c r="M11725" s="14"/>
      <c r="N11725" s="14"/>
      <c r="O11725" s="14"/>
      <c r="P11725" s="13"/>
    </row>
    <row r="11726">
      <c r="L11726" s="13"/>
      <c r="M11726" s="14"/>
      <c r="N11726" s="14"/>
      <c r="O11726" s="14"/>
      <c r="P11726" s="13"/>
    </row>
    <row r="11727">
      <c r="L11727" s="13"/>
      <c r="M11727" s="14"/>
      <c r="N11727" s="14"/>
      <c r="O11727" s="14"/>
      <c r="P11727" s="13"/>
    </row>
    <row r="11728">
      <c r="L11728" s="13"/>
      <c r="M11728" s="14"/>
      <c r="N11728" s="14"/>
      <c r="O11728" s="14"/>
      <c r="P11728" s="13"/>
    </row>
    <row r="11729">
      <c r="L11729" s="13"/>
      <c r="M11729" s="14"/>
      <c r="N11729" s="14"/>
      <c r="O11729" s="14"/>
      <c r="P11729" s="13"/>
    </row>
    <row r="11730">
      <c r="L11730" s="13"/>
      <c r="M11730" s="14"/>
      <c r="N11730" s="14"/>
      <c r="O11730" s="14"/>
      <c r="P11730" s="13"/>
    </row>
    <row r="11731">
      <c r="L11731" s="13"/>
      <c r="M11731" s="14"/>
      <c r="N11731" s="14"/>
      <c r="O11731" s="14"/>
      <c r="P11731" s="13"/>
    </row>
    <row r="11732">
      <c r="L11732" s="13"/>
      <c r="M11732" s="14"/>
      <c r="N11732" s="14"/>
      <c r="O11732" s="14"/>
      <c r="P11732" s="13"/>
    </row>
    <row r="11733">
      <c r="L11733" s="13"/>
      <c r="M11733" s="14"/>
      <c r="N11733" s="14"/>
      <c r="O11733" s="14"/>
      <c r="P11733" s="13"/>
    </row>
    <row r="11734">
      <c r="L11734" s="13"/>
      <c r="M11734" s="14"/>
      <c r="N11734" s="14"/>
      <c r="O11734" s="14"/>
      <c r="P11734" s="13"/>
    </row>
    <row r="11735">
      <c r="L11735" s="13"/>
      <c r="M11735" s="14"/>
      <c r="N11735" s="14"/>
      <c r="O11735" s="14"/>
      <c r="P11735" s="13"/>
    </row>
    <row r="11736">
      <c r="L11736" s="13"/>
      <c r="M11736" s="14"/>
      <c r="N11736" s="14"/>
      <c r="O11736" s="14"/>
      <c r="P11736" s="13"/>
    </row>
    <row r="11737">
      <c r="L11737" s="13"/>
      <c r="M11737" s="14"/>
      <c r="N11737" s="14"/>
      <c r="O11737" s="14"/>
      <c r="P11737" s="13"/>
    </row>
    <row r="11738">
      <c r="L11738" s="13"/>
      <c r="M11738" s="14"/>
      <c r="N11738" s="14"/>
      <c r="O11738" s="14"/>
      <c r="P11738" s="13"/>
    </row>
    <row r="11739">
      <c r="L11739" s="13"/>
      <c r="M11739" s="14"/>
      <c r="N11739" s="14"/>
      <c r="O11739" s="14"/>
      <c r="P11739" s="13"/>
    </row>
    <row r="11740">
      <c r="L11740" s="13"/>
      <c r="M11740" s="14"/>
      <c r="N11740" s="14"/>
      <c r="O11740" s="14"/>
      <c r="P11740" s="13"/>
    </row>
    <row r="11741">
      <c r="L11741" s="13"/>
      <c r="M11741" s="14"/>
      <c r="N11741" s="14"/>
      <c r="O11741" s="14"/>
      <c r="P11741" s="13"/>
    </row>
    <row r="11742">
      <c r="L11742" s="13"/>
      <c r="M11742" s="14"/>
      <c r="N11742" s="14"/>
      <c r="O11742" s="14"/>
      <c r="P11742" s="13"/>
    </row>
    <row r="11743">
      <c r="L11743" s="13"/>
      <c r="M11743" s="14"/>
      <c r="N11743" s="14"/>
      <c r="O11743" s="14"/>
      <c r="P11743" s="13"/>
    </row>
    <row r="11744">
      <c r="L11744" s="13"/>
      <c r="M11744" s="14"/>
      <c r="N11744" s="14"/>
      <c r="O11744" s="14"/>
      <c r="P11744" s="13"/>
    </row>
    <row r="11745">
      <c r="L11745" s="13"/>
      <c r="M11745" s="14"/>
      <c r="N11745" s="14"/>
      <c r="O11745" s="14"/>
      <c r="P11745" s="13"/>
    </row>
    <row r="11746">
      <c r="L11746" s="13"/>
      <c r="M11746" s="14"/>
      <c r="N11746" s="14"/>
      <c r="O11746" s="14"/>
      <c r="P11746" s="13"/>
    </row>
    <row r="11747">
      <c r="L11747" s="13"/>
      <c r="M11747" s="14"/>
      <c r="N11747" s="14"/>
      <c r="O11747" s="14"/>
      <c r="P11747" s="13"/>
    </row>
    <row r="11748">
      <c r="L11748" s="13"/>
      <c r="M11748" s="14"/>
      <c r="N11748" s="14"/>
      <c r="O11748" s="14"/>
      <c r="P11748" s="13"/>
    </row>
    <row r="11749">
      <c r="L11749" s="13"/>
      <c r="M11749" s="14"/>
      <c r="N11749" s="14"/>
      <c r="O11749" s="14"/>
      <c r="P11749" s="13"/>
    </row>
    <row r="11750">
      <c r="L11750" s="13"/>
      <c r="M11750" s="14"/>
      <c r="N11750" s="14"/>
      <c r="O11750" s="14"/>
      <c r="P11750" s="13"/>
    </row>
    <row r="11751">
      <c r="L11751" s="13"/>
      <c r="M11751" s="14"/>
      <c r="N11751" s="14"/>
      <c r="O11751" s="14"/>
      <c r="P11751" s="13"/>
    </row>
    <row r="11752">
      <c r="L11752" s="13"/>
      <c r="M11752" s="14"/>
      <c r="N11752" s="14"/>
      <c r="O11752" s="14"/>
      <c r="P11752" s="13"/>
    </row>
    <row r="11753">
      <c r="L11753" s="13"/>
      <c r="M11753" s="14"/>
      <c r="N11753" s="14"/>
      <c r="O11753" s="14"/>
      <c r="P11753" s="13"/>
    </row>
    <row r="11754">
      <c r="L11754" s="13"/>
      <c r="M11754" s="14"/>
      <c r="N11754" s="14"/>
      <c r="O11754" s="14"/>
      <c r="P11754" s="13"/>
    </row>
    <row r="11755">
      <c r="L11755" s="13"/>
      <c r="M11755" s="14"/>
      <c r="N11755" s="14"/>
      <c r="O11755" s="14"/>
      <c r="P11755" s="13"/>
    </row>
    <row r="11756">
      <c r="L11756" s="13"/>
      <c r="M11756" s="14"/>
      <c r="N11756" s="14"/>
      <c r="O11756" s="14"/>
      <c r="P11756" s="13"/>
    </row>
    <row r="11757">
      <c r="L11757" s="13"/>
      <c r="M11757" s="14"/>
      <c r="N11757" s="14"/>
      <c r="O11757" s="14"/>
      <c r="P11757" s="13"/>
    </row>
    <row r="11758">
      <c r="L11758" s="13"/>
      <c r="M11758" s="14"/>
      <c r="N11758" s="14"/>
      <c r="O11758" s="14"/>
      <c r="P11758" s="13"/>
    </row>
    <row r="11759">
      <c r="L11759" s="13"/>
      <c r="M11759" s="14"/>
      <c r="N11759" s="14"/>
      <c r="O11759" s="14"/>
      <c r="P11759" s="13"/>
    </row>
    <row r="11760">
      <c r="L11760" s="13"/>
      <c r="M11760" s="14"/>
      <c r="N11760" s="14"/>
      <c r="O11760" s="14"/>
      <c r="P11760" s="13"/>
    </row>
    <row r="11761">
      <c r="L11761" s="13"/>
      <c r="M11761" s="14"/>
      <c r="N11761" s="14"/>
      <c r="O11761" s="14"/>
      <c r="P11761" s="13"/>
    </row>
    <row r="11762">
      <c r="L11762" s="13"/>
      <c r="M11762" s="14"/>
      <c r="N11762" s="14"/>
      <c r="O11762" s="14"/>
      <c r="P11762" s="13"/>
    </row>
    <row r="11763">
      <c r="L11763" s="13"/>
      <c r="M11763" s="14"/>
      <c r="N11763" s="14"/>
      <c r="O11763" s="14"/>
      <c r="P11763" s="13"/>
    </row>
    <row r="11764">
      <c r="L11764" s="13"/>
      <c r="M11764" s="14"/>
      <c r="N11764" s="14"/>
      <c r="O11764" s="14"/>
      <c r="P11764" s="13"/>
    </row>
    <row r="11765">
      <c r="L11765" s="13"/>
      <c r="M11765" s="14"/>
      <c r="N11765" s="14"/>
      <c r="O11765" s="14"/>
      <c r="P11765" s="13"/>
    </row>
    <row r="11766">
      <c r="L11766" s="13"/>
      <c r="M11766" s="14"/>
      <c r="N11766" s="14"/>
      <c r="O11766" s="14"/>
      <c r="P11766" s="13"/>
    </row>
    <row r="11767">
      <c r="L11767" s="13"/>
      <c r="M11767" s="14"/>
      <c r="N11767" s="14"/>
      <c r="O11767" s="14"/>
      <c r="P11767" s="13"/>
    </row>
    <row r="11768">
      <c r="L11768" s="13"/>
      <c r="M11768" s="14"/>
      <c r="N11768" s="14"/>
      <c r="O11768" s="14"/>
      <c r="P11768" s="13"/>
    </row>
    <row r="11769">
      <c r="L11769" s="13"/>
      <c r="M11769" s="14"/>
      <c r="N11769" s="14"/>
      <c r="O11769" s="14"/>
      <c r="P11769" s="13"/>
    </row>
    <row r="11770">
      <c r="L11770" s="13"/>
      <c r="M11770" s="14"/>
      <c r="N11770" s="14"/>
      <c r="O11770" s="14"/>
      <c r="P11770" s="13"/>
    </row>
    <row r="11771">
      <c r="L11771" s="13"/>
      <c r="M11771" s="14"/>
      <c r="N11771" s="14"/>
      <c r="O11771" s="14"/>
      <c r="P11771" s="13"/>
    </row>
    <row r="11772">
      <c r="L11772" s="13"/>
      <c r="M11772" s="14"/>
      <c r="N11772" s="14"/>
      <c r="O11772" s="14"/>
      <c r="P11772" s="13"/>
    </row>
    <row r="11773">
      <c r="L11773" s="13"/>
      <c r="M11773" s="14"/>
      <c r="N11773" s="14"/>
      <c r="O11773" s="14"/>
      <c r="P11773" s="13"/>
    </row>
    <row r="11774">
      <c r="L11774" s="13"/>
      <c r="M11774" s="14"/>
      <c r="N11774" s="14"/>
      <c r="O11774" s="14"/>
      <c r="P11774" s="13"/>
    </row>
    <row r="11775">
      <c r="L11775" s="13"/>
      <c r="M11775" s="14"/>
      <c r="N11775" s="14"/>
      <c r="O11775" s="14"/>
      <c r="P11775" s="13"/>
    </row>
    <row r="11776">
      <c r="L11776" s="13"/>
      <c r="M11776" s="14"/>
      <c r="N11776" s="14"/>
      <c r="O11776" s="14"/>
      <c r="P11776" s="13"/>
    </row>
    <row r="11777">
      <c r="L11777" s="13"/>
      <c r="M11777" s="14"/>
      <c r="N11777" s="14"/>
      <c r="O11777" s="14"/>
      <c r="P11777" s="13"/>
    </row>
    <row r="11778">
      <c r="L11778" s="13"/>
      <c r="M11778" s="14"/>
      <c r="N11778" s="14"/>
      <c r="O11778" s="14"/>
      <c r="P11778" s="13"/>
    </row>
    <row r="11779">
      <c r="L11779" s="13"/>
      <c r="M11779" s="14"/>
      <c r="N11779" s="14"/>
      <c r="O11779" s="14"/>
      <c r="P11779" s="13"/>
    </row>
    <row r="11780">
      <c r="L11780" s="13"/>
      <c r="M11780" s="14"/>
      <c r="N11780" s="14"/>
      <c r="O11780" s="14"/>
      <c r="P11780" s="13"/>
    </row>
    <row r="11781">
      <c r="L11781" s="13"/>
      <c r="M11781" s="14"/>
      <c r="N11781" s="14"/>
      <c r="O11781" s="14"/>
      <c r="P11781" s="13"/>
    </row>
    <row r="11782">
      <c r="L11782" s="13"/>
      <c r="M11782" s="14"/>
      <c r="N11782" s="14"/>
      <c r="O11782" s="14"/>
      <c r="P11782" s="13"/>
    </row>
    <row r="11783">
      <c r="L11783" s="13"/>
      <c r="M11783" s="14"/>
      <c r="N11783" s="14"/>
      <c r="O11783" s="14"/>
      <c r="P11783" s="13"/>
    </row>
    <row r="11784">
      <c r="L11784" s="13"/>
      <c r="M11784" s="14"/>
      <c r="N11784" s="14"/>
      <c r="O11784" s="14"/>
      <c r="P11784" s="13"/>
    </row>
    <row r="11785">
      <c r="L11785" s="13"/>
      <c r="M11785" s="14"/>
      <c r="N11785" s="14"/>
      <c r="O11785" s="14"/>
      <c r="P11785" s="13"/>
    </row>
    <row r="11786">
      <c r="L11786" s="13"/>
      <c r="M11786" s="14"/>
      <c r="N11786" s="14"/>
      <c r="O11786" s="14"/>
      <c r="P11786" s="13"/>
    </row>
    <row r="11787">
      <c r="L11787" s="13"/>
      <c r="M11787" s="14"/>
      <c r="N11787" s="14"/>
      <c r="O11787" s="14"/>
      <c r="P11787" s="13"/>
    </row>
    <row r="11788">
      <c r="L11788" s="13"/>
      <c r="M11788" s="14"/>
      <c r="N11788" s="14"/>
      <c r="O11788" s="14"/>
      <c r="P11788" s="13"/>
    </row>
    <row r="11789">
      <c r="L11789" s="13"/>
      <c r="M11789" s="14"/>
      <c r="N11789" s="14"/>
      <c r="O11789" s="14"/>
      <c r="P11789" s="13"/>
    </row>
    <row r="11790">
      <c r="L11790" s="13"/>
      <c r="M11790" s="14"/>
      <c r="N11790" s="14"/>
      <c r="O11790" s="14"/>
      <c r="P11790" s="13"/>
    </row>
    <row r="11791">
      <c r="L11791" s="13"/>
      <c r="M11791" s="14"/>
      <c r="N11791" s="14"/>
      <c r="O11791" s="14"/>
      <c r="P11791" s="13"/>
    </row>
    <row r="11792">
      <c r="L11792" s="13"/>
      <c r="M11792" s="14"/>
      <c r="N11792" s="14"/>
      <c r="O11792" s="14"/>
      <c r="P11792" s="13"/>
    </row>
    <row r="11793">
      <c r="L11793" s="13"/>
      <c r="M11793" s="14"/>
      <c r="N11793" s="14"/>
      <c r="O11793" s="14"/>
      <c r="P11793" s="13"/>
    </row>
    <row r="11794">
      <c r="L11794" s="13"/>
      <c r="M11794" s="14"/>
      <c r="N11794" s="14"/>
      <c r="O11794" s="14"/>
      <c r="P11794" s="13"/>
    </row>
    <row r="11795">
      <c r="L11795" s="13"/>
      <c r="M11795" s="14"/>
      <c r="N11795" s="14"/>
      <c r="O11795" s="14"/>
      <c r="P11795" s="13"/>
    </row>
    <row r="11796">
      <c r="L11796" s="13"/>
      <c r="M11796" s="14"/>
      <c r="N11796" s="14"/>
      <c r="O11796" s="14"/>
      <c r="P11796" s="13"/>
    </row>
    <row r="11797">
      <c r="L11797" s="13"/>
      <c r="M11797" s="14"/>
      <c r="N11797" s="14"/>
      <c r="O11797" s="14"/>
      <c r="P11797" s="13"/>
    </row>
    <row r="11798">
      <c r="L11798" s="13"/>
      <c r="M11798" s="14"/>
      <c r="N11798" s="14"/>
      <c r="O11798" s="14"/>
      <c r="P11798" s="13"/>
    </row>
    <row r="11799">
      <c r="L11799" s="13"/>
      <c r="M11799" s="14"/>
      <c r="N11799" s="14"/>
      <c r="O11799" s="14"/>
      <c r="P11799" s="13"/>
    </row>
    <row r="11800">
      <c r="L11800" s="13"/>
      <c r="M11800" s="14"/>
      <c r="N11800" s="14"/>
      <c r="O11800" s="14"/>
      <c r="P11800" s="13"/>
    </row>
    <row r="11801">
      <c r="L11801" s="13"/>
      <c r="M11801" s="14"/>
      <c r="N11801" s="14"/>
      <c r="O11801" s="14"/>
      <c r="P11801" s="13"/>
    </row>
    <row r="11802">
      <c r="L11802" s="13"/>
      <c r="M11802" s="14"/>
      <c r="N11802" s="14"/>
      <c r="O11802" s="14"/>
      <c r="P11802" s="13"/>
    </row>
    <row r="11803">
      <c r="L11803" s="13"/>
      <c r="M11803" s="14"/>
      <c r="N11803" s="14"/>
      <c r="O11803" s="14"/>
      <c r="P11803" s="13"/>
    </row>
    <row r="11804">
      <c r="L11804" s="13"/>
      <c r="M11804" s="14"/>
      <c r="N11804" s="14"/>
      <c r="O11804" s="14"/>
      <c r="P11804" s="13"/>
    </row>
    <row r="11805">
      <c r="L11805" s="13"/>
      <c r="M11805" s="14"/>
      <c r="N11805" s="14"/>
      <c r="O11805" s="14"/>
      <c r="P11805" s="13"/>
    </row>
    <row r="11806">
      <c r="L11806" s="13"/>
      <c r="M11806" s="14"/>
      <c r="N11806" s="14"/>
      <c r="O11806" s="14"/>
      <c r="P11806" s="13"/>
    </row>
    <row r="11807">
      <c r="L11807" s="13"/>
      <c r="M11807" s="14"/>
      <c r="N11807" s="14"/>
      <c r="O11807" s="14"/>
      <c r="P11807" s="13"/>
    </row>
    <row r="11808">
      <c r="L11808" s="13"/>
      <c r="M11808" s="14"/>
      <c r="N11808" s="14"/>
      <c r="O11808" s="14"/>
      <c r="P11808" s="13"/>
    </row>
    <row r="11809">
      <c r="L11809" s="13"/>
      <c r="M11809" s="14"/>
      <c r="N11809" s="14"/>
      <c r="O11809" s="14"/>
      <c r="P11809" s="13"/>
    </row>
    <row r="11810">
      <c r="L11810" s="13"/>
      <c r="M11810" s="14"/>
      <c r="N11810" s="14"/>
      <c r="O11810" s="14"/>
      <c r="P11810" s="13"/>
    </row>
    <row r="11811">
      <c r="L11811" s="13"/>
      <c r="M11811" s="14"/>
      <c r="N11811" s="14"/>
      <c r="O11811" s="14"/>
      <c r="P11811" s="13"/>
    </row>
    <row r="11812">
      <c r="L11812" s="13"/>
      <c r="M11812" s="14"/>
      <c r="N11812" s="14"/>
      <c r="O11812" s="14"/>
      <c r="P11812" s="13"/>
    </row>
    <row r="11813">
      <c r="L11813" s="13"/>
      <c r="M11813" s="14"/>
      <c r="N11813" s="14"/>
      <c r="O11813" s="14"/>
      <c r="P11813" s="13"/>
    </row>
    <row r="11814">
      <c r="L11814" s="13"/>
      <c r="M11814" s="14"/>
      <c r="N11814" s="14"/>
      <c r="O11814" s="14"/>
      <c r="P11814" s="13"/>
    </row>
    <row r="11815">
      <c r="L11815" s="13"/>
      <c r="M11815" s="14"/>
      <c r="N11815" s="14"/>
      <c r="O11815" s="14"/>
      <c r="P11815" s="13"/>
    </row>
    <row r="11816">
      <c r="L11816" s="13"/>
      <c r="M11816" s="14"/>
      <c r="N11816" s="14"/>
      <c r="O11816" s="14"/>
      <c r="P11816" s="13"/>
    </row>
    <row r="11817">
      <c r="L11817" s="13"/>
      <c r="M11817" s="14"/>
      <c r="N11817" s="14"/>
      <c r="O11817" s="14"/>
      <c r="P11817" s="13"/>
    </row>
    <row r="11818">
      <c r="L11818" s="13"/>
      <c r="M11818" s="14"/>
      <c r="N11818" s="14"/>
      <c r="O11818" s="14"/>
      <c r="P11818" s="13"/>
    </row>
    <row r="11819">
      <c r="L11819" s="13"/>
      <c r="M11819" s="14"/>
      <c r="N11819" s="14"/>
      <c r="O11819" s="14"/>
      <c r="P11819" s="13"/>
    </row>
    <row r="11820">
      <c r="L11820" s="13"/>
      <c r="M11820" s="14"/>
      <c r="N11820" s="14"/>
      <c r="O11820" s="14"/>
      <c r="P11820" s="13"/>
    </row>
    <row r="11821">
      <c r="L11821" s="13"/>
      <c r="M11821" s="14"/>
      <c r="N11821" s="14"/>
      <c r="O11821" s="14"/>
      <c r="P11821" s="13"/>
    </row>
    <row r="11822">
      <c r="L11822" s="13"/>
      <c r="M11822" s="14"/>
      <c r="N11822" s="14"/>
      <c r="O11822" s="14"/>
      <c r="P11822" s="13"/>
    </row>
    <row r="11823">
      <c r="L11823" s="13"/>
      <c r="M11823" s="14"/>
      <c r="N11823" s="14"/>
      <c r="O11823" s="14"/>
      <c r="P11823" s="13"/>
    </row>
    <row r="11824">
      <c r="L11824" s="13"/>
      <c r="M11824" s="14"/>
      <c r="N11824" s="14"/>
      <c r="O11824" s="14"/>
      <c r="P11824" s="13"/>
    </row>
    <row r="11825">
      <c r="L11825" s="13"/>
      <c r="M11825" s="14"/>
      <c r="N11825" s="14"/>
      <c r="O11825" s="14"/>
      <c r="P11825" s="13"/>
    </row>
    <row r="11826">
      <c r="L11826" s="13"/>
      <c r="M11826" s="14"/>
      <c r="N11826" s="14"/>
      <c r="O11826" s="14"/>
      <c r="P11826" s="13"/>
    </row>
    <row r="11827">
      <c r="L11827" s="13"/>
      <c r="M11827" s="14"/>
      <c r="N11827" s="14"/>
      <c r="O11827" s="14"/>
      <c r="P11827" s="13"/>
    </row>
    <row r="11828">
      <c r="L11828" s="13"/>
      <c r="M11828" s="14"/>
      <c r="N11828" s="14"/>
      <c r="O11828" s="14"/>
      <c r="P11828" s="13"/>
    </row>
    <row r="11829">
      <c r="L11829" s="13"/>
      <c r="M11829" s="14"/>
      <c r="N11829" s="14"/>
      <c r="O11829" s="14"/>
      <c r="P11829" s="13"/>
    </row>
    <row r="11830">
      <c r="L11830" s="13"/>
      <c r="M11830" s="14"/>
      <c r="N11830" s="14"/>
      <c r="O11830" s="14"/>
      <c r="P11830" s="13"/>
    </row>
    <row r="11831">
      <c r="L11831" s="13"/>
      <c r="M11831" s="14"/>
      <c r="N11831" s="14"/>
      <c r="O11831" s="14"/>
      <c r="P11831" s="13"/>
    </row>
    <row r="11832">
      <c r="L11832" s="13"/>
      <c r="M11832" s="14"/>
      <c r="N11832" s="14"/>
      <c r="O11832" s="14"/>
      <c r="P11832" s="13"/>
    </row>
    <row r="11833">
      <c r="L11833" s="13"/>
      <c r="M11833" s="14"/>
      <c r="N11833" s="14"/>
      <c r="O11833" s="14"/>
      <c r="P11833" s="13"/>
    </row>
    <row r="11834">
      <c r="L11834" s="13"/>
      <c r="M11834" s="14"/>
      <c r="N11834" s="14"/>
      <c r="O11834" s="14"/>
      <c r="P11834" s="13"/>
    </row>
    <row r="11835">
      <c r="L11835" s="13"/>
      <c r="M11835" s="14"/>
      <c r="N11835" s="14"/>
      <c r="O11835" s="14"/>
      <c r="P11835" s="13"/>
    </row>
    <row r="11836">
      <c r="L11836" s="13"/>
      <c r="M11836" s="14"/>
      <c r="N11836" s="14"/>
      <c r="O11836" s="14"/>
      <c r="P11836" s="13"/>
    </row>
    <row r="11837">
      <c r="L11837" s="13"/>
      <c r="M11837" s="14"/>
      <c r="N11837" s="14"/>
      <c r="O11837" s="14"/>
      <c r="P11837" s="13"/>
    </row>
    <row r="11838">
      <c r="L11838" s="13"/>
      <c r="M11838" s="14"/>
      <c r="N11838" s="14"/>
      <c r="O11838" s="14"/>
      <c r="P11838" s="13"/>
    </row>
    <row r="11839">
      <c r="L11839" s="13"/>
      <c r="M11839" s="14"/>
      <c r="N11839" s="14"/>
      <c r="O11839" s="14"/>
      <c r="P11839" s="13"/>
    </row>
    <row r="11840">
      <c r="L11840" s="13"/>
      <c r="M11840" s="14"/>
      <c r="N11840" s="14"/>
      <c r="O11840" s="14"/>
      <c r="P11840" s="13"/>
    </row>
    <row r="11841">
      <c r="L11841" s="13"/>
      <c r="M11841" s="14"/>
      <c r="N11841" s="14"/>
      <c r="O11841" s="14"/>
      <c r="P11841" s="13"/>
    </row>
    <row r="11842">
      <c r="L11842" s="13"/>
      <c r="M11842" s="14"/>
      <c r="N11842" s="14"/>
      <c r="O11842" s="14"/>
      <c r="P11842" s="13"/>
    </row>
    <row r="11843">
      <c r="L11843" s="13"/>
      <c r="M11843" s="14"/>
      <c r="N11843" s="14"/>
      <c r="O11843" s="14"/>
      <c r="P11843" s="13"/>
    </row>
    <row r="11844">
      <c r="L11844" s="13"/>
      <c r="M11844" s="14"/>
      <c r="N11844" s="14"/>
      <c r="O11844" s="14"/>
      <c r="P11844" s="13"/>
    </row>
    <row r="11845">
      <c r="L11845" s="13"/>
      <c r="M11845" s="14"/>
      <c r="N11845" s="14"/>
      <c r="O11845" s="14"/>
      <c r="P11845" s="13"/>
    </row>
    <row r="11846">
      <c r="L11846" s="13"/>
      <c r="M11846" s="14"/>
      <c r="N11846" s="14"/>
      <c r="O11846" s="14"/>
      <c r="P11846" s="13"/>
    </row>
    <row r="11847">
      <c r="L11847" s="13"/>
      <c r="M11847" s="14"/>
      <c r="N11847" s="14"/>
      <c r="O11847" s="14"/>
      <c r="P11847" s="13"/>
    </row>
    <row r="11848">
      <c r="L11848" s="13"/>
      <c r="M11848" s="14"/>
      <c r="N11848" s="14"/>
      <c r="O11848" s="14"/>
      <c r="P11848" s="13"/>
    </row>
    <row r="11849">
      <c r="L11849" s="13"/>
      <c r="M11849" s="14"/>
      <c r="N11849" s="14"/>
      <c r="O11849" s="14"/>
      <c r="P11849" s="13"/>
    </row>
    <row r="11850">
      <c r="L11850" s="13"/>
      <c r="M11850" s="14"/>
      <c r="N11850" s="14"/>
      <c r="O11850" s="14"/>
      <c r="P11850" s="13"/>
    </row>
    <row r="11851">
      <c r="L11851" s="13"/>
      <c r="M11851" s="14"/>
      <c r="N11851" s="14"/>
      <c r="O11851" s="14"/>
      <c r="P11851" s="13"/>
    </row>
    <row r="11852">
      <c r="L11852" s="13"/>
      <c r="M11852" s="14"/>
      <c r="N11852" s="14"/>
      <c r="O11852" s="14"/>
      <c r="P11852" s="13"/>
    </row>
    <row r="11853">
      <c r="L11853" s="13"/>
      <c r="M11853" s="14"/>
      <c r="N11853" s="14"/>
      <c r="O11853" s="14"/>
      <c r="P11853" s="13"/>
    </row>
    <row r="11854">
      <c r="L11854" s="13"/>
      <c r="M11854" s="14"/>
      <c r="N11854" s="14"/>
      <c r="O11854" s="14"/>
      <c r="P11854" s="13"/>
    </row>
    <row r="11855">
      <c r="L11855" s="13"/>
      <c r="M11855" s="14"/>
      <c r="N11855" s="14"/>
      <c r="O11855" s="14"/>
      <c r="P11855" s="13"/>
    </row>
    <row r="11856">
      <c r="L11856" s="13"/>
      <c r="M11856" s="14"/>
      <c r="N11856" s="14"/>
      <c r="O11856" s="14"/>
      <c r="P11856" s="13"/>
    </row>
    <row r="11857">
      <c r="L11857" s="13"/>
      <c r="M11857" s="14"/>
      <c r="N11857" s="14"/>
      <c r="O11857" s="14"/>
      <c r="P11857" s="13"/>
    </row>
    <row r="11858">
      <c r="L11858" s="13"/>
      <c r="M11858" s="14"/>
      <c r="N11858" s="14"/>
      <c r="O11858" s="14"/>
      <c r="P11858" s="13"/>
    </row>
    <row r="11859">
      <c r="L11859" s="13"/>
      <c r="M11859" s="14"/>
      <c r="N11859" s="14"/>
      <c r="O11859" s="14"/>
      <c r="P11859" s="13"/>
    </row>
    <row r="11860">
      <c r="L11860" s="13"/>
      <c r="M11860" s="14"/>
      <c r="N11860" s="14"/>
      <c r="O11860" s="14"/>
      <c r="P11860" s="13"/>
    </row>
    <row r="11861">
      <c r="L11861" s="13"/>
      <c r="M11861" s="14"/>
      <c r="N11861" s="14"/>
      <c r="O11861" s="14"/>
      <c r="P11861" s="13"/>
    </row>
    <row r="11862">
      <c r="L11862" s="13"/>
      <c r="M11862" s="14"/>
      <c r="N11862" s="14"/>
      <c r="O11862" s="14"/>
      <c r="P11862" s="13"/>
    </row>
    <row r="11863">
      <c r="L11863" s="13"/>
      <c r="M11863" s="14"/>
      <c r="N11863" s="14"/>
      <c r="O11863" s="14"/>
      <c r="P11863" s="13"/>
    </row>
    <row r="11864">
      <c r="L11864" s="13"/>
      <c r="M11864" s="14"/>
      <c r="N11864" s="14"/>
      <c r="O11864" s="14"/>
      <c r="P11864" s="13"/>
    </row>
    <row r="11865">
      <c r="L11865" s="13"/>
      <c r="M11865" s="14"/>
      <c r="N11865" s="14"/>
      <c r="O11865" s="14"/>
      <c r="P11865" s="13"/>
    </row>
    <row r="11866">
      <c r="L11866" s="13"/>
      <c r="M11866" s="14"/>
      <c r="N11866" s="14"/>
      <c r="O11866" s="14"/>
      <c r="P11866" s="13"/>
    </row>
    <row r="11867">
      <c r="L11867" s="13"/>
      <c r="M11867" s="14"/>
      <c r="N11867" s="14"/>
      <c r="O11867" s="14"/>
      <c r="P11867" s="13"/>
    </row>
    <row r="11868">
      <c r="L11868" s="13"/>
      <c r="M11868" s="14"/>
      <c r="N11868" s="14"/>
      <c r="O11868" s="14"/>
      <c r="P11868" s="13"/>
    </row>
    <row r="11869">
      <c r="L11869" s="13"/>
      <c r="M11869" s="14"/>
      <c r="N11869" s="14"/>
      <c r="O11869" s="14"/>
      <c r="P11869" s="13"/>
    </row>
    <row r="11870">
      <c r="L11870" s="13"/>
      <c r="M11870" s="14"/>
      <c r="N11870" s="14"/>
      <c r="O11870" s="14"/>
      <c r="P11870" s="13"/>
    </row>
    <row r="11871">
      <c r="L11871" s="13"/>
      <c r="M11871" s="14"/>
      <c r="N11871" s="14"/>
      <c r="O11871" s="14"/>
      <c r="P11871" s="13"/>
    </row>
    <row r="11872">
      <c r="L11872" s="13"/>
      <c r="M11872" s="14"/>
      <c r="N11872" s="14"/>
      <c r="O11872" s="14"/>
      <c r="P11872" s="13"/>
    </row>
    <row r="11873">
      <c r="L11873" s="13"/>
      <c r="M11873" s="14"/>
      <c r="N11873" s="14"/>
      <c r="O11873" s="14"/>
      <c r="P11873" s="13"/>
    </row>
    <row r="11874">
      <c r="L11874" s="13"/>
      <c r="M11874" s="14"/>
      <c r="N11874" s="14"/>
      <c r="O11874" s="14"/>
      <c r="P11874" s="13"/>
    </row>
    <row r="11875">
      <c r="L11875" s="13"/>
      <c r="M11875" s="14"/>
      <c r="N11875" s="14"/>
      <c r="O11875" s="14"/>
      <c r="P11875" s="13"/>
    </row>
    <row r="11876">
      <c r="L11876" s="13"/>
      <c r="M11876" s="14"/>
      <c r="N11876" s="14"/>
      <c r="O11876" s="14"/>
      <c r="P11876" s="13"/>
    </row>
    <row r="11877">
      <c r="L11877" s="13"/>
      <c r="M11877" s="14"/>
      <c r="N11877" s="14"/>
      <c r="O11877" s="14"/>
      <c r="P11877" s="13"/>
    </row>
    <row r="11878">
      <c r="L11878" s="13"/>
      <c r="M11878" s="14"/>
      <c r="N11878" s="14"/>
      <c r="O11878" s="14"/>
      <c r="P11878" s="13"/>
    </row>
    <row r="11879">
      <c r="L11879" s="13"/>
      <c r="M11879" s="14"/>
      <c r="N11879" s="14"/>
      <c r="O11879" s="14"/>
      <c r="P11879" s="13"/>
    </row>
    <row r="11880">
      <c r="L11880" s="13"/>
      <c r="M11880" s="14"/>
      <c r="N11880" s="14"/>
      <c r="O11880" s="14"/>
      <c r="P11880" s="13"/>
    </row>
    <row r="11881">
      <c r="L11881" s="13"/>
      <c r="M11881" s="14"/>
      <c r="N11881" s="14"/>
      <c r="O11881" s="14"/>
      <c r="P11881" s="13"/>
    </row>
    <row r="11882">
      <c r="L11882" s="13"/>
      <c r="M11882" s="14"/>
      <c r="N11882" s="14"/>
      <c r="O11882" s="14"/>
      <c r="P11882" s="13"/>
    </row>
    <row r="11883">
      <c r="L11883" s="13"/>
      <c r="M11883" s="14"/>
      <c r="N11883" s="14"/>
      <c r="O11883" s="14"/>
      <c r="P11883" s="13"/>
    </row>
    <row r="11884">
      <c r="L11884" s="13"/>
      <c r="M11884" s="14"/>
      <c r="N11884" s="14"/>
      <c r="O11884" s="14"/>
      <c r="P11884" s="13"/>
    </row>
    <row r="11885">
      <c r="L11885" s="13"/>
      <c r="M11885" s="14"/>
      <c r="N11885" s="14"/>
      <c r="O11885" s="14"/>
      <c r="P11885" s="13"/>
    </row>
    <row r="11886">
      <c r="L11886" s="13"/>
      <c r="M11886" s="14"/>
      <c r="N11886" s="14"/>
      <c r="O11886" s="14"/>
      <c r="P11886" s="13"/>
    </row>
    <row r="11887">
      <c r="L11887" s="13"/>
      <c r="M11887" s="14"/>
      <c r="N11887" s="14"/>
      <c r="O11887" s="14"/>
      <c r="P11887" s="13"/>
    </row>
    <row r="11888">
      <c r="L11888" s="13"/>
      <c r="M11888" s="14"/>
      <c r="N11888" s="14"/>
      <c r="O11888" s="14"/>
      <c r="P11888" s="13"/>
    </row>
    <row r="11889">
      <c r="L11889" s="13"/>
      <c r="M11889" s="14"/>
      <c r="N11889" s="14"/>
      <c r="O11889" s="14"/>
      <c r="P11889" s="13"/>
    </row>
    <row r="11890">
      <c r="L11890" s="13"/>
      <c r="M11890" s="14"/>
      <c r="N11890" s="14"/>
      <c r="O11890" s="14"/>
      <c r="P11890" s="13"/>
    </row>
    <row r="11891">
      <c r="L11891" s="13"/>
      <c r="M11891" s="14"/>
      <c r="N11891" s="14"/>
      <c r="O11891" s="14"/>
      <c r="P11891" s="13"/>
    </row>
    <row r="11892">
      <c r="L11892" s="13"/>
      <c r="M11892" s="14"/>
      <c r="N11892" s="14"/>
      <c r="O11892" s="14"/>
      <c r="P11892" s="13"/>
    </row>
    <row r="11893">
      <c r="L11893" s="13"/>
      <c r="M11893" s="14"/>
      <c r="N11893" s="14"/>
      <c r="O11893" s="14"/>
      <c r="P11893" s="13"/>
    </row>
    <row r="11894">
      <c r="L11894" s="13"/>
      <c r="M11894" s="14"/>
      <c r="N11894" s="14"/>
      <c r="O11894" s="14"/>
      <c r="P11894" s="13"/>
    </row>
    <row r="11895">
      <c r="L11895" s="13"/>
      <c r="M11895" s="14"/>
      <c r="N11895" s="14"/>
      <c r="O11895" s="14"/>
      <c r="P11895" s="13"/>
    </row>
    <row r="11896">
      <c r="L11896" s="13"/>
      <c r="M11896" s="14"/>
      <c r="N11896" s="14"/>
      <c r="O11896" s="14"/>
      <c r="P11896" s="13"/>
    </row>
    <row r="11897">
      <c r="L11897" s="13"/>
      <c r="M11897" s="14"/>
      <c r="N11897" s="14"/>
      <c r="O11897" s="14"/>
      <c r="P11897" s="13"/>
    </row>
    <row r="11898">
      <c r="L11898" s="13"/>
      <c r="M11898" s="14"/>
      <c r="N11898" s="14"/>
      <c r="O11898" s="14"/>
      <c r="P11898" s="13"/>
    </row>
    <row r="11899">
      <c r="L11899" s="13"/>
      <c r="M11899" s="14"/>
      <c r="N11899" s="14"/>
      <c r="O11899" s="14"/>
      <c r="P11899" s="13"/>
    </row>
    <row r="11900">
      <c r="L11900" s="13"/>
      <c r="M11900" s="14"/>
      <c r="N11900" s="14"/>
      <c r="O11900" s="14"/>
      <c r="P11900" s="13"/>
    </row>
    <row r="11901">
      <c r="L11901" s="13"/>
      <c r="M11901" s="14"/>
      <c r="N11901" s="14"/>
      <c r="O11901" s="14"/>
      <c r="P11901" s="13"/>
    </row>
    <row r="11902">
      <c r="L11902" s="13"/>
      <c r="M11902" s="14"/>
      <c r="N11902" s="14"/>
      <c r="O11902" s="14"/>
      <c r="P11902" s="13"/>
    </row>
    <row r="11903">
      <c r="L11903" s="13"/>
      <c r="M11903" s="14"/>
      <c r="N11903" s="14"/>
      <c r="O11903" s="14"/>
      <c r="P11903" s="13"/>
    </row>
    <row r="11904">
      <c r="L11904" s="13"/>
      <c r="M11904" s="14"/>
      <c r="N11904" s="14"/>
      <c r="O11904" s="14"/>
      <c r="P11904" s="13"/>
    </row>
    <row r="11905">
      <c r="L11905" s="13"/>
      <c r="M11905" s="14"/>
      <c r="N11905" s="14"/>
      <c r="O11905" s="14"/>
      <c r="P11905" s="13"/>
    </row>
    <row r="11906">
      <c r="L11906" s="13"/>
      <c r="M11906" s="14"/>
      <c r="N11906" s="14"/>
      <c r="O11906" s="14"/>
      <c r="P11906" s="13"/>
    </row>
    <row r="11907">
      <c r="L11907" s="13"/>
      <c r="M11907" s="14"/>
      <c r="N11907" s="14"/>
      <c r="O11907" s="14"/>
      <c r="P11907" s="13"/>
    </row>
    <row r="11908">
      <c r="L11908" s="13"/>
      <c r="M11908" s="14"/>
      <c r="N11908" s="14"/>
      <c r="O11908" s="14"/>
      <c r="P11908" s="13"/>
    </row>
    <row r="11909">
      <c r="L11909" s="13"/>
      <c r="M11909" s="14"/>
      <c r="N11909" s="14"/>
      <c r="O11909" s="14"/>
      <c r="P11909" s="13"/>
    </row>
    <row r="11910">
      <c r="L11910" s="13"/>
      <c r="M11910" s="14"/>
      <c r="N11910" s="14"/>
      <c r="O11910" s="14"/>
      <c r="P11910" s="13"/>
    </row>
    <row r="11911">
      <c r="L11911" s="13"/>
      <c r="M11911" s="14"/>
      <c r="N11911" s="14"/>
      <c r="O11911" s="14"/>
      <c r="P11911" s="13"/>
    </row>
    <row r="11912">
      <c r="L11912" s="13"/>
      <c r="M11912" s="14"/>
      <c r="N11912" s="14"/>
      <c r="O11912" s="14"/>
      <c r="P11912" s="13"/>
    </row>
    <row r="11913">
      <c r="L11913" s="13"/>
      <c r="M11913" s="14"/>
      <c r="N11913" s="14"/>
      <c r="O11913" s="14"/>
      <c r="P11913" s="13"/>
    </row>
    <row r="11914">
      <c r="L11914" s="13"/>
      <c r="M11914" s="14"/>
      <c r="N11914" s="14"/>
      <c r="O11914" s="14"/>
      <c r="P11914" s="13"/>
    </row>
    <row r="11915">
      <c r="L11915" s="13"/>
      <c r="M11915" s="14"/>
      <c r="N11915" s="14"/>
      <c r="O11915" s="14"/>
      <c r="P11915" s="13"/>
    </row>
    <row r="11916">
      <c r="L11916" s="13"/>
      <c r="M11916" s="14"/>
      <c r="N11916" s="14"/>
      <c r="O11916" s="14"/>
      <c r="P11916" s="13"/>
    </row>
    <row r="11917">
      <c r="L11917" s="13"/>
      <c r="M11917" s="14"/>
      <c r="N11917" s="14"/>
      <c r="O11917" s="14"/>
      <c r="P11917" s="13"/>
    </row>
    <row r="11918">
      <c r="L11918" s="13"/>
      <c r="M11918" s="14"/>
      <c r="N11918" s="14"/>
      <c r="O11918" s="14"/>
      <c r="P11918" s="13"/>
    </row>
    <row r="11919">
      <c r="L11919" s="13"/>
      <c r="M11919" s="14"/>
      <c r="N11919" s="14"/>
      <c r="O11919" s="14"/>
      <c r="P11919" s="13"/>
    </row>
    <row r="11920">
      <c r="L11920" s="13"/>
      <c r="M11920" s="14"/>
      <c r="N11920" s="14"/>
      <c r="O11920" s="14"/>
      <c r="P11920" s="13"/>
    </row>
    <row r="11921">
      <c r="L11921" s="13"/>
      <c r="M11921" s="14"/>
      <c r="N11921" s="14"/>
      <c r="O11921" s="14"/>
      <c r="P11921" s="13"/>
    </row>
    <row r="11922">
      <c r="L11922" s="13"/>
      <c r="M11922" s="14"/>
      <c r="N11922" s="14"/>
      <c r="O11922" s="14"/>
      <c r="P11922" s="13"/>
    </row>
    <row r="11923">
      <c r="L11923" s="13"/>
      <c r="M11923" s="14"/>
      <c r="N11923" s="14"/>
      <c r="O11923" s="14"/>
      <c r="P11923" s="13"/>
    </row>
    <row r="11924">
      <c r="L11924" s="13"/>
      <c r="M11924" s="14"/>
      <c r="N11924" s="14"/>
      <c r="O11924" s="14"/>
      <c r="P11924" s="13"/>
    </row>
    <row r="11925">
      <c r="L11925" s="13"/>
      <c r="M11925" s="14"/>
      <c r="N11925" s="14"/>
      <c r="O11925" s="14"/>
      <c r="P11925" s="13"/>
    </row>
    <row r="11926">
      <c r="L11926" s="13"/>
      <c r="M11926" s="14"/>
      <c r="N11926" s="14"/>
      <c r="O11926" s="14"/>
      <c r="P11926" s="13"/>
    </row>
    <row r="11927">
      <c r="L11927" s="13"/>
      <c r="M11927" s="14"/>
      <c r="N11927" s="14"/>
      <c r="O11927" s="14"/>
      <c r="P11927" s="13"/>
    </row>
    <row r="11928">
      <c r="L11928" s="13"/>
      <c r="M11928" s="14"/>
      <c r="N11928" s="14"/>
      <c r="O11928" s="14"/>
      <c r="P11928" s="13"/>
    </row>
    <row r="11929">
      <c r="L11929" s="13"/>
      <c r="M11929" s="14"/>
      <c r="N11929" s="14"/>
      <c r="O11929" s="14"/>
      <c r="P11929" s="13"/>
    </row>
    <row r="11930">
      <c r="L11930" s="13"/>
      <c r="M11930" s="14"/>
      <c r="N11930" s="14"/>
      <c r="O11930" s="14"/>
      <c r="P11930" s="13"/>
    </row>
    <row r="11931">
      <c r="L11931" s="13"/>
      <c r="M11931" s="14"/>
      <c r="N11931" s="14"/>
      <c r="O11931" s="14"/>
      <c r="P11931" s="13"/>
    </row>
    <row r="11932">
      <c r="L11932" s="13"/>
      <c r="M11932" s="14"/>
      <c r="N11932" s="14"/>
      <c r="O11932" s="14"/>
      <c r="P11932" s="13"/>
    </row>
    <row r="11933">
      <c r="L11933" s="13"/>
      <c r="M11933" s="14"/>
      <c r="N11933" s="14"/>
      <c r="O11933" s="14"/>
      <c r="P11933" s="13"/>
    </row>
    <row r="11934">
      <c r="L11934" s="13"/>
      <c r="M11934" s="14"/>
      <c r="N11934" s="14"/>
      <c r="O11934" s="14"/>
      <c r="P11934" s="13"/>
    </row>
    <row r="11935">
      <c r="L11935" s="13"/>
      <c r="M11935" s="14"/>
      <c r="N11935" s="14"/>
      <c r="O11935" s="14"/>
      <c r="P11935" s="13"/>
    </row>
    <row r="11936">
      <c r="L11936" s="13"/>
      <c r="M11936" s="14"/>
      <c r="N11936" s="14"/>
      <c r="O11936" s="14"/>
      <c r="P11936" s="13"/>
    </row>
    <row r="11937">
      <c r="L11937" s="13"/>
      <c r="M11937" s="14"/>
      <c r="N11937" s="14"/>
      <c r="O11937" s="14"/>
      <c r="P11937" s="13"/>
    </row>
    <row r="11938">
      <c r="L11938" s="13"/>
      <c r="M11938" s="14"/>
      <c r="N11938" s="14"/>
      <c r="O11938" s="14"/>
      <c r="P11938" s="13"/>
    </row>
    <row r="11939">
      <c r="L11939" s="13"/>
      <c r="M11939" s="14"/>
      <c r="N11939" s="14"/>
      <c r="O11939" s="14"/>
      <c r="P11939" s="13"/>
    </row>
    <row r="11940">
      <c r="L11940" s="13"/>
      <c r="M11940" s="14"/>
      <c r="N11940" s="14"/>
      <c r="O11940" s="14"/>
      <c r="P11940" s="13"/>
    </row>
    <row r="11941">
      <c r="L11941" s="13"/>
      <c r="M11941" s="14"/>
      <c r="N11941" s="14"/>
      <c r="O11941" s="14"/>
      <c r="P11941" s="13"/>
    </row>
    <row r="11942">
      <c r="L11942" s="13"/>
      <c r="M11942" s="14"/>
      <c r="N11942" s="14"/>
      <c r="O11942" s="14"/>
      <c r="P11942" s="13"/>
    </row>
    <row r="11943">
      <c r="L11943" s="13"/>
      <c r="M11943" s="14"/>
      <c r="N11943" s="14"/>
      <c r="O11943" s="14"/>
      <c r="P11943" s="13"/>
    </row>
    <row r="11944">
      <c r="L11944" s="13"/>
      <c r="M11944" s="14"/>
      <c r="N11944" s="14"/>
      <c r="O11944" s="14"/>
      <c r="P11944" s="13"/>
    </row>
    <row r="11945">
      <c r="L11945" s="13"/>
      <c r="M11945" s="14"/>
      <c r="N11945" s="14"/>
      <c r="O11945" s="14"/>
      <c r="P11945" s="13"/>
    </row>
    <row r="11946">
      <c r="L11946" s="13"/>
      <c r="M11946" s="14"/>
      <c r="N11946" s="14"/>
      <c r="O11946" s="14"/>
      <c r="P11946" s="13"/>
    </row>
    <row r="11947">
      <c r="L11947" s="13"/>
      <c r="M11947" s="14"/>
      <c r="N11947" s="14"/>
      <c r="O11947" s="14"/>
      <c r="P11947" s="13"/>
    </row>
    <row r="11948">
      <c r="L11948" s="13"/>
      <c r="M11948" s="14"/>
      <c r="N11948" s="14"/>
      <c r="O11948" s="14"/>
      <c r="P11948" s="13"/>
    </row>
    <row r="11949">
      <c r="L11949" s="13"/>
      <c r="M11949" s="14"/>
      <c r="N11949" s="14"/>
      <c r="O11949" s="14"/>
      <c r="P11949" s="13"/>
    </row>
    <row r="11950">
      <c r="L11950" s="13"/>
      <c r="M11950" s="14"/>
      <c r="N11950" s="14"/>
      <c r="O11950" s="14"/>
      <c r="P11950" s="13"/>
    </row>
    <row r="11951">
      <c r="L11951" s="13"/>
      <c r="M11951" s="14"/>
      <c r="N11951" s="14"/>
      <c r="O11951" s="14"/>
      <c r="P11951" s="13"/>
    </row>
    <row r="11952">
      <c r="L11952" s="13"/>
      <c r="M11952" s="14"/>
      <c r="N11952" s="14"/>
      <c r="O11952" s="14"/>
      <c r="P11952" s="13"/>
    </row>
    <row r="11953">
      <c r="L11953" s="13"/>
      <c r="M11953" s="14"/>
      <c r="N11953" s="14"/>
      <c r="O11953" s="14"/>
      <c r="P11953" s="13"/>
    </row>
    <row r="11954">
      <c r="L11954" s="13"/>
      <c r="M11954" s="14"/>
      <c r="N11954" s="14"/>
      <c r="O11954" s="14"/>
      <c r="P11954" s="13"/>
    </row>
    <row r="11955">
      <c r="L11955" s="13"/>
      <c r="M11955" s="14"/>
      <c r="N11955" s="14"/>
      <c r="O11955" s="14"/>
      <c r="P11955" s="13"/>
    </row>
    <row r="11956">
      <c r="L11956" s="13"/>
      <c r="M11956" s="14"/>
      <c r="N11956" s="14"/>
      <c r="O11956" s="14"/>
      <c r="P11956" s="13"/>
    </row>
    <row r="11957">
      <c r="L11957" s="13"/>
      <c r="M11957" s="14"/>
      <c r="N11957" s="14"/>
      <c r="O11957" s="14"/>
      <c r="P11957" s="13"/>
    </row>
    <row r="11958">
      <c r="L11958" s="13"/>
      <c r="M11958" s="14"/>
      <c r="N11958" s="14"/>
      <c r="O11958" s="14"/>
      <c r="P11958" s="13"/>
    </row>
    <row r="11959">
      <c r="L11959" s="13"/>
      <c r="M11959" s="14"/>
      <c r="N11959" s="14"/>
      <c r="O11959" s="14"/>
      <c r="P11959" s="13"/>
    </row>
    <row r="11960">
      <c r="L11960" s="13"/>
      <c r="M11960" s="14"/>
      <c r="N11960" s="14"/>
      <c r="O11960" s="14"/>
      <c r="P11960" s="13"/>
    </row>
    <row r="11961">
      <c r="L11961" s="13"/>
      <c r="M11961" s="14"/>
      <c r="N11961" s="14"/>
      <c r="O11961" s="14"/>
      <c r="P11961" s="13"/>
    </row>
    <row r="11962">
      <c r="L11962" s="13"/>
      <c r="M11962" s="14"/>
      <c r="N11962" s="14"/>
      <c r="O11962" s="14"/>
      <c r="P11962" s="13"/>
    </row>
    <row r="11963">
      <c r="L11963" s="13"/>
      <c r="M11963" s="14"/>
      <c r="N11963" s="14"/>
      <c r="O11963" s="14"/>
      <c r="P11963" s="13"/>
    </row>
    <row r="11964">
      <c r="L11964" s="13"/>
      <c r="M11964" s="14"/>
      <c r="N11964" s="14"/>
      <c r="O11964" s="14"/>
      <c r="P11964" s="13"/>
    </row>
    <row r="11965">
      <c r="L11965" s="13"/>
      <c r="M11965" s="14"/>
      <c r="N11965" s="14"/>
      <c r="O11965" s="14"/>
      <c r="P11965" s="13"/>
    </row>
    <row r="11966">
      <c r="L11966" s="13"/>
      <c r="M11966" s="14"/>
      <c r="N11966" s="14"/>
      <c r="O11966" s="14"/>
      <c r="P11966" s="13"/>
    </row>
    <row r="11967">
      <c r="L11967" s="13"/>
      <c r="M11967" s="14"/>
      <c r="N11967" s="14"/>
      <c r="O11967" s="14"/>
      <c r="P11967" s="13"/>
    </row>
    <row r="11968">
      <c r="L11968" s="13"/>
      <c r="M11968" s="14"/>
      <c r="N11968" s="14"/>
      <c r="O11968" s="14"/>
      <c r="P11968" s="13"/>
    </row>
    <row r="11969">
      <c r="L11969" s="13"/>
      <c r="M11969" s="14"/>
      <c r="N11969" s="14"/>
      <c r="O11969" s="14"/>
      <c r="P11969" s="13"/>
    </row>
    <row r="11970">
      <c r="L11970" s="13"/>
      <c r="M11970" s="14"/>
      <c r="N11970" s="14"/>
      <c r="O11970" s="14"/>
      <c r="P11970" s="13"/>
    </row>
    <row r="11971">
      <c r="L11971" s="13"/>
      <c r="M11971" s="14"/>
      <c r="N11971" s="14"/>
      <c r="O11971" s="14"/>
      <c r="P11971" s="13"/>
    </row>
    <row r="11972">
      <c r="L11972" s="13"/>
      <c r="M11972" s="14"/>
      <c r="N11972" s="14"/>
      <c r="O11972" s="14"/>
      <c r="P11972" s="13"/>
    </row>
    <row r="11973">
      <c r="L11973" s="13"/>
      <c r="M11973" s="14"/>
      <c r="N11973" s="14"/>
      <c r="O11973" s="14"/>
      <c r="P11973" s="13"/>
    </row>
    <row r="11974">
      <c r="L11974" s="13"/>
      <c r="M11974" s="14"/>
      <c r="N11974" s="14"/>
      <c r="O11974" s="14"/>
      <c r="P11974" s="13"/>
    </row>
    <row r="11975">
      <c r="L11975" s="13"/>
      <c r="M11975" s="14"/>
      <c r="N11975" s="14"/>
      <c r="O11975" s="14"/>
      <c r="P11975" s="13"/>
    </row>
    <row r="11976">
      <c r="L11976" s="13"/>
      <c r="M11976" s="14"/>
      <c r="N11976" s="14"/>
      <c r="O11976" s="14"/>
      <c r="P11976" s="13"/>
    </row>
    <row r="11977">
      <c r="L11977" s="13"/>
      <c r="M11977" s="14"/>
      <c r="N11977" s="14"/>
      <c r="O11977" s="14"/>
      <c r="P11977" s="13"/>
    </row>
    <row r="11978">
      <c r="L11978" s="13"/>
      <c r="M11978" s="14"/>
      <c r="N11978" s="14"/>
      <c r="O11978" s="14"/>
      <c r="P11978" s="13"/>
    </row>
    <row r="11979">
      <c r="L11979" s="13"/>
      <c r="M11979" s="14"/>
      <c r="N11979" s="14"/>
      <c r="O11979" s="14"/>
      <c r="P11979" s="13"/>
    </row>
    <row r="11980">
      <c r="L11980" s="13"/>
      <c r="M11980" s="14"/>
      <c r="N11980" s="14"/>
      <c r="O11980" s="14"/>
      <c r="P11980" s="13"/>
    </row>
    <row r="11981">
      <c r="L11981" s="13"/>
      <c r="M11981" s="14"/>
      <c r="N11981" s="14"/>
      <c r="O11981" s="14"/>
      <c r="P11981" s="13"/>
    </row>
    <row r="11982">
      <c r="L11982" s="13"/>
      <c r="M11982" s="14"/>
      <c r="N11982" s="14"/>
      <c r="O11982" s="14"/>
      <c r="P11982" s="13"/>
    </row>
    <row r="11983">
      <c r="L11983" s="13"/>
      <c r="M11983" s="14"/>
      <c r="N11983" s="14"/>
      <c r="O11983" s="14"/>
      <c r="P11983" s="13"/>
    </row>
    <row r="11984">
      <c r="L11984" s="13"/>
      <c r="M11984" s="14"/>
      <c r="N11984" s="14"/>
      <c r="O11984" s="14"/>
      <c r="P11984" s="13"/>
    </row>
    <row r="11985">
      <c r="L11985" s="13"/>
      <c r="M11985" s="14"/>
      <c r="N11985" s="14"/>
      <c r="O11985" s="14"/>
      <c r="P11985" s="13"/>
    </row>
    <row r="11986">
      <c r="L11986" s="13"/>
      <c r="M11986" s="14"/>
      <c r="N11986" s="14"/>
      <c r="O11986" s="14"/>
      <c r="P11986" s="13"/>
    </row>
    <row r="11987">
      <c r="L11987" s="13"/>
      <c r="M11987" s="14"/>
      <c r="N11987" s="14"/>
      <c r="O11987" s="14"/>
      <c r="P11987" s="13"/>
    </row>
    <row r="11988">
      <c r="L11988" s="13"/>
      <c r="M11988" s="14"/>
      <c r="N11988" s="14"/>
      <c r="O11988" s="14"/>
      <c r="P11988" s="13"/>
    </row>
    <row r="11989">
      <c r="L11989" s="13"/>
      <c r="M11989" s="14"/>
      <c r="N11989" s="14"/>
      <c r="O11989" s="14"/>
      <c r="P11989" s="13"/>
    </row>
    <row r="11990">
      <c r="L11990" s="13"/>
      <c r="M11990" s="14"/>
      <c r="N11990" s="14"/>
      <c r="O11990" s="14"/>
      <c r="P11990" s="13"/>
    </row>
    <row r="11991">
      <c r="L11991" s="13"/>
      <c r="M11991" s="14"/>
      <c r="N11991" s="14"/>
      <c r="O11991" s="14"/>
      <c r="P11991" s="13"/>
    </row>
    <row r="11992">
      <c r="L11992" s="13"/>
      <c r="M11992" s="14"/>
      <c r="N11992" s="14"/>
      <c r="O11992" s="14"/>
      <c r="P11992" s="13"/>
    </row>
    <row r="11993">
      <c r="L11993" s="13"/>
      <c r="M11993" s="14"/>
      <c r="N11993" s="14"/>
      <c r="O11993" s="14"/>
      <c r="P11993" s="13"/>
    </row>
    <row r="11994">
      <c r="L11994" s="13"/>
      <c r="M11994" s="14"/>
      <c r="N11994" s="14"/>
      <c r="O11994" s="14"/>
      <c r="P11994" s="13"/>
    </row>
    <row r="11995">
      <c r="L11995" s="13"/>
      <c r="M11995" s="14"/>
      <c r="N11995" s="14"/>
      <c r="O11995" s="14"/>
      <c r="P11995" s="13"/>
    </row>
    <row r="11996">
      <c r="L11996" s="13"/>
      <c r="M11996" s="14"/>
      <c r="N11996" s="14"/>
      <c r="O11996" s="14"/>
      <c r="P11996" s="13"/>
    </row>
    <row r="11997">
      <c r="L11997" s="13"/>
      <c r="M11997" s="14"/>
      <c r="N11997" s="14"/>
      <c r="O11997" s="14"/>
      <c r="P11997" s="13"/>
    </row>
    <row r="11998">
      <c r="L11998" s="13"/>
      <c r="M11998" s="14"/>
      <c r="N11998" s="14"/>
      <c r="O11998" s="14"/>
      <c r="P11998" s="13"/>
    </row>
    <row r="11999">
      <c r="L11999" s="13"/>
      <c r="M11999" s="14"/>
      <c r="N11999" s="14"/>
      <c r="O11999" s="14"/>
      <c r="P11999" s="13"/>
    </row>
    <row r="12000">
      <c r="L12000" s="13"/>
      <c r="M12000" s="14"/>
      <c r="N12000" s="14"/>
      <c r="O12000" s="14"/>
      <c r="P12000" s="13"/>
    </row>
    <row r="12001">
      <c r="L12001" s="13"/>
      <c r="M12001" s="14"/>
      <c r="N12001" s="14"/>
      <c r="O12001" s="14"/>
      <c r="P12001" s="13"/>
    </row>
    <row r="12002">
      <c r="L12002" s="13"/>
      <c r="M12002" s="14"/>
      <c r="N12002" s="14"/>
      <c r="O12002" s="14"/>
      <c r="P12002" s="13"/>
    </row>
    <row r="12003">
      <c r="L12003" s="13"/>
      <c r="M12003" s="14"/>
      <c r="N12003" s="14"/>
      <c r="O12003" s="14"/>
      <c r="P12003" s="13"/>
    </row>
    <row r="12004">
      <c r="L12004" s="13"/>
      <c r="M12004" s="14"/>
      <c r="N12004" s="14"/>
      <c r="O12004" s="14"/>
      <c r="P12004" s="13"/>
    </row>
    <row r="12005">
      <c r="L12005" s="13"/>
      <c r="M12005" s="14"/>
      <c r="N12005" s="14"/>
      <c r="O12005" s="14"/>
      <c r="P12005" s="13"/>
    </row>
    <row r="12006">
      <c r="L12006" s="13"/>
      <c r="M12006" s="14"/>
      <c r="N12006" s="14"/>
      <c r="O12006" s="14"/>
      <c r="P12006" s="13"/>
    </row>
    <row r="12007">
      <c r="L12007" s="13"/>
      <c r="M12007" s="14"/>
      <c r="N12007" s="14"/>
      <c r="O12007" s="14"/>
      <c r="P12007" s="13"/>
    </row>
    <row r="12008">
      <c r="L12008" s="13"/>
      <c r="M12008" s="14"/>
      <c r="N12008" s="14"/>
      <c r="O12008" s="14"/>
      <c r="P12008" s="13"/>
    </row>
    <row r="12009">
      <c r="L12009" s="13"/>
      <c r="M12009" s="14"/>
      <c r="N12009" s="14"/>
      <c r="O12009" s="14"/>
      <c r="P12009" s="13"/>
    </row>
    <row r="12010">
      <c r="L12010" s="13"/>
      <c r="M12010" s="14"/>
      <c r="N12010" s="14"/>
      <c r="O12010" s="14"/>
      <c r="P12010" s="13"/>
    </row>
    <row r="12011">
      <c r="L12011" s="13"/>
      <c r="M12011" s="14"/>
      <c r="N12011" s="14"/>
      <c r="O12011" s="14"/>
      <c r="P12011" s="13"/>
    </row>
    <row r="12012">
      <c r="L12012" s="13"/>
      <c r="M12012" s="14"/>
      <c r="N12012" s="14"/>
      <c r="O12012" s="14"/>
      <c r="P12012" s="13"/>
    </row>
    <row r="12013">
      <c r="L12013" s="13"/>
      <c r="M12013" s="14"/>
      <c r="N12013" s="14"/>
      <c r="O12013" s="14"/>
      <c r="P12013" s="13"/>
    </row>
    <row r="12014">
      <c r="L12014" s="13"/>
      <c r="M12014" s="14"/>
      <c r="N12014" s="14"/>
      <c r="O12014" s="14"/>
      <c r="P12014" s="13"/>
    </row>
    <row r="12015">
      <c r="L12015" s="13"/>
      <c r="M12015" s="14"/>
      <c r="N12015" s="14"/>
      <c r="O12015" s="14"/>
      <c r="P12015" s="13"/>
    </row>
    <row r="12016">
      <c r="L12016" s="13"/>
      <c r="M12016" s="14"/>
      <c r="N12016" s="14"/>
      <c r="O12016" s="14"/>
      <c r="P12016" s="13"/>
    </row>
    <row r="12017">
      <c r="L12017" s="13"/>
      <c r="M12017" s="14"/>
      <c r="N12017" s="14"/>
      <c r="O12017" s="14"/>
      <c r="P12017" s="13"/>
    </row>
    <row r="12018">
      <c r="L12018" s="13"/>
      <c r="M12018" s="14"/>
      <c r="N12018" s="14"/>
      <c r="O12018" s="14"/>
      <c r="P12018" s="13"/>
    </row>
    <row r="12019">
      <c r="L12019" s="13"/>
      <c r="M12019" s="14"/>
      <c r="N12019" s="14"/>
      <c r="O12019" s="14"/>
      <c r="P12019" s="13"/>
    </row>
    <row r="12020">
      <c r="L12020" s="13"/>
      <c r="M12020" s="14"/>
      <c r="N12020" s="14"/>
      <c r="O12020" s="14"/>
      <c r="P12020" s="13"/>
    </row>
    <row r="12021">
      <c r="L12021" s="13"/>
      <c r="M12021" s="14"/>
      <c r="N12021" s="14"/>
      <c r="O12021" s="14"/>
      <c r="P12021" s="13"/>
    </row>
    <row r="12022">
      <c r="L12022" s="13"/>
      <c r="M12022" s="14"/>
      <c r="N12022" s="14"/>
      <c r="O12022" s="14"/>
      <c r="P12022" s="13"/>
    </row>
    <row r="12023">
      <c r="L12023" s="13"/>
      <c r="M12023" s="14"/>
      <c r="N12023" s="14"/>
      <c r="O12023" s="14"/>
      <c r="P12023" s="13"/>
    </row>
    <row r="12024">
      <c r="L12024" s="13"/>
      <c r="M12024" s="14"/>
      <c r="N12024" s="14"/>
      <c r="O12024" s="14"/>
      <c r="P12024" s="13"/>
    </row>
    <row r="12025">
      <c r="L12025" s="13"/>
      <c r="M12025" s="14"/>
      <c r="N12025" s="14"/>
      <c r="O12025" s="14"/>
      <c r="P12025" s="13"/>
    </row>
    <row r="12026">
      <c r="L12026" s="13"/>
      <c r="M12026" s="14"/>
      <c r="N12026" s="14"/>
      <c r="O12026" s="14"/>
      <c r="P12026" s="13"/>
    </row>
    <row r="12027">
      <c r="L12027" s="13"/>
      <c r="M12027" s="14"/>
      <c r="N12027" s="14"/>
      <c r="O12027" s="14"/>
      <c r="P12027" s="13"/>
    </row>
    <row r="12028">
      <c r="L12028" s="13"/>
      <c r="M12028" s="14"/>
      <c r="N12028" s="14"/>
      <c r="O12028" s="14"/>
      <c r="P12028" s="13"/>
    </row>
    <row r="12029">
      <c r="L12029" s="13"/>
      <c r="M12029" s="14"/>
      <c r="N12029" s="14"/>
      <c r="O12029" s="14"/>
      <c r="P12029" s="13"/>
    </row>
    <row r="12030">
      <c r="L12030" s="13"/>
      <c r="M12030" s="14"/>
      <c r="N12030" s="14"/>
      <c r="O12030" s="14"/>
      <c r="P12030" s="13"/>
    </row>
    <row r="12031">
      <c r="L12031" s="13"/>
      <c r="M12031" s="14"/>
      <c r="N12031" s="14"/>
      <c r="O12031" s="14"/>
      <c r="P12031" s="13"/>
    </row>
    <row r="12032">
      <c r="L12032" s="13"/>
      <c r="M12032" s="14"/>
      <c r="N12032" s="14"/>
      <c r="O12032" s="14"/>
      <c r="P12032" s="13"/>
    </row>
    <row r="12033">
      <c r="L12033" s="13"/>
      <c r="M12033" s="14"/>
      <c r="N12033" s="14"/>
      <c r="O12033" s="14"/>
      <c r="P12033" s="13"/>
    </row>
    <row r="12034">
      <c r="L12034" s="13"/>
      <c r="M12034" s="14"/>
      <c r="N12034" s="14"/>
      <c r="O12034" s="14"/>
      <c r="P12034" s="13"/>
    </row>
    <row r="12035">
      <c r="L12035" s="13"/>
      <c r="M12035" s="14"/>
      <c r="N12035" s="14"/>
      <c r="O12035" s="14"/>
      <c r="P12035" s="13"/>
    </row>
    <row r="12036">
      <c r="L12036" s="13"/>
      <c r="M12036" s="14"/>
      <c r="N12036" s="14"/>
      <c r="O12036" s="14"/>
      <c r="P12036" s="13"/>
    </row>
    <row r="12037">
      <c r="L12037" s="13"/>
      <c r="M12037" s="14"/>
      <c r="N12037" s="14"/>
      <c r="O12037" s="14"/>
      <c r="P12037" s="13"/>
    </row>
    <row r="12038">
      <c r="L12038" s="13"/>
      <c r="M12038" s="14"/>
      <c r="N12038" s="14"/>
      <c r="O12038" s="14"/>
      <c r="P12038" s="13"/>
    </row>
    <row r="12039">
      <c r="L12039" s="13"/>
      <c r="M12039" s="14"/>
      <c r="N12039" s="14"/>
      <c r="O12039" s="14"/>
      <c r="P12039" s="13"/>
    </row>
    <row r="12040">
      <c r="L12040" s="13"/>
      <c r="M12040" s="14"/>
      <c r="N12040" s="14"/>
      <c r="O12040" s="14"/>
      <c r="P12040" s="13"/>
    </row>
    <row r="12041">
      <c r="L12041" s="13"/>
      <c r="M12041" s="14"/>
      <c r="N12041" s="14"/>
      <c r="O12041" s="14"/>
      <c r="P12041" s="13"/>
    </row>
    <row r="12042">
      <c r="L12042" s="13"/>
      <c r="M12042" s="14"/>
      <c r="N12042" s="14"/>
      <c r="O12042" s="14"/>
      <c r="P12042" s="13"/>
    </row>
    <row r="12043">
      <c r="L12043" s="13"/>
      <c r="M12043" s="14"/>
      <c r="N12043" s="14"/>
      <c r="O12043" s="14"/>
      <c r="P12043" s="13"/>
    </row>
    <row r="12044">
      <c r="L12044" s="13"/>
      <c r="M12044" s="14"/>
      <c r="N12044" s="14"/>
      <c r="O12044" s="14"/>
      <c r="P12044" s="13"/>
    </row>
    <row r="12045">
      <c r="L12045" s="13"/>
      <c r="M12045" s="14"/>
      <c r="N12045" s="14"/>
      <c r="O12045" s="14"/>
      <c r="P12045" s="13"/>
    </row>
    <row r="12046">
      <c r="L12046" s="13"/>
      <c r="M12046" s="14"/>
      <c r="N12046" s="14"/>
      <c r="O12046" s="14"/>
      <c r="P12046" s="13"/>
    </row>
    <row r="12047">
      <c r="L12047" s="13"/>
      <c r="M12047" s="14"/>
      <c r="N12047" s="14"/>
      <c r="O12047" s="14"/>
      <c r="P12047" s="13"/>
    </row>
    <row r="12048">
      <c r="L12048" s="13"/>
      <c r="M12048" s="14"/>
      <c r="N12048" s="14"/>
      <c r="O12048" s="14"/>
      <c r="P12048" s="13"/>
    </row>
    <row r="12049">
      <c r="L12049" s="13"/>
      <c r="M12049" s="14"/>
      <c r="N12049" s="14"/>
      <c r="O12049" s="14"/>
      <c r="P12049" s="13"/>
    </row>
    <row r="12050">
      <c r="L12050" s="13"/>
      <c r="M12050" s="14"/>
      <c r="N12050" s="14"/>
      <c r="O12050" s="14"/>
      <c r="P12050" s="13"/>
    </row>
    <row r="12051">
      <c r="L12051" s="13"/>
      <c r="M12051" s="14"/>
      <c r="N12051" s="14"/>
      <c r="O12051" s="14"/>
      <c r="P12051" s="13"/>
    </row>
    <row r="12052">
      <c r="L12052" s="13"/>
      <c r="M12052" s="14"/>
      <c r="N12052" s="14"/>
      <c r="O12052" s="14"/>
      <c r="P12052" s="13"/>
    </row>
    <row r="12053">
      <c r="L12053" s="13"/>
      <c r="M12053" s="14"/>
      <c r="N12053" s="14"/>
      <c r="O12053" s="14"/>
      <c r="P12053" s="13"/>
    </row>
    <row r="12054">
      <c r="L12054" s="13"/>
      <c r="M12054" s="14"/>
      <c r="N12054" s="14"/>
      <c r="O12054" s="14"/>
      <c r="P12054" s="13"/>
    </row>
    <row r="12055">
      <c r="L12055" s="13"/>
      <c r="M12055" s="14"/>
      <c r="N12055" s="14"/>
      <c r="O12055" s="14"/>
      <c r="P12055" s="13"/>
    </row>
    <row r="12056">
      <c r="L12056" s="13"/>
      <c r="M12056" s="14"/>
      <c r="N12056" s="14"/>
      <c r="O12056" s="14"/>
      <c r="P12056" s="13"/>
    </row>
    <row r="12057">
      <c r="L12057" s="13"/>
      <c r="M12057" s="14"/>
      <c r="N12057" s="14"/>
      <c r="O12057" s="14"/>
      <c r="P12057" s="13"/>
    </row>
    <row r="12058">
      <c r="L12058" s="13"/>
      <c r="M12058" s="14"/>
      <c r="N12058" s="14"/>
      <c r="O12058" s="14"/>
      <c r="P12058" s="13"/>
    </row>
    <row r="12059">
      <c r="L12059" s="13"/>
      <c r="M12059" s="14"/>
      <c r="N12059" s="14"/>
      <c r="O12059" s="14"/>
      <c r="P12059" s="13"/>
    </row>
    <row r="12060">
      <c r="L12060" s="13"/>
      <c r="M12060" s="14"/>
      <c r="N12060" s="14"/>
      <c r="O12060" s="14"/>
      <c r="P12060" s="13"/>
    </row>
    <row r="12061">
      <c r="L12061" s="13"/>
      <c r="M12061" s="14"/>
      <c r="N12061" s="14"/>
      <c r="O12061" s="14"/>
      <c r="P12061" s="13"/>
    </row>
    <row r="12062">
      <c r="L12062" s="13"/>
      <c r="M12062" s="14"/>
      <c r="N12062" s="14"/>
      <c r="O12062" s="14"/>
      <c r="P12062" s="13"/>
    </row>
    <row r="12063">
      <c r="L12063" s="13"/>
      <c r="M12063" s="14"/>
      <c r="N12063" s="14"/>
      <c r="O12063" s="14"/>
      <c r="P12063" s="13"/>
    </row>
    <row r="12064">
      <c r="L12064" s="13"/>
      <c r="M12064" s="14"/>
      <c r="N12064" s="14"/>
      <c r="O12064" s="14"/>
      <c r="P12064" s="13"/>
    </row>
    <row r="12065">
      <c r="L12065" s="13"/>
      <c r="M12065" s="14"/>
      <c r="N12065" s="14"/>
      <c r="O12065" s="14"/>
      <c r="P12065" s="13"/>
    </row>
    <row r="12066">
      <c r="L12066" s="13"/>
      <c r="M12066" s="14"/>
      <c r="N12066" s="14"/>
      <c r="O12066" s="14"/>
      <c r="P12066" s="13"/>
    </row>
    <row r="12067">
      <c r="L12067" s="13"/>
      <c r="M12067" s="14"/>
      <c r="N12067" s="14"/>
      <c r="O12067" s="14"/>
      <c r="P12067" s="13"/>
    </row>
    <row r="12068">
      <c r="L12068" s="13"/>
      <c r="M12068" s="14"/>
      <c r="N12068" s="14"/>
      <c r="O12068" s="14"/>
      <c r="P12068" s="13"/>
    </row>
    <row r="12069">
      <c r="L12069" s="13"/>
      <c r="M12069" s="14"/>
      <c r="N12069" s="14"/>
      <c r="O12069" s="14"/>
      <c r="P12069" s="13"/>
    </row>
    <row r="12070">
      <c r="L12070" s="13"/>
      <c r="M12070" s="14"/>
      <c r="N12070" s="14"/>
      <c r="O12070" s="14"/>
      <c r="P12070" s="13"/>
    </row>
    <row r="12071">
      <c r="L12071" s="13"/>
      <c r="M12071" s="14"/>
      <c r="N12071" s="14"/>
      <c r="O12071" s="14"/>
      <c r="P12071" s="13"/>
    </row>
    <row r="12072">
      <c r="L12072" s="13"/>
      <c r="M12072" s="14"/>
      <c r="N12072" s="14"/>
      <c r="O12072" s="14"/>
      <c r="P12072" s="13"/>
    </row>
    <row r="12073">
      <c r="L12073" s="13"/>
      <c r="M12073" s="14"/>
      <c r="N12073" s="14"/>
      <c r="O12073" s="14"/>
      <c r="P12073" s="13"/>
    </row>
    <row r="12074">
      <c r="L12074" s="13"/>
      <c r="M12074" s="14"/>
      <c r="N12074" s="14"/>
      <c r="O12074" s="14"/>
      <c r="P12074" s="13"/>
    </row>
    <row r="12075">
      <c r="L12075" s="13"/>
      <c r="M12075" s="14"/>
      <c r="N12075" s="14"/>
      <c r="O12075" s="14"/>
      <c r="P12075" s="13"/>
    </row>
    <row r="12076">
      <c r="L12076" s="13"/>
      <c r="M12076" s="14"/>
      <c r="N12076" s="14"/>
      <c r="O12076" s="14"/>
      <c r="P12076" s="13"/>
    </row>
    <row r="12077">
      <c r="L12077" s="13"/>
      <c r="M12077" s="14"/>
      <c r="N12077" s="14"/>
      <c r="O12077" s="14"/>
      <c r="P12077" s="13"/>
    </row>
    <row r="12078">
      <c r="L12078" s="13"/>
      <c r="M12078" s="14"/>
      <c r="N12078" s="14"/>
      <c r="O12078" s="14"/>
      <c r="P12078" s="13"/>
    </row>
    <row r="12079">
      <c r="L12079" s="13"/>
      <c r="M12079" s="14"/>
      <c r="N12079" s="14"/>
      <c r="O12079" s="14"/>
      <c r="P12079" s="13"/>
    </row>
    <row r="12080">
      <c r="L12080" s="13"/>
      <c r="M12080" s="14"/>
      <c r="N12080" s="14"/>
      <c r="O12080" s="14"/>
      <c r="P12080" s="13"/>
    </row>
    <row r="12081">
      <c r="L12081" s="13"/>
      <c r="M12081" s="14"/>
      <c r="N12081" s="14"/>
      <c r="O12081" s="14"/>
      <c r="P12081" s="13"/>
    </row>
    <row r="12082">
      <c r="L12082" s="13"/>
      <c r="M12082" s="14"/>
      <c r="N12082" s="14"/>
      <c r="O12082" s="14"/>
      <c r="P12082" s="13"/>
    </row>
    <row r="12083">
      <c r="L12083" s="13"/>
      <c r="M12083" s="14"/>
      <c r="N12083" s="14"/>
      <c r="O12083" s="14"/>
      <c r="P12083" s="13"/>
    </row>
    <row r="12084">
      <c r="L12084" s="13"/>
      <c r="M12084" s="14"/>
      <c r="N12084" s="14"/>
      <c r="O12084" s="14"/>
      <c r="P12084" s="13"/>
    </row>
    <row r="12085">
      <c r="L12085" s="13"/>
      <c r="M12085" s="14"/>
      <c r="N12085" s="14"/>
      <c r="O12085" s="14"/>
      <c r="P12085" s="13"/>
    </row>
    <row r="12086">
      <c r="L12086" s="13"/>
      <c r="M12086" s="14"/>
      <c r="N12086" s="14"/>
      <c r="O12086" s="14"/>
      <c r="P12086" s="13"/>
    </row>
    <row r="12087">
      <c r="L12087" s="13"/>
      <c r="M12087" s="14"/>
      <c r="N12087" s="14"/>
      <c r="O12087" s="14"/>
      <c r="P12087" s="13"/>
    </row>
    <row r="12088">
      <c r="L12088" s="13"/>
      <c r="M12088" s="14"/>
      <c r="N12088" s="14"/>
      <c r="O12088" s="14"/>
      <c r="P12088" s="13"/>
    </row>
    <row r="12089">
      <c r="L12089" s="13"/>
      <c r="M12089" s="14"/>
      <c r="N12089" s="14"/>
      <c r="O12089" s="14"/>
      <c r="P12089" s="13"/>
    </row>
    <row r="12090">
      <c r="L12090" s="13"/>
      <c r="M12090" s="14"/>
      <c r="N12090" s="14"/>
      <c r="O12090" s="14"/>
      <c r="P12090" s="13"/>
    </row>
    <row r="12091">
      <c r="L12091" s="13"/>
      <c r="M12091" s="14"/>
      <c r="N12091" s="14"/>
      <c r="O12091" s="14"/>
      <c r="P12091" s="13"/>
    </row>
    <row r="12092">
      <c r="L12092" s="13"/>
      <c r="M12092" s="14"/>
      <c r="N12092" s="14"/>
      <c r="O12092" s="14"/>
      <c r="P12092" s="13"/>
    </row>
    <row r="12093">
      <c r="L12093" s="13"/>
      <c r="M12093" s="14"/>
      <c r="N12093" s="14"/>
      <c r="O12093" s="14"/>
      <c r="P12093" s="13"/>
    </row>
    <row r="12094">
      <c r="L12094" s="13"/>
      <c r="M12094" s="14"/>
      <c r="N12094" s="14"/>
      <c r="O12094" s="14"/>
      <c r="P12094" s="13"/>
    </row>
    <row r="12095">
      <c r="L12095" s="13"/>
      <c r="M12095" s="14"/>
      <c r="N12095" s="14"/>
      <c r="O12095" s="14"/>
      <c r="P12095" s="13"/>
    </row>
    <row r="12096">
      <c r="L12096" s="13"/>
      <c r="M12096" s="14"/>
      <c r="N12096" s="14"/>
      <c r="O12096" s="14"/>
      <c r="P12096" s="13"/>
    </row>
    <row r="12097">
      <c r="L12097" s="13"/>
      <c r="M12097" s="14"/>
      <c r="N12097" s="14"/>
      <c r="O12097" s="14"/>
      <c r="P12097" s="13"/>
    </row>
    <row r="12098">
      <c r="L12098" s="13"/>
      <c r="M12098" s="14"/>
      <c r="N12098" s="14"/>
      <c r="O12098" s="14"/>
      <c r="P12098" s="13"/>
    </row>
    <row r="12099">
      <c r="L12099" s="13"/>
      <c r="M12099" s="14"/>
      <c r="N12099" s="14"/>
      <c r="O12099" s="14"/>
      <c r="P12099" s="13"/>
    </row>
    <row r="12100">
      <c r="L12100" s="13"/>
      <c r="M12100" s="14"/>
      <c r="N12100" s="14"/>
      <c r="O12100" s="14"/>
      <c r="P12100" s="13"/>
    </row>
    <row r="12101">
      <c r="L12101" s="13"/>
      <c r="M12101" s="14"/>
      <c r="N12101" s="14"/>
      <c r="O12101" s="14"/>
      <c r="P12101" s="13"/>
    </row>
    <row r="12102">
      <c r="L12102" s="13"/>
      <c r="M12102" s="14"/>
      <c r="N12102" s="14"/>
      <c r="O12102" s="14"/>
      <c r="P12102" s="13"/>
    </row>
    <row r="12103">
      <c r="L12103" s="13"/>
      <c r="M12103" s="14"/>
      <c r="N12103" s="14"/>
      <c r="O12103" s="14"/>
      <c r="P12103" s="13"/>
    </row>
    <row r="12104">
      <c r="L12104" s="13"/>
      <c r="M12104" s="14"/>
      <c r="N12104" s="14"/>
      <c r="O12104" s="14"/>
      <c r="P12104" s="13"/>
    </row>
    <row r="12105">
      <c r="L12105" s="13"/>
      <c r="M12105" s="14"/>
      <c r="N12105" s="14"/>
      <c r="O12105" s="14"/>
      <c r="P12105" s="13"/>
    </row>
    <row r="12106">
      <c r="L12106" s="13"/>
      <c r="M12106" s="14"/>
      <c r="N12106" s="14"/>
      <c r="O12106" s="14"/>
      <c r="P12106" s="13"/>
    </row>
    <row r="12107">
      <c r="L12107" s="13"/>
      <c r="M12107" s="14"/>
      <c r="N12107" s="14"/>
      <c r="O12107" s="14"/>
      <c r="P12107" s="13"/>
    </row>
    <row r="12108">
      <c r="L12108" s="13"/>
      <c r="M12108" s="14"/>
      <c r="N12108" s="14"/>
      <c r="O12108" s="14"/>
      <c r="P12108" s="13"/>
    </row>
    <row r="12109">
      <c r="L12109" s="13"/>
      <c r="M12109" s="14"/>
      <c r="N12109" s="14"/>
      <c r="O12109" s="14"/>
      <c r="P12109" s="13"/>
    </row>
    <row r="12110">
      <c r="L12110" s="13"/>
      <c r="M12110" s="14"/>
      <c r="N12110" s="14"/>
      <c r="O12110" s="14"/>
      <c r="P12110" s="13"/>
    </row>
    <row r="12111">
      <c r="L12111" s="13"/>
      <c r="M12111" s="14"/>
      <c r="N12111" s="14"/>
      <c r="O12111" s="14"/>
      <c r="P12111" s="13"/>
    </row>
    <row r="12112">
      <c r="L12112" s="13"/>
      <c r="M12112" s="14"/>
      <c r="N12112" s="14"/>
      <c r="O12112" s="14"/>
      <c r="P12112" s="13"/>
    </row>
    <row r="12113">
      <c r="L12113" s="13"/>
      <c r="M12113" s="14"/>
      <c r="N12113" s="14"/>
      <c r="O12113" s="14"/>
      <c r="P12113" s="13"/>
    </row>
    <row r="12114">
      <c r="L12114" s="13"/>
      <c r="M12114" s="14"/>
      <c r="N12114" s="14"/>
      <c r="O12114" s="14"/>
      <c r="P12114" s="13"/>
    </row>
    <row r="12115">
      <c r="L12115" s="13"/>
      <c r="M12115" s="14"/>
      <c r="N12115" s="14"/>
      <c r="O12115" s="14"/>
      <c r="P12115" s="13"/>
    </row>
    <row r="12116">
      <c r="L12116" s="13"/>
      <c r="M12116" s="14"/>
      <c r="N12116" s="14"/>
      <c r="O12116" s="14"/>
      <c r="P12116" s="13"/>
    </row>
    <row r="12117">
      <c r="L12117" s="13"/>
      <c r="M12117" s="14"/>
      <c r="N12117" s="14"/>
      <c r="O12117" s="14"/>
      <c r="P12117" s="13"/>
    </row>
    <row r="12118">
      <c r="L12118" s="13"/>
      <c r="M12118" s="14"/>
      <c r="N12118" s="14"/>
      <c r="O12118" s="14"/>
      <c r="P12118" s="13"/>
    </row>
    <row r="12119">
      <c r="L12119" s="13"/>
      <c r="M12119" s="14"/>
      <c r="N12119" s="14"/>
      <c r="O12119" s="14"/>
      <c r="P12119" s="13"/>
    </row>
    <row r="12120">
      <c r="L12120" s="13"/>
      <c r="M12120" s="14"/>
      <c r="N12120" s="14"/>
      <c r="O12120" s="14"/>
      <c r="P12120" s="13"/>
    </row>
    <row r="12121">
      <c r="L12121" s="13"/>
      <c r="M12121" s="14"/>
      <c r="N12121" s="14"/>
      <c r="O12121" s="14"/>
      <c r="P12121" s="13"/>
    </row>
    <row r="12122">
      <c r="L12122" s="13"/>
      <c r="M12122" s="14"/>
      <c r="N12122" s="14"/>
      <c r="O12122" s="14"/>
      <c r="P12122" s="13"/>
    </row>
    <row r="12123">
      <c r="L12123" s="13"/>
      <c r="M12123" s="14"/>
      <c r="N12123" s="14"/>
      <c r="O12123" s="14"/>
      <c r="P12123" s="13"/>
    </row>
    <row r="12124">
      <c r="L12124" s="13"/>
      <c r="M12124" s="14"/>
      <c r="N12124" s="14"/>
      <c r="O12124" s="14"/>
      <c r="P12124" s="13"/>
    </row>
    <row r="12125">
      <c r="L12125" s="13"/>
      <c r="M12125" s="14"/>
      <c r="N12125" s="14"/>
      <c r="O12125" s="14"/>
      <c r="P12125" s="13"/>
    </row>
    <row r="12126">
      <c r="L12126" s="13"/>
      <c r="M12126" s="14"/>
      <c r="N12126" s="14"/>
      <c r="O12126" s="14"/>
      <c r="P12126" s="13"/>
    </row>
    <row r="12127">
      <c r="L12127" s="13"/>
      <c r="M12127" s="14"/>
      <c r="N12127" s="14"/>
      <c r="O12127" s="14"/>
      <c r="P12127" s="13"/>
    </row>
    <row r="12128">
      <c r="L12128" s="13"/>
      <c r="M12128" s="14"/>
      <c r="N12128" s="14"/>
      <c r="O12128" s="14"/>
      <c r="P12128" s="13"/>
    </row>
    <row r="12129">
      <c r="L12129" s="13"/>
      <c r="M12129" s="14"/>
      <c r="N12129" s="14"/>
      <c r="O12129" s="14"/>
      <c r="P12129" s="13"/>
    </row>
    <row r="12130">
      <c r="L12130" s="13"/>
      <c r="M12130" s="14"/>
      <c r="N12130" s="14"/>
      <c r="O12130" s="14"/>
      <c r="P12130" s="13"/>
    </row>
    <row r="12131">
      <c r="L12131" s="13"/>
      <c r="M12131" s="14"/>
      <c r="N12131" s="14"/>
      <c r="O12131" s="14"/>
      <c r="P12131" s="13"/>
    </row>
    <row r="12132">
      <c r="L12132" s="13"/>
      <c r="M12132" s="14"/>
      <c r="N12132" s="14"/>
      <c r="O12132" s="14"/>
      <c r="P12132" s="13"/>
    </row>
    <row r="12133">
      <c r="L12133" s="13"/>
      <c r="M12133" s="14"/>
      <c r="N12133" s="14"/>
      <c r="O12133" s="14"/>
      <c r="P12133" s="13"/>
    </row>
    <row r="12134">
      <c r="L12134" s="13"/>
      <c r="M12134" s="14"/>
      <c r="N12134" s="14"/>
      <c r="O12134" s="14"/>
      <c r="P12134" s="13"/>
    </row>
    <row r="12135">
      <c r="L12135" s="13"/>
      <c r="M12135" s="14"/>
      <c r="N12135" s="14"/>
      <c r="O12135" s="14"/>
      <c r="P12135" s="13"/>
    </row>
    <row r="12136">
      <c r="L12136" s="13"/>
      <c r="M12136" s="14"/>
      <c r="N12136" s="14"/>
      <c r="O12136" s="14"/>
      <c r="P12136" s="13"/>
    </row>
    <row r="12137">
      <c r="L12137" s="13"/>
      <c r="M12137" s="14"/>
      <c r="N12137" s="14"/>
      <c r="O12137" s="14"/>
      <c r="P12137" s="13"/>
    </row>
    <row r="12138">
      <c r="L12138" s="13"/>
      <c r="M12138" s="14"/>
      <c r="N12138" s="14"/>
      <c r="O12138" s="14"/>
      <c r="P12138" s="13"/>
    </row>
    <row r="12139">
      <c r="L12139" s="13"/>
      <c r="M12139" s="14"/>
      <c r="N12139" s="14"/>
      <c r="O12139" s="14"/>
      <c r="P12139" s="13"/>
    </row>
    <row r="12140">
      <c r="L12140" s="13"/>
      <c r="M12140" s="14"/>
      <c r="N12140" s="14"/>
      <c r="O12140" s="14"/>
      <c r="P12140" s="13"/>
    </row>
    <row r="12141">
      <c r="L12141" s="13"/>
      <c r="M12141" s="14"/>
      <c r="N12141" s="14"/>
      <c r="O12141" s="14"/>
      <c r="P12141" s="13"/>
    </row>
    <row r="12142">
      <c r="L12142" s="13"/>
      <c r="M12142" s="14"/>
      <c r="N12142" s="14"/>
      <c r="O12142" s="14"/>
      <c r="P12142" s="13"/>
    </row>
    <row r="12143">
      <c r="L12143" s="13"/>
      <c r="M12143" s="14"/>
      <c r="N12143" s="14"/>
      <c r="O12143" s="14"/>
      <c r="P12143" s="13"/>
    </row>
    <row r="12144">
      <c r="L12144" s="13"/>
      <c r="M12144" s="14"/>
      <c r="N12144" s="14"/>
      <c r="O12144" s="14"/>
      <c r="P12144" s="13"/>
    </row>
    <row r="12145">
      <c r="L12145" s="13"/>
      <c r="M12145" s="14"/>
      <c r="N12145" s="14"/>
      <c r="O12145" s="14"/>
      <c r="P12145" s="13"/>
    </row>
    <row r="12146">
      <c r="L12146" s="13"/>
      <c r="M12146" s="14"/>
      <c r="N12146" s="14"/>
      <c r="O12146" s="14"/>
      <c r="P12146" s="13"/>
    </row>
    <row r="12147">
      <c r="L12147" s="13"/>
      <c r="M12147" s="14"/>
      <c r="N12147" s="14"/>
      <c r="O12147" s="14"/>
      <c r="P12147" s="13"/>
    </row>
    <row r="12148">
      <c r="L12148" s="13"/>
      <c r="M12148" s="14"/>
      <c r="N12148" s="14"/>
      <c r="O12148" s="14"/>
      <c r="P12148" s="13"/>
    </row>
    <row r="12149">
      <c r="L12149" s="13"/>
      <c r="M12149" s="14"/>
      <c r="N12149" s="14"/>
      <c r="O12149" s="14"/>
      <c r="P12149" s="13"/>
    </row>
    <row r="12150">
      <c r="L12150" s="13"/>
      <c r="M12150" s="14"/>
      <c r="N12150" s="14"/>
      <c r="O12150" s="14"/>
      <c r="P12150" s="13"/>
    </row>
    <row r="12151">
      <c r="L12151" s="13"/>
      <c r="M12151" s="14"/>
      <c r="N12151" s="14"/>
      <c r="O12151" s="14"/>
      <c r="P12151" s="13"/>
    </row>
    <row r="12152">
      <c r="L12152" s="13"/>
      <c r="M12152" s="14"/>
      <c r="N12152" s="14"/>
      <c r="O12152" s="14"/>
      <c r="P12152" s="13"/>
    </row>
    <row r="12153">
      <c r="L12153" s="13"/>
      <c r="M12153" s="14"/>
      <c r="N12153" s="14"/>
      <c r="O12153" s="14"/>
      <c r="P12153" s="13"/>
    </row>
    <row r="12154">
      <c r="L12154" s="13"/>
      <c r="M12154" s="14"/>
      <c r="N12154" s="14"/>
      <c r="O12154" s="14"/>
      <c r="P12154" s="13"/>
    </row>
    <row r="12155">
      <c r="L12155" s="13"/>
      <c r="M12155" s="14"/>
      <c r="N12155" s="14"/>
      <c r="O12155" s="14"/>
      <c r="P12155" s="13"/>
    </row>
    <row r="12156">
      <c r="L12156" s="13"/>
      <c r="M12156" s="14"/>
      <c r="N12156" s="14"/>
      <c r="O12156" s="14"/>
      <c r="P12156" s="13"/>
    </row>
    <row r="12157">
      <c r="L12157" s="13"/>
      <c r="M12157" s="14"/>
      <c r="N12157" s="14"/>
      <c r="O12157" s="14"/>
      <c r="P12157" s="13"/>
    </row>
    <row r="12158">
      <c r="L12158" s="13"/>
      <c r="M12158" s="14"/>
      <c r="N12158" s="14"/>
      <c r="O12158" s="14"/>
      <c r="P12158" s="13"/>
    </row>
    <row r="12159">
      <c r="L12159" s="13"/>
      <c r="M12159" s="14"/>
      <c r="N12159" s="14"/>
      <c r="O12159" s="14"/>
      <c r="P12159" s="13"/>
    </row>
    <row r="12160">
      <c r="L12160" s="13"/>
      <c r="M12160" s="14"/>
      <c r="N12160" s="14"/>
      <c r="O12160" s="14"/>
      <c r="P12160" s="13"/>
    </row>
    <row r="12161">
      <c r="L12161" s="13"/>
      <c r="M12161" s="14"/>
      <c r="N12161" s="14"/>
      <c r="O12161" s="14"/>
      <c r="P12161" s="13"/>
    </row>
    <row r="12162">
      <c r="L12162" s="13"/>
      <c r="M12162" s="14"/>
      <c r="N12162" s="14"/>
      <c r="O12162" s="14"/>
      <c r="P12162" s="13"/>
    </row>
    <row r="12163">
      <c r="L12163" s="13"/>
      <c r="M12163" s="14"/>
      <c r="N12163" s="14"/>
      <c r="O12163" s="14"/>
      <c r="P12163" s="13"/>
    </row>
    <row r="12164">
      <c r="L12164" s="13"/>
      <c r="M12164" s="14"/>
      <c r="N12164" s="14"/>
      <c r="O12164" s="14"/>
      <c r="P12164" s="13"/>
    </row>
    <row r="12165">
      <c r="L12165" s="13"/>
      <c r="M12165" s="14"/>
      <c r="N12165" s="14"/>
      <c r="O12165" s="14"/>
      <c r="P12165" s="13"/>
    </row>
    <row r="12166">
      <c r="L12166" s="13"/>
      <c r="M12166" s="14"/>
      <c r="N12166" s="14"/>
      <c r="O12166" s="14"/>
      <c r="P12166" s="13"/>
    </row>
    <row r="12167">
      <c r="L12167" s="13"/>
      <c r="M12167" s="14"/>
      <c r="N12167" s="14"/>
      <c r="O12167" s="14"/>
      <c r="P12167" s="13"/>
    </row>
    <row r="12168">
      <c r="L12168" s="13"/>
      <c r="M12168" s="14"/>
      <c r="N12168" s="14"/>
      <c r="O12168" s="14"/>
      <c r="P12168" s="13"/>
    </row>
    <row r="12169">
      <c r="L12169" s="13"/>
      <c r="M12169" s="14"/>
      <c r="N12169" s="14"/>
      <c r="O12169" s="14"/>
      <c r="P12169" s="13"/>
    </row>
    <row r="12170">
      <c r="L12170" s="13"/>
      <c r="M12170" s="14"/>
      <c r="N12170" s="14"/>
      <c r="O12170" s="14"/>
      <c r="P12170" s="13"/>
    </row>
    <row r="12171">
      <c r="L12171" s="13"/>
      <c r="M12171" s="14"/>
      <c r="N12171" s="14"/>
      <c r="O12171" s="14"/>
      <c r="P12171" s="13"/>
    </row>
    <row r="12172">
      <c r="L12172" s="13"/>
      <c r="M12172" s="14"/>
      <c r="N12172" s="14"/>
      <c r="O12172" s="14"/>
      <c r="P12172" s="13"/>
    </row>
    <row r="12173">
      <c r="L12173" s="13"/>
      <c r="M12173" s="14"/>
      <c r="N12173" s="14"/>
      <c r="O12173" s="14"/>
      <c r="P12173" s="13"/>
    </row>
    <row r="12174">
      <c r="L12174" s="13"/>
      <c r="M12174" s="14"/>
      <c r="N12174" s="14"/>
      <c r="O12174" s="14"/>
      <c r="P12174" s="13"/>
    </row>
    <row r="12175">
      <c r="L12175" s="13"/>
      <c r="M12175" s="14"/>
      <c r="N12175" s="14"/>
      <c r="O12175" s="14"/>
      <c r="P12175" s="13"/>
    </row>
    <row r="12176">
      <c r="L12176" s="13"/>
      <c r="M12176" s="14"/>
      <c r="N12176" s="14"/>
      <c r="O12176" s="14"/>
      <c r="P12176" s="13"/>
    </row>
    <row r="12177">
      <c r="L12177" s="13"/>
      <c r="M12177" s="14"/>
      <c r="N12177" s="14"/>
      <c r="O12177" s="14"/>
      <c r="P12177" s="13"/>
    </row>
    <row r="12178">
      <c r="L12178" s="13"/>
      <c r="M12178" s="14"/>
      <c r="N12178" s="14"/>
      <c r="O12178" s="14"/>
      <c r="P12178" s="13"/>
    </row>
    <row r="12179">
      <c r="L12179" s="13"/>
      <c r="M12179" s="14"/>
      <c r="N12179" s="14"/>
      <c r="O12179" s="14"/>
      <c r="P12179" s="13"/>
    </row>
    <row r="12180">
      <c r="L12180" s="13"/>
      <c r="M12180" s="14"/>
      <c r="N12180" s="14"/>
      <c r="O12180" s="14"/>
      <c r="P12180" s="13"/>
    </row>
    <row r="12181">
      <c r="L12181" s="13"/>
      <c r="M12181" s="14"/>
      <c r="N12181" s="14"/>
      <c r="O12181" s="14"/>
      <c r="P12181" s="13"/>
    </row>
    <row r="12182">
      <c r="L12182" s="13"/>
      <c r="M12182" s="14"/>
      <c r="N12182" s="14"/>
      <c r="O12182" s="14"/>
      <c r="P12182" s="13"/>
    </row>
    <row r="12183">
      <c r="L12183" s="13"/>
      <c r="M12183" s="14"/>
      <c r="N12183" s="14"/>
      <c r="O12183" s="14"/>
      <c r="P12183" s="13"/>
    </row>
    <row r="12184">
      <c r="L12184" s="13"/>
      <c r="M12184" s="14"/>
      <c r="N12184" s="14"/>
      <c r="O12184" s="14"/>
      <c r="P12184" s="13"/>
    </row>
    <row r="12185">
      <c r="L12185" s="13"/>
      <c r="M12185" s="14"/>
      <c r="N12185" s="14"/>
      <c r="O12185" s="14"/>
      <c r="P12185" s="13"/>
    </row>
    <row r="12186">
      <c r="L12186" s="13"/>
      <c r="M12186" s="14"/>
      <c r="N12186" s="14"/>
      <c r="O12186" s="14"/>
      <c r="P12186" s="13"/>
    </row>
    <row r="12187">
      <c r="L12187" s="13"/>
      <c r="M12187" s="14"/>
      <c r="N12187" s="14"/>
      <c r="O12187" s="14"/>
      <c r="P12187" s="13"/>
    </row>
    <row r="12188">
      <c r="L12188" s="13"/>
      <c r="M12188" s="14"/>
      <c r="N12188" s="14"/>
      <c r="O12188" s="14"/>
      <c r="P12188" s="13"/>
    </row>
    <row r="12189">
      <c r="L12189" s="13"/>
      <c r="M12189" s="14"/>
      <c r="N12189" s="14"/>
      <c r="O12189" s="14"/>
      <c r="P12189" s="13"/>
    </row>
    <row r="12190">
      <c r="L12190" s="13"/>
      <c r="M12190" s="14"/>
      <c r="N12190" s="14"/>
      <c r="O12190" s="14"/>
      <c r="P12190" s="13"/>
    </row>
    <row r="12191">
      <c r="L12191" s="13"/>
      <c r="M12191" s="14"/>
      <c r="N12191" s="14"/>
      <c r="O12191" s="14"/>
      <c r="P12191" s="13"/>
    </row>
    <row r="12192">
      <c r="L12192" s="13"/>
      <c r="M12192" s="14"/>
      <c r="N12192" s="14"/>
      <c r="O12192" s="14"/>
      <c r="P12192" s="13"/>
    </row>
    <row r="12193">
      <c r="L12193" s="13"/>
      <c r="M12193" s="14"/>
      <c r="N12193" s="14"/>
      <c r="O12193" s="14"/>
      <c r="P12193" s="13"/>
    </row>
    <row r="12194">
      <c r="L12194" s="13"/>
      <c r="M12194" s="14"/>
      <c r="N12194" s="14"/>
      <c r="O12194" s="14"/>
      <c r="P12194" s="13"/>
    </row>
    <row r="12195">
      <c r="L12195" s="13"/>
      <c r="M12195" s="14"/>
      <c r="N12195" s="14"/>
      <c r="O12195" s="14"/>
      <c r="P12195" s="13"/>
    </row>
    <row r="12196">
      <c r="L12196" s="13"/>
      <c r="M12196" s="14"/>
      <c r="N12196" s="14"/>
      <c r="O12196" s="14"/>
      <c r="P12196" s="13"/>
    </row>
    <row r="12197">
      <c r="L12197" s="13"/>
      <c r="M12197" s="14"/>
      <c r="N12197" s="14"/>
      <c r="O12197" s="14"/>
      <c r="P12197" s="13"/>
    </row>
    <row r="12198">
      <c r="L12198" s="13"/>
      <c r="M12198" s="14"/>
      <c r="N12198" s="14"/>
      <c r="O12198" s="14"/>
      <c r="P12198" s="13"/>
    </row>
    <row r="12199">
      <c r="L12199" s="13"/>
      <c r="M12199" s="14"/>
      <c r="N12199" s="14"/>
      <c r="O12199" s="14"/>
      <c r="P12199" s="13"/>
    </row>
    <row r="12200">
      <c r="L12200" s="13"/>
      <c r="M12200" s="14"/>
      <c r="N12200" s="14"/>
      <c r="O12200" s="14"/>
      <c r="P12200" s="13"/>
    </row>
    <row r="12201">
      <c r="L12201" s="13"/>
      <c r="M12201" s="14"/>
      <c r="N12201" s="14"/>
      <c r="O12201" s="14"/>
      <c r="P12201" s="13"/>
    </row>
    <row r="12202">
      <c r="L12202" s="13"/>
      <c r="M12202" s="14"/>
      <c r="N12202" s="14"/>
      <c r="O12202" s="14"/>
      <c r="P12202" s="13"/>
    </row>
    <row r="12203">
      <c r="L12203" s="13"/>
      <c r="M12203" s="14"/>
      <c r="N12203" s="14"/>
      <c r="O12203" s="14"/>
      <c r="P12203" s="13"/>
    </row>
    <row r="12204">
      <c r="L12204" s="13"/>
      <c r="M12204" s="14"/>
      <c r="N12204" s="14"/>
      <c r="O12204" s="14"/>
      <c r="P12204" s="13"/>
    </row>
    <row r="12205">
      <c r="L12205" s="13"/>
      <c r="M12205" s="14"/>
      <c r="N12205" s="14"/>
      <c r="O12205" s="14"/>
      <c r="P12205" s="13"/>
    </row>
    <row r="12206">
      <c r="L12206" s="13"/>
      <c r="M12206" s="14"/>
      <c r="N12206" s="14"/>
      <c r="O12206" s="14"/>
      <c r="P12206" s="13"/>
    </row>
    <row r="12207">
      <c r="L12207" s="13"/>
      <c r="M12207" s="14"/>
      <c r="N12207" s="14"/>
      <c r="O12207" s="14"/>
      <c r="P12207" s="13"/>
    </row>
    <row r="12208">
      <c r="L12208" s="13"/>
      <c r="M12208" s="14"/>
      <c r="N12208" s="14"/>
      <c r="O12208" s="14"/>
      <c r="P12208" s="13"/>
    </row>
    <row r="12209">
      <c r="L12209" s="13"/>
      <c r="M12209" s="14"/>
      <c r="N12209" s="14"/>
      <c r="O12209" s="14"/>
      <c r="P12209" s="13"/>
    </row>
    <row r="12210">
      <c r="L12210" s="13"/>
      <c r="M12210" s="14"/>
      <c r="N12210" s="14"/>
      <c r="O12210" s="14"/>
      <c r="P12210" s="13"/>
    </row>
    <row r="12211">
      <c r="L12211" s="13"/>
      <c r="M12211" s="14"/>
      <c r="N12211" s="14"/>
      <c r="O12211" s="14"/>
      <c r="P12211" s="13"/>
    </row>
    <row r="12212">
      <c r="L12212" s="13"/>
      <c r="M12212" s="14"/>
      <c r="N12212" s="14"/>
      <c r="O12212" s="14"/>
      <c r="P12212" s="13"/>
    </row>
    <row r="12213">
      <c r="L12213" s="13"/>
      <c r="M12213" s="14"/>
      <c r="N12213" s="14"/>
      <c r="O12213" s="14"/>
      <c r="P12213" s="13"/>
    </row>
    <row r="12214">
      <c r="L12214" s="13"/>
      <c r="M12214" s="14"/>
      <c r="N12214" s="14"/>
      <c r="O12214" s="14"/>
      <c r="P12214" s="13"/>
    </row>
    <row r="12215">
      <c r="L12215" s="13"/>
      <c r="M12215" s="14"/>
      <c r="N12215" s="14"/>
      <c r="O12215" s="14"/>
      <c r="P12215" s="13"/>
    </row>
    <row r="12216">
      <c r="L12216" s="13"/>
      <c r="M12216" s="14"/>
      <c r="N12216" s="14"/>
      <c r="O12216" s="14"/>
      <c r="P12216" s="13"/>
    </row>
    <row r="12217">
      <c r="L12217" s="13"/>
      <c r="M12217" s="14"/>
      <c r="N12217" s="14"/>
      <c r="O12217" s="14"/>
      <c r="P12217" s="13"/>
    </row>
    <row r="12218">
      <c r="L12218" s="13"/>
      <c r="M12218" s="14"/>
      <c r="N12218" s="14"/>
      <c r="O12218" s="14"/>
      <c r="P12218" s="13"/>
    </row>
    <row r="12219">
      <c r="L12219" s="13"/>
      <c r="M12219" s="14"/>
      <c r="N12219" s="14"/>
      <c r="O12219" s="14"/>
      <c r="P12219" s="13"/>
    </row>
    <row r="12220">
      <c r="L12220" s="13"/>
      <c r="M12220" s="14"/>
      <c r="N12220" s="14"/>
      <c r="O12220" s="14"/>
      <c r="P12220" s="13"/>
    </row>
    <row r="12221">
      <c r="L12221" s="13"/>
      <c r="M12221" s="14"/>
      <c r="N12221" s="14"/>
      <c r="O12221" s="14"/>
      <c r="P12221" s="13"/>
    </row>
    <row r="12222">
      <c r="L12222" s="13"/>
      <c r="M12222" s="14"/>
      <c r="N12222" s="14"/>
      <c r="O12222" s="14"/>
      <c r="P12222" s="13"/>
    </row>
    <row r="12223">
      <c r="L12223" s="13"/>
      <c r="M12223" s="14"/>
      <c r="N12223" s="14"/>
      <c r="O12223" s="14"/>
      <c r="P12223" s="13"/>
    </row>
    <row r="12224">
      <c r="L12224" s="13"/>
      <c r="M12224" s="14"/>
      <c r="N12224" s="14"/>
      <c r="O12224" s="14"/>
      <c r="P12224" s="13"/>
    </row>
    <row r="12225">
      <c r="L12225" s="13"/>
      <c r="M12225" s="14"/>
      <c r="N12225" s="14"/>
      <c r="O12225" s="14"/>
      <c r="P12225" s="13"/>
    </row>
    <row r="12226">
      <c r="L12226" s="13"/>
      <c r="M12226" s="14"/>
      <c r="N12226" s="14"/>
      <c r="O12226" s="14"/>
      <c r="P12226" s="13"/>
    </row>
    <row r="12227">
      <c r="L12227" s="13"/>
      <c r="M12227" s="14"/>
      <c r="N12227" s="14"/>
      <c r="O12227" s="14"/>
      <c r="P12227" s="13"/>
    </row>
    <row r="12228">
      <c r="L12228" s="13"/>
      <c r="M12228" s="14"/>
      <c r="N12228" s="14"/>
      <c r="O12228" s="14"/>
      <c r="P12228" s="13"/>
    </row>
    <row r="12229">
      <c r="L12229" s="13"/>
      <c r="M12229" s="14"/>
      <c r="N12229" s="14"/>
      <c r="O12229" s="14"/>
      <c r="P12229" s="13"/>
    </row>
    <row r="12230">
      <c r="L12230" s="13"/>
      <c r="M12230" s="14"/>
      <c r="N12230" s="14"/>
      <c r="O12230" s="14"/>
      <c r="P12230" s="13"/>
    </row>
    <row r="12231">
      <c r="L12231" s="13"/>
      <c r="M12231" s="14"/>
      <c r="N12231" s="14"/>
      <c r="O12231" s="14"/>
      <c r="P12231" s="13"/>
    </row>
    <row r="12232">
      <c r="L12232" s="13"/>
      <c r="M12232" s="14"/>
      <c r="N12232" s="14"/>
      <c r="O12232" s="14"/>
      <c r="P12232" s="13"/>
    </row>
    <row r="12233">
      <c r="L12233" s="13"/>
      <c r="M12233" s="14"/>
      <c r="N12233" s="14"/>
      <c r="O12233" s="14"/>
      <c r="P12233" s="13"/>
    </row>
    <row r="12234">
      <c r="L12234" s="13"/>
      <c r="M12234" s="14"/>
      <c r="N12234" s="14"/>
      <c r="O12234" s="14"/>
      <c r="P12234" s="13"/>
    </row>
    <row r="12235">
      <c r="L12235" s="13"/>
      <c r="M12235" s="14"/>
      <c r="N12235" s="14"/>
      <c r="O12235" s="14"/>
      <c r="P12235" s="13"/>
    </row>
    <row r="12236">
      <c r="L12236" s="13"/>
      <c r="M12236" s="14"/>
      <c r="N12236" s="14"/>
      <c r="O12236" s="14"/>
      <c r="P12236" s="13"/>
    </row>
    <row r="12237">
      <c r="L12237" s="13"/>
      <c r="M12237" s="14"/>
      <c r="N12237" s="14"/>
      <c r="O12237" s="14"/>
      <c r="P12237" s="13"/>
    </row>
    <row r="12238">
      <c r="L12238" s="13"/>
      <c r="M12238" s="14"/>
      <c r="N12238" s="14"/>
      <c r="O12238" s="14"/>
      <c r="P12238" s="13"/>
    </row>
    <row r="12239">
      <c r="L12239" s="13"/>
      <c r="M12239" s="14"/>
      <c r="N12239" s="14"/>
      <c r="O12239" s="14"/>
      <c r="P12239" s="13"/>
    </row>
    <row r="12240">
      <c r="L12240" s="13"/>
      <c r="M12240" s="14"/>
      <c r="N12240" s="14"/>
      <c r="O12240" s="14"/>
      <c r="P12240" s="13"/>
    </row>
    <row r="12241">
      <c r="L12241" s="13"/>
      <c r="M12241" s="14"/>
      <c r="N12241" s="14"/>
      <c r="O12241" s="14"/>
      <c r="P12241" s="13"/>
    </row>
    <row r="12242">
      <c r="L12242" s="13"/>
      <c r="M12242" s="14"/>
      <c r="N12242" s="14"/>
      <c r="O12242" s="14"/>
      <c r="P12242" s="13"/>
    </row>
    <row r="12243">
      <c r="L12243" s="13"/>
      <c r="M12243" s="14"/>
      <c r="N12243" s="14"/>
      <c r="O12243" s="14"/>
      <c r="P12243" s="13"/>
    </row>
    <row r="12244">
      <c r="L12244" s="13"/>
      <c r="M12244" s="14"/>
      <c r="N12244" s="14"/>
      <c r="O12244" s="14"/>
      <c r="P12244" s="13"/>
    </row>
    <row r="12245">
      <c r="L12245" s="13"/>
      <c r="M12245" s="14"/>
      <c r="N12245" s="14"/>
      <c r="O12245" s="14"/>
      <c r="P12245" s="13"/>
    </row>
    <row r="12246">
      <c r="L12246" s="13"/>
      <c r="M12246" s="14"/>
      <c r="N12246" s="14"/>
      <c r="O12246" s="14"/>
      <c r="P12246" s="13"/>
    </row>
    <row r="12247">
      <c r="L12247" s="13"/>
      <c r="M12247" s="14"/>
      <c r="N12247" s="14"/>
      <c r="O12247" s="14"/>
      <c r="P12247" s="13"/>
    </row>
    <row r="12248">
      <c r="L12248" s="13"/>
      <c r="M12248" s="14"/>
      <c r="N12248" s="14"/>
      <c r="O12248" s="14"/>
      <c r="P12248" s="13"/>
    </row>
    <row r="12249">
      <c r="L12249" s="13"/>
      <c r="M12249" s="14"/>
      <c r="N12249" s="14"/>
      <c r="O12249" s="14"/>
      <c r="P12249" s="13"/>
    </row>
    <row r="12250">
      <c r="L12250" s="13"/>
      <c r="M12250" s="14"/>
      <c r="N12250" s="14"/>
      <c r="O12250" s="14"/>
      <c r="P12250" s="13"/>
    </row>
    <row r="12251">
      <c r="L12251" s="13"/>
      <c r="M12251" s="14"/>
      <c r="N12251" s="14"/>
      <c r="O12251" s="14"/>
      <c r="P12251" s="13"/>
    </row>
    <row r="12252">
      <c r="L12252" s="13"/>
      <c r="M12252" s="14"/>
      <c r="N12252" s="14"/>
      <c r="O12252" s="14"/>
      <c r="P12252" s="13"/>
    </row>
    <row r="12253">
      <c r="L12253" s="13"/>
      <c r="M12253" s="14"/>
      <c r="N12253" s="14"/>
      <c r="O12253" s="14"/>
      <c r="P12253" s="13"/>
    </row>
    <row r="12254">
      <c r="L12254" s="13"/>
      <c r="M12254" s="14"/>
      <c r="N12254" s="14"/>
      <c r="O12254" s="14"/>
      <c r="P12254" s="13"/>
    </row>
    <row r="12255">
      <c r="L12255" s="13"/>
      <c r="M12255" s="14"/>
      <c r="N12255" s="14"/>
      <c r="O12255" s="14"/>
      <c r="P12255" s="13"/>
    </row>
    <row r="12256">
      <c r="L12256" s="13"/>
      <c r="M12256" s="14"/>
      <c r="N12256" s="14"/>
      <c r="O12256" s="14"/>
      <c r="P12256" s="13"/>
    </row>
    <row r="12257">
      <c r="L12257" s="13"/>
      <c r="M12257" s="14"/>
      <c r="N12257" s="14"/>
      <c r="O12257" s="14"/>
      <c r="P12257" s="13"/>
    </row>
    <row r="12258">
      <c r="L12258" s="13"/>
      <c r="M12258" s="14"/>
      <c r="N12258" s="14"/>
      <c r="O12258" s="14"/>
      <c r="P12258" s="13"/>
    </row>
    <row r="12259">
      <c r="L12259" s="13"/>
      <c r="M12259" s="14"/>
      <c r="N12259" s="14"/>
      <c r="O12259" s="14"/>
      <c r="P12259" s="13"/>
    </row>
    <row r="12260">
      <c r="L12260" s="13"/>
      <c r="M12260" s="14"/>
      <c r="N12260" s="14"/>
      <c r="O12260" s="14"/>
      <c r="P12260" s="13"/>
    </row>
    <row r="12261">
      <c r="L12261" s="13"/>
      <c r="M12261" s="14"/>
      <c r="N12261" s="14"/>
      <c r="O12261" s="14"/>
      <c r="P12261" s="13"/>
    </row>
    <row r="12262">
      <c r="L12262" s="13"/>
      <c r="M12262" s="14"/>
      <c r="N12262" s="14"/>
      <c r="O12262" s="14"/>
      <c r="P12262" s="13"/>
    </row>
    <row r="12263">
      <c r="L12263" s="13"/>
      <c r="M12263" s="14"/>
      <c r="N12263" s="14"/>
      <c r="O12263" s="14"/>
      <c r="P12263" s="13"/>
    </row>
    <row r="12264">
      <c r="L12264" s="13"/>
      <c r="M12264" s="14"/>
      <c r="N12264" s="14"/>
      <c r="O12264" s="14"/>
      <c r="P12264" s="13"/>
    </row>
    <row r="12265">
      <c r="L12265" s="13"/>
      <c r="M12265" s="14"/>
      <c r="N12265" s="14"/>
      <c r="O12265" s="14"/>
      <c r="P12265" s="13"/>
    </row>
    <row r="12266">
      <c r="L12266" s="13"/>
      <c r="M12266" s="14"/>
      <c r="N12266" s="14"/>
      <c r="O12266" s="14"/>
      <c r="P12266" s="13"/>
    </row>
    <row r="12267">
      <c r="L12267" s="13"/>
      <c r="M12267" s="14"/>
      <c r="N12267" s="14"/>
      <c r="O12267" s="14"/>
      <c r="P12267" s="13"/>
    </row>
    <row r="12268">
      <c r="L12268" s="13"/>
      <c r="M12268" s="14"/>
      <c r="N12268" s="14"/>
      <c r="O12268" s="14"/>
      <c r="P12268" s="13"/>
    </row>
    <row r="12269">
      <c r="L12269" s="13"/>
      <c r="M12269" s="14"/>
      <c r="N12269" s="14"/>
      <c r="O12269" s="14"/>
      <c r="P12269" s="13"/>
    </row>
    <row r="12270">
      <c r="L12270" s="13"/>
      <c r="M12270" s="14"/>
      <c r="N12270" s="14"/>
      <c r="O12270" s="14"/>
      <c r="P12270" s="13"/>
    </row>
    <row r="12271">
      <c r="L12271" s="13"/>
      <c r="M12271" s="14"/>
      <c r="N12271" s="14"/>
      <c r="O12271" s="14"/>
      <c r="P12271" s="13"/>
    </row>
    <row r="12272">
      <c r="L12272" s="13"/>
      <c r="M12272" s="14"/>
      <c r="N12272" s="14"/>
      <c r="O12272" s="14"/>
      <c r="P12272" s="13"/>
    </row>
    <row r="12273">
      <c r="L12273" s="13"/>
      <c r="M12273" s="14"/>
      <c r="N12273" s="14"/>
      <c r="O12273" s="14"/>
      <c r="P12273" s="13"/>
    </row>
    <row r="12274">
      <c r="L12274" s="13"/>
      <c r="M12274" s="14"/>
      <c r="N12274" s="14"/>
      <c r="O12274" s="14"/>
      <c r="P12274" s="13"/>
    </row>
    <row r="12275">
      <c r="L12275" s="13"/>
      <c r="M12275" s="14"/>
      <c r="N12275" s="14"/>
      <c r="O12275" s="14"/>
      <c r="P12275" s="13"/>
    </row>
    <row r="12276">
      <c r="L12276" s="13"/>
      <c r="M12276" s="14"/>
      <c r="N12276" s="14"/>
      <c r="O12276" s="14"/>
      <c r="P12276" s="13"/>
    </row>
    <row r="12277">
      <c r="L12277" s="13"/>
      <c r="M12277" s="14"/>
      <c r="N12277" s="14"/>
      <c r="O12277" s="14"/>
      <c r="P12277" s="13"/>
    </row>
    <row r="12278">
      <c r="L12278" s="13"/>
      <c r="M12278" s="14"/>
      <c r="N12278" s="14"/>
      <c r="O12278" s="14"/>
      <c r="P12278" s="13"/>
    </row>
    <row r="12279">
      <c r="L12279" s="13"/>
      <c r="M12279" s="14"/>
      <c r="N12279" s="14"/>
      <c r="O12279" s="14"/>
      <c r="P12279" s="13"/>
    </row>
    <row r="12280">
      <c r="L12280" s="13"/>
      <c r="M12280" s="14"/>
      <c r="N12280" s="14"/>
      <c r="O12280" s="14"/>
      <c r="P12280" s="13"/>
    </row>
    <row r="12281">
      <c r="L12281" s="13"/>
      <c r="M12281" s="14"/>
      <c r="N12281" s="14"/>
      <c r="O12281" s="14"/>
      <c r="P12281" s="13"/>
    </row>
    <row r="12282">
      <c r="L12282" s="13"/>
      <c r="M12282" s="14"/>
      <c r="N12282" s="14"/>
      <c r="O12282" s="14"/>
      <c r="P12282" s="13"/>
    </row>
    <row r="12283">
      <c r="L12283" s="13"/>
      <c r="M12283" s="14"/>
      <c r="N12283" s="14"/>
      <c r="O12283" s="14"/>
      <c r="P12283" s="13"/>
    </row>
    <row r="12284">
      <c r="L12284" s="13"/>
      <c r="M12284" s="14"/>
      <c r="N12284" s="14"/>
      <c r="O12284" s="14"/>
      <c r="P12284" s="13"/>
    </row>
    <row r="12285">
      <c r="L12285" s="13"/>
      <c r="M12285" s="14"/>
      <c r="N12285" s="14"/>
      <c r="O12285" s="14"/>
      <c r="P12285" s="13"/>
    </row>
    <row r="12286">
      <c r="L12286" s="13"/>
      <c r="M12286" s="14"/>
      <c r="N12286" s="14"/>
      <c r="O12286" s="14"/>
      <c r="P12286" s="13"/>
    </row>
    <row r="12287">
      <c r="L12287" s="13"/>
      <c r="M12287" s="14"/>
      <c r="N12287" s="14"/>
      <c r="O12287" s="14"/>
      <c r="P12287" s="13"/>
    </row>
    <row r="12288">
      <c r="L12288" s="13"/>
      <c r="M12288" s="14"/>
      <c r="N12288" s="14"/>
      <c r="O12288" s="14"/>
      <c r="P12288" s="13"/>
    </row>
    <row r="12289">
      <c r="L12289" s="13"/>
      <c r="M12289" s="14"/>
      <c r="N12289" s="14"/>
      <c r="O12289" s="14"/>
      <c r="P12289" s="13"/>
    </row>
    <row r="12290">
      <c r="L12290" s="13"/>
      <c r="M12290" s="14"/>
      <c r="N12290" s="14"/>
      <c r="O12290" s="14"/>
      <c r="P12290" s="13"/>
    </row>
    <row r="12291">
      <c r="L12291" s="13"/>
      <c r="M12291" s="14"/>
      <c r="N12291" s="14"/>
      <c r="O12291" s="14"/>
      <c r="P12291" s="13"/>
    </row>
    <row r="12292">
      <c r="L12292" s="13"/>
      <c r="M12292" s="14"/>
      <c r="N12292" s="14"/>
      <c r="O12292" s="14"/>
      <c r="P12292" s="13"/>
    </row>
    <row r="12293">
      <c r="L12293" s="13"/>
      <c r="M12293" s="14"/>
      <c r="N12293" s="14"/>
      <c r="O12293" s="14"/>
      <c r="P12293" s="13"/>
    </row>
    <row r="12294">
      <c r="L12294" s="13"/>
      <c r="M12294" s="14"/>
      <c r="N12294" s="14"/>
      <c r="O12294" s="14"/>
      <c r="P12294" s="13"/>
    </row>
    <row r="12295">
      <c r="L12295" s="13"/>
      <c r="M12295" s="14"/>
      <c r="N12295" s="14"/>
      <c r="O12295" s="14"/>
      <c r="P12295" s="13"/>
    </row>
    <row r="12296">
      <c r="L12296" s="13"/>
      <c r="M12296" s="14"/>
      <c r="N12296" s="14"/>
      <c r="O12296" s="14"/>
      <c r="P12296" s="13"/>
    </row>
    <row r="12297">
      <c r="L12297" s="13"/>
      <c r="M12297" s="14"/>
      <c r="N12297" s="14"/>
      <c r="O12297" s="14"/>
      <c r="P12297" s="13"/>
    </row>
    <row r="12298">
      <c r="L12298" s="13"/>
      <c r="M12298" s="14"/>
      <c r="N12298" s="14"/>
      <c r="O12298" s="14"/>
      <c r="P12298" s="13"/>
    </row>
    <row r="12299">
      <c r="L12299" s="13"/>
      <c r="M12299" s="14"/>
      <c r="N12299" s="14"/>
      <c r="O12299" s="14"/>
      <c r="P12299" s="13"/>
    </row>
    <row r="12300">
      <c r="L12300" s="13"/>
      <c r="M12300" s="14"/>
      <c r="N12300" s="14"/>
      <c r="O12300" s="14"/>
      <c r="P12300" s="13"/>
    </row>
    <row r="12301">
      <c r="L12301" s="13"/>
      <c r="M12301" s="14"/>
      <c r="N12301" s="14"/>
      <c r="O12301" s="14"/>
      <c r="P12301" s="13"/>
    </row>
    <row r="12302">
      <c r="L12302" s="13"/>
      <c r="M12302" s="14"/>
      <c r="N12302" s="14"/>
      <c r="O12302" s="14"/>
      <c r="P12302" s="13"/>
    </row>
    <row r="12303">
      <c r="L12303" s="13"/>
      <c r="M12303" s="14"/>
      <c r="N12303" s="14"/>
      <c r="O12303" s="14"/>
      <c r="P12303" s="13"/>
    </row>
    <row r="12304">
      <c r="L12304" s="13"/>
      <c r="M12304" s="14"/>
      <c r="N12304" s="14"/>
      <c r="O12304" s="14"/>
      <c r="P12304" s="13"/>
    </row>
    <row r="12305">
      <c r="L12305" s="13"/>
      <c r="M12305" s="14"/>
      <c r="N12305" s="14"/>
      <c r="O12305" s="14"/>
      <c r="P12305" s="13"/>
    </row>
    <row r="12306">
      <c r="L12306" s="13"/>
      <c r="M12306" s="14"/>
      <c r="N12306" s="14"/>
      <c r="O12306" s="14"/>
      <c r="P12306" s="13"/>
    </row>
    <row r="12307">
      <c r="L12307" s="13"/>
      <c r="M12307" s="14"/>
      <c r="N12307" s="14"/>
      <c r="O12307" s="14"/>
      <c r="P12307" s="13"/>
    </row>
    <row r="12308">
      <c r="L12308" s="13"/>
      <c r="M12308" s="14"/>
      <c r="N12308" s="14"/>
      <c r="O12308" s="14"/>
      <c r="P12308" s="13"/>
    </row>
    <row r="12309">
      <c r="L12309" s="13"/>
      <c r="M12309" s="14"/>
      <c r="N12309" s="14"/>
      <c r="O12309" s="14"/>
      <c r="P12309" s="13"/>
    </row>
    <row r="12310">
      <c r="L12310" s="13"/>
      <c r="M12310" s="14"/>
      <c r="N12310" s="14"/>
      <c r="O12310" s="14"/>
      <c r="P12310" s="13"/>
    </row>
    <row r="12311">
      <c r="L12311" s="13"/>
      <c r="M12311" s="14"/>
      <c r="N12311" s="14"/>
      <c r="O12311" s="14"/>
      <c r="P12311" s="13"/>
    </row>
    <row r="12312">
      <c r="L12312" s="13"/>
      <c r="M12312" s="14"/>
      <c r="N12312" s="14"/>
      <c r="O12312" s="14"/>
      <c r="P12312" s="13"/>
    </row>
    <row r="12313">
      <c r="L12313" s="13"/>
      <c r="M12313" s="14"/>
      <c r="N12313" s="14"/>
      <c r="O12313" s="14"/>
      <c r="P12313" s="13"/>
    </row>
    <row r="12314">
      <c r="L12314" s="13"/>
      <c r="M12314" s="14"/>
      <c r="N12314" s="14"/>
      <c r="O12314" s="14"/>
      <c r="P12314" s="13"/>
    </row>
    <row r="12315">
      <c r="L12315" s="13"/>
      <c r="M12315" s="14"/>
      <c r="N12315" s="14"/>
      <c r="O12315" s="14"/>
      <c r="P12315" s="13"/>
    </row>
    <row r="12316">
      <c r="L12316" s="13"/>
      <c r="M12316" s="14"/>
      <c r="N12316" s="14"/>
      <c r="O12316" s="14"/>
      <c r="P12316" s="13"/>
    </row>
    <row r="12317">
      <c r="L12317" s="13"/>
      <c r="M12317" s="14"/>
      <c r="N12317" s="14"/>
      <c r="O12317" s="14"/>
      <c r="P12317" s="13"/>
    </row>
    <row r="12318">
      <c r="L12318" s="13"/>
      <c r="M12318" s="14"/>
      <c r="N12318" s="14"/>
      <c r="O12318" s="14"/>
      <c r="P12318" s="13"/>
    </row>
    <row r="12319">
      <c r="L12319" s="13"/>
      <c r="M12319" s="14"/>
      <c r="N12319" s="14"/>
      <c r="O12319" s="14"/>
      <c r="P12319" s="13"/>
    </row>
    <row r="12320">
      <c r="L12320" s="13"/>
      <c r="M12320" s="14"/>
      <c r="N12320" s="14"/>
      <c r="O12320" s="14"/>
      <c r="P12320" s="13"/>
    </row>
    <row r="12321">
      <c r="L12321" s="13"/>
      <c r="M12321" s="14"/>
      <c r="N12321" s="14"/>
      <c r="O12321" s="14"/>
      <c r="P12321" s="13"/>
    </row>
    <row r="12322">
      <c r="L12322" s="13"/>
      <c r="M12322" s="14"/>
      <c r="N12322" s="14"/>
      <c r="O12322" s="14"/>
      <c r="P12322" s="13"/>
    </row>
    <row r="12323">
      <c r="L12323" s="13"/>
      <c r="M12323" s="14"/>
      <c r="N12323" s="14"/>
      <c r="O12323" s="14"/>
      <c r="P12323" s="13"/>
    </row>
    <row r="12324">
      <c r="L12324" s="13"/>
      <c r="M12324" s="14"/>
      <c r="N12324" s="14"/>
      <c r="O12324" s="14"/>
      <c r="P12324" s="13"/>
    </row>
    <row r="12325">
      <c r="L12325" s="13"/>
      <c r="M12325" s="14"/>
      <c r="N12325" s="14"/>
      <c r="O12325" s="14"/>
      <c r="P12325" s="13"/>
    </row>
    <row r="12326">
      <c r="L12326" s="13"/>
      <c r="M12326" s="14"/>
      <c r="N12326" s="14"/>
      <c r="O12326" s="14"/>
      <c r="P12326" s="13"/>
    </row>
    <row r="12327">
      <c r="L12327" s="13"/>
      <c r="M12327" s="14"/>
      <c r="N12327" s="14"/>
      <c r="O12327" s="14"/>
      <c r="P12327" s="13"/>
    </row>
    <row r="12328">
      <c r="L12328" s="13"/>
      <c r="M12328" s="14"/>
      <c r="N12328" s="14"/>
      <c r="O12328" s="14"/>
      <c r="P12328" s="13"/>
    </row>
    <row r="12329">
      <c r="L12329" s="13"/>
      <c r="M12329" s="14"/>
      <c r="N12329" s="14"/>
      <c r="O12329" s="14"/>
      <c r="P12329" s="13"/>
    </row>
    <row r="12330">
      <c r="L12330" s="13"/>
      <c r="M12330" s="14"/>
      <c r="N12330" s="14"/>
      <c r="O12330" s="14"/>
      <c r="P12330" s="13"/>
    </row>
    <row r="12331">
      <c r="L12331" s="13"/>
      <c r="M12331" s="14"/>
      <c r="N12331" s="14"/>
      <c r="O12331" s="14"/>
      <c r="P12331" s="13"/>
    </row>
    <row r="12332">
      <c r="L12332" s="13"/>
      <c r="M12332" s="14"/>
      <c r="N12332" s="14"/>
      <c r="O12332" s="14"/>
      <c r="P12332" s="13"/>
    </row>
    <row r="12333">
      <c r="L12333" s="13"/>
      <c r="M12333" s="14"/>
      <c r="N12333" s="14"/>
      <c r="O12333" s="14"/>
      <c r="P12333" s="13"/>
    </row>
    <row r="12334">
      <c r="L12334" s="13"/>
      <c r="M12334" s="14"/>
      <c r="N12334" s="14"/>
      <c r="O12334" s="14"/>
      <c r="P12334" s="13"/>
    </row>
    <row r="12335">
      <c r="L12335" s="13"/>
      <c r="M12335" s="14"/>
      <c r="N12335" s="14"/>
      <c r="O12335" s="14"/>
      <c r="P12335" s="13"/>
    </row>
    <row r="12336">
      <c r="L12336" s="13"/>
      <c r="M12336" s="14"/>
      <c r="N12336" s="14"/>
      <c r="O12336" s="14"/>
      <c r="P12336" s="13"/>
    </row>
    <row r="12337">
      <c r="L12337" s="13"/>
      <c r="M12337" s="14"/>
      <c r="N12337" s="14"/>
      <c r="O12337" s="14"/>
      <c r="P12337" s="13"/>
    </row>
    <row r="12338">
      <c r="L12338" s="13"/>
      <c r="M12338" s="14"/>
      <c r="N12338" s="14"/>
      <c r="O12338" s="14"/>
      <c r="P12338" s="13"/>
    </row>
    <row r="12339">
      <c r="L12339" s="13"/>
      <c r="M12339" s="14"/>
      <c r="N12339" s="14"/>
      <c r="O12339" s="14"/>
      <c r="P12339" s="13"/>
    </row>
    <row r="12340">
      <c r="L12340" s="13"/>
      <c r="M12340" s="14"/>
      <c r="N12340" s="14"/>
      <c r="O12340" s="14"/>
      <c r="P12340" s="13"/>
    </row>
    <row r="12341">
      <c r="L12341" s="13"/>
      <c r="M12341" s="14"/>
      <c r="N12341" s="14"/>
      <c r="O12341" s="14"/>
      <c r="P12341" s="13"/>
    </row>
    <row r="12342">
      <c r="L12342" s="13"/>
      <c r="M12342" s="14"/>
      <c r="N12342" s="14"/>
      <c r="O12342" s="14"/>
      <c r="P12342" s="13"/>
    </row>
    <row r="12343">
      <c r="L12343" s="13"/>
      <c r="M12343" s="14"/>
      <c r="N12343" s="14"/>
      <c r="O12343" s="14"/>
      <c r="P12343" s="13"/>
    </row>
    <row r="12344">
      <c r="L12344" s="13"/>
      <c r="M12344" s="14"/>
      <c r="N12344" s="14"/>
      <c r="O12344" s="14"/>
      <c r="P12344" s="13"/>
    </row>
    <row r="12345">
      <c r="L12345" s="13"/>
      <c r="M12345" s="14"/>
      <c r="N12345" s="14"/>
      <c r="O12345" s="14"/>
      <c r="P12345" s="13"/>
    </row>
    <row r="12346">
      <c r="L12346" s="13"/>
      <c r="M12346" s="14"/>
      <c r="N12346" s="14"/>
      <c r="O12346" s="14"/>
      <c r="P12346" s="13"/>
    </row>
    <row r="12347">
      <c r="L12347" s="13"/>
      <c r="M12347" s="14"/>
      <c r="N12347" s="14"/>
      <c r="O12347" s="14"/>
      <c r="P12347" s="13"/>
    </row>
    <row r="12348">
      <c r="L12348" s="13"/>
      <c r="M12348" s="14"/>
      <c r="N12348" s="14"/>
      <c r="O12348" s="14"/>
      <c r="P12348" s="13"/>
    </row>
    <row r="12349">
      <c r="L12349" s="13"/>
      <c r="M12349" s="14"/>
      <c r="N12349" s="14"/>
      <c r="O12349" s="14"/>
      <c r="P12349" s="13"/>
    </row>
    <row r="12350">
      <c r="L12350" s="13"/>
      <c r="M12350" s="14"/>
      <c r="N12350" s="14"/>
      <c r="O12350" s="14"/>
      <c r="P12350" s="13"/>
    </row>
    <row r="12351">
      <c r="L12351" s="13"/>
      <c r="M12351" s="14"/>
      <c r="N12351" s="14"/>
      <c r="O12351" s="14"/>
      <c r="P12351" s="13"/>
    </row>
    <row r="12352">
      <c r="L12352" s="13"/>
      <c r="M12352" s="14"/>
      <c r="N12352" s="14"/>
      <c r="O12352" s="14"/>
      <c r="P12352" s="13"/>
    </row>
    <row r="12353">
      <c r="L12353" s="13"/>
      <c r="M12353" s="14"/>
      <c r="N12353" s="14"/>
      <c r="O12353" s="14"/>
      <c r="P12353" s="13"/>
    </row>
    <row r="12354">
      <c r="L12354" s="13"/>
      <c r="M12354" s="14"/>
      <c r="N12354" s="14"/>
      <c r="O12354" s="14"/>
      <c r="P12354" s="13"/>
    </row>
    <row r="12355">
      <c r="L12355" s="13"/>
      <c r="M12355" s="14"/>
      <c r="N12355" s="14"/>
      <c r="O12355" s="14"/>
      <c r="P12355" s="13"/>
    </row>
    <row r="12356">
      <c r="L12356" s="13"/>
      <c r="M12356" s="14"/>
      <c r="N12356" s="14"/>
      <c r="O12356" s="14"/>
      <c r="P12356" s="13"/>
    </row>
    <row r="12357">
      <c r="L12357" s="13"/>
      <c r="M12357" s="14"/>
      <c r="N12357" s="14"/>
      <c r="O12357" s="14"/>
      <c r="P12357" s="13"/>
    </row>
    <row r="12358">
      <c r="L12358" s="13"/>
      <c r="M12358" s="14"/>
      <c r="N12358" s="14"/>
      <c r="O12358" s="14"/>
      <c r="P12358" s="13"/>
    </row>
    <row r="12359">
      <c r="L12359" s="13"/>
      <c r="M12359" s="14"/>
      <c r="N12359" s="14"/>
      <c r="O12359" s="14"/>
      <c r="P12359" s="13"/>
    </row>
    <row r="12360">
      <c r="L12360" s="13"/>
      <c r="M12360" s="14"/>
      <c r="N12360" s="14"/>
      <c r="O12360" s="14"/>
      <c r="P12360" s="13"/>
    </row>
    <row r="12361">
      <c r="L12361" s="13"/>
      <c r="M12361" s="14"/>
      <c r="N12361" s="14"/>
      <c r="O12361" s="14"/>
      <c r="P12361" s="13"/>
    </row>
    <row r="12362">
      <c r="L12362" s="13"/>
      <c r="M12362" s="14"/>
      <c r="N12362" s="14"/>
      <c r="O12362" s="14"/>
      <c r="P12362" s="13"/>
    </row>
    <row r="12363">
      <c r="L12363" s="13"/>
      <c r="M12363" s="14"/>
      <c r="N12363" s="14"/>
      <c r="O12363" s="14"/>
      <c r="P12363" s="13"/>
    </row>
    <row r="12364">
      <c r="L12364" s="13"/>
      <c r="M12364" s="14"/>
      <c r="N12364" s="14"/>
      <c r="O12364" s="14"/>
      <c r="P12364" s="13"/>
    </row>
    <row r="12365">
      <c r="L12365" s="13"/>
      <c r="M12365" s="14"/>
      <c r="N12365" s="14"/>
      <c r="O12365" s="14"/>
      <c r="P12365" s="13"/>
    </row>
    <row r="12366">
      <c r="L12366" s="13"/>
      <c r="M12366" s="14"/>
      <c r="N12366" s="14"/>
      <c r="O12366" s="14"/>
      <c r="P12366" s="13"/>
    </row>
    <row r="12367">
      <c r="L12367" s="13"/>
      <c r="M12367" s="14"/>
      <c r="N12367" s="14"/>
      <c r="O12367" s="14"/>
      <c r="P12367" s="13"/>
    </row>
    <row r="12368">
      <c r="L12368" s="13"/>
      <c r="M12368" s="14"/>
      <c r="N12368" s="14"/>
      <c r="O12368" s="14"/>
      <c r="P12368" s="13"/>
    </row>
    <row r="12369">
      <c r="L12369" s="13"/>
      <c r="M12369" s="14"/>
      <c r="N12369" s="14"/>
      <c r="O12369" s="14"/>
      <c r="P12369" s="13"/>
    </row>
    <row r="12370">
      <c r="L12370" s="13"/>
      <c r="M12370" s="14"/>
      <c r="N12370" s="14"/>
      <c r="O12370" s="14"/>
      <c r="P12370" s="13"/>
    </row>
    <row r="12371">
      <c r="L12371" s="13"/>
      <c r="M12371" s="14"/>
      <c r="N12371" s="14"/>
      <c r="O12371" s="14"/>
      <c r="P12371" s="13"/>
    </row>
    <row r="12372">
      <c r="L12372" s="13"/>
      <c r="M12372" s="14"/>
      <c r="N12372" s="14"/>
      <c r="O12372" s="14"/>
      <c r="P12372" s="13"/>
    </row>
    <row r="12373">
      <c r="L12373" s="13"/>
      <c r="M12373" s="14"/>
      <c r="N12373" s="14"/>
      <c r="O12373" s="14"/>
      <c r="P12373" s="13"/>
    </row>
    <row r="12374">
      <c r="L12374" s="13"/>
      <c r="M12374" s="14"/>
      <c r="N12374" s="14"/>
      <c r="O12374" s="14"/>
      <c r="P12374" s="13"/>
    </row>
    <row r="12375">
      <c r="L12375" s="13"/>
      <c r="M12375" s="14"/>
      <c r="N12375" s="14"/>
      <c r="O12375" s="14"/>
      <c r="P12375" s="13"/>
    </row>
    <row r="12376">
      <c r="L12376" s="13"/>
      <c r="M12376" s="14"/>
      <c r="N12376" s="14"/>
      <c r="O12376" s="14"/>
      <c r="P12376" s="13"/>
    </row>
    <row r="12377">
      <c r="L12377" s="13"/>
      <c r="M12377" s="14"/>
      <c r="N12377" s="14"/>
      <c r="O12377" s="14"/>
      <c r="P12377" s="13"/>
    </row>
    <row r="12378">
      <c r="L12378" s="13"/>
      <c r="M12378" s="14"/>
      <c r="N12378" s="14"/>
      <c r="O12378" s="14"/>
      <c r="P12378" s="13"/>
    </row>
    <row r="12379">
      <c r="L12379" s="13"/>
      <c r="M12379" s="14"/>
      <c r="N12379" s="14"/>
      <c r="O12379" s="14"/>
      <c r="P12379" s="13"/>
    </row>
    <row r="12380">
      <c r="L12380" s="13"/>
      <c r="M12380" s="14"/>
      <c r="N12380" s="14"/>
      <c r="O12380" s="14"/>
      <c r="P12380" s="13"/>
    </row>
    <row r="12381">
      <c r="L12381" s="13"/>
      <c r="M12381" s="14"/>
      <c r="N12381" s="14"/>
      <c r="O12381" s="14"/>
      <c r="P12381" s="13"/>
    </row>
    <row r="12382">
      <c r="L12382" s="13"/>
      <c r="M12382" s="14"/>
      <c r="N12382" s="14"/>
      <c r="O12382" s="14"/>
      <c r="P12382" s="13"/>
    </row>
    <row r="12383">
      <c r="L12383" s="13"/>
      <c r="M12383" s="14"/>
      <c r="N12383" s="14"/>
      <c r="O12383" s="14"/>
      <c r="P12383" s="13"/>
    </row>
    <row r="12384">
      <c r="L12384" s="13"/>
      <c r="M12384" s="14"/>
      <c r="N12384" s="14"/>
      <c r="O12384" s="14"/>
      <c r="P12384" s="13"/>
    </row>
    <row r="12385">
      <c r="L12385" s="13"/>
      <c r="M12385" s="14"/>
      <c r="N12385" s="14"/>
      <c r="O12385" s="14"/>
      <c r="P12385" s="13"/>
    </row>
    <row r="12386">
      <c r="L12386" s="13"/>
      <c r="M12386" s="14"/>
      <c r="N12386" s="14"/>
      <c r="O12386" s="14"/>
      <c r="P12386" s="13"/>
    </row>
    <row r="12387">
      <c r="L12387" s="13"/>
      <c r="M12387" s="14"/>
      <c r="N12387" s="14"/>
      <c r="O12387" s="14"/>
      <c r="P12387" s="13"/>
    </row>
    <row r="12388">
      <c r="L12388" s="13"/>
      <c r="M12388" s="14"/>
      <c r="N12388" s="14"/>
      <c r="O12388" s="14"/>
      <c r="P12388" s="13"/>
    </row>
    <row r="12389">
      <c r="L12389" s="13"/>
      <c r="M12389" s="14"/>
      <c r="N12389" s="14"/>
      <c r="O12389" s="14"/>
      <c r="P12389" s="13"/>
    </row>
    <row r="12390">
      <c r="L12390" s="13"/>
      <c r="M12390" s="14"/>
      <c r="N12390" s="14"/>
      <c r="O12390" s="14"/>
      <c r="P12390" s="13"/>
    </row>
    <row r="12391">
      <c r="L12391" s="13"/>
      <c r="M12391" s="14"/>
      <c r="N12391" s="14"/>
      <c r="O12391" s="14"/>
      <c r="P12391" s="13"/>
    </row>
    <row r="12392">
      <c r="L12392" s="13"/>
      <c r="M12392" s="14"/>
      <c r="N12392" s="14"/>
      <c r="O12392" s="14"/>
      <c r="P12392" s="13"/>
    </row>
    <row r="12393">
      <c r="L12393" s="13"/>
      <c r="M12393" s="14"/>
      <c r="N12393" s="14"/>
      <c r="O12393" s="14"/>
      <c r="P12393" s="13"/>
    </row>
    <row r="12394">
      <c r="L12394" s="13"/>
      <c r="M12394" s="14"/>
      <c r="N12394" s="14"/>
      <c r="O12394" s="14"/>
      <c r="P12394" s="13"/>
    </row>
    <row r="12395">
      <c r="L12395" s="13"/>
      <c r="M12395" s="14"/>
      <c r="N12395" s="14"/>
      <c r="O12395" s="14"/>
      <c r="P12395" s="13"/>
    </row>
    <row r="12396">
      <c r="L12396" s="13"/>
      <c r="M12396" s="14"/>
      <c r="N12396" s="14"/>
      <c r="O12396" s="14"/>
      <c r="P12396" s="13"/>
    </row>
    <row r="12397">
      <c r="L12397" s="13"/>
      <c r="M12397" s="14"/>
      <c r="N12397" s="14"/>
      <c r="O12397" s="14"/>
      <c r="P12397" s="13"/>
    </row>
    <row r="12398">
      <c r="L12398" s="13"/>
      <c r="M12398" s="14"/>
      <c r="N12398" s="14"/>
      <c r="O12398" s="14"/>
      <c r="P12398" s="13"/>
    </row>
    <row r="12399">
      <c r="L12399" s="13"/>
      <c r="M12399" s="14"/>
      <c r="N12399" s="14"/>
      <c r="O12399" s="14"/>
      <c r="P12399" s="13"/>
    </row>
    <row r="12400">
      <c r="L12400" s="13"/>
      <c r="M12400" s="14"/>
      <c r="N12400" s="14"/>
      <c r="O12400" s="14"/>
      <c r="P12400" s="13"/>
    </row>
    <row r="12401">
      <c r="L12401" s="13"/>
      <c r="M12401" s="14"/>
      <c r="N12401" s="14"/>
      <c r="O12401" s="14"/>
      <c r="P12401" s="13"/>
    </row>
    <row r="12402">
      <c r="L12402" s="13"/>
      <c r="M12402" s="14"/>
      <c r="N12402" s="14"/>
      <c r="O12402" s="14"/>
      <c r="P12402" s="13"/>
    </row>
    <row r="12403">
      <c r="L12403" s="13"/>
      <c r="M12403" s="14"/>
      <c r="N12403" s="14"/>
      <c r="O12403" s="14"/>
      <c r="P12403" s="13"/>
    </row>
    <row r="12404">
      <c r="L12404" s="13"/>
      <c r="M12404" s="14"/>
      <c r="N12404" s="14"/>
      <c r="O12404" s="14"/>
      <c r="P12404" s="13"/>
    </row>
    <row r="12405">
      <c r="L12405" s="13"/>
      <c r="M12405" s="14"/>
      <c r="N12405" s="14"/>
      <c r="O12405" s="14"/>
      <c r="P12405" s="13"/>
    </row>
    <row r="12406">
      <c r="L12406" s="13"/>
      <c r="M12406" s="14"/>
      <c r="N12406" s="14"/>
      <c r="O12406" s="14"/>
      <c r="P12406" s="13"/>
    </row>
    <row r="12407">
      <c r="L12407" s="13"/>
      <c r="M12407" s="14"/>
      <c r="N12407" s="14"/>
      <c r="O12407" s="14"/>
      <c r="P12407" s="13"/>
    </row>
    <row r="12408">
      <c r="L12408" s="13"/>
      <c r="M12408" s="14"/>
      <c r="N12408" s="14"/>
      <c r="O12408" s="14"/>
      <c r="P12408" s="13"/>
    </row>
    <row r="12409">
      <c r="L12409" s="13"/>
      <c r="M12409" s="14"/>
      <c r="N12409" s="14"/>
      <c r="O12409" s="14"/>
      <c r="P12409" s="13"/>
    </row>
    <row r="12410">
      <c r="L12410" s="13"/>
      <c r="M12410" s="14"/>
      <c r="N12410" s="14"/>
      <c r="O12410" s="14"/>
      <c r="P12410" s="13"/>
    </row>
    <row r="12411">
      <c r="L12411" s="13"/>
      <c r="M12411" s="14"/>
      <c r="N12411" s="14"/>
      <c r="O12411" s="14"/>
      <c r="P12411" s="13"/>
    </row>
    <row r="12412">
      <c r="L12412" s="13"/>
      <c r="M12412" s="14"/>
      <c r="N12412" s="14"/>
      <c r="O12412" s="14"/>
      <c r="P12412" s="13"/>
    </row>
    <row r="12413">
      <c r="L12413" s="13"/>
      <c r="M12413" s="14"/>
      <c r="N12413" s="14"/>
      <c r="O12413" s="14"/>
      <c r="P12413" s="13"/>
    </row>
    <row r="12414">
      <c r="L12414" s="13"/>
      <c r="M12414" s="14"/>
      <c r="N12414" s="14"/>
      <c r="O12414" s="14"/>
      <c r="P12414" s="13"/>
    </row>
    <row r="12415">
      <c r="L12415" s="13"/>
      <c r="M12415" s="14"/>
      <c r="N12415" s="14"/>
      <c r="O12415" s="14"/>
      <c r="P12415" s="13"/>
    </row>
    <row r="12416">
      <c r="L12416" s="13"/>
      <c r="M12416" s="14"/>
      <c r="N12416" s="14"/>
      <c r="O12416" s="14"/>
      <c r="P12416" s="13"/>
    </row>
    <row r="12417">
      <c r="L12417" s="13"/>
      <c r="M12417" s="14"/>
      <c r="N12417" s="14"/>
      <c r="O12417" s="14"/>
      <c r="P12417" s="13"/>
    </row>
    <row r="12418">
      <c r="L12418" s="13"/>
      <c r="M12418" s="14"/>
      <c r="N12418" s="14"/>
      <c r="O12418" s="14"/>
      <c r="P12418" s="13"/>
    </row>
    <row r="12419">
      <c r="L12419" s="13"/>
      <c r="M12419" s="14"/>
      <c r="N12419" s="14"/>
      <c r="O12419" s="14"/>
      <c r="P12419" s="13"/>
    </row>
    <row r="12420">
      <c r="L12420" s="13"/>
      <c r="M12420" s="14"/>
      <c r="N12420" s="14"/>
      <c r="O12420" s="14"/>
      <c r="P12420" s="13"/>
    </row>
    <row r="12421">
      <c r="L12421" s="13"/>
      <c r="M12421" s="14"/>
      <c r="N12421" s="14"/>
      <c r="O12421" s="14"/>
      <c r="P12421" s="13"/>
    </row>
    <row r="12422">
      <c r="L12422" s="13"/>
      <c r="M12422" s="14"/>
      <c r="N12422" s="14"/>
      <c r="O12422" s="14"/>
      <c r="P12422" s="13"/>
    </row>
    <row r="12423">
      <c r="L12423" s="13"/>
      <c r="M12423" s="14"/>
      <c r="N12423" s="14"/>
      <c r="O12423" s="14"/>
      <c r="P12423" s="13"/>
    </row>
    <row r="12424">
      <c r="L12424" s="13"/>
      <c r="M12424" s="14"/>
      <c r="N12424" s="14"/>
      <c r="O12424" s="14"/>
      <c r="P12424" s="13"/>
    </row>
    <row r="12425">
      <c r="L12425" s="13"/>
      <c r="M12425" s="14"/>
      <c r="N12425" s="14"/>
      <c r="O12425" s="14"/>
      <c r="P12425" s="13"/>
    </row>
    <row r="12426">
      <c r="L12426" s="13"/>
      <c r="M12426" s="14"/>
      <c r="N12426" s="14"/>
      <c r="O12426" s="14"/>
      <c r="P12426" s="13"/>
    </row>
    <row r="12427">
      <c r="L12427" s="13"/>
      <c r="M12427" s="14"/>
      <c r="N12427" s="14"/>
      <c r="O12427" s="14"/>
      <c r="P12427" s="13"/>
    </row>
    <row r="12428">
      <c r="L12428" s="13"/>
      <c r="M12428" s="14"/>
      <c r="N12428" s="14"/>
      <c r="O12428" s="14"/>
      <c r="P12428" s="13"/>
    </row>
    <row r="12429">
      <c r="L12429" s="13"/>
      <c r="M12429" s="14"/>
      <c r="N12429" s="14"/>
      <c r="O12429" s="14"/>
      <c r="P12429" s="13"/>
    </row>
    <row r="12430">
      <c r="L12430" s="13"/>
      <c r="M12430" s="14"/>
      <c r="N12430" s="14"/>
      <c r="O12430" s="14"/>
      <c r="P12430" s="13"/>
    </row>
    <row r="12431">
      <c r="L12431" s="13"/>
      <c r="M12431" s="14"/>
      <c r="N12431" s="14"/>
      <c r="O12431" s="14"/>
      <c r="P12431" s="13"/>
    </row>
    <row r="12432">
      <c r="L12432" s="13"/>
      <c r="M12432" s="14"/>
      <c r="N12432" s="14"/>
      <c r="O12432" s="14"/>
      <c r="P12432" s="13"/>
    </row>
    <row r="12433">
      <c r="L12433" s="13"/>
      <c r="M12433" s="14"/>
      <c r="N12433" s="14"/>
      <c r="O12433" s="14"/>
      <c r="P12433" s="13"/>
    </row>
    <row r="12434">
      <c r="L12434" s="13"/>
      <c r="M12434" s="14"/>
      <c r="N12434" s="14"/>
      <c r="O12434" s="14"/>
      <c r="P12434" s="13"/>
    </row>
    <row r="12435">
      <c r="L12435" s="13"/>
      <c r="M12435" s="14"/>
      <c r="N12435" s="14"/>
      <c r="O12435" s="14"/>
      <c r="P12435" s="13"/>
    </row>
    <row r="12436">
      <c r="L12436" s="13"/>
      <c r="M12436" s="14"/>
      <c r="N12436" s="14"/>
      <c r="O12436" s="14"/>
      <c r="P12436" s="13"/>
    </row>
    <row r="12437">
      <c r="L12437" s="13"/>
      <c r="M12437" s="14"/>
      <c r="N12437" s="14"/>
      <c r="O12437" s="14"/>
      <c r="P12437" s="13"/>
    </row>
    <row r="12438">
      <c r="L12438" s="13"/>
      <c r="M12438" s="14"/>
      <c r="N12438" s="14"/>
      <c r="O12438" s="14"/>
      <c r="P12438" s="13"/>
    </row>
    <row r="12439">
      <c r="L12439" s="13"/>
      <c r="M12439" s="14"/>
      <c r="N12439" s="14"/>
      <c r="O12439" s="14"/>
      <c r="P12439" s="13"/>
    </row>
    <row r="12440">
      <c r="L12440" s="13"/>
      <c r="M12440" s="14"/>
      <c r="N12440" s="14"/>
      <c r="O12440" s="14"/>
      <c r="P12440" s="13"/>
    </row>
    <row r="12441">
      <c r="L12441" s="13"/>
      <c r="M12441" s="14"/>
      <c r="N12441" s="14"/>
      <c r="O12441" s="14"/>
      <c r="P12441" s="13"/>
    </row>
    <row r="12442">
      <c r="L12442" s="13"/>
      <c r="M12442" s="14"/>
      <c r="N12442" s="14"/>
      <c r="O12442" s="14"/>
      <c r="P12442" s="13"/>
    </row>
    <row r="12443">
      <c r="L12443" s="13"/>
      <c r="M12443" s="14"/>
      <c r="N12443" s="14"/>
      <c r="O12443" s="14"/>
      <c r="P12443" s="13"/>
    </row>
    <row r="12444">
      <c r="L12444" s="13"/>
      <c r="M12444" s="14"/>
      <c r="N12444" s="14"/>
      <c r="O12444" s="14"/>
      <c r="P12444" s="13"/>
    </row>
    <row r="12445">
      <c r="L12445" s="13"/>
      <c r="M12445" s="14"/>
      <c r="N12445" s="14"/>
      <c r="O12445" s="14"/>
      <c r="P12445" s="13"/>
    </row>
    <row r="12446">
      <c r="L12446" s="13"/>
      <c r="M12446" s="14"/>
      <c r="N12446" s="14"/>
      <c r="O12446" s="14"/>
      <c r="P12446" s="13"/>
    </row>
    <row r="12447">
      <c r="L12447" s="13"/>
      <c r="M12447" s="14"/>
      <c r="N12447" s="14"/>
      <c r="O12447" s="14"/>
      <c r="P12447" s="13"/>
    </row>
    <row r="12448">
      <c r="L12448" s="13"/>
      <c r="M12448" s="14"/>
      <c r="N12448" s="14"/>
      <c r="O12448" s="14"/>
      <c r="P12448" s="13"/>
    </row>
    <row r="12449">
      <c r="L12449" s="13"/>
      <c r="M12449" s="14"/>
      <c r="N12449" s="14"/>
      <c r="O12449" s="14"/>
      <c r="P12449" s="13"/>
    </row>
    <row r="12450">
      <c r="L12450" s="13"/>
      <c r="M12450" s="14"/>
      <c r="N12450" s="14"/>
      <c r="O12450" s="14"/>
      <c r="P12450" s="13"/>
    </row>
    <row r="12451">
      <c r="L12451" s="13"/>
      <c r="M12451" s="14"/>
      <c r="N12451" s="14"/>
      <c r="O12451" s="14"/>
      <c r="P12451" s="13"/>
    </row>
    <row r="12452">
      <c r="L12452" s="13"/>
      <c r="M12452" s="14"/>
      <c r="N12452" s="14"/>
      <c r="O12452" s="14"/>
      <c r="P12452" s="13"/>
    </row>
    <row r="12453">
      <c r="L12453" s="13"/>
      <c r="M12453" s="14"/>
      <c r="N12453" s="14"/>
      <c r="O12453" s="14"/>
      <c r="P12453" s="13"/>
    </row>
    <row r="12454">
      <c r="L12454" s="13"/>
      <c r="M12454" s="14"/>
      <c r="N12454" s="14"/>
      <c r="O12454" s="14"/>
      <c r="P12454" s="13"/>
    </row>
    <row r="12455">
      <c r="L12455" s="13"/>
      <c r="M12455" s="14"/>
      <c r="N12455" s="14"/>
      <c r="O12455" s="14"/>
      <c r="P12455" s="13"/>
    </row>
    <row r="12456">
      <c r="L12456" s="13"/>
      <c r="M12456" s="14"/>
      <c r="N12456" s="14"/>
      <c r="O12456" s="14"/>
      <c r="P12456" s="13"/>
    </row>
    <row r="12457">
      <c r="L12457" s="13"/>
      <c r="M12457" s="14"/>
      <c r="N12457" s="14"/>
      <c r="O12457" s="14"/>
      <c r="P12457" s="13"/>
    </row>
    <row r="12458">
      <c r="L12458" s="13"/>
      <c r="M12458" s="14"/>
      <c r="N12458" s="14"/>
      <c r="O12458" s="14"/>
      <c r="P12458" s="13"/>
    </row>
    <row r="12459">
      <c r="L12459" s="13"/>
      <c r="M12459" s="14"/>
      <c r="N12459" s="14"/>
      <c r="O12459" s="14"/>
      <c r="P12459" s="13"/>
    </row>
    <row r="12460">
      <c r="L12460" s="13"/>
      <c r="M12460" s="14"/>
      <c r="N12460" s="14"/>
      <c r="O12460" s="14"/>
      <c r="P12460" s="13"/>
    </row>
    <row r="12461">
      <c r="L12461" s="13"/>
      <c r="M12461" s="14"/>
      <c r="N12461" s="14"/>
      <c r="O12461" s="14"/>
      <c r="P12461" s="13"/>
    </row>
    <row r="12462">
      <c r="L12462" s="13"/>
      <c r="M12462" s="14"/>
      <c r="N12462" s="14"/>
      <c r="O12462" s="14"/>
      <c r="P12462" s="13"/>
    </row>
    <row r="12463">
      <c r="L12463" s="13"/>
      <c r="M12463" s="14"/>
      <c r="N12463" s="14"/>
      <c r="O12463" s="14"/>
      <c r="P12463" s="13"/>
    </row>
    <row r="12464">
      <c r="L12464" s="13"/>
      <c r="M12464" s="14"/>
      <c r="N12464" s="14"/>
      <c r="O12464" s="14"/>
      <c r="P12464" s="13"/>
    </row>
    <row r="12465">
      <c r="L12465" s="13"/>
      <c r="M12465" s="14"/>
      <c r="N12465" s="14"/>
      <c r="O12465" s="14"/>
      <c r="P12465" s="13"/>
    </row>
    <row r="12466">
      <c r="L12466" s="13"/>
      <c r="M12466" s="14"/>
      <c r="N12466" s="14"/>
      <c r="O12466" s="14"/>
      <c r="P12466" s="13"/>
    </row>
    <row r="12467">
      <c r="L12467" s="13"/>
      <c r="M12467" s="14"/>
      <c r="N12467" s="14"/>
      <c r="O12467" s="14"/>
      <c r="P12467" s="13"/>
    </row>
    <row r="12468">
      <c r="L12468" s="13"/>
      <c r="M12468" s="14"/>
      <c r="N12468" s="14"/>
      <c r="O12468" s="14"/>
      <c r="P12468" s="13"/>
    </row>
    <row r="12469">
      <c r="L12469" s="13"/>
      <c r="M12469" s="14"/>
      <c r="N12469" s="14"/>
      <c r="O12469" s="14"/>
      <c r="P12469" s="13"/>
    </row>
    <row r="12470">
      <c r="L12470" s="13"/>
      <c r="M12470" s="14"/>
      <c r="N12470" s="14"/>
      <c r="O12470" s="14"/>
      <c r="P12470" s="13"/>
    </row>
    <row r="12471">
      <c r="L12471" s="13"/>
      <c r="M12471" s="14"/>
      <c r="N12471" s="14"/>
      <c r="O12471" s="14"/>
      <c r="P12471" s="13"/>
    </row>
    <row r="12472">
      <c r="L12472" s="13"/>
      <c r="M12472" s="14"/>
      <c r="N12472" s="14"/>
      <c r="O12472" s="14"/>
      <c r="P12472" s="13"/>
    </row>
    <row r="12473">
      <c r="L12473" s="13"/>
      <c r="M12473" s="14"/>
      <c r="N12473" s="14"/>
      <c r="O12473" s="14"/>
      <c r="P12473" s="13"/>
    </row>
    <row r="12474">
      <c r="L12474" s="13"/>
      <c r="M12474" s="14"/>
      <c r="N12474" s="14"/>
      <c r="O12474" s="14"/>
      <c r="P12474" s="13"/>
    </row>
    <row r="12475">
      <c r="L12475" s="13"/>
      <c r="M12475" s="14"/>
      <c r="N12475" s="14"/>
      <c r="O12475" s="14"/>
      <c r="P12475" s="13"/>
    </row>
    <row r="12476">
      <c r="L12476" s="13"/>
      <c r="M12476" s="14"/>
      <c r="N12476" s="14"/>
      <c r="O12476" s="14"/>
      <c r="P12476" s="13"/>
    </row>
    <row r="12477">
      <c r="L12477" s="13"/>
      <c r="M12477" s="14"/>
      <c r="N12477" s="14"/>
      <c r="O12477" s="14"/>
      <c r="P12477" s="13"/>
    </row>
    <row r="12478">
      <c r="L12478" s="13"/>
      <c r="M12478" s="14"/>
      <c r="N12478" s="14"/>
      <c r="O12478" s="14"/>
      <c r="P12478" s="13"/>
    </row>
    <row r="12479">
      <c r="L12479" s="13"/>
      <c r="M12479" s="14"/>
      <c r="N12479" s="14"/>
      <c r="O12479" s="14"/>
      <c r="P12479" s="13"/>
    </row>
    <row r="12480">
      <c r="L12480" s="13"/>
      <c r="M12480" s="14"/>
      <c r="N12480" s="14"/>
      <c r="O12480" s="14"/>
      <c r="P12480" s="13"/>
    </row>
    <row r="12481">
      <c r="L12481" s="13"/>
      <c r="M12481" s="14"/>
      <c r="N12481" s="14"/>
      <c r="O12481" s="14"/>
      <c r="P12481" s="13"/>
    </row>
    <row r="12482">
      <c r="L12482" s="13"/>
      <c r="M12482" s="14"/>
      <c r="N12482" s="14"/>
      <c r="O12482" s="14"/>
      <c r="P12482" s="13"/>
    </row>
    <row r="12483">
      <c r="L12483" s="13"/>
      <c r="M12483" s="14"/>
      <c r="N12483" s="14"/>
      <c r="O12483" s="14"/>
      <c r="P12483" s="13"/>
    </row>
    <row r="12484">
      <c r="L12484" s="13"/>
      <c r="M12484" s="14"/>
      <c r="N12484" s="14"/>
      <c r="O12484" s="14"/>
      <c r="P12484" s="13"/>
    </row>
    <row r="12485">
      <c r="L12485" s="13"/>
      <c r="M12485" s="14"/>
      <c r="N12485" s="14"/>
      <c r="O12485" s="14"/>
      <c r="P12485" s="13"/>
    </row>
    <row r="12486">
      <c r="L12486" s="13"/>
      <c r="M12486" s="14"/>
      <c r="N12486" s="14"/>
      <c r="O12486" s="14"/>
      <c r="P12486" s="13"/>
    </row>
    <row r="12487">
      <c r="L12487" s="13"/>
      <c r="M12487" s="14"/>
      <c r="N12487" s="14"/>
      <c r="O12487" s="14"/>
      <c r="P12487" s="13"/>
    </row>
    <row r="12488">
      <c r="L12488" s="13"/>
      <c r="M12488" s="14"/>
      <c r="N12488" s="14"/>
      <c r="O12488" s="14"/>
      <c r="P12488" s="13"/>
    </row>
    <row r="12489">
      <c r="L12489" s="13"/>
      <c r="M12489" s="14"/>
      <c r="N12489" s="14"/>
      <c r="O12489" s="14"/>
      <c r="P12489" s="13"/>
    </row>
    <row r="12490">
      <c r="L12490" s="13"/>
      <c r="M12490" s="14"/>
      <c r="N12490" s="14"/>
      <c r="O12490" s="14"/>
      <c r="P12490" s="13"/>
    </row>
    <row r="12491">
      <c r="L12491" s="13"/>
      <c r="M12491" s="14"/>
      <c r="N12491" s="14"/>
      <c r="O12491" s="14"/>
      <c r="P12491" s="13"/>
    </row>
    <row r="12492">
      <c r="L12492" s="13"/>
      <c r="M12492" s="14"/>
      <c r="N12492" s="14"/>
      <c r="O12492" s="14"/>
      <c r="P12492" s="13"/>
    </row>
    <row r="12493">
      <c r="L12493" s="13"/>
      <c r="M12493" s="14"/>
      <c r="N12493" s="14"/>
      <c r="O12493" s="14"/>
      <c r="P12493" s="13"/>
    </row>
    <row r="12494">
      <c r="L12494" s="13"/>
      <c r="M12494" s="14"/>
      <c r="N12494" s="14"/>
      <c r="O12494" s="14"/>
      <c r="P12494" s="13"/>
    </row>
    <row r="12495">
      <c r="L12495" s="13"/>
      <c r="M12495" s="14"/>
      <c r="N12495" s="14"/>
      <c r="O12495" s="14"/>
      <c r="P12495" s="13"/>
    </row>
    <row r="12496">
      <c r="L12496" s="13"/>
      <c r="M12496" s="14"/>
      <c r="N12496" s="14"/>
      <c r="O12496" s="14"/>
      <c r="P12496" s="13"/>
    </row>
    <row r="12497">
      <c r="L12497" s="13"/>
      <c r="M12497" s="14"/>
      <c r="N12497" s="14"/>
      <c r="O12497" s="14"/>
      <c r="P12497" s="13"/>
    </row>
    <row r="12498">
      <c r="L12498" s="13"/>
      <c r="M12498" s="14"/>
      <c r="N12498" s="14"/>
      <c r="O12498" s="14"/>
      <c r="P12498" s="13"/>
    </row>
    <row r="12499">
      <c r="L12499" s="13"/>
      <c r="M12499" s="14"/>
      <c r="N12499" s="14"/>
      <c r="O12499" s="14"/>
      <c r="P12499" s="13"/>
    </row>
    <row r="12500">
      <c r="L12500" s="13"/>
      <c r="M12500" s="14"/>
      <c r="N12500" s="14"/>
      <c r="O12500" s="14"/>
      <c r="P12500" s="13"/>
    </row>
    <row r="12501">
      <c r="L12501" s="13"/>
      <c r="M12501" s="14"/>
      <c r="N12501" s="14"/>
      <c r="O12501" s="14"/>
      <c r="P12501" s="13"/>
    </row>
    <row r="12502">
      <c r="L12502" s="13"/>
      <c r="M12502" s="14"/>
      <c r="N12502" s="14"/>
      <c r="O12502" s="14"/>
      <c r="P12502" s="13"/>
    </row>
    <row r="12503">
      <c r="L12503" s="13"/>
      <c r="M12503" s="14"/>
      <c r="N12503" s="14"/>
      <c r="O12503" s="14"/>
      <c r="P12503" s="13"/>
    </row>
    <row r="12504">
      <c r="L12504" s="13"/>
      <c r="M12504" s="14"/>
      <c r="N12504" s="14"/>
      <c r="O12504" s="14"/>
      <c r="P12504" s="13"/>
    </row>
    <row r="12505">
      <c r="L12505" s="13"/>
      <c r="M12505" s="14"/>
      <c r="N12505" s="14"/>
      <c r="O12505" s="14"/>
      <c r="P12505" s="13"/>
    </row>
    <row r="12506">
      <c r="L12506" s="13"/>
      <c r="M12506" s="14"/>
      <c r="N12506" s="14"/>
      <c r="O12506" s="14"/>
      <c r="P12506" s="13"/>
    </row>
    <row r="12507">
      <c r="L12507" s="13"/>
      <c r="M12507" s="14"/>
      <c r="N12507" s="14"/>
      <c r="O12507" s="14"/>
      <c r="P12507" s="13"/>
    </row>
    <row r="12508">
      <c r="L12508" s="13"/>
      <c r="M12508" s="14"/>
      <c r="N12508" s="14"/>
      <c r="O12508" s="14"/>
      <c r="P12508" s="13"/>
    </row>
    <row r="12509">
      <c r="L12509" s="13"/>
      <c r="M12509" s="14"/>
      <c r="N12509" s="14"/>
      <c r="O12509" s="14"/>
      <c r="P12509" s="13"/>
    </row>
    <row r="12510">
      <c r="L12510" s="13"/>
      <c r="M12510" s="14"/>
      <c r="N12510" s="14"/>
      <c r="O12510" s="14"/>
      <c r="P12510" s="13"/>
    </row>
    <row r="12511">
      <c r="L12511" s="13"/>
      <c r="M12511" s="14"/>
      <c r="N12511" s="14"/>
      <c r="O12511" s="14"/>
      <c r="P12511" s="13"/>
    </row>
    <row r="12512">
      <c r="L12512" s="13"/>
      <c r="M12512" s="14"/>
      <c r="N12512" s="14"/>
      <c r="O12512" s="14"/>
      <c r="P12512" s="13"/>
    </row>
    <row r="12513">
      <c r="L12513" s="13"/>
      <c r="M12513" s="14"/>
      <c r="N12513" s="14"/>
      <c r="O12513" s="14"/>
      <c r="P12513" s="13"/>
    </row>
    <row r="12514">
      <c r="L12514" s="13"/>
      <c r="M12514" s="14"/>
      <c r="N12514" s="14"/>
      <c r="O12514" s="14"/>
      <c r="P12514" s="13"/>
    </row>
    <row r="12515">
      <c r="L12515" s="13"/>
      <c r="M12515" s="14"/>
      <c r="N12515" s="14"/>
      <c r="O12515" s="14"/>
      <c r="P12515" s="13"/>
    </row>
    <row r="12516">
      <c r="L12516" s="13"/>
      <c r="M12516" s="14"/>
      <c r="N12516" s="14"/>
      <c r="O12516" s="14"/>
      <c r="P12516" s="13"/>
    </row>
    <row r="12517">
      <c r="L12517" s="13"/>
      <c r="M12517" s="14"/>
      <c r="N12517" s="14"/>
      <c r="O12517" s="14"/>
      <c r="P12517" s="13"/>
    </row>
    <row r="12518">
      <c r="L12518" s="13"/>
      <c r="M12518" s="14"/>
      <c r="N12518" s="14"/>
      <c r="O12518" s="14"/>
      <c r="P12518" s="13"/>
    </row>
    <row r="12519">
      <c r="L12519" s="13"/>
      <c r="M12519" s="14"/>
      <c r="N12519" s="14"/>
      <c r="O12519" s="14"/>
      <c r="P12519" s="13"/>
    </row>
    <row r="12520">
      <c r="L12520" s="13"/>
      <c r="M12520" s="14"/>
      <c r="N12520" s="14"/>
      <c r="O12520" s="14"/>
      <c r="P12520" s="13"/>
    </row>
    <row r="12521">
      <c r="L12521" s="13"/>
      <c r="M12521" s="14"/>
      <c r="N12521" s="14"/>
      <c r="O12521" s="14"/>
      <c r="P12521" s="13"/>
    </row>
    <row r="12522">
      <c r="L12522" s="13"/>
      <c r="M12522" s="14"/>
      <c r="N12522" s="14"/>
      <c r="O12522" s="14"/>
      <c r="P12522" s="13"/>
    </row>
    <row r="12523">
      <c r="L12523" s="13"/>
      <c r="M12523" s="14"/>
      <c r="N12523" s="14"/>
      <c r="O12523" s="14"/>
      <c r="P12523" s="13"/>
    </row>
    <row r="12524">
      <c r="L12524" s="13"/>
      <c r="M12524" s="14"/>
      <c r="N12524" s="14"/>
      <c r="O12524" s="14"/>
      <c r="P12524" s="13"/>
    </row>
    <row r="12525">
      <c r="L12525" s="13"/>
      <c r="M12525" s="14"/>
      <c r="N12525" s="14"/>
      <c r="O12525" s="14"/>
      <c r="P12525" s="13"/>
    </row>
    <row r="12526">
      <c r="L12526" s="13"/>
      <c r="M12526" s="14"/>
      <c r="N12526" s="14"/>
      <c r="O12526" s="14"/>
      <c r="P12526" s="13"/>
    </row>
    <row r="12527">
      <c r="L12527" s="13"/>
      <c r="M12527" s="14"/>
      <c r="N12527" s="14"/>
      <c r="O12527" s="14"/>
      <c r="P12527" s="13"/>
    </row>
    <row r="12528">
      <c r="L12528" s="13"/>
      <c r="M12528" s="14"/>
      <c r="N12528" s="14"/>
      <c r="O12528" s="14"/>
      <c r="P12528" s="13"/>
    </row>
    <row r="12529">
      <c r="L12529" s="13"/>
      <c r="M12529" s="14"/>
      <c r="N12529" s="14"/>
      <c r="O12529" s="14"/>
      <c r="P12529" s="13"/>
    </row>
    <row r="12530">
      <c r="L12530" s="13"/>
      <c r="M12530" s="14"/>
      <c r="N12530" s="14"/>
      <c r="O12530" s="14"/>
      <c r="P12530" s="13"/>
    </row>
    <row r="12531">
      <c r="L12531" s="13"/>
      <c r="M12531" s="14"/>
      <c r="N12531" s="14"/>
      <c r="O12531" s="14"/>
      <c r="P12531" s="13"/>
    </row>
    <row r="12532">
      <c r="L12532" s="13"/>
      <c r="M12532" s="14"/>
      <c r="N12532" s="14"/>
      <c r="O12532" s="14"/>
      <c r="P12532" s="13"/>
    </row>
    <row r="12533">
      <c r="L12533" s="13"/>
      <c r="M12533" s="14"/>
      <c r="N12533" s="14"/>
      <c r="O12533" s="14"/>
      <c r="P12533" s="13"/>
    </row>
    <row r="12534">
      <c r="L12534" s="13"/>
      <c r="M12534" s="14"/>
      <c r="N12534" s="14"/>
      <c r="O12534" s="14"/>
      <c r="P12534" s="13"/>
    </row>
    <row r="12535">
      <c r="L12535" s="13"/>
      <c r="M12535" s="14"/>
      <c r="N12535" s="14"/>
      <c r="O12535" s="14"/>
      <c r="P12535" s="13"/>
    </row>
    <row r="12536">
      <c r="L12536" s="13"/>
      <c r="M12536" s="14"/>
      <c r="N12536" s="14"/>
      <c r="O12536" s="14"/>
      <c r="P12536" s="13"/>
    </row>
    <row r="12537">
      <c r="L12537" s="13"/>
      <c r="M12537" s="14"/>
      <c r="N12537" s="14"/>
      <c r="O12537" s="14"/>
      <c r="P12537" s="13"/>
    </row>
    <row r="12538">
      <c r="L12538" s="13"/>
      <c r="M12538" s="14"/>
      <c r="N12538" s="14"/>
      <c r="O12538" s="14"/>
      <c r="P12538" s="13"/>
    </row>
    <row r="12539">
      <c r="L12539" s="13"/>
      <c r="M12539" s="14"/>
      <c r="N12539" s="14"/>
      <c r="O12539" s="14"/>
      <c r="P12539" s="13"/>
    </row>
    <row r="12540">
      <c r="L12540" s="13"/>
      <c r="M12540" s="14"/>
      <c r="N12540" s="14"/>
      <c r="O12540" s="14"/>
      <c r="P12540" s="13"/>
    </row>
    <row r="12541">
      <c r="L12541" s="13"/>
      <c r="M12541" s="14"/>
      <c r="N12541" s="14"/>
      <c r="O12541" s="14"/>
      <c r="P12541" s="13"/>
    </row>
    <row r="12542">
      <c r="L12542" s="13"/>
      <c r="M12542" s="14"/>
      <c r="N12542" s="14"/>
      <c r="O12542" s="14"/>
      <c r="P12542" s="13"/>
    </row>
    <row r="12543">
      <c r="L12543" s="13"/>
      <c r="M12543" s="14"/>
      <c r="N12543" s="14"/>
      <c r="O12543" s="14"/>
      <c r="P12543" s="13"/>
    </row>
    <row r="12544">
      <c r="L12544" s="13"/>
      <c r="M12544" s="14"/>
      <c r="N12544" s="14"/>
      <c r="O12544" s="14"/>
      <c r="P12544" s="13"/>
    </row>
    <row r="12545">
      <c r="L12545" s="13"/>
      <c r="M12545" s="14"/>
      <c r="N12545" s="14"/>
      <c r="O12545" s="14"/>
      <c r="P12545" s="13"/>
    </row>
    <row r="12546">
      <c r="L12546" s="13"/>
      <c r="M12546" s="14"/>
      <c r="N12546" s="14"/>
      <c r="O12546" s="14"/>
      <c r="P12546" s="13"/>
    </row>
    <row r="12547">
      <c r="L12547" s="13"/>
      <c r="M12547" s="14"/>
      <c r="N12547" s="14"/>
      <c r="O12547" s="14"/>
      <c r="P12547" s="13"/>
    </row>
    <row r="12548">
      <c r="L12548" s="13"/>
      <c r="M12548" s="14"/>
      <c r="N12548" s="14"/>
      <c r="O12548" s="14"/>
      <c r="P12548" s="13"/>
    </row>
    <row r="12549">
      <c r="L12549" s="13"/>
      <c r="M12549" s="14"/>
      <c r="N12549" s="14"/>
      <c r="O12549" s="14"/>
      <c r="P12549" s="13"/>
    </row>
    <row r="12550">
      <c r="L12550" s="13"/>
      <c r="M12550" s="14"/>
      <c r="N12550" s="14"/>
      <c r="O12550" s="14"/>
      <c r="P12550" s="13"/>
    </row>
    <row r="12551">
      <c r="L12551" s="13"/>
      <c r="M12551" s="14"/>
      <c r="N12551" s="14"/>
      <c r="O12551" s="14"/>
      <c r="P12551" s="13"/>
    </row>
    <row r="12552">
      <c r="L12552" s="13"/>
      <c r="M12552" s="14"/>
      <c r="N12552" s="14"/>
      <c r="O12552" s="14"/>
      <c r="P12552" s="13"/>
    </row>
    <row r="12553">
      <c r="L12553" s="13"/>
      <c r="M12553" s="14"/>
      <c r="N12553" s="14"/>
      <c r="O12553" s="14"/>
      <c r="P12553" s="13"/>
    </row>
    <row r="12554">
      <c r="L12554" s="13"/>
      <c r="M12554" s="14"/>
      <c r="N12554" s="14"/>
      <c r="O12554" s="14"/>
      <c r="P12554" s="13"/>
    </row>
    <row r="12555">
      <c r="L12555" s="13"/>
      <c r="M12555" s="14"/>
      <c r="N12555" s="14"/>
      <c r="O12555" s="14"/>
      <c r="P12555" s="13"/>
    </row>
    <row r="12556">
      <c r="L12556" s="13"/>
      <c r="M12556" s="14"/>
      <c r="N12556" s="14"/>
      <c r="O12556" s="14"/>
      <c r="P12556" s="13"/>
    </row>
    <row r="12557">
      <c r="L12557" s="13"/>
      <c r="M12557" s="14"/>
      <c r="N12557" s="14"/>
      <c r="O12557" s="14"/>
      <c r="P12557" s="13"/>
    </row>
    <row r="12558">
      <c r="L12558" s="13"/>
      <c r="M12558" s="14"/>
      <c r="N12558" s="14"/>
      <c r="O12558" s="14"/>
      <c r="P12558" s="13"/>
    </row>
    <row r="12559">
      <c r="L12559" s="13"/>
      <c r="M12559" s="14"/>
      <c r="N12559" s="14"/>
      <c r="O12559" s="14"/>
      <c r="P12559" s="13"/>
    </row>
    <row r="12560">
      <c r="L12560" s="13"/>
      <c r="M12560" s="14"/>
      <c r="N12560" s="14"/>
      <c r="O12560" s="14"/>
      <c r="P12560" s="13"/>
    </row>
    <row r="12561">
      <c r="L12561" s="13"/>
      <c r="M12561" s="14"/>
      <c r="N12561" s="14"/>
      <c r="O12561" s="14"/>
      <c r="P12561" s="13"/>
    </row>
    <row r="12562">
      <c r="L12562" s="13"/>
      <c r="M12562" s="14"/>
      <c r="N12562" s="14"/>
      <c r="O12562" s="14"/>
      <c r="P12562" s="13"/>
    </row>
    <row r="12563">
      <c r="L12563" s="13"/>
      <c r="M12563" s="14"/>
      <c r="N12563" s="14"/>
      <c r="O12563" s="14"/>
      <c r="P12563" s="13"/>
    </row>
    <row r="12564">
      <c r="L12564" s="13"/>
      <c r="M12564" s="14"/>
      <c r="N12564" s="14"/>
      <c r="O12564" s="14"/>
      <c r="P12564" s="13"/>
    </row>
    <row r="12565">
      <c r="L12565" s="13"/>
      <c r="M12565" s="14"/>
      <c r="N12565" s="14"/>
      <c r="O12565" s="14"/>
      <c r="P12565" s="13"/>
    </row>
    <row r="12566">
      <c r="L12566" s="13"/>
      <c r="M12566" s="14"/>
      <c r="N12566" s="14"/>
      <c r="O12566" s="14"/>
      <c r="P12566" s="13"/>
    </row>
    <row r="12567">
      <c r="L12567" s="13"/>
      <c r="M12567" s="14"/>
      <c r="N12567" s="14"/>
      <c r="O12567" s="14"/>
      <c r="P12567" s="13"/>
    </row>
    <row r="12568">
      <c r="L12568" s="13"/>
      <c r="M12568" s="14"/>
      <c r="N12568" s="14"/>
      <c r="O12568" s="14"/>
      <c r="P12568" s="13"/>
    </row>
    <row r="12569">
      <c r="L12569" s="13"/>
      <c r="M12569" s="14"/>
      <c r="N12569" s="14"/>
      <c r="O12569" s="14"/>
      <c r="P12569" s="13"/>
    </row>
    <row r="12570">
      <c r="L12570" s="13"/>
      <c r="M12570" s="14"/>
      <c r="N12570" s="14"/>
      <c r="O12570" s="14"/>
      <c r="P12570" s="13"/>
    </row>
    <row r="12571">
      <c r="L12571" s="13"/>
      <c r="M12571" s="14"/>
      <c r="N12571" s="14"/>
      <c r="O12571" s="14"/>
      <c r="P12571" s="13"/>
    </row>
    <row r="12572">
      <c r="L12572" s="13"/>
      <c r="M12572" s="14"/>
      <c r="N12572" s="14"/>
      <c r="O12572" s="14"/>
      <c r="P12572" s="13"/>
    </row>
    <row r="12573">
      <c r="L12573" s="13"/>
      <c r="M12573" s="14"/>
      <c r="N12573" s="14"/>
      <c r="O12573" s="14"/>
      <c r="P12573" s="13"/>
    </row>
    <row r="12574">
      <c r="L12574" s="13"/>
      <c r="M12574" s="14"/>
      <c r="N12574" s="14"/>
      <c r="O12574" s="14"/>
      <c r="P12574" s="13"/>
    </row>
    <row r="12575">
      <c r="L12575" s="13"/>
      <c r="M12575" s="14"/>
      <c r="N12575" s="14"/>
      <c r="O12575" s="14"/>
      <c r="P12575" s="13"/>
    </row>
    <row r="12576">
      <c r="L12576" s="13"/>
      <c r="M12576" s="14"/>
      <c r="N12576" s="14"/>
      <c r="O12576" s="14"/>
      <c r="P12576" s="13"/>
    </row>
    <row r="12577">
      <c r="L12577" s="13"/>
      <c r="M12577" s="14"/>
      <c r="N12577" s="14"/>
      <c r="O12577" s="14"/>
      <c r="P12577" s="13"/>
    </row>
    <row r="12578">
      <c r="L12578" s="13"/>
      <c r="M12578" s="14"/>
      <c r="N12578" s="14"/>
      <c r="O12578" s="14"/>
      <c r="P12578" s="13"/>
    </row>
    <row r="12579">
      <c r="L12579" s="13"/>
      <c r="M12579" s="14"/>
      <c r="N12579" s="14"/>
      <c r="O12579" s="14"/>
      <c r="P12579" s="13"/>
    </row>
    <row r="12580">
      <c r="L12580" s="13"/>
      <c r="M12580" s="14"/>
      <c r="N12580" s="14"/>
      <c r="O12580" s="14"/>
      <c r="P12580" s="13"/>
    </row>
    <row r="12581">
      <c r="L12581" s="13"/>
      <c r="M12581" s="14"/>
      <c r="N12581" s="14"/>
      <c r="O12581" s="14"/>
      <c r="P12581" s="13"/>
    </row>
    <row r="12582">
      <c r="L12582" s="13"/>
      <c r="M12582" s="14"/>
      <c r="N12582" s="14"/>
      <c r="O12582" s="14"/>
      <c r="P12582" s="13"/>
    </row>
    <row r="12583">
      <c r="L12583" s="13"/>
      <c r="M12583" s="14"/>
      <c r="N12583" s="14"/>
      <c r="O12583" s="14"/>
      <c r="P12583" s="13"/>
    </row>
    <row r="12584">
      <c r="L12584" s="13"/>
      <c r="M12584" s="14"/>
      <c r="N12584" s="14"/>
      <c r="O12584" s="14"/>
      <c r="P12584" s="13"/>
    </row>
    <row r="12585">
      <c r="L12585" s="13"/>
      <c r="M12585" s="14"/>
      <c r="N12585" s="14"/>
      <c r="O12585" s="14"/>
      <c r="P12585" s="13"/>
    </row>
    <row r="12586">
      <c r="L12586" s="13"/>
      <c r="M12586" s="14"/>
      <c r="N12586" s="14"/>
      <c r="O12586" s="14"/>
      <c r="P12586" s="13"/>
    </row>
    <row r="12587">
      <c r="L12587" s="13"/>
      <c r="M12587" s="14"/>
      <c r="N12587" s="14"/>
      <c r="O12587" s="14"/>
      <c r="P12587" s="13"/>
    </row>
    <row r="12588">
      <c r="L12588" s="13"/>
      <c r="M12588" s="14"/>
      <c r="N12588" s="14"/>
      <c r="O12588" s="14"/>
      <c r="P12588" s="13"/>
    </row>
    <row r="12589">
      <c r="L12589" s="13"/>
      <c r="M12589" s="14"/>
      <c r="N12589" s="14"/>
      <c r="O12589" s="14"/>
      <c r="P12589" s="13"/>
    </row>
    <row r="12590">
      <c r="L12590" s="13"/>
      <c r="M12590" s="14"/>
      <c r="N12590" s="14"/>
      <c r="O12590" s="14"/>
      <c r="P12590" s="13"/>
    </row>
    <row r="12591">
      <c r="L12591" s="13"/>
      <c r="M12591" s="14"/>
      <c r="N12591" s="14"/>
      <c r="O12591" s="14"/>
      <c r="P12591" s="13"/>
    </row>
    <row r="12592">
      <c r="L12592" s="13"/>
      <c r="M12592" s="14"/>
      <c r="N12592" s="14"/>
      <c r="O12592" s="14"/>
      <c r="P12592" s="13"/>
    </row>
    <row r="12593">
      <c r="L12593" s="13"/>
      <c r="M12593" s="14"/>
      <c r="N12593" s="14"/>
      <c r="O12593" s="14"/>
      <c r="P12593" s="13"/>
    </row>
    <row r="12594">
      <c r="L12594" s="13"/>
      <c r="M12594" s="14"/>
      <c r="N12594" s="14"/>
      <c r="O12594" s="14"/>
      <c r="P12594" s="13"/>
    </row>
    <row r="12595">
      <c r="L12595" s="13"/>
      <c r="M12595" s="14"/>
      <c r="N12595" s="14"/>
      <c r="O12595" s="14"/>
      <c r="P12595" s="13"/>
    </row>
    <row r="12596">
      <c r="L12596" s="13"/>
      <c r="M12596" s="14"/>
      <c r="N12596" s="14"/>
      <c r="O12596" s="14"/>
      <c r="P12596" s="13"/>
    </row>
    <row r="12597">
      <c r="L12597" s="13"/>
      <c r="M12597" s="14"/>
      <c r="N12597" s="14"/>
      <c r="O12597" s="14"/>
      <c r="P12597" s="13"/>
    </row>
    <row r="12598">
      <c r="L12598" s="13"/>
      <c r="M12598" s="14"/>
      <c r="N12598" s="14"/>
      <c r="O12598" s="14"/>
      <c r="P12598" s="13"/>
    </row>
    <row r="12599">
      <c r="L12599" s="13"/>
      <c r="M12599" s="14"/>
      <c r="N12599" s="14"/>
      <c r="O12599" s="14"/>
      <c r="P12599" s="13"/>
    </row>
    <row r="12600">
      <c r="L12600" s="13"/>
      <c r="M12600" s="14"/>
      <c r="N12600" s="14"/>
      <c r="O12600" s="14"/>
      <c r="P12600" s="13"/>
    </row>
    <row r="12601">
      <c r="L12601" s="13"/>
      <c r="M12601" s="14"/>
      <c r="N12601" s="14"/>
      <c r="O12601" s="14"/>
      <c r="P12601" s="13"/>
    </row>
    <row r="12602">
      <c r="L12602" s="13"/>
      <c r="M12602" s="14"/>
      <c r="N12602" s="14"/>
      <c r="O12602" s="14"/>
      <c r="P12602" s="13"/>
    </row>
    <row r="12603">
      <c r="L12603" s="13"/>
      <c r="M12603" s="14"/>
      <c r="N12603" s="14"/>
      <c r="O12603" s="14"/>
      <c r="P12603" s="13"/>
    </row>
    <row r="12604">
      <c r="L12604" s="13"/>
      <c r="M12604" s="14"/>
      <c r="N12604" s="14"/>
      <c r="O12604" s="14"/>
      <c r="P12604" s="13"/>
    </row>
    <row r="12605">
      <c r="L12605" s="13"/>
      <c r="M12605" s="14"/>
      <c r="N12605" s="14"/>
      <c r="O12605" s="14"/>
      <c r="P12605" s="13"/>
    </row>
    <row r="12606">
      <c r="L12606" s="13"/>
      <c r="M12606" s="14"/>
      <c r="N12606" s="14"/>
      <c r="O12606" s="14"/>
      <c r="P12606" s="13"/>
    </row>
    <row r="12607">
      <c r="L12607" s="13"/>
      <c r="M12607" s="14"/>
      <c r="N12607" s="14"/>
      <c r="O12607" s="14"/>
      <c r="P12607" s="13"/>
    </row>
    <row r="12608">
      <c r="L12608" s="13"/>
      <c r="M12608" s="14"/>
      <c r="N12608" s="14"/>
      <c r="O12608" s="14"/>
      <c r="P12608" s="13"/>
    </row>
    <row r="12609">
      <c r="L12609" s="13"/>
      <c r="M12609" s="14"/>
      <c r="N12609" s="14"/>
      <c r="O12609" s="14"/>
      <c r="P12609" s="13"/>
    </row>
    <row r="12610">
      <c r="L12610" s="13"/>
      <c r="M12610" s="14"/>
      <c r="N12610" s="14"/>
      <c r="O12610" s="14"/>
      <c r="P12610" s="13"/>
    </row>
    <row r="12611">
      <c r="L12611" s="13"/>
      <c r="M12611" s="14"/>
      <c r="N12611" s="14"/>
      <c r="O12611" s="14"/>
      <c r="P12611" s="13"/>
    </row>
    <row r="12612">
      <c r="L12612" s="13"/>
      <c r="M12612" s="14"/>
      <c r="N12612" s="14"/>
      <c r="O12612" s="14"/>
      <c r="P12612" s="13"/>
    </row>
    <row r="12613">
      <c r="L12613" s="13"/>
      <c r="M12613" s="14"/>
      <c r="N12613" s="14"/>
      <c r="O12613" s="14"/>
      <c r="P12613" s="13"/>
    </row>
    <row r="12614">
      <c r="L12614" s="13"/>
      <c r="M12614" s="14"/>
      <c r="N12614" s="14"/>
      <c r="O12614" s="14"/>
      <c r="P12614" s="13"/>
    </row>
    <row r="12615">
      <c r="L12615" s="13"/>
      <c r="M12615" s="14"/>
      <c r="N12615" s="14"/>
      <c r="O12615" s="14"/>
      <c r="P12615" s="13"/>
    </row>
    <row r="12616">
      <c r="L12616" s="13"/>
      <c r="M12616" s="14"/>
      <c r="N12616" s="14"/>
      <c r="O12616" s="14"/>
      <c r="P12616" s="13"/>
    </row>
    <row r="12617">
      <c r="L12617" s="13"/>
      <c r="M12617" s="14"/>
      <c r="N12617" s="14"/>
      <c r="O12617" s="14"/>
      <c r="P12617" s="13"/>
    </row>
    <row r="12618">
      <c r="L12618" s="13"/>
      <c r="M12618" s="14"/>
      <c r="N12618" s="14"/>
      <c r="O12618" s="14"/>
      <c r="P12618" s="13"/>
    </row>
    <row r="12619">
      <c r="L12619" s="13"/>
      <c r="M12619" s="14"/>
      <c r="N12619" s="14"/>
      <c r="O12619" s="14"/>
      <c r="P12619" s="13"/>
    </row>
    <row r="12620">
      <c r="L12620" s="13"/>
      <c r="M12620" s="14"/>
      <c r="N12620" s="14"/>
      <c r="O12620" s="14"/>
      <c r="P12620" s="13"/>
    </row>
    <row r="12621">
      <c r="L12621" s="13"/>
      <c r="M12621" s="14"/>
      <c r="N12621" s="14"/>
      <c r="O12621" s="14"/>
      <c r="P12621" s="13"/>
    </row>
    <row r="12622">
      <c r="L12622" s="13"/>
      <c r="M12622" s="14"/>
      <c r="N12622" s="14"/>
      <c r="O12622" s="14"/>
      <c r="P12622" s="13"/>
    </row>
    <row r="12623">
      <c r="L12623" s="13"/>
      <c r="M12623" s="14"/>
      <c r="N12623" s="14"/>
      <c r="O12623" s="14"/>
      <c r="P12623" s="13"/>
    </row>
    <row r="12624">
      <c r="L12624" s="13"/>
      <c r="M12624" s="14"/>
      <c r="N12624" s="14"/>
      <c r="O12624" s="14"/>
      <c r="P12624" s="13"/>
    </row>
    <row r="12625">
      <c r="L12625" s="13"/>
      <c r="M12625" s="14"/>
      <c r="N12625" s="14"/>
      <c r="O12625" s="14"/>
      <c r="P12625" s="13"/>
    </row>
    <row r="12626">
      <c r="L12626" s="13"/>
      <c r="M12626" s="14"/>
      <c r="N12626" s="14"/>
      <c r="O12626" s="14"/>
      <c r="P12626" s="13"/>
    </row>
    <row r="12627">
      <c r="L12627" s="13"/>
      <c r="M12627" s="14"/>
      <c r="N12627" s="14"/>
      <c r="O12627" s="14"/>
      <c r="P12627" s="13"/>
    </row>
    <row r="12628">
      <c r="L12628" s="13"/>
      <c r="M12628" s="14"/>
      <c r="N12628" s="14"/>
      <c r="O12628" s="14"/>
      <c r="P12628" s="13"/>
    </row>
    <row r="12629">
      <c r="L12629" s="13"/>
      <c r="M12629" s="14"/>
      <c r="N12629" s="14"/>
      <c r="O12629" s="14"/>
      <c r="P12629" s="13"/>
    </row>
    <row r="12630">
      <c r="L12630" s="13"/>
      <c r="M12630" s="14"/>
      <c r="N12630" s="14"/>
      <c r="O12630" s="14"/>
      <c r="P12630" s="13"/>
    </row>
    <row r="12631">
      <c r="L12631" s="13"/>
      <c r="M12631" s="14"/>
      <c r="N12631" s="14"/>
      <c r="O12631" s="14"/>
      <c r="P12631" s="13"/>
    </row>
    <row r="12632">
      <c r="L12632" s="13"/>
      <c r="M12632" s="14"/>
      <c r="N12632" s="14"/>
      <c r="O12632" s="14"/>
      <c r="P12632" s="13"/>
    </row>
    <row r="12633">
      <c r="L12633" s="13"/>
      <c r="M12633" s="14"/>
      <c r="N12633" s="14"/>
      <c r="O12633" s="14"/>
      <c r="P12633" s="13"/>
    </row>
    <row r="12634">
      <c r="L12634" s="13"/>
      <c r="M12634" s="14"/>
      <c r="N12634" s="14"/>
      <c r="O12634" s="14"/>
      <c r="P12634" s="13"/>
    </row>
    <row r="12635">
      <c r="L12635" s="13"/>
      <c r="M12635" s="14"/>
      <c r="N12635" s="14"/>
      <c r="O12635" s="14"/>
      <c r="P12635" s="13"/>
    </row>
    <row r="12636">
      <c r="L12636" s="13"/>
      <c r="M12636" s="14"/>
      <c r="N12636" s="14"/>
      <c r="O12636" s="14"/>
      <c r="P12636" s="13"/>
    </row>
    <row r="12637">
      <c r="L12637" s="13"/>
      <c r="M12637" s="14"/>
      <c r="N12637" s="14"/>
      <c r="O12637" s="14"/>
      <c r="P12637" s="13"/>
    </row>
    <row r="12638">
      <c r="L12638" s="13"/>
      <c r="M12638" s="14"/>
      <c r="N12638" s="14"/>
      <c r="O12638" s="14"/>
      <c r="P12638" s="13"/>
    </row>
    <row r="12639">
      <c r="L12639" s="13"/>
      <c r="M12639" s="14"/>
      <c r="N12639" s="14"/>
      <c r="O12639" s="14"/>
      <c r="P12639" s="13"/>
    </row>
    <row r="12640">
      <c r="L12640" s="13"/>
      <c r="M12640" s="14"/>
      <c r="N12640" s="14"/>
      <c r="O12640" s="14"/>
      <c r="P12640" s="13"/>
    </row>
    <row r="12641">
      <c r="L12641" s="13"/>
      <c r="M12641" s="14"/>
      <c r="N12641" s="14"/>
      <c r="O12641" s="14"/>
      <c r="P12641" s="13"/>
    </row>
    <row r="12642">
      <c r="L12642" s="13"/>
      <c r="M12642" s="14"/>
      <c r="N12642" s="14"/>
      <c r="O12642" s="14"/>
      <c r="P12642" s="13"/>
    </row>
    <row r="12643">
      <c r="L12643" s="13"/>
      <c r="M12643" s="14"/>
      <c r="N12643" s="14"/>
      <c r="O12643" s="14"/>
      <c r="P12643" s="13"/>
    </row>
    <row r="12644">
      <c r="L12644" s="13"/>
      <c r="M12644" s="14"/>
      <c r="N12644" s="14"/>
      <c r="O12644" s="14"/>
      <c r="P12644" s="13"/>
    </row>
    <row r="12645">
      <c r="L12645" s="13"/>
      <c r="M12645" s="14"/>
      <c r="N12645" s="14"/>
      <c r="O12645" s="14"/>
      <c r="P12645" s="13"/>
    </row>
    <row r="12646">
      <c r="L12646" s="13"/>
      <c r="M12646" s="14"/>
      <c r="N12646" s="14"/>
      <c r="O12646" s="14"/>
      <c r="P12646" s="13"/>
    </row>
    <row r="12647">
      <c r="L12647" s="13"/>
      <c r="M12647" s="14"/>
      <c r="N12647" s="14"/>
      <c r="O12647" s="14"/>
      <c r="P12647" s="13"/>
    </row>
    <row r="12648">
      <c r="L12648" s="13"/>
      <c r="M12648" s="14"/>
      <c r="N12648" s="14"/>
      <c r="O12648" s="14"/>
      <c r="P12648" s="13"/>
    </row>
    <row r="12649">
      <c r="L12649" s="13"/>
      <c r="M12649" s="14"/>
      <c r="N12649" s="14"/>
      <c r="O12649" s="14"/>
      <c r="P12649" s="13"/>
    </row>
    <row r="12650">
      <c r="L12650" s="13"/>
      <c r="M12650" s="14"/>
      <c r="N12650" s="14"/>
      <c r="O12650" s="14"/>
      <c r="P12650" s="13"/>
    </row>
    <row r="12651">
      <c r="L12651" s="13"/>
      <c r="M12651" s="14"/>
      <c r="N12651" s="14"/>
      <c r="O12651" s="14"/>
      <c r="P12651" s="13"/>
    </row>
    <row r="12652">
      <c r="L12652" s="13"/>
      <c r="M12652" s="14"/>
      <c r="N12652" s="14"/>
      <c r="O12652" s="14"/>
      <c r="P12652" s="13"/>
    </row>
    <row r="12653">
      <c r="L12653" s="13"/>
      <c r="M12653" s="14"/>
      <c r="N12653" s="14"/>
      <c r="O12653" s="14"/>
      <c r="P12653" s="13"/>
    </row>
    <row r="12654">
      <c r="L12654" s="13"/>
      <c r="M12654" s="14"/>
      <c r="N12654" s="14"/>
      <c r="O12654" s="14"/>
      <c r="P12654" s="13"/>
    </row>
    <row r="12655">
      <c r="L12655" s="13"/>
      <c r="M12655" s="14"/>
      <c r="N12655" s="14"/>
      <c r="O12655" s="14"/>
      <c r="P12655" s="13"/>
    </row>
    <row r="12656">
      <c r="L12656" s="13"/>
      <c r="M12656" s="14"/>
      <c r="N12656" s="14"/>
      <c r="O12656" s="14"/>
      <c r="P12656" s="13"/>
    </row>
    <row r="12657">
      <c r="L12657" s="13"/>
      <c r="M12657" s="14"/>
      <c r="N12657" s="14"/>
      <c r="O12657" s="14"/>
      <c r="P12657" s="13"/>
    </row>
    <row r="12658">
      <c r="L12658" s="13"/>
      <c r="M12658" s="14"/>
      <c r="N12658" s="14"/>
      <c r="O12658" s="14"/>
      <c r="P12658" s="13"/>
    </row>
    <row r="12659">
      <c r="L12659" s="13"/>
      <c r="M12659" s="14"/>
      <c r="N12659" s="14"/>
      <c r="O12659" s="14"/>
      <c r="P12659" s="13"/>
    </row>
    <row r="12660">
      <c r="L12660" s="13"/>
      <c r="M12660" s="14"/>
      <c r="N12660" s="14"/>
      <c r="O12660" s="14"/>
      <c r="P12660" s="13"/>
    </row>
    <row r="12661">
      <c r="L12661" s="13"/>
      <c r="M12661" s="14"/>
      <c r="N12661" s="14"/>
      <c r="O12661" s="14"/>
      <c r="P12661" s="13"/>
    </row>
    <row r="12662">
      <c r="L12662" s="13"/>
      <c r="M12662" s="14"/>
      <c r="N12662" s="14"/>
      <c r="O12662" s="14"/>
      <c r="P12662" s="13"/>
    </row>
    <row r="12663">
      <c r="L12663" s="13"/>
      <c r="M12663" s="14"/>
      <c r="N12663" s="14"/>
      <c r="O12663" s="14"/>
      <c r="P12663" s="13"/>
    </row>
    <row r="12664">
      <c r="L12664" s="13"/>
      <c r="M12664" s="14"/>
      <c r="N12664" s="14"/>
      <c r="O12664" s="14"/>
      <c r="P12664" s="13"/>
    </row>
    <row r="12665">
      <c r="L12665" s="13"/>
      <c r="M12665" s="14"/>
      <c r="N12665" s="14"/>
      <c r="O12665" s="14"/>
      <c r="P12665" s="13"/>
    </row>
    <row r="12666">
      <c r="L12666" s="13"/>
      <c r="M12666" s="14"/>
      <c r="N12666" s="14"/>
      <c r="O12666" s="14"/>
      <c r="P12666" s="13"/>
    </row>
    <row r="12667">
      <c r="L12667" s="13"/>
      <c r="M12667" s="14"/>
      <c r="N12667" s="14"/>
      <c r="O12667" s="14"/>
      <c r="P12667" s="13"/>
    </row>
    <row r="12668">
      <c r="L12668" s="13"/>
      <c r="M12668" s="14"/>
      <c r="N12668" s="14"/>
      <c r="O12668" s="14"/>
      <c r="P12668" s="13"/>
    </row>
    <row r="12669">
      <c r="L12669" s="13"/>
      <c r="M12669" s="14"/>
      <c r="N12669" s="14"/>
      <c r="O12669" s="14"/>
      <c r="P12669" s="13"/>
    </row>
    <row r="12670">
      <c r="L12670" s="13"/>
      <c r="M12670" s="14"/>
      <c r="N12670" s="14"/>
      <c r="O12670" s="14"/>
      <c r="P12670" s="13"/>
    </row>
    <row r="12671">
      <c r="L12671" s="13"/>
      <c r="M12671" s="14"/>
      <c r="N12671" s="14"/>
      <c r="O12671" s="14"/>
      <c r="P12671" s="13"/>
    </row>
    <row r="12672">
      <c r="L12672" s="13"/>
      <c r="M12672" s="14"/>
      <c r="N12672" s="14"/>
      <c r="O12672" s="14"/>
      <c r="P12672" s="13"/>
    </row>
    <row r="12673">
      <c r="L12673" s="13"/>
      <c r="M12673" s="14"/>
      <c r="N12673" s="14"/>
      <c r="O12673" s="14"/>
      <c r="P12673" s="13"/>
    </row>
    <row r="12674">
      <c r="L12674" s="13"/>
      <c r="M12674" s="14"/>
      <c r="N12674" s="14"/>
      <c r="O12674" s="14"/>
      <c r="P12674" s="13"/>
    </row>
    <row r="12675">
      <c r="L12675" s="13"/>
      <c r="M12675" s="14"/>
      <c r="N12675" s="14"/>
      <c r="O12675" s="14"/>
      <c r="P12675" s="13"/>
    </row>
    <row r="12676">
      <c r="L12676" s="13"/>
      <c r="M12676" s="14"/>
      <c r="N12676" s="14"/>
      <c r="O12676" s="14"/>
      <c r="P12676" s="13"/>
    </row>
    <row r="12677">
      <c r="L12677" s="13"/>
      <c r="M12677" s="14"/>
      <c r="N12677" s="14"/>
      <c r="O12677" s="14"/>
      <c r="P12677" s="13"/>
    </row>
    <row r="12678">
      <c r="L12678" s="13"/>
      <c r="M12678" s="14"/>
      <c r="N12678" s="14"/>
      <c r="O12678" s="14"/>
      <c r="P12678" s="13"/>
    </row>
    <row r="12679">
      <c r="L12679" s="13"/>
      <c r="M12679" s="14"/>
      <c r="N12679" s="14"/>
      <c r="O12679" s="14"/>
      <c r="P12679" s="13"/>
    </row>
    <row r="12680">
      <c r="L12680" s="13"/>
      <c r="M12680" s="14"/>
      <c r="N12680" s="14"/>
      <c r="O12680" s="14"/>
      <c r="P12680" s="13"/>
    </row>
    <row r="12681">
      <c r="L12681" s="13"/>
      <c r="M12681" s="14"/>
      <c r="N12681" s="14"/>
      <c r="O12681" s="14"/>
      <c r="P12681" s="13"/>
    </row>
    <row r="12682">
      <c r="L12682" s="13"/>
      <c r="M12682" s="14"/>
      <c r="N12682" s="14"/>
      <c r="O12682" s="14"/>
      <c r="P12682" s="13"/>
    </row>
    <row r="12683">
      <c r="L12683" s="13"/>
      <c r="M12683" s="14"/>
      <c r="N12683" s="14"/>
      <c r="O12683" s="14"/>
      <c r="P12683" s="13"/>
    </row>
    <row r="12684">
      <c r="L12684" s="13"/>
      <c r="M12684" s="14"/>
      <c r="N12684" s="14"/>
      <c r="O12684" s="14"/>
      <c r="P12684" s="13"/>
    </row>
    <row r="12685">
      <c r="L12685" s="13"/>
      <c r="M12685" s="14"/>
      <c r="N12685" s="14"/>
      <c r="O12685" s="14"/>
      <c r="P12685" s="13"/>
    </row>
    <row r="12686">
      <c r="L12686" s="13"/>
      <c r="M12686" s="14"/>
      <c r="N12686" s="14"/>
      <c r="O12686" s="14"/>
      <c r="P12686" s="13"/>
    </row>
    <row r="12687">
      <c r="L12687" s="13"/>
      <c r="M12687" s="14"/>
      <c r="N12687" s="14"/>
      <c r="O12687" s="14"/>
      <c r="P12687" s="13"/>
    </row>
    <row r="12688">
      <c r="L12688" s="13"/>
      <c r="M12688" s="14"/>
      <c r="N12688" s="14"/>
      <c r="O12688" s="14"/>
      <c r="P12688" s="13"/>
    </row>
    <row r="12689">
      <c r="L12689" s="13"/>
      <c r="M12689" s="14"/>
      <c r="N12689" s="14"/>
      <c r="O12689" s="14"/>
      <c r="P12689" s="13"/>
    </row>
    <row r="12690">
      <c r="L12690" s="13"/>
      <c r="M12690" s="14"/>
      <c r="N12690" s="14"/>
      <c r="O12690" s="14"/>
      <c r="P12690" s="13"/>
    </row>
    <row r="12691">
      <c r="L12691" s="13"/>
      <c r="M12691" s="14"/>
      <c r="N12691" s="14"/>
      <c r="O12691" s="14"/>
      <c r="P12691" s="13"/>
    </row>
    <row r="12692">
      <c r="L12692" s="13"/>
      <c r="M12692" s="14"/>
      <c r="N12692" s="14"/>
      <c r="O12692" s="14"/>
      <c r="P12692" s="13"/>
    </row>
    <row r="12693">
      <c r="L12693" s="13"/>
      <c r="M12693" s="14"/>
      <c r="N12693" s="14"/>
      <c r="O12693" s="14"/>
      <c r="P12693" s="13"/>
    </row>
    <row r="12694">
      <c r="L12694" s="13"/>
      <c r="M12694" s="14"/>
      <c r="N12694" s="14"/>
      <c r="O12694" s="14"/>
      <c r="P12694" s="13"/>
    </row>
    <row r="12695">
      <c r="L12695" s="13"/>
      <c r="M12695" s="14"/>
      <c r="N12695" s="14"/>
      <c r="O12695" s="14"/>
      <c r="P12695" s="13"/>
    </row>
    <row r="12696">
      <c r="L12696" s="13"/>
      <c r="M12696" s="14"/>
      <c r="N12696" s="14"/>
      <c r="O12696" s="14"/>
      <c r="P12696" s="13"/>
    </row>
    <row r="12697">
      <c r="L12697" s="13"/>
      <c r="M12697" s="14"/>
      <c r="N12697" s="14"/>
      <c r="O12697" s="14"/>
      <c r="P12697" s="13"/>
    </row>
    <row r="12698">
      <c r="L12698" s="13"/>
      <c r="M12698" s="14"/>
      <c r="N12698" s="14"/>
      <c r="O12698" s="14"/>
      <c r="P12698" s="13"/>
    </row>
    <row r="12699">
      <c r="L12699" s="13"/>
      <c r="M12699" s="14"/>
      <c r="N12699" s="14"/>
      <c r="O12699" s="14"/>
      <c r="P12699" s="13"/>
    </row>
    <row r="12700">
      <c r="L12700" s="13"/>
      <c r="M12700" s="14"/>
      <c r="N12700" s="14"/>
      <c r="O12700" s="14"/>
      <c r="P12700" s="13"/>
    </row>
    <row r="12701">
      <c r="L12701" s="13"/>
      <c r="M12701" s="14"/>
      <c r="N12701" s="14"/>
      <c r="O12701" s="14"/>
      <c r="P12701" s="13"/>
    </row>
    <row r="12702">
      <c r="L12702" s="13"/>
      <c r="M12702" s="14"/>
      <c r="N12702" s="14"/>
      <c r="O12702" s="14"/>
      <c r="P12702" s="13"/>
    </row>
    <row r="12703">
      <c r="L12703" s="13"/>
      <c r="M12703" s="14"/>
      <c r="N12703" s="14"/>
      <c r="O12703" s="14"/>
      <c r="P12703" s="13"/>
    </row>
    <row r="12704">
      <c r="L12704" s="13"/>
      <c r="M12704" s="14"/>
      <c r="N12704" s="14"/>
      <c r="O12704" s="14"/>
      <c r="P12704" s="13"/>
    </row>
    <row r="12705">
      <c r="L12705" s="13"/>
      <c r="M12705" s="14"/>
      <c r="N12705" s="14"/>
      <c r="O12705" s="14"/>
      <c r="P12705" s="13"/>
    </row>
    <row r="12706">
      <c r="L12706" s="13"/>
      <c r="M12706" s="14"/>
      <c r="N12706" s="14"/>
      <c r="O12706" s="14"/>
      <c r="P12706" s="13"/>
    </row>
    <row r="12707">
      <c r="L12707" s="13"/>
      <c r="M12707" s="14"/>
      <c r="N12707" s="14"/>
      <c r="O12707" s="14"/>
      <c r="P12707" s="13"/>
    </row>
    <row r="12708">
      <c r="L12708" s="13"/>
      <c r="M12708" s="14"/>
      <c r="N12708" s="14"/>
      <c r="O12708" s="14"/>
      <c r="P12708" s="13"/>
    </row>
    <row r="12709">
      <c r="L12709" s="13"/>
      <c r="M12709" s="14"/>
      <c r="N12709" s="14"/>
      <c r="O12709" s="14"/>
      <c r="P12709" s="13"/>
    </row>
    <row r="12710">
      <c r="L12710" s="13"/>
      <c r="M12710" s="14"/>
      <c r="N12710" s="14"/>
      <c r="O12710" s="14"/>
      <c r="P12710" s="13"/>
    </row>
    <row r="12711">
      <c r="L12711" s="13"/>
      <c r="M12711" s="14"/>
      <c r="N12711" s="14"/>
      <c r="O12711" s="14"/>
      <c r="P12711" s="13"/>
    </row>
    <row r="12712">
      <c r="L12712" s="13"/>
      <c r="M12712" s="14"/>
      <c r="N12712" s="14"/>
      <c r="O12712" s="14"/>
      <c r="P12712" s="13"/>
    </row>
    <row r="12713">
      <c r="L12713" s="13"/>
      <c r="M12713" s="14"/>
      <c r="N12713" s="14"/>
      <c r="O12713" s="14"/>
      <c r="P12713" s="13"/>
    </row>
    <row r="12714">
      <c r="L12714" s="13"/>
      <c r="M12714" s="14"/>
      <c r="N12714" s="14"/>
      <c r="O12714" s="14"/>
      <c r="P12714" s="13"/>
    </row>
    <row r="12715">
      <c r="L12715" s="13"/>
      <c r="M12715" s="14"/>
      <c r="N12715" s="14"/>
      <c r="O12715" s="14"/>
      <c r="P12715" s="13"/>
    </row>
    <row r="12716">
      <c r="L12716" s="13"/>
      <c r="M12716" s="14"/>
      <c r="N12716" s="14"/>
      <c r="O12716" s="14"/>
      <c r="P12716" s="13"/>
    </row>
    <row r="12717">
      <c r="L12717" s="13"/>
      <c r="M12717" s="14"/>
      <c r="N12717" s="14"/>
      <c r="O12717" s="14"/>
      <c r="P12717" s="13"/>
    </row>
    <row r="12718">
      <c r="L12718" s="13"/>
      <c r="M12718" s="14"/>
      <c r="N12718" s="14"/>
      <c r="O12718" s="14"/>
      <c r="P12718" s="13"/>
    </row>
    <row r="12719">
      <c r="L12719" s="13"/>
      <c r="M12719" s="14"/>
      <c r="N12719" s="14"/>
      <c r="O12719" s="14"/>
      <c r="P12719" s="13"/>
    </row>
    <row r="12720">
      <c r="L12720" s="13"/>
      <c r="M12720" s="14"/>
      <c r="N12720" s="14"/>
      <c r="O12720" s="14"/>
      <c r="P12720" s="13"/>
    </row>
    <row r="12721">
      <c r="L12721" s="13"/>
      <c r="M12721" s="14"/>
      <c r="N12721" s="14"/>
      <c r="O12721" s="14"/>
      <c r="P12721" s="13"/>
    </row>
    <row r="12722">
      <c r="L12722" s="13"/>
      <c r="M12722" s="14"/>
      <c r="N12722" s="14"/>
      <c r="O12722" s="14"/>
      <c r="P12722" s="13"/>
    </row>
    <row r="12723">
      <c r="L12723" s="13"/>
      <c r="M12723" s="14"/>
      <c r="N12723" s="14"/>
      <c r="O12723" s="14"/>
      <c r="P12723" s="13"/>
    </row>
    <row r="12724">
      <c r="L12724" s="13"/>
      <c r="M12724" s="14"/>
      <c r="N12724" s="14"/>
      <c r="O12724" s="14"/>
      <c r="P12724" s="13"/>
    </row>
    <row r="12725">
      <c r="L12725" s="13"/>
      <c r="M12725" s="14"/>
      <c r="N12725" s="14"/>
      <c r="O12725" s="14"/>
      <c r="P12725" s="13"/>
    </row>
    <row r="12726">
      <c r="L12726" s="13"/>
      <c r="M12726" s="14"/>
      <c r="N12726" s="14"/>
      <c r="O12726" s="14"/>
      <c r="P12726" s="13"/>
    </row>
    <row r="12727">
      <c r="L12727" s="13"/>
      <c r="M12727" s="14"/>
      <c r="N12727" s="14"/>
      <c r="O12727" s="14"/>
      <c r="P12727" s="13"/>
    </row>
    <row r="12728">
      <c r="L12728" s="13"/>
      <c r="M12728" s="14"/>
      <c r="N12728" s="14"/>
      <c r="O12728" s="14"/>
      <c r="P12728" s="13"/>
    </row>
    <row r="12729">
      <c r="L12729" s="13"/>
      <c r="M12729" s="14"/>
      <c r="N12729" s="14"/>
      <c r="O12729" s="14"/>
      <c r="P12729" s="13"/>
    </row>
    <row r="12730">
      <c r="L12730" s="13"/>
      <c r="M12730" s="14"/>
      <c r="N12730" s="14"/>
      <c r="O12730" s="14"/>
      <c r="P12730" s="13"/>
    </row>
    <row r="12731">
      <c r="L12731" s="13"/>
      <c r="M12731" s="14"/>
      <c r="N12731" s="14"/>
      <c r="O12731" s="14"/>
      <c r="P12731" s="13"/>
    </row>
    <row r="12732">
      <c r="L12732" s="13"/>
      <c r="M12732" s="14"/>
      <c r="N12732" s="14"/>
      <c r="O12732" s="14"/>
      <c r="P12732" s="13"/>
    </row>
    <row r="12733">
      <c r="L12733" s="13"/>
      <c r="M12733" s="14"/>
      <c r="N12733" s="14"/>
      <c r="O12733" s="14"/>
      <c r="P12733" s="13"/>
    </row>
    <row r="12734">
      <c r="L12734" s="13"/>
      <c r="M12734" s="14"/>
      <c r="N12734" s="14"/>
      <c r="O12734" s="14"/>
      <c r="P12734" s="13"/>
    </row>
    <row r="12735">
      <c r="L12735" s="13"/>
      <c r="M12735" s="14"/>
      <c r="N12735" s="14"/>
      <c r="O12735" s="14"/>
      <c r="P12735" s="13"/>
    </row>
    <row r="12736">
      <c r="L12736" s="13"/>
      <c r="M12736" s="14"/>
      <c r="N12736" s="14"/>
      <c r="O12736" s="14"/>
      <c r="P12736" s="13"/>
    </row>
    <row r="12737">
      <c r="L12737" s="13"/>
      <c r="M12737" s="14"/>
      <c r="N12737" s="14"/>
      <c r="O12737" s="14"/>
      <c r="P12737" s="13"/>
    </row>
    <row r="12738">
      <c r="L12738" s="13"/>
      <c r="M12738" s="14"/>
      <c r="N12738" s="14"/>
      <c r="O12738" s="14"/>
      <c r="P12738" s="13"/>
    </row>
    <row r="12739">
      <c r="L12739" s="13"/>
      <c r="M12739" s="14"/>
      <c r="N12739" s="14"/>
      <c r="O12739" s="14"/>
      <c r="P12739" s="13"/>
    </row>
    <row r="12740">
      <c r="L12740" s="13"/>
      <c r="M12740" s="14"/>
      <c r="N12740" s="14"/>
      <c r="O12740" s="14"/>
      <c r="P12740" s="13"/>
    </row>
    <row r="12741">
      <c r="L12741" s="13"/>
      <c r="M12741" s="14"/>
      <c r="N12741" s="14"/>
      <c r="O12741" s="14"/>
      <c r="P12741" s="13"/>
    </row>
    <row r="12742">
      <c r="L12742" s="13"/>
      <c r="M12742" s="14"/>
      <c r="N12742" s="14"/>
      <c r="O12742" s="14"/>
      <c r="P12742" s="13"/>
    </row>
    <row r="12743">
      <c r="L12743" s="13"/>
      <c r="M12743" s="14"/>
      <c r="N12743" s="14"/>
      <c r="O12743" s="14"/>
      <c r="P12743" s="13"/>
    </row>
    <row r="12744">
      <c r="L12744" s="13"/>
      <c r="M12744" s="14"/>
      <c r="N12744" s="14"/>
      <c r="O12744" s="14"/>
      <c r="P12744" s="13"/>
    </row>
    <row r="12745">
      <c r="L12745" s="13"/>
      <c r="M12745" s="14"/>
      <c r="N12745" s="14"/>
      <c r="O12745" s="14"/>
      <c r="P12745" s="13"/>
    </row>
    <row r="12746">
      <c r="L12746" s="13"/>
      <c r="M12746" s="14"/>
      <c r="N12746" s="14"/>
      <c r="O12746" s="14"/>
      <c r="P12746" s="13"/>
    </row>
    <row r="12747">
      <c r="L12747" s="13"/>
      <c r="M12747" s="14"/>
      <c r="N12747" s="14"/>
      <c r="O12747" s="14"/>
      <c r="P12747" s="13"/>
    </row>
    <row r="12748">
      <c r="L12748" s="13"/>
      <c r="M12748" s="14"/>
      <c r="N12748" s="14"/>
      <c r="O12748" s="14"/>
      <c r="P12748" s="13"/>
    </row>
    <row r="12749">
      <c r="L12749" s="13"/>
      <c r="M12749" s="14"/>
      <c r="N12749" s="14"/>
      <c r="O12749" s="14"/>
      <c r="P12749" s="13"/>
    </row>
    <row r="12750">
      <c r="L12750" s="13"/>
      <c r="M12750" s="14"/>
      <c r="N12750" s="14"/>
      <c r="O12750" s="14"/>
      <c r="P12750" s="13"/>
    </row>
    <row r="12751">
      <c r="L12751" s="13"/>
      <c r="M12751" s="14"/>
      <c r="N12751" s="14"/>
      <c r="O12751" s="14"/>
      <c r="P12751" s="13"/>
    </row>
    <row r="12752">
      <c r="L12752" s="13"/>
      <c r="M12752" s="14"/>
      <c r="N12752" s="14"/>
      <c r="O12752" s="14"/>
      <c r="P12752" s="13"/>
    </row>
    <row r="12753">
      <c r="L12753" s="13"/>
      <c r="M12753" s="14"/>
      <c r="N12753" s="14"/>
      <c r="O12753" s="14"/>
      <c r="P12753" s="13"/>
    </row>
    <row r="12754">
      <c r="L12754" s="13"/>
      <c r="M12754" s="14"/>
      <c r="N12754" s="14"/>
      <c r="O12754" s="14"/>
      <c r="P12754" s="13"/>
    </row>
    <row r="12755">
      <c r="L12755" s="13"/>
      <c r="M12755" s="14"/>
      <c r="N12755" s="14"/>
      <c r="O12755" s="14"/>
      <c r="P12755" s="13"/>
    </row>
    <row r="12756">
      <c r="L12756" s="13"/>
      <c r="M12756" s="14"/>
      <c r="N12756" s="14"/>
      <c r="O12756" s="14"/>
      <c r="P12756" s="13"/>
    </row>
    <row r="12757">
      <c r="L12757" s="13"/>
      <c r="M12757" s="14"/>
      <c r="N12757" s="14"/>
      <c r="O12757" s="14"/>
      <c r="P12757" s="13"/>
    </row>
    <row r="12758">
      <c r="L12758" s="13"/>
      <c r="M12758" s="14"/>
      <c r="N12758" s="14"/>
      <c r="O12758" s="14"/>
      <c r="P12758" s="13"/>
    </row>
    <row r="12759">
      <c r="L12759" s="13"/>
      <c r="M12759" s="14"/>
      <c r="N12759" s="14"/>
      <c r="O12759" s="14"/>
      <c r="P12759" s="13"/>
    </row>
    <row r="12760">
      <c r="L12760" s="13"/>
      <c r="M12760" s="14"/>
      <c r="N12760" s="14"/>
      <c r="O12760" s="14"/>
      <c r="P12760" s="13"/>
    </row>
    <row r="12761">
      <c r="L12761" s="13"/>
      <c r="M12761" s="14"/>
      <c r="N12761" s="14"/>
      <c r="O12761" s="14"/>
      <c r="P12761" s="13"/>
    </row>
    <row r="12762">
      <c r="L12762" s="13"/>
      <c r="M12762" s="14"/>
      <c r="N12762" s="14"/>
      <c r="O12762" s="14"/>
      <c r="P12762" s="13"/>
    </row>
    <row r="12763">
      <c r="L12763" s="13"/>
      <c r="M12763" s="14"/>
      <c r="N12763" s="14"/>
      <c r="O12763" s="14"/>
      <c r="P12763" s="13"/>
    </row>
    <row r="12764">
      <c r="L12764" s="13"/>
      <c r="M12764" s="14"/>
      <c r="N12764" s="14"/>
      <c r="O12764" s="14"/>
      <c r="P12764" s="13"/>
    </row>
    <row r="12765">
      <c r="L12765" s="13"/>
      <c r="M12765" s="14"/>
      <c r="N12765" s="14"/>
      <c r="O12765" s="14"/>
      <c r="P12765" s="13"/>
    </row>
    <row r="12766">
      <c r="L12766" s="13"/>
      <c r="M12766" s="14"/>
      <c r="N12766" s="14"/>
      <c r="O12766" s="14"/>
      <c r="P12766" s="13"/>
    </row>
    <row r="12767">
      <c r="L12767" s="13"/>
      <c r="M12767" s="14"/>
      <c r="N12767" s="14"/>
      <c r="O12767" s="14"/>
      <c r="P12767" s="13"/>
    </row>
    <row r="12768">
      <c r="L12768" s="13"/>
      <c r="M12768" s="14"/>
      <c r="N12768" s="14"/>
      <c r="O12768" s="14"/>
      <c r="P12768" s="13"/>
    </row>
    <row r="12769">
      <c r="L12769" s="13"/>
      <c r="M12769" s="14"/>
      <c r="N12769" s="14"/>
      <c r="O12769" s="14"/>
      <c r="P12769" s="13"/>
    </row>
    <row r="12770">
      <c r="L12770" s="13"/>
      <c r="M12770" s="14"/>
      <c r="N12770" s="14"/>
      <c r="O12770" s="14"/>
      <c r="P12770" s="13"/>
    </row>
    <row r="12771">
      <c r="L12771" s="13"/>
      <c r="M12771" s="14"/>
      <c r="N12771" s="14"/>
      <c r="O12771" s="14"/>
      <c r="P12771" s="13"/>
    </row>
    <row r="12772">
      <c r="L12772" s="13"/>
      <c r="M12772" s="14"/>
      <c r="N12772" s="14"/>
      <c r="O12772" s="14"/>
      <c r="P12772" s="13"/>
    </row>
    <row r="12773">
      <c r="L12773" s="13"/>
      <c r="M12773" s="14"/>
      <c r="N12773" s="14"/>
      <c r="O12773" s="14"/>
      <c r="P12773" s="13"/>
    </row>
    <row r="12774">
      <c r="L12774" s="13"/>
      <c r="M12774" s="14"/>
      <c r="N12774" s="14"/>
      <c r="O12774" s="14"/>
      <c r="P12774" s="13"/>
    </row>
    <row r="12775">
      <c r="L12775" s="13"/>
      <c r="M12775" s="14"/>
      <c r="N12775" s="14"/>
      <c r="O12775" s="14"/>
      <c r="P12775" s="13"/>
    </row>
    <row r="12776">
      <c r="L12776" s="13"/>
      <c r="M12776" s="14"/>
      <c r="N12776" s="14"/>
      <c r="O12776" s="14"/>
      <c r="P12776" s="13"/>
    </row>
    <row r="12777">
      <c r="L12777" s="13"/>
      <c r="M12777" s="14"/>
      <c r="N12777" s="14"/>
      <c r="O12777" s="14"/>
      <c r="P12777" s="13"/>
    </row>
    <row r="12778">
      <c r="L12778" s="13"/>
      <c r="M12778" s="14"/>
      <c r="N12778" s="14"/>
      <c r="O12778" s="14"/>
      <c r="P12778" s="13"/>
    </row>
    <row r="12779">
      <c r="L12779" s="13"/>
      <c r="M12779" s="14"/>
      <c r="N12779" s="14"/>
      <c r="O12779" s="14"/>
      <c r="P12779" s="13"/>
    </row>
    <row r="12780">
      <c r="L12780" s="13"/>
      <c r="M12780" s="14"/>
      <c r="N12780" s="14"/>
      <c r="O12780" s="14"/>
      <c r="P12780" s="13"/>
    </row>
    <row r="12781">
      <c r="L12781" s="13"/>
      <c r="M12781" s="14"/>
      <c r="N12781" s="14"/>
      <c r="O12781" s="14"/>
      <c r="P12781" s="13"/>
    </row>
    <row r="12782">
      <c r="L12782" s="13"/>
      <c r="M12782" s="14"/>
      <c r="N12782" s="14"/>
      <c r="O12782" s="14"/>
      <c r="P12782" s="13"/>
    </row>
    <row r="12783">
      <c r="L12783" s="13"/>
      <c r="M12783" s="14"/>
      <c r="N12783" s="14"/>
      <c r="O12783" s="14"/>
      <c r="P12783" s="13"/>
    </row>
    <row r="12784">
      <c r="L12784" s="13"/>
      <c r="M12784" s="14"/>
      <c r="N12784" s="14"/>
      <c r="O12784" s="14"/>
      <c r="P12784" s="13"/>
    </row>
    <row r="12785">
      <c r="L12785" s="13"/>
      <c r="M12785" s="14"/>
      <c r="N12785" s="14"/>
      <c r="O12785" s="14"/>
      <c r="P12785" s="13"/>
    </row>
    <row r="12786">
      <c r="L12786" s="13"/>
      <c r="M12786" s="14"/>
      <c r="N12786" s="14"/>
      <c r="O12786" s="14"/>
      <c r="P12786" s="13"/>
    </row>
    <row r="12787">
      <c r="L12787" s="13"/>
      <c r="M12787" s="14"/>
      <c r="N12787" s="14"/>
      <c r="O12787" s="14"/>
      <c r="P12787" s="13"/>
    </row>
    <row r="12788">
      <c r="L12788" s="13"/>
      <c r="M12788" s="14"/>
      <c r="N12788" s="14"/>
      <c r="O12788" s="14"/>
      <c r="P12788" s="13"/>
    </row>
    <row r="12789">
      <c r="L12789" s="13"/>
      <c r="M12789" s="14"/>
      <c r="N12789" s="14"/>
      <c r="O12789" s="14"/>
      <c r="P12789" s="13"/>
    </row>
    <row r="12790">
      <c r="L12790" s="13"/>
      <c r="M12790" s="14"/>
      <c r="N12790" s="14"/>
      <c r="O12790" s="14"/>
      <c r="P12790" s="13"/>
    </row>
    <row r="12791">
      <c r="L12791" s="13"/>
      <c r="M12791" s="14"/>
      <c r="N12791" s="14"/>
      <c r="O12791" s="14"/>
      <c r="P12791" s="13"/>
    </row>
    <row r="12792">
      <c r="L12792" s="13"/>
      <c r="M12792" s="14"/>
      <c r="N12792" s="14"/>
      <c r="O12792" s="14"/>
      <c r="P12792" s="13"/>
    </row>
    <row r="12793">
      <c r="L12793" s="13"/>
      <c r="M12793" s="14"/>
      <c r="N12793" s="14"/>
      <c r="O12793" s="14"/>
      <c r="P12793" s="13"/>
    </row>
    <row r="12794">
      <c r="L12794" s="13"/>
      <c r="M12794" s="14"/>
      <c r="N12794" s="14"/>
      <c r="O12794" s="14"/>
      <c r="P12794" s="13"/>
    </row>
    <row r="12795">
      <c r="L12795" s="13"/>
      <c r="M12795" s="14"/>
      <c r="N12795" s="14"/>
      <c r="O12795" s="14"/>
      <c r="P12795" s="13"/>
    </row>
    <row r="12796">
      <c r="L12796" s="13"/>
      <c r="M12796" s="14"/>
      <c r="N12796" s="14"/>
      <c r="O12796" s="14"/>
      <c r="P12796" s="13"/>
    </row>
    <row r="12797">
      <c r="L12797" s="13"/>
      <c r="M12797" s="14"/>
      <c r="N12797" s="14"/>
      <c r="O12797" s="14"/>
      <c r="P12797" s="13"/>
    </row>
    <row r="12798">
      <c r="L12798" s="13"/>
      <c r="M12798" s="14"/>
      <c r="N12798" s="14"/>
      <c r="O12798" s="14"/>
      <c r="P12798" s="13"/>
    </row>
    <row r="12799">
      <c r="L12799" s="13"/>
      <c r="M12799" s="14"/>
      <c r="N12799" s="14"/>
      <c r="O12799" s="14"/>
      <c r="P12799" s="13"/>
    </row>
    <row r="12800">
      <c r="L12800" s="13"/>
      <c r="M12800" s="14"/>
      <c r="N12800" s="14"/>
      <c r="O12800" s="14"/>
      <c r="P12800" s="13"/>
    </row>
    <row r="12801">
      <c r="L12801" s="13"/>
      <c r="M12801" s="14"/>
      <c r="N12801" s="14"/>
      <c r="O12801" s="14"/>
      <c r="P12801" s="13"/>
    </row>
    <row r="12802">
      <c r="L12802" s="13"/>
      <c r="M12802" s="14"/>
      <c r="N12802" s="14"/>
      <c r="O12802" s="14"/>
      <c r="P12802" s="13"/>
    </row>
    <row r="12803">
      <c r="L12803" s="13"/>
      <c r="M12803" s="14"/>
      <c r="N12803" s="14"/>
      <c r="O12803" s="14"/>
      <c r="P12803" s="13"/>
    </row>
    <row r="12804">
      <c r="L12804" s="13"/>
      <c r="M12804" s="14"/>
      <c r="N12804" s="14"/>
      <c r="O12804" s="14"/>
      <c r="P12804" s="13"/>
    </row>
    <row r="12805">
      <c r="L12805" s="13"/>
      <c r="M12805" s="14"/>
      <c r="N12805" s="14"/>
      <c r="O12805" s="14"/>
      <c r="P12805" s="13"/>
    </row>
    <row r="12806">
      <c r="L12806" s="13"/>
      <c r="M12806" s="14"/>
      <c r="N12806" s="14"/>
      <c r="O12806" s="14"/>
      <c r="P12806" s="13"/>
    </row>
    <row r="12807">
      <c r="L12807" s="13"/>
      <c r="M12807" s="14"/>
      <c r="N12807" s="14"/>
      <c r="O12807" s="14"/>
      <c r="P12807" s="13"/>
    </row>
    <row r="12808">
      <c r="L12808" s="13"/>
      <c r="M12808" s="14"/>
      <c r="N12808" s="14"/>
      <c r="O12808" s="14"/>
      <c r="P12808" s="13"/>
    </row>
    <row r="12809">
      <c r="L12809" s="13"/>
      <c r="M12809" s="14"/>
      <c r="N12809" s="14"/>
      <c r="O12809" s="14"/>
      <c r="P12809" s="13"/>
    </row>
    <row r="12810">
      <c r="L12810" s="13"/>
      <c r="M12810" s="14"/>
      <c r="N12810" s="14"/>
      <c r="O12810" s="14"/>
      <c r="P12810" s="13"/>
    </row>
    <row r="12811">
      <c r="L12811" s="13"/>
      <c r="M12811" s="14"/>
      <c r="N12811" s="14"/>
      <c r="O12811" s="14"/>
      <c r="P12811" s="13"/>
    </row>
    <row r="12812">
      <c r="L12812" s="13"/>
      <c r="M12812" s="14"/>
      <c r="N12812" s="14"/>
      <c r="O12812" s="14"/>
      <c r="P12812" s="13"/>
    </row>
    <row r="12813">
      <c r="L12813" s="13"/>
      <c r="M12813" s="14"/>
      <c r="N12813" s="14"/>
      <c r="O12813" s="14"/>
      <c r="P12813" s="13"/>
    </row>
    <row r="12814">
      <c r="L12814" s="13"/>
      <c r="M12814" s="14"/>
      <c r="N12814" s="14"/>
      <c r="O12814" s="14"/>
      <c r="P12814" s="13"/>
    </row>
    <row r="12815">
      <c r="L12815" s="13"/>
      <c r="M12815" s="14"/>
      <c r="N12815" s="14"/>
      <c r="O12815" s="14"/>
      <c r="P12815" s="13"/>
    </row>
    <row r="12816">
      <c r="L12816" s="13"/>
      <c r="M12816" s="14"/>
      <c r="N12816" s="14"/>
      <c r="O12816" s="14"/>
      <c r="P12816" s="13"/>
    </row>
    <row r="12817">
      <c r="L12817" s="13"/>
      <c r="M12817" s="14"/>
      <c r="N12817" s="14"/>
      <c r="O12817" s="14"/>
      <c r="P12817" s="13"/>
    </row>
    <row r="12818">
      <c r="L12818" s="13"/>
      <c r="M12818" s="14"/>
      <c r="N12818" s="14"/>
      <c r="O12818" s="14"/>
      <c r="P12818" s="13"/>
    </row>
    <row r="12819">
      <c r="L12819" s="13"/>
      <c r="M12819" s="14"/>
      <c r="N12819" s="14"/>
      <c r="O12819" s="14"/>
      <c r="P12819" s="13"/>
    </row>
    <row r="12820">
      <c r="L12820" s="13"/>
      <c r="M12820" s="14"/>
      <c r="N12820" s="14"/>
      <c r="O12820" s="14"/>
      <c r="P12820" s="13"/>
    </row>
    <row r="12821">
      <c r="L12821" s="13"/>
      <c r="M12821" s="14"/>
      <c r="N12821" s="14"/>
      <c r="O12821" s="14"/>
      <c r="P12821" s="13"/>
    </row>
    <row r="12822">
      <c r="L12822" s="13"/>
      <c r="M12822" s="14"/>
      <c r="N12822" s="14"/>
      <c r="O12822" s="14"/>
      <c r="P12822" s="13"/>
    </row>
    <row r="12823">
      <c r="L12823" s="13"/>
      <c r="M12823" s="14"/>
      <c r="N12823" s="14"/>
      <c r="O12823" s="14"/>
      <c r="P12823" s="13"/>
    </row>
    <row r="12824">
      <c r="L12824" s="13"/>
      <c r="M12824" s="14"/>
      <c r="N12824" s="14"/>
      <c r="O12824" s="14"/>
      <c r="P12824" s="13"/>
    </row>
    <row r="12825">
      <c r="L12825" s="13"/>
      <c r="M12825" s="14"/>
      <c r="N12825" s="14"/>
      <c r="O12825" s="14"/>
      <c r="P12825" s="13"/>
    </row>
    <row r="12826">
      <c r="L12826" s="13"/>
      <c r="M12826" s="14"/>
      <c r="N12826" s="14"/>
      <c r="O12826" s="14"/>
      <c r="P12826" s="13"/>
    </row>
    <row r="12827">
      <c r="L12827" s="13"/>
      <c r="M12827" s="14"/>
      <c r="N12827" s="14"/>
      <c r="O12827" s="14"/>
      <c r="P12827" s="13"/>
    </row>
    <row r="12828">
      <c r="L12828" s="13"/>
      <c r="M12828" s="14"/>
      <c r="N12828" s="14"/>
      <c r="O12828" s="14"/>
      <c r="P12828" s="13"/>
    </row>
    <row r="12829">
      <c r="L12829" s="13"/>
      <c r="M12829" s="14"/>
      <c r="N12829" s="14"/>
      <c r="O12829" s="14"/>
      <c r="P12829" s="13"/>
    </row>
    <row r="12830">
      <c r="L12830" s="13"/>
      <c r="M12830" s="14"/>
      <c r="N12830" s="14"/>
      <c r="O12830" s="14"/>
      <c r="P12830" s="13"/>
    </row>
    <row r="12831">
      <c r="L12831" s="13"/>
      <c r="M12831" s="14"/>
      <c r="N12831" s="14"/>
      <c r="O12831" s="14"/>
      <c r="P12831" s="13"/>
    </row>
    <row r="12832">
      <c r="L12832" s="13"/>
      <c r="M12832" s="14"/>
      <c r="N12832" s="14"/>
      <c r="O12832" s="14"/>
      <c r="P12832" s="13"/>
    </row>
    <row r="12833">
      <c r="L12833" s="13"/>
      <c r="M12833" s="14"/>
      <c r="N12833" s="14"/>
      <c r="O12833" s="14"/>
      <c r="P12833" s="13"/>
    </row>
    <row r="12834">
      <c r="L12834" s="13"/>
      <c r="M12834" s="14"/>
      <c r="N12834" s="14"/>
      <c r="O12834" s="14"/>
      <c r="P12834" s="13"/>
    </row>
    <row r="12835">
      <c r="L12835" s="13"/>
      <c r="M12835" s="14"/>
      <c r="N12835" s="14"/>
      <c r="O12835" s="14"/>
      <c r="P12835" s="13"/>
    </row>
    <row r="12836">
      <c r="L12836" s="13"/>
      <c r="M12836" s="14"/>
      <c r="N12836" s="14"/>
      <c r="O12836" s="14"/>
      <c r="P12836" s="13"/>
    </row>
    <row r="12837">
      <c r="L12837" s="13"/>
      <c r="M12837" s="14"/>
      <c r="N12837" s="14"/>
      <c r="O12837" s="14"/>
      <c r="P12837" s="13"/>
    </row>
    <row r="12838">
      <c r="L12838" s="13"/>
      <c r="M12838" s="14"/>
      <c r="N12838" s="14"/>
      <c r="O12838" s="14"/>
      <c r="P12838" s="13"/>
    </row>
    <row r="12839">
      <c r="L12839" s="13"/>
      <c r="M12839" s="14"/>
      <c r="N12839" s="14"/>
      <c r="O12839" s="14"/>
      <c r="P12839" s="13"/>
    </row>
    <row r="12840">
      <c r="L12840" s="13"/>
      <c r="M12840" s="14"/>
      <c r="N12840" s="14"/>
      <c r="O12840" s="14"/>
      <c r="P12840" s="13"/>
    </row>
    <row r="12841">
      <c r="L12841" s="13"/>
      <c r="M12841" s="14"/>
      <c r="N12841" s="14"/>
      <c r="O12841" s="14"/>
      <c r="P12841" s="13"/>
    </row>
    <row r="12842">
      <c r="L12842" s="13"/>
      <c r="M12842" s="14"/>
      <c r="N12842" s="14"/>
      <c r="O12842" s="14"/>
      <c r="P12842" s="13"/>
    </row>
    <row r="12843">
      <c r="L12843" s="13"/>
      <c r="M12843" s="14"/>
      <c r="N12843" s="14"/>
      <c r="O12843" s="14"/>
      <c r="P12843" s="13"/>
    </row>
    <row r="12844">
      <c r="L12844" s="13"/>
      <c r="M12844" s="14"/>
      <c r="N12844" s="14"/>
      <c r="O12844" s="14"/>
      <c r="P12844" s="13"/>
    </row>
    <row r="12845">
      <c r="L12845" s="13"/>
      <c r="M12845" s="14"/>
      <c r="N12845" s="14"/>
      <c r="O12845" s="14"/>
      <c r="P12845" s="13"/>
    </row>
    <row r="12846">
      <c r="L12846" s="13"/>
      <c r="M12846" s="14"/>
      <c r="N12846" s="14"/>
      <c r="O12846" s="14"/>
      <c r="P12846" s="13"/>
    </row>
    <row r="12847">
      <c r="L12847" s="13"/>
      <c r="M12847" s="14"/>
      <c r="N12847" s="14"/>
      <c r="O12847" s="14"/>
      <c r="P12847" s="13"/>
    </row>
    <row r="12848">
      <c r="L12848" s="13"/>
      <c r="M12848" s="14"/>
      <c r="N12848" s="14"/>
      <c r="O12848" s="14"/>
      <c r="P12848" s="13"/>
    </row>
    <row r="12849">
      <c r="L12849" s="13"/>
      <c r="M12849" s="14"/>
      <c r="N12849" s="14"/>
      <c r="O12849" s="14"/>
      <c r="P12849" s="13"/>
    </row>
    <row r="12850">
      <c r="L12850" s="13"/>
      <c r="M12850" s="14"/>
      <c r="N12850" s="14"/>
      <c r="O12850" s="14"/>
      <c r="P12850" s="13"/>
    </row>
    <row r="12851">
      <c r="L12851" s="13"/>
      <c r="M12851" s="14"/>
      <c r="N12851" s="14"/>
      <c r="O12851" s="14"/>
      <c r="P12851" s="13"/>
    </row>
    <row r="12852">
      <c r="L12852" s="13"/>
      <c r="M12852" s="14"/>
      <c r="N12852" s="14"/>
      <c r="O12852" s="14"/>
      <c r="P12852" s="13"/>
    </row>
    <row r="12853">
      <c r="L12853" s="13"/>
      <c r="M12853" s="14"/>
      <c r="N12853" s="14"/>
      <c r="O12853" s="14"/>
      <c r="P12853" s="13"/>
    </row>
    <row r="12854">
      <c r="L12854" s="13"/>
      <c r="M12854" s="14"/>
      <c r="N12854" s="14"/>
      <c r="O12854" s="14"/>
      <c r="P12854" s="13"/>
    </row>
    <row r="12855">
      <c r="L12855" s="13"/>
      <c r="M12855" s="14"/>
      <c r="N12855" s="14"/>
      <c r="O12855" s="14"/>
      <c r="P12855" s="13"/>
    </row>
    <row r="12856">
      <c r="L12856" s="13"/>
      <c r="M12856" s="14"/>
      <c r="N12856" s="14"/>
      <c r="O12856" s="14"/>
      <c r="P12856" s="13"/>
    </row>
    <row r="12857">
      <c r="L12857" s="13"/>
      <c r="M12857" s="14"/>
      <c r="N12857" s="14"/>
      <c r="O12857" s="14"/>
      <c r="P12857" s="13"/>
    </row>
    <row r="12858">
      <c r="L12858" s="13"/>
      <c r="M12858" s="14"/>
      <c r="N12858" s="14"/>
      <c r="O12858" s="14"/>
      <c r="P12858" s="13"/>
    </row>
    <row r="12859">
      <c r="L12859" s="13"/>
      <c r="M12859" s="14"/>
      <c r="N12859" s="14"/>
      <c r="O12859" s="14"/>
      <c r="P12859" s="13"/>
    </row>
    <row r="12860">
      <c r="L12860" s="13"/>
      <c r="M12860" s="14"/>
      <c r="N12860" s="14"/>
      <c r="O12860" s="14"/>
      <c r="P12860" s="13"/>
    </row>
    <row r="12861">
      <c r="L12861" s="13"/>
      <c r="M12861" s="14"/>
      <c r="N12861" s="14"/>
      <c r="O12861" s="14"/>
      <c r="P12861" s="13"/>
    </row>
    <row r="12862">
      <c r="L12862" s="13"/>
      <c r="M12862" s="14"/>
      <c r="N12862" s="14"/>
      <c r="O12862" s="14"/>
      <c r="P12862" s="13"/>
    </row>
    <row r="12863">
      <c r="L12863" s="13"/>
      <c r="M12863" s="14"/>
      <c r="N12863" s="14"/>
      <c r="O12863" s="14"/>
      <c r="P12863" s="13"/>
    </row>
    <row r="12864">
      <c r="L12864" s="13"/>
      <c r="M12864" s="14"/>
      <c r="N12864" s="14"/>
      <c r="O12864" s="14"/>
      <c r="P12864" s="13"/>
    </row>
    <row r="12865">
      <c r="L12865" s="13"/>
      <c r="M12865" s="14"/>
      <c r="N12865" s="14"/>
      <c r="O12865" s="14"/>
      <c r="P12865" s="13"/>
    </row>
    <row r="12866">
      <c r="L12866" s="13"/>
      <c r="M12866" s="14"/>
      <c r="N12866" s="14"/>
      <c r="O12866" s="14"/>
      <c r="P12866" s="13"/>
    </row>
    <row r="12867">
      <c r="L12867" s="13"/>
      <c r="M12867" s="14"/>
      <c r="N12867" s="14"/>
      <c r="O12867" s="14"/>
      <c r="P12867" s="13"/>
    </row>
    <row r="12868">
      <c r="L12868" s="13"/>
      <c r="M12868" s="14"/>
      <c r="N12868" s="14"/>
      <c r="O12868" s="14"/>
      <c r="P12868" s="13"/>
    </row>
    <row r="12869">
      <c r="L12869" s="13"/>
      <c r="M12869" s="14"/>
      <c r="N12869" s="14"/>
      <c r="O12869" s="14"/>
      <c r="P12869" s="13"/>
    </row>
    <row r="12870">
      <c r="L12870" s="13"/>
      <c r="M12870" s="14"/>
      <c r="N12870" s="14"/>
      <c r="O12870" s="14"/>
      <c r="P12870" s="13"/>
    </row>
    <row r="12871">
      <c r="L12871" s="13"/>
      <c r="M12871" s="14"/>
      <c r="N12871" s="14"/>
      <c r="O12871" s="14"/>
      <c r="P12871" s="13"/>
    </row>
    <row r="12872">
      <c r="L12872" s="13"/>
      <c r="M12872" s="14"/>
      <c r="N12872" s="14"/>
      <c r="O12872" s="14"/>
      <c r="P12872" s="13"/>
    </row>
    <row r="12873">
      <c r="L12873" s="13"/>
      <c r="M12873" s="14"/>
      <c r="N12873" s="14"/>
      <c r="O12873" s="14"/>
      <c r="P12873" s="13"/>
    </row>
    <row r="12874">
      <c r="L12874" s="13"/>
      <c r="M12874" s="14"/>
      <c r="N12874" s="14"/>
      <c r="O12874" s="14"/>
      <c r="P12874" s="13"/>
    </row>
    <row r="12875">
      <c r="L12875" s="13"/>
      <c r="M12875" s="14"/>
      <c r="N12875" s="14"/>
      <c r="O12875" s="14"/>
      <c r="P12875" s="13"/>
    </row>
    <row r="12876">
      <c r="L12876" s="13"/>
      <c r="M12876" s="14"/>
      <c r="N12876" s="14"/>
      <c r="O12876" s="14"/>
      <c r="P12876" s="13"/>
    </row>
    <row r="12877">
      <c r="L12877" s="13"/>
      <c r="M12877" s="14"/>
      <c r="N12877" s="14"/>
      <c r="O12877" s="14"/>
      <c r="P12877" s="13"/>
    </row>
    <row r="12878">
      <c r="L12878" s="13"/>
      <c r="M12878" s="14"/>
      <c r="N12878" s="14"/>
      <c r="O12878" s="14"/>
      <c r="P12878" s="13"/>
    </row>
    <row r="12879">
      <c r="L12879" s="13"/>
      <c r="M12879" s="14"/>
      <c r="N12879" s="14"/>
      <c r="O12879" s="14"/>
      <c r="P12879" s="13"/>
    </row>
    <row r="12880">
      <c r="L12880" s="13"/>
      <c r="M12880" s="14"/>
      <c r="N12880" s="14"/>
      <c r="O12880" s="14"/>
      <c r="P12880" s="13"/>
    </row>
    <row r="12881">
      <c r="L12881" s="13"/>
      <c r="M12881" s="14"/>
      <c r="N12881" s="14"/>
      <c r="O12881" s="14"/>
      <c r="P12881" s="13"/>
    </row>
    <row r="12882">
      <c r="L12882" s="13"/>
      <c r="M12882" s="14"/>
      <c r="N12882" s="14"/>
      <c r="O12882" s="14"/>
      <c r="P12882" s="13"/>
    </row>
    <row r="12883">
      <c r="L12883" s="13"/>
      <c r="M12883" s="14"/>
      <c r="N12883" s="14"/>
      <c r="O12883" s="14"/>
      <c r="P12883" s="13"/>
    </row>
    <row r="12884">
      <c r="L12884" s="13"/>
      <c r="M12884" s="14"/>
      <c r="N12884" s="14"/>
      <c r="O12884" s="14"/>
      <c r="P12884" s="13"/>
    </row>
    <row r="12885">
      <c r="L12885" s="13"/>
      <c r="M12885" s="14"/>
      <c r="N12885" s="14"/>
      <c r="O12885" s="14"/>
      <c r="P12885" s="13"/>
    </row>
    <row r="12886">
      <c r="L12886" s="13"/>
      <c r="M12886" s="14"/>
      <c r="N12886" s="14"/>
      <c r="O12886" s="14"/>
      <c r="P12886" s="13"/>
    </row>
    <row r="12887">
      <c r="L12887" s="13"/>
      <c r="M12887" s="14"/>
      <c r="N12887" s="14"/>
      <c r="O12887" s="14"/>
      <c r="P12887" s="13"/>
    </row>
    <row r="12888">
      <c r="L12888" s="13"/>
      <c r="M12888" s="14"/>
      <c r="N12888" s="14"/>
      <c r="O12888" s="14"/>
      <c r="P12888" s="13"/>
    </row>
    <row r="12889">
      <c r="L12889" s="13"/>
      <c r="M12889" s="14"/>
      <c r="N12889" s="14"/>
      <c r="O12889" s="14"/>
      <c r="P12889" s="13"/>
    </row>
    <row r="12890">
      <c r="L12890" s="13"/>
      <c r="M12890" s="14"/>
      <c r="N12890" s="14"/>
      <c r="O12890" s="14"/>
      <c r="P12890" s="13"/>
    </row>
    <row r="12891">
      <c r="L12891" s="13"/>
      <c r="M12891" s="14"/>
      <c r="N12891" s="14"/>
      <c r="O12891" s="14"/>
      <c r="P12891" s="13"/>
    </row>
    <row r="12892">
      <c r="L12892" s="13"/>
      <c r="M12892" s="14"/>
      <c r="N12892" s="14"/>
      <c r="O12892" s="14"/>
      <c r="P12892" s="13"/>
    </row>
    <row r="12893">
      <c r="L12893" s="13"/>
      <c r="M12893" s="14"/>
      <c r="N12893" s="14"/>
      <c r="O12893" s="14"/>
      <c r="P12893" s="13"/>
    </row>
    <row r="12894">
      <c r="L12894" s="13"/>
      <c r="M12894" s="14"/>
      <c r="N12894" s="14"/>
      <c r="O12894" s="14"/>
      <c r="P12894" s="13"/>
    </row>
    <row r="12895">
      <c r="L12895" s="13"/>
      <c r="M12895" s="14"/>
      <c r="N12895" s="14"/>
      <c r="O12895" s="14"/>
      <c r="P12895" s="13"/>
    </row>
    <row r="12896">
      <c r="L12896" s="13"/>
      <c r="M12896" s="14"/>
      <c r="N12896" s="14"/>
      <c r="O12896" s="14"/>
      <c r="P12896" s="13"/>
    </row>
    <row r="12897">
      <c r="L12897" s="13"/>
      <c r="M12897" s="14"/>
      <c r="N12897" s="14"/>
      <c r="O12897" s="14"/>
      <c r="P12897" s="13"/>
    </row>
    <row r="12898">
      <c r="L12898" s="13"/>
      <c r="M12898" s="14"/>
      <c r="N12898" s="14"/>
      <c r="O12898" s="14"/>
      <c r="P12898" s="13"/>
    </row>
    <row r="12899">
      <c r="L12899" s="13"/>
      <c r="M12899" s="14"/>
      <c r="N12899" s="14"/>
      <c r="O12899" s="14"/>
      <c r="P12899" s="13"/>
    </row>
    <row r="12900">
      <c r="L12900" s="13"/>
      <c r="M12900" s="14"/>
      <c r="N12900" s="14"/>
      <c r="O12900" s="14"/>
      <c r="P12900" s="13"/>
    </row>
    <row r="12901">
      <c r="L12901" s="13"/>
      <c r="M12901" s="14"/>
      <c r="N12901" s="14"/>
      <c r="O12901" s="14"/>
      <c r="P12901" s="13"/>
    </row>
    <row r="12902">
      <c r="L12902" s="13"/>
      <c r="M12902" s="14"/>
      <c r="N12902" s="14"/>
      <c r="O12902" s="14"/>
      <c r="P12902" s="13"/>
    </row>
    <row r="12903">
      <c r="L12903" s="13"/>
      <c r="M12903" s="14"/>
      <c r="N12903" s="14"/>
      <c r="O12903" s="14"/>
      <c r="P12903" s="13"/>
    </row>
    <row r="12904">
      <c r="L12904" s="13"/>
      <c r="M12904" s="14"/>
      <c r="N12904" s="14"/>
      <c r="O12904" s="14"/>
      <c r="P12904" s="13"/>
    </row>
    <row r="12905">
      <c r="L12905" s="13"/>
      <c r="M12905" s="14"/>
      <c r="N12905" s="14"/>
      <c r="O12905" s="14"/>
      <c r="P12905" s="13"/>
    </row>
    <row r="12906">
      <c r="L12906" s="13"/>
      <c r="M12906" s="14"/>
      <c r="N12906" s="14"/>
      <c r="O12906" s="14"/>
      <c r="P12906" s="13"/>
    </row>
    <row r="12907">
      <c r="L12907" s="13"/>
      <c r="M12907" s="14"/>
      <c r="N12907" s="14"/>
      <c r="O12907" s="14"/>
      <c r="P12907" s="13"/>
    </row>
    <row r="12908">
      <c r="L12908" s="13"/>
      <c r="M12908" s="14"/>
      <c r="N12908" s="14"/>
      <c r="O12908" s="14"/>
      <c r="P12908" s="13"/>
    </row>
    <row r="12909">
      <c r="L12909" s="13"/>
      <c r="M12909" s="14"/>
      <c r="N12909" s="14"/>
      <c r="O12909" s="14"/>
      <c r="P12909" s="13"/>
    </row>
    <row r="12910">
      <c r="L12910" s="13"/>
      <c r="M12910" s="14"/>
      <c r="N12910" s="14"/>
      <c r="O12910" s="14"/>
      <c r="P12910" s="13"/>
    </row>
    <row r="12911">
      <c r="L12911" s="13"/>
      <c r="M12911" s="14"/>
      <c r="N12911" s="14"/>
      <c r="O12911" s="14"/>
      <c r="P12911" s="13"/>
    </row>
    <row r="12912">
      <c r="L12912" s="13"/>
      <c r="M12912" s="14"/>
      <c r="N12912" s="14"/>
      <c r="O12912" s="14"/>
      <c r="P12912" s="13"/>
    </row>
    <row r="12913">
      <c r="L12913" s="13"/>
      <c r="M12913" s="14"/>
      <c r="N12913" s="14"/>
      <c r="O12913" s="14"/>
      <c r="P12913" s="13"/>
    </row>
    <row r="12914">
      <c r="L12914" s="13"/>
      <c r="M12914" s="14"/>
      <c r="N12914" s="14"/>
      <c r="O12914" s="14"/>
      <c r="P12914" s="13"/>
    </row>
    <row r="12915">
      <c r="L12915" s="13"/>
      <c r="M12915" s="14"/>
      <c r="N12915" s="14"/>
      <c r="O12915" s="14"/>
      <c r="P12915" s="13"/>
    </row>
    <row r="12916">
      <c r="L12916" s="13"/>
      <c r="M12916" s="14"/>
      <c r="N12916" s="14"/>
      <c r="O12916" s="14"/>
      <c r="P12916" s="13"/>
    </row>
    <row r="12917">
      <c r="L12917" s="13"/>
      <c r="M12917" s="14"/>
      <c r="N12917" s="14"/>
      <c r="O12917" s="14"/>
      <c r="P12917" s="13"/>
    </row>
    <row r="12918">
      <c r="L12918" s="13"/>
      <c r="M12918" s="14"/>
      <c r="N12918" s="14"/>
      <c r="O12918" s="14"/>
      <c r="P12918" s="13"/>
    </row>
    <row r="12919">
      <c r="L12919" s="13"/>
      <c r="M12919" s="14"/>
      <c r="N12919" s="14"/>
      <c r="O12919" s="14"/>
      <c r="P12919" s="13"/>
    </row>
    <row r="12920">
      <c r="L12920" s="13"/>
      <c r="M12920" s="14"/>
      <c r="N12920" s="14"/>
      <c r="O12920" s="14"/>
      <c r="P12920" s="13"/>
    </row>
    <row r="12921">
      <c r="L12921" s="13"/>
      <c r="M12921" s="14"/>
      <c r="N12921" s="14"/>
      <c r="O12921" s="14"/>
      <c r="P12921" s="13"/>
    </row>
    <row r="12922">
      <c r="L12922" s="13"/>
      <c r="M12922" s="14"/>
      <c r="N12922" s="14"/>
      <c r="O12922" s="14"/>
      <c r="P12922" s="13"/>
    </row>
    <row r="12923">
      <c r="L12923" s="13"/>
      <c r="M12923" s="14"/>
      <c r="N12923" s="14"/>
      <c r="O12923" s="14"/>
      <c r="P12923" s="13"/>
    </row>
    <row r="12924">
      <c r="L12924" s="13"/>
      <c r="M12924" s="14"/>
      <c r="N12924" s="14"/>
      <c r="O12924" s="14"/>
      <c r="P12924" s="13"/>
    </row>
    <row r="12925">
      <c r="L12925" s="13"/>
      <c r="M12925" s="14"/>
      <c r="N12925" s="14"/>
      <c r="O12925" s="14"/>
      <c r="P12925" s="13"/>
    </row>
    <row r="12926">
      <c r="L12926" s="13"/>
      <c r="M12926" s="14"/>
      <c r="N12926" s="14"/>
      <c r="O12926" s="14"/>
      <c r="P12926" s="13"/>
    </row>
    <row r="12927">
      <c r="L12927" s="13"/>
      <c r="M12927" s="14"/>
      <c r="N12927" s="14"/>
      <c r="O12927" s="14"/>
      <c r="P12927" s="13"/>
    </row>
    <row r="12928">
      <c r="L12928" s="13"/>
      <c r="M12928" s="14"/>
      <c r="N12928" s="14"/>
      <c r="O12928" s="14"/>
      <c r="P12928" s="13"/>
    </row>
    <row r="12929">
      <c r="L12929" s="13"/>
      <c r="M12929" s="14"/>
      <c r="N12929" s="14"/>
      <c r="O12929" s="14"/>
      <c r="P12929" s="13"/>
    </row>
    <row r="12930">
      <c r="L12930" s="13"/>
      <c r="M12930" s="14"/>
      <c r="N12930" s="14"/>
      <c r="O12930" s="14"/>
      <c r="P12930" s="13"/>
    </row>
    <row r="12931">
      <c r="L12931" s="13"/>
      <c r="M12931" s="14"/>
      <c r="N12931" s="14"/>
      <c r="O12931" s="14"/>
      <c r="P12931" s="13"/>
    </row>
    <row r="12932">
      <c r="L12932" s="13"/>
      <c r="M12932" s="14"/>
      <c r="N12932" s="14"/>
      <c r="O12932" s="14"/>
      <c r="P12932" s="13"/>
    </row>
    <row r="12933">
      <c r="L12933" s="13"/>
      <c r="M12933" s="14"/>
      <c r="N12933" s="14"/>
      <c r="O12933" s="14"/>
      <c r="P12933" s="13"/>
    </row>
    <row r="12934">
      <c r="L12934" s="13"/>
      <c r="M12934" s="14"/>
      <c r="N12934" s="14"/>
      <c r="O12934" s="14"/>
      <c r="P12934" s="13"/>
    </row>
    <row r="12935">
      <c r="L12935" s="13"/>
      <c r="M12935" s="14"/>
      <c r="N12935" s="14"/>
      <c r="O12935" s="14"/>
      <c r="P12935" s="13"/>
    </row>
    <row r="12936">
      <c r="L12936" s="13"/>
      <c r="M12936" s="14"/>
      <c r="N12936" s="14"/>
      <c r="O12936" s="14"/>
      <c r="P12936" s="13"/>
    </row>
    <row r="12937">
      <c r="L12937" s="13"/>
      <c r="M12937" s="14"/>
      <c r="N12937" s="14"/>
      <c r="O12937" s="14"/>
      <c r="P12937" s="13"/>
    </row>
    <row r="12938">
      <c r="L12938" s="13"/>
      <c r="M12938" s="14"/>
      <c r="N12938" s="14"/>
      <c r="O12938" s="14"/>
      <c r="P12938" s="13"/>
    </row>
    <row r="12939">
      <c r="L12939" s="13"/>
      <c r="M12939" s="14"/>
      <c r="N12939" s="14"/>
      <c r="O12939" s="14"/>
      <c r="P12939" s="13"/>
    </row>
    <row r="12940">
      <c r="L12940" s="13"/>
      <c r="M12940" s="14"/>
      <c r="N12940" s="14"/>
      <c r="O12940" s="14"/>
      <c r="P12940" s="13"/>
    </row>
    <row r="12941">
      <c r="L12941" s="13"/>
      <c r="M12941" s="14"/>
      <c r="N12941" s="14"/>
      <c r="O12941" s="14"/>
      <c r="P12941" s="13"/>
    </row>
    <row r="12942">
      <c r="L12942" s="13"/>
      <c r="M12942" s="14"/>
      <c r="N12942" s="14"/>
      <c r="O12942" s="14"/>
      <c r="P12942" s="13"/>
    </row>
    <row r="12943">
      <c r="L12943" s="13"/>
      <c r="M12943" s="14"/>
      <c r="N12943" s="14"/>
      <c r="O12943" s="14"/>
      <c r="P12943" s="13"/>
    </row>
    <row r="12944">
      <c r="L12944" s="13"/>
      <c r="M12944" s="14"/>
      <c r="N12944" s="14"/>
      <c r="O12944" s="14"/>
      <c r="P12944" s="13"/>
    </row>
    <row r="12945">
      <c r="L12945" s="13"/>
      <c r="M12945" s="14"/>
      <c r="N12945" s="14"/>
      <c r="O12945" s="14"/>
      <c r="P12945" s="13"/>
    </row>
    <row r="12946">
      <c r="L12946" s="13"/>
      <c r="M12946" s="14"/>
      <c r="N12946" s="14"/>
      <c r="O12946" s="14"/>
      <c r="P12946" s="13"/>
    </row>
    <row r="12947">
      <c r="L12947" s="13"/>
      <c r="M12947" s="14"/>
      <c r="N12947" s="14"/>
      <c r="O12947" s="14"/>
      <c r="P12947" s="13"/>
    </row>
    <row r="12948">
      <c r="L12948" s="13"/>
      <c r="M12948" s="14"/>
      <c r="N12948" s="14"/>
      <c r="O12948" s="14"/>
      <c r="P12948" s="13"/>
    </row>
    <row r="12949">
      <c r="L12949" s="13"/>
      <c r="M12949" s="14"/>
      <c r="N12949" s="14"/>
      <c r="O12949" s="14"/>
      <c r="P12949" s="13"/>
    </row>
    <row r="12950">
      <c r="L12950" s="13"/>
      <c r="M12950" s="14"/>
      <c r="N12950" s="14"/>
      <c r="O12950" s="14"/>
      <c r="P12950" s="13"/>
    </row>
    <row r="12951">
      <c r="L12951" s="13"/>
      <c r="M12951" s="14"/>
      <c r="N12951" s="14"/>
      <c r="O12951" s="14"/>
      <c r="P12951" s="13"/>
    </row>
    <row r="12952">
      <c r="L12952" s="13"/>
      <c r="M12952" s="14"/>
      <c r="N12952" s="14"/>
      <c r="O12952" s="14"/>
      <c r="P12952" s="13"/>
    </row>
    <row r="12953">
      <c r="L12953" s="13"/>
      <c r="M12953" s="14"/>
      <c r="N12953" s="14"/>
      <c r="O12953" s="14"/>
      <c r="P12953" s="13"/>
    </row>
    <row r="12954">
      <c r="L12954" s="13"/>
      <c r="M12954" s="14"/>
      <c r="N12954" s="14"/>
      <c r="O12954" s="14"/>
      <c r="P12954" s="13"/>
    </row>
    <row r="12955">
      <c r="L12955" s="13"/>
      <c r="M12955" s="14"/>
      <c r="N12955" s="14"/>
      <c r="O12955" s="14"/>
      <c r="P12955" s="13"/>
    </row>
    <row r="12956">
      <c r="L12956" s="13"/>
      <c r="M12956" s="14"/>
      <c r="N12956" s="14"/>
      <c r="O12956" s="14"/>
      <c r="P12956" s="13"/>
    </row>
    <row r="12957">
      <c r="L12957" s="13"/>
      <c r="M12957" s="14"/>
      <c r="N12957" s="14"/>
      <c r="O12957" s="14"/>
      <c r="P12957" s="13"/>
    </row>
    <row r="12958">
      <c r="L12958" s="13"/>
      <c r="M12958" s="14"/>
      <c r="N12958" s="14"/>
      <c r="O12958" s="14"/>
      <c r="P12958" s="13"/>
    </row>
    <row r="12959">
      <c r="L12959" s="13"/>
      <c r="M12959" s="14"/>
      <c r="N12959" s="14"/>
      <c r="O12959" s="14"/>
      <c r="P12959" s="13"/>
    </row>
    <row r="12960">
      <c r="L12960" s="13"/>
      <c r="M12960" s="14"/>
      <c r="N12960" s="14"/>
      <c r="O12960" s="14"/>
      <c r="P12960" s="13"/>
    </row>
    <row r="12961">
      <c r="L12961" s="13"/>
      <c r="M12961" s="14"/>
      <c r="N12961" s="14"/>
      <c r="O12961" s="14"/>
      <c r="P12961" s="13"/>
    </row>
    <row r="12962">
      <c r="L12962" s="13"/>
      <c r="M12962" s="14"/>
      <c r="N12962" s="14"/>
      <c r="O12962" s="14"/>
      <c r="P12962" s="13"/>
    </row>
    <row r="12963">
      <c r="L12963" s="13"/>
      <c r="M12963" s="14"/>
      <c r="N12963" s="14"/>
      <c r="O12963" s="14"/>
      <c r="P12963" s="13"/>
    </row>
    <row r="12964">
      <c r="L12964" s="13"/>
      <c r="M12964" s="14"/>
      <c r="N12964" s="14"/>
      <c r="O12964" s="14"/>
      <c r="P12964" s="13"/>
    </row>
    <row r="12965">
      <c r="L12965" s="13"/>
      <c r="M12965" s="14"/>
      <c r="N12965" s="14"/>
      <c r="O12965" s="14"/>
      <c r="P12965" s="13"/>
    </row>
    <row r="12966">
      <c r="L12966" s="13"/>
      <c r="M12966" s="14"/>
      <c r="N12966" s="14"/>
      <c r="O12966" s="14"/>
      <c r="P12966" s="13"/>
    </row>
    <row r="12967">
      <c r="L12967" s="13"/>
      <c r="M12967" s="14"/>
      <c r="N12967" s="14"/>
      <c r="O12967" s="14"/>
      <c r="P12967" s="13"/>
    </row>
    <row r="12968">
      <c r="L12968" s="13"/>
      <c r="M12968" s="14"/>
      <c r="N12968" s="14"/>
      <c r="O12968" s="14"/>
      <c r="P12968" s="13"/>
    </row>
    <row r="12969">
      <c r="L12969" s="13"/>
      <c r="M12969" s="14"/>
      <c r="N12969" s="14"/>
      <c r="O12969" s="14"/>
      <c r="P12969" s="13"/>
    </row>
    <row r="12970">
      <c r="L12970" s="13"/>
      <c r="M12970" s="14"/>
      <c r="N12970" s="14"/>
      <c r="O12970" s="14"/>
      <c r="P12970" s="13"/>
    </row>
    <row r="12971">
      <c r="L12971" s="13"/>
      <c r="M12971" s="14"/>
      <c r="N12971" s="14"/>
      <c r="O12971" s="14"/>
      <c r="P12971" s="13"/>
    </row>
    <row r="12972">
      <c r="L12972" s="13"/>
      <c r="M12972" s="14"/>
      <c r="N12972" s="14"/>
      <c r="O12972" s="14"/>
      <c r="P12972" s="13"/>
    </row>
    <row r="12973">
      <c r="L12973" s="13"/>
      <c r="M12973" s="14"/>
      <c r="N12973" s="14"/>
      <c r="O12973" s="14"/>
      <c r="P12973" s="13"/>
    </row>
    <row r="12974">
      <c r="L12974" s="13"/>
      <c r="M12974" s="14"/>
      <c r="N12974" s="14"/>
      <c r="O12974" s="14"/>
      <c r="P12974" s="13"/>
    </row>
    <row r="12975">
      <c r="L12975" s="13"/>
      <c r="M12975" s="14"/>
      <c r="N12975" s="14"/>
      <c r="O12975" s="14"/>
      <c r="P12975" s="13"/>
    </row>
    <row r="12976">
      <c r="L12976" s="13"/>
      <c r="M12976" s="14"/>
      <c r="N12976" s="14"/>
      <c r="O12976" s="14"/>
      <c r="P12976" s="13"/>
    </row>
    <row r="12977">
      <c r="L12977" s="13"/>
      <c r="M12977" s="14"/>
      <c r="N12977" s="14"/>
      <c r="O12977" s="14"/>
      <c r="P12977" s="13"/>
    </row>
    <row r="12978">
      <c r="L12978" s="13"/>
      <c r="M12978" s="14"/>
      <c r="N12978" s="14"/>
      <c r="O12978" s="14"/>
      <c r="P12978" s="13"/>
    </row>
    <row r="12979">
      <c r="L12979" s="13"/>
      <c r="M12979" s="14"/>
      <c r="N12979" s="14"/>
      <c r="O12979" s="14"/>
      <c r="P12979" s="13"/>
    </row>
    <row r="12980">
      <c r="L12980" s="13"/>
      <c r="M12980" s="14"/>
      <c r="N12980" s="14"/>
      <c r="O12980" s="14"/>
      <c r="P12980" s="13"/>
    </row>
    <row r="12981">
      <c r="L12981" s="13"/>
      <c r="M12981" s="14"/>
      <c r="N12981" s="14"/>
      <c r="O12981" s="14"/>
      <c r="P12981" s="13"/>
    </row>
    <row r="12982">
      <c r="L12982" s="13"/>
      <c r="M12982" s="14"/>
      <c r="N12982" s="14"/>
      <c r="O12982" s="14"/>
      <c r="P12982" s="13"/>
    </row>
    <row r="12983">
      <c r="L12983" s="13"/>
      <c r="M12983" s="14"/>
      <c r="N12983" s="14"/>
      <c r="O12983" s="14"/>
      <c r="P12983" s="13"/>
    </row>
    <row r="12984">
      <c r="L12984" s="13"/>
      <c r="M12984" s="14"/>
      <c r="N12984" s="14"/>
      <c r="O12984" s="14"/>
      <c r="P12984" s="13"/>
    </row>
    <row r="12985">
      <c r="L12985" s="13"/>
      <c r="M12985" s="14"/>
      <c r="N12985" s="14"/>
      <c r="O12985" s="14"/>
      <c r="P12985" s="13"/>
    </row>
    <row r="12986">
      <c r="L12986" s="13"/>
      <c r="M12986" s="14"/>
      <c r="N12986" s="14"/>
      <c r="O12986" s="14"/>
      <c r="P12986" s="13"/>
    </row>
    <row r="12987">
      <c r="L12987" s="13"/>
      <c r="M12987" s="14"/>
      <c r="N12987" s="14"/>
      <c r="O12987" s="14"/>
      <c r="P12987" s="13"/>
    </row>
    <row r="12988">
      <c r="L12988" s="13"/>
      <c r="M12988" s="14"/>
      <c r="N12988" s="14"/>
      <c r="O12988" s="14"/>
      <c r="P12988" s="13"/>
    </row>
    <row r="12989">
      <c r="L12989" s="13"/>
      <c r="M12989" s="14"/>
      <c r="N12989" s="14"/>
      <c r="O12989" s="14"/>
      <c r="P12989" s="13"/>
    </row>
    <row r="12990">
      <c r="L12990" s="13"/>
      <c r="M12990" s="14"/>
      <c r="N12990" s="14"/>
      <c r="O12990" s="14"/>
      <c r="P12990" s="13"/>
    </row>
    <row r="12991">
      <c r="L12991" s="13"/>
      <c r="M12991" s="14"/>
      <c r="N12991" s="14"/>
      <c r="O12991" s="14"/>
      <c r="P12991" s="13"/>
    </row>
    <row r="12992">
      <c r="L12992" s="13"/>
      <c r="M12992" s="14"/>
      <c r="N12992" s="14"/>
      <c r="O12992" s="14"/>
      <c r="P12992" s="13"/>
    </row>
    <row r="12993">
      <c r="L12993" s="13"/>
      <c r="M12993" s="14"/>
      <c r="N12993" s="14"/>
      <c r="O12993" s="14"/>
      <c r="P12993" s="13"/>
    </row>
    <row r="12994">
      <c r="L12994" s="13"/>
      <c r="M12994" s="14"/>
      <c r="N12994" s="14"/>
      <c r="O12994" s="14"/>
      <c r="P12994" s="13"/>
    </row>
    <row r="12995">
      <c r="L12995" s="13"/>
      <c r="M12995" s="14"/>
      <c r="N12995" s="14"/>
      <c r="O12995" s="14"/>
      <c r="P12995" s="13"/>
    </row>
    <row r="12996">
      <c r="L12996" s="13"/>
      <c r="M12996" s="14"/>
      <c r="N12996" s="14"/>
      <c r="O12996" s="14"/>
      <c r="P12996" s="13"/>
    </row>
    <row r="12997">
      <c r="L12997" s="13"/>
      <c r="M12997" s="14"/>
      <c r="N12997" s="14"/>
      <c r="O12997" s="14"/>
      <c r="P12997" s="13"/>
    </row>
    <row r="12998">
      <c r="L12998" s="13"/>
      <c r="M12998" s="14"/>
      <c r="N12998" s="14"/>
      <c r="O12998" s="14"/>
      <c r="P12998" s="13"/>
    </row>
    <row r="12999">
      <c r="L12999" s="13"/>
      <c r="M12999" s="14"/>
      <c r="N12999" s="14"/>
      <c r="O12999" s="14"/>
      <c r="P12999" s="13"/>
    </row>
    <row r="13000">
      <c r="L13000" s="13"/>
      <c r="M13000" s="14"/>
      <c r="N13000" s="14"/>
      <c r="O13000" s="14"/>
      <c r="P13000" s="13"/>
    </row>
    <row r="13001">
      <c r="L13001" s="13"/>
      <c r="M13001" s="14"/>
      <c r="N13001" s="14"/>
      <c r="O13001" s="14"/>
      <c r="P13001" s="13"/>
    </row>
    <row r="13002">
      <c r="L13002" s="13"/>
      <c r="M13002" s="14"/>
      <c r="N13002" s="14"/>
      <c r="O13002" s="14"/>
      <c r="P13002" s="13"/>
    </row>
    <row r="13003">
      <c r="L13003" s="13"/>
      <c r="M13003" s="14"/>
      <c r="N13003" s="14"/>
      <c r="O13003" s="14"/>
      <c r="P13003" s="13"/>
    </row>
    <row r="13004">
      <c r="L13004" s="13"/>
      <c r="M13004" s="14"/>
      <c r="N13004" s="14"/>
      <c r="O13004" s="14"/>
      <c r="P13004" s="13"/>
    </row>
    <row r="13005">
      <c r="L13005" s="13"/>
      <c r="M13005" s="14"/>
      <c r="N13005" s="14"/>
      <c r="O13005" s="14"/>
      <c r="P13005" s="13"/>
    </row>
    <row r="13006">
      <c r="L13006" s="13"/>
      <c r="M13006" s="14"/>
      <c r="N13006" s="14"/>
      <c r="O13006" s="14"/>
      <c r="P13006" s="13"/>
    </row>
    <row r="13007">
      <c r="L13007" s="13"/>
      <c r="M13007" s="14"/>
      <c r="N13007" s="14"/>
      <c r="O13007" s="14"/>
      <c r="P13007" s="13"/>
    </row>
    <row r="13008">
      <c r="L13008" s="13"/>
      <c r="M13008" s="14"/>
      <c r="N13008" s="14"/>
      <c r="O13008" s="14"/>
      <c r="P13008" s="13"/>
    </row>
    <row r="13009">
      <c r="L13009" s="13"/>
      <c r="M13009" s="14"/>
      <c r="N13009" s="14"/>
      <c r="O13009" s="14"/>
      <c r="P13009" s="13"/>
    </row>
    <row r="13010">
      <c r="L13010" s="13"/>
      <c r="M13010" s="14"/>
      <c r="N13010" s="14"/>
      <c r="O13010" s="14"/>
      <c r="P13010" s="13"/>
    </row>
    <row r="13011">
      <c r="L13011" s="13"/>
      <c r="M13011" s="14"/>
      <c r="N13011" s="14"/>
      <c r="O13011" s="14"/>
      <c r="P13011" s="13"/>
    </row>
    <row r="13012">
      <c r="L13012" s="13"/>
      <c r="M13012" s="14"/>
      <c r="N13012" s="14"/>
      <c r="O13012" s="14"/>
      <c r="P13012" s="13"/>
    </row>
    <row r="13013">
      <c r="L13013" s="13"/>
      <c r="M13013" s="14"/>
      <c r="N13013" s="14"/>
      <c r="O13013" s="14"/>
      <c r="P13013" s="13"/>
    </row>
    <row r="13014">
      <c r="L13014" s="13"/>
      <c r="M13014" s="14"/>
      <c r="N13014" s="14"/>
      <c r="O13014" s="14"/>
      <c r="P13014" s="13"/>
    </row>
    <row r="13015">
      <c r="L13015" s="13"/>
      <c r="M13015" s="14"/>
      <c r="N13015" s="14"/>
      <c r="O13015" s="14"/>
      <c r="P13015" s="13"/>
    </row>
    <row r="13016">
      <c r="L13016" s="13"/>
      <c r="M13016" s="14"/>
      <c r="N13016" s="14"/>
      <c r="O13016" s="14"/>
      <c r="P13016" s="13"/>
    </row>
    <row r="13017">
      <c r="L13017" s="13"/>
      <c r="M13017" s="14"/>
      <c r="N13017" s="14"/>
      <c r="O13017" s="14"/>
      <c r="P13017" s="13"/>
    </row>
    <row r="13018">
      <c r="L13018" s="13"/>
      <c r="M13018" s="14"/>
      <c r="N13018" s="14"/>
      <c r="O13018" s="14"/>
      <c r="P13018" s="13"/>
    </row>
    <row r="13019">
      <c r="L13019" s="13"/>
      <c r="M13019" s="14"/>
      <c r="N13019" s="14"/>
      <c r="O13019" s="14"/>
      <c r="P13019" s="13"/>
    </row>
    <row r="13020">
      <c r="L13020" s="13"/>
      <c r="M13020" s="14"/>
      <c r="N13020" s="14"/>
      <c r="O13020" s="14"/>
      <c r="P13020" s="13"/>
    </row>
    <row r="13021">
      <c r="L13021" s="13"/>
      <c r="M13021" s="14"/>
      <c r="N13021" s="14"/>
      <c r="O13021" s="14"/>
      <c r="P13021" s="13"/>
    </row>
    <row r="13022">
      <c r="L13022" s="13"/>
      <c r="M13022" s="14"/>
      <c r="N13022" s="14"/>
      <c r="O13022" s="14"/>
      <c r="P13022" s="13"/>
    </row>
    <row r="13023">
      <c r="L13023" s="13"/>
      <c r="M13023" s="14"/>
      <c r="N13023" s="14"/>
      <c r="O13023" s="14"/>
      <c r="P13023" s="13"/>
    </row>
    <row r="13024">
      <c r="L13024" s="13"/>
      <c r="M13024" s="14"/>
      <c r="N13024" s="14"/>
      <c r="O13024" s="14"/>
      <c r="P13024" s="13"/>
    </row>
    <row r="13025">
      <c r="L13025" s="13"/>
      <c r="M13025" s="14"/>
      <c r="N13025" s="14"/>
      <c r="O13025" s="14"/>
      <c r="P13025" s="13"/>
    </row>
    <row r="13026">
      <c r="L13026" s="13"/>
      <c r="M13026" s="14"/>
      <c r="N13026" s="14"/>
      <c r="O13026" s="14"/>
      <c r="P13026" s="13"/>
    </row>
    <row r="13027">
      <c r="L13027" s="13"/>
      <c r="M13027" s="14"/>
      <c r="N13027" s="14"/>
      <c r="O13027" s="14"/>
      <c r="P13027" s="13"/>
    </row>
    <row r="13028">
      <c r="L13028" s="13"/>
      <c r="M13028" s="14"/>
      <c r="N13028" s="14"/>
      <c r="O13028" s="14"/>
      <c r="P13028" s="13"/>
    </row>
    <row r="13029">
      <c r="L13029" s="13"/>
      <c r="M13029" s="14"/>
      <c r="N13029" s="14"/>
      <c r="O13029" s="14"/>
      <c r="P13029" s="13"/>
    </row>
    <row r="13030">
      <c r="L13030" s="13"/>
      <c r="M13030" s="14"/>
      <c r="N13030" s="14"/>
      <c r="O13030" s="14"/>
      <c r="P13030" s="13"/>
    </row>
    <row r="13031">
      <c r="L13031" s="13"/>
      <c r="M13031" s="14"/>
      <c r="N13031" s="14"/>
      <c r="O13031" s="14"/>
      <c r="P13031" s="13"/>
    </row>
    <row r="13032">
      <c r="L13032" s="13"/>
      <c r="M13032" s="14"/>
      <c r="N13032" s="14"/>
      <c r="O13032" s="14"/>
      <c r="P13032" s="13"/>
    </row>
    <row r="13033">
      <c r="L13033" s="13"/>
      <c r="M13033" s="14"/>
      <c r="N13033" s="14"/>
      <c r="O13033" s="14"/>
      <c r="P13033" s="13"/>
    </row>
    <row r="13034">
      <c r="L13034" s="13"/>
      <c r="M13034" s="14"/>
      <c r="N13034" s="14"/>
      <c r="O13034" s="14"/>
      <c r="P13034" s="13"/>
    </row>
    <row r="13035">
      <c r="L13035" s="13"/>
      <c r="M13035" s="14"/>
      <c r="N13035" s="14"/>
      <c r="O13035" s="14"/>
      <c r="P13035" s="13"/>
    </row>
    <row r="13036">
      <c r="L13036" s="13"/>
      <c r="M13036" s="14"/>
      <c r="N13036" s="14"/>
      <c r="O13036" s="14"/>
      <c r="P13036" s="13"/>
    </row>
    <row r="13037">
      <c r="L13037" s="13"/>
      <c r="M13037" s="14"/>
      <c r="N13037" s="14"/>
      <c r="O13037" s="14"/>
      <c r="P13037" s="13"/>
    </row>
    <row r="13038">
      <c r="L13038" s="13"/>
      <c r="M13038" s="14"/>
      <c r="N13038" s="14"/>
      <c r="O13038" s="14"/>
      <c r="P13038" s="13"/>
    </row>
    <row r="13039">
      <c r="L13039" s="13"/>
      <c r="M13039" s="14"/>
      <c r="N13039" s="14"/>
      <c r="O13039" s="14"/>
      <c r="P13039" s="13"/>
    </row>
    <row r="13040">
      <c r="L13040" s="13"/>
      <c r="M13040" s="14"/>
      <c r="N13040" s="14"/>
      <c r="O13040" s="14"/>
      <c r="P13040" s="13"/>
    </row>
    <row r="13041">
      <c r="L13041" s="13"/>
      <c r="M13041" s="14"/>
      <c r="N13041" s="14"/>
      <c r="O13041" s="14"/>
      <c r="P13041" s="13"/>
    </row>
    <row r="13042">
      <c r="L13042" s="13"/>
      <c r="M13042" s="14"/>
      <c r="N13042" s="14"/>
      <c r="O13042" s="14"/>
      <c r="P13042" s="13"/>
    </row>
    <row r="13043">
      <c r="L13043" s="13"/>
      <c r="M13043" s="14"/>
      <c r="N13043" s="14"/>
      <c r="O13043" s="14"/>
      <c r="P13043" s="13"/>
    </row>
    <row r="13044">
      <c r="L13044" s="13"/>
      <c r="M13044" s="14"/>
      <c r="N13044" s="14"/>
      <c r="O13044" s="14"/>
      <c r="P13044" s="13"/>
    </row>
    <row r="13045">
      <c r="L13045" s="13"/>
      <c r="M13045" s="14"/>
      <c r="N13045" s="14"/>
      <c r="O13045" s="14"/>
      <c r="P13045" s="13"/>
    </row>
    <row r="13046">
      <c r="L13046" s="13"/>
      <c r="M13046" s="14"/>
      <c r="N13046" s="14"/>
      <c r="O13046" s="14"/>
      <c r="P13046" s="13"/>
    </row>
    <row r="13047">
      <c r="L13047" s="13"/>
      <c r="M13047" s="14"/>
      <c r="N13047" s="14"/>
      <c r="O13047" s="14"/>
      <c r="P13047" s="13"/>
    </row>
    <row r="13048">
      <c r="L13048" s="13"/>
      <c r="M13048" s="14"/>
      <c r="N13048" s="14"/>
      <c r="O13048" s="14"/>
      <c r="P13048" s="13"/>
    </row>
    <row r="13049">
      <c r="L13049" s="13"/>
      <c r="M13049" s="14"/>
      <c r="N13049" s="14"/>
      <c r="O13049" s="14"/>
      <c r="P13049" s="13"/>
    </row>
    <row r="13050">
      <c r="L13050" s="13"/>
      <c r="M13050" s="14"/>
      <c r="N13050" s="14"/>
      <c r="O13050" s="14"/>
      <c r="P13050" s="13"/>
    </row>
    <row r="13051">
      <c r="L13051" s="13"/>
      <c r="M13051" s="14"/>
      <c r="N13051" s="14"/>
      <c r="O13051" s="14"/>
      <c r="P13051" s="13"/>
    </row>
    <row r="13052">
      <c r="L13052" s="13"/>
      <c r="M13052" s="14"/>
      <c r="N13052" s="14"/>
      <c r="O13052" s="14"/>
      <c r="P13052" s="13"/>
    </row>
    <row r="13053">
      <c r="L13053" s="13"/>
      <c r="M13053" s="14"/>
      <c r="N13053" s="14"/>
      <c r="O13053" s="14"/>
      <c r="P13053" s="13"/>
    </row>
    <row r="13054">
      <c r="L13054" s="13"/>
      <c r="M13054" s="14"/>
      <c r="N13054" s="14"/>
      <c r="O13054" s="14"/>
      <c r="P13054" s="13"/>
    </row>
    <row r="13055">
      <c r="L13055" s="13"/>
      <c r="M13055" s="14"/>
      <c r="N13055" s="14"/>
      <c r="O13055" s="14"/>
      <c r="P13055" s="13"/>
    </row>
    <row r="13056">
      <c r="L13056" s="13"/>
      <c r="M13056" s="14"/>
      <c r="N13056" s="14"/>
      <c r="O13056" s="14"/>
      <c r="P13056" s="13"/>
    </row>
    <row r="13057">
      <c r="L13057" s="13"/>
      <c r="M13057" s="14"/>
      <c r="N13057" s="14"/>
      <c r="O13057" s="14"/>
      <c r="P13057" s="13"/>
    </row>
    <row r="13058">
      <c r="L13058" s="13"/>
      <c r="M13058" s="14"/>
      <c r="N13058" s="14"/>
      <c r="O13058" s="14"/>
      <c r="P13058" s="13"/>
    </row>
    <row r="13059">
      <c r="L13059" s="13"/>
      <c r="M13059" s="14"/>
      <c r="N13059" s="14"/>
      <c r="O13059" s="14"/>
      <c r="P13059" s="13"/>
    </row>
    <row r="13060">
      <c r="L13060" s="13"/>
      <c r="M13060" s="14"/>
      <c r="N13060" s="14"/>
      <c r="O13060" s="14"/>
      <c r="P13060" s="13"/>
    </row>
    <row r="13061">
      <c r="L13061" s="13"/>
      <c r="M13061" s="14"/>
      <c r="N13061" s="14"/>
      <c r="O13061" s="14"/>
      <c r="P13061" s="13"/>
    </row>
    <row r="13062">
      <c r="L13062" s="13"/>
      <c r="M13062" s="14"/>
      <c r="N13062" s="14"/>
      <c r="O13062" s="14"/>
      <c r="P13062" s="13"/>
    </row>
    <row r="13063">
      <c r="L13063" s="13"/>
      <c r="M13063" s="14"/>
      <c r="N13063" s="14"/>
      <c r="O13063" s="14"/>
      <c r="P13063" s="13"/>
    </row>
    <row r="13064">
      <c r="L13064" s="13"/>
      <c r="M13064" s="14"/>
      <c r="N13064" s="14"/>
      <c r="O13064" s="14"/>
      <c r="P13064" s="13"/>
    </row>
    <row r="13065">
      <c r="L13065" s="13"/>
      <c r="M13065" s="14"/>
      <c r="N13065" s="14"/>
      <c r="O13065" s="14"/>
      <c r="P13065" s="13"/>
    </row>
    <row r="13066">
      <c r="L13066" s="13"/>
      <c r="M13066" s="14"/>
      <c r="N13066" s="14"/>
      <c r="O13066" s="14"/>
      <c r="P13066" s="13"/>
    </row>
    <row r="13067">
      <c r="L13067" s="13"/>
      <c r="M13067" s="14"/>
      <c r="N13067" s="14"/>
      <c r="O13067" s="14"/>
      <c r="P13067" s="13"/>
    </row>
    <row r="13068">
      <c r="L13068" s="13"/>
      <c r="M13068" s="14"/>
      <c r="N13068" s="14"/>
      <c r="O13068" s="14"/>
      <c r="P13068" s="13"/>
    </row>
    <row r="13069">
      <c r="L13069" s="13"/>
      <c r="M13069" s="14"/>
      <c r="N13069" s="14"/>
      <c r="O13069" s="14"/>
      <c r="P13069" s="13"/>
    </row>
    <row r="13070">
      <c r="L13070" s="13"/>
      <c r="M13070" s="14"/>
      <c r="N13070" s="14"/>
      <c r="O13070" s="14"/>
      <c r="P13070" s="13"/>
    </row>
    <row r="13071">
      <c r="L13071" s="13"/>
      <c r="M13071" s="14"/>
      <c r="N13071" s="14"/>
      <c r="O13071" s="14"/>
      <c r="P13071" s="13"/>
    </row>
    <row r="13072">
      <c r="L13072" s="13"/>
      <c r="M13072" s="14"/>
      <c r="N13072" s="14"/>
      <c r="O13072" s="14"/>
      <c r="P13072" s="13"/>
    </row>
    <row r="13073">
      <c r="L13073" s="13"/>
      <c r="M13073" s="14"/>
      <c r="N13073" s="14"/>
      <c r="O13073" s="14"/>
      <c r="P13073" s="13"/>
    </row>
    <row r="13074">
      <c r="L13074" s="13"/>
      <c r="M13074" s="14"/>
      <c r="N13074" s="14"/>
      <c r="O13074" s="14"/>
      <c r="P13074" s="13"/>
    </row>
    <row r="13075">
      <c r="L13075" s="13"/>
      <c r="M13075" s="14"/>
      <c r="N13075" s="14"/>
      <c r="O13075" s="14"/>
      <c r="P13075" s="13"/>
    </row>
    <row r="13076">
      <c r="L13076" s="13"/>
      <c r="M13076" s="14"/>
      <c r="N13076" s="14"/>
      <c r="O13076" s="14"/>
      <c r="P13076" s="13"/>
    </row>
    <row r="13077">
      <c r="L13077" s="13"/>
      <c r="M13077" s="14"/>
      <c r="N13077" s="14"/>
      <c r="O13077" s="14"/>
      <c r="P13077" s="13"/>
    </row>
    <row r="13078">
      <c r="L13078" s="13"/>
      <c r="M13078" s="14"/>
      <c r="N13078" s="14"/>
      <c r="O13078" s="14"/>
      <c r="P13078" s="13"/>
    </row>
    <row r="13079">
      <c r="L13079" s="13"/>
      <c r="M13079" s="14"/>
      <c r="N13079" s="14"/>
      <c r="O13079" s="14"/>
      <c r="P13079" s="13"/>
    </row>
    <row r="13080">
      <c r="L13080" s="13"/>
      <c r="M13080" s="14"/>
      <c r="N13080" s="14"/>
      <c r="O13080" s="14"/>
      <c r="P13080" s="13"/>
    </row>
    <row r="13081">
      <c r="L13081" s="13"/>
      <c r="M13081" s="14"/>
      <c r="N13081" s="14"/>
      <c r="O13081" s="14"/>
      <c r="P13081" s="13"/>
    </row>
    <row r="13082">
      <c r="L13082" s="13"/>
      <c r="M13082" s="14"/>
      <c r="N13082" s="14"/>
      <c r="O13082" s="14"/>
      <c r="P13082" s="13"/>
    </row>
    <row r="13083">
      <c r="L13083" s="13"/>
      <c r="M13083" s="14"/>
      <c r="N13083" s="14"/>
      <c r="O13083" s="14"/>
      <c r="P13083" s="13"/>
    </row>
    <row r="13084">
      <c r="L13084" s="13"/>
      <c r="M13084" s="14"/>
      <c r="N13084" s="14"/>
      <c r="O13084" s="14"/>
      <c r="P13084" s="13"/>
    </row>
    <row r="13085">
      <c r="L13085" s="13"/>
      <c r="M13085" s="14"/>
      <c r="N13085" s="14"/>
      <c r="O13085" s="14"/>
      <c r="P13085" s="13"/>
    </row>
    <row r="13086">
      <c r="L13086" s="13"/>
      <c r="M13086" s="14"/>
      <c r="N13086" s="14"/>
      <c r="O13086" s="14"/>
      <c r="P13086" s="13"/>
    </row>
    <row r="13087">
      <c r="L13087" s="13"/>
      <c r="M13087" s="14"/>
      <c r="N13087" s="14"/>
      <c r="O13087" s="14"/>
      <c r="P13087" s="13"/>
    </row>
    <row r="13088">
      <c r="L13088" s="13"/>
      <c r="M13088" s="14"/>
      <c r="N13088" s="14"/>
      <c r="O13088" s="14"/>
      <c r="P13088" s="13"/>
    </row>
    <row r="13089">
      <c r="L13089" s="13"/>
      <c r="M13089" s="14"/>
      <c r="N13089" s="14"/>
      <c r="O13089" s="14"/>
      <c r="P13089" s="13"/>
    </row>
    <row r="13090">
      <c r="L13090" s="13"/>
      <c r="M13090" s="14"/>
      <c r="N13090" s="14"/>
      <c r="O13090" s="14"/>
      <c r="P13090" s="13"/>
    </row>
    <row r="13091">
      <c r="L13091" s="13"/>
      <c r="M13091" s="14"/>
      <c r="N13091" s="14"/>
      <c r="O13091" s="14"/>
      <c r="P13091" s="13"/>
    </row>
    <row r="13092">
      <c r="L13092" s="13"/>
      <c r="M13092" s="14"/>
      <c r="N13092" s="14"/>
      <c r="O13092" s="14"/>
      <c r="P13092" s="13"/>
    </row>
    <row r="13093">
      <c r="L13093" s="13"/>
      <c r="M13093" s="14"/>
      <c r="N13093" s="14"/>
      <c r="O13093" s="14"/>
      <c r="P13093" s="13"/>
    </row>
    <row r="13094">
      <c r="L13094" s="13"/>
      <c r="M13094" s="14"/>
      <c r="N13094" s="14"/>
      <c r="O13094" s="14"/>
      <c r="P13094" s="13"/>
    </row>
    <row r="13095">
      <c r="L13095" s="13"/>
      <c r="M13095" s="14"/>
      <c r="N13095" s="14"/>
      <c r="O13095" s="14"/>
      <c r="P13095" s="13"/>
    </row>
    <row r="13096">
      <c r="L13096" s="13"/>
      <c r="M13096" s="14"/>
      <c r="N13096" s="14"/>
      <c r="O13096" s="14"/>
      <c r="P13096" s="13"/>
    </row>
    <row r="13097">
      <c r="L13097" s="13"/>
      <c r="M13097" s="14"/>
      <c r="N13097" s="14"/>
      <c r="O13097" s="14"/>
      <c r="P13097" s="13"/>
    </row>
    <row r="13098">
      <c r="L13098" s="13"/>
      <c r="M13098" s="14"/>
      <c r="N13098" s="14"/>
      <c r="O13098" s="14"/>
      <c r="P13098" s="13"/>
    </row>
    <row r="13099">
      <c r="L13099" s="13"/>
      <c r="M13099" s="14"/>
      <c r="N13099" s="14"/>
      <c r="O13099" s="14"/>
      <c r="P13099" s="13"/>
    </row>
    <row r="13100">
      <c r="L13100" s="13"/>
      <c r="M13100" s="14"/>
      <c r="N13100" s="14"/>
      <c r="O13100" s="14"/>
      <c r="P13100" s="13"/>
    </row>
    <row r="13101">
      <c r="L13101" s="13"/>
      <c r="M13101" s="14"/>
      <c r="N13101" s="14"/>
      <c r="O13101" s="14"/>
      <c r="P13101" s="13"/>
    </row>
    <row r="13102">
      <c r="L13102" s="13"/>
      <c r="M13102" s="14"/>
      <c r="N13102" s="14"/>
      <c r="O13102" s="14"/>
      <c r="P13102" s="13"/>
    </row>
    <row r="13103">
      <c r="L13103" s="13"/>
      <c r="M13103" s="14"/>
      <c r="N13103" s="14"/>
      <c r="O13103" s="14"/>
      <c r="P13103" s="13"/>
    </row>
    <row r="13104">
      <c r="L13104" s="13"/>
      <c r="M13104" s="14"/>
      <c r="N13104" s="14"/>
      <c r="O13104" s="14"/>
      <c r="P13104" s="13"/>
    </row>
    <row r="13105">
      <c r="L13105" s="13"/>
      <c r="M13105" s="14"/>
      <c r="N13105" s="14"/>
      <c r="O13105" s="14"/>
      <c r="P13105" s="13"/>
    </row>
    <row r="13106">
      <c r="L13106" s="13"/>
      <c r="M13106" s="14"/>
      <c r="N13106" s="14"/>
      <c r="O13106" s="14"/>
      <c r="P13106" s="13"/>
    </row>
    <row r="13107">
      <c r="L13107" s="13"/>
      <c r="M13107" s="14"/>
      <c r="N13107" s="14"/>
      <c r="O13107" s="14"/>
      <c r="P13107" s="13"/>
    </row>
    <row r="13108">
      <c r="L13108" s="13"/>
      <c r="M13108" s="14"/>
      <c r="N13108" s="14"/>
      <c r="O13108" s="14"/>
      <c r="P13108" s="13"/>
    </row>
    <row r="13109">
      <c r="L13109" s="13"/>
      <c r="M13109" s="14"/>
      <c r="N13109" s="14"/>
      <c r="O13109" s="14"/>
      <c r="P13109" s="13"/>
    </row>
    <row r="13110">
      <c r="L13110" s="13"/>
      <c r="M13110" s="14"/>
      <c r="N13110" s="14"/>
      <c r="O13110" s="14"/>
      <c r="P13110" s="13"/>
    </row>
    <row r="13111">
      <c r="L13111" s="13"/>
      <c r="M13111" s="14"/>
      <c r="N13111" s="14"/>
      <c r="O13111" s="14"/>
      <c r="P13111" s="13"/>
    </row>
    <row r="13112">
      <c r="L13112" s="13"/>
      <c r="M13112" s="14"/>
      <c r="N13112" s="14"/>
      <c r="O13112" s="14"/>
      <c r="P13112" s="13"/>
    </row>
    <row r="13113">
      <c r="L13113" s="13"/>
      <c r="M13113" s="14"/>
      <c r="N13113" s="14"/>
      <c r="O13113" s="14"/>
      <c r="P13113" s="13"/>
    </row>
    <row r="13114">
      <c r="L13114" s="13"/>
      <c r="M13114" s="14"/>
      <c r="N13114" s="14"/>
      <c r="O13114" s="14"/>
      <c r="P13114" s="13"/>
    </row>
    <row r="13115">
      <c r="L13115" s="13"/>
      <c r="M13115" s="14"/>
      <c r="N13115" s="14"/>
      <c r="O13115" s="14"/>
      <c r="P13115" s="13"/>
    </row>
    <row r="13116">
      <c r="L13116" s="13"/>
      <c r="M13116" s="14"/>
      <c r="N13116" s="14"/>
      <c r="O13116" s="14"/>
      <c r="P13116" s="13"/>
    </row>
    <row r="13117">
      <c r="L13117" s="13"/>
      <c r="M13117" s="14"/>
      <c r="N13117" s="14"/>
      <c r="O13117" s="14"/>
      <c r="P13117" s="13"/>
    </row>
    <row r="13118">
      <c r="L13118" s="13"/>
      <c r="M13118" s="14"/>
      <c r="N13118" s="14"/>
      <c r="O13118" s="14"/>
      <c r="P13118" s="13"/>
    </row>
    <row r="13119">
      <c r="L13119" s="13"/>
      <c r="M13119" s="14"/>
      <c r="N13119" s="14"/>
      <c r="O13119" s="14"/>
      <c r="P13119" s="13"/>
    </row>
    <row r="13120">
      <c r="L13120" s="13"/>
      <c r="M13120" s="14"/>
      <c r="N13120" s="14"/>
      <c r="O13120" s="14"/>
      <c r="P13120" s="13"/>
    </row>
    <row r="13121">
      <c r="L13121" s="13"/>
      <c r="M13121" s="14"/>
      <c r="N13121" s="14"/>
      <c r="O13121" s="14"/>
      <c r="P13121" s="13"/>
    </row>
    <row r="13122">
      <c r="L13122" s="13"/>
      <c r="M13122" s="14"/>
      <c r="N13122" s="14"/>
      <c r="O13122" s="14"/>
      <c r="P13122" s="13"/>
    </row>
    <row r="13123">
      <c r="L13123" s="13"/>
      <c r="M13123" s="14"/>
      <c r="N13123" s="14"/>
      <c r="O13123" s="14"/>
      <c r="P13123" s="13"/>
    </row>
    <row r="13124">
      <c r="L13124" s="13"/>
      <c r="M13124" s="14"/>
      <c r="N13124" s="14"/>
      <c r="O13124" s="14"/>
      <c r="P13124" s="13"/>
    </row>
    <row r="13125">
      <c r="L13125" s="13"/>
      <c r="M13125" s="14"/>
      <c r="N13125" s="14"/>
      <c r="O13125" s="14"/>
      <c r="P13125" s="13"/>
    </row>
    <row r="13126">
      <c r="L13126" s="13"/>
      <c r="M13126" s="14"/>
      <c r="N13126" s="14"/>
      <c r="O13126" s="14"/>
      <c r="P13126" s="13"/>
    </row>
    <row r="13127">
      <c r="L13127" s="13"/>
      <c r="M13127" s="14"/>
      <c r="N13127" s="14"/>
      <c r="O13127" s="14"/>
      <c r="P13127" s="13"/>
    </row>
    <row r="13128">
      <c r="L13128" s="13"/>
      <c r="M13128" s="14"/>
      <c r="N13128" s="14"/>
      <c r="O13128" s="14"/>
      <c r="P13128" s="13"/>
    </row>
    <row r="13129">
      <c r="L13129" s="13"/>
      <c r="M13129" s="14"/>
      <c r="N13129" s="14"/>
      <c r="O13129" s="14"/>
      <c r="P13129" s="13"/>
    </row>
    <row r="13130">
      <c r="L13130" s="13"/>
      <c r="M13130" s="14"/>
      <c r="N13130" s="14"/>
      <c r="O13130" s="14"/>
      <c r="P13130" s="13"/>
    </row>
    <row r="13131">
      <c r="L13131" s="13"/>
      <c r="M13131" s="14"/>
      <c r="N13131" s="14"/>
      <c r="O13131" s="14"/>
      <c r="P13131" s="13"/>
    </row>
    <row r="13132">
      <c r="L13132" s="13"/>
      <c r="M13132" s="14"/>
      <c r="N13132" s="14"/>
      <c r="O13132" s="14"/>
      <c r="P13132" s="13"/>
    </row>
    <row r="13133">
      <c r="L13133" s="13"/>
      <c r="M13133" s="14"/>
      <c r="N13133" s="14"/>
      <c r="O13133" s="14"/>
      <c r="P13133" s="13"/>
    </row>
    <row r="13134">
      <c r="L13134" s="13"/>
      <c r="M13134" s="14"/>
      <c r="N13134" s="14"/>
      <c r="O13134" s="14"/>
      <c r="P13134" s="13"/>
    </row>
    <row r="13135">
      <c r="L13135" s="13"/>
      <c r="M13135" s="14"/>
      <c r="N13135" s="14"/>
      <c r="O13135" s="14"/>
      <c r="P13135" s="13"/>
    </row>
    <row r="13136">
      <c r="L13136" s="13"/>
      <c r="M13136" s="14"/>
      <c r="N13136" s="14"/>
      <c r="O13136" s="14"/>
      <c r="P13136" s="13"/>
    </row>
    <row r="13137">
      <c r="L13137" s="13"/>
      <c r="M13137" s="14"/>
      <c r="N13137" s="14"/>
      <c r="O13137" s="14"/>
      <c r="P13137" s="13"/>
    </row>
    <row r="13138">
      <c r="L13138" s="13"/>
      <c r="M13138" s="14"/>
      <c r="N13138" s="14"/>
      <c r="O13138" s="14"/>
      <c r="P13138" s="13"/>
    </row>
    <row r="13139">
      <c r="L13139" s="13"/>
      <c r="M13139" s="14"/>
      <c r="N13139" s="14"/>
      <c r="O13139" s="14"/>
      <c r="P13139" s="13"/>
    </row>
    <row r="13140">
      <c r="L13140" s="13"/>
      <c r="M13140" s="14"/>
      <c r="N13140" s="14"/>
      <c r="O13140" s="14"/>
      <c r="P13140" s="13"/>
    </row>
    <row r="13141">
      <c r="L13141" s="13"/>
      <c r="M13141" s="14"/>
      <c r="N13141" s="14"/>
      <c r="O13141" s="14"/>
      <c r="P13141" s="13"/>
    </row>
    <row r="13142">
      <c r="L13142" s="13"/>
      <c r="M13142" s="14"/>
      <c r="N13142" s="14"/>
      <c r="O13142" s="14"/>
      <c r="P13142" s="13"/>
    </row>
    <row r="13143">
      <c r="L13143" s="13"/>
      <c r="M13143" s="14"/>
      <c r="N13143" s="14"/>
      <c r="O13143" s="14"/>
      <c r="P13143" s="13"/>
    </row>
    <row r="13144">
      <c r="L13144" s="13"/>
      <c r="M13144" s="14"/>
      <c r="N13144" s="14"/>
      <c r="O13144" s="14"/>
      <c r="P13144" s="13"/>
    </row>
    <row r="13145">
      <c r="L13145" s="13"/>
      <c r="M13145" s="14"/>
      <c r="N13145" s="14"/>
      <c r="O13145" s="14"/>
      <c r="P13145" s="13"/>
    </row>
    <row r="13146">
      <c r="L13146" s="13"/>
      <c r="M13146" s="14"/>
      <c r="N13146" s="14"/>
      <c r="O13146" s="14"/>
      <c r="P13146" s="13"/>
    </row>
    <row r="13147">
      <c r="L13147" s="13"/>
      <c r="M13147" s="14"/>
      <c r="N13147" s="14"/>
      <c r="O13147" s="14"/>
      <c r="P13147" s="13"/>
    </row>
    <row r="13148">
      <c r="L13148" s="13"/>
      <c r="M13148" s="14"/>
      <c r="N13148" s="14"/>
      <c r="O13148" s="14"/>
      <c r="P13148" s="13"/>
    </row>
    <row r="13149">
      <c r="L13149" s="13"/>
      <c r="M13149" s="14"/>
      <c r="N13149" s="14"/>
      <c r="O13149" s="14"/>
      <c r="P13149" s="13"/>
    </row>
    <row r="13150">
      <c r="L13150" s="13"/>
      <c r="M13150" s="14"/>
      <c r="N13150" s="14"/>
      <c r="O13150" s="14"/>
      <c r="P13150" s="13"/>
    </row>
    <row r="13151">
      <c r="L13151" s="13"/>
      <c r="M13151" s="14"/>
      <c r="N13151" s="14"/>
      <c r="O13151" s="14"/>
      <c r="P13151" s="13"/>
    </row>
    <row r="13152">
      <c r="L13152" s="13"/>
      <c r="M13152" s="14"/>
      <c r="N13152" s="14"/>
      <c r="O13152" s="14"/>
      <c r="P13152" s="13"/>
    </row>
    <row r="13153">
      <c r="L13153" s="13"/>
      <c r="M13153" s="14"/>
      <c r="N13153" s="14"/>
      <c r="O13153" s="14"/>
      <c r="P13153" s="13"/>
    </row>
    <row r="13154">
      <c r="L13154" s="13"/>
      <c r="M13154" s="14"/>
      <c r="N13154" s="14"/>
      <c r="O13154" s="14"/>
      <c r="P13154" s="13"/>
    </row>
    <row r="13155">
      <c r="L13155" s="13"/>
      <c r="M13155" s="14"/>
      <c r="N13155" s="14"/>
      <c r="O13155" s="14"/>
      <c r="P13155" s="13"/>
    </row>
    <row r="13156">
      <c r="L13156" s="13"/>
      <c r="M13156" s="14"/>
      <c r="N13156" s="14"/>
      <c r="O13156" s="14"/>
      <c r="P13156" s="13"/>
    </row>
    <row r="13157">
      <c r="L13157" s="13"/>
      <c r="M13157" s="14"/>
      <c r="N13157" s="14"/>
      <c r="O13157" s="14"/>
      <c r="P13157" s="13"/>
    </row>
    <row r="13158">
      <c r="L13158" s="13"/>
      <c r="M13158" s="14"/>
      <c r="N13158" s="14"/>
      <c r="O13158" s="14"/>
      <c r="P13158" s="13"/>
    </row>
    <row r="13159">
      <c r="L13159" s="13"/>
      <c r="M13159" s="14"/>
      <c r="N13159" s="14"/>
      <c r="O13159" s="14"/>
      <c r="P13159" s="13"/>
    </row>
    <row r="13160">
      <c r="L13160" s="13"/>
      <c r="M13160" s="14"/>
      <c r="N13160" s="14"/>
      <c r="O13160" s="14"/>
      <c r="P13160" s="13"/>
    </row>
    <row r="13161">
      <c r="L13161" s="13"/>
      <c r="M13161" s="14"/>
      <c r="N13161" s="14"/>
      <c r="O13161" s="14"/>
      <c r="P13161" s="13"/>
    </row>
    <row r="13162">
      <c r="L13162" s="13"/>
      <c r="M13162" s="14"/>
      <c r="N13162" s="14"/>
      <c r="O13162" s="14"/>
      <c r="P13162" s="13"/>
    </row>
    <row r="13163">
      <c r="L13163" s="13"/>
      <c r="M13163" s="14"/>
      <c r="N13163" s="14"/>
      <c r="O13163" s="14"/>
      <c r="P13163" s="13"/>
    </row>
    <row r="13164">
      <c r="L13164" s="13"/>
      <c r="M13164" s="14"/>
      <c r="N13164" s="14"/>
      <c r="O13164" s="14"/>
      <c r="P13164" s="13"/>
    </row>
    <row r="13165">
      <c r="L13165" s="13"/>
      <c r="M13165" s="14"/>
      <c r="N13165" s="14"/>
      <c r="O13165" s="14"/>
      <c r="P13165" s="13"/>
    </row>
    <row r="13166">
      <c r="L13166" s="13"/>
      <c r="M13166" s="14"/>
      <c r="N13166" s="14"/>
      <c r="O13166" s="14"/>
      <c r="P13166" s="13"/>
    </row>
    <row r="13167">
      <c r="L13167" s="13"/>
      <c r="M13167" s="14"/>
      <c r="N13167" s="14"/>
      <c r="O13167" s="14"/>
      <c r="P13167" s="13"/>
    </row>
    <row r="13168">
      <c r="L13168" s="13"/>
      <c r="M13168" s="14"/>
      <c r="N13168" s="14"/>
      <c r="O13168" s="14"/>
      <c r="P13168" s="13"/>
    </row>
    <row r="13169">
      <c r="L13169" s="13"/>
      <c r="M13169" s="14"/>
      <c r="N13169" s="14"/>
      <c r="O13169" s="14"/>
      <c r="P13169" s="13"/>
    </row>
    <row r="13170">
      <c r="L13170" s="13"/>
      <c r="M13170" s="14"/>
      <c r="N13170" s="14"/>
      <c r="O13170" s="14"/>
      <c r="P13170" s="13"/>
    </row>
    <row r="13171">
      <c r="L13171" s="13"/>
      <c r="M13171" s="14"/>
      <c r="N13171" s="14"/>
      <c r="O13171" s="14"/>
      <c r="P13171" s="13"/>
    </row>
    <row r="13172">
      <c r="L13172" s="13"/>
      <c r="M13172" s="14"/>
      <c r="N13172" s="14"/>
      <c r="O13172" s="14"/>
      <c r="P13172" s="13"/>
    </row>
    <row r="13173">
      <c r="L13173" s="13"/>
      <c r="M13173" s="14"/>
      <c r="N13173" s="14"/>
      <c r="O13173" s="14"/>
      <c r="P13173" s="13"/>
    </row>
    <row r="13174">
      <c r="L13174" s="13"/>
      <c r="M13174" s="14"/>
      <c r="N13174" s="14"/>
      <c r="O13174" s="14"/>
      <c r="P13174" s="13"/>
    </row>
    <row r="13175">
      <c r="L13175" s="13"/>
      <c r="M13175" s="14"/>
      <c r="N13175" s="14"/>
      <c r="O13175" s="14"/>
      <c r="P13175" s="13"/>
    </row>
    <row r="13176">
      <c r="L13176" s="13"/>
      <c r="M13176" s="14"/>
      <c r="N13176" s="14"/>
      <c r="O13176" s="14"/>
      <c r="P13176" s="13"/>
    </row>
    <row r="13177">
      <c r="L13177" s="13"/>
      <c r="M13177" s="14"/>
      <c r="N13177" s="14"/>
      <c r="O13177" s="14"/>
      <c r="P13177" s="13"/>
    </row>
    <row r="13178">
      <c r="L13178" s="13"/>
      <c r="M13178" s="14"/>
      <c r="N13178" s="14"/>
      <c r="O13178" s="14"/>
      <c r="P13178" s="13"/>
    </row>
    <row r="13179">
      <c r="L13179" s="13"/>
      <c r="M13179" s="14"/>
      <c r="N13179" s="14"/>
      <c r="O13179" s="14"/>
      <c r="P13179" s="13"/>
    </row>
    <row r="13180">
      <c r="L13180" s="13"/>
      <c r="M13180" s="14"/>
      <c r="N13180" s="14"/>
      <c r="O13180" s="14"/>
      <c r="P13180" s="13"/>
    </row>
    <row r="13181">
      <c r="L13181" s="13"/>
      <c r="M13181" s="14"/>
      <c r="N13181" s="14"/>
      <c r="O13181" s="14"/>
      <c r="P13181" s="13"/>
    </row>
    <row r="13182">
      <c r="L13182" s="13"/>
      <c r="M13182" s="14"/>
      <c r="N13182" s="14"/>
      <c r="O13182" s="14"/>
      <c r="P13182" s="13"/>
    </row>
    <row r="13183">
      <c r="L13183" s="13"/>
      <c r="M13183" s="14"/>
      <c r="N13183" s="14"/>
      <c r="O13183" s="14"/>
      <c r="P13183" s="13"/>
    </row>
    <row r="13184">
      <c r="L13184" s="13"/>
      <c r="M13184" s="14"/>
      <c r="N13184" s="14"/>
      <c r="O13184" s="14"/>
      <c r="P13184" s="13"/>
    </row>
    <row r="13185">
      <c r="L13185" s="13"/>
      <c r="M13185" s="14"/>
      <c r="N13185" s="14"/>
      <c r="O13185" s="14"/>
      <c r="P13185" s="13"/>
    </row>
    <row r="13186">
      <c r="L13186" s="13"/>
      <c r="M13186" s="14"/>
      <c r="N13186" s="14"/>
      <c r="O13186" s="14"/>
      <c r="P13186" s="13"/>
    </row>
    <row r="13187">
      <c r="L13187" s="13"/>
      <c r="M13187" s="14"/>
      <c r="N13187" s="14"/>
      <c r="O13187" s="14"/>
      <c r="P13187" s="13"/>
    </row>
    <row r="13188">
      <c r="L13188" s="13"/>
      <c r="M13188" s="14"/>
      <c r="N13188" s="14"/>
      <c r="O13188" s="14"/>
      <c r="P13188" s="13"/>
    </row>
    <row r="13189">
      <c r="L13189" s="13"/>
      <c r="M13189" s="14"/>
      <c r="N13189" s="14"/>
      <c r="O13189" s="14"/>
      <c r="P13189" s="13"/>
    </row>
    <row r="13190">
      <c r="L13190" s="13"/>
      <c r="M13190" s="14"/>
      <c r="N13190" s="14"/>
      <c r="O13190" s="14"/>
      <c r="P13190" s="13"/>
    </row>
    <row r="13191">
      <c r="L13191" s="13"/>
      <c r="M13191" s="14"/>
      <c r="N13191" s="14"/>
      <c r="O13191" s="14"/>
      <c r="P13191" s="13"/>
    </row>
    <row r="13192">
      <c r="L13192" s="13"/>
      <c r="M13192" s="14"/>
      <c r="N13192" s="14"/>
      <c r="O13192" s="14"/>
      <c r="P13192" s="13"/>
    </row>
    <row r="13193">
      <c r="L13193" s="13"/>
      <c r="M13193" s="14"/>
      <c r="N13193" s="14"/>
      <c r="O13193" s="14"/>
      <c r="P13193" s="13"/>
    </row>
    <row r="13194">
      <c r="L13194" s="13"/>
      <c r="M13194" s="14"/>
      <c r="N13194" s="14"/>
      <c r="O13194" s="14"/>
      <c r="P13194" s="13"/>
    </row>
    <row r="13195">
      <c r="L13195" s="13"/>
      <c r="M13195" s="14"/>
      <c r="N13195" s="14"/>
      <c r="O13195" s="14"/>
      <c r="P13195" s="13"/>
    </row>
    <row r="13196">
      <c r="L13196" s="13"/>
      <c r="M13196" s="14"/>
      <c r="N13196" s="14"/>
      <c r="O13196" s="14"/>
      <c r="P13196" s="13"/>
    </row>
    <row r="13197">
      <c r="L13197" s="13"/>
      <c r="M13197" s="14"/>
      <c r="N13197" s="14"/>
      <c r="O13197" s="14"/>
      <c r="P13197" s="13"/>
    </row>
    <row r="13198">
      <c r="L13198" s="13"/>
      <c r="M13198" s="14"/>
      <c r="N13198" s="14"/>
      <c r="O13198" s="14"/>
      <c r="P13198" s="13"/>
    </row>
    <row r="13199">
      <c r="L13199" s="13"/>
      <c r="M13199" s="14"/>
      <c r="N13199" s="14"/>
      <c r="O13199" s="14"/>
      <c r="P13199" s="13"/>
    </row>
    <row r="13200">
      <c r="L13200" s="13"/>
      <c r="M13200" s="14"/>
      <c r="N13200" s="14"/>
      <c r="O13200" s="14"/>
      <c r="P13200" s="13"/>
    </row>
    <row r="13201">
      <c r="L13201" s="13"/>
      <c r="M13201" s="14"/>
      <c r="N13201" s="14"/>
      <c r="O13201" s="14"/>
      <c r="P13201" s="13"/>
    </row>
    <row r="13202">
      <c r="L13202" s="13"/>
      <c r="M13202" s="14"/>
      <c r="N13202" s="14"/>
      <c r="O13202" s="14"/>
      <c r="P13202" s="13"/>
    </row>
    <row r="13203">
      <c r="L13203" s="13"/>
      <c r="M13203" s="14"/>
      <c r="N13203" s="14"/>
      <c r="O13203" s="14"/>
      <c r="P13203" s="13"/>
    </row>
    <row r="13204">
      <c r="L13204" s="13"/>
      <c r="M13204" s="14"/>
      <c r="N13204" s="14"/>
      <c r="O13204" s="14"/>
      <c r="P13204" s="13"/>
    </row>
    <row r="13205">
      <c r="L13205" s="13"/>
      <c r="M13205" s="14"/>
      <c r="N13205" s="14"/>
      <c r="O13205" s="14"/>
      <c r="P13205" s="13"/>
    </row>
    <row r="13206">
      <c r="L13206" s="13"/>
      <c r="M13206" s="14"/>
      <c r="N13206" s="14"/>
      <c r="O13206" s="14"/>
      <c r="P13206" s="13"/>
    </row>
    <row r="13207">
      <c r="L13207" s="13"/>
      <c r="M13207" s="14"/>
      <c r="N13207" s="14"/>
      <c r="O13207" s="14"/>
      <c r="P13207" s="13"/>
    </row>
    <row r="13208">
      <c r="L13208" s="13"/>
      <c r="M13208" s="14"/>
      <c r="N13208" s="14"/>
      <c r="O13208" s="14"/>
      <c r="P13208" s="13"/>
    </row>
    <row r="13209">
      <c r="L13209" s="13"/>
      <c r="M13209" s="14"/>
      <c r="N13209" s="14"/>
      <c r="O13209" s="14"/>
      <c r="P13209" s="13"/>
    </row>
    <row r="13210">
      <c r="L13210" s="13"/>
      <c r="M13210" s="14"/>
      <c r="N13210" s="14"/>
      <c r="O13210" s="14"/>
      <c r="P13210" s="13"/>
    </row>
    <row r="13211">
      <c r="L13211" s="13"/>
      <c r="M13211" s="14"/>
      <c r="N13211" s="14"/>
      <c r="O13211" s="14"/>
      <c r="P13211" s="13"/>
    </row>
    <row r="13212">
      <c r="L13212" s="13"/>
      <c r="M13212" s="14"/>
      <c r="N13212" s="14"/>
      <c r="O13212" s="14"/>
      <c r="P13212" s="13"/>
    </row>
    <row r="13213">
      <c r="L13213" s="13"/>
      <c r="M13213" s="14"/>
      <c r="N13213" s="14"/>
      <c r="O13213" s="14"/>
      <c r="P13213" s="13"/>
    </row>
    <row r="13214">
      <c r="L13214" s="13"/>
      <c r="M13214" s="14"/>
      <c r="N13214" s="14"/>
      <c r="O13214" s="14"/>
      <c r="P13214" s="13"/>
    </row>
    <row r="13215">
      <c r="L13215" s="13"/>
      <c r="M13215" s="14"/>
      <c r="N13215" s="14"/>
      <c r="O13215" s="14"/>
      <c r="P13215" s="13"/>
    </row>
    <row r="13216">
      <c r="L13216" s="13"/>
      <c r="M13216" s="14"/>
      <c r="N13216" s="14"/>
      <c r="O13216" s="14"/>
      <c r="P13216" s="13"/>
    </row>
    <row r="13217">
      <c r="L13217" s="13"/>
      <c r="M13217" s="14"/>
      <c r="N13217" s="14"/>
      <c r="O13217" s="14"/>
      <c r="P13217" s="13"/>
    </row>
    <row r="13218">
      <c r="L13218" s="13"/>
      <c r="M13218" s="14"/>
      <c r="N13218" s="14"/>
      <c r="O13218" s="14"/>
      <c r="P13218" s="13"/>
    </row>
    <row r="13219">
      <c r="L13219" s="13"/>
      <c r="M13219" s="14"/>
      <c r="N13219" s="14"/>
      <c r="O13219" s="14"/>
      <c r="P13219" s="13"/>
    </row>
    <row r="13220">
      <c r="L13220" s="13"/>
      <c r="M13220" s="14"/>
      <c r="N13220" s="14"/>
      <c r="O13220" s="14"/>
      <c r="P13220" s="13"/>
    </row>
    <row r="13221">
      <c r="L13221" s="13"/>
      <c r="M13221" s="14"/>
      <c r="N13221" s="14"/>
      <c r="O13221" s="14"/>
      <c r="P13221" s="13"/>
    </row>
    <row r="13222">
      <c r="L13222" s="13"/>
      <c r="M13222" s="14"/>
      <c r="N13222" s="14"/>
      <c r="O13222" s="14"/>
      <c r="P13222" s="13"/>
    </row>
    <row r="13223">
      <c r="L13223" s="13"/>
      <c r="M13223" s="14"/>
      <c r="N13223" s="14"/>
      <c r="O13223" s="14"/>
      <c r="P13223" s="13"/>
    </row>
    <row r="13224">
      <c r="L13224" s="13"/>
      <c r="M13224" s="14"/>
      <c r="N13224" s="14"/>
      <c r="O13224" s="14"/>
      <c r="P13224" s="13"/>
    </row>
    <row r="13225">
      <c r="L13225" s="13"/>
      <c r="M13225" s="14"/>
      <c r="N13225" s="14"/>
      <c r="O13225" s="14"/>
      <c r="P13225" s="13"/>
    </row>
    <row r="13226">
      <c r="L13226" s="13"/>
      <c r="M13226" s="14"/>
      <c r="N13226" s="14"/>
      <c r="O13226" s="14"/>
      <c r="P13226" s="13"/>
    </row>
    <row r="13227">
      <c r="L13227" s="13"/>
      <c r="M13227" s="14"/>
      <c r="N13227" s="14"/>
      <c r="O13227" s="14"/>
      <c r="P13227" s="13"/>
    </row>
    <row r="13228">
      <c r="L13228" s="13"/>
      <c r="M13228" s="14"/>
      <c r="N13228" s="14"/>
      <c r="O13228" s="14"/>
      <c r="P13228" s="13"/>
    </row>
    <row r="13229">
      <c r="L13229" s="13"/>
      <c r="M13229" s="14"/>
      <c r="N13229" s="14"/>
      <c r="O13229" s="14"/>
      <c r="P13229" s="13"/>
    </row>
    <row r="13230">
      <c r="L13230" s="13"/>
      <c r="M13230" s="14"/>
      <c r="N13230" s="14"/>
      <c r="O13230" s="14"/>
      <c r="P13230" s="13"/>
    </row>
    <row r="13231">
      <c r="L13231" s="13"/>
      <c r="M13231" s="14"/>
      <c r="N13231" s="14"/>
      <c r="O13231" s="14"/>
      <c r="P13231" s="13"/>
    </row>
    <row r="13232">
      <c r="L13232" s="13"/>
      <c r="M13232" s="14"/>
      <c r="N13232" s="14"/>
      <c r="O13232" s="14"/>
      <c r="P13232" s="13"/>
    </row>
    <row r="13233">
      <c r="L13233" s="13"/>
      <c r="M13233" s="14"/>
      <c r="N13233" s="14"/>
      <c r="O13233" s="14"/>
      <c r="P13233" s="13"/>
    </row>
    <row r="13234">
      <c r="L13234" s="13"/>
      <c r="M13234" s="14"/>
      <c r="N13234" s="14"/>
      <c r="O13234" s="14"/>
      <c r="P13234" s="13"/>
    </row>
    <row r="13235">
      <c r="L13235" s="13"/>
      <c r="M13235" s="14"/>
      <c r="N13235" s="14"/>
      <c r="O13235" s="14"/>
      <c r="P13235" s="13"/>
    </row>
    <row r="13236">
      <c r="L13236" s="13"/>
      <c r="M13236" s="14"/>
      <c r="N13236" s="14"/>
      <c r="O13236" s="14"/>
      <c r="P13236" s="13"/>
    </row>
    <row r="13237">
      <c r="L13237" s="13"/>
      <c r="M13237" s="14"/>
      <c r="N13237" s="14"/>
      <c r="O13237" s="14"/>
      <c r="P13237" s="13"/>
    </row>
    <row r="13238">
      <c r="L13238" s="13"/>
      <c r="M13238" s="14"/>
      <c r="N13238" s="14"/>
      <c r="O13238" s="14"/>
      <c r="P13238" s="13"/>
    </row>
    <row r="13239">
      <c r="L13239" s="13"/>
      <c r="M13239" s="14"/>
      <c r="N13239" s="14"/>
      <c r="O13239" s="14"/>
      <c r="P13239" s="13"/>
    </row>
    <row r="13240">
      <c r="L13240" s="13"/>
      <c r="M13240" s="14"/>
      <c r="N13240" s="14"/>
      <c r="O13240" s="14"/>
      <c r="P13240" s="13"/>
    </row>
    <row r="13241">
      <c r="L13241" s="13"/>
      <c r="M13241" s="14"/>
      <c r="N13241" s="14"/>
      <c r="O13241" s="14"/>
      <c r="P13241" s="13"/>
    </row>
    <row r="13242">
      <c r="L13242" s="13"/>
      <c r="M13242" s="14"/>
      <c r="N13242" s="14"/>
      <c r="O13242" s="14"/>
      <c r="P13242" s="13"/>
    </row>
    <row r="13243">
      <c r="L13243" s="13"/>
      <c r="M13243" s="14"/>
      <c r="N13243" s="14"/>
      <c r="O13243" s="14"/>
      <c r="P13243" s="13"/>
    </row>
    <row r="13244">
      <c r="L13244" s="13"/>
      <c r="M13244" s="14"/>
      <c r="N13244" s="14"/>
      <c r="O13244" s="14"/>
      <c r="P13244" s="13"/>
    </row>
    <row r="13245">
      <c r="L13245" s="13"/>
      <c r="M13245" s="14"/>
      <c r="N13245" s="14"/>
      <c r="O13245" s="14"/>
      <c r="P13245" s="13"/>
    </row>
    <row r="13246">
      <c r="L13246" s="13"/>
      <c r="M13246" s="14"/>
      <c r="N13246" s="14"/>
      <c r="O13246" s="14"/>
      <c r="P13246" s="13"/>
    </row>
    <row r="13247">
      <c r="L13247" s="13"/>
      <c r="M13247" s="14"/>
      <c r="N13247" s="14"/>
      <c r="O13247" s="14"/>
      <c r="P13247" s="13"/>
    </row>
    <row r="13248">
      <c r="L13248" s="13"/>
      <c r="M13248" s="14"/>
      <c r="N13248" s="14"/>
      <c r="O13248" s="14"/>
      <c r="P13248" s="13"/>
    </row>
    <row r="13249">
      <c r="L13249" s="13"/>
      <c r="M13249" s="14"/>
      <c r="N13249" s="14"/>
      <c r="O13249" s="14"/>
      <c r="P13249" s="13"/>
    </row>
    <row r="13250">
      <c r="L13250" s="13"/>
      <c r="M13250" s="14"/>
      <c r="N13250" s="14"/>
      <c r="O13250" s="14"/>
      <c r="P13250" s="13"/>
    </row>
    <row r="13251">
      <c r="L13251" s="13"/>
      <c r="M13251" s="14"/>
      <c r="N13251" s="14"/>
      <c r="O13251" s="14"/>
      <c r="P13251" s="13"/>
    </row>
    <row r="13252">
      <c r="L13252" s="13"/>
      <c r="M13252" s="14"/>
      <c r="N13252" s="14"/>
      <c r="O13252" s="14"/>
      <c r="P13252" s="13"/>
    </row>
    <row r="13253">
      <c r="L13253" s="13"/>
      <c r="M13253" s="14"/>
      <c r="N13253" s="14"/>
      <c r="O13253" s="14"/>
      <c r="P13253" s="13"/>
    </row>
    <row r="13254">
      <c r="L13254" s="13"/>
      <c r="M13254" s="14"/>
      <c r="N13254" s="14"/>
      <c r="O13254" s="14"/>
      <c r="P13254" s="13"/>
    </row>
    <row r="13255">
      <c r="L13255" s="13"/>
      <c r="M13255" s="14"/>
      <c r="N13255" s="14"/>
      <c r="O13255" s="14"/>
      <c r="P13255" s="13"/>
    </row>
    <row r="13256">
      <c r="L13256" s="13"/>
      <c r="M13256" s="14"/>
      <c r="N13256" s="14"/>
      <c r="O13256" s="14"/>
      <c r="P13256" s="13"/>
    </row>
    <row r="13257">
      <c r="L13257" s="13"/>
      <c r="M13257" s="14"/>
      <c r="N13257" s="14"/>
      <c r="O13257" s="14"/>
      <c r="P13257" s="13"/>
    </row>
    <row r="13258">
      <c r="L13258" s="13"/>
      <c r="M13258" s="14"/>
      <c r="N13258" s="14"/>
      <c r="O13258" s="14"/>
      <c r="P13258" s="13"/>
    </row>
    <row r="13259">
      <c r="L13259" s="13"/>
      <c r="M13259" s="14"/>
      <c r="N13259" s="14"/>
      <c r="O13259" s="14"/>
      <c r="P13259" s="13"/>
    </row>
    <row r="13260">
      <c r="L13260" s="13"/>
      <c r="M13260" s="14"/>
      <c r="N13260" s="14"/>
      <c r="O13260" s="14"/>
      <c r="P13260" s="13"/>
    </row>
    <row r="13261">
      <c r="L13261" s="13"/>
      <c r="M13261" s="14"/>
      <c r="N13261" s="14"/>
      <c r="O13261" s="14"/>
      <c r="P13261" s="13"/>
    </row>
    <row r="13262">
      <c r="L13262" s="13"/>
      <c r="M13262" s="14"/>
      <c r="N13262" s="14"/>
      <c r="O13262" s="14"/>
      <c r="P13262" s="13"/>
    </row>
    <row r="13263">
      <c r="L13263" s="13"/>
      <c r="M13263" s="14"/>
      <c r="N13263" s="14"/>
      <c r="O13263" s="14"/>
      <c r="P13263" s="13"/>
    </row>
    <row r="13264">
      <c r="L13264" s="13"/>
      <c r="M13264" s="14"/>
      <c r="N13264" s="14"/>
      <c r="O13264" s="14"/>
      <c r="P13264" s="13"/>
    </row>
    <row r="13265">
      <c r="L13265" s="13"/>
      <c r="M13265" s="14"/>
      <c r="N13265" s="14"/>
      <c r="O13265" s="14"/>
      <c r="P13265" s="13"/>
    </row>
    <row r="13266">
      <c r="L13266" s="13"/>
      <c r="M13266" s="14"/>
      <c r="N13266" s="14"/>
      <c r="O13266" s="14"/>
      <c r="P13266" s="13"/>
    </row>
    <row r="13267">
      <c r="L13267" s="13"/>
      <c r="M13267" s="14"/>
      <c r="N13267" s="14"/>
      <c r="O13267" s="14"/>
      <c r="P13267" s="13"/>
    </row>
    <row r="13268">
      <c r="L13268" s="13"/>
      <c r="M13268" s="14"/>
      <c r="N13268" s="14"/>
      <c r="O13268" s="14"/>
      <c r="P13268" s="13"/>
    </row>
    <row r="13269">
      <c r="L13269" s="13"/>
      <c r="M13269" s="14"/>
      <c r="N13269" s="14"/>
      <c r="O13269" s="14"/>
      <c r="P13269" s="13"/>
    </row>
    <row r="13270">
      <c r="L13270" s="13"/>
      <c r="M13270" s="14"/>
      <c r="N13270" s="14"/>
      <c r="O13270" s="14"/>
      <c r="P13270" s="13"/>
    </row>
    <row r="13271">
      <c r="L13271" s="13"/>
      <c r="M13271" s="14"/>
      <c r="N13271" s="14"/>
      <c r="O13271" s="14"/>
      <c r="P13271" s="13"/>
    </row>
    <row r="13272">
      <c r="L13272" s="13"/>
      <c r="M13272" s="14"/>
      <c r="N13272" s="14"/>
      <c r="O13272" s="14"/>
      <c r="P13272" s="13"/>
    </row>
    <row r="13273">
      <c r="L13273" s="13"/>
      <c r="M13273" s="14"/>
      <c r="N13273" s="14"/>
      <c r="O13273" s="14"/>
      <c r="P13273" s="13"/>
    </row>
    <row r="13274">
      <c r="L13274" s="13"/>
      <c r="M13274" s="14"/>
      <c r="N13274" s="14"/>
      <c r="O13274" s="14"/>
      <c r="P13274" s="13"/>
    </row>
    <row r="13275">
      <c r="L13275" s="13"/>
      <c r="M13275" s="14"/>
      <c r="N13275" s="14"/>
      <c r="O13275" s="14"/>
      <c r="P13275" s="13"/>
    </row>
    <row r="13276">
      <c r="L13276" s="13"/>
      <c r="M13276" s="14"/>
      <c r="N13276" s="14"/>
      <c r="O13276" s="14"/>
      <c r="P13276" s="13"/>
    </row>
    <row r="13277">
      <c r="L13277" s="13"/>
      <c r="M13277" s="14"/>
      <c r="N13277" s="14"/>
      <c r="O13277" s="14"/>
      <c r="P13277" s="13"/>
    </row>
    <row r="13278">
      <c r="L13278" s="13"/>
      <c r="M13278" s="14"/>
      <c r="N13278" s="14"/>
      <c r="O13278" s="14"/>
      <c r="P13278" s="13"/>
    </row>
    <row r="13279">
      <c r="L13279" s="13"/>
      <c r="M13279" s="14"/>
      <c r="N13279" s="14"/>
      <c r="O13279" s="14"/>
      <c r="P13279" s="13"/>
    </row>
    <row r="13280">
      <c r="L13280" s="13"/>
      <c r="M13280" s="14"/>
      <c r="N13280" s="14"/>
      <c r="O13280" s="14"/>
      <c r="P13280" s="13"/>
    </row>
    <row r="13281">
      <c r="L13281" s="13"/>
      <c r="M13281" s="14"/>
      <c r="N13281" s="14"/>
      <c r="O13281" s="14"/>
      <c r="P13281" s="13"/>
    </row>
    <row r="13282">
      <c r="L13282" s="13"/>
      <c r="M13282" s="14"/>
      <c r="N13282" s="14"/>
      <c r="O13282" s="14"/>
      <c r="P13282" s="13"/>
    </row>
    <row r="13283">
      <c r="L13283" s="13"/>
      <c r="M13283" s="14"/>
      <c r="N13283" s="14"/>
      <c r="O13283" s="14"/>
      <c r="P13283" s="13"/>
    </row>
    <row r="13284">
      <c r="L13284" s="13"/>
      <c r="M13284" s="14"/>
      <c r="N13284" s="14"/>
      <c r="O13284" s="14"/>
      <c r="P13284" s="13"/>
    </row>
    <row r="13285">
      <c r="L13285" s="13"/>
      <c r="M13285" s="14"/>
      <c r="N13285" s="14"/>
      <c r="O13285" s="14"/>
      <c r="P13285" s="13"/>
    </row>
    <row r="13286">
      <c r="L13286" s="13"/>
      <c r="M13286" s="14"/>
      <c r="N13286" s="14"/>
      <c r="O13286" s="14"/>
      <c r="P13286" s="13"/>
    </row>
    <row r="13287">
      <c r="L13287" s="13"/>
      <c r="M13287" s="14"/>
      <c r="N13287" s="14"/>
      <c r="O13287" s="14"/>
      <c r="P13287" s="13"/>
    </row>
    <row r="13288">
      <c r="L13288" s="13"/>
      <c r="M13288" s="14"/>
      <c r="N13288" s="14"/>
      <c r="O13288" s="14"/>
      <c r="P13288" s="13"/>
    </row>
    <row r="13289">
      <c r="L13289" s="13"/>
      <c r="M13289" s="14"/>
      <c r="N13289" s="14"/>
      <c r="O13289" s="14"/>
      <c r="P13289" s="13"/>
    </row>
    <row r="13290">
      <c r="L13290" s="13"/>
      <c r="M13290" s="14"/>
      <c r="N13290" s="14"/>
      <c r="O13290" s="14"/>
      <c r="P13290" s="13"/>
    </row>
    <row r="13291">
      <c r="L13291" s="13"/>
      <c r="M13291" s="14"/>
      <c r="N13291" s="14"/>
      <c r="O13291" s="14"/>
      <c r="P13291" s="13"/>
    </row>
    <row r="13292">
      <c r="L13292" s="13"/>
      <c r="M13292" s="14"/>
      <c r="N13292" s="14"/>
      <c r="O13292" s="14"/>
      <c r="P13292" s="13"/>
    </row>
    <row r="13293">
      <c r="L13293" s="13"/>
      <c r="M13293" s="14"/>
      <c r="N13293" s="14"/>
      <c r="O13293" s="14"/>
      <c r="P13293" s="13"/>
    </row>
    <row r="13294">
      <c r="L13294" s="13"/>
      <c r="M13294" s="14"/>
      <c r="N13294" s="14"/>
      <c r="O13294" s="14"/>
      <c r="P13294" s="13"/>
    </row>
    <row r="13295">
      <c r="L13295" s="13"/>
      <c r="M13295" s="14"/>
      <c r="N13295" s="14"/>
      <c r="O13295" s="14"/>
      <c r="P13295" s="13"/>
    </row>
    <row r="13296">
      <c r="L13296" s="13"/>
      <c r="M13296" s="14"/>
      <c r="N13296" s="14"/>
      <c r="O13296" s="14"/>
      <c r="P13296" s="13"/>
    </row>
    <row r="13297">
      <c r="L13297" s="13"/>
      <c r="M13297" s="14"/>
      <c r="N13297" s="14"/>
      <c r="O13297" s="14"/>
      <c r="P13297" s="13"/>
    </row>
    <row r="13298">
      <c r="L13298" s="13"/>
      <c r="M13298" s="14"/>
      <c r="N13298" s="14"/>
      <c r="O13298" s="14"/>
      <c r="P13298" s="13"/>
    </row>
    <row r="13299">
      <c r="L13299" s="13"/>
      <c r="M13299" s="14"/>
      <c r="N13299" s="14"/>
      <c r="O13299" s="14"/>
      <c r="P13299" s="13"/>
    </row>
    <row r="13300">
      <c r="L13300" s="13"/>
      <c r="M13300" s="14"/>
      <c r="N13300" s="14"/>
      <c r="O13300" s="14"/>
      <c r="P13300" s="13"/>
    </row>
    <row r="13301">
      <c r="L13301" s="13"/>
      <c r="M13301" s="14"/>
      <c r="N13301" s="14"/>
      <c r="O13301" s="14"/>
      <c r="P13301" s="13"/>
    </row>
    <row r="13302">
      <c r="L13302" s="13"/>
      <c r="M13302" s="14"/>
      <c r="N13302" s="14"/>
      <c r="O13302" s="14"/>
      <c r="P13302" s="13"/>
    </row>
    <row r="13303">
      <c r="L13303" s="13"/>
      <c r="M13303" s="14"/>
      <c r="N13303" s="14"/>
      <c r="O13303" s="14"/>
      <c r="P13303" s="13"/>
    </row>
    <row r="13304">
      <c r="L13304" s="13"/>
      <c r="M13304" s="14"/>
      <c r="N13304" s="14"/>
      <c r="O13304" s="14"/>
      <c r="P13304" s="13"/>
    </row>
    <row r="13305">
      <c r="L13305" s="13"/>
      <c r="M13305" s="14"/>
      <c r="N13305" s="14"/>
      <c r="O13305" s="14"/>
      <c r="P13305" s="13"/>
    </row>
    <row r="13306">
      <c r="L13306" s="13"/>
      <c r="M13306" s="14"/>
      <c r="N13306" s="14"/>
      <c r="O13306" s="14"/>
      <c r="P13306" s="13"/>
    </row>
    <row r="13307">
      <c r="L13307" s="13"/>
      <c r="M13307" s="14"/>
      <c r="N13307" s="14"/>
      <c r="O13307" s="14"/>
      <c r="P13307" s="13"/>
    </row>
    <row r="13308">
      <c r="L13308" s="13"/>
      <c r="M13308" s="14"/>
      <c r="N13308" s="14"/>
      <c r="O13308" s="14"/>
      <c r="P13308" s="13"/>
    </row>
    <row r="13309">
      <c r="L13309" s="13"/>
      <c r="M13309" s="14"/>
      <c r="N13309" s="14"/>
      <c r="O13309" s="14"/>
      <c r="P13309" s="13"/>
    </row>
    <row r="13310">
      <c r="L13310" s="13"/>
      <c r="M13310" s="14"/>
      <c r="N13310" s="14"/>
      <c r="O13310" s="14"/>
      <c r="P13310" s="13"/>
    </row>
    <row r="13311">
      <c r="L13311" s="13"/>
      <c r="M13311" s="14"/>
      <c r="N13311" s="14"/>
      <c r="O13311" s="14"/>
      <c r="P13311" s="13"/>
    </row>
    <row r="13312">
      <c r="L13312" s="13"/>
      <c r="M13312" s="14"/>
      <c r="N13312" s="14"/>
      <c r="O13312" s="14"/>
      <c r="P13312" s="13"/>
    </row>
    <row r="13313">
      <c r="L13313" s="13"/>
      <c r="M13313" s="14"/>
      <c r="N13313" s="14"/>
      <c r="O13313" s="14"/>
      <c r="P13313" s="13"/>
    </row>
    <row r="13314">
      <c r="L13314" s="13"/>
      <c r="M13314" s="14"/>
      <c r="N13314" s="14"/>
      <c r="O13314" s="14"/>
      <c r="P13314" s="13"/>
    </row>
    <row r="13315">
      <c r="L13315" s="13"/>
      <c r="M13315" s="14"/>
      <c r="N13315" s="14"/>
      <c r="O13315" s="14"/>
      <c r="P13315" s="13"/>
    </row>
    <row r="13316">
      <c r="L13316" s="13"/>
      <c r="M13316" s="14"/>
      <c r="N13316" s="14"/>
      <c r="O13316" s="14"/>
      <c r="P13316" s="13"/>
    </row>
    <row r="13317">
      <c r="L13317" s="13"/>
      <c r="M13317" s="14"/>
      <c r="N13317" s="14"/>
      <c r="O13317" s="14"/>
      <c r="P13317" s="13"/>
    </row>
    <row r="13318">
      <c r="L13318" s="13"/>
      <c r="M13318" s="14"/>
      <c r="N13318" s="14"/>
      <c r="O13318" s="14"/>
      <c r="P13318" s="13"/>
    </row>
    <row r="13319">
      <c r="L13319" s="13"/>
      <c r="M13319" s="14"/>
      <c r="N13319" s="14"/>
      <c r="O13319" s="14"/>
      <c r="P13319" s="13"/>
    </row>
    <row r="13320">
      <c r="L13320" s="13"/>
      <c r="M13320" s="14"/>
      <c r="N13320" s="14"/>
      <c r="O13320" s="14"/>
      <c r="P13320" s="13"/>
    </row>
    <row r="13321">
      <c r="L13321" s="13"/>
      <c r="M13321" s="14"/>
      <c r="N13321" s="14"/>
      <c r="O13321" s="14"/>
      <c r="P13321" s="13"/>
    </row>
    <row r="13322">
      <c r="L13322" s="13"/>
      <c r="M13322" s="14"/>
      <c r="N13322" s="14"/>
      <c r="O13322" s="14"/>
      <c r="P13322" s="13"/>
    </row>
    <row r="13323">
      <c r="L13323" s="13"/>
      <c r="M13323" s="14"/>
      <c r="N13323" s="14"/>
      <c r="O13323" s="14"/>
      <c r="P13323" s="13"/>
    </row>
    <row r="13324">
      <c r="L13324" s="13"/>
      <c r="M13324" s="14"/>
      <c r="N13324" s="14"/>
      <c r="O13324" s="14"/>
      <c r="P13324" s="13"/>
    </row>
    <row r="13325">
      <c r="L13325" s="13"/>
      <c r="M13325" s="14"/>
      <c r="N13325" s="14"/>
      <c r="O13325" s="14"/>
      <c r="P13325" s="13"/>
    </row>
    <row r="13326">
      <c r="L13326" s="13"/>
      <c r="M13326" s="14"/>
      <c r="N13326" s="14"/>
      <c r="O13326" s="14"/>
      <c r="P13326" s="13"/>
    </row>
    <row r="13327">
      <c r="L13327" s="13"/>
      <c r="M13327" s="14"/>
      <c r="N13327" s="14"/>
      <c r="O13327" s="14"/>
      <c r="P13327" s="13"/>
    </row>
    <row r="13328">
      <c r="L13328" s="13"/>
      <c r="M13328" s="14"/>
      <c r="N13328" s="14"/>
      <c r="O13328" s="14"/>
      <c r="P13328" s="13"/>
    </row>
    <row r="13329">
      <c r="L13329" s="13"/>
      <c r="M13329" s="14"/>
      <c r="N13329" s="14"/>
      <c r="O13329" s="14"/>
      <c r="P13329" s="13"/>
    </row>
    <row r="13330">
      <c r="L13330" s="13"/>
      <c r="M13330" s="14"/>
      <c r="N13330" s="14"/>
      <c r="O13330" s="14"/>
      <c r="P13330" s="13"/>
    </row>
    <row r="13331">
      <c r="L13331" s="13"/>
      <c r="M13331" s="14"/>
      <c r="N13331" s="14"/>
      <c r="O13331" s="14"/>
      <c r="P13331" s="13"/>
    </row>
    <row r="13332">
      <c r="L13332" s="13"/>
      <c r="M13332" s="14"/>
      <c r="N13332" s="14"/>
      <c r="O13332" s="14"/>
      <c r="P13332" s="13"/>
    </row>
    <row r="13333">
      <c r="L13333" s="13"/>
      <c r="M13333" s="14"/>
      <c r="N13333" s="14"/>
      <c r="O13333" s="14"/>
      <c r="P13333" s="13"/>
    </row>
    <row r="13334">
      <c r="L13334" s="13"/>
      <c r="M13334" s="14"/>
      <c r="N13334" s="14"/>
      <c r="O13334" s="14"/>
      <c r="P13334" s="13"/>
    </row>
    <row r="13335">
      <c r="L13335" s="13"/>
      <c r="M13335" s="14"/>
      <c r="N13335" s="14"/>
      <c r="O13335" s="14"/>
      <c r="P13335" s="13"/>
    </row>
    <row r="13336">
      <c r="L13336" s="13"/>
      <c r="M13336" s="14"/>
      <c r="N13336" s="14"/>
      <c r="O13336" s="14"/>
      <c r="P13336" s="13"/>
    </row>
    <row r="13337">
      <c r="L13337" s="13"/>
      <c r="M13337" s="14"/>
      <c r="N13337" s="14"/>
      <c r="O13337" s="14"/>
      <c r="P13337" s="13"/>
    </row>
    <row r="13338">
      <c r="L13338" s="13"/>
      <c r="M13338" s="14"/>
      <c r="N13338" s="14"/>
      <c r="O13338" s="14"/>
      <c r="P13338" s="13"/>
    </row>
    <row r="13339">
      <c r="L13339" s="13"/>
      <c r="M13339" s="14"/>
      <c r="N13339" s="14"/>
      <c r="O13339" s="14"/>
      <c r="P13339" s="13"/>
    </row>
    <row r="13340">
      <c r="L13340" s="13"/>
      <c r="M13340" s="14"/>
      <c r="N13340" s="14"/>
      <c r="O13340" s="14"/>
      <c r="P13340" s="13"/>
    </row>
    <row r="13341">
      <c r="L13341" s="13"/>
      <c r="M13341" s="14"/>
      <c r="N13341" s="14"/>
      <c r="O13341" s="14"/>
      <c r="P13341" s="13"/>
    </row>
    <row r="13342">
      <c r="L13342" s="13"/>
      <c r="M13342" s="14"/>
      <c r="N13342" s="14"/>
      <c r="O13342" s="14"/>
      <c r="P13342" s="13"/>
    </row>
    <row r="13343">
      <c r="L13343" s="13"/>
      <c r="M13343" s="14"/>
      <c r="N13343" s="14"/>
      <c r="O13343" s="14"/>
      <c r="P13343" s="13"/>
    </row>
    <row r="13344">
      <c r="L13344" s="13"/>
      <c r="M13344" s="14"/>
      <c r="N13344" s="14"/>
      <c r="O13344" s="14"/>
      <c r="P13344" s="13"/>
    </row>
    <row r="13345">
      <c r="L13345" s="13"/>
      <c r="M13345" s="14"/>
      <c r="N13345" s="14"/>
      <c r="O13345" s="14"/>
      <c r="P13345" s="13"/>
    </row>
    <row r="13346">
      <c r="L13346" s="13"/>
      <c r="M13346" s="14"/>
      <c r="N13346" s="14"/>
      <c r="O13346" s="14"/>
      <c r="P13346" s="13"/>
    </row>
    <row r="13347">
      <c r="L13347" s="13"/>
      <c r="M13347" s="14"/>
      <c r="N13347" s="14"/>
      <c r="O13347" s="14"/>
      <c r="P13347" s="13"/>
    </row>
    <row r="13348">
      <c r="L13348" s="13"/>
      <c r="M13348" s="14"/>
      <c r="N13348" s="14"/>
      <c r="O13348" s="14"/>
      <c r="P13348" s="13"/>
    </row>
    <row r="13349">
      <c r="L13349" s="13"/>
      <c r="M13349" s="14"/>
      <c r="N13349" s="14"/>
      <c r="O13349" s="14"/>
      <c r="P13349" s="13"/>
    </row>
    <row r="13350">
      <c r="L13350" s="13"/>
      <c r="M13350" s="14"/>
      <c r="N13350" s="14"/>
      <c r="O13350" s="14"/>
      <c r="P13350" s="13"/>
    </row>
    <row r="13351">
      <c r="L13351" s="13"/>
      <c r="M13351" s="14"/>
      <c r="N13351" s="14"/>
      <c r="O13351" s="14"/>
      <c r="P13351" s="13"/>
    </row>
    <row r="13352">
      <c r="L13352" s="13"/>
      <c r="M13352" s="14"/>
      <c r="N13352" s="14"/>
      <c r="O13352" s="14"/>
      <c r="P13352" s="13"/>
    </row>
    <row r="13353">
      <c r="L13353" s="13"/>
      <c r="M13353" s="14"/>
      <c r="N13353" s="14"/>
      <c r="O13353" s="14"/>
      <c r="P13353" s="13"/>
    </row>
    <row r="13354">
      <c r="L13354" s="13"/>
      <c r="M13354" s="14"/>
      <c r="N13354" s="14"/>
      <c r="O13354" s="14"/>
      <c r="P13354" s="13"/>
    </row>
    <row r="13355">
      <c r="L13355" s="13"/>
      <c r="M13355" s="14"/>
      <c r="N13355" s="14"/>
      <c r="O13355" s="14"/>
      <c r="P13355" s="13"/>
    </row>
    <row r="13356">
      <c r="L13356" s="13"/>
      <c r="M13356" s="14"/>
      <c r="N13356" s="14"/>
      <c r="O13356" s="14"/>
      <c r="P13356" s="13"/>
    </row>
    <row r="13357">
      <c r="L13357" s="13"/>
      <c r="M13357" s="14"/>
      <c r="N13357" s="14"/>
      <c r="O13357" s="14"/>
      <c r="P13357" s="13"/>
    </row>
    <row r="13358">
      <c r="L13358" s="13"/>
      <c r="M13358" s="14"/>
      <c r="N13358" s="14"/>
      <c r="O13358" s="14"/>
      <c r="P13358" s="13"/>
    </row>
    <row r="13359">
      <c r="L13359" s="13"/>
      <c r="M13359" s="14"/>
      <c r="N13359" s="14"/>
      <c r="O13359" s="14"/>
      <c r="P13359" s="13"/>
    </row>
    <row r="13360">
      <c r="L13360" s="13"/>
      <c r="M13360" s="14"/>
      <c r="N13360" s="14"/>
      <c r="O13360" s="14"/>
      <c r="P13360" s="13"/>
    </row>
    <row r="13361">
      <c r="L13361" s="13"/>
      <c r="M13361" s="14"/>
      <c r="N13361" s="14"/>
      <c r="O13361" s="14"/>
      <c r="P13361" s="13"/>
    </row>
    <row r="13362">
      <c r="L13362" s="13"/>
      <c r="M13362" s="14"/>
      <c r="N13362" s="14"/>
      <c r="O13362" s="14"/>
      <c r="P13362" s="13"/>
    </row>
    <row r="13363">
      <c r="L13363" s="13"/>
      <c r="M13363" s="14"/>
      <c r="N13363" s="14"/>
      <c r="O13363" s="14"/>
      <c r="P13363" s="13"/>
    </row>
    <row r="13364">
      <c r="L13364" s="13"/>
      <c r="M13364" s="14"/>
      <c r="N13364" s="14"/>
      <c r="O13364" s="14"/>
      <c r="P13364" s="13"/>
    </row>
    <row r="13365">
      <c r="L13365" s="13"/>
      <c r="M13365" s="14"/>
      <c r="N13365" s="14"/>
      <c r="O13365" s="14"/>
      <c r="P13365" s="13"/>
    </row>
    <row r="13366">
      <c r="L13366" s="13"/>
      <c r="M13366" s="14"/>
      <c r="N13366" s="14"/>
      <c r="O13366" s="14"/>
      <c r="P13366" s="13"/>
    </row>
    <row r="13367">
      <c r="L13367" s="13"/>
      <c r="M13367" s="14"/>
      <c r="N13367" s="14"/>
      <c r="O13367" s="14"/>
      <c r="P13367" s="13"/>
    </row>
    <row r="13368">
      <c r="L13368" s="13"/>
      <c r="M13368" s="14"/>
      <c r="N13368" s="14"/>
      <c r="O13368" s="14"/>
      <c r="P13368" s="13"/>
    </row>
    <row r="13369">
      <c r="L13369" s="13"/>
      <c r="M13369" s="14"/>
      <c r="N13369" s="14"/>
      <c r="O13369" s="14"/>
      <c r="P13369" s="13"/>
    </row>
    <row r="13370">
      <c r="L13370" s="13"/>
      <c r="M13370" s="14"/>
      <c r="N13370" s="14"/>
      <c r="O13370" s="14"/>
      <c r="P13370" s="13"/>
    </row>
    <row r="13371">
      <c r="L13371" s="13"/>
      <c r="M13371" s="14"/>
      <c r="N13371" s="14"/>
      <c r="O13371" s="14"/>
      <c r="P13371" s="13"/>
    </row>
    <row r="13372">
      <c r="L13372" s="13"/>
      <c r="M13372" s="14"/>
      <c r="N13372" s="14"/>
      <c r="O13372" s="14"/>
      <c r="P13372" s="13"/>
    </row>
    <row r="13373">
      <c r="L13373" s="13"/>
      <c r="M13373" s="14"/>
      <c r="N13373" s="14"/>
      <c r="O13373" s="14"/>
      <c r="P13373" s="13"/>
    </row>
    <row r="13374">
      <c r="L13374" s="13"/>
      <c r="M13374" s="14"/>
      <c r="N13374" s="14"/>
      <c r="O13374" s="14"/>
      <c r="P13374" s="13"/>
    </row>
    <row r="13375">
      <c r="L13375" s="13"/>
      <c r="M13375" s="14"/>
      <c r="N13375" s="14"/>
      <c r="O13375" s="14"/>
      <c r="P13375" s="13"/>
    </row>
    <row r="13376">
      <c r="L13376" s="13"/>
      <c r="M13376" s="14"/>
      <c r="N13376" s="14"/>
      <c r="O13376" s="14"/>
      <c r="P13376" s="13"/>
    </row>
    <row r="13377">
      <c r="L13377" s="13"/>
      <c r="M13377" s="14"/>
      <c r="N13377" s="14"/>
      <c r="O13377" s="14"/>
      <c r="P13377" s="13"/>
    </row>
    <row r="13378">
      <c r="L13378" s="13"/>
      <c r="M13378" s="14"/>
      <c r="N13378" s="14"/>
      <c r="O13378" s="14"/>
      <c r="P13378" s="13"/>
    </row>
    <row r="13379">
      <c r="L13379" s="13"/>
      <c r="M13379" s="14"/>
      <c r="N13379" s="14"/>
      <c r="O13379" s="14"/>
      <c r="P13379" s="13"/>
    </row>
    <row r="13380">
      <c r="L13380" s="13"/>
      <c r="M13380" s="14"/>
      <c r="N13380" s="14"/>
      <c r="O13380" s="14"/>
      <c r="P13380" s="13"/>
    </row>
    <row r="13381">
      <c r="L13381" s="13"/>
      <c r="M13381" s="14"/>
      <c r="N13381" s="14"/>
      <c r="O13381" s="14"/>
      <c r="P13381" s="13"/>
    </row>
    <row r="13382">
      <c r="L13382" s="13"/>
      <c r="M13382" s="14"/>
      <c r="N13382" s="14"/>
      <c r="O13382" s="14"/>
      <c r="P13382" s="13"/>
    </row>
    <row r="13383">
      <c r="L13383" s="13"/>
      <c r="M13383" s="14"/>
      <c r="N13383" s="14"/>
      <c r="O13383" s="14"/>
      <c r="P13383" s="13"/>
    </row>
    <row r="13384">
      <c r="L13384" s="13"/>
      <c r="M13384" s="14"/>
      <c r="N13384" s="14"/>
      <c r="O13384" s="14"/>
      <c r="P13384" s="13"/>
    </row>
    <row r="13385">
      <c r="L13385" s="13"/>
      <c r="M13385" s="14"/>
      <c r="N13385" s="14"/>
      <c r="O13385" s="14"/>
      <c r="P13385" s="13"/>
    </row>
    <row r="13386">
      <c r="L13386" s="13"/>
      <c r="M13386" s="14"/>
      <c r="N13386" s="14"/>
      <c r="O13386" s="14"/>
      <c r="P13386" s="13"/>
    </row>
    <row r="13387">
      <c r="L13387" s="13"/>
      <c r="M13387" s="14"/>
      <c r="N13387" s="14"/>
      <c r="O13387" s="14"/>
      <c r="P13387" s="13"/>
    </row>
    <row r="13388">
      <c r="L13388" s="13"/>
      <c r="M13388" s="14"/>
      <c r="N13388" s="14"/>
      <c r="O13388" s="14"/>
      <c r="P13388" s="13"/>
    </row>
    <row r="13389">
      <c r="L13389" s="13"/>
      <c r="M13389" s="14"/>
      <c r="N13389" s="14"/>
      <c r="O13389" s="14"/>
      <c r="P13389" s="13"/>
    </row>
    <row r="13390">
      <c r="L13390" s="13"/>
      <c r="M13390" s="14"/>
      <c r="N13390" s="14"/>
      <c r="O13390" s="14"/>
      <c r="P13390" s="13"/>
    </row>
    <row r="13391">
      <c r="L13391" s="13"/>
      <c r="M13391" s="14"/>
      <c r="N13391" s="14"/>
      <c r="O13391" s="14"/>
      <c r="P13391" s="13"/>
    </row>
    <row r="13392">
      <c r="L13392" s="13"/>
      <c r="M13392" s="14"/>
      <c r="N13392" s="14"/>
      <c r="O13392" s="14"/>
      <c r="P13392" s="13"/>
    </row>
    <row r="13393">
      <c r="L13393" s="13"/>
      <c r="M13393" s="14"/>
      <c r="N13393" s="14"/>
      <c r="O13393" s="14"/>
      <c r="P13393" s="13"/>
    </row>
    <row r="13394">
      <c r="L13394" s="13"/>
      <c r="M13394" s="14"/>
      <c r="N13394" s="14"/>
      <c r="O13394" s="14"/>
      <c r="P13394" s="13"/>
    </row>
    <row r="13395">
      <c r="L13395" s="13"/>
      <c r="M13395" s="14"/>
      <c r="N13395" s="14"/>
      <c r="O13395" s="14"/>
      <c r="P13395" s="13"/>
    </row>
    <row r="13396">
      <c r="L13396" s="13"/>
      <c r="M13396" s="14"/>
      <c r="N13396" s="14"/>
      <c r="O13396" s="14"/>
      <c r="P13396" s="13"/>
    </row>
    <row r="13397">
      <c r="L13397" s="13"/>
      <c r="M13397" s="14"/>
      <c r="N13397" s="14"/>
      <c r="O13397" s="14"/>
      <c r="P13397" s="13"/>
    </row>
    <row r="13398">
      <c r="L13398" s="13"/>
      <c r="M13398" s="14"/>
      <c r="N13398" s="14"/>
      <c r="O13398" s="14"/>
      <c r="P13398" s="13"/>
    </row>
    <row r="13399">
      <c r="L13399" s="13"/>
      <c r="M13399" s="14"/>
      <c r="N13399" s="14"/>
      <c r="O13399" s="14"/>
      <c r="P13399" s="13"/>
    </row>
    <row r="13400">
      <c r="L13400" s="13"/>
      <c r="M13400" s="14"/>
      <c r="N13400" s="14"/>
      <c r="O13400" s="14"/>
      <c r="P13400" s="13"/>
    </row>
    <row r="13401">
      <c r="L13401" s="13"/>
      <c r="M13401" s="14"/>
      <c r="N13401" s="14"/>
      <c r="O13401" s="14"/>
      <c r="P13401" s="13"/>
    </row>
    <row r="13402">
      <c r="L13402" s="13"/>
      <c r="M13402" s="14"/>
      <c r="N13402" s="14"/>
      <c r="O13402" s="14"/>
      <c r="P13402" s="13"/>
    </row>
    <row r="13403">
      <c r="L13403" s="13"/>
      <c r="M13403" s="14"/>
      <c r="N13403" s="14"/>
      <c r="O13403" s="14"/>
      <c r="P13403" s="13"/>
    </row>
    <row r="13404">
      <c r="L13404" s="13"/>
      <c r="M13404" s="14"/>
      <c r="N13404" s="14"/>
      <c r="O13404" s="14"/>
      <c r="P13404" s="13"/>
    </row>
    <row r="13405">
      <c r="L13405" s="13"/>
      <c r="M13405" s="14"/>
      <c r="N13405" s="14"/>
      <c r="O13405" s="14"/>
      <c r="P13405" s="13"/>
    </row>
    <row r="13406">
      <c r="L13406" s="13"/>
      <c r="M13406" s="14"/>
      <c r="N13406" s="14"/>
      <c r="O13406" s="14"/>
      <c r="P13406" s="13"/>
    </row>
    <row r="13407">
      <c r="L13407" s="13"/>
      <c r="M13407" s="14"/>
      <c r="N13407" s="14"/>
      <c r="O13407" s="14"/>
      <c r="P13407" s="13"/>
    </row>
    <row r="13408">
      <c r="L13408" s="13"/>
      <c r="M13408" s="14"/>
      <c r="N13408" s="14"/>
      <c r="O13408" s="14"/>
      <c r="P13408" s="13"/>
    </row>
    <row r="13409">
      <c r="L13409" s="13"/>
      <c r="M13409" s="14"/>
      <c r="N13409" s="14"/>
      <c r="O13409" s="14"/>
      <c r="P13409" s="13"/>
    </row>
    <row r="13410">
      <c r="L13410" s="13"/>
      <c r="M13410" s="14"/>
      <c r="N13410" s="14"/>
      <c r="O13410" s="14"/>
      <c r="P13410" s="13"/>
    </row>
    <row r="13411">
      <c r="L13411" s="13"/>
      <c r="M13411" s="14"/>
      <c r="N13411" s="14"/>
      <c r="O13411" s="14"/>
      <c r="P13411" s="13"/>
    </row>
    <row r="13412">
      <c r="L13412" s="13"/>
      <c r="M13412" s="14"/>
      <c r="N13412" s="14"/>
      <c r="O13412" s="14"/>
      <c r="P13412" s="13"/>
    </row>
    <row r="13413">
      <c r="L13413" s="13"/>
      <c r="M13413" s="14"/>
      <c r="N13413" s="14"/>
      <c r="O13413" s="14"/>
      <c r="P13413" s="13"/>
    </row>
    <row r="13414">
      <c r="L13414" s="13"/>
      <c r="M13414" s="14"/>
      <c r="N13414" s="14"/>
      <c r="O13414" s="14"/>
      <c r="P13414" s="13"/>
    </row>
    <row r="13415">
      <c r="L13415" s="13"/>
      <c r="M13415" s="14"/>
      <c r="N13415" s="14"/>
      <c r="O13415" s="14"/>
      <c r="P13415" s="13"/>
    </row>
    <row r="13416">
      <c r="L13416" s="13"/>
      <c r="M13416" s="14"/>
      <c r="N13416" s="14"/>
      <c r="O13416" s="14"/>
      <c r="P13416" s="13"/>
    </row>
    <row r="13417">
      <c r="L13417" s="13"/>
      <c r="M13417" s="14"/>
      <c r="N13417" s="14"/>
      <c r="O13417" s="14"/>
      <c r="P13417" s="13"/>
    </row>
    <row r="13418">
      <c r="L13418" s="13"/>
      <c r="M13418" s="14"/>
      <c r="N13418" s="14"/>
      <c r="O13418" s="14"/>
      <c r="P13418" s="13"/>
    </row>
    <row r="13419">
      <c r="L13419" s="13"/>
      <c r="M13419" s="14"/>
      <c r="N13419" s="14"/>
      <c r="O13419" s="14"/>
      <c r="P13419" s="13"/>
    </row>
    <row r="13420">
      <c r="L13420" s="13"/>
      <c r="M13420" s="14"/>
      <c r="N13420" s="14"/>
      <c r="O13420" s="14"/>
      <c r="P13420" s="13"/>
    </row>
    <row r="13421">
      <c r="L13421" s="13"/>
      <c r="M13421" s="14"/>
      <c r="N13421" s="14"/>
      <c r="O13421" s="14"/>
      <c r="P13421" s="13"/>
    </row>
    <row r="13422">
      <c r="L13422" s="13"/>
      <c r="M13422" s="14"/>
      <c r="N13422" s="14"/>
      <c r="O13422" s="14"/>
      <c r="P13422" s="13"/>
    </row>
    <row r="13423">
      <c r="L13423" s="13"/>
      <c r="M13423" s="14"/>
      <c r="N13423" s="14"/>
      <c r="O13423" s="14"/>
      <c r="P13423" s="13"/>
    </row>
    <row r="13424">
      <c r="L13424" s="13"/>
      <c r="M13424" s="14"/>
      <c r="N13424" s="14"/>
      <c r="O13424" s="14"/>
      <c r="P13424" s="13"/>
    </row>
    <row r="13425">
      <c r="L13425" s="13"/>
      <c r="M13425" s="14"/>
      <c r="N13425" s="14"/>
      <c r="O13425" s="14"/>
      <c r="P13425" s="13"/>
    </row>
    <row r="13426">
      <c r="L13426" s="13"/>
      <c r="M13426" s="14"/>
      <c r="N13426" s="14"/>
      <c r="O13426" s="14"/>
      <c r="P13426" s="13"/>
    </row>
    <row r="13427">
      <c r="L13427" s="13"/>
      <c r="M13427" s="14"/>
      <c r="N13427" s="14"/>
      <c r="O13427" s="14"/>
      <c r="P13427" s="13"/>
    </row>
    <row r="13428">
      <c r="L13428" s="13"/>
      <c r="M13428" s="14"/>
      <c r="N13428" s="14"/>
      <c r="O13428" s="14"/>
      <c r="P13428" s="13"/>
    </row>
    <row r="13429">
      <c r="L13429" s="13"/>
      <c r="M13429" s="14"/>
      <c r="N13429" s="14"/>
      <c r="O13429" s="14"/>
      <c r="P13429" s="13"/>
    </row>
    <row r="13430">
      <c r="L13430" s="13"/>
      <c r="M13430" s="14"/>
      <c r="N13430" s="14"/>
      <c r="O13430" s="14"/>
      <c r="P13430" s="13"/>
    </row>
    <row r="13431">
      <c r="L13431" s="13"/>
      <c r="M13431" s="14"/>
      <c r="N13431" s="14"/>
      <c r="O13431" s="14"/>
      <c r="P13431" s="13"/>
    </row>
    <row r="13432">
      <c r="L13432" s="13"/>
      <c r="M13432" s="14"/>
      <c r="N13432" s="14"/>
      <c r="O13432" s="14"/>
      <c r="P13432" s="13"/>
    </row>
    <row r="13433">
      <c r="L13433" s="13"/>
      <c r="M13433" s="14"/>
      <c r="N13433" s="14"/>
      <c r="O13433" s="14"/>
      <c r="P13433" s="13"/>
    </row>
    <row r="13434">
      <c r="L13434" s="13"/>
      <c r="M13434" s="14"/>
      <c r="N13434" s="14"/>
      <c r="O13434" s="14"/>
      <c r="P13434" s="13"/>
    </row>
    <row r="13435">
      <c r="L13435" s="13"/>
      <c r="M13435" s="14"/>
      <c r="N13435" s="14"/>
      <c r="O13435" s="14"/>
      <c r="P13435" s="13"/>
    </row>
    <row r="13436">
      <c r="L13436" s="13"/>
      <c r="M13436" s="14"/>
      <c r="N13436" s="14"/>
      <c r="O13436" s="14"/>
      <c r="P13436" s="13"/>
    </row>
    <row r="13437">
      <c r="L13437" s="13"/>
      <c r="M13437" s="14"/>
      <c r="N13437" s="14"/>
      <c r="O13437" s="14"/>
      <c r="P13437" s="13"/>
    </row>
    <row r="13438">
      <c r="L13438" s="13"/>
      <c r="M13438" s="14"/>
      <c r="N13438" s="14"/>
      <c r="O13438" s="14"/>
      <c r="P13438" s="13"/>
    </row>
    <row r="13439">
      <c r="L13439" s="13"/>
      <c r="M13439" s="14"/>
      <c r="N13439" s="14"/>
      <c r="O13439" s="14"/>
      <c r="P13439" s="13"/>
    </row>
    <row r="13440">
      <c r="L13440" s="13"/>
      <c r="M13440" s="14"/>
      <c r="N13440" s="14"/>
      <c r="O13440" s="14"/>
      <c r="P13440" s="13"/>
    </row>
    <row r="13441">
      <c r="L13441" s="13"/>
      <c r="M13441" s="14"/>
      <c r="N13441" s="14"/>
      <c r="O13441" s="14"/>
      <c r="P13441" s="13"/>
    </row>
    <row r="13442">
      <c r="L13442" s="13"/>
      <c r="M13442" s="14"/>
      <c r="N13442" s="14"/>
      <c r="O13442" s="14"/>
      <c r="P13442" s="13"/>
    </row>
    <row r="13443">
      <c r="L13443" s="13"/>
      <c r="M13443" s="14"/>
      <c r="N13443" s="14"/>
      <c r="O13443" s="14"/>
      <c r="P13443" s="13"/>
    </row>
    <row r="13444">
      <c r="L13444" s="13"/>
      <c r="M13444" s="14"/>
      <c r="N13444" s="14"/>
      <c r="O13444" s="14"/>
      <c r="P13444" s="13"/>
    </row>
    <row r="13445">
      <c r="L13445" s="13"/>
      <c r="M13445" s="14"/>
      <c r="N13445" s="14"/>
      <c r="O13445" s="14"/>
      <c r="P13445" s="13"/>
    </row>
    <row r="13446">
      <c r="L13446" s="13"/>
      <c r="M13446" s="14"/>
      <c r="N13446" s="14"/>
      <c r="O13446" s="14"/>
      <c r="P13446" s="13"/>
    </row>
    <row r="13447">
      <c r="L13447" s="13"/>
      <c r="M13447" s="14"/>
      <c r="N13447" s="14"/>
      <c r="O13447" s="14"/>
      <c r="P13447" s="13"/>
    </row>
    <row r="13448">
      <c r="L13448" s="13"/>
      <c r="M13448" s="14"/>
      <c r="N13448" s="14"/>
      <c r="O13448" s="14"/>
      <c r="P13448" s="13"/>
    </row>
    <row r="13449">
      <c r="L13449" s="13"/>
      <c r="M13449" s="14"/>
      <c r="N13449" s="14"/>
      <c r="O13449" s="14"/>
      <c r="P13449" s="13"/>
    </row>
    <row r="13450">
      <c r="L13450" s="13"/>
      <c r="M13450" s="14"/>
      <c r="N13450" s="14"/>
      <c r="O13450" s="14"/>
      <c r="P13450" s="13"/>
    </row>
    <row r="13451">
      <c r="L13451" s="13"/>
      <c r="M13451" s="14"/>
      <c r="N13451" s="14"/>
      <c r="O13451" s="14"/>
      <c r="P13451" s="13"/>
    </row>
    <row r="13452">
      <c r="L13452" s="13"/>
      <c r="M13452" s="14"/>
      <c r="N13452" s="14"/>
      <c r="O13452" s="14"/>
      <c r="P13452" s="13"/>
    </row>
    <row r="13453">
      <c r="L13453" s="13"/>
      <c r="M13453" s="14"/>
      <c r="N13453" s="14"/>
      <c r="O13453" s="14"/>
      <c r="P13453" s="13"/>
    </row>
    <row r="13454">
      <c r="L13454" s="13"/>
      <c r="M13454" s="14"/>
      <c r="N13454" s="14"/>
      <c r="O13454" s="14"/>
      <c r="P13454" s="13"/>
    </row>
    <row r="13455">
      <c r="L13455" s="13"/>
      <c r="M13455" s="14"/>
      <c r="N13455" s="14"/>
      <c r="O13455" s="14"/>
      <c r="P13455" s="13"/>
    </row>
    <row r="13456">
      <c r="L13456" s="13"/>
      <c r="M13456" s="14"/>
      <c r="N13456" s="14"/>
      <c r="O13456" s="14"/>
      <c r="P13456" s="13"/>
    </row>
    <row r="13457">
      <c r="L13457" s="13"/>
      <c r="M13457" s="14"/>
      <c r="N13457" s="14"/>
      <c r="O13457" s="14"/>
      <c r="P13457" s="13"/>
    </row>
    <row r="13458">
      <c r="L13458" s="13"/>
      <c r="M13458" s="14"/>
      <c r="N13458" s="14"/>
      <c r="O13458" s="14"/>
      <c r="P13458" s="13"/>
    </row>
    <row r="13459">
      <c r="L13459" s="13"/>
      <c r="M13459" s="14"/>
      <c r="N13459" s="14"/>
      <c r="O13459" s="14"/>
      <c r="P13459" s="13"/>
    </row>
    <row r="13460">
      <c r="L13460" s="13"/>
      <c r="M13460" s="14"/>
      <c r="N13460" s="14"/>
      <c r="O13460" s="14"/>
      <c r="P13460" s="13"/>
    </row>
    <row r="13461">
      <c r="L13461" s="13"/>
      <c r="M13461" s="14"/>
      <c r="N13461" s="14"/>
      <c r="O13461" s="14"/>
      <c r="P13461" s="13"/>
    </row>
    <row r="13462">
      <c r="L13462" s="13"/>
      <c r="M13462" s="14"/>
      <c r="N13462" s="14"/>
      <c r="O13462" s="14"/>
      <c r="P13462" s="13"/>
    </row>
    <row r="13463">
      <c r="L13463" s="13"/>
      <c r="M13463" s="14"/>
      <c r="N13463" s="14"/>
      <c r="O13463" s="14"/>
      <c r="P13463" s="13"/>
    </row>
    <row r="13464">
      <c r="L13464" s="13"/>
      <c r="M13464" s="14"/>
      <c r="N13464" s="14"/>
      <c r="O13464" s="14"/>
      <c r="P13464" s="13"/>
    </row>
    <row r="13465">
      <c r="L13465" s="13"/>
      <c r="M13465" s="14"/>
      <c r="N13465" s="14"/>
      <c r="O13465" s="14"/>
      <c r="P13465" s="13"/>
    </row>
    <row r="13466">
      <c r="L13466" s="13"/>
      <c r="M13466" s="14"/>
      <c r="N13466" s="14"/>
      <c r="O13466" s="14"/>
      <c r="P13466" s="13"/>
    </row>
    <row r="13467">
      <c r="L13467" s="13"/>
      <c r="M13467" s="14"/>
      <c r="N13467" s="14"/>
      <c r="O13467" s="14"/>
      <c r="P13467" s="13"/>
    </row>
    <row r="13468">
      <c r="L13468" s="13"/>
      <c r="M13468" s="14"/>
      <c r="N13468" s="14"/>
      <c r="O13468" s="14"/>
      <c r="P13468" s="13"/>
    </row>
    <row r="13469">
      <c r="L13469" s="13"/>
      <c r="M13469" s="14"/>
      <c r="N13469" s="14"/>
      <c r="O13469" s="14"/>
      <c r="P13469" s="13"/>
    </row>
    <row r="13470">
      <c r="L13470" s="13"/>
      <c r="M13470" s="14"/>
      <c r="N13470" s="14"/>
      <c r="O13470" s="14"/>
      <c r="P13470" s="13"/>
    </row>
    <row r="13471">
      <c r="L13471" s="13"/>
      <c r="M13471" s="14"/>
      <c r="N13471" s="14"/>
      <c r="O13471" s="14"/>
      <c r="P13471" s="13"/>
    </row>
    <row r="13472">
      <c r="L13472" s="13"/>
      <c r="M13472" s="14"/>
      <c r="N13472" s="14"/>
      <c r="O13472" s="14"/>
      <c r="P13472" s="13"/>
    </row>
    <row r="13473">
      <c r="L13473" s="13"/>
      <c r="M13473" s="14"/>
      <c r="N13473" s="14"/>
      <c r="O13473" s="14"/>
      <c r="P13473" s="13"/>
    </row>
    <row r="13474">
      <c r="L13474" s="13"/>
      <c r="M13474" s="14"/>
      <c r="N13474" s="14"/>
      <c r="O13474" s="14"/>
      <c r="P13474" s="13"/>
    </row>
    <row r="13475">
      <c r="L13475" s="13"/>
      <c r="M13475" s="14"/>
      <c r="N13475" s="14"/>
      <c r="O13475" s="14"/>
      <c r="P13475" s="13"/>
    </row>
    <row r="13476">
      <c r="L13476" s="13"/>
      <c r="M13476" s="14"/>
      <c r="N13476" s="14"/>
      <c r="O13476" s="14"/>
      <c r="P13476" s="13"/>
    </row>
    <row r="13477">
      <c r="L13477" s="13"/>
      <c r="M13477" s="14"/>
      <c r="N13477" s="14"/>
      <c r="O13477" s="14"/>
      <c r="P13477" s="13"/>
    </row>
    <row r="13478">
      <c r="L13478" s="13"/>
      <c r="M13478" s="14"/>
      <c r="N13478" s="14"/>
      <c r="O13478" s="14"/>
      <c r="P13478" s="13"/>
    </row>
    <row r="13479">
      <c r="L13479" s="13"/>
      <c r="M13479" s="14"/>
      <c r="N13479" s="14"/>
      <c r="O13479" s="14"/>
      <c r="P13479" s="13"/>
    </row>
    <row r="13480">
      <c r="L13480" s="13"/>
      <c r="M13480" s="14"/>
      <c r="N13480" s="14"/>
      <c r="O13480" s="14"/>
      <c r="P13480" s="13"/>
    </row>
    <row r="13481">
      <c r="L13481" s="13"/>
      <c r="M13481" s="14"/>
      <c r="N13481" s="14"/>
      <c r="O13481" s="14"/>
      <c r="P13481" s="13"/>
    </row>
    <row r="13482">
      <c r="L13482" s="13"/>
      <c r="M13482" s="14"/>
      <c r="N13482" s="14"/>
      <c r="O13482" s="14"/>
      <c r="P13482" s="13"/>
    </row>
    <row r="13483">
      <c r="L13483" s="13"/>
      <c r="M13483" s="14"/>
      <c r="N13483" s="14"/>
      <c r="O13483" s="14"/>
      <c r="P13483" s="13"/>
    </row>
    <row r="13484">
      <c r="L13484" s="13"/>
      <c r="M13484" s="14"/>
      <c r="N13484" s="14"/>
      <c r="O13484" s="14"/>
      <c r="P13484" s="13"/>
    </row>
    <row r="13485">
      <c r="L13485" s="13"/>
      <c r="M13485" s="14"/>
      <c r="N13485" s="14"/>
      <c r="O13485" s="14"/>
      <c r="P13485" s="13"/>
    </row>
    <row r="13486">
      <c r="L13486" s="13"/>
      <c r="M13486" s="14"/>
      <c r="N13486" s="14"/>
      <c r="O13486" s="14"/>
      <c r="P13486" s="13"/>
    </row>
    <row r="13487">
      <c r="L13487" s="13"/>
      <c r="M13487" s="14"/>
      <c r="N13487" s="14"/>
      <c r="O13487" s="14"/>
      <c r="P13487" s="13"/>
    </row>
    <row r="13488">
      <c r="L13488" s="13"/>
      <c r="M13488" s="14"/>
      <c r="N13488" s="14"/>
      <c r="O13488" s="14"/>
      <c r="P13488" s="13"/>
    </row>
    <row r="13489">
      <c r="L13489" s="13"/>
      <c r="M13489" s="14"/>
      <c r="N13489" s="14"/>
      <c r="O13489" s="14"/>
      <c r="P13489" s="13"/>
    </row>
    <row r="13490">
      <c r="L13490" s="13"/>
      <c r="M13490" s="14"/>
      <c r="N13490" s="14"/>
      <c r="O13490" s="14"/>
      <c r="P13490" s="13"/>
    </row>
    <row r="13491">
      <c r="L13491" s="13"/>
      <c r="M13491" s="14"/>
      <c r="N13491" s="14"/>
      <c r="O13491" s="14"/>
      <c r="P13491" s="13"/>
    </row>
    <row r="13492">
      <c r="L13492" s="13"/>
      <c r="M13492" s="14"/>
      <c r="N13492" s="14"/>
      <c r="O13492" s="14"/>
      <c r="P13492" s="13"/>
    </row>
    <row r="13493">
      <c r="L13493" s="13"/>
      <c r="M13493" s="14"/>
      <c r="N13493" s="14"/>
      <c r="O13493" s="14"/>
      <c r="P13493" s="13"/>
    </row>
    <row r="13494">
      <c r="L13494" s="13"/>
      <c r="M13494" s="14"/>
      <c r="N13494" s="14"/>
      <c r="O13494" s="14"/>
      <c r="P13494" s="13"/>
    </row>
    <row r="13495">
      <c r="L13495" s="13"/>
      <c r="M13495" s="14"/>
      <c r="N13495" s="14"/>
      <c r="O13495" s="14"/>
      <c r="P13495" s="13"/>
    </row>
    <row r="13496">
      <c r="L13496" s="13"/>
      <c r="M13496" s="14"/>
      <c r="N13496" s="14"/>
      <c r="O13496" s="14"/>
      <c r="P13496" s="13"/>
    </row>
    <row r="13497">
      <c r="L13497" s="13"/>
      <c r="M13497" s="14"/>
      <c r="N13497" s="14"/>
      <c r="O13497" s="14"/>
      <c r="P13497" s="13"/>
    </row>
    <row r="13498">
      <c r="L13498" s="13"/>
      <c r="M13498" s="14"/>
      <c r="N13498" s="14"/>
      <c r="O13498" s="14"/>
      <c r="P13498" s="13"/>
    </row>
    <row r="13499">
      <c r="L13499" s="13"/>
      <c r="M13499" s="14"/>
      <c r="N13499" s="14"/>
      <c r="O13499" s="14"/>
      <c r="P13499" s="13"/>
    </row>
    <row r="13500">
      <c r="L13500" s="13"/>
      <c r="M13500" s="14"/>
      <c r="N13500" s="14"/>
      <c r="O13500" s="14"/>
      <c r="P13500" s="13"/>
    </row>
    <row r="13501">
      <c r="L13501" s="13"/>
      <c r="M13501" s="14"/>
      <c r="N13501" s="14"/>
      <c r="O13501" s="14"/>
      <c r="P13501" s="13"/>
    </row>
    <row r="13502">
      <c r="L13502" s="13"/>
      <c r="M13502" s="14"/>
      <c r="N13502" s="14"/>
      <c r="O13502" s="14"/>
      <c r="P13502" s="13"/>
    </row>
    <row r="13503">
      <c r="L13503" s="13"/>
      <c r="M13503" s="14"/>
      <c r="N13503" s="14"/>
      <c r="O13503" s="14"/>
      <c r="P13503" s="13"/>
    </row>
    <row r="13504">
      <c r="L13504" s="13"/>
      <c r="M13504" s="14"/>
      <c r="N13504" s="14"/>
      <c r="O13504" s="14"/>
      <c r="P13504" s="13"/>
    </row>
    <row r="13505">
      <c r="L13505" s="13"/>
      <c r="M13505" s="14"/>
      <c r="N13505" s="14"/>
      <c r="O13505" s="14"/>
      <c r="P13505" s="13"/>
    </row>
    <row r="13506">
      <c r="L13506" s="13"/>
      <c r="M13506" s="14"/>
      <c r="N13506" s="14"/>
      <c r="O13506" s="14"/>
      <c r="P13506" s="13"/>
    </row>
    <row r="13507">
      <c r="L13507" s="13"/>
      <c r="M13507" s="14"/>
      <c r="N13507" s="14"/>
      <c r="O13507" s="14"/>
      <c r="P13507" s="13"/>
    </row>
    <row r="13508">
      <c r="L13508" s="13"/>
      <c r="M13508" s="14"/>
      <c r="N13508" s="14"/>
      <c r="O13508" s="14"/>
      <c r="P13508" s="13"/>
    </row>
    <row r="13509">
      <c r="L13509" s="13"/>
      <c r="M13509" s="14"/>
      <c r="N13509" s="14"/>
      <c r="O13509" s="14"/>
      <c r="P13509" s="13"/>
    </row>
    <row r="13510">
      <c r="L13510" s="13"/>
      <c r="M13510" s="14"/>
      <c r="N13510" s="14"/>
      <c r="O13510" s="14"/>
      <c r="P13510" s="13"/>
    </row>
    <row r="13511">
      <c r="L13511" s="13"/>
      <c r="M13511" s="14"/>
      <c r="N13511" s="14"/>
      <c r="O13511" s="14"/>
      <c r="P13511" s="13"/>
    </row>
    <row r="13512">
      <c r="L13512" s="13"/>
      <c r="M13512" s="14"/>
      <c r="N13512" s="14"/>
      <c r="O13512" s="14"/>
      <c r="P13512" s="13"/>
    </row>
    <row r="13513">
      <c r="L13513" s="13"/>
      <c r="M13513" s="14"/>
      <c r="N13513" s="14"/>
      <c r="O13513" s="14"/>
      <c r="P13513" s="13"/>
    </row>
    <row r="13514">
      <c r="L13514" s="13"/>
      <c r="M13514" s="14"/>
      <c r="N13514" s="14"/>
      <c r="O13514" s="14"/>
      <c r="P13514" s="13"/>
    </row>
    <row r="13515">
      <c r="L13515" s="13"/>
      <c r="M13515" s="14"/>
      <c r="N13515" s="14"/>
      <c r="O13515" s="14"/>
      <c r="P13515" s="13"/>
    </row>
    <row r="13516">
      <c r="L13516" s="13"/>
      <c r="M13516" s="14"/>
      <c r="N13516" s="14"/>
      <c r="O13516" s="14"/>
      <c r="P13516" s="13"/>
    </row>
    <row r="13517">
      <c r="L13517" s="13"/>
      <c r="M13517" s="14"/>
      <c r="N13517" s="14"/>
      <c r="O13517" s="14"/>
      <c r="P13517" s="13"/>
    </row>
    <row r="13518">
      <c r="L13518" s="13"/>
      <c r="M13518" s="14"/>
      <c r="N13518" s="14"/>
      <c r="O13518" s="14"/>
      <c r="P13518" s="13"/>
    </row>
    <row r="13519">
      <c r="L13519" s="13"/>
      <c r="M13519" s="14"/>
      <c r="N13519" s="14"/>
      <c r="O13519" s="14"/>
      <c r="P13519" s="13"/>
    </row>
    <row r="13520">
      <c r="L13520" s="13"/>
      <c r="M13520" s="14"/>
      <c r="N13520" s="14"/>
      <c r="O13520" s="14"/>
      <c r="P13520" s="13"/>
    </row>
    <row r="13521">
      <c r="L13521" s="13"/>
      <c r="M13521" s="14"/>
      <c r="N13521" s="14"/>
      <c r="O13521" s="14"/>
      <c r="P13521" s="13"/>
    </row>
    <row r="13522">
      <c r="L13522" s="13"/>
      <c r="M13522" s="14"/>
      <c r="N13522" s="14"/>
      <c r="O13522" s="14"/>
      <c r="P13522" s="13"/>
    </row>
    <row r="13523">
      <c r="L13523" s="13"/>
      <c r="M13523" s="14"/>
      <c r="N13523" s="14"/>
      <c r="O13523" s="14"/>
      <c r="P13523" s="13"/>
    </row>
    <row r="13524">
      <c r="L13524" s="13"/>
      <c r="M13524" s="14"/>
      <c r="N13524" s="14"/>
      <c r="O13524" s="14"/>
      <c r="P13524" s="13"/>
    </row>
    <row r="13525">
      <c r="L13525" s="13"/>
      <c r="M13525" s="14"/>
      <c r="N13525" s="14"/>
      <c r="O13525" s="14"/>
      <c r="P13525" s="13"/>
    </row>
    <row r="13526">
      <c r="L13526" s="13"/>
      <c r="M13526" s="14"/>
      <c r="N13526" s="14"/>
      <c r="O13526" s="14"/>
      <c r="P13526" s="13"/>
    </row>
    <row r="13527">
      <c r="L13527" s="13"/>
      <c r="M13527" s="14"/>
      <c r="N13527" s="14"/>
      <c r="O13527" s="14"/>
      <c r="P13527" s="13"/>
    </row>
    <row r="13528">
      <c r="L13528" s="13"/>
      <c r="M13528" s="14"/>
      <c r="N13528" s="14"/>
      <c r="O13528" s="14"/>
      <c r="P13528" s="13"/>
    </row>
    <row r="13529">
      <c r="L13529" s="13"/>
      <c r="M13529" s="14"/>
      <c r="N13529" s="14"/>
      <c r="O13529" s="14"/>
      <c r="P13529" s="13"/>
    </row>
    <row r="13530">
      <c r="L13530" s="13"/>
      <c r="M13530" s="14"/>
      <c r="N13530" s="14"/>
      <c r="O13530" s="14"/>
      <c r="P13530" s="13"/>
    </row>
    <row r="13531">
      <c r="L13531" s="13"/>
      <c r="M13531" s="14"/>
      <c r="N13531" s="14"/>
      <c r="O13531" s="14"/>
      <c r="P13531" s="13"/>
    </row>
    <row r="13532">
      <c r="L13532" s="13"/>
      <c r="M13532" s="14"/>
      <c r="N13532" s="14"/>
      <c r="O13532" s="14"/>
      <c r="P13532" s="13"/>
    </row>
    <row r="13533">
      <c r="L13533" s="13"/>
      <c r="M13533" s="14"/>
      <c r="N13533" s="14"/>
      <c r="O13533" s="14"/>
      <c r="P13533" s="13"/>
    </row>
    <row r="13534">
      <c r="L13534" s="13"/>
      <c r="M13534" s="14"/>
      <c r="N13534" s="14"/>
      <c r="O13534" s="14"/>
      <c r="P13534" s="13"/>
    </row>
    <row r="13535">
      <c r="L13535" s="13"/>
      <c r="M13535" s="14"/>
      <c r="N13535" s="14"/>
      <c r="O13535" s="14"/>
      <c r="P13535" s="13"/>
    </row>
    <row r="13536">
      <c r="L13536" s="13"/>
      <c r="M13536" s="14"/>
      <c r="N13536" s="14"/>
      <c r="O13536" s="14"/>
      <c r="P13536" s="13"/>
    </row>
    <row r="13537">
      <c r="L13537" s="13"/>
      <c r="M13537" s="14"/>
      <c r="N13537" s="14"/>
      <c r="O13537" s="14"/>
      <c r="P13537" s="13"/>
    </row>
    <row r="13538">
      <c r="L13538" s="13"/>
      <c r="M13538" s="14"/>
      <c r="N13538" s="14"/>
      <c r="O13538" s="14"/>
      <c r="P13538" s="13"/>
    </row>
    <row r="13539">
      <c r="L13539" s="13"/>
      <c r="M13539" s="14"/>
      <c r="N13539" s="14"/>
      <c r="O13539" s="14"/>
      <c r="P13539" s="13"/>
    </row>
    <row r="13540">
      <c r="L13540" s="13"/>
      <c r="M13540" s="14"/>
      <c r="N13540" s="14"/>
      <c r="O13540" s="14"/>
      <c r="P13540" s="13"/>
    </row>
    <row r="13541">
      <c r="L13541" s="13"/>
      <c r="M13541" s="14"/>
      <c r="N13541" s="14"/>
      <c r="O13541" s="14"/>
      <c r="P13541" s="13"/>
    </row>
    <row r="13542">
      <c r="L13542" s="13"/>
      <c r="M13542" s="14"/>
      <c r="N13542" s="14"/>
      <c r="O13542" s="14"/>
      <c r="P13542" s="13"/>
    </row>
    <row r="13543">
      <c r="L13543" s="13"/>
      <c r="M13543" s="14"/>
      <c r="N13543" s="14"/>
      <c r="O13543" s="14"/>
      <c r="P13543" s="13"/>
    </row>
    <row r="13544">
      <c r="L13544" s="13"/>
      <c r="M13544" s="14"/>
      <c r="N13544" s="14"/>
      <c r="O13544" s="14"/>
      <c r="P13544" s="13"/>
    </row>
    <row r="13545">
      <c r="L13545" s="13"/>
      <c r="M13545" s="14"/>
      <c r="N13545" s="14"/>
      <c r="O13545" s="14"/>
      <c r="P13545" s="13"/>
    </row>
    <row r="13546">
      <c r="L13546" s="13"/>
      <c r="M13546" s="14"/>
      <c r="N13546" s="14"/>
      <c r="O13546" s="14"/>
      <c r="P13546" s="13"/>
    </row>
    <row r="13547">
      <c r="L13547" s="13"/>
      <c r="M13547" s="14"/>
      <c r="N13547" s="14"/>
      <c r="O13547" s="14"/>
      <c r="P13547" s="13"/>
    </row>
    <row r="13548">
      <c r="L13548" s="13"/>
      <c r="M13548" s="14"/>
      <c r="N13548" s="14"/>
      <c r="O13548" s="14"/>
      <c r="P13548" s="13"/>
    </row>
    <row r="13549">
      <c r="L13549" s="13"/>
      <c r="M13549" s="14"/>
      <c r="N13549" s="14"/>
      <c r="O13549" s="14"/>
      <c r="P13549" s="13"/>
    </row>
    <row r="13550">
      <c r="L13550" s="13"/>
      <c r="M13550" s="14"/>
      <c r="N13550" s="14"/>
      <c r="O13550" s="14"/>
      <c r="P13550" s="13"/>
    </row>
    <row r="13551">
      <c r="L13551" s="13"/>
      <c r="M13551" s="14"/>
      <c r="N13551" s="14"/>
      <c r="O13551" s="14"/>
      <c r="P13551" s="13"/>
    </row>
    <row r="13552">
      <c r="L13552" s="13"/>
      <c r="M13552" s="14"/>
      <c r="N13552" s="14"/>
      <c r="O13552" s="14"/>
      <c r="P13552" s="13"/>
    </row>
    <row r="13553">
      <c r="L13553" s="13"/>
      <c r="M13553" s="14"/>
      <c r="N13553" s="14"/>
      <c r="O13553" s="14"/>
      <c r="P13553" s="13"/>
    </row>
    <row r="13554">
      <c r="L13554" s="13"/>
      <c r="M13554" s="14"/>
      <c r="N13554" s="14"/>
      <c r="O13554" s="14"/>
      <c r="P13554" s="13"/>
    </row>
    <row r="13555">
      <c r="L13555" s="13"/>
      <c r="M13555" s="14"/>
      <c r="N13555" s="14"/>
      <c r="O13555" s="14"/>
      <c r="P13555" s="13"/>
    </row>
    <row r="13556">
      <c r="L13556" s="13"/>
      <c r="M13556" s="14"/>
      <c r="N13556" s="14"/>
      <c r="O13556" s="14"/>
      <c r="P13556" s="13"/>
    </row>
    <row r="13557">
      <c r="L13557" s="13"/>
      <c r="M13557" s="14"/>
      <c r="N13557" s="14"/>
      <c r="O13557" s="14"/>
      <c r="P13557" s="13"/>
    </row>
    <row r="13558">
      <c r="L13558" s="13"/>
      <c r="M13558" s="14"/>
      <c r="N13558" s="14"/>
      <c r="O13558" s="14"/>
      <c r="P13558" s="13"/>
    </row>
    <row r="13559">
      <c r="L13559" s="13"/>
      <c r="M13559" s="14"/>
      <c r="N13559" s="14"/>
      <c r="O13559" s="14"/>
      <c r="P13559" s="13"/>
    </row>
    <row r="13560">
      <c r="L13560" s="13"/>
      <c r="M13560" s="14"/>
      <c r="N13560" s="14"/>
      <c r="O13560" s="14"/>
      <c r="P13560" s="13"/>
    </row>
    <row r="13561">
      <c r="L13561" s="13"/>
      <c r="M13561" s="14"/>
      <c r="N13561" s="14"/>
      <c r="O13561" s="14"/>
      <c r="P13561" s="13"/>
    </row>
    <row r="13562">
      <c r="L13562" s="13"/>
      <c r="M13562" s="14"/>
      <c r="N13562" s="14"/>
      <c r="O13562" s="14"/>
      <c r="P13562" s="13"/>
    </row>
    <row r="13563">
      <c r="L13563" s="13"/>
      <c r="M13563" s="14"/>
      <c r="N13563" s="14"/>
      <c r="O13563" s="14"/>
      <c r="P13563" s="13"/>
    </row>
    <row r="13564">
      <c r="L13564" s="13"/>
      <c r="M13564" s="14"/>
      <c r="N13564" s="14"/>
      <c r="O13564" s="14"/>
      <c r="P13564" s="13"/>
    </row>
    <row r="13565">
      <c r="L13565" s="13"/>
      <c r="M13565" s="14"/>
      <c r="N13565" s="14"/>
      <c r="O13565" s="14"/>
      <c r="P13565" s="13"/>
    </row>
    <row r="13566">
      <c r="L13566" s="13"/>
      <c r="M13566" s="14"/>
      <c r="N13566" s="14"/>
      <c r="O13566" s="14"/>
      <c r="P13566" s="13"/>
    </row>
    <row r="13567">
      <c r="L13567" s="13"/>
      <c r="M13567" s="14"/>
      <c r="N13567" s="14"/>
      <c r="O13567" s="14"/>
      <c r="P13567" s="13"/>
    </row>
    <row r="13568">
      <c r="L13568" s="13"/>
      <c r="M13568" s="14"/>
      <c r="N13568" s="14"/>
      <c r="O13568" s="14"/>
      <c r="P13568" s="13"/>
    </row>
    <row r="13569">
      <c r="L13569" s="13"/>
      <c r="M13569" s="14"/>
      <c r="N13569" s="14"/>
      <c r="O13569" s="14"/>
      <c r="P13569" s="13"/>
    </row>
    <row r="13570">
      <c r="L13570" s="13"/>
      <c r="M13570" s="14"/>
      <c r="N13570" s="14"/>
      <c r="O13570" s="14"/>
      <c r="P13570" s="13"/>
    </row>
    <row r="13571">
      <c r="L13571" s="13"/>
      <c r="M13571" s="14"/>
      <c r="N13571" s="14"/>
      <c r="O13571" s="14"/>
      <c r="P13571" s="13"/>
    </row>
    <row r="13572">
      <c r="L13572" s="13"/>
      <c r="M13572" s="14"/>
      <c r="N13572" s="14"/>
      <c r="O13572" s="14"/>
      <c r="P13572" s="13"/>
    </row>
    <row r="13573">
      <c r="L13573" s="13"/>
      <c r="M13573" s="14"/>
      <c r="N13573" s="14"/>
      <c r="O13573" s="14"/>
      <c r="P13573" s="13"/>
    </row>
    <row r="13574">
      <c r="L13574" s="13"/>
      <c r="M13574" s="14"/>
      <c r="N13574" s="14"/>
      <c r="O13574" s="14"/>
      <c r="P13574" s="13"/>
    </row>
    <row r="13575">
      <c r="L13575" s="13"/>
      <c r="M13575" s="14"/>
      <c r="N13575" s="14"/>
      <c r="O13575" s="14"/>
      <c r="P13575" s="13"/>
    </row>
    <row r="13576">
      <c r="L13576" s="13"/>
      <c r="M13576" s="14"/>
      <c r="N13576" s="14"/>
      <c r="O13576" s="14"/>
      <c r="P13576" s="13"/>
    </row>
    <row r="13577">
      <c r="L13577" s="13"/>
      <c r="M13577" s="14"/>
      <c r="N13577" s="14"/>
      <c r="O13577" s="14"/>
      <c r="P13577" s="13"/>
    </row>
    <row r="13578">
      <c r="L13578" s="13"/>
      <c r="M13578" s="14"/>
      <c r="N13578" s="14"/>
      <c r="O13578" s="14"/>
      <c r="P13578" s="13"/>
    </row>
    <row r="13579">
      <c r="L13579" s="13"/>
      <c r="M13579" s="14"/>
      <c r="N13579" s="14"/>
      <c r="O13579" s="14"/>
      <c r="P13579" s="13"/>
    </row>
    <row r="13580">
      <c r="L13580" s="13"/>
      <c r="M13580" s="14"/>
      <c r="N13580" s="14"/>
      <c r="O13580" s="14"/>
      <c r="P13580" s="13"/>
    </row>
    <row r="13581">
      <c r="L13581" s="13"/>
      <c r="M13581" s="14"/>
      <c r="N13581" s="14"/>
      <c r="O13581" s="14"/>
      <c r="P13581" s="13"/>
    </row>
    <row r="13582">
      <c r="L13582" s="13"/>
      <c r="M13582" s="14"/>
      <c r="N13582" s="14"/>
      <c r="O13582" s="14"/>
      <c r="P13582" s="13"/>
    </row>
    <row r="13583">
      <c r="L13583" s="13"/>
      <c r="M13583" s="14"/>
      <c r="N13583" s="14"/>
      <c r="O13583" s="14"/>
      <c r="P13583" s="13"/>
    </row>
    <row r="13584">
      <c r="L13584" s="13"/>
      <c r="M13584" s="14"/>
      <c r="N13584" s="14"/>
      <c r="O13584" s="14"/>
      <c r="P13584" s="13"/>
    </row>
    <row r="13585">
      <c r="L13585" s="13"/>
      <c r="M13585" s="14"/>
      <c r="N13585" s="14"/>
      <c r="O13585" s="14"/>
      <c r="P13585" s="13"/>
    </row>
    <row r="13586">
      <c r="L13586" s="13"/>
      <c r="M13586" s="14"/>
      <c r="N13586" s="14"/>
      <c r="O13586" s="14"/>
      <c r="P13586" s="13"/>
    </row>
    <row r="13587">
      <c r="L13587" s="13"/>
      <c r="M13587" s="14"/>
      <c r="N13587" s="14"/>
      <c r="O13587" s="14"/>
      <c r="P13587" s="13"/>
    </row>
    <row r="13588">
      <c r="L13588" s="13"/>
      <c r="M13588" s="14"/>
      <c r="N13588" s="14"/>
      <c r="O13588" s="14"/>
      <c r="P13588" s="13"/>
    </row>
    <row r="13589">
      <c r="L13589" s="13"/>
      <c r="M13589" s="14"/>
      <c r="N13589" s="14"/>
      <c r="O13589" s="14"/>
      <c r="P13589" s="13"/>
    </row>
    <row r="13590">
      <c r="L13590" s="13"/>
      <c r="M13590" s="14"/>
      <c r="N13590" s="14"/>
      <c r="O13590" s="14"/>
      <c r="P13590" s="13"/>
    </row>
    <row r="13591">
      <c r="L13591" s="13"/>
      <c r="M13591" s="14"/>
      <c r="N13591" s="14"/>
      <c r="O13591" s="14"/>
      <c r="P13591" s="13"/>
    </row>
    <row r="13592">
      <c r="L13592" s="13"/>
      <c r="M13592" s="14"/>
      <c r="N13592" s="14"/>
      <c r="O13592" s="14"/>
      <c r="P13592" s="13"/>
    </row>
    <row r="13593">
      <c r="L13593" s="13"/>
      <c r="M13593" s="14"/>
      <c r="N13593" s="14"/>
      <c r="O13593" s="14"/>
      <c r="P13593" s="13"/>
    </row>
    <row r="13594">
      <c r="L13594" s="13"/>
      <c r="M13594" s="14"/>
      <c r="N13594" s="14"/>
      <c r="O13594" s="14"/>
      <c r="P13594" s="13"/>
    </row>
    <row r="13595">
      <c r="L13595" s="13"/>
      <c r="M13595" s="14"/>
      <c r="N13595" s="14"/>
      <c r="O13595" s="14"/>
      <c r="P13595" s="13"/>
    </row>
    <row r="13596">
      <c r="L13596" s="13"/>
      <c r="M13596" s="14"/>
      <c r="N13596" s="14"/>
      <c r="O13596" s="14"/>
      <c r="P13596" s="13"/>
    </row>
    <row r="13597">
      <c r="L13597" s="13"/>
      <c r="M13597" s="14"/>
      <c r="N13597" s="14"/>
      <c r="O13597" s="14"/>
      <c r="P13597" s="13"/>
    </row>
    <row r="13598">
      <c r="L13598" s="13"/>
      <c r="M13598" s="14"/>
      <c r="N13598" s="14"/>
      <c r="O13598" s="14"/>
      <c r="P13598" s="13"/>
    </row>
    <row r="13599">
      <c r="L13599" s="13"/>
      <c r="M13599" s="14"/>
      <c r="N13599" s="14"/>
      <c r="O13599" s="14"/>
      <c r="P13599" s="13"/>
    </row>
    <row r="13600">
      <c r="L13600" s="13"/>
      <c r="M13600" s="14"/>
      <c r="N13600" s="14"/>
      <c r="O13600" s="14"/>
      <c r="P13600" s="13"/>
    </row>
    <row r="13601">
      <c r="L13601" s="13"/>
      <c r="M13601" s="14"/>
      <c r="N13601" s="14"/>
      <c r="O13601" s="14"/>
      <c r="P13601" s="13"/>
    </row>
    <row r="13602">
      <c r="L13602" s="13"/>
      <c r="M13602" s="14"/>
      <c r="N13602" s="14"/>
      <c r="O13602" s="14"/>
      <c r="P13602" s="13"/>
    </row>
    <row r="13603">
      <c r="L13603" s="13"/>
      <c r="M13603" s="14"/>
      <c r="N13603" s="14"/>
      <c r="O13603" s="14"/>
      <c r="P13603" s="13"/>
    </row>
    <row r="13604">
      <c r="L13604" s="13"/>
      <c r="M13604" s="14"/>
      <c r="N13604" s="14"/>
      <c r="O13604" s="14"/>
      <c r="P13604" s="13"/>
    </row>
    <row r="13605">
      <c r="L13605" s="13"/>
      <c r="M13605" s="14"/>
      <c r="N13605" s="14"/>
      <c r="O13605" s="14"/>
      <c r="P13605" s="13"/>
    </row>
    <row r="13606">
      <c r="L13606" s="13"/>
      <c r="M13606" s="14"/>
      <c r="N13606" s="14"/>
      <c r="O13606" s="14"/>
      <c r="P13606" s="13"/>
    </row>
    <row r="13607">
      <c r="L13607" s="13"/>
      <c r="M13607" s="14"/>
      <c r="N13607" s="14"/>
      <c r="O13607" s="14"/>
      <c r="P13607" s="13"/>
    </row>
    <row r="13608">
      <c r="L13608" s="13"/>
      <c r="M13608" s="14"/>
      <c r="N13608" s="14"/>
      <c r="O13608" s="14"/>
      <c r="P13608" s="13"/>
    </row>
    <row r="13609">
      <c r="L13609" s="13"/>
      <c r="M13609" s="14"/>
      <c r="N13609" s="14"/>
      <c r="O13609" s="14"/>
      <c r="P13609" s="13"/>
    </row>
    <row r="13610">
      <c r="L13610" s="13"/>
      <c r="M13610" s="14"/>
      <c r="N13610" s="14"/>
      <c r="O13610" s="14"/>
      <c r="P13610" s="13"/>
    </row>
    <row r="13611">
      <c r="L13611" s="13"/>
      <c r="M13611" s="14"/>
      <c r="N13611" s="14"/>
      <c r="O13611" s="14"/>
      <c r="P13611" s="13"/>
    </row>
    <row r="13612">
      <c r="L13612" s="13"/>
      <c r="M13612" s="14"/>
      <c r="N13612" s="14"/>
      <c r="O13612" s="14"/>
      <c r="P13612" s="13"/>
    </row>
    <row r="13613">
      <c r="L13613" s="13"/>
      <c r="M13613" s="14"/>
      <c r="N13613" s="14"/>
      <c r="O13613" s="14"/>
      <c r="P13613" s="13"/>
    </row>
    <row r="13614">
      <c r="L13614" s="13"/>
      <c r="M13614" s="14"/>
      <c r="N13614" s="14"/>
      <c r="O13614" s="14"/>
      <c r="P13614" s="13"/>
    </row>
    <row r="13615">
      <c r="L13615" s="13"/>
      <c r="M13615" s="14"/>
      <c r="N13615" s="14"/>
      <c r="O13615" s="14"/>
      <c r="P13615" s="13"/>
    </row>
    <row r="13616">
      <c r="L13616" s="13"/>
      <c r="M13616" s="14"/>
      <c r="N13616" s="14"/>
      <c r="O13616" s="14"/>
      <c r="P13616" s="13"/>
    </row>
    <row r="13617">
      <c r="L13617" s="13"/>
      <c r="M13617" s="14"/>
      <c r="N13617" s="14"/>
      <c r="O13617" s="14"/>
      <c r="P13617" s="13"/>
    </row>
    <row r="13618">
      <c r="L13618" s="13"/>
      <c r="M13618" s="14"/>
      <c r="N13618" s="14"/>
      <c r="O13618" s="14"/>
      <c r="P13618" s="13"/>
    </row>
    <row r="13619">
      <c r="L13619" s="13"/>
      <c r="M13619" s="14"/>
      <c r="N13619" s="14"/>
      <c r="O13619" s="14"/>
      <c r="P13619" s="13"/>
    </row>
    <row r="13620">
      <c r="L13620" s="13"/>
      <c r="M13620" s="14"/>
      <c r="N13620" s="14"/>
      <c r="O13620" s="14"/>
      <c r="P13620" s="13"/>
    </row>
    <row r="13621">
      <c r="L13621" s="13"/>
      <c r="M13621" s="14"/>
      <c r="N13621" s="14"/>
      <c r="O13621" s="14"/>
      <c r="P13621" s="13"/>
    </row>
    <row r="13622">
      <c r="L13622" s="13"/>
      <c r="M13622" s="14"/>
      <c r="N13622" s="14"/>
      <c r="O13622" s="14"/>
      <c r="P13622" s="13"/>
    </row>
    <row r="13623">
      <c r="L13623" s="13"/>
      <c r="M13623" s="14"/>
      <c r="N13623" s="14"/>
      <c r="O13623" s="14"/>
      <c r="P13623" s="13"/>
    </row>
    <row r="13624">
      <c r="L13624" s="13"/>
      <c r="M13624" s="14"/>
      <c r="N13624" s="14"/>
      <c r="O13624" s="14"/>
      <c r="P13624" s="13"/>
    </row>
    <row r="13625">
      <c r="L13625" s="13"/>
      <c r="M13625" s="14"/>
      <c r="N13625" s="14"/>
      <c r="O13625" s="14"/>
      <c r="P13625" s="13"/>
    </row>
    <row r="13626">
      <c r="L13626" s="13"/>
      <c r="M13626" s="14"/>
      <c r="N13626" s="14"/>
      <c r="O13626" s="14"/>
      <c r="P13626" s="13"/>
    </row>
    <row r="13627">
      <c r="L13627" s="13"/>
      <c r="M13627" s="14"/>
      <c r="N13627" s="14"/>
      <c r="O13627" s="14"/>
      <c r="P13627" s="13"/>
    </row>
    <row r="13628">
      <c r="L13628" s="13"/>
      <c r="M13628" s="14"/>
      <c r="N13628" s="14"/>
      <c r="O13628" s="14"/>
      <c r="P13628" s="13"/>
    </row>
    <row r="13629">
      <c r="L13629" s="13"/>
      <c r="M13629" s="14"/>
      <c r="N13629" s="14"/>
      <c r="O13629" s="14"/>
      <c r="P13629" s="13"/>
    </row>
    <row r="13630">
      <c r="L13630" s="13"/>
      <c r="M13630" s="14"/>
      <c r="N13630" s="14"/>
      <c r="O13630" s="14"/>
      <c r="P13630" s="13"/>
    </row>
    <row r="13631">
      <c r="L13631" s="13"/>
      <c r="M13631" s="14"/>
      <c r="N13631" s="14"/>
      <c r="O13631" s="14"/>
      <c r="P13631" s="13"/>
    </row>
    <row r="13632">
      <c r="L13632" s="13"/>
      <c r="M13632" s="14"/>
      <c r="N13632" s="14"/>
      <c r="O13632" s="14"/>
      <c r="P13632" s="13"/>
    </row>
    <row r="13633">
      <c r="L13633" s="13"/>
      <c r="M13633" s="14"/>
      <c r="N13633" s="14"/>
      <c r="O13633" s="14"/>
      <c r="P13633" s="13"/>
    </row>
    <row r="13634">
      <c r="L13634" s="13"/>
      <c r="M13634" s="14"/>
      <c r="N13634" s="14"/>
      <c r="O13634" s="14"/>
      <c r="P13634" s="13"/>
    </row>
    <row r="13635">
      <c r="L13635" s="13"/>
      <c r="M13635" s="14"/>
      <c r="N13635" s="14"/>
      <c r="O13635" s="14"/>
      <c r="P13635" s="13"/>
    </row>
    <row r="13636">
      <c r="L13636" s="13"/>
      <c r="M13636" s="14"/>
      <c r="N13636" s="14"/>
      <c r="O13636" s="14"/>
      <c r="P13636" s="13"/>
    </row>
    <row r="13637">
      <c r="L13637" s="13"/>
      <c r="M13637" s="14"/>
      <c r="N13637" s="14"/>
      <c r="O13637" s="14"/>
      <c r="P13637" s="13"/>
    </row>
    <row r="13638">
      <c r="L13638" s="13"/>
      <c r="M13638" s="14"/>
      <c r="N13638" s="14"/>
      <c r="O13638" s="14"/>
      <c r="P13638" s="13"/>
    </row>
    <row r="13639">
      <c r="L13639" s="13"/>
      <c r="M13639" s="14"/>
      <c r="N13639" s="14"/>
      <c r="O13639" s="14"/>
      <c r="P13639" s="13"/>
    </row>
    <row r="13640">
      <c r="L13640" s="13"/>
      <c r="M13640" s="14"/>
      <c r="N13640" s="14"/>
      <c r="O13640" s="14"/>
      <c r="P13640" s="13"/>
    </row>
    <row r="13641">
      <c r="L13641" s="13"/>
      <c r="M13641" s="14"/>
      <c r="N13641" s="14"/>
      <c r="O13641" s="14"/>
      <c r="P13641" s="13"/>
    </row>
    <row r="13642">
      <c r="L13642" s="13"/>
      <c r="M13642" s="14"/>
      <c r="N13642" s="14"/>
      <c r="O13642" s="14"/>
      <c r="P13642" s="13"/>
    </row>
    <row r="13643">
      <c r="L13643" s="13"/>
      <c r="M13643" s="14"/>
      <c r="N13643" s="14"/>
      <c r="O13643" s="14"/>
      <c r="P13643" s="13"/>
    </row>
    <row r="13644">
      <c r="L13644" s="13"/>
      <c r="M13644" s="14"/>
      <c r="N13644" s="14"/>
      <c r="O13644" s="14"/>
      <c r="P13644" s="13"/>
    </row>
    <row r="13645">
      <c r="L13645" s="13"/>
      <c r="M13645" s="14"/>
      <c r="N13645" s="14"/>
      <c r="O13645" s="14"/>
      <c r="P13645" s="13"/>
    </row>
    <row r="13646">
      <c r="L13646" s="13"/>
      <c r="M13646" s="14"/>
      <c r="N13646" s="14"/>
      <c r="O13646" s="14"/>
      <c r="P13646" s="13"/>
    </row>
    <row r="13647">
      <c r="L13647" s="13"/>
      <c r="M13647" s="14"/>
      <c r="N13647" s="14"/>
      <c r="O13647" s="14"/>
      <c r="P13647" s="13"/>
    </row>
    <row r="13648">
      <c r="L13648" s="13"/>
      <c r="M13648" s="14"/>
      <c r="N13648" s="14"/>
      <c r="O13648" s="14"/>
      <c r="P13648" s="13"/>
    </row>
    <row r="13649">
      <c r="L13649" s="13"/>
      <c r="M13649" s="14"/>
      <c r="N13649" s="14"/>
      <c r="O13649" s="14"/>
      <c r="P13649" s="13"/>
    </row>
    <row r="13650">
      <c r="L13650" s="13"/>
      <c r="M13650" s="14"/>
      <c r="N13650" s="14"/>
      <c r="O13650" s="14"/>
      <c r="P13650" s="13"/>
    </row>
    <row r="13651">
      <c r="L13651" s="13"/>
      <c r="M13651" s="14"/>
      <c r="N13651" s="14"/>
      <c r="O13651" s="14"/>
      <c r="P13651" s="13"/>
    </row>
    <row r="13652">
      <c r="L13652" s="13"/>
      <c r="M13652" s="14"/>
      <c r="N13652" s="14"/>
      <c r="O13652" s="14"/>
      <c r="P13652" s="13"/>
    </row>
    <row r="13653">
      <c r="L13653" s="13"/>
      <c r="M13653" s="14"/>
      <c r="N13653" s="14"/>
      <c r="O13653" s="14"/>
      <c r="P13653" s="13"/>
    </row>
    <row r="13654">
      <c r="L13654" s="13"/>
      <c r="M13654" s="14"/>
      <c r="N13654" s="14"/>
      <c r="O13654" s="14"/>
      <c r="P13654" s="13"/>
    </row>
    <row r="13655">
      <c r="L13655" s="13"/>
      <c r="M13655" s="14"/>
      <c r="N13655" s="14"/>
      <c r="O13655" s="14"/>
      <c r="P13655" s="13"/>
    </row>
    <row r="13656">
      <c r="L13656" s="13"/>
      <c r="M13656" s="14"/>
      <c r="N13656" s="14"/>
      <c r="O13656" s="14"/>
      <c r="P13656" s="13"/>
    </row>
    <row r="13657">
      <c r="L13657" s="13"/>
      <c r="M13657" s="14"/>
      <c r="N13657" s="14"/>
      <c r="O13657" s="14"/>
      <c r="P13657" s="13"/>
    </row>
    <row r="13658">
      <c r="L13658" s="13"/>
      <c r="M13658" s="14"/>
      <c r="N13658" s="14"/>
      <c r="O13658" s="14"/>
      <c r="P13658" s="13"/>
    </row>
    <row r="13659">
      <c r="L13659" s="13"/>
      <c r="M13659" s="14"/>
      <c r="N13659" s="14"/>
      <c r="O13659" s="14"/>
      <c r="P13659" s="13"/>
    </row>
    <row r="13660">
      <c r="L13660" s="13"/>
      <c r="M13660" s="14"/>
      <c r="N13660" s="14"/>
      <c r="O13660" s="14"/>
      <c r="P13660" s="13"/>
    </row>
    <row r="13661">
      <c r="L13661" s="13"/>
      <c r="M13661" s="14"/>
      <c r="N13661" s="14"/>
      <c r="O13661" s="14"/>
      <c r="P13661" s="13"/>
    </row>
    <row r="13662">
      <c r="L13662" s="13"/>
      <c r="M13662" s="14"/>
      <c r="N13662" s="14"/>
      <c r="O13662" s="14"/>
      <c r="P13662" s="13"/>
    </row>
    <row r="13663">
      <c r="L13663" s="13"/>
      <c r="M13663" s="14"/>
      <c r="N13663" s="14"/>
      <c r="O13663" s="14"/>
      <c r="P13663" s="13"/>
    </row>
    <row r="13664">
      <c r="L13664" s="13"/>
      <c r="M13664" s="14"/>
      <c r="N13664" s="14"/>
      <c r="O13664" s="14"/>
      <c r="P13664" s="13"/>
    </row>
    <row r="13665">
      <c r="L13665" s="13"/>
      <c r="M13665" s="14"/>
      <c r="N13665" s="14"/>
      <c r="O13665" s="14"/>
      <c r="P13665" s="13"/>
    </row>
    <row r="13666">
      <c r="L13666" s="13"/>
      <c r="M13666" s="14"/>
      <c r="N13666" s="14"/>
      <c r="O13666" s="14"/>
      <c r="P13666" s="13"/>
    </row>
    <row r="13667">
      <c r="L13667" s="13"/>
      <c r="M13667" s="14"/>
      <c r="N13667" s="14"/>
      <c r="O13667" s="14"/>
      <c r="P13667" s="13"/>
    </row>
    <row r="13668">
      <c r="L13668" s="13"/>
      <c r="M13668" s="14"/>
      <c r="N13668" s="14"/>
      <c r="O13668" s="14"/>
      <c r="P13668" s="13"/>
    </row>
    <row r="13669">
      <c r="L13669" s="13"/>
      <c r="M13669" s="14"/>
      <c r="N13669" s="14"/>
      <c r="O13669" s="14"/>
      <c r="P13669" s="13"/>
    </row>
    <row r="13670">
      <c r="L13670" s="13"/>
      <c r="M13670" s="14"/>
      <c r="N13670" s="14"/>
      <c r="O13670" s="14"/>
      <c r="P13670" s="13"/>
    </row>
    <row r="13671">
      <c r="L13671" s="13"/>
      <c r="M13671" s="14"/>
      <c r="N13671" s="14"/>
      <c r="O13671" s="14"/>
      <c r="P13671" s="13"/>
    </row>
    <row r="13672">
      <c r="L13672" s="13"/>
      <c r="M13672" s="14"/>
      <c r="N13672" s="14"/>
      <c r="O13672" s="14"/>
      <c r="P13672" s="13"/>
    </row>
    <row r="13673">
      <c r="L13673" s="13"/>
      <c r="M13673" s="14"/>
      <c r="N13673" s="14"/>
      <c r="O13673" s="14"/>
      <c r="P13673" s="13"/>
    </row>
    <row r="13674">
      <c r="L13674" s="13"/>
      <c r="M13674" s="14"/>
      <c r="N13674" s="14"/>
      <c r="O13674" s="14"/>
      <c r="P13674" s="13"/>
    </row>
    <row r="13675">
      <c r="L13675" s="13"/>
      <c r="M13675" s="14"/>
      <c r="N13675" s="14"/>
      <c r="O13675" s="14"/>
      <c r="P13675" s="13"/>
    </row>
    <row r="13676">
      <c r="L13676" s="13"/>
      <c r="M13676" s="14"/>
      <c r="N13676" s="14"/>
      <c r="O13676" s="14"/>
      <c r="P13676" s="13"/>
    </row>
    <row r="13677">
      <c r="L13677" s="13"/>
      <c r="M13677" s="14"/>
      <c r="N13677" s="14"/>
      <c r="O13677" s="14"/>
      <c r="P13677" s="13"/>
    </row>
    <row r="13678">
      <c r="L13678" s="13"/>
      <c r="M13678" s="14"/>
      <c r="N13678" s="14"/>
      <c r="O13678" s="14"/>
      <c r="P13678" s="13"/>
    </row>
    <row r="13679">
      <c r="L13679" s="13"/>
      <c r="M13679" s="14"/>
      <c r="N13679" s="14"/>
      <c r="O13679" s="14"/>
      <c r="P13679" s="13"/>
    </row>
    <row r="13680">
      <c r="L13680" s="13"/>
      <c r="M13680" s="14"/>
      <c r="N13680" s="14"/>
      <c r="O13680" s="14"/>
      <c r="P13680" s="13"/>
    </row>
    <row r="13681">
      <c r="L13681" s="13"/>
      <c r="M13681" s="14"/>
      <c r="N13681" s="14"/>
      <c r="O13681" s="14"/>
      <c r="P13681" s="13"/>
    </row>
    <row r="13682">
      <c r="L13682" s="13"/>
      <c r="M13682" s="14"/>
      <c r="N13682" s="14"/>
      <c r="O13682" s="14"/>
      <c r="P13682" s="13"/>
    </row>
    <row r="13683">
      <c r="L13683" s="13"/>
      <c r="M13683" s="14"/>
      <c r="N13683" s="14"/>
      <c r="O13683" s="14"/>
      <c r="P13683" s="13"/>
    </row>
    <row r="13684">
      <c r="L13684" s="13"/>
      <c r="M13684" s="14"/>
      <c r="N13684" s="14"/>
      <c r="O13684" s="14"/>
      <c r="P13684" s="13"/>
    </row>
    <row r="13685">
      <c r="L13685" s="13"/>
      <c r="M13685" s="14"/>
      <c r="N13685" s="14"/>
      <c r="O13685" s="14"/>
      <c r="P13685" s="13"/>
    </row>
    <row r="13686">
      <c r="L13686" s="13"/>
      <c r="M13686" s="14"/>
      <c r="N13686" s="14"/>
      <c r="O13686" s="14"/>
      <c r="P13686" s="13"/>
    </row>
    <row r="13687">
      <c r="L13687" s="13"/>
      <c r="M13687" s="14"/>
      <c r="N13687" s="14"/>
      <c r="O13687" s="14"/>
      <c r="P13687" s="13"/>
    </row>
    <row r="13688">
      <c r="L13688" s="13"/>
      <c r="M13688" s="14"/>
      <c r="N13688" s="14"/>
      <c r="O13688" s="14"/>
      <c r="P13688" s="13"/>
    </row>
    <row r="13689">
      <c r="L13689" s="13"/>
      <c r="M13689" s="14"/>
      <c r="N13689" s="14"/>
      <c r="O13689" s="14"/>
      <c r="P13689" s="13"/>
    </row>
    <row r="13690">
      <c r="L13690" s="13"/>
      <c r="M13690" s="14"/>
      <c r="N13690" s="14"/>
      <c r="O13690" s="14"/>
      <c r="P13690" s="13"/>
    </row>
    <row r="13691">
      <c r="L13691" s="13"/>
      <c r="M13691" s="14"/>
      <c r="N13691" s="14"/>
      <c r="O13691" s="14"/>
      <c r="P13691" s="13"/>
    </row>
    <row r="13692">
      <c r="L13692" s="13"/>
      <c r="M13692" s="14"/>
      <c r="N13692" s="14"/>
      <c r="O13692" s="14"/>
      <c r="P13692" s="13"/>
    </row>
    <row r="13693">
      <c r="L13693" s="13"/>
      <c r="M13693" s="14"/>
      <c r="N13693" s="14"/>
      <c r="O13693" s="14"/>
      <c r="P13693" s="13"/>
    </row>
    <row r="13694">
      <c r="L13694" s="13"/>
      <c r="M13694" s="14"/>
      <c r="N13694" s="14"/>
      <c r="O13694" s="14"/>
      <c r="P13694" s="13"/>
    </row>
    <row r="13695">
      <c r="L13695" s="13"/>
      <c r="M13695" s="14"/>
      <c r="N13695" s="14"/>
      <c r="O13695" s="14"/>
      <c r="P13695" s="13"/>
    </row>
    <row r="13696">
      <c r="L13696" s="13"/>
      <c r="M13696" s="14"/>
      <c r="N13696" s="14"/>
      <c r="O13696" s="14"/>
      <c r="P13696" s="13"/>
    </row>
    <row r="13697">
      <c r="L13697" s="13"/>
      <c r="M13697" s="14"/>
      <c r="N13697" s="14"/>
      <c r="O13697" s="14"/>
      <c r="P13697" s="13"/>
    </row>
    <row r="13698">
      <c r="L13698" s="13"/>
      <c r="M13698" s="14"/>
      <c r="N13698" s="14"/>
      <c r="O13698" s="14"/>
      <c r="P13698" s="13"/>
    </row>
    <row r="13699">
      <c r="L13699" s="13"/>
      <c r="M13699" s="14"/>
      <c r="N13699" s="14"/>
      <c r="O13699" s="14"/>
      <c r="P13699" s="13"/>
    </row>
    <row r="13700">
      <c r="L13700" s="13"/>
      <c r="M13700" s="14"/>
      <c r="N13700" s="14"/>
      <c r="O13700" s="14"/>
      <c r="P13700" s="13"/>
    </row>
    <row r="13701">
      <c r="L13701" s="13"/>
      <c r="M13701" s="14"/>
      <c r="N13701" s="14"/>
      <c r="O13701" s="14"/>
      <c r="P13701" s="13"/>
    </row>
    <row r="13702">
      <c r="L13702" s="13"/>
      <c r="M13702" s="14"/>
      <c r="N13702" s="14"/>
      <c r="O13702" s="14"/>
      <c r="P13702" s="13"/>
    </row>
    <row r="13703">
      <c r="L13703" s="13"/>
      <c r="M13703" s="14"/>
      <c r="N13703" s="14"/>
      <c r="O13703" s="14"/>
      <c r="P13703" s="13"/>
    </row>
    <row r="13704">
      <c r="L13704" s="13"/>
      <c r="M13704" s="14"/>
      <c r="N13704" s="14"/>
      <c r="O13704" s="14"/>
      <c r="P13704" s="13"/>
    </row>
    <row r="13705">
      <c r="L13705" s="13"/>
      <c r="M13705" s="14"/>
      <c r="N13705" s="14"/>
      <c r="O13705" s="14"/>
      <c r="P13705" s="13"/>
    </row>
    <row r="13706">
      <c r="L13706" s="13"/>
      <c r="M13706" s="14"/>
      <c r="N13706" s="14"/>
      <c r="O13706" s="14"/>
      <c r="P13706" s="13"/>
    </row>
    <row r="13707">
      <c r="L13707" s="13"/>
      <c r="M13707" s="14"/>
      <c r="N13707" s="14"/>
      <c r="O13707" s="14"/>
      <c r="P13707" s="13"/>
    </row>
    <row r="13708">
      <c r="L13708" s="13"/>
      <c r="M13708" s="14"/>
      <c r="N13708" s="14"/>
      <c r="O13708" s="14"/>
      <c r="P13708" s="13"/>
    </row>
    <row r="13709">
      <c r="L13709" s="13"/>
      <c r="M13709" s="14"/>
      <c r="N13709" s="14"/>
      <c r="O13709" s="14"/>
      <c r="P13709" s="13"/>
    </row>
    <row r="13710">
      <c r="L13710" s="13"/>
      <c r="M13710" s="14"/>
      <c r="N13710" s="14"/>
      <c r="O13710" s="14"/>
      <c r="P13710" s="13"/>
    </row>
    <row r="13711">
      <c r="L13711" s="13"/>
      <c r="M13711" s="14"/>
      <c r="N13711" s="14"/>
      <c r="O13711" s="14"/>
      <c r="P13711" s="13"/>
    </row>
    <row r="13712">
      <c r="L13712" s="13"/>
      <c r="M13712" s="14"/>
      <c r="N13712" s="14"/>
      <c r="O13712" s="14"/>
      <c r="P13712" s="13"/>
    </row>
    <row r="13713">
      <c r="L13713" s="13"/>
      <c r="M13713" s="14"/>
      <c r="N13713" s="14"/>
      <c r="O13713" s="14"/>
      <c r="P13713" s="13"/>
    </row>
    <row r="13714">
      <c r="L13714" s="13"/>
      <c r="M13714" s="14"/>
      <c r="N13714" s="14"/>
      <c r="O13714" s="14"/>
      <c r="P13714" s="13"/>
    </row>
    <row r="13715">
      <c r="L13715" s="13"/>
      <c r="M13715" s="14"/>
      <c r="N13715" s="14"/>
      <c r="O13715" s="14"/>
      <c r="P13715" s="13"/>
    </row>
    <row r="13716">
      <c r="L13716" s="13"/>
      <c r="M13716" s="14"/>
      <c r="N13716" s="14"/>
      <c r="O13716" s="14"/>
      <c r="P13716" s="13"/>
    </row>
    <row r="13717">
      <c r="L13717" s="13"/>
      <c r="M13717" s="14"/>
      <c r="N13717" s="14"/>
      <c r="O13717" s="14"/>
      <c r="P13717" s="13"/>
    </row>
    <row r="13718">
      <c r="L13718" s="13"/>
      <c r="M13718" s="14"/>
      <c r="N13718" s="14"/>
      <c r="O13718" s="14"/>
      <c r="P13718" s="13"/>
    </row>
    <row r="13719">
      <c r="L13719" s="13"/>
      <c r="M13719" s="14"/>
      <c r="N13719" s="14"/>
      <c r="O13719" s="14"/>
      <c r="P13719" s="13"/>
    </row>
    <row r="13720">
      <c r="L13720" s="13"/>
      <c r="M13720" s="14"/>
      <c r="N13720" s="14"/>
      <c r="O13720" s="14"/>
      <c r="P13720" s="13"/>
    </row>
    <row r="13721">
      <c r="L13721" s="13"/>
      <c r="M13721" s="14"/>
      <c r="N13721" s="14"/>
      <c r="O13721" s="14"/>
      <c r="P13721" s="13"/>
    </row>
    <row r="13722">
      <c r="L13722" s="13"/>
      <c r="M13722" s="14"/>
      <c r="N13722" s="14"/>
      <c r="O13722" s="14"/>
      <c r="P13722" s="13"/>
    </row>
    <row r="13723">
      <c r="L13723" s="13"/>
      <c r="M13723" s="14"/>
      <c r="N13723" s="14"/>
      <c r="O13723" s="14"/>
      <c r="P13723" s="13"/>
    </row>
    <row r="13724">
      <c r="L13724" s="13"/>
      <c r="M13724" s="14"/>
      <c r="N13724" s="14"/>
      <c r="O13724" s="14"/>
      <c r="P13724" s="13"/>
    </row>
    <row r="13725">
      <c r="L13725" s="13"/>
      <c r="M13725" s="14"/>
      <c r="N13725" s="14"/>
      <c r="O13725" s="14"/>
      <c r="P13725" s="13"/>
    </row>
    <row r="13726">
      <c r="L13726" s="13"/>
      <c r="M13726" s="14"/>
      <c r="N13726" s="14"/>
      <c r="O13726" s="14"/>
      <c r="P13726" s="13"/>
    </row>
    <row r="13727">
      <c r="L13727" s="13"/>
      <c r="M13727" s="14"/>
      <c r="N13727" s="14"/>
      <c r="O13727" s="14"/>
      <c r="P13727" s="13"/>
    </row>
    <row r="13728">
      <c r="L13728" s="13"/>
      <c r="M13728" s="14"/>
      <c r="N13728" s="14"/>
      <c r="O13728" s="14"/>
      <c r="P13728" s="13"/>
    </row>
    <row r="13729">
      <c r="L13729" s="13"/>
      <c r="M13729" s="14"/>
      <c r="N13729" s="14"/>
      <c r="O13729" s="14"/>
      <c r="P13729" s="13"/>
    </row>
    <row r="13730">
      <c r="L13730" s="13"/>
      <c r="M13730" s="14"/>
      <c r="N13730" s="14"/>
      <c r="O13730" s="14"/>
      <c r="P13730" s="13"/>
    </row>
    <row r="13731">
      <c r="L13731" s="13"/>
      <c r="M13731" s="14"/>
      <c r="N13731" s="14"/>
      <c r="O13731" s="14"/>
      <c r="P13731" s="13"/>
    </row>
    <row r="13732">
      <c r="L13732" s="13"/>
      <c r="M13732" s="14"/>
      <c r="N13732" s="14"/>
      <c r="O13732" s="14"/>
      <c r="P13732" s="13"/>
    </row>
    <row r="13733">
      <c r="L13733" s="13"/>
      <c r="M13733" s="14"/>
      <c r="N13733" s="14"/>
      <c r="O13733" s="14"/>
      <c r="P13733" s="13"/>
    </row>
    <row r="13734">
      <c r="L13734" s="13"/>
      <c r="M13734" s="14"/>
      <c r="N13734" s="14"/>
      <c r="O13734" s="14"/>
      <c r="P13734" s="13"/>
    </row>
    <row r="13735">
      <c r="L13735" s="13"/>
      <c r="M13735" s="14"/>
      <c r="N13735" s="14"/>
      <c r="O13735" s="14"/>
      <c r="P13735" s="13"/>
    </row>
    <row r="13736">
      <c r="L13736" s="13"/>
      <c r="M13736" s="14"/>
      <c r="N13736" s="14"/>
      <c r="O13736" s="14"/>
      <c r="P13736" s="13"/>
    </row>
    <row r="13737">
      <c r="L13737" s="13"/>
      <c r="M13737" s="14"/>
      <c r="N13737" s="14"/>
      <c r="O13737" s="14"/>
      <c r="P13737" s="13"/>
    </row>
    <row r="13738">
      <c r="L13738" s="13"/>
      <c r="M13738" s="14"/>
      <c r="N13738" s="14"/>
      <c r="O13738" s="14"/>
      <c r="P13738" s="13"/>
    </row>
    <row r="13739">
      <c r="L13739" s="13"/>
      <c r="M13739" s="14"/>
      <c r="N13739" s="14"/>
      <c r="O13739" s="14"/>
      <c r="P13739" s="13"/>
    </row>
    <row r="13740">
      <c r="L13740" s="13"/>
      <c r="M13740" s="14"/>
      <c r="N13740" s="14"/>
      <c r="O13740" s="14"/>
      <c r="P13740" s="13"/>
    </row>
    <row r="13741">
      <c r="L13741" s="13"/>
      <c r="M13741" s="14"/>
      <c r="N13741" s="14"/>
      <c r="O13741" s="14"/>
      <c r="P13741" s="13"/>
    </row>
    <row r="13742">
      <c r="L13742" s="13"/>
      <c r="M13742" s="14"/>
      <c r="N13742" s="14"/>
      <c r="O13742" s="14"/>
      <c r="P13742" s="13"/>
    </row>
    <row r="13743">
      <c r="L13743" s="13"/>
      <c r="M13743" s="14"/>
      <c r="N13743" s="14"/>
      <c r="O13743" s="14"/>
      <c r="P13743" s="13"/>
    </row>
    <row r="13744">
      <c r="L13744" s="13"/>
      <c r="M13744" s="14"/>
      <c r="N13744" s="14"/>
      <c r="O13744" s="14"/>
      <c r="P13744" s="13"/>
    </row>
    <row r="13745">
      <c r="L13745" s="13"/>
      <c r="M13745" s="14"/>
      <c r="N13745" s="14"/>
      <c r="O13745" s="14"/>
      <c r="P13745" s="13"/>
    </row>
    <row r="13746">
      <c r="L13746" s="13"/>
      <c r="M13746" s="14"/>
      <c r="N13746" s="14"/>
      <c r="O13746" s="14"/>
      <c r="P13746" s="13"/>
    </row>
    <row r="13747">
      <c r="L13747" s="13"/>
      <c r="M13747" s="14"/>
      <c r="N13747" s="14"/>
      <c r="O13747" s="14"/>
      <c r="P13747" s="13"/>
    </row>
    <row r="13748">
      <c r="L13748" s="13"/>
      <c r="M13748" s="14"/>
      <c r="N13748" s="14"/>
      <c r="O13748" s="14"/>
      <c r="P13748" s="13"/>
    </row>
    <row r="13749">
      <c r="L13749" s="13"/>
      <c r="M13749" s="14"/>
      <c r="N13749" s="14"/>
      <c r="O13749" s="14"/>
      <c r="P13749" s="13"/>
    </row>
    <row r="13750">
      <c r="L13750" s="13"/>
      <c r="M13750" s="14"/>
      <c r="N13750" s="14"/>
      <c r="O13750" s="14"/>
      <c r="P13750" s="13"/>
    </row>
    <row r="13751">
      <c r="L13751" s="13"/>
      <c r="M13751" s="14"/>
      <c r="N13751" s="14"/>
      <c r="O13751" s="14"/>
      <c r="P13751" s="13"/>
    </row>
    <row r="13752">
      <c r="L13752" s="13"/>
      <c r="M13752" s="14"/>
      <c r="N13752" s="14"/>
      <c r="O13752" s="14"/>
      <c r="P13752" s="13"/>
    </row>
    <row r="13753">
      <c r="L13753" s="13"/>
      <c r="M13753" s="14"/>
      <c r="N13753" s="14"/>
      <c r="O13753" s="14"/>
      <c r="P13753" s="13"/>
    </row>
    <row r="13754">
      <c r="L13754" s="13"/>
      <c r="M13754" s="14"/>
      <c r="N13754" s="14"/>
      <c r="O13754" s="14"/>
      <c r="P13754" s="13"/>
    </row>
    <row r="13755">
      <c r="L13755" s="13"/>
      <c r="M13755" s="14"/>
      <c r="N13755" s="14"/>
      <c r="O13755" s="14"/>
      <c r="P13755" s="13"/>
    </row>
    <row r="13756">
      <c r="L13756" s="13"/>
      <c r="M13756" s="14"/>
      <c r="N13756" s="14"/>
      <c r="O13756" s="14"/>
      <c r="P13756" s="13"/>
    </row>
    <row r="13757">
      <c r="L13757" s="13"/>
      <c r="M13757" s="14"/>
      <c r="N13757" s="14"/>
      <c r="O13757" s="14"/>
      <c r="P13757" s="13"/>
    </row>
    <row r="13758">
      <c r="L13758" s="13"/>
      <c r="M13758" s="14"/>
      <c r="N13758" s="14"/>
      <c r="O13758" s="14"/>
      <c r="P13758" s="13"/>
    </row>
    <row r="13759">
      <c r="L13759" s="13"/>
      <c r="M13759" s="14"/>
      <c r="N13759" s="14"/>
      <c r="O13759" s="14"/>
      <c r="P13759" s="13"/>
    </row>
    <row r="13760">
      <c r="L13760" s="13"/>
      <c r="M13760" s="14"/>
      <c r="N13760" s="14"/>
      <c r="O13760" s="14"/>
      <c r="P13760" s="13"/>
    </row>
    <row r="13761">
      <c r="L13761" s="13"/>
      <c r="M13761" s="14"/>
      <c r="N13761" s="14"/>
      <c r="O13761" s="14"/>
      <c r="P13761" s="13"/>
    </row>
    <row r="13762">
      <c r="L13762" s="13"/>
      <c r="M13762" s="14"/>
      <c r="N13762" s="14"/>
      <c r="O13762" s="14"/>
      <c r="P13762" s="13"/>
    </row>
    <row r="13763">
      <c r="L13763" s="13"/>
      <c r="M13763" s="14"/>
      <c r="N13763" s="14"/>
      <c r="O13763" s="14"/>
      <c r="P13763" s="13"/>
    </row>
    <row r="13764">
      <c r="L13764" s="13"/>
      <c r="M13764" s="14"/>
      <c r="N13764" s="14"/>
      <c r="O13764" s="14"/>
      <c r="P13764" s="13"/>
    </row>
    <row r="13765">
      <c r="L13765" s="13"/>
      <c r="M13765" s="14"/>
      <c r="N13765" s="14"/>
      <c r="O13765" s="14"/>
      <c r="P13765" s="13"/>
    </row>
    <row r="13766">
      <c r="L13766" s="13"/>
      <c r="M13766" s="14"/>
      <c r="N13766" s="14"/>
      <c r="O13766" s="14"/>
      <c r="P13766" s="13"/>
    </row>
    <row r="13767">
      <c r="L13767" s="13"/>
      <c r="M13767" s="14"/>
      <c r="N13767" s="14"/>
      <c r="O13767" s="14"/>
      <c r="P13767" s="13"/>
    </row>
    <row r="13768">
      <c r="L13768" s="13"/>
      <c r="M13768" s="14"/>
      <c r="N13768" s="14"/>
      <c r="O13768" s="14"/>
      <c r="P13768" s="13"/>
    </row>
    <row r="13769">
      <c r="L13769" s="13"/>
      <c r="M13769" s="14"/>
      <c r="N13769" s="14"/>
      <c r="O13769" s="14"/>
      <c r="P13769" s="13"/>
    </row>
    <row r="13770">
      <c r="L13770" s="13"/>
      <c r="M13770" s="14"/>
      <c r="N13770" s="14"/>
      <c r="O13770" s="14"/>
      <c r="P13770" s="13"/>
    </row>
    <row r="13771">
      <c r="L13771" s="13"/>
      <c r="M13771" s="14"/>
      <c r="N13771" s="14"/>
      <c r="O13771" s="14"/>
      <c r="P13771" s="13"/>
    </row>
    <row r="13772">
      <c r="L13772" s="13"/>
      <c r="M13772" s="14"/>
      <c r="N13772" s="14"/>
      <c r="O13772" s="14"/>
      <c r="P13772" s="13"/>
    </row>
    <row r="13773">
      <c r="L13773" s="13"/>
      <c r="M13773" s="14"/>
      <c r="N13773" s="14"/>
      <c r="O13773" s="14"/>
      <c r="P13773" s="13"/>
    </row>
    <row r="13774">
      <c r="L13774" s="13"/>
      <c r="M13774" s="14"/>
      <c r="N13774" s="14"/>
      <c r="O13774" s="14"/>
      <c r="P13774" s="13"/>
    </row>
    <row r="13775">
      <c r="L13775" s="13"/>
      <c r="M13775" s="14"/>
      <c r="N13775" s="14"/>
      <c r="O13775" s="14"/>
      <c r="P13775" s="13"/>
    </row>
    <row r="13776">
      <c r="L13776" s="13"/>
      <c r="M13776" s="14"/>
      <c r="N13776" s="14"/>
      <c r="O13776" s="14"/>
      <c r="P13776" s="13"/>
    </row>
    <row r="13777">
      <c r="L13777" s="13"/>
      <c r="M13777" s="14"/>
      <c r="N13777" s="14"/>
      <c r="O13777" s="14"/>
      <c r="P13777" s="13"/>
    </row>
    <row r="13778">
      <c r="L13778" s="13"/>
      <c r="M13778" s="14"/>
      <c r="N13778" s="14"/>
      <c r="O13778" s="14"/>
      <c r="P13778" s="13"/>
    </row>
    <row r="13779">
      <c r="L13779" s="13"/>
      <c r="M13779" s="14"/>
      <c r="N13779" s="14"/>
      <c r="O13779" s="14"/>
      <c r="P13779" s="13"/>
    </row>
    <row r="13780">
      <c r="L13780" s="13"/>
      <c r="M13780" s="14"/>
      <c r="N13780" s="14"/>
      <c r="O13780" s="14"/>
      <c r="P13780" s="13"/>
    </row>
    <row r="13781">
      <c r="L13781" s="13"/>
      <c r="M13781" s="14"/>
      <c r="N13781" s="14"/>
      <c r="O13781" s="14"/>
      <c r="P13781" s="13"/>
    </row>
    <row r="13782">
      <c r="L13782" s="13"/>
      <c r="M13782" s="14"/>
      <c r="N13782" s="14"/>
      <c r="O13782" s="14"/>
      <c r="P13782" s="13"/>
    </row>
    <row r="13783">
      <c r="L13783" s="13"/>
      <c r="M13783" s="14"/>
      <c r="N13783" s="14"/>
      <c r="O13783" s="14"/>
      <c r="P13783" s="13"/>
    </row>
    <row r="13784">
      <c r="L13784" s="13"/>
      <c r="M13784" s="14"/>
      <c r="N13784" s="14"/>
      <c r="O13784" s="14"/>
      <c r="P13784" s="13"/>
    </row>
    <row r="13785">
      <c r="L13785" s="13"/>
      <c r="M13785" s="14"/>
      <c r="N13785" s="14"/>
      <c r="O13785" s="14"/>
      <c r="P13785" s="13"/>
    </row>
    <row r="13786">
      <c r="L13786" s="13"/>
      <c r="M13786" s="14"/>
      <c r="N13786" s="14"/>
      <c r="O13786" s="14"/>
      <c r="P13786" s="13"/>
    </row>
    <row r="13787">
      <c r="L13787" s="13"/>
      <c r="M13787" s="14"/>
      <c r="N13787" s="14"/>
      <c r="O13787" s="14"/>
      <c r="P13787" s="13"/>
    </row>
    <row r="13788">
      <c r="L13788" s="13"/>
      <c r="M13788" s="14"/>
      <c r="N13788" s="14"/>
      <c r="O13788" s="14"/>
      <c r="P13788" s="13"/>
    </row>
    <row r="13789">
      <c r="L13789" s="13"/>
      <c r="M13789" s="14"/>
      <c r="N13789" s="14"/>
      <c r="O13789" s="14"/>
      <c r="P13789" s="13"/>
    </row>
    <row r="13790">
      <c r="L13790" s="13"/>
      <c r="M13790" s="14"/>
      <c r="N13790" s="14"/>
      <c r="O13790" s="14"/>
      <c r="P13790" s="13"/>
    </row>
    <row r="13791">
      <c r="L13791" s="13"/>
      <c r="M13791" s="14"/>
      <c r="N13791" s="14"/>
      <c r="O13791" s="14"/>
      <c r="P13791" s="13"/>
    </row>
    <row r="13792">
      <c r="L13792" s="13"/>
      <c r="M13792" s="14"/>
      <c r="N13792" s="14"/>
      <c r="O13792" s="14"/>
      <c r="P13792" s="13"/>
    </row>
    <row r="13793">
      <c r="L13793" s="13"/>
      <c r="M13793" s="14"/>
      <c r="N13793" s="14"/>
      <c r="O13793" s="14"/>
      <c r="P13793" s="13"/>
    </row>
    <row r="13794">
      <c r="L13794" s="13"/>
      <c r="M13794" s="14"/>
      <c r="N13794" s="14"/>
      <c r="O13794" s="14"/>
      <c r="P13794" s="13"/>
    </row>
    <row r="13795">
      <c r="L13795" s="13"/>
      <c r="M13795" s="14"/>
      <c r="N13795" s="14"/>
      <c r="O13795" s="14"/>
      <c r="P13795" s="13"/>
    </row>
    <row r="13796">
      <c r="L13796" s="13"/>
      <c r="M13796" s="14"/>
      <c r="N13796" s="14"/>
      <c r="O13796" s="14"/>
      <c r="P13796" s="13"/>
    </row>
    <row r="13797">
      <c r="L13797" s="13"/>
      <c r="M13797" s="14"/>
      <c r="N13797" s="14"/>
      <c r="O13797" s="14"/>
      <c r="P13797" s="13"/>
    </row>
    <row r="13798">
      <c r="L13798" s="13"/>
      <c r="M13798" s="14"/>
      <c r="N13798" s="14"/>
      <c r="O13798" s="14"/>
      <c r="P13798" s="13"/>
    </row>
    <row r="13799">
      <c r="L13799" s="13"/>
      <c r="M13799" s="14"/>
      <c r="N13799" s="14"/>
      <c r="O13799" s="14"/>
      <c r="P13799" s="13"/>
    </row>
    <row r="13800">
      <c r="L13800" s="13"/>
      <c r="M13800" s="14"/>
      <c r="N13800" s="14"/>
      <c r="O13800" s="14"/>
      <c r="P13800" s="13"/>
    </row>
    <row r="13801">
      <c r="L13801" s="13"/>
      <c r="M13801" s="14"/>
      <c r="N13801" s="14"/>
      <c r="O13801" s="14"/>
      <c r="P13801" s="13"/>
    </row>
    <row r="13802">
      <c r="L13802" s="13"/>
      <c r="M13802" s="14"/>
      <c r="N13802" s="14"/>
      <c r="O13802" s="14"/>
      <c r="P13802" s="13"/>
    </row>
    <row r="13803">
      <c r="L13803" s="13"/>
      <c r="M13803" s="14"/>
      <c r="N13803" s="14"/>
      <c r="O13803" s="14"/>
      <c r="P13803" s="13"/>
    </row>
    <row r="13804">
      <c r="L13804" s="13"/>
      <c r="M13804" s="14"/>
      <c r="N13804" s="14"/>
      <c r="O13804" s="14"/>
      <c r="P13804" s="13"/>
    </row>
    <row r="13805">
      <c r="L13805" s="13"/>
      <c r="M13805" s="14"/>
      <c r="N13805" s="14"/>
      <c r="O13805" s="14"/>
      <c r="P13805" s="13"/>
    </row>
    <row r="13806">
      <c r="L13806" s="13"/>
      <c r="M13806" s="14"/>
      <c r="N13806" s="14"/>
      <c r="O13806" s="14"/>
      <c r="P13806" s="13"/>
    </row>
    <row r="13807">
      <c r="L13807" s="13"/>
      <c r="M13807" s="14"/>
      <c r="N13807" s="14"/>
      <c r="O13807" s="14"/>
      <c r="P13807" s="13"/>
    </row>
    <row r="13808">
      <c r="L13808" s="13"/>
      <c r="M13808" s="14"/>
      <c r="N13808" s="14"/>
      <c r="O13808" s="14"/>
      <c r="P13808" s="13"/>
    </row>
    <row r="13809">
      <c r="L13809" s="13"/>
      <c r="M13809" s="14"/>
      <c r="N13809" s="14"/>
      <c r="O13809" s="14"/>
      <c r="P13809" s="13"/>
    </row>
    <row r="13810">
      <c r="L13810" s="13"/>
      <c r="M13810" s="14"/>
      <c r="N13810" s="14"/>
      <c r="O13810" s="14"/>
      <c r="P13810" s="13"/>
    </row>
    <row r="13811">
      <c r="L13811" s="13"/>
      <c r="M13811" s="14"/>
      <c r="N13811" s="14"/>
      <c r="O13811" s="14"/>
      <c r="P13811" s="13"/>
    </row>
    <row r="13812">
      <c r="L13812" s="13"/>
      <c r="M13812" s="14"/>
      <c r="N13812" s="14"/>
      <c r="O13812" s="14"/>
      <c r="P13812" s="13"/>
    </row>
    <row r="13813">
      <c r="L13813" s="13"/>
      <c r="M13813" s="14"/>
      <c r="N13813" s="14"/>
      <c r="O13813" s="14"/>
      <c r="P13813" s="13"/>
    </row>
    <row r="13814">
      <c r="L13814" s="13"/>
      <c r="M13814" s="14"/>
      <c r="N13814" s="14"/>
      <c r="O13814" s="14"/>
      <c r="P13814" s="13"/>
    </row>
    <row r="13815">
      <c r="L13815" s="13"/>
      <c r="M13815" s="14"/>
      <c r="N13815" s="14"/>
      <c r="O13815" s="14"/>
      <c r="P13815" s="13"/>
    </row>
    <row r="13816">
      <c r="L13816" s="13"/>
      <c r="M13816" s="14"/>
      <c r="N13816" s="14"/>
      <c r="O13816" s="14"/>
      <c r="P13816" s="13"/>
    </row>
    <row r="13817">
      <c r="L13817" s="13"/>
      <c r="M13817" s="14"/>
      <c r="N13817" s="14"/>
      <c r="O13817" s="14"/>
      <c r="P13817" s="13"/>
    </row>
    <row r="13818">
      <c r="L13818" s="13"/>
      <c r="M13818" s="14"/>
      <c r="N13818" s="14"/>
      <c r="O13818" s="14"/>
      <c r="P13818" s="13"/>
    </row>
    <row r="13819">
      <c r="L13819" s="13"/>
      <c r="M13819" s="14"/>
      <c r="N13819" s="14"/>
      <c r="O13819" s="14"/>
      <c r="P13819" s="13"/>
    </row>
    <row r="13820">
      <c r="L13820" s="13"/>
      <c r="M13820" s="14"/>
      <c r="N13820" s="14"/>
      <c r="O13820" s="14"/>
      <c r="P13820" s="13"/>
    </row>
    <row r="13821">
      <c r="L13821" s="13"/>
      <c r="M13821" s="14"/>
      <c r="N13821" s="14"/>
      <c r="O13821" s="14"/>
      <c r="P13821" s="13"/>
    </row>
    <row r="13822">
      <c r="L13822" s="13"/>
      <c r="M13822" s="14"/>
      <c r="N13822" s="14"/>
      <c r="O13822" s="14"/>
      <c r="P13822" s="13"/>
    </row>
    <row r="13823">
      <c r="L13823" s="13"/>
      <c r="M13823" s="14"/>
      <c r="N13823" s="14"/>
      <c r="O13823" s="14"/>
      <c r="P13823" s="13"/>
    </row>
    <row r="13824">
      <c r="L13824" s="13"/>
      <c r="M13824" s="14"/>
      <c r="N13824" s="14"/>
      <c r="O13824" s="14"/>
      <c r="P13824" s="13"/>
    </row>
    <row r="13825">
      <c r="L13825" s="13"/>
      <c r="M13825" s="14"/>
      <c r="N13825" s="14"/>
      <c r="O13825" s="14"/>
      <c r="P13825" s="13"/>
    </row>
    <row r="13826">
      <c r="L13826" s="13"/>
      <c r="M13826" s="14"/>
      <c r="N13826" s="14"/>
      <c r="O13826" s="14"/>
      <c r="P13826" s="13"/>
    </row>
    <row r="13827">
      <c r="L13827" s="13"/>
      <c r="M13827" s="14"/>
      <c r="N13827" s="14"/>
      <c r="O13827" s="14"/>
      <c r="P13827" s="13"/>
    </row>
    <row r="13828">
      <c r="L13828" s="13"/>
      <c r="M13828" s="14"/>
      <c r="N13828" s="14"/>
      <c r="O13828" s="14"/>
      <c r="P13828" s="13"/>
    </row>
    <row r="13829">
      <c r="L13829" s="13"/>
      <c r="M13829" s="14"/>
      <c r="N13829" s="14"/>
      <c r="O13829" s="14"/>
      <c r="P13829" s="13"/>
    </row>
    <row r="13830">
      <c r="L13830" s="13"/>
      <c r="M13830" s="14"/>
      <c r="N13830" s="14"/>
      <c r="O13830" s="14"/>
      <c r="P13830" s="13"/>
    </row>
    <row r="13831">
      <c r="L13831" s="13"/>
      <c r="M13831" s="14"/>
      <c r="N13831" s="14"/>
      <c r="O13831" s="14"/>
      <c r="P13831" s="13"/>
    </row>
    <row r="13832">
      <c r="L13832" s="13"/>
      <c r="M13832" s="14"/>
      <c r="N13832" s="14"/>
      <c r="O13832" s="14"/>
      <c r="P13832" s="13"/>
    </row>
    <row r="13833">
      <c r="L13833" s="13"/>
      <c r="M13833" s="14"/>
      <c r="N13833" s="14"/>
      <c r="O13833" s="14"/>
      <c r="P13833" s="13"/>
    </row>
    <row r="13834">
      <c r="L13834" s="13"/>
      <c r="M13834" s="14"/>
      <c r="N13834" s="14"/>
      <c r="O13834" s="14"/>
      <c r="P13834" s="13"/>
    </row>
    <row r="13835">
      <c r="L13835" s="13"/>
      <c r="M13835" s="14"/>
      <c r="N13835" s="14"/>
      <c r="O13835" s="14"/>
      <c r="P13835" s="13"/>
    </row>
    <row r="13836">
      <c r="L13836" s="13"/>
      <c r="M13836" s="14"/>
      <c r="N13836" s="14"/>
      <c r="O13836" s="14"/>
      <c r="P13836" s="13"/>
    </row>
    <row r="13837">
      <c r="L13837" s="13"/>
      <c r="M13837" s="14"/>
      <c r="N13837" s="14"/>
      <c r="O13837" s="14"/>
      <c r="P13837" s="13"/>
    </row>
    <row r="13838">
      <c r="L13838" s="13"/>
      <c r="M13838" s="14"/>
      <c r="N13838" s="14"/>
      <c r="O13838" s="14"/>
      <c r="P13838" s="13"/>
    </row>
    <row r="13839">
      <c r="L13839" s="13"/>
      <c r="M13839" s="14"/>
      <c r="N13839" s="14"/>
      <c r="O13839" s="14"/>
      <c r="P13839" s="13"/>
    </row>
    <row r="13840">
      <c r="L13840" s="13"/>
      <c r="M13840" s="14"/>
      <c r="N13840" s="14"/>
      <c r="O13840" s="14"/>
      <c r="P13840" s="13"/>
    </row>
    <row r="13841">
      <c r="L13841" s="13"/>
      <c r="M13841" s="14"/>
      <c r="N13841" s="14"/>
      <c r="O13841" s="14"/>
      <c r="P13841" s="13"/>
    </row>
    <row r="13842">
      <c r="L13842" s="13"/>
      <c r="M13842" s="14"/>
      <c r="N13842" s="14"/>
      <c r="O13842" s="14"/>
      <c r="P13842" s="13"/>
    </row>
    <row r="13843">
      <c r="L13843" s="13"/>
      <c r="M13843" s="14"/>
      <c r="N13843" s="14"/>
      <c r="O13843" s="14"/>
      <c r="P13843" s="13"/>
    </row>
    <row r="13844">
      <c r="L13844" s="13"/>
      <c r="M13844" s="14"/>
      <c r="N13844" s="14"/>
      <c r="O13844" s="14"/>
      <c r="P13844" s="13"/>
    </row>
    <row r="13845">
      <c r="L13845" s="13"/>
      <c r="M13845" s="14"/>
      <c r="N13845" s="14"/>
      <c r="O13845" s="14"/>
      <c r="P13845" s="13"/>
    </row>
    <row r="13846">
      <c r="L13846" s="13"/>
      <c r="M13846" s="14"/>
      <c r="N13846" s="14"/>
      <c r="O13846" s="14"/>
      <c r="P13846" s="13"/>
    </row>
    <row r="13847">
      <c r="L13847" s="13"/>
      <c r="M13847" s="14"/>
      <c r="N13847" s="14"/>
      <c r="O13847" s="14"/>
      <c r="P13847" s="13"/>
    </row>
    <row r="13848">
      <c r="L13848" s="13"/>
      <c r="M13848" s="14"/>
      <c r="N13848" s="14"/>
      <c r="O13848" s="14"/>
      <c r="P13848" s="13"/>
    </row>
    <row r="13849">
      <c r="L13849" s="13"/>
      <c r="M13849" s="14"/>
      <c r="N13849" s="14"/>
      <c r="O13849" s="14"/>
      <c r="P13849" s="13"/>
    </row>
    <row r="13850">
      <c r="L13850" s="13"/>
      <c r="M13850" s="14"/>
      <c r="N13850" s="14"/>
      <c r="O13850" s="14"/>
      <c r="P13850" s="13"/>
    </row>
    <row r="13851">
      <c r="L13851" s="13"/>
      <c r="M13851" s="14"/>
      <c r="N13851" s="14"/>
      <c r="O13851" s="14"/>
      <c r="P13851" s="13"/>
    </row>
    <row r="13852">
      <c r="L13852" s="13"/>
      <c r="M13852" s="14"/>
      <c r="N13852" s="14"/>
      <c r="O13852" s="14"/>
      <c r="P13852" s="13"/>
    </row>
    <row r="13853">
      <c r="L13853" s="13"/>
      <c r="M13853" s="14"/>
      <c r="N13853" s="14"/>
      <c r="O13853" s="14"/>
      <c r="P13853" s="13"/>
    </row>
    <row r="13854">
      <c r="L13854" s="13"/>
      <c r="M13854" s="14"/>
      <c r="N13854" s="14"/>
      <c r="O13854" s="14"/>
      <c r="P13854" s="13"/>
    </row>
    <row r="13855">
      <c r="L13855" s="13"/>
      <c r="M13855" s="14"/>
      <c r="N13855" s="14"/>
      <c r="O13855" s="14"/>
      <c r="P13855" s="13"/>
    </row>
    <row r="13856">
      <c r="L13856" s="13"/>
      <c r="M13856" s="14"/>
      <c r="N13856" s="14"/>
      <c r="O13856" s="14"/>
      <c r="P13856" s="13"/>
    </row>
    <row r="13857">
      <c r="L13857" s="13"/>
      <c r="M13857" s="14"/>
      <c r="N13857" s="14"/>
      <c r="O13857" s="14"/>
      <c r="P13857" s="13"/>
    </row>
    <row r="13858">
      <c r="L13858" s="13"/>
      <c r="M13858" s="14"/>
      <c r="N13858" s="14"/>
      <c r="O13858" s="14"/>
      <c r="P13858" s="13"/>
    </row>
    <row r="13859">
      <c r="L13859" s="13"/>
      <c r="M13859" s="14"/>
      <c r="N13859" s="14"/>
      <c r="O13859" s="14"/>
      <c r="P13859" s="13"/>
    </row>
    <row r="13860">
      <c r="L13860" s="13"/>
      <c r="M13860" s="14"/>
      <c r="N13860" s="14"/>
      <c r="O13860" s="14"/>
      <c r="P13860" s="13"/>
    </row>
    <row r="13861">
      <c r="L13861" s="13"/>
      <c r="M13861" s="14"/>
      <c r="N13861" s="14"/>
      <c r="O13861" s="14"/>
      <c r="P13861" s="13"/>
    </row>
    <row r="13862">
      <c r="L13862" s="13"/>
      <c r="M13862" s="14"/>
      <c r="N13862" s="14"/>
      <c r="O13862" s="14"/>
      <c r="P13862" s="13"/>
    </row>
    <row r="13863">
      <c r="L13863" s="13"/>
      <c r="M13863" s="14"/>
      <c r="N13863" s="14"/>
      <c r="O13863" s="14"/>
      <c r="P13863" s="13"/>
    </row>
    <row r="13864">
      <c r="L13864" s="13"/>
      <c r="M13864" s="14"/>
      <c r="N13864" s="14"/>
      <c r="O13864" s="14"/>
      <c r="P13864" s="13"/>
    </row>
    <row r="13865">
      <c r="L13865" s="13"/>
      <c r="M13865" s="14"/>
      <c r="N13865" s="14"/>
      <c r="O13865" s="14"/>
      <c r="P13865" s="13"/>
    </row>
    <row r="13866">
      <c r="L13866" s="13"/>
      <c r="M13866" s="14"/>
      <c r="N13866" s="14"/>
      <c r="O13866" s="14"/>
      <c r="P13866" s="13"/>
    </row>
    <row r="13867">
      <c r="L13867" s="13"/>
      <c r="M13867" s="14"/>
      <c r="N13867" s="14"/>
      <c r="O13867" s="14"/>
      <c r="P13867" s="13"/>
    </row>
    <row r="13868">
      <c r="L13868" s="13"/>
      <c r="M13868" s="14"/>
      <c r="N13868" s="14"/>
      <c r="O13868" s="14"/>
      <c r="P13868" s="13"/>
    </row>
    <row r="13869">
      <c r="L13869" s="13"/>
      <c r="M13869" s="14"/>
      <c r="N13869" s="14"/>
      <c r="O13869" s="14"/>
      <c r="P13869" s="13"/>
    </row>
    <row r="13870">
      <c r="L13870" s="13"/>
      <c r="M13870" s="14"/>
      <c r="N13870" s="14"/>
      <c r="O13870" s="14"/>
      <c r="P13870" s="13"/>
    </row>
    <row r="13871">
      <c r="L13871" s="13"/>
      <c r="M13871" s="14"/>
      <c r="N13871" s="14"/>
      <c r="O13871" s="14"/>
      <c r="P13871" s="13"/>
    </row>
    <row r="13872">
      <c r="L13872" s="13"/>
      <c r="M13872" s="14"/>
      <c r="N13872" s="14"/>
      <c r="O13872" s="14"/>
      <c r="P13872" s="13"/>
    </row>
    <row r="13873">
      <c r="L13873" s="13"/>
      <c r="M13873" s="14"/>
      <c r="N13873" s="14"/>
      <c r="O13873" s="14"/>
      <c r="P13873" s="13"/>
    </row>
    <row r="13874">
      <c r="L13874" s="13"/>
      <c r="M13874" s="14"/>
      <c r="N13874" s="14"/>
      <c r="O13874" s="14"/>
      <c r="P13874" s="13"/>
    </row>
    <row r="13875">
      <c r="L13875" s="13"/>
      <c r="M13875" s="14"/>
      <c r="N13875" s="14"/>
      <c r="O13875" s="14"/>
      <c r="P13875" s="13"/>
    </row>
    <row r="13876">
      <c r="L13876" s="13"/>
      <c r="M13876" s="14"/>
      <c r="N13876" s="14"/>
      <c r="O13876" s="14"/>
      <c r="P13876" s="13"/>
    </row>
    <row r="13877">
      <c r="L13877" s="13"/>
      <c r="M13877" s="14"/>
      <c r="N13877" s="14"/>
      <c r="O13877" s="14"/>
      <c r="P13877" s="13"/>
    </row>
    <row r="13878">
      <c r="L13878" s="13"/>
      <c r="M13878" s="14"/>
      <c r="N13878" s="14"/>
      <c r="O13878" s="14"/>
      <c r="P13878" s="13"/>
    </row>
    <row r="13879">
      <c r="L13879" s="13"/>
      <c r="M13879" s="14"/>
      <c r="N13879" s="14"/>
      <c r="O13879" s="14"/>
      <c r="P13879" s="13"/>
    </row>
    <row r="13880">
      <c r="L13880" s="13"/>
      <c r="M13880" s="14"/>
      <c r="N13880" s="14"/>
      <c r="O13880" s="14"/>
      <c r="P13880" s="13"/>
    </row>
    <row r="13881">
      <c r="L13881" s="13"/>
      <c r="M13881" s="14"/>
      <c r="N13881" s="14"/>
      <c r="O13881" s="14"/>
      <c r="P13881" s="13"/>
    </row>
    <row r="13882">
      <c r="L13882" s="13"/>
      <c r="M13882" s="14"/>
      <c r="N13882" s="14"/>
      <c r="O13882" s="14"/>
      <c r="P13882" s="13"/>
    </row>
    <row r="13883">
      <c r="L13883" s="13"/>
      <c r="M13883" s="14"/>
      <c r="N13883" s="14"/>
      <c r="O13883" s="14"/>
      <c r="P13883" s="13"/>
    </row>
    <row r="13884">
      <c r="L13884" s="13"/>
      <c r="M13884" s="14"/>
      <c r="N13884" s="14"/>
      <c r="O13884" s="14"/>
      <c r="P13884" s="13"/>
    </row>
    <row r="13885">
      <c r="L13885" s="13"/>
      <c r="M13885" s="14"/>
      <c r="N13885" s="14"/>
      <c r="O13885" s="14"/>
      <c r="P13885" s="13"/>
    </row>
    <row r="13886">
      <c r="L13886" s="13"/>
      <c r="M13886" s="14"/>
      <c r="N13886" s="14"/>
      <c r="O13886" s="14"/>
      <c r="P13886" s="13"/>
    </row>
    <row r="13887">
      <c r="L13887" s="13"/>
      <c r="M13887" s="14"/>
      <c r="N13887" s="14"/>
      <c r="O13887" s="14"/>
      <c r="P13887" s="13"/>
    </row>
    <row r="13888">
      <c r="L13888" s="13"/>
      <c r="M13888" s="14"/>
      <c r="N13888" s="14"/>
      <c r="O13888" s="14"/>
      <c r="P13888" s="13"/>
    </row>
    <row r="13889">
      <c r="L13889" s="13"/>
      <c r="M13889" s="14"/>
      <c r="N13889" s="14"/>
      <c r="O13889" s="14"/>
      <c r="P13889" s="13"/>
    </row>
    <row r="13890">
      <c r="L13890" s="13"/>
      <c r="M13890" s="14"/>
      <c r="N13890" s="14"/>
      <c r="O13890" s="14"/>
      <c r="P13890" s="13"/>
    </row>
    <row r="13891">
      <c r="L13891" s="13"/>
      <c r="M13891" s="14"/>
      <c r="N13891" s="14"/>
      <c r="O13891" s="14"/>
      <c r="P13891" s="13"/>
    </row>
    <row r="13892">
      <c r="L13892" s="13"/>
      <c r="M13892" s="14"/>
      <c r="N13892" s="14"/>
      <c r="O13892" s="14"/>
      <c r="P13892" s="13"/>
    </row>
    <row r="13893">
      <c r="L13893" s="13"/>
      <c r="M13893" s="14"/>
      <c r="N13893" s="14"/>
      <c r="O13893" s="14"/>
      <c r="P13893" s="13"/>
    </row>
    <row r="13894">
      <c r="L13894" s="13"/>
      <c r="M13894" s="14"/>
      <c r="N13894" s="14"/>
      <c r="O13894" s="14"/>
      <c r="P13894" s="13"/>
    </row>
    <row r="13895">
      <c r="L13895" s="13"/>
      <c r="M13895" s="14"/>
      <c r="N13895" s="14"/>
      <c r="O13895" s="14"/>
      <c r="P13895" s="13"/>
    </row>
    <row r="13896">
      <c r="L13896" s="13"/>
      <c r="M13896" s="14"/>
      <c r="N13896" s="14"/>
      <c r="O13896" s="14"/>
      <c r="P13896" s="13"/>
    </row>
    <row r="13897">
      <c r="L13897" s="13"/>
      <c r="M13897" s="14"/>
      <c r="N13897" s="14"/>
      <c r="O13897" s="14"/>
      <c r="P13897" s="13"/>
    </row>
    <row r="13898">
      <c r="L13898" s="13"/>
      <c r="M13898" s="14"/>
      <c r="N13898" s="14"/>
      <c r="O13898" s="14"/>
      <c r="P13898" s="13"/>
    </row>
    <row r="13899">
      <c r="L13899" s="13"/>
      <c r="M13899" s="14"/>
      <c r="N13899" s="14"/>
      <c r="O13899" s="14"/>
      <c r="P13899" s="13"/>
    </row>
    <row r="13900">
      <c r="L13900" s="13"/>
      <c r="M13900" s="14"/>
      <c r="N13900" s="14"/>
      <c r="O13900" s="14"/>
      <c r="P13900" s="13"/>
    </row>
    <row r="13901">
      <c r="L13901" s="13"/>
      <c r="M13901" s="14"/>
      <c r="N13901" s="14"/>
      <c r="O13901" s="14"/>
      <c r="P13901" s="13"/>
    </row>
    <row r="13902">
      <c r="L13902" s="13"/>
      <c r="M13902" s="14"/>
      <c r="N13902" s="14"/>
      <c r="O13902" s="14"/>
      <c r="P13902" s="13"/>
    </row>
    <row r="13903">
      <c r="L13903" s="13"/>
      <c r="M13903" s="14"/>
      <c r="N13903" s="14"/>
      <c r="O13903" s="14"/>
      <c r="P13903" s="13"/>
    </row>
    <row r="13904">
      <c r="L13904" s="13"/>
      <c r="M13904" s="14"/>
      <c r="N13904" s="14"/>
      <c r="O13904" s="14"/>
      <c r="P13904" s="13"/>
    </row>
    <row r="13905">
      <c r="L13905" s="13"/>
      <c r="M13905" s="14"/>
      <c r="N13905" s="14"/>
      <c r="O13905" s="14"/>
      <c r="P13905" s="13"/>
    </row>
    <row r="13906">
      <c r="L13906" s="13"/>
      <c r="M13906" s="14"/>
      <c r="N13906" s="14"/>
      <c r="O13906" s="14"/>
      <c r="P13906" s="13"/>
    </row>
    <row r="13907">
      <c r="L13907" s="13"/>
      <c r="M13907" s="14"/>
      <c r="N13907" s="14"/>
      <c r="O13907" s="14"/>
      <c r="P13907" s="13"/>
    </row>
    <row r="13908">
      <c r="L13908" s="13"/>
      <c r="M13908" s="14"/>
      <c r="N13908" s="14"/>
      <c r="O13908" s="14"/>
      <c r="P13908" s="13"/>
    </row>
    <row r="13909">
      <c r="L13909" s="13"/>
      <c r="M13909" s="14"/>
      <c r="N13909" s="14"/>
      <c r="O13909" s="14"/>
      <c r="P13909" s="13"/>
    </row>
    <row r="13910">
      <c r="L13910" s="13"/>
      <c r="M13910" s="14"/>
      <c r="N13910" s="14"/>
      <c r="O13910" s="14"/>
      <c r="P13910" s="13"/>
    </row>
    <row r="13911">
      <c r="L13911" s="13"/>
      <c r="M13911" s="14"/>
      <c r="N13911" s="14"/>
      <c r="O13911" s="14"/>
      <c r="P13911" s="13"/>
    </row>
    <row r="13912">
      <c r="L13912" s="13"/>
      <c r="M13912" s="14"/>
      <c r="N13912" s="14"/>
      <c r="O13912" s="14"/>
      <c r="P13912" s="13"/>
    </row>
    <row r="13913">
      <c r="L13913" s="13"/>
      <c r="M13913" s="14"/>
      <c r="N13913" s="14"/>
      <c r="O13913" s="14"/>
      <c r="P13913" s="13"/>
    </row>
    <row r="13914">
      <c r="L13914" s="13"/>
      <c r="M13914" s="14"/>
      <c r="N13914" s="14"/>
      <c r="O13914" s="14"/>
      <c r="P13914" s="13"/>
    </row>
    <row r="13915">
      <c r="L13915" s="13"/>
      <c r="M13915" s="14"/>
      <c r="N13915" s="14"/>
      <c r="O13915" s="14"/>
      <c r="P13915" s="13"/>
    </row>
    <row r="13916">
      <c r="L13916" s="13"/>
      <c r="M13916" s="14"/>
      <c r="N13916" s="14"/>
      <c r="O13916" s="14"/>
      <c r="P13916" s="13"/>
    </row>
    <row r="13917">
      <c r="L13917" s="13"/>
      <c r="M13917" s="14"/>
      <c r="N13917" s="14"/>
      <c r="O13917" s="14"/>
      <c r="P13917" s="13"/>
    </row>
    <row r="13918">
      <c r="L13918" s="13"/>
      <c r="M13918" s="14"/>
      <c r="N13918" s="14"/>
      <c r="O13918" s="14"/>
      <c r="P13918" s="13"/>
    </row>
    <row r="13919">
      <c r="L13919" s="13"/>
      <c r="M13919" s="14"/>
      <c r="N13919" s="14"/>
      <c r="O13919" s="14"/>
      <c r="P13919" s="13"/>
    </row>
    <row r="13920">
      <c r="L13920" s="13"/>
      <c r="M13920" s="14"/>
      <c r="N13920" s="14"/>
      <c r="O13920" s="14"/>
      <c r="P13920" s="13"/>
    </row>
    <row r="13921">
      <c r="L13921" s="13"/>
      <c r="M13921" s="14"/>
      <c r="N13921" s="14"/>
      <c r="O13921" s="14"/>
      <c r="P13921" s="13"/>
    </row>
    <row r="13922">
      <c r="L13922" s="13"/>
      <c r="M13922" s="14"/>
      <c r="N13922" s="14"/>
      <c r="O13922" s="14"/>
      <c r="P13922" s="13"/>
    </row>
    <row r="13923">
      <c r="L13923" s="13"/>
      <c r="M13923" s="14"/>
      <c r="N13923" s="14"/>
      <c r="O13923" s="14"/>
      <c r="P13923" s="13"/>
    </row>
    <row r="13924">
      <c r="L13924" s="13"/>
      <c r="M13924" s="14"/>
      <c r="N13924" s="14"/>
      <c r="O13924" s="14"/>
      <c r="P13924" s="13"/>
    </row>
    <row r="13925">
      <c r="L13925" s="13"/>
      <c r="M13925" s="14"/>
      <c r="N13925" s="14"/>
      <c r="O13925" s="14"/>
      <c r="P13925" s="13"/>
    </row>
    <row r="13926">
      <c r="L13926" s="13"/>
      <c r="M13926" s="14"/>
      <c r="N13926" s="14"/>
      <c r="O13926" s="14"/>
      <c r="P13926" s="13"/>
    </row>
    <row r="13927">
      <c r="L13927" s="13"/>
      <c r="M13927" s="14"/>
      <c r="N13927" s="14"/>
      <c r="O13927" s="14"/>
      <c r="P13927" s="13"/>
    </row>
    <row r="13928">
      <c r="L13928" s="13"/>
      <c r="M13928" s="14"/>
      <c r="N13928" s="14"/>
      <c r="O13928" s="14"/>
      <c r="P13928" s="13"/>
    </row>
    <row r="13929">
      <c r="L13929" s="13"/>
      <c r="M13929" s="14"/>
      <c r="N13929" s="14"/>
      <c r="O13929" s="14"/>
      <c r="P13929" s="13"/>
    </row>
    <row r="13930">
      <c r="L13930" s="13"/>
      <c r="M13930" s="14"/>
      <c r="N13930" s="14"/>
      <c r="O13930" s="14"/>
      <c r="P13930" s="13"/>
    </row>
    <row r="13931">
      <c r="L13931" s="13"/>
      <c r="M13931" s="14"/>
      <c r="N13931" s="14"/>
      <c r="O13931" s="14"/>
      <c r="P13931" s="13"/>
    </row>
    <row r="13932">
      <c r="L13932" s="13"/>
      <c r="M13932" s="14"/>
      <c r="N13932" s="14"/>
      <c r="O13932" s="14"/>
      <c r="P13932" s="13"/>
    </row>
    <row r="13933">
      <c r="L13933" s="13"/>
      <c r="M13933" s="14"/>
      <c r="N13933" s="14"/>
      <c r="O13933" s="14"/>
      <c r="P13933" s="13"/>
    </row>
    <row r="13934">
      <c r="L13934" s="13"/>
      <c r="M13934" s="14"/>
      <c r="N13934" s="14"/>
      <c r="O13934" s="14"/>
      <c r="P13934" s="13"/>
    </row>
    <row r="13935">
      <c r="L13935" s="13"/>
      <c r="M13935" s="14"/>
      <c r="N13935" s="14"/>
      <c r="O13935" s="14"/>
      <c r="P13935" s="13"/>
    </row>
    <row r="13936">
      <c r="L13936" s="13"/>
      <c r="M13936" s="14"/>
      <c r="N13936" s="14"/>
      <c r="O13936" s="14"/>
      <c r="P13936" s="13"/>
    </row>
    <row r="13937">
      <c r="L13937" s="13"/>
      <c r="M13937" s="14"/>
      <c r="N13937" s="14"/>
      <c r="O13937" s="14"/>
      <c r="P13937" s="13"/>
    </row>
    <row r="13938">
      <c r="L13938" s="13"/>
      <c r="M13938" s="14"/>
      <c r="N13938" s="14"/>
      <c r="O13938" s="14"/>
      <c r="P13938" s="13"/>
    </row>
    <row r="13939">
      <c r="L13939" s="13"/>
      <c r="M13939" s="14"/>
      <c r="N13939" s="14"/>
      <c r="O13939" s="14"/>
      <c r="P13939" s="13"/>
    </row>
    <row r="13940">
      <c r="L13940" s="13"/>
      <c r="M13940" s="14"/>
      <c r="N13940" s="14"/>
      <c r="O13940" s="14"/>
      <c r="P13940" s="13"/>
    </row>
    <row r="13941">
      <c r="L13941" s="13"/>
      <c r="M13941" s="14"/>
      <c r="N13941" s="14"/>
      <c r="O13941" s="14"/>
      <c r="P13941" s="13"/>
    </row>
    <row r="13942">
      <c r="L13942" s="13"/>
      <c r="M13942" s="14"/>
      <c r="N13942" s="14"/>
      <c r="O13942" s="14"/>
      <c r="P13942" s="13"/>
    </row>
    <row r="13943">
      <c r="L13943" s="13"/>
      <c r="M13943" s="14"/>
      <c r="N13943" s="14"/>
      <c r="O13943" s="14"/>
      <c r="P13943" s="13"/>
    </row>
    <row r="13944">
      <c r="L13944" s="13"/>
      <c r="M13944" s="14"/>
      <c r="N13944" s="14"/>
      <c r="O13944" s="14"/>
      <c r="P13944" s="13"/>
    </row>
    <row r="13945">
      <c r="L13945" s="13"/>
      <c r="M13945" s="14"/>
      <c r="N13945" s="14"/>
      <c r="O13945" s="14"/>
      <c r="P13945" s="13"/>
    </row>
    <row r="13946">
      <c r="L13946" s="13"/>
      <c r="M13946" s="14"/>
      <c r="N13946" s="14"/>
      <c r="O13946" s="14"/>
      <c r="P13946" s="13"/>
    </row>
    <row r="13947">
      <c r="L13947" s="13"/>
      <c r="M13947" s="14"/>
      <c r="N13947" s="14"/>
      <c r="O13947" s="14"/>
      <c r="P13947" s="13"/>
    </row>
    <row r="13948">
      <c r="L13948" s="13"/>
      <c r="M13948" s="14"/>
      <c r="N13948" s="14"/>
      <c r="O13948" s="14"/>
      <c r="P13948" s="13"/>
    </row>
    <row r="13949">
      <c r="L13949" s="13"/>
      <c r="M13949" s="14"/>
      <c r="N13949" s="14"/>
      <c r="O13949" s="14"/>
      <c r="P13949" s="13"/>
    </row>
    <row r="13950">
      <c r="L13950" s="13"/>
      <c r="M13950" s="14"/>
      <c r="N13950" s="14"/>
      <c r="O13950" s="14"/>
      <c r="P13950" s="13"/>
    </row>
    <row r="13951">
      <c r="L13951" s="13"/>
      <c r="M13951" s="14"/>
      <c r="N13951" s="14"/>
      <c r="O13951" s="14"/>
      <c r="P13951" s="13"/>
    </row>
    <row r="13952">
      <c r="L13952" s="13"/>
      <c r="M13952" s="14"/>
      <c r="N13952" s="14"/>
      <c r="O13952" s="14"/>
      <c r="P13952" s="13"/>
    </row>
    <row r="13953">
      <c r="L13953" s="13"/>
      <c r="M13953" s="14"/>
      <c r="N13953" s="14"/>
      <c r="O13953" s="14"/>
      <c r="P13953" s="13"/>
    </row>
    <row r="13954">
      <c r="L13954" s="13"/>
      <c r="M13954" s="14"/>
      <c r="N13954" s="14"/>
      <c r="O13954" s="14"/>
      <c r="P13954" s="13"/>
    </row>
    <row r="13955">
      <c r="L13955" s="13"/>
      <c r="M13955" s="14"/>
      <c r="N13955" s="14"/>
      <c r="O13955" s="14"/>
      <c r="P13955" s="13"/>
    </row>
    <row r="13956">
      <c r="L13956" s="13"/>
      <c r="M13956" s="14"/>
      <c r="N13956" s="14"/>
      <c r="O13956" s="14"/>
      <c r="P13956" s="13"/>
    </row>
    <row r="13957">
      <c r="L13957" s="13"/>
      <c r="M13957" s="14"/>
      <c r="N13957" s="14"/>
      <c r="O13957" s="14"/>
      <c r="P13957" s="13"/>
    </row>
    <row r="13958">
      <c r="L13958" s="13"/>
      <c r="M13958" s="14"/>
      <c r="N13958" s="14"/>
      <c r="O13958" s="14"/>
      <c r="P13958" s="13"/>
    </row>
    <row r="13959">
      <c r="L13959" s="13"/>
      <c r="M13959" s="14"/>
      <c r="N13959" s="14"/>
      <c r="O13959" s="14"/>
      <c r="P13959" s="13"/>
    </row>
    <row r="13960">
      <c r="L13960" s="13"/>
      <c r="M13960" s="14"/>
      <c r="N13960" s="14"/>
      <c r="O13960" s="14"/>
      <c r="P13960" s="13"/>
    </row>
    <row r="13961">
      <c r="L13961" s="13"/>
      <c r="M13961" s="14"/>
      <c r="N13961" s="14"/>
      <c r="O13961" s="14"/>
      <c r="P13961" s="13"/>
    </row>
    <row r="13962">
      <c r="L13962" s="13"/>
      <c r="M13962" s="14"/>
      <c r="N13962" s="14"/>
      <c r="O13962" s="14"/>
      <c r="P13962" s="13"/>
    </row>
    <row r="13963">
      <c r="L13963" s="13"/>
      <c r="M13963" s="14"/>
      <c r="N13963" s="14"/>
      <c r="O13963" s="14"/>
      <c r="P13963" s="13"/>
    </row>
    <row r="13964">
      <c r="L13964" s="13"/>
      <c r="M13964" s="14"/>
      <c r="N13964" s="14"/>
      <c r="O13964" s="14"/>
      <c r="P13964" s="13"/>
    </row>
    <row r="13965">
      <c r="L13965" s="13"/>
      <c r="M13965" s="14"/>
      <c r="N13965" s="14"/>
      <c r="O13965" s="14"/>
      <c r="P13965" s="13"/>
    </row>
    <row r="13966">
      <c r="L13966" s="13"/>
      <c r="M13966" s="14"/>
      <c r="N13966" s="14"/>
      <c r="O13966" s="14"/>
      <c r="P13966" s="13"/>
    </row>
    <row r="13967">
      <c r="L13967" s="13"/>
      <c r="M13967" s="14"/>
      <c r="N13967" s="14"/>
      <c r="O13967" s="14"/>
      <c r="P13967" s="13"/>
    </row>
    <row r="13968">
      <c r="L13968" s="13"/>
      <c r="M13968" s="14"/>
      <c r="N13968" s="14"/>
      <c r="O13968" s="14"/>
      <c r="P13968" s="13"/>
    </row>
    <row r="13969">
      <c r="L13969" s="13"/>
      <c r="M13969" s="14"/>
      <c r="N13969" s="14"/>
      <c r="O13969" s="14"/>
      <c r="P13969" s="13"/>
    </row>
    <row r="13970">
      <c r="L13970" s="13"/>
      <c r="M13970" s="14"/>
      <c r="N13970" s="14"/>
      <c r="O13970" s="14"/>
      <c r="P13970" s="13"/>
    </row>
    <row r="13971">
      <c r="L13971" s="13"/>
      <c r="M13971" s="14"/>
      <c r="N13971" s="14"/>
      <c r="O13971" s="14"/>
      <c r="P13971" s="13"/>
    </row>
    <row r="13972">
      <c r="L13972" s="13"/>
      <c r="M13972" s="14"/>
      <c r="N13972" s="14"/>
      <c r="O13972" s="14"/>
      <c r="P13972" s="13"/>
    </row>
    <row r="13973">
      <c r="L13973" s="13"/>
      <c r="M13973" s="14"/>
      <c r="N13973" s="14"/>
      <c r="O13973" s="14"/>
      <c r="P13973" s="13"/>
    </row>
    <row r="13974">
      <c r="L13974" s="13"/>
      <c r="M13974" s="14"/>
      <c r="N13974" s="14"/>
      <c r="O13974" s="14"/>
      <c r="P13974" s="13"/>
    </row>
    <row r="13975">
      <c r="L13975" s="13"/>
      <c r="M13975" s="14"/>
      <c r="N13975" s="14"/>
      <c r="O13975" s="14"/>
      <c r="P13975" s="13"/>
    </row>
    <row r="13976">
      <c r="L13976" s="13"/>
      <c r="M13976" s="14"/>
      <c r="N13976" s="14"/>
      <c r="O13976" s="14"/>
      <c r="P13976" s="13"/>
    </row>
    <row r="13977">
      <c r="L13977" s="13"/>
      <c r="M13977" s="14"/>
      <c r="N13977" s="14"/>
      <c r="O13977" s="14"/>
      <c r="P13977" s="13"/>
    </row>
    <row r="13978">
      <c r="L13978" s="13"/>
      <c r="M13978" s="14"/>
      <c r="N13978" s="14"/>
      <c r="O13978" s="14"/>
      <c r="P13978" s="13"/>
    </row>
    <row r="13979">
      <c r="L13979" s="13"/>
      <c r="M13979" s="14"/>
      <c r="N13979" s="14"/>
      <c r="O13979" s="14"/>
      <c r="P13979" s="13"/>
    </row>
    <row r="13980">
      <c r="L13980" s="13"/>
      <c r="M13980" s="14"/>
      <c r="N13980" s="14"/>
      <c r="O13980" s="14"/>
      <c r="P13980" s="13"/>
    </row>
    <row r="13981">
      <c r="L13981" s="13"/>
      <c r="M13981" s="14"/>
      <c r="N13981" s="14"/>
      <c r="O13981" s="14"/>
      <c r="P13981" s="13"/>
    </row>
    <row r="13982">
      <c r="L13982" s="13"/>
      <c r="M13982" s="14"/>
      <c r="N13982" s="14"/>
      <c r="O13982" s="14"/>
      <c r="P13982" s="13"/>
    </row>
    <row r="13983">
      <c r="L13983" s="13"/>
      <c r="M13983" s="14"/>
      <c r="N13983" s="14"/>
      <c r="O13983" s="14"/>
      <c r="P13983" s="13"/>
    </row>
    <row r="13984">
      <c r="L13984" s="13"/>
      <c r="M13984" s="14"/>
      <c r="N13984" s="14"/>
      <c r="O13984" s="14"/>
      <c r="P13984" s="13"/>
    </row>
    <row r="13985">
      <c r="L13985" s="13"/>
      <c r="M13985" s="14"/>
      <c r="N13985" s="14"/>
      <c r="O13985" s="14"/>
      <c r="P13985" s="13"/>
    </row>
    <row r="13986">
      <c r="L13986" s="13"/>
      <c r="M13986" s="14"/>
      <c r="N13986" s="14"/>
      <c r="O13986" s="14"/>
      <c r="P13986" s="13"/>
    </row>
    <row r="13987">
      <c r="L13987" s="13"/>
      <c r="M13987" s="14"/>
      <c r="N13987" s="14"/>
      <c r="O13987" s="14"/>
      <c r="P13987" s="13"/>
    </row>
    <row r="13988">
      <c r="L13988" s="13"/>
      <c r="M13988" s="14"/>
      <c r="N13988" s="14"/>
      <c r="O13988" s="14"/>
      <c r="P13988" s="13"/>
    </row>
    <row r="13989">
      <c r="L13989" s="13"/>
      <c r="M13989" s="14"/>
      <c r="N13989" s="14"/>
      <c r="O13989" s="14"/>
      <c r="P13989" s="13"/>
    </row>
    <row r="13990">
      <c r="L13990" s="13"/>
      <c r="M13990" s="14"/>
      <c r="N13990" s="14"/>
      <c r="O13990" s="14"/>
      <c r="P13990" s="13"/>
    </row>
    <row r="13991">
      <c r="L13991" s="13"/>
      <c r="M13991" s="14"/>
      <c r="N13991" s="14"/>
      <c r="O13991" s="14"/>
      <c r="P13991" s="13"/>
    </row>
    <row r="13992">
      <c r="L13992" s="13"/>
      <c r="M13992" s="14"/>
      <c r="N13992" s="14"/>
      <c r="O13992" s="14"/>
      <c r="P13992" s="13"/>
    </row>
    <row r="13993">
      <c r="L13993" s="13"/>
      <c r="M13993" s="14"/>
      <c r="N13993" s="14"/>
      <c r="O13993" s="14"/>
      <c r="P13993" s="13"/>
    </row>
    <row r="13994">
      <c r="L13994" s="13"/>
      <c r="M13994" s="14"/>
      <c r="N13994" s="14"/>
      <c r="O13994" s="14"/>
      <c r="P13994" s="13"/>
    </row>
    <row r="13995">
      <c r="L13995" s="13"/>
      <c r="M13995" s="14"/>
      <c r="N13995" s="14"/>
      <c r="O13995" s="14"/>
      <c r="P13995" s="13"/>
    </row>
    <row r="13996">
      <c r="L13996" s="13"/>
      <c r="M13996" s="14"/>
      <c r="N13996" s="14"/>
      <c r="O13996" s="14"/>
      <c r="P13996" s="13"/>
    </row>
    <row r="13997">
      <c r="L13997" s="13"/>
      <c r="M13997" s="14"/>
      <c r="N13997" s="14"/>
      <c r="O13997" s="14"/>
      <c r="P13997" s="13"/>
    </row>
    <row r="13998">
      <c r="L13998" s="13"/>
      <c r="M13998" s="14"/>
      <c r="N13998" s="14"/>
      <c r="O13998" s="14"/>
      <c r="P13998" s="13"/>
    </row>
    <row r="13999">
      <c r="L13999" s="13"/>
      <c r="M13999" s="14"/>
      <c r="N13999" s="14"/>
      <c r="O13999" s="14"/>
      <c r="P13999" s="13"/>
    </row>
    <row r="14000">
      <c r="L14000" s="13"/>
      <c r="M14000" s="14"/>
      <c r="N14000" s="14"/>
      <c r="O14000" s="14"/>
      <c r="P14000" s="13"/>
    </row>
    <row r="14001">
      <c r="L14001" s="13"/>
      <c r="M14001" s="14"/>
      <c r="N14001" s="14"/>
      <c r="O14001" s="14"/>
      <c r="P14001" s="13"/>
    </row>
    <row r="14002">
      <c r="L14002" s="13"/>
      <c r="M14002" s="14"/>
      <c r="N14002" s="14"/>
      <c r="O14002" s="14"/>
      <c r="P14002" s="13"/>
    </row>
    <row r="14003">
      <c r="L14003" s="13"/>
      <c r="M14003" s="14"/>
      <c r="N14003" s="14"/>
      <c r="O14003" s="14"/>
      <c r="P14003" s="13"/>
    </row>
    <row r="14004">
      <c r="L14004" s="13"/>
      <c r="M14004" s="14"/>
      <c r="N14004" s="14"/>
      <c r="O14004" s="14"/>
      <c r="P14004" s="13"/>
    </row>
    <row r="14005">
      <c r="L14005" s="13"/>
      <c r="M14005" s="14"/>
      <c r="N14005" s="14"/>
      <c r="O14005" s="14"/>
      <c r="P14005" s="13"/>
    </row>
    <row r="14006">
      <c r="L14006" s="13"/>
      <c r="M14006" s="14"/>
      <c r="N14006" s="14"/>
      <c r="O14006" s="14"/>
      <c r="P14006" s="13"/>
    </row>
    <row r="14007">
      <c r="L14007" s="13"/>
      <c r="M14007" s="14"/>
      <c r="N14007" s="14"/>
      <c r="O14007" s="14"/>
      <c r="P14007" s="13"/>
    </row>
    <row r="14008">
      <c r="L14008" s="13"/>
      <c r="M14008" s="14"/>
      <c r="N14008" s="14"/>
      <c r="O14008" s="14"/>
      <c r="P14008" s="13"/>
    </row>
    <row r="14009">
      <c r="L14009" s="13"/>
      <c r="M14009" s="14"/>
      <c r="N14009" s="14"/>
      <c r="O14009" s="14"/>
      <c r="P14009" s="13"/>
    </row>
    <row r="14010">
      <c r="L14010" s="13"/>
      <c r="M14010" s="14"/>
      <c r="N14010" s="14"/>
      <c r="O14010" s="14"/>
      <c r="P14010" s="13"/>
    </row>
    <row r="14011">
      <c r="L14011" s="13"/>
      <c r="M14011" s="14"/>
      <c r="N14011" s="14"/>
      <c r="O14011" s="14"/>
      <c r="P14011" s="13"/>
    </row>
    <row r="14012">
      <c r="L14012" s="13"/>
      <c r="M14012" s="14"/>
      <c r="N14012" s="14"/>
      <c r="O14012" s="14"/>
      <c r="P14012" s="13"/>
    </row>
    <row r="14013">
      <c r="L14013" s="13"/>
      <c r="M14013" s="14"/>
      <c r="N14013" s="14"/>
      <c r="O14013" s="14"/>
      <c r="P14013" s="13"/>
    </row>
    <row r="14014">
      <c r="L14014" s="13"/>
      <c r="M14014" s="14"/>
      <c r="N14014" s="14"/>
      <c r="O14014" s="14"/>
      <c r="P14014" s="13"/>
    </row>
    <row r="14015">
      <c r="L14015" s="13"/>
      <c r="M14015" s="14"/>
      <c r="N14015" s="14"/>
      <c r="O14015" s="14"/>
      <c r="P14015" s="13"/>
    </row>
    <row r="14016">
      <c r="L14016" s="13"/>
      <c r="M14016" s="14"/>
      <c r="N14016" s="14"/>
      <c r="O14016" s="14"/>
      <c r="P14016" s="13"/>
    </row>
    <row r="14017">
      <c r="L14017" s="13"/>
      <c r="M14017" s="14"/>
      <c r="N14017" s="14"/>
      <c r="O14017" s="14"/>
      <c r="P14017" s="13"/>
    </row>
    <row r="14018">
      <c r="L14018" s="13"/>
      <c r="M14018" s="14"/>
      <c r="N14018" s="14"/>
      <c r="O14018" s="14"/>
      <c r="P14018" s="13"/>
    </row>
    <row r="14019">
      <c r="L14019" s="13"/>
      <c r="M14019" s="14"/>
      <c r="N14019" s="14"/>
      <c r="O14019" s="14"/>
      <c r="P14019" s="13"/>
    </row>
    <row r="14020">
      <c r="L14020" s="13"/>
      <c r="M14020" s="14"/>
      <c r="N14020" s="14"/>
      <c r="O14020" s="14"/>
      <c r="P14020" s="13"/>
    </row>
    <row r="14021">
      <c r="L14021" s="13"/>
      <c r="M14021" s="14"/>
      <c r="N14021" s="14"/>
      <c r="O14021" s="14"/>
      <c r="P14021" s="13"/>
    </row>
    <row r="14022">
      <c r="L14022" s="13"/>
      <c r="M14022" s="14"/>
      <c r="N14022" s="14"/>
      <c r="O14022" s="14"/>
      <c r="P14022" s="13"/>
    </row>
    <row r="14023">
      <c r="L14023" s="13"/>
      <c r="M14023" s="14"/>
      <c r="N14023" s="14"/>
      <c r="O14023" s="14"/>
      <c r="P14023" s="13"/>
    </row>
    <row r="14024">
      <c r="L14024" s="13"/>
      <c r="M14024" s="14"/>
      <c r="N14024" s="14"/>
      <c r="O14024" s="14"/>
      <c r="P14024" s="13"/>
    </row>
    <row r="14025">
      <c r="L14025" s="13"/>
      <c r="M14025" s="14"/>
      <c r="N14025" s="14"/>
      <c r="O14025" s="14"/>
      <c r="P14025" s="13"/>
    </row>
    <row r="14026">
      <c r="L14026" s="13"/>
      <c r="M14026" s="14"/>
      <c r="N14026" s="14"/>
      <c r="O14026" s="14"/>
      <c r="P14026" s="13"/>
    </row>
    <row r="14027">
      <c r="L14027" s="13"/>
      <c r="M14027" s="14"/>
      <c r="N14027" s="14"/>
      <c r="O14027" s="14"/>
      <c r="P14027" s="13"/>
    </row>
    <row r="14028">
      <c r="L14028" s="13"/>
      <c r="M14028" s="14"/>
      <c r="N14028" s="14"/>
      <c r="O14028" s="14"/>
      <c r="P14028" s="13"/>
    </row>
    <row r="14029">
      <c r="L14029" s="13"/>
      <c r="M14029" s="14"/>
      <c r="N14029" s="14"/>
      <c r="O14029" s="14"/>
      <c r="P14029" s="13"/>
    </row>
    <row r="14030">
      <c r="L14030" s="13"/>
      <c r="M14030" s="14"/>
      <c r="N14030" s="14"/>
      <c r="O14030" s="14"/>
      <c r="P14030" s="13"/>
    </row>
    <row r="14031">
      <c r="L14031" s="13"/>
      <c r="M14031" s="14"/>
      <c r="N14031" s="14"/>
      <c r="O14031" s="14"/>
      <c r="P14031" s="13"/>
    </row>
    <row r="14032">
      <c r="L14032" s="13"/>
      <c r="M14032" s="14"/>
      <c r="N14032" s="14"/>
      <c r="O14032" s="14"/>
      <c r="P14032" s="13"/>
    </row>
    <row r="14033">
      <c r="L14033" s="13"/>
      <c r="M14033" s="14"/>
      <c r="N14033" s="14"/>
      <c r="O14033" s="14"/>
      <c r="P14033" s="13"/>
    </row>
    <row r="14034">
      <c r="L14034" s="13"/>
      <c r="M14034" s="14"/>
      <c r="N14034" s="14"/>
      <c r="O14034" s="14"/>
      <c r="P14034" s="13"/>
    </row>
    <row r="14035">
      <c r="L14035" s="13"/>
      <c r="M14035" s="14"/>
      <c r="N14035" s="14"/>
      <c r="O14035" s="14"/>
      <c r="P14035" s="13"/>
    </row>
    <row r="14036">
      <c r="L14036" s="13"/>
      <c r="M14036" s="14"/>
      <c r="N14036" s="14"/>
      <c r="O14036" s="14"/>
      <c r="P14036" s="13"/>
    </row>
    <row r="14037">
      <c r="L14037" s="13"/>
      <c r="M14037" s="14"/>
      <c r="N14037" s="14"/>
      <c r="O14037" s="14"/>
      <c r="P14037" s="13"/>
    </row>
    <row r="14038">
      <c r="L14038" s="13"/>
      <c r="M14038" s="14"/>
      <c r="N14038" s="14"/>
      <c r="O14038" s="14"/>
      <c r="P14038" s="13"/>
    </row>
    <row r="14039">
      <c r="L14039" s="13"/>
      <c r="M14039" s="14"/>
      <c r="N14039" s="14"/>
      <c r="O14039" s="14"/>
      <c r="P14039" s="13"/>
    </row>
    <row r="14040">
      <c r="L14040" s="13"/>
      <c r="M14040" s="14"/>
      <c r="N14040" s="14"/>
      <c r="O14040" s="14"/>
      <c r="P14040" s="13"/>
    </row>
    <row r="14041">
      <c r="L14041" s="13"/>
      <c r="M14041" s="14"/>
      <c r="N14041" s="14"/>
      <c r="O14041" s="14"/>
      <c r="P14041" s="13"/>
    </row>
    <row r="14042">
      <c r="L14042" s="13"/>
      <c r="M14042" s="14"/>
      <c r="N14042" s="14"/>
      <c r="O14042" s="14"/>
      <c r="P14042" s="13"/>
    </row>
    <row r="14043">
      <c r="L14043" s="13"/>
      <c r="M14043" s="14"/>
      <c r="N14043" s="14"/>
      <c r="O14043" s="14"/>
      <c r="P14043" s="13"/>
    </row>
    <row r="14044">
      <c r="L14044" s="13"/>
      <c r="M14044" s="14"/>
      <c r="N14044" s="14"/>
      <c r="O14044" s="14"/>
      <c r="P14044" s="13"/>
    </row>
    <row r="14045">
      <c r="L14045" s="13"/>
      <c r="M14045" s="14"/>
      <c r="N14045" s="14"/>
      <c r="O14045" s="14"/>
      <c r="P14045" s="13"/>
    </row>
    <row r="14046">
      <c r="L14046" s="13"/>
      <c r="M14046" s="14"/>
      <c r="N14046" s="14"/>
      <c r="O14046" s="14"/>
      <c r="P14046" s="13"/>
    </row>
    <row r="14047">
      <c r="L14047" s="13"/>
      <c r="M14047" s="14"/>
      <c r="N14047" s="14"/>
      <c r="O14047" s="14"/>
      <c r="P14047" s="13"/>
    </row>
    <row r="14048">
      <c r="L14048" s="13"/>
      <c r="M14048" s="14"/>
      <c r="N14048" s="14"/>
      <c r="O14048" s="14"/>
      <c r="P14048" s="13"/>
    </row>
    <row r="14049">
      <c r="L14049" s="13"/>
      <c r="M14049" s="14"/>
      <c r="N14049" s="14"/>
      <c r="O14049" s="14"/>
      <c r="P14049" s="13"/>
    </row>
    <row r="14050">
      <c r="L14050" s="13"/>
      <c r="M14050" s="14"/>
      <c r="N14050" s="14"/>
      <c r="O14050" s="14"/>
      <c r="P14050" s="13"/>
    </row>
    <row r="14051">
      <c r="L14051" s="13"/>
      <c r="M14051" s="14"/>
      <c r="N14051" s="14"/>
      <c r="O14051" s="14"/>
      <c r="P14051" s="13"/>
    </row>
    <row r="14052">
      <c r="L14052" s="13"/>
      <c r="M14052" s="14"/>
      <c r="N14052" s="14"/>
      <c r="O14052" s="14"/>
      <c r="P14052" s="13"/>
    </row>
    <row r="14053">
      <c r="L14053" s="13"/>
      <c r="M14053" s="14"/>
      <c r="N14053" s="14"/>
      <c r="O14053" s="14"/>
      <c r="P14053" s="13"/>
    </row>
    <row r="14054">
      <c r="L14054" s="13"/>
      <c r="M14054" s="14"/>
      <c r="N14054" s="14"/>
      <c r="O14054" s="14"/>
      <c r="P14054" s="13"/>
    </row>
    <row r="14055">
      <c r="L14055" s="13"/>
      <c r="M14055" s="14"/>
      <c r="N14055" s="14"/>
      <c r="O14055" s="14"/>
      <c r="P14055" s="13"/>
    </row>
    <row r="14056">
      <c r="L14056" s="13"/>
      <c r="M14056" s="14"/>
      <c r="N14056" s="14"/>
      <c r="O14056" s="14"/>
      <c r="P14056" s="13"/>
    </row>
    <row r="14057">
      <c r="L14057" s="13"/>
      <c r="M14057" s="14"/>
      <c r="N14057" s="14"/>
      <c r="O14057" s="14"/>
      <c r="P14057" s="13"/>
    </row>
    <row r="14058">
      <c r="L14058" s="13"/>
      <c r="M14058" s="14"/>
      <c r="N14058" s="14"/>
      <c r="O14058" s="14"/>
      <c r="P14058" s="13"/>
    </row>
    <row r="14059">
      <c r="L14059" s="13"/>
      <c r="M14059" s="14"/>
      <c r="N14059" s="14"/>
      <c r="O14059" s="14"/>
      <c r="P14059" s="13"/>
    </row>
    <row r="14060">
      <c r="L14060" s="13"/>
      <c r="M14060" s="14"/>
      <c r="N14060" s="14"/>
      <c r="O14060" s="14"/>
      <c r="P14060" s="13"/>
    </row>
    <row r="14061">
      <c r="L14061" s="13"/>
      <c r="M14061" s="14"/>
      <c r="N14061" s="14"/>
      <c r="O14061" s="14"/>
      <c r="P14061" s="13"/>
    </row>
    <row r="14062">
      <c r="L14062" s="13"/>
      <c r="M14062" s="14"/>
      <c r="N14062" s="14"/>
      <c r="O14062" s="14"/>
      <c r="P14062" s="13"/>
    </row>
    <row r="14063">
      <c r="L14063" s="13"/>
      <c r="M14063" s="14"/>
      <c r="N14063" s="14"/>
      <c r="O14063" s="14"/>
      <c r="P14063" s="13"/>
    </row>
    <row r="14064">
      <c r="L14064" s="13"/>
      <c r="M14064" s="14"/>
      <c r="N14064" s="14"/>
      <c r="O14064" s="14"/>
      <c r="P14064" s="13"/>
    </row>
    <row r="14065">
      <c r="L14065" s="13"/>
      <c r="M14065" s="14"/>
      <c r="N14065" s="14"/>
      <c r="O14065" s="14"/>
      <c r="P14065" s="13"/>
    </row>
    <row r="14066">
      <c r="L14066" s="13"/>
      <c r="M14066" s="14"/>
      <c r="N14066" s="14"/>
      <c r="O14066" s="14"/>
      <c r="P14066" s="13"/>
    </row>
    <row r="14067">
      <c r="L14067" s="13"/>
      <c r="M14067" s="14"/>
      <c r="N14067" s="14"/>
      <c r="O14067" s="14"/>
      <c r="P14067" s="13"/>
    </row>
    <row r="14068">
      <c r="L14068" s="13"/>
      <c r="M14068" s="14"/>
      <c r="N14068" s="14"/>
      <c r="O14068" s="14"/>
      <c r="P14068" s="13"/>
    </row>
    <row r="14069">
      <c r="L14069" s="13"/>
      <c r="M14069" s="14"/>
      <c r="N14069" s="14"/>
      <c r="O14069" s="14"/>
      <c r="P14069" s="13"/>
    </row>
    <row r="14070">
      <c r="L14070" s="13"/>
      <c r="M14070" s="14"/>
      <c r="N14070" s="14"/>
      <c r="O14070" s="14"/>
      <c r="P14070" s="13"/>
    </row>
    <row r="14071">
      <c r="L14071" s="13"/>
      <c r="M14071" s="14"/>
      <c r="N14071" s="14"/>
      <c r="O14071" s="14"/>
      <c r="P14071" s="13"/>
    </row>
    <row r="14072">
      <c r="L14072" s="13"/>
      <c r="M14072" s="14"/>
      <c r="N14072" s="14"/>
      <c r="O14072" s="14"/>
      <c r="P14072" s="13"/>
    </row>
    <row r="14073">
      <c r="L14073" s="13"/>
      <c r="M14073" s="14"/>
      <c r="N14073" s="14"/>
      <c r="O14073" s="14"/>
      <c r="P14073" s="13"/>
    </row>
    <row r="14074">
      <c r="L14074" s="13"/>
      <c r="M14074" s="14"/>
      <c r="N14074" s="14"/>
      <c r="O14074" s="14"/>
      <c r="P14074" s="13"/>
    </row>
    <row r="14075">
      <c r="L14075" s="13"/>
      <c r="M14075" s="14"/>
      <c r="N14075" s="14"/>
      <c r="O14075" s="14"/>
      <c r="P14075" s="13"/>
    </row>
    <row r="14076">
      <c r="L14076" s="13"/>
      <c r="M14076" s="14"/>
      <c r="N14076" s="14"/>
      <c r="O14076" s="14"/>
      <c r="P14076" s="13"/>
    </row>
    <row r="14077">
      <c r="L14077" s="13"/>
      <c r="M14077" s="14"/>
      <c r="N14077" s="14"/>
      <c r="O14077" s="14"/>
      <c r="P14077" s="13"/>
    </row>
    <row r="14078">
      <c r="L14078" s="13"/>
      <c r="M14078" s="14"/>
      <c r="N14078" s="14"/>
      <c r="O14078" s="14"/>
      <c r="P14078" s="13"/>
    </row>
    <row r="14079">
      <c r="L14079" s="13"/>
      <c r="M14079" s="14"/>
      <c r="N14079" s="14"/>
      <c r="O14079" s="14"/>
      <c r="P14079" s="13"/>
    </row>
    <row r="14080">
      <c r="L14080" s="13"/>
      <c r="M14080" s="14"/>
      <c r="N14080" s="14"/>
      <c r="O14080" s="14"/>
      <c r="P14080" s="13"/>
    </row>
    <row r="14081">
      <c r="L14081" s="13"/>
      <c r="M14081" s="14"/>
      <c r="N14081" s="14"/>
      <c r="O14081" s="14"/>
      <c r="P14081" s="13"/>
    </row>
    <row r="14082">
      <c r="L14082" s="13"/>
      <c r="M14082" s="14"/>
      <c r="N14082" s="14"/>
      <c r="O14082" s="14"/>
      <c r="P14082" s="13"/>
    </row>
    <row r="14083">
      <c r="L14083" s="13"/>
      <c r="M14083" s="14"/>
      <c r="N14083" s="14"/>
      <c r="O14083" s="14"/>
      <c r="P14083" s="13"/>
    </row>
    <row r="14084">
      <c r="L14084" s="13"/>
      <c r="M14084" s="14"/>
      <c r="N14084" s="14"/>
      <c r="O14084" s="14"/>
      <c r="P14084" s="13"/>
    </row>
    <row r="14085">
      <c r="L14085" s="13"/>
      <c r="M14085" s="14"/>
      <c r="N14085" s="14"/>
      <c r="O14085" s="14"/>
      <c r="P14085" s="13"/>
    </row>
    <row r="14086">
      <c r="L14086" s="13"/>
      <c r="M14086" s="14"/>
      <c r="N14086" s="14"/>
      <c r="O14086" s="14"/>
      <c r="P14086" s="13"/>
    </row>
    <row r="14087">
      <c r="L14087" s="13"/>
      <c r="M14087" s="14"/>
      <c r="N14087" s="14"/>
      <c r="O14087" s="14"/>
      <c r="P14087" s="13"/>
    </row>
    <row r="14088">
      <c r="L14088" s="13"/>
      <c r="M14088" s="14"/>
      <c r="N14088" s="14"/>
      <c r="O14088" s="14"/>
      <c r="P14088" s="13"/>
    </row>
    <row r="14089">
      <c r="L14089" s="13"/>
      <c r="M14089" s="14"/>
      <c r="N14089" s="14"/>
      <c r="O14089" s="14"/>
      <c r="P14089" s="13"/>
    </row>
    <row r="14090">
      <c r="L14090" s="13"/>
      <c r="M14090" s="14"/>
      <c r="N14090" s="14"/>
      <c r="O14090" s="14"/>
      <c r="P14090" s="13"/>
    </row>
    <row r="14091">
      <c r="L14091" s="13"/>
      <c r="M14091" s="14"/>
      <c r="N14091" s="14"/>
      <c r="O14091" s="14"/>
      <c r="P14091" s="13"/>
    </row>
    <row r="14092">
      <c r="L14092" s="13"/>
      <c r="M14092" s="14"/>
      <c r="N14092" s="14"/>
      <c r="O14092" s="14"/>
      <c r="P14092" s="13"/>
    </row>
    <row r="14093">
      <c r="L14093" s="13"/>
      <c r="M14093" s="14"/>
      <c r="N14093" s="14"/>
      <c r="O14093" s="14"/>
      <c r="P14093" s="13"/>
    </row>
    <row r="14094">
      <c r="L14094" s="13"/>
      <c r="M14094" s="14"/>
      <c r="N14094" s="14"/>
      <c r="O14094" s="14"/>
      <c r="P14094" s="13"/>
    </row>
    <row r="14095">
      <c r="L14095" s="13"/>
      <c r="M14095" s="14"/>
      <c r="N14095" s="14"/>
      <c r="O14095" s="14"/>
      <c r="P14095" s="13"/>
    </row>
    <row r="14096">
      <c r="L14096" s="13"/>
      <c r="M14096" s="14"/>
      <c r="N14096" s="14"/>
      <c r="O14096" s="14"/>
      <c r="P14096" s="13"/>
    </row>
    <row r="14097">
      <c r="L14097" s="13"/>
      <c r="M14097" s="14"/>
      <c r="N14097" s="14"/>
      <c r="O14097" s="14"/>
      <c r="P14097" s="13"/>
    </row>
    <row r="14098">
      <c r="L14098" s="13"/>
      <c r="M14098" s="14"/>
      <c r="N14098" s="14"/>
      <c r="O14098" s="14"/>
      <c r="P14098" s="13"/>
    </row>
    <row r="14099">
      <c r="L14099" s="13"/>
      <c r="M14099" s="14"/>
      <c r="N14099" s="14"/>
      <c r="O14099" s="14"/>
      <c r="P14099" s="13"/>
    </row>
    <row r="14100">
      <c r="L14100" s="13"/>
      <c r="M14100" s="14"/>
      <c r="N14100" s="14"/>
      <c r="O14100" s="14"/>
      <c r="P14100" s="13"/>
    </row>
    <row r="14101">
      <c r="L14101" s="13"/>
      <c r="M14101" s="14"/>
      <c r="N14101" s="14"/>
      <c r="O14101" s="14"/>
      <c r="P14101" s="13"/>
    </row>
    <row r="14102">
      <c r="L14102" s="13"/>
      <c r="M14102" s="14"/>
      <c r="N14102" s="14"/>
      <c r="O14102" s="14"/>
      <c r="P14102" s="13"/>
    </row>
    <row r="14103">
      <c r="L14103" s="13"/>
      <c r="M14103" s="14"/>
      <c r="N14103" s="14"/>
      <c r="O14103" s="14"/>
      <c r="P14103" s="13"/>
    </row>
    <row r="14104">
      <c r="L14104" s="13"/>
      <c r="M14104" s="14"/>
      <c r="N14104" s="14"/>
      <c r="O14104" s="14"/>
      <c r="P14104" s="13"/>
    </row>
    <row r="14105">
      <c r="L14105" s="13"/>
      <c r="M14105" s="14"/>
      <c r="N14105" s="14"/>
      <c r="O14105" s="14"/>
      <c r="P14105" s="13"/>
    </row>
    <row r="14106">
      <c r="L14106" s="13"/>
      <c r="M14106" s="14"/>
      <c r="N14106" s="14"/>
      <c r="O14106" s="14"/>
      <c r="P14106" s="13"/>
    </row>
    <row r="14107">
      <c r="L14107" s="13"/>
      <c r="M14107" s="14"/>
      <c r="N14107" s="14"/>
      <c r="O14107" s="14"/>
      <c r="P14107" s="13"/>
    </row>
    <row r="14108">
      <c r="L14108" s="13"/>
      <c r="M14108" s="14"/>
      <c r="N14108" s="14"/>
      <c r="O14108" s="14"/>
      <c r="P14108" s="13"/>
    </row>
    <row r="14109">
      <c r="L14109" s="13"/>
      <c r="M14109" s="14"/>
      <c r="N14109" s="14"/>
      <c r="O14109" s="14"/>
      <c r="P14109" s="13"/>
    </row>
    <row r="14110">
      <c r="L14110" s="13"/>
      <c r="M14110" s="14"/>
      <c r="N14110" s="14"/>
      <c r="O14110" s="14"/>
      <c r="P14110" s="13"/>
    </row>
    <row r="14111">
      <c r="L14111" s="13"/>
      <c r="M14111" s="14"/>
      <c r="N14111" s="14"/>
      <c r="O14111" s="14"/>
      <c r="P14111" s="13"/>
    </row>
    <row r="14112">
      <c r="L14112" s="13"/>
      <c r="M14112" s="14"/>
      <c r="N14112" s="14"/>
      <c r="O14112" s="14"/>
      <c r="P14112" s="13"/>
    </row>
    <row r="14113">
      <c r="L14113" s="13"/>
      <c r="M14113" s="14"/>
      <c r="N14113" s="14"/>
      <c r="O14113" s="14"/>
      <c r="P14113" s="13"/>
    </row>
    <row r="14114">
      <c r="L14114" s="13"/>
      <c r="M14114" s="14"/>
      <c r="N14114" s="14"/>
      <c r="O14114" s="14"/>
      <c r="P14114" s="13"/>
    </row>
    <row r="14115">
      <c r="L14115" s="13"/>
      <c r="M14115" s="14"/>
      <c r="N14115" s="14"/>
      <c r="O14115" s="14"/>
      <c r="P14115" s="13"/>
    </row>
    <row r="14116">
      <c r="L14116" s="13"/>
      <c r="M14116" s="14"/>
      <c r="N14116" s="14"/>
      <c r="O14116" s="14"/>
      <c r="P14116" s="13"/>
    </row>
    <row r="14117">
      <c r="L14117" s="13"/>
      <c r="M14117" s="14"/>
      <c r="N14117" s="14"/>
      <c r="O14117" s="14"/>
      <c r="P14117" s="13"/>
    </row>
    <row r="14118">
      <c r="L14118" s="13"/>
      <c r="M14118" s="14"/>
      <c r="N14118" s="14"/>
      <c r="O14118" s="14"/>
      <c r="P14118" s="13"/>
    </row>
    <row r="14119">
      <c r="L14119" s="13"/>
      <c r="M14119" s="14"/>
      <c r="N14119" s="14"/>
      <c r="O14119" s="14"/>
      <c r="P14119" s="13"/>
    </row>
    <row r="14120">
      <c r="L14120" s="13"/>
      <c r="M14120" s="14"/>
      <c r="N14120" s="14"/>
      <c r="O14120" s="14"/>
      <c r="P14120" s="13"/>
    </row>
    <row r="14121">
      <c r="L14121" s="13"/>
      <c r="M14121" s="14"/>
      <c r="N14121" s="14"/>
      <c r="O14121" s="14"/>
      <c r="P14121" s="13"/>
    </row>
    <row r="14122">
      <c r="L14122" s="13"/>
      <c r="M14122" s="14"/>
      <c r="N14122" s="14"/>
      <c r="O14122" s="14"/>
      <c r="P14122" s="13"/>
    </row>
    <row r="14123">
      <c r="L14123" s="13"/>
      <c r="M14123" s="14"/>
      <c r="N14123" s="14"/>
      <c r="O14123" s="14"/>
      <c r="P14123" s="13"/>
    </row>
    <row r="14124">
      <c r="L14124" s="13"/>
      <c r="M14124" s="14"/>
      <c r="N14124" s="14"/>
      <c r="O14124" s="14"/>
      <c r="P14124" s="13"/>
    </row>
    <row r="14125">
      <c r="L14125" s="13"/>
      <c r="M14125" s="14"/>
      <c r="N14125" s="14"/>
      <c r="O14125" s="14"/>
      <c r="P14125" s="13"/>
    </row>
    <row r="14126">
      <c r="L14126" s="13"/>
      <c r="M14126" s="14"/>
      <c r="N14126" s="14"/>
      <c r="O14126" s="14"/>
      <c r="P14126" s="13"/>
    </row>
    <row r="14127">
      <c r="L14127" s="13"/>
      <c r="M14127" s="14"/>
      <c r="N14127" s="14"/>
      <c r="O14127" s="14"/>
      <c r="P14127" s="13"/>
    </row>
    <row r="14128">
      <c r="L14128" s="13"/>
      <c r="M14128" s="14"/>
      <c r="N14128" s="14"/>
      <c r="O14128" s="14"/>
      <c r="P14128" s="13"/>
    </row>
    <row r="14129">
      <c r="L14129" s="13"/>
      <c r="M14129" s="14"/>
      <c r="N14129" s="14"/>
      <c r="O14129" s="14"/>
      <c r="P14129" s="13"/>
    </row>
    <row r="14130">
      <c r="L14130" s="13"/>
      <c r="M14130" s="14"/>
      <c r="N14130" s="14"/>
      <c r="O14130" s="14"/>
      <c r="P14130" s="13"/>
    </row>
    <row r="14131">
      <c r="L14131" s="13"/>
      <c r="M14131" s="14"/>
      <c r="N14131" s="14"/>
      <c r="O14131" s="14"/>
      <c r="P14131" s="13"/>
    </row>
    <row r="14132">
      <c r="L14132" s="13"/>
      <c r="M14132" s="14"/>
      <c r="N14132" s="14"/>
      <c r="O14132" s="14"/>
      <c r="P14132" s="13"/>
    </row>
    <row r="14133">
      <c r="L14133" s="13"/>
      <c r="M14133" s="14"/>
      <c r="N14133" s="14"/>
      <c r="O14133" s="14"/>
      <c r="P14133" s="13"/>
    </row>
    <row r="14134">
      <c r="L14134" s="13"/>
      <c r="M14134" s="14"/>
      <c r="N14134" s="14"/>
      <c r="O14134" s="14"/>
      <c r="P14134" s="13"/>
    </row>
    <row r="14135">
      <c r="L14135" s="13"/>
      <c r="M14135" s="14"/>
      <c r="N14135" s="14"/>
      <c r="O14135" s="14"/>
      <c r="P14135" s="13"/>
    </row>
    <row r="14136">
      <c r="L14136" s="13"/>
      <c r="M14136" s="14"/>
      <c r="N14136" s="14"/>
      <c r="O14136" s="14"/>
      <c r="P14136" s="13"/>
    </row>
    <row r="14137">
      <c r="L14137" s="13"/>
      <c r="M14137" s="14"/>
      <c r="N14137" s="14"/>
      <c r="O14137" s="14"/>
      <c r="P14137" s="13"/>
    </row>
    <row r="14138">
      <c r="L14138" s="13"/>
      <c r="M14138" s="14"/>
      <c r="N14138" s="14"/>
      <c r="O14138" s="14"/>
      <c r="P14138" s="13"/>
    </row>
    <row r="14139">
      <c r="L14139" s="13"/>
      <c r="M14139" s="14"/>
      <c r="N14139" s="14"/>
      <c r="O14139" s="14"/>
      <c r="P14139" s="13"/>
    </row>
    <row r="14140">
      <c r="L14140" s="13"/>
      <c r="M14140" s="14"/>
      <c r="N14140" s="14"/>
      <c r="O14140" s="14"/>
      <c r="P14140" s="13"/>
    </row>
    <row r="14141">
      <c r="L14141" s="13"/>
      <c r="M14141" s="14"/>
      <c r="N14141" s="14"/>
      <c r="O14141" s="14"/>
      <c r="P14141" s="13"/>
    </row>
    <row r="14142">
      <c r="L14142" s="13"/>
      <c r="M14142" s="14"/>
      <c r="N14142" s="14"/>
      <c r="O14142" s="14"/>
      <c r="P14142" s="13"/>
    </row>
    <row r="14143">
      <c r="L14143" s="13"/>
      <c r="M14143" s="14"/>
      <c r="N14143" s="14"/>
      <c r="O14143" s="14"/>
      <c r="P14143" s="13"/>
    </row>
    <row r="14144">
      <c r="L14144" s="13"/>
      <c r="M14144" s="14"/>
      <c r="N14144" s="14"/>
      <c r="O14144" s="14"/>
      <c r="P14144" s="13"/>
    </row>
    <row r="14145">
      <c r="L14145" s="13"/>
      <c r="M14145" s="14"/>
      <c r="N14145" s="14"/>
      <c r="O14145" s="14"/>
      <c r="P14145" s="13"/>
    </row>
    <row r="14146">
      <c r="L14146" s="13"/>
      <c r="M14146" s="14"/>
      <c r="N14146" s="14"/>
      <c r="O14146" s="14"/>
      <c r="P14146" s="13"/>
    </row>
    <row r="14147">
      <c r="L14147" s="13"/>
      <c r="M14147" s="14"/>
      <c r="N14147" s="14"/>
      <c r="O14147" s="14"/>
      <c r="P14147" s="13"/>
    </row>
    <row r="14148">
      <c r="L14148" s="13"/>
      <c r="M14148" s="14"/>
      <c r="N14148" s="14"/>
      <c r="O14148" s="14"/>
      <c r="P14148" s="13"/>
    </row>
    <row r="14149">
      <c r="L14149" s="13"/>
      <c r="M14149" s="14"/>
      <c r="N14149" s="14"/>
      <c r="O14149" s="14"/>
      <c r="P14149" s="13"/>
    </row>
    <row r="14150">
      <c r="L14150" s="13"/>
      <c r="M14150" s="14"/>
      <c r="N14150" s="14"/>
      <c r="O14150" s="14"/>
      <c r="P14150" s="13"/>
    </row>
    <row r="14151">
      <c r="L14151" s="13"/>
      <c r="M14151" s="14"/>
      <c r="N14151" s="14"/>
      <c r="O14151" s="14"/>
      <c r="P14151" s="13"/>
    </row>
    <row r="14152">
      <c r="L14152" s="13"/>
      <c r="M14152" s="14"/>
      <c r="N14152" s="14"/>
      <c r="O14152" s="14"/>
      <c r="P14152" s="13"/>
    </row>
    <row r="14153">
      <c r="L14153" s="13"/>
      <c r="M14153" s="14"/>
      <c r="N14153" s="14"/>
      <c r="O14153" s="14"/>
      <c r="P14153" s="13"/>
    </row>
    <row r="14154">
      <c r="L14154" s="13"/>
      <c r="M14154" s="14"/>
      <c r="N14154" s="14"/>
      <c r="O14154" s="14"/>
      <c r="P14154" s="13"/>
    </row>
    <row r="14155">
      <c r="L14155" s="13"/>
      <c r="M14155" s="14"/>
      <c r="N14155" s="14"/>
      <c r="O14155" s="14"/>
      <c r="P14155" s="13"/>
    </row>
    <row r="14156">
      <c r="L14156" s="13"/>
      <c r="M14156" s="14"/>
      <c r="N14156" s="14"/>
      <c r="O14156" s="14"/>
      <c r="P14156" s="13"/>
    </row>
    <row r="14157">
      <c r="L14157" s="13"/>
      <c r="M14157" s="14"/>
      <c r="N14157" s="14"/>
      <c r="O14157" s="14"/>
      <c r="P14157" s="13"/>
    </row>
    <row r="14158">
      <c r="L14158" s="13"/>
      <c r="M14158" s="14"/>
      <c r="N14158" s="14"/>
      <c r="O14158" s="14"/>
      <c r="P14158" s="13"/>
    </row>
    <row r="14159">
      <c r="L14159" s="13"/>
      <c r="M14159" s="14"/>
      <c r="N14159" s="14"/>
      <c r="O14159" s="14"/>
      <c r="P14159" s="13"/>
    </row>
    <row r="14160">
      <c r="L14160" s="13"/>
      <c r="M14160" s="14"/>
      <c r="N14160" s="14"/>
      <c r="O14160" s="14"/>
      <c r="P14160" s="13"/>
    </row>
    <row r="14161">
      <c r="L14161" s="13"/>
      <c r="M14161" s="14"/>
      <c r="N14161" s="14"/>
      <c r="O14161" s="14"/>
      <c r="P14161" s="13"/>
    </row>
    <row r="14162">
      <c r="L14162" s="13"/>
      <c r="M14162" s="14"/>
      <c r="N14162" s="14"/>
      <c r="O14162" s="14"/>
      <c r="P14162" s="13"/>
    </row>
    <row r="14163">
      <c r="L14163" s="13"/>
      <c r="M14163" s="14"/>
      <c r="N14163" s="14"/>
      <c r="O14163" s="14"/>
      <c r="P14163" s="13"/>
    </row>
    <row r="14164">
      <c r="L14164" s="13"/>
      <c r="M14164" s="14"/>
      <c r="N14164" s="14"/>
      <c r="O14164" s="14"/>
      <c r="P14164" s="13"/>
    </row>
    <row r="14165">
      <c r="L14165" s="13"/>
      <c r="M14165" s="14"/>
      <c r="N14165" s="14"/>
      <c r="O14165" s="14"/>
      <c r="P14165" s="13"/>
    </row>
    <row r="14166">
      <c r="L14166" s="13"/>
      <c r="M14166" s="14"/>
      <c r="N14166" s="14"/>
      <c r="O14166" s="14"/>
      <c r="P14166" s="13"/>
    </row>
    <row r="14167">
      <c r="L14167" s="13"/>
      <c r="M14167" s="14"/>
      <c r="N14167" s="14"/>
      <c r="O14167" s="14"/>
      <c r="P14167" s="13"/>
    </row>
    <row r="14168">
      <c r="L14168" s="13"/>
      <c r="M14168" s="14"/>
      <c r="N14168" s="14"/>
      <c r="O14168" s="14"/>
      <c r="P14168" s="13"/>
    </row>
    <row r="14169">
      <c r="L14169" s="13"/>
      <c r="M14169" s="14"/>
      <c r="N14169" s="14"/>
      <c r="O14169" s="14"/>
      <c r="P14169" s="13"/>
    </row>
    <row r="14170">
      <c r="L14170" s="13"/>
      <c r="M14170" s="14"/>
      <c r="N14170" s="14"/>
      <c r="O14170" s="14"/>
      <c r="P14170" s="13"/>
    </row>
    <row r="14171">
      <c r="L14171" s="13"/>
      <c r="M14171" s="14"/>
      <c r="N14171" s="14"/>
      <c r="O14171" s="14"/>
      <c r="P14171" s="13"/>
    </row>
    <row r="14172">
      <c r="L14172" s="13"/>
      <c r="M14172" s="14"/>
      <c r="N14172" s="14"/>
      <c r="O14172" s="14"/>
      <c r="P14172" s="13"/>
    </row>
    <row r="14173">
      <c r="L14173" s="13"/>
      <c r="M14173" s="14"/>
      <c r="N14173" s="14"/>
      <c r="O14173" s="14"/>
      <c r="P14173" s="13"/>
    </row>
    <row r="14174">
      <c r="L14174" s="13"/>
      <c r="M14174" s="14"/>
      <c r="N14174" s="14"/>
      <c r="O14174" s="14"/>
      <c r="P14174" s="13"/>
    </row>
    <row r="14175">
      <c r="L14175" s="13"/>
      <c r="M14175" s="14"/>
      <c r="N14175" s="14"/>
      <c r="O14175" s="14"/>
      <c r="P14175" s="13"/>
    </row>
    <row r="14176">
      <c r="L14176" s="13"/>
      <c r="M14176" s="14"/>
      <c r="N14176" s="14"/>
      <c r="O14176" s="14"/>
      <c r="P14176" s="13"/>
    </row>
    <row r="14177">
      <c r="L14177" s="13"/>
      <c r="M14177" s="14"/>
      <c r="N14177" s="14"/>
      <c r="O14177" s="14"/>
      <c r="P14177" s="13"/>
    </row>
    <row r="14178">
      <c r="L14178" s="13"/>
      <c r="M14178" s="14"/>
      <c r="N14178" s="14"/>
      <c r="O14178" s="14"/>
      <c r="P14178" s="13"/>
    </row>
    <row r="14179">
      <c r="L14179" s="13"/>
      <c r="M14179" s="14"/>
      <c r="N14179" s="14"/>
      <c r="O14179" s="14"/>
      <c r="P14179" s="13"/>
    </row>
    <row r="14180">
      <c r="L14180" s="13"/>
      <c r="M14180" s="14"/>
      <c r="N14180" s="14"/>
      <c r="O14180" s="14"/>
      <c r="P14180" s="13"/>
    </row>
    <row r="14181">
      <c r="L14181" s="13"/>
      <c r="M14181" s="14"/>
      <c r="N14181" s="14"/>
      <c r="O14181" s="14"/>
      <c r="P14181" s="13"/>
    </row>
    <row r="14182">
      <c r="L14182" s="13"/>
      <c r="M14182" s="14"/>
      <c r="N14182" s="14"/>
      <c r="O14182" s="14"/>
      <c r="P14182" s="13"/>
    </row>
    <row r="14183">
      <c r="L14183" s="13"/>
      <c r="M14183" s="14"/>
      <c r="N14183" s="14"/>
      <c r="O14183" s="14"/>
      <c r="P14183" s="13"/>
    </row>
    <row r="14184">
      <c r="L14184" s="13"/>
      <c r="M14184" s="14"/>
      <c r="N14184" s="14"/>
      <c r="O14184" s="14"/>
      <c r="P14184" s="13"/>
    </row>
    <row r="14185">
      <c r="L14185" s="13"/>
      <c r="M14185" s="14"/>
      <c r="N14185" s="14"/>
      <c r="O14185" s="14"/>
      <c r="P14185" s="13"/>
    </row>
    <row r="14186">
      <c r="L14186" s="13"/>
      <c r="M14186" s="14"/>
      <c r="N14186" s="14"/>
      <c r="O14186" s="14"/>
      <c r="P14186" s="13"/>
    </row>
    <row r="14187">
      <c r="L14187" s="13"/>
      <c r="M14187" s="14"/>
      <c r="N14187" s="14"/>
      <c r="O14187" s="14"/>
      <c r="P14187" s="13"/>
    </row>
    <row r="14188">
      <c r="L14188" s="13"/>
      <c r="M14188" s="14"/>
      <c r="N14188" s="14"/>
      <c r="O14188" s="14"/>
      <c r="P14188" s="13"/>
    </row>
    <row r="14189">
      <c r="L14189" s="13"/>
      <c r="M14189" s="14"/>
      <c r="N14189" s="14"/>
      <c r="O14189" s="14"/>
      <c r="P14189" s="13"/>
    </row>
    <row r="14190">
      <c r="L14190" s="13"/>
      <c r="M14190" s="14"/>
      <c r="N14190" s="14"/>
      <c r="O14190" s="14"/>
      <c r="P14190" s="13"/>
    </row>
    <row r="14191">
      <c r="L14191" s="13"/>
      <c r="M14191" s="14"/>
      <c r="N14191" s="14"/>
      <c r="O14191" s="14"/>
      <c r="P14191" s="13"/>
    </row>
    <row r="14192">
      <c r="L14192" s="13"/>
      <c r="M14192" s="14"/>
      <c r="N14192" s="14"/>
      <c r="O14192" s="14"/>
      <c r="P14192" s="13"/>
    </row>
    <row r="14193">
      <c r="L14193" s="13"/>
      <c r="M14193" s="14"/>
      <c r="N14193" s="14"/>
      <c r="O14193" s="14"/>
      <c r="P14193" s="13"/>
    </row>
    <row r="14194">
      <c r="L14194" s="13"/>
      <c r="M14194" s="14"/>
      <c r="N14194" s="14"/>
      <c r="O14194" s="14"/>
      <c r="P14194" s="13"/>
    </row>
    <row r="14195">
      <c r="L14195" s="13"/>
      <c r="M14195" s="14"/>
      <c r="N14195" s="14"/>
      <c r="O14195" s="14"/>
      <c r="P14195" s="13"/>
    </row>
    <row r="14196">
      <c r="L14196" s="13"/>
      <c r="M14196" s="14"/>
      <c r="N14196" s="14"/>
      <c r="O14196" s="14"/>
      <c r="P14196" s="13"/>
    </row>
    <row r="14197">
      <c r="L14197" s="13"/>
      <c r="M14197" s="14"/>
      <c r="N14197" s="14"/>
      <c r="O14197" s="14"/>
      <c r="P14197" s="13"/>
    </row>
    <row r="14198">
      <c r="L14198" s="13"/>
      <c r="M14198" s="14"/>
      <c r="N14198" s="14"/>
      <c r="O14198" s="14"/>
      <c r="P14198" s="13"/>
    </row>
    <row r="14199">
      <c r="L14199" s="13"/>
      <c r="M14199" s="14"/>
      <c r="N14199" s="14"/>
      <c r="O14199" s="14"/>
      <c r="P14199" s="13"/>
    </row>
    <row r="14200">
      <c r="L14200" s="13"/>
      <c r="M14200" s="14"/>
      <c r="N14200" s="14"/>
      <c r="O14200" s="14"/>
      <c r="P14200" s="13"/>
    </row>
    <row r="14201">
      <c r="L14201" s="13"/>
      <c r="M14201" s="14"/>
      <c r="N14201" s="14"/>
      <c r="O14201" s="14"/>
      <c r="P14201" s="13"/>
    </row>
    <row r="14202">
      <c r="L14202" s="13"/>
      <c r="M14202" s="14"/>
      <c r="N14202" s="14"/>
      <c r="O14202" s="14"/>
      <c r="P14202" s="13"/>
    </row>
    <row r="14203">
      <c r="L14203" s="13"/>
      <c r="M14203" s="14"/>
      <c r="N14203" s="14"/>
      <c r="O14203" s="14"/>
      <c r="P14203" s="13"/>
    </row>
    <row r="14204">
      <c r="L14204" s="13"/>
      <c r="M14204" s="14"/>
      <c r="N14204" s="14"/>
      <c r="O14204" s="14"/>
      <c r="P14204" s="13"/>
    </row>
    <row r="14205">
      <c r="L14205" s="13"/>
      <c r="M14205" s="14"/>
      <c r="N14205" s="14"/>
      <c r="O14205" s="14"/>
      <c r="P14205" s="13"/>
    </row>
    <row r="14206">
      <c r="L14206" s="13"/>
      <c r="M14206" s="14"/>
      <c r="N14206" s="14"/>
      <c r="O14206" s="14"/>
      <c r="P14206" s="13"/>
    </row>
    <row r="14207">
      <c r="L14207" s="13"/>
      <c r="M14207" s="14"/>
      <c r="N14207" s="14"/>
      <c r="O14207" s="14"/>
      <c r="P14207" s="13"/>
    </row>
    <row r="14208">
      <c r="L14208" s="13"/>
      <c r="M14208" s="14"/>
      <c r="N14208" s="14"/>
      <c r="O14208" s="14"/>
      <c r="P14208" s="13"/>
    </row>
    <row r="14209">
      <c r="L14209" s="13"/>
      <c r="M14209" s="14"/>
      <c r="N14209" s="14"/>
      <c r="O14209" s="14"/>
      <c r="P14209" s="13"/>
    </row>
    <row r="14210">
      <c r="L14210" s="13"/>
      <c r="M14210" s="14"/>
      <c r="N14210" s="14"/>
      <c r="O14210" s="14"/>
      <c r="P14210" s="13"/>
    </row>
    <row r="14211">
      <c r="L14211" s="13"/>
      <c r="M14211" s="14"/>
      <c r="N14211" s="14"/>
      <c r="O14211" s="14"/>
      <c r="P14211" s="13"/>
    </row>
    <row r="14212">
      <c r="L14212" s="13"/>
      <c r="M14212" s="14"/>
      <c r="N14212" s="14"/>
      <c r="O14212" s="14"/>
      <c r="P14212" s="13"/>
    </row>
    <row r="14213">
      <c r="L14213" s="13"/>
      <c r="M14213" s="14"/>
      <c r="N14213" s="14"/>
      <c r="O14213" s="14"/>
      <c r="P14213" s="13"/>
    </row>
    <row r="14214">
      <c r="L14214" s="13"/>
      <c r="M14214" s="14"/>
      <c r="N14214" s="14"/>
      <c r="O14214" s="14"/>
      <c r="P14214" s="13"/>
    </row>
    <row r="14215">
      <c r="L14215" s="13"/>
      <c r="M14215" s="14"/>
      <c r="N14215" s="14"/>
      <c r="O14215" s="14"/>
      <c r="P14215" s="13"/>
    </row>
    <row r="14216">
      <c r="L14216" s="13"/>
      <c r="M14216" s="14"/>
      <c r="N14216" s="14"/>
      <c r="O14216" s="14"/>
      <c r="P14216" s="13"/>
    </row>
    <row r="14217">
      <c r="L14217" s="13"/>
      <c r="M14217" s="14"/>
      <c r="N14217" s="14"/>
      <c r="O14217" s="14"/>
      <c r="P14217" s="13"/>
    </row>
    <row r="14218">
      <c r="L14218" s="13"/>
      <c r="M14218" s="14"/>
      <c r="N14218" s="14"/>
      <c r="O14218" s="14"/>
      <c r="P14218" s="13"/>
    </row>
    <row r="14219">
      <c r="L14219" s="13"/>
      <c r="M14219" s="14"/>
      <c r="N14219" s="14"/>
      <c r="O14219" s="14"/>
      <c r="P14219" s="13"/>
    </row>
    <row r="14220">
      <c r="L14220" s="13"/>
      <c r="M14220" s="14"/>
      <c r="N14220" s="14"/>
      <c r="O14220" s="14"/>
      <c r="P14220" s="13"/>
    </row>
    <row r="14221">
      <c r="L14221" s="13"/>
      <c r="M14221" s="14"/>
      <c r="N14221" s="14"/>
      <c r="O14221" s="14"/>
      <c r="P14221" s="13"/>
    </row>
    <row r="14222">
      <c r="L14222" s="13"/>
      <c r="M14222" s="14"/>
      <c r="N14222" s="14"/>
      <c r="O14222" s="14"/>
      <c r="P14222" s="13"/>
    </row>
    <row r="14223">
      <c r="L14223" s="13"/>
      <c r="M14223" s="14"/>
      <c r="N14223" s="14"/>
      <c r="O14223" s="14"/>
      <c r="P14223" s="13"/>
    </row>
    <row r="14224">
      <c r="L14224" s="13"/>
      <c r="M14224" s="14"/>
      <c r="N14224" s="14"/>
      <c r="O14224" s="14"/>
      <c r="P14224" s="13"/>
    </row>
    <row r="14225">
      <c r="L14225" s="13"/>
      <c r="M14225" s="14"/>
      <c r="N14225" s="14"/>
      <c r="O14225" s="14"/>
      <c r="P14225" s="13"/>
    </row>
    <row r="14226">
      <c r="L14226" s="13"/>
      <c r="M14226" s="14"/>
      <c r="N14226" s="14"/>
      <c r="O14226" s="14"/>
      <c r="P14226" s="13"/>
    </row>
    <row r="14227">
      <c r="L14227" s="13"/>
      <c r="M14227" s="14"/>
      <c r="N14227" s="14"/>
      <c r="O14227" s="14"/>
      <c r="P14227" s="13"/>
    </row>
    <row r="14228">
      <c r="L14228" s="13"/>
      <c r="M14228" s="14"/>
      <c r="N14228" s="14"/>
      <c r="O14228" s="14"/>
      <c r="P14228" s="13"/>
    </row>
    <row r="14229">
      <c r="L14229" s="13"/>
      <c r="M14229" s="14"/>
      <c r="N14229" s="14"/>
      <c r="O14229" s="14"/>
      <c r="P14229" s="13"/>
    </row>
    <row r="14230">
      <c r="L14230" s="13"/>
      <c r="M14230" s="14"/>
      <c r="N14230" s="14"/>
      <c r="O14230" s="14"/>
      <c r="P14230" s="13"/>
    </row>
    <row r="14231">
      <c r="L14231" s="13"/>
      <c r="M14231" s="14"/>
      <c r="N14231" s="14"/>
      <c r="O14231" s="14"/>
      <c r="P14231" s="13"/>
    </row>
    <row r="14232">
      <c r="L14232" s="13"/>
      <c r="M14232" s="14"/>
      <c r="N14232" s="14"/>
      <c r="O14232" s="14"/>
      <c r="P14232" s="13"/>
    </row>
    <row r="14233">
      <c r="L14233" s="13"/>
      <c r="M14233" s="14"/>
      <c r="N14233" s="14"/>
      <c r="O14233" s="14"/>
      <c r="P14233" s="13"/>
    </row>
    <row r="14234">
      <c r="L14234" s="13"/>
      <c r="M14234" s="14"/>
      <c r="N14234" s="14"/>
      <c r="O14234" s="14"/>
      <c r="P14234" s="13"/>
    </row>
    <row r="14235">
      <c r="L14235" s="13"/>
      <c r="M14235" s="14"/>
      <c r="N14235" s="14"/>
      <c r="O14235" s="14"/>
      <c r="P14235" s="13"/>
    </row>
    <row r="14236">
      <c r="L14236" s="13"/>
      <c r="M14236" s="14"/>
      <c r="N14236" s="14"/>
      <c r="O14236" s="14"/>
      <c r="P14236" s="13"/>
    </row>
    <row r="14237">
      <c r="L14237" s="13"/>
      <c r="M14237" s="14"/>
      <c r="N14237" s="14"/>
      <c r="O14237" s="14"/>
      <c r="P14237" s="13"/>
    </row>
    <row r="14238">
      <c r="L14238" s="13"/>
      <c r="M14238" s="14"/>
      <c r="N14238" s="14"/>
      <c r="O14238" s="14"/>
      <c r="P14238" s="13"/>
    </row>
    <row r="14239">
      <c r="L14239" s="13"/>
      <c r="M14239" s="14"/>
      <c r="N14239" s="14"/>
      <c r="O14239" s="14"/>
      <c r="P14239" s="13"/>
    </row>
    <row r="14240">
      <c r="L14240" s="13"/>
      <c r="M14240" s="14"/>
      <c r="N14240" s="14"/>
      <c r="O14240" s="14"/>
      <c r="P14240" s="13"/>
    </row>
    <row r="14241">
      <c r="L14241" s="13"/>
      <c r="M14241" s="14"/>
      <c r="N14241" s="14"/>
      <c r="O14241" s="14"/>
      <c r="P14241" s="13"/>
    </row>
    <row r="14242">
      <c r="L14242" s="13"/>
      <c r="M14242" s="14"/>
      <c r="N14242" s="14"/>
      <c r="O14242" s="14"/>
      <c r="P14242" s="13"/>
    </row>
    <row r="14243">
      <c r="L14243" s="13"/>
      <c r="M14243" s="14"/>
      <c r="N14243" s="14"/>
      <c r="O14243" s="14"/>
      <c r="P14243" s="13"/>
    </row>
    <row r="14244">
      <c r="L14244" s="13"/>
      <c r="M14244" s="14"/>
      <c r="N14244" s="14"/>
      <c r="O14244" s="14"/>
      <c r="P14244" s="13"/>
    </row>
    <row r="14245">
      <c r="L14245" s="13"/>
      <c r="M14245" s="14"/>
      <c r="N14245" s="14"/>
      <c r="O14245" s="14"/>
      <c r="P14245" s="13"/>
    </row>
    <row r="14246">
      <c r="L14246" s="13"/>
      <c r="M14246" s="14"/>
      <c r="N14246" s="14"/>
      <c r="O14246" s="14"/>
      <c r="P14246" s="13"/>
    </row>
    <row r="14247">
      <c r="L14247" s="13"/>
      <c r="M14247" s="14"/>
      <c r="N14247" s="14"/>
      <c r="O14247" s="14"/>
      <c r="P14247" s="13"/>
    </row>
    <row r="14248">
      <c r="L14248" s="13"/>
      <c r="M14248" s="14"/>
      <c r="N14248" s="14"/>
      <c r="O14248" s="14"/>
      <c r="P14248" s="13"/>
    </row>
    <row r="14249">
      <c r="L14249" s="13"/>
      <c r="M14249" s="14"/>
      <c r="N14249" s="14"/>
      <c r="O14249" s="14"/>
      <c r="P14249" s="13"/>
    </row>
    <row r="14250">
      <c r="L14250" s="13"/>
      <c r="M14250" s="14"/>
      <c r="N14250" s="14"/>
      <c r="O14250" s="14"/>
      <c r="P14250" s="13"/>
    </row>
    <row r="14251">
      <c r="L14251" s="13"/>
      <c r="M14251" s="14"/>
      <c r="N14251" s="14"/>
      <c r="O14251" s="14"/>
      <c r="P14251" s="13"/>
    </row>
    <row r="14252">
      <c r="L14252" s="13"/>
      <c r="M14252" s="14"/>
      <c r="N14252" s="14"/>
      <c r="O14252" s="14"/>
      <c r="P14252" s="13"/>
    </row>
    <row r="14253">
      <c r="L14253" s="13"/>
      <c r="M14253" s="14"/>
      <c r="N14253" s="14"/>
      <c r="O14253" s="14"/>
      <c r="P14253" s="13"/>
    </row>
    <row r="14254">
      <c r="L14254" s="13"/>
      <c r="M14254" s="14"/>
      <c r="N14254" s="14"/>
      <c r="O14254" s="14"/>
      <c r="P14254" s="13"/>
    </row>
    <row r="14255">
      <c r="L14255" s="13"/>
      <c r="M14255" s="14"/>
      <c r="N14255" s="14"/>
      <c r="O14255" s="14"/>
      <c r="P14255" s="13"/>
    </row>
    <row r="14256">
      <c r="L14256" s="13"/>
      <c r="M14256" s="14"/>
      <c r="N14256" s="14"/>
      <c r="O14256" s="14"/>
      <c r="P14256" s="13"/>
    </row>
    <row r="14257">
      <c r="L14257" s="13"/>
      <c r="M14257" s="14"/>
      <c r="N14257" s="14"/>
      <c r="O14257" s="14"/>
      <c r="P14257" s="13"/>
    </row>
    <row r="14258">
      <c r="L14258" s="13"/>
      <c r="M14258" s="14"/>
      <c r="N14258" s="14"/>
      <c r="O14258" s="14"/>
      <c r="P14258" s="13"/>
    </row>
    <row r="14259">
      <c r="L14259" s="13"/>
      <c r="M14259" s="14"/>
      <c r="N14259" s="14"/>
      <c r="O14259" s="14"/>
      <c r="P14259" s="13"/>
    </row>
    <row r="14260">
      <c r="L14260" s="13"/>
      <c r="M14260" s="14"/>
      <c r="N14260" s="14"/>
      <c r="O14260" s="14"/>
      <c r="P14260" s="13"/>
    </row>
    <row r="14261">
      <c r="L14261" s="13"/>
      <c r="M14261" s="14"/>
      <c r="N14261" s="14"/>
      <c r="O14261" s="14"/>
      <c r="P14261" s="13"/>
    </row>
    <row r="14262">
      <c r="L14262" s="13"/>
      <c r="M14262" s="14"/>
      <c r="N14262" s="14"/>
      <c r="O14262" s="14"/>
      <c r="P14262" s="13"/>
    </row>
    <row r="14263">
      <c r="L14263" s="13"/>
      <c r="M14263" s="14"/>
      <c r="N14263" s="14"/>
      <c r="O14263" s="14"/>
      <c r="P14263" s="13"/>
    </row>
    <row r="14264">
      <c r="L14264" s="13"/>
      <c r="M14264" s="14"/>
      <c r="N14264" s="14"/>
      <c r="O14264" s="14"/>
      <c r="P14264" s="13"/>
    </row>
    <row r="14265">
      <c r="L14265" s="13"/>
      <c r="M14265" s="14"/>
      <c r="N14265" s="14"/>
      <c r="O14265" s="14"/>
      <c r="P14265" s="13"/>
    </row>
    <row r="14266">
      <c r="L14266" s="13"/>
      <c r="M14266" s="14"/>
      <c r="N14266" s="14"/>
      <c r="O14266" s="14"/>
      <c r="P14266" s="13"/>
    </row>
    <row r="14267">
      <c r="L14267" s="13"/>
      <c r="M14267" s="14"/>
      <c r="N14267" s="14"/>
      <c r="O14267" s="14"/>
      <c r="P14267" s="13"/>
    </row>
    <row r="14268">
      <c r="L14268" s="13"/>
      <c r="M14268" s="14"/>
      <c r="N14268" s="14"/>
      <c r="O14268" s="14"/>
      <c r="P14268" s="13"/>
    </row>
    <row r="14269">
      <c r="L14269" s="13"/>
      <c r="M14269" s="14"/>
      <c r="N14269" s="14"/>
      <c r="O14269" s="14"/>
      <c r="P14269" s="13"/>
    </row>
    <row r="14270">
      <c r="L14270" s="13"/>
      <c r="M14270" s="14"/>
      <c r="N14270" s="14"/>
      <c r="O14270" s="14"/>
      <c r="P14270" s="13"/>
    </row>
    <row r="14271">
      <c r="L14271" s="13"/>
      <c r="M14271" s="14"/>
      <c r="N14271" s="14"/>
      <c r="O14271" s="14"/>
      <c r="P14271" s="13"/>
    </row>
    <row r="14272">
      <c r="L14272" s="13"/>
      <c r="M14272" s="14"/>
      <c r="N14272" s="14"/>
      <c r="O14272" s="14"/>
      <c r="P14272" s="13"/>
    </row>
    <row r="14273">
      <c r="L14273" s="13"/>
      <c r="M14273" s="14"/>
      <c r="N14273" s="14"/>
      <c r="O14273" s="14"/>
      <c r="P14273" s="13"/>
    </row>
    <row r="14274">
      <c r="L14274" s="13"/>
      <c r="M14274" s="14"/>
      <c r="N14274" s="14"/>
      <c r="O14274" s="14"/>
      <c r="P14274" s="13"/>
    </row>
    <row r="14275">
      <c r="L14275" s="13"/>
      <c r="M14275" s="14"/>
      <c r="N14275" s="14"/>
      <c r="O14275" s="14"/>
      <c r="P14275" s="13"/>
    </row>
    <row r="14276">
      <c r="L14276" s="13"/>
      <c r="M14276" s="14"/>
      <c r="N14276" s="14"/>
      <c r="O14276" s="14"/>
      <c r="P14276" s="13"/>
    </row>
    <row r="14277">
      <c r="L14277" s="13"/>
      <c r="M14277" s="14"/>
      <c r="N14277" s="14"/>
      <c r="O14277" s="14"/>
      <c r="P14277" s="13"/>
    </row>
    <row r="14278">
      <c r="L14278" s="13"/>
      <c r="M14278" s="14"/>
      <c r="N14278" s="14"/>
      <c r="O14278" s="14"/>
      <c r="P14278" s="13"/>
    </row>
    <row r="14279">
      <c r="L14279" s="13"/>
      <c r="M14279" s="14"/>
      <c r="N14279" s="14"/>
      <c r="O14279" s="14"/>
      <c r="P14279" s="13"/>
    </row>
    <row r="14280">
      <c r="L14280" s="13"/>
      <c r="M14280" s="14"/>
      <c r="N14280" s="14"/>
      <c r="O14280" s="14"/>
      <c r="P14280" s="13"/>
    </row>
    <row r="14281">
      <c r="L14281" s="13"/>
      <c r="M14281" s="14"/>
      <c r="N14281" s="14"/>
      <c r="O14281" s="14"/>
      <c r="P14281" s="13"/>
    </row>
    <row r="14282">
      <c r="L14282" s="13"/>
      <c r="M14282" s="14"/>
      <c r="N14282" s="14"/>
      <c r="O14282" s="14"/>
      <c r="P14282" s="13"/>
    </row>
    <row r="14283">
      <c r="L14283" s="13"/>
      <c r="M14283" s="14"/>
      <c r="N14283" s="14"/>
      <c r="O14283" s="14"/>
      <c r="P14283" s="13"/>
    </row>
    <row r="14284">
      <c r="L14284" s="13"/>
      <c r="M14284" s="14"/>
      <c r="N14284" s="14"/>
      <c r="O14284" s="14"/>
      <c r="P14284" s="13"/>
    </row>
    <row r="14285">
      <c r="L14285" s="13"/>
      <c r="M14285" s="14"/>
      <c r="N14285" s="14"/>
      <c r="O14285" s="14"/>
      <c r="P14285" s="13"/>
    </row>
    <row r="14286">
      <c r="L14286" s="13"/>
      <c r="M14286" s="14"/>
      <c r="N14286" s="14"/>
      <c r="O14286" s="14"/>
      <c r="P14286" s="13"/>
    </row>
    <row r="14287">
      <c r="L14287" s="13"/>
      <c r="M14287" s="14"/>
      <c r="N14287" s="14"/>
      <c r="O14287" s="14"/>
      <c r="P14287" s="13"/>
    </row>
    <row r="14288">
      <c r="L14288" s="13"/>
      <c r="M14288" s="14"/>
      <c r="N14288" s="14"/>
      <c r="O14288" s="14"/>
      <c r="P14288" s="13"/>
    </row>
    <row r="14289">
      <c r="L14289" s="13"/>
      <c r="M14289" s="14"/>
      <c r="N14289" s="14"/>
      <c r="O14289" s="14"/>
      <c r="P14289" s="13"/>
    </row>
    <row r="14290">
      <c r="L14290" s="13"/>
      <c r="M14290" s="14"/>
      <c r="N14290" s="14"/>
      <c r="O14290" s="14"/>
      <c r="P14290" s="13"/>
    </row>
    <row r="14291">
      <c r="L14291" s="13"/>
      <c r="M14291" s="14"/>
      <c r="N14291" s="14"/>
      <c r="O14291" s="14"/>
      <c r="P14291" s="13"/>
    </row>
    <row r="14292">
      <c r="L14292" s="13"/>
      <c r="M14292" s="14"/>
      <c r="N14292" s="14"/>
      <c r="O14292" s="14"/>
      <c r="P14292" s="13"/>
    </row>
    <row r="14293">
      <c r="L14293" s="13"/>
      <c r="M14293" s="14"/>
      <c r="N14293" s="14"/>
      <c r="O14293" s="14"/>
      <c r="P14293" s="13"/>
    </row>
    <row r="14294">
      <c r="L14294" s="13"/>
      <c r="M14294" s="14"/>
      <c r="N14294" s="14"/>
      <c r="O14294" s="14"/>
      <c r="P14294" s="13"/>
    </row>
    <row r="14295">
      <c r="L14295" s="13"/>
      <c r="M14295" s="14"/>
      <c r="N14295" s="14"/>
      <c r="O14295" s="14"/>
      <c r="P14295" s="13"/>
    </row>
    <row r="14296">
      <c r="L14296" s="13"/>
      <c r="M14296" s="14"/>
      <c r="N14296" s="14"/>
      <c r="O14296" s="14"/>
      <c r="P14296" s="13"/>
    </row>
    <row r="14297">
      <c r="L14297" s="13"/>
      <c r="M14297" s="14"/>
      <c r="N14297" s="14"/>
      <c r="O14297" s="14"/>
      <c r="P14297" s="13"/>
    </row>
    <row r="14298">
      <c r="L14298" s="13"/>
      <c r="M14298" s="14"/>
      <c r="N14298" s="14"/>
      <c r="O14298" s="14"/>
      <c r="P14298" s="13"/>
    </row>
    <row r="14299">
      <c r="L14299" s="13"/>
      <c r="M14299" s="14"/>
      <c r="N14299" s="14"/>
      <c r="O14299" s="14"/>
      <c r="P14299" s="13"/>
    </row>
    <row r="14300">
      <c r="L14300" s="13"/>
      <c r="M14300" s="14"/>
      <c r="N14300" s="14"/>
      <c r="O14300" s="14"/>
      <c r="P14300" s="13"/>
    </row>
    <row r="14301">
      <c r="L14301" s="13"/>
      <c r="M14301" s="14"/>
      <c r="N14301" s="14"/>
      <c r="O14301" s="14"/>
      <c r="P14301" s="13"/>
    </row>
    <row r="14302">
      <c r="L14302" s="13"/>
      <c r="M14302" s="14"/>
      <c r="N14302" s="14"/>
      <c r="O14302" s="14"/>
      <c r="P14302" s="13"/>
    </row>
    <row r="14303">
      <c r="L14303" s="13"/>
      <c r="M14303" s="14"/>
      <c r="N14303" s="14"/>
      <c r="O14303" s="14"/>
      <c r="P14303" s="13"/>
    </row>
    <row r="14304">
      <c r="L14304" s="13"/>
      <c r="M14304" s="14"/>
      <c r="N14304" s="14"/>
      <c r="O14304" s="14"/>
      <c r="P14304" s="13"/>
    </row>
    <row r="14305">
      <c r="L14305" s="13"/>
      <c r="M14305" s="14"/>
      <c r="N14305" s="14"/>
      <c r="O14305" s="14"/>
      <c r="P14305" s="13"/>
    </row>
    <row r="14306">
      <c r="L14306" s="13"/>
      <c r="M14306" s="14"/>
      <c r="N14306" s="14"/>
      <c r="O14306" s="14"/>
      <c r="P14306" s="13"/>
    </row>
    <row r="14307">
      <c r="L14307" s="13"/>
      <c r="M14307" s="14"/>
      <c r="N14307" s="14"/>
      <c r="O14307" s="14"/>
      <c r="P14307" s="13"/>
    </row>
    <row r="14308">
      <c r="L14308" s="13"/>
      <c r="M14308" s="14"/>
      <c r="N14308" s="14"/>
      <c r="O14308" s="14"/>
      <c r="P14308" s="13"/>
    </row>
    <row r="14309">
      <c r="L14309" s="13"/>
      <c r="M14309" s="14"/>
      <c r="N14309" s="14"/>
      <c r="O14309" s="14"/>
      <c r="P14309" s="13"/>
    </row>
    <row r="14310">
      <c r="L14310" s="13"/>
      <c r="M14310" s="14"/>
      <c r="N14310" s="14"/>
      <c r="O14310" s="14"/>
      <c r="P14310" s="13"/>
    </row>
    <row r="14311">
      <c r="L14311" s="13"/>
      <c r="M14311" s="14"/>
      <c r="N14311" s="14"/>
      <c r="O14311" s="14"/>
      <c r="P14311" s="13"/>
    </row>
    <row r="14312">
      <c r="L14312" s="13"/>
      <c r="M14312" s="14"/>
      <c r="N14312" s="14"/>
      <c r="O14312" s="14"/>
      <c r="P14312" s="13"/>
    </row>
    <row r="14313">
      <c r="L14313" s="13"/>
      <c r="M14313" s="14"/>
      <c r="N14313" s="14"/>
      <c r="O14313" s="14"/>
      <c r="P14313" s="13"/>
    </row>
    <row r="14314">
      <c r="L14314" s="13"/>
      <c r="M14314" s="14"/>
      <c r="N14314" s="14"/>
      <c r="O14314" s="14"/>
      <c r="P14314" s="13"/>
    </row>
    <row r="14315">
      <c r="L14315" s="13"/>
      <c r="M14315" s="14"/>
      <c r="N14315" s="14"/>
      <c r="O14315" s="14"/>
      <c r="P14315" s="13"/>
    </row>
    <row r="14316">
      <c r="L14316" s="13"/>
      <c r="M14316" s="14"/>
      <c r="N14316" s="14"/>
      <c r="O14316" s="14"/>
      <c r="P14316" s="13"/>
    </row>
    <row r="14317">
      <c r="L14317" s="13"/>
      <c r="M14317" s="14"/>
      <c r="N14317" s="14"/>
      <c r="O14317" s="14"/>
      <c r="P14317" s="13"/>
    </row>
    <row r="14318">
      <c r="L14318" s="13"/>
      <c r="M14318" s="14"/>
      <c r="N14318" s="14"/>
      <c r="O14318" s="14"/>
      <c r="P14318" s="13"/>
    </row>
    <row r="14319">
      <c r="L14319" s="13"/>
      <c r="M14319" s="14"/>
      <c r="N14319" s="14"/>
      <c r="O14319" s="14"/>
      <c r="P14319" s="13"/>
    </row>
    <row r="14320">
      <c r="L14320" s="13"/>
      <c r="M14320" s="14"/>
      <c r="N14320" s="14"/>
      <c r="O14320" s="14"/>
      <c r="P14320" s="13"/>
    </row>
    <row r="14321">
      <c r="L14321" s="13"/>
      <c r="M14321" s="14"/>
      <c r="N14321" s="14"/>
      <c r="O14321" s="14"/>
      <c r="P14321" s="13"/>
    </row>
    <row r="14322">
      <c r="L14322" s="13"/>
      <c r="M14322" s="14"/>
      <c r="N14322" s="14"/>
      <c r="O14322" s="14"/>
      <c r="P14322" s="13"/>
    </row>
    <row r="14323">
      <c r="L14323" s="13"/>
      <c r="M14323" s="14"/>
      <c r="N14323" s="14"/>
      <c r="O14323" s="14"/>
      <c r="P14323" s="13"/>
    </row>
    <row r="14324">
      <c r="L14324" s="13"/>
      <c r="M14324" s="14"/>
      <c r="N14324" s="14"/>
      <c r="O14324" s="14"/>
      <c r="P14324" s="13"/>
    </row>
    <row r="14325">
      <c r="L14325" s="13"/>
      <c r="M14325" s="14"/>
      <c r="N14325" s="14"/>
      <c r="O14325" s="14"/>
      <c r="P14325" s="13"/>
    </row>
    <row r="14326">
      <c r="L14326" s="13"/>
      <c r="M14326" s="14"/>
      <c r="N14326" s="14"/>
      <c r="O14326" s="14"/>
      <c r="P14326" s="13"/>
    </row>
    <row r="14327">
      <c r="L14327" s="13"/>
      <c r="M14327" s="14"/>
      <c r="N14327" s="14"/>
      <c r="O14327" s="14"/>
      <c r="P14327" s="13"/>
    </row>
    <row r="14328">
      <c r="L14328" s="13"/>
      <c r="M14328" s="14"/>
      <c r="N14328" s="14"/>
      <c r="O14328" s="14"/>
      <c r="P14328" s="13"/>
    </row>
    <row r="14329">
      <c r="L14329" s="13"/>
      <c r="M14329" s="14"/>
      <c r="N14329" s="14"/>
      <c r="O14329" s="14"/>
      <c r="P14329" s="13"/>
    </row>
    <row r="14330">
      <c r="L14330" s="13"/>
      <c r="M14330" s="14"/>
      <c r="N14330" s="14"/>
      <c r="O14330" s="14"/>
      <c r="P14330" s="13"/>
    </row>
    <row r="14331">
      <c r="L14331" s="13"/>
      <c r="M14331" s="14"/>
      <c r="N14331" s="14"/>
      <c r="O14331" s="14"/>
      <c r="P14331" s="13"/>
    </row>
    <row r="14332">
      <c r="L14332" s="13"/>
      <c r="M14332" s="14"/>
      <c r="N14332" s="14"/>
      <c r="O14332" s="14"/>
      <c r="P14332" s="13"/>
    </row>
    <row r="14333">
      <c r="L14333" s="13"/>
      <c r="M14333" s="14"/>
      <c r="N14333" s="14"/>
      <c r="O14333" s="14"/>
      <c r="P14333" s="13"/>
    </row>
    <row r="14334">
      <c r="L14334" s="13"/>
      <c r="M14334" s="14"/>
      <c r="N14334" s="14"/>
      <c r="O14334" s="14"/>
      <c r="P14334" s="13"/>
    </row>
    <row r="14335">
      <c r="L14335" s="13"/>
      <c r="M14335" s="14"/>
      <c r="N14335" s="14"/>
      <c r="O14335" s="14"/>
      <c r="P14335" s="13"/>
    </row>
    <row r="14336">
      <c r="L14336" s="13"/>
      <c r="M14336" s="14"/>
      <c r="N14336" s="14"/>
      <c r="O14336" s="14"/>
      <c r="P14336" s="13"/>
    </row>
    <row r="14337">
      <c r="L14337" s="13"/>
      <c r="M14337" s="14"/>
      <c r="N14337" s="14"/>
      <c r="O14337" s="14"/>
      <c r="P14337" s="13"/>
    </row>
    <row r="14338">
      <c r="L14338" s="13"/>
      <c r="M14338" s="14"/>
      <c r="N14338" s="14"/>
      <c r="O14338" s="14"/>
      <c r="P14338" s="13"/>
    </row>
    <row r="14339">
      <c r="L14339" s="13"/>
      <c r="M14339" s="14"/>
      <c r="N14339" s="14"/>
      <c r="O14339" s="14"/>
      <c r="P14339" s="13"/>
    </row>
    <row r="14340">
      <c r="L14340" s="13"/>
      <c r="M14340" s="14"/>
      <c r="N14340" s="14"/>
      <c r="O14340" s="14"/>
      <c r="P14340" s="13"/>
    </row>
    <row r="14341">
      <c r="L14341" s="13"/>
      <c r="M14341" s="14"/>
      <c r="N14341" s="14"/>
      <c r="O14341" s="14"/>
      <c r="P14341" s="13"/>
    </row>
    <row r="14342">
      <c r="L14342" s="13"/>
      <c r="M14342" s="14"/>
      <c r="N14342" s="14"/>
      <c r="O14342" s="14"/>
      <c r="P14342" s="13"/>
    </row>
    <row r="14343">
      <c r="L14343" s="13"/>
      <c r="M14343" s="14"/>
      <c r="N14343" s="14"/>
      <c r="O14343" s="14"/>
      <c r="P14343" s="13"/>
    </row>
    <row r="14344">
      <c r="L14344" s="13"/>
      <c r="M14344" s="14"/>
      <c r="N14344" s="14"/>
      <c r="O14344" s="14"/>
      <c r="P14344" s="13"/>
    </row>
    <row r="14345">
      <c r="L14345" s="13"/>
      <c r="M14345" s="14"/>
      <c r="N14345" s="14"/>
      <c r="O14345" s="14"/>
      <c r="P14345" s="13"/>
    </row>
    <row r="14346">
      <c r="L14346" s="13"/>
      <c r="M14346" s="14"/>
      <c r="N14346" s="14"/>
      <c r="O14346" s="14"/>
      <c r="P14346" s="13"/>
    </row>
    <row r="14347">
      <c r="L14347" s="13"/>
      <c r="M14347" s="14"/>
      <c r="N14347" s="14"/>
      <c r="O14347" s="14"/>
      <c r="P14347" s="13"/>
    </row>
    <row r="14348">
      <c r="L14348" s="13"/>
      <c r="M14348" s="14"/>
      <c r="N14348" s="14"/>
      <c r="O14348" s="14"/>
      <c r="P14348" s="13"/>
    </row>
    <row r="14349">
      <c r="L14349" s="13"/>
      <c r="M14349" s="14"/>
      <c r="N14349" s="14"/>
      <c r="O14349" s="14"/>
      <c r="P14349" s="13"/>
    </row>
    <row r="14350">
      <c r="L14350" s="13"/>
      <c r="M14350" s="14"/>
      <c r="N14350" s="14"/>
      <c r="O14350" s="14"/>
      <c r="P14350" s="13"/>
    </row>
    <row r="14351">
      <c r="L14351" s="13"/>
      <c r="M14351" s="14"/>
      <c r="N14351" s="14"/>
      <c r="O14351" s="14"/>
      <c r="P14351" s="13"/>
    </row>
    <row r="14352">
      <c r="L14352" s="13"/>
      <c r="M14352" s="14"/>
      <c r="N14352" s="14"/>
      <c r="O14352" s="14"/>
      <c r="P14352" s="13"/>
    </row>
    <row r="14353">
      <c r="L14353" s="13"/>
      <c r="M14353" s="14"/>
      <c r="N14353" s="14"/>
      <c r="O14353" s="14"/>
      <c r="P14353" s="13"/>
    </row>
    <row r="14354">
      <c r="L14354" s="13"/>
      <c r="M14354" s="14"/>
      <c r="N14354" s="14"/>
      <c r="O14354" s="14"/>
      <c r="P14354" s="13"/>
    </row>
    <row r="14355">
      <c r="L14355" s="13"/>
      <c r="M14355" s="14"/>
      <c r="N14355" s="14"/>
      <c r="O14355" s="14"/>
      <c r="P14355" s="13"/>
    </row>
    <row r="14356">
      <c r="L14356" s="13"/>
      <c r="M14356" s="14"/>
      <c r="N14356" s="14"/>
      <c r="O14356" s="14"/>
      <c r="P14356" s="13"/>
    </row>
    <row r="14357">
      <c r="L14357" s="13"/>
      <c r="M14357" s="14"/>
      <c r="N14357" s="14"/>
      <c r="O14357" s="14"/>
      <c r="P14357" s="13"/>
    </row>
    <row r="14358">
      <c r="L14358" s="13"/>
      <c r="M14358" s="14"/>
      <c r="N14358" s="14"/>
      <c r="O14358" s="14"/>
      <c r="P14358" s="13"/>
    </row>
    <row r="14359">
      <c r="L14359" s="13"/>
      <c r="M14359" s="14"/>
      <c r="N14359" s="14"/>
      <c r="O14359" s="14"/>
      <c r="P14359" s="13"/>
    </row>
    <row r="14360">
      <c r="L14360" s="13"/>
      <c r="M14360" s="14"/>
      <c r="N14360" s="14"/>
      <c r="O14360" s="14"/>
      <c r="P14360" s="13"/>
    </row>
    <row r="14361">
      <c r="L14361" s="13"/>
      <c r="M14361" s="14"/>
      <c r="N14361" s="14"/>
      <c r="O14361" s="14"/>
      <c r="P14361" s="13"/>
    </row>
    <row r="14362">
      <c r="L14362" s="13"/>
      <c r="M14362" s="14"/>
      <c r="N14362" s="14"/>
      <c r="O14362" s="14"/>
      <c r="P14362" s="13"/>
    </row>
    <row r="14363">
      <c r="L14363" s="13"/>
      <c r="M14363" s="14"/>
      <c r="N14363" s="14"/>
      <c r="O14363" s="14"/>
      <c r="P14363" s="13"/>
    </row>
    <row r="14364">
      <c r="L14364" s="13"/>
      <c r="M14364" s="14"/>
      <c r="N14364" s="14"/>
      <c r="O14364" s="14"/>
      <c r="P14364" s="13"/>
    </row>
    <row r="14365">
      <c r="L14365" s="13"/>
      <c r="M14365" s="14"/>
      <c r="N14365" s="14"/>
      <c r="O14365" s="14"/>
      <c r="P14365" s="13"/>
    </row>
    <row r="14366">
      <c r="L14366" s="13"/>
      <c r="M14366" s="14"/>
      <c r="N14366" s="14"/>
      <c r="O14366" s="14"/>
      <c r="P14366" s="13"/>
    </row>
    <row r="14367">
      <c r="L14367" s="13"/>
      <c r="M14367" s="14"/>
      <c r="N14367" s="14"/>
      <c r="O14367" s="14"/>
      <c r="P14367" s="13"/>
    </row>
    <row r="14368">
      <c r="L14368" s="13"/>
      <c r="M14368" s="14"/>
      <c r="N14368" s="14"/>
      <c r="O14368" s="14"/>
      <c r="P14368" s="13"/>
    </row>
    <row r="14369">
      <c r="L14369" s="13"/>
      <c r="M14369" s="14"/>
      <c r="N14369" s="14"/>
      <c r="O14369" s="14"/>
      <c r="P14369" s="13"/>
    </row>
    <row r="14370">
      <c r="L14370" s="13"/>
      <c r="M14370" s="14"/>
      <c r="N14370" s="14"/>
      <c r="O14370" s="14"/>
      <c r="P14370" s="13"/>
    </row>
    <row r="14371">
      <c r="L14371" s="13"/>
      <c r="M14371" s="14"/>
      <c r="N14371" s="14"/>
      <c r="O14371" s="14"/>
      <c r="P14371" s="13"/>
    </row>
    <row r="14372">
      <c r="L14372" s="13"/>
      <c r="M14372" s="14"/>
      <c r="N14372" s="14"/>
      <c r="O14372" s="14"/>
      <c r="P14372" s="13"/>
    </row>
    <row r="14373">
      <c r="L14373" s="13"/>
      <c r="M14373" s="14"/>
      <c r="N14373" s="14"/>
      <c r="O14373" s="14"/>
      <c r="P14373" s="13"/>
    </row>
    <row r="14374">
      <c r="L14374" s="13"/>
      <c r="M14374" s="14"/>
      <c r="N14374" s="14"/>
      <c r="O14374" s="14"/>
      <c r="P14374" s="13"/>
    </row>
    <row r="14375">
      <c r="L14375" s="13"/>
      <c r="M14375" s="14"/>
      <c r="N14375" s="14"/>
      <c r="O14375" s="14"/>
      <c r="P14375" s="13"/>
    </row>
    <row r="14376">
      <c r="L14376" s="13"/>
      <c r="M14376" s="14"/>
      <c r="N14376" s="14"/>
      <c r="O14376" s="14"/>
      <c r="P14376" s="13"/>
    </row>
    <row r="14377">
      <c r="L14377" s="13"/>
      <c r="M14377" s="14"/>
      <c r="N14377" s="14"/>
      <c r="O14377" s="14"/>
      <c r="P14377" s="13"/>
    </row>
    <row r="14378">
      <c r="L14378" s="13"/>
      <c r="M14378" s="14"/>
      <c r="N14378" s="14"/>
      <c r="O14378" s="14"/>
      <c r="P14378" s="13"/>
    </row>
    <row r="14379">
      <c r="L14379" s="13"/>
      <c r="M14379" s="14"/>
      <c r="N14379" s="14"/>
      <c r="O14379" s="14"/>
      <c r="P14379" s="13"/>
    </row>
    <row r="14380">
      <c r="L14380" s="13"/>
      <c r="M14380" s="14"/>
      <c r="N14380" s="14"/>
      <c r="O14380" s="14"/>
      <c r="P14380" s="13"/>
    </row>
    <row r="14381">
      <c r="L14381" s="13"/>
      <c r="M14381" s="14"/>
      <c r="N14381" s="14"/>
      <c r="O14381" s="14"/>
      <c r="P14381" s="13"/>
    </row>
    <row r="14382">
      <c r="L14382" s="13"/>
      <c r="M14382" s="14"/>
      <c r="N14382" s="14"/>
      <c r="O14382" s="14"/>
      <c r="P14382" s="13"/>
    </row>
    <row r="14383">
      <c r="L14383" s="13"/>
      <c r="M14383" s="14"/>
      <c r="N14383" s="14"/>
      <c r="O14383" s="14"/>
      <c r="P14383" s="13"/>
    </row>
    <row r="14384">
      <c r="L14384" s="13"/>
      <c r="M14384" s="14"/>
      <c r="N14384" s="14"/>
      <c r="O14384" s="14"/>
      <c r="P14384" s="13"/>
    </row>
    <row r="14385">
      <c r="L14385" s="13"/>
      <c r="M14385" s="14"/>
      <c r="N14385" s="14"/>
      <c r="O14385" s="14"/>
      <c r="P14385" s="13"/>
    </row>
    <row r="14386">
      <c r="L14386" s="13"/>
      <c r="M14386" s="14"/>
      <c r="N14386" s="14"/>
      <c r="O14386" s="14"/>
      <c r="P14386" s="13"/>
    </row>
    <row r="14387">
      <c r="L14387" s="13"/>
      <c r="M14387" s="14"/>
      <c r="N14387" s="14"/>
      <c r="O14387" s="14"/>
      <c r="P14387" s="13"/>
    </row>
    <row r="14388">
      <c r="L14388" s="13"/>
      <c r="M14388" s="14"/>
      <c r="N14388" s="14"/>
      <c r="O14388" s="14"/>
      <c r="P14388" s="13"/>
    </row>
    <row r="14389">
      <c r="L14389" s="13"/>
      <c r="M14389" s="14"/>
      <c r="N14389" s="14"/>
      <c r="O14389" s="14"/>
      <c r="P14389" s="13"/>
    </row>
    <row r="14390">
      <c r="L14390" s="13"/>
      <c r="M14390" s="14"/>
      <c r="N14390" s="14"/>
      <c r="O14390" s="14"/>
      <c r="P14390" s="13"/>
    </row>
    <row r="14391">
      <c r="L14391" s="13"/>
      <c r="M14391" s="14"/>
      <c r="N14391" s="14"/>
      <c r="O14391" s="14"/>
      <c r="P14391" s="13"/>
    </row>
    <row r="14392">
      <c r="L14392" s="13"/>
      <c r="M14392" s="14"/>
      <c r="N14392" s="14"/>
      <c r="O14392" s="14"/>
      <c r="P14392" s="13"/>
    </row>
    <row r="14393">
      <c r="L14393" s="13"/>
      <c r="M14393" s="14"/>
      <c r="N14393" s="14"/>
      <c r="O14393" s="14"/>
      <c r="P14393" s="13"/>
    </row>
    <row r="14394">
      <c r="L14394" s="13"/>
      <c r="M14394" s="14"/>
      <c r="N14394" s="14"/>
      <c r="O14394" s="14"/>
      <c r="P14394" s="13"/>
    </row>
    <row r="14395">
      <c r="L14395" s="13"/>
      <c r="M14395" s="14"/>
      <c r="N14395" s="14"/>
      <c r="O14395" s="14"/>
      <c r="P14395" s="13"/>
    </row>
    <row r="14396">
      <c r="L14396" s="13"/>
      <c r="M14396" s="14"/>
      <c r="N14396" s="14"/>
      <c r="O14396" s="14"/>
      <c r="P14396" s="13"/>
    </row>
    <row r="14397">
      <c r="L14397" s="13"/>
      <c r="M14397" s="14"/>
      <c r="N14397" s="14"/>
      <c r="O14397" s="14"/>
      <c r="P14397" s="13"/>
    </row>
    <row r="14398">
      <c r="L14398" s="13"/>
      <c r="M14398" s="14"/>
      <c r="N14398" s="14"/>
      <c r="O14398" s="14"/>
      <c r="P14398" s="13"/>
    </row>
    <row r="14399">
      <c r="L14399" s="13"/>
      <c r="M14399" s="14"/>
      <c r="N14399" s="14"/>
      <c r="O14399" s="14"/>
      <c r="P14399" s="13"/>
    </row>
    <row r="14400">
      <c r="L14400" s="13"/>
      <c r="M14400" s="14"/>
      <c r="N14400" s="14"/>
      <c r="O14400" s="14"/>
      <c r="P14400" s="13"/>
    </row>
    <row r="14401">
      <c r="L14401" s="13"/>
      <c r="M14401" s="14"/>
      <c r="N14401" s="14"/>
      <c r="O14401" s="14"/>
      <c r="P14401" s="13"/>
    </row>
    <row r="14402">
      <c r="L14402" s="13"/>
      <c r="M14402" s="14"/>
      <c r="N14402" s="14"/>
      <c r="O14402" s="14"/>
      <c r="P14402" s="13"/>
    </row>
    <row r="14403">
      <c r="L14403" s="13"/>
      <c r="M14403" s="14"/>
      <c r="N14403" s="14"/>
      <c r="O14403" s="14"/>
      <c r="P14403" s="13"/>
    </row>
    <row r="14404">
      <c r="L14404" s="13"/>
      <c r="M14404" s="14"/>
      <c r="N14404" s="14"/>
      <c r="O14404" s="14"/>
      <c r="P14404" s="13"/>
    </row>
    <row r="14405">
      <c r="L14405" s="13"/>
      <c r="M14405" s="14"/>
      <c r="N14405" s="14"/>
      <c r="O14405" s="14"/>
      <c r="P14405" s="13"/>
    </row>
    <row r="14406">
      <c r="L14406" s="13"/>
      <c r="M14406" s="14"/>
      <c r="N14406" s="14"/>
      <c r="O14406" s="14"/>
      <c r="P14406" s="13"/>
    </row>
    <row r="14407">
      <c r="L14407" s="13"/>
      <c r="M14407" s="14"/>
      <c r="N14407" s="14"/>
      <c r="O14407" s="14"/>
      <c r="P14407" s="13"/>
    </row>
    <row r="14408">
      <c r="L14408" s="13"/>
      <c r="M14408" s="14"/>
      <c r="N14408" s="14"/>
      <c r="O14408" s="14"/>
      <c r="P14408" s="13"/>
    </row>
    <row r="14409">
      <c r="L14409" s="13"/>
      <c r="M14409" s="14"/>
      <c r="N14409" s="14"/>
      <c r="O14409" s="14"/>
      <c r="P14409" s="13"/>
    </row>
    <row r="14410">
      <c r="L14410" s="13"/>
      <c r="M14410" s="14"/>
      <c r="N14410" s="14"/>
      <c r="O14410" s="14"/>
      <c r="P14410" s="13"/>
    </row>
    <row r="14411">
      <c r="L14411" s="13"/>
      <c r="M14411" s="14"/>
      <c r="N14411" s="14"/>
      <c r="O14411" s="14"/>
      <c r="P14411" s="13"/>
    </row>
    <row r="14412">
      <c r="L14412" s="13"/>
      <c r="M14412" s="14"/>
      <c r="N14412" s="14"/>
      <c r="O14412" s="14"/>
      <c r="P14412" s="13"/>
    </row>
    <row r="14413">
      <c r="L14413" s="13"/>
      <c r="M14413" s="14"/>
      <c r="N14413" s="14"/>
      <c r="O14413" s="14"/>
      <c r="P14413" s="13"/>
    </row>
    <row r="14414">
      <c r="L14414" s="13"/>
      <c r="M14414" s="14"/>
      <c r="N14414" s="14"/>
      <c r="O14414" s="14"/>
      <c r="P14414" s="13"/>
    </row>
    <row r="14415">
      <c r="L14415" s="13"/>
      <c r="M14415" s="14"/>
      <c r="N14415" s="14"/>
      <c r="O14415" s="14"/>
      <c r="P14415" s="13"/>
    </row>
    <row r="14416">
      <c r="L14416" s="13"/>
      <c r="M14416" s="14"/>
      <c r="N14416" s="14"/>
      <c r="O14416" s="14"/>
      <c r="P14416" s="13"/>
    </row>
    <row r="14417">
      <c r="L14417" s="13"/>
      <c r="M14417" s="14"/>
      <c r="N14417" s="14"/>
      <c r="O14417" s="14"/>
      <c r="P14417" s="13"/>
    </row>
    <row r="14418">
      <c r="L14418" s="13"/>
      <c r="M14418" s="14"/>
      <c r="N14418" s="14"/>
      <c r="O14418" s="14"/>
      <c r="P14418" s="13"/>
    </row>
    <row r="14419">
      <c r="L14419" s="13"/>
      <c r="M14419" s="14"/>
      <c r="N14419" s="14"/>
      <c r="O14419" s="14"/>
      <c r="P14419" s="13"/>
    </row>
    <row r="14420">
      <c r="L14420" s="13"/>
      <c r="M14420" s="14"/>
      <c r="N14420" s="14"/>
      <c r="O14420" s="14"/>
      <c r="P14420" s="13"/>
    </row>
    <row r="14421">
      <c r="L14421" s="13"/>
      <c r="M14421" s="14"/>
      <c r="N14421" s="14"/>
      <c r="O14421" s="14"/>
      <c r="P14421" s="13"/>
    </row>
    <row r="14422">
      <c r="L14422" s="13"/>
      <c r="M14422" s="14"/>
      <c r="N14422" s="14"/>
      <c r="O14422" s="14"/>
      <c r="P14422" s="13"/>
    </row>
    <row r="14423">
      <c r="L14423" s="13"/>
      <c r="M14423" s="14"/>
      <c r="N14423" s="14"/>
      <c r="O14423" s="14"/>
      <c r="P14423" s="13"/>
    </row>
    <row r="14424">
      <c r="L14424" s="13"/>
      <c r="M14424" s="14"/>
      <c r="N14424" s="14"/>
      <c r="O14424" s="14"/>
      <c r="P14424" s="13"/>
    </row>
    <row r="14425">
      <c r="L14425" s="13"/>
      <c r="M14425" s="14"/>
      <c r="N14425" s="14"/>
      <c r="O14425" s="14"/>
      <c r="P14425" s="13"/>
    </row>
    <row r="14426">
      <c r="L14426" s="13"/>
      <c r="M14426" s="14"/>
      <c r="N14426" s="14"/>
      <c r="O14426" s="14"/>
      <c r="P14426" s="13"/>
    </row>
    <row r="14427">
      <c r="L14427" s="13"/>
      <c r="M14427" s="14"/>
      <c r="N14427" s="14"/>
      <c r="O14427" s="14"/>
      <c r="P14427" s="13"/>
    </row>
    <row r="14428">
      <c r="L14428" s="13"/>
      <c r="M14428" s="14"/>
      <c r="N14428" s="14"/>
      <c r="O14428" s="14"/>
      <c r="P14428" s="13"/>
    </row>
    <row r="14429">
      <c r="L14429" s="13"/>
      <c r="M14429" s="14"/>
      <c r="N14429" s="14"/>
      <c r="O14429" s="14"/>
      <c r="P14429" s="13"/>
    </row>
    <row r="14430">
      <c r="L14430" s="13"/>
      <c r="M14430" s="14"/>
      <c r="N14430" s="14"/>
      <c r="O14430" s="14"/>
      <c r="P14430" s="13"/>
    </row>
    <row r="14431">
      <c r="L14431" s="13"/>
      <c r="M14431" s="14"/>
      <c r="N14431" s="14"/>
      <c r="O14431" s="14"/>
      <c r="P14431" s="13"/>
    </row>
    <row r="14432">
      <c r="L14432" s="13"/>
      <c r="M14432" s="14"/>
      <c r="N14432" s="14"/>
      <c r="O14432" s="14"/>
      <c r="P14432" s="13"/>
    </row>
    <row r="14433">
      <c r="L14433" s="13"/>
      <c r="M14433" s="14"/>
      <c r="N14433" s="14"/>
      <c r="O14433" s="14"/>
      <c r="P14433" s="13"/>
    </row>
    <row r="14434">
      <c r="L14434" s="13"/>
      <c r="M14434" s="14"/>
      <c r="N14434" s="14"/>
      <c r="O14434" s="14"/>
      <c r="P14434" s="13"/>
    </row>
    <row r="14435">
      <c r="L14435" s="13"/>
      <c r="M14435" s="14"/>
      <c r="N14435" s="14"/>
      <c r="O14435" s="14"/>
      <c r="P14435" s="13"/>
    </row>
    <row r="14436">
      <c r="L14436" s="13"/>
      <c r="M14436" s="14"/>
      <c r="N14436" s="14"/>
      <c r="O14436" s="14"/>
      <c r="P14436" s="13"/>
    </row>
    <row r="14437">
      <c r="L14437" s="13"/>
      <c r="M14437" s="14"/>
      <c r="N14437" s="14"/>
      <c r="O14437" s="14"/>
      <c r="P14437" s="13"/>
    </row>
    <row r="14438">
      <c r="L14438" s="13"/>
      <c r="M14438" s="14"/>
      <c r="N14438" s="14"/>
      <c r="O14438" s="14"/>
      <c r="P14438" s="13"/>
    </row>
    <row r="14439">
      <c r="L14439" s="13"/>
      <c r="M14439" s="14"/>
      <c r="N14439" s="14"/>
      <c r="O14439" s="14"/>
      <c r="P14439" s="13"/>
    </row>
    <row r="14440">
      <c r="L14440" s="13"/>
      <c r="M14440" s="14"/>
      <c r="N14440" s="14"/>
      <c r="O14440" s="14"/>
      <c r="P14440" s="13"/>
    </row>
    <row r="14441">
      <c r="L14441" s="13"/>
      <c r="M14441" s="14"/>
      <c r="N14441" s="14"/>
      <c r="O14441" s="14"/>
      <c r="P14441" s="13"/>
    </row>
    <row r="14442">
      <c r="L14442" s="13"/>
      <c r="M14442" s="14"/>
      <c r="N14442" s="14"/>
      <c r="O14442" s="14"/>
      <c r="P14442" s="13"/>
    </row>
    <row r="14443">
      <c r="L14443" s="13"/>
      <c r="M14443" s="14"/>
      <c r="N14443" s="14"/>
      <c r="O14443" s="14"/>
      <c r="P14443" s="13"/>
    </row>
    <row r="14444">
      <c r="L14444" s="13"/>
      <c r="M14444" s="14"/>
      <c r="N14444" s="14"/>
      <c r="O14444" s="14"/>
      <c r="P14444" s="13"/>
    </row>
    <row r="14445">
      <c r="L14445" s="13"/>
      <c r="M14445" s="14"/>
      <c r="N14445" s="14"/>
      <c r="O14445" s="14"/>
      <c r="P14445" s="13"/>
    </row>
    <row r="14446">
      <c r="L14446" s="13"/>
      <c r="M14446" s="14"/>
      <c r="N14446" s="14"/>
      <c r="O14446" s="14"/>
      <c r="P14446" s="13"/>
    </row>
    <row r="14447">
      <c r="L14447" s="13"/>
      <c r="M14447" s="14"/>
      <c r="N14447" s="14"/>
      <c r="O14447" s="14"/>
      <c r="P14447" s="13"/>
    </row>
    <row r="14448">
      <c r="L14448" s="13"/>
      <c r="M14448" s="14"/>
      <c r="N14448" s="14"/>
      <c r="O14448" s="14"/>
      <c r="P14448" s="13"/>
    </row>
    <row r="14449">
      <c r="L14449" s="13"/>
      <c r="M14449" s="14"/>
      <c r="N14449" s="14"/>
      <c r="O14449" s="14"/>
      <c r="P14449" s="13"/>
    </row>
    <row r="14450">
      <c r="L14450" s="13"/>
      <c r="M14450" s="14"/>
      <c r="N14450" s="14"/>
      <c r="O14450" s="14"/>
      <c r="P14450" s="13"/>
    </row>
    <row r="14451">
      <c r="L14451" s="13"/>
      <c r="M14451" s="14"/>
      <c r="N14451" s="14"/>
      <c r="O14451" s="14"/>
      <c r="P14451" s="13"/>
    </row>
    <row r="14452">
      <c r="L14452" s="13"/>
      <c r="M14452" s="14"/>
      <c r="N14452" s="14"/>
      <c r="O14452" s="14"/>
      <c r="P14452" s="13"/>
    </row>
    <row r="14453">
      <c r="L14453" s="13"/>
      <c r="M14453" s="14"/>
      <c r="N14453" s="14"/>
      <c r="O14453" s="14"/>
      <c r="P14453" s="13"/>
    </row>
    <row r="14454">
      <c r="L14454" s="13"/>
      <c r="M14454" s="14"/>
      <c r="N14454" s="14"/>
      <c r="O14454" s="14"/>
      <c r="P14454" s="13"/>
    </row>
    <row r="14455">
      <c r="L14455" s="13"/>
      <c r="M14455" s="14"/>
      <c r="N14455" s="14"/>
      <c r="O14455" s="14"/>
      <c r="P14455" s="13"/>
    </row>
    <row r="14456">
      <c r="L14456" s="13"/>
      <c r="M14456" s="14"/>
      <c r="N14456" s="14"/>
      <c r="O14456" s="14"/>
      <c r="P14456" s="13"/>
    </row>
    <row r="14457">
      <c r="L14457" s="13"/>
      <c r="M14457" s="14"/>
      <c r="N14457" s="14"/>
      <c r="O14457" s="14"/>
      <c r="P14457" s="13"/>
    </row>
    <row r="14458">
      <c r="L14458" s="13"/>
      <c r="M14458" s="14"/>
      <c r="N14458" s="14"/>
      <c r="O14458" s="14"/>
      <c r="P14458" s="13"/>
    </row>
    <row r="14459">
      <c r="L14459" s="13"/>
      <c r="M14459" s="14"/>
      <c r="N14459" s="14"/>
      <c r="O14459" s="14"/>
      <c r="P14459" s="13"/>
    </row>
    <row r="14460">
      <c r="L14460" s="13"/>
      <c r="M14460" s="14"/>
      <c r="N14460" s="14"/>
      <c r="O14460" s="14"/>
      <c r="P14460" s="13"/>
    </row>
    <row r="14461">
      <c r="L14461" s="13"/>
      <c r="M14461" s="14"/>
      <c r="N14461" s="14"/>
      <c r="O14461" s="14"/>
      <c r="P14461" s="13"/>
    </row>
    <row r="14462">
      <c r="L14462" s="13"/>
      <c r="M14462" s="14"/>
      <c r="N14462" s="14"/>
      <c r="O14462" s="14"/>
      <c r="P14462" s="13"/>
    </row>
    <row r="14463">
      <c r="L14463" s="13"/>
      <c r="M14463" s="14"/>
      <c r="N14463" s="14"/>
      <c r="O14463" s="14"/>
      <c r="P14463" s="13"/>
    </row>
    <row r="14464">
      <c r="L14464" s="13"/>
      <c r="M14464" s="14"/>
      <c r="N14464" s="14"/>
      <c r="O14464" s="14"/>
      <c r="P14464" s="13"/>
    </row>
    <row r="14465">
      <c r="L14465" s="13"/>
      <c r="M14465" s="14"/>
      <c r="N14465" s="14"/>
      <c r="O14465" s="14"/>
      <c r="P14465" s="13"/>
    </row>
    <row r="14466">
      <c r="L14466" s="13"/>
      <c r="M14466" s="14"/>
      <c r="N14466" s="14"/>
      <c r="O14466" s="14"/>
      <c r="P14466" s="13"/>
    </row>
    <row r="14467">
      <c r="L14467" s="13"/>
      <c r="M14467" s="14"/>
      <c r="N14467" s="14"/>
      <c r="O14467" s="14"/>
      <c r="P14467" s="13"/>
    </row>
    <row r="14468">
      <c r="L14468" s="13"/>
      <c r="M14468" s="14"/>
      <c r="N14468" s="14"/>
      <c r="O14468" s="14"/>
      <c r="P14468" s="13"/>
    </row>
    <row r="14469">
      <c r="L14469" s="13"/>
      <c r="M14469" s="14"/>
      <c r="N14469" s="14"/>
      <c r="O14469" s="14"/>
      <c r="P14469" s="13"/>
    </row>
    <row r="14470">
      <c r="L14470" s="13"/>
      <c r="M14470" s="14"/>
      <c r="N14470" s="14"/>
      <c r="O14470" s="14"/>
      <c r="P14470" s="13"/>
    </row>
    <row r="14471">
      <c r="L14471" s="13"/>
      <c r="M14471" s="14"/>
      <c r="N14471" s="14"/>
      <c r="O14471" s="14"/>
      <c r="P14471" s="13"/>
    </row>
    <row r="14472">
      <c r="L14472" s="13"/>
      <c r="M14472" s="14"/>
      <c r="N14472" s="14"/>
      <c r="O14472" s="14"/>
      <c r="P14472" s="13"/>
    </row>
    <row r="14473">
      <c r="L14473" s="13"/>
      <c r="M14473" s="14"/>
      <c r="N14473" s="14"/>
      <c r="O14473" s="14"/>
      <c r="P14473" s="13"/>
    </row>
    <row r="14474">
      <c r="L14474" s="13"/>
      <c r="M14474" s="14"/>
      <c r="N14474" s="14"/>
      <c r="O14474" s="14"/>
      <c r="P14474" s="13"/>
    </row>
    <row r="14475">
      <c r="L14475" s="13"/>
      <c r="M14475" s="14"/>
      <c r="N14475" s="14"/>
      <c r="O14475" s="14"/>
      <c r="P14475" s="13"/>
    </row>
    <row r="14476">
      <c r="L14476" s="13"/>
      <c r="M14476" s="14"/>
      <c r="N14476" s="14"/>
      <c r="O14476" s="14"/>
      <c r="P14476" s="13"/>
    </row>
    <row r="14477">
      <c r="L14477" s="13"/>
      <c r="M14477" s="14"/>
      <c r="N14477" s="14"/>
      <c r="O14477" s="14"/>
      <c r="P14477" s="13"/>
    </row>
    <row r="14478">
      <c r="L14478" s="13"/>
      <c r="M14478" s="14"/>
      <c r="N14478" s="14"/>
      <c r="O14478" s="14"/>
      <c r="P14478" s="13"/>
    </row>
    <row r="14479">
      <c r="L14479" s="13"/>
      <c r="M14479" s="14"/>
      <c r="N14479" s="14"/>
      <c r="O14479" s="14"/>
      <c r="P14479" s="13"/>
    </row>
    <row r="14480">
      <c r="L14480" s="13"/>
      <c r="M14480" s="14"/>
      <c r="N14480" s="14"/>
      <c r="O14480" s="14"/>
      <c r="P14480" s="13"/>
    </row>
    <row r="14481">
      <c r="L14481" s="13"/>
      <c r="M14481" s="14"/>
      <c r="N14481" s="14"/>
      <c r="O14481" s="14"/>
      <c r="P14481" s="13"/>
    </row>
    <row r="14482">
      <c r="L14482" s="13"/>
      <c r="M14482" s="14"/>
      <c r="N14482" s="14"/>
      <c r="O14482" s="14"/>
      <c r="P14482" s="13"/>
    </row>
    <row r="14483">
      <c r="L14483" s="13"/>
      <c r="M14483" s="14"/>
      <c r="N14483" s="14"/>
      <c r="O14483" s="14"/>
      <c r="P14483" s="13"/>
    </row>
    <row r="14484">
      <c r="L14484" s="13"/>
      <c r="M14484" s="14"/>
      <c r="N14484" s="14"/>
      <c r="O14484" s="14"/>
      <c r="P14484" s="13"/>
    </row>
    <row r="14485">
      <c r="L14485" s="13"/>
      <c r="M14485" s="14"/>
      <c r="N14485" s="14"/>
      <c r="O14485" s="14"/>
      <c r="P14485" s="13"/>
    </row>
    <row r="14486">
      <c r="L14486" s="13"/>
      <c r="M14486" s="14"/>
      <c r="N14486" s="14"/>
      <c r="O14486" s="14"/>
      <c r="P14486" s="13"/>
    </row>
    <row r="14487">
      <c r="L14487" s="13"/>
      <c r="M14487" s="14"/>
      <c r="N14487" s="14"/>
      <c r="O14487" s="14"/>
      <c r="P14487" s="13"/>
    </row>
    <row r="14488">
      <c r="L14488" s="13"/>
      <c r="M14488" s="14"/>
      <c r="N14488" s="14"/>
      <c r="O14488" s="14"/>
      <c r="P14488" s="13"/>
    </row>
    <row r="14489">
      <c r="L14489" s="13"/>
      <c r="M14489" s="14"/>
      <c r="N14489" s="14"/>
      <c r="O14489" s="14"/>
      <c r="P14489" s="13"/>
    </row>
    <row r="14490">
      <c r="L14490" s="13"/>
      <c r="M14490" s="14"/>
      <c r="N14490" s="14"/>
      <c r="O14490" s="14"/>
      <c r="P14490" s="13"/>
    </row>
    <row r="14491">
      <c r="L14491" s="13"/>
      <c r="M14491" s="14"/>
      <c r="N14491" s="14"/>
      <c r="O14491" s="14"/>
      <c r="P14491" s="13"/>
    </row>
    <row r="14492">
      <c r="L14492" s="13"/>
      <c r="M14492" s="14"/>
      <c r="N14492" s="14"/>
      <c r="O14492" s="14"/>
      <c r="P14492" s="13"/>
    </row>
    <row r="14493">
      <c r="L14493" s="13"/>
      <c r="M14493" s="14"/>
      <c r="N14493" s="14"/>
      <c r="O14493" s="14"/>
      <c r="P14493" s="13"/>
    </row>
    <row r="14494">
      <c r="L14494" s="13"/>
      <c r="M14494" s="14"/>
      <c r="N14494" s="14"/>
      <c r="O14494" s="14"/>
      <c r="P14494" s="13"/>
    </row>
    <row r="14495">
      <c r="L14495" s="13"/>
      <c r="M14495" s="14"/>
      <c r="N14495" s="14"/>
      <c r="O14495" s="14"/>
      <c r="P14495" s="13"/>
    </row>
    <row r="14496">
      <c r="L14496" s="13"/>
      <c r="M14496" s="14"/>
      <c r="N14496" s="14"/>
      <c r="O14496" s="14"/>
      <c r="P14496" s="13"/>
    </row>
    <row r="14497">
      <c r="L14497" s="13"/>
      <c r="M14497" s="14"/>
      <c r="N14497" s="14"/>
      <c r="O14497" s="14"/>
      <c r="P14497" s="13"/>
    </row>
    <row r="14498">
      <c r="L14498" s="13"/>
      <c r="M14498" s="14"/>
      <c r="N14498" s="14"/>
      <c r="O14498" s="14"/>
      <c r="P14498" s="13"/>
    </row>
    <row r="14499">
      <c r="L14499" s="13"/>
      <c r="M14499" s="14"/>
      <c r="N14499" s="14"/>
      <c r="O14499" s="14"/>
      <c r="P14499" s="13"/>
    </row>
    <row r="14500">
      <c r="L14500" s="13"/>
      <c r="M14500" s="14"/>
      <c r="N14500" s="14"/>
      <c r="O14500" s="14"/>
      <c r="P14500" s="13"/>
    </row>
    <row r="14501">
      <c r="L14501" s="13"/>
      <c r="M14501" s="14"/>
      <c r="N14501" s="14"/>
      <c r="O14501" s="14"/>
      <c r="P14501" s="13"/>
    </row>
    <row r="14502">
      <c r="L14502" s="13"/>
      <c r="M14502" s="14"/>
      <c r="N14502" s="14"/>
      <c r="O14502" s="14"/>
      <c r="P14502" s="13"/>
    </row>
    <row r="14503">
      <c r="L14503" s="13"/>
      <c r="M14503" s="14"/>
      <c r="N14503" s="14"/>
      <c r="O14503" s="14"/>
      <c r="P14503" s="13"/>
    </row>
    <row r="14504">
      <c r="L14504" s="13"/>
      <c r="M14504" s="14"/>
      <c r="N14504" s="14"/>
      <c r="O14504" s="14"/>
      <c r="P14504" s="13"/>
    </row>
    <row r="14505">
      <c r="L14505" s="13"/>
      <c r="M14505" s="14"/>
      <c r="N14505" s="14"/>
      <c r="O14505" s="14"/>
      <c r="P14505" s="13"/>
    </row>
    <row r="14506">
      <c r="L14506" s="13"/>
      <c r="M14506" s="14"/>
      <c r="N14506" s="14"/>
      <c r="O14506" s="14"/>
      <c r="P14506" s="13"/>
    </row>
    <row r="14507">
      <c r="L14507" s="13"/>
      <c r="M14507" s="14"/>
      <c r="N14507" s="14"/>
      <c r="O14507" s="14"/>
      <c r="P14507" s="13"/>
    </row>
    <row r="14508">
      <c r="L14508" s="13"/>
      <c r="M14508" s="14"/>
      <c r="N14508" s="14"/>
      <c r="O14508" s="14"/>
      <c r="P14508" s="13"/>
    </row>
    <row r="14509">
      <c r="L14509" s="13"/>
      <c r="M14509" s="14"/>
      <c r="N14509" s="14"/>
      <c r="O14509" s="14"/>
      <c r="P14509" s="13"/>
    </row>
    <row r="14510">
      <c r="L14510" s="13"/>
      <c r="M14510" s="14"/>
      <c r="N14510" s="14"/>
      <c r="O14510" s="14"/>
      <c r="P14510" s="13"/>
    </row>
    <row r="14511">
      <c r="L14511" s="13"/>
      <c r="M14511" s="14"/>
      <c r="N14511" s="14"/>
      <c r="O14511" s="14"/>
      <c r="P14511" s="13"/>
    </row>
    <row r="14512">
      <c r="L14512" s="13"/>
      <c r="M14512" s="14"/>
      <c r="N14512" s="14"/>
      <c r="O14512" s="14"/>
      <c r="P14512" s="13"/>
    </row>
    <row r="14513">
      <c r="L14513" s="13"/>
      <c r="M14513" s="14"/>
      <c r="N14513" s="14"/>
      <c r="O14513" s="14"/>
      <c r="P14513" s="13"/>
    </row>
    <row r="14514">
      <c r="L14514" s="13"/>
      <c r="M14514" s="14"/>
      <c r="N14514" s="14"/>
      <c r="O14514" s="14"/>
      <c r="P14514" s="13"/>
    </row>
    <row r="14515">
      <c r="L14515" s="13"/>
      <c r="M14515" s="14"/>
      <c r="N14515" s="14"/>
      <c r="O14515" s="14"/>
      <c r="P14515" s="13"/>
    </row>
    <row r="14516">
      <c r="L14516" s="13"/>
      <c r="M14516" s="14"/>
      <c r="N14516" s="14"/>
      <c r="O14516" s="14"/>
      <c r="P14516" s="13"/>
    </row>
    <row r="14517">
      <c r="L14517" s="13"/>
      <c r="M14517" s="14"/>
      <c r="N14517" s="14"/>
      <c r="O14517" s="14"/>
      <c r="P14517" s="13"/>
    </row>
    <row r="14518">
      <c r="L14518" s="13"/>
      <c r="M14518" s="14"/>
      <c r="N14518" s="14"/>
      <c r="O14518" s="14"/>
      <c r="P14518" s="13"/>
    </row>
    <row r="14519">
      <c r="L14519" s="13"/>
      <c r="M14519" s="14"/>
      <c r="N14519" s="14"/>
      <c r="O14519" s="14"/>
      <c r="P14519" s="13"/>
    </row>
    <row r="14520">
      <c r="L14520" s="13"/>
      <c r="M14520" s="14"/>
      <c r="N14520" s="14"/>
      <c r="O14520" s="14"/>
      <c r="P14520" s="13"/>
    </row>
    <row r="14521">
      <c r="L14521" s="13"/>
      <c r="M14521" s="14"/>
      <c r="N14521" s="14"/>
      <c r="O14521" s="14"/>
      <c r="P14521" s="13"/>
    </row>
    <row r="14522">
      <c r="L14522" s="13"/>
      <c r="M14522" s="14"/>
      <c r="N14522" s="14"/>
      <c r="O14522" s="14"/>
      <c r="P14522" s="13"/>
    </row>
    <row r="14523">
      <c r="L14523" s="13"/>
      <c r="M14523" s="14"/>
      <c r="N14523" s="14"/>
      <c r="O14523" s="14"/>
      <c r="P14523" s="13"/>
    </row>
    <row r="14524">
      <c r="L14524" s="13"/>
      <c r="M14524" s="14"/>
      <c r="N14524" s="14"/>
      <c r="O14524" s="14"/>
      <c r="P14524" s="13"/>
    </row>
    <row r="14525">
      <c r="L14525" s="13"/>
      <c r="M14525" s="14"/>
      <c r="N14525" s="14"/>
      <c r="O14525" s="14"/>
      <c r="P14525" s="13"/>
    </row>
    <row r="14526">
      <c r="L14526" s="13"/>
      <c r="M14526" s="14"/>
      <c r="N14526" s="14"/>
      <c r="O14526" s="14"/>
      <c r="P14526" s="13"/>
    </row>
    <row r="14527">
      <c r="L14527" s="13"/>
      <c r="M14527" s="14"/>
      <c r="N14527" s="14"/>
      <c r="O14527" s="14"/>
      <c r="P14527" s="13"/>
    </row>
    <row r="14528">
      <c r="L14528" s="13"/>
      <c r="M14528" s="14"/>
      <c r="N14528" s="14"/>
      <c r="O14528" s="14"/>
      <c r="P14528" s="13"/>
    </row>
    <row r="14529">
      <c r="L14529" s="13"/>
      <c r="M14529" s="14"/>
      <c r="N14529" s="14"/>
      <c r="O14529" s="14"/>
      <c r="P14529" s="13"/>
    </row>
    <row r="14530">
      <c r="L14530" s="13"/>
      <c r="M14530" s="14"/>
      <c r="N14530" s="14"/>
      <c r="O14530" s="14"/>
      <c r="P14530" s="13"/>
    </row>
    <row r="14531">
      <c r="L14531" s="13"/>
      <c r="M14531" s="14"/>
      <c r="N14531" s="14"/>
      <c r="O14531" s="14"/>
      <c r="P14531" s="13"/>
    </row>
    <row r="14532">
      <c r="L14532" s="13"/>
      <c r="M14532" s="14"/>
      <c r="N14532" s="14"/>
      <c r="O14532" s="14"/>
      <c r="P14532" s="13"/>
    </row>
    <row r="14533">
      <c r="L14533" s="13"/>
      <c r="M14533" s="14"/>
      <c r="N14533" s="14"/>
      <c r="O14533" s="14"/>
      <c r="P14533" s="13"/>
    </row>
    <row r="14534">
      <c r="L14534" s="13"/>
      <c r="M14534" s="14"/>
      <c r="N14534" s="14"/>
      <c r="O14534" s="14"/>
      <c r="P14534" s="13"/>
    </row>
    <row r="14535">
      <c r="L14535" s="13"/>
      <c r="M14535" s="14"/>
      <c r="N14535" s="14"/>
      <c r="O14535" s="14"/>
      <c r="P14535" s="13"/>
    </row>
    <row r="14536">
      <c r="L14536" s="13"/>
      <c r="M14536" s="14"/>
      <c r="N14536" s="14"/>
      <c r="O14536" s="14"/>
      <c r="P14536" s="13"/>
    </row>
    <row r="14537">
      <c r="L14537" s="13"/>
      <c r="M14537" s="14"/>
      <c r="N14537" s="14"/>
      <c r="O14537" s="14"/>
      <c r="P14537" s="13"/>
    </row>
    <row r="14538">
      <c r="L14538" s="13"/>
      <c r="M14538" s="14"/>
      <c r="N14538" s="14"/>
      <c r="O14538" s="14"/>
      <c r="P14538" s="13"/>
    </row>
    <row r="14539">
      <c r="L14539" s="13"/>
      <c r="M14539" s="14"/>
      <c r="N14539" s="14"/>
      <c r="O14539" s="14"/>
      <c r="P14539" s="13"/>
    </row>
    <row r="14540">
      <c r="L14540" s="13"/>
      <c r="M14540" s="14"/>
      <c r="N14540" s="14"/>
      <c r="O14540" s="14"/>
      <c r="P14540" s="13"/>
    </row>
    <row r="14541">
      <c r="L14541" s="13"/>
      <c r="M14541" s="14"/>
      <c r="N14541" s="14"/>
      <c r="O14541" s="14"/>
      <c r="P14541" s="13"/>
    </row>
    <row r="14542">
      <c r="L14542" s="13"/>
      <c r="M14542" s="14"/>
      <c r="N14542" s="14"/>
      <c r="O14542" s="14"/>
      <c r="P14542" s="13"/>
    </row>
    <row r="14543">
      <c r="L14543" s="13"/>
      <c r="M14543" s="14"/>
      <c r="N14543" s="14"/>
      <c r="O14543" s="14"/>
      <c r="P14543" s="13"/>
    </row>
    <row r="14544">
      <c r="L14544" s="13"/>
      <c r="M14544" s="14"/>
      <c r="N14544" s="14"/>
      <c r="O14544" s="14"/>
      <c r="P14544" s="13"/>
    </row>
    <row r="14545">
      <c r="L14545" s="13"/>
      <c r="M14545" s="14"/>
      <c r="N14545" s="14"/>
      <c r="O14545" s="14"/>
      <c r="P14545" s="13"/>
    </row>
    <row r="14546">
      <c r="L14546" s="13"/>
      <c r="M14546" s="14"/>
      <c r="N14546" s="14"/>
      <c r="O14546" s="14"/>
      <c r="P14546" s="13"/>
    </row>
    <row r="14547">
      <c r="L14547" s="13"/>
      <c r="M14547" s="14"/>
      <c r="N14547" s="14"/>
      <c r="O14547" s="14"/>
      <c r="P14547" s="13"/>
    </row>
    <row r="14548">
      <c r="L14548" s="13"/>
      <c r="M14548" s="14"/>
      <c r="N14548" s="14"/>
      <c r="O14548" s="14"/>
      <c r="P14548" s="13"/>
    </row>
    <row r="14549">
      <c r="L14549" s="13"/>
      <c r="M14549" s="14"/>
      <c r="N14549" s="14"/>
      <c r="O14549" s="14"/>
      <c r="P14549" s="13"/>
    </row>
    <row r="14550">
      <c r="L14550" s="13"/>
      <c r="M14550" s="14"/>
      <c r="N14550" s="14"/>
      <c r="O14550" s="14"/>
      <c r="P14550" s="13"/>
    </row>
    <row r="14551">
      <c r="L14551" s="13"/>
      <c r="M14551" s="14"/>
      <c r="N14551" s="14"/>
      <c r="O14551" s="14"/>
      <c r="P14551" s="13"/>
    </row>
    <row r="14552">
      <c r="L14552" s="13"/>
      <c r="M14552" s="14"/>
      <c r="N14552" s="14"/>
      <c r="O14552" s="14"/>
      <c r="P14552" s="13"/>
    </row>
    <row r="14553">
      <c r="L14553" s="13"/>
      <c r="M14553" s="14"/>
      <c r="N14553" s="14"/>
      <c r="O14553" s="14"/>
      <c r="P14553" s="13"/>
    </row>
    <row r="14554">
      <c r="L14554" s="13"/>
      <c r="M14554" s="14"/>
      <c r="N14554" s="14"/>
      <c r="O14554" s="14"/>
      <c r="P14554" s="13"/>
    </row>
    <row r="14555">
      <c r="L14555" s="13"/>
      <c r="M14555" s="14"/>
      <c r="N14555" s="14"/>
      <c r="O14555" s="14"/>
      <c r="P14555" s="13"/>
    </row>
    <row r="14556">
      <c r="L14556" s="13"/>
      <c r="M14556" s="14"/>
      <c r="N14556" s="14"/>
      <c r="O14556" s="14"/>
      <c r="P14556" s="13"/>
    </row>
    <row r="14557">
      <c r="L14557" s="13"/>
      <c r="M14557" s="14"/>
      <c r="N14557" s="14"/>
      <c r="O14557" s="14"/>
      <c r="P14557" s="13"/>
    </row>
    <row r="14558">
      <c r="L14558" s="13"/>
      <c r="M14558" s="14"/>
      <c r="N14558" s="14"/>
      <c r="O14558" s="14"/>
      <c r="P14558" s="13"/>
    </row>
    <row r="14559">
      <c r="L14559" s="13"/>
      <c r="M14559" s="14"/>
      <c r="N14559" s="14"/>
      <c r="O14559" s="14"/>
      <c r="P14559" s="13"/>
    </row>
    <row r="14560">
      <c r="L14560" s="13"/>
      <c r="M14560" s="14"/>
      <c r="N14560" s="14"/>
      <c r="O14560" s="14"/>
      <c r="P14560" s="13"/>
    </row>
    <row r="14561">
      <c r="L14561" s="13"/>
      <c r="M14561" s="14"/>
      <c r="N14561" s="14"/>
      <c r="O14561" s="14"/>
      <c r="P14561" s="13"/>
    </row>
    <row r="14562">
      <c r="L14562" s="13"/>
      <c r="M14562" s="14"/>
      <c r="N14562" s="14"/>
      <c r="O14562" s="14"/>
      <c r="P14562" s="13"/>
    </row>
    <row r="14563">
      <c r="L14563" s="13"/>
      <c r="M14563" s="14"/>
      <c r="N14563" s="14"/>
      <c r="O14563" s="14"/>
      <c r="P14563" s="13"/>
    </row>
    <row r="14564">
      <c r="L14564" s="13"/>
      <c r="M14564" s="14"/>
      <c r="N14564" s="14"/>
      <c r="O14564" s="14"/>
      <c r="P14564" s="13"/>
    </row>
    <row r="14565">
      <c r="L14565" s="13"/>
      <c r="M14565" s="14"/>
      <c r="N14565" s="14"/>
      <c r="O14565" s="14"/>
      <c r="P14565" s="13"/>
    </row>
    <row r="14566">
      <c r="L14566" s="13"/>
      <c r="M14566" s="14"/>
      <c r="N14566" s="14"/>
      <c r="O14566" s="14"/>
      <c r="P14566" s="13"/>
    </row>
    <row r="14567">
      <c r="L14567" s="13"/>
      <c r="M14567" s="14"/>
      <c r="N14567" s="14"/>
      <c r="O14567" s="14"/>
      <c r="P14567" s="13"/>
    </row>
    <row r="14568">
      <c r="L14568" s="13"/>
      <c r="M14568" s="14"/>
      <c r="N14568" s="14"/>
      <c r="O14568" s="14"/>
      <c r="P14568" s="13"/>
    </row>
    <row r="14569">
      <c r="L14569" s="13"/>
      <c r="M14569" s="14"/>
      <c r="N14569" s="14"/>
      <c r="O14569" s="14"/>
      <c r="P14569" s="13"/>
    </row>
    <row r="14570">
      <c r="L14570" s="13"/>
      <c r="M14570" s="14"/>
      <c r="N14570" s="14"/>
      <c r="O14570" s="14"/>
      <c r="P14570" s="13"/>
    </row>
    <row r="14571">
      <c r="L14571" s="13"/>
      <c r="M14571" s="14"/>
      <c r="N14571" s="14"/>
      <c r="O14571" s="14"/>
      <c r="P14571" s="13"/>
    </row>
    <row r="14572">
      <c r="L14572" s="13"/>
      <c r="M14572" s="14"/>
      <c r="N14572" s="14"/>
      <c r="O14572" s="14"/>
      <c r="P14572" s="13"/>
    </row>
    <row r="14573">
      <c r="L14573" s="13"/>
      <c r="M14573" s="14"/>
      <c r="N14573" s="14"/>
      <c r="O14573" s="14"/>
      <c r="P14573" s="13"/>
    </row>
    <row r="14574">
      <c r="L14574" s="13"/>
      <c r="M14574" s="14"/>
      <c r="N14574" s="14"/>
      <c r="O14574" s="14"/>
      <c r="P14574" s="13"/>
    </row>
    <row r="14575">
      <c r="L14575" s="13"/>
      <c r="M14575" s="14"/>
      <c r="N14575" s="14"/>
      <c r="O14575" s="14"/>
      <c r="P14575" s="13"/>
    </row>
    <row r="14576">
      <c r="L14576" s="13"/>
      <c r="M14576" s="14"/>
      <c r="N14576" s="14"/>
      <c r="O14576" s="14"/>
      <c r="P14576" s="13"/>
    </row>
    <row r="14577">
      <c r="L14577" s="13"/>
      <c r="M14577" s="14"/>
      <c r="N14577" s="14"/>
      <c r="O14577" s="14"/>
      <c r="P14577" s="13"/>
    </row>
    <row r="14578">
      <c r="L14578" s="13"/>
      <c r="M14578" s="14"/>
      <c r="N14578" s="14"/>
      <c r="O14578" s="14"/>
      <c r="P14578" s="13"/>
    </row>
    <row r="14579">
      <c r="L14579" s="13"/>
      <c r="M14579" s="14"/>
      <c r="N14579" s="14"/>
      <c r="O14579" s="14"/>
      <c r="P14579" s="13"/>
    </row>
    <row r="14580">
      <c r="L14580" s="13"/>
      <c r="M14580" s="14"/>
      <c r="N14580" s="14"/>
      <c r="O14580" s="14"/>
      <c r="P14580" s="13"/>
    </row>
    <row r="14581">
      <c r="L14581" s="13"/>
      <c r="M14581" s="14"/>
      <c r="N14581" s="14"/>
      <c r="O14581" s="14"/>
      <c r="P14581" s="13"/>
    </row>
    <row r="14582">
      <c r="L14582" s="13"/>
      <c r="M14582" s="14"/>
      <c r="N14582" s="14"/>
      <c r="O14582" s="14"/>
      <c r="P14582" s="13"/>
    </row>
    <row r="14583">
      <c r="L14583" s="13"/>
      <c r="M14583" s="14"/>
      <c r="N14583" s="14"/>
      <c r="O14583" s="14"/>
      <c r="P14583" s="13"/>
    </row>
    <row r="14584">
      <c r="L14584" s="13"/>
      <c r="M14584" s="14"/>
      <c r="N14584" s="14"/>
      <c r="O14584" s="14"/>
      <c r="P14584" s="13"/>
    </row>
    <row r="14585">
      <c r="L14585" s="13"/>
      <c r="M14585" s="14"/>
      <c r="N14585" s="14"/>
      <c r="O14585" s="14"/>
      <c r="P14585" s="13"/>
    </row>
    <row r="14586">
      <c r="L14586" s="13"/>
      <c r="M14586" s="14"/>
      <c r="N14586" s="14"/>
      <c r="O14586" s="14"/>
      <c r="P14586" s="13"/>
    </row>
    <row r="14587">
      <c r="L14587" s="13"/>
      <c r="M14587" s="14"/>
      <c r="N14587" s="14"/>
      <c r="O14587" s="14"/>
      <c r="P14587" s="13"/>
    </row>
    <row r="14588">
      <c r="L14588" s="13"/>
      <c r="M14588" s="14"/>
      <c r="N14588" s="14"/>
      <c r="O14588" s="14"/>
      <c r="P14588" s="13"/>
    </row>
    <row r="14589">
      <c r="L14589" s="13"/>
      <c r="M14589" s="14"/>
      <c r="N14589" s="14"/>
      <c r="O14589" s="14"/>
      <c r="P14589" s="13"/>
    </row>
    <row r="14590">
      <c r="L14590" s="13"/>
      <c r="M14590" s="14"/>
      <c r="N14590" s="14"/>
      <c r="O14590" s="14"/>
      <c r="P14590" s="13"/>
    </row>
    <row r="14591">
      <c r="L14591" s="13"/>
      <c r="M14591" s="14"/>
      <c r="N14591" s="14"/>
      <c r="O14591" s="14"/>
      <c r="P14591" s="13"/>
    </row>
    <row r="14592">
      <c r="L14592" s="13"/>
      <c r="M14592" s="14"/>
      <c r="N14592" s="14"/>
      <c r="O14592" s="14"/>
      <c r="P14592" s="13"/>
    </row>
    <row r="14593">
      <c r="L14593" s="13"/>
      <c r="M14593" s="14"/>
      <c r="N14593" s="14"/>
      <c r="O14593" s="14"/>
      <c r="P14593" s="13"/>
    </row>
    <row r="14594">
      <c r="L14594" s="13"/>
      <c r="M14594" s="14"/>
      <c r="N14594" s="14"/>
      <c r="O14594" s="14"/>
      <c r="P14594" s="13"/>
    </row>
    <row r="14595">
      <c r="L14595" s="13"/>
      <c r="M14595" s="14"/>
      <c r="N14595" s="14"/>
      <c r="O14595" s="14"/>
      <c r="P14595" s="13"/>
    </row>
    <row r="14596">
      <c r="L14596" s="13"/>
      <c r="M14596" s="14"/>
      <c r="N14596" s="14"/>
      <c r="O14596" s="14"/>
      <c r="P14596" s="13"/>
    </row>
    <row r="14597">
      <c r="L14597" s="13"/>
      <c r="M14597" s="14"/>
      <c r="N14597" s="14"/>
      <c r="O14597" s="14"/>
      <c r="P14597" s="13"/>
    </row>
    <row r="14598">
      <c r="L14598" s="13"/>
      <c r="M14598" s="14"/>
      <c r="N14598" s="14"/>
      <c r="O14598" s="14"/>
      <c r="P14598" s="13"/>
    </row>
    <row r="14599">
      <c r="L14599" s="13"/>
      <c r="M14599" s="14"/>
      <c r="N14599" s="14"/>
      <c r="O14599" s="14"/>
      <c r="P14599" s="13"/>
    </row>
    <row r="14600">
      <c r="L14600" s="13"/>
      <c r="M14600" s="14"/>
      <c r="N14600" s="14"/>
      <c r="O14600" s="14"/>
      <c r="P14600" s="13"/>
    </row>
    <row r="14601">
      <c r="L14601" s="13"/>
      <c r="M14601" s="14"/>
      <c r="N14601" s="14"/>
      <c r="O14601" s="14"/>
      <c r="P14601" s="13"/>
    </row>
    <row r="14602">
      <c r="L14602" s="13"/>
      <c r="M14602" s="14"/>
      <c r="N14602" s="14"/>
      <c r="O14602" s="14"/>
      <c r="P14602" s="13"/>
    </row>
    <row r="14603">
      <c r="L14603" s="13"/>
      <c r="M14603" s="14"/>
      <c r="N14603" s="14"/>
      <c r="O14603" s="14"/>
      <c r="P14603" s="13"/>
    </row>
    <row r="14604">
      <c r="L14604" s="13"/>
      <c r="M14604" s="14"/>
      <c r="N14604" s="14"/>
      <c r="O14604" s="14"/>
      <c r="P14604" s="13"/>
    </row>
    <row r="14605">
      <c r="L14605" s="13"/>
      <c r="M14605" s="14"/>
      <c r="N14605" s="14"/>
      <c r="O14605" s="14"/>
      <c r="P14605" s="13"/>
    </row>
    <row r="14606">
      <c r="L14606" s="13"/>
      <c r="M14606" s="14"/>
      <c r="N14606" s="14"/>
      <c r="O14606" s="14"/>
      <c r="P14606" s="13"/>
    </row>
    <row r="14607">
      <c r="L14607" s="13"/>
      <c r="M14607" s="14"/>
      <c r="N14607" s="14"/>
      <c r="O14607" s="14"/>
      <c r="P14607" s="13"/>
    </row>
    <row r="14608">
      <c r="L14608" s="13"/>
      <c r="M14608" s="14"/>
      <c r="N14608" s="14"/>
      <c r="O14608" s="14"/>
      <c r="P14608" s="13"/>
    </row>
    <row r="14609">
      <c r="L14609" s="13"/>
      <c r="M14609" s="14"/>
      <c r="N14609" s="14"/>
      <c r="O14609" s="14"/>
      <c r="P14609" s="13"/>
    </row>
    <row r="14610">
      <c r="L14610" s="13"/>
      <c r="M14610" s="14"/>
      <c r="N14610" s="14"/>
      <c r="O14610" s="14"/>
      <c r="P14610" s="13"/>
    </row>
    <row r="14611">
      <c r="L14611" s="13"/>
      <c r="M14611" s="14"/>
      <c r="N14611" s="14"/>
      <c r="O14611" s="14"/>
      <c r="P14611" s="13"/>
    </row>
    <row r="14612">
      <c r="L14612" s="13"/>
      <c r="M14612" s="14"/>
      <c r="N14612" s="14"/>
      <c r="O14612" s="14"/>
      <c r="P14612" s="13"/>
    </row>
    <row r="14613">
      <c r="L14613" s="13"/>
      <c r="M14613" s="14"/>
      <c r="N14613" s="14"/>
      <c r="O14613" s="14"/>
      <c r="P14613" s="13"/>
    </row>
    <row r="14614">
      <c r="L14614" s="13"/>
      <c r="M14614" s="14"/>
      <c r="N14614" s="14"/>
      <c r="O14614" s="14"/>
      <c r="P14614" s="13"/>
    </row>
    <row r="14615">
      <c r="L14615" s="13"/>
      <c r="M14615" s="14"/>
      <c r="N14615" s="14"/>
      <c r="O14615" s="14"/>
      <c r="P14615" s="13"/>
    </row>
    <row r="14616">
      <c r="L14616" s="13"/>
      <c r="M14616" s="14"/>
      <c r="N14616" s="14"/>
      <c r="O14616" s="14"/>
      <c r="P14616" s="13"/>
    </row>
    <row r="14617">
      <c r="L14617" s="13"/>
      <c r="M14617" s="14"/>
      <c r="N14617" s="14"/>
      <c r="O14617" s="14"/>
      <c r="P14617" s="13"/>
    </row>
    <row r="14618">
      <c r="L14618" s="13"/>
      <c r="M14618" s="14"/>
      <c r="N14618" s="14"/>
      <c r="O14618" s="14"/>
      <c r="P14618" s="13"/>
    </row>
    <row r="14619">
      <c r="L14619" s="13"/>
      <c r="M14619" s="14"/>
      <c r="N14619" s="14"/>
      <c r="O14619" s="14"/>
      <c r="P14619" s="13"/>
    </row>
    <row r="14620">
      <c r="L14620" s="13"/>
      <c r="M14620" s="14"/>
      <c r="N14620" s="14"/>
      <c r="O14620" s="14"/>
      <c r="P14620" s="13"/>
    </row>
    <row r="14621">
      <c r="L14621" s="13"/>
      <c r="M14621" s="14"/>
      <c r="N14621" s="14"/>
      <c r="O14621" s="14"/>
      <c r="P14621" s="13"/>
    </row>
    <row r="14622">
      <c r="L14622" s="13"/>
      <c r="M14622" s="14"/>
      <c r="N14622" s="14"/>
      <c r="O14622" s="14"/>
      <c r="P14622" s="13"/>
    </row>
    <row r="14623">
      <c r="L14623" s="13"/>
      <c r="M14623" s="14"/>
      <c r="N14623" s="14"/>
      <c r="O14623" s="14"/>
      <c r="P14623" s="13"/>
    </row>
    <row r="14624">
      <c r="L14624" s="13"/>
      <c r="M14624" s="14"/>
      <c r="N14624" s="14"/>
      <c r="O14624" s="14"/>
      <c r="P14624" s="13"/>
    </row>
    <row r="14625">
      <c r="L14625" s="13"/>
      <c r="M14625" s="14"/>
      <c r="N14625" s="14"/>
      <c r="O14625" s="14"/>
      <c r="P14625" s="13"/>
    </row>
    <row r="14626">
      <c r="L14626" s="13"/>
      <c r="M14626" s="14"/>
      <c r="N14626" s="14"/>
      <c r="O14626" s="14"/>
      <c r="P14626" s="13"/>
    </row>
    <row r="14627">
      <c r="L14627" s="13"/>
      <c r="M14627" s="14"/>
      <c r="N14627" s="14"/>
      <c r="O14627" s="14"/>
      <c r="P14627" s="13"/>
    </row>
    <row r="14628">
      <c r="L14628" s="13"/>
      <c r="M14628" s="14"/>
      <c r="N14628" s="14"/>
      <c r="O14628" s="14"/>
      <c r="P14628" s="13"/>
    </row>
    <row r="14629">
      <c r="L14629" s="13"/>
      <c r="M14629" s="14"/>
      <c r="N14629" s="14"/>
      <c r="O14629" s="14"/>
      <c r="P14629" s="13"/>
    </row>
    <row r="14630">
      <c r="L14630" s="13"/>
      <c r="M14630" s="14"/>
      <c r="N14630" s="14"/>
      <c r="O14630" s="14"/>
      <c r="P14630" s="13"/>
    </row>
    <row r="14631">
      <c r="L14631" s="13"/>
      <c r="M14631" s="14"/>
      <c r="N14631" s="14"/>
      <c r="O14631" s="14"/>
      <c r="P14631" s="13"/>
    </row>
    <row r="14632">
      <c r="L14632" s="13"/>
      <c r="M14632" s="14"/>
      <c r="N14632" s="14"/>
      <c r="O14632" s="14"/>
      <c r="P14632" s="13"/>
    </row>
    <row r="14633">
      <c r="L14633" s="13"/>
      <c r="M14633" s="14"/>
      <c r="N14633" s="14"/>
      <c r="O14633" s="14"/>
      <c r="P14633" s="13"/>
    </row>
    <row r="14634">
      <c r="L14634" s="13"/>
      <c r="M14634" s="14"/>
      <c r="N14634" s="14"/>
      <c r="O14634" s="14"/>
      <c r="P14634" s="13"/>
    </row>
    <row r="14635">
      <c r="L14635" s="13"/>
      <c r="M14635" s="14"/>
      <c r="N14635" s="14"/>
      <c r="O14635" s="14"/>
      <c r="P14635" s="13"/>
    </row>
    <row r="14636">
      <c r="L14636" s="13"/>
      <c r="M14636" s="14"/>
      <c r="N14636" s="14"/>
      <c r="O14636" s="14"/>
      <c r="P14636" s="13"/>
    </row>
    <row r="14637">
      <c r="L14637" s="13"/>
      <c r="M14637" s="14"/>
      <c r="N14637" s="14"/>
      <c r="O14637" s="14"/>
      <c r="P14637" s="13"/>
    </row>
    <row r="14638">
      <c r="L14638" s="13"/>
      <c r="M14638" s="14"/>
      <c r="N14638" s="14"/>
      <c r="O14638" s="14"/>
      <c r="P14638" s="13"/>
    </row>
    <row r="14639">
      <c r="L14639" s="13"/>
      <c r="M14639" s="14"/>
      <c r="N14639" s="14"/>
      <c r="O14639" s="14"/>
      <c r="P14639" s="13"/>
    </row>
    <row r="14640">
      <c r="L14640" s="13"/>
      <c r="M14640" s="14"/>
      <c r="N14640" s="14"/>
      <c r="O14640" s="14"/>
      <c r="P14640" s="13"/>
    </row>
    <row r="14641">
      <c r="L14641" s="13"/>
      <c r="M14641" s="14"/>
      <c r="N14641" s="14"/>
      <c r="O14641" s="14"/>
      <c r="P14641" s="13"/>
    </row>
    <row r="14642">
      <c r="L14642" s="13"/>
      <c r="M14642" s="14"/>
      <c r="N14642" s="14"/>
      <c r="O14642" s="14"/>
      <c r="P14642" s="13"/>
    </row>
    <row r="14643">
      <c r="L14643" s="13"/>
      <c r="M14643" s="14"/>
      <c r="N14643" s="14"/>
      <c r="O14643" s="14"/>
      <c r="P14643" s="13"/>
    </row>
    <row r="14644">
      <c r="L14644" s="13"/>
      <c r="M14644" s="14"/>
      <c r="N14644" s="14"/>
      <c r="O14644" s="14"/>
      <c r="P14644" s="13"/>
    </row>
    <row r="14645">
      <c r="L14645" s="13"/>
      <c r="M14645" s="14"/>
      <c r="N14645" s="14"/>
      <c r="O14645" s="14"/>
      <c r="P14645" s="13"/>
    </row>
    <row r="14646">
      <c r="L14646" s="13"/>
      <c r="M14646" s="14"/>
      <c r="N14646" s="14"/>
      <c r="O14646" s="14"/>
      <c r="P14646" s="13"/>
    </row>
    <row r="14647">
      <c r="L14647" s="13"/>
      <c r="M14647" s="14"/>
      <c r="N14647" s="14"/>
      <c r="O14647" s="14"/>
      <c r="P14647" s="13"/>
    </row>
    <row r="14648">
      <c r="L14648" s="13"/>
      <c r="M14648" s="14"/>
      <c r="N14648" s="14"/>
      <c r="O14648" s="14"/>
      <c r="P14648" s="13"/>
    </row>
    <row r="14649">
      <c r="L14649" s="13"/>
      <c r="M14649" s="14"/>
      <c r="N14649" s="14"/>
      <c r="O14649" s="14"/>
      <c r="P14649" s="13"/>
    </row>
    <row r="14650">
      <c r="L14650" s="13"/>
      <c r="M14650" s="14"/>
      <c r="N14650" s="14"/>
      <c r="O14650" s="14"/>
      <c r="P14650" s="13"/>
    </row>
    <row r="14651">
      <c r="L14651" s="13"/>
      <c r="M14651" s="14"/>
      <c r="N14651" s="14"/>
      <c r="O14651" s="14"/>
      <c r="P14651" s="13"/>
    </row>
    <row r="14652">
      <c r="L14652" s="13"/>
      <c r="M14652" s="14"/>
      <c r="N14652" s="14"/>
      <c r="O14652" s="14"/>
      <c r="P14652" s="13"/>
    </row>
    <row r="14653">
      <c r="L14653" s="13"/>
      <c r="M14653" s="14"/>
      <c r="N14653" s="14"/>
      <c r="O14653" s="14"/>
      <c r="P14653" s="13"/>
    </row>
    <row r="14654">
      <c r="L14654" s="13"/>
      <c r="M14654" s="14"/>
      <c r="N14654" s="14"/>
      <c r="O14654" s="14"/>
      <c r="P14654" s="13"/>
    </row>
    <row r="14655">
      <c r="L14655" s="13"/>
      <c r="M14655" s="14"/>
      <c r="N14655" s="14"/>
      <c r="O14655" s="14"/>
      <c r="P14655" s="13"/>
    </row>
    <row r="14656">
      <c r="L14656" s="13"/>
      <c r="M14656" s="14"/>
      <c r="N14656" s="14"/>
      <c r="O14656" s="14"/>
      <c r="P14656" s="13"/>
    </row>
    <row r="14657">
      <c r="L14657" s="13"/>
      <c r="M14657" s="14"/>
      <c r="N14657" s="14"/>
      <c r="O14657" s="14"/>
      <c r="P14657" s="13"/>
    </row>
    <row r="14658">
      <c r="L14658" s="13"/>
      <c r="M14658" s="14"/>
      <c r="N14658" s="14"/>
      <c r="O14658" s="14"/>
      <c r="P14658" s="13"/>
    </row>
    <row r="14659">
      <c r="L14659" s="13"/>
      <c r="M14659" s="14"/>
      <c r="N14659" s="14"/>
      <c r="O14659" s="14"/>
      <c r="P14659" s="13"/>
    </row>
    <row r="14660">
      <c r="L14660" s="13"/>
      <c r="M14660" s="14"/>
      <c r="N14660" s="14"/>
      <c r="O14660" s="14"/>
      <c r="P14660" s="13"/>
    </row>
    <row r="14661">
      <c r="L14661" s="13"/>
      <c r="M14661" s="14"/>
      <c r="N14661" s="14"/>
      <c r="O14661" s="14"/>
      <c r="P14661" s="13"/>
    </row>
    <row r="14662">
      <c r="L14662" s="13"/>
      <c r="M14662" s="14"/>
      <c r="N14662" s="14"/>
      <c r="O14662" s="14"/>
      <c r="P14662" s="13"/>
    </row>
    <row r="14663">
      <c r="L14663" s="13"/>
      <c r="M14663" s="14"/>
      <c r="N14663" s="14"/>
      <c r="O14663" s="14"/>
      <c r="P14663" s="13"/>
    </row>
    <row r="14664">
      <c r="L14664" s="13"/>
      <c r="M14664" s="14"/>
      <c r="N14664" s="14"/>
      <c r="O14664" s="14"/>
      <c r="P14664" s="13"/>
    </row>
    <row r="14665">
      <c r="L14665" s="13"/>
      <c r="M14665" s="14"/>
      <c r="N14665" s="14"/>
      <c r="O14665" s="14"/>
      <c r="P14665" s="13"/>
    </row>
    <row r="14666">
      <c r="L14666" s="13"/>
      <c r="M14666" s="14"/>
      <c r="N14666" s="14"/>
      <c r="O14666" s="14"/>
      <c r="P14666" s="13"/>
    </row>
    <row r="14667">
      <c r="L14667" s="13"/>
      <c r="M14667" s="14"/>
      <c r="N14667" s="14"/>
      <c r="O14667" s="14"/>
      <c r="P14667" s="13"/>
    </row>
    <row r="14668">
      <c r="L14668" s="13"/>
      <c r="M14668" s="14"/>
      <c r="N14668" s="14"/>
      <c r="O14668" s="14"/>
      <c r="P14668" s="13"/>
    </row>
    <row r="14669">
      <c r="L14669" s="13"/>
      <c r="M14669" s="14"/>
      <c r="N14669" s="14"/>
      <c r="O14669" s="14"/>
      <c r="P14669" s="13"/>
    </row>
    <row r="14670">
      <c r="L14670" s="13"/>
      <c r="M14670" s="14"/>
      <c r="N14670" s="14"/>
      <c r="O14670" s="14"/>
      <c r="P14670" s="13"/>
    </row>
    <row r="14671">
      <c r="L14671" s="13"/>
      <c r="M14671" s="14"/>
      <c r="N14671" s="14"/>
      <c r="O14671" s="14"/>
      <c r="P14671" s="13"/>
    </row>
    <row r="14672">
      <c r="L14672" s="13"/>
      <c r="M14672" s="14"/>
      <c r="N14672" s="14"/>
      <c r="O14672" s="14"/>
      <c r="P14672" s="13"/>
    </row>
    <row r="14673">
      <c r="L14673" s="13"/>
      <c r="M14673" s="14"/>
      <c r="N14673" s="14"/>
      <c r="O14673" s="14"/>
      <c r="P14673" s="13"/>
    </row>
    <row r="14674">
      <c r="L14674" s="13"/>
      <c r="M14674" s="14"/>
      <c r="N14674" s="14"/>
      <c r="O14674" s="14"/>
      <c r="P14674" s="13"/>
    </row>
    <row r="14675">
      <c r="L14675" s="13"/>
      <c r="M14675" s="14"/>
      <c r="N14675" s="14"/>
      <c r="O14675" s="14"/>
      <c r="P14675" s="13"/>
    </row>
    <row r="14676">
      <c r="L14676" s="13"/>
      <c r="M14676" s="14"/>
      <c r="N14676" s="14"/>
      <c r="O14676" s="14"/>
      <c r="P14676" s="13"/>
    </row>
    <row r="14677">
      <c r="L14677" s="13"/>
      <c r="M14677" s="14"/>
      <c r="N14677" s="14"/>
      <c r="O14677" s="14"/>
      <c r="P14677" s="13"/>
    </row>
    <row r="14678">
      <c r="L14678" s="13"/>
      <c r="M14678" s="14"/>
      <c r="N14678" s="14"/>
      <c r="O14678" s="14"/>
      <c r="P14678" s="13"/>
    </row>
    <row r="14679">
      <c r="L14679" s="13"/>
      <c r="M14679" s="14"/>
      <c r="N14679" s="14"/>
      <c r="O14679" s="14"/>
      <c r="P14679" s="13"/>
    </row>
    <row r="14680">
      <c r="L14680" s="13"/>
      <c r="M14680" s="14"/>
      <c r="N14680" s="14"/>
      <c r="O14680" s="14"/>
      <c r="P14680" s="13"/>
    </row>
    <row r="14681">
      <c r="L14681" s="13"/>
      <c r="M14681" s="14"/>
      <c r="N14681" s="14"/>
      <c r="O14681" s="14"/>
      <c r="P14681" s="13"/>
    </row>
    <row r="14682">
      <c r="L14682" s="13"/>
      <c r="M14682" s="14"/>
      <c r="N14682" s="14"/>
      <c r="O14682" s="14"/>
      <c r="P14682" s="13"/>
    </row>
    <row r="14683">
      <c r="L14683" s="13"/>
      <c r="M14683" s="14"/>
      <c r="N14683" s="14"/>
      <c r="O14683" s="14"/>
      <c r="P14683" s="13"/>
    </row>
    <row r="14684">
      <c r="L14684" s="13"/>
      <c r="M14684" s="14"/>
      <c r="N14684" s="14"/>
      <c r="O14684" s="14"/>
      <c r="P14684" s="13"/>
    </row>
    <row r="14685">
      <c r="L14685" s="13"/>
      <c r="M14685" s="14"/>
      <c r="N14685" s="14"/>
      <c r="O14685" s="14"/>
      <c r="P14685" s="13"/>
    </row>
    <row r="14686">
      <c r="L14686" s="13"/>
      <c r="M14686" s="14"/>
      <c r="N14686" s="14"/>
      <c r="O14686" s="14"/>
      <c r="P14686" s="13"/>
    </row>
    <row r="14687">
      <c r="L14687" s="13"/>
      <c r="M14687" s="14"/>
      <c r="N14687" s="14"/>
      <c r="O14687" s="14"/>
      <c r="P14687" s="13"/>
    </row>
    <row r="14688">
      <c r="L14688" s="13"/>
      <c r="M14688" s="14"/>
      <c r="N14688" s="14"/>
      <c r="O14688" s="14"/>
      <c r="P14688" s="13"/>
    </row>
    <row r="14689">
      <c r="L14689" s="13"/>
      <c r="M14689" s="14"/>
      <c r="N14689" s="14"/>
      <c r="O14689" s="14"/>
      <c r="P14689" s="13"/>
    </row>
    <row r="14690">
      <c r="L14690" s="13"/>
      <c r="M14690" s="14"/>
      <c r="N14690" s="14"/>
      <c r="O14690" s="14"/>
      <c r="P14690" s="13"/>
    </row>
    <row r="14691">
      <c r="L14691" s="13"/>
      <c r="M14691" s="14"/>
      <c r="N14691" s="14"/>
      <c r="O14691" s="14"/>
      <c r="P14691" s="13"/>
    </row>
    <row r="14692">
      <c r="L14692" s="13"/>
      <c r="M14692" s="14"/>
      <c r="N14692" s="14"/>
      <c r="O14692" s="14"/>
      <c r="P14692" s="13"/>
    </row>
    <row r="14693">
      <c r="L14693" s="13"/>
      <c r="M14693" s="14"/>
      <c r="N14693" s="14"/>
      <c r="O14693" s="14"/>
      <c r="P14693" s="13"/>
    </row>
    <row r="14694">
      <c r="L14694" s="13"/>
      <c r="M14694" s="14"/>
      <c r="N14694" s="14"/>
      <c r="O14694" s="14"/>
      <c r="P14694" s="13"/>
    </row>
    <row r="14695">
      <c r="L14695" s="13"/>
      <c r="M14695" s="14"/>
      <c r="N14695" s="14"/>
      <c r="O14695" s="14"/>
      <c r="P14695" s="13"/>
    </row>
    <row r="14696">
      <c r="L14696" s="13"/>
      <c r="M14696" s="14"/>
      <c r="N14696" s="14"/>
      <c r="O14696" s="14"/>
      <c r="P14696" s="13"/>
    </row>
    <row r="14697">
      <c r="L14697" s="13"/>
      <c r="M14697" s="14"/>
      <c r="N14697" s="14"/>
      <c r="O14697" s="14"/>
      <c r="P14697" s="13"/>
    </row>
    <row r="14698">
      <c r="L14698" s="13"/>
      <c r="M14698" s="14"/>
      <c r="N14698" s="14"/>
      <c r="O14698" s="14"/>
      <c r="P14698" s="13"/>
    </row>
    <row r="14699">
      <c r="L14699" s="13"/>
      <c r="M14699" s="14"/>
      <c r="N14699" s="14"/>
      <c r="O14699" s="14"/>
      <c r="P14699" s="13"/>
    </row>
    <row r="14700">
      <c r="L14700" s="13"/>
      <c r="M14700" s="14"/>
      <c r="N14700" s="14"/>
      <c r="O14700" s="14"/>
      <c r="P14700" s="13"/>
    </row>
    <row r="14701">
      <c r="L14701" s="13"/>
      <c r="M14701" s="14"/>
      <c r="N14701" s="14"/>
      <c r="O14701" s="14"/>
      <c r="P14701" s="13"/>
    </row>
    <row r="14702">
      <c r="L14702" s="13"/>
      <c r="M14702" s="14"/>
      <c r="N14702" s="14"/>
      <c r="O14702" s="14"/>
      <c r="P14702" s="13"/>
    </row>
    <row r="14703">
      <c r="L14703" s="13"/>
      <c r="M14703" s="14"/>
      <c r="N14703" s="14"/>
      <c r="O14703" s="14"/>
      <c r="P14703" s="13"/>
    </row>
    <row r="14704">
      <c r="L14704" s="13"/>
      <c r="M14704" s="14"/>
      <c r="N14704" s="14"/>
      <c r="O14704" s="14"/>
      <c r="P14704" s="13"/>
    </row>
    <row r="14705">
      <c r="L14705" s="13"/>
      <c r="M14705" s="14"/>
      <c r="N14705" s="14"/>
      <c r="O14705" s="14"/>
      <c r="P14705" s="13"/>
    </row>
    <row r="14706">
      <c r="L14706" s="13"/>
      <c r="M14706" s="14"/>
      <c r="N14706" s="14"/>
      <c r="O14706" s="14"/>
      <c r="P14706" s="13"/>
    </row>
    <row r="14707">
      <c r="L14707" s="13"/>
      <c r="M14707" s="14"/>
      <c r="N14707" s="14"/>
      <c r="O14707" s="14"/>
      <c r="P14707" s="13"/>
    </row>
    <row r="14708">
      <c r="L14708" s="13"/>
      <c r="M14708" s="14"/>
      <c r="N14708" s="14"/>
      <c r="O14708" s="14"/>
      <c r="P14708" s="13"/>
    </row>
    <row r="14709">
      <c r="L14709" s="13"/>
      <c r="M14709" s="14"/>
      <c r="N14709" s="14"/>
      <c r="O14709" s="14"/>
      <c r="P14709" s="13"/>
    </row>
    <row r="14710">
      <c r="L14710" s="13"/>
      <c r="M14710" s="14"/>
      <c r="N14710" s="14"/>
      <c r="O14710" s="14"/>
      <c r="P14710" s="13"/>
    </row>
    <row r="14711">
      <c r="L14711" s="13"/>
      <c r="M14711" s="14"/>
      <c r="N14711" s="14"/>
      <c r="O14711" s="14"/>
      <c r="P14711" s="13"/>
    </row>
    <row r="14712">
      <c r="L14712" s="13"/>
      <c r="M14712" s="14"/>
      <c r="N14712" s="14"/>
      <c r="O14712" s="14"/>
      <c r="P14712" s="13"/>
    </row>
    <row r="14713">
      <c r="L14713" s="13"/>
      <c r="M14713" s="14"/>
      <c r="N14713" s="14"/>
      <c r="O14713" s="14"/>
      <c r="P14713" s="13"/>
    </row>
    <row r="14714">
      <c r="L14714" s="13"/>
      <c r="M14714" s="14"/>
      <c r="N14714" s="14"/>
      <c r="O14714" s="14"/>
      <c r="P14714" s="13"/>
    </row>
    <row r="14715">
      <c r="L14715" s="13"/>
      <c r="M14715" s="14"/>
      <c r="N14715" s="14"/>
      <c r="O14715" s="14"/>
      <c r="P14715" s="13"/>
    </row>
    <row r="14716">
      <c r="L14716" s="13"/>
      <c r="M14716" s="14"/>
      <c r="N14716" s="14"/>
      <c r="O14716" s="14"/>
      <c r="P14716" s="13"/>
    </row>
    <row r="14717">
      <c r="L14717" s="13"/>
      <c r="M14717" s="14"/>
      <c r="N14717" s="14"/>
      <c r="O14717" s="14"/>
      <c r="P14717" s="13"/>
    </row>
    <row r="14718">
      <c r="L14718" s="13"/>
      <c r="M14718" s="14"/>
      <c r="N14718" s="14"/>
      <c r="O14718" s="14"/>
      <c r="P14718" s="13"/>
    </row>
    <row r="14719">
      <c r="L14719" s="13"/>
      <c r="M14719" s="14"/>
      <c r="N14719" s="14"/>
      <c r="O14719" s="14"/>
      <c r="P14719" s="13"/>
    </row>
    <row r="14720">
      <c r="L14720" s="13"/>
      <c r="M14720" s="14"/>
      <c r="N14720" s="14"/>
      <c r="O14720" s="14"/>
      <c r="P14720" s="13"/>
    </row>
    <row r="14721">
      <c r="L14721" s="13"/>
      <c r="M14721" s="14"/>
      <c r="N14721" s="14"/>
      <c r="O14721" s="14"/>
      <c r="P14721" s="13"/>
    </row>
    <row r="14722">
      <c r="L14722" s="13"/>
      <c r="M14722" s="14"/>
      <c r="N14722" s="14"/>
      <c r="O14722" s="14"/>
      <c r="P14722" s="13"/>
    </row>
    <row r="14723">
      <c r="L14723" s="13"/>
      <c r="M14723" s="14"/>
      <c r="N14723" s="14"/>
      <c r="O14723" s="14"/>
      <c r="P14723" s="13"/>
    </row>
    <row r="14724">
      <c r="L14724" s="13"/>
      <c r="M14724" s="14"/>
      <c r="N14724" s="14"/>
      <c r="O14724" s="14"/>
      <c r="P14724" s="13"/>
    </row>
    <row r="14725">
      <c r="L14725" s="13"/>
      <c r="M14725" s="14"/>
      <c r="N14725" s="14"/>
      <c r="O14725" s="14"/>
      <c r="P14725" s="13"/>
    </row>
    <row r="14726">
      <c r="L14726" s="13"/>
      <c r="M14726" s="14"/>
      <c r="N14726" s="14"/>
      <c r="O14726" s="14"/>
      <c r="P14726" s="13"/>
    </row>
    <row r="14727">
      <c r="L14727" s="13"/>
      <c r="M14727" s="14"/>
      <c r="N14727" s="14"/>
      <c r="O14727" s="14"/>
      <c r="P14727" s="13"/>
    </row>
    <row r="14728">
      <c r="L14728" s="13"/>
      <c r="M14728" s="14"/>
      <c r="N14728" s="14"/>
      <c r="O14728" s="14"/>
      <c r="P14728" s="13"/>
    </row>
    <row r="14729">
      <c r="L14729" s="13"/>
      <c r="M14729" s="14"/>
      <c r="N14729" s="14"/>
      <c r="O14729" s="14"/>
      <c r="P14729" s="13"/>
    </row>
    <row r="14730">
      <c r="L14730" s="13"/>
      <c r="M14730" s="14"/>
      <c r="N14730" s="14"/>
      <c r="O14730" s="14"/>
      <c r="P14730" s="13"/>
    </row>
    <row r="14731">
      <c r="L14731" s="13"/>
      <c r="M14731" s="14"/>
      <c r="N14731" s="14"/>
      <c r="O14731" s="14"/>
      <c r="P14731" s="13"/>
    </row>
    <row r="14732">
      <c r="L14732" s="13"/>
      <c r="M14732" s="14"/>
      <c r="N14732" s="14"/>
      <c r="O14732" s="14"/>
      <c r="P14732" s="13"/>
    </row>
    <row r="14733">
      <c r="L14733" s="13"/>
      <c r="M14733" s="14"/>
      <c r="N14733" s="14"/>
      <c r="O14733" s="14"/>
      <c r="P14733" s="13"/>
    </row>
    <row r="14734">
      <c r="L14734" s="13"/>
      <c r="M14734" s="14"/>
      <c r="N14734" s="14"/>
      <c r="O14734" s="14"/>
      <c r="P14734" s="13"/>
    </row>
    <row r="14735">
      <c r="L14735" s="13"/>
      <c r="M14735" s="14"/>
      <c r="N14735" s="14"/>
      <c r="O14735" s="14"/>
      <c r="P14735" s="13"/>
    </row>
    <row r="14736">
      <c r="L14736" s="13"/>
      <c r="M14736" s="14"/>
      <c r="N14736" s="14"/>
      <c r="O14736" s="14"/>
      <c r="P14736" s="13"/>
    </row>
    <row r="14737">
      <c r="L14737" s="13"/>
      <c r="M14737" s="14"/>
      <c r="N14737" s="14"/>
      <c r="O14737" s="14"/>
      <c r="P14737" s="13"/>
    </row>
    <row r="14738">
      <c r="L14738" s="13"/>
      <c r="M14738" s="14"/>
      <c r="N14738" s="14"/>
      <c r="O14738" s="14"/>
      <c r="P14738" s="13"/>
    </row>
    <row r="14739">
      <c r="L14739" s="13"/>
      <c r="M14739" s="14"/>
      <c r="N14739" s="14"/>
      <c r="O14739" s="14"/>
      <c r="P14739" s="13"/>
    </row>
    <row r="14740">
      <c r="L14740" s="13"/>
      <c r="M14740" s="14"/>
      <c r="N14740" s="14"/>
      <c r="O14740" s="14"/>
      <c r="P14740" s="13"/>
    </row>
    <row r="14741">
      <c r="L14741" s="13"/>
      <c r="M14741" s="14"/>
      <c r="N14741" s="14"/>
      <c r="O14741" s="14"/>
      <c r="P14741" s="13"/>
    </row>
    <row r="14742">
      <c r="L14742" s="13"/>
      <c r="M14742" s="14"/>
      <c r="N14742" s="14"/>
      <c r="O14742" s="14"/>
      <c r="P14742" s="13"/>
    </row>
    <row r="14743">
      <c r="L14743" s="13"/>
      <c r="M14743" s="14"/>
      <c r="N14743" s="14"/>
      <c r="O14743" s="14"/>
      <c r="P14743" s="13"/>
    </row>
    <row r="14744">
      <c r="L14744" s="13"/>
      <c r="M14744" s="14"/>
      <c r="N14744" s="14"/>
      <c r="O14744" s="14"/>
      <c r="P14744" s="13"/>
    </row>
    <row r="14745">
      <c r="L14745" s="13"/>
      <c r="M14745" s="14"/>
      <c r="N14745" s="14"/>
      <c r="O14745" s="14"/>
      <c r="P14745" s="13"/>
    </row>
    <row r="14746">
      <c r="L14746" s="13"/>
      <c r="M14746" s="14"/>
      <c r="N14746" s="14"/>
      <c r="O14746" s="14"/>
      <c r="P14746" s="13"/>
    </row>
    <row r="14747">
      <c r="L14747" s="13"/>
      <c r="M14747" s="14"/>
      <c r="N14747" s="14"/>
      <c r="O14747" s="14"/>
      <c r="P14747" s="13"/>
    </row>
    <row r="14748">
      <c r="L14748" s="13"/>
      <c r="M14748" s="14"/>
      <c r="N14748" s="14"/>
      <c r="O14748" s="14"/>
      <c r="P14748" s="13"/>
    </row>
    <row r="14749">
      <c r="L14749" s="13"/>
      <c r="M14749" s="14"/>
      <c r="N14749" s="14"/>
      <c r="O14749" s="14"/>
      <c r="P14749" s="13"/>
    </row>
    <row r="14750">
      <c r="L14750" s="13"/>
      <c r="M14750" s="14"/>
      <c r="N14750" s="14"/>
      <c r="O14750" s="14"/>
      <c r="P14750" s="13"/>
    </row>
    <row r="14751">
      <c r="L14751" s="13"/>
      <c r="M14751" s="14"/>
      <c r="N14751" s="14"/>
      <c r="O14751" s="14"/>
      <c r="P14751" s="13"/>
    </row>
    <row r="14752">
      <c r="L14752" s="13"/>
      <c r="M14752" s="14"/>
      <c r="N14752" s="14"/>
      <c r="O14752" s="14"/>
      <c r="P14752" s="13"/>
    </row>
    <row r="14753">
      <c r="L14753" s="13"/>
      <c r="M14753" s="14"/>
      <c r="N14753" s="14"/>
      <c r="O14753" s="14"/>
      <c r="P14753" s="13"/>
    </row>
    <row r="14754">
      <c r="L14754" s="13"/>
      <c r="M14754" s="14"/>
      <c r="N14754" s="14"/>
      <c r="O14754" s="14"/>
      <c r="P14754" s="13"/>
    </row>
    <row r="14755">
      <c r="L14755" s="13"/>
      <c r="M14755" s="14"/>
      <c r="N14755" s="14"/>
      <c r="O14755" s="14"/>
      <c r="P14755" s="13"/>
    </row>
    <row r="14756">
      <c r="L14756" s="13"/>
      <c r="M14756" s="14"/>
      <c r="N14756" s="14"/>
      <c r="O14756" s="14"/>
      <c r="P14756" s="13"/>
    </row>
    <row r="14757">
      <c r="L14757" s="13"/>
      <c r="M14757" s="14"/>
      <c r="N14757" s="14"/>
      <c r="O14757" s="14"/>
      <c r="P14757" s="13"/>
    </row>
    <row r="14758">
      <c r="L14758" s="13"/>
      <c r="M14758" s="14"/>
      <c r="N14758" s="14"/>
      <c r="O14758" s="14"/>
      <c r="P14758" s="13"/>
    </row>
    <row r="14759">
      <c r="L14759" s="13"/>
      <c r="M14759" s="14"/>
      <c r="N14759" s="14"/>
      <c r="O14759" s="14"/>
      <c r="P14759" s="13"/>
    </row>
    <row r="14760">
      <c r="L14760" s="13"/>
      <c r="M14760" s="14"/>
      <c r="N14760" s="14"/>
      <c r="O14760" s="14"/>
      <c r="P14760" s="13"/>
    </row>
    <row r="14761">
      <c r="L14761" s="13"/>
      <c r="M14761" s="14"/>
      <c r="N14761" s="14"/>
      <c r="O14761" s="14"/>
      <c r="P14761" s="13"/>
    </row>
    <row r="14762">
      <c r="L14762" s="13"/>
      <c r="M14762" s="14"/>
      <c r="N14762" s="14"/>
      <c r="O14762" s="14"/>
      <c r="P14762" s="13"/>
    </row>
    <row r="14763">
      <c r="L14763" s="13"/>
      <c r="M14763" s="14"/>
      <c r="N14763" s="14"/>
      <c r="O14763" s="14"/>
      <c r="P14763" s="13"/>
    </row>
    <row r="14764">
      <c r="L14764" s="13"/>
      <c r="M14764" s="14"/>
      <c r="N14764" s="14"/>
      <c r="O14764" s="14"/>
      <c r="P14764" s="13"/>
    </row>
    <row r="14765">
      <c r="L14765" s="13"/>
      <c r="M14765" s="14"/>
      <c r="N14765" s="14"/>
      <c r="O14765" s="14"/>
      <c r="P14765" s="13"/>
    </row>
    <row r="14766">
      <c r="L14766" s="13"/>
      <c r="M14766" s="14"/>
      <c r="N14766" s="14"/>
      <c r="O14766" s="14"/>
      <c r="P14766" s="13"/>
    </row>
    <row r="14767">
      <c r="L14767" s="13"/>
      <c r="M14767" s="14"/>
      <c r="N14767" s="14"/>
      <c r="O14767" s="14"/>
      <c r="P14767" s="13"/>
    </row>
    <row r="14768">
      <c r="L14768" s="13"/>
      <c r="M14768" s="14"/>
      <c r="N14768" s="14"/>
      <c r="O14768" s="14"/>
      <c r="P14768" s="13"/>
    </row>
    <row r="14769">
      <c r="L14769" s="13"/>
      <c r="M14769" s="14"/>
      <c r="N14769" s="14"/>
      <c r="O14769" s="14"/>
      <c r="P14769" s="13"/>
    </row>
    <row r="14770">
      <c r="L14770" s="13"/>
      <c r="M14770" s="14"/>
      <c r="N14770" s="14"/>
      <c r="O14770" s="14"/>
      <c r="P14770" s="13"/>
    </row>
    <row r="14771">
      <c r="L14771" s="13"/>
      <c r="M14771" s="14"/>
      <c r="N14771" s="14"/>
      <c r="O14771" s="14"/>
      <c r="P14771" s="13"/>
    </row>
    <row r="14772">
      <c r="L14772" s="13"/>
      <c r="M14772" s="14"/>
      <c r="N14772" s="14"/>
      <c r="O14772" s="14"/>
      <c r="P14772" s="13"/>
    </row>
    <row r="14773">
      <c r="L14773" s="13"/>
      <c r="M14773" s="14"/>
      <c r="N14773" s="14"/>
      <c r="O14773" s="14"/>
      <c r="P14773" s="13"/>
    </row>
    <row r="14774">
      <c r="L14774" s="13"/>
      <c r="M14774" s="14"/>
      <c r="N14774" s="14"/>
      <c r="O14774" s="14"/>
      <c r="P14774" s="13"/>
    </row>
    <row r="14775">
      <c r="L14775" s="13"/>
      <c r="M14775" s="14"/>
      <c r="N14775" s="14"/>
      <c r="O14775" s="14"/>
      <c r="P14775" s="13"/>
    </row>
    <row r="14776">
      <c r="L14776" s="13"/>
      <c r="M14776" s="14"/>
      <c r="N14776" s="14"/>
      <c r="O14776" s="14"/>
      <c r="P14776" s="13"/>
    </row>
    <row r="14777">
      <c r="L14777" s="13"/>
      <c r="M14777" s="14"/>
      <c r="N14777" s="14"/>
      <c r="O14777" s="14"/>
      <c r="P14777" s="13"/>
    </row>
    <row r="14778">
      <c r="L14778" s="13"/>
      <c r="M14778" s="14"/>
      <c r="N14778" s="14"/>
      <c r="O14778" s="14"/>
      <c r="P14778" s="13"/>
    </row>
    <row r="14779">
      <c r="L14779" s="13"/>
      <c r="M14779" s="14"/>
      <c r="N14779" s="14"/>
      <c r="O14779" s="14"/>
      <c r="P14779" s="13"/>
    </row>
    <row r="14780">
      <c r="L14780" s="13"/>
      <c r="M14780" s="14"/>
      <c r="N14780" s="14"/>
      <c r="O14780" s="14"/>
      <c r="P14780" s="13"/>
    </row>
    <row r="14781">
      <c r="L14781" s="13"/>
      <c r="M14781" s="14"/>
      <c r="N14781" s="14"/>
      <c r="O14781" s="14"/>
      <c r="P14781" s="13"/>
    </row>
    <row r="14782">
      <c r="L14782" s="13"/>
      <c r="M14782" s="14"/>
      <c r="N14782" s="14"/>
      <c r="O14782" s="14"/>
      <c r="P14782" s="13"/>
    </row>
    <row r="14783">
      <c r="L14783" s="13"/>
      <c r="M14783" s="14"/>
      <c r="N14783" s="14"/>
      <c r="O14783" s="14"/>
      <c r="P14783" s="13"/>
    </row>
    <row r="14784">
      <c r="L14784" s="13"/>
      <c r="M14784" s="14"/>
      <c r="N14784" s="14"/>
      <c r="O14784" s="14"/>
      <c r="P14784" s="13"/>
    </row>
    <row r="14785">
      <c r="L14785" s="13"/>
      <c r="M14785" s="14"/>
      <c r="N14785" s="14"/>
      <c r="O14785" s="14"/>
      <c r="P14785" s="13"/>
    </row>
    <row r="14786">
      <c r="L14786" s="13"/>
      <c r="M14786" s="14"/>
      <c r="N14786" s="14"/>
      <c r="O14786" s="14"/>
      <c r="P14786" s="13"/>
    </row>
    <row r="14787">
      <c r="L14787" s="13"/>
      <c r="M14787" s="14"/>
      <c r="N14787" s="14"/>
      <c r="O14787" s="14"/>
      <c r="P14787" s="13"/>
    </row>
    <row r="14788">
      <c r="L14788" s="13"/>
      <c r="M14788" s="14"/>
      <c r="N14788" s="14"/>
      <c r="O14788" s="14"/>
      <c r="P14788" s="13"/>
    </row>
    <row r="14789">
      <c r="L14789" s="13"/>
      <c r="M14789" s="14"/>
      <c r="N14789" s="14"/>
      <c r="O14789" s="14"/>
      <c r="P14789" s="13"/>
    </row>
    <row r="14790">
      <c r="L14790" s="13"/>
      <c r="M14790" s="14"/>
      <c r="N14790" s="14"/>
      <c r="O14790" s="14"/>
      <c r="P14790" s="13"/>
    </row>
    <row r="14791">
      <c r="L14791" s="13"/>
      <c r="M14791" s="14"/>
      <c r="N14791" s="14"/>
      <c r="O14791" s="14"/>
      <c r="P14791" s="13"/>
    </row>
    <row r="14792">
      <c r="L14792" s="13"/>
      <c r="M14792" s="14"/>
      <c r="N14792" s="14"/>
      <c r="O14792" s="14"/>
      <c r="P14792" s="13"/>
    </row>
    <row r="14793">
      <c r="L14793" s="13"/>
      <c r="M14793" s="14"/>
      <c r="N14793" s="14"/>
      <c r="O14793" s="14"/>
      <c r="P14793" s="13"/>
    </row>
    <row r="14794">
      <c r="L14794" s="13"/>
      <c r="M14794" s="14"/>
      <c r="N14794" s="14"/>
      <c r="O14794" s="14"/>
      <c r="P14794" s="13"/>
    </row>
    <row r="14795">
      <c r="L14795" s="13"/>
      <c r="M14795" s="14"/>
      <c r="N14795" s="14"/>
      <c r="O14795" s="14"/>
      <c r="P14795" s="13"/>
    </row>
    <row r="14796">
      <c r="L14796" s="13"/>
      <c r="M14796" s="14"/>
      <c r="N14796" s="14"/>
      <c r="O14796" s="14"/>
      <c r="P14796" s="13"/>
    </row>
    <row r="14797">
      <c r="L14797" s="13"/>
      <c r="M14797" s="14"/>
      <c r="N14797" s="14"/>
      <c r="O14797" s="14"/>
      <c r="P14797" s="13"/>
    </row>
    <row r="14798">
      <c r="L14798" s="13"/>
      <c r="M14798" s="14"/>
      <c r="N14798" s="14"/>
      <c r="O14798" s="14"/>
      <c r="P14798" s="13"/>
    </row>
    <row r="14799">
      <c r="L14799" s="13"/>
      <c r="M14799" s="14"/>
      <c r="N14799" s="14"/>
      <c r="O14799" s="14"/>
      <c r="P14799" s="13"/>
    </row>
    <row r="14800">
      <c r="L14800" s="13"/>
      <c r="M14800" s="14"/>
      <c r="N14800" s="14"/>
      <c r="O14800" s="14"/>
      <c r="P14800" s="13"/>
    </row>
    <row r="14801">
      <c r="L14801" s="13"/>
      <c r="M14801" s="14"/>
      <c r="N14801" s="14"/>
      <c r="O14801" s="14"/>
      <c r="P14801" s="13"/>
    </row>
    <row r="14802">
      <c r="L14802" s="13"/>
      <c r="M14802" s="14"/>
      <c r="N14802" s="14"/>
      <c r="O14802" s="14"/>
      <c r="P14802" s="13"/>
    </row>
    <row r="14803">
      <c r="L14803" s="13"/>
      <c r="M14803" s="14"/>
      <c r="N14803" s="14"/>
      <c r="O14803" s="14"/>
      <c r="P14803" s="13"/>
    </row>
    <row r="14804">
      <c r="L14804" s="13"/>
      <c r="M14804" s="14"/>
      <c r="N14804" s="14"/>
      <c r="O14804" s="14"/>
      <c r="P14804" s="13"/>
    </row>
    <row r="14805">
      <c r="L14805" s="13"/>
      <c r="M14805" s="14"/>
      <c r="N14805" s="14"/>
      <c r="O14805" s="14"/>
      <c r="P14805" s="13"/>
    </row>
    <row r="14806">
      <c r="L14806" s="13"/>
      <c r="M14806" s="14"/>
      <c r="N14806" s="14"/>
      <c r="O14806" s="14"/>
      <c r="P14806" s="13"/>
    </row>
    <row r="14807">
      <c r="L14807" s="13"/>
      <c r="M14807" s="14"/>
      <c r="N14807" s="14"/>
      <c r="O14807" s="14"/>
      <c r="P14807" s="13"/>
    </row>
    <row r="14808">
      <c r="L14808" s="13"/>
      <c r="M14808" s="14"/>
      <c r="N14808" s="14"/>
      <c r="O14808" s="14"/>
      <c r="P14808" s="13"/>
    </row>
    <row r="14809">
      <c r="L14809" s="13"/>
      <c r="M14809" s="14"/>
      <c r="N14809" s="14"/>
      <c r="O14809" s="14"/>
      <c r="P14809" s="13"/>
    </row>
    <row r="14810">
      <c r="L14810" s="13"/>
      <c r="M14810" s="14"/>
      <c r="N14810" s="14"/>
      <c r="O14810" s="14"/>
      <c r="P14810" s="13"/>
    </row>
    <row r="14811">
      <c r="L14811" s="13"/>
      <c r="M14811" s="14"/>
      <c r="N14811" s="14"/>
      <c r="O14811" s="14"/>
      <c r="P14811" s="13"/>
    </row>
    <row r="14812">
      <c r="L14812" s="13"/>
      <c r="M14812" s="14"/>
      <c r="N14812" s="14"/>
      <c r="O14812" s="14"/>
      <c r="P14812" s="13"/>
    </row>
    <row r="14813">
      <c r="L14813" s="13"/>
      <c r="M14813" s="14"/>
      <c r="N14813" s="14"/>
      <c r="O14813" s="14"/>
      <c r="P14813" s="13"/>
    </row>
    <row r="14814">
      <c r="L14814" s="13"/>
      <c r="M14814" s="14"/>
      <c r="N14814" s="14"/>
      <c r="O14814" s="14"/>
      <c r="P14814" s="13"/>
    </row>
    <row r="14815">
      <c r="L14815" s="13"/>
      <c r="M14815" s="14"/>
      <c r="N14815" s="14"/>
      <c r="O14815" s="14"/>
      <c r="P14815" s="13"/>
    </row>
    <row r="14816">
      <c r="L14816" s="13"/>
      <c r="M14816" s="14"/>
      <c r="N14816" s="14"/>
      <c r="O14816" s="14"/>
      <c r="P14816" s="13"/>
    </row>
    <row r="14817">
      <c r="L14817" s="13"/>
      <c r="M14817" s="14"/>
      <c r="N14817" s="14"/>
      <c r="O14817" s="14"/>
      <c r="P14817" s="13"/>
    </row>
    <row r="14818">
      <c r="L14818" s="13"/>
      <c r="M14818" s="14"/>
      <c r="N14818" s="14"/>
      <c r="O14818" s="14"/>
      <c r="P14818" s="13"/>
    </row>
    <row r="14819">
      <c r="L14819" s="13"/>
      <c r="M14819" s="14"/>
      <c r="N14819" s="14"/>
      <c r="O14819" s="14"/>
      <c r="P14819" s="13"/>
    </row>
    <row r="14820">
      <c r="L14820" s="13"/>
      <c r="M14820" s="14"/>
      <c r="N14820" s="14"/>
      <c r="O14820" s="14"/>
      <c r="P14820" s="13"/>
    </row>
    <row r="14821">
      <c r="L14821" s="13"/>
      <c r="M14821" s="14"/>
      <c r="N14821" s="14"/>
      <c r="O14821" s="14"/>
      <c r="P14821" s="13"/>
    </row>
    <row r="14822">
      <c r="L14822" s="13"/>
      <c r="M14822" s="14"/>
      <c r="N14822" s="14"/>
      <c r="O14822" s="14"/>
      <c r="P14822" s="13"/>
    </row>
    <row r="14823">
      <c r="L14823" s="13"/>
      <c r="M14823" s="14"/>
      <c r="N14823" s="14"/>
      <c r="O14823" s="14"/>
      <c r="P14823" s="13"/>
    </row>
    <row r="14824">
      <c r="L14824" s="13"/>
      <c r="M14824" s="14"/>
      <c r="N14824" s="14"/>
      <c r="O14824" s="14"/>
      <c r="P14824" s="13"/>
    </row>
    <row r="14825">
      <c r="L14825" s="13"/>
      <c r="M14825" s="14"/>
      <c r="N14825" s="14"/>
      <c r="O14825" s="14"/>
      <c r="P14825" s="13"/>
    </row>
    <row r="14826">
      <c r="L14826" s="13"/>
      <c r="M14826" s="14"/>
      <c r="N14826" s="14"/>
      <c r="O14826" s="14"/>
      <c r="P14826" s="13"/>
    </row>
    <row r="14827">
      <c r="L14827" s="13"/>
      <c r="M14827" s="14"/>
      <c r="N14827" s="14"/>
      <c r="O14827" s="14"/>
      <c r="P14827" s="13"/>
    </row>
    <row r="14828">
      <c r="L14828" s="13"/>
      <c r="M14828" s="14"/>
      <c r="N14828" s="14"/>
      <c r="O14828" s="14"/>
      <c r="P14828" s="13"/>
    </row>
    <row r="14829">
      <c r="L14829" s="13"/>
      <c r="M14829" s="14"/>
      <c r="N14829" s="14"/>
      <c r="O14829" s="14"/>
      <c r="P14829" s="13"/>
    </row>
    <row r="14830">
      <c r="L14830" s="13"/>
      <c r="M14830" s="14"/>
      <c r="N14830" s="14"/>
      <c r="O14830" s="14"/>
      <c r="P14830" s="13"/>
    </row>
    <row r="14831">
      <c r="L14831" s="13"/>
      <c r="M14831" s="14"/>
      <c r="N14831" s="14"/>
      <c r="O14831" s="14"/>
      <c r="P14831" s="13"/>
    </row>
    <row r="14832">
      <c r="L14832" s="13"/>
      <c r="M14832" s="14"/>
      <c r="N14832" s="14"/>
      <c r="O14832" s="14"/>
      <c r="P14832" s="13"/>
    </row>
    <row r="14833">
      <c r="L14833" s="13"/>
      <c r="M14833" s="14"/>
      <c r="N14833" s="14"/>
      <c r="O14833" s="14"/>
      <c r="P14833" s="13"/>
    </row>
    <row r="14834">
      <c r="L14834" s="13"/>
      <c r="M14834" s="14"/>
      <c r="N14834" s="14"/>
      <c r="O14834" s="14"/>
      <c r="P14834" s="13"/>
    </row>
    <row r="14835">
      <c r="L14835" s="13"/>
      <c r="M14835" s="14"/>
      <c r="N14835" s="14"/>
      <c r="O14835" s="14"/>
      <c r="P14835" s="13"/>
    </row>
    <row r="14836">
      <c r="L14836" s="13"/>
      <c r="M14836" s="14"/>
      <c r="N14836" s="14"/>
      <c r="O14836" s="14"/>
      <c r="P14836" s="13"/>
    </row>
    <row r="14837">
      <c r="L14837" s="13"/>
      <c r="M14837" s="14"/>
      <c r="N14837" s="14"/>
      <c r="O14837" s="14"/>
      <c r="P14837" s="13"/>
    </row>
    <row r="14838">
      <c r="L14838" s="13"/>
      <c r="M14838" s="14"/>
      <c r="N14838" s="14"/>
      <c r="O14838" s="14"/>
      <c r="P14838" s="13"/>
    </row>
    <row r="14839">
      <c r="L14839" s="13"/>
      <c r="M14839" s="14"/>
      <c r="N14839" s="14"/>
      <c r="O14839" s="14"/>
      <c r="P14839" s="13"/>
    </row>
    <row r="14840">
      <c r="L14840" s="13"/>
      <c r="M14840" s="14"/>
      <c r="N14840" s="14"/>
      <c r="O14840" s="14"/>
      <c r="P14840" s="13"/>
    </row>
    <row r="14841">
      <c r="L14841" s="13"/>
      <c r="M14841" s="14"/>
      <c r="N14841" s="14"/>
      <c r="O14841" s="14"/>
      <c r="P14841" s="13"/>
    </row>
    <row r="14842">
      <c r="L14842" s="13"/>
      <c r="M14842" s="14"/>
      <c r="N14842" s="14"/>
      <c r="O14842" s="14"/>
      <c r="P14842" s="13"/>
    </row>
    <row r="14843">
      <c r="L14843" s="13"/>
      <c r="M14843" s="14"/>
      <c r="N14843" s="14"/>
      <c r="O14843" s="14"/>
      <c r="P14843" s="13"/>
    </row>
    <row r="14844">
      <c r="L14844" s="13"/>
      <c r="M14844" s="14"/>
      <c r="N14844" s="14"/>
      <c r="O14844" s="14"/>
      <c r="P14844" s="13"/>
    </row>
    <row r="14845">
      <c r="L14845" s="13"/>
      <c r="M14845" s="14"/>
      <c r="N14845" s="14"/>
      <c r="O14845" s="14"/>
      <c r="P14845" s="13"/>
    </row>
    <row r="14846">
      <c r="L14846" s="13"/>
      <c r="M14846" s="14"/>
      <c r="N14846" s="14"/>
      <c r="O14846" s="14"/>
      <c r="P14846" s="13"/>
    </row>
    <row r="14847">
      <c r="L14847" s="13"/>
      <c r="M14847" s="14"/>
      <c r="N14847" s="14"/>
      <c r="O14847" s="14"/>
      <c r="P14847" s="13"/>
    </row>
    <row r="14848">
      <c r="L14848" s="13"/>
      <c r="M14848" s="14"/>
      <c r="N14848" s="14"/>
      <c r="O14848" s="14"/>
      <c r="P14848" s="13"/>
    </row>
    <row r="14849">
      <c r="L14849" s="13"/>
      <c r="M14849" s="14"/>
      <c r="N14849" s="14"/>
      <c r="O14849" s="14"/>
      <c r="P14849" s="13"/>
    </row>
    <row r="14850">
      <c r="L14850" s="13"/>
      <c r="M14850" s="14"/>
      <c r="N14850" s="14"/>
      <c r="O14850" s="14"/>
      <c r="P14850" s="13"/>
    </row>
    <row r="14851">
      <c r="L14851" s="13"/>
      <c r="M14851" s="14"/>
      <c r="N14851" s="14"/>
      <c r="O14851" s="14"/>
      <c r="P14851" s="13"/>
    </row>
    <row r="14852">
      <c r="L14852" s="13"/>
      <c r="M14852" s="14"/>
      <c r="N14852" s="14"/>
      <c r="O14852" s="14"/>
      <c r="P14852" s="13"/>
    </row>
    <row r="14853">
      <c r="L14853" s="13"/>
      <c r="M14853" s="14"/>
      <c r="N14853" s="14"/>
      <c r="O14853" s="14"/>
      <c r="P14853" s="13"/>
    </row>
    <row r="14854">
      <c r="L14854" s="13"/>
      <c r="M14854" s="14"/>
      <c r="N14854" s="14"/>
      <c r="O14854" s="14"/>
      <c r="P14854" s="13"/>
    </row>
    <row r="14855">
      <c r="L14855" s="13"/>
      <c r="M14855" s="14"/>
      <c r="N14855" s="14"/>
      <c r="O14855" s="14"/>
      <c r="P14855" s="13"/>
    </row>
    <row r="14856">
      <c r="L14856" s="13"/>
      <c r="M14856" s="14"/>
      <c r="N14856" s="14"/>
      <c r="O14856" s="14"/>
      <c r="P14856" s="13"/>
    </row>
    <row r="14857">
      <c r="L14857" s="13"/>
      <c r="M14857" s="14"/>
      <c r="N14857" s="14"/>
      <c r="O14857" s="14"/>
      <c r="P14857" s="13"/>
    </row>
    <row r="14858">
      <c r="L14858" s="13"/>
      <c r="M14858" s="14"/>
      <c r="N14858" s="14"/>
      <c r="O14858" s="14"/>
      <c r="P14858" s="13"/>
    </row>
    <row r="14859">
      <c r="L14859" s="13"/>
      <c r="M14859" s="14"/>
      <c r="N14859" s="14"/>
      <c r="O14859" s="14"/>
      <c r="P14859" s="13"/>
    </row>
    <row r="14860">
      <c r="L14860" s="13"/>
      <c r="M14860" s="14"/>
      <c r="N14860" s="14"/>
      <c r="O14860" s="14"/>
      <c r="P14860" s="13"/>
    </row>
    <row r="14861">
      <c r="L14861" s="13"/>
      <c r="M14861" s="14"/>
      <c r="N14861" s="14"/>
      <c r="O14861" s="14"/>
      <c r="P14861" s="13"/>
    </row>
    <row r="14862">
      <c r="L14862" s="13"/>
      <c r="M14862" s="14"/>
      <c r="N14862" s="14"/>
      <c r="O14862" s="14"/>
      <c r="P14862" s="13"/>
    </row>
    <row r="14863">
      <c r="L14863" s="13"/>
      <c r="M14863" s="14"/>
      <c r="N14863" s="14"/>
      <c r="O14863" s="14"/>
      <c r="P14863" s="13"/>
    </row>
    <row r="14864">
      <c r="L14864" s="13"/>
      <c r="M14864" s="14"/>
      <c r="N14864" s="14"/>
      <c r="O14864" s="14"/>
      <c r="P14864" s="13"/>
    </row>
    <row r="14865">
      <c r="L14865" s="13"/>
      <c r="M14865" s="14"/>
      <c r="N14865" s="14"/>
      <c r="O14865" s="14"/>
      <c r="P14865" s="13"/>
    </row>
    <row r="14866">
      <c r="L14866" s="13"/>
      <c r="M14866" s="14"/>
      <c r="N14866" s="14"/>
      <c r="O14866" s="14"/>
      <c r="P14866" s="13"/>
    </row>
    <row r="14867">
      <c r="L14867" s="13"/>
      <c r="M14867" s="14"/>
      <c r="N14867" s="14"/>
      <c r="O14867" s="14"/>
      <c r="P14867" s="13"/>
    </row>
    <row r="14868">
      <c r="L14868" s="13"/>
      <c r="M14868" s="14"/>
      <c r="N14868" s="14"/>
      <c r="O14868" s="14"/>
      <c r="P14868" s="13"/>
    </row>
    <row r="14869">
      <c r="L14869" s="13"/>
      <c r="M14869" s="14"/>
      <c r="N14869" s="14"/>
      <c r="O14869" s="14"/>
      <c r="P14869" s="13"/>
    </row>
    <row r="14870">
      <c r="L14870" s="13"/>
      <c r="M14870" s="14"/>
      <c r="N14870" s="14"/>
      <c r="O14870" s="14"/>
      <c r="P14870" s="13"/>
    </row>
    <row r="14871">
      <c r="L14871" s="13"/>
      <c r="M14871" s="14"/>
      <c r="N14871" s="14"/>
      <c r="O14871" s="14"/>
      <c r="P14871" s="13"/>
    </row>
    <row r="14872">
      <c r="L14872" s="13"/>
      <c r="M14872" s="14"/>
      <c r="N14872" s="14"/>
      <c r="O14872" s="14"/>
      <c r="P14872" s="13"/>
    </row>
    <row r="14873">
      <c r="L14873" s="13"/>
      <c r="M14873" s="14"/>
      <c r="N14873" s="14"/>
      <c r="O14873" s="14"/>
      <c r="P14873" s="13"/>
    </row>
    <row r="14874">
      <c r="L14874" s="13"/>
      <c r="M14874" s="14"/>
      <c r="N14874" s="14"/>
      <c r="O14874" s="14"/>
      <c r="P14874" s="13"/>
    </row>
    <row r="14875">
      <c r="L14875" s="13"/>
      <c r="M14875" s="14"/>
      <c r="N14875" s="14"/>
      <c r="O14875" s="14"/>
      <c r="P14875" s="13"/>
    </row>
    <row r="14876">
      <c r="L14876" s="13"/>
      <c r="M14876" s="14"/>
      <c r="N14876" s="14"/>
      <c r="O14876" s="14"/>
      <c r="P14876" s="13"/>
    </row>
    <row r="14877">
      <c r="L14877" s="13"/>
      <c r="M14877" s="14"/>
      <c r="N14877" s="14"/>
      <c r="O14877" s="14"/>
      <c r="P14877" s="13"/>
    </row>
    <row r="14878">
      <c r="L14878" s="13"/>
      <c r="M14878" s="14"/>
      <c r="N14878" s="14"/>
      <c r="O14878" s="14"/>
      <c r="P14878" s="13"/>
    </row>
    <row r="14879">
      <c r="L14879" s="13"/>
      <c r="M14879" s="14"/>
      <c r="N14879" s="14"/>
      <c r="O14879" s="14"/>
      <c r="P14879" s="13"/>
    </row>
    <row r="14880">
      <c r="L14880" s="13"/>
      <c r="M14880" s="14"/>
      <c r="N14880" s="14"/>
      <c r="O14880" s="14"/>
      <c r="P14880" s="13"/>
    </row>
    <row r="14881">
      <c r="L14881" s="13"/>
      <c r="M14881" s="14"/>
      <c r="N14881" s="14"/>
      <c r="O14881" s="14"/>
      <c r="P14881" s="13"/>
    </row>
    <row r="14882">
      <c r="L14882" s="13"/>
      <c r="M14882" s="14"/>
      <c r="N14882" s="14"/>
      <c r="O14882" s="14"/>
      <c r="P14882" s="13"/>
    </row>
    <row r="14883">
      <c r="L14883" s="13"/>
      <c r="M14883" s="14"/>
      <c r="N14883" s="14"/>
      <c r="O14883" s="14"/>
      <c r="P14883" s="13"/>
    </row>
    <row r="14884">
      <c r="L14884" s="13"/>
      <c r="M14884" s="14"/>
      <c r="N14884" s="14"/>
      <c r="O14884" s="14"/>
      <c r="P14884" s="13"/>
    </row>
    <row r="14885">
      <c r="L14885" s="13"/>
      <c r="M14885" s="14"/>
      <c r="N14885" s="14"/>
      <c r="O14885" s="14"/>
      <c r="P14885" s="13"/>
    </row>
    <row r="14886">
      <c r="L14886" s="13"/>
      <c r="M14886" s="14"/>
      <c r="N14886" s="14"/>
      <c r="O14886" s="14"/>
      <c r="P14886" s="13"/>
    </row>
    <row r="14887">
      <c r="L14887" s="13"/>
      <c r="M14887" s="14"/>
      <c r="N14887" s="14"/>
      <c r="O14887" s="14"/>
      <c r="P14887" s="13"/>
    </row>
    <row r="14888">
      <c r="L14888" s="13"/>
      <c r="M14888" s="14"/>
      <c r="N14888" s="14"/>
      <c r="O14888" s="14"/>
      <c r="P14888" s="13"/>
    </row>
    <row r="14889">
      <c r="L14889" s="13"/>
      <c r="M14889" s="14"/>
      <c r="N14889" s="14"/>
      <c r="O14889" s="14"/>
      <c r="P14889" s="13"/>
    </row>
    <row r="14890">
      <c r="L14890" s="13"/>
      <c r="M14890" s="14"/>
      <c r="N14890" s="14"/>
      <c r="O14890" s="14"/>
      <c r="P14890" s="13"/>
    </row>
    <row r="14891">
      <c r="L14891" s="13"/>
      <c r="M14891" s="14"/>
      <c r="N14891" s="14"/>
      <c r="O14891" s="14"/>
      <c r="P14891" s="13"/>
    </row>
    <row r="14892">
      <c r="L14892" s="13"/>
      <c r="M14892" s="14"/>
      <c r="N14892" s="14"/>
      <c r="O14892" s="14"/>
      <c r="P14892" s="13"/>
    </row>
    <row r="14893">
      <c r="L14893" s="13"/>
      <c r="M14893" s="14"/>
      <c r="N14893" s="14"/>
      <c r="O14893" s="14"/>
      <c r="P14893" s="13"/>
    </row>
    <row r="14894">
      <c r="L14894" s="13"/>
      <c r="M14894" s="14"/>
      <c r="N14894" s="14"/>
      <c r="O14894" s="14"/>
      <c r="P14894" s="13"/>
    </row>
    <row r="14895">
      <c r="L14895" s="13"/>
      <c r="M14895" s="14"/>
      <c r="N14895" s="14"/>
      <c r="O14895" s="14"/>
      <c r="P14895" s="13"/>
    </row>
    <row r="14896">
      <c r="L14896" s="13"/>
      <c r="M14896" s="14"/>
      <c r="N14896" s="14"/>
      <c r="O14896" s="14"/>
      <c r="P14896" s="13"/>
    </row>
    <row r="14897">
      <c r="L14897" s="13"/>
      <c r="M14897" s="14"/>
      <c r="N14897" s="14"/>
      <c r="O14897" s="14"/>
      <c r="P14897" s="13"/>
    </row>
    <row r="14898">
      <c r="L14898" s="13"/>
      <c r="M14898" s="14"/>
      <c r="N14898" s="14"/>
      <c r="O14898" s="14"/>
      <c r="P14898" s="13"/>
    </row>
    <row r="14899">
      <c r="L14899" s="13"/>
      <c r="M14899" s="14"/>
      <c r="N14899" s="14"/>
      <c r="O14899" s="14"/>
      <c r="P14899" s="13"/>
    </row>
    <row r="14900">
      <c r="L14900" s="13"/>
      <c r="M14900" s="14"/>
      <c r="N14900" s="14"/>
      <c r="O14900" s="14"/>
      <c r="P14900" s="13"/>
    </row>
    <row r="14901">
      <c r="L14901" s="13"/>
      <c r="M14901" s="14"/>
      <c r="N14901" s="14"/>
      <c r="O14901" s="14"/>
      <c r="P14901" s="13"/>
    </row>
    <row r="14902">
      <c r="L14902" s="13"/>
      <c r="M14902" s="14"/>
      <c r="N14902" s="14"/>
      <c r="O14902" s="14"/>
      <c r="P14902" s="13"/>
    </row>
    <row r="14903">
      <c r="L14903" s="13"/>
      <c r="M14903" s="14"/>
      <c r="N14903" s="14"/>
      <c r="O14903" s="14"/>
      <c r="P14903" s="13"/>
    </row>
    <row r="14904">
      <c r="L14904" s="13"/>
      <c r="M14904" s="14"/>
      <c r="N14904" s="14"/>
      <c r="O14904" s="14"/>
      <c r="P14904" s="13"/>
    </row>
    <row r="14905">
      <c r="L14905" s="13"/>
      <c r="M14905" s="14"/>
      <c r="N14905" s="14"/>
      <c r="O14905" s="14"/>
      <c r="P14905" s="13"/>
    </row>
    <row r="14906">
      <c r="L14906" s="13"/>
      <c r="M14906" s="14"/>
      <c r="N14906" s="14"/>
      <c r="O14906" s="14"/>
      <c r="P14906" s="13"/>
    </row>
    <row r="14907">
      <c r="L14907" s="13"/>
      <c r="M14907" s="14"/>
      <c r="N14907" s="14"/>
      <c r="O14907" s="14"/>
      <c r="P14907" s="13"/>
    </row>
    <row r="14908">
      <c r="L14908" s="13"/>
      <c r="M14908" s="14"/>
      <c r="N14908" s="14"/>
      <c r="O14908" s="14"/>
      <c r="P14908" s="13"/>
    </row>
    <row r="14909">
      <c r="L14909" s="13"/>
      <c r="M14909" s="14"/>
      <c r="N14909" s="14"/>
      <c r="O14909" s="14"/>
      <c r="P14909" s="13"/>
    </row>
    <row r="14910">
      <c r="L14910" s="13"/>
      <c r="M14910" s="14"/>
      <c r="N14910" s="14"/>
      <c r="O14910" s="14"/>
      <c r="P14910" s="13"/>
    </row>
    <row r="14911">
      <c r="L14911" s="13"/>
      <c r="M14911" s="14"/>
      <c r="N14911" s="14"/>
      <c r="O14911" s="14"/>
      <c r="P14911" s="13"/>
    </row>
    <row r="14912">
      <c r="L14912" s="13"/>
      <c r="M14912" s="14"/>
      <c r="N14912" s="14"/>
      <c r="O14912" s="14"/>
      <c r="P14912" s="13"/>
    </row>
    <row r="14913">
      <c r="L14913" s="13"/>
      <c r="M14913" s="14"/>
      <c r="N14913" s="14"/>
      <c r="O14913" s="14"/>
      <c r="P14913" s="13"/>
    </row>
    <row r="14914">
      <c r="L14914" s="13"/>
      <c r="M14914" s="14"/>
      <c r="N14914" s="14"/>
      <c r="O14914" s="14"/>
      <c r="P14914" s="13"/>
    </row>
    <row r="14915">
      <c r="L14915" s="13"/>
      <c r="M14915" s="14"/>
      <c r="N14915" s="14"/>
      <c r="O14915" s="14"/>
      <c r="P14915" s="13"/>
    </row>
    <row r="14916">
      <c r="L14916" s="13"/>
      <c r="M14916" s="14"/>
      <c r="N14916" s="14"/>
      <c r="O14916" s="14"/>
      <c r="P14916" s="13"/>
    </row>
    <row r="14917">
      <c r="L14917" s="13"/>
      <c r="M14917" s="14"/>
      <c r="N14917" s="14"/>
      <c r="O14917" s="14"/>
      <c r="P14917" s="13"/>
    </row>
    <row r="14918">
      <c r="L14918" s="13"/>
      <c r="M14918" s="14"/>
      <c r="N14918" s="14"/>
      <c r="O14918" s="14"/>
      <c r="P14918" s="13"/>
    </row>
    <row r="14919">
      <c r="L14919" s="13"/>
      <c r="M14919" s="14"/>
      <c r="N14919" s="14"/>
      <c r="O14919" s="14"/>
      <c r="P14919" s="13"/>
    </row>
    <row r="14920">
      <c r="L14920" s="13"/>
      <c r="M14920" s="14"/>
      <c r="N14920" s="14"/>
      <c r="O14920" s="14"/>
      <c r="P14920" s="13"/>
    </row>
    <row r="14921">
      <c r="L14921" s="13"/>
      <c r="M14921" s="14"/>
      <c r="N14921" s="14"/>
      <c r="O14921" s="14"/>
      <c r="P14921" s="13"/>
    </row>
    <row r="14922">
      <c r="L14922" s="13"/>
      <c r="M14922" s="14"/>
      <c r="N14922" s="14"/>
      <c r="O14922" s="14"/>
      <c r="P14922" s="13"/>
    </row>
    <row r="14923">
      <c r="L14923" s="13"/>
      <c r="M14923" s="14"/>
      <c r="N14923" s="14"/>
      <c r="O14923" s="14"/>
      <c r="P14923" s="13"/>
    </row>
    <row r="14924">
      <c r="L14924" s="13"/>
      <c r="M14924" s="14"/>
      <c r="N14924" s="14"/>
      <c r="O14924" s="14"/>
      <c r="P14924" s="13"/>
    </row>
    <row r="14925">
      <c r="L14925" s="13"/>
      <c r="M14925" s="14"/>
      <c r="N14925" s="14"/>
      <c r="O14925" s="14"/>
      <c r="P14925" s="13"/>
    </row>
    <row r="14926">
      <c r="L14926" s="13"/>
      <c r="M14926" s="14"/>
      <c r="N14926" s="14"/>
      <c r="O14926" s="14"/>
      <c r="P14926" s="13"/>
    </row>
    <row r="14927">
      <c r="L14927" s="13"/>
      <c r="M14927" s="14"/>
      <c r="N14927" s="14"/>
      <c r="O14927" s="14"/>
      <c r="P14927" s="13"/>
    </row>
    <row r="14928">
      <c r="L14928" s="13"/>
      <c r="M14928" s="14"/>
      <c r="N14928" s="14"/>
      <c r="O14928" s="14"/>
      <c r="P14928" s="13"/>
    </row>
    <row r="14929">
      <c r="L14929" s="13"/>
      <c r="M14929" s="14"/>
      <c r="N14929" s="14"/>
      <c r="O14929" s="14"/>
      <c r="P14929" s="13"/>
    </row>
    <row r="14930">
      <c r="L14930" s="13"/>
      <c r="M14930" s="14"/>
      <c r="N14930" s="14"/>
      <c r="O14930" s="14"/>
      <c r="P14930" s="13"/>
    </row>
    <row r="14931">
      <c r="L14931" s="13"/>
      <c r="M14931" s="14"/>
      <c r="N14931" s="14"/>
      <c r="O14931" s="14"/>
      <c r="P14931" s="13"/>
    </row>
    <row r="14932">
      <c r="L14932" s="13"/>
      <c r="M14932" s="14"/>
      <c r="N14932" s="14"/>
      <c r="O14932" s="14"/>
      <c r="P14932" s="13"/>
    </row>
    <row r="14933">
      <c r="L14933" s="13"/>
      <c r="M14933" s="14"/>
      <c r="N14933" s="14"/>
      <c r="O14933" s="14"/>
      <c r="P14933" s="13"/>
    </row>
    <row r="14934">
      <c r="L14934" s="13"/>
      <c r="M14934" s="14"/>
      <c r="N14934" s="14"/>
      <c r="O14934" s="14"/>
      <c r="P14934" s="13"/>
    </row>
    <row r="14935">
      <c r="L14935" s="13"/>
      <c r="M14935" s="14"/>
      <c r="N14935" s="14"/>
      <c r="O14935" s="14"/>
      <c r="P14935" s="13"/>
    </row>
    <row r="14936">
      <c r="L14936" s="13"/>
      <c r="M14936" s="14"/>
      <c r="N14936" s="14"/>
      <c r="O14936" s="14"/>
      <c r="P14936" s="13"/>
    </row>
    <row r="14937">
      <c r="L14937" s="13"/>
      <c r="M14937" s="14"/>
      <c r="N14937" s="14"/>
      <c r="O14937" s="14"/>
      <c r="P14937" s="13"/>
    </row>
    <row r="14938">
      <c r="L14938" s="13"/>
      <c r="M14938" s="14"/>
      <c r="N14938" s="14"/>
      <c r="O14938" s="14"/>
      <c r="P14938" s="13"/>
    </row>
    <row r="14939">
      <c r="L14939" s="13"/>
      <c r="M14939" s="14"/>
      <c r="N14939" s="14"/>
      <c r="O14939" s="14"/>
      <c r="P14939" s="13"/>
    </row>
    <row r="14940">
      <c r="L14940" s="13"/>
      <c r="M14940" s="14"/>
      <c r="N14940" s="14"/>
      <c r="O14940" s="14"/>
      <c r="P14940" s="13"/>
    </row>
    <row r="14941">
      <c r="L14941" s="13"/>
      <c r="M14941" s="14"/>
      <c r="N14941" s="14"/>
      <c r="O14941" s="14"/>
      <c r="P14941" s="13"/>
    </row>
    <row r="14942">
      <c r="L14942" s="13"/>
      <c r="M14942" s="14"/>
      <c r="N14942" s="14"/>
      <c r="O14942" s="14"/>
      <c r="P14942" s="13"/>
    </row>
    <row r="14943">
      <c r="L14943" s="13"/>
      <c r="M14943" s="14"/>
      <c r="N14943" s="14"/>
      <c r="O14943" s="14"/>
      <c r="P14943" s="13"/>
    </row>
    <row r="14944">
      <c r="L14944" s="13"/>
      <c r="M14944" s="14"/>
      <c r="N14944" s="14"/>
      <c r="O14944" s="14"/>
      <c r="P14944" s="13"/>
    </row>
    <row r="14945">
      <c r="L14945" s="13"/>
      <c r="M14945" s="14"/>
      <c r="N14945" s="14"/>
      <c r="O14945" s="14"/>
      <c r="P14945" s="13"/>
    </row>
    <row r="14946">
      <c r="L14946" s="13"/>
      <c r="M14946" s="14"/>
      <c r="N14946" s="14"/>
      <c r="O14946" s="14"/>
      <c r="P14946" s="13"/>
    </row>
    <row r="14947">
      <c r="L14947" s="13"/>
      <c r="M14947" s="14"/>
      <c r="N14947" s="14"/>
      <c r="O14947" s="14"/>
      <c r="P14947" s="13"/>
    </row>
    <row r="14948">
      <c r="L14948" s="13"/>
      <c r="M14948" s="14"/>
      <c r="N14948" s="14"/>
      <c r="O14948" s="14"/>
      <c r="P14948" s="13"/>
    </row>
    <row r="14949">
      <c r="L14949" s="13"/>
      <c r="M14949" s="14"/>
      <c r="N14949" s="14"/>
      <c r="O14949" s="14"/>
      <c r="P14949" s="13"/>
    </row>
    <row r="14950">
      <c r="L14950" s="13"/>
      <c r="M14950" s="14"/>
      <c r="N14950" s="14"/>
      <c r="O14950" s="14"/>
      <c r="P14950" s="13"/>
    </row>
    <row r="14951">
      <c r="L14951" s="13"/>
      <c r="M14951" s="14"/>
      <c r="N14951" s="14"/>
      <c r="O14951" s="14"/>
      <c r="P14951" s="13"/>
    </row>
    <row r="14952">
      <c r="L14952" s="13"/>
      <c r="M14952" s="14"/>
      <c r="N14952" s="14"/>
      <c r="O14952" s="14"/>
      <c r="P14952" s="13"/>
    </row>
    <row r="14953">
      <c r="L14953" s="13"/>
      <c r="M14953" s="14"/>
      <c r="N14953" s="14"/>
      <c r="O14953" s="14"/>
      <c r="P14953" s="13"/>
    </row>
    <row r="14954">
      <c r="L14954" s="13"/>
      <c r="M14954" s="14"/>
      <c r="N14954" s="14"/>
      <c r="O14954" s="14"/>
      <c r="P14954" s="13"/>
    </row>
    <row r="14955">
      <c r="L14955" s="13"/>
      <c r="M14955" s="14"/>
      <c r="N14955" s="14"/>
      <c r="O14955" s="14"/>
      <c r="P14955" s="13"/>
    </row>
    <row r="14956">
      <c r="L14956" s="13"/>
      <c r="M14956" s="14"/>
      <c r="N14956" s="14"/>
      <c r="O14956" s="14"/>
      <c r="P14956" s="13"/>
    </row>
    <row r="14957">
      <c r="L14957" s="13"/>
      <c r="M14957" s="14"/>
      <c r="N14957" s="14"/>
      <c r="O14957" s="14"/>
      <c r="P14957" s="13"/>
    </row>
    <row r="14958">
      <c r="L14958" s="13"/>
      <c r="M14958" s="14"/>
      <c r="N14958" s="14"/>
      <c r="O14958" s="14"/>
      <c r="P14958" s="13"/>
    </row>
    <row r="14959">
      <c r="L14959" s="13"/>
      <c r="M14959" s="14"/>
      <c r="N14959" s="14"/>
      <c r="O14959" s="14"/>
      <c r="P14959" s="13"/>
    </row>
    <row r="14960">
      <c r="L14960" s="13"/>
      <c r="M14960" s="14"/>
      <c r="N14960" s="14"/>
      <c r="O14960" s="14"/>
      <c r="P14960" s="13"/>
    </row>
    <row r="14961">
      <c r="L14961" s="13"/>
      <c r="M14961" s="14"/>
      <c r="N14961" s="14"/>
      <c r="O14961" s="14"/>
      <c r="P14961" s="13"/>
    </row>
    <row r="14962">
      <c r="L14962" s="13"/>
      <c r="M14962" s="14"/>
      <c r="N14962" s="14"/>
      <c r="O14962" s="14"/>
      <c r="P14962" s="13"/>
    </row>
    <row r="14963">
      <c r="L14963" s="13"/>
      <c r="M14963" s="14"/>
      <c r="N14963" s="14"/>
      <c r="O14963" s="14"/>
      <c r="P14963" s="13"/>
    </row>
    <row r="14964">
      <c r="L14964" s="13"/>
      <c r="M14964" s="14"/>
      <c r="N14964" s="14"/>
      <c r="O14964" s="14"/>
      <c r="P14964" s="13"/>
    </row>
    <row r="14965">
      <c r="L14965" s="13"/>
      <c r="M14965" s="14"/>
      <c r="N14965" s="14"/>
      <c r="O14965" s="14"/>
      <c r="P14965" s="13"/>
    </row>
    <row r="14966">
      <c r="L14966" s="13"/>
      <c r="M14966" s="14"/>
      <c r="N14966" s="14"/>
      <c r="O14966" s="14"/>
      <c r="P14966" s="13"/>
    </row>
    <row r="14967">
      <c r="L14967" s="13"/>
      <c r="M14967" s="14"/>
      <c r="N14967" s="14"/>
      <c r="O14967" s="14"/>
      <c r="P14967" s="13"/>
    </row>
    <row r="14968">
      <c r="L14968" s="13"/>
      <c r="M14968" s="14"/>
      <c r="N14968" s="14"/>
      <c r="O14968" s="14"/>
      <c r="P14968" s="13"/>
    </row>
    <row r="14969">
      <c r="L14969" s="13"/>
      <c r="M14969" s="14"/>
      <c r="N14969" s="14"/>
      <c r="O14969" s="14"/>
      <c r="P14969" s="13"/>
    </row>
    <row r="14970">
      <c r="L14970" s="13"/>
      <c r="M14970" s="14"/>
      <c r="N14970" s="14"/>
      <c r="O14970" s="14"/>
      <c r="P14970" s="13"/>
    </row>
    <row r="14971">
      <c r="L14971" s="13"/>
      <c r="M14971" s="14"/>
      <c r="N14971" s="14"/>
      <c r="O14971" s="14"/>
      <c r="P14971" s="13"/>
    </row>
    <row r="14972">
      <c r="L14972" s="13"/>
      <c r="M14972" s="14"/>
      <c r="N14972" s="14"/>
      <c r="O14972" s="14"/>
      <c r="P14972" s="13"/>
    </row>
    <row r="14973">
      <c r="L14973" s="13"/>
      <c r="M14973" s="14"/>
      <c r="N14973" s="14"/>
      <c r="O14973" s="14"/>
      <c r="P14973" s="13"/>
    </row>
    <row r="14974">
      <c r="L14974" s="13"/>
      <c r="M14974" s="14"/>
      <c r="N14974" s="14"/>
      <c r="O14974" s="14"/>
      <c r="P14974" s="13"/>
    </row>
    <row r="14975">
      <c r="L14975" s="13"/>
      <c r="M14975" s="14"/>
      <c r="N14975" s="14"/>
      <c r="O14975" s="14"/>
      <c r="P14975" s="13"/>
    </row>
    <row r="14976">
      <c r="L14976" s="13"/>
      <c r="M14976" s="14"/>
      <c r="N14976" s="14"/>
      <c r="O14976" s="14"/>
      <c r="P14976" s="13"/>
    </row>
    <row r="14977">
      <c r="L14977" s="13"/>
      <c r="M14977" s="14"/>
      <c r="N14977" s="14"/>
      <c r="O14977" s="14"/>
      <c r="P14977" s="13"/>
    </row>
    <row r="14978">
      <c r="L14978" s="13"/>
      <c r="M14978" s="14"/>
      <c r="N14978" s="14"/>
      <c r="O14978" s="14"/>
      <c r="P14978" s="13"/>
    </row>
    <row r="14979">
      <c r="L14979" s="13"/>
      <c r="M14979" s="14"/>
      <c r="N14979" s="14"/>
      <c r="O14979" s="14"/>
      <c r="P14979" s="13"/>
    </row>
    <row r="14980">
      <c r="L14980" s="13"/>
      <c r="M14980" s="14"/>
      <c r="N14980" s="14"/>
      <c r="O14980" s="14"/>
      <c r="P14980" s="13"/>
    </row>
    <row r="14981">
      <c r="L14981" s="13"/>
      <c r="M14981" s="14"/>
      <c r="N14981" s="14"/>
      <c r="O14981" s="14"/>
      <c r="P14981" s="13"/>
    </row>
    <row r="14982">
      <c r="L14982" s="13"/>
      <c r="M14982" s="14"/>
      <c r="N14982" s="14"/>
      <c r="O14982" s="14"/>
      <c r="P14982" s="13"/>
    </row>
    <row r="14983">
      <c r="L14983" s="13"/>
      <c r="M14983" s="14"/>
      <c r="N14983" s="14"/>
      <c r="O14983" s="14"/>
      <c r="P14983" s="13"/>
    </row>
    <row r="14984">
      <c r="L14984" s="13"/>
      <c r="M14984" s="14"/>
      <c r="N14984" s="14"/>
      <c r="O14984" s="14"/>
      <c r="P14984" s="13"/>
    </row>
    <row r="14985">
      <c r="L14985" s="13"/>
      <c r="M14985" s="14"/>
      <c r="N14985" s="14"/>
      <c r="O14985" s="14"/>
      <c r="P14985" s="13"/>
    </row>
    <row r="14986">
      <c r="L14986" s="13"/>
      <c r="M14986" s="14"/>
      <c r="N14986" s="14"/>
      <c r="O14986" s="14"/>
      <c r="P14986" s="13"/>
    </row>
    <row r="14987">
      <c r="L14987" s="13"/>
      <c r="M14987" s="14"/>
      <c r="N14987" s="14"/>
      <c r="O14987" s="14"/>
      <c r="P14987" s="13"/>
    </row>
    <row r="14988">
      <c r="L14988" s="13"/>
      <c r="M14988" s="14"/>
      <c r="N14988" s="14"/>
      <c r="O14988" s="14"/>
      <c r="P14988" s="13"/>
    </row>
    <row r="14989">
      <c r="L14989" s="13"/>
      <c r="M14989" s="14"/>
      <c r="N14989" s="14"/>
      <c r="O14989" s="14"/>
      <c r="P14989" s="13"/>
    </row>
    <row r="14990">
      <c r="L14990" s="13"/>
      <c r="M14990" s="14"/>
      <c r="N14990" s="14"/>
      <c r="O14990" s="14"/>
      <c r="P14990" s="13"/>
    </row>
    <row r="14991">
      <c r="L14991" s="13"/>
      <c r="M14991" s="14"/>
      <c r="N14991" s="14"/>
      <c r="O14991" s="14"/>
      <c r="P14991" s="13"/>
    </row>
    <row r="14992">
      <c r="L14992" s="13"/>
      <c r="M14992" s="14"/>
      <c r="N14992" s="14"/>
      <c r="O14992" s="14"/>
      <c r="P14992" s="13"/>
    </row>
    <row r="14993">
      <c r="L14993" s="13"/>
      <c r="M14993" s="14"/>
      <c r="N14993" s="14"/>
      <c r="O14993" s="14"/>
      <c r="P14993" s="13"/>
    </row>
    <row r="14994">
      <c r="L14994" s="13"/>
      <c r="M14994" s="14"/>
      <c r="N14994" s="14"/>
      <c r="O14994" s="14"/>
      <c r="P14994" s="13"/>
    </row>
    <row r="14995">
      <c r="L14995" s="13"/>
      <c r="M14995" s="14"/>
      <c r="N14995" s="14"/>
      <c r="O14995" s="14"/>
      <c r="P14995" s="13"/>
    </row>
    <row r="14996">
      <c r="L14996" s="13"/>
      <c r="M14996" s="14"/>
      <c r="N14996" s="14"/>
      <c r="O14996" s="14"/>
      <c r="P14996" s="13"/>
    </row>
    <row r="14997">
      <c r="L14997" s="13"/>
      <c r="M14997" s="14"/>
      <c r="N14997" s="14"/>
      <c r="O14997" s="14"/>
      <c r="P14997" s="13"/>
    </row>
    <row r="14998">
      <c r="L14998" s="13"/>
      <c r="M14998" s="14"/>
      <c r="N14998" s="14"/>
      <c r="O14998" s="14"/>
      <c r="P14998" s="13"/>
    </row>
    <row r="14999">
      <c r="L14999" s="13"/>
      <c r="M14999" s="14"/>
      <c r="N14999" s="14"/>
      <c r="O14999" s="14"/>
      <c r="P14999" s="13"/>
    </row>
    <row r="15000">
      <c r="L15000" s="13"/>
      <c r="M15000" s="14"/>
      <c r="N15000" s="14"/>
      <c r="O15000" s="14"/>
      <c r="P15000" s="13"/>
    </row>
    <row r="15001">
      <c r="L15001" s="13"/>
      <c r="M15001" s="14"/>
      <c r="N15001" s="14"/>
      <c r="O15001" s="14"/>
      <c r="P15001" s="13"/>
    </row>
    <row r="15002">
      <c r="L15002" s="13"/>
      <c r="M15002" s="14"/>
      <c r="N15002" s="14"/>
      <c r="O15002" s="14"/>
      <c r="P15002" s="13"/>
    </row>
    <row r="15003">
      <c r="L15003" s="13"/>
      <c r="M15003" s="14"/>
      <c r="N15003" s="14"/>
      <c r="O15003" s="14"/>
      <c r="P15003" s="13"/>
    </row>
    <row r="15004">
      <c r="L15004" s="13"/>
      <c r="M15004" s="14"/>
      <c r="N15004" s="14"/>
      <c r="O15004" s="14"/>
      <c r="P15004" s="13"/>
    </row>
    <row r="15005">
      <c r="L15005" s="13"/>
      <c r="M15005" s="14"/>
      <c r="N15005" s="14"/>
      <c r="O15005" s="14"/>
      <c r="P15005" s="13"/>
    </row>
    <row r="15006">
      <c r="L15006" s="13"/>
      <c r="M15006" s="14"/>
      <c r="N15006" s="14"/>
      <c r="O15006" s="14"/>
      <c r="P15006" s="13"/>
    </row>
    <row r="15007">
      <c r="L15007" s="13"/>
      <c r="M15007" s="14"/>
      <c r="N15007" s="14"/>
      <c r="O15007" s="14"/>
      <c r="P15007" s="13"/>
    </row>
    <row r="15008">
      <c r="L15008" s="13"/>
      <c r="M15008" s="14"/>
      <c r="N15008" s="14"/>
      <c r="O15008" s="14"/>
      <c r="P15008" s="13"/>
    </row>
    <row r="15009">
      <c r="L15009" s="13"/>
      <c r="M15009" s="14"/>
      <c r="N15009" s="14"/>
      <c r="O15009" s="14"/>
      <c r="P15009" s="13"/>
    </row>
    <row r="15010">
      <c r="L15010" s="13"/>
      <c r="M15010" s="14"/>
      <c r="N15010" s="14"/>
      <c r="O15010" s="14"/>
      <c r="P15010" s="13"/>
    </row>
    <row r="15011">
      <c r="L15011" s="13"/>
      <c r="M15011" s="14"/>
      <c r="N15011" s="14"/>
      <c r="O15011" s="14"/>
      <c r="P15011" s="13"/>
    </row>
    <row r="15012">
      <c r="L15012" s="13"/>
      <c r="M15012" s="14"/>
      <c r="N15012" s="14"/>
      <c r="O15012" s="14"/>
      <c r="P15012" s="13"/>
    </row>
    <row r="15013">
      <c r="L15013" s="13"/>
      <c r="M15013" s="14"/>
      <c r="N15013" s="14"/>
      <c r="O15013" s="14"/>
      <c r="P15013" s="13"/>
    </row>
    <row r="15014">
      <c r="L15014" s="13"/>
      <c r="M15014" s="14"/>
      <c r="N15014" s="14"/>
      <c r="O15014" s="14"/>
      <c r="P15014" s="13"/>
    </row>
    <row r="15015">
      <c r="L15015" s="13"/>
      <c r="M15015" s="14"/>
      <c r="N15015" s="14"/>
      <c r="O15015" s="14"/>
      <c r="P15015" s="13"/>
    </row>
    <row r="15016">
      <c r="L15016" s="13"/>
      <c r="M15016" s="14"/>
      <c r="N15016" s="14"/>
      <c r="O15016" s="14"/>
      <c r="P15016" s="13"/>
    </row>
    <row r="15017">
      <c r="L15017" s="13"/>
      <c r="M15017" s="14"/>
      <c r="N15017" s="14"/>
      <c r="O15017" s="14"/>
      <c r="P15017" s="13"/>
    </row>
    <row r="15018">
      <c r="L15018" s="13"/>
      <c r="M15018" s="14"/>
      <c r="N15018" s="14"/>
      <c r="O15018" s="14"/>
      <c r="P15018" s="13"/>
    </row>
    <row r="15019">
      <c r="L15019" s="13"/>
      <c r="M15019" s="14"/>
      <c r="N15019" s="14"/>
      <c r="O15019" s="14"/>
      <c r="P15019" s="13"/>
    </row>
    <row r="15020">
      <c r="L15020" s="13"/>
      <c r="M15020" s="14"/>
      <c r="N15020" s="14"/>
      <c r="O15020" s="14"/>
      <c r="P15020" s="13"/>
    </row>
    <row r="15021">
      <c r="L15021" s="13"/>
      <c r="M15021" s="14"/>
      <c r="N15021" s="14"/>
      <c r="O15021" s="14"/>
      <c r="P15021" s="13"/>
    </row>
    <row r="15022">
      <c r="L15022" s="13"/>
      <c r="M15022" s="14"/>
      <c r="N15022" s="14"/>
      <c r="O15022" s="14"/>
      <c r="P15022" s="13"/>
    </row>
    <row r="15023">
      <c r="L15023" s="13"/>
      <c r="M15023" s="14"/>
      <c r="N15023" s="14"/>
      <c r="O15023" s="14"/>
      <c r="P15023" s="13"/>
    </row>
    <row r="15024">
      <c r="L15024" s="13"/>
      <c r="M15024" s="14"/>
      <c r="N15024" s="14"/>
      <c r="O15024" s="14"/>
      <c r="P15024" s="13"/>
    </row>
    <row r="15025">
      <c r="L15025" s="13"/>
      <c r="M15025" s="14"/>
      <c r="N15025" s="14"/>
      <c r="O15025" s="14"/>
      <c r="P15025" s="13"/>
    </row>
    <row r="15026">
      <c r="L15026" s="13"/>
      <c r="M15026" s="14"/>
      <c r="N15026" s="14"/>
      <c r="O15026" s="14"/>
      <c r="P15026" s="13"/>
    </row>
    <row r="15027">
      <c r="L15027" s="13"/>
      <c r="M15027" s="14"/>
      <c r="N15027" s="14"/>
      <c r="O15027" s="14"/>
      <c r="P15027" s="13"/>
    </row>
    <row r="15028">
      <c r="L15028" s="13"/>
      <c r="M15028" s="14"/>
      <c r="N15028" s="14"/>
      <c r="O15028" s="14"/>
      <c r="P15028" s="13"/>
    </row>
    <row r="15029">
      <c r="L15029" s="13"/>
      <c r="M15029" s="14"/>
      <c r="N15029" s="14"/>
      <c r="O15029" s="14"/>
      <c r="P15029" s="13"/>
    </row>
    <row r="15030">
      <c r="L15030" s="13"/>
      <c r="M15030" s="14"/>
      <c r="N15030" s="14"/>
      <c r="O15030" s="14"/>
      <c r="P15030" s="13"/>
    </row>
    <row r="15031">
      <c r="L15031" s="13"/>
      <c r="M15031" s="14"/>
      <c r="N15031" s="14"/>
      <c r="O15031" s="14"/>
      <c r="P15031" s="13"/>
    </row>
    <row r="15032">
      <c r="L15032" s="13"/>
      <c r="M15032" s="14"/>
      <c r="N15032" s="14"/>
      <c r="O15032" s="14"/>
      <c r="P15032" s="13"/>
    </row>
    <row r="15033">
      <c r="L15033" s="13"/>
      <c r="M15033" s="14"/>
      <c r="N15033" s="14"/>
      <c r="O15033" s="14"/>
      <c r="P15033" s="13"/>
    </row>
    <row r="15034">
      <c r="L15034" s="13"/>
      <c r="M15034" s="14"/>
      <c r="N15034" s="14"/>
      <c r="O15034" s="14"/>
      <c r="P15034" s="13"/>
    </row>
    <row r="15035">
      <c r="L15035" s="13"/>
      <c r="M15035" s="14"/>
      <c r="N15035" s="14"/>
      <c r="O15035" s="14"/>
      <c r="P15035" s="13"/>
    </row>
    <row r="15036">
      <c r="L15036" s="13"/>
      <c r="M15036" s="14"/>
      <c r="N15036" s="14"/>
      <c r="O15036" s="14"/>
      <c r="P15036" s="13"/>
    </row>
    <row r="15037">
      <c r="L15037" s="13"/>
      <c r="M15037" s="14"/>
      <c r="N15037" s="14"/>
      <c r="O15037" s="14"/>
      <c r="P15037" s="13"/>
    </row>
    <row r="15038">
      <c r="L15038" s="13"/>
      <c r="M15038" s="14"/>
      <c r="N15038" s="14"/>
      <c r="O15038" s="14"/>
      <c r="P15038" s="13"/>
    </row>
    <row r="15039">
      <c r="L15039" s="13"/>
      <c r="M15039" s="14"/>
      <c r="N15039" s="14"/>
      <c r="O15039" s="14"/>
      <c r="P15039" s="13"/>
    </row>
    <row r="15040">
      <c r="L15040" s="13"/>
      <c r="M15040" s="14"/>
      <c r="N15040" s="14"/>
      <c r="O15040" s="14"/>
      <c r="P15040" s="13"/>
    </row>
    <row r="15041">
      <c r="L15041" s="13"/>
      <c r="M15041" s="14"/>
      <c r="N15041" s="14"/>
      <c r="O15041" s="14"/>
      <c r="P15041" s="13"/>
    </row>
    <row r="15042">
      <c r="L15042" s="13"/>
      <c r="M15042" s="14"/>
      <c r="N15042" s="14"/>
      <c r="O15042" s="14"/>
      <c r="P15042" s="13"/>
    </row>
    <row r="15043">
      <c r="L15043" s="13"/>
      <c r="M15043" s="14"/>
      <c r="N15043" s="14"/>
      <c r="O15043" s="14"/>
      <c r="P15043" s="13"/>
    </row>
    <row r="15044">
      <c r="L15044" s="13"/>
      <c r="M15044" s="14"/>
      <c r="N15044" s="14"/>
      <c r="O15044" s="14"/>
      <c r="P15044" s="13"/>
    </row>
    <row r="15045">
      <c r="L15045" s="13"/>
      <c r="M15045" s="14"/>
      <c r="N15045" s="14"/>
      <c r="O15045" s="14"/>
      <c r="P15045" s="13"/>
    </row>
    <row r="15046">
      <c r="L15046" s="13"/>
      <c r="M15046" s="14"/>
      <c r="N15046" s="14"/>
      <c r="O15046" s="14"/>
      <c r="P15046" s="13"/>
    </row>
    <row r="15047">
      <c r="L15047" s="13"/>
      <c r="M15047" s="14"/>
      <c r="N15047" s="14"/>
      <c r="O15047" s="14"/>
      <c r="P15047" s="13"/>
    </row>
    <row r="15048">
      <c r="L15048" s="13"/>
      <c r="M15048" s="14"/>
      <c r="N15048" s="14"/>
      <c r="O15048" s="14"/>
      <c r="P15048" s="13"/>
    </row>
    <row r="15049">
      <c r="L15049" s="13"/>
      <c r="M15049" s="14"/>
      <c r="N15049" s="14"/>
      <c r="O15049" s="14"/>
      <c r="P15049" s="13"/>
    </row>
    <row r="15050">
      <c r="L15050" s="13"/>
      <c r="M15050" s="14"/>
      <c r="N15050" s="14"/>
      <c r="O15050" s="14"/>
      <c r="P15050" s="13"/>
    </row>
    <row r="15051">
      <c r="L15051" s="13"/>
      <c r="M15051" s="14"/>
      <c r="N15051" s="14"/>
      <c r="O15051" s="14"/>
      <c r="P15051" s="13"/>
    </row>
    <row r="15052">
      <c r="L15052" s="13"/>
      <c r="M15052" s="14"/>
      <c r="N15052" s="14"/>
      <c r="O15052" s="14"/>
      <c r="P15052" s="13"/>
    </row>
    <row r="15053">
      <c r="L15053" s="13"/>
      <c r="M15053" s="14"/>
      <c r="N15053" s="14"/>
      <c r="O15053" s="14"/>
      <c r="P15053" s="13"/>
    </row>
    <row r="15054">
      <c r="L15054" s="13"/>
      <c r="M15054" s="14"/>
      <c r="N15054" s="14"/>
      <c r="O15054" s="14"/>
      <c r="P15054" s="13"/>
    </row>
    <row r="15055">
      <c r="L15055" s="13"/>
      <c r="M15055" s="14"/>
      <c r="N15055" s="14"/>
      <c r="O15055" s="14"/>
      <c r="P15055" s="13"/>
    </row>
    <row r="15056">
      <c r="L15056" s="13"/>
      <c r="M15056" s="14"/>
      <c r="N15056" s="14"/>
      <c r="O15056" s="14"/>
      <c r="P15056" s="13"/>
    </row>
    <row r="15057">
      <c r="L15057" s="13"/>
      <c r="M15057" s="14"/>
      <c r="N15057" s="14"/>
      <c r="O15057" s="14"/>
      <c r="P15057" s="13"/>
    </row>
    <row r="15058">
      <c r="L15058" s="13"/>
      <c r="M15058" s="14"/>
      <c r="N15058" s="14"/>
      <c r="O15058" s="14"/>
      <c r="P15058" s="13"/>
    </row>
    <row r="15059">
      <c r="L15059" s="13"/>
      <c r="M15059" s="14"/>
      <c r="N15059" s="14"/>
      <c r="O15059" s="14"/>
      <c r="P15059" s="13"/>
    </row>
    <row r="15060">
      <c r="L15060" s="13"/>
      <c r="M15060" s="14"/>
      <c r="N15060" s="14"/>
      <c r="O15060" s="14"/>
      <c r="P15060" s="13"/>
    </row>
    <row r="15061">
      <c r="L15061" s="13"/>
      <c r="M15061" s="14"/>
      <c r="N15061" s="14"/>
      <c r="O15061" s="14"/>
      <c r="P15061" s="13"/>
    </row>
    <row r="15062">
      <c r="L15062" s="13"/>
      <c r="M15062" s="14"/>
      <c r="N15062" s="14"/>
      <c r="O15062" s="14"/>
      <c r="P15062" s="13"/>
    </row>
    <row r="15063">
      <c r="L15063" s="13"/>
      <c r="M15063" s="14"/>
      <c r="N15063" s="14"/>
      <c r="O15063" s="14"/>
      <c r="P15063" s="13"/>
    </row>
    <row r="15064">
      <c r="L15064" s="13"/>
      <c r="M15064" s="14"/>
      <c r="N15064" s="14"/>
      <c r="O15064" s="14"/>
      <c r="P15064" s="13"/>
    </row>
    <row r="15065">
      <c r="L15065" s="13"/>
      <c r="M15065" s="14"/>
      <c r="N15065" s="14"/>
      <c r="O15065" s="14"/>
      <c r="P15065" s="13"/>
    </row>
    <row r="15066">
      <c r="L15066" s="13"/>
      <c r="M15066" s="14"/>
      <c r="N15066" s="14"/>
      <c r="O15066" s="14"/>
      <c r="P15066" s="13"/>
    </row>
    <row r="15067">
      <c r="L15067" s="13"/>
      <c r="M15067" s="14"/>
      <c r="N15067" s="14"/>
      <c r="O15067" s="14"/>
      <c r="P15067" s="13"/>
    </row>
    <row r="15068">
      <c r="L15068" s="13"/>
      <c r="M15068" s="14"/>
      <c r="N15068" s="14"/>
      <c r="O15068" s="14"/>
      <c r="P15068" s="13"/>
    </row>
    <row r="15069">
      <c r="L15069" s="13"/>
      <c r="M15069" s="14"/>
      <c r="N15069" s="14"/>
      <c r="O15069" s="14"/>
      <c r="P15069" s="13"/>
    </row>
    <row r="15070">
      <c r="L15070" s="13"/>
      <c r="M15070" s="14"/>
      <c r="N15070" s="14"/>
      <c r="O15070" s="14"/>
      <c r="P15070" s="13"/>
    </row>
    <row r="15071">
      <c r="L15071" s="13"/>
      <c r="M15071" s="14"/>
      <c r="N15071" s="14"/>
      <c r="O15071" s="14"/>
      <c r="P15071" s="13"/>
    </row>
    <row r="15072">
      <c r="L15072" s="13"/>
      <c r="M15072" s="14"/>
      <c r="N15072" s="14"/>
      <c r="O15072" s="14"/>
      <c r="P15072" s="13"/>
    </row>
    <row r="15073">
      <c r="L15073" s="13"/>
      <c r="M15073" s="14"/>
      <c r="N15073" s="14"/>
      <c r="O15073" s="14"/>
      <c r="P15073" s="13"/>
    </row>
    <row r="15074">
      <c r="L15074" s="13"/>
      <c r="M15074" s="14"/>
      <c r="N15074" s="14"/>
      <c r="O15074" s="14"/>
      <c r="P15074" s="13"/>
    </row>
    <row r="15075">
      <c r="L15075" s="13"/>
      <c r="M15075" s="14"/>
      <c r="N15075" s="14"/>
      <c r="O15075" s="14"/>
      <c r="P15075" s="13"/>
    </row>
    <row r="15076">
      <c r="L15076" s="13"/>
      <c r="M15076" s="14"/>
      <c r="N15076" s="14"/>
      <c r="O15076" s="14"/>
      <c r="P15076" s="13"/>
    </row>
    <row r="15077">
      <c r="L15077" s="13"/>
      <c r="M15077" s="14"/>
      <c r="N15077" s="14"/>
      <c r="O15077" s="14"/>
      <c r="P15077" s="13"/>
    </row>
    <row r="15078">
      <c r="L15078" s="13"/>
      <c r="M15078" s="14"/>
      <c r="N15078" s="14"/>
      <c r="O15078" s="14"/>
      <c r="P15078" s="13"/>
    </row>
    <row r="15079">
      <c r="L15079" s="13"/>
      <c r="M15079" s="14"/>
      <c r="N15079" s="14"/>
      <c r="O15079" s="14"/>
      <c r="P15079" s="13"/>
    </row>
    <row r="15080">
      <c r="L15080" s="13"/>
      <c r="M15080" s="14"/>
      <c r="N15080" s="14"/>
      <c r="O15080" s="14"/>
      <c r="P15080" s="13"/>
    </row>
    <row r="15081">
      <c r="L15081" s="13"/>
      <c r="M15081" s="14"/>
      <c r="N15081" s="14"/>
      <c r="O15081" s="14"/>
      <c r="P15081" s="13"/>
    </row>
    <row r="15082">
      <c r="L15082" s="13"/>
      <c r="M15082" s="14"/>
      <c r="N15082" s="14"/>
      <c r="O15082" s="14"/>
      <c r="P15082" s="13"/>
    </row>
    <row r="15083">
      <c r="L15083" s="13"/>
      <c r="M15083" s="14"/>
      <c r="N15083" s="14"/>
      <c r="O15083" s="14"/>
      <c r="P15083" s="13"/>
    </row>
    <row r="15084">
      <c r="L15084" s="13"/>
      <c r="M15084" s="14"/>
      <c r="N15084" s="14"/>
      <c r="O15084" s="14"/>
      <c r="P15084" s="13"/>
    </row>
    <row r="15085">
      <c r="L15085" s="13"/>
      <c r="M15085" s="14"/>
      <c r="N15085" s="14"/>
      <c r="O15085" s="14"/>
      <c r="P15085" s="13"/>
    </row>
    <row r="15086">
      <c r="L15086" s="13"/>
      <c r="M15086" s="14"/>
      <c r="N15086" s="14"/>
      <c r="O15086" s="14"/>
      <c r="P15086" s="13"/>
    </row>
    <row r="15087">
      <c r="L15087" s="13"/>
      <c r="M15087" s="14"/>
      <c r="N15087" s="14"/>
      <c r="O15087" s="14"/>
      <c r="P15087" s="13"/>
    </row>
    <row r="15088">
      <c r="L15088" s="13"/>
      <c r="M15088" s="14"/>
      <c r="N15088" s="14"/>
      <c r="O15088" s="14"/>
      <c r="P15088" s="13"/>
    </row>
    <row r="15089">
      <c r="L15089" s="13"/>
      <c r="M15089" s="14"/>
      <c r="N15089" s="14"/>
      <c r="O15089" s="14"/>
      <c r="P15089" s="13"/>
    </row>
    <row r="15090">
      <c r="L15090" s="13"/>
      <c r="M15090" s="14"/>
      <c r="N15090" s="14"/>
      <c r="O15090" s="14"/>
      <c r="P15090" s="13"/>
    </row>
    <row r="15091">
      <c r="L15091" s="13"/>
      <c r="M15091" s="14"/>
      <c r="N15091" s="14"/>
      <c r="O15091" s="14"/>
      <c r="P15091" s="13"/>
    </row>
    <row r="15092">
      <c r="L15092" s="13"/>
      <c r="M15092" s="14"/>
      <c r="N15092" s="14"/>
      <c r="O15092" s="14"/>
      <c r="P15092" s="13"/>
    </row>
    <row r="15093">
      <c r="L15093" s="13"/>
      <c r="M15093" s="14"/>
      <c r="N15093" s="14"/>
      <c r="O15093" s="14"/>
      <c r="P15093" s="13"/>
    </row>
    <row r="15094">
      <c r="L15094" s="13"/>
      <c r="M15094" s="14"/>
      <c r="N15094" s="14"/>
      <c r="O15094" s="14"/>
      <c r="P15094" s="13"/>
    </row>
    <row r="15095">
      <c r="L15095" s="13"/>
      <c r="M15095" s="14"/>
      <c r="N15095" s="14"/>
      <c r="O15095" s="14"/>
      <c r="P15095" s="13"/>
    </row>
    <row r="15096">
      <c r="L15096" s="13"/>
      <c r="M15096" s="14"/>
      <c r="N15096" s="14"/>
      <c r="O15096" s="14"/>
      <c r="P15096" s="13"/>
    </row>
    <row r="15097">
      <c r="L15097" s="13"/>
      <c r="M15097" s="14"/>
      <c r="N15097" s="14"/>
      <c r="O15097" s="14"/>
      <c r="P15097" s="13"/>
    </row>
    <row r="15098">
      <c r="L15098" s="13"/>
      <c r="M15098" s="14"/>
      <c r="N15098" s="14"/>
      <c r="O15098" s="14"/>
      <c r="P15098" s="13"/>
    </row>
    <row r="15099">
      <c r="L15099" s="13"/>
      <c r="M15099" s="14"/>
      <c r="N15099" s="14"/>
      <c r="O15099" s="14"/>
      <c r="P15099" s="13"/>
    </row>
    <row r="15100">
      <c r="L15100" s="13"/>
      <c r="M15100" s="14"/>
      <c r="N15100" s="14"/>
      <c r="O15100" s="14"/>
      <c r="P15100" s="13"/>
    </row>
    <row r="15101">
      <c r="L15101" s="13"/>
      <c r="M15101" s="14"/>
      <c r="N15101" s="14"/>
      <c r="O15101" s="14"/>
      <c r="P15101" s="13"/>
    </row>
    <row r="15102">
      <c r="L15102" s="13"/>
      <c r="M15102" s="14"/>
      <c r="N15102" s="14"/>
      <c r="O15102" s="14"/>
      <c r="P15102" s="13"/>
    </row>
    <row r="15103">
      <c r="L15103" s="13"/>
      <c r="M15103" s="14"/>
      <c r="N15103" s="14"/>
      <c r="O15103" s="14"/>
      <c r="P15103" s="13"/>
    </row>
    <row r="15104">
      <c r="L15104" s="13"/>
      <c r="M15104" s="14"/>
      <c r="N15104" s="14"/>
      <c r="O15104" s="14"/>
      <c r="P15104" s="13"/>
    </row>
    <row r="15105">
      <c r="L15105" s="13"/>
      <c r="M15105" s="14"/>
      <c r="N15105" s="14"/>
      <c r="O15105" s="14"/>
      <c r="P15105" s="13"/>
    </row>
    <row r="15106">
      <c r="L15106" s="13"/>
      <c r="M15106" s="14"/>
      <c r="N15106" s="14"/>
      <c r="O15106" s="14"/>
      <c r="P15106" s="13"/>
    </row>
    <row r="15107">
      <c r="L15107" s="13"/>
      <c r="M15107" s="14"/>
      <c r="N15107" s="14"/>
      <c r="O15107" s="14"/>
      <c r="P15107" s="13"/>
    </row>
    <row r="15108">
      <c r="L15108" s="13"/>
      <c r="M15108" s="14"/>
      <c r="N15108" s="14"/>
      <c r="O15108" s="14"/>
      <c r="P15108" s="13"/>
    </row>
    <row r="15109">
      <c r="L15109" s="13"/>
      <c r="M15109" s="14"/>
      <c r="N15109" s="14"/>
      <c r="O15109" s="14"/>
      <c r="P15109" s="13"/>
    </row>
    <row r="15110">
      <c r="L15110" s="13"/>
      <c r="M15110" s="14"/>
      <c r="N15110" s="14"/>
      <c r="O15110" s="14"/>
      <c r="P15110" s="13"/>
    </row>
    <row r="15111">
      <c r="L15111" s="13"/>
      <c r="M15111" s="14"/>
      <c r="N15111" s="14"/>
      <c r="O15111" s="14"/>
      <c r="P15111" s="13"/>
    </row>
    <row r="15112">
      <c r="L15112" s="13"/>
      <c r="M15112" s="14"/>
      <c r="N15112" s="14"/>
      <c r="O15112" s="14"/>
      <c r="P15112" s="13"/>
    </row>
    <row r="15113">
      <c r="L15113" s="13"/>
      <c r="M15113" s="14"/>
      <c r="N15113" s="14"/>
      <c r="O15113" s="14"/>
      <c r="P15113" s="13"/>
    </row>
    <row r="15114">
      <c r="L15114" s="13"/>
      <c r="M15114" s="14"/>
      <c r="N15114" s="14"/>
      <c r="O15114" s="14"/>
      <c r="P15114" s="13"/>
    </row>
    <row r="15115">
      <c r="L15115" s="13"/>
      <c r="M15115" s="14"/>
      <c r="N15115" s="14"/>
      <c r="O15115" s="14"/>
      <c r="P15115" s="13"/>
    </row>
    <row r="15116">
      <c r="L15116" s="13"/>
      <c r="M15116" s="14"/>
      <c r="N15116" s="14"/>
      <c r="O15116" s="14"/>
      <c r="P15116" s="13"/>
    </row>
    <row r="15117">
      <c r="L15117" s="13"/>
      <c r="M15117" s="14"/>
      <c r="N15117" s="14"/>
      <c r="O15117" s="14"/>
      <c r="P15117" s="13"/>
    </row>
    <row r="15118">
      <c r="L15118" s="13"/>
      <c r="M15118" s="14"/>
      <c r="N15118" s="14"/>
      <c r="O15118" s="14"/>
      <c r="P15118" s="13"/>
    </row>
    <row r="15119">
      <c r="L15119" s="13"/>
      <c r="M15119" s="14"/>
      <c r="N15119" s="14"/>
      <c r="O15119" s="14"/>
      <c r="P15119" s="13"/>
    </row>
    <row r="15120">
      <c r="L15120" s="13"/>
      <c r="M15120" s="14"/>
      <c r="N15120" s="14"/>
      <c r="O15120" s="14"/>
      <c r="P15120" s="13"/>
    </row>
    <row r="15121">
      <c r="L15121" s="13"/>
      <c r="M15121" s="14"/>
      <c r="N15121" s="14"/>
      <c r="O15121" s="14"/>
      <c r="P15121" s="13"/>
    </row>
    <row r="15122">
      <c r="L15122" s="13"/>
      <c r="M15122" s="14"/>
      <c r="N15122" s="14"/>
      <c r="O15122" s="14"/>
      <c r="P15122" s="13"/>
    </row>
    <row r="15123">
      <c r="L15123" s="13"/>
      <c r="M15123" s="14"/>
      <c r="N15123" s="14"/>
      <c r="O15123" s="14"/>
      <c r="P15123" s="13"/>
    </row>
    <row r="15124">
      <c r="L15124" s="13"/>
      <c r="M15124" s="14"/>
      <c r="N15124" s="14"/>
      <c r="O15124" s="14"/>
      <c r="P15124" s="13"/>
    </row>
    <row r="15125">
      <c r="L15125" s="13"/>
      <c r="M15125" s="14"/>
      <c r="N15125" s="14"/>
      <c r="O15125" s="14"/>
      <c r="P15125" s="13"/>
    </row>
    <row r="15126">
      <c r="L15126" s="13"/>
      <c r="M15126" s="14"/>
      <c r="N15126" s="14"/>
      <c r="O15126" s="14"/>
      <c r="P15126" s="13"/>
    </row>
    <row r="15127">
      <c r="L15127" s="13"/>
      <c r="M15127" s="14"/>
      <c r="N15127" s="14"/>
      <c r="O15127" s="14"/>
      <c r="P15127" s="13"/>
    </row>
    <row r="15128">
      <c r="L15128" s="13"/>
      <c r="M15128" s="14"/>
      <c r="N15128" s="14"/>
      <c r="O15128" s="14"/>
      <c r="P15128" s="13"/>
    </row>
    <row r="15129">
      <c r="L15129" s="13"/>
      <c r="M15129" s="14"/>
      <c r="N15129" s="14"/>
      <c r="O15129" s="14"/>
      <c r="P15129" s="13"/>
    </row>
    <row r="15130">
      <c r="L15130" s="13"/>
      <c r="M15130" s="14"/>
      <c r="N15130" s="14"/>
      <c r="O15130" s="14"/>
      <c r="P15130" s="13"/>
    </row>
    <row r="15131">
      <c r="L15131" s="13"/>
      <c r="M15131" s="14"/>
      <c r="N15131" s="14"/>
      <c r="O15131" s="14"/>
      <c r="P15131" s="13"/>
    </row>
    <row r="15132">
      <c r="L15132" s="13"/>
      <c r="M15132" s="14"/>
      <c r="N15132" s="14"/>
      <c r="O15132" s="14"/>
      <c r="P15132" s="13"/>
    </row>
    <row r="15133">
      <c r="L15133" s="13"/>
      <c r="M15133" s="14"/>
      <c r="N15133" s="14"/>
      <c r="O15133" s="14"/>
      <c r="P15133" s="13"/>
    </row>
    <row r="15134">
      <c r="L15134" s="13"/>
      <c r="M15134" s="14"/>
      <c r="N15134" s="14"/>
      <c r="O15134" s="14"/>
      <c r="P15134" s="13"/>
    </row>
    <row r="15135">
      <c r="L15135" s="13"/>
      <c r="M15135" s="14"/>
      <c r="N15135" s="14"/>
      <c r="O15135" s="14"/>
      <c r="P15135" s="13"/>
    </row>
    <row r="15136">
      <c r="L15136" s="13"/>
      <c r="M15136" s="14"/>
      <c r="N15136" s="14"/>
      <c r="O15136" s="14"/>
      <c r="P15136" s="13"/>
    </row>
    <row r="15137">
      <c r="L15137" s="13"/>
      <c r="M15137" s="14"/>
      <c r="N15137" s="14"/>
      <c r="O15137" s="14"/>
      <c r="P15137" s="13"/>
    </row>
    <row r="15138">
      <c r="L15138" s="13"/>
      <c r="M15138" s="14"/>
      <c r="N15138" s="14"/>
      <c r="O15138" s="14"/>
      <c r="P15138" s="13"/>
    </row>
    <row r="15139">
      <c r="L15139" s="13"/>
      <c r="M15139" s="14"/>
      <c r="N15139" s="14"/>
      <c r="O15139" s="14"/>
      <c r="P15139" s="13"/>
    </row>
    <row r="15140">
      <c r="L15140" s="13"/>
      <c r="M15140" s="14"/>
      <c r="N15140" s="14"/>
      <c r="O15140" s="14"/>
      <c r="P15140" s="13"/>
    </row>
    <row r="15141">
      <c r="L15141" s="13"/>
      <c r="M15141" s="14"/>
      <c r="N15141" s="14"/>
      <c r="O15141" s="14"/>
      <c r="P15141" s="13"/>
    </row>
    <row r="15142">
      <c r="L15142" s="13"/>
      <c r="M15142" s="14"/>
      <c r="N15142" s="14"/>
      <c r="O15142" s="14"/>
      <c r="P15142" s="13"/>
    </row>
    <row r="15143">
      <c r="L15143" s="13"/>
      <c r="M15143" s="14"/>
      <c r="N15143" s="14"/>
      <c r="O15143" s="14"/>
      <c r="P15143" s="13"/>
    </row>
    <row r="15144">
      <c r="L15144" s="13"/>
      <c r="M15144" s="14"/>
      <c r="N15144" s="14"/>
      <c r="O15144" s="14"/>
      <c r="P15144" s="13"/>
    </row>
    <row r="15145">
      <c r="L15145" s="13"/>
      <c r="M15145" s="14"/>
      <c r="N15145" s="14"/>
      <c r="O15145" s="14"/>
      <c r="P15145" s="13"/>
    </row>
    <row r="15146">
      <c r="L15146" s="13"/>
      <c r="M15146" s="14"/>
      <c r="N15146" s="14"/>
      <c r="O15146" s="14"/>
      <c r="P15146" s="13"/>
    </row>
    <row r="15147">
      <c r="L15147" s="13"/>
      <c r="M15147" s="14"/>
      <c r="N15147" s="14"/>
      <c r="O15147" s="14"/>
      <c r="P15147" s="13"/>
    </row>
    <row r="15148">
      <c r="L15148" s="13"/>
      <c r="M15148" s="14"/>
      <c r="N15148" s="14"/>
      <c r="O15148" s="14"/>
      <c r="P15148" s="13"/>
    </row>
    <row r="15149">
      <c r="L15149" s="13"/>
      <c r="M15149" s="14"/>
      <c r="N15149" s="14"/>
      <c r="O15149" s="14"/>
      <c r="P15149" s="13"/>
    </row>
    <row r="15150">
      <c r="L15150" s="13"/>
      <c r="M15150" s="14"/>
      <c r="N15150" s="14"/>
      <c r="O15150" s="14"/>
      <c r="P15150" s="13"/>
    </row>
    <row r="15151">
      <c r="L15151" s="13"/>
      <c r="M15151" s="14"/>
      <c r="N15151" s="14"/>
      <c r="O15151" s="14"/>
      <c r="P15151" s="13"/>
    </row>
    <row r="15152">
      <c r="L15152" s="13"/>
      <c r="M15152" s="14"/>
      <c r="N15152" s="14"/>
      <c r="O15152" s="14"/>
      <c r="P15152" s="13"/>
    </row>
    <row r="15153">
      <c r="L15153" s="13"/>
      <c r="M15153" s="14"/>
      <c r="N15153" s="14"/>
      <c r="O15153" s="14"/>
      <c r="P15153" s="13"/>
    </row>
    <row r="15154">
      <c r="L15154" s="13"/>
      <c r="M15154" s="14"/>
      <c r="N15154" s="14"/>
      <c r="O15154" s="14"/>
      <c r="P15154" s="13"/>
    </row>
    <row r="15155">
      <c r="L15155" s="13"/>
      <c r="M15155" s="14"/>
      <c r="N15155" s="14"/>
      <c r="O15155" s="14"/>
      <c r="P15155" s="13"/>
    </row>
    <row r="15156">
      <c r="L15156" s="13"/>
      <c r="M15156" s="14"/>
      <c r="N15156" s="14"/>
      <c r="O15156" s="14"/>
      <c r="P15156" s="13"/>
    </row>
    <row r="15157">
      <c r="L15157" s="13"/>
      <c r="M15157" s="14"/>
      <c r="N15157" s="14"/>
      <c r="O15157" s="14"/>
      <c r="P15157" s="13"/>
    </row>
    <row r="15158">
      <c r="L15158" s="13"/>
      <c r="M15158" s="14"/>
      <c r="N15158" s="14"/>
      <c r="O15158" s="14"/>
      <c r="P15158" s="13"/>
    </row>
    <row r="15159">
      <c r="L15159" s="13"/>
      <c r="M15159" s="14"/>
      <c r="N15159" s="14"/>
      <c r="O15159" s="14"/>
      <c r="P15159" s="13"/>
    </row>
    <row r="15160">
      <c r="L15160" s="13"/>
      <c r="M15160" s="14"/>
      <c r="N15160" s="14"/>
      <c r="O15160" s="14"/>
      <c r="P15160" s="13"/>
    </row>
    <row r="15161">
      <c r="L15161" s="13"/>
      <c r="M15161" s="14"/>
      <c r="N15161" s="14"/>
      <c r="O15161" s="14"/>
      <c r="P15161" s="13"/>
    </row>
    <row r="15162">
      <c r="L15162" s="13"/>
      <c r="M15162" s="14"/>
      <c r="N15162" s="14"/>
      <c r="O15162" s="14"/>
      <c r="P15162" s="13"/>
    </row>
    <row r="15163">
      <c r="L15163" s="13"/>
      <c r="M15163" s="14"/>
      <c r="N15163" s="14"/>
      <c r="O15163" s="14"/>
      <c r="P15163" s="13"/>
    </row>
    <row r="15164">
      <c r="L15164" s="13"/>
      <c r="M15164" s="14"/>
      <c r="N15164" s="14"/>
      <c r="O15164" s="14"/>
      <c r="P15164" s="13"/>
    </row>
    <row r="15165">
      <c r="L15165" s="13"/>
      <c r="M15165" s="14"/>
      <c r="N15165" s="14"/>
      <c r="O15165" s="14"/>
      <c r="P15165" s="13"/>
    </row>
    <row r="15166">
      <c r="L15166" s="13"/>
      <c r="M15166" s="14"/>
      <c r="N15166" s="14"/>
      <c r="O15166" s="14"/>
      <c r="P15166" s="13"/>
    </row>
    <row r="15167">
      <c r="L15167" s="13"/>
      <c r="M15167" s="14"/>
      <c r="N15167" s="14"/>
      <c r="O15167" s="14"/>
      <c r="P15167" s="13"/>
    </row>
    <row r="15168">
      <c r="L15168" s="13"/>
      <c r="M15168" s="14"/>
      <c r="N15168" s="14"/>
      <c r="O15168" s="14"/>
      <c r="P15168" s="13"/>
    </row>
    <row r="15169">
      <c r="L15169" s="13"/>
      <c r="M15169" s="14"/>
      <c r="N15169" s="14"/>
      <c r="O15169" s="14"/>
      <c r="P15169" s="13"/>
    </row>
    <row r="15170">
      <c r="L15170" s="13"/>
      <c r="M15170" s="14"/>
      <c r="N15170" s="14"/>
      <c r="O15170" s="14"/>
      <c r="P15170" s="13"/>
    </row>
    <row r="15171">
      <c r="L15171" s="13"/>
      <c r="M15171" s="14"/>
      <c r="N15171" s="14"/>
      <c r="O15171" s="14"/>
      <c r="P15171" s="13"/>
    </row>
    <row r="15172">
      <c r="L15172" s="13"/>
      <c r="M15172" s="14"/>
      <c r="N15172" s="14"/>
      <c r="O15172" s="14"/>
      <c r="P15172" s="13"/>
    </row>
    <row r="15173">
      <c r="L15173" s="13"/>
      <c r="M15173" s="14"/>
      <c r="N15173" s="14"/>
      <c r="O15173" s="14"/>
      <c r="P15173" s="13"/>
    </row>
    <row r="15174">
      <c r="L15174" s="13"/>
      <c r="M15174" s="14"/>
      <c r="N15174" s="14"/>
      <c r="O15174" s="14"/>
      <c r="P15174" s="13"/>
    </row>
    <row r="15175">
      <c r="L15175" s="13"/>
      <c r="M15175" s="14"/>
      <c r="N15175" s="14"/>
      <c r="O15175" s="14"/>
      <c r="P15175" s="13"/>
    </row>
    <row r="15176">
      <c r="L15176" s="13"/>
      <c r="M15176" s="14"/>
      <c r="N15176" s="14"/>
      <c r="O15176" s="14"/>
      <c r="P15176" s="13"/>
    </row>
    <row r="15177">
      <c r="L15177" s="13"/>
      <c r="M15177" s="14"/>
      <c r="N15177" s="14"/>
      <c r="O15177" s="14"/>
      <c r="P15177" s="13"/>
    </row>
    <row r="15178">
      <c r="L15178" s="13"/>
      <c r="M15178" s="14"/>
      <c r="N15178" s="14"/>
      <c r="O15178" s="14"/>
      <c r="P15178" s="13"/>
    </row>
    <row r="15179">
      <c r="L15179" s="13"/>
      <c r="M15179" s="14"/>
      <c r="N15179" s="14"/>
      <c r="O15179" s="14"/>
      <c r="P15179" s="13"/>
    </row>
    <row r="15180">
      <c r="L15180" s="13"/>
      <c r="M15180" s="14"/>
      <c r="N15180" s="14"/>
      <c r="O15180" s="14"/>
      <c r="P15180" s="13"/>
    </row>
    <row r="15181">
      <c r="L15181" s="13"/>
      <c r="M15181" s="14"/>
      <c r="N15181" s="14"/>
      <c r="O15181" s="14"/>
      <c r="P15181" s="13"/>
    </row>
    <row r="15182">
      <c r="L15182" s="13"/>
      <c r="M15182" s="14"/>
      <c r="N15182" s="14"/>
      <c r="O15182" s="14"/>
      <c r="P15182" s="13"/>
    </row>
    <row r="15183">
      <c r="L15183" s="13"/>
      <c r="M15183" s="14"/>
      <c r="N15183" s="14"/>
      <c r="O15183" s="14"/>
      <c r="P15183" s="13"/>
    </row>
    <row r="15184">
      <c r="L15184" s="13"/>
      <c r="M15184" s="14"/>
      <c r="N15184" s="14"/>
      <c r="O15184" s="14"/>
      <c r="P15184" s="13"/>
    </row>
    <row r="15185">
      <c r="L15185" s="13"/>
      <c r="M15185" s="14"/>
      <c r="N15185" s="14"/>
      <c r="O15185" s="14"/>
      <c r="P15185" s="13"/>
    </row>
    <row r="15186">
      <c r="L15186" s="13"/>
      <c r="M15186" s="14"/>
      <c r="N15186" s="14"/>
      <c r="O15186" s="14"/>
      <c r="P15186" s="13"/>
    </row>
    <row r="15187">
      <c r="L15187" s="13"/>
      <c r="M15187" s="14"/>
      <c r="N15187" s="14"/>
      <c r="O15187" s="14"/>
      <c r="P15187" s="13"/>
    </row>
    <row r="15188">
      <c r="L15188" s="13"/>
      <c r="M15188" s="14"/>
      <c r="N15188" s="14"/>
      <c r="O15188" s="14"/>
      <c r="P15188" s="13"/>
    </row>
    <row r="15189">
      <c r="L15189" s="13"/>
      <c r="M15189" s="14"/>
      <c r="N15189" s="14"/>
      <c r="O15189" s="14"/>
      <c r="P15189" s="13"/>
    </row>
    <row r="15190">
      <c r="L15190" s="13"/>
      <c r="M15190" s="14"/>
      <c r="N15190" s="14"/>
      <c r="O15190" s="14"/>
      <c r="P15190" s="13"/>
    </row>
    <row r="15191">
      <c r="L15191" s="13"/>
      <c r="M15191" s="14"/>
      <c r="N15191" s="14"/>
      <c r="O15191" s="14"/>
      <c r="P15191" s="13"/>
    </row>
    <row r="15192">
      <c r="L15192" s="13"/>
      <c r="M15192" s="14"/>
      <c r="N15192" s="14"/>
      <c r="O15192" s="14"/>
      <c r="P15192" s="13"/>
    </row>
    <row r="15193">
      <c r="L15193" s="13"/>
      <c r="M15193" s="14"/>
      <c r="N15193" s="14"/>
      <c r="O15193" s="14"/>
      <c r="P15193" s="13"/>
    </row>
    <row r="15194">
      <c r="L15194" s="13"/>
      <c r="M15194" s="14"/>
      <c r="N15194" s="14"/>
      <c r="O15194" s="14"/>
      <c r="P15194" s="13"/>
    </row>
    <row r="15195">
      <c r="L15195" s="13"/>
      <c r="M15195" s="14"/>
      <c r="N15195" s="14"/>
      <c r="O15195" s="14"/>
      <c r="P15195" s="13"/>
    </row>
    <row r="15196">
      <c r="L15196" s="13"/>
      <c r="M15196" s="14"/>
      <c r="N15196" s="14"/>
      <c r="O15196" s="14"/>
      <c r="P15196" s="13"/>
    </row>
    <row r="15197">
      <c r="L15197" s="13"/>
      <c r="M15197" s="14"/>
      <c r="N15197" s="14"/>
      <c r="O15197" s="14"/>
      <c r="P15197" s="13"/>
    </row>
    <row r="15198">
      <c r="L15198" s="13"/>
      <c r="M15198" s="14"/>
      <c r="N15198" s="14"/>
      <c r="O15198" s="14"/>
      <c r="P15198" s="13"/>
    </row>
    <row r="15199">
      <c r="L15199" s="13"/>
      <c r="M15199" s="14"/>
      <c r="N15199" s="14"/>
      <c r="O15199" s="14"/>
      <c r="P15199" s="13"/>
    </row>
    <row r="15200">
      <c r="L15200" s="13"/>
      <c r="M15200" s="14"/>
      <c r="N15200" s="14"/>
      <c r="O15200" s="14"/>
      <c r="P15200" s="13"/>
    </row>
    <row r="15201">
      <c r="L15201" s="13"/>
      <c r="M15201" s="14"/>
      <c r="N15201" s="14"/>
      <c r="O15201" s="14"/>
      <c r="P15201" s="13"/>
    </row>
    <row r="15202">
      <c r="L15202" s="13"/>
      <c r="M15202" s="14"/>
      <c r="N15202" s="14"/>
      <c r="O15202" s="14"/>
      <c r="P15202" s="13"/>
    </row>
    <row r="15203">
      <c r="L15203" s="13"/>
      <c r="M15203" s="14"/>
      <c r="N15203" s="14"/>
      <c r="O15203" s="14"/>
      <c r="P15203" s="13"/>
    </row>
    <row r="15204">
      <c r="L15204" s="13"/>
      <c r="M15204" s="14"/>
      <c r="N15204" s="14"/>
      <c r="O15204" s="14"/>
      <c r="P15204" s="13"/>
    </row>
    <row r="15205">
      <c r="L15205" s="13"/>
      <c r="M15205" s="14"/>
      <c r="N15205" s="14"/>
      <c r="O15205" s="14"/>
      <c r="P15205" s="13"/>
    </row>
    <row r="15206">
      <c r="L15206" s="13"/>
      <c r="M15206" s="14"/>
      <c r="N15206" s="14"/>
      <c r="O15206" s="14"/>
      <c r="P15206" s="13"/>
    </row>
    <row r="15207">
      <c r="L15207" s="13"/>
      <c r="M15207" s="14"/>
      <c r="N15207" s="14"/>
      <c r="O15207" s="14"/>
      <c r="P15207" s="13"/>
    </row>
    <row r="15208">
      <c r="L15208" s="13"/>
      <c r="M15208" s="14"/>
      <c r="N15208" s="14"/>
      <c r="O15208" s="14"/>
      <c r="P15208" s="13"/>
    </row>
    <row r="15209">
      <c r="L15209" s="13"/>
      <c r="M15209" s="14"/>
      <c r="N15209" s="14"/>
      <c r="O15209" s="14"/>
      <c r="P15209" s="13"/>
    </row>
    <row r="15210">
      <c r="L15210" s="13"/>
      <c r="M15210" s="14"/>
      <c r="N15210" s="14"/>
      <c r="O15210" s="14"/>
      <c r="P15210" s="13"/>
    </row>
    <row r="15211">
      <c r="L15211" s="13"/>
      <c r="M15211" s="14"/>
      <c r="N15211" s="14"/>
      <c r="O15211" s="14"/>
      <c r="P15211" s="13"/>
    </row>
    <row r="15212">
      <c r="L15212" s="13"/>
      <c r="M15212" s="14"/>
      <c r="N15212" s="14"/>
      <c r="O15212" s="14"/>
      <c r="P15212" s="13"/>
    </row>
    <row r="15213">
      <c r="L15213" s="13"/>
      <c r="M15213" s="14"/>
      <c r="N15213" s="14"/>
      <c r="O15213" s="14"/>
      <c r="P15213" s="13"/>
    </row>
    <row r="15214">
      <c r="L15214" s="13"/>
      <c r="M15214" s="14"/>
      <c r="N15214" s="14"/>
      <c r="O15214" s="14"/>
      <c r="P15214" s="13"/>
    </row>
    <row r="15215">
      <c r="L15215" s="13"/>
      <c r="M15215" s="14"/>
      <c r="N15215" s="14"/>
      <c r="O15215" s="14"/>
      <c r="P15215" s="13"/>
    </row>
    <row r="15216">
      <c r="L15216" s="13"/>
      <c r="M15216" s="14"/>
      <c r="N15216" s="14"/>
      <c r="O15216" s="14"/>
      <c r="P15216" s="13"/>
    </row>
    <row r="15217">
      <c r="L15217" s="13"/>
      <c r="M15217" s="14"/>
      <c r="N15217" s="14"/>
      <c r="O15217" s="14"/>
      <c r="P15217" s="13"/>
    </row>
    <row r="15218">
      <c r="L15218" s="13"/>
      <c r="M15218" s="14"/>
      <c r="N15218" s="14"/>
      <c r="O15218" s="14"/>
      <c r="P15218" s="13"/>
    </row>
    <row r="15219">
      <c r="L15219" s="13"/>
      <c r="M15219" s="14"/>
      <c r="N15219" s="14"/>
      <c r="O15219" s="14"/>
      <c r="P15219" s="13"/>
    </row>
    <row r="15220">
      <c r="L15220" s="13"/>
      <c r="M15220" s="14"/>
      <c r="N15220" s="14"/>
      <c r="O15220" s="14"/>
      <c r="P15220" s="13"/>
    </row>
    <row r="15221">
      <c r="L15221" s="13"/>
      <c r="M15221" s="14"/>
      <c r="N15221" s="14"/>
      <c r="O15221" s="14"/>
      <c r="P15221" s="13"/>
    </row>
    <row r="15222">
      <c r="L15222" s="13"/>
      <c r="M15222" s="14"/>
      <c r="N15222" s="14"/>
      <c r="O15222" s="14"/>
      <c r="P15222" s="13"/>
    </row>
    <row r="15223">
      <c r="L15223" s="13"/>
      <c r="M15223" s="14"/>
      <c r="N15223" s="14"/>
      <c r="O15223" s="14"/>
      <c r="P15223" s="13"/>
    </row>
    <row r="15224">
      <c r="L15224" s="13"/>
      <c r="M15224" s="14"/>
      <c r="N15224" s="14"/>
      <c r="O15224" s="14"/>
      <c r="P15224" s="13"/>
    </row>
    <row r="15225">
      <c r="L15225" s="13"/>
      <c r="M15225" s="14"/>
      <c r="N15225" s="14"/>
      <c r="O15225" s="14"/>
      <c r="P15225" s="13"/>
    </row>
    <row r="15226">
      <c r="L15226" s="13"/>
      <c r="M15226" s="14"/>
      <c r="N15226" s="14"/>
      <c r="O15226" s="14"/>
      <c r="P15226" s="13"/>
    </row>
    <row r="15227">
      <c r="L15227" s="13"/>
      <c r="M15227" s="14"/>
      <c r="N15227" s="14"/>
      <c r="O15227" s="14"/>
      <c r="P15227" s="13"/>
    </row>
    <row r="15228">
      <c r="L15228" s="13"/>
      <c r="M15228" s="14"/>
      <c r="N15228" s="14"/>
      <c r="O15228" s="14"/>
      <c r="P15228" s="13"/>
    </row>
    <row r="15229">
      <c r="L15229" s="13"/>
      <c r="M15229" s="14"/>
      <c r="N15229" s="14"/>
      <c r="O15229" s="14"/>
      <c r="P15229" s="13"/>
    </row>
    <row r="15230">
      <c r="L15230" s="13"/>
      <c r="M15230" s="14"/>
      <c r="N15230" s="14"/>
      <c r="O15230" s="14"/>
      <c r="P15230" s="13"/>
    </row>
    <row r="15231">
      <c r="L15231" s="13"/>
      <c r="M15231" s="14"/>
      <c r="N15231" s="14"/>
      <c r="O15231" s="14"/>
      <c r="P15231" s="13"/>
    </row>
    <row r="15232">
      <c r="L15232" s="13"/>
      <c r="M15232" s="14"/>
      <c r="N15232" s="14"/>
      <c r="O15232" s="14"/>
      <c r="P15232" s="13"/>
    </row>
    <row r="15233">
      <c r="L15233" s="13"/>
      <c r="M15233" s="14"/>
      <c r="N15233" s="14"/>
      <c r="O15233" s="14"/>
      <c r="P15233" s="13"/>
    </row>
    <row r="15234">
      <c r="L15234" s="13"/>
      <c r="M15234" s="14"/>
      <c r="N15234" s="14"/>
      <c r="O15234" s="14"/>
      <c r="P15234" s="13"/>
    </row>
    <row r="15235">
      <c r="L15235" s="13"/>
      <c r="M15235" s="14"/>
      <c r="N15235" s="14"/>
      <c r="O15235" s="14"/>
      <c r="P15235" s="13"/>
    </row>
    <row r="15236">
      <c r="L15236" s="13"/>
      <c r="M15236" s="14"/>
      <c r="N15236" s="14"/>
      <c r="O15236" s="14"/>
      <c r="P15236" s="13"/>
    </row>
    <row r="15237">
      <c r="L15237" s="13"/>
      <c r="M15237" s="14"/>
      <c r="N15237" s="14"/>
      <c r="O15237" s="14"/>
      <c r="P15237" s="13"/>
    </row>
    <row r="15238">
      <c r="L15238" s="13"/>
      <c r="M15238" s="14"/>
      <c r="N15238" s="14"/>
      <c r="O15238" s="14"/>
      <c r="P15238" s="13"/>
    </row>
    <row r="15239">
      <c r="L15239" s="13"/>
      <c r="M15239" s="14"/>
      <c r="N15239" s="14"/>
      <c r="O15239" s="14"/>
      <c r="P15239" s="13"/>
    </row>
    <row r="15240">
      <c r="L15240" s="13"/>
      <c r="M15240" s="14"/>
      <c r="N15240" s="14"/>
      <c r="O15240" s="14"/>
      <c r="P15240" s="13"/>
    </row>
    <row r="15241">
      <c r="L15241" s="13"/>
      <c r="M15241" s="14"/>
      <c r="N15241" s="14"/>
      <c r="O15241" s="14"/>
      <c r="P15241" s="13"/>
    </row>
    <row r="15242">
      <c r="L15242" s="13"/>
      <c r="M15242" s="14"/>
      <c r="N15242" s="14"/>
      <c r="O15242" s="14"/>
      <c r="P15242" s="13"/>
    </row>
    <row r="15243">
      <c r="L15243" s="13"/>
      <c r="M15243" s="14"/>
      <c r="N15243" s="14"/>
      <c r="O15243" s="14"/>
      <c r="P15243" s="13"/>
    </row>
    <row r="15244">
      <c r="L15244" s="13"/>
      <c r="M15244" s="14"/>
      <c r="N15244" s="14"/>
      <c r="O15244" s="14"/>
      <c r="P15244" s="13"/>
    </row>
    <row r="15245">
      <c r="L15245" s="13"/>
      <c r="M15245" s="14"/>
      <c r="N15245" s="14"/>
      <c r="O15245" s="14"/>
      <c r="P15245" s="13"/>
    </row>
    <row r="15246">
      <c r="L15246" s="13"/>
      <c r="M15246" s="14"/>
      <c r="N15246" s="14"/>
      <c r="O15246" s="14"/>
      <c r="P15246" s="13"/>
    </row>
    <row r="15247">
      <c r="L15247" s="13"/>
      <c r="M15247" s="14"/>
      <c r="N15247" s="14"/>
      <c r="O15247" s="14"/>
      <c r="P15247" s="13"/>
    </row>
    <row r="15248">
      <c r="L15248" s="13"/>
      <c r="M15248" s="14"/>
      <c r="N15248" s="14"/>
      <c r="O15248" s="14"/>
      <c r="P15248" s="13"/>
    </row>
    <row r="15249">
      <c r="L15249" s="13"/>
      <c r="M15249" s="14"/>
      <c r="N15249" s="14"/>
      <c r="O15249" s="14"/>
      <c r="P15249" s="13"/>
    </row>
    <row r="15250">
      <c r="L15250" s="13"/>
      <c r="M15250" s="14"/>
      <c r="N15250" s="14"/>
      <c r="O15250" s="14"/>
      <c r="P15250" s="13"/>
    </row>
    <row r="15251">
      <c r="L15251" s="13"/>
      <c r="M15251" s="14"/>
      <c r="N15251" s="14"/>
      <c r="O15251" s="14"/>
      <c r="P15251" s="13"/>
    </row>
    <row r="15252">
      <c r="L15252" s="13"/>
      <c r="M15252" s="14"/>
      <c r="N15252" s="14"/>
      <c r="O15252" s="14"/>
      <c r="P15252" s="13"/>
    </row>
    <row r="15253">
      <c r="L15253" s="13"/>
      <c r="M15253" s="14"/>
      <c r="N15253" s="14"/>
      <c r="O15253" s="14"/>
      <c r="P15253" s="13"/>
    </row>
    <row r="15254">
      <c r="L15254" s="13"/>
      <c r="M15254" s="14"/>
      <c r="N15254" s="14"/>
      <c r="O15254" s="14"/>
      <c r="P15254" s="13"/>
    </row>
    <row r="15255">
      <c r="L15255" s="13"/>
      <c r="M15255" s="14"/>
      <c r="N15255" s="14"/>
      <c r="O15255" s="14"/>
      <c r="P15255" s="13"/>
    </row>
    <row r="15256">
      <c r="L15256" s="13"/>
      <c r="M15256" s="14"/>
      <c r="N15256" s="14"/>
      <c r="O15256" s="14"/>
      <c r="P15256" s="13"/>
    </row>
    <row r="15257">
      <c r="L15257" s="13"/>
      <c r="M15257" s="14"/>
      <c r="N15257" s="14"/>
      <c r="O15257" s="14"/>
      <c r="P15257" s="13"/>
    </row>
    <row r="15258">
      <c r="L15258" s="13"/>
      <c r="M15258" s="14"/>
      <c r="N15258" s="14"/>
      <c r="O15258" s="14"/>
      <c r="P15258" s="13"/>
    </row>
    <row r="15259">
      <c r="L15259" s="13"/>
      <c r="M15259" s="14"/>
      <c r="N15259" s="14"/>
      <c r="O15259" s="14"/>
      <c r="P15259" s="13"/>
    </row>
    <row r="15260">
      <c r="L15260" s="13"/>
      <c r="M15260" s="14"/>
      <c r="N15260" s="14"/>
      <c r="O15260" s="14"/>
      <c r="P15260" s="13"/>
    </row>
    <row r="15261">
      <c r="L15261" s="13"/>
      <c r="M15261" s="14"/>
      <c r="N15261" s="14"/>
      <c r="O15261" s="14"/>
      <c r="P15261" s="13"/>
    </row>
    <row r="15262">
      <c r="L15262" s="13"/>
      <c r="M15262" s="14"/>
      <c r="N15262" s="14"/>
      <c r="O15262" s="14"/>
      <c r="P15262" s="13"/>
    </row>
    <row r="15263">
      <c r="L15263" s="13"/>
      <c r="M15263" s="14"/>
      <c r="N15263" s="14"/>
      <c r="O15263" s="14"/>
      <c r="P15263" s="13"/>
    </row>
    <row r="15264">
      <c r="L15264" s="13"/>
      <c r="M15264" s="14"/>
      <c r="N15264" s="14"/>
      <c r="O15264" s="14"/>
      <c r="P15264" s="13"/>
    </row>
    <row r="15265">
      <c r="L15265" s="13"/>
      <c r="M15265" s="14"/>
      <c r="N15265" s="14"/>
      <c r="O15265" s="14"/>
      <c r="P15265" s="13"/>
    </row>
    <row r="15266">
      <c r="L15266" s="13"/>
      <c r="M15266" s="14"/>
      <c r="N15266" s="14"/>
      <c r="O15266" s="14"/>
      <c r="P15266" s="13"/>
    </row>
    <row r="15267">
      <c r="L15267" s="13"/>
      <c r="M15267" s="14"/>
      <c r="N15267" s="14"/>
      <c r="O15267" s="14"/>
      <c r="P15267" s="13"/>
    </row>
    <row r="15268">
      <c r="L15268" s="13"/>
      <c r="M15268" s="14"/>
      <c r="N15268" s="14"/>
      <c r="O15268" s="14"/>
      <c r="P15268" s="13"/>
    </row>
    <row r="15269">
      <c r="L15269" s="13"/>
      <c r="M15269" s="14"/>
      <c r="N15269" s="14"/>
      <c r="O15269" s="14"/>
      <c r="P15269" s="13"/>
    </row>
    <row r="15270">
      <c r="L15270" s="13"/>
      <c r="M15270" s="14"/>
      <c r="N15270" s="14"/>
      <c r="O15270" s="14"/>
      <c r="P15270" s="13"/>
    </row>
    <row r="15271">
      <c r="L15271" s="13"/>
      <c r="M15271" s="14"/>
      <c r="N15271" s="14"/>
      <c r="O15271" s="14"/>
      <c r="P15271" s="13"/>
    </row>
    <row r="15272">
      <c r="L15272" s="13"/>
      <c r="M15272" s="14"/>
      <c r="N15272" s="14"/>
      <c r="O15272" s="14"/>
      <c r="P15272" s="13"/>
    </row>
    <row r="15273">
      <c r="L15273" s="13"/>
      <c r="M15273" s="14"/>
      <c r="N15273" s="14"/>
      <c r="O15273" s="14"/>
      <c r="P15273" s="13"/>
    </row>
    <row r="15274">
      <c r="L15274" s="13"/>
      <c r="M15274" s="14"/>
      <c r="N15274" s="14"/>
      <c r="O15274" s="14"/>
      <c r="P15274" s="13"/>
    </row>
    <row r="15275">
      <c r="L15275" s="13"/>
      <c r="M15275" s="14"/>
      <c r="N15275" s="14"/>
      <c r="O15275" s="14"/>
      <c r="P15275" s="13"/>
    </row>
    <row r="15276">
      <c r="L15276" s="13"/>
      <c r="M15276" s="14"/>
      <c r="N15276" s="14"/>
      <c r="O15276" s="14"/>
      <c r="P15276" s="13"/>
    </row>
    <row r="15277">
      <c r="L15277" s="13"/>
      <c r="M15277" s="14"/>
      <c r="N15277" s="14"/>
      <c r="O15277" s="14"/>
      <c r="P15277" s="13"/>
    </row>
    <row r="15278">
      <c r="L15278" s="13"/>
      <c r="M15278" s="14"/>
      <c r="N15278" s="14"/>
      <c r="O15278" s="14"/>
      <c r="P15278" s="13"/>
    </row>
    <row r="15279">
      <c r="L15279" s="13"/>
      <c r="M15279" s="14"/>
      <c r="N15279" s="14"/>
      <c r="O15279" s="14"/>
      <c r="P15279" s="13"/>
    </row>
    <row r="15280">
      <c r="L15280" s="13"/>
      <c r="M15280" s="14"/>
      <c r="N15280" s="14"/>
      <c r="O15280" s="14"/>
      <c r="P15280" s="13"/>
    </row>
    <row r="15281">
      <c r="L15281" s="13"/>
      <c r="M15281" s="14"/>
      <c r="N15281" s="14"/>
      <c r="O15281" s="14"/>
      <c r="P15281" s="13"/>
    </row>
    <row r="15282">
      <c r="L15282" s="13"/>
      <c r="M15282" s="14"/>
      <c r="N15282" s="14"/>
      <c r="O15282" s="14"/>
      <c r="P15282" s="13"/>
    </row>
    <row r="15283">
      <c r="L15283" s="13"/>
      <c r="M15283" s="14"/>
      <c r="N15283" s="14"/>
      <c r="O15283" s="14"/>
      <c r="P15283" s="13"/>
    </row>
    <row r="15284">
      <c r="L15284" s="13"/>
      <c r="M15284" s="14"/>
      <c r="N15284" s="14"/>
      <c r="O15284" s="14"/>
      <c r="P15284" s="13"/>
    </row>
    <row r="15285">
      <c r="L15285" s="13"/>
      <c r="M15285" s="14"/>
      <c r="N15285" s="14"/>
      <c r="O15285" s="14"/>
      <c r="P15285" s="13"/>
    </row>
    <row r="15286">
      <c r="L15286" s="13"/>
      <c r="M15286" s="14"/>
      <c r="N15286" s="14"/>
      <c r="O15286" s="14"/>
      <c r="P15286" s="13"/>
    </row>
    <row r="15287">
      <c r="L15287" s="13"/>
      <c r="M15287" s="14"/>
      <c r="N15287" s="14"/>
      <c r="O15287" s="14"/>
      <c r="P15287" s="13"/>
    </row>
    <row r="15288">
      <c r="L15288" s="13"/>
      <c r="M15288" s="14"/>
      <c r="N15288" s="14"/>
      <c r="O15288" s="14"/>
      <c r="P15288" s="13"/>
    </row>
    <row r="15289">
      <c r="L15289" s="13"/>
      <c r="M15289" s="14"/>
      <c r="N15289" s="14"/>
      <c r="O15289" s="14"/>
      <c r="P15289" s="13"/>
    </row>
    <row r="15290">
      <c r="L15290" s="13"/>
      <c r="M15290" s="14"/>
      <c r="N15290" s="14"/>
      <c r="O15290" s="14"/>
      <c r="P15290" s="13"/>
    </row>
    <row r="15291">
      <c r="L15291" s="13"/>
      <c r="M15291" s="14"/>
      <c r="N15291" s="14"/>
      <c r="O15291" s="14"/>
      <c r="P15291" s="13"/>
    </row>
    <row r="15292">
      <c r="L15292" s="13"/>
      <c r="M15292" s="14"/>
      <c r="N15292" s="14"/>
      <c r="O15292" s="14"/>
      <c r="P15292" s="13"/>
    </row>
    <row r="15293">
      <c r="L15293" s="13"/>
      <c r="M15293" s="14"/>
      <c r="N15293" s="14"/>
      <c r="O15293" s="14"/>
      <c r="P15293" s="13"/>
    </row>
    <row r="15294">
      <c r="L15294" s="13"/>
      <c r="M15294" s="14"/>
      <c r="N15294" s="14"/>
      <c r="O15294" s="14"/>
      <c r="P15294" s="13"/>
    </row>
    <row r="15295">
      <c r="L15295" s="13"/>
      <c r="M15295" s="14"/>
      <c r="N15295" s="14"/>
      <c r="O15295" s="14"/>
      <c r="P15295" s="13"/>
    </row>
    <row r="15296">
      <c r="L15296" s="13"/>
      <c r="M15296" s="14"/>
      <c r="N15296" s="14"/>
      <c r="O15296" s="14"/>
      <c r="P15296" s="13"/>
    </row>
    <row r="15297">
      <c r="L15297" s="13"/>
      <c r="M15297" s="14"/>
      <c r="N15297" s="14"/>
      <c r="O15297" s="14"/>
      <c r="P15297" s="13"/>
    </row>
    <row r="15298">
      <c r="L15298" s="13"/>
      <c r="M15298" s="14"/>
      <c r="N15298" s="14"/>
      <c r="O15298" s="14"/>
      <c r="P15298" s="13"/>
    </row>
    <row r="15299">
      <c r="L15299" s="13"/>
      <c r="M15299" s="14"/>
      <c r="N15299" s="14"/>
      <c r="O15299" s="14"/>
      <c r="P15299" s="13"/>
    </row>
    <row r="15300">
      <c r="L15300" s="13"/>
      <c r="M15300" s="14"/>
      <c r="N15300" s="14"/>
      <c r="O15300" s="14"/>
      <c r="P15300" s="13"/>
    </row>
    <row r="15301">
      <c r="L15301" s="13"/>
      <c r="M15301" s="14"/>
      <c r="N15301" s="14"/>
      <c r="O15301" s="14"/>
      <c r="P15301" s="13"/>
    </row>
    <row r="15302">
      <c r="L15302" s="13"/>
      <c r="M15302" s="14"/>
      <c r="N15302" s="14"/>
      <c r="O15302" s="14"/>
      <c r="P15302" s="13"/>
    </row>
    <row r="15303">
      <c r="L15303" s="13"/>
      <c r="M15303" s="14"/>
      <c r="N15303" s="14"/>
      <c r="O15303" s="14"/>
      <c r="P15303" s="13"/>
    </row>
    <row r="15304">
      <c r="L15304" s="13"/>
      <c r="M15304" s="14"/>
      <c r="N15304" s="14"/>
      <c r="O15304" s="14"/>
      <c r="P15304" s="13"/>
    </row>
    <row r="15305">
      <c r="L15305" s="13"/>
      <c r="M15305" s="14"/>
      <c r="N15305" s="14"/>
      <c r="O15305" s="14"/>
      <c r="P15305" s="13"/>
    </row>
    <row r="15306">
      <c r="L15306" s="13"/>
      <c r="M15306" s="14"/>
      <c r="N15306" s="14"/>
      <c r="O15306" s="14"/>
      <c r="P15306" s="13"/>
    </row>
    <row r="15307">
      <c r="L15307" s="13"/>
      <c r="M15307" s="14"/>
      <c r="N15307" s="14"/>
      <c r="O15307" s="14"/>
      <c r="P15307" s="13"/>
    </row>
    <row r="15308">
      <c r="L15308" s="13"/>
      <c r="M15308" s="14"/>
      <c r="N15308" s="14"/>
      <c r="O15308" s="14"/>
      <c r="P15308" s="13"/>
    </row>
    <row r="15309">
      <c r="L15309" s="13"/>
      <c r="M15309" s="14"/>
      <c r="N15309" s="14"/>
      <c r="O15309" s="14"/>
      <c r="P15309" s="13"/>
    </row>
    <row r="15310">
      <c r="L15310" s="13"/>
      <c r="M15310" s="14"/>
      <c r="N15310" s="14"/>
      <c r="O15310" s="14"/>
      <c r="P15310" s="13"/>
    </row>
    <row r="15311">
      <c r="L15311" s="13"/>
      <c r="M15311" s="14"/>
      <c r="N15311" s="14"/>
      <c r="O15311" s="14"/>
      <c r="P15311" s="13"/>
    </row>
    <row r="15312">
      <c r="L15312" s="13"/>
      <c r="M15312" s="14"/>
      <c r="N15312" s="14"/>
      <c r="O15312" s="14"/>
      <c r="P15312" s="13"/>
    </row>
    <row r="15313">
      <c r="L15313" s="13"/>
      <c r="M15313" s="14"/>
      <c r="N15313" s="14"/>
      <c r="O15313" s="14"/>
      <c r="P15313" s="13"/>
    </row>
    <row r="15314">
      <c r="L15314" s="13"/>
      <c r="M15314" s="14"/>
      <c r="N15314" s="14"/>
      <c r="O15314" s="14"/>
      <c r="P15314" s="13"/>
    </row>
    <row r="15315">
      <c r="L15315" s="13"/>
      <c r="M15315" s="14"/>
      <c r="N15315" s="14"/>
      <c r="O15315" s="14"/>
      <c r="P15315" s="13"/>
    </row>
    <row r="15316">
      <c r="L15316" s="13"/>
      <c r="M15316" s="14"/>
      <c r="N15316" s="14"/>
      <c r="O15316" s="14"/>
      <c r="P15316" s="13"/>
    </row>
    <row r="15317">
      <c r="L15317" s="13"/>
      <c r="M15317" s="14"/>
      <c r="N15317" s="14"/>
      <c r="O15317" s="14"/>
      <c r="P15317" s="13"/>
    </row>
    <row r="15318">
      <c r="L15318" s="13"/>
      <c r="M15318" s="14"/>
      <c r="N15318" s="14"/>
      <c r="O15318" s="14"/>
      <c r="P15318" s="13"/>
    </row>
    <row r="15319">
      <c r="L15319" s="13"/>
      <c r="M15319" s="14"/>
      <c r="N15319" s="14"/>
      <c r="O15319" s="14"/>
      <c r="P15319" s="13"/>
    </row>
    <row r="15320">
      <c r="L15320" s="13"/>
      <c r="M15320" s="14"/>
      <c r="N15320" s="14"/>
      <c r="O15320" s="14"/>
      <c r="P15320" s="13"/>
    </row>
    <row r="15321">
      <c r="L15321" s="13"/>
      <c r="M15321" s="14"/>
      <c r="N15321" s="14"/>
      <c r="O15321" s="14"/>
      <c r="P15321" s="13"/>
    </row>
    <row r="15322">
      <c r="L15322" s="13"/>
      <c r="M15322" s="14"/>
      <c r="N15322" s="14"/>
      <c r="O15322" s="14"/>
      <c r="P15322" s="13"/>
    </row>
    <row r="15323">
      <c r="L15323" s="13"/>
      <c r="M15323" s="14"/>
      <c r="N15323" s="14"/>
      <c r="O15323" s="14"/>
      <c r="P15323" s="13"/>
    </row>
    <row r="15324">
      <c r="L15324" s="13"/>
      <c r="M15324" s="14"/>
      <c r="N15324" s="14"/>
      <c r="O15324" s="14"/>
      <c r="P15324" s="13"/>
    </row>
    <row r="15325">
      <c r="L15325" s="13"/>
      <c r="M15325" s="14"/>
      <c r="N15325" s="14"/>
      <c r="O15325" s="14"/>
      <c r="P15325" s="13"/>
    </row>
    <row r="15326">
      <c r="L15326" s="13"/>
      <c r="M15326" s="14"/>
      <c r="N15326" s="14"/>
      <c r="O15326" s="14"/>
      <c r="P15326" s="13"/>
    </row>
    <row r="15327">
      <c r="L15327" s="13"/>
      <c r="M15327" s="14"/>
      <c r="N15327" s="14"/>
      <c r="O15327" s="14"/>
      <c r="P15327" s="13"/>
    </row>
    <row r="15328">
      <c r="L15328" s="13"/>
      <c r="M15328" s="14"/>
      <c r="N15328" s="14"/>
      <c r="O15328" s="14"/>
      <c r="P15328" s="13"/>
    </row>
    <row r="15329">
      <c r="L15329" s="13"/>
      <c r="M15329" s="14"/>
      <c r="N15329" s="14"/>
      <c r="O15329" s="14"/>
      <c r="P15329" s="13"/>
    </row>
    <row r="15330">
      <c r="L15330" s="13"/>
      <c r="M15330" s="14"/>
      <c r="N15330" s="14"/>
      <c r="O15330" s="14"/>
      <c r="P15330" s="13"/>
    </row>
    <row r="15331">
      <c r="L15331" s="13"/>
      <c r="M15331" s="14"/>
      <c r="N15331" s="14"/>
      <c r="O15331" s="14"/>
      <c r="P15331" s="13"/>
    </row>
    <row r="15332">
      <c r="L15332" s="13"/>
      <c r="M15332" s="14"/>
      <c r="N15332" s="14"/>
      <c r="O15332" s="14"/>
      <c r="P15332" s="13"/>
    </row>
    <row r="15333">
      <c r="L15333" s="13"/>
      <c r="M15333" s="14"/>
      <c r="N15333" s="14"/>
      <c r="O15333" s="14"/>
      <c r="P15333" s="13"/>
    </row>
    <row r="15334">
      <c r="L15334" s="13"/>
      <c r="M15334" s="14"/>
      <c r="N15334" s="14"/>
      <c r="O15334" s="14"/>
      <c r="P15334" s="13"/>
    </row>
    <row r="15335">
      <c r="L15335" s="13"/>
      <c r="M15335" s="14"/>
      <c r="N15335" s="14"/>
      <c r="O15335" s="14"/>
      <c r="P15335" s="13"/>
    </row>
    <row r="15336">
      <c r="L15336" s="13"/>
      <c r="M15336" s="14"/>
      <c r="N15336" s="14"/>
      <c r="O15336" s="14"/>
      <c r="P15336" s="13"/>
    </row>
    <row r="15337">
      <c r="L15337" s="13"/>
      <c r="M15337" s="14"/>
      <c r="N15337" s="14"/>
      <c r="O15337" s="14"/>
      <c r="P15337" s="13"/>
    </row>
    <row r="15338">
      <c r="L15338" s="13"/>
      <c r="M15338" s="14"/>
      <c r="N15338" s="14"/>
      <c r="O15338" s="14"/>
      <c r="P15338" s="13"/>
    </row>
    <row r="15339">
      <c r="L15339" s="13"/>
      <c r="M15339" s="14"/>
      <c r="N15339" s="14"/>
      <c r="O15339" s="14"/>
      <c r="P15339" s="13"/>
    </row>
    <row r="15340">
      <c r="L15340" s="13"/>
      <c r="M15340" s="14"/>
      <c r="N15340" s="14"/>
      <c r="O15340" s="14"/>
      <c r="P15340" s="13"/>
    </row>
    <row r="15341">
      <c r="L15341" s="13"/>
      <c r="M15341" s="14"/>
      <c r="N15341" s="14"/>
      <c r="O15341" s="14"/>
      <c r="P15341" s="13"/>
    </row>
    <row r="15342">
      <c r="L15342" s="13"/>
      <c r="M15342" s="14"/>
      <c r="N15342" s="14"/>
      <c r="O15342" s="14"/>
      <c r="P15342" s="13"/>
    </row>
    <row r="15343">
      <c r="L15343" s="13"/>
      <c r="M15343" s="14"/>
      <c r="N15343" s="14"/>
      <c r="O15343" s="14"/>
      <c r="P15343" s="13"/>
    </row>
    <row r="15344">
      <c r="L15344" s="13"/>
      <c r="M15344" s="14"/>
      <c r="N15344" s="14"/>
      <c r="O15344" s="14"/>
      <c r="P15344" s="13"/>
    </row>
    <row r="15345">
      <c r="L15345" s="13"/>
      <c r="M15345" s="14"/>
      <c r="N15345" s="14"/>
      <c r="O15345" s="14"/>
      <c r="P15345" s="13"/>
    </row>
    <row r="15346">
      <c r="L15346" s="13"/>
      <c r="M15346" s="14"/>
      <c r="N15346" s="14"/>
      <c r="O15346" s="14"/>
      <c r="P15346" s="13"/>
    </row>
    <row r="15347">
      <c r="L15347" s="13"/>
      <c r="M15347" s="14"/>
      <c r="N15347" s="14"/>
      <c r="O15347" s="14"/>
      <c r="P15347" s="13"/>
    </row>
    <row r="15348">
      <c r="L15348" s="13"/>
      <c r="M15348" s="14"/>
      <c r="N15348" s="14"/>
      <c r="O15348" s="14"/>
      <c r="P15348" s="13"/>
    </row>
    <row r="15349">
      <c r="L15349" s="13"/>
      <c r="M15349" s="14"/>
      <c r="N15349" s="14"/>
      <c r="O15349" s="14"/>
      <c r="P15349" s="13"/>
    </row>
    <row r="15350">
      <c r="L15350" s="13"/>
      <c r="M15350" s="14"/>
      <c r="N15350" s="14"/>
      <c r="O15350" s="14"/>
      <c r="P15350" s="13"/>
    </row>
    <row r="15351">
      <c r="L15351" s="13"/>
      <c r="M15351" s="14"/>
      <c r="N15351" s="14"/>
      <c r="O15351" s="14"/>
      <c r="P15351" s="13"/>
    </row>
    <row r="15352">
      <c r="L15352" s="13"/>
      <c r="M15352" s="14"/>
      <c r="N15352" s="14"/>
      <c r="O15352" s="14"/>
      <c r="P15352" s="13"/>
    </row>
    <row r="15353">
      <c r="L15353" s="13"/>
      <c r="M15353" s="14"/>
      <c r="N15353" s="14"/>
      <c r="O15353" s="14"/>
      <c r="P15353" s="13"/>
    </row>
    <row r="15354">
      <c r="L15354" s="13"/>
      <c r="M15354" s="14"/>
      <c r="N15354" s="14"/>
      <c r="O15354" s="14"/>
      <c r="P15354" s="13"/>
    </row>
    <row r="15355">
      <c r="L15355" s="13"/>
      <c r="M15355" s="14"/>
      <c r="N15355" s="14"/>
      <c r="O15355" s="14"/>
      <c r="P15355" s="13"/>
    </row>
    <row r="15356">
      <c r="L15356" s="13"/>
      <c r="M15356" s="14"/>
      <c r="N15356" s="14"/>
      <c r="O15356" s="14"/>
      <c r="P15356" s="13"/>
    </row>
    <row r="15357">
      <c r="L15357" s="13"/>
      <c r="M15357" s="14"/>
      <c r="N15357" s="14"/>
      <c r="O15357" s="14"/>
      <c r="P15357" s="13"/>
    </row>
    <row r="15358">
      <c r="L15358" s="13"/>
      <c r="M15358" s="14"/>
      <c r="N15358" s="14"/>
      <c r="O15358" s="14"/>
      <c r="P15358" s="13"/>
    </row>
    <row r="15359">
      <c r="L15359" s="13"/>
      <c r="M15359" s="14"/>
      <c r="N15359" s="14"/>
      <c r="O15359" s="14"/>
      <c r="P15359" s="13"/>
    </row>
    <row r="15360">
      <c r="L15360" s="13"/>
      <c r="M15360" s="14"/>
      <c r="N15360" s="14"/>
      <c r="O15360" s="14"/>
      <c r="P15360" s="13"/>
    </row>
    <row r="15361">
      <c r="L15361" s="13"/>
      <c r="M15361" s="14"/>
      <c r="N15361" s="14"/>
      <c r="O15361" s="14"/>
      <c r="P15361" s="13"/>
    </row>
    <row r="15362">
      <c r="L15362" s="13"/>
      <c r="M15362" s="14"/>
      <c r="N15362" s="14"/>
      <c r="O15362" s="14"/>
      <c r="P15362" s="13"/>
    </row>
    <row r="15363">
      <c r="L15363" s="13"/>
      <c r="M15363" s="14"/>
      <c r="N15363" s="14"/>
      <c r="O15363" s="14"/>
      <c r="P15363" s="13"/>
    </row>
    <row r="15364">
      <c r="L15364" s="13"/>
      <c r="M15364" s="14"/>
      <c r="N15364" s="14"/>
      <c r="O15364" s="14"/>
      <c r="P15364" s="13"/>
    </row>
    <row r="15365">
      <c r="L15365" s="13"/>
      <c r="M15365" s="14"/>
      <c r="N15365" s="14"/>
      <c r="O15365" s="14"/>
      <c r="P15365" s="13"/>
    </row>
    <row r="15366">
      <c r="L15366" s="13"/>
      <c r="M15366" s="14"/>
      <c r="N15366" s="14"/>
      <c r="O15366" s="14"/>
      <c r="P15366" s="13"/>
    </row>
    <row r="15367">
      <c r="L15367" s="13"/>
      <c r="M15367" s="14"/>
      <c r="N15367" s="14"/>
      <c r="O15367" s="14"/>
      <c r="P15367" s="13"/>
    </row>
    <row r="15368">
      <c r="L15368" s="13"/>
      <c r="M15368" s="14"/>
      <c r="N15368" s="14"/>
      <c r="O15368" s="14"/>
      <c r="P15368" s="13"/>
    </row>
    <row r="15369">
      <c r="L15369" s="13"/>
      <c r="M15369" s="14"/>
      <c r="N15369" s="14"/>
      <c r="O15369" s="14"/>
      <c r="P15369" s="13"/>
    </row>
    <row r="15370">
      <c r="L15370" s="13"/>
      <c r="M15370" s="14"/>
      <c r="N15370" s="14"/>
      <c r="O15370" s="14"/>
      <c r="P15370" s="13"/>
    </row>
    <row r="15371">
      <c r="L15371" s="13"/>
      <c r="M15371" s="14"/>
      <c r="N15371" s="14"/>
      <c r="O15371" s="14"/>
      <c r="P15371" s="13"/>
    </row>
    <row r="15372">
      <c r="L15372" s="13"/>
      <c r="M15372" s="14"/>
      <c r="N15372" s="14"/>
      <c r="O15372" s="14"/>
      <c r="P15372" s="13"/>
    </row>
    <row r="15373">
      <c r="L15373" s="13"/>
      <c r="M15373" s="14"/>
      <c r="N15373" s="14"/>
      <c r="O15373" s="14"/>
      <c r="P15373" s="13"/>
    </row>
    <row r="15374">
      <c r="L15374" s="13"/>
      <c r="M15374" s="14"/>
      <c r="N15374" s="14"/>
      <c r="O15374" s="14"/>
      <c r="P15374" s="13"/>
    </row>
    <row r="15375">
      <c r="L15375" s="13"/>
      <c r="M15375" s="14"/>
      <c r="N15375" s="14"/>
      <c r="O15375" s="14"/>
      <c r="P15375" s="13"/>
    </row>
    <row r="15376">
      <c r="L15376" s="13"/>
      <c r="M15376" s="14"/>
      <c r="N15376" s="14"/>
      <c r="O15376" s="14"/>
      <c r="P15376" s="13"/>
    </row>
    <row r="15377">
      <c r="L15377" s="13"/>
      <c r="M15377" s="14"/>
      <c r="N15377" s="14"/>
      <c r="O15377" s="14"/>
      <c r="P15377" s="13"/>
    </row>
    <row r="15378">
      <c r="L15378" s="13"/>
      <c r="M15378" s="14"/>
      <c r="N15378" s="14"/>
      <c r="O15378" s="14"/>
      <c r="P15378" s="13"/>
    </row>
    <row r="15379">
      <c r="L15379" s="13"/>
      <c r="M15379" s="14"/>
      <c r="N15379" s="14"/>
      <c r="O15379" s="14"/>
      <c r="P15379" s="13"/>
    </row>
    <row r="15380">
      <c r="L15380" s="13"/>
      <c r="M15380" s="14"/>
      <c r="N15380" s="14"/>
      <c r="O15380" s="14"/>
      <c r="P15380" s="13"/>
    </row>
    <row r="15381">
      <c r="L15381" s="13"/>
      <c r="M15381" s="14"/>
      <c r="N15381" s="14"/>
      <c r="O15381" s="14"/>
      <c r="P15381" s="13"/>
    </row>
    <row r="15382">
      <c r="L15382" s="13"/>
      <c r="M15382" s="14"/>
      <c r="N15382" s="14"/>
      <c r="O15382" s="14"/>
      <c r="P15382" s="13"/>
    </row>
    <row r="15383">
      <c r="L15383" s="13"/>
      <c r="M15383" s="14"/>
      <c r="N15383" s="14"/>
      <c r="O15383" s="14"/>
      <c r="P15383" s="13"/>
    </row>
    <row r="15384">
      <c r="L15384" s="13"/>
      <c r="M15384" s="14"/>
      <c r="N15384" s="14"/>
      <c r="O15384" s="14"/>
      <c r="P15384" s="13"/>
    </row>
    <row r="15385">
      <c r="L15385" s="13"/>
      <c r="M15385" s="14"/>
      <c r="N15385" s="14"/>
      <c r="O15385" s="14"/>
      <c r="P15385" s="13"/>
    </row>
    <row r="15386">
      <c r="L15386" s="13"/>
      <c r="M15386" s="14"/>
      <c r="N15386" s="14"/>
      <c r="O15386" s="14"/>
      <c r="P15386" s="13"/>
    </row>
    <row r="15387">
      <c r="L15387" s="13"/>
      <c r="M15387" s="14"/>
      <c r="N15387" s="14"/>
      <c r="O15387" s="14"/>
      <c r="P15387" s="13"/>
    </row>
    <row r="15388">
      <c r="L15388" s="13"/>
      <c r="M15388" s="14"/>
      <c r="N15388" s="14"/>
      <c r="O15388" s="14"/>
      <c r="P15388" s="13"/>
    </row>
    <row r="15389">
      <c r="L15389" s="13"/>
      <c r="M15389" s="14"/>
      <c r="N15389" s="14"/>
      <c r="O15389" s="14"/>
      <c r="P15389" s="13"/>
    </row>
    <row r="15390">
      <c r="L15390" s="13"/>
      <c r="M15390" s="14"/>
      <c r="N15390" s="14"/>
      <c r="O15390" s="14"/>
      <c r="P15390" s="13"/>
    </row>
    <row r="15391">
      <c r="L15391" s="13"/>
      <c r="M15391" s="14"/>
      <c r="N15391" s="14"/>
      <c r="O15391" s="14"/>
      <c r="P15391" s="13"/>
    </row>
    <row r="15392">
      <c r="L15392" s="13"/>
      <c r="M15392" s="14"/>
      <c r="N15392" s="14"/>
      <c r="O15392" s="14"/>
      <c r="P15392" s="13"/>
    </row>
    <row r="15393">
      <c r="L15393" s="13"/>
      <c r="M15393" s="14"/>
      <c r="N15393" s="14"/>
      <c r="O15393" s="14"/>
      <c r="P15393" s="13"/>
    </row>
    <row r="15394">
      <c r="L15394" s="13"/>
      <c r="M15394" s="14"/>
      <c r="N15394" s="14"/>
      <c r="O15394" s="14"/>
      <c r="P15394" s="13"/>
    </row>
    <row r="15395">
      <c r="L15395" s="13"/>
      <c r="M15395" s="14"/>
      <c r="N15395" s="14"/>
      <c r="O15395" s="14"/>
      <c r="P15395" s="13"/>
    </row>
    <row r="15396">
      <c r="L15396" s="13"/>
      <c r="M15396" s="14"/>
      <c r="N15396" s="14"/>
      <c r="O15396" s="14"/>
      <c r="P15396" s="13"/>
    </row>
    <row r="15397">
      <c r="L15397" s="13"/>
      <c r="M15397" s="14"/>
      <c r="N15397" s="14"/>
      <c r="O15397" s="14"/>
      <c r="P15397" s="13"/>
    </row>
    <row r="15398">
      <c r="L15398" s="13"/>
      <c r="M15398" s="14"/>
      <c r="N15398" s="14"/>
      <c r="O15398" s="14"/>
      <c r="P15398" s="13"/>
    </row>
    <row r="15399">
      <c r="L15399" s="13"/>
      <c r="M15399" s="14"/>
      <c r="N15399" s="14"/>
      <c r="O15399" s="14"/>
      <c r="P15399" s="13"/>
    </row>
    <row r="15400">
      <c r="L15400" s="13"/>
      <c r="M15400" s="14"/>
      <c r="N15400" s="14"/>
      <c r="O15400" s="14"/>
      <c r="P15400" s="13"/>
    </row>
    <row r="15401">
      <c r="L15401" s="13"/>
      <c r="M15401" s="14"/>
      <c r="N15401" s="14"/>
      <c r="O15401" s="14"/>
      <c r="P15401" s="13"/>
    </row>
    <row r="15402">
      <c r="L15402" s="13"/>
      <c r="M15402" s="14"/>
      <c r="N15402" s="14"/>
      <c r="O15402" s="14"/>
      <c r="P15402" s="13"/>
    </row>
    <row r="15403">
      <c r="L15403" s="13"/>
      <c r="M15403" s="14"/>
      <c r="N15403" s="14"/>
      <c r="O15403" s="14"/>
      <c r="P15403" s="13"/>
    </row>
    <row r="15404">
      <c r="L15404" s="13"/>
      <c r="M15404" s="14"/>
      <c r="N15404" s="14"/>
      <c r="O15404" s="14"/>
      <c r="P15404" s="13"/>
    </row>
    <row r="15405">
      <c r="L15405" s="13"/>
      <c r="M15405" s="14"/>
      <c r="N15405" s="14"/>
      <c r="O15405" s="14"/>
      <c r="P15405" s="13"/>
    </row>
    <row r="15406">
      <c r="L15406" s="13"/>
      <c r="M15406" s="14"/>
      <c r="N15406" s="14"/>
      <c r="O15406" s="14"/>
      <c r="P15406" s="13"/>
    </row>
    <row r="15407">
      <c r="L15407" s="13"/>
      <c r="M15407" s="14"/>
      <c r="N15407" s="14"/>
      <c r="O15407" s="14"/>
      <c r="P15407" s="13"/>
    </row>
    <row r="15408">
      <c r="L15408" s="13"/>
      <c r="M15408" s="14"/>
      <c r="N15408" s="14"/>
      <c r="O15408" s="14"/>
      <c r="P15408" s="13"/>
    </row>
    <row r="15409">
      <c r="L15409" s="13"/>
      <c r="M15409" s="14"/>
      <c r="N15409" s="14"/>
      <c r="O15409" s="14"/>
      <c r="P15409" s="13"/>
    </row>
    <row r="15410">
      <c r="L15410" s="13"/>
      <c r="M15410" s="14"/>
      <c r="N15410" s="14"/>
      <c r="O15410" s="14"/>
      <c r="P15410" s="13"/>
    </row>
    <row r="15411">
      <c r="L15411" s="13"/>
      <c r="M15411" s="14"/>
      <c r="N15411" s="14"/>
      <c r="O15411" s="14"/>
      <c r="P15411" s="13"/>
    </row>
    <row r="15412">
      <c r="L15412" s="13"/>
      <c r="M15412" s="14"/>
      <c r="N15412" s="14"/>
      <c r="O15412" s="14"/>
      <c r="P15412" s="13"/>
    </row>
    <row r="15413">
      <c r="L15413" s="13"/>
      <c r="M15413" s="14"/>
      <c r="N15413" s="14"/>
      <c r="O15413" s="14"/>
      <c r="P15413" s="13"/>
    </row>
    <row r="15414">
      <c r="L15414" s="13"/>
      <c r="M15414" s="14"/>
      <c r="N15414" s="14"/>
      <c r="O15414" s="14"/>
      <c r="P15414" s="13"/>
    </row>
    <row r="15415">
      <c r="L15415" s="13"/>
      <c r="M15415" s="14"/>
      <c r="N15415" s="14"/>
      <c r="O15415" s="14"/>
      <c r="P15415" s="13"/>
    </row>
    <row r="15416">
      <c r="L15416" s="13"/>
      <c r="M15416" s="14"/>
      <c r="N15416" s="14"/>
      <c r="O15416" s="14"/>
      <c r="P15416" s="13"/>
    </row>
    <row r="15417">
      <c r="L15417" s="13"/>
      <c r="M15417" s="14"/>
      <c r="N15417" s="14"/>
      <c r="O15417" s="14"/>
      <c r="P15417" s="13"/>
    </row>
    <row r="15418">
      <c r="L15418" s="13"/>
      <c r="M15418" s="14"/>
      <c r="N15418" s="14"/>
      <c r="O15418" s="14"/>
      <c r="P15418" s="13"/>
    </row>
    <row r="15419">
      <c r="L15419" s="13"/>
      <c r="M15419" s="14"/>
      <c r="N15419" s="14"/>
      <c r="O15419" s="14"/>
      <c r="P15419" s="13"/>
    </row>
    <row r="15420">
      <c r="L15420" s="13"/>
      <c r="M15420" s="14"/>
      <c r="N15420" s="14"/>
      <c r="O15420" s="14"/>
      <c r="P15420" s="13"/>
    </row>
    <row r="15421">
      <c r="L15421" s="13"/>
      <c r="M15421" s="14"/>
      <c r="N15421" s="14"/>
      <c r="O15421" s="14"/>
      <c r="P15421" s="13"/>
    </row>
    <row r="15422">
      <c r="L15422" s="13"/>
      <c r="M15422" s="14"/>
      <c r="N15422" s="14"/>
      <c r="O15422" s="14"/>
      <c r="P15422" s="13"/>
    </row>
    <row r="15423">
      <c r="L15423" s="13"/>
      <c r="M15423" s="14"/>
      <c r="N15423" s="14"/>
      <c r="O15423" s="14"/>
      <c r="P15423" s="13"/>
    </row>
    <row r="15424">
      <c r="L15424" s="13"/>
      <c r="M15424" s="14"/>
      <c r="N15424" s="14"/>
      <c r="O15424" s="14"/>
      <c r="P15424" s="13"/>
    </row>
    <row r="15425">
      <c r="L15425" s="13"/>
      <c r="M15425" s="14"/>
      <c r="N15425" s="14"/>
      <c r="O15425" s="14"/>
      <c r="P15425" s="13"/>
    </row>
    <row r="15426">
      <c r="L15426" s="13"/>
      <c r="M15426" s="14"/>
      <c r="N15426" s="14"/>
      <c r="O15426" s="14"/>
      <c r="P15426" s="13"/>
    </row>
    <row r="15427">
      <c r="L15427" s="13"/>
      <c r="M15427" s="14"/>
      <c r="N15427" s="14"/>
      <c r="O15427" s="14"/>
      <c r="P15427" s="13"/>
    </row>
    <row r="15428">
      <c r="L15428" s="13"/>
      <c r="M15428" s="14"/>
      <c r="N15428" s="14"/>
      <c r="O15428" s="14"/>
      <c r="P15428" s="13"/>
    </row>
    <row r="15429">
      <c r="L15429" s="13"/>
      <c r="M15429" s="14"/>
      <c r="N15429" s="14"/>
      <c r="O15429" s="14"/>
      <c r="P15429" s="13"/>
    </row>
    <row r="15430">
      <c r="L15430" s="13"/>
      <c r="M15430" s="14"/>
      <c r="N15430" s="14"/>
      <c r="O15430" s="14"/>
      <c r="P15430" s="13"/>
    </row>
    <row r="15431">
      <c r="L15431" s="13"/>
      <c r="M15431" s="14"/>
      <c r="N15431" s="14"/>
      <c r="O15431" s="14"/>
      <c r="P15431" s="13"/>
    </row>
    <row r="15432">
      <c r="L15432" s="13"/>
      <c r="M15432" s="14"/>
      <c r="N15432" s="14"/>
      <c r="O15432" s="14"/>
      <c r="P15432" s="13"/>
    </row>
    <row r="15433">
      <c r="L15433" s="13"/>
      <c r="M15433" s="14"/>
      <c r="N15433" s="14"/>
      <c r="O15433" s="14"/>
      <c r="P15433" s="13"/>
    </row>
    <row r="15434">
      <c r="L15434" s="13"/>
      <c r="M15434" s="14"/>
      <c r="N15434" s="14"/>
      <c r="O15434" s="14"/>
      <c r="P15434" s="13"/>
    </row>
    <row r="15435">
      <c r="L15435" s="13"/>
      <c r="M15435" s="14"/>
      <c r="N15435" s="14"/>
      <c r="O15435" s="14"/>
      <c r="P15435" s="13"/>
    </row>
    <row r="15436">
      <c r="L15436" s="13"/>
      <c r="M15436" s="14"/>
      <c r="N15436" s="14"/>
      <c r="O15436" s="14"/>
      <c r="P15436" s="13"/>
    </row>
    <row r="15437">
      <c r="L15437" s="13"/>
      <c r="M15437" s="14"/>
      <c r="N15437" s="14"/>
      <c r="O15437" s="14"/>
      <c r="P15437" s="13"/>
    </row>
    <row r="15438">
      <c r="L15438" s="13"/>
      <c r="M15438" s="14"/>
      <c r="N15438" s="14"/>
      <c r="O15438" s="14"/>
      <c r="P15438" s="13"/>
    </row>
    <row r="15439">
      <c r="L15439" s="13"/>
      <c r="M15439" s="14"/>
      <c r="N15439" s="14"/>
      <c r="O15439" s="14"/>
      <c r="P15439" s="13"/>
    </row>
    <row r="15440">
      <c r="L15440" s="13"/>
      <c r="M15440" s="14"/>
      <c r="N15440" s="14"/>
      <c r="O15440" s="14"/>
      <c r="P15440" s="13"/>
    </row>
    <row r="15441">
      <c r="L15441" s="13"/>
      <c r="M15441" s="14"/>
      <c r="N15441" s="14"/>
      <c r="O15441" s="14"/>
      <c r="P15441" s="13"/>
    </row>
    <row r="15442">
      <c r="L15442" s="13"/>
      <c r="M15442" s="14"/>
      <c r="N15442" s="14"/>
      <c r="O15442" s="14"/>
      <c r="P15442" s="13"/>
    </row>
    <row r="15443">
      <c r="L15443" s="13"/>
      <c r="M15443" s="14"/>
      <c r="N15443" s="14"/>
      <c r="O15443" s="14"/>
      <c r="P15443" s="13"/>
    </row>
    <row r="15444">
      <c r="L15444" s="13"/>
      <c r="M15444" s="14"/>
      <c r="N15444" s="14"/>
      <c r="O15444" s="14"/>
      <c r="P15444" s="13"/>
    </row>
    <row r="15445">
      <c r="L15445" s="13"/>
      <c r="M15445" s="14"/>
      <c r="N15445" s="14"/>
      <c r="O15445" s="14"/>
      <c r="P15445" s="13"/>
    </row>
    <row r="15446">
      <c r="L15446" s="13"/>
      <c r="M15446" s="14"/>
      <c r="N15446" s="14"/>
      <c r="O15446" s="14"/>
      <c r="P15446" s="13"/>
    </row>
    <row r="15447">
      <c r="L15447" s="13"/>
      <c r="M15447" s="14"/>
      <c r="N15447" s="14"/>
      <c r="O15447" s="14"/>
      <c r="P15447" s="13"/>
    </row>
    <row r="15448">
      <c r="L15448" s="13"/>
      <c r="M15448" s="14"/>
      <c r="N15448" s="14"/>
      <c r="O15448" s="14"/>
      <c r="P15448" s="13"/>
    </row>
    <row r="15449">
      <c r="L15449" s="13"/>
      <c r="M15449" s="14"/>
      <c r="N15449" s="14"/>
      <c r="O15449" s="14"/>
      <c r="P15449" s="13"/>
    </row>
    <row r="15450">
      <c r="L15450" s="13"/>
      <c r="M15450" s="14"/>
      <c r="N15450" s="14"/>
      <c r="O15450" s="14"/>
      <c r="P15450" s="13"/>
    </row>
    <row r="15451">
      <c r="L15451" s="13"/>
      <c r="M15451" s="14"/>
      <c r="N15451" s="14"/>
      <c r="O15451" s="14"/>
      <c r="P15451" s="13"/>
    </row>
    <row r="15452">
      <c r="L15452" s="13"/>
      <c r="M15452" s="14"/>
      <c r="N15452" s="14"/>
      <c r="O15452" s="14"/>
      <c r="P15452" s="13"/>
    </row>
    <row r="15453">
      <c r="L15453" s="13"/>
      <c r="M15453" s="14"/>
      <c r="N15453" s="14"/>
      <c r="O15453" s="14"/>
      <c r="P15453" s="13"/>
    </row>
    <row r="15454">
      <c r="L15454" s="13"/>
      <c r="M15454" s="14"/>
      <c r="N15454" s="14"/>
      <c r="O15454" s="14"/>
      <c r="P15454" s="13"/>
    </row>
    <row r="15455">
      <c r="L15455" s="13"/>
      <c r="M15455" s="14"/>
      <c r="N15455" s="14"/>
      <c r="O15455" s="14"/>
      <c r="P15455" s="13"/>
    </row>
    <row r="15456">
      <c r="L15456" s="13"/>
      <c r="M15456" s="14"/>
      <c r="N15456" s="14"/>
      <c r="O15456" s="14"/>
      <c r="P15456" s="13"/>
    </row>
    <row r="15457">
      <c r="L15457" s="13"/>
      <c r="M15457" s="14"/>
      <c r="N15457" s="14"/>
      <c r="O15457" s="14"/>
      <c r="P15457" s="13"/>
    </row>
    <row r="15458">
      <c r="L15458" s="13"/>
      <c r="M15458" s="14"/>
      <c r="N15458" s="14"/>
      <c r="O15458" s="14"/>
      <c r="P15458" s="13"/>
    </row>
    <row r="15459">
      <c r="L15459" s="13"/>
      <c r="M15459" s="14"/>
      <c r="N15459" s="14"/>
      <c r="O15459" s="14"/>
      <c r="P15459" s="13"/>
    </row>
    <row r="15460">
      <c r="L15460" s="13"/>
      <c r="M15460" s="14"/>
      <c r="N15460" s="14"/>
      <c r="O15460" s="14"/>
      <c r="P15460" s="13"/>
    </row>
    <row r="15461">
      <c r="L15461" s="13"/>
      <c r="M15461" s="14"/>
      <c r="N15461" s="14"/>
      <c r="O15461" s="14"/>
      <c r="P15461" s="13"/>
    </row>
    <row r="15462">
      <c r="L15462" s="13"/>
      <c r="M15462" s="14"/>
      <c r="N15462" s="14"/>
      <c r="O15462" s="14"/>
      <c r="P15462" s="13"/>
    </row>
    <row r="15463">
      <c r="L15463" s="13"/>
      <c r="M15463" s="14"/>
      <c r="N15463" s="14"/>
      <c r="O15463" s="14"/>
      <c r="P15463" s="13"/>
    </row>
    <row r="15464">
      <c r="L15464" s="13"/>
      <c r="M15464" s="14"/>
      <c r="N15464" s="14"/>
      <c r="O15464" s="14"/>
      <c r="P15464" s="13"/>
    </row>
    <row r="15465">
      <c r="L15465" s="13"/>
      <c r="M15465" s="14"/>
      <c r="N15465" s="14"/>
      <c r="O15465" s="14"/>
      <c r="P15465" s="13"/>
    </row>
    <row r="15466">
      <c r="L15466" s="13"/>
      <c r="M15466" s="14"/>
      <c r="N15466" s="14"/>
      <c r="O15466" s="14"/>
      <c r="P15466" s="13"/>
    </row>
    <row r="15467">
      <c r="L15467" s="13"/>
      <c r="M15467" s="14"/>
      <c r="N15467" s="14"/>
      <c r="O15467" s="14"/>
      <c r="P15467" s="13"/>
    </row>
    <row r="15468">
      <c r="L15468" s="13"/>
      <c r="M15468" s="14"/>
      <c r="N15468" s="14"/>
      <c r="O15468" s="14"/>
      <c r="P15468" s="13"/>
    </row>
    <row r="15469">
      <c r="L15469" s="13"/>
      <c r="M15469" s="14"/>
      <c r="N15469" s="14"/>
      <c r="O15469" s="14"/>
      <c r="P15469" s="13"/>
    </row>
    <row r="15470">
      <c r="L15470" s="13"/>
      <c r="M15470" s="14"/>
      <c r="N15470" s="14"/>
      <c r="O15470" s="14"/>
      <c r="P15470" s="13"/>
    </row>
    <row r="15471">
      <c r="L15471" s="13"/>
      <c r="M15471" s="14"/>
      <c r="N15471" s="14"/>
      <c r="O15471" s="14"/>
      <c r="P15471" s="13"/>
    </row>
    <row r="15472">
      <c r="L15472" s="13"/>
      <c r="M15472" s="14"/>
      <c r="N15472" s="14"/>
      <c r="O15472" s="14"/>
      <c r="P15472" s="13"/>
    </row>
    <row r="15473">
      <c r="L15473" s="13"/>
      <c r="M15473" s="14"/>
      <c r="N15473" s="14"/>
      <c r="O15473" s="14"/>
      <c r="P15473" s="13"/>
    </row>
    <row r="15474">
      <c r="L15474" s="13"/>
      <c r="M15474" s="14"/>
      <c r="N15474" s="14"/>
      <c r="O15474" s="14"/>
      <c r="P15474" s="13"/>
    </row>
    <row r="15475">
      <c r="L15475" s="13"/>
      <c r="M15475" s="14"/>
      <c r="N15475" s="14"/>
      <c r="O15475" s="14"/>
      <c r="P15475" s="13"/>
    </row>
    <row r="15476">
      <c r="L15476" s="13"/>
      <c r="M15476" s="14"/>
      <c r="N15476" s="14"/>
      <c r="O15476" s="14"/>
      <c r="P15476" s="13"/>
    </row>
    <row r="15477">
      <c r="L15477" s="13"/>
      <c r="M15477" s="14"/>
      <c r="N15477" s="14"/>
      <c r="O15477" s="14"/>
      <c r="P15477" s="13"/>
    </row>
    <row r="15478">
      <c r="L15478" s="13"/>
      <c r="M15478" s="14"/>
      <c r="N15478" s="14"/>
      <c r="O15478" s="14"/>
      <c r="P15478" s="13"/>
    </row>
    <row r="15479">
      <c r="L15479" s="13"/>
      <c r="M15479" s="14"/>
      <c r="N15479" s="14"/>
      <c r="O15479" s="14"/>
      <c r="P15479" s="13"/>
    </row>
    <row r="15480">
      <c r="L15480" s="13"/>
      <c r="M15480" s="14"/>
      <c r="N15480" s="14"/>
      <c r="O15480" s="14"/>
      <c r="P15480" s="13"/>
    </row>
    <row r="15481">
      <c r="L15481" s="13"/>
      <c r="M15481" s="14"/>
      <c r="N15481" s="14"/>
      <c r="O15481" s="14"/>
      <c r="P15481" s="13"/>
    </row>
    <row r="15482">
      <c r="L15482" s="13"/>
      <c r="M15482" s="14"/>
      <c r="N15482" s="14"/>
      <c r="O15482" s="14"/>
      <c r="P15482" s="13"/>
    </row>
    <row r="15483">
      <c r="L15483" s="13"/>
      <c r="M15483" s="14"/>
      <c r="N15483" s="14"/>
      <c r="O15483" s="14"/>
      <c r="P15483" s="13"/>
    </row>
    <row r="15484">
      <c r="L15484" s="13"/>
      <c r="M15484" s="14"/>
      <c r="N15484" s="14"/>
      <c r="O15484" s="14"/>
      <c r="P15484" s="13"/>
    </row>
    <row r="15485">
      <c r="L15485" s="13"/>
      <c r="M15485" s="14"/>
      <c r="N15485" s="14"/>
      <c r="O15485" s="14"/>
      <c r="P15485" s="13"/>
    </row>
    <row r="15486">
      <c r="L15486" s="13"/>
      <c r="M15486" s="14"/>
      <c r="N15486" s="14"/>
      <c r="O15486" s="14"/>
      <c r="P15486" s="13"/>
    </row>
    <row r="15487">
      <c r="L15487" s="13"/>
      <c r="M15487" s="14"/>
      <c r="N15487" s="14"/>
      <c r="O15487" s="14"/>
      <c r="P15487" s="13"/>
    </row>
    <row r="15488">
      <c r="L15488" s="13"/>
      <c r="M15488" s="14"/>
      <c r="N15488" s="14"/>
      <c r="O15488" s="14"/>
      <c r="P15488" s="13"/>
    </row>
    <row r="15489">
      <c r="L15489" s="13"/>
      <c r="M15489" s="14"/>
      <c r="N15489" s="14"/>
      <c r="O15489" s="14"/>
      <c r="P15489" s="13"/>
    </row>
    <row r="15490">
      <c r="L15490" s="13"/>
      <c r="M15490" s="14"/>
      <c r="N15490" s="14"/>
      <c r="O15490" s="14"/>
      <c r="P15490" s="13"/>
    </row>
    <row r="15491">
      <c r="L15491" s="13"/>
      <c r="M15491" s="14"/>
      <c r="N15491" s="14"/>
      <c r="O15491" s="14"/>
      <c r="P15491" s="13"/>
    </row>
    <row r="15492">
      <c r="L15492" s="13"/>
      <c r="M15492" s="14"/>
      <c r="N15492" s="14"/>
      <c r="O15492" s="14"/>
      <c r="P15492" s="13"/>
    </row>
    <row r="15493">
      <c r="L15493" s="13"/>
      <c r="M15493" s="14"/>
      <c r="N15493" s="14"/>
      <c r="O15493" s="14"/>
      <c r="P15493" s="13"/>
    </row>
    <row r="15494">
      <c r="L15494" s="13"/>
      <c r="M15494" s="14"/>
      <c r="N15494" s="14"/>
      <c r="O15494" s="14"/>
      <c r="P15494" s="13"/>
    </row>
    <row r="15495">
      <c r="L15495" s="13"/>
      <c r="M15495" s="14"/>
      <c r="N15495" s="14"/>
      <c r="O15495" s="14"/>
      <c r="P15495" s="13"/>
    </row>
    <row r="15496">
      <c r="L15496" s="13"/>
      <c r="M15496" s="14"/>
      <c r="N15496" s="14"/>
      <c r="O15496" s="14"/>
      <c r="P15496" s="13"/>
    </row>
    <row r="15497">
      <c r="L15497" s="13"/>
      <c r="M15497" s="14"/>
      <c r="N15497" s="14"/>
      <c r="O15497" s="14"/>
      <c r="P15497" s="13"/>
    </row>
    <row r="15498">
      <c r="L15498" s="13"/>
      <c r="M15498" s="14"/>
      <c r="N15498" s="14"/>
      <c r="O15498" s="14"/>
      <c r="P15498" s="13"/>
    </row>
    <row r="15499">
      <c r="L15499" s="13"/>
      <c r="M15499" s="14"/>
      <c r="N15499" s="14"/>
      <c r="O15499" s="14"/>
      <c r="P15499" s="13"/>
    </row>
    <row r="15500">
      <c r="L15500" s="13"/>
      <c r="M15500" s="14"/>
      <c r="N15500" s="14"/>
      <c r="O15500" s="14"/>
      <c r="P15500" s="13"/>
    </row>
    <row r="15501">
      <c r="L15501" s="13"/>
      <c r="M15501" s="14"/>
      <c r="N15501" s="14"/>
      <c r="O15501" s="14"/>
      <c r="P15501" s="13"/>
    </row>
    <row r="15502">
      <c r="L15502" s="13"/>
      <c r="M15502" s="14"/>
      <c r="N15502" s="14"/>
      <c r="O15502" s="14"/>
      <c r="P15502" s="13"/>
    </row>
    <row r="15503">
      <c r="L15503" s="13"/>
      <c r="M15503" s="14"/>
      <c r="N15503" s="14"/>
      <c r="O15503" s="14"/>
      <c r="P15503" s="13"/>
    </row>
    <row r="15504">
      <c r="L15504" s="13"/>
      <c r="M15504" s="14"/>
      <c r="N15504" s="14"/>
      <c r="O15504" s="14"/>
      <c r="P15504" s="13"/>
    </row>
    <row r="15505">
      <c r="L15505" s="13"/>
      <c r="M15505" s="14"/>
      <c r="N15505" s="14"/>
      <c r="O15505" s="14"/>
      <c r="P15505" s="13"/>
    </row>
    <row r="15506">
      <c r="L15506" s="13"/>
      <c r="M15506" s="14"/>
      <c r="N15506" s="14"/>
      <c r="O15506" s="14"/>
      <c r="P15506" s="13"/>
    </row>
    <row r="15507">
      <c r="L15507" s="13"/>
      <c r="M15507" s="14"/>
      <c r="N15507" s="14"/>
      <c r="O15507" s="14"/>
      <c r="P15507" s="13"/>
    </row>
    <row r="15508">
      <c r="L15508" s="13"/>
      <c r="M15508" s="14"/>
      <c r="N15508" s="14"/>
      <c r="O15508" s="14"/>
      <c r="P15508" s="13"/>
    </row>
    <row r="15509">
      <c r="L15509" s="13"/>
      <c r="M15509" s="14"/>
      <c r="N15509" s="14"/>
      <c r="O15509" s="14"/>
      <c r="P15509" s="13"/>
    </row>
    <row r="15510">
      <c r="L15510" s="13"/>
      <c r="M15510" s="14"/>
      <c r="N15510" s="14"/>
      <c r="O15510" s="14"/>
      <c r="P15510" s="13"/>
    </row>
    <row r="15511">
      <c r="L15511" s="13"/>
      <c r="M15511" s="14"/>
      <c r="N15511" s="14"/>
      <c r="O15511" s="14"/>
      <c r="P15511" s="13"/>
    </row>
    <row r="15512">
      <c r="L15512" s="13"/>
      <c r="M15512" s="14"/>
      <c r="N15512" s="14"/>
      <c r="O15512" s="14"/>
      <c r="P15512" s="13"/>
    </row>
    <row r="15513">
      <c r="L15513" s="13"/>
      <c r="M15513" s="14"/>
      <c r="N15513" s="14"/>
      <c r="O15513" s="14"/>
      <c r="P15513" s="13"/>
    </row>
    <row r="15514">
      <c r="L15514" s="13"/>
      <c r="M15514" s="14"/>
      <c r="N15514" s="14"/>
      <c r="O15514" s="14"/>
      <c r="P15514" s="13"/>
    </row>
    <row r="15515">
      <c r="L15515" s="13"/>
      <c r="M15515" s="14"/>
      <c r="N15515" s="14"/>
      <c r="O15515" s="14"/>
      <c r="P15515" s="13"/>
    </row>
    <row r="15516">
      <c r="L15516" s="13"/>
      <c r="M15516" s="14"/>
      <c r="N15516" s="14"/>
      <c r="O15516" s="14"/>
      <c r="P15516" s="13"/>
    </row>
    <row r="15517">
      <c r="L15517" s="13"/>
      <c r="M15517" s="14"/>
      <c r="N15517" s="14"/>
      <c r="O15517" s="14"/>
      <c r="P15517" s="13"/>
    </row>
    <row r="15518">
      <c r="L15518" s="13"/>
      <c r="M15518" s="14"/>
      <c r="N15518" s="14"/>
      <c r="O15518" s="14"/>
      <c r="P15518" s="13"/>
    </row>
    <row r="15519">
      <c r="L15519" s="13"/>
      <c r="M15519" s="14"/>
      <c r="N15519" s="14"/>
      <c r="O15519" s="14"/>
      <c r="P15519" s="13"/>
    </row>
    <row r="15520">
      <c r="L15520" s="13"/>
      <c r="M15520" s="14"/>
      <c r="N15520" s="14"/>
      <c r="O15520" s="14"/>
      <c r="P15520" s="13"/>
    </row>
    <row r="15521">
      <c r="L15521" s="13"/>
      <c r="M15521" s="14"/>
      <c r="N15521" s="14"/>
      <c r="O15521" s="14"/>
      <c r="P15521" s="13"/>
    </row>
    <row r="15522">
      <c r="L15522" s="13"/>
      <c r="M15522" s="14"/>
      <c r="N15522" s="14"/>
      <c r="O15522" s="14"/>
      <c r="P15522" s="13"/>
    </row>
    <row r="15523">
      <c r="L15523" s="13"/>
      <c r="M15523" s="14"/>
      <c r="N15523" s="14"/>
      <c r="O15523" s="14"/>
      <c r="P15523" s="13"/>
    </row>
    <row r="15524">
      <c r="L15524" s="13"/>
      <c r="M15524" s="14"/>
      <c r="N15524" s="14"/>
      <c r="O15524" s="14"/>
      <c r="P15524" s="13"/>
    </row>
    <row r="15525">
      <c r="L15525" s="13"/>
      <c r="M15525" s="14"/>
      <c r="N15525" s="14"/>
      <c r="O15525" s="14"/>
      <c r="P15525" s="13"/>
    </row>
    <row r="15526">
      <c r="L15526" s="13"/>
      <c r="M15526" s="14"/>
      <c r="N15526" s="14"/>
      <c r="O15526" s="14"/>
      <c r="P15526" s="13"/>
    </row>
    <row r="15527">
      <c r="L15527" s="13"/>
      <c r="M15527" s="14"/>
      <c r="N15527" s="14"/>
      <c r="O15527" s="14"/>
      <c r="P15527" s="13"/>
    </row>
    <row r="15528">
      <c r="L15528" s="13"/>
      <c r="M15528" s="14"/>
      <c r="N15528" s="14"/>
      <c r="O15528" s="14"/>
      <c r="P15528" s="13"/>
    </row>
    <row r="15529">
      <c r="L15529" s="13"/>
      <c r="M15529" s="14"/>
      <c r="N15529" s="14"/>
      <c r="O15529" s="14"/>
      <c r="P15529" s="13"/>
    </row>
    <row r="15530">
      <c r="L15530" s="13"/>
      <c r="M15530" s="14"/>
      <c r="N15530" s="14"/>
      <c r="O15530" s="14"/>
      <c r="P15530" s="13"/>
    </row>
    <row r="15531">
      <c r="L15531" s="13"/>
      <c r="M15531" s="14"/>
      <c r="N15531" s="14"/>
      <c r="O15531" s="14"/>
      <c r="P15531" s="13"/>
    </row>
    <row r="15532">
      <c r="L15532" s="13"/>
      <c r="M15532" s="14"/>
      <c r="N15532" s="14"/>
      <c r="O15532" s="14"/>
      <c r="P15532" s="13"/>
    </row>
    <row r="15533">
      <c r="L15533" s="13"/>
      <c r="M15533" s="14"/>
      <c r="N15533" s="14"/>
      <c r="O15533" s="14"/>
      <c r="P15533" s="13"/>
    </row>
    <row r="15534">
      <c r="L15534" s="13"/>
      <c r="M15534" s="14"/>
      <c r="N15534" s="14"/>
      <c r="O15534" s="14"/>
      <c r="P15534" s="13"/>
    </row>
    <row r="15535">
      <c r="L15535" s="13"/>
      <c r="M15535" s="14"/>
      <c r="N15535" s="14"/>
      <c r="O15535" s="14"/>
      <c r="P15535" s="13"/>
    </row>
    <row r="15536">
      <c r="L15536" s="13"/>
      <c r="M15536" s="14"/>
      <c r="N15536" s="14"/>
      <c r="O15536" s="14"/>
      <c r="P15536" s="13"/>
    </row>
    <row r="15537">
      <c r="L15537" s="13"/>
      <c r="M15537" s="14"/>
      <c r="N15537" s="14"/>
      <c r="O15537" s="14"/>
      <c r="P15537" s="13"/>
    </row>
    <row r="15538">
      <c r="L15538" s="13"/>
      <c r="M15538" s="14"/>
      <c r="N15538" s="14"/>
      <c r="O15538" s="14"/>
      <c r="P15538" s="13"/>
    </row>
    <row r="15539">
      <c r="L15539" s="13"/>
      <c r="M15539" s="14"/>
      <c r="N15539" s="14"/>
      <c r="O15539" s="14"/>
      <c r="P15539" s="13"/>
    </row>
    <row r="15540">
      <c r="L15540" s="13"/>
      <c r="M15540" s="14"/>
      <c r="N15540" s="14"/>
      <c r="O15540" s="14"/>
      <c r="P15540" s="13"/>
    </row>
    <row r="15541">
      <c r="L15541" s="13"/>
      <c r="M15541" s="14"/>
      <c r="N15541" s="14"/>
      <c r="O15541" s="14"/>
      <c r="P15541" s="13"/>
    </row>
    <row r="15542">
      <c r="L15542" s="13"/>
      <c r="M15542" s="14"/>
      <c r="N15542" s="14"/>
      <c r="O15542" s="14"/>
      <c r="P15542" s="13"/>
    </row>
    <row r="15543">
      <c r="L15543" s="13"/>
      <c r="M15543" s="14"/>
      <c r="N15543" s="14"/>
      <c r="O15543" s="14"/>
      <c r="P15543" s="13"/>
    </row>
    <row r="15544">
      <c r="L15544" s="13"/>
      <c r="M15544" s="14"/>
      <c r="N15544" s="14"/>
      <c r="O15544" s="14"/>
      <c r="P15544" s="13"/>
    </row>
    <row r="15545">
      <c r="L15545" s="13"/>
      <c r="M15545" s="14"/>
      <c r="N15545" s="14"/>
      <c r="O15545" s="14"/>
      <c r="P15545" s="13"/>
    </row>
    <row r="15546">
      <c r="L15546" s="13"/>
      <c r="M15546" s="14"/>
      <c r="N15546" s="14"/>
      <c r="O15546" s="14"/>
      <c r="P15546" s="13"/>
    </row>
    <row r="15547">
      <c r="L15547" s="13"/>
      <c r="M15547" s="14"/>
      <c r="N15547" s="14"/>
      <c r="O15547" s="14"/>
      <c r="P15547" s="13"/>
    </row>
    <row r="15548">
      <c r="L15548" s="13"/>
      <c r="M15548" s="14"/>
      <c r="N15548" s="14"/>
      <c r="O15548" s="14"/>
      <c r="P15548" s="13"/>
    </row>
    <row r="15549">
      <c r="L15549" s="13"/>
      <c r="M15549" s="14"/>
      <c r="N15549" s="14"/>
      <c r="O15549" s="14"/>
      <c r="P15549" s="13"/>
    </row>
    <row r="15550">
      <c r="L15550" s="13"/>
      <c r="M15550" s="14"/>
      <c r="N15550" s="14"/>
      <c r="O15550" s="14"/>
      <c r="P15550" s="13"/>
    </row>
    <row r="15551">
      <c r="L15551" s="13"/>
      <c r="M15551" s="14"/>
      <c r="N15551" s="14"/>
      <c r="O15551" s="14"/>
      <c r="P15551" s="13"/>
    </row>
    <row r="15552">
      <c r="L15552" s="13"/>
      <c r="M15552" s="14"/>
      <c r="N15552" s="14"/>
      <c r="O15552" s="14"/>
      <c r="P15552" s="13"/>
    </row>
    <row r="15553">
      <c r="L15553" s="13"/>
      <c r="M15553" s="14"/>
      <c r="N15553" s="14"/>
      <c r="O15553" s="14"/>
      <c r="P15553" s="13"/>
    </row>
    <row r="15554">
      <c r="L15554" s="13"/>
      <c r="M15554" s="14"/>
      <c r="N15554" s="14"/>
      <c r="O15554" s="14"/>
      <c r="P15554" s="13"/>
    </row>
    <row r="15555">
      <c r="L15555" s="13"/>
      <c r="M15555" s="14"/>
      <c r="N15555" s="14"/>
      <c r="O15555" s="14"/>
      <c r="P15555" s="13"/>
    </row>
    <row r="15556">
      <c r="L15556" s="13"/>
      <c r="M15556" s="14"/>
      <c r="N15556" s="14"/>
      <c r="O15556" s="14"/>
      <c r="P15556" s="13"/>
    </row>
    <row r="15557">
      <c r="L15557" s="13"/>
      <c r="M15557" s="14"/>
      <c r="N15557" s="14"/>
      <c r="O15557" s="14"/>
      <c r="P15557" s="13"/>
    </row>
    <row r="15558">
      <c r="L15558" s="13"/>
      <c r="M15558" s="14"/>
      <c r="N15558" s="14"/>
      <c r="O15558" s="14"/>
      <c r="P15558" s="13"/>
    </row>
    <row r="15559">
      <c r="L15559" s="13"/>
      <c r="M15559" s="14"/>
      <c r="N15559" s="14"/>
      <c r="O15559" s="14"/>
      <c r="P15559" s="13"/>
    </row>
    <row r="15560">
      <c r="L15560" s="13"/>
      <c r="M15560" s="14"/>
      <c r="N15560" s="14"/>
      <c r="O15560" s="14"/>
      <c r="P15560" s="13"/>
    </row>
    <row r="15561">
      <c r="L15561" s="13"/>
      <c r="M15561" s="14"/>
      <c r="N15561" s="14"/>
      <c r="O15561" s="14"/>
      <c r="P15561" s="13"/>
    </row>
    <row r="15562">
      <c r="L15562" s="13"/>
      <c r="M15562" s="14"/>
      <c r="N15562" s="14"/>
      <c r="O15562" s="14"/>
      <c r="P15562" s="13"/>
    </row>
    <row r="15563">
      <c r="L15563" s="13"/>
      <c r="M15563" s="14"/>
      <c r="N15563" s="14"/>
      <c r="O15563" s="14"/>
      <c r="P15563" s="13"/>
    </row>
    <row r="15564">
      <c r="L15564" s="13"/>
      <c r="M15564" s="14"/>
      <c r="N15564" s="14"/>
      <c r="O15564" s="14"/>
      <c r="P15564" s="13"/>
    </row>
    <row r="15565">
      <c r="L15565" s="13"/>
      <c r="M15565" s="14"/>
      <c r="N15565" s="14"/>
      <c r="O15565" s="14"/>
      <c r="P15565" s="13"/>
    </row>
    <row r="15566">
      <c r="L15566" s="13"/>
      <c r="M15566" s="14"/>
      <c r="N15566" s="14"/>
      <c r="O15566" s="14"/>
      <c r="P15566" s="13"/>
    </row>
    <row r="15567">
      <c r="L15567" s="13"/>
      <c r="M15567" s="14"/>
      <c r="N15567" s="14"/>
      <c r="O15567" s="14"/>
      <c r="P15567" s="13"/>
    </row>
    <row r="15568">
      <c r="L15568" s="13"/>
      <c r="M15568" s="14"/>
      <c r="N15568" s="14"/>
      <c r="O15568" s="14"/>
      <c r="P15568" s="13"/>
    </row>
    <row r="15569">
      <c r="L15569" s="13"/>
      <c r="M15569" s="14"/>
      <c r="N15569" s="14"/>
      <c r="O15569" s="14"/>
      <c r="P15569" s="13"/>
    </row>
    <row r="15570">
      <c r="L15570" s="13"/>
      <c r="M15570" s="14"/>
      <c r="N15570" s="14"/>
      <c r="O15570" s="14"/>
      <c r="P15570" s="13"/>
    </row>
    <row r="15571">
      <c r="L15571" s="13"/>
      <c r="M15571" s="14"/>
      <c r="N15571" s="14"/>
      <c r="O15571" s="14"/>
      <c r="P15571" s="13"/>
    </row>
    <row r="15572">
      <c r="L15572" s="13"/>
      <c r="M15572" s="14"/>
      <c r="N15572" s="14"/>
      <c r="O15572" s="14"/>
      <c r="P15572" s="13"/>
    </row>
    <row r="15573">
      <c r="L15573" s="13"/>
      <c r="M15573" s="14"/>
      <c r="N15573" s="14"/>
      <c r="O15573" s="14"/>
      <c r="P15573" s="13"/>
    </row>
    <row r="15574">
      <c r="L15574" s="13"/>
      <c r="M15574" s="14"/>
      <c r="N15574" s="14"/>
      <c r="O15574" s="14"/>
      <c r="P15574" s="13"/>
    </row>
    <row r="15575">
      <c r="L15575" s="13"/>
      <c r="M15575" s="14"/>
      <c r="N15575" s="14"/>
      <c r="O15575" s="14"/>
      <c r="P15575" s="13"/>
    </row>
    <row r="15576">
      <c r="L15576" s="13"/>
      <c r="M15576" s="14"/>
      <c r="N15576" s="14"/>
      <c r="O15576" s="14"/>
      <c r="P15576" s="13"/>
    </row>
    <row r="15577">
      <c r="L15577" s="13"/>
      <c r="M15577" s="14"/>
      <c r="N15577" s="14"/>
      <c r="O15577" s="14"/>
      <c r="P15577" s="13"/>
    </row>
    <row r="15578">
      <c r="L15578" s="13"/>
      <c r="M15578" s="14"/>
      <c r="N15578" s="14"/>
      <c r="O15578" s="14"/>
      <c r="P15578" s="13"/>
    </row>
    <row r="15579">
      <c r="L15579" s="13"/>
      <c r="M15579" s="14"/>
      <c r="N15579" s="14"/>
      <c r="O15579" s="14"/>
      <c r="P15579" s="13"/>
    </row>
    <row r="15580">
      <c r="L15580" s="13"/>
      <c r="M15580" s="14"/>
      <c r="N15580" s="14"/>
      <c r="O15580" s="14"/>
      <c r="P15580" s="13"/>
    </row>
    <row r="15581">
      <c r="L15581" s="13"/>
      <c r="M15581" s="14"/>
      <c r="N15581" s="14"/>
      <c r="O15581" s="14"/>
      <c r="P15581" s="13"/>
    </row>
    <row r="15582">
      <c r="L15582" s="13"/>
      <c r="M15582" s="14"/>
      <c r="N15582" s="14"/>
      <c r="O15582" s="14"/>
      <c r="P15582" s="13"/>
    </row>
    <row r="15583">
      <c r="L15583" s="13"/>
      <c r="M15583" s="14"/>
      <c r="N15583" s="14"/>
      <c r="O15583" s="14"/>
      <c r="P15583" s="13"/>
    </row>
    <row r="15584">
      <c r="L15584" s="13"/>
      <c r="M15584" s="14"/>
      <c r="N15584" s="14"/>
      <c r="O15584" s="14"/>
      <c r="P15584" s="13"/>
    </row>
    <row r="15585">
      <c r="L15585" s="13"/>
      <c r="M15585" s="14"/>
      <c r="N15585" s="14"/>
      <c r="O15585" s="14"/>
      <c r="P15585" s="13"/>
    </row>
    <row r="15586">
      <c r="L15586" s="13"/>
      <c r="M15586" s="14"/>
      <c r="N15586" s="14"/>
      <c r="O15586" s="14"/>
      <c r="P15586" s="13"/>
    </row>
    <row r="15587">
      <c r="L15587" s="13"/>
      <c r="M15587" s="14"/>
      <c r="N15587" s="14"/>
      <c r="O15587" s="14"/>
      <c r="P15587" s="13"/>
    </row>
    <row r="15588">
      <c r="L15588" s="13"/>
      <c r="M15588" s="14"/>
      <c r="N15588" s="14"/>
      <c r="O15588" s="14"/>
      <c r="P15588" s="13"/>
    </row>
    <row r="15589">
      <c r="L15589" s="13"/>
      <c r="M15589" s="14"/>
      <c r="N15589" s="14"/>
      <c r="O15589" s="14"/>
      <c r="P15589" s="13"/>
    </row>
    <row r="15590">
      <c r="L15590" s="13"/>
      <c r="M15590" s="14"/>
      <c r="N15590" s="14"/>
      <c r="O15590" s="14"/>
      <c r="P15590" s="13"/>
    </row>
    <row r="15591">
      <c r="L15591" s="13"/>
      <c r="M15591" s="14"/>
      <c r="N15591" s="14"/>
      <c r="O15591" s="14"/>
      <c r="P15591" s="13"/>
    </row>
    <row r="15592">
      <c r="L15592" s="13"/>
      <c r="M15592" s="14"/>
      <c r="N15592" s="14"/>
      <c r="O15592" s="14"/>
      <c r="P15592" s="13"/>
    </row>
    <row r="15593">
      <c r="L15593" s="13"/>
      <c r="M15593" s="14"/>
      <c r="N15593" s="14"/>
      <c r="O15593" s="14"/>
      <c r="P15593" s="13"/>
    </row>
    <row r="15594">
      <c r="L15594" s="13"/>
      <c r="M15594" s="14"/>
      <c r="N15594" s="14"/>
      <c r="O15594" s="14"/>
      <c r="P15594" s="13"/>
    </row>
    <row r="15595">
      <c r="L15595" s="13"/>
      <c r="M15595" s="14"/>
      <c r="N15595" s="14"/>
      <c r="O15595" s="14"/>
      <c r="P15595" s="13"/>
    </row>
    <row r="15596">
      <c r="L15596" s="13"/>
      <c r="M15596" s="14"/>
      <c r="N15596" s="14"/>
      <c r="O15596" s="14"/>
      <c r="P15596" s="13"/>
    </row>
    <row r="15597">
      <c r="L15597" s="13"/>
      <c r="M15597" s="14"/>
      <c r="N15597" s="14"/>
      <c r="O15597" s="14"/>
      <c r="P15597" s="13"/>
    </row>
    <row r="15598">
      <c r="L15598" s="13"/>
      <c r="M15598" s="14"/>
      <c r="N15598" s="14"/>
      <c r="O15598" s="14"/>
      <c r="P15598" s="13"/>
    </row>
    <row r="15599">
      <c r="L15599" s="13"/>
      <c r="M15599" s="14"/>
      <c r="N15599" s="14"/>
      <c r="O15599" s="14"/>
      <c r="P15599" s="13"/>
    </row>
    <row r="15600">
      <c r="L15600" s="13"/>
      <c r="M15600" s="14"/>
      <c r="N15600" s="14"/>
      <c r="O15600" s="14"/>
      <c r="P15600" s="13"/>
    </row>
    <row r="15601">
      <c r="L15601" s="13"/>
      <c r="M15601" s="14"/>
      <c r="N15601" s="14"/>
      <c r="O15601" s="14"/>
      <c r="P15601" s="13"/>
    </row>
    <row r="15602">
      <c r="L15602" s="13"/>
      <c r="M15602" s="14"/>
      <c r="N15602" s="14"/>
      <c r="O15602" s="14"/>
      <c r="P15602" s="13"/>
    </row>
    <row r="15603">
      <c r="L15603" s="13"/>
      <c r="M15603" s="14"/>
      <c r="N15603" s="14"/>
      <c r="O15603" s="14"/>
      <c r="P15603" s="13"/>
    </row>
    <row r="15604">
      <c r="L15604" s="13"/>
      <c r="M15604" s="14"/>
      <c r="N15604" s="14"/>
      <c r="O15604" s="14"/>
      <c r="P15604" s="13"/>
    </row>
    <row r="15605">
      <c r="L15605" s="13"/>
      <c r="M15605" s="14"/>
      <c r="N15605" s="14"/>
      <c r="O15605" s="14"/>
      <c r="P15605" s="13"/>
    </row>
    <row r="15606">
      <c r="L15606" s="13"/>
      <c r="M15606" s="14"/>
      <c r="N15606" s="14"/>
      <c r="O15606" s="14"/>
      <c r="P15606" s="13"/>
    </row>
    <row r="15607">
      <c r="L15607" s="13"/>
      <c r="M15607" s="14"/>
      <c r="N15607" s="14"/>
      <c r="O15607" s="14"/>
      <c r="P15607" s="13"/>
    </row>
    <row r="15608">
      <c r="L15608" s="13"/>
      <c r="M15608" s="14"/>
      <c r="N15608" s="14"/>
      <c r="O15608" s="14"/>
      <c r="P15608" s="13"/>
    </row>
    <row r="15609">
      <c r="L15609" s="13"/>
      <c r="M15609" s="14"/>
      <c r="N15609" s="14"/>
      <c r="O15609" s="14"/>
      <c r="P15609" s="13"/>
    </row>
    <row r="15610">
      <c r="L15610" s="13"/>
      <c r="M15610" s="14"/>
      <c r="N15610" s="14"/>
      <c r="O15610" s="14"/>
      <c r="P15610" s="13"/>
    </row>
    <row r="15611">
      <c r="L15611" s="13"/>
      <c r="M15611" s="14"/>
      <c r="N15611" s="14"/>
      <c r="O15611" s="14"/>
      <c r="P15611" s="13"/>
    </row>
    <row r="15612">
      <c r="L15612" s="13"/>
      <c r="M15612" s="14"/>
      <c r="N15612" s="14"/>
      <c r="O15612" s="14"/>
      <c r="P15612" s="13"/>
    </row>
    <row r="15613">
      <c r="L15613" s="13"/>
      <c r="M15613" s="14"/>
      <c r="N15613" s="14"/>
      <c r="O15613" s="14"/>
      <c r="P15613" s="13"/>
    </row>
    <row r="15614">
      <c r="L15614" s="13"/>
      <c r="M15614" s="14"/>
      <c r="N15614" s="14"/>
      <c r="O15614" s="14"/>
      <c r="P15614" s="13"/>
    </row>
    <row r="15615">
      <c r="L15615" s="13"/>
      <c r="M15615" s="14"/>
      <c r="N15615" s="14"/>
      <c r="O15615" s="14"/>
      <c r="P15615" s="13"/>
    </row>
    <row r="15616">
      <c r="L15616" s="13"/>
      <c r="M15616" s="14"/>
      <c r="N15616" s="14"/>
      <c r="O15616" s="14"/>
      <c r="P15616" s="13"/>
    </row>
    <row r="15617">
      <c r="L15617" s="13"/>
      <c r="M15617" s="14"/>
      <c r="N15617" s="14"/>
      <c r="O15617" s="14"/>
      <c r="P15617" s="13"/>
    </row>
    <row r="15618">
      <c r="L15618" s="13"/>
      <c r="M15618" s="14"/>
      <c r="N15618" s="14"/>
      <c r="O15618" s="14"/>
      <c r="P15618" s="13"/>
    </row>
    <row r="15619">
      <c r="L15619" s="13"/>
      <c r="M15619" s="14"/>
      <c r="N15619" s="14"/>
      <c r="O15619" s="14"/>
      <c r="P15619" s="13"/>
    </row>
    <row r="15620">
      <c r="L15620" s="13"/>
      <c r="M15620" s="14"/>
      <c r="N15620" s="14"/>
      <c r="O15620" s="14"/>
      <c r="P15620" s="13"/>
    </row>
    <row r="15621">
      <c r="L15621" s="13"/>
      <c r="M15621" s="14"/>
      <c r="N15621" s="14"/>
      <c r="O15621" s="14"/>
      <c r="P15621" s="13"/>
    </row>
    <row r="15622">
      <c r="L15622" s="13"/>
      <c r="M15622" s="14"/>
      <c r="N15622" s="14"/>
      <c r="O15622" s="14"/>
      <c r="P15622" s="13"/>
    </row>
    <row r="15623">
      <c r="L15623" s="13"/>
      <c r="M15623" s="14"/>
      <c r="N15623" s="14"/>
      <c r="O15623" s="14"/>
      <c r="P15623" s="13"/>
    </row>
    <row r="15624">
      <c r="L15624" s="13"/>
      <c r="M15624" s="14"/>
      <c r="N15624" s="14"/>
      <c r="O15624" s="14"/>
      <c r="P15624" s="13"/>
    </row>
    <row r="15625">
      <c r="L15625" s="13"/>
      <c r="M15625" s="14"/>
      <c r="N15625" s="14"/>
      <c r="O15625" s="14"/>
      <c r="P15625" s="13"/>
    </row>
    <row r="15626">
      <c r="L15626" s="13"/>
      <c r="M15626" s="14"/>
      <c r="N15626" s="14"/>
      <c r="O15626" s="14"/>
      <c r="P15626" s="13"/>
    </row>
    <row r="15627">
      <c r="L15627" s="13"/>
      <c r="M15627" s="14"/>
      <c r="N15627" s="14"/>
      <c r="O15627" s="14"/>
      <c r="P15627" s="13"/>
    </row>
    <row r="15628">
      <c r="L15628" s="13"/>
      <c r="M15628" s="14"/>
      <c r="N15628" s="14"/>
      <c r="O15628" s="14"/>
      <c r="P15628" s="13"/>
    </row>
    <row r="15629">
      <c r="L15629" s="13"/>
      <c r="M15629" s="14"/>
      <c r="N15629" s="14"/>
      <c r="O15629" s="14"/>
      <c r="P15629" s="13"/>
    </row>
    <row r="15630">
      <c r="L15630" s="13"/>
      <c r="M15630" s="14"/>
      <c r="N15630" s="14"/>
      <c r="O15630" s="14"/>
      <c r="P15630" s="13"/>
    </row>
    <row r="15631">
      <c r="L15631" s="13"/>
      <c r="M15631" s="14"/>
      <c r="N15631" s="14"/>
      <c r="O15631" s="14"/>
      <c r="P15631" s="13"/>
    </row>
    <row r="15632">
      <c r="L15632" s="13"/>
      <c r="M15632" s="14"/>
      <c r="N15632" s="14"/>
      <c r="O15632" s="14"/>
      <c r="P15632" s="13"/>
    </row>
    <row r="15633">
      <c r="L15633" s="13"/>
      <c r="M15633" s="14"/>
      <c r="N15633" s="14"/>
      <c r="O15633" s="14"/>
      <c r="P15633" s="13"/>
    </row>
    <row r="15634">
      <c r="L15634" s="13"/>
      <c r="M15634" s="14"/>
      <c r="N15634" s="14"/>
      <c r="O15634" s="14"/>
      <c r="P15634" s="13"/>
    </row>
    <row r="15635">
      <c r="L15635" s="13"/>
      <c r="M15635" s="14"/>
      <c r="N15635" s="14"/>
      <c r="O15635" s="14"/>
      <c r="P15635" s="13"/>
    </row>
    <row r="15636">
      <c r="L15636" s="13"/>
      <c r="M15636" s="14"/>
      <c r="N15636" s="14"/>
      <c r="O15636" s="14"/>
      <c r="P15636" s="13"/>
    </row>
    <row r="15637">
      <c r="L15637" s="13"/>
      <c r="M15637" s="14"/>
      <c r="N15637" s="14"/>
      <c r="O15637" s="14"/>
      <c r="P15637" s="13"/>
    </row>
    <row r="15638">
      <c r="L15638" s="13"/>
      <c r="M15638" s="14"/>
      <c r="N15638" s="14"/>
      <c r="O15638" s="14"/>
      <c r="P15638" s="13"/>
    </row>
    <row r="15639">
      <c r="L15639" s="13"/>
      <c r="M15639" s="14"/>
      <c r="N15639" s="14"/>
      <c r="O15639" s="14"/>
      <c r="P15639" s="13"/>
    </row>
    <row r="15640">
      <c r="L15640" s="13"/>
      <c r="M15640" s="14"/>
      <c r="N15640" s="14"/>
      <c r="O15640" s="14"/>
      <c r="P15640" s="13"/>
    </row>
    <row r="15641">
      <c r="L15641" s="13"/>
      <c r="M15641" s="14"/>
      <c r="N15641" s="14"/>
      <c r="O15641" s="14"/>
      <c r="P15641" s="13"/>
    </row>
    <row r="15642">
      <c r="L15642" s="13"/>
      <c r="M15642" s="14"/>
      <c r="N15642" s="14"/>
      <c r="O15642" s="14"/>
      <c r="P15642" s="13"/>
    </row>
    <row r="15643">
      <c r="L15643" s="13"/>
      <c r="M15643" s="14"/>
      <c r="N15643" s="14"/>
      <c r="O15643" s="14"/>
      <c r="P15643" s="13"/>
    </row>
    <row r="15644">
      <c r="L15644" s="13"/>
      <c r="M15644" s="14"/>
      <c r="N15644" s="14"/>
      <c r="O15644" s="14"/>
      <c r="P15644" s="13"/>
    </row>
    <row r="15645">
      <c r="L15645" s="13"/>
      <c r="M15645" s="14"/>
      <c r="N15645" s="14"/>
      <c r="O15645" s="14"/>
      <c r="P15645" s="13"/>
    </row>
    <row r="15646">
      <c r="L15646" s="13"/>
      <c r="M15646" s="14"/>
      <c r="N15646" s="14"/>
      <c r="O15646" s="14"/>
      <c r="P15646" s="13"/>
    </row>
    <row r="15647">
      <c r="L15647" s="13"/>
      <c r="M15647" s="14"/>
      <c r="N15647" s="14"/>
      <c r="O15647" s="14"/>
      <c r="P15647" s="13"/>
    </row>
    <row r="15648">
      <c r="L15648" s="13"/>
      <c r="M15648" s="14"/>
      <c r="N15648" s="14"/>
      <c r="O15648" s="14"/>
      <c r="P15648" s="13"/>
    </row>
    <row r="15649">
      <c r="L15649" s="13"/>
      <c r="M15649" s="14"/>
      <c r="N15649" s="14"/>
      <c r="O15649" s="14"/>
      <c r="P15649" s="13"/>
    </row>
    <row r="15650">
      <c r="L15650" s="13"/>
      <c r="M15650" s="14"/>
      <c r="N15650" s="14"/>
      <c r="O15650" s="14"/>
      <c r="P15650" s="13"/>
    </row>
    <row r="15651">
      <c r="L15651" s="13"/>
      <c r="M15651" s="14"/>
      <c r="N15651" s="14"/>
      <c r="O15651" s="14"/>
      <c r="P15651" s="13"/>
    </row>
    <row r="15652">
      <c r="L15652" s="13"/>
      <c r="M15652" s="14"/>
      <c r="N15652" s="14"/>
      <c r="O15652" s="14"/>
      <c r="P15652" s="13"/>
    </row>
    <row r="15653">
      <c r="L15653" s="13"/>
      <c r="M15653" s="14"/>
      <c r="N15653" s="14"/>
      <c r="O15653" s="14"/>
      <c r="P15653" s="13"/>
    </row>
    <row r="15654">
      <c r="L15654" s="13"/>
      <c r="M15654" s="14"/>
      <c r="N15654" s="14"/>
      <c r="O15654" s="14"/>
      <c r="P15654" s="13"/>
    </row>
    <row r="15655">
      <c r="L15655" s="13"/>
      <c r="M15655" s="14"/>
      <c r="N15655" s="14"/>
      <c r="O15655" s="14"/>
      <c r="P15655" s="13"/>
    </row>
    <row r="15656">
      <c r="L15656" s="13"/>
      <c r="M15656" s="14"/>
      <c r="N15656" s="14"/>
      <c r="O15656" s="14"/>
      <c r="P15656" s="13"/>
    </row>
    <row r="15657">
      <c r="L15657" s="13"/>
      <c r="M15657" s="14"/>
      <c r="N15657" s="14"/>
      <c r="O15657" s="14"/>
      <c r="P15657" s="13"/>
    </row>
    <row r="15658">
      <c r="L15658" s="13"/>
      <c r="M15658" s="14"/>
      <c r="N15658" s="14"/>
      <c r="O15658" s="14"/>
      <c r="P15658" s="13"/>
    </row>
    <row r="15659">
      <c r="L15659" s="13"/>
      <c r="M15659" s="14"/>
      <c r="N15659" s="14"/>
      <c r="O15659" s="14"/>
      <c r="P15659" s="13"/>
    </row>
    <row r="15660">
      <c r="L15660" s="13"/>
      <c r="M15660" s="14"/>
      <c r="N15660" s="14"/>
      <c r="O15660" s="14"/>
      <c r="P15660" s="13"/>
    </row>
    <row r="15661">
      <c r="L15661" s="13"/>
      <c r="M15661" s="14"/>
      <c r="N15661" s="14"/>
      <c r="O15661" s="14"/>
      <c r="P15661" s="13"/>
    </row>
    <row r="15662">
      <c r="L15662" s="13"/>
      <c r="M15662" s="14"/>
      <c r="N15662" s="14"/>
      <c r="O15662" s="14"/>
      <c r="P15662" s="13"/>
    </row>
    <row r="15663">
      <c r="L15663" s="13"/>
      <c r="M15663" s="14"/>
      <c r="N15663" s="14"/>
      <c r="O15663" s="14"/>
      <c r="P15663" s="13"/>
    </row>
    <row r="15664">
      <c r="L15664" s="13"/>
      <c r="M15664" s="14"/>
      <c r="N15664" s="14"/>
      <c r="O15664" s="14"/>
      <c r="P15664" s="13"/>
    </row>
    <row r="15665">
      <c r="L15665" s="13"/>
      <c r="M15665" s="14"/>
      <c r="N15665" s="14"/>
      <c r="O15665" s="14"/>
      <c r="P15665" s="13"/>
    </row>
    <row r="15666">
      <c r="L15666" s="13"/>
      <c r="M15666" s="14"/>
      <c r="N15666" s="14"/>
      <c r="O15666" s="14"/>
      <c r="P15666" s="13"/>
    </row>
    <row r="15667">
      <c r="L15667" s="13"/>
      <c r="M15667" s="14"/>
      <c r="N15667" s="14"/>
      <c r="O15667" s="14"/>
      <c r="P15667" s="13"/>
    </row>
    <row r="15668">
      <c r="L15668" s="13"/>
      <c r="M15668" s="14"/>
      <c r="N15668" s="14"/>
      <c r="O15668" s="14"/>
      <c r="P15668" s="13"/>
    </row>
    <row r="15669">
      <c r="L15669" s="13"/>
      <c r="M15669" s="14"/>
      <c r="N15669" s="14"/>
      <c r="O15669" s="14"/>
      <c r="P15669" s="13"/>
    </row>
    <row r="15670">
      <c r="L15670" s="13"/>
      <c r="M15670" s="14"/>
      <c r="N15670" s="14"/>
      <c r="O15670" s="14"/>
      <c r="P15670" s="13"/>
    </row>
    <row r="15671">
      <c r="L15671" s="13"/>
      <c r="M15671" s="14"/>
      <c r="N15671" s="14"/>
      <c r="O15671" s="14"/>
      <c r="P15671" s="13"/>
    </row>
    <row r="15672">
      <c r="L15672" s="13"/>
      <c r="M15672" s="14"/>
      <c r="N15672" s="14"/>
      <c r="O15672" s="14"/>
      <c r="P15672" s="13"/>
    </row>
    <row r="15673">
      <c r="L15673" s="13"/>
      <c r="M15673" s="14"/>
      <c r="N15673" s="14"/>
      <c r="O15673" s="14"/>
      <c r="P15673" s="13"/>
    </row>
    <row r="15674">
      <c r="L15674" s="13"/>
      <c r="M15674" s="14"/>
      <c r="N15674" s="14"/>
      <c r="O15674" s="14"/>
      <c r="P15674" s="13"/>
    </row>
    <row r="15675">
      <c r="L15675" s="13"/>
      <c r="M15675" s="14"/>
      <c r="N15675" s="14"/>
      <c r="O15675" s="14"/>
      <c r="P15675" s="13"/>
    </row>
    <row r="15676">
      <c r="L15676" s="13"/>
      <c r="M15676" s="14"/>
      <c r="N15676" s="14"/>
      <c r="O15676" s="14"/>
      <c r="P15676" s="13"/>
    </row>
    <row r="15677">
      <c r="L15677" s="13"/>
      <c r="M15677" s="14"/>
      <c r="N15677" s="14"/>
      <c r="O15677" s="14"/>
      <c r="P15677" s="13"/>
    </row>
    <row r="15678">
      <c r="L15678" s="13"/>
      <c r="M15678" s="14"/>
      <c r="N15678" s="14"/>
      <c r="O15678" s="14"/>
      <c r="P15678" s="13"/>
    </row>
    <row r="15679">
      <c r="L15679" s="13"/>
      <c r="M15679" s="14"/>
      <c r="N15679" s="14"/>
      <c r="O15679" s="14"/>
      <c r="P15679" s="13"/>
    </row>
    <row r="15680">
      <c r="L15680" s="13"/>
      <c r="M15680" s="14"/>
      <c r="N15680" s="14"/>
      <c r="O15680" s="14"/>
      <c r="P15680" s="13"/>
    </row>
    <row r="15681">
      <c r="L15681" s="13"/>
      <c r="M15681" s="14"/>
      <c r="N15681" s="14"/>
      <c r="O15681" s="14"/>
      <c r="P15681" s="13"/>
    </row>
    <row r="15682">
      <c r="L15682" s="13"/>
      <c r="M15682" s="14"/>
      <c r="N15682" s="14"/>
      <c r="O15682" s="14"/>
      <c r="P15682" s="13"/>
    </row>
    <row r="15683">
      <c r="L15683" s="13"/>
      <c r="M15683" s="14"/>
      <c r="N15683" s="14"/>
      <c r="O15683" s="14"/>
      <c r="P15683" s="13"/>
    </row>
    <row r="15684">
      <c r="L15684" s="13"/>
      <c r="M15684" s="14"/>
      <c r="N15684" s="14"/>
      <c r="O15684" s="14"/>
      <c r="P15684" s="13"/>
    </row>
    <row r="15685">
      <c r="L15685" s="13"/>
      <c r="M15685" s="14"/>
      <c r="N15685" s="14"/>
      <c r="O15685" s="14"/>
      <c r="P15685" s="13"/>
    </row>
    <row r="15686">
      <c r="L15686" s="13"/>
      <c r="M15686" s="14"/>
      <c r="N15686" s="14"/>
      <c r="O15686" s="14"/>
      <c r="P15686" s="13"/>
    </row>
    <row r="15687">
      <c r="L15687" s="13"/>
      <c r="M15687" s="14"/>
      <c r="N15687" s="14"/>
      <c r="O15687" s="14"/>
      <c r="P15687" s="13"/>
    </row>
    <row r="15688">
      <c r="L15688" s="13"/>
      <c r="M15688" s="14"/>
      <c r="N15688" s="14"/>
      <c r="O15688" s="14"/>
      <c r="P15688" s="13"/>
    </row>
    <row r="15689">
      <c r="L15689" s="13"/>
      <c r="M15689" s="14"/>
      <c r="N15689" s="14"/>
      <c r="O15689" s="14"/>
      <c r="P15689" s="13"/>
    </row>
    <row r="15690">
      <c r="L15690" s="13"/>
      <c r="M15690" s="14"/>
      <c r="N15690" s="14"/>
      <c r="O15690" s="14"/>
      <c r="P15690" s="13"/>
    </row>
    <row r="15691">
      <c r="L15691" s="13"/>
      <c r="M15691" s="14"/>
      <c r="N15691" s="14"/>
      <c r="O15691" s="14"/>
      <c r="P15691" s="13"/>
    </row>
    <row r="15692">
      <c r="L15692" s="13"/>
      <c r="M15692" s="14"/>
      <c r="N15692" s="14"/>
      <c r="O15692" s="14"/>
      <c r="P15692" s="13"/>
    </row>
    <row r="15693">
      <c r="L15693" s="13"/>
      <c r="M15693" s="14"/>
      <c r="N15693" s="14"/>
      <c r="O15693" s="14"/>
      <c r="P15693" s="13"/>
    </row>
    <row r="15694">
      <c r="L15694" s="13"/>
      <c r="M15694" s="14"/>
      <c r="N15694" s="14"/>
      <c r="O15694" s="14"/>
      <c r="P15694" s="13"/>
    </row>
    <row r="15695">
      <c r="L15695" s="13"/>
      <c r="M15695" s="14"/>
      <c r="N15695" s="14"/>
      <c r="O15695" s="14"/>
      <c r="P15695" s="13"/>
    </row>
    <row r="15696">
      <c r="L15696" s="13"/>
      <c r="M15696" s="14"/>
      <c r="N15696" s="14"/>
      <c r="O15696" s="14"/>
      <c r="P15696" s="13"/>
    </row>
    <row r="15697">
      <c r="L15697" s="13"/>
      <c r="M15697" s="14"/>
      <c r="N15697" s="14"/>
      <c r="O15697" s="14"/>
      <c r="P15697" s="13"/>
    </row>
    <row r="15698">
      <c r="L15698" s="13"/>
      <c r="M15698" s="14"/>
      <c r="N15698" s="14"/>
      <c r="O15698" s="14"/>
      <c r="P15698" s="13"/>
    </row>
    <row r="15699">
      <c r="L15699" s="13"/>
      <c r="M15699" s="14"/>
      <c r="N15699" s="14"/>
      <c r="O15699" s="14"/>
      <c r="P15699" s="13"/>
    </row>
    <row r="15700">
      <c r="L15700" s="13"/>
      <c r="M15700" s="14"/>
      <c r="N15700" s="14"/>
      <c r="O15700" s="14"/>
      <c r="P15700" s="13"/>
    </row>
    <row r="15701">
      <c r="L15701" s="13"/>
      <c r="M15701" s="14"/>
      <c r="N15701" s="14"/>
      <c r="O15701" s="14"/>
      <c r="P15701" s="13"/>
    </row>
    <row r="15702">
      <c r="L15702" s="13"/>
      <c r="M15702" s="14"/>
      <c r="N15702" s="14"/>
      <c r="O15702" s="14"/>
      <c r="P15702" s="13"/>
    </row>
    <row r="15703">
      <c r="L15703" s="13"/>
      <c r="M15703" s="14"/>
      <c r="N15703" s="14"/>
      <c r="O15703" s="14"/>
      <c r="P15703" s="13"/>
    </row>
    <row r="15704">
      <c r="L15704" s="13"/>
      <c r="M15704" s="14"/>
      <c r="N15704" s="14"/>
      <c r="O15704" s="14"/>
      <c r="P15704" s="13"/>
    </row>
    <row r="15705">
      <c r="L15705" s="13"/>
      <c r="M15705" s="14"/>
      <c r="N15705" s="14"/>
      <c r="O15705" s="14"/>
      <c r="P15705" s="13"/>
    </row>
    <row r="15706">
      <c r="L15706" s="13"/>
      <c r="M15706" s="14"/>
      <c r="N15706" s="14"/>
      <c r="O15706" s="14"/>
      <c r="P15706" s="13"/>
    </row>
    <row r="15707">
      <c r="L15707" s="13"/>
      <c r="M15707" s="14"/>
      <c r="N15707" s="14"/>
      <c r="O15707" s="14"/>
      <c r="P15707" s="13"/>
    </row>
    <row r="15708">
      <c r="L15708" s="13"/>
      <c r="M15708" s="14"/>
      <c r="N15708" s="14"/>
      <c r="O15708" s="14"/>
      <c r="P15708" s="13"/>
    </row>
    <row r="15709">
      <c r="L15709" s="13"/>
      <c r="M15709" s="14"/>
      <c r="N15709" s="14"/>
      <c r="O15709" s="14"/>
      <c r="P15709" s="13"/>
    </row>
    <row r="15710">
      <c r="L15710" s="13"/>
      <c r="M15710" s="14"/>
      <c r="N15710" s="14"/>
      <c r="O15710" s="14"/>
      <c r="P15710" s="13"/>
    </row>
    <row r="15711">
      <c r="L15711" s="13"/>
      <c r="M15711" s="14"/>
      <c r="N15711" s="14"/>
      <c r="O15711" s="14"/>
      <c r="P15711" s="13"/>
    </row>
    <row r="15712">
      <c r="L15712" s="13"/>
      <c r="M15712" s="14"/>
      <c r="N15712" s="14"/>
      <c r="O15712" s="14"/>
      <c r="P15712" s="13"/>
    </row>
    <row r="15713">
      <c r="L15713" s="13"/>
      <c r="M15713" s="14"/>
      <c r="N15713" s="14"/>
      <c r="O15713" s="14"/>
      <c r="P15713" s="13"/>
    </row>
    <row r="15714">
      <c r="L15714" s="13"/>
      <c r="M15714" s="14"/>
      <c r="N15714" s="14"/>
      <c r="O15714" s="14"/>
      <c r="P15714" s="13"/>
    </row>
    <row r="15715">
      <c r="L15715" s="13"/>
      <c r="M15715" s="14"/>
      <c r="N15715" s="14"/>
      <c r="O15715" s="14"/>
      <c r="P15715" s="13"/>
    </row>
    <row r="15716">
      <c r="L15716" s="13"/>
      <c r="M15716" s="14"/>
      <c r="N15716" s="14"/>
      <c r="O15716" s="14"/>
      <c r="P15716" s="13"/>
    </row>
    <row r="15717">
      <c r="L15717" s="13"/>
      <c r="M15717" s="14"/>
      <c r="N15717" s="14"/>
      <c r="O15717" s="14"/>
      <c r="P15717" s="13"/>
    </row>
    <row r="15718">
      <c r="L15718" s="13"/>
      <c r="M15718" s="14"/>
      <c r="N15718" s="14"/>
      <c r="O15718" s="14"/>
      <c r="P15718" s="13"/>
    </row>
    <row r="15719">
      <c r="L15719" s="13"/>
      <c r="M15719" s="14"/>
      <c r="N15719" s="14"/>
      <c r="O15719" s="14"/>
      <c r="P15719" s="13"/>
    </row>
    <row r="15720">
      <c r="L15720" s="13"/>
      <c r="M15720" s="14"/>
      <c r="N15720" s="14"/>
      <c r="O15720" s="14"/>
      <c r="P15720" s="13"/>
    </row>
    <row r="15721">
      <c r="L15721" s="13"/>
      <c r="M15721" s="14"/>
      <c r="N15721" s="14"/>
      <c r="O15721" s="14"/>
      <c r="P15721" s="13"/>
    </row>
    <row r="15722">
      <c r="L15722" s="13"/>
      <c r="M15722" s="14"/>
      <c r="N15722" s="14"/>
      <c r="O15722" s="14"/>
      <c r="P15722" s="13"/>
    </row>
    <row r="15723">
      <c r="L15723" s="13"/>
      <c r="M15723" s="14"/>
      <c r="N15723" s="14"/>
      <c r="O15723" s="14"/>
      <c r="P15723" s="13"/>
    </row>
    <row r="15724">
      <c r="L15724" s="13"/>
      <c r="M15724" s="14"/>
      <c r="N15724" s="14"/>
      <c r="O15724" s="14"/>
      <c r="P15724" s="13"/>
    </row>
    <row r="15725">
      <c r="L15725" s="13"/>
      <c r="M15725" s="14"/>
      <c r="N15725" s="14"/>
      <c r="O15725" s="14"/>
      <c r="P15725" s="13"/>
    </row>
    <row r="15726">
      <c r="L15726" s="13"/>
      <c r="M15726" s="14"/>
      <c r="N15726" s="14"/>
      <c r="O15726" s="14"/>
      <c r="P15726" s="13"/>
    </row>
    <row r="15727">
      <c r="L15727" s="13"/>
      <c r="M15727" s="14"/>
      <c r="N15727" s="14"/>
      <c r="O15727" s="14"/>
      <c r="P15727" s="13"/>
    </row>
    <row r="15728">
      <c r="L15728" s="13"/>
      <c r="M15728" s="14"/>
      <c r="N15728" s="14"/>
      <c r="O15728" s="14"/>
      <c r="P15728" s="13"/>
    </row>
    <row r="15729">
      <c r="L15729" s="13"/>
      <c r="M15729" s="14"/>
      <c r="N15729" s="14"/>
      <c r="O15729" s="14"/>
      <c r="P15729" s="13"/>
    </row>
    <row r="15730">
      <c r="L15730" s="13"/>
      <c r="M15730" s="14"/>
      <c r="N15730" s="14"/>
      <c r="O15730" s="14"/>
      <c r="P15730" s="13"/>
    </row>
    <row r="15731">
      <c r="L15731" s="13"/>
      <c r="M15731" s="14"/>
      <c r="N15731" s="14"/>
      <c r="O15731" s="14"/>
      <c r="P15731" s="13"/>
    </row>
    <row r="15732">
      <c r="L15732" s="13"/>
      <c r="M15732" s="14"/>
      <c r="N15732" s="14"/>
      <c r="O15732" s="14"/>
      <c r="P15732" s="13"/>
    </row>
    <row r="15733">
      <c r="L15733" s="13"/>
      <c r="M15733" s="14"/>
      <c r="N15733" s="14"/>
      <c r="O15733" s="14"/>
      <c r="P15733" s="13"/>
    </row>
    <row r="15734">
      <c r="L15734" s="13"/>
      <c r="M15734" s="14"/>
      <c r="N15734" s="14"/>
      <c r="O15734" s="14"/>
      <c r="P15734" s="13"/>
    </row>
    <row r="15735">
      <c r="L15735" s="13"/>
      <c r="M15735" s="14"/>
      <c r="N15735" s="14"/>
      <c r="O15735" s="14"/>
      <c r="P15735" s="13"/>
    </row>
    <row r="15736">
      <c r="L15736" s="13"/>
      <c r="M15736" s="14"/>
      <c r="N15736" s="14"/>
      <c r="O15736" s="14"/>
      <c r="P15736" s="13"/>
    </row>
    <row r="15737">
      <c r="L15737" s="13"/>
      <c r="M15737" s="14"/>
      <c r="N15737" s="14"/>
      <c r="O15737" s="14"/>
      <c r="P15737" s="13"/>
    </row>
    <row r="15738">
      <c r="L15738" s="13"/>
      <c r="M15738" s="14"/>
      <c r="N15738" s="14"/>
      <c r="O15738" s="14"/>
      <c r="P15738" s="13"/>
    </row>
    <row r="15739">
      <c r="L15739" s="13"/>
      <c r="M15739" s="14"/>
      <c r="N15739" s="14"/>
      <c r="O15739" s="14"/>
      <c r="P15739" s="13"/>
    </row>
    <row r="15740">
      <c r="L15740" s="13"/>
      <c r="M15740" s="14"/>
      <c r="N15740" s="14"/>
      <c r="O15740" s="14"/>
      <c r="P15740" s="13"/>
    </row>
    <row r="15741">
      <c r="L15741" s="13"/>
      <c r="M15741" s="14"/>
      <c r="N15741" s="14"/>
      <c r="O15741" s="14"/>
      <c r="P15741" s="13"/>
    </row>
    <row r="15742">
      <c r="L15742" s="13"/>
      <c r="M15742" s="14"/>
      <c r="N15742" s="14"/>
      <c r="O15742" s="14"/>
      <c r="P15742" s="13"/>
    </row>
    <row r="15743">
      <c r="L15743" s="13"/>
      <c r="M15743" s="14"/>
      <c r="N15743" s="14"/>
      <c r="O15743" s="14"/>
      <c r="P15743" s="13"/>
    </row>
    <row r="15744">
      <c r="L15744" s="13"/>
      <c r="M15744" s="14"/>
      <c r="N15744" s="14"/>
      <c r="O15744" s="14"/>
      <c r="P15744" s="13"/>
    </row>
    <row r="15745">
      <c r="L15745" s="13"/>
      <c r="M15745" s="14"/>
      <c r="N15745" s="14"/>
      <c r="O15745" s="14"/>
      <c r="P15745" s="13"/>
    </row>
    <row r="15746">
      <c r="L15746" s="13"/>
      <c r="M15746" s="14"/>
      <c r="N15746" s="14"/>
      <c r="O15746" s="14"/>
      <c r="P15746" s="13"/>
    </row>
    <row r="15747">
      <c r="L15747" s="13"/>
      <c r="M15747" s="14"/>
      <c r="N15747" s="14"/>
      <c r="O15747" s="14"/>
      <c r="P15747" s="13"/>
    </row>
    <row r="15748">
      <c r="L15748" s="13"/>
      <c r="M15748" s="14"/>
      <c r="N15748" s="14"/>
      <c r="O15748" s="14"/>
      <c r="P15748" s="13"/>
    </row>
    <row r="15749">
      <c r="L15749" s="13"/>
      <c r="M15749" s="14"/>
      <c r="N15749" s="14"/>
      <c r="O15749" s="14"/>
      <c r="P15749" s="13"/>
    </row>
    <row r="15750">
      <c r="L15750" s="13"/>
      <c r="M15750" s="14"/>
      <c r="N15750" s="14"/>
      <c r="O15750" s="14"/>
      <c r="P15750" s="13"/>
    </row>
    <row r="15751">
      <c r="L15751" s="13"/>
      <c r="M15751" s="14"/>
      <c r="N15751" s="14"/>
      <c r="O15751" s="14"/>
      <c r="P15751" s="13"/>
    </row>
    <row r="15752">
      <c r="L15752" s="13"/>
      <c r="M15752" s="14"/>
      <c r="N15752" s="14"/>
      <c r="O15752" s="14"/>
      <c r="P15752" s="13"/>
    </row>
    <row r="15753">
      <c r="L15753" s="13"/>
      <c r="M15753" s="14"/>
      <c r="N15753" s="14"/>
      <c r="O15753" s="14"/>
      <c r="P15753" s="13"/>
    </row>
    <row r="15754">
      <c r="L15754" s="13"/>
      <c r="M15754" s="14"/>
      <c r="N15754" s="14"/>
      <c r="O15754" s="14"/>
      <c r="P15754" s="13"/>
    </row>
    <row r="15755">
      <c r="L15755" s="13"/>
      <c r="M15755" s="14"/>
      <c r="N15755" s="14"/>
      <c r="O15755" s="14"/>
      <c r="P15755" s="13"/>
    </row>
    <row r="15756">
      <c r="L15756" s="13"/>
      <c r="M15756" s="14"/>
      <c r="N15756" s="14"/>
      <c r="O15756" s="14"/>
      <c r="P15756" s="13"/>
    </row>
    <row r="15757">
      <c r="L15757" s="13"/>
      <c r="M15757" s="14"/>
      <c r="N15757" s="14"/>
      <c r="O15757" s="14"/>
      <c r="P15757" s="13"/>
    </row>
    <row r="15758">
      <c r="L15758" s="13"/>
      <c r="M15758" s="14"/>
      <c r="N15758" s="14"/>
      <c r="O15758" s="14"/>
      <c r="P15758" s="13"/>
    </row>
    <row r="15759">
      <c r="L15759" s="13"/>
      <c r="M15759" s="14"/>
      <c r="N15759" s="14"/>
      <c r="O15759" s="14"/>
      <c r="P15759" s="13"/>
    </row>
    <row r="15760">
      <c r="L15760" s="13"/>
      <c r="M15760" s="14"/>
      <c r="N15760" s="14"/>
      <c r="O15760" s="14"/>
      <c r="P15760" s="13"/>
    </row>
    <row r="15761">
      <c r="L15761" s="13"/>
      <c r="M15761" s="14"/>
      <c r="N15761" s="14"/>
      <c r="O15761" s="14"/>
      <c r="P15761" s="13"/>
    </row>
    <row r="15762">
      <c r="L15762" s="13"/>
      <c r="M15762" s="14"/>
      <c r="N15762" s="14"/>
      <c r="O15762" s="14"/>
      <c r="P15762" s="13"/>
    </row>
    <row r="15763">
      <c r="L15763" s="13"/>
      <c r="M15763" s="14"/>
      <c r="N15763" s="14"/>
      <c r="O15763" s="14"/>
      <c r="P15763" s="13"/>
    </row>
    <row r="15764">
      <c r="L15764" s="13"/>
      <c r="M15764" s="14"/>
      <c r="N15764" s="14"/>
      <c r="O15764" s="14"/>
      <c r="P15764" s="13"/>
    </row>
    <row r="15765">
      <c r="L15765" s="13"/>
      <c r="M15765" s="14"/>
      <c r="N15765" s="14"/>
      <c r="O15765" s="14"/>
      <c r="P15765" s="13"/>
    </row>
    <row r="15766">
      <c r="L15766" s="13"/>
      <c r="M15766" s="14"/>
      <c r="N15766" s="14"/>
      <c r="O15766" s="14"/>
      <c r="P15766" s="13"/>
    </row>
    <row r="15767">
      <c r="L15767" s="13"/>
      <c r="M15767" s="14"/>
      <c r="N15767" s="14"/>
      <c r="O15767" s="14"/>
      <c r="P15767" s="13"/>
    </row>
    <row r="15768">
      <c r="L15768" s="13"/>
      <c r="M15768" s="14"/>
      <c r="N15768" s="14"/>
      <c r="O15768" s="14"/>
      <c r="P15768" s="13"/>
    </row>
    <row r="15769">
      <c r="L15769" s="13"/>
      <c r="M15769" s="14"/>
      <c r="N15769" s="14"/>
      <c r="O15769" s="14"/>
      <c r="P15769" s="13"/>
    </row>
    <row r="15770">
      <c r="L15770" s="13"/>
      <c r="M15770" s="14"/>
      <c r="N15770" s="14"/>
      <c r="O15770" s="14"/>
      <c r="P15770" s="13"/>
    </row>
    <row r="15771">
      <c r="L15771" s="13"/>
      <c r="M15771" s="14"/>
      <c r="N15771" s="14"/>
      <c r="O15771" s="14"/>
      <c r="P15771" s="13"/>
    </row>
    <row r="15772">
      <c r="L15772" s="13"/>
      <c r="M15772" s="14"/>
      <c r="N15772" s="14"/>
      <c r="O15772" s="14"/>
      <c r="P15772" s="13"/>
    </row>
    <row r="15773">
      <c r="L15773" s="13"/>
      <c r="M15773" s="14"/>
      <c r="N15773" s="14"/>
      <c r="O15773" s="14"/>
      <c r="P15773" s="13"/>
    </row>
    <row r="15774">
      <c r="L15774" s="13"/>
      <c r="M15774" s="14"/>
      <c r="N15774" s="14"/>
      <c r="O15774" s="14"/>
      <c r="P15774" s="13"/>
    </row>
    <row r="15775">
      <c r="L15775" s="13"/>
      <c r="M15775" s="14"/>
      <c r="N15775" s="14"/>
      <c r="O15775" s="14"/>
      <c r="P15775" s="13"/>
    </row>
    <row r="15776">
      <c r="L15776" s="13"/>
      <c r="M15776" s="14"/>
      <c r="N15776" s="14"/>
      <c r="O15776" s="14"/>
      <c r="P15776" s="13"/>
    </row>
    <row r="15777">
      <c r="L15777" s="13"/>
      <c r="M15777" s="14"/>
      <c r="N15777" s="14"/>
      <c r="O15777" s="14"/>
      <c r="P15777" s="13"/>
    </row>
    <row r="15778">
      <c r="L15778" s="13"/>
      <c r="M15778" s="14"/>
      <c r="N15778" s="14"/>
      <c r="O15778" s="14"/>
      <c r="P15778" s="13"/>
    </row>
    <row r="15779">
      <c r="L15779" s="13"/>
      <c r="M15779" s="14"/>
      <c r="N15779" s="14"/>
      <c r="O15779" s="14"/>
      <c r="P15779" s="13"/>
    </row>
    <row r="15780">
      <c r="L15780" s="13"/>
      <c r="M15780" s="14"/>
      <c r="N15780" s="14"/>
      <c r="O15780" s="14"/>
      <c r="P15780" s="13"/>
    </row>
    <row r="15781">
      <c r="L15781" s="13"/>
      <c r="M15781" s="14"/>
      <c r="N15781" s="14"/>
      <c r="O15781" s="14"/>
      <c r="P15781" s="13"/>
    </row>
    <row r="15782">
      <c r="L15782" s="13"/>
      <c r="M15782" s="14"/>
      <c r="N15782" s="14"/>
      <c r="O15782" s="14"/>
      <c r="P15782" s="13"/>
    </row>
    <row r="15783">
      <c r="L15783" s="13"/>
      <c r="M15783" s="14"/>
      <c r="N15783" s="14"/>
      <c r="O15783" s="14"/>
      <c r="P15783" s="13"/>
    </row>
    <row r="15784">
      <c r="L15784" s="13"/>
      <c r="M15784" s="14"/>
      <c r="N15784" s="14"/>
      <c r="O15784" s="14"/>
      <c r="P15784" s="13"/>
    </row>
    <row r="15785">
      <c r="L15785" s="13"/>
      <c r="M15785" s="14"/>
      <c r="N15785" s="14"/>
      <c r="O15785" s="14"/>
      <c r="P15785" s="13"/>
    </row>
    <row r="15786">
      <c r="L15786" s="13"/>
      <c r="M15786" s="14"/>
      <c r="N15786" s="14"/>
      <c r="O15786" s="14"/>
      <c r="P15786" s="13"/>
    </row>
    <row r="15787">
      <c r="L15787" s="13"/>
      <c r="M15787" s="14"/>
      <c r="N15787" s="14"/>
      <c r="O15787" s="14"/>
      <c r="P15787" s="13"/>
    </row>
    <row r="15788">
      <c r="L15788" s="13"/>
      <c r="M15788" s="14"/>
      <c r="N15788" s="14"/>
      <c r="O15788" s="14"/>
      <c r="P15788" s="13"/>
    </row>
    <row r="15789">
      <c r="L15789" s="13"/>
      <c r="M15789" s="14"/>
      <c r="N15789" s="14"/>
      <c r="O15789" s="14"/>
      <c r="P15789" s="13"/>
    </row>
    <row r="15790">
      <c r="L15790" s="13"/>
      <c r="M15790" s="14"/>
      <c r="N15790" s="14"/>
      <c r="O15790" s="14"/>
      <c r="P15790" s="13"/>
    </row>
    <row r="15791">
      <c r="L15791" s="13"/>
      <c r="M15791" s="14"/>
      <c r="N15791" s="14"/>
      <c r="O15791" s="14"/>
      <c r="P15791" s="13"/>
    </row>
    <row r="15792">
      <c r="L15792" s="13"/>
      <c r="M15792" s="14"/>
      <c r="N15792" s="14"/>
      <c r="O15792" s="14"/>
      <c r="P15792" s="13"/>
    </row>
    <row r="15793">
      <c r="L15793" s="13"/>
      <c r="M15793" s="14"/>
      <c r="N15793" s="14"/>
      <c r="O15793" s="14"/>
      <c r="P15793" s="13"/>
    </row>
    <row r="15794">
      <c r="L15794" s="13"/>
      <c r="M15794" s="14"/>
      <c r="N15794" s="14"/>
      <c r="O15794" s="14"/>
      <c r="P15794" s="13"/>
    </row>
    <row r="15795">
      <c r="L15795" s="13"/>
      <c r="M15795" s="14"/>
      <c r="N15795" s="14"/>
      <c r="O15795" s="14"/>
      <c r="P15795" s="13"/>
    </row>
    <row r="15796">
      <c r="L15796" s="13"/>
      <c r="M15796" s="14"/>
      <c r="N15796" s="14"/>
      <c r="O15796" s="14"/>
      <c r="P15796" s="13"/>
    </row>
    <row r="15797">
      <c r="L15797" s="13"/>
      <c r="M15797" s="14"/>
      <c r="N15797" s="14"/>
      <c r="O15797" s="14"/>
      <c r="P15797" s="13"/>
    </row>
    <row r="15798">
      <c r="L15798" s="13"/>
      <c r="M15798" s="14"/>
      <c r="N15798" s="14"/>
      <c r="O15798" s="14"/>
      <c r="P15798" s="13"/>
    </row>
    <row r="15799">
      <c r="L15799" s="13"/>
      <c r="M15799" s="14"/>
      <c r="N15799" s="14"/>
      <c r="O15799" s="14"/>
      <c r="P15799" s="13"/>
    </row>
    <row r="15800">
      <c r="L15800" s="13"/>
      <c r="M15800" s="14"/>
      <c r="N15800" s="14"/>
      <c r="O15800" s="14"/>
      <c r="P15800" s="13"/>
    </row>
    <row r="15801">
      <c r="L15801" s="13"/>
      <c r="M15801" s="14"/>
      <c r="N15801" s="14"/>
      <c r="O15801" s="14"/>
      <c r="P15801" s="13"/>
    </row>
    <row r="15802">
      <c r="L15802" s="13"/>
      <c r="M15802" s="14"/>
      <c r="N15802" s="14"/>
      <c r="O15802" s="14"/>
      <c r="P15802" s="13"/>
    </row>
    <row r="15803">
      <c r="L15803" s="13"/>
      <c r="M15803" s="14"/>
      <c r="N15803" s="14"/>
      <c r="O15803" s="14"/>
      <c r="P15803" s="13"/>
    </row>
    <row r="15804">
      <c r="L15804" s="13"/>
      <c r="M15804" s="14"/>
      <c r="N15804" s="14"/>
      <c r="O15804" s="14"/>
      <c r="P15804" s="13"/>
    </row>
    <row r="15805">
      <c r="L15805" s="13"/>
      <c r="M15805" s="14"/>
      <c r="N15805" s="14"/>
      <c r="O15805" s="14"/>
      <c r="P15805" s="13"/>
    </row>
    <row r="15806">
      <c r="L15806" s="13"/>
      <c r="M15806" s="14"/>
      <c r="N15806" s="14"/>
      <c r="O15806" s="14"/>
      <c r="P15806" s="13"/>
    </row>
    <row r="15807">
      <c r="L15807" s="13"/>
      <c r="M15807" s="14"/>
      <c r="N15807" s="14"/>
      <c r="O15807" s="14"/>
      <c r="P15807" s="13"/>
    </row>
    <row r="15808">
      <c r="L15808" s="13"/>
      <c r="M15808" s="14"/>
      <c r="N15808" s="14"/>
      <c r="O15808" s="14"/>
      <c r="P15808" s="13"/>
    </row>
    <row r="15809">
      <c r="L15809" s="13"/>
      <c r="M15809" s="14"/>
      <c r="N15809" s="14"/>
      <c r="O15809" s="14"/>
      <c r="P15809" s="13"/>
    </row>
    <row r="15810">
      <c r="L15810" s="13"/>
      <c r="M15810" s="14"/>
      <c r="N15810" s="14"/>
      <c r="O15810" s="14"/>
      <c r="P15810" s="13"/>
    </row>
    <row r="15811">
      <c r="L15811" s="13"/>
      <c r="M15811" s="14"/>
      <c r="N15811" s="14"/>
      <c r="O15811" s="14"/>
      <c r="P15811" s="13"/>
    </row>
    <row r="15812">
      <c r="L15812" s="13"/>
      <c r="M15812" s="14"/>
      <c r="N15812" s="14"/>
      <c r="O15812" s="14"/>
      <c r="P15812" s="13"/>
    </row>
    <row r="15813">
      <c r="L15813" s="13"/>
      <c r="M15813" s="14"/>
      <c r="N15813" s="14"/>
      <c r="O15813" s="14"/>
      <c r="P15813" s="13"/>
    </row>
    <row r="15814">
      <c r="L15814" s="13"/>
      <c r="M15814" s="14"/>
      <c r="N15814" s="14"/>
      <c r="O15814" s="14"/>
      <c r="P15814" s="13"/>
    </row>
    <row r="15815">
      <c r="L15815" s="13"/>
      <c r="M15815" s="14"/>
      <c r="N15815" s="14"/>
      <c r="O15815" s="14"/>
      <c r="P15815" s="13"/>
    </row>
    <row r="15816">
      <c r="L15816" s="13"/>
      <c r="M15816" s="14"/>
      <c r="N15816" s="14"/>
      <c r="O15816" s="14"/>
      <c r="P15816" s="13"/>
    </row>
    <row r="15817">
      <c r="L15817" s="13"/>
      <c r="M15817" s="14"/>
      <c r="N15817" s="14"/>
      <c r="O15817" s="14"/>
      <c r="P15817" s="13"/>
    </row>
    <row r="15818">
      <c r="L15818" s="13"/>
      <c r="M15818" s="14"/>
      <c r="N15818" s="14"/>
      <c r="O15818" s="14"/>
      <c r="P15818" s="13"/>
    </row>
    <row r="15819">
      <c r="L15819" s="13"/>
      <c r="M15819" s="14"/>
      <c r="N15819" s="14"/>
      <c r="O15819" s="14"/>
      <c r="P15819" s="13"/>
    </row>
    <row r="15820">
      <c r="L15820" s="13"/>
      <c r="M15820" s="14"/>
      <c r="N15820" s="14"/>
      <c r="O15820" s="14"/>
      <c r="P15820" s="13"/>
    </row>
    <row r="15821">
      <c r="L15821" s="13"/>
      <c r="M15821" s="14"/>
      <c r="N15821" s="14"/>
      <c r="O15821" s="14"/>
      <c r="P15821" s="13"/>
    </row>
    <row r="15822">
      <c r="L15822" s="13"/>
      <c r="M15822" s="14"/>
      <c r="N15822" s="14"/>
      <c r="O15822" s="14"/>
      <c r="P15822" s="13"/>
    </row>
    <row r="15823">
      <c r="L15823" s="13"/>
      <c r="M15823" s="14"/>
      <c r="N15823" s="14"/>
      <c r="O15823" s="14"/>
      <c r="P15823" s="13"/>
    </row>
    <row r="15824">
      <c r="L15824" s="13"/>
      <c r="M15824" s="14"/>
      <c r="N15824" s="14"/>
      <c r="O15824" s="14"/>
      <c r="P15824" s="13"/>
    </row>
    <row r="15825">
      <c r="L15825" s="13"/>
      <c r="M15825" s="14"/>
      <c r="N15825" s="14"/>
      <c r="O15825" s="14"/>
      <c r="P15825" s="13"/>
    </row>
    <row r="15826">
      <c r="L15826" s="13"/>
      <c r="M15826" s="14"/>
      <c r="N15826" s="14"/>
      <c r="O15826" s="14"/>
      <c r="P15826" s="13"/>
    </row>
    <row r="15827">
      <c r="L15827" s="13"/>
      <c r="M15827" s="14"/>
      <c r="N15827" s="14"/>
      <c r="O15827" s="14"/>
      <c r="P15827" s="13"/>
    </row>
    <row r="15828">
      <c r="L15828" s="13"/>
      <c r="M15828" s="14"/>
      <c r="N15828" s="14"/>
      <c r="O15828" s="14"/>
      <c r="P15828" s="13"/>
    </row>
    <row r="15829">
      <c r="L15829" s="13"/>
      <c r="M15829" s="14"/>
      <c r="N15829" s="14"/>
      <c r="O15829" s="14"/>
      <c r="P15829" s="13"/>
    </row>
    <row r="15830">
      <c r="L15830" s="13"/>
      <c r="M15830" s="14"/>
      <c r="N15830" s="14"/>
      <c r="O15830" s="14"/>
      <c r="P15830" s="13"/>
    </row>
    <row r="15831">
      <c r="L15831" s="13"/>
      <c r="M15831" s="14"/>
      <c r="N15831" s="14"/>
      <c r="O15831" s="14"/>
      <c r="P15831" s="13"/>
    </row>
    <row r="15832">
      <c r="L15832" s="13"/>
      <c r="M15832" s="14"/>
      <c r="N15832" s="14"/>
      <c r="O15832" s="14"/>
      <c r="P15832" s="13"/>
    </row>
    <row r="15833">
      <c r="L15833" s="13"/>
      <c r="M15833" s="14"/>
      <c r="N15833" s="14"/>
      <c r="O15833" s="14"/>
      <c r="P15833" s="13"/>
    </row>
    <row r="15834">
      <c r="L15834" s="13"/>
      <c r="M15834" s="14"/>
      <c r="N15834" s="14"/>
      <c r="O15834" s="14"/>
      <c r="P15834" s="13"/>
    </row>
    <row r="15835">
      <c r="L15835" s="13"/>
      <c r="M15835" s="14"/>
      <c r="N15835" s="14"/>
      <c r="O15835" s="14"/>
      <c r="P15835" s="13"/>
    </row>
    <row r="15836">
      <c r="L15836" s="13"/>
      <c r="M15836" s="14"/>
      <c r="N15836" s="14"/>
      <c r="O15836" s="14"/>
      <c r="P15836" s="13"/>
    </row>
    <row r="15837">
      <c r="L15837" s="13"/>
      <c r="M15837" s="14"/>
      <c r="N15837" s="14"/>
      <c r="O15837" s="14"/>
      <c r="P15837" s="13"/>
    </row>
    <row r="15838">
      <c r="L15838" s="13"/>
      <c r="M15838" s="14"/>
      <c r="N15838" s="14"/>
      <c r="O15838" s="14"/>
      <c r="P15838" s="13"/>
    </row>
    <row r="15839">
      <c r="L15839" s="13"/>
      <c r="M15839" s="14"/>
      <c r="N15839" s="14"/>
      <c r="O15839" s="14"/>
      <c r="P15839" s="13"/>
    </row>
    <row r="15840">
      <c r="L15840" s="13"/>
      <c r="M15840" s="14"/>
      <c r="N15840" s="14"/>
      <c r="O15840" s="14"/>
      <c r="P15840" s="13"/>
    </row>
    <row r="15841">
      <c r="L15841" s="13"/>
      <c r="M15841" s="14"/>
      <c r="N15841" s="14"/>
      <c r="O15841" s="14"/>
      <c r="P15841" s="13"/>
    </row>
    <row r="15842">
      <c r="L15842" s="13"/>
      <c r="M15842" s="14"/>
      <c r="N15842" s="14"/>
      <c r="O15842" s="14"/>
      <c r="P15842" s="13"/>
    </row>
    <row r="15843">
      <c r="L15843" s="13"/>
      <c r="M15843" s="14"/>
      <c r="N15843" s="14"/>
      <c r="O15843" s="14"/>
      <c r="P15843" s="13"/>
    </row>
    <row r="15844">
      <c r="L15844" s="13"/>
      <c r="M15844" s="14"/>
      <c r="N15844" s="14"/>
      <c r="O15844" s="14"/>
      <c r="P15844" s="13"/>
    </row>
    <row r="15845">
      <c r="L15845" s="13"/>
      <c r="M15845" s="14"/>
      <c r="N15845" s="14"/>
      <c r="O15845" s="14"/>
      <c r="P15845" s="13"/>
    </row>
    <row r="15846">
      <c r="L15846" s="13"/>
      <c r="M15846" s="14"/>
      <c r="N15846" s="14"/>
      <c r="O15846" s="14"/>
      <c r="P15846" s="13"/>
    </row>
    <row r="15847">
      <c r="L15847" s="13"/>
      <c r="M15847" s="14"/>
      <c r="N15847" s="14"/>
      <c r="O15847" s="14"/>
      <c r="P15847" s="13"/>
    </row>
    <row r="15848">
      <c r="L15848" s="13"/>
      <c r="M15848" s="14"/>
      <c r="N15848" s="14"/>
      <c r="O15848" s="14"/>
      <c r="P15848" s="13"/>
    </row>
    <row r="15849">
      <c r="L15849" s="13"/>
      <c r="M15849" s="14"/>
      <c r="N15849" s="14"/>
      <c r="O15849" s="14"/>
      <c r="P15849" s="13"/>
    </row>
    <row r="15850">
      <c r="L15850" s="13"/>
      <c r="M15850" s="14"/>
      <c r="N15850" s="14"/>
      <c r="O15850" s="14"/>
      <c r="P15850" s="13"/>
    </row>
    <row r="15851">
      <c r="L15851" s="13"/>
      <c r="M15851" s="14"/>
      <c r="N15851" s="14"/>
      <c r="O15851" s="14"/>
      <c r="P15851" s="13"/>
    </row>
    <row r="15852">
      <c r="L15852" s="13"/>
      <c r="M15852" s="14"/>
      <c r="N15852" s="14"/>
      <c r="O15852" s="14"/>
      <c r="P15852" s="13"/>
    </row>
    <row r="15853">
      <c r="L15853" s="13"/>
      <c r="M15853" s="14"/>
      <c r="N15853" s="14"/>
      <c r="O15853" s="14"/>
      <c r="P15853" s="13"/>
    </row>
    <row r="15854">
      <c r="L15854" s="13"/>
      <c r="M15854" s="14"/>
      <c r="N15854" s="14"/>
      <c r="O15854" s="14"/>
      <c r="P15854" s="13"/>
    </row>
    <row r="15855">
      <c r="L15855" s="13"/>
      <c r="M15855" s="14"/>
      <c r="N15855" s="14"/>
      <c r="O15855" s="14"/>
      <c r="P15855" s="13"/>
    </row>
    <row r="15856">
      <c r="L15856" s="13"/>
      <c r="M15856" s="14"/>
      <c r="N15856" s="14"/>
      <c r="O15856" s="14"/>
      <c r="P15856" s="13"/>
    </row>
    <row r="15857">
      <c r="L15857" s="13"/>
      <c r="M15857" s="14"/>
      <c r="N15857" s="14"/>
      <c r="O15857" s="14"/>
      <c r="P15857" s="13"/>
    </row>
    <row r="15858">
      <c r="L15858" s="13"/>
      <c r="M15858" s="14"/>
      <c r="N15858" s="14"/>
      <c r="O15858" s="14"/>
      <c r="P15858" s="13"/>
    </row>
    <row r="15859">
      <c r="L15859" s="13"/>
      <c r="M15859" s="14"/>
      <c r="N15859" s="14"/>
      <c r="O15859" s="14"/>
      <c r="P15859" s="13"/>
    </row>
    <row r="15860">
      <c r="L15860" s="13"/>
      <c r="M15860" s="14"/>
      <c r="N15860" s="14"/>
      <c r="O15860" s="14"/>
      <c r="P15860" s="13"/>
    </row>
    <row r="15861">
      <c r="L15861" s="13"/>
      <c r="M15861" s="14"/>
      <c r="N15861" s="14"/>
      <c r="O15861" s="14"/>
      <c r="P15861" s="13"/>
    </row>
    <row r="15862">
      <c r="L15862" s="13"/>
      <c r="M15862" s="14"/>
      <c r="N15862" s="14"/>
      <c r="O15862" s="14"/>
      <c r="P15862" s="13"/>
    </row>
    <row r="15863">
      <c r="L15863" s="13"/>
      <c r="M15863" s="14"/>
      <c r="N15863" s="14"/>
      <c r="O15863" s="14"/>
      <c r="P15863" s="13"/>
    </row>
    <row r="15864">
      <c r="L15864" s="13"/>
      <c r="M15864" s="14"/>
      <c r="N15864" s="14"/>
      <c r="O15864" s="14"/>
      <c r="P15864" s="13"/>
    </row>
    <row r="15865">
      <c r="L15865" s="13"/>
      <c r="M15865" s="14"/>
      <c r="N15865" s="14"/>
      <c r="O15865" s="14"/>
      <c r="P15865" s="13"/>
    </row>
    <row r="15866">
      <c r="L15866" s="13"/>
      <c r="M15866" s="14"/>
      <c r="N15866" s="14"/>
      <c r="O15866" s="14"/>
      <c r="P15866" s="13"/>
    </row>
    <row r="15867">
      <c r="L15867" s="13"/>
      <c r="M15867" s="14"/>
      <c r="N15867" s="14"/>
      <c r="O15867" s="14"/>
      <c r="P15867" s="13"/>
    </row>
    <row r="15868">
      <c r="L15868" s="13"/>
      <c r="M15868" s="14"/>
      <c r="N15868" s="14"/>
      <c r="O15868" s="14"/>
      <c r="P15868" s="13"/>
    </row>
    <row r="15869">
      <c r="L15869" s="13"/>
      <c r="M15869" s="14"/>
      <c r="N15869" s="14"/>
      <c r="O15869" s="14"/>
      <c r="P15869" s="13"/>
    </row>
    <row r="15870">
      <c r="L15870" s="13"/>
      <c r="M15870" s="14"/>
      <c r="N15870" s="14"/>
      <c r="O15870" s="14"/>
      <c r="P15870" s="13"/>
    </row>
    <row r="15871">
      <c r="L15871" s="13"/>
      <c r="M15871" s="14"/>
      <c r="N15871" s="14"/>
      <c r="O15871" s="14"/>
      <c r="P15871" s="13"/>
    </row>
    <row r="15872">
      <c r="L15872" s="13"/>
      <c r="M15872" s="14"/>
      <c r="N15872" s="14"/>
      <c r="O15872" s="14"/>
      <c r="P15872" s="13"/>
    </row>
    <row r="15873">
      <c r="L15873" s="13"/>
      <c r="M15873" s="14"/>
      <c r="N15873" s="14"/>
      <c r="O15873" s="14"/>
      <c r="P15873" s="13"/>
    </row>
    <row r="15874">
      <c r="L15874" s="13"/>
      <c r="M15874" s="14"/>
      <c r="N15874" s="14"/>
      <c r="O15874" s="14"/>
      <c r="P15874" s="13"/>
    </row>
    <row r="15875">
      <c r="L15875" s="13"/>
      <c r="M15875" s="14"/>
      <c r="N15875" s="14"/>
      <c r="O15875" s="14"/>
      <c r="P15875" s="13"/>
    </row>
    <row r="15876">
      <c r="L15876" s="13"/>
      <c r="M15876" s="14"/>
      <c r="N15876" s="14"/>
      <c r="O15876" s="14"/>
      <c r="P15876" s="13"/>
    </row>
    <row r="15877">
      <c r="L15877" s="13"/>
      <c r="M15877" s="14"/>
      <c r="N15877" s="14"/>
      <c r="O15877" s="14"/>
      <c r="P15877" s="13"/>
    </row>
    <row r="15878">
      <c r="L15878" s="13"/>
      <c r="M15878" s="14"/>
      <c r="N15878" s="14"/>
      <c r="O15878" s="14"/>
      <c r="P15878" s="13"/>
    </row>
    <row r="15879">
      <c r="L15879" s="13"/>
      <c r="M15879" s="14"/>
      <c r="N15879" s="14"/>
      <c r="O15879" s="14"/>
      <c r="P15879" s="13"/>
    </row>
    <row r="15880">
      <c r="L15880" s="13"/>
      <c r="M15880" s="14"/>
      <c r="N15880" s="14"/>
      <c r="O15880" s="14"/>
      <c r="P15880" s="13"/>
    </row>
    <row r="15881">
      <c r="L15881" s="13"/>
      <c r="M15881" s="14"/>
      <c r="N15881" s="14"/>
      <c r="O15881" s="14"/>
      <c r="P15881" s="13"/>
    </row>
    <row r="15882">
      <c r="L15882" s="13"/>
      <c r="M15882" s="14"/>
      <c r="N15882" s="14"/>
      <c r="O15882" s="14"/>
      <c r="P15882" s="13"/>
    </row>
    <row r="15883">
      <c r="L15883" s="13"/>
      <c r="M15883" s="14"/>
      <c r="N15883" s="14"/>
      <c r="O15883" s="14"/>
      <c r="P15883" s="13"/>
    </row>
    <row r="15884">
      <c r="L15884" s="13"/>
      <c r="M15884" s="14"/>
      <c r="N15884" s="14"/>
      <c r="O15884" s="14"/>
      <c r="P15884" s="13"/>
    </row>
    <row r="15885">
      <c r="L15885" s="13"/>
      <c r="M15885" s="14"/>
      <c r="N15885" s="14"/>
      <c r="O15885" s="14"/>
      <c r="P15885" s="13"/>
    </row>
    <row r="15886">
      <c r="L15886" s="13"/>
      <c r="M15886" s="14"/>
      <c r="N15886" s="14"/>
      <c r="O15886" s="14"/>
      <c r="P15886" s="13"/>
    </row>
    <row r="15887">
      <c r="L15887" s="13"/>
      <c r="M15887" s="14"/>
      <c r="N15887" s="14"/>
      <c r="O15887" s="14"/>
      <c r="P15887" s="13"/>
    </row>
    <row r="15888">
      <c r="L15888" s="13"/>
      <c r="M15888" s="14"/>
      <c r="N15888" s="14"/>
      <c r="O15888" s="14"/>
      <c r="P15888" s="13"/>
    </row>
    <row r="15889">
      <c r="L15889" s="13"/>
      <c r="M15889" s="14"/>
      <c r="N15889" s="14"/>
      <c r="O15889" s="14"/>
      <c r="P15889" s="13"/>
    </row>
    <row r="15890">
      <c r="L15890" s="13"/>
      <c r="M15890" s="14"/>
      <c r="N15890" s="14"/>
      <c r="O15890" s="14"/>
      <c r="P15890" s="13"/>
    </row>
    <row r="15891">
      <c r="L15891" s="13"/>
      <c r="M15891" s="14"/>
      <c r="N15891" s="14"/>
      <c r="O15891" s="14"/>
      <c r="P15891" s="13"/>
    </row>
    <row r="15892">
      <c r="L15892" s="13"/>
      <c r="M15892" s="14"/>
      <c r="N15892" s="14"/>
      <c r="O15892" s="14"/>
      <c r="P15892" s="13"/>
    </row>
    <row r="15893">
      <c r="L15893" s="13"/>
      <c r="M15893" s="14"/>
      <c r="N15893" s="14"/>
      <c r="O15893" s="14"/>
      <c r="P15893" s="13"/>
    </row>
    <row r="15894">
      <c r="L15894" s="13"/>
      <c r="M15894" s="14"/>
      <c r="N15894" s="14"/>
      <c r="O15894" s="14"/>
      <c r="P15894" s="13"/>
    </row>
    <row r="15895">
      <c r="L15895" s="13"/>
      <c r="M15895" s="14"/>
      <c r="N15895" s="14"/>
      <c r="O15895" s="14"/>
      <c r="P15895" s="13"/>
    </row>
    <row r="15896">
      <c r="L15896" s="13"/>
      <c r="M15896" s="14"/>
      <c r="N15896" s="14"/>
      <c r="O15896" s="14"/>
      <c r="P15896" s="13"/>
    </row>
    <row r="15897">
      <c r="L15897" s="13"/>
      <c r="M15897" s="14"/>
      <c r="N15897" s="14"/>
      <c r="O15897" s="14"/>
      <c r="P15897" s="13"/>
    </row>
    <row r="15898">
      <c r="L15898" s="13"/>
      <c r="M15898" s="14"/>
      <c r="N15898" s="14"/>
      <c r="O15898" s="14"/>
      <c r="P15898" s="13"/>
    </row>
    <row r="15899">
      <c r="L15899" s="13"/>
      <c r="M15899" s="14"/>
      <c r="N15899" s="14"/>
      <c r="O15899" s="14"/>
      <c r="P15899" s="13"/>
    </row>
    <row r="15900">
      <c r="L15900" s="13"/>
      <c r="M15900" s="14"/>
      <c r="N15900" s="14"/>
      <c r="O15900" s="14"/>
      <c r="P15900" s="13"/>
    </row>
    <row r="15901">
      <c r="L15901" s="13"/>
      <c r="M15901" s="14"/>
      <c r="N15901" s="14"/>
      <c r="O15901" s="14"/>
      <c r="P15901" s="13"/>
    </row>
    <row r="15902">
      <c r="L15902" s="13"/>
      <c r="M15902" s="14"/>
      <c r="N15902" s="14"/>
      <c r="O15902" s="14"/>
      <c r="P15902" s="13"/>
    </row>
    <row r="15903">
      <c r="L15903" s="13"/>
      <c r="M15903" s="14"/>
      <c r="N15903" s="14"/>
      <c r="O15903" s="14"/>
      <c r="P15903" s="13"/>
    </row>
    <row r="15904">
      <c r="L15904" s="13"/>
      <c r="M15904" s="14"/>
      <c r="N15904" s="14"/>
      <c r="O15904" s="14"/>
      <c r="P15904" s="13"/>
    </row>
    <row r="15905">
      <c r="L15905" s="13"/>
      <c r="M15905" s="14"/>
      <c r="N15905" s="14"/>
      <c r="O15905" s="14"/>
      <c r="P15905" s="13"/>
    </row>
    <row r="15906">
      <c r="L15906" s="13"/>
      <c r="M15906" s="14"/>
      <c r="N15906" s="14"/>
      <c r="O15906" s="14"/>
      <c r="P15906" s="13"/>
    </row>
    <row r="15907">
      <c r="L15907" s="13"/>
      <c r="M15907" s="14"/>
      <c r="N15907" s="14"/>
      <c r="O15907" s="14"/>
      <c r="P15907" s="13"/>
    </row>
    <row r="15908">
      <c r="L15908" s="13"/>
      <c r="M15908" s="14"/>
      <c r="N15908" s="14"/>
      <c r="O15908" s="14"/>
      <c r="P15908" s="13"/>
    </row>
    <row r="15909">
      <c r="L15909" s="13"/>
      <c r="M15909" s="14"/>
      <c r="N15909" s="14"/>
      <c r="O15909" s="14"/>
      <c r="P15909" s="13"/>
    </row>
    <row r="15910">
      <c r="L15910" s="13"/>
      <c r="M15910" s="14"/>
      <c r="N15910" s="14"/>
      <c r="O15910" s="14"/>
      <c r="P15910" s="13"/>
    </row>
    <row r="15911">
      <c r="L15911" s="13"/>
      <c r="M15911" s="14"/>
      <c r="N15911" s="14"/>
      <c r="O15911" s="14"/>
      <c r="P15911" s="13"/>
    </row>
    <row r="15912">
      <c r="L15912" s="13"/>
      <c r="M15912" s="14"/>
      <c r="N15912" s="14"/>
      <c r="O15912" s="14"/>
      <c r="P15912" s="13"/>
    </row>
    <row r="15913">
      <c r="L15913" s="13"/>
      <c r="M15913" s="14"/>
      <c r="N15913" s="14"/>
      <c r="O15913" s="14"/>
      <c r="P15913" s="13"/>
    </row>
    <row r="15914">
      <c r="L15914" s="13"/>
      <c r="M15914" s="14"/>
      <c r="N15914" s="14"/>
      <c r="O15914" s="14"/>
      <c r="P15914" s="13"/>
    </row>
    <row r="15915">
      <c r="L15915" s="13"/>
      <c r="M15915" s="14"/>
      <c r="N15915" s="14"/>
      <c r="O15915" s="14"/>
      <c r="P15915" s="13"/>
    </row>
    <row r="15916">
      <c r="L15916" s="13"/>
      <c r="M15916" s="14"/>
      <c r="N15916" s="14"/>
      <c r="O15916" s="14"/>
      <c r="P15916" s="13"/>
    </row>
    <row r="15917">
      <c r="L15917" s="13"/>
      <c r="M15917" s="14"/>
      <c r="N15917" s="14"/>
      <c r="O15917" s="14"/>
      <c r="P15917" s="13"/>
    </row>
    <row r="15918">
      <c r="L15918" s="13"/>
      <c r="M15918" s="14"/>
      <c r="N15918" s="14"/>
      <c r="O15918" s="14"/>
      <c r="P15918" s="13"/>
    </row>
    <row r="15919">
      <c r="L15919" s="13"/>
      <c r="M15919" s="14"/>
      <c r="N15919" s="14"/>
      <c r="O15919" s="14"/>
      <c r="P15919" s="13"/>
    </row>
    <row r="15920">
      <c r="L15920" s="13"/>
      <c r="M15920" s="14"/>
      <c r="N15920" s="14"/>
      <c r="O15920" s="14"/>
      <c r="P15920" s="13"/>
    </row>
    <row r="15921">
      <c r="L15921" s="13"/>
      <c r="M15921" s="14"/>
      <c r="N15921" s="14"/>
      <c r="O15921" s="14"/>
      <c r="P15921" s="13"/>
    </row>
    <row r="15922">
      <c r="L15922" s="13"/>
      <c r="M15922" s="14"/>
      <c r="N15922" s="14"/>
      <c r="O15922" s="14"/>
      <c r="P15922" s="13"/>
    </row>
    <row r="15923">
      <c r="L15923" s="13"/>
      <c r="M15923" s="14"/>
      <c r="N15923" s="14"/>
      <c r="O15923" s="14"/>
      <c r="P15923" s="13"/>
    </row>
    <row r="15924">
      <c r="L15924" s="13"/>
      <c r="M15924" s="14"/>
      <c r="N15924" s="14"/>
      <c r="O15924" s="14"/>
      <c r="P15924" s="13"/>
    </row>
    <row r="15925">
      <c r="L15925" s="13"/>
      <c r="M15925" s="14"/>
      <c r="N15925" s="14"/>
      <c r="O15925" s="14"/>
      <c r="P15925" s="13"/>
    </row>
    <row r="15926">
      <c r="L15926" s="13"/>
      <c r="M15926" s="14"/>
      <c r="N15926" s="14"/>
      <c r="O15926" s="14"/>
      <c r="P15926" s="13"/>
    </row>
    <row r="15927">
      <c r="L15927" s="13"/>
      <c r="M15927" s="14"/>
      <c r="N15927" s="14"/>
      <c r="O15927" s="14"/>
      <c r="P15927" s="13"/>
    </row>
    <row r="15928">
      <c r="L15928" s="13"/>
      <c r="M15928" s="14"/>
      <c r="N15928" s="14"/>
      <c r="O15928" s="14"/>
      <c r="P15928" s="13"/>
    </row>
    <row r="15929">
      <c r="L15929" s="13"/>
      <c r="M15929" s="14"/>
      <c r="N15929" s="14"/>
      <c r="O15929" s="14"/>
      <c r="P15929" s="13"/>
    </row>
    <row r="15930">
      <c r="L15930" s="13"/>
      <c r="M15930" s="14"/>
      <c r="N15930" s="14"/>
      <c r="O15930" s="14"/>
      <c r="P15930" s="13"/>
    </row>
    <row r="15931">
      <c r="L15931" s="13"/>
      <c r="M15931" s="14"/>
      <c r="N15931" s="14"/>
      <c r="O15931" s="14"/>
      <c r="P15931" s="13"/>
    </row>
    <row r="15932">
      <c r="L15932" s="13"/>
      <c r="M15932" s="14"/>
      <c r="N15932" s="14"/>
      <c r="O15932" s="14"/>
      <c r="P15932" s="13"/>
    </row>
    <row r="15933">
      <c r="L15933" s="13"/>
      <c r="M15933" s="14"/>
      <c r="N15933" s="14"/>
      <c r="O15933" s="14"/>
      <c r="P15933" s="13"/>
    </row>
    <row r="15934">
      <c r="L15934" s="13"/>
      <c r="M15934" s="14"/>
      <c r="N15934" s="14"/>
      <c r="O15934" s="14"/>
      <c r="P15934" s="13"/>
    </row>
    <row r="15935">
      <c r="L15935" s="13"/>
      <c r="M15935" s="14"/>
      <c r="N15935" s="14"/>
      <c r="O15935" s="14"/>
      <c r="P15935" s="13"/>
    </row>
    <row r="15936">
      <c r="L15936" s="13"/>
      <c r="M15936" s="14"/>
      <c r="N15936" s="14"/>
      <c r="O15936" s="14"/>
      <c r="P15936" s="13"/>
    </row>
    <row r="15937">
      <c r="L15937" s="13"/>
      <c r="M15937" s="14"/>
      <c r="N15937" s="14"/>
      <c r="O15937" s="14"/>
      <c r="P15937" s="13"/>
    </row>
    <row r="15938">
      <c r="L15938" s="13"/>
      <c r="M15938" s="14"/>
      <c r="N15938" s="14"/>
      <c r="O15938" s="14"/>
      <c r="P15938" s="13"/>
    </row>
    <row r="15939">
      <c r="L15939" s="13"/>
      <c r="M15939" s="14"/>
      <c r="N15939" s="14"/>
      <c r="O15939" s="14"/>
      <c r="P15939" s="13"/>
    </row>
    <row r="15940">
      <c r="L15940" s="13"/>
      <c r="M15940" s="14"/>
      <c r="N15940" s="14"/>
      <c r="O15940" s="14"/>
      <c r="P15940" s="13"/>
    </row>
    <row r="15941">
      <c r="L15941" s="13"/>
      <c r="M15941" s="14"/>
      <c r="N15941" s="14"/>
      <c r="O15941" s="14"/>
      <c r="P15941" s="13"/>
    </row>
    <row r="15942">
      <c r="L15942" s="13"/>
      <c r="M15942" s="14"/>
      <c r="N15942" s="14"/>
      <c r="O15942" s="14"/>
      <c r="P15942" s="13"/>
    </row>
    <row r="15943">
      <c r="L15943" s="13"/>
      <c r="M15943" s="14"/>
      <c r="N15943" s="14"/>
      <c r="O15943" s="14"/>
      <c r="P15943" s="13"/>
    </row>
    <row r="15944">
      <c r="L15944" s="13"/>
      <c r="M15944" s="14"/>
      <c r="N15944" s="14"/>
      <c r="O15944" s="14"/>
      <c r="P15944" s="13"/>
    </row>
    <row r="15945">
      <c r="L15945" s="13"/>
      <c r="M15945" s="14"/>
      <c r="N15945" s="14"/>
      <c r="O15945" s="14"/>
      <c r="P15945" s="13"/>
    </row>
    <row r="15946">
      <c r="L15946" s="13"/>
      <c r="M15946" s="14"/>
      <c r="N15946" s="14"/>
      <c r="O15946" s="14"/>
      <c r="P15946" s="13"/>
    </row>
    <row r="15947">
      <c r="L15947" s="13"/>
      <c r="M15947" s="14"/>
      <c r="N15947" s="14"/>
      <c r="O15947" s="14"/>
      <c r="P15947" s="13"/>
    </row>
    <row r="15948">
      <c r="L15948" s="13"/>
      <c r="M15948" s="14"/>
      <c r="N15948" s="14"/>
      <c r="O15948" s="14"/>
      <c r="P15948" s="13"/>
    </row>
    <row r="15949">
      <c r="L15949" s="13"/>
      <c r="M15949" s="14"/>
      <c r="N15949" s="14"/>
      <c r="O15949" s="14"/>
      <c r="P15949" s="13"/>
    </row>
    <row r="15950">
      <c r="L15950" s="13"/>
      <c r="M15950" s="14"/>
      <c r="N15950" s="14"/>
      <c r="O15950" s="14"/>
      <c r="P15950" s="13"/>
    </row>
    <row r="15951">
      <c r="L15951" s="13"/>
      <c r="M15951" s="14"/>
      <c r="N15951" s="14"/>
      <c r="O15951" s="14"/>
      <c r="P15951" s="13"/>
    </row>
    <row r="15952">
      <c r="L15952" s="13"/>
      <c r="M15952" s="14"/>
      <c r="N15952" s="14"/>
      <c r="O15952" s="14"/>
      <c r="P15952" s="13"/>
    </row>
    <row r="15953">
      <c r="L15953" s="13"/>
      <c r="M15953" s="14"/>
      <c r="N15953" s="14"/>
      <c r="O15953" s="14"/>
      <c r="P15953" s="13"/>
    </row>
    <row r="15954">
      <c r="L15954" s="13"/>
      <c r="M15954" s="14"/>
      <c r="N15954" s="14"/>
      <c r="O15954" s="14"/>
      <c r="P15954" s="13"/>
    </row>
    <row r="15955">
      <c r="L15955" s="13"/>
      <c r="M15955" s="14"/>
      <c r="N15955" s="14"/>
      <c r="O15955" s="14"/>
      <c r="P15955" s="13"/>
    </row>
    <row r="15956">
      <c r="L15956" s="13"/>
      <c r="M15956" s="14"/>
      <c r="N15956" s="14"/>
      <c r="O15956" s="14"/>
      <c r="P15956" s="13"/>
    </row>
    <row r="15957">
      <c r="L15957" s="13"/>
      <c r="M15957" s="14"/>
      <c r="N15957" s="14"/>
      <c r="O15957" s="14"/>
      <c r="P15957" s="13"/>
    </row>
    <row r="15958">
      <c r="L15958" s="13"/>
      <c r="M15958" s="14"/>
      <c r="N15958" s="14"/>
      <c r="O15958" s="14"/>
      <c r="P15958" s="13"/>
    </row>
    <row r="15959">
      <c r="L15959" s="13"/>
      <c r="M15959" s="14"/>
      <c r="N15959" s="14"/>
      <c r="O15959" s="14"/>
      <c r="P15959" s="13"/>
    </row>
    <row r="15960">
      <c r="L15960" s="13"/>
      <c r="M15960" s="14"/>
      <c r="N15960" s="14"/>
      <c r="O15960" s="14"/>
      <c r="P15960" s="13"/>
    </row>
    <row r="15961">
      <c r="L15961" s="13"/>
      <c r="M15961" s="14"/>
      <c r="N15961" s="14"/>
      <c r="O15961" s="14"/>
      <c r="P15961" s="13"/>
    </row>
    <row r="15962">
      <c r="L15962" s="13"/>
      <c r="M15962" s="14"/>
      <c r="N15962" s="14"/>
      <c r="O15962" s="14"/>
      <c r="P15962" s="13"/>
    </row>
    <row r="15963">
      <c r="L15963" s="13"/>
      <c r="M15963" s="14"/>
      <c r="N15963" s="14"/>
      <c r="O15963" s="14"/>
      <c r="P15963" s="13"/>
    </row>
    <row r="15964">
      <c r="L15964" s="13"/>
      <c r="M15964" s="14"/>
      <c r="N15964" s="14"/>
      <c r="O15964" s="14"/>
      <c r="P15964" s="13"/>
    </row>
    <row r="15965">
      <c r="L15965" s="13"/>
      <c r="M15965" s="14"/>
      <c r="N15965" s="14"/>
      <c r="O15965" s="14"/>
      <c r="P15965" s="13"/>
    </row>
    <row r="15966">
      <c r="L15966" s="13"/>
      <c r="M15966" s="14"/>
      <c r="N15966" s="14"/>
      <c r="O15966" s="14"/>
      <c r="P15966" s="13"/>
    </row>
    <row r="15967">
      <c r="L15967" s="13"/>
      <c r="M15967" s="14"/>
      <c r="N15967" s="14"/>
      <c r="O15967" s="14"/>
      <c r="P15967" s="13"/>
    </row>
    <row r="15968">
      <c r="L15968" s="13"/>
      <c r="M15968" s="14"/>
      <c r="N15968" s="14"/>
      <c r="O15968" s="14"/>
      <c r="P15968" s="13"/>
    </row>
    <row r="15969">
      <c r="L15969" s="13"/>
      <c r="M15969" s="14"/>
      <c r="N15969" s="14"/>
      <c r="O15969" s="14"/>
      <c r="P15969" s="13"/>
    </row>
    <row r="15970">
      <c r="L15970" s="13"/>
      <c r="M15970" s="14"/>
      <c r="N15970" s="14"/>
      <c r="O15970" s="14"/>
      <c r="P15970" s="13"/>
    </row>
    <row r="15971">
      <c r="L15971" s="13"/>
      <c r="M15971" s="14"/>
      <c r="N15971" s="14"/>
      <c r="O15971" s="14"/>
      <c r="P15971" s="13"/>
    </row>
    <row r="15972">
      <c r="L15972" s="13"/>
      <c r="M15972" s="14"/>
      <c r="N15972" s="14"/>
      <c r="O15972" s="14"/>
      <c r="P15972" s="13"/>
    </row>
    <row r="15973">
      <c r="L15973" s="13"/>
      <c r="M15973" s="14"/>
      <c r="N15973" s="14"/>
      <c r="O15973" s="14"/>
      <c r="P15973" s="13"/>
    </row>
    <row r="15974">
      <c r="L15974" s="13"/>
      <c r="M15974" s="14"/>
      <c r="N15974" s="14"/>
      <c r="O15974" s="14"/>
      <c r="P15974" s="13"/>
    </row>
    <row r="15975">
      <c r="L15975" s="13"/>
      <c r="M15975" s="14"/>
      <c r="N15975" s="14"/>
      <c r="O15975" s="14"/>
      <c r="P15975" s="13"/>
    </row>
    <row r="15976">
      <c r="L15976" s="13"/>
      <c r="M15976" s="14"/>
      <c r="N15976" s="14"/>
      <c r="O15976" s="14"/>
      <c r="P15976" s="13"/>
    </row>
    <row r="15977">
      <c r="L15977" s="13"/>
      <c r="M15977" s="14"/>
      <c r="N15977" s="14"/>
      <c r="O15977" s="14"/>
      <c r="P15977" s="13"/>
    </row>
    <row r="15978">
      <c r="L15978" s="13"/>
      <c r="M15978" s="14"/>
      <c r="N15978" s="14"/>
      <c r="O15978" s="14"/>
      <c r="P15978" s="13"/>
    </row>
    <row r="15979">
      <c r="L15979" s="13"/>
      <c r="M15979" s="14"/>
      <c r="N15979" s="14"/>
      <c r="O15979" s="14"/>
      <c r="P15979" s="13"/>
    </row>
    <row r="15980">
      <c r="L15980" s="13"/>
      <c r="M15980" s="14"/>
      <c r="N15980" s="14"/>
      <c r="O15980" s="14"/>
      <c r="P15980" s="13"/>
    </row>
    <row r="15981">
      <c r="L15981" s="13"/>
      <c r="M15981" s="14"/>
      <c r="N15981" s="14"/>
      <c r="O15981" s="14"/>
      <c r="P15981" s="13"/>
    </row>
    <row r="15982">
      <c r="L15982" s="13"/>
      <c r="M15982" s="14"/>
      <c r="N15982" s="14"/>
      <c r="O15982" s="14"/>
      <c r="P15982" s="13"/>
    </row>
    <row r="15983">
      <c r="L15983" s="13"/>
      <c r="M15983" s="14"/>
      <c r="N15983" s="14"/>
      <c r="O15983" s="14"/>
      <c r="P15983" s="13"/>
    </row>
    <row r="15984">
      <c r="L15984" s="13"/>
      <c r="M15984" s="14"/>
      <c r="N15984" s="14"/>
      <c r="O15984" s="14"/>
      <c r="P15984" s="13"/>
    </row>
    <row r="15985">
      <c r="L15985" s="13"/>
      <c r="M15985" s="14"/>
      <c r="N15985" s="14"/>
      <c r="O15985" s="14"/>
      <c r="P15985" s="13"/>
    </row>
    <row r="15986">
      <c r="L15986" s="13"/>
      <c r="M15986" s="14"/>
      <c r="N15986" s="14"/>
      <c r="O15986" s="14"/>
      <c r="P15986" s="13"/>
    </row>
    <row r="15987">
      <c r="L15987" s="13"/>
      <c r="M15987" s="14"/>
      <c r="N15987" s="14"/>
      <c r="O15987" s="14"/>
      <c r="P15987" s="13"/>
    </row>
    <row r="15988">
      <c r="L15988" s="13"/>
      <c r="M15988" s="14"/>
      <c r="N15988" s="14"/>
      <c r="O15988" s="14"/>
      <c r="P15988" s="13"/>
    </row>
    <row r="15989">
      <c r="L15989" s="13"/>
      <c r="M15989" s="14"/>
      <c r="N15989" s="14"/>
      <c r="O15989" s="14"/>
      <c r="P15989" s="13"/>
    </row>
    <row r="15990">
      <c r="L15990" s="13"/>
      <c r="M15990" s="14"/>
      <c r="N15990" s="14"/>
      <c r="O15990" s="14"/>
      <c r="P15990" s="13"/>
    </row>
    <row r="15991">
      <c r="L15991" s="13"/>
      <c r="M15991" s="14"/>
      <c r="N15991" s="14"/>
      <c r="O15991" s="14"/>
      <c r="P15991" s="13"/>
    </row>
    <row r="15992">
      <c r="L15992" s="13"/>
      <c r="M15992" s="14"/>
      <c r="N15992" s="14"/>
      <c r="O15992" s="14"/>
      <c r="P15992" s="13"/>
    </row>
    <row r="15993">
      <c r="L15993" s="13"/>
      <c r="M15993" s="14"/>
      <c r="N15993" s="14"/>
      <c r="O15993" s="14"/>
      <c r="P15993" s="13"/>
    </row>
    <row r="15994">
      <c r="L15994" s="13"/>
      <c r="M15994" s="14"/>
      <c r="N15994" s="14"/>
      <c r="O15994" s="14"/>
      <c r="P15994" s="13"/>
    </row>
    <row r="15995">
      <c r="L15995" s="13"/>
      <c r="M15995" s="14"/>
      <c r="N15995" s="14"/>
      <c r="O15995" s="14"/>
      <c r="P15995" s="13"/>
    </row>
    <row r="15996">
      <c r="L15996" s="13"/>
      <c r="M15996" s="14"/>
      <c r="N15996" s="14"/>
      <c r="O15996" s="14"/>
      <c r="P15996" s="13"/>
    </row>
    <row r="15997">
      <c r="L15997" s="13"/>
      <c r="M15997" s="14"/>
      <c r="N15997" s="14"/>
      <c r="O15997" s="14"/>
      <c r="P15997" s="13"/>
    </row>
    <row r="15998">
      <c r="L15998" s="13"/>
      <c r="M15998" s="14"/>
      <c r="N15998" s="14"/>
      <c r="O15998" s="14"/>
      <c r="P15998" s="13"/>
    </row>
    <row r="15999">
      <c r="L15999" s="13"/>
      <c r="M15999" s="14"/>
      <c r="N15999" s="14"/>
      <c r="O15999" s="14"/>
      <c r="P15999" s="13"/>
    </row>
    <row r="16000">
      <c r="L16000" s="13"/>
      <c r="M16000" s="14"/>
      <c r="N16000" s="14"/>
      <c r="O16000" s="14"/>
      <c r="P16000" s="13"/>
    </row>
    <row r="16001">
      <c r="L16001" s="13"/>
      <c r="M16001" s="14"/>
      <c r="N16001" s="14"/>
      <c r="O16001" s="14"/>
      <c r="P16001" s="13"/>
    </row>
    <row r="16002">
      <c r="L16002" s="13"/>
      <c r="M16002" s="14"/>
      <c r="N16002" s="14"/>
      <c r="O16002" s="14"/>
      <c r="P16002" s="13"/>
    </row>
    <row r="16003">
      <c r="L16003" s="13"/>
      <c r="M16003" s="14"/>
      <c r="N16003" s="14"/>
      <c r="O16003" s="14"/>
      <c r="P16003" s="13"/>
    </row>
    <row r="16004">
      <c r="L16004" s="13"/>
      <c r="M16004" s="14"/>
      <c r="N16004" s="14"/>
      <c r="O16004" s="14"/>
      <c r="P16004" s="13"/>
    </row>
    <row r="16005">
      <c r="L16005" s="13"/>
      <c r="M16005" s="14"/>
      <c r="N16005" s="14"/>
      <c r="O16005" s="14"/>
      <c r="P16005" s="13"/>
    </row>
    <row r="16006">
      <c r="L16006" s="13"/>
      <c r="M16006" s="14"/>
      <c r="N16006" s="14"/>
      <c r="O16006" s="14"/>
      <c r="P16006" s="13"/>
    </row>
    <row r="16007">
      <c r="L16007" s="13"/>
      <c r="M16007" s="14"/>
      <c r="N16007" s="14"/>
      <c r="O16007" s="14"/>
      <c r="P16007" s="13"/>
    </row>
    <row r="16008">
      <c r="L16008" s="13"/>
      <c r="M16008" s="14"/>
      <c r="N16008" s="14"/>
      <c r="O16008" s="14"/>
      <c r="P16008" s="13"/>
    </row>
    <row r="16009">
      <c r="L16009" s="13"/>
      <c r="M16009" s="14"/>
      <c r="N16009" s="14"/>
      <c r="O16009" s="14"/>
      <c r="P16009" s="13"/>
    </row>
    <row r="16010">
      <c r="L16010" s="13"/>
      <c r="M16010" s="14"/>
      <c r="N16010" s="14"/>
      <c r="O16010" s="14"/>
      <c r="P16010" s="13"/>
    </row>
    <row r="16011">
      <c r="L16011" s="13"/>
      <c r="M16011" s="14"/>
      <c r="N16011" s="14"/>
      <c r="O16011" s="14"/>
      <c r="P16011" s="13"/>
    </row>
    <row r="16012">
      <c r="L16012" s="13"/>
      <c r="M16012" s="14"/>
      <c r="N16012" s="14"/>
      <c r="O16012" s="14"/>
      <c r="P16012" s="13"/>
    </row>
    <row r="16013">
      <c r="L16013" s="13"/>
      <c r="M16013" s="14"/>
      <c r="N16013" s="14"/>
      <c r="O16013" s="14"/>
      <c r="P16013" s="13"/>
    </row>
    <row r="16014">
      <c r="L16014" s="13"/>
      <c r="M16014" s="14"/>
      <c r="N16014" s="14"/>
      <c r="O16014" s="14"/>
      <c r="P16014" s="13"/>
    </row>
    <row r="16015">
      <c r="L16015" s="13"/>
      <c r="M16015" s="14"/>
      <c r="N16015" s="14"/>
      <c r="O16015" s="14"/>
      <c r="P16015" s="13"/>
    </row>
    <row r="16016">
      <c r="L16016" s="13"/>
      <c r="M16016" s="14"/>
      <c r="N16016" s="14"/>
      <c r="O16016" s="14"/>
      <c r="P16016" s="13"/>
    </row>
    <row r="16017">
      <c r="L16017" s="13"/>
      <c r="M16017" s="14"/>
      <c r="N16017" s="14"/>
      <c r="O16017" s="14"/>
      <c r="P16017" s="13"/>
    </row>
    <row r="16018">
      <c r="L16018" s="13"/>
      <c r="M16018" s="14"/>
      <c r="N16018" s="14"/>
      <c r="O16018" s="14"/>
      <c r="P16018" s="13"/>
    </row>
    <row r="16019">
      <c r="L16019" s="13"/>
      <c r="M16019" s="14"/>
      <c r="N16019" s="14"/>
      <c r="O16019" s="14"/>
      <c r="P16019" s="13"/>
    </row>
    <row r="16020">
      <c r="L16020" s="13"/>
      <c r="M16020" s="14"/>
      <c r="N16020" s="14"/>
      <c r="O16020" s="14"/>
      <c r="P16020" s="13"/>
    </row>
    <row r="16021">
      <c r="L16021" s="13"/>
      <c r="M16021" s="14"/>
      <c r="N16021" s="14"/>
      <c r="O16021" s="14"/>
      <c r="P16021" s="13"/>
    </row>
    <row r="16022">
      <c r="L16022" s="13"/>
      <c r="M16022" s="14"/>
      <c r="N16022" s="14"/>
      <c r="O16022" s="14"/>
      <c r="P16022" s="13"/>
    </row>
    <row r="16023">
      <c r="L16023" s="13"/>
      <c r="M16023" s="14"/>
      <c r="N16023" s="14"/>
      <c r="O16023" s="14"/>
      <c r="P16023" s="13"/>
    </row>
    <row r="16024">
      <c r="L16024" s="13"/>
      <c r="M16024" s="14"/>
      <c r="N16024" s="14"/>
      <c r="O16024" s="14"/>
      <c r="P16024" s="13"/>
    </row>
    <row r="16025">
      <c r="L16025" s="13"/>
      <c r="M16025" s="14"/>
      <c r="N16025" s="14"/>
      <c r="O16025" s="14"/>
      <c r="P16025" s="13"/>
    </row>
    <row r="16026">
      <c r="L16026" s="13"/>
      <c r="M16026" s="14"/>
      <c r="N16026" s="14"/>
      <c r="O16026" s="14"/>
      <c r="P16026" s="13"/>
    </row>
    <row r="16027">
      <c r="L16027" s="13"/>
      <c r="M16027" s="14"/>
      <c r="N16027" s="14"/>
      <c r="O16027" s="14"/>
      <c r="P16027" s="13"/>
    </row>
    <row r="16028">
      <c r="L16028" s="13"/>
      <c r="M16028" s="14"/>
      <c r="N16028" s="14"/>
      <c r="O16028" s="14"/>
      <c r="P16028" s="13"/>
    </row>
    <row r="16029">
      <c r="L16029" s="13"/>
      <c r="M16029" s="14"/>
      <c r="N16029" s="14"/>
      <c r="O16029" s="14"/>
      <c r="P16029" s="13"/>
    </row>
    <row r="16030">
      <c r="L16030" s="13"/>
      <c r="M16030" s="14"/>
      <c r="N16030" s="14"/>
      <c r="O16030" s="14"/>
      <c r="P16030" s="13"/>
    </row>
    <row r="16031">
      <c r="L16031" s="13"/>
      <c r="M16031" s="14"/>
      <c r="N16031" s="14"/>
      <c r="O16031" s="14"/>
      <c r="P16031" s="13"/>
    </row>
    <row r="16032">
      <c r="L16032" s="13"/>
      <c r="M16032" s="14"/>
      <c r="N16032" s="14"/>
      <c r="O16032" s="14"/>
      <c r="P16032" s="13"/>
    </row>
    <row r="16033">
      <c r="L16033" s="13"/>
      <c r="M16033" s="14"/>
      <c r="N16033" s="14"/>
      <c r="O16033" s="14"/>
      <c r="P16033" s="13"/>
    </row>
    <row r="16034">
      <c r="L16034" s="13"/>
      <c r="M16034" s="14"/>
      <c r="N16034" s="14"/>
      <c r="O16034" s="14"/>
      <c r="P16034" s="13"/>
    </row>
    <row r="16035">
      <c r="L16035" s="13"/>
      <c r="M16035" s="14"/>
      <c r="N16035" s="14"/>
      <c r="O16035" s="14"/>
      <c r="P16035" s="13"/>
    </row>
    <row r="16036">
      <c r="L16036" s="13"/>
      <c r="M16036" s="14"/>
      <c r="N16036" s="14"/>
      <c r="O16036" s="14"/>
      <c r="P16036" s="13"/>
    </row>
    <row r="16037">
      <c r="L16037" s="13"/>
      <c r="M16037" s="14"/>
      <c r="N16037" s="14"/>
      <c r="O16037" s="14"/>
      <c r="P16037" s="13"/>
    </row>
    <row r="16038">
      <c r="L16038" s="13"/>
      <c r="M16038" s="14"/>
      <c r="N16038" s="14"/>
      <c r="O16038" s="14"/>
      <c r="P16038" s="13"/>
    </row>
    <row r="16039">
      <c r="L16039" s="13"/>
      <c r="M16039" s="14"/>
      <c r="N16039" s="14"/>
      <c r="O16039" s="14"/>
      <c r="P16039" s="13"/>
    </row>
    <row r="16040">
      <c r="L16040" s="13"/>
      <c r="M16040" s="14"/>
      <c r="N16040" s="14"/>
      <c r="O16040" s="14"/>
      <c r="P16040" s="13"/>
    </row>
    <row r="16041">
      <c r="L16041" s="13"/>
      <c r="M16041" s="14"/>
      <c r="N16041" s="14"/>
      <c r="O16041" s="14"/>
      <c r="P16041" s="13"/>
    </row>
    <row r="16042">
      <c r="L16042" s="13"/>
      <c r="M16042" s="14"/>
      <c r="N16042" s="14"/>
      <c r="O16042" s="14"/>
      <c r="P16042" s="13"/>
    </row>
    <row r="16043">
      <c r="L16043" s="13"/>
      <c r="M16043" s="14"/>
      <c r="N16043" s="14"/>
      <c r="O16043" s="14"/>
      <c r="P16043" s="13"/>
    </row>
    <row r="16044">
      <c r="L16044" s="13"/>
      <c r="M16044" s="14"/>
      <c r="N16044" s="14"/>
      <c r="O16044" s="14"/>
      <c r="P16044" s="13"/>
    </row>
    <row r="16045">
      <c r="L16045" s="13"/>
      <c r="M16045" s="14"/>
      <c r="N16045" s="14"/>
      <c r="O16045" s="14"/>
      <c r="P16045" s="13"/>
    </row>
    <row r="16046">
      <c r="L16046" s="13"/>
      <c r="M16046" s="14"/>
      <c r="N16046" s="14"/>
      <c r="O16046" s="14"/>
      <c r="P16046" s="13"/>
    </row>
    <row r="16047">
      <c r="L16047" s="13"/>
      <c r="M16047" s="14"/>
      <c r="N16047" s="14"/>
      <c r="O16047" s="14"/>
      <c r="P16047" s="13"/>
    </row>
    <row r="16048">
      <c r="L16048" s="13"/>
      <c r="M16048" s="14"/>
      <c r="N16048" s="14"/>
      <c r="O16048" s="14"/>
      <c r="P16048" s="13"/>
    </row>
    <row r="16049">
      <c r="L16049" s="13"/>
      <c r="M16049" s="14"/>
      <c r="N16049" s="14"/>
      <c r="O16049" s="14"/>
      <c r="P16049" s="13"/>
    </row>
    <row r="16050">
      <c r="L16050" s="13"/>
      <c r="M16050" s="14"/>
      <c r="N16050" s="14"/>
      <c r="O16050" s="14"/>
      <c r="P16050" s="13"/>
    </row>
    <row r="16051">
      <c r="L16051" s="13"/>
      <c r="M16051" s="14"/>
      <c r="N16051" s="14"/>
      <c r="O16051" s="14"/>
      <c r="P16051" s="13"/>
    </row>
    <row r="16052">
      <c r="L16052" s="13"/>
      <c r="M16052" s="14"/>
      <c r="N16052" s="14"/>
      <c r="O16052" s="14"/>
      <c r="P16052" s="13"/>
    </row>
    <row r="16053">
      <c r="L16053" s="13"/>
      <c r="M16053" s="14"/>
      <c r="N16053" s="14"/>
      <c r="O16053" s="14"/>
      <c r="P16053" s="13"/>
    </row>
    <row r="16054">
      <c r="L16054" s="13"/>
      <c r="M16054" s="14"/>
      <c r="N16054" s="14"/>
      <c r="O16054" s="14"/>
      <c r="P16054" s="13"/>
    </row>
    <row r="16055">
      <c r="L16055" s="13"/>
      <c r="M16055" s="14"/>
      <c r="N16055" s="14"/>
      <c r="O16055" s="14"/>
      <c r="P16055" s="13"/>
    </row>
    <row r="16056">
      <c r="L16056" s="13"/>
      <c r="M16056" s="14"/>
      <c r="N16056" s="14"/>
      <c r="O16056" s="14"/>
      <c r="P16056" s="13"/>
    </row>
    <row r="16057">
      <c r="L16057" s="13"/>
      <c r="M16057" s="14"/>
      <c r="N16057" s="14"/>
      <c r="O16057" s="14"/>
      <c r="P16057" s="13"/>
    </row>
    <row r="16058">
      <c r="L16058" s="13"/>
      <c r="M16058" s="14"/>
      <c r="N16058" s="14"/>
      <c r="O16058" s="14"/>
      <c r="P16058" s="13"/>
    </row>
    <row r="16059">
      <c r="L16059" s="13"/>
      <c r="M16059" s="14"/>
      <c r="N16059" s="14"/>
      <c r="O16059" s="14"/>
      <c r="P16059" s="13"/>
    </row>
    <row r="16060">
      <c r="L16060" s="13"/>
      <c r="M16060" s="14"/>
      <c r="N16060" s="14"/>
      <c r="O16060" s="14"/>
      <c r="P16060" s="13"/>
    </row>
    <row r="16061">
      <c r="L16061" s="13"/>
      <c r="M16061" s="14"/>
      <c r="N16061" s="14"/>
      <c r="O16061" s="14"/>
      <c r="P16061" s="13"/>
    </row>
    <row r="16062">
      <c r="L16062" s="13"/>
      <c r="M16062" s="14"/>
      <c r="N16062" s="14"/>
      <c r="O16062" s="14"/>
      <c r="P16062" s="13"/>
    </row>
    <row r="16063">
      <c r="L16063" s="13"/>
      <c r="M16063" s="14"/>
      <c r="N16063" s="14"/>
      <c r="O16063" s="14"/>
      <c r="P16063" s="13"/>
    </row>
    <row r="16064">
      <c r="L16064" s="13"/>
      <c r="M16064" s="14"/>
      <c r="N16064" s="14"/>
      <c r="O16064" s="14"/>
      <c r="P16064" s="13"/>
    </row>
    <row r="16065">
      <c r="L16065" s="13"/>
      <c r="M16065" s="14"/>
      <c r="N16065" s="14"/>
      <c r="O16065" s="14"/>
      <c r="P16065" s="13"/>
    </row>
    <row r="16066">
      <c r="L16066" s="13"/>
      <c r="M16066" s="14"/>
      <c r="N16066" s="14"/>
      <c r="O16066" s="14"/>
      <c r="P16066" s="13"/>
    </row>
    <row r="16067">
      <c r="L16067" s="13"/>
      <c r="M16067" s="14"/>
      <c r="N16067" s="14"/>
      <c r="O16067" s="14"/>
      <c r="P16067" s="13"/>
    </row>
    <row r="16068">
      <c r="L16068" s="13"/>
      <c r="M16068" s="14"/>
      <c r="N16068" s="14"/>
      <c r="O16068" s="14"/>
      <c r="P16068" s="13"/>
    </row>
    <row r="16069">
      <c r="L16069" s="13"/>
      <c r="M16069" s="14"/>
      <c r="N16069" s="14"/>
      <c r="O16069" s="14"/>
      <c r="P16069" s="13"/>
    </row>
    <row r="16070">
      <c r="L16070" s="13"/>
      <c r="M16070" s="14"/>
      <c r="N16070" s="14"/>
      <c r="O16070" s="14"/>
      <c r="P16070" s="13"/>
    </row>
    <row r="16071">
      <c r="L16071" s="13"/>
      <c r="M16071" s="14"/>
      <c r="N16071" s="14"/>
      <c r="O16071" s="14"/>
      <c r="P16071" s="13"/>
    </row>
    <row r="16072">
      <c r="L16072" s="13"/>
      <c r="M16072" s="14"/>
      <c r="N16072" s="14"/>
      <c r="O16072" s="14"/>
      <c r="P16072" s="13"/>
    </row>
    <row r="16073">
      <c r="L16073" s="13"/>
      <c r="M16073" s="14"/>
      <c r="N16073" s="14"/>
      <c r="O16073" s="14"/>
      <c r="P16073" s="13"/>
    </row>
    <row r="16074">
      <c r="L16074" s="13"/>
      <c r="M16074" s="14"/>
      <c r="N16074" s="14"/>
      <c r="O16074" s="14"/>
      <c r="P16074" s="13"/>
    </row>
    <row r="16075">
      <c r="L16075" s="13"/>
      <c r="M16075" s="14"/>
      <c r="N16075" s="14"/>
      <c r="O16075" s="14"/>
      <c r="P16075" s="13"/>
    </row>
    <row r="16076">
      <c r="L16076" s="13"/>
      <c r="M16076" s="14"/>
      <c r="N16076" s="14"/>
      <c r="O16076" s="14"/>
      <c r="P16076" s="13"/>
    </row>
    <row r="16077">
      <c r="L16077" s="13"/>
      <c r="M16077" s="14"/>
      <c r="N16077" s="14"/>
      <c r="O16077" s="14"/>
      <c r="P16077" s="13"/>
    </row>
    <row r="16078">
      <c r="L16078" s="13"/>
      <c r="M16078" s="14"/>
      <c r="N16078" s="14"/>
      <c r="O16078" s="14"/>
      <c r="P16078" s="13"/>
    </row>
    <row r="16079">
      <c r="L16079" s="13"/>
      <c r="M16079" s="14"/>
      <c r="N16079" s="14"/>
      <c r="O16079" s="14"/>
      <c r="P16079" s="13"/>
    </row>
    <row r="16080">
      <c r="L16080" s="13"/>
      <c r="M16080" s="14"/>
      <c r="N16080" s="14"/>
      <c r="O16080" s="14"/>
      <c r="P16080" s="13"/>
    </row>
    <row r="16081">
      <c r="L16081" s="13"/>
      <c r="M16081" s="14"/>
      <c r="N16081" s="14"/>
      <c r="O16081" s="14"/>
      <c r="P16081" s="13"/>
    </row>
    <row r="16082">
      <c r="L16082" s="13"/>
      <c r="M16082" s="14"/>
      <c r="N16082" s="14"/>
      <c r="O16082" s="14"/>
      <c r="P16082" s="13"/>
    </row>
    <row r="16083">
      <c r="L16083" s="13"/>
      <c r="M16083" s="14"/>
      <c r="N16083" s="14"/>
      <c r="O16083" s="14"/>
      <c r="P16083" s="13"/>
    </row>
    <row r="16084">
      <c r="L16084" s="13"/>
      <c r="M16084" s="14"/>
      <c r="N16084" s="14"/>
      <c r="O16084" s="14"/>
      <c r="P16084" s="13"/>
    </row>
    <row r="16085">
      <c r="L16085" s="13"/>
      <c r="M16085" s="14"/>
      <c r="N16085" s="14"/>
      <c r="O16085" s="14"/>
      <c r="P16085" s="13"/>
    </row>
    <row r="16086">
      <c r="L16086" s="13"/>
      <c r="M16086" s="14"/>
      <c r="N16086" s="14"/>
      <c r="O16086" s="14"/>
      <c r="P16086" s="13"/>
    </row>
    <row r="16087">
      <c r="L16087" s="13"/>
      <c r="M16087" s="14"/>
      <c r="N16087" s="14"/>
      <c r="O16087" s="14"/>
      <c r="P16087" s="13"/>
    </row>
    <row r="16088">
      <c r="L16088" s="13"/>
      <c r="M16088" s="14"/>
      <c r="N16088" s="14"/>
      <c r="O16088" s="14"/>
      <c r="P16088" s="13"/>
    </row>
    <row r="16089">
      <c r="L16089" s="13"/>
      <c r="M16089" s="14"/>
      <c r="N16089" s="14"/>
      <c r="O16089" s="14"/>
      <c r="P16089" s="13"/>
    </row>
    <row r="16090">
      <c r="L16090" s="13"/>
      <c r="M16090" s="14"/>
      <c r="N16090" s="14"/>
      <c r="O16090" s="14"/>
      <c r="P16090" s="13"/>
    </row>
    <row r="16091">
      <c r="L16091" s="13"/>
      <c r="M16091" s="14"/>
      <c r="N16091" s="14"/>
      <c r="O16091" s="14"/>
      <c r="P16091" s="13"/>
    </row>
    <row r="16092">
      <c r="L16092" s="13"/>
      <c r="M16092" s="14"/>
      <c r="N16092" s="14"/>
      <c r="O16092" s="14"/>
      <c r="P16092" s="13"/>
    </row>
    <row r="16093">
      <c r="L16093" s="13"/>
      <c r="M16093" s="14"/>
      <c r="N16093" s="14"/>
      <c r="O16093" s="14"/>
      <c r="P16093" s="13"/>
    </row>
    <row r="16094">
      <c r="L16094" s="13"/>
      <c r="M16094" s="14"/>
      <c r="N16094" s="14"/>
      <c r="O16094" s="14"/>
      <c r="P16094" s="13"/>
    </row>
    <row r="16095">
      <c r="L16095" s="13"/>
      <c r="M16095" s="14"/>
      <c r="N16095" s="14"/>
      <c r="O16095" s="14"/>
      <c r="P16095" s="13"/>
    </row>
    <row r="16096">
      <c r="L16096" s="13"/>
      <c r="M16096" s="14"/>
      <c r="N16096" s="14"/>
      <c r="O16096" s="14"/>
      <c r="P16096" s="13"/>
    </row>
    <row r="16097">
      <c r="L16097" s="13"/>
      <c r="M16097" s="14"/>
      <c r="N16097" s="14"/>
      <c r="O16097" s="14"/>
      <c r="P16097" s="13"/>
    </row>
    <row r="16098">
      <c r="L16098" s="13"/>
      <c r="M16098" s="14"/>
      <c r="N16098" s="14"/>
      <c r="O16098" s="14"/>
      <c r="P16098" s="13"/>
    </row>
    <row r="16099">
      <c r="L16099" s="13"/>
      <c r="M16099" s="14"/>
      <c r="N16099" s="14"/>
      <c r="O16099" s="14"/>
      <c r="P16099" s="13"/>
    </row>
    <row r="16100">
      <c r="L16100" s="13"/>
      <c r="M16100" s="14"/>
      <c r="N16100" s="14"/>
      <c r="O16100" s="14"/>
      <c r="P16100" s="13"/>
    </row>
    <row r="16101">
      <c r="L16101" s="13"/>
      <c r="M16101" s="14"/>
      <c r="N16101" s="14"/>
      <c r="O16101" s="14"/>
      <c r="P16101" s="13"/>
    </row>
    <row r="16102">
      <c r="L16102" s="13"/>
      <c r="M16102" s="14"/>
      <c r="N16102" s="14"/>
      <c r="O16102" s="14"/>
      <c r="P16102" s="13"/>
    </row>
    <row r="16103">
      <c r="L16103" s="13"/>
      <c r="M16103" s="14"/>
      <c r="N16103" s="14"/>
      <c r="O16103" s="14"/>
      <c r="P16103" s="13"/>
    </row>
    <row r="16104">
      <c r="L16104" s="13"/>
      <c r="M16104" s="14"/>
      <c r="N16104" s="14"/>
      <c r="O16104" s="14"/>
      <c r="P16104" s="13"/>
    </row>
    <row r="16105">
      <c r="L16105" s="13"/>
      <c r="M16105" s="14"/>
      <c r="N16105" s="14"/>
      <c r="O16105" s="14"/>
      <c r="P16105" s="13"/>
    </row>
    <row r="16106">
      <c r="L16106" s="13"/>
      <c r="M16106" s="14"/>
      <c r="N16106" s="14"/>
      <c r="O16106" s="14"/>
      <c r="P16106" s="13"/>
    </row>
    <row r="16107">
      <c r="L16107" s="13"/>
      <c r="M16107" s="14"/>
      <c r="N16107" s="14"/>
      <c r="O16107" s="14"/>
      <c r="P16107" s="13"/>
    </row>
    <row r="16108">
      <c r="L16108" s="13"/>
      <c r="M16108" s="14"/>
      <c r="N16108" s="14"/>
      <c r="O16108" s="14"/>
      <c r="P16108" s="13"/>
    </row>
    <row r="16109">
      <c r="L16109" s="13"/>
      <c r="M16109" s="14"/>
      <c r="N16109" s="14"/>
      <c r="O16109" s="14"/>
      <c r="P16109" s="13"/>
    </row>
    <row r="16110">
      <c r="L16110" s="13"/>
      <c r="M16110" s="14"/>
      <c r="N16110" s="14"/>
      <c r="O16110" s="14"/>
      <c r="P16110" s="13"/>
    </row>
    <row r="16111">
      <c r="L16111" s="13"/>
      <c r="M16111" s="14"/>
      <c r="N16111" s="14"/>
      <c r="O16111" s="14"/>
      <c r="P16111" s="13"/>
    </row>
    <row r="16112">
      <c r="L16112" s="13"/>
      <c r="M16112" s="14"/>
      <c r="N16112" s="14"/>
      <c r="O16112" s="14"/>
      <c r="P16112" s="13"/>
    </row>
    <row r="16113">
      <c r="L16113" s="13"/>
      <c r="M16113" s="14"/>
      <c r="N16113" s="14"/>
      <c r="O16113" s="14"/>
      <c r="P16113" s="13"/>
    </row>
    <row r="16114">
      <c r="L16114" s="13"/>
      <c r="M16114" s="14"/>
      <c r="N16114" s="14"/>
      <c r="O16114" s="14"/>
      <c r="P16114" s="13"/>
    </row>
    <row r="16115">
      <c r="L16115" s="13"/>
      <c r="M16115" s="14"/>
      <c r="N16115" s="14"/>
      <c r="O16115" s="14"/>
      <c r="P16115" s="13"/>
    </row>
    <row r="16116">
      <c r="L16116" s="13"/>
      <c r="M16116" s="14"/>
      <c r="N16116" s="14"/>
      <c r="O16116" s="14"/>
      <c r="P16116" s="13"/>
    </row>
    <row r="16117">
      <c r="L16117" s="13"/>
      <c r="M16117" s="14"/>
      <c r="N16117" s="14"/>
      <c r="O16117" s="14"/>
      <c r="P16117" s="13"/>
    </row>
    <row r="16118">
      <c r="L16118" s="13"/>
      <c r="M16118" s="14"/>
      <c r="N16118" s="14"/>
      <c r="O16118" s="14"/>
      <c r="P16118" s="13"/>
    </row>
    <row r="16119">
      <c r="L16119" s="13"/>
      <c r="M16119" s="14"/>
      <c r="N16119" s="14"/>
      <c r="O16119" s="14"/>
      <c r="P16119" s="13"/>
    </row>
    <row r="16120">
      <c r="L16120" s="13"/>
      <c r="M16120" s="14"/>
      <c r="N16120" s="14"/>
      <c r="O16120" s="14"/>
      <c r="P16120" s="13"/>
    </row>
    <row r="16121">
      <c r="L16121" s="13"/>
      <c r="M16121" s="14"/>
      <c r="N16121" s="14"/>
      <c r="O16121" s="14"/>
      <c r="P16121" s="13"/>
    </row>
    <row r="16122">
      <c r="L16122" s="13"/>
      <c r="M16122" s="14"/>
      <c r="N16122" s="14"/>
      <c r="O16122" s="14"/>
      <c r="P16122" s="13"/>
    </row>
    <row r="16123">
      <c r="L16123" s="13"/>
      <c r="M16123" s="14"/>
      <c r="N16123" s="14"/>
      <c r="O16123" s="14"/>
      <c r="P16123" s="13"/>
    </row>
    <row r="16124">
      <c r="L16124" s="13"/>
      <c r="M16124" s="14"/>
      <c r="N16124" s="14"/>
      <c r="O16124" s="14"/>
      <c r="P16124" s="13"/>
    </row>
    <row r="16125">
      <c r="L16125" s="13"/>
      <c r="M16125" s="14"/>
      <c r="N16125" s="14"/>
      <c r="O16125" s="14"/>
      <c r="P16125" s="13"/>
    </row>
    <row r="16126">
      <c r="L16126" s="13"/>
      <c r="M16126" s="14"/>
      <c r="N16126" s="14"/>
      <c r="O16126" s="14"/>
      <c r="P16126" s="13"/>
    </row>
    <row r="16127">
      <c r="L16127" s="13"/>
      <c r="M16127" s="14"/>
      <c r="N16127" s="14"/>
      <c r="O16127" s="14"/>
      <c r="P16127" s="13"/>
    </row>
    <row r="16128">
      <c r="L16128" s="13"/>
      <c r="M16128" s="14"/>
      <c r="N16128" s="14"/>
      <c r="O16128" s="14"/>
      <c r="P16128" s="13"/>
    </row>
    <row r="16129">
      <c r="L16129" s="13"/>
      <c r="M16129" s="14"/>
      <c r="N16129" s="14"/>
      <c r="O16129" s="14"/>
      <c r="P16129" s="13"/>
    </row>
    <row r="16130">
      <c r="L16130" s="13"/>
      <c r="M16130" s="14"/>
      <c r="N16130" s="14"/>
      <c r="O16130" s="14"/>
      <c r="P16130" s="13"/>
    </row>
    <row r="16131">
      <c r="L16131" s="13"/>
      <c r="M16131" s="14"/>
      <c r="N16131" s="14"/>
      <c r="O16131" s="14"/>
      <c r="P16131" s="13"/>
    </row>
    <row r="16132">
      <c r="L16132" s="13"/>
      <c r="M16132" s="14"/>
      <c r="N16132" s="14"/>
      <c r="O16132" s="14"/>
      <c r="P16132" s="13"/>
    </row>
    <row r="16133">
      <c r="L16133" s="13"/>
      <c r="M16133" s="14"/>
      <c r="N16133" s="14"/>
      <c r="O16133" s="14"/>
      <c r="P16133" s="13"/>
    </row>
    <row r="16134">
      <c r="L16134" s="13"/>
      <c r="M16134" s="14"/>
      <c r="N16134" s="14"/>
      <c r="O16134" s="14"/>
      <c r="P16134" s="13"/>
    </row>
    <row r="16135">
      <c r="L16135" s="13"/>
      <c r="M16135" s="14"/>
      <c r="N16135" s="14"/>
      <c r="O16135" s="14"/>
      <c r="P16135" s="13"/>
    </row>
    <row r="16136">
      <c r="L16136" s="13"/>
      <c r="M16136" s="14"/>
      <c r="N16136" s="14"/>
      <c r="O16136" s="14"/>
      <c r="P16136" s="13"/>
    </row>
    <row r="16137">
      <c r="L16137" s="13"/>
      <c r="M16137" s="14"/>
      <c r="N16137" s="14"/>
      <c r="O16137" s="14"/>
      <c r="P16137" s="13"/>
    </row>
    <row r="16138">
      <c r="L16138" s="13"/>
      <c r="M16138" s="14"/>
      <c r="N16138" s="14"/>
      <c r="O16138" s="14"/>
      <c r="P16138" s="13"/>
    </row>
    <row r="16139">
      <c r="L16139" s="13"/>
      <c r="M16139" s="14"/>
      <c r="N16139" s="14"/>
      <c r="O16139" s="14"/>
      <c r="P16139" s="13"/>
    </row>
    <row r="16140">
      <c r="L16140" s="13"/>
      <c r="M16140" s="14"/>
      <c r="N16140" s="14"/>
      <c r="O16140" s="14"/>
      <c r="P16140" s="13"/>
    </row>
    <row r="16141">
      <c r="L16141" s="13"/>
      <c r="M16141" s="14"/>
      <c r="N16141" s="14"/>
      <c r="O16141" s="14"/>
      <c r="P16141" s="13"/>
    </row>
    <row r="16142">
      <c r="L16142" s="13"/>
      <c r="M16142" s="14"/>
      <c r="N16142" s="14"/>
      <c r="O16142" s="14"/>
      <c r="P16142" s="13"/>
    </row>
    <row r="16143">
      <c r="L16143" s="13"/>
      <c r="M16143" s="14"/>
      <c r="N16143" s="14"/>
      <c r="O16143" s="14"/>
      <c r="P16143" s="13"/>
    </row>
    <row r="16144">
      <c r="L16144" s="13"/>
      <c r="M16144" s="14"/>
      <c r="N16144" s="14"/>
      <c r="O16144" s="14"/>
      <c r="P16144" s="13"/>
    </row>
    <row r="16145">
      <c r="L16145" s="13"/>
      <c r="M16145" s="14"/>
      <c r="N16145" s="14"/>
      <c r="O16145" s="14"/>
      <c r="P16145" s="13"/>
    </row>
    <row r="16146">
      <c r="L16146" s="13"/>
      <c r="M16146" s="14"/>
      <c r="N16146" s="14"/>
      <c r="O16146" s="14"/>
      <c r="P16146" s="13"/>
    </row>
    <row r="16147">
      <c r="L16147" s="13"/>
      <c r="M16147" s="14"/>
      <c r="N16147" s="14"/>
      <c r="O16147" s="14"/>
      <c r="P16147" s="13"/>
    </row>
    <row r="16148">
      <c r="L16148" s="13"/>
      <c r="M16148" s="14"/>
      <c r="N16148" s="14"/>
      <c r="O16148" s="14"/>
      <c r="P16148" s="13"/>
    </row>
    <row r="16149">
      <c r="L16149" s="13"/>
      <c r="M16149" s="14"/>
      <c r="N16149" s="14"/>
      <c r="O16149" s="14"/>
      <c r="P16149" s="13"/>
    </row>
    <row r="16150">
      <c r="L16150" s="13"/>
      <c r="M16150" s="14"/>
      <c r="N16150" s="14"/>
      <c r="O16150" s="14"/>
      <c r="P16150" s="13"/>
    </row>
    <row r="16151">
      <c r="L16151" s="13"/>
      <c r="M16151" s="14"/>
      <c r="N16151" s="14"/>
      <c r="O16151" s="14"/>
      <c r="P16151" s="13"/>
    </row>
    <row r="16152">
      <c r="L16152" s="13"/>
      <c r="M16152" s="14"/>
      <c r="N16152" s="14"/>
      <c r="O16152" s="14"/>
      <c r="P16152" s="13"/>
    </row>
    <row r="16153">
      <c r="L16153" s="13"/>
      <c r="M16153" s="14"/>
      <c r="N16153" s="14"/>
      <c r="O16153" s="14"/>
      <c r="P16153" s="13"/>
    </row>
    <row r="16154">
      <c r="L16154" s="13"/>
      <c r="M16154" s="14"/>
      <c r="N16154" s="14"/>
      <c r="O16154" s="14"/>
      <c r="P16154" s="13"/>
    </row>
    <row r="16155">
      <c r="L16155" s="13"/>
      <c r="M16155" s="14"/>
      <c r="N16155" s="14"/>
      <c r="O16155" s="14"/>
      <c r="P16155" s="13"/>
    </row>
    <row r="16156">
      <c r="L16156" s="13"/>
      <c r="M16156" s="14"/>
      <c r="N16156" s="14"/>
      <c r="O16156" s="14"/>
      <c r="P16156" s="13"/>
    </row>
    <row r="16157">
      <c r="L16157" s="13"/>
      <c r="M16157" s="14"/>
      <c r="N16157" s="14"/>
      <c r="O16157" s="14"/>
      <c r="P16157" s="13"/>
    </row>
    <row r="16158">
      <c r="L16158" s="13"/>
      <c r="M16158" s="14"/>
      <c r="N16158" s="14"/>
      <c r="O16158" s="14"/>
      <c r="P16158" s="13"/>
    </row>
    <row r="16159">
      <c r="L16159" s="13"/>
      <c r="M16159" s="14"/>
      <c r="N16159" s="14"/>
      <c r="O16159" s="14"/>
      <c r="P16159" s="13"/>
    </row>
    <row r="16160">
      <c r="L16160" s="13"/>
      <c r="M16160" s="14"/>
      <c r="N16160" s="14"/>
      <c r="O16160" s="14"/>
      <c r="P16160" s="13"/>
    </row>
    <row r="16161">
      <c r="L16161" s="13"/>
      <c r="M16161" s="14"/>
      <c r="N16161" s="14"/>
      <c r="O16161" s="14"/>
      <c r="P16161" s="13"/>
    </row>
    <row r="16162">
      <c r="L16162" s="13"/>
      <c r="M16162" s="14"/>
      <c r="N16162" s="14"/>
      <c r="O16162" s="14"/>
      <c r="P16162" s="13"/>
    </row>
    <row r="16163">
      <c r="L16163" s="13"/>
      <c r="M16163" s="14"/>
      <c r="N16163" s="14"/>
      <c r="O16163" s="14"/>
      <c r="P16163" s="13"/>
    </row>
    <row r="16164">
      <c r="L16164" s="13"/>
      <c r="M16164" s="14"/>
      <c r="N16164" s="14"/>
      <c r="O16164" s="14"/>
      <c r="P16164" s="13"/>
    </row>
    <row r="16165">
      <c r="L16165" s="13"/>
      <c r="M16165" s="14"/>
      <c r="N16165" s="14"/>
      <c r="O16165" s="14"/>
      <c r="P16165" s="13"/>
    </row>
    <row r="16166">
      <c r="L16166" s="13"/>
      <c r="M16166" s="14"/>
      <c r="N16166" s="14"/>
      <c r="O16166" s="14"/>
      <c r="P16166" s="13"/>
    </row>
    <row r="16167">
      <c r="L16167" s="13"/>
      <c r="M16167" s="14"/>
      <c r="N16167" s="14"/>
      <c r="O16167" s="14"/>
      <c r="P16167" s="13"/>
    </row>
    <row r="16168">
      <c r="L16168" s="13"/>
      <c r="M16168" s="14"/>
      <c r="N16168" s="14"/>
      <c r="O16168" s="14"/>
      <c r="P16168" s="13"/>
    </row>
    <row r="16169">
      <c r="L16169" s="13"/>
      <c r="M16169" s="14"/>
      <c r="N16169" s="14"/>
      <c r="O16169" s="14"/>
      <c r="P16169" s="13"/>
    </row>
    <row r="16170">
      <c r="L16170" s="13"/>
      <c r="M16170" s="14"/>
      <c r="N16170" s="14"/>
      <c r="O16170" s="14"/>
      <c r="P16170" s="13"/>
    </row>
    <row r="16171">
      <c r="L16171" s="13"/>
      <c r="M16171" s="14"/>
      <c r="N16171" s="14"/>
      <c r="O16171" s="14"/>
      <c r="P16171" s="13"/>
    </row>
    <row r="16172">
      <c r="L16172" s="13"/>
      <c r="M16172" s="14"/>
      <c r="N16172" s="14"/>
      <c r="O16172" s="14"/>
      <c r="P16172" s="13"/>
    </row>
    <row r="16173">
      <c r="L16173" s="13"/>
      <c r="M16173" s="14"/>
      <c r="N16173" s="14"/>
      <c r="O16173" s="14"/>
      <c r="P16173" s="13"/>
    </row>
    <row r="16174">
      <c r="L16174" s="13"/>
      <c r="M16174" s="14"/>
      <c r="N16174" s="14"/>
      <c r="O16174" s="14"/>
      <c r="P16174" s="13"/>
    </row>
    <row r="16175">
      <c r="L16175" s="13"/>
      <c r="M16175" s="14"/>
      <c r="N16175" s="14"/>
      <c r="O16175" s="14"/>
      <c r="P16175" s="13"/>
    </row>
    <row r="16176">
      <c r="L16176" s="13"/>
      <c r="M16176" s="14"/>
      <c r="N16176" s="14"/>
      <c r="O16176" s="14"/>
      <c r="P16176" s="13"/>
    </row>
    <row r="16177">
      <c r="L16177" s="13"/>
      <c r="M16177" s="14"/>
      <c r="N16177" s="14"/>
      <c r="O16177" s="14"/>
      <c r="P16177" s="13"/>
    </row>
    <row r="16178">
      <c r="L16178" s="13"/>
      <c r="M16178" s="14"/>
      <c r="N16178" s="14"/>
      <c r="O16178" s="14"/>
      <c r="P16178" s="13"/>
    </row>
    <row r="16179">
      <c r="L16179" s="13"/>
      <c r="M16179" s="14"/>
      <c r="N16179" s="14"/>
      <c r="O16179" s="14"/>
      <c r="P16179" s="13"/>
    </row>
    <row r="16180">
      <c r="L16180" s="13"/>
      <c r="M16180" s="14"/>
      <c r="N16180" s="14"/>
      <c r="O16180" s="14"/>
      <c r="P16180" s="13"/>
    </row>
    <row r="16181">
      <c r="L16181" s="13"/>
      <c r="M16181" s="14"/>
      <c r="N16181" s="14"/>
      <c r="O16181" s="14"/>
      <c r="P16181" s="13"/>
    </row>
    <row r="16182">
      <c r="L16182" s="13"/>
      <c r="M16182" s="14"/>
      <c r="N16182" s="14"/>
      <c r="O16182" s="14"/>
      <c r="P16182" s="13"/>
    </row>
    <row r="16183">
      <c r="L16183" s="13"/>
      <c r="M16183" s="14"/>
      <c r="N16183" s="14"/>
      <c r="O16183" s="14"/>
      <c r="P16183" s="13"/>
    </row>
    <row r="16184">
      <c r="L16184" s="13"/>
      <c r="M16184" s="14"/>
      <c r="N16184" s="14"/>
      <c r="O16184" s="14"/>
      <c r="P16184" s="13"/>
    </row>
    <row r="16185">
      <c r="L16185" s="13"/>
      <c r="M16185" s="14"/>
      <c r="N16185" s="14"/>
      <c r="O16185" s="14"/>
      <c r="P16185" s="13"/>
    </row>
    <row r="16186">
      <c r="L16186" s="13"/>
      <c r="M16186" s="14"/>
      <c r="N16186" s="14"/>
      <c r="O16186" s="14"/>
      <c r="P16186" s="13"/>
    </row>
    <row r="16187">
      <c r="L16187" s="13"/>
      <c r="M16187" s="14"/>
      <c r="N16187" s="14"/>
      <c r="O16187" s="14"/>
      <c r="P16187" s="13"/>
    </row>
    <row r="16188">
      <c r="L16188" s="13"/>
      <c r="M16188" s="14"/>
      <c r="N16188" s="14"/>
      <c r="O16188" s="14"/>
      <c r="P16188" s="13"/>
    </row>
    <row r="16189">
      <c r="L16189" s="13"/>
      <c r="M16189" s="14"/>
      <c r="N16189" s="14"/>
      <c r="O16189" s="14"/>
      <c r="P16189" s="13"/>
    </row>
    <row r="16190">
      <c r="L16190" s="13"/>
      <c r="M16190" s="14"/>
      <c r="N16190" s="14"/>
      <c r="O16190" s="14"/>
      <c r="P16190" s="13"/>
    </row>
    <row r="16191">
      <c r="L16191" s="13"/>
      <c r="M16191" s="14"/>
      <c r="N16191" s="14"/>
      <c r="O16191" s="14"/>
      <c r="P16191" s="13"/>
    </row>
    <row r="16192">
      <c r="L16192" s="13"/>
      <c r="M16192" s="14"/>
      <c r="N16192" s="14"/>
      <c r="O16192" s="14"/>
      <c r="P16192" s="13"/>
    </row>
    <row r="16193">
      <c r="L16193" s="13"/>
      <c r="M16193" s="14"/>
      <c r="N16193" s="14"/>
      <c r="O16193" s="14"/>
      <c r="P16193" s="13"/>
    </row>
    <row r="16194">
      <c r="L16194" s="13"/>
      <c r="M16194" s="14"/>
      <c r="N16194" s="14"/>
      <c r="O16194" s="14"/>
      <c r="P16194" s="13"/>
    </row>
    <row r="16195">
      <c r="L16195" s="13"/>
      <c r="M16195" s="14"/>
      <c r="N16195" s="14"/>
      <c r="O16195" s="14"/>
      <c r="P16195" s="13"/>
    </row>
    <row r="16196">
      <c r="L16196" s="13"/>
      <c r="M16196" s="14"/>
      <c r="N16196" s="14"/>
      <c r="O16196" s="14"/>
      <c r="P16196" s="13"/>
    </row>
    <row r="16197">
      <c r="L16197" s="13"/>
      <c r="M16197" s="14"/>
      <c r="N16197" s="14"/>
      <c r="O16197" s="14"/>
      <c r="P16197" s="13"/>
    </row>
    <row r="16198">
      <c r="L16198" s="13"/>
      <c r="M16198" s="14"/>
      <c r="N16198" s="14"/>
      <c r="O16198" s="14"/>
      <c r="P16198" s="13"/>
    </row>
    <row r="16199">
      <c r="L16199" s="13"/>
      <c r="M16199" s="14"/>
      <c r="N16199" s="14"/>
      <c r="O16199" s="14"/>
      <c r="P16199" s="13"/>
    </row>
    <row r="16200">
      <c r="L16200" s="13"/>
      <c r="M16200" s="14"/>
      <c r="N16200" s="14"/>
      <c r="O16200" s="14"/>
      <c r="P16200" s="13"/>
    </row>
    <row r="16201">
      <c r="L16201" s="13"/>
      <c r="M16201" s="14"/>
      <c r="N16201" s="14"/>
      <c r="O16201" s="14"/>
      <c r="P16201" s="13"/>
    </row>
    <row r="16202">
      <c r="L16202" s="13"/>
      <c r="M16202" s="14"/>
      <c r="N16202" s="14"/>
      <c r="O16202" s="14"/>
      <c r="P16202" s="13"/>
    </row>
    <row r="16203">
      <c r="L16203" s="13"/>
      <c r="M16203" s="14"/>
      <c r="N16203" s="14"/>
      <c r="O16203" s="14"/>
      <c r="P16203" s="13"/>
    </row>
    <row r="16204">
      <c r="L16204" s="13"/>
      <c r="M16204" s="14"/>
      <c r="N16204" s="14"/>
      <c r="O16204" s="14"/>
      <c r="P16204" s="13"/>
    </row>
    <row r="16205">
      <c r="L16205" s="13"/>
      <c r="M16205" s="14"/>
      <c r="N16205" s="14"/>
      <c r="O16205" s="14"/>
      <c r="P16205" s="13"/>
    </row>
    <row r="16206">
      <c r="L16206" s="13"/>
      <c r="M16206" s="14"/>
      <c r="N16206" s="14"/>
      <c r="O16206" s="14"/>
      <c r="P16206" s="13"/>
    </row>
    <row r="16207">
      <c r="L16207" s="13"/>
      <c r="M16207" s="14"/>
      <c r="N16207" s="14"/>
      <c r="O16207" s="14"/>
      <c r="P16207" s="13"/>
    </row>
    <row r="16208">
      <c r="L16208" s="13"/>
      <c r="M16208" s="14"/>
      <c r="N16208" s="14"/>
      <c r="O16208" s="14"/>
      <c r="P16208" s="13"/>
    </row>
    <row r="16209">
      <c r="L16209" s="13"/>
      <c r="M16209" s="14"/>
      <c r="N16209" s="14"/>
      <c r="O16209" s="14"/>
      <c r="P16209" s="13"/>
    </row>
    <row r="16210">
      <c r="L16210" s="13"/>
      <c r="M16210" s="14"/>
      <c r="N16210" s="14"/>
      <c r="O16210" s="14"/>
      <c r="P16210" s="13"/>
    </row>
    <row r="16211">
      <c r="L16211" s="13"/>
      <c r="M16211" s="14"/>
      <c r="N16211" s="14"/>
      <c r="O16211" s="14"/>
      <c r="P16211" s="13"/>
    </row>
    <row r="16212">
      <c r="L16212" s="13"/>
      <c r="M16212" s="14"/>
      <c r="N16212" s="14"/>
      <c r="O16212" s="14"/>
      <c r="P16212" s="13"/>
    </row>
    <row r="16213">
      <c r="L16213" s="13"/>
      <c r="M16213" s="14"/>
      <c r="N16213" s="14"/>
      <c r="O16213" s="14"/>
      <c r="P16213" s="13"/>
    </row>
    <row r="16214">
      <c r="L16214" s="13"/>
      <c r="M16214" s="14"/>
      <c r="N16214" s="14"/>
      <c r="O16214" s="14"/>
      <c r="P16214" s="13"/>
    </row>
    <row r="16215">
      <c r="L16215" s="13"/>
      <c r="M16215" s="14"/>
      <c r="N16215" s="14"/>
      <c r="O16215" s="14"/>
      <c r="P16215" s="13"/>
    </row>
    <row r="16216">
      <c r="L16216" s="13"/>
      <c r="M16216" s="14"/>
      <c r="N16216" s="14"/>
      <c r="O16216" s="14"/>
      <c r="P16216" s="13"/>
    </row>
    <row r="16217">
      <c r="L16217" s="13"/>
      <c r="M16217" s="14"/>
      <c r="N16217" s="14"/>
      <c r="O16217" s="14"/>
      <c r="P16217" s="13"/>
    </row>
    <row r="16218">
      <c r="L16218" s="13"/>
      <c r="M16218" s="14"/>
      <c r="N16218" s="14"/>
      <c r="O16218" s="14"/>
      <c r="P16218" s="13"/>
    </row>
    <row r="16219">
      <c r="L16219" s="13"/>
      <c r="M16219" s="14"/>
      <c r="N16219" s="14"/>
      <c r="O16219" s="14"/>
      <c r="P16219" s="13"/>
    </row>
    <row r="16220">
      <c r="L16220" s="13"/>
      <c r="M16220" s="14"/>
      <c r="N16220" s="14"/>
      <c r="O16220" s="14"/>
      <c r="P16220" s="13"/>
    </row>
    <row r="16221">
      <c r="L16221" s="13"/>
      <c r="M16221" s="14"/>
      <c r="N16221" s="14"/>
      <c r="O16221" s="14"/>
      <c r="P16221" s="13"/>
    </row>
    <row r="16222">
      <c r="L16222" s="13"/>
      <c r="M16222" s="14"/>
      <c r="N16222" s="14"/>
      <c r="O16222" s="14"/>
      <c r="P16222" s="13"/>
    </row>
    <row r="16223">
      <c r="L16223" s="13"/>
      <c r="M16223" s="14"/>
      <c r="N16223" s="14"/>
      <c r="O16223" s="14"/>
      <c r="P16223" s="13"/>
    </row>
    <row r="16224">
      <c r="L16224" s="13"/>
      <c r="M16224" s="14"/>
      <c r="N16224" s="14"/>
      <c r="O16224" s="14"/>
      <c r="P16224" s="13"/>
    </row>
    <row r="16225">
      <c r="L16225" s="13"/>
      <c r="M16225" s="14"/>
      <c r="N16225" s="14"/>
      <c r="O16225" s="14"/>
      <c r="P16225" s="13"/>
    </row>
    <row r="16226">
      <c r="L16226" s="13"/>
      <c r="M16226" s="14"/>
      <c r="N16226" s="14"/>
      <c r="O16226" s="14"/>
      <c r="P16226" s="13"/>
    </row>
    <row r="16227">
      <c r="L16227" s="13"/>
      <c r="M16227" s="14"/>
      <c r="N16227" s="14"/>
      <c r="O16227" s="14"/>
      <c r="P16227" s="13"/>
    </row>
    <row r="16228">
      <c r="L16228" s="13"/>
      <c r="M16228" s="14"/>
      <c r="N16228" s="14"/>
      <c r="O16228" s="14"/>
      <c r="P16228" s="13"/>
    </row>
    <row r="16229">
      <c r="L16229" s="13"/>
      <c r="M16229" s="14"/>
      <c r="N16229" s="14"/>
      <c r="O16229" s="14"/>
      <c r="P16229" s="13"/>
    </row>
    <row r="16230">
      <c r="L16230" s="13"/>
      <c r="M16230" s="14"/>
      <c r="N16230" s="14"/>
      <c r="O16230" s="14"/>
      <c r="P16230" s="13"/>
    </row>
    <row r="16231">
      <c r="L16231" s="13"/>
      <c r="M16231" s="14"/>
      <c r="N16231" s="14"/>
      <c r="O16231" s="14"/>
      <c r="P16231" s="13"/>
    </row>
    <row r="16232">
      <c r="L16232" s="13"/>
      <c r="M16232" s="14"/>
      <c r="N16232" s="14"/>
      <c r="O16232" s="14"/>
      <c r="P16232" s="13"/>
    </row>
    <row r="16233">
      <c r="L16233" s="13"/>
      <c r="M16233" s="14"/>
      <c r="N16233" s="14"/>
      <c r="O16233" s="14"/>
      <c r="P16233" s="13"/>
    </row>
    <row r="16234">
      <c r="L16234" s="13"/>
      <c r="M16234" s="14"/>
      <c r="N16234" s="14"/>
      <c r="O16234" s="14"/>
      <c r="P16234" s="13"/>
    </row>
    <row r="16235">
      <c r="L16235" s="13"/>
      <c r="M16235" s="14"/>
      <c r="N16235" s="14"/>
      <c r="O16235" s="14"/>
      <c r="P16235" s="13"/>
    </row>
    <row r="16236">
      <c r="L16236" s="13"/>
      <c r="M16236" s="14"/>
      <c r="N16236" s="14"/>
      <c r="O16236" s="14"/>
      <c r="P16236" s="13"/>
    </row>
    <row r="16237">
      <c r="L16237" s="13"/>
      <c r="M16237" s="14"/>
      <c r="N16237" s="14"/>
      <c r="O16237" s="14"/>
      <c r="P16237" s="13"/>
    </row>
    <row r="16238">
      <c r="L16238" s="13"/>
      <c r="M16238" s="14"/>
      <c r="N16238" s="14"/>
      <c r="O16238" s="14"/>
      <c r="P16238" s="13"/>
    </row>
    <row r="16239">
      <c r="L16239" s="13"/>
      <c r="M16239" s="14"/>
      <c r="N16239" s="14"/>
      <c r="O16239" s="14"/>
      <c r="P16239" s="13"/>
    </row>
    <row r="16240">
      <c r="L16240" s="13"/>
      <c r="M16240" s="14"/>
      <c r="N16240" s="14"/>
      <c r="O16240" s="14"/>
      <c r="P16240" s="13"/>
    </row>
    <row r="16241">
      <c r="L16241" s="13"/>
      <c r="M16241" s="14"/>
      <c r="N16241" s="14"/>
      <c r="O16241" s="14"/>
      <c r="P16241" s="13"/>
    </row>
    <row r="16242">
      <c r="L16242" s="13"/>
      <c r="M16242" s="14"/>
      <c r="N16242" s="14"/>
      <c r="O16242" s="14"/>
      <c r="P16242" s="13"/>
    </row>
    <row r="16243">
      <c r="L16243" s="13"/>
      <c r="M16243" s="14"/>
      <c r="N16243" s="14"/>
      <c r="O16243" s="14"/>
      <c r="P16243" s="13"/>
    </row>
    <row r="16244">
      <c r="L16244" s="13"/>
      <c r="M16244" s="14"/>
      <c r="N16244" s="14"/>
      <c r="O16244" s="14"/>
      <c r="P16244" s="13"/>
    </row>
    <row r="16245">
      <c r="L16245" s="13"/>
      <c r="M16245" s="14"/>
      <c r="N16245" s="14"/>
      <c r="O16245" s="14"/>
      <c r="P16245" s="13"/>
    </row>
    <row r="16246">
      <c r="L16246" s="13"/>
      <c r="M16246" s="14"/>
      <c r="N16246" s="14"/>
      <c r="O16246" s="14"/>
      <c r="P16246" s="13"/>
    </row>
    <row r="16247">
      <c r="L16247" s="13"/>
      <c r="M16247" s="14"/>
      <c r="N16247" s="14"/>
      <c r="O16247" s="14"/>
      <c r="P16247" s="13"/>
    </row>
    <row r="16248">
      <c r="L16248" s="13"/>
      <c r="M16248" s="14"/>
      <c r="N16248" s="14"/>
      <c r="O16248" s="14"/>
      <c r="P16248" s="13"/>
    </row>
    <row r="16249">
      <c r="L16249" s="13"/>
      <c r="M16249" s="14"/>
      <c r="N16249" s="14"/>
      <c r="O16249" s="14"/>
      <c r="P16249" s="13"/>
    </row>
    <row r="16250">
      <c r="L16250" s="13"/>
      <c r="M16250" s="14"/>
      <c r="N16250" s="14"/>
      <c r="O16250" s="14"/>
      <c r="P16250" s="13"/>
    </row>
    <row r="16251">
      <c r="L16251" s="13"/>
      <c r="M16251" s="14"/>
      <c r="N16251" s="14"/>
      <c r="O16251" s="14"/>
      <c r="P16251" s="13"/>
    </row>
    <row r="16252">
      <c r="L16252" s="13"/>
      <c r="M16252" s="14"/>
      <c r="N16252" s="14"/>
      <c r="O16252" s="14"/>
      <c r="P16252" s="13"/>
    </row>
    <row r="16253">
      <c r="L16253" s="13"/>
      <c r="M16253" s="14"/>
      <c r="N16253" s="14"/>
      <c r="O16253" s="14"/>
      <c r="P16253" s="13"/>
    </row>
    <row r="16254">
      <c r="L16254" s="13"/>
      <c r="M16254" s="14"/>
      <c r="N16254" s="14"/>
      <c r="O16254" s="14"/>
      <c r="P16254" s="13"/>
    </row>
    <row r="16255">
      <c r="L16255" s="13"/>
      <c r="M16255" s="14"/>
      <c r="N16255" s="14"/>
      <c r="O16255" s="14"/>
      <c r="P16255" s="13"/>
    </row>
    <row r="16256">
      <c r="L16256" s="13"/>
      <c r="M16256" s="14"/>
      <c r="N16256" s="14"/>
      <c r="O16256" s="14"/>
      <c r="P16256" s="13"/>
    </row>
    <row r="16257">
      <c r="L16257" s="13"/>
      <c r="M16257" s="14"/>
      <c r="N16257" s="14"/>
      <c r="O16257" s="14"/>
      <c r="P16257" s="13"/>
    </row>
    <row r="16258">
      <c r="L16258" s="13"/>
      <c r="M16258" s="14"/>
      <c r="N16258" s="14"/>
      <c r="O16258" s="14"/>
      <c r="P16258" s="13"/>
    </row>
    <row r="16259">
      <c r="L16259" s="13"/>
      <c r="M16259" s="14"/>
      <c r="N16259" s="14"/>
      <c r="O16259" s="14"/>
      <c r="P16259" s="13"/>
    </row>
    <row r="16260">
      <c r="L16260" s="13"/>
      <c r="M16260" s="14"/>
      <c r="N16260" s="14"/>
      <c r="O16260" s="14"/>
      <c r="P16260" s="13"/>
    </row>
    <row r="16261">
      <c r="L16261" s="13"/>
      <c r="M16261" s="14"/>
      <c r="N16261" s="14"/>
      <c r="O16261" s="14"/>
      <c r="P16261" s="13"/>
    </row>
    <row r="16262">
      <c r="L16262" s="13"/>
      <c r="M16262" s="14"/>
      <c r="N16262" s="14"/>
      <c r="O16262" s="14"/>
      <c r="P16262" s="13"/>
    </row>
    <row r="16263">
      <c r="L16263" s="13"/>
      <c r="M16263" s="14"/>
      <c r="N16263" s="14"/>
      <c r="O16263" s="14"/>
      <c r="P16263" s="13"/>
    </row>
    <row r="16264">
      <c r="L16264" s="13"/>
      <c r="M16264" s="14"/>
      <c r="N16264" s="14"/>
      <c r="O16264" s="14"/>
      <c r="P16264" s="13"/>
    </row>
    <row r="16265">
      <c r="L16265" s="13"/>
      <c r="M16265" s="14"/>
      <c r="N16265" s="14"/>
      <c r="O16265" s="14"/>
      <c r="P16265" s="13"/>
    </row>
    <row r="16266">
      <c r="L16266" s="13"/>
      <c r="M16266" s="14"/>
      <c r="N16266" s="14"/>
      <c r="O16266" s="14"/>
      <c r="P16266" s="13"/>
    </row>
    <row r="16267">
      <c r="L16267" s="13"/>
      <c r="M16267" s="14"/>
      <c r="N16267" s="14"/>
      <c r="O16267" s="14"/>
      <c r="P16267" s="13"/>
    </row>
    <row r="16268">
      <c r="L16268" s="13"/>
      <c r="M16268" s="14"/>
      <c r="N16268" s="14"/>
      <c r="O16268" s="14"/>
      <c r="P16268" s="13"/>
    </row>
    <row r="16269">
      <c r="L16269" s="13"/>
      <c r="M16269" s="14"/>
      <c r="N16269" s="14"/>
      <c r="O16269" s="14"/>
      <c r="P16269" s="13"/>
    </row>
    <row r="16270">
      <c r="L16270" s="13"/>
      <c r="M16270" s="14"/>
      <c r="N16270" s="14"/>
      <c r="O16270" s="14"/>
      <c r="P16270" s="13"/>
    </row>
    <row r="16271">
      <c r="L16271" s="13"/>
      <c r="M16271" s="14"/>
      <c r="N16271" s="14"/>
      <c r="O16271" s="14"/>
      <c r="P16271" s="13"/>
    </row>
    <row r="16272">
      <c r="L16272" s="13"/>
      <c r="M16272" s="14"/>
      <c r="N16272" s="14"/>
      <c r="O16272" s="14"/>
      <c r="P16272" s="13"/>
    </row>
    <row r="16273">
      <c r="L16273" s="13"/>
      <c r="M16273" s="14"/>
      <c r="N16273" s="14"/>
      <c r="O16273" s="14"/>
      <c r="P16273" s="13"/>
    </row>
    <row r="16274">
      <c r="L16274" s="13"/>
      <c r="M16274" s="14"/>
      <c r="N16274" s="14"/>
      <c r="O16274" s="14"/>
      <c r="P16274" s="13"/>
    </row>
    <row r="16275">
      <c r="L16275" s="13"/>
      <c r="M16275" s="14"/>
      <c r="N16275" s="14"/>
      <c r="O16275" s="14"/>
      <c r="P16275" s="13"/>
    </row>
    <row r="16276">
      <c r="L16276" s="13"/>
      <c r="M16276" s="14"/>
      <c r="N16276" s="14"/>
      <c r="O16276" s="14"/>
      <c r="P16276" s="13"/>
    </row>
    <row r="16277">
      <c r="L16277" s="13"/>
      <c r="M16277" s="14"/>
      <c r="N16277" s="14"/>
      <c r="O16277" s="14"/>
      <c r="P16277" s="13"/>
    </row>
    <row r="16278">
      <c r="L16278" s="13"/>
      <c r="M16278" s="14"/>
      <c r="N16278" s="14"/>
      <c r="O16278" s="14"/>
      <c r="P16278" s="13"/>
    </row>
    <row r="16279">
      <c r="L16279" s="13"/>
      <c r="M16279" s="14"/>
      <c r="N16279" s="14"/>
      <c r="O16279" s="14"/>
      <c r="P16279" s="13"/>
    </row>
    <row r="16280">
      <c r="L16280" s="13"/>
      <c r="M16280" s="14"/>
      <c r="N16280" s="14"/>
      <c r="O16280" s="14"/>
      <c r="P16280" s="13"/>
    </row>
    <row r="16281">
      <c r="L16281" s="13"/>
      <c r="M16281" s="14"/>
      <c r="N16281" s="14"/>
      <c r="O16281" s="14"/>
      <c r="P16281" s="13"/>
    </row>
    <row r="16282">
      <c r="L16282" s="13"/>
      <c r="M16282" s="14"/>
      <c r="N16282" s="14"/>
      <c r="O16282" s="14"/>
      <c r="P16282" s="13"/>
    </row>
    <row r="16283">
      <c r="L16283" s="13"/>
      <c r="M16283" s="14"/>
      <c r="N16283" s="14"/>
      <c r="O16283" s="14"/>
      <c r="P16283" s="13"/>
    </row>
    <row r="16284">
      <c r="L16284" s="13"/>
      <c r="M16284" s="14"/>
      <c r="N16284" s="14"/>
      <c r="O16284" s="14"/>
      <c r="P16284" s="13"/>
    </row>
    <row r="16285">
      <c r="L16285" s="13"/>
      <c r="M16285" s="14"/>
      <c r="N16285" s="14"/>
      <c r="O16285" s="14"/>
      <c r="P16285" s="13"/>
    </row>
    <row r="16286">
      <c r="L16286" s="13"/>
      <c r="M16286" s="14"/>
      <c r="N16286" s="14"/>
      <c r="O16286" s="14"/>
      <c r="P16286" s="13"/>
    </row>
    <row r="16287">
      <c r="L16287" s="13"/>
      <c r="M16287" s="14"/>
      <c r="N16287" s="14"/>
      <c r="O16287" s="14"/>
      <c r="P16287" s="13"/>
    </row>
    <row r="16288">
      <c r="L16288" s="13"/>
      <c r="M16288" s="14"/>
      <c r="N16288" s="14"/>
      <c r="O16288" s="14"/>
      <c r="P16288" s="13"/>
    </row>
    <row r="16289">
      <c r="L16289" s="13"/>
      <c r="M16289" s="14"/>
      <c r="N16289" s="14"/>
      <c r="O16289" s="14"/>
      <c r="P16289" s="13"/>
    </row>
    <row r="16290">
      <c r="L16290" s="13"/>
      <c r="M16290" s="14"/>
      <c r="N16290" s="14"/>
      <c r="O16290" s="14"/>
      <c r="P16290" s="13"/>
    </row>
    <row r="16291">
      <c r="L16291" s="13"/>
      <c r="M16291" s="14"/>
      <c r="N16291" s="14"/>
      <c r="O16291" s="14"/>
      <c r="P16291" s="13"/>
    </row>
    <row r="16292">
      <c r="L16292" s="13"/>
      <c r="M16292" s="14"/>
      <c r="N16292" s="14"/>
      <c r="O16292" s="14"/>
      <c r="P16292" s="13"/>
    </row>
    <row r="16293">
      <c r="L16293" s="13"/>
      <c r="M16293" s="14"/>
      <c r="N16293" s="14"/>
      <c r="O16293" s="14"/>
      <c r="P16293" s="13"/>
    </row>
    <row r="16294">
      <c r="L16294" s="13"/>
      <c r="M16294" s="14"/>
      <c r="N16294" s="14"/>
      <c r="O16294" s="14"/>
      <c r="P16294" s="13"/>
    </row>
    <row r="16295">
      <c r="L16295" s="13"/>
      <c r="M16295" s="14"/>
      <c r="N16295" s="14"/>
      <c r="O16295" s="14"/>
      <c r="P16295" s="13"/>
    </row>
    <row r="16296">
      <c r="L16296" s="13"/>
      <c r="M16296" s="14"/>
      <c r="N16296" s="14"/>
      <c r="O16296" s="14"/>
      <c r="P16296" s="13"/>
    </row>
    <row r="16297">
      <c r="L16297" s="13"/>
      <c r="M16297" s="14"/>
      <c r="N16297" s="14"/>
      <c r="O16297" s="14"/>
      <c r="P16297" s="13"/>
    </row>
    <row r="16298">
      <c r="L16298" s="13"/>
      <c r="M16298" s="14"/>
      <c r="N16298" s="14"/>
      <c r="O16298" s="14"/>
      <c r="P16298" s="13"/>
    </row>
    <row r="16299">
      <c r="L16299" s="13"/>
      <c r="M16299" s="14"/>
      <c r="N16299" s="14"/>
      <c r="O16299" s="14"/>
      <c r="P16299" s="13"/>
    </row>
    <row r="16300">
      <c r="L16300" s="13"/>
      <c r="M16300" s="14"/>
      <c r="N16300" s="14"/>
      <c r="O16300" s="14"/>
      <c r="P16300" s="13"/>
    </row>
    <row r="16301">
      <c r="L16301" s="13"/>
      <c r="M16301" s="14"/>
      <c r="N16301" s="14"/>
      <c r="O16301" s="14"/>
      <c r="P16301" s="13"/>
    </row>
    <row r="16302">
      <c r="L16302" s="13"/>
      <c r="M16302" s="14"/>
      <c r="N16302" s="14"/>
      <c r="O16302" s="14"/>
      <c r="P16302" s="13"/>
    </row>
    <row r="16303">
      <c r="L16303" s="13"/>
      <c r="M16303" s="14"/>
      <c r="N16303" s="14"/>
      <c r="O16303" s="14"/>
      <c r="P16303" s="13"/>
    </row>
    <row r="16304">
      <c r="L16304" s="13"/>
      <c r="M16304" s="14"/>
      <c r="N16304" s="14"/>
      <c r="O16304" s="14"/>
      <c r="P16304" s="13"/>
    </row>
    <row r="16305">
      <c r="L16305" s="13"/>
      <c r="M16305" s="14"/>
      <c r="N16305" s="14"/>
      <c r="O16305" s="14"/>
      <c r="P16305" s="13"/>
    </row>
    <row r="16306">
      <c r="L16306" s="13"/>
      <c r="M16306" s="14"/>
      <c r="N16306" s="14"/>
      <c r="O16306" s="14"/>
      <c r="P16306" s="13"/>
    </row>
    <row r="16307">
      <c r="L16307" s="13"/>
      <c r="M16307" s="14"/>
      <c r="N16307" s="14"/>
      <c r="O16307" s="14"/>
      <c r="P16307" s="13"/>
    </row>
    <row r="16308">
      <c r="L16308" s="13"/>
      <c r="M16308" s="14"/>
      <c r="N16308" s="14"/>
      <c r="O16308" s="14"/>
      <c r="P16308" s="13"/>
    </row>
    <row r="16309">
      <c r="L16309" s="13"/>
      <c r="M16309" s="14"/>
      <c r="N16309" s="14"/>
      <c r="O16309" s="14"/>
      <c r="P16309" s="13"/>
    </row>
    <row r="16310">
      <c r="L16310" s="13"/>
      <c r="M16310" s="14"/>
      <c r="N16310" s="14"/>
      <c r="O16310" s="14"/>
      <c r="P16310" s="13"/>
    </row>
    <row r="16311">
      <c r="L16311" s="13"/>
      <c r="M16311" s="14"/>
      <c r="N16311" s="14"/>
      <c r="O16311" s="14"/>
      <c r="P16311" s="13"/>
    </row>
    <row r="16312">
      <c r="L16312" s="13"/>
      <c r="M16312" s="14"/>
      <c r="N16312" s="14"/>
      <c r="O16312" s="14"/>
      <c r="P16312" s="13"/>
    </row>
    <row r="16313">
      <c r="L16313" s="13"/>
      <c r="M16313" s="14"/>
      <c r="N16313" s="14"/>
      <c r="O16313" s="14"/>
      <c r="P16313" s="13"/>
    </row>
    <row r="16314">
      <c r="L16314" s="13"/>
      <c r="M16314" s="14"/>
      <c r="N16314" s="14"/>
      <c r="O16314" s="14"/>
      <c r="P16314" s="13"/>
    </row>
    <row r="16315">
      <c r="L16315" s="13"/>
      <c r="M16315" s="14"/>
      <c r="N16315" s="14"/>
      <c r="O16315" s="14"/>
      <c r="P16315" s="13"/>
    </row>
    <row r="16316">
      <c r="L16316" s="13"/>
      <c r="M16316" s="14"/>
      <c r="N16316" s="14"/>
      <c r="O16316" s="14"/>
      <c r="P16316" s="13"/>
    </row>
    <row r="16317">
      <c r="L16317" s="13"/>
      <c r="M16317" s="14"/>
      <c r="N16317" s="14"/>
      <c r="O16317" s="14"/>
      <c r="P16317" s="13"/>
    </row>
    <row r="16318">
      <c r="L16318" s="13"/>
      <c r="M16318" s="14"/>
      <c r="N16318" s="14"/>
      <c r="O16318" s="14"/>
      <c r="P16318" s="13"/>
    </row>
    <row r="16319">
      <c r="L16319" s="13"/>
      <c r="M16319" s="14"/>
      <c r="N16319" s="14"/>
      <c r="O16319" s="14"/>
      <c r="P16319" s="13"/>
    </row>
    <row r="16320">
      <c r="L16320" s="13"/>
      <c r="M16320" s="14"/>
      <c r="N16320" s="14"/>
      <c r="O16320" s="14"/>
      <c r="P16320" s="13"/>
    </row>
    <row r="16321">
      <c r="L16321" s="13"/>
      <c r="M16321" s="14"/>
      <c r="N16321" s="14"/>
      <c r="O16321" s="14"/>
      <c r="P16321" s="13"/>
    </row>
    <row r="16322">
      <c r="L16322" s="13"/>
      <c r="M16322" s="14"/>
      <c r="N16322" s="14"/>
      <c r="O16322" s="14"/>
      <c r="P16322" s="13"/>
    </row>
    <row r="16323">
      <c r="L16323" s="13"/>
      <c r="M16323" s="14"/>
      <c r="N16323" s="14"/>
      <c r="O16323" s="14"/>
      <c r="P16323" s="13"/>
    </row>
    <row r="16324">
      <c r="L16324" s="13"/>
      <c r="M16324" s="14"/>
      <c r="N16324" s="14"/>
      <c r="O16324" s="14"/>
      <c r="P16324" s="13"/>
    </row>
    <row r="16325">
      <c r="L16325" s="13"/>
      <c r="M16325" s="14"/>
      <c r="N16325" s="14"/>
      <c r="O16325" s="14"/>
      <c r="P16325" s="13"/>
    </row>
    <row r="16326">
      <c r="L16326" s="13"/>
      <c r="M16326" s="14"/>
      <c r="N16326" s="14"/>
      <c r="O16326" s="14"/>
      <c r="P16326" s="13"/>
    </row>
    <row r="16327">
      <c r="L16327" s="13"/>
      <c r="M16327" s="14"/>
      <c r="N16327" s="14"/>
      <c r="O16327" s="14"/>
      <c r="P16327" s="13"/>
    </row>
    <row r="16328">
      <c r="L16328" s="13"/>
      <c r="M16328" s="14"/>
      <c r="N16328" s="14"/>
      <c r="O16328" s="14"/>
      <c r="P16328" s="13"/>
    </row>
    <row r="16329">
      <c r="L16329" s="13"/>
      <c r="M16329" s="14"/>
      <c r="N16329" s="14"/>
      <c r="O16329" s="14"/>
      <c r="P16329" s="13"/>
    </row>
    <row r="16330">
      <c r="L16330" s="13"/>
      <c r="M16330" s="14"/>
      <c r="N16330" s="14"/>
      <c r="O16330" s="14"/>
      <c r="P16330" s="13"/>
    </row>
    <row r="16331">
      <c r="L16331" s="13"/>
      <c r="M16331" s="14"/>
      <c r="N16331" s="14"/>
      <c r="O16331" s="14"/>
      <c r="P16331" s="13"/>
    </row>
    <row r="16332">
      <c r="L16332" s="13"/>
      <c r="M16332" s="14"/>
      <c r="N16332" s="14"/>
      <c r="O16332" s="14"/>
      <c r="P16332" s="13"/>
    </row>
    <row r="16333">
      <c r="L16333" s="13"/>
      <c r="M16333" s="14"/>
      <c r="N16333" s="14"/>
      <c r="O16333" s="14"/>
      <c r="P16333" s="13"/>
    </row>
    <row r="16334">
      <c r="L16334" s="13"/>
      <c r="M16334" s="14"/>
      <c r="N16334" s="14"/>
      <c r="O16334" s="14"/>
      <c r="P16334" s="13"/>
    </row>
    <row r="16335">
      <c r="L16335" s="13"/>
      <c r="M16335" s="14"/>
      <c r="N16335" s="14"/>
      <c r="O16335" s="14"/>
      <c r="P16335" s="13"/>
    </row>
    <row r="16336">
      <c r="L16336" s="13"/>
      <c r="M16336" s="14"/>
      <c r="N16336" s="14"/>
      <c r="O16336" s="14"/>
      <c r="P16336" s="13"/>
    </row>
    <row r="16337">
      <c r="L16337" s="13"/>
      <c r="M16337" s="14"/>
      <c r="N16337" s="14"/>
      <c r="O16337" s="14"/>
      <c r="P16337" s="13"/>
    </row>
    <row r="16338">
      <c r="L16338" s="13"/>
      <c r="M16338" s="14"/>
      <c r="N16338" s="14"/>
      <c r="O16338" s="14"/>
      <c r="P16338" s="13"/>
    </row>
    <row r="16339">
      <c r="L16339" s="13"/>
      <c r="M16339" s="14"/>
      <c r="N16339" s="14"/>
      <c r="O16339" s="14"/>
      <c r="P16339" s="13"/>
    </row>
    <row r="16340">
      <c r="L16340" s="13"/>
      <c r="M16340" s="14"/>
      <c r="N16340" s="14"/>
      <c r="O16340" s="14"/>
      <c r="P16340" s="13"/>
    </row>
    <row r="16341">
      <c r="L16341" s="13"/>
      <c r="M16341" s="14"/>
      <c r="N16341" s="14"/>
      <c r="O16341" s="14"/>
      <c r="P16341" s="13"/>
    </row>
    <row r="16342">
      <c r="L16342" s="13"/>
      <c r="M16342" s="14"/>
      <c r="N16342" s="14"/>
      <c r="O16342" s="14"/>
      <c r="P16342" s="13"/>
    </row>
    <row r="16343">
      <c r="L16343" s="13"/>
      <c r="M16343" s="14"/>
      <c r="N16343" s="14"/>
      <c r="O16343" s="14"/>
      <c r="P16343" s="13"/>
    </row>
    <row r="16344">
      <c r="L16344" s="13"/>
      <c r="M16344" s="14"/>
      <c r="N16344" s="14"/>
      <c r="O16344" s="14"/>
      <c r="P16344" s="13"/>
    </row>
    <row r="16345">
      <c r="L16345" s="13"/>
      <c r="M16345" s="14"/>
      <c r="N16345" s="14"/>
      <c r="O16345" s="14"/>
      <c r="P16345" s="13"/>
    </row>
    <row r="16346">
      <c r="L16346" s="13"/>
      <c r="M16346" s="14"/>
      <c r="N16346" s="14"/>
      <c r="O16346" s="14"/>
      <c r="P16346" s="13"/>
    </row>
    <row r="16347">
      <c r="L16347" s="13"/>
      <c r="M16347" s="14"/>
      <c r="N16347" s="14"/>
      <c r="O16347" s="14"/>
      <c r="P16347" s="13"/>
    </row>
    <row r="16348">
      <c r="L16348" s="13"/>
      <c r="M16348" s="14"/>
      <c r="N16348" s="14"/>
      <c r="O16348" s="14"/>
      <c r="P16348" s="13"/>
    </row>
    <row r="16349">
      <c r="L16349" s="13"/>
      <c r="M16349" s="14"/>
      <c r="N16349" s="14"/>
      <c r="O16349" s="14"/>
      <c r="P16349" s="13"/>
    </row>
    <row r="16350">
      <c r="L16350" s="13"/>
      <c r="M16350" s="14"/>
      <c r="N16350" s="14"/>
      <c r="O16350" s="14"/>
      <c r="P16350" s="13"/>
    </row>
    <row r="16351">
      <c r="L16351" s="13"/>
      <c r="M16351" s="14"/>
      <c r="N16351" s="14"/>
      <c r="O16351" s="14"/>
      <c r="P16351" s="13"/>
    </row>
    <row r="16352">
      <c r="L16352" s="13"/>
      <c r="M16352" s="14"/>
      <c r="N16352" s="14"/>
      <c r="O16352" s="14"/>
      <c r="P16352" s="13"/>
    </row>
    <row r="16353">
      <c r="L16353" s="13"/>
      <c r="M16353" s="14"/>
      <c r="N16353" s="14"/>
      <c r="O16353" s="14"/>
      <c r="P16353" s="13"/>
    </row>
    <row r="16354">
      <c r="L16354" s="13"/>
      <c r="M16354" s="14"/>
      <c r="N16354" s="14"/>
      <c r="O16354" s="14"/>
      <c r="P16354" s="13"/>
    </row>
    <row r="16355">
      <c r="L16355" s="13"/>
      <c r="M16355" s="14"/>
      <c r="N16355" s="14"/>
      <c r="O16355" s="14"/>
      <c r="P16355" s="13"/>
    </row>
    <row r="16356">
      <c r="L16356" s="13"/>
      <c r="M16356" s="14"/>
      <c r="N16356" s="14"/>
      <c r="O16356" s="14"/>
      <c r="P16356" s="13"/>
    </row>
    <row r="16357">
      <c r="L16357" s="13"/>
      <c r="M16357" s="14"/>
      <c r="N16357" s="14"/>
      <c r="O16357" s="14"/>
      <c r="P16357" s="13"/>
    </row>
    <row r="16358">
      <c r="L16358" s="13"/>
      <c r="M16358" s="14"/>
      <c r="N16358" s="14"/>
      <c r="O16358" s="14"/>
      <c r="P16358" s="13"/>
    </row>
    <row r="16359">
      <c r="L16359" s="13"/>
      <c r="M16359" s="14"/>
      <c r="N16359" s="14"/>
      <c r="O16359" s="14"/>
      <c r="P16359" s="13"/>
    </row>
    <row r="16360">
      <c r="L16360" s="13"/>
      <c r="M16360" s="14"/>
      <c r="N16360" s="14"/>
      <c r="O16360" s="14"/>
      <c r="P16360" s="13"/>
    </row>
    <row r="16361">
      <c r="L16361" s="13"/>
      <c r="M16361" s="14"/>
      <c r="N16361" s="14"/>
      <c r="O16361" s="14"/>
      <c r="P16361" s="13"/>
    </row>
    <row r="16362">
      <c r="L16362" s="13"/>
      <c r="M16362" s="14"/>
      <c r="N16362" s="14"/>
      <c r="O16362" s="14"/>
      <c r="P16362" s="13"/>
    </row>
    <row r="16363">
      <c r="L16363" s="13"/>
      <c r="M16363" s="14"/>
      <c r="N16363" s="14"/>
      <c r="O16363" s="14"/>
      <c r="P16363" s="13"/>
    </row>
    <row r="16364">
      <c r="L16364" s="13"/>
      <c r="M16364" s="14"/>
      <c r="N16364" s="14"/>
      <c r="O16364" s="14"/>
      <c r="P16364" s="13"/>
    </row>
    <row r="16365">
      <c r="L16365" s="13"/>
      <c r="M16365" s="14"/>
      <c r="N16365" s="14"/>
      <c r="O16365" s="14"/>
      <c r="P16365" s="13"/>
    </row>
    <row r="16366">
      <c r="L16366" s="13"/>
      <c r="M16366" s="14"/>
      <c r="N16366" s="14"/>
      <c r="O16366" s="14"/>
      <c r="P16366" s="13"/>
    </row>
    <row r="16367">
      <c r="L16367" s="13"/>
      <c r="M16367" s="14"/>
      <c r="N16367" s="14"/>
      <c r="O16367" s="14"/>
      <c r="P16367" s="13"/>
    </row>
    <row r="16368">
      <c r="L16368" s="13"/>
      <c r="M16368" s="14"/>
      <c r="N16368" s="14"/>
      <c r="O16368" s="14"/>
      <c r="P16368" s="13"/>
    </row>
    <row r="16369">
      <c r="L16369" s="13"/>
      <c r="M16369" s="14"/>
      <c r="N16369" s="14"/>
      <c r="O16369" s="14"/>
      <c r="P16369" s="13"/>
    </row>
    <row r="16370">
      <c r="L16370" s="13"/>
      <c r="M16370" s="14"/>
      <c r="N16370" s="14"/>
      <c r="O16370" s="14"/>
      <c r="P16370" s="13"/>
    </row>
    <row r="16371">
      <c r="L16371" s="13"/>
      <c r="M16371" s="14"/>
      <c r="N16371" s="14"/>
      <c r="O16371" s="14"/>
      <c r="P16371" s="13"/>
    </row>
    <row r="16372">
      <c r="L16372" s="13"/>
      <c r="M16372" s="14"/>
      <c r="N16372" s="14"/>
      <c r="O16372" s="14"/>
      <c r="P16372" s="13"/>
    </row>
    <row r="16373">
      <c r="L16373" s="13"/>
      <c r="M16373" s="14"/>
      <c r="N16373" s="14"/>
      <c r="O16373" s="14"/>
      <c r="P16373" s="13"/>
    </row>
    <row r="16374">
      <c r="L16374" s="13"/>
      <c r="M16374" s="14"/>
      <c r="N16374" s="14"/>
      <c r="O16374" s="14"/>
      <c r="P16374" s="13"/>
    </row>
    <row r="16375">
      <c r="L16375" s="13"/>
      <c r="M16375" s="14"/>
      <c r="N16375" s="14"/>
      <c r="O16375" s="14"/>
      <c r="P16375" s="13"/>
    </row>
    <row r="16376">
      <c r="L16376" s="13"/>
      <c r="M16376" s="14"/>
      <c r="N16376" s="14"/>
      <c r="O16376" s="14"/>
      <c r="P16376" s="13"/>
    </row>
    <row r="16377">
      <c r="L16377" s="13"/>
      <c r="M16377" s="14"/>
      <c r="N16377" s="14"/>
      <c r="O16377" s="14"/>
      <c r="P16377" s="13"/>
    </row>
    <row r="16378">
      <c r="L16378" s="13"/>
      <c r="M16378" s="14"/>
      <c r="N16378" s="14"/>
      <c r="O16378" s="14"/>
      <c r="P16378" s="13"/>
    </row>
    <row r="16379">
      <c r="L16379" s="13"/>
      <c r="M16379" s="14"/>
      <c r="N16379" s="14"/>
      <c r="O16379" s="14"/>
      <c r="P16379" s="13"/>
    </row>
    <row r="16380">
      <c r="L16380" s="13"/>
      <c r="M16380" s="14"/>
      <c r="N16380" s="14"/>
      <c r="O16380" s="14"/>
      <c r="P16380" s="13"/>
    </row>
    <row r="16381">
      <c r="L16381" s="13"/>
      <c r="M16381" s="14"/>
      <c r="N16381" s="14"/>
      <c r="O16381" s="14"/>
      <c r="P16381" s="13"/>
    </row>
    <row r="16382">
      <c r="L16382" s="13"/>
      <c r="M16382" s="14"/>
      <c r="N16382" s="14"/>
      <c r="O16382" s="14"/>
      <c r="P16382" s="13"/>
    </row>
    <row r="16383">
      <c r="L16383" s="13"/>
      <c r="M16383" s="14"/>
      <c r="N16383" s="14"/>
      <c r="O16383" s="14"/>
      <c r="P16383" s="13"/>
    </row>
    <row r="16384">
      <c r="L16384" s="13"/>
      <c r="M16384" s="14"/>
      <c r="N16384" s="14"/>
      <c r="O16384" s="14"/>
      <c r="P16384" s="13"/>
    </row>
    <row r="16385">
      <c r="L16385" s="13"/>
      <c r="M16385" s="14"/>
      <c r="N16385" s="14"/>
      <c r="O16385" s="14"/>
      <c r="P16385" s="13"/>
    </row>
    <row r="16386">
      <c r="L16386" s="13"/>
      <c r="M16386" s="14"/>
      <c r="N16386" s="14"/>
      <c r="O16386" s="14"/>
      <c r="P16386" s="13"/>
    </row>
    <row r="16387">
      <c r="L16387" s="13"/>
      <c r="M16387" s="14"/>
      <c r="N16387" s="14"/>
      <c r="O16387" s="14"/>
      <c r="P16387" s="13"/>
    </row>
    <row r="16388">
      <c r="L16388" s="13"/>
      <c r="M16388" s="14"/>
      <c r="N16388" s="14"/>
      <c r="O16388" s="14"/>
      <c r="P16388" s="13"/>
    </row>
    <row r="16389">
      <c r="L16389" s="13"/>
      <c r="M16389" s="14"/>
      <c r="N16389" s="14"/>
      <c r="O16389" s="14"/>
      <c r="P16389" s="13"/>
    </row>
    <row r="16390">
      <c r="L16390" s="13"/>
      <c r="M16390" s="14"/>
      <c r="N16390" s="14"/>
      <c r="O16390" s="14"/>
      <c r="P16390" s="13"/>
    </row>
    <row r="16391">
      <c r="L16391" s="13"/>
      <c r="M16391" s="14"/>
      <c r="N16391" s="14"/>
      <c r="O16391" s="14"/>
      <c r="P16391" s="13"/>
    </row>
    <row r="16392">
      <c r="L16392" s="13"/>
      <c r="M16392" s="14"/>
      <c r="N16392" s="14"/>
      <c r="O16392" s="14"/>
      <c r="P16392" s="13"/>
    </row>
    <row r="16393">
      <c r="L16393" s="13"/>
      <c r="M16393" s="14"/>
      <c r="N16393" s="14"/>
      <c r="O16393" s="14"/>
      <c r="P16393" s="13"/>
    </row>
    <row r="16394">
      <c r="L16394" s="13"/>
      <c r="M16394" s="14"/>
      <c r="N16394" s="14"/>
      <c r="O16394" s="14"/>
      <c r="P16394" s="13"/>
    </row>
    <row r="16395">
      <c r="L16395" s="13"/>
      <c r="M16395" s="14"/>
      <c r="N16395" s="14"/>
      <c r="O16395" s="14"/>
      <c r="P16395" s="13"/>
    </row>
    <row r="16396">
      <c r="L16396" s="13"/>
      <c r="M16396" s="14"/>
      <c r="N16396" s="14"/>
      <c r="O16396" s="14"/>
      <c r="P16396" s="13"/>
    </row>
    <row r="16397">
      <c r="L16397" s="13"/>
      <c r="M16397" s="14"/>
      <c r="N16397" s="14"/>
      <c r="O16397" s="14"/>
      <c r="P16397" s="13"/>
    </row>
    <row r="16398">
      <c r="L16398" s="13"/>
      <c r="M16398" s="14"/>
      <c r="N16398" s="14"/>
      <c r="O16398" s="14"/>
      <c r="P16398" s="13"/>
    </row>
    <row r="16399">
      <c r="L16399" s="13"/>
      <c r="M16399" s="14"/>
      <c r="N16399" s="14"/>
      <c r="O16399" s="14"/>
      <c r="P16399" s="13"/>
    </row>
    <row r="16400">
      <c r="L16400" s="13"/>
      <c r="M16400" s="14"/>
      <c r="N16400" s="14"/>
      <c r="O16400" s="14"/>
      <c r="P16400" s="13"/>
    </row>
    <row r="16401">
      <c r="L16401" s="13"/>
      <c r="M16401" s="14"/>
      <c r="N16401" s="14"/>
      <c r="O16401" s="14"/>
      <c r="P16401" s="13"/>
    </row>
    <row r="16402">
      <c r="L16402" s="13"/>
      <c r="M16402" s="14"/>
      <c r="N16402" s="14"/>
      <c r="O16402" s="14"/>
      <c r="P16402" s="13"/>
    </row>
    <row r="16403">
      <c r="L16403" s="13"/>
      <c r="M16403" s="14"/>
      <c r="N16403" s="14"/>
      <c r="O16403" s="14"/>
      <c r="P16403" s="13"/>
    </row>
    <row r="16404">
      <c r="L16404" s="13"/>
      <c r="M16404" s="14"/>
      <c r="N16404" s="14"/>
      <c r="O16404" s="14"/>
      <c r="P16404" s="13"/>
    </row>
    <row r="16405">
      <c r="L16405" s="13"/>
      <c r="M16405" s="14"/>
      <c r="N16405" s="14"/>
      <c r="O16405" s="14"/>
      <c r="P16405" s="13"/>
    </row>
    <row r="16406">
      <c r="L16406" s="13"/>
      <c r="M16406" s="14"/>
      <c r="N16406" s="14"/>
      <c r="O16406" s="14"/>
      <c r="P16406" s="13"/>
    </row>
    <row r="16407">
      <c r="L16407" s="13"/>
      <c r="M16407" s="14"/>
      <c r="N16407" s="14"/>
      <c r="O16407" s="14"/>
      <c r="P16407" s="13"/>
    </row>
    <row r="16408">
      <c r="L16408" s="13"/>
      <c r="M16408" s="14"/>
      <c r="N16408" s="14"/>
      <c r="O16408" s="14"/>
      <c r="P16408" s="13"/>
    </row>
    <row r="16409">
      <c r="L16409" s="13"/>
      <c r="M16409" s="14"/>
      <c r="N16409" s="14"/>
      <c r="O16409" s="14"/>
      <c r="P16409" s="13"/>
    </row>
    <row r="16410">
      <c r="L16410" s="13"/>
      <c r="M16410" s="14"/>
      <c r="N16410" s="14"/>
      <c r="O16410" s="14"/>
      <c r="P16410" s="13"/>
    </row>
    <row r="16411">
      <c r="L16411" s="13"/>
      <c r="M16411" s="14"/>
      <c r="N16411" s="14"/>
      <c r="O16411" s="14"/>
      <c r="P16411" s="13"/>
    </row>
    <row r="16412">
      <c r="L16412" s="13"/>
      <c r="M16412" s="14"/>
      <c r="N16412" s="14"/>
      <c r="O16412" s="14"/>
      <c r="P16412" s="13"/>
    </row>
    <row r="16413">
      <c r="L16413" s="13"/>
      <c r="M16413" s="14"/>
      <c r="N16413" s="14"/>
      <c r="O16413" s="14"/>
      <c r="P16413" s="13"/>
    </row>
    <row r="16414">
      <c r="L16414" s="13"/>
      <c r="M16414" s="14"/>
      <c r="N16414" s="14"/>
      <c r="O16414" s="14"/>
      <c r="P16414" s="13"/>
    </row>
    <row r="16415">
      <c r="L16415" s="13"/>
      <c r="M16415" s="14"/>
      <c r="N16415" s="14"/>
      <c r="O16415" s="14"/>
      <c r="P16415" s="13"/>
    </row>
    <row r="16416">
      <c r="L16416" s="13"/>
      <c r="M16416" s="14"/>
      <c r="N16416" s="14"/>
      <c r="O16416" s="14"/>
      <c r="P16416" s="13"/>
    </row>
    <row r="16417">
      <c r="L16417" s="13"/>
      <c r="M16417" s="14"/>
      <c r="N16417" s="14"/>
      <c r="O16417" s="14"/>
      <c r="P16417" s="13"/>
    </row>
    <row r="16418">
      <c r="L16418" s="13"/>
      <c r="M16418" s="14"/>
      <c r="N16418" s="14"/>
      <c r="O16418" s="14"/>
      <c r="P16418" s="13"/>
    </row>
    <row r="16419">
      <c r="L16419" s="13"/>
      <c r="M16419" s="14"/>
      <c r="N16419" s="14"/>
      <c r="O16419" s="14"/>
      <c r="P16419" s="13"/>
    </row>
    <row r="16420">
      <c r="L16420" s="13"/>
      <c r="M16420" s="14"/>
      <c r="N16420" s="14"/>
      <c r="O16420" s="14"/>
      <c r="P16420" s="13"/>
    </row>
    <row r="16421">
      <c r="L16421" s="13"/>
      <c r="M16421" s="14"/>
      <c r="N16421" s="14"/>
      <c r="O16421" s="14"/>
      <c r="P16421" s="13"/>
    </row>
    <row r="16422">
      <c r="L16422" s="13"/>
      <c r="M16422" s="14"/>
      <c r="N16422" s="14"/>
      <c r="O16422" s="14"/>
      <c r="P16422" s="13"/>
    </row>
    <row r="16423">
      <c r="L16423" s="13"/>
      <c r="M16423" s="14"/>
      <c r="N16423" s="14"/>
      <c r="O16423" s="14"/>
      <c r="P16423" s="13"/>
    </row>
    <row r="16424">
      <c r="L16424" s="13"/>
      <c r="M16424" s="14"/>
      <c r="N16424" s="14"/>
      <c r="O16424" s="14"/>
      <c r="P16424" s="13"/>
    </row>
    <row r="16425">
      <c r="L16425" s="13"/>
      <c r="M16425" s="14"/>
      <c r="N16425" s="14"/>
      <c r="O16425" s="14"/>
      <c r="P16425" s="13"/>
    </row>
    <row r="16426">
      <c r="L16426" s="13"/>
      <c r="M16426" s="14"/>
      <c r="N16426" s="14"/>
      <c r="O16426" s="14"/>
      <c r="P16426" s="13"/>
    </row>
    <row r="16427">
      <c r="L16427" s="13"/>
      <c r="M16427" s="14"/>
      <c r="N16427" s="14"/>
      <c r="O16427" s="14"/>
      <c r="P16427" s="13"/>
    </row>
    <row r="16428">
      <c r="L16428" s="13"/>
      <c r="M16428" s="14"/>
      <c r="N16428" s="14"/>
      <c r="O16428" s="14"/>
      <c r="P16428" s="13"/>
    </row>
    <row r="16429">
      <c r="L16429" s="13"/>
      <c r="M16429" s="14"/>
      <c r="N16429" s="14"/>
      <c r="O16429" s="14"/>
      <c r="P16429" s="13"/>
    </row>
    <row r="16430">
      <c r="L16430" s="13"/>
      <c r="M16430" s="14"/>
      <c r="N16430" s="14"/>
      <c r="O16430" s="14"/>
      <c r="P16430" s="13"/>
    </row>
    <row r="16431">
      <c r="L16431" s="13"/>
      <c r="M16431" s="14"/>
      <c r="N16431" s="14"/>
      <c r="O16431" s="14"/>
      <c r="P16431" s="13"/>
    </row>
    <row r="16432">
      <c r="L16432" s="13"/>
      <c r="M16432" s="14"/>
      <c r="N16432" s="14"/>
      <c r="O16432" s="14"/>
      <c r="P16432" s="13"/>
    </row>
    <row r="16433">
      <c r="L16433" s="13"/>
      <c r="M16433" s="14"/>
      <c r="N16433" s="14"/>
      <c r="O16433" s="14"/>
      <c r="P16433" s="13"/>
    </row>
    <row r="16434">
      <c r="L16434" s="13"/>
      <c r="M16434" s="14"/>
      <c r="N16434" s="14"/>
      <c r="O16434" s="14"/>
      <c r="P16434" s="13"/>
    </row>
    <row r="16435">
      <c r="L16435" s="13"/>
      <c r="M16435" s="14"/>
      <c r="N16435" s="14"/>
      <c r="O16435" s="14"/>
      <c r="P16435" s="13"/>
    </row>
    <row r="16436">
      <c r="L16436" s="13"/>
      <c r="M16436" s="14"/>
      <c r="N16436" s="14"/>
      <c r="O16436" s="14"/>
      <c r="P16436" s="13"/>
    </row>
    <row r="16437">
      <c r="L16437" s="13"/>
      <c r="M16437" s="14"/>
      <c r="N16437" s="14"/>
      <c r="O16437" s="14"/>
      <c r="P16437" s="13"/>
    </row>
    <row r="16438">
      <c r="L16438" s="13"/>
      <c r="M16438" s="14"/>
      <c r="N16438" s="14"/>
      <c r="O16438" s="14"/>
      <c r="P16438" s="13"/>
    </row>
    <row r="16439">
      <c r="L16439" s="13"/>
      <c r="M16439" s="14"/>
      <c r="N16439" s="14"/>
      <c r="O16439" s="14"/>
      <c r="P16439" s="13"/>
    </row>
    <row r="16440">
      <c r="L16440" s="13"/>
      <c r="M16440" s="14"/>
      <c r="N16440" s="14"/>
      <c r="O16440" s="14"/>
      <c r="P16440" s="13"/>
    </row>
    <row r="16441">
      <c r="L16441" s="13"/>
      <c r="M16441" s="14"/>
      <c r="N16441" s="14"/>
      <c r="O16441" s="14"/>
      <c r="P16441" s="13"/>
    </row>
    <row r="16442">
      <c r="L16442" s="13"/>
      <c r="M16442" s="14"/>
      <c r="N16442" s="14"/>
      <c r="O16442" s="14"/>
      <c r="P16442" s="13"/>
    </row>
    <row r="16443">
      <c r="L16443" s="13"/>
      <c r="M16443" s="14"/>
      <c r="N16443" s="14"/>
      <c r="O16443" s="14"/>
      <c r="P16443" s="13"/>
    </row>
    <row r="16444">
      <c r="L16444" s="13"/>
      <c r="M16444" s="14"/>
      <c r="N16444" s="14"/>
      <c r="O16444" s="14"/>
      <c r="P16444" s="13"/>
    </row>
    <row r="16445">
      <c r="L16445" s="13"/>
      <c r="M16445" s="14"/>
      <c r="N16445" s="14"/>
      <c r="O16445" s="14"/>
      <c r="P16445" s="13"/>
    </row>
    <row r="16446">
      <c r="L16446" s="13"/>
      <c r="M16446" s="14"/>
      <c r="N16446" s="14"/>
      <c r="O16446" s="14"/>
      <c r="P16446" s="13"/>
    </row>
    <row r="16447">
      <c r="L16447" s="13"/>
      <c r="M16447" s="14"/>
      <c r="N16447" s="14"/>
      <c r="O16447" s="14"/>
      <c r="P16447" s="13"/>
    </row>
    <row r="16448">
      <c r="L16448" s="13"/>
      <c r="M16448" s="14"/>
      <c r="N16448" s="14"/>
      <c r="O16448" s="14"/>
      <c r="P16448" s="13"/>
    </row>
    <row r="16449">
      <c r="L16449" s="13"/>
      <c r="M16449" s="14"/>
      <c r="N16449" s="14"/>
      <c r="O16449" s="14"/>
      <c r="P16449" s="13"/>
    </row>
    <row r="16450">
      <c r="L16450" s="13"/>
      <c r="M16450" s="14"/>
      <c r="N16450" s="14"/>
      <c r="O16450" s="14"/>
      <c r="P16450" s="13"/>
    </row>
    <row r="16451">
      <c r="L16451" s="13"/>
      <c r="M16451" s="14"/>
      <c r="N16451" s="14"/>
      <c r="O16451" s="14"/>
      <c r="P16451" s="13"/>
    </row>
    <row r="16452">
      <c r="L16452" s="13"/>
      <c r="M16452" s="14"/>
      <c r="N16452" s="14"/>
      <c r="O16452" s="14"/>
      <c r="P16452" s="13"/>
    </row>
    <row r="16453">
      <c r="L16453" s="13"/>
      <c r="M16453" s="14"/>
      <c r="N16453" s="14"/>
      <c r="O16453" s="14"/>
      <c r="P16453" s="13"/>
    </row>
    <row r="16454">
      <c r="L16454" s="13"/>
      <c r="M16454" s="14"/>
      <c r="N16454" s="14"/>
      <c r="O16454" s="14"/>
      <c r="P16454" s="13"/>
    </row>
    <row r="16455">
      <c r="L16455" s="13"/>
      <c r="M16455" s="14"/>
      <c r="N16455" s="14"/>
      <c r="O16455" s="14"/>
      <c r="P16455" s="13"/>
    </row>
    <row r="16456">
      <c r="L16456" s="13"/>
      <c r="M16456" s="14"/>
      <c r="N16456" s="14"/>
      <c r="O16456" s="14"/>
      <c r="P16456" s="13"/>
    </row>
    <row r="16457">
      <c r="L16457" s="13"/>
      <c r="M16457" s="14"/>
      <c r="N16457" s="14"/>
      <c r="O16457" s="14"/>
      <c r="P16457" s="13"/>
    </row>
    <row r="16458">
      <c r="L16458" s="13"/>
      <c r="M16458" s="14"/>
      <c r="N16458" s="14"/>
      <c r="O16458" s="14"/>
      <c r="P16458" s="13"/>
    </row>
    <row r="16459">
      <c r="L16459" s="13"/>
      <c r="M16459" s="14"/>
      <c r="N16459" s="14"/>
      <c r="O16459" s="14"/>
      <c r="P16459" s="13"/>
    </row>
    <row r="16460">
      <c r="L16460" s="13"/>
      <c r="M16460" s="14"/>
      <c r="N16460" s="14"/>
      <c r="O16460" s="14"/>
      <c r="P16460" s="13"/>
    </row>
    <row r="16461">
      <c r="L16461" s="13"/>
      <c r="M16461" s="14"/>
      <c r="N16461" s="14"/>
      <c r="O16461" s="14"/>
      <c r="P16461" s="13"/>
    </row>
    <row r="16462">
      <c r="L16462" s="13"/>
      <c r="M16462" s="14"/>
      <c r="N16462" s="14"/>
      <c r="O16462" s="14"/>
      <c r="P16462" s="13"/>
    </row>
    <row r="16463">
      <c r="L16463" s="13"/>
      <c r="M16463" s="14"/>
      <c r="N16463" s="14"/>
      <c r="O16463" s="14"/>
      <c r="P16463" s="13"/>
    </row>
    <row r="16464">
      <c r="L16464" s="13"/>
      <c r="M16464" s="14"/>
      <c r="N16464" s="14"/>
      <c r="O16464" s="14"/>
      <c r="P16464" s="13"/>
    </row>
    <row r="16465">
      <c r="L16465" s="13"/>
      <c r="M16465" s="14"/>
      <c r="N16465" s="14"/>
      <c r="O16465" s="14"/>
      <c r="P16465" s="13"/>
    </row>
    <row r="16466">
      <c r="L16466" s="13"/>
      <c r="M16466" s="14"/>
      <c r="N16466" s="14"/>
      <c r="O16466" s="14"/>
      <c r="P16466" s="13"/>
    </row>
    <row r="16467">
      <c r="L16467" s="13"/>
      <c r="M16467" s="14"/>
      <c r="N16467" s="14"/>
      <c r="O16467" s="14"/>
      <c r="P16467" s="13"/>
    </row>
    <row r="16468">
      <c r="L16468" s="13"/>
      <c r="M16468" s="14"/>
      <c r="N16468" s="14"/>
      <c r="O16468" s="14"/>
      <c r="P16468" s="13"/>
    </row>
    <row r="16469">
      <c r="L16469" s="13"/>
      <c r="M16469" s="14"/>
      <c r="N16469" s="14"/>
      <c r="O16469" s="14"/>
      <c r="P16469" s="13"/>
    </row>
    <row r="16470">
      <c r="L16470" s="13"/>
      <c r="M16470" s="14"/>
      <c r="N16470" s="14"/>
      <c r="O16470" s="14"/>
      <c r="P16470" s="13"/>
    </row>
    <row r="16471">
      <c r="L16471" s="13"/>
      <c r="M16471" s="14"/>
      <c r="N16471" s="14"/>
      <c r="O16471" s="14"/>
      <c r="P16471" s="13"/>
    </row>
    <row r="16472">
      <c r="L16472" s="13"/>
      <c r="M16472" s="14"/>
      <c r="N16472" s="14"/>
      <c r="O16472" s="14"/>
      <c r="P16472" s="13"/>
    </row>
    <row r="16473">
      <c r="L16473" s="13"/>
      <c r="M16473" s="14"/>
      <c r="N16473" s="14"/>
      <c r="O16473" s="14"/>
      <c r="P16473" s="13"/>
    </row>
    <row r="16474">
      <c r="L16474" s="13"/>
      <c r="M16474" s="14"/>
      <c r="N16474" s="14"/>
      <c r="O16474" s="14"/>
      <c r="P16474" s="13"/>
    </row>
    <row r="16475">
      <c r="L16475" s="13"/>
      <c r="M16475" s="14"/>
      <c r="N16475" s="14"/>
      <c r="O16475" s="14"/>
      <c r="P16475" s="13"/>
    </row>
    <row r="16476">
      <c r="L16476" s="13"/>
      <c r="M16476" s="14"/>
      <c r="N16476" s="14"/>
      <c r="O16476" s="14"/>
      <c r="P16476" s="13"/>
    </row>
    <row r="16477">
      <c r="L16477" s="13"/>
      <c r="M16477" s="14"/>
      <c r="N16477" s="14"/>
      <c r="O16477" s="14"/>
      <c r="P16477" s="13"/>
    </row>
    <row r="16478">
      <c r="L16478" s="13"/>
      <c r="M16478" s="14"/>
      <c r="N16478" s="14"/>
      <c r="O16478" s="14"/>
      <c r="P16478" s="13"/>
    </row>
    <row r="16479">
      <c r="L16479" s="13"/>
      <c r="M16479" s="14"/>
      <c r="N16479" s="14"/>
      <c r="O16479" s="14"/>
      <c r="P16479" s="13"/>
    </row>
    <row r="16480">
      <c r="L16480" s="13"/>
      <c r="M16480" s="14"/>
      <c r="N16480" s="14"/>
      <c r="O16480" s="14"/>
      <c r="P16480" s="13"/>
    </row>
    <row r="16481">
      <c r="L16481" s="13"/>
      <c r="M16481" s="14"/>
      <c r="N16481" s="14"/>
      <c r="O16481" s="14"/>
      <c r="P16481" s="13"/>
    </row>
    <row r="16482">
      <c r="L16482" s="13"/>
      <c r="M16482" s="14"/>
      <c r="N16482" s="14"/>
      <c r="O16482" s="14"/>
      <c r="P16482" s="13"/>
    </row>
    <row r="16483">
      <c r="L16483" s="13"/>
      <c r="M16483" s="14"/>
      <c r="N16483" s="14"/>
      <c r="O16483" s="14"/>
      <c r="P16483" s="13"/>
    </row>
    <row r="16484">
      <c r="L16484" s="13"/>
      <c r="M16484" s="14"/>
      <c r="N16484" s="14"/>
      <c r="O16484" s="14"/>
      <c r="P16484" s="13"/>
    </row>
    <row r="16485">
      <c r="L16485" s="13"/>
      <c r="M16485" s="14"/>
      <c r="N16485" s="14"/>
      <c r="O16485" s="14"/>
      <c r="P16485" s="13"/>
    </row>
    <row r="16486">
      <c r="L16486" s="13"/>
      <c r="M16486" s="14"/>
      <c r="N16486" s="14"/>
      <c r="O16486" s="14"/>
      <c r="P16486" s="13"/>
    </row>
    <row r="16487">
      <c r="L16487" s="13"/>
      <c r="M16487" s="14"/>
      <c r="N16487" s="14"/>
      <c r="O16487" s="14"/>
      <c r="P16487" s="13"/>
    </row>
    <row r="16488">
      <c r="L16488" s="13"/>
      <c r="M16488" s="14"/>
      <c r="N16488" s="14"/>
      <c r="O16488" s="14"/>
      <c r="P16488" s="13"/>
    </row>
    <row r="16489">
      <c r="L16489" s="13"/>
      <c r="M16489" s="14"/>
      <c r="N16489" s="14"/>
      <c r="O16489" s="14"/>
      <c r="P16489" s="13"/>
    </row>
    <row r="16490">
      <c r="L16490" s="13"/>
      <c r="M16490" s="14"/>
      <c r="N16490" s="14"/>
      <c r="O16490" s="14"/>
      <c r="P16490" s="13"/>
    </row>
    <row r="16491">
      <c r="L16491" s="13"/>
      <c r="M16491" s="14"/>
      <c r="N16491" s="14"/>
      <c r="O16491" s="14"/>
      <c r="P16491" s="13"/>
    </row>
    <row r="16492">
      <c r="L16492" s="13"/>
      <c r="M16492" s="14"/>
      <c r="N16492" s="14"/>
      <c r="O16492" s="14"/>
      <c r="P16492" s="13"/>
    </row>
    <row r="16493">
      <c r="L16493" s="13"/>
      <c r="M16493" s="14"/>
      <c r="N16493" s="14"/>
      <c r="O16493" s="14"/>
      <c r="P16493" s="13"/>
    </row>
    <row r="16494">
      <c r="L16494" s="13"/>
      <c r="M16494" s="14"/>
      <c r="N16494" s="14"/>
      <c r="O16494" s="14"/>
      <c r="P16494" s="13"/>
    </row>
    <row r="16495">
      <c r="L16495" s="13"/>
      <c r="M16495" s="14"/>
      <c r="N16495" s="14"/>
      <c r="O16495" s="14"/>
      <c r="P16495" s="13"/>
    </row>
    <row r="16496">
      <c r="L16496" s="13"/>
      <c r="M16496" s="14"/>
      <c r="N16496" s="14"/>
      <c r="O16496" s="14"/>
      <c r="P16496" s="13"/>
    </row>
    <row r="16497">
      <c r="L16497" s="13"/>
      <c r="M16497" s="14"/>
      <c r="N16497" s="14"/>
      <c r="O16497" s="14"/>
      <c r="P16497" s="13"/>
    </row>
    <row r="16498">
      <c r="L16498" s="13"/>
      <c r="M16498" s="14"/>
      <c r="N16498" s="14"/>
      <c r="O16498" s="14"/>
      <c r="P16498" s="13"/>
    </row>
    <row r="16499">
      <c r="L16499" s="13"/>
      <c r="M16499" s="14"/>
      <c r="N16499" s="14"/>
      <c r="O16499" s="14"/>
      <c r="P16499" s="13"/>
    </row>
    <row r="16500">
      <c r="L16500" s="13"/>
      <c r="M16500" s="14"/>
      <c r="N16500" s="14"/>
      <c r="O16500" s="14"/>
      <c r="P16500" s="13"/>
    </row>
    <row r="16501">
      <c r="L16501" s="13"/>
      <c r="M16501" s="14"/>
      <c r="N16501" s="14"/>
      <c r="O16501" s="14"/>
      <c r="P16501" s="13"/>
    </row>
    <row r="16502">
      <c r="L16502" s="13"/>
      <c r="M16502" s="14"/>
      <c r="N16502" s="14"/>
      <c r="O16502" s="14"/>
      <c r="P16502" s="13"/>
    </row>
    <row r="16503">
      <c r="L16503" s="13"/>
      <c r="M16503" s="14"/>
      <c r="N16503" s="14"/>
      <c r="O16503" s="14"/>
      <c r="P16503" s="13"/>
    </row>
    <row r="16504">
      <c r="L16504" s="13"/>
      <c r="M16504" s="14"/>
      <c r="N16504" s="14"/>
      <c r="O16504" s="14"/>
      <c r="P16504" s="13"/>
    </row>
    <row r="16505">
      <c r="L16505" s="13"/>
      <c r="M16505" s="14"/>
      <c r="N16505" s="14"/>
      <c r="O16505" s="14"/>
      <c r="P16505" s="13"/>
    </row>
    <row r="16506">
      <c r="L16506" s="13"/>
      <c r="M16506" s="14"/>
      <c r="N16506" s="14"/>
      <c r="O16506" s="14"/>
      <c r="P16506" s="13"/>
    </row>
    <row r="16507">
      <c r="L16507" s="13"/>
      <c r="M16507" s="14"/>
      <c r="N16507" s="14"/>
      <c r="O16507" s="14"/>
      <c r="P16507" s="13"/>
    </row>
    <row r="16508">
      <c r="L16508" s="13"/>
      <c r="M16508" s="14"/>
      <c r="N16508" s="14"/>
      <c r="O16508" s="14"/>
      <c r="P16508" s="13"/>
    </row>
    <row r="16509">
      <c r="L16509" s="13"/>
      <c r="M16509" s="14"/>
      <c r="N16509" s="14"/>
      <c r="O16509" s="14"/>
      <c r="P16509" s="13"/>
    </row>
    <row r="16510">
      <c r="L16510" s="13"/>
      <c r="M16510" s="14"/>
      <c r="N16510" s="14"/>
      <c r="O16510" s="14"/>
      <c r="P16510" s="13"/>
    </row>
    <row r="16511">
      <c r="L16511" s="13"/>
      <c r="M16511" s="14"/>
      <c r="N16511" s="14"/>
      <c r="O16511" s="14"/>
      <c r="P16511" s="13"/>
    </row>
    <row r="16512">
      <c r="L16512" s="13"/>
      <c r="M16512" s="14"/>
      <c r="N16512" s="14"/>
      <c r="O16512" s="14"/>
      <c r="P16512" s="13"/>
    </row>
    <row r="16513">
      <c r="L16513" s="13"/>
      <c r="M16513" s="14"/>
      <c r="N16513" s="14"/>
      <c r="O16513" s="14"/>
      <c r="P16513" s="13"/>
    </row>
    <row r="16514">
      <c r="L16514" s="13"/>
      <c r="M16514" s="14"/>
      <c r="N16514" s="14"/>
      <c r="O16514" s="14"/>
      <c r="P16514" s="13"/>
    </row>
    <row r="16515">
      <c r="L16515" s="13"/>
      <c r="M16515" s="14"/>
      <c r="N16515" s="14"/>
      <c r="O16515" s="14"/>
      <c r="P16515" s="13"/>
    </row>
    <row r="16516">
      <c r="L16516" s="13"/>
      <c r="M16516" s="14"/>
      <c r="N16516" s="14"/>
      <c r="O16516" s="14"/>
      <c r="P16516" s="13"/>
    </row>
    <row r="16517">
      <c r="L16517" s="13"/>
      <c r="M16517" s="14"/>
      <c r="N16517" s="14"/>
      <c r="O16517" s="14"/>
      <c r="P16517" s="13"/>
    </row>
    <row r="16518">
      <c r="L16518" s="13"/>
      <c r="M16518" s="14"/>
      <c r="N16518" s="14"/>
      <c r="O16518" s="14"/>
      <c r="P16518" s="13"/>
    </row>
    <row r="16519">
      <c r="L16519" s="13"/>
      <c r="M16519" s="14"/>
      <c r="N16519" s="14"/>
      <c r="O16519" s="14"/>
      <c r="P16519" s="13"/>
    </row>
    <row r="16520">
      <c r="L16520" s="13"/>
      <c r="M16520" s="14"/>
      <c r="N16520" s="14"/>
      <c r="O16520" s="14"/>
      <c r="P16520" s="13"/>
    </row>
    <row r="16521">
      <c r="L16521" s="13"/>
      <c r="M16521" s="14"/>
      <c r="N16521" s="14"/>
      <c r="O16521" s="14"/>
      <c r="P16521" s="13"/>
    </row>
    <row r="16522">
      <c r="L16522" s="13"/>
      <c r="M16522" s="14"/>
      <c r="N16522" s="14"/>
      <c r="O16522" s="14"/>
      <c r="P16522" s="13"/>
    </row>
    <row r="16523">
      <c r="L16523" s="13"/>
      <c r="M16523" s="14"/>
      <c r="N16523" s="14"/>
      <c r="O16523" s="14"/>
      <c r="P16523" s="13"/>
    </row>
    <row r="16524">
      <c r="L16524" s="13"/>
      <c r="M16524" s="14"/>
      <c r="N16524" s="14"/>
      <c r="O16524" s="14"/>
      <c r="P16524" s="13"/>
    </row>
    <row r="16525">
      <c r="L16525" s="13"/>
      <c r="M16525" s="14"/>
      <c r="N16525" s="14"/>
      <c r="O16525" s="14"/>
      <c r="P16525" s="13"/>
    </row>
    <row r="16526">
      <c r="L16526" s="13"/>
      <c r="M16526" s="14"/>
      <c r="N16526" s="14"/>
      <c r="O16526" s="14"/>
      <c r="P16526" s="13"/>
    </row>
    <row r="16527">
      <c r="L16527" s="13"/>
      <c r="M16527" s="14"/>
      <c r="N16527" s="14"/>
      <c r="O16527" s="14"/>
      <c r="P16527" s="13"/>
    </row>
    <row r="16528">
      <c r="L16528" s="13"/>
      <c r="M16528" s="14"/>
      <c r="N16528" s="14"/>
      <c r="O16528" s="14"/>
      <c r="P16528" s="13"/>
    </row>
    <row r="16529">
      <c r="L16529" s="13"/>
      <c r="M16529" s="14"/>
      <c r="N16529" s="14"/>
      <c r="O16529" s="14"/>
      <c r="P16529" s="13"/>
    </row>
    <row r="16530">
      <c r="L16530" s="13"/>
      <c r="M16530" s="14"/>
      <c r="N16530" s="14"/>
      <c r="O16530" s="14"/>
      <c r="P16530" s="13"/>
    </row>
    <row r="16531">
      <c r="L16531" s="13"/>
      <c r="M16531" s="14"/>
      <c r="N16531" s="14"/>
      <c r="O16531" s="14"/>
      <c r="P16531" s="13"/>
    </row>
    <row r="16532">
      <c r="L16532" s="13"/>
      <c r="M16532" s="14"/>
      <c r="N16532" s="14"/>
      <c r="O16532" s="14"/>
      <c r="P16532" s="13"/>
    </row>
    <row r="16533">
      <c r="L16533" s="13"/>
      <c r="M16533" s="14"/>
      <c r="N16533" s="14"/>
      <c r="O16533" s="14"/>
      <c r="P16533" s="13"/>
    </row>
    <row r="16534">
      <c r="L16534" s="13"/>
      <c r="M16534" s="14"/>
      <c r="N16534" s="14"/>
      <c r="O16534" s="14"/>
      <c r="P16534" s="13"/>
    </row>
    <row r="16535">
      <c r="L16535" s="13"/>
      <c r="M16535" s="14"/>
      <c r="N16535" s="14"/>
      <c r="O16535" s="14"/>
      <c r="P16535" s="13"/>
    </row>
    <row r="16536">
      <c r="L16536" s="13"/>
      <c r="M16536" s="14"/>
      <c r="N16536" s="14"/>
      <c r="O16536" s="14"/>
      <c r="P16536" s="13"/>
    </row>
    <row r="16537">
      <c r="L16537" s="13"/>
      <c r="M16537" s="14"/>
      <c r="N16537" s="14"/>
      <c r="O16537" s="14"/>
      <c r="P16537" s="13"/>
    </row>
    <row r="16538">
      <c r="L16538" s="13"/>
      <c r="M16538" s="14"/>
      <c r="N16538" s="14"/>
      <c r="O16538" s="14"/>
      <c r="P16538" s="13"/>
    </row>
    <row r="16539">
      <c r="L16539" s="13"/>
      <c r="M16539" s="14"/>
      <c r="N16539" s="14"/>
      <c r="O16539" s="14"/>
      <c r="P16539" s="13"/>
    </row>
    <row r="16540">
      <c r="L16540" s="13"/>
      <c r="M16540" s="14"/>
      <c r="N16540" s="14"/>
      <c r="O16540" s="14"/>
      <c r="P16540" s="13"/>
    </row>
    <row r="16541">
      <c r="L16541" s="13"/>
      <c r="M16541" s="14"/>
      <c r="N16541" s="14"/>
      <c r="O16541" s="14"/>
      <c r="P16541" s="13"/>
    </row>
    <row r="16542">
      <c r="L16542" s="13"/>
      <c r="M16542" s="14"/>
      <c r="N16542" s="14"/>
      <c r="O16542" s="14"/>
      <c r="P16542" s="13"/>
    </row>
    <row r="16543">
      <c r="L16543" s="13"/>
      <c r="M16543" s="14"/>
      <c r="N16543" s="14"/>
      <c r="O16543" s="14"/>
      <c r="P16543" s="13"/>
    </row>
    <row r="16544">
      <c r="L16544" s="13"/>
      <c r="M16544" s="14"/>
      <c r="N16544" s="14"/>
      <c r="O16544" s="14"/>
      <c r="P16544" s="13"/>
    </row>
    <row r="16545">
      <c r="L16545" s="13"/>
      <c r="M16545" s="14"/>
      <c r="N16545" s="14"/>
      <c r="O16545" s="14"/>
      <c r="P16545" s="13"/>
    </row>
    <row r="16546">
      <c r="L16546" s="13"/>
      <c r="M16546" s="14"/>
      <c r="N16546" s="14"/>
      <c r="O16546" s="14"/>
      <c r="P16546" s="13"/>
    </row>
    <row r="16547">
      <c r="L16547" s="13"/>
      <c r="M16547" s="14"/>
      <c r="N16547" s="14"/>
      <c r="O16547" s="14"/>
      <c r="P16547" s="13"/>
    </row>
    <row r="16548">
      <c r="L16548" s="13"/>
      <c r="M16548" s="14"/>
      <c r="N16548" s="14"/>
      <c r="O16548" s="14"/>
      <c r="P16548" s="13"/>
    </row>
    <row r="16549">
      <c r="L16549" s="13"/>
      <c r="M16549" s="14"/>
      <c r="N16549" s="14"/>
      <c r="O16549" s="14"/>
      <c r="P16549" s="13"/>
    </row>
    <row r="16550">
      <c r="L16550" s="13"/>
      <c r="M16550" s="14"/>
      <c r="N16550" s="14"/>
      <c r="O16550" s="14"/>
      <c r="P16550" s="13"/>
    </row>
    <row r="16551">
      <c r="L16551" s="13"/>
      <c r="M16551" s="14"/>
      <c r="N16551" s="14"/>
      <c r="O16551" s="14"/>
      <c r="P16551" s="13"/>
    </row>
    <row r="16552">
      <c r="L16552" s="13"/>
      <c r="M16552" s="14"/>
      <c r="N16552" s="14"/>
      <c r="O16552" s="14"/>
      <c r="P16552" s="13"/>
    </row>
    <row r="16553">
      <c r="L16553" s="13"/>
      <c r="M16553" s="14"/>
      <c r="N16553" s="14"/>
      <c r="O16553" s="14"/>
      <c r="P16553" s="13"/>
    </row>
    <row r="16554">
      <c r="L16554" s="13"/>
      <c r="M16554" s="14"/>
      <c r="N16554" s="14"/>
      <c r="O16554" s="14"/>
      <c r="P16554" s="13"/>
    </row>
    <row r="16555">
      <c r="L16555" s="13"/>
      <c r="M16555" s="14"/>
      <c r="N16555" s="14"/>
      <c r="O16555" s="14"/>
      <c r="P16555" s="13"/>
    </row>
    <row r="16556">
      <c r="L16556" s="13"/>
      <c r="M16556" s="14"/>
      <c r="N16556" s="14"/>
      <c r="O16556" s="14"/>
      <c r="P16556" s="13"/>
    </row>
    <row r="16557">
      <c r="L16557" s="13"/>
      <c r="M16557" s="14"/>
      <c r="N16557" s="14"/>
      <c r="O16557" s="14"/>
      <c r="P16557" s="13"/>
    </row>
    <row r="16558">
      <c r="L16558" s="13"/>
      <c r="M16558" s="14"/>
      <c r="N16558" s="14"/>
      <c r="O16558" s="14"/>
      <c r="P16558" s="13"/>
    </row>
    <row r="16559">
      <c r="L16559" s="13"/>
      <c r="M16559" s="14"/>
      <c r="N16559" s="14"/>
      <c r="O16559" s="14"/>
      <c r="P16559" s="13"/>
    </row>
    <row r="16560">
      <c r="L16560" s="13"/>
      <c r="M16560" s="14"/>
      <c r="N16560" s="14"/>
      <c r="O16560" s="14"/>
      <c r="P16560" s="13"/>
    </row>
    <row r="16561">
      <c r="L16561" s="13"/>
      <c r="M16561" s="14"/>
      <c r="N16561" s="14"/>
      <c r="O16561" s="14"/>
      <c r="P16561" s="13"/>
    </row>
    <row r="16562">
      <c r="L16562" s="13"/>
      <c r="M16562" s="14"/>
      <c r="N16562" s="14"/>
      <c r="O16562" s="14"/>
      <c r="P16562" s="13"/>
    </row>
    <row r="16563">
      <c r="L16563" s="13"/>
      <c r="M16563" s="14"/>
      <c r="N16563" s="14"/>
      <c r="O16563" s="14"/>
      <c r="P16563" s="13"/>
    </row>
    <row r="16564">
      <c r="L16564" s="13"/>
      <c r="M16564" s="14"/>
      <c r="N16564" s="14"/>
      <c r="O16564" s="14"/>
      <c r="P16564" s="13"/>
    </row>
    <row r="16565">
      <c r="L16565" s="13"/>
      <c r="M16565" s="14"/>
      <c r="N16565" s="14"/>
      <c r="O16565" s="14"/>
      <c r="P16565" s="13"/>
    </row>
    <row r="16566">
      <c r="L16566" s="13"/>
      <c r="M16566" s="14"/>
      <c r="N16566" s="14"/>
      <c r="O16566" s="14"/>
      <c r="P16566" s="13"/>
    </row>
    <row r="16567">
      <c r="L16567" s="13"/>
      <c r="M16567" s="14"/>
      <c r="N16567" s="14"/>
      <c r="O16567" s="14"/>
      <c r="P16567" s="13"/>
    </row>
    <row r="16568">
      <c r="L16568" s="13"/>
      <c r="M16568" s="14"/>
      <c r="N16568" s="14"/>
      <c r="O16568" s="14"/>
      <c r="P16568" s="13"/>
    </row>
    <row r="16569">
      <c r="L16569" s="13"/>
      <c r="M16569" s="14"/>
      <c r="N16569" s="14"/>
      <c r="O16569" s="14"/>
      <c r="P16569" s="13"/>
    </row>
    <row r="16570">
      <c r="L16570" s="13"/>
      <c r="M16570" s="14"/>
      <c r="N16570" s="14"/>
      <c r="O16570" s="14"/>
      <c r="P16570" s="13"/>
    </row>
    <row r="16571">
      <c r="L16571" s="13"/>
      <c r="M16571" s="14"/>
      <c r="N16571" s="14"/>
      <c r="O16571" s="14"/>
      <c r="P16571" s="13"/>
    </row>
    <row r="16572">
      <c r="L16572" s="13"/>
      <c r="M16572" s="14"/>
      <c r="N16572" s="14"/>
      <c r="O16572" s="14"/>
      <c r="P16572" s="13"/>
    </row>
    <row r="16573">
      <c r="L16573" s="13"/>
      <c r="M16573" s="14"/>
      <c r="N16573" s="14"/>
      <c r="O16573" s="14"/>
      <c r="P16573" s="13"/>
    </row>
    <row r="16574">
      <c r="L16574" s="13"/>
      <c r="M16574" s="14"/>
      <c r="N16574" s="14"/>
      <c r="O16574" s="14"/>
      <c r="P16574" s="13"/>
    </row>
    <row r="16575">
      <c r="L16575" s="13"/>
      <c r="M16575" s="14"/>
      <c r="N16575" s="14"/>
      <c r="O16575" s="14"/>
      <c r="P16575" s="13"/>
    </row>
    <row r="16576">
      <c r="L16576" s="13"/>
      <c r="M16576" s="14"/>
      <c r="N16576" s="14"/>
      <c r="O16576" s="14"/>
      <c r="P16576" s="13"/>
    </row>
    <row r="16577">
      <c r="L16577" s="13"/>
      <c r="M16577" s="14"/>
      <c r="N16577" s="14"/>
      <c r="O16577" s="14"/>
      <c r="P16577" s="13"/>
    </row>
    <row r="16578">
      <c r="L16578" s="13"/>
      <c r="M16578" s="14"/>
      <c r="N16578" s="14"/>
      <c r="O16578" s="14"/>
      <c r="P16578" s="13"/>
    </row>
    <row r="16579">
      <c r="L16579" s="13"/>
      <c r="M16579" s="14"/>
      <c r="N16579" s="14"/>
      <c r="O16579" s="14"/>
      <c r="P16579" s="13"/>
    </row>
    <row r="16580">
      <c r="L16580" s="13"/>
      <c r="M16580" s="14"/>
      <c r="N16580" s="14"/>
      <c r="O16580" s="14"/>
      <c r="P16580" s="13"/>
    </row>
    <row r="16581">
      <c r="L16581" s="13"/>
      <c r="M16581" s="14"/>
      <c r="N16581" s="14"/>
      <c r="O16581" s="14"/>
      <c r="P16581" s="13"/>
    </row>
    <row r="16582">
      <c r="L16582" s="13"/>
      <c r="M16582" s="14"/>
      <c r="N16582" s="14"/>
      <c r="O16582" s="14"/>
      <c r="P16582" s="13"/>
    </row>
    <row r="16583">
      <c r="L16583" s="13"/>
      <c r="M16583" s="14"/>
      <c r="N16583" s="14"/>
      <c r="O16583" s="14"/>
      <c r="P16583" s="13"/>
    </row>
    <row r="16584">
      <c r="L16584" s="13"/>
      <c r="M16584" s="14"/>
      <c r="N16584" s="14"/>
      <c r="O16584" s="14"/>
      <c r="P16584" s="13"/>
    </row>
    <row r="16585">
      <c r="L16585" s="13"/>
      <c r="M16585" s="14"/>
      <c r="N16585" s="14"/>
      <c r="O16585" s="14"/>
      <c r="P16585" s="13"/>
    </row>
    <row r="16586">
      <c r="L16586" s="13"/>
      <c r="M16586" s="14"/>
      <c r="N16586" s="14"/>
      <c r="O16586" s="14"/>
      <c r="P16586" s="13"/>
    </row>
    <row r="16587">
      <c r="L16587" s="13"/>
      <c r="M16587" s="14"/>
      <c r="N16587" s="14"/>
      <c r="O16587" s="14"/>
      <c r="P16587" s="13"/>
    </row>
    <row r="16588">
      <c r="L16588" s="13"/>
      <c r="M16588" s="14"/>
      <c r="N16588" s="14"/>
      <c r="O16588" s="14"/>
      <c r="P16588" s="13"/>
    </row>
    <row r="16589">
      <c r="L16589" s="13"/>
      <c r="M16589" s="14"/>
      <c r="N16589" s="14"/>
      <c r="O16589" s="14"/>
      <c r="P16589" s="13"/>
    </row>
    <row r="16590">
      <c r="L16590" s="13"/>
      <c r="M16590" s="14"/>
      <c r="N16590" s="14"/>
      <c r="O16590" s="14"/>
      <c r="P16590" s="13"/>
    </row>
    <row r="16591">
      <c r="L16591" s="13"/>
      <c r="M16591" s="14"/>
      <c r="N16591" s="14"/>
      <c r="O16591" s="14"/>
      <c r="P16591" s="13"/>
    </row>
    <row r="16592">
      <c r="L16592" s="13"/>
      <c r="M16592" s="14"/>
      <c r="N16592" s="14"/>
      <c r="O16592" s="14"/>
      <c r="P16592" s="13"/>
    </row>
    <row r="16593">
      <c r="L16593" s="13"/>
      <c r="M16593" s="14"/>
      <c r="N16593" s="14"/>
      <c r="O16593" s="14"/>
      <c r="P16593" s="13"/>
    </row>
    <row r="16594">
      <c r="L16594" s="13"/>
      <c r="M16594" s="14"/>
      <c r="N16594" s="14"/>
      <c r="O16594" s="14"/>
      <c r="P16594" s="13"/>
    </row>
    <row r="16595">
      <c r="L16595" s="13"/>
      <c r="M16595" s="14"/>
      <c r="N16595" s="14"/>
      <c r="O16595" s="14"/>
      <c r="P16595" s="13"/>
    </row>
    <row r="16596">
      <c r="L16596" s="13"/>
      <c r="M16596" s="14"/>
      <c r="N16596" s="14"/>
      <c r="O16596" s="14"/>
      <c r="P16596" s="13"/>
    </row>
    <row r="16597">
      <c r="L16597" s="13"/>
      <c r="M16597" s="14"/>
      <c r="N16597" s="14"/>
      <c r="O16597" s="14"/>
      <c r="P16597" s="13"/>
    </row>
    <row r="16598">
      <c r="L16598" s="13"/>
      <c r="M16598" s="14"/>
      <c r="N16598" s="14"/>
      <c r="O16598" s="14"/>
      <c r="P16598" s="13"/>
    </row>
    <row r="16599">
      <c r="L16599" s="13"/>
      <c r="M16599" s="14"/>
      <c r="N16599" s="14"/>
      <c r="O16599" s="14"/>
      <c r="P16599" s="13"/>
    </row>
    <row r="16600">
      <c r="L16600" s="13"/>
      <c r="M16600" s="14"/>
      <c r="N16600" s="14"/>
      <c r="O16600" s="14"/>
      <c r="P16600" s="13"/>
    </row>
    <row r="16601">
      <c r="L16601" s="13"/>
      <c r="M16601" s="14"/>
      <c r="N16601" s="14"/>
      <c r="O16601" s="14"/>
      <c r="P16601" s="13"/>
    </row>
    <row r="16602">
      <c r="L16602" s="13"/>
      <c r="M16602" s="14"/>
      <c r="N16602" s="14"/>
      <c r="O16602" s="14"/>
      <c r="P16602" s="13"/>
    </row>
    <row r="16603">
      <c r="L16603" s="13"/>
      <c r="M16603" s="14"/>
      <c r="N16603" s="14"/>
      <c r="O16603" s="14"/>
      <c r="P16603" s="13"/>
    </row>
    <row r="16604">
      <c r="L16604" s="13"/>
      <c r="M16604" s="14"/>
      <c r="N16604" s="14"/>
      <c r="O16604" s="14"/>
      <c r="P16604" s="13"/>
    </row>
    <row r="16605">
      <c r="L16605" s="13"/>
      <c r="M16605" s="14"/>
      <c r="N16605" s="14"/>
      <c r="O16605" s="14"/>
      <c r="P16605" s="13"/>
    </row>
    <row r="16606">
      <c r="L16606" s="13"/>
      <c r="M16606" s="14"/>
      <c r="N16606" s="14"/>
      <c r="O16606" s="14"/>
      <c r="P16606" s="13"/>
    </row>
    <row r="16607">
      <c r="L16607" s="13"/>
      <c r="M16607" s="14"/>
      <c r="N16607" s="14"/>
      <c r="O16607" s="14"/>
      <c r="P16607" s="13"/>
    </row>
    <row r="16608">
      <c r="L16608" s="13"/>
      <c r="M16608" s="14"/>
      <c r="N16608" s="14"/>
      <c r="O16608" s="14"/>
      <c r="P16608" s="13"/>
    </row>
    <row r="16609">
      <c r="L16609" s="13"/>
      <c r="M16609" s="14"/>
      <c r="N16609" s="14"/>
      <c r="O16609" s="14"/>
      <c r="P16609" s="13"/>
    </row>
    <row r="16610">
      <c r="L16610" s="13"/>
      <c r="M16610" s="14"/>
      <c r="N16610" s="14"/>
      <c r="O16610" s="14"/>
      <c r="P16610" s="13"/>
    </row>
    <row r="16611">
      <c r="L16611" s="13"/>
      <c r="M16611" s="14"/>
      <c r="N16611" s="14"/>
      <c r="O16611" s="14"/>
      <c r="P16611" s="13"/>
    </row>
    <row r="16612">
      <c r="L16612" s="13"/>
      <c r="M16612" s="14"/>
      <c r="N16612" s="14"/>
      <c r="O16612" s="14"/>
      <c r="P16612" s="13"/>
    </row>
    <row r="16613">
      <c r="L16613" s="13"/>
      <c r="M16613" s="14"/>
      <c r="N16613" s="14"/>
      <c r="O16613" s="14"/>
      <c r="P16613" s="13"/>
    </row>
    <row r="16614">
      <c r="L16614" s="13"/>
      <c r="M16614" s="14"/>
      <c r="N16614" s="14"/>
      <c r="O16614" s="14"/>
      <c r="P16614" s="13"/>
    </row>
    <row r="16615">
      <c r="L16615" s="13"/>
      <c r="M16615" s="14"/>
      <c r="N16615" s="14"/>
      <c r="O16615" s="14"/>
      <c r="P16615" s="13"/>
    </row>
    <row r="16616">
      <c r="L16616" s="13"/>
      <c r="M16616" s="14"/>
      <c r="N16616" s="14"/>
      <c r="O16616" s="14"/>
      <c r="P16616" s="13"/>
    </row>
    <row r="16617">
      <c r="L16617" s="13"/>
      <c r="M16617" s="14"/>
      <c r="N16617" s="14"/>
      <c r="O16617" s="14"/>
      <c r="P16617" s="13"/>
    </row>
    <row r="16618">
      <c r="L16618" s="13"/>
      <c r="M16618" s="14"/>
      <c r="N16618" s="14"/>
      <c r="O16618" s="14"/>
      <c r="P16618" s="13"/>
    </row>
    <row r="16619">
      <c r="L16619" s="13"/>
      <c r="M16619" s="14"/>
      <c r="N16619" s="14"/>
      <c r="O16619" s="14"/>
      <c r="P16619" s="13"/>
    </row>
    <row r="16620">
      <c r="L16620" s="13"/>
      <c r="M16620" s="14"/>
      <c r="N16620" s="14"/>
      <c r="O16620" s="14"/>
      <c r="P16620" s="13"/>
    </row>
    <row r="16621">
      <c r="L16621" s="13"/>
      <c r="M16621" s="14"/>
      <c r="N16621" s="14"/>
      <c r="O16621" s="14"/>
      <c r="P16621" s="13"/>
    </row>
    <row r="16622">
      <c r="L16622" s="13"/>
      <c r="M16622" s="14"/>
      <c r="N16622" s="14"/>
      <c r="O16622" s="14"/>
      <c r="P16622" s="13"/>
    </row>
    <row r="16623">
      <c r="L16623" s="13"/>
      <c r="M16623" s="14"/>
      <c r="N16623" s="14"/>
      <c r="O16623" s="14"/>
      <c r="P16623" s="13"/>
    </row>
    <row r="16624">
      <c r="L16624" s="13"/>
      <c r="M16624" s="14"/>
      <c r="N16624" s="14"/>
      <c r="O16624" s="14"/>
      <c r="P16624" s="13"/>
    </row>
    <row r="16625">
      <c r="L16625" s="13"/>
      <c r="M16625" s="14"/>
      <c r="N16625" s="14"/>
      <c r="O16625" s="14"/>
      <c r="P16625" s="13"/>
    </row>
    <row r="16626">
      <c r="L16626" s="13"/>
      <c r="M16626" s="14"/>
      <c r="N16626" s="14"/>
      <c r="O16626" s="14"/>
      <c r="P16626" s="13"/>
    </row>
    <row r="16627">
      <c r="L16627" s="13"/>
      <c r="M16627" s="14"/>
      <c r="N16627" s="14"/>
      <c r="O16627" s="14"/>
      <c r="P16627" s="13"/>
    </row>
    <row r="16628">
      <c r="L16628" s="13"/>
      <c r="M16628" s="14"/>
      <c r="N16628" s="14"/>
      <c r="O16628" s="14"/>
      <c r="P16628" s="13"/>
    </row>
    <row r="16629">
      <c r="L16629" s="13"/>
      <c r="M16629" s="14"/>
      <c r="N16629" s="14"/>
      <c r="O16629" s="14"/>
      <c r="P16629" s="13"/>
    </row>
    <row r="16630">
      <c r="L16630" s="13"/>
      <c r="M16630" s="14"/>
      <c r="N16630" s="14"/>
      <c r="O16630" s="14"/>
      <c r="P16630" s="13"/>
    </row>
    <row r="16631">
      <c r="L16631" s="13"/>
      <c r="M16631" s="14"/>
      <c r="N16631" s="14"/>
      <c r="O16631" s="14"/>
      <c r="P16631" s="13"/>
    </row>
    <row r="16632">
      <c r="L16632" s="13"/>
      <c r="M16632" s="14"/>
      <c r="N16632" s="14"/>
      <c r="O16632" s="14"/>
      <c r="P16632" s="13"/>
    </row>
    <row r="16633">
      <c r="L16633" s="13"/>
      <c r="M16633" s="14"/>
      <c r="N16633" s="14"/>
      <c r="O16633" s="14"/>
      <c r="P16633" s="13"/>
    </row>
    <row r="16634">
      <c r="L16634" s="13"/>
      <c r="M16634" s="14"/>
      <c r="N16634" s="14"/>
      <c r="O16634" s="14"/>
      <c r="P16634" s="13"/>
    </row>
    <row r="16635">
      <c r="L16635" s="13"/>
      <c r="M16635" s="14"/>
      <c r="N16635" s="14"/>
      <c r="O16635" s="14"/>
      <c r="P16635" s="13"/>
    </row>
    <row r="16636">
      <c r="L16636" s="13"/>
      <c r="M16636" s="14"/>
      <c r="N16636" s="14"/>
      <c r="O16636" s="14"/>
      <c r="P16636" s="13"/>
    </row>
    <row r="16637">
      <c r="L16637" s="13"/>
      <c r="M16637" s="14"/>
      <c r="N16637" s="14"/>
      <c r="O16637" s="14"/>
      <c r="P16637" s="13"/>
    </row>
    <row r="16638">
      <c r="L16638" s="13"/>
      <c r="M16638" s="14"/>
      <c r="N16638" s="14"/>
      <c r="O16638" s="14"/>
      <c r="P16638" s="13"/>
    </row>
    <row r="16639">
      <c r="L16639" s="13"/>
      <c r="M16639" s="14"/>
      <c r="N16639" s="14"/>
      <c r="O16639" s="14"/>
      <c r="P16639" s="13"/>
    </row>
    <row r="16640">
      <c r="L16640" s="13"/>
      <c r="M16640" s="14"/>
      <c r="N16640" s="14"/>
      <c r="O16640" s="14"/>
      <c r="P16640" s="13"/>
    </row>
    <row r="16641">
      <c r="L16641" s="13"/>
      <c r="M16641" s="14"/>
      <c r="N16641" s="14"/>
      <c r="O16641" s="14"/>
      <c r="P16641" s="13"/>
    </row>
    <row r="16642">
      <c r="L16642" s="13"/>
      <c r="M16642" s="14"/>
      <c r="N16642" s="14"/>
      <c r="O16642" s="14"/>
      <c r="P16642" s="13"/>
    </row>
    <row r="16643">
      <c r="L16643" s="13"/>
      <c r="M16643" s="14"/>
      <c r="N16643" s="14"/>
      <c r="O16643" s="14"/>
      <c r="P16643" s="13"/>
    </row>
    <row r="16644">
      <c r="L16644" s="13"/>
      <c r="M16644" s="14"/>
      <c r="N16644" s="14"/>
      <c r="O16644" s="14"/>
      <c r="P16644" s="13"/>
    </row>
    <row r="16645">
      <c r="L16645" s="13"/>
      <c r="M16645" s="14"/>
      <c r="N16645" s="14"/>
      <c r="O16645" s="14"/>
      <c r="P16645" s="13"/>
    </row>
    <row r="16646">
      <c r="L16646" s="13"/>
      <c r="M16646" s="14"/>
      <c r="N16646" s="14"/>
      <c r="O16646" s="14"/>
      <c r="P16646" s="13"/>
    </row>
    <row r="16647">
      <c r="L16647" s="13"/>
      <c r="M16647" s="14"/>
      <c r="N16647" s="14"/>
      <c r="O16647" s="14"/>
      <c r="P16647" s="13"/>
    </row>
    <row r="16648">
      <c r="L16648" s="13"/>
      <c r="M16648" s="14"/>
      <c r="N16648" s="14"/>
      <c r="O16648" s="14"/>
      <c r="P16648" s="13"/>
    </row>
    <row r="16649">
      <c r="L16649" s="13"/>
      <c r="M16649" s="14"/>
      <c r="N16649" s="14"/>
      <c r="O16649" s="14"/>
      <c r="P16649" s="13"/>
    </row>
    <row r="16650">
      <c r="L16650" s="13"/>
      <c r="M16650" s="14"/>
      <c r="N16650" s="14"/>
      <c r="O16650" s="14"/>
      <c r="P16650" s="13"/>
    </row>
    <row r="16651">
      <c r="L16651" s="13"/>
      <c r="M16651" s="14"/>
      <c r="N16651" s="14"/>
      <c r="O16651" s="14"/>
      <c r="P16651" s="13"/>
    </row>
    <row r="16652">
      <c r="L16652" s="13"/>
      <c r="M16652" s="14"/>
      <c r="N16652" s="14"/>
      <c r="O16652" s="14"/>
      <c r="P16652" s="13"/>
    </row>
    <row r="16653">
      <c r="L16653" s="13"/>
      <c r="M16653" s="14"/>
      <c r="N16653" s="14"/>
      <c r="O16653" s="14"/>
      <c r="P16653" s="13"/>
    </row>
    <row r="16654">
      <c r="L16654" s="13"/>
      <c r="M16654" s="14"/>
      <c r="N16654" s="14"/>
      <c r="O16654" s="14"/>
      <c r="P16654" s="13"/>
    </row>
    <row r="16655">
      <c r="L16655" s="13"/>
      <c r="M16655" s="14"/>
      <c r="N16655" s="14"/>
      <c r="O16655" s="14"/>
      <c r="P16655" s="13"/>
    </row>
    <row r="16656">
      <c r="L16656" s="13"/>
      <c r="M16656" s="14"/>
      <c r="N16656" s="14"/>
      <c r="O16656" s="14"/>
      <c r="P16656" s="13"/>
    </row>
    <row r="16657">
      <c r="L16657" s="13"/>
      <c r="M16657" s="14"/>
      <c r="N16657" s="14"/>
      <c r="O16657" s="14"/>
      <c r="P16657" s="13"/>
    </row>
    <row r="16658">
      <c r="L16658" s="13"/>
      <c r="M16658" s="14"/>
      <c r="N16658" s="14"/>
      <c r="O16658" s="14"/>
      <c r="P16658" s="13"/>
    </row>
    <row r="16659">
      <c r="L16659" s="13"/>
      <c r="M16659" s="14"/>
      <c r="N16659" s="14"/>
      <c r="O16659" s="14"/>
      <c r="P16659" s="13"/>
    </row>
    <row r="16660">
      <c r="L16660" s="13"/>
      <c r="M16660" s="14"/>
      <c r="N16660" s="14"/>
      <c r="O16660" s="14"/>
      <c r="P16660" s="13"/>
    </row>
    <row r="16661">
      <c r="L16661" s="13"/>
      <c r="M16661" s="14"/>
      <c r="N16661" s="14"/>
      <c r="O16661" s="14"/>
      <c r="P16661" s="13"/>
    </row>
    <row r="16662">
      <c r="L16662" s="13"/>
      <c r="M16662" s="14"/>
      <c r="N16662" s="14"/>
      <c r="O16662" s="14"/>
      <c r="P16662" s="13"/>
    </row>
    <row r="16663">
      <c r="L16663" s="13"/>
      <c r="M16663" s="14"/>
      <c r="N16663" s="14"/>
      <c r="O16663" s="14"/>
      <c r="P16663" s="13"/>
    </row>
    <row r="16664">
      <c r="L16664" s="13"/>
      <c r="M16664" s="14"/>
      <c r="N16664" s="14"/>
      <c r="O16664" s="14"/>
      <c r="P16664" s="13"/>
    </row>
    <row r="16665">
      <c r="L16665" s="13"/>
      <c r="M16665" s="14"/>
      <c r="N16665" s="14"/>
      <c r="O16665" s="14"/>
      <c r="P16665" s="13"/>
    </row>
    <row r="16666">
      <c r="L16666" s="13"/>
      <c r="M16666" s="14"/>
      <c r="N16666" s="14"/>
      <c r="O16666" s="14"/>
      <c r="P16666" s="13"/>
    </row>
    <row r="16667">
      <c r="L16667" s="13"/>
      <c r="M16667" s="14"/>
      <c r="N16667" s="14"/>
      <c r="O16667" s="14"/>
      <c r="P16667" s="13"/>
    </row>
    <row r="16668">
      <c r="L16668" s="13"/>
      <c r="M16668" s="14"/>
      <c r="N16668" s="14"/>
      <c r="O16668" s="14"/>
      <c r="P16668" s="13"/>
    </row>
    <row r="16669">
      <c r="L16669" s="13"/>
      <c r="M16669" s="14"/>
      <c r="N16669" s="14"/>
      <c r="O16669" s="14"/>
      <c r="P16669" s="13"/>
    </row>
    <row r="16670">
      <c r="L16670" s="13"/>
      <c r="M16670" s="14"/>
      <c r="N16670" s="14"/>
      <c r="O16670" s="14"/>
      <c r="P16670" s="13"/>
    </row>
    <row r="16671">
      <c r="L16671" s="13"/>
      <c r="M16671" s="14"/>
      <c r="N16671" s="14"/>
      <c r="O16671" s="14"/>
      <c r="P16671" s="13"/>
    </row>
    <row r="16672">
      <c r="L16672" s="13"/>
      <c r="M16672" s="14"/>
      <c r="N16672" s="14"/>
      <c r="O16672" s="14"/>
      <c r="P16672" s="13"/>
    </row>
    <row r="16673">
      <c r="L16673" s="13"/>
      <c r="M16673" s="14"/>
      <c r="N16673" s="14"/>
      <c r="O16673" s="14"/>
      <c r="P16673" s="13"/>
    </row>
    <row r="16674">
      <c r="L16674" s="13"/>
      <c r="M16674" s="14"/>
      <c r="N16674" s="14"/>
      <c r="O16674" s="14"/>
      <c r="P16674" s="13"/>
    </row>
    <row r="16675">
      <c r="L16675" s="13"/>
      <c r="M16675" s="14"/>
      <c r="N16675" s="14"/>
      <c r="O16675" s="14"/>
      <c r="P16675" s="13"/>
    </row>
    <row r="16676">
      <c r="L16676" s="13"/>
      <c r="M16676" s="14"/>
      <c r="N16676" s="14"/>
      <c r="O16676" s="14"/>
      <c r="P16676" s="13"/>
    </row>
    <row r="16677">
      <c r="L16677" s="13"/>
      <c r="M16677" s="14"/>
      <c r="N16677" s="14"/>
      <c r="O16677" s="14"/>
      <c r="P16677" s="13"/>
    </row>
    <row r="16678">
      <c r="L16678" s="13"/>
      <c r="M16678" s="14"/>
      <c r="N16678" s="14"/>
      <c r="O16678" s="14"/>
      <c r="P16678" s="13"/>
    </row>
    <row r="16679">
      <c r="L16679" s="13"/>
      <c r="M16679" s="14"/>
      <c r="N16679" s="14"/>
      <c r="O16679" s="14"/>
      <c r="P16679" s="13"/>
    </row>
    <row r="16680">
      <c r="L16680" s="13"/>
      <c r="M16680" s="14"/>
      <c r="N16680" s="14"/>
      <c r="O16680" s="14"/>
      <c r="P16680" s="13"/>
    </row>
    <row r="16681">
      <c r="L16681" s="13"/>
      <c r="M16681" s="14"/>
      <c r="N16681" s="14"/>
      <c r="O16681" s="14"/>
      <c r="P16681" s="13"/>
    </row>
    <row r="16682">
      <c r="L16682" s="13"/>
      <c r="M16682" s="14"/>
      <c r="N16682" s="14"/>
      <c r="O16682" s="14"/>
      <c r="P16682" s="13"/>
    </row>
    <row r="16683">
      <c r="L16683" s="13"/>
      <c r="M16683" s="14"/>
      <c r="N16683" s="14"/>
      <c r="O16683" s="14"/>
      <c r="P16683" s="13"/>
    </row>
    <row r="16684">
      <c r="L16684" s="13"/>
      <c r="M16684" s="14"/>
      <c r="N16684" s="14"/>
      <c r="O16684" s="14"/>
      <c r="P16684" s="13"/>
    </row>
    <row r="16685">
      <c r="L16685" s="13"/>
      <c r="M16685" s="14"/>
      <c r="N16685" s="14"/>
      <c r="O16685" s="14"/>
      <c r="P16685" s="13"/>
    </row>
    <row r="16686">
      <c r="L16686" s="13"/>
      <c r="M16686" s="14"/>
      <c r="N16686" s="14"/>
      <c r="O16686" s="14"/>
      <c r="P16686" s="13"/>
    </row>
    <row r="16687">
      <c r="L16687" s="13"/>
      <c r="M16687" s="14"/>
      <c r="N16687" s="14"/>
      <c r="O16687" s="14"/>
      <c r="P16687" s="13"/>
    </row>
    <row r="16688">
      <c r="L16688" s="13"/>
      <c r="M16688" s="14"/>
      <c r="N16688" s="14"/>
      <c r="O16688" s="14"/>
      <c r="P16688" s="13"/>
    </row>
    <row r="16689">
      <c r="L16689" s="13"/>
      <c r="M16689" s="14"/>
      <c r="N16689" s="14"/>
      <c r="O16689" s="14"/>
      <c r="P16689" s="13"/>
    </row>
    <row r="16690">
      <c r="L16690" s="13"/>
      <c r="M16690" s="14"/>
      <c r="N16690" s="14"/>
      <c r="O16690" s="14"/>
      <c r="P16690" s="13"/>
    </row>
    <row r="16691">
      <c r="L16691" s="13"/>
      <c r="M16691" s="14"/>
      <c r="N16691" s="14"/>
      <c r="O16691" s="14"/>
      <c r="P16691" s="13"/>
    </row>
    <row r="16692">
      <c r="L16692" s="13"/>
      <c r="M16692" s="14"/>
      <c r="N16692" s="14"/>
      <c r="O16692" s="14"/>
      <c r="P16692" s="13"/>
    </row>
    <row r="16693">
      <c r="L16693" s="13"/>
      <c r="M16693" s="14"/>
      <c r="N16693" s="14"/>
      <c r="O16693" s="14"/>
      <c r="P16693" s="13"/>
    </row>
    <row r="16694">
      <c r="L16694" s="13"/>
      <c r="M16694" s="14"/>
      <c r="N16694" s="14"/>
      <c r="O16694" s="14"/>
      <c r="P16694" s="13"/>
    </row>
    <row r="16695">
      <c r="L16695" s="13"/>
      <c r="M16695" s="14"/>
      <c r="N16695" s="14"/>
      <c r="O16695" s="14"/>
      <c r="P16695" s="13"/>
    </row>
    <row r="16696">
      <c r="L16696" s="13"/>
      <c r="M16696" s="14"/>
      <c r="N16696" s="14"/>
      <c r="O16696" s="14"/>
      <c r="P16696" s="13"/>
    </row>
    <row r="16697">
      <c r="L16697" s="13"/>
      <c r="M16697" s="14"/>
      <c r="N16697" s="14"/>
      <c r="O16697" s="14"/>
      <c r="P16697" s="13"/>
    </row>
    <row r="16698">
      <c r="L16698" s="13"/>
      <c r="M16698" s="14"/>
      <c r="N16698" s="14"/>
      <c r="O16698" s="14"/>
      <c r="P16698" s="13"/>
    </row>
    <row r="16699">
      <c r="L16699" s="13"/>
      <c r="M16699" s="14"/>
      <c r="N16699" s="14"/>
      <c r="O16699" s="14"/>
      <c r="P16699" s="13"/>
    </row>
    <row r="16700">
      <c r="L16700" s="13"/>
      <c r="M16700" s="14"/>
      <c r="N16700" s="14"/>
      <c r="O16700" s="14"/>
      <c r="P16700" s="13"/>
    </row>
    <row r="16701">
      <c r="L16701" s="13"/>
      <c r="M16701" s="14"/>
      <c r="N16701" s="14"/>
      <c r="O16701" s="14"/>
      <c r="P16701" s="13"/>
    </row>
    <row r="16702">
      <c r="L16702" s="13"/>
      <c r="M16702" s="14"/>
      <c r="N16702" s="14"/>
      <c r="O16702" s="14"/>
      <c r="P16702" s="13"/>
    </row>
    <row r="16703">
      <c r="L16703" s="13"/>
      <c r="M16703" s="14"/>
      <c r="N16703" s="14"/>
      <c r="O16703" s="14"/>
      <c r="P16703" s="13"/>
    </row>
    <row r="16704">
      <c r="L16704" s="13"/>
      <c r="M16704" s="14"/>
      <c r="N16704" s="14"/>
      <c r="O16704" s="14"/>
      <c r="P16704" s="13"/>
    </row>
    <row r="16705">
      <c r="L16705" s="13"/>
      <c r="M16705" s="14"/>
      <c r="N16705" s="14"/>
      <c r="O16705" s="14"/>
      <c r="P16705" s="13"/>
    </row>
    <row r="16706">
      <c r="L16706" s="13"/>
      <c r="M16706" s="14"/>
      <c r="N16706" s="14"/>
      <c r="O16706" s="14"/>
      <c r="P16706" s="13"/>
    </row>
    <row r="16707">
      <c r="L16707" s="13"/>
      <c r="M16707" s="14"/>
      <c r="N16707" s="14"/>
      <c r="O16707" s="14"/>
      <c r="P16707" s="13"/>
    </row>
    <row r="16708">
      <c r="L16708" s="13"/>
      <c r="M16708" s="14"/>
      <c r="N16708" s="14"/>
      <c r="O16708" s="14"/>
      <c r="P16708" s="13"/>
    </row>
    <row r="16709">
      <c r="L16709" s="13"/>
      <c r="M16709" s="14"/>
      <c r="N16709" s="14"/>
      <c r="O16709" s="14"/>
      <c r="P16709" s="13"/>
    </row>
    <row r="16710">
      <c r="L16710" s="13"/>
      <c r="M16710" s="14"/>
      <c r="N16710" s="14"/>
      <c r="O16710" s="14"/>
      <c r="P16710" s="13"/>
    </row>
    <row r="16711">
      <c r="L16711" s="13"/>
      <c r="M16711" s="14"/>
      <c r="N16711" s="14"/>
      <c r="O16711" s="14"/>
      <c r="P16711" s="13"/>
    </row>
    <row r="16712">
      <c r="L16712" s="13"/>
      <c r="M16712" s="14"/>
      <c r="N16712" s="14"/>
      <c r="O16712" s="14"/>
      <c r="P16712" s="13"/>
    </row>
    <row r="16713">
      <c r="L16713" s="13"/>
      <c r="M16713" s="14"/>
      <c r="N16713" s="14"/>
      <c r="O16713" s="14"/>
      <c r="P16713" s="13"/>
    </row>
    <row r="16714">
      <c r="L16714" s="13"/>
      <c r="M16714" s="14"/>
      <c r="N16714" s="14"/>
      <c r="O16714" s="14"/>
      <c r="P16714" s="13"/>
    </row>
    <row r="16715">
      <c r="L16715" s="13"/>
      <c r="M16715" s="14"/>
      <c r="N16715" s="14"/>
      <c r="O16715" s="14"/>
      <c r="P16715" s="13"/>
    </row>
    <row r="16716">
      <c r="L16716" s="13"/>
      <c r="M16716" s="14"/>
      <c r="N16716" s="14"/>
      <c r="O16716" s="14"/>
      <c r="P16716" s="13"/>
    </row>
    <row r="16717">
      <c r="L16717" s="13"/>
      <c r="M16717" s="14"/>
      <c r="N16717" s="14"/>
      <c r="O16717" s="14"/>
      <c r="P16717" s="13"/>
    </row>
    <row r="16718">
      <c r="L16718" s="13"/>
      <c r="M16718" s="14"/>
      <c r="N16718" s="14"/>
      <c r="O16718" s="14"/>
      <c r="P16718" s="13"/>
    </row>
    <row r="16719">
      <c r="L16719" s="13"/>
      <c r="M16719" s="14"/>
      <c r="N16719" s="14"/>
      <c r="O16719" s="14"/>
      <c r="P16719" s="13"/>
    </row>
    <row r="16720">
      <c r="L16720" s="13"/>
      <c r="M16720" s="14"/>
      <c r="N16720" s="14"/>
      <c r="O16720" s="14"/>
      <c r="P16720" s="13"/>
    </row>
    <row r="16721">
      <c r="L16721" s="13"/>
      <c r="M16721" s="14"/>
      <c r="N16721" s="14"/>
      <c r="O16721" s="14"/>
      <c r="P16721" s="13"/>
    </row>
    <row r="16722">
      <c r="L16722" s="13"/>
      <c r="M16722" s="14"/>
      <c r="N16722" s="14"/>
      <c r="O16722" s="14"/>
      <c r="P16722" s="13"/>
    </row>
    <row r="16723">
      <c r="L16723" s="13"/>
      <c r="M16723" s="14"/>
      <c r="N16723" s="14"/>
      <c r="O16723" s="14"/>
      <c r="P16723" s="13"/>
    </row>
    <row r="16724">
      <c r="L16724" s="13"/>
      <c r="M16724" s="14"/>
      <c r="N16724" s="14"/>
      <c r="O16724" s="14"/>
      <c r="P16724" s="13"/>
    </row>
    <row r="16725">
      <c r="L16725" s="13"/>
      <c r="M16725" s="14"/>
      <c r="N16725" s="14"/>
      <c r="O16725" s="14"/>
      <c r="P16725" s="13"/>
    </row>
    <row r="16726">
      <c r="L16726" s="13"/>
      <c r="M16726" s="14"/>
      <c r="N16726" s="14"/>
      <c r="O16726" s="14"/>
      <c r="P16726" s="13"/>
    </row>
    <row r="16727">
      <c r="L16727" s="13"/>
      <c r="M16727" s="14"/>
      <c r="N16727" s="14"/>
      <c r="O16727" s="14"/>
      <c r="P16727" s="13"/>
    </row>
    <row r="16728">
      <c r="L16728" s="13"/>
      <c r="M16728" s="14"/>
      <c r="N16728" s="14"/>
      <c r="O16728" s="14"/>
      <c r="P16728" s="13"/>
    </row>
    <row r="16729">
      <c r="L16729" s="13"/>
      <c r="M16729" s="14"/>
      <c r="N16729" s="14"/>
      <c r="O16729" s="14"/>
      <c r="P16729" s="13"/>
    </row>
    <row r="16730">
      <c r="L16730" s="13"/>
      <c r="M16730" s="14"/>
      <c r="N16730" s="14"/>
      <c r="O16730" s="14"/>
      <c r="P16730" s="13"/>
    </row>
    <row r="16731">
      <c r="L16731" s="13"/>
      <c r="M16731" s="14"/>
      <c r="N16731" s="14"/>
      <c r="O16731" s="14"/>
      <c r="P16731" s="13"/>
    </row>
    <row r="16732">
      <c r="L16732" s="13"/>
      <c r="M16732" s="14"/>
      <c r="N16732" s="14"/>
      <c r="O16732" s="14"/>
      <c r="P16732" s="13"/>
    </row>
    <row r="16733">
      <c r="L16733" s="13"/>
      <c r="M16733" s="14"/>
      <c r="N16733" s="14"/>
      <c r="O16733" s="14"/>
      <c r="P16733" s="13"/>
    </row>
    <row r="16734">
      <c r="L16734" s="13"/>
      <c r="M16734" s="14"/>
      <c r="N16734" s="14"/>
      <c r="O16734" s="14"/>
      <c r="P16734" s="13"/>
    </row>
    <row r="16735">
      <c r="L16735" s="13"/>
      <c r="M16735" s="14"/>
      <c r="N16735" s="14"/>
      <c r="O16735" s="14"/>
      <c r="P16735" s="13"/>
    </row>
    <row r="16736">
      <c r="L16736" s="13"/>
      <c r="M16736" s="14"/>
      <c r="N16736" s="14"/>
      <c r="O16736" s="14"/>
      <c r="P16736" s="13"/>
    </row>
    <row r="16737">
      <c r="L16737" s="13"/>
      <c r="M16737" s="14"/>
      <c r="N16737" s="14"/>
      <c r="O16737" s="14"/>
      <c r="P16737" s="13"/>
    </row>
    <row r="16738">
      <c r="L16738" s="13"/>
      <c r="M16738" s="14"/>
      <c r="N16738" s="14"/>
      <c r="O16738" s="14"/>
      <c r="P16738" s="13"/>
    </row>
    <row r="16739">
      <c r="L16739" s="13"/>
      <c r="M16739" s="14"/>
      <c r="N16739" s="14"/>
      <c r="O16739" s="14"/>
      <c r="P16739" s="13"/>
    </row>
    <row r="16740">
      <c r="L16740" s="13"/>
      <c r="M16740" s="14"/>
      <c r="N16740" s="14"/>
      <c r="O16740" s="14"/>
      <c r="P16740" s="13"/>
    </row>
    <row r="16741">
      <c r="L16741" s="13"/>
      <c r="M16741" s="14"/>
      <c r="N16741" s="14"/>
      <c r="O16741" s="14"/>
      <c r="P16741" s="13"/>
    </row>
    <row r="16742">
      <c r="L16742" s="13"/>
      <c r="M16742" s="14"/>
      <c r="N16742" s="14"/>
      <c r="O16742" s="14"/>
      <c r="P16742" s="13"/>
    </row>
    <row r="16743">
      <c r="L16743" s="13"/>
      <c r="M16743" s="14"/>
      <c r="N16743" s="14"/>
      <c r="O16743" s="14"/>
      <c r="P16743" s="13"/>
    </row>
    <row r="16744">
      <c r="L16744" s="13"/>
      <c r="M16744" s="14"/>
      <c r="N16744" s="14"/>
      <c r="O16744" s="14"/>
      <c r="P16744" s="13"/>
    </row>
    <row r="16745">
      <c r="L16745" s="13"/>
      <c r="M16745" s="14"/>
      <c r="N16745" s="14"/>
      <c r="O16745" s="14"/>
      <c r="P16745" s="13"/>
    </row>
    <row r="16746">
      <c r="L16746" s="13"/>
      <c r="M16746" s="14"/>
      <c r="N16746" s="14"/>
      <c r="O16746" s="14"/>
      <c r="P16746" s="13"/>
    </row>
    <row r="16747">
      <c r="L16747" s="13"/>
      <c r="M16747" s="14"/>
      <c r="N16747" s="14"/>
      <c r="O16747" s="14"/>
      <c r="P16747" s="13"/>
    </row>
    <row r="16748">
      <c r="L16748" s="13"/>
      <c r="M16748" s="14"/>
      <c r="N16748" s="14"/>
      <c r="O16748" s="14"/>
      <c r="P16748" s="13"/>
    </row>
    <row r="16749">
      <c r="L16749" s="13"/>
      <c r="M16749" s="14"/>
      <c r="N16749" s="14"/>
      <c r="O16749" s="14"/>
      <c r="P16749" s="13"/>
    </row>
    <row r="16750">
      <c r="L16750" s="13"/>
      <c r="M16750" s="14"/>
      <c r="N16750" s="14"/>
      <c r="O16750" s="14"/>
      <c r="P16750" s="13"/>
    </row>
    <row r="16751">
      <c r="L16751" s="13"/>
      <c r="M16751" s="14"/>
      <c r="N16751" s="14"/>
      <c r="O16751" s="14"/>
      <c r="P16751" s="13"/>
    </row>
    <row r="16752">
      <c r="L16752" s="13"/>
      <c r="M16752" s="14"/>
      <c r="N16752" s="14"/>
      <c r="O16752" s="14"/>
      <c r="P16752" s="13"/>
    </row>
    <row r="16753">
      <c r="L16753" s="13"/>
      <c r="M16753" s="14"/>
      <c r="N16753" s="14"/>
      <c r="O16753" s="14"/>
      <c r="P16753" s="13"/>
    </row>
    <row r="16754">
      <c r="L16754" s="13"/>
      <c r="M16754" s="14"/>
      <c r="N16754" s="14"/>
      <c r="O16754" s="14"/>
      <c r="P16754" s="13"/>
    </row>
    <row r="16755">
      <c r="L16755" s="13"/>
      <c r="M16755" s="14"/>
      <c r="N16755" s="14"/>
      <c r="O16755" s="14"/>
      <c r="P16755" s="13"/>
    </row>
    <row r="16756">
      <c r="L16756" s="13"/>
      <c r="M16756" s="14"/>
      <c r="N16756" s="14"/>
      <c r="O16756" s="14"/>
      <c r="P16756" s="13"/>
    </row>
    <row r="16757">
      <c r="L16757" s="13"/>
      <c r="M16757" s="14"/>
      <c r="N16757" s="14"/>
      <c r="O16757" s="14"/>
      <c r="P16757" s="13"/>
    </row>
    <row r="16758">
      <c r="L16758" s="13"/>
      <c r="M16758" s="14"/>
      <c r="N16758" s="14"/>
      <c r="O16758" s="14"/>
      <c r="P16758" s="13"/>
    </row>
    <row r="16759">
      <c r="L16759" s="13"/>
      <c r="M16759" s="14"/>
      <c r="N16759" s="14"/>
      <c r="O16759" s="14"/>
      <c r="P16759" s="13"/>
    </row>
    <row r="16760">
      <c r="L16760" s="13"/>
      <c r="M16760" s="14"/>
      <c r="N16760" s="14"/>
      <c r="O16760" s="14"/>
      <c r="P16760" s="13"/>
    </row>
    <row r="16761">
      <c r="L16761" s="13"/>
      <c r="M16761" s="14"/>
      <c r="N16761" s="14"/>
      <c r="O16761" s="14"/>
      <c r="P16761" s="13"/>
    </row>
    <row r="16762">
      <c r="L16762" s="13"/>
      <c r="M16762" s="14"/>
      <c r="N16762" s="14"/>
      <c r="O16762" s="14"/>
      <c r="P16762" s="13"/>
    </row>
    <row r="16763">
      <c r="L16763" s="13"/>
      <c r="M16763" s="14"/>
      <c r="N16763" s="14"/>
      <c r="O16763" s="14"/>
      <c r="P16763" s="13"/>
    </row>
    <row r="16764">
      <c r="L16764" s="13"/>
      <c r="M16764" s="14"/>
      <c r="N16764" s="14"/>
      <c r="O16764" s="14"/>
      <c r="P16764" s="13"/>
    </row>
    <row r="16765">
      <c r="L16765" s="13"/>
      <c r="M16765" s="14"/>
      <c r="N16765" s="14"/>
      <c r="O16765" s="14"/>
      <c r="P16765" s="13"/>
    </row>
    <row r="16766">
      <c r="L16766" s="13"/>
      <c r="M16766" s="14"/>
      <c r="N16766" s="14"/>
      <c r="O16766" s="14"/>
      <c r="P16766" s="13"/>
    </row>
    <row r="16767">
      <c r="L16767" s="13"/>
      <c r="M16767" s="14"/>
      <c r="N16767" s="14"/>
      <c r="O16767" s="14"/>
      <c r="P16767" s="13"/>
    </row>
    <row r="16768">
      <c r="L16768" s="13"/>
      <c r="M16768" s="14"/>
      <c r="N16768" s="14"/>
      <c r="O16768" s="14"/>
      <c r="P16768" s="13"/>
    </row>
    <row r="16769">
      <c r="L16769" s="13"/>
      <c r="M16769" s="14"/>
      <c r="N16769" s="14"/>
      <c r="O16769" s="14"/>
      <c r="P16769" s="13"/>
    </row>
    <row r="16770">
      <c r="L16770" s="13"/>
      <c r="M16770" s="14"/>
      <c r="N16770" s="14"/>
      <c r="O16770" s="14"/>
      <c r="P16770" s="13"/>
    </row>
    <row r="16771">
      <c r="L16771" s="13"/>
      <c r="M16771" s="14"/>
      <c r="N16771" s="14"/>
      <c r="O16771" s="14"/>
      <c r="P16771" s="13"/>
    </row>
    <row r="16772">
      <c r="L16772" s="13"/>
      <c r="M16772" s="14"/>
      <c r="N16772" s="14"/>
      <c r="O16772" s="14"/>
      <c r="P16772" s="13"/>
    </row>
    <row r="16773">
      <c r="L16773" s="13"/>
      <c r="M16773" s="14"/>
      <c r="N16773" s="14"/>
      <c r="O16773" s="14"/>
      <c r="P16773" s="13"/>
    </row>
    <row r="16774">
      <c r="L16774" s="13"/>
      <c r="M16774" s="14"/>
      <c r="N16774" s="14"/>
      <c r="O16774" s="14"/>
      <c r="P16774" s="13"/>
    </row>
    <row r="16775">
      <c r="L16775" s="13"/>
      <c r="M16775" s="14"/>
      <c r="N16775" s="14"/>
      <c r="O16775" s="14"/>
      <c r="P16775" s="13"/>
    </row>
    <row r="16776">
      <c r="L16776" s="13"/>
      <c r="M16776" s="14"/>
      <c r="N16776" s="14"/>
      <c r="O16776" s="14"/>
      <c r="P16776" s="13"/>
    </row>
    <row r="16777">
      <c r="L16777" s="13"/>
      <c r="M16777" s="14"/>
      <c r="N16777" s="14"/>
      <c r="O16777" s="14"/>
      <c r="P16777" s="13"/>
    </row>
    <row r="16778">
      <c r="L16778" s="13"/>
      <c r="M16778" s="14"/>
      <c r="N16778" s="14"/>
      <c r="O16778" s="14"/>
      <c r="P16778" s="13"/>
    </row>
    <row r="16779">
      <c r="L16779" s="13"/>
      <c r="M16779" s="14"/>
      <c r="N16779" s="14"/>
      <c r="O16779" s="14"/>
      <c r="P16779" s="13"/>
    </row>
    <row r="16780">
      <c r="L16780" s="13"/>
      <c r="M16780" s="14"/>
      <c r="N16780" s="14"/>
      <c r="O16780" s="14"/>
      <c r="P16780" s="13"/>
    </row>
    <row r="16781">
      <c r="L16781" s="13"/>
      <c r="M16781" s="14"/>
      <c r="N16781" s="14"/>
      <c r="O16781" s="14"/>
      <c r="P16781" s="13"/>
    </row>
    <row r="16782">
      <c r="L16782" s="13"/>
      <c r="M16782" s="14"/>
      <c r="N16782" s="14"/>
      <c r="O16782" s="14"/>
      <c r="P16782" s="13"/>
    </row>
    <row r="16783">
      <c r="L16783" s="13"/>
      <c r="M16783" s="14"/>
      <c r="N16783" s="14"/>
      <c r="O16783" s="14"/>
      <c r="P16783" s="13"/>
    </row>
    <row r="16784">
      <c r="L16784" s="13"/>
      <c r="M16784" s="14"/>
      <c r="N16784" s="14"/>
      <c r="O16784" s="14"/>
      <c r="P16784" s="13"/>
    </row>
    <row r="16785">
      <c r="L16785" s="13"/>
      <c r="M16785" s="14"/>
      <c r="N16785" s="14"/>
      <c r="O16785" s="14"/>
      <c r="P16785" s="13"/>
    </row>
    <row r="16786">
      <c r="L16786" s="13"/>
      <c r="M16786" s="14"/>
      <c r="N16786" s="14"/>
      <c r="O16786" s="14"/>
      <c r="P16786" s="13"/>
    </row>
    <row r="16787">
      <c r="L16787" s="13"/>
      <c r="M16787" s="14"/>
      <c r="N16787" s="14"/>
      <c r="O16787" s="14"/>
      <c r="P16787" s="13"/>
    </row>
    <row r="16788">
      <c r="L16788" s="13"/>
      <c r="M16788" s="14"/>
      <c r="N16788" s="14"/>
      <c r="O16788" s="14"/>
      <c r="P16788" s="13"/>
    </row>
    <row r="16789">
      <c r="L16789" s="13"/>
      <c r="M16789" s="14"/>
      <c r="N16789" s="14"/>
      <c r="O16789" s="14"/>
      <c r="P16789" s="13"/>
    </row>
    <row r="16790">
      <c r="L16790" s="13"/>
      <c r="M16790" s="14"/>
      <c r="N16790" s="14"/>
      <c r="O16790" s="14"/>
      <c r="P16790" s="13"/>
    </row>
    <row r="16791">
      <c r="L16791" s="13"/>
      <c r="M16791" s="14"/>
      <c r="N16791" s="14"/>
      <c r="O16791" s="14"/>
      <c r="P16791" s="13"/>
    </row>
    <row r="16792">
      <c r="L16792" s="13"/>
      <c r="M16792" s="14"/>
      <c r="N16792" s="14"/>
      <c r="O16792" s="14"/>
      <c r="P16792" s="13"/>
    </row>
    <row r="16793">
      <c r="L16793" s="13"/>
      <c r="M16793" s="14"/>
      <c r="N16793" s="14"/>
      <c r="O16793" s="14"/>
      <c r="P16793" s="13"/>
    </row>
    <row r="16794">
      <c r="L16794" s="13"/>
      <c r="M16794" s="14"/>
      <c r="N16794" s="14"/>
      <c r="O16794" s="14"/>
      <c r="P16794" s="13"/>
    </row>
    <row r="16795">
      <c r="L16795" s="13"/>
      <c r="M16795" s="14"/>
      <c r="N16795" s="14"/>
      <c r="O16795" s="14"/>
      <c r="P16795" s="13"/>
    </row>
    <row r="16796">
      <c r="L16796" s="13"/>
      <c r="M16796" s="14"/>
      <c r="N16796" s="14"/>
      <c r="O16796" s="14"/>
      <c r="P16796" s="13"/>
    </row>
    <row r="16797">
      <c r="L16797" s="13"/>
      <c r="M16797" s="14"/>
      <c r="N16797" s="14"/>
      <c r="O16797" s="14"/>
      <c r="P16797" s="13"/>
    </row>
    <row r="16798">
      <c r="L16798" s="13"/>
      <c r="M16798" s="14"/>
      <c r="N16798" s="14"/>
      <c r="O16798" s="14"/>
      <c r="P16798" s="13"/>
    </row>
    <row r="16799">
      <c r="L16799" s="13"/>
      <c r="M16799" s="14"/>
      <c r="N16799" s="14"/>
      <c r="O16799" s="14"/>
      <c r="P16799" s="13"/>
    </row>
    <row r="16800">
      <c r="L16800" s="13"/>
      <c r="M16800" s="14"/>
      <c r="N16800" s="14"/>
      <c r="O16800" s="14"/>
      <c r="P16800" s="13"/>
    </row>
    <row r="16801">
      <c r="L16801" s="13"/>
      <c r="M16801" s="14"/>
      <c r="N16801" s="14"/>
      <c r="O16801" s="14"/>
      <c r="P16801" s="13"/>
    </row>
    <row r="16802">
      <c r="L16802" s="13"/>
      <c r="M16802" s="14"/>
      <c r="N16802" s="14"/>
      <c r="O16802" s="14"/>
      <c r="P16802" s="13"/>
    </row>
    <row r="16803">
      <c r="L16803" s="13"/>
      <c r="M16803" s="14"/>
      <c r="N16803" s="14"/>
      <c r="O16803" s="14"/>
      <c r="P16803" s="13"/>
    </row>
    <row r="16804">
      <c r="L16804" s="13"/>
      <c r="M16804" s="14"/>
      <c r="N16804" s="14"/>
      <c r="O16804" s="14"/>
      <c r="P16804" s="13"/>
    </row>
    <row r="16805">
      <c r="L16805" s="13"/>
      <c r="M16805" s="14"/>
      <c r="N16805" s="14"/>
      <c r="O16805" s="14"/>
      <c r="P16805" s="13"/>
    </row>
    <row r="16806">
      <c r="L16806" s="13"/>
      <c r="M16806" s="14"/>
      <c r="N16806" s="14"/>
      <c r="O16806" s="14"/>
      <c r="P16806" s="13"/>
    </row>
    <row r="16807">
      <c r="L16807" s="13"/>
      <c r="M16807" s="14"/>
      <c r="N16807" s="14"/>
      <c r="O16807" s="14"/>
      <c r="P16807" s="13"/>
    </row>
    <row r="16808">
      <c r="L16808" s="13"/>
      <c r="M16808" s="14"/>
      <c r="N16808" s="14"/>
      <c r="O16808" s="14"/>
      <c r="P16808" s="13"/>
    </row>
    <row r="16809">
      <c r="L16809" s="13"/>
      <c r="M16809" s="14"/>
      <c r="N16809" s="14"/>
      <c r="O16809" s="14"/>
      <c r="P16809" s="13"/>
    </row>
    <row r="16810">
      <c r="L16810" s="13"/>
      <c r="M16810" s="14"/>
      <c r="N16810" s="14"/>
      <c r="O16810" s="14"/>
      <c r="P16810" s="13"/>
    </row>
    <row r="16811">
      <c r="L16811" s="13"/>
      <c r="M16811" s="14"/>
      <c r="N16811" s="14"/>
      <c r="O16811" s="14"/>
      <c r="P16811" s="13"/>
    </row>
    <row r="16812">
      <c r="L16812" s="13"/>
      <c r="M16812" s="14"/>
      <c r="N16812" s="14"/>
      <c r="O16812" s="14"/>
      <c r="P16812" s="13"/>
    </row>
    <row r="16813">
      <c r="L16813" s="13"/>
      <c r="M16813" s="14"/>
      <c r="N16813" s="14"/>
      <c r="O16813" s="14"/>
      <c r="P16813" s="13"/>
    </row>
    <row r="16814">
      <c r="L16814" s="13"/>
      <c r="M16814" s="14"/>
      <c r="N16814" s="14"/>
      <c r="O16814" s="14"/>
      <c r="P16814" s="13"/>
    </row>
    <row r="16815">
      <c r="L16815" s="13"/>
      <c r="M16815" s="14"/>
      <c r="N16815" s="14"/>
      <c r="O16815" s="14"/>
      <c r="P16815" s="13"/>
    </row>
    <row r="16816">
      <c r="L16816" s="13"/>
      <c r="M16816" s="14"/>
      <c r="N16816" s="14"/>
      <c r="O16816" s="14"/>
      <c r="P16816" s="13"/>
    </row>
    <row r="16817">
      <c r="L16817" s="13"/>
      <c r="M16817" s="14"/>
      <c r="N16817" s="14"/>
      <c r="O16817" s="14"/>
      <c r="P16817" s="13"/>
    </row>
    <row r="16818">
      <c r="L16818" s="13"/>
      <c r="M16818" s="14"/>
      <c r="N16818" s="14"/>
      <c r="O16818" s="14"/>
      <c r="P16818" s="13"/>
    </row>
    <row r="16819">
      <c r="L16819" s="13"/>
      <c r="M16819" s="14"/>
      <c r="N16819" s="14"/>
      <c r="O16819" s="14"/>
      <c r="P16819" s="13"/>
    </row>
    <row r="16820">
      <c r="L16820" s="13"/>
      <c r="M16820" s="14"/>
      <c r="N16820" s="14"/>
      <c r="O16820" s="14"/>
      <c r="P16820" s="13"/>
    </row>
    <row r="16821">
      <c r="L16821" s="13"/>
      <c r="M16821" s="14"/>
      <c r="N16821" s="14"/>
      <c r="O16821" s="14"/>
      <c r="P16821" s="13"/>
    </row>
    <row r="16822">
      <c r="L16822" s="13"/>
      <c r="M16822" s="14"/>
      <c r="N16822" s="14"/>
      <c r="O16822" s="14"/>
      <c r="P16822" s="13"/>
    </row>
    <row r="16823">
      <c r="L16823" s="13"/>
      <c r="M16823" s="14"/>
      <c r="N16823" s="14"/>
      <c r="O16823" s="14"/>
      <c r="P16823" s="13"/>
    </row>
    <row r="16824">
      <c r="L16824" s="13"/>
      <c r="M16824" s="14"/>
      <c r="N16824" s="14"/>
      <c r="O16824" s="14"/>
      <c r="P16824" s="13"/>
    </row>
    <row r="16825">
      <c r="L16825" s="13"/>
      <c r="M16825" s="14"/>
      <c r="N16825" s="14"/>
      <c r="O16825" s="14"/>
      <c r="P16825" s="13"/>
    </row>
    <row r="16826">
      <c r="L16826" s="13"/>
      <c r="M16826" s="14"/>
      <c r="N16826" s="14"/>
      <c r="O16826" s="14"/>
      <c r="P16826" s="13"/>
    </row>
    <row r="16827">
      <c r="L16827" s="13"/>
      <c r="M16827" s="14"/>
      <c r="N16827" s="14"/>
      <c r="O16827" s="14"/>
      <c r="P16827" s="13"/>
    </row>
    <row r="16828">
      <c r="L16828" s="13"/>
      <c r="M16828" s="14"/>
      <c r="N16828" s="14"/>
      <c r="O16828" s="14"/>
      <c r="P16828" s="13"/>
    </row>
    <row r="16829">
      <c r="L16829" s="13"/>
      <c r="M16829" s="14"/>
      <c r="N16829" s="14"/>
      <c r="O16829" s="14"/>
      <c r="P16829" s="13"/>
    </row>
    <row r="16830">
      <c r="L16830" s="13"/>
      <c r="M16830" s="14"/>
      <c r="N16830" s="14"/>
      <c r="O16830" s="14"/>
      <c r="P16830" s="13"/>
    </row>
    <row r="16831">
      <c r="L16831" s="13"/>
      <c r="M16831" s="14"/>
      <c r="N16831" s="14"/>
      <c r="O16831" s="14"/>
      <c r="P16831" s="13"/>
    </row>
    <row r="16832">
      <c r="L16832" s="13"/>
      <c r="M16832" s="14"/>
      <c r="N16832" s="14"/>
      <c r="O16832" s="14"/>
      <c r="P16832" s="13"/>
    </row>
    <row r="16833">
      <c r="L16833" s="13"/>
      <c r="M16833" s="14"/>
      <c r="N16833" s="14"/>
      <c r="O16833" s="14"/>
      <c r="P16833" s="13"/>
    </row>
    <row r="16834">
      <c r="L16834" s="13"/>
      <c r="M16834" s="14"/>
      <c r="N16834" s="14"/>
      <c r="O16834" s="14"/>
      <c r="P16834" s="13"/>
    </row>
    <row r="16835">
      <c r="L16835" s="13"/>
      <c r="M16835" s="14"/>
      <c r="N16835" s="14"/>
      <c r="O16835" s="14"/>
      <c r="P16835" s="13"/>
    </row>
    <row r="16836">
      <c r="L16836" s="13"/>
      <c r="M16836" s="14"/>
      <c r="N16836" s="14"/>
      <c r="O16836" s="14"/>
      <c r="P16836" s="13"/>
    </row>
    <row r="16837">
      <c r="L16837" s="13"/>
      <c r="M16837" s="14"/>
      <c r="N16837" s="14"/>
      <c r="O16837" s="14"/>
      <c r="P16837" s="13"/>
    </row>
    <row r="16838">
      <c r="L16838" s="13"/>
      <c r="M16838" s="14"/>
      <c r="N16838" s="14"/>
      <c r="O16838" s="14"/>
      <c r="P16838" s="13"/>
    </row>
    <row r="16839">
      <c r="L16839" s="13"/>
      <c r="M16839" s="14"/>
      <c r="N16839" s="14"/>
      <c r="O16839" s="14"/>
      <c r="P16839" s="13"/>
    </row>
    <row r="16840">
      <c r="L16840" s="13"/>
      <c r="M16840" s="14"/>
      <c r="N16840" s="14"/>
      <c r="O16840" s="14"/>
      <c r="P16840" s="13"/>
    </row>
    <row r="16841">
      <c r="L16841" s="13"/>
      <c r="M16841" s="14"/>
      <c r="N16841" s="14"/>
      <c r="O16841" s="14"/>
      <c r="P16841" s="13"/>
    </row>
    <row r="16842">
      <c r="L16842" s="13"/>
      <c r="M16842" s="14"/>
      <c r="N16842" s="14"/>
      <c r="O16842" s="14"/>
      <c r="P16842" s="13"/>
    </row>
    <row r="16843">
      <c r="L16843" s="13"/>
      <c r="M16843" s="14"/>
      <c r="N16843" s="14"/>
      <c r="O16843" s="14"/>
      <c r="P16843" s="13"/>
    </row>
    <row r="16844">
      <c r="L16844" s="13"/>
      <c r="M16844" s="14"/>
      <c r="N16844" s="14"/>
      <c r="O16844" s="14"/>
      <c r="P16844" s="13"/>
    </row>
    <row r="16845">
      <c r="L16845" s="13"/>
      <c r="M16845" s="14"/>
      <c r="N16845" s="14"/>
      <c r="O16845" s="14"/>
      <c r="P16845" s="13"/>
    </row>
    <row r="16846">
      <c r="L16846" s="13"/>
      <c r="M16846" s="14"/>
      <c r="N16846" s="14"/>
      <c r="O16846" s="14"/>
      <c r="P16846" s="13"/>
    </row>
    <row r="16847">
      <c r="L16847" s="13"/>
      <c r="M16847" s="14"/>
      <c r="N16847" s="14"/>
      <c r="O16847" s="14"/>
      <c r="P16847" s="13"/>
    </row>
    <row r="16848">
      <c r="L16848" s="13"/>
      <c r="M16848" s="14"/>
      <c r="N16848" s="14"/>
      <c r="O16848" s="14"/>
      <c r="P16848" s="13"/>
    </row>
    <row r="16849">
      <c r="L16849" s="13"/>
      <c r="M16849" s="14"/>
      <c r="N16849" s="14"/>
      <c r="O16849" s="14"/>
      <c r="P16849" s="13"/>
    </row>
    <row r="16850">
      <c r="L16850" s="13"/>
      <c r="M16850" s="14"/>
      <c r="N16850" s="14"/>
      <c r="O16850" s="14"/>
      <c r="P16850" s="13"/>
    </row>
    <row r="16851">
      <c r="L16851" s="13"/>
      <c r="M16851" s="14"/>
      <c r="N16851" s="14"/>
      <c r="O16851" s="14"/>
      <c r="P16851" s="13"/>
    </row>
    <row r="16852">
      <c r="L16852" s="13"/>
      <c r="M16852" s="14"/>
      <c r="N16852" s="14"/>
      <c r="O16852" s="14"/>
      <c r="P16852" s="13"/>
    </row>
    <row r="16853">
      <c r="L16853" s="13"/>
      <c r="M16853" s="14"/>
      <c r="N16853" s="14"/>
      <c r="O16853" s="14"/>
      <c r="P16853" s="13"/>
    </row>
    <row r="16854">
      <c r="L16854" s="13"/>
      <c r="M16854" s="14"/>
      <c r="N16854" s="14"/>
      <c r="O16854" s="14"/>
      <c r="P16854" s="13"/>
    </row>
    <row r="16855">
      <c r="L16855" s="13"/>
      <c r="M16855" s="14"/>
      <c r="N16855" s="14"/>
      <c r="O16855" s="14"/>
      <c r="P16855" s="13"/>
    </row>
    <row r="16856">
      <c r="L16856" s="13"/>
      <c r="M16856" s="14"/>
      <c r="N16856" s="14"/>
      <c r="O16856" s="14"/>
      <c r="P16856" s="13"/>
    </row>
    <row r="16857">
      <c r="L16857" s="13"/>
      <c r="M16857" s="14"/>
      <c r="N16857" s="14"/>
      <c r="O16857" s="14"/>
      <c r="P16857" s="13"/>
    </row>
    <row r="16858">
      <c r="L16858" s="13"/>
      <c r="M16858" s="14"/>
      <c r="N16858" s="14"/>
      <c r="O16858" s="14"/>
      <c r="P16858" s="13"/>
    </row>
    <row r="16859">
      <c r="L16859" s="13"/>
      <c r="M16859" s="14"/>
      <c r="N16859" s="14"/>
      <c r="O16859" s="14"/>
      <c r="P16859" s="13"/>
    </row>
    <row r="16860">
      <c r="L16860" s="13"/>
      <c r="M16860" s="14"/>
      <c r="N16860" s="14"/>
      <c r="O16860" s="14"/>
      <c r="P16860" s="13"/>
    </row>
    <row r="16861">
      <c r="L16861" s="13"/>
      <c r="M16861" s="14"/>
      <c r="N16861" s="14"/>
      <c r="O16861" s="14"/>
      <c r="P16861" s="13"/>
    </row>
    <row r="16862">
      <c r="L16862" s="13"/>
      <c r="M16862" s="14"/>
      <c r="N16862" s="14"/>
      <c r="O16862" s="14"/>
      <c r="P16862" s="13"/>
    </row>
    <row r="16863">
      <c r="L16863" s="13"/>
      <c r="M16863" s="14"/>
      <c r="N16863" s="14"/>
      <c r="O16863" s="14"/>
      <c r="P16863" s="13"/>
    </row>
    <row r="16864">
      <c r="L16864" s="13"/>
      <c r="M16864" s="14"/>
      <c r="N16864" s="14"/>
      <c r="O16864" s="14"/>
      <c r="P16864" s="13"/>
    </row>
    <row r="16865">
      <c r="L16865" s="13"/>
      <c r="M16865" s="14"/>
      <c r="N16865" s="14"/>
      <c r="O16865" s="14"/>
      <c r="P16865" s="13"/>
    </row>
    <row r="16866">
      <c r="L16866" s="13"/>
      <c r="M16866" s="14"/>
      <c r="N16866" s="14"/>
      <c r="O16866" s="14"/>
      <c r="P16866" s="13"/>
    </row>
    <row r="16867">
      <c r="L16867" s="13"/>
      <c r="M16867" s="14"/>
      <c r="N16867" s="14"/>
      <c r="O16867" s="14"/>
      <c r="P16867" s="13"/>
    </row>
    <row r="16868">
      <c r="L16868" s="13"/>
      <c r="M16868" s="14"/>
      <c r="N16868" s="14"/>
      <c r="O16868" s="14"/>
      <c r="P16868" s="13"/>
    </row>
    <row r="16869">
      <c r="L16869" s="13"/>
      <c r="M16869" s="14"/>
      <c r="N16869" s="14"/>
      <c r="O16869" s="14"/>
      <c r="P16869" s="13"/>
    </row>
    <row r="16870">
      <c r="L16870" s="13"/>
      <c r="M16870" s="14"/>
      <c r="N16870" s="14"/>
      <c r="O16870" s="14"/>
      <c r="P16870" s="13"/>
    </row>
    <row r="16871">
      <c r="L16871" s="13"/>
      <c r="M16871" s="14"/>
      <c r="N16871" s="14"/>
      <c r="O16871" s="14"/>
      <c r="P16871" s="13"/>
    </row>
    <row r="16872">
      <c r="L16872" s="13"/>
      <c r="M16872" s="14"/>
      <c r="N16872" s="14"/>
      <c r="O16872" s="14"/>
      <c r="P16872" s="13"/>
    </row>
    <row r="16873">
      <c r="L16873" s="13"/>
      <c r="M16873" s="14"/>
      <c r="N16873" s="14"/>
      <c r="O16873" s="14"/>
      <c r="P16873" s="13"/>
    </row>
    <row r="16874">
      <c r="L16874" s="13"/>
      <c r="M16874" s="14"/>
      <c r="N16874" s="14"/>
      <c r="O16874" s="14"/>
      <c r="P16874" s="13"/>
    </row>
    <row r="16875">
      <c r="L16875" s="13"/>
      <c r="M16875" s="14"/>
      <c r="N16875" s="14"/>
      <c r="O16875" s="14"/>
      <c r="P16875" s="13"/>
    </row>
    <row r="16876">
      <c r="L16876" s="13"/>
      <c r="M16876" s="14"/>
      <c r="N16876" s="14"/>
      <c r="O16876" s="14"/>
      <c r="P16876" s="13"/>
    </row>
    <row r="16877">
      <c r="L16877" s="13"/>
      <c r="M16877" s="14"/>
      <c r="N16877" s="14"/>
      <c r="O16877" s="14"/>
      <c r="P16877" s="13"/>
    </row>
    <row r="16878">
      <c r="L16878" s="13"/>
      <c r="M16878" s="14"/>
      <c r="N16878" s="14"/>
      <c r="O16878" s="14"/>
      <c r="P16878" s="13"/>
    </row>
    <row r="16879">
      <c r="L16879" s="13"/>
      <c r="M16879" s="14"/>
      <c r="N16879" s="14"/>
      <c r="O16879" s="14"/>
      <c r="P16879" s="13"/>
    </row>
    <row r="16880">
      <c r="L16880" s="13"/>
      <c r="M16880" s="14"/>
      <c r="N16880" s="14"/>
      <c r="O16880" s="14"/>
      <c r="P16880" s="13"/>
    </row>
    <row r="16881">
      <c r="L16881" s="13"/>
      <c r="M16881" s="14"/>
      <c r="N16881" s="14"/>
      <c r="O16881" s="14"/>
      <c r="P16881" s="13"/>
    </row>
    <row r="16882">
      <c r="L16882" s="13"/>
      <c r="M16882" s="14"/>
      <c r="N16882" s="14"/>
      <c r="O16882" s="14"/>
      <c r="P16882" s="13"/>
    </row>
    <row r="16883">
      <c r="L16883" s="13"/>
      <c r="M16883" s="14"/>
      <c r="N16883" s="14"/>
      <c r="O16883" s="14"/>
      <c r="P16883" s="13"/>
    </row>
    <row r="16884">
      <c r="L16884" s="13"/>
      <c r="M16884" s="14"/>
      <c r="N16884" s="14"/>
      <c r="O16884" s="14"/>
      <c r="P16884" s="13"/>
    </row>
    <row r="16885">
      <c r="L16885" s="13"/>
      <c r="M16885" s="14"/>
      <c r="N16885" s="14"/>
      <c r="O16885" s="14"/>
      <c r="P16885" s="13"/>
    </row>
    <row r="16886">
      <c r="L16886" s="13"/>
      <c r="M16886" s="14"/>
      <c r="N16886" s="14"/>
      <c r="O16886" s="14"/>
      <c r="P16886" s="13"/>
    </row>
    <row r="16887">
      <c r="L16887" s="13"/>
      <c r="M16887" s="14"/>
      <c r="N16887" s="14"/>
      <c r="O16887" s="14"/>
      <c r="P16887" s="13"/>
    </row>
    <row r="16888">
      <c r="L16888" s="13"/>
      <c r="M16888" s="14"/>
      <c r="N16888" s="14"/>
      <c r="O16888" s="14"/>
      <c r="P16888" s="13"/>
    </row>
    <row r="16889">
      <c r="L16889" s="13"/>
      <c r="M16889" s="14"/>
      <c r="N16889" s="14"/>
      <c r="O16889" s="14"/>
      <c r="P16889" s="13"/>
    </row>
    <row r="16890">
      <c r="L16890" s="13"/>
      <c r="M16890" s="14"/>
      <c r="N16890" s="14"/>
      <c r="O16890" s="14"/>
      <c r="P16890" s="13"/>
    </row>
    <row r="16891">
      <c r="L16891" s="13"/>
      <c r="M16891" s="14"/>
      <c r="N16891" s="14"/>
      <c r="O16891" s="14"/>
      <c r="P16891" s="13"/>
    </row>
    <row r="16892">
      <c r="L16892" s="13"/>
      <c r="M16892" s="14"/>
      <c r="N16892" s="14"/>
      <c r="O16892" s="14"/>
      <c r="P16892" s="13"/>
    </row>
    <row r="16893">
      <c r="L16893" s="13"/>
      <c r="M16893" s="14"/>
      <c r="N16893" s="14"/>
      <c r="O16893" s="14"/>
      <c r="P16893" s="13"/>
    </row>
    <row r="16894">
      <c r="L16894" s="13"/>
      <c r="M16894" s="14"/>
      <c r="N16894" s="14"/>
      <c r="O16894" s="14"/>
      <c r="P16894" s="13"/>
    </row>
    <row r="16895">
      <c r="L16895" s="13"/>
      <c r="M16895" s="14"/>
      <c r="N16895" s="14"/>
      <c r="O16895" s="14"/>
      <c r="P16895" s="13"/>
    </row>
    <row r="16896">
      <c r="L16896" s="13"/>
      <c r="M16896" s="14"/>
      <c r="N16896" s="14"/>
      <c r="O16896" s="14"/>
      <c r="P16896" s="13"/>
    </row>
    <row r="16897">
      <c r="L16897" s="13"/>
      <c r="M16897" s="14"/>
      <c r="N16897" s="14"/>
      <c r="O16897" s="14"/>
      <c r="P16897" s="13"/>
    </row>
    <row r="16898">
      <c r="L16898" s="13"/>
      <c r="M16898" s="14"/>
      <c r="N16898" s="14"/>
      <c r="O16898" s="14"/>
      <c r="P16898" s="13"/>
    </row>
    <row r="16899">
      <c r="L16899" s="13"/>
      <c r="M16899" s="14"/>
      <c r="N16899" s="14"/>
      <c r="O16899" s="14"/>
      <c r="P16899" s="13"/>
    </row>
    <row r="16900">
      <c r="L16900" s="13"/>
      <c r="M16900" s="14"/>
      <c r="N16900" s="14"/>
      <c r="O16900" s="14"/>
      <c r="P16900" s="13"/>
    </row>
    <row r="16901">
      <c r="L16901" s="13"/>
      <c r="M16901" s="14"/>
      <c r="N16901" s="14"/>
      <c r="O16901" s="14"/>
      <c r="P16901" s="13"/>
    </row>
    <row r="16902">
      <c r="L16902" s="13"/>
      <c r="M16902" s="14"/>
      <c r="N16902" s="14"/>
      <c r="O16902" s="14"/>
      <c r="P16902" s="13"/>
    </row>
    <row r="16903">
      <c r="L16903" s="13"/>
      <c r="M16903" s="14"/>
      <c r="N16903" s="14"/>
      <c r="O16903" s="14"/>
      <c r="P16903" s="13"/>
    </row>
    <row r="16904">
      <c r="L16904" s="13"/>
      <c r="M16904" s="14"/>
      <c r="N16904" s="14"/>
      <c r="O16904" s="14"/>
      <c r="P16904" s="13"/>
    </row>
    <row r="16905">
      <c r="L16905" s="13"/>
      <c r="M16905" s="14"/>
      <c r="N16905" s="14"/>
      <c r="O16905" s="14"/>
      <c r="P16905" s="13"/>
    </row>
    <row r="16906">
      <c r="L16906" s="13"/>
      <c r="M16906" s="14"/>
      <c r="N16906" s="14"/>
      <c r="O16906" s="14"/>
      <c r="P16906" s="13"/>
    </row>
    <row r="16907">
      <c r="L16907" s="13"/>
      <c r="M16907" s="14"/>
      <c r="N16907" s="14"/>
      <c r="O16907" s="14"/>
      <c r="P16907" s="13"/>
    </row>
    <row r="16908">
      <c r="L16908" s="13"/>
      <c r="M16908" s="14"/>
      <c r="N16908" s="14"/>
      <c r="O16908" s="14"/>
      <c r="P16908" s="13"/>
    </row>
    <row r="16909">
      <c r="L16909" s="13"/>
      <c r="M16909" s="14"/>
      <c r="N16909" s="14"/>
      <c r="O16909" s="14"/>
      <c r="P16909" s="13"/>
    </row>
    <row r="16910">
      <c r="L16910" s="13"/>
      <c r="M16910" s="14"/>
      <c r="N16910" s="14"/>
      <c r="O16910" s="14"/>
      <c r="P16910" s="13"/>
    </row>
    <row r="16911">
      <c r="L16911" s="13"/>
      <c r="M16911" s="14"/>
      <c r="N16911" s="14"/>
      <c r="O16911" s="14"/>
      <c r="P16911" s="13"/>
    </row>
    <row r="16912">
      <c r="L16912" s="13"/>
      <c r="M16912" s="14"/>
      <c r="N16912" s="14"/>
      <c r="O16912" s="14"/>
      <c r="P16912" s="13"/>
    </row>
    <row r="16913">
      <c r="L16913" s="13"/>
      <c r="M16913" s="14"/>
      <c r="N16913" s="14"/>
      <c r="O16913" s="14"/>
      <c r="P16913" s="13"/>
    </row>
    <row r="16914">
      <c r="L16914" s="13"/>
      <c r="M16914" s="14"/>
      <c r="N16914" s="14"/>
      <c r="O16914" s="14"/>
      <c r="P16914" s="13"/>
    </row>
    <row r="16915">
      <c r="L16915" s="13"/>
      <c r="M16915" s="14"/>
      <c r="N16915" s="14"/>
      <c r="O16915" s="14"/>
      <c r="P16915" s="13"/>
    </row>
    <row r="16916">
      <c r="L16916" s="13"/>
      <c r="M16916" s="14"/>
      <c r="N16916" s="14"/>
      <c r="O16916" s="14"/>
      <c r="P16916" s="13"/>
    </row>
    <row r="16917">
      <c r="L16917" s="13"/>
      <c r="M16917" s="14"/>
      <c r="N16917" s="14"/>
      <c r="O16917" s="14"/>
      <c r="P16917" s="13"/>
    </row>
    <row r="16918">
      <c r="L16918" s="13"/>
      <c r="M16918" s="14"/>
      <c r="N16918" s="14"/>
      <c r="O16918" s="14"/>
      <c r="P16918" s="13"/>
    </row>
    <row r="16919">
      <c r="L16919" s="13"/>
      <c r="M16919" s="14"/>
      <c r="N16919" s="14"/>
      <c r="O16919" s="14"/>
      <c r="P16919" s="13"/>
    </row>
    <row r="16920">
      <c r="L16920" s="13"/>
      <c r="M16920" s="14"/>
      <c r="N16920" s="14"/>
      <c r="O16920" s="14"/>
      <c r="P16920" s="13"/>
    </row>
    <row r="16921">
      <c r="L16921" s="13"/>
      <c r="M16921" s="14"/>
      <c r="N16921" s="14"/>
      <c r="O16921" s="14"/>
      <c r="P16921" s="13"/>
    </row>
    <row r="16922">
      <c r="L16922" s="13"/>
      <c r="M16922" s="14"/>
      <c r="N16922" s="14"/>
      <c r="O16922" s="14"/>
      <c r="P16922" s="13"/>
    </row>
    <row r="16923">
      <c r="L16923" s="13"/>
      <c r="M16923" s="14"/>
      <c r="N16923" s="14"/>
      <c r="O16923" s="14"/>
      <c r="P16923" s="13"/>
    </row>
    <row r="16924">
      <c r="L16924" s="13"/>
      <c r="M16924" s="14"/>
      <c r="N16924" s="14"/>
      <c r="O16924" s="14"/>
      <c r="P16924" s="13"/>
    </row>
    <row r="16925">
      <c r="L16925" s="13"/>
      <c r="M16925" s="14"/>
      <c r="N16925" s="14"/>
      <c r="O16925" s="14"/>
      <c r="P16925" s="13"/>
    </row>
    <row r="16926">
      <c r="L16926" s="13"/>
      <c r="M16926" s="14"/>
      <c r="N16926" s="14"/>
      <c r="O16926" s="14"/>
      <c r="P16926" s="13"/>
    </row>
    <row r="16927">
      <c r="L16927" s="13"/>
      <c r="M16927" s="14"/>
      <c r="N16927" s="14"/>
      <c r="O16927" s="14"/>
      <c r="P16927" s="13"/>
    </row>
    <row r="16928">
      <c r="L16928" s="13"/>
      <c r="M16928" s="14"/>
      <c r="N16928" s="14"/>
      <c r="O16928" s="14"/>
      <c r="P16928" s="13"/>
    </row>
    <row r="16929">
      <c r="L16929" s="13"/>
      <c r="M16929" s="14"/>
      <c r="N16929" s="14"/>
      <c r="O16929" s="14"/>
      <c r="P16929" s="13"/>
    </row>
    <row r="16930">
      <c r="L16930" s="13"/>
      <c r="M16930" s="14"/>
      <c r="N16930" s="14"/>
      <c r="O16930" s="14"/>
      <c r="P16930" s="13"/>
    </row>
    <row r="16931">
      <c r="L16931" s="13"/>
      <c r="M16931" s="14"/>
      <c r="N16931" s="14"/>
      <c r="O16931" s="14"/>
      <c r="P16931" s="13"/>
    </row>
    <row r="16932">
      <c r="L16932" s="13"/>
      <c r="M16932" s="14"/>
      <c r="N16932" s="14"/>
      <c r="O16932" s="14"/>
      <c r="P16932" s="13"/>
    </row>
    <row r="16933">
      <c r="L16933" s="13"/>
      <c r="M16933" s="14"/>
      <c r="N16933" s="14"/>
      <c r="O16933" s="14"/>
      <c r="P16933" s="13"/>
    </row>
    <row r="16934">
      <c r="L16934" s="13"/>
      <c r="M16934" s="14"/>
      <c r="N16934" s="14"/>
      <c r="O16934" s="14"/>
      <c r="P16934" s="13"/>
    </row>
    <row r="16935">
      <c r="L16935" s="13"/>
      <c r="M16935" s="14"/>
      <c r="N16935" s="14"/>
      <c r="O16935" s="14"/>
      <c r="P16935" s="13"/>
    </row>
    <row r="16936">
      <c r="L16936" s="13"/>
      <c r="M16936" s="14"/>
      <c r="N16936" s="14"/>
      <c r="O16936" s="14"/>
      <c r="P16936" s="13"/>
    </row>
    <row r="16937">
      <c r="L16937" s="13"/>
      <c r="M16937" s="14"/>
      <c r="N16937" s="14"/>
      <c r="O16937" s="14"/>
      <c r="P16937" s="13"/>
    </row>
    <row r="16938">
      <c r="L16938" s="13"/>
      <c r="M16938" s="14"/>
      <c r="N16938" s="14"/>
      <c r="O16938" s="14"/>
      <c r="P16938" s="13"/>
    </row>
    <row r="16939">
      <c r="L16939" s="13"/>
      <c r="M16939" s="14"/>
      <c r="N16939" s="14"/>
      <c r="O16939" s="14"/>
      <c r="P16939" s="13"/>
    </row>
    <row r="16940">
      <c r="L16940" s="13"/>
      <c r="M16940" s="14"/>
      <c r="N16940" s="14"/>
      <c r="O16940" s="14"/>
      <c r="P16940" s="13"/>
    </row>
    <row r="16941">
      <c r="L16941" s="13"/>
      <c r="M16941" s="14"/>
      <c r="N16941" s="14"/>
      <c r="O16941" s="14"/>
      <c r="P16941" s="13"/>
    </row>
    <row r="16942">
      <c r="L16942" s="13"/>
      <c r="M16942" s="14"/>
      <c r="N16942" s="14"/>
      <c r="O16942" s="14"/>
      <c r="P16942" s="13"/>
    </row>
    <row r="16943">
      <c r="L16943" s="13"/>
      <c r="M16943" s="14"/>
      <c r="N16943" s="14"/>
      <c r="O16943" s="14"/>
      <c r="P16943" s="13"/>
    </row>
    <row r="16944">
      <c r="L16944" s="13"/>
      <c r="M16944" s="14"/>
      <c r="N16944" s="14"/>
      <c r="O16944" s="14"/>
      <c r="P16944" s="13"/>
    </row>
    <row r="16945">
      <c r="L16945" s="13"/>
      <c r="M16945" s="14"/>
      <c r="N16945" s="14"/>
      <c r="O16945" s="14"/>
      <c r="P16945" s="13"/>
    </row>
    <row r="16946">
      <c r="L16946" s="13"/>
      <c r="M16946" s="14"/>
      <c r="N16946" s="14"/>
      <c r="O16946" s="14"/>
      <c r="P16946" s="13"/>
    </row>
    <row r="16947">
      <c r="L16947" s="13"/>
      <c r="M16947" s="14"/>
      <c r="N16947" s="14"/>
      <c r="O16947" s="14"/>
      <c r="P16947" s="13"/>
    </row>
    <row r="16948">
      <c r="L16948" s="13"/>
      <c r="M16948" s="14"/>
      <c r="N16948" s="14"/>
      <c r="O16948" s="14"/>
      <c r="P16948" s="13"/>
    </row>
    <row r="16949">
      <c r="L16949" s="13"/>
      <c r="M16949" s="14"/>
      <c r="N16949" s="14"/>
      <c r="O16949" s="14"/>
      <c r="P16949" s="13"/>
    </row>
    <row r="16950">
      <c r="L16950" s="13"/>
      <c r="M16950" s="14"/>
      <c r="N16950" s="14"/>
      <c r="O16950" s="14"/>
      <c r="P16950" s="13"/>
    </row>
    <row r="16951">
      <c r="L16951" s="13"/>
      <c r="M16951" s="14"/>
      <c r="N16951" s="14"/>
      <c r="O16951" s="14"/>
      <c r="P16951" s="13"/>
    </row>
    <row r="16952">
      <c r="L16952" s="13"/>
      <c r="M16952" s="14"/>
      <c r="N16952" s="14"/>
      <c r="O16952" s="14"/>
      <c r="P16952" s="13"/>
    </row>
    <row r="16953">
      <c r="L16953" s="13"/>
      <c r="M16953" s="14"/>
      <c r="N16953" s="14"/>
      <c r="O16953" s="14"/>
      <c r="P16953" s="13"/>
    </row>
    <row r="16954">
      <c r="L16954" s="13"/>
      <c r="M16954" s="14"/>
      <c r="N16954" s="14"/>
      <c r="O16954" s="14"/>
      <c r="P16954" s="13"/>
    </row>
    <row r="16955">
      <c r="L16955" s="13"/>
      <c r="M16955" s="14"/>
      <c r="N16955" s="14"/>
      <c r="O16955" s="14"/>
      <c r="P16955" s="13"/>
    </row>
    <row r="16956">
      <c r="L16956" s="13"/>
      <c r="M16956" s="14"/>
      <c r="N16956" s="14"/>
      <c r="O16956" s="14"/>
      <c r="P16956" s="13"/>
    </row>
    <row r="16957">
      <c r="L16957" s="13"/>
      <c r="M16957" s="14"/>
      <c r="N16957" s="14"/>
      <c r="O16957" s="14"/>
      <c r="P16957" s="13"/>
    </row>
    <row r="16958">
      <c r="L16958" s="13"/>
      <c r="M16958" s="14"/>
      <c r="N16958" s="14"/>
      <c r="O16958" s="14"/>
      <c r="P16958" s="13"/>
    </row>
    <row r="16959">
      <c r="L16959" s="13"/>
      <c r="M16959" s="14"/>
      <c r="N16959" s="14"/>
      <c r="O16959" s="14"/>
      <c r="P16959" s="13"/>
    </row>
    <row r="16960">
      <c r="L16960" s="13"/>
      <c r="M16960" s="14"/>
      <c r="N16960" s="14"/>
      <c r="O16960" s="14"/>
      <c r="P16960" s="13"/>
    </row>
    <row r="16961">
      <c r="L16961" s="13"/>
      <c r="M16961" s="14"/>
      <c r="N16961" s="14"/>
      <c r="O16961" s="14"/>
      <c r="P16961" s="13"/>
    </row>
    <row r="16962">
      <c r="L16962" s="13"/>
      <c r="M16962" s="14"/>
      <c r="N16962" s="14"/>
      <c r="O16962" s="14"/>
      <c r="P16962" s="13"/>
    </row>
    <row r="16963">
      <c r="L16963" s="13"/>
      <c r="M16963" s="14"/>
      <c r="N16963" s="14"/>
      <c r="O16963" s="14"/>
      <c r="P16963" s="13"/>
    </row>
    <row r="16964">
      <c r="L16964" s="13"/>
      <c r="M16964" s="14"/>
      <c r="N16964" s="14"/>
      <c r="O16964" s="14"/>
      <c r="P16964" s="13"/>
    </row>
    <row r="16965">
      <c r="L16965" s="13"/>
      <c r="M16965" s="14"/>
      <c r="N16965" s="14"/>
      <c r="O16965" s="14"/>
      <c r="P16965" s="13"/>
    </row>
    <row r="16966">
      <c r="L16966" s="13"/>
      <c r="M16966" s="14"/>
      <c r="N16966" s="14"/>
      <c r="O16966" s="14"/>
      <c r="P16966" s="13"/>
    </row>
    <row r="16967">
      <c r="L16967" s="13"/>
      <c r="M16967" s="14"/>
      <c r="N16967" s="14"/>
      <c r="O16967" s="14"/>
      <c r="P16967" s="13"/>
    </row>
    <row r="16968">
      <c r="L16968" s="13"/>
      <c r="M16968" s="14"/>
      <c r="N16968" s="14"/>
      <c r="O16968" s="14"/>
      <c r="P16968" s="13"/>
    </row>
    <row r="16969">
      <c r="L16969" s="13"/>
      <c r="M16969" s="14"/>
      <c r="N16969" s="14"/>
      <c r="O16969" s="14"/>
      <c r="P16969" s="13"/>
    </row>
    <row r="16970">
      <c r="L16970" s="13"/>
      <c r="M16970" s="14"/>
      <c r="N16970" s="14"/>
      <c r="O16970" s="14"/>
      <c r="P16970" s="13"/>
    </row>
    <row r="16971">
      <c r="L16971" s="13"/>
      <c r="M16971" s="14"/>
      <c r="N16971" s="14"/>
      <c r="O16971" s="14"/>
      <c r="P16971" s="13"/>
    </row>
    <row r="16972">
      <c r="L16972" s="13"/>
      <c r="M16972" s="14"/>
      <c r="N16972" s="14"/>
      <c r="O16972" s="14"/>
      <c r="P16972" s="13"/>
    </row>
    <row r="16973">
      <c r="L16973" s="13"/>
      <c r="M16973" s="14"/>
      <c r="N16973" s="14"/>
      <c r="O16973" s="14"/>
      <c r="P16973" s="13"/>
    </row>
    <row r="16974">
      <c r="L16974" s="13"/>
      <c r="M16974" s="14"/>
      <c r="N16974" s="14"/>
      <c r="O16974" s="14"/>
      <c r="P16974" s="13"/>
    </row>
    <row r="16975">
      <c r="L16975" s="13"/>
      <c r="M16975" s="14"/>
      <c r="N16975" s="14"/>
      <c r="O16975" s="14"/>
      <c r="P16975" s="13"/>
    </row>
    <row r="16976">
      <c r="L16976" s="13"/>
      <c r="M16976" s="14"/>
      <c r="N16976" s="14"/>
      <c r="O16976" s="14"/>
      <c r="P16976" s="13"/>
    </row>
    <row r="16977">
      <c r="L16977" s="13"/>
      <c r="M16977" s="14"/>
      <c r="N16977" s="14"/>
      <c r="O16977" s="14"/>
      <c r="P16977" s="13"/>
    </row>
    <row r="16978">
      <c r="L16978" s="13"/>
      <c r="M16978" s="14"/>
      <c r="N16978" s="14"/>
      <c r="O16978" s="14"/>
      <c r="P16978" s="13"/>
    </row>
    <row r="16979">
      <c r="L16979" s="13"/>
      <c r="M16979" s="14"/>
      <c r="N16979" s="14"/>
      <c r="O16979" s="14"/>
      <c r="P16979" s="13"/>
    </row>
    <row r="16980">
      <c r="L16980" s="13"/>
      <c r="M16980" s="14"/>
      <c r="N16980" s="14"/>
      <c r="O16980" s="14"/>
      <c r="P16980" s="13"/>
    </row>
    <row r="16981">
      <c r="L16981" s="13"/>
      <c r="M16981" s="14"/>
      <c r="N16981" s="14"/>
      <c r="O16981" s="14"/>
      <c r="P16981" s="13"/>
    </row>
    <row r="16982">
      <c r="L16982" s="13"/>
      <c r="M16982" s="14"/>
      <c r="N16982" s="14"/>
      <c r="O16982" s="14"/>
      <c r="P16982" s="13"/>
    </row>
    <row r="16983">
      <c r="L16983" s="13"/>
      <c r="M16983" s="14"/>
      <c r="N16983" s="14"/>
      <c r="O16983" s="14"/>
      <c r="P16983" s="13"/>
    </row>
    <row r="16984">
      <c r="L16984" s="13"/>
      <c r="M16984" s="14"/>
      <c r="N16984" s="14"/>
      <c r="O16984" s="14"/>
      <c r="P16984" s="13"/>
    </row>
    <row r="16985">
      <c r="L16985" s="13"/>
      <c r="M16985" s="14"/>
      <c r="N16985" s="14"/>
      <c r="O16985" s="14"/>
      <c r="P16985" s="13"/>
    </row>
    <row r="16986">
      <c r="L16986" s="13"/>
      <c r="M16986" s="14"/>
      <c r="N16986" s="14"/>
      <c r="O16986" s="14"/>
      <c r="P16986" s="13"/>
    </row>
    <row r="16987">
      <c r="L16987" s="13"/>
      <c r="M16987" s="14"/>
      <c r="N16987" s="14"/>
      <c r="O16987" s="14"/>
      <c r="P16987" s="13"/>
    </row>
    <row r="16988">
      <c r="L16988" s="13"/>
      <c r="M16988" s="14"/>
      <c r="N16988" s="14"/>
      <c r="O16988" s="14"/>
      <c r="P16988" s="13"/>
    </row>
    <row r="16989">
      <c r="L16989" s="13"/>
      <c r="M16989" s="14"/>
      <c r="N16989" s="14"/>
      <c r="O16989" s="14"/>
      <c r="P16989" s="13"/>
    </row>
    <row r="16990">
      <c r="L16990" s="13"/>
      <c r="M16990" s="14"/>
      <c r="N16990" s="14"/>
      <c r="O16990" s="14"/>
      <c r="P16990" s="13"/>
    </row>
    <row r="16991">
      <c r="L16991" s="13"/>
      <c r="M16991" s="14"/>
      <c r="N16991" s="14"/>
      <c r="O16991" s="14"/>
      <c r="P16991" s="13"/>
    </row>
    <row r="16992">
      <c r="L16992" s="13"/>
      <c r="M16992" s="14"/>
      <c r="N16992" s="14"/>
      <c r="O16992" s="14"/>
      <c r="P16992" s="13"/>
    </row>
    <row r="16993">
      <c r="L16993" s="13"/>
      <c r="M16993" s="14"/>
      <c r="N16993" s="14"/>
      <c r="O16993" s="14"/>
      <c r="P16993" s="13"/>
    </row>
    <row r="16994">
      <c r="L16994" s="13"/>
      <c r="M16994" s="14"/>
      <c r="N16994" s="14"/>
      <c r="O16994" s="14"/>
      <c r="P16994" s="13"/>
    </row>
    <row r="16995">
      <c r="L16995" s="13"/>
      <c r="M16995" s="14"/>
      <c r="N16995" s="14"/>
      <c r="O16995" s="14"/>
      <c r="P16995" s="13"/>
    </row>
    <row r="16996">
      <c r="L16996" s="13"/>
      <c r="M16996" s="14"/>
      <c r="N16996" s="14"/>
      <c r="O16996" s="14"/>
      <c r="P16996" s="13"/>
    </row>
    <row r="16997">
      <c r="L16997" s="13"/>
      <c r="M16997" s="14"/>
      <c r="N16997" s="14"/>
      <c r="O16997" s="14"/>
      <c r="P16997" s="13"/>
    </row>
    <row r="16998">
      <c r="L16998" s="13"/>
      <c r="M16998" s="14"/>
      <c r="N16998" s="14"/>
      <c r="O16998" s="14"/>
      <c r="P16998" s="13"/>
    </row>
    <row r="16999">
      <c r="L16999" s="13"/>
      <c r="M16999" s="14"/>
      <c r="N16999" s="14"/>
      <c r="O16999" s="14"/>
      <c r="P16999" s="13"/>
    </row>
    <row r="17000">
      <c r="L17000" s="13"/>
      <c r="M17000" s="14"/>
      <c r="N17000" s="14"/>
      <c r="O17000" s="14"/>
      <c r="P17000" s="13"/>
    </row>
    <row r="17001">
      <c r="L17001" s="13"/>
      <c r="M17001" s="14"/>
      <c r="N17001" s="14"/>
      <c r="O17001" s="14"/>
      <c r="P17001" s="13"/>
    </row>
    <row r="17002">
      <c r="L17002" s="13"/>
      <c r="M17002" s="14"/>
      <c r="N17002" s="14"/>
      <c r="O17002" s="14"/>
      <c r="P17002" s="13"/>
    </row>
    <row r="17003">
      <c r="L17003" s="13"/>
      <c r="M17003" s="14"/>
      <c r="N17003" s="14"/>
      <c r="O17003" s="14"/>
      <c r="P17003" s="13"/>
    </row>
    <row r="17004">
      <c r="L17004" s="13"/>
      <c r="M17004" s="14"/>
      <c r="N17004" s="14"/>
      <c r="O17004" s="14"/>
      <c r="P17004" s="13"/>
    </row>
    <row r="17005">
      <c r="L17005" s="13"/>
      <c r="M17005" s="14"/>
      <c r="N17005" s="14"/>
      <c r="O17005" s="14"/>
      <c r="P17005" s="13"/>
    </row>
    <row r="17006">
      <c r="L17006" s="13"/>
      <c r="M17006" s="14"/>
      <c r="N17006" s="14"/>
      <c r="O17006" s="14"/>
      <c r="P17006" s="13"/>
    </row>
    <row r="17007">
      <c r="L17007" s="13"/>
      <c r="M17007" s="14"/>
      <c r="N17007" s="14"/>
      <c r="O17007" s="14"/>
      <c r="P17007" s="13"/>
    </row>
    <row r="17008">
      <c r="L17008" s="13"/>
      <c r="M17008" s="14"/>
      <c r="N17008" s="14"/>
      <c r="O17008" s="14"/>
      <c r="P17008" s="13"/>
    </row>
    <row r="17009">
      <c r="L17009" s="13"/>
      <c r="M17009" s="14"/>
      <c r="N17009" s="14"/>
      <c r="O17009" s="14"/>
      <c r="P17009" s="13"/>
    </row>
    <row r="17010">
      <c r="L17010" s="13"/>
      <c r="M17010" s="14"/>
      <c r="N17010" s="14"/>
      <c r="O17010" s="14"/>
      <c r="P17010" s="13"/>
    </row>
    <row r="17011">
      <c r="L17011" s="13"/>
      <c r="M17011" s="14"/>
      <c r="N17011" s="14"/>
      <c r="O17011" s="14"/>
      <c r="P17011" s="13"/>
    </row>
    <row r="17012">
      <c r="L17012" s="13"/>
      <c r="M17012" s="14"/>
      <c r="N17012" s="14"/>
      <c r="O17012" s="14"/>
      <c r="P17012" s="13"/>
    </row>
    <row r="17013">
      <c r="L17013" s="13"/>
      <c r="M17013" s="14"/>
      <c r="N17013" s="14"/>
      <c r="O17013" s="14"/>
      <c r="P17013" s="13"/>
    </row>
    <row r="17014">
      <c r="L17014" s="13"/>
      <c r="M17014" s="14"/>
      <c r="N17014" s="14"/>
      <c r="O17014" s="14"/>
      <c r="P17014" s="13"/>
    </row>
    <row r="17015">
      <c r="L17015" s="13"/>
      <c r="M17015" s="14"/>
      <c r="N17015" s="14"/>
      <c r="O17015" s="14"/>
      <c r="P17015" s="13"/>
    </row>
    <row r="17016">
      <c r="L17016" s="13"/>
      <c r="M17016" s="14"/>
      <c r="N17016" s="14"/>
      <c r="O17016" s="14"/>
      <c r="P17016" s="13"/>
    </row>
    <row r="17017">
      <c r="L17017" s="13"/>
      <c r="M17017" s="14"/>
      <c r="N17017" s="14"/>
      <c r="O17017" s="14"/>
      <c r="P17017" s="13"/>
    </row>
    <row r="17018">
      <c r="L17018" s="13"/>
      <c r="M17018" s="14"/>
      <c r="N17018" s="14"/>
      <c r="O17018" s="14"/>
      <c r="P17018" s="13"/>
    </row>
    <row r="17019">
      <c r="L17019" s="13"/>
      <c r="M17019" s="14"/>
      <c r="N17019" s="14"/>
      <c r="O17019" s="14"/>
      <c r="P17019" s="13"/>
    </row>
    <row r="17020">
      <c r="L17020" s="13"/>
      <c r="M17020" s="14"/>
      <c r="N17020" s="14"/>
      <c r="O17020" s="14"/>
      <c r="P17020" s="13"/>
    </row>
    <row r="17021">
      <c r="L17021" s="13"/>
      <c r="M17021" s="14"/>
      <c r="N17021" s="14"/>
      <c r="O17021" s="14"/>
      <c r="P17021" s="13"/>
    </row>
    <row r="17022">
      <c r="L17022" s="13"/>
      <c r="M17022" s="14"/>
      <c r="N17022" s="14"/>
      <c r="O17022" s="14"/>
      <c r="P17022" s="13"/>
    </row>
    <row r="17023">
      <c r="L17023" s="13"/>
      <c r="M17023" s="14"/>
      <c r="N17023" s="14"/>
      <c r="O17023" s="14"/>
      <c r="P17023" s="13"/>
    </row>
    <row r="17024">
      <c r="L17024" s="13"/>
      <c r="M17024" s="14"/>
      <c r="N17024" s="14"/>
      <c r="O17024" s="14"/>
      <c r="P17024" s="13"/>
    </row>
    <row r="17025">
      <c r="L17025" s="13"/>
      <c r="M17025" s="14"/>
      <c r="N17025" s="14"/>
      <c r="O17025" s="14"/>
      <c r="P17025" s="13"/>
    </row>
    <row r="17026">
      <c r="L17026" s="13"/>
      <c r="M17026" s="14"/>
      <c r="N17026" s="14"/>
      <c r="O17026" s="14"/>
      <c r="P17026" s="13"/>
    </row>
    <row r="17027">
      <c r="L17027" s="13"/>
      <c r="M17027" s="14"/>
      <c r="N17027" s="14"/>
      <c r="O17027" s="14"/>
      <c r="P17027" s="13"/>
    </row>
    <row r="17028">
      <c r="L17028" s="13"/>
      <c r="M17028" s="14"/>
      <c r="N17028" s="14"/>
      <c r="O17028" s="14"/>
      <c r="P17028" s="13"/>
    </row>
    <row r="17029">
      <c r="L17029" s="13"/>
      <c r="M17029" s="14"/>
      <c r="N17029" s="14"/>
      <c r="O17029" s="14"/>
      <c r="P17029" s="13"/>
    </row>
    <row r="17030">
      <c r="L17030" s="13"/>
      <c r="M17030" s="14"/>
      <c r="N17030" s="14"/>
      <c r="O17030" s="14"/>
      <c r="P17030" s="13"/>
    </row>
    <row r="17031">
      <c r="L17031" s="13"/>
      <c r="M17031" s="14"/>
      <c r="N17031" s="14"/>
      <c r="O17031" s="14"/>
      <c r="P17031" s="13"/>
    </row>
    <row r="17032">
      <c r="L17032" s="13"/>
      <c r="M17032" s="14"/>
      <c r="N17032" s="14"/>
      <c r="O17032" s="14"/>
      <c r="P17032" s="13"/>
    </row>
    <row r="17033">
      <c r="L17033" s="13"/>
      <c r="M17033" s="14"/>
      <c r="N17033" s="14"/>
      <c r="O17033" s="14"/>
      <c r="P17033" s="13"/>
    </row>
    <row r="17034">
      <c r="L17034" s="13"/>
      <c r="M17034" s="14"/>
      <c r="N17034" s="14"/>
      <c r="O17034" s="14"/>
      <c r="P17034" s="13"/>
    </row>
    <row r="17035">
      <c r="L17035" s="13"/>
      <c r="M17035" s="14"/>
      <c r="N17035" s="14"/>
      <c r="O17035" s="14"/>
      <c r="P17035" s="13"/>
    </row>
    <row r="17036">
      <c r="L17036" s="13"/>
      <c r="M17036" s="14"/>
      <c r="N17036" s="14"/>
      <c r="O17036" s="14"/>
      <c r="P17036" s="13"/>
    </row>
    <row r="17037">
      <c r="L17037" s="13"/>
      <c r="M17037" s="14"/>
      <c r="N17037" s="14"/>
      <c r="O17037" s="14"/>
      <c r="P17037" s="13"/>
    </row>
    <row r="17038">
      <c r="L17038" s="13"/>
      <c r="M17038" s="14"/>
      <c r="N17038" s="14"/>
      <c r="O17038" s="14"/>
      <c r="P17038" s="13"/>
    </row>
    <row r="17039">
      <c r="L17039" s="13"/>
      <c r="M17039" s="14"/>
      <c r="N17039" s="14"/>
      <c r="O17039" s="14"/>
      <c r="P17039" s="13"/>
    </row>
    <row r="17040">
      <c r="L17040" s="13"/>
      <c r="M17040" s="14"/>
      <c r="N17040" s="14"/>
      <c r="O17040" s="14"/>
      <c r="P17040" s="13"/>
    </row>
    <row r="17041">
      <c r="L17041" s="13"/>
      <c r="M17041" s="14"/>
      <c r="N17041" s="14"/>
      <c r="O17041" s="14"/>
      <c r="P17041" s="13"/>
    </row>
    <row r="17042">
      <c r="L17042" s="13"/>
      <c r="M17042" s="14"/>
      <c r="N17042" s="14"/>
      <c r="O17042" s="14"/>
      <c r="P17042" s="13"/>
    </row>
    <row r="17043">
      <c r="L17043" s="13"/>
      <c r="M17043" s="14"/>
      <c r="N17043" s="14"/>
      <c r="O17043" s="14"/>
      <c r="P17043" s="13"/>
    </row>
    <row r="17044">
      <c r="L17044" s="13"/>
      <c r="M17044" s="14"/>
      <c r="N17044" s="14"/>
      <c r="O17044" s="14"/>
      <c r="P17044" s="13"/>
    </row>
    <row r="17045">
      <c r="L17045" s="13"/>
      <c r="M17045" s="14"/>
      <c r="N17045" s="14"/>
      <c r="O17045" s="14"/>
      <c r="P17045" s="13"/>
    </row>
    <row r="17046">
      <c r="L17046" s="13"/>
      <c r="M17046" s="14"/>
      <c r="N17046" s="14"/>
      <c r="O17046" s="14"/>
      <c r="P17046" s="13"/>
    </row>
    <row r="17047">
      <c r="L17047" s="13"/>
      <c r="M17047" s="14"/>
      <c r="N17047" s="14"/>
      <c r="O17047" s="14"/>
      <c r="P17047" s="13"/>
    </row>
    <row r="17048">
      <c r="L17048" s="13"/>
      <c r="M17048" s="14"/>
      <c r="N17048" s="14"/>
      <c r="O17048" s="14"/>
      <c r="P17048" s="13"/>
    </row>
    <row r="17049">
      <c r="L17049" s="13"/>
      <c r="M17049" s="14"/>
      <c r="N17049" s="14"/>
      <c r="O17049" s="14"/>
      <c r="P17049" s="13"/>
    </row>
    <row r="17050">
      <c r="L17050" s="13"/>
      <c r="M17050" s="14"/>
      <c r="N17050" s="14"/>
      <c r="O17050" s="14"/>
      <c r="P17050" s="13"/>
    </row>
    <row r="17051">
      <c r="L17051" s="13"/>
      <c r="M17051" s="14"/>
      <c r="N17051" s="14"/>
      <c r="O17051" s="14"/>
      <c r="P17051" s="13"/>
    </row>
    <row r="17052">
      <c r="L17052" s="13"/>
      <c r="M17052" s="14"/>
      <c r="N17052" s="14"/>
      <c r="O17052" s="14"/>
      <c r="P17052" s="13"/>
    </row>
    <row r="17053">
      <c r="L17053" s="13"/>
      <c r="M17053" s="14"/>
      <c r="N17053" s="14"/>
      <c r="O17053" s="14"/>
      <c r="P17053" s="13"/>
    </row>
    <row r="17054">
      <c r="L17054" s="13"/>
      <c r="M17054" s="14"/>
      <c r="N17054" s="14"/>
      <c r="O17054" s="14"/>
      <c r="P17054" s="13"/>
    </row>
    <row r="17055">
      <c r="L17055" s="13"/>
      <c r="M17055" s="14"/>
      <c r="N17055" s="14"/>
      <c r="O17055" s="14"/>
      <c r="P17055" s="13"/>
    </row>
    <row r="17056">
      <c r="L17056" s="13"/>
      <c r="M17056" s="14"/>
      <c r="N17056" s="14"/>
      <c r="O17056" s="14"/>
      <c r="P17056" s="13"/>
    </row>
    <row r="17057">
      <c r="L17057" s="13"/>
      <c r="M17057" s="14"/>
      <c r="N17057" s="14"/>
      <c r="O17057" s="14"/>
      <c r="P17057" s="13"/>
    </row>
    <row r="17058">
      <c r="L17058" s="13"/>
      <c r="M17058" s="14"/>
      <c r="N17058" s="14"/>
      <c r="O17058" s="14"/>
      <c r="P17058" s="13"/>
    </row>
    <row r="17059">
      <c r="L17059" s="13"/>
      <c r="M17059" s="14"/>
      <c r="N17059" s="14"/>
      <c r="O17059" s="14"/>
      <c r="P17059" s="13"/>
    </row>
    <row r="17060">
      <c r="L17060" s="13"/>
      <c r="M17060" s="14"/>
      <c r="N17060" s="14"/>
      <c r="O17060" s="14"/>
      <c r="P17060" s="13"/>
    </row>
    <row r="17061">
      <c r="L17061" s="13"/>
      <c r="M17061" s="14"/>
      <c r="N17061" s="14"/>
      <c r="O17061" s="14"/>
      <c r="P17061" s="13"/>
    </row>
    <row r="17062">
      <c r="L17062" s="13"/>
      <c r="M17062" s="14"/>
      <c r="N17062" s="14"/>
      <c r="O17062" s="14"/>
      <c r="P17062" s="13"/>
    </row>
    <row r="17063">
      <c r="L17063" s="13"/>
      <c r="M17063" s="14"/>
      <c r="N17063" s="14"/>
      <c r="O17063" s="14"/>
      <c r="P17063" s="13"/>
    </row>
    <row r="17064">
      <c r="L17064" s="13"/>
      <c r="M17064" s="14"/>
      <c r="N17064" s="14"/>
      <c r="O17064" s="14"/>
      <c r="P17064" s="13"/>
    </row>
    <row r="17065">
      <c r="L17065" s="13"/>
      <c r="M17065" s="14"/>
      <c r="N17065" s="14"/>
      <c r="O17065" s="14"/>
      <c r="P17065" s="13"/>
    </row>
    <row r="17066">
      <c r="L17066" s="13"/>
      <c r="M17066" s="14"/>
      <c r="N17066" s="14"/>
      <c r="O17066" s="14"/>
      <c r="P17066" s="13"/>
    </row>
    <row r="17067">
      <c r="L17067" s="13"/>
      <c r="M17067" s="14"/>
      <c r="N17067" s="14"/>
      <c r="O17067" s="14"/>
      <c r="P17067" s="13"/>
    </row>
    <row r="17068">
      <c r="L17068" s="13"/>
      <c r="M17068" s="14"/>
      <c r="N17068" s="14"/>
      <c r="O17068" s="14"/>
      <c r="P17068" s="13"/>
    </row>
    <row r="17069">
      <c r="L17069" s="13"/>
      <c r="M17069" s="14"/>
      <c r="N17069" s="14"/>
      <c r="O17069" s="14"/>
      <c r="P17069" s="13"/>
    </row>
    <row r="17070">
      <c r="L17070" s="13"/>
      <c r="M17070" s="14"/>
      <c r="N17070" s="14"/>
      <c r="O17070" s="14"/>
      <c r="P17070" s="13"/>
    </row>
    <row r="17071">
      <c r="L17071" s="13"/>
      <c r="M17071" s="14"/>
      <c r="N17071" s="14"/>
      <c r="O17071" s="14"/>
      <c r="P17071" s="13"/>
    </row>
    <row r="17072">
      <c r="L17072" s="13"/>
      <c r="M17072" s="14"/>
      <c r="N17072" s="14"/>
      <c r="O17072" s="14"/>
      <c r="P17072" s="13"/>
    </row>
    <row r="17073">
      <c r="L17073" s="13"/>
      <c r="M17073" s="14"/>
      <c r="N17073" s="14"/>
      <c r="O17073" s="14"/>
      <c r="P17073" s="13"/>
    </row>
    <row r="17074">
      <c r="L17074" s="13"/>
      <c r="M17074" s="14"/>
      <c r="N17074" s="14"/>
      <c r="O17074" s="14"/>
      <c r="P17074" s="13"/>
    </row>
    <row r="17075">
      <c r="L17075" s="13"/>
      <c r="M17075" s="14"/>
      <c r="N17075" s="14"/>
      <c r="O17075" s="14"/>
      <c r="P17075" s="13"/>
    </row>
    <row r="17076">
      <c r="L17076" s="13"/>
      <c r="M17076" s="14"/>
      <c r="N17076" s="14"/>
      <c r="O17076" s="14"/>
      <c r="P17076" s="13"/>
    </row>
    <row r="17077">
      <c r="L17077" s="13"/>
      <c r="M17077" s="14"/>
      <c r="N17077" s="14"/>
      <c r="O17077" s="14"/>
      <c r="P17077" s="13"/>
    </row>
    <row r="17078">
      <c r="L17078" s="13"/>
      <c r="M17078" s="14"/>
      <c r="N17078" s="14"/>
      <c r="O17078" s="14"/>
      <c r="P17078" s="13"/>
    </row>
    <row r="17079">
      <c r="L17079" s="13"/>
      <c r="M17079" s="14"/>
      <c r="N17079" s="14"/>
      <c r="O17079" s="14"/>
      <c r="P17079" s="13"/>
    </row>
    <row r="17080">
      <c r="L17080" s="13"/>
      <c r="M17080" s="14"/>
      <c r="N17080" s="14"/>
      <c r="O17080" s="14"/>
      <c r="P17080" s="13"/>
    </row>
    <row r="17081">
      <c r="L17081" s="13"/>
      <c r="M17081" s="14"/>
      <c r="N17081" s="14"/>
      <c r="O17081" s="14"/>
      <c r="P17081" s="13"/>
    </row>
    <row r="17082">
      <c r="L17082" s="13"/>
      <c r="M17082" s="14"/>
      <c r="N17082" s="14"/>
      <c r="O17082" s="14"/>
      <c r="P17082" s="13"/>
    </row>
    <row r="17083">
      <c r="L17083" s="13"/>
      <c r="M17083" s="14"/>
      <c r="N17083" s="14"/>
      <c r="O17083" s="14"/>
      <c r="P17083" s="13"/>
    </row>
    <row r="17084">
      <c r="L17084" s="13"/>
      <c r="M17084" s="14"/>
      <c r="N17084" s="14"/>
      <c r="O17084" s="14"/>
      <c r="P17084" s="13"/>
    </row>
    <row r="17085">
      <c r="L17085" s="13"/>
      <c r="M17085" s="14"/>
      <c r="N17085" s="14"/>
      <c r="O17085" s="14"/>
      <c r="P17085" s="13"/>
    </row>
    <row r="17086">
      <c r="L17086" s="13"/>
      <c r="M17086" s="14"/>
      <c r="N17086" s="14"/>
      <c r="O17086" s="14"/>
      <c r="P17086" s="13"/>
    </row>
    <row r="17087">
      <c r="L17087" s="13"/>
      <c r="M17087" s="14"/>
      <c r="N17087" s="14"/>
      <c r="O17087" s="14"/>
      <c r="P17087" s="13"/>
    </row>
    <row r="17088">
      <c r="L17088" s="13"/>
      <c r="M17088" s="14"/>
      <c r="N17088" s="14"/>
      <c r="O17088" s="14"/>
      <c r="P17088" s="13"/>
    </row>
    <row r="17089">
      <c r="L17089" s="13"/>
      <c r="M17089" s="14"/>
      <c r="N17089" s="14"/>
      <c r="O17089" s="14"/>
      <c r="P17089" s="13"/>
    </row>
    <row r="17090">
      <c r="L17090" s="13"/>
      <c r="M17090" s="14"/>
      <c r="N17090" s="14"/>
      <c r="O17090" s="14"/>
      <c r="P17090" s="13"/>
    </row>
    <row r="17091">
      <c r="L17091" s="13"/>
      <c r="M17091" s="14"/>
      <c r="N17091" s="14"/>
      <c r="O17091" s="14"/>
      <c r="P17091" s="13"/>
    </row>
    <row r="17092">
      <c r="L17092" s="13"/>
      <c r="M17092" s="14"/>
      <c r="N17092" s="14"/>
      <c r="O17092" s="14"/>
      <c r="P17092" s="13"/>
    </row>
    <row r="17093">
      <c r="L17093" s="13"/>
      <c r="M17093" s="14"/>
      <c r="N17093" s="14"/>
      <c r="O17093" s="14"/>
      <c r="P17093" s="13"/>
    </row>
    <row r="17094">
      <c r="L17094" s="13"/>
      <c r="M17094" s="14"/>
      <c r="N17094" s="14"/>
      <c r="O17094" s="14"/>
      <c r="P17094" s="13"/>
    </row>
    <row r="17095">
      <c r="L17095" s="13"/>
      <c r="M17095" s="14"/>
      <c r="N17095" s="14"/>
      <c r="O17095" s="14"/>
      <c r="P17095" s="13"/>
    </row>
    <row r="17096">
      <c r="L17096" s="13"/>
      <c r="M17096" s="14"/>
      <c r="N17096" s="14"/>
      <c r="O17096" s="14"/>
      <c r="P17096" s="13"/>
    </row>
    <row r="17097">
      <c r="L17097" s="13"/>
      <c r="M17097" s="14"/>
      <c r="N17097" s="14"/>
      <c r="O17097" s="14"/>
      <c r="P17097" s="13"/>
    </row>
    <row r="17098">
      <c r="L17098" s="13"/>
      <c r="M17098" s="14"/>
      <c r="N17098" s="14"/>
      <c r="O17098" s="14"/>
      <c r="P17098" s="13"/>
    </row>
    <row r="17099">
      <c r="L17099" s="13"/>
      <c r="M17099" s="14"/>
      <c r="N17099" s="14"/>
      <c r="O17099" s="14"/>
      <c r="P17099" s="13"/>
    </row>
    <row r="17100">
      <c r="L17100" s="13"/>
      <c r="M17100" s="14"/>
      <c r="N17100" s="14"/>
      <c r="O17100" s="14"/>
      <c r="P17100" s="13"/>
    </row>
    <row r="17101">
      <c r="L17101" s="13"/>
      <c r="M17101" s="14"/>
      <c r="N17101" s="14"/>
      <c r="O17101" s="14"/>
      <c r="P17101" s="13"/>
    </row>
    <row r="17102">
      <c r="L17102" s="13"/>
      <c r="M17102" s="14"/>
      <c r="N17102" s="14"/>
      <c r="O17102" s="14"/>
      <c r="P17102" s="13"/>
    </row>
    <row r="17103">
      <c r="L17103" s="13"/>
      <c r="M17103" s="14"/>
      <c r="N17103" s="14"/>
      <c r="O17103" s="14"/>
      <c r="P17103" s="13"/>
    </row>
    <row r="17104">
      <c r="L17104" s="13"/>
      <c r="M17104" s="14"/>
      <c r="N17104" s="14"/>
      <c r="O17104" s="14"/>
      <c r="P17104" s="13"/>
    </row>
    <row r="17105">
      <c r="L17105" s="13"/>
      <c r="M17105" s="14"/>
      <c r="N17105" s="14"/>
      <c r="O17105" s="14"/>
      <c r="P17105" s="13"/>
    </row>
    <row r="17106">
      <c r="L17106" s="13"/>
      <c r="M17106" s="14"/>
      <c r="N17106" s="14"/>
      <c r="O17106" s="14"/>
      <c r="P17106" s="13"/>
    </row>
    <row r="17107">
      <c r="L17107" s="13"/>
      <c r="M17107" s="14"/>
      <c r="N17107" s="14"/>
      <c r="O17107" s="14"/>
      <c r="P17107" s="13"/>
    </row>
    <row r="17108">
      <c r="L17108" s="13"/>
      <c r="M17108" s="14"/>
      <c r="N17108" s="14"/>
      <c r="O17108" s="14"/>
      <c r="P17108" s="13"/>
    </row>
    <row r="17109">
      <c r="L17109" s="13"/>
      <c r="M17109" s="14"/>
      <c r="N17109" s="14"/>
      <c r="O17109" s="14"/>
      <c r="P17109" s="13"/>
    </row>
    <row r="17110">
      <c r="L17110" s="13"/>
      <c r="M17110" s="14"/>
      <c r="N17110" s="14"/>
      <c r="O17110" s="14"/>
      <c r="P17110" s="13"/>
    </row>
    <row r="17111">
      <c r="L17111" s="13"/>
      <c r="M17111" s="14"/>
      <c r="N17111" s="14"/>
      <c r="O17111" s="14"/>
      <c r="P17111" s="13"/>
    </row>
    <row r="17112">
      <c r="L17112" s="13"/>
      <c r="M17112" s="14"/>
      <c r="N17112" s="14"/>
      <c r="O17112" s="14"/>
      <c r="P17112" s="13"/>
    </row>
    <row r="17113">
      <c r="L17113" s="13"/>
      <c r="M17113" s="14"/>
      <c r="N17113" s="14"/>
      <c r="O17113" s="14"/>
      <c r="P17113" s="13"/>
    </row>
    <row r="17114">
      <c r="L17114" s="13"/>
      <c r="M17114" s="14"/>
      <c r="N17114" s="14"/>
      <c r="O17114" s="14"/>
      <c r="P17114" s="13"/>
    </row>
    <row r="17115">
      <c r="L17115" s="13"/>
      <c r="M17115" s="14"/>
      <c r="N17115" s="14"/>
      <c r="O17115" s="14"/>
      <c r="P17115" s="13"/>
    </row>
    <row r="17116">
      <c r="L17116" s="13"/>
      <c r="M17116" s="14"/>
      <c r="N17116" s="14"/>
      <c r="O17116" s="14"/>
      <c r="P17116" s="13"/>
    </row>
    <row r="17117">
      <c r="L17117" s="13"/>
      <c r="M17117" s="14"/>
      <c r="N17117" s="14"/>
      <c r="O17117" s="14"/>
      <c r="P17117" s="13"/>
    </row>
    <row r="17118">
      <c r="L17118" s="13"/>
      <c r="M17118" s="14"/>
      <c r="N17118" s="14"/>
      <c r="O17118" s="14"/>
      <c r="P17118" s="13"/>
    </row>
    <row r="17119">
      <c r="L17119" s="13"/>
      <c r="M17119" s="14"/>
      <c r="N17119" s="14"/>
      <c r="O17119" s="14"/>
      <c r="P17119" s="13"/>
    </row>
    <row r="17120">
      <c r="L17120" s="13"/>
      <c r="M17120" s="14"/>
      <c r="N17120" s="14"/>
      <c r="O17120" s="14"/>
      <c r="P17120" s="13"/>
    </row>
    <row r="17121">
      <c r="L17121" s="13"/>
      <c r="M17121" s="14"/>
      <c r="N17121" s="14"/>
      <c r="O17121" s="14"/>
      <c r="P17121" s="13"/>
    </row>
    <row r="17122">
      <c r="L17122" s="13"/>
      <c r="M17122" s="14"/>
      <c r="N17122" s="14"/>
      <c r="O17122" s="14"/>
      <c r="P17122" s="13"/>
    </row>
    <row r="17123">
      <c r="L17123" s="13"/>
      <c r="M17123" s="14"/>
      <c r="N17123" s="14"/>
      <c r="O17123" s="14"/>
      <c r="P17123" s="13"/>
    </row>
    <row r="17124">
      <c r="L17124" s="13"/>
      <c r="M17124" s="14"/>
      <c r="N17124" s="14"/>
      <c r="O17124" s="14"/>
      <c r="P17124" s="13"/>
    </row>
    <row r="17125">
      <c r="L17125" s="13"/>
      <c r="M17125" s="14"/>
      <c r="N17125" s="14"/>
      <c r="O17125" s="14"/>
      <c r="P17125" s="13"/>
    </row>
    <row r="17126">
      <c r="L17126" s="13"/>
      <c r="M17126" s="14"/>
      <c r="N17126" s="14"/>
      <c r="O17126" s="14"/>
      <c r="P17126" s="13"/>
    </row>
    <row r="17127">
      <c r="L17127" s="13"/>
      <c r="M17127" s="14"/>
      <c r="N17127" s="14"/>
      <c r="O17127" s="14"/>
      <c r="P17127" s="13"/>
    </row>
    <row r="17128">
      <c r="L17128" s="13"/>
      <c r="M17128" s="14"/>
      <c r="N17128" s="14"/>
      <c r="O17128" s="14"/>
      <c r="P17128" s="13"/>
    </row>
    <row r="17129">
      <c r="L17129" s="13"/>
      <c r="M17129" s="14"/>
      <c r="N17129" s="14"/>
      <c r="O17129" s="14"/>
      <c r="P17129" s="13"/>
    </row>
    <row r="17130">
      <c r="L17130" s="13"/>
      <c r="M17130" s="14"/>
      <c r="N17130" s="14"/>
      <c r="O17130" s="14"/>
      <c r="P17130" s="13"/>
    </row>
    <row r="17131">
      <c r="L17131" s="13"/>
      <c r="M17131" s="14"/>
      <c r="N17131" s="14"/>
      <c r="O17131" s="14"/>
      <c r="P17131" s="13"/>
    </row>
    <row r="17132">
      <c r="L17132" s="13"/>
      <c r="M17132" s="14"/>
      <c r="N17132" s="14"/>
      <c r="O17132" s="14"/>
      <c r="P17132" s="13"/>
    </row>
    <row r="17133">
      <c r="L17133" s="13"/>
      <c r="M17133" s="14"/>
      <c r="N17133" s="14"/>
      <c r="O17133" s="14"/>
      <c r="P17133" s="13"/>
    </row>
    <row r="17134">
      <c r="L17134" s="13"/>
      <c r="M17134" s="14"/>
      <c r="N17134" s="14"/>
      <c r="O17134" s="14"/>
      <c r="P17134" s="13"/>
    </row>
    <row r="17135">
      <c r="L17135" s="13"/>
      <c r="M17135" s="14"/>
      <c r="N17135" s="14"/>
      <c r="O17135" s="14"/>
      <c r="P17135" s="13"/>
    </row>
    <row r="17136">
      <c r="L17136" s="13"/>
      <c r="M17136" s="14"/>
      <c r="N17136" s="14"/>
      <c r="O17136" s="14"/>
      <c r="P17136" s="13"/>
    </row>
    <row r="17137">
      <c r="L17137" s="13"/>
      <c r="M17137" s="14"/>
      <c r="N17137" s="14"/>
      <c r="O17137" s="14"/>
      <c r="P17137" s="13"/>
    </row>
    <row r="17138">
      <c r="L17138" s="13"/>
      <c r="M17138" s="14"/>
      <c r="N17138" s="14"/>
      <c r="O17138" s="14"/>
      <c r="P17138" s="13"/>
    </row>
    <row r="17139">
      <c r="L17139" s="13"/>
      <c r="M17139" s="14"/>
      <c r="N17139" s="14"/>
      <c r="O17139" s="14"/>
      <c r="P17139" s="13"/>
    </row>
    <row r="17140">
      <c r="L17140" s="13"/>
      <c r="M17140" s="14"/>
      <c r="N17140" s="14"/>
      <c r="O17140" s="14"/>
      <c r="P17140" s="13"/>
    </row>
    <row r="17141">
      <c r="L17141" s="13"/>
      <c r="M17141" s="14"/>
      <c r="N17141" s="14"/>
      <c r="O17141" s="14"/>
      <c r="P17141" s="13"/>
    </row>
    <row r="17142">
      <c r="L17142" s="13"/>
      <c r="M17142" s="14"/>
      <c r="N17142" s="14"/>
      <c r="O17142" s="14"/>
      <c r="P17142" s="13"/>
    </row>
    <row r="17143">
      <c r="L17143" s="13"/>
      <c r="M17143" s="14"/>
      <c r="N17143" s="14"/>
      <c r="O17143" s="14"/>
      <c r="P17143" s="13"/>
    </row>
    <row r="17144">
      <c r="L17144" s="13"/>
      <c r="M17144" s="14"/>
      <c r="N17144" s="14"/>
      <c r="O17144" s="14"/>
      <c r="P17144" s="13"/>
    </row>
    <row r="17145">
      <c r="L17145" s="13"/>
      <c r="M17145" s="14"/>
      <c r="N17145" s="14"/>
      <c r="O17145" s="14"/>
      <c r="P17145" s="13"/>
    </row>
    <row r="17146">
      <c r="L17146" s="13"/>
      <c r="M17146" s="14"/>
      <c r="N17146" s="14"/>
      <c r="O17146" s="14"/>
      <c r="P17146" s="13"/>
    </row>
    <row r="17147">
      <c r="L17147" s="13"/>
      <c r="M17147" s="14"/>
      <c r="N17147" s="14"/>
      <c r="O17147" s="14"/>
      <c r="P17147" s="13"/>
    </row>
    <row r="17148">
      <c r="L17148" s="13"/>
      <c r="M17148" s="14"/>
      <c r="N17148" s="14"/>
      <c r="O17148" s="14"/>
      <c r="P17148" s="13"/>
    </row>
    <row r="17149">
      <c r="L17149" s="13"/>
      <c r="M17149" s="14"/>
      <c r="N17149" s="14"/>
      <c r="O17149" s="14"/>
      <c r="P17149" s="13"/>
    </row>
    <row r="17150">
      <c r="L17150" s="13"/>
      <c r="M17150" s="14"/>
      <c r="N17150" s="14"/>
      <c r="O17150" s="14"/>
      <c r="P17150" s="13"/>
    </row>
    <row r="17151">
      <c r="L17151" s="13"/>
      <c r="M17151" s="14"/>
      <c r="N17151" s="14"/>
      <c r="O17151" s="14"/>
      <c r="P17151" s="13"/>
    </row>
    <row r="17152">
      <c r="L17152" s="13"/>
      <c r="M17152" s="14"/>
      <c r="N17152" s="14"/>
      <c r="O17152" s="14"/>
      <c r="P17152" s="13"/>
    </row>
    <row r="17153">
      <c r="L17153" s="13"/>
      <c r="M17153" s="14"/>
      <c r="N17153" s="14"/>
      <c r="O17153" s="14"/>
      <c r="P17153" s="13"/>
    </row>
    <row r="17154">
      <c r="L17154" s="13"/>
      <c r="M17154" s="14"/>
      <c r="N17154" s="14"/>
      <c r="O17154" s="14"/>
      <c r="P17154" s="13"/>
    </row>
    <row r="17155">
      <c r="L17155" s="13"/>
      <c r="M17155" s="14"/>
      <c r="N17155" s="14"/>
      <c r="O17155" s="14"/>
      <c r="P17155" s="13"/>
    </row>
    <row r="17156">
      <c r="L17156" s="13"/>
      <c r="M17156" s="14"/>
      <c r="N17156" s="14"/>
      <c r="O17156" s="14"/>
      <c r="P17156" s="13"/>
    </row>
    <row r="17157">
      <c r="L17157" s="13"/>
      <c r="M17157" s="14"/>
      <c r="N17157" s="14"/>
      <c r="O17157" s="14"/>
      <c r="P17157" s="13"/>
    </row>
    <row r="17158">
      <c r="L17158" s="13"/>
      <c r="M17158" s="14"/>
      <c r="N17158" s="14"/>
      <c r="O17158" s="14"/>
      <c r="P17158" s="13"/>
    </row>
    <row r="17159">
      <c r="L17159" s="13"/>
      <c r="M17159" s="14"/>
      <c r="N17159" s="14"/>
      <c r="O17159" s="14"/>
      <c r="P17159" s="13"/>
    </row>
    <row r="17160">
      <c r="L17160" s="13"/>
      <c r="M17160" s="14"/>
      <c r="N17160" s="14"/>
      <c r="O17160" s="14"/>
      <c r="P17160" s="13"/>
    </row>
    <row r="17161">
      <c r="L17161" s="13"/>
      <c r="M17161" s="14"/>
      <c r="N17161" s="14"/>
      <c r="O17161" s="14"/>
      <c r="P17161" s="13"/>
    </row>
    <row r="17162">
      <c r="L17162" s="13"/>
      <c r="M17162" s="14"/>
      <c r="N17162" s="14"/>
      <c r="O17162" s="14"/>
      <c r="P17162" s="13"/>
    </row>
    <row r="17163">
      <c r="L17163" s="13"/>
      <c r="M17163" s="14"/>
      <c r="N17163" s="14"/>
      <c r="O17163" s="14"/>
      <c r="P17163" s="13"/>
    </row>
    <row r="17164">
      <c r="L17164" s="13"/>
      <c r="M17164" s="14"/>
      <c r="N17164" s="14"/>
      <c r="O17164" s="14"/>
      <c r="P17164" s="13"/>
    </row>
    <row r="17165">
      <c r="L17165" s="13"/>
      <c r="M17165" s="14"/>
      <c r="N17165" s="14"/>
      <c r="O17165" s="14"/>
      <c r="P17165" s="13"/>
    </row>
    <row r="17166">
      <c r="L17166" s="13"/>
      <c r="M17166" s="14"/>
      <c r="N17166" s="14"/>
      <c r="O17166" s="14"/>
      <c r="P17166" s="13"/>
    </row>
    <row r="17167">
      <c r="L17167" s="13"/>
      <c r="M17167" s="14"/>
      <c r="N17167" s="14"/>
      <c r="O17167" s="14"/>
      <c r="P17167" s="13"/>
    </row>
    <row r="17168">
      <c r="L17168" s="13"/>
      <c r="M17168" s="14"/>
      <c r="N17168" s="14"/>
      <c r="O17168" s="14"/>
      <c r="P17168" s="13"/>
    </row>
    <row r="17169">
      <c r="L17169" s="13"/>
      <c r="M17169" s="14"/>
      <c r="N17169" s="14"/>
      <c r="O17169" s="14"/>
      <c r="P17169" s="13"/>
    </row>
    <row r="17170">
      <c r="L17170" s="13"/>
      <c r="M17170" s="14"/>
      <c r="N17170" s="14"/>
      <c r="O17170" s="14"/>
      <c r="P17170" s="13"/>
    </row>
    <row r="17171">
      <c r="L17171" s="13"/>
      <c r="M17171" s="14"/>
      <c r="N17171" s="14"/>
      <c r="O17171" s="14"/>
      <c r="P17171" s="13"/>
    </row>
    <row r="17172">
      <c r="L17172" s="13"/>
      <c r="M17172" s="14"/>
      <c r="N17172" s="14"/>
      <c r="O17172" s="14"/>
      <c r="P17172" s="13"/>
    </row>
    <row r="17173">
      <c r="L17173" s="13"/>
      <c r="M17173" s="14"/>
      <c r="N17173" s="14"/>
      <c r="O17173" s="14"/>
      <c r="P17173" s="13"/>
    </row>
    <row r="17174">
      <c r="L17174" s="13"/>
      <c r="M17174" s="14"/>
      <c r="N17174" s="14"/>
      <c r="O17174" s="14"/>
      <c r="P17174" s="13"/>
    </row>
    <row r="17175">
      <c r="L17175" s="13"/>
      <c r="M17175" s="14"/>
      <c r="N17175" s="14"/>
      <c r="O17175" s="14"/>
      <c r="P17175" s="13"/>
    </row>
    <row r="17176">
      <c r="L17176" s="13"/>
      <c r="M17176" s="14"/>
      <c r="N17176" s="14"/>
      <c r="O17176" s="14"/>
      <c r="P17176" s="13"/>
    </row>
    <row r="17177">
      <c r="L17177" s="13"/>
      <c r="M17177" s="14"/>
      <c r="N17177" s="14"/>
      <c r="O17177" s="14"/>
      <c r="P17177" s="13"/>
    </row>
    <row r="17178">
      <c r="L17178" s="13"/>
      <c r="M17178" s="14"/>
      <c r="N17178" s="14"/>
      <c r="O17178" s="14"/>
      <c r="P17178" s="13"/>
    </row>
    <row r="17179">
      <c r="L17179" s="13"/>
      <c r="M17179" s="14"/>
      <c r="N17179" s="14"/>
      <c r="O17179" s="14"/>
      <c r="P17179" s="13"/>
    </row>
    <row r="17180">
      <c r="L17180" s="13"/>
      <c r="M17180" s="14"/>
      <c r="N17180" s="14"/>
      <c r="O17180" s="14"/>
      <c r="P17180" s="13"/>
    </row>
    <row r="17181">
      <c r="L17181" s="13"/>
      <c r="M17181" s="14"/>
      <c r="N17181" s="14"/>
      <c r="O17181" s="14"/>
      <c r="P17181" s="13"/>
    </row>
    <row r="17182">
      <c r="L17182" s="13"/>
      <c r="M17182" s="14"/>
      <c r="N17182" s="14"/>
      <c r="O17182" s="14"/>
      <c r="P17182" s="13"/>
    </row>
    <row r="17183">
      <c r="L17183" s="13"/>
      <c r="M17183" s="14"/>
      <c r="N17183" s="14"/>
      <c r="O17183" s="14"/>
      <c r="P17183" s="13"/>
    </row>
    <row r="17184">
      <c r="L17184" s="13"/>
      <c r="M17184" s="14"/>
      <c r="N17184" s="14"/>
      <c r="O17184" s="14"/>
      <c r="P17184" s="13"/>
    </row>
    <row r="17185">
      <c r="L17185" s="13"/>
      <c r="M17185" s="14"/>
      <c r="N17185" s="14"/>
      <c r="O17185" s="14"/>
      <c r="P17185" s="13"/>
    </row>
    <row r="17186">
      <c r="L17186" s="13"/>
      <c r="M17186" s="14"/>
      <c r="N17186" s="14"/>
      <c r="O17186" s="14"/>
      <c r="P17186" s="13"/>
    </row>
    <row r="17187">
      <c r="L17187" s="13"/>
      <c r="M17187" s="14"/>
      <c r="N17187" s="14"/>
      <c r="O17187" s="14"/>
      <c r="P17187" s="13"/>
    </row>
    <row r="17188">
      <c r="L17188" s="13"/>
      <c r="M17188" s="14"/>
      <c r="N17188" s="14"/>
      <c r="O17188" s="14"/>
      <c r="P17188" s="13"/>
    </row>
    <row r="17189">
      <c r="L17189" s="13"/>
      <c r="M17189" s="14"/>
      <c r="N17189" s="14"/>
      <c r="O17189" s="14"/>
      <c r="P17189" s="13"/>
    </row>
    <row r="17190">
      <c r="L17190" s="13"/>
      <c r="M17190" s="14"/>
      <c r="N17190" s="14"/>
      <c r="O17190" s="14"/>
      <c r="P17190" s="13"/>
    </row>
    <row r="17191">
      <c r="L17191" s="13"/>
      <c r="M17191" s="14"/>
      <c r="N17191" s="14"/>
      <c r="O17191" s="14"/>
      <c r="P17191" s="13"/>
    </row>
    <row r="17192">
      <c r="L17192" s="13"/>
      <c r="M17192" s="14"/>
      <c r="N17192" s="14"/>
      <c r="O17192" s="14"/>
      <c r="P17192" s="13"/>
    </row>
    <row r="17193">
      <c r="L17193" s="13"/>
      <c r="M17193" s="14"/>
      <c r="N17193" s="14"/>
      <c r="O17193" s="14"/>
      <c r="P17193" s="13"/>
    </row>
    <row r="17194">
      <c r="L17194" s="13"/>
      <c r="M17194" s="14"/>
      <c r="N17194" s="14"/>
      <c r="O17194" s="14"/>
      <c r="P17194" s="13"/>
    </row>
    <row r="17195">
      <c r="L17195" s="13"/>
      <c r="M17195" s="14"/>
      <c r="N17195" s="14"/>
      <c r="O17195" s="14"/>
      <c r="P17195" s="13"/>
    </row>
    <row r="17196">
      <c r="L17196" s="13"/>
      <c r="M17196" s="14"/>
      <c r="N17196" s="14"/>
      <c r="O17196" s="14"/>
      <c r="P17196" s="13"/>
    </row>
    <row r="17197">
      <c r="L17197" s="13"/>
      <c r="M17197" s="14"/>
      <c r="N17197" s="14"/>
      <c r="O17197" s="14"/>
      <c r="P17197" s="13"/>
    </row>
    <row r="17198">
      <c r="L17198" s="13"/>
      <c r="M17198" s="14"/>
      <c r="N17198" s="14"/>
      <c r="O17198" s="14"/>
      <c r="P17198" s="13"/>
    </row>
    <row r="17199">
      <c r="L17199" s="13"/>
      <c r="M17199" s="14"/>
      <c r="N17199" s="14"/>
      <c r="O17199" s="14"/>
      <c r="P17199" s="13"/>
    </row>
    <row r="17200">
      <c r="L17200" s="13"/>
      <c r="M17200" s="14"/>
      <c r="N17200" s="14"/>
      <c r="O17200" s="14"/>
      <c r="P17200" s="13"/>
    </row>
    <row r="17201">
      <c r="L17201" s="13"/>
      <c r="M17201" s="14"/>
      <c r="N17201" s="14"/>
      <c r="O17201" s="14"/>
      <c r="P17201" s="13"/>
    </row>
    <row r="17202">
      <c r="L17202" s="13"/>
      <c r="M17202" s="14"/>
      <c r="N17202" s="14"/>
      <c r="O17202" s="14"/>
      <c r="P17202" s="13"/>
    </row>
    <row r="17203">
      <c r="L17203" s="13"/>
      <c r="M17203" s="14"/>
      <c r="N17203" s="14"/>
      <c r="O17203" s="14"/>
      <c r="P17203" s="13"/>
    </row>
    <row r="17204">
      <c r="L17204" s="13"/>
      <c r="M17204" s="14"/>
      <c r="N17204" s="14"/>
      <c r="O17204" s="14"/>
      <c r="P17204" s="13"/>
    </row>
    <row r="17205">
      <c r="L17205" s="13"/>
      <c r="M17205" s="14"/>
      <c r="N17205" s="14"/>
      <c r="O17205" s="14"/>
      <c r="P17205" s="13"/>
    </row>
    <row r="17206">
      <c r="L17206" s="13"/>
      <c r="M17206" s="14"/>
      <c r="N17206" s="14"/>
      <c r="O17206" s="14"/>
      <c r="P17206" s="13"/>
    </row>
    <row r="17207">
      <c r="L17207" s="13"/>
      <c r="M17207" s="14"/>
      <c r="N17207" s="14"/>
      <c r="O17207" s="14"/>
      <c r="P17207" s="13"/>
    </row>
    <row r="17208">
      <c r="L17208" s="13"/>
      <c r="M17208" s="14"/>
      <c r="N17208" s="14"/>
      <c r="O17208" s="14"/>
      <c r="P17208" s="13"/>
    </row>
    <row r="17209">
      <c r="L17209" s="13"/>
      <c r="M17209" s="14"/>
      <c r="N17209" s="14"/>
      <c r="O17209" s="14"/>
      <c r="P17209" s="13"/>
    </row>
    <row r="17210">
      <c r="L17210" s="13"/>
      <c r="M17210" s="14"/>
      <c r="N17210" s="14"/>
      <c r="O17210" s="14"/>
      <c r="P17210" s="13"/>
    </row>
    <row r="17211">
      <c r="L17211" s="13"/>
      <c r="M17211" s="14"/>
      <c r="N17211" s="14"/>
      <c r="O17211" s="14"/>
      <c r="P17211" s="13"/>
    </row>
    <row r="17212">
      <c r="L17212" s="13"/>
      <c r="M17212" s="14"/>
      <c r="N17212" s="14"/>
      <c r="O17212" s="14"/>
      <c r="P17212" s="13"/>
    </row>
    <row r="17213">
      <c r="L17213" s="13"/>
      <c r="M17213" s="14"/>
      <c r="N17213" s="14"/>
      <c r="O17213" s="14"/>
      <c r="P17213" s="13"/>
    </row>
    <row r="17214">
      <c r="L17214" s="13"/>
      <c r="M17214" s="14"/>
      <c r="N17214" s="14"/>
      <c r="O17214" s="14"/>
      <c r="P17214" s="13"/>
    </row>
    <row r="17215">
      <c r="L17215" s="13"/>
      <c r="M17215" s="14"/>
      <c r="N17215" s="14"/>
      <c r="O17215" s="14"/>
      <c r="P17215" s="13"/>
    </row>
    <row r="17216">
      <c r="L17216" s="13"/>
      <c r="M17216" s="14"/>
      <c r="N17216" s="14"/>
      <c r="O17216" s="14"/>
      <c r="P17216" s="13"/>
    </row>
    <row r="17217">
      <c r="L17217" s="13"/>
      <c r="M17217" s="14"/>
      <c r="N17217" s="14"/>
      <c r="O17217" s="14"/>
      <c r="P17217" s="13"/>
    </row>
    <row r="17218">
      <c r="L17218" s="13"/>
      <c r="M17218" s="14"/>
      <c r="N17218" s="14"/>
      <c r="O17218" s="14"/>
      <c r="P17218" s="13"/>
    </row>
    <row r="17219">
      <c r="L17219" s="13"/>
      <c r="M17219" s="14"/>
      <c r="N17219" s="14"/>
      <c r="O17219" s="14"/>
      <c r="P17219" s="13"/>
    </row>
    <row r="17220">
      <c r="L17220" s="13"/>
      <c r="M17220" s="14"/>
      <c r="N17220" s="14"/>
      <c r="O17220" s="14"/>
      <c r="P17220" s="13"/>
    </row>
    <row r="17221">
      <c r="L17221" s="13"/>
      <c r="M17221" s="14"/>
      <c r="N17221" s="14"/>
      <c r="O17221" s="14"/>
      <c r="P17221" s="13"/>
    </row>
    <row r="17222">
      <c r="L17222" s="13"/>
      <c r="M17222" s="14"/>
      <c r="N17222" s="14"/>
      <c r="O17222" s="14"/>
      <c r="P17222" s="13"/>
    </row>
    <row r="17223">
      <c r="L17223" s="13"/>
      <c r="M17223" s="14"/>
      <c r="N17223" s="14"/>
      <c r="O17223" s="14"/>
      <c r="P17223" s="13"/>
    </row>
    <row r="17224">
      <c r="L17224" s="13"/>
      <c r="M17224" s="14"/>
      <c r="N17224" s="14"/>
      <c r="O17224" s="14"/>
      <c r="P17224" s="13"/>
    </row>
    <row r="17225">
      <c r="L17225" s="13"/>
      <c r="M17225" s="14"/>
      <c r="N17225" s="14"/>
      <c r="O17225" s="14"/>
      <c r="P17225" s="13"/>
    </row>
    <row r="17226">
      <c r="L17226" s="13"/>
      <c r="M17226" s="14"/>
      <c r="N17226" s="14"/>
      <c r="O17226" s="14"/>
      <c r="P17226" s="13"/>
    </row>
    <row r="17227">
      <c r="L17227" s="13"/>
      <c r="M17227" s="14"/>
      <c r="N17227" s="14"/>
      <c r="O17227" s="14"/>
      <c r="P17227" s="13"/>
    </row>
    <row r="17228">
      <c r="L17228" s="13"/>
      <c r="M17228" s="14"/>
      <c r="N17228" s="14"/>
      <c r="O17228" s="14"/>
      <c r="P17228" s="13"/>
    </row>
    <row r="17229">
      <c r="L17229" s="13"/>
      <c r="M17229" s="14"/>
      <c r="N17229" s="14"/>
      <c r="O17229" s="14"/>
      <c r="P17229" s="13"/>
    </row>
    <row r="17230">
      <c r="L17230" s="13"/>
      <c r="M17230" s="14"/>
      <c r="N17230" s="14"/>
      <c r="O17230" s="14"/>
      <c r="P17230" s="13"/>
    </row>
    <row r="17231">
      <c r="L17231" s="13"/>
      <c r="M17231" s="14"/>
      <c r="N17231" s="14"/>
      <c r="O17231" s="14"/>
      <c r="P17231" s="13"/>
    </row>
    <row r="17232">
      <c r="L17232" s="13"/>
      <c r="M17232" s="14"/>
      <c r="N17232" s="14"/>
      <c r="O17232" s="14"/>
      <c r="P17232" s="13"/>
    </row>
    <row r="17233">
      <c r="L17233" s="13"/>
      <c r="M17233" s="14"/>
      <c r="N17233" s="14"/>
      <c r="O17233" s="14"/>
      <c r="P17233" s="13"/>
    </row>
    <row r="17234">
      <c r="L17234" s="13"/>
      <c r="M17234" s="14"/>
      <c r="N17234" s="14"/>
      <c r="O17234" s="14"/>
      <c r="P17234" s="13"/>
    </row>
    <row r="17235">
      <c r="L17235" s="13"/>
      <c r="M17235" s="14"/>
      <c r="N17235" s="14"/>
      <c r="O17235" s="14"/>
      <c r="P17235" s="13"/>
    </row>
    <row r="17236">
      <c r="L17236" s="13"/>
      <c r="M17236" s="14"/>
      <c r="N17236" s="14"/>
      <c r="O17236" s="14"/>
      <c r="P17236" s="13"/>
    </row>
    <row r="17237">
      <c r="L17237" s="13"/>
      <c r="M17237" s="14"/>
      <c r="N17237" s="14"/>
      <c r="O17237" s="14"/>
      <c r="P17237" s="13"/>
    </row>
    <row r="17238">
      <c r="L17238" s="13"/>
      <c r="M17238" s="14"/>
      <c r="N17238" s="14"/>
      <c r="O17238" s="14"/>
      <c r="P17238" s="13"/>
    </row>
    <row r="17239">
      <c r="L17239" s="13"/>
      <c r="M17239" s="14"/>
      <c r="N17239" s="14"/>
      <c r="O17239" s="14"/>
      <c r="P17239" s="13"/>
    </row>
    <row r="17240">
      <c r="L17240" s="13"/>
      <c r="M17240" s="14"/>
      <c r="N17240" s="14"/>
      <c r="O17240" s="14"/>
      <c r="P17240" s="13"/>
    </row>
    <row r="17241">
      <c r="L17241" s="13"/>
      <c r="M17241" s="14"/>
      <c r="N17241" s="14"/>
      <c r="O17241" s="14"/>
      <c r="P17241" s="13"/>
    </row>
    <row r="17242">
      <c r="L17242" s="13"/>
      <c r="M17242" s="14"/>
      <c r="N17242" s="14"/>
      <c r="O17242" s="14"/>
      <c r="P17242" s="13"/>
    </row>
    <row r="17243">
      <c r="L17243" s="13"/>
      <c r="M17243" s="14"/>
      <c r="N17243" s="14"/>
      <c r="O17243" s="14"/>
      <c r="P17243" s="13"/>
    </row>
    <row r="17244">
      <c r="L17244" s="13"/>
      <c r="M17244" s="14"/>
      <c r="N17244" s="14"/>
      <c r="O17244" s="14"/>
      <c r="P17244" s="13"/>
    </row>
    <row r="17245">
      <c r="L17245" s="13"/>
      <c r="M17245" s="14"/>
      <c r="N17245" s="14"/>
      <c r="O17245" s="14"/>
      <c r="P17245" s="13"/>
    </row>
    <row r="17246">
      <c r="L17246" s="13"/>
      <c r="M17246" s="14"/>
      <c r="N17246" s="14"/>
      <c r="O17246" s="14"/>
      <c r="P17246" s="13"/>
    </row>
    <row r="17247">
      <c r="L17247" s="13"/>
      <c r="M17247" s="14"/>
      <c r="N17247" s="14"/>
      <c r="O17247" s="14"/>
      <c r="P17247" s="13"/>
    </row>
    <row r="17248">
      <c r="L17248" s="13"/>
      <c r="M17248" s="14"/>
      <c r="N17248" s="14"/>
      <c r="O17248" s="14"/>
      <c r="P17248" s="13"/>
    </row>
    <row r="17249">
      <c r="L17249" s="13"/>
      <c r="M17249" s="14"/>
      <c r="N17249" s="14"/>
      <c r="O17249" s="14"/>
      <c r="P17249" s="13"/>
    </row>
    <row r="17250">
      <c r="L17250" s="13"/>
      <c r="M17250" s="14"/>
      <c r="N17250" s="14"/>
      <c r="O17250" s="14"/>
      <c r="P17250" s="13"/>
    </row>
    <row r="17251">
      <c r="L17251" s="13"/>
      <c r="M17251" s="14"/>
      <c r="N17251" s="14"/>
      <c r="O17251" s="14"/>
      <c r="P17251" s="13"/>
    </row>
    <row r="17252">
      <c r="L17252" s="13"/>
      <c r="M17252" s="14"/>
      <c r="N17252" s="14"/>
      <c r="O17252" s="14"/>
      <c r="P17252" s="13"/>
    </row>
    <row r="17253">
      <c r="L17253" s="13"/>
      <c r="M17253" s="14"/>
      <c r="N17253" s="14"/>
      <c r="O17253" s="14"/>
      <c r="P17253" s="13"/>
    </row>
    <row r="17254">
      <c r="L17254" s="13"/>
      <c r="M17254" s="14"/>
      <c r="N17254" s="14"/>
      <c r="O17254" s="14"/>
      <c r="P17254" s="13"/>
    </row>
    <row r="17255">
      <c r="L17255" s="13"/>
      <c r="M17255" s="14"/>
      <c r="N17255" s="14"/>
      <c r="O17255" s="14"/>
      <c r="P17255" s="13"/>
    </row>
    <row r="17256">
      <c r="L17256" s="13"/>
      <c r="M17256" s="14"/>
      <c r="N17256" s="14"/>
      <c r="O17256" s="14"/>
      <c r="P17256" s="13"/>
    </row>
    <row r="17257">
      <c r="L17257" s="13"/>
      <c r="M17257" s="14"/>
      <c r="N17257" s="14"/>
      <c r="O17257" s="14"/>
      <c r="P17257" s="13"/>
    </row>
    <row r="17258">
      <c r="L17258" s="13"/>
      <c r="M17258" s="14"/>
      <c r="N17258" s="14"/>
      <c r="O17258" s="14"/>
      <c r="P17258" s="13"/>
    </row>
    <row r="17259">
      <c r="L17259" s="13"/>
      <c r="M17259" s="14"/>
      <c r="N17259" s="14"/>
      <c r="O17259" s="14"/>
      <c r="P17259" s="13"/>
    </row>
    <row r="17260">
      <c r="L17260" s="13"/>
      <c r="M17260" s="14"/>
      <c r="N17260" s="14"/>
      <c r="O17260" s="14"/>
      <c r="P17260" s="13"/>
    </row>
    <row r="17261">
      <c r="L17261" s="13"/>
      <c r="M17261" s="14"/>
      <c r="N17261" s="14"/>
      <c r="O17261" s="14"/>
      <c r="P17261" s="13"/>
    </row>
    <row r="17262">
      <c r="L17262" s="13"/>
      <c r="M17262" s="14"/>
      <c r="N17262" s="14"/>
      <c r="O17262" s="14"/>
      <c r="P17262" s="13"/>
    </row>
    <row r="17263">
      <c r="L17263" s="13"/>
      <c r="M17263" s="14"/>
      <c r="N17263" s="14"/>
      <c r="O17263" s="14"/>
      <c r="P17263" s="13"/>
    </row>
    <row r="17264">
      <c r="L17264" s="13"/>
      <c r="M17264" s="14"/>
      <c r="N17264" s="14"/>
      <c r="O17264" s="14"/>
      <c r="P17264" s="13"/>
    </row>
    <row r="17265">
      <c r="L17265" s="13"/>
      <c r="M17265" s="14"/>
      <c r="N17265" s="14"/>
      <c r="O17265" s="14"/>
      <c r="P17265" s="13"/>
    </row>
    <row r="17266">
      <c r="L17266" s="13"/>
      <c r="M17266" s="14"/>
      <c r="N17266" s="14"/>
      <c r="O17266" s="14"/>
      <c r="P17266" s="13"/>
    </row>
    <row r="17267">
      <c r="L17267" s="13"/>
      <c r="M17267" s="14"/>
      <c r="N17267" s="14"/>
      <c r="O17267" s="14"/>
      <c r="P17267" s="13"/>
    </row>
    <row r="17268">
      <c r="L17268" s="13"/>
      <c r="M17268" s="14"/>
      <c r="N17268" s="14"/>
      <c r="O17268" s="14"/>
      <c r="P17268" s="13"/>
    </row>
    <row r="17269">
      <c r="L17269" s="13"/>
      <c r="M17269" s="14"/>
      <c r="N17269" s="14"/>
      <c r="O17269" s="14"/>
      <c r="P17269" s="13"/>
    </row>
    <row r="17270">
      <c r="L17270" s="13"/>
      <c r="M17270" s="14"/>
      <c r="N17270" s="14"/>
      <c r="O17270" s="14"/>
      <c r="P17270" s="13"/>
    </row>
    <row r="17271">
      <c r="L17271" s="13"/>
      <c r="M17271" s="14"/>
      <c r="N17271" s="14"/>
      <c r="O17271" s="14"/>
      <c r="P17271" s="13"/>
    </row>
    <row r="17272">
      <c r="L17272" s="13"/>
      <c r="M17272" s="14"/>
      <c r="N17272" s="14"/>
      <c r="O17272" s="14"/>
      <c r="P17272" s="13"/>
    </row>
    <row r="17273">
      <c r="L17273" s="13"/>
      <c r="M17273" s="14"/>
      <c r="N17273" s="14"/>
      <c r="O17273" s="14"/>
      <c r="P17273" s="13"/>
    </row>
    <row r="17274">
      <c r="L17274" s="13"/>
      <c r="M17274" s="14"/>
      <c r="N17274" s="14"/>
      <c r="O17274" s="14"/>
      <c r="P17274" s="13"/>
    </row>
    <row r="17275">
      <c r="L17275" s="13"/>
      <c r="M17275" s="14"/>
      <c r="N17275" s="14"/>
      <c r="O17275" s="14"/>
      <c r="P17275" s="13"/>
    </row>
    <row r="17276">
      <c r="L17276" s="13"/>
      <c r="M17276" s="14"/>
      <c r="N17276" s="14"/>
      <c r="O17276" s="14"/>
      <c r="P17276" s="13"/>
    </row>
    <row r="17277">
      <c r="L17277" s="13"/>
      <c r="M17277" s="14"/>
      <c r="N17277" s="14"/>
      <c r="O17277" s="14"/>
      <c r="P17277" s="13"/>
    </row>
    <row r="17278">
      <c r="L17278" s="13"/>
      <c r="M17278" s="14"/>
      <c r="N17278" s="14"/>
      <c r="O17278" s="14"/>
      <c r="P17278" s="13"/>
    </row>
    <row r="17279">
      <c r="L17279" s="13"/>
      <c r="M17279" s="14"/>
      <c r="N17279" s="14"/>
      <c r="O17279" s="14"/>
      <c r="P17279" s="13"/>
    </row>
    <row r="17280">
      <c r="L17280" s="13"/>
      <c r="M17280" s="14"/>
      <c r="N17280" s="14"/>
      <c r="O17280" s="14"/>
      <c r="P17280" s="13"/>
    </row>
    <row r="17281">
      <c r="L17281" s="13"/>
      <c r="M17281" s="14"/>
      <c r="N17281" s="14"/>
      <c r="O17281" s="14"/>
      <c r="P17281" s="13"/>
    </row>
    <row r="17282">
      <c r="L17282" s="13"/>
      <c r="M17282" s="14"/>
      <c r="N17282" s="14"/>
      <c r="O17282" s="14"/>
      <c r="P17282" s="13"/>
    </row>
    <row r="17283">
      <c r="L17283" s="13"/>
      <c r="M17283" s="14"/>
      <c r="N17283" s="14"/>
      <c r="O17283" s="14"/>
      <c r="P17283" s="13"/>
    </row>
    <row r="17284">
      <c r="L17284" s="13"/>
      <c r="M17284" s="14"/>
      <c r="N17284" s="14"/>
      <c r="O17284" s="14"/>
      <c r="P17284" s="13"/>
    </row>
    <row r="17285">
      <c r="L17285" s="13"/>
      <c r="M17285" s="14"/>
      <c r="N17285" s="14"/>
      <c r="O17285" s="14"/>
      <c r="P17285" s="13"/>
    </row>
    <row r="17286">
      <c r="L17286" s="13"/>
      <c r="M17286" s="14"/>
      <c r="N17286" s="14"/>
      <c r="O17286" s="14"/>
      <c r="P17286" s="13"/>
    </row>
    <row r="17287">
      <c r="L17287" s="13"/>
      <c r="M17287" s="14"/>
      <c r="N17287" s="14"/>
      <c r="O17287" s="14"/>
      <c r="P17287" s="13"/>
    </row>
    <row r="17288">
      <c r="L17288" s="13"/>
      <c r="M17288" s="14"/>
      <c r="N17288" s="14"/>
      <c r="O17288" s="14"/>
      <c r="P17288" s="13"/>
    </row>
    <row r="17289">
      <c r="L17289" s="13"/>
      <c r="M17289" s="14"/>
      <c r="N17289" s="14"/>
      <c r="O17289" s="14"/>
      <c r="P17289" s="13"/>
    </row>
    <row r="17290">
      <c r="L17290" s="13"/>
      <c r="M17290" s="14"/>
      <c r="N17290" s="14"/>
      <c r="O17290" s="14"/>
      <c r="P17290" s="13"/>
    </row>
    <row r="17291">
      <c r="L17291" s="13"/>
      <c r="M17291" s="14"/>
      <c r="N17291" s="14"/>
      <c r="O17291" s="14"/>
      <c r="P17291" s="13"/>
    </row>
    <row r="17292">
      <c r="L17292" s="13"/>
      <c r="M17292" s="14"/>
      <c r="N17292" s="14"/>
      <c r="O17292" s="14"/>
      <c r="P17292" s="13"/>
    </row>
    <row r="17293">
      <c r="L17293" s="13"/>
      <c r="M17293" s="14"/>
      <c r="N17293" s="14"/>
      <c r="O17293" s="14"/>
      <c r="P17293" s="13"/>
    </row>
    <row r="17294">
      <c r="L17294" s="13"/>
      <c r="M17294" s="14"/>
      <c r="N17294" s="14"/>
      <c r="O17294" s="14"/>
      <c r="P17294" s="13"/>
    </row>
    <row r="17295">
      <c r="L17295" s="13"/>
      <c r="M17295" s="14"/>
      <c r="N17295" s="14"/>
      <c r="O17295" s="14"/>
      <c r="P17295" s="13"/>
    </row>
    <row r="17296">
      <c r="L17296" s="13"/>
      <c r="M17296" s="14"/>
      <c r="N17296" s="14"/>
      <c r="O17296" s="14"/>
      <c r="P17296" s="13"/>
    </row>
    <row r="17297">
      <c r="L17297" s="13"/>
      <c r="M17297" s="14"/>
      <c r="N17297" s="14"/>
      <c r="O17297" s="14"/>
      <c r="P17297" s="13"/>
    </row>
    <row r="17298">
      <c r="L17298" s="13"/>
      <c r="M17298" s="14"/>
      <c r="N17298" s="14"/>
      <c r="O17298" s="14"/>
      <c r="P17298" s="13"/>
    </row>
    <row r="17299">
      <c r="L17299" s="13"/>
      <c r="M17299" s="14"/>
      <c r="N17299" s="14"/>
      <c r="O17299" s="14"/>
      <c r="P17299" s="13"/>
    </row>
    <row r="17300">
      <c r="L17300" s="13"/>
      <c r="M17300" s="14"/>
      <c r="N17300" s="14"/>
      <c r="O17300" s="14"/>
      <c r="P17300" s="13"/>
    </row>
    <row r="17301">
      <c r="L17301" s="13"/>
      <c r="M17301" s="14"/>
      <c r="N17301" s="14"/>
      <c r="O17301" s="14"/>
      <c r="P17301" s="13"/>
    </row>
    <row r="17302">
      <c r="L17302" s="13"/>
      <c r="M17302" s="14"/>
      <c r="N17302" s="14"/>
      <c r="O17302" s="14"/>
      <c r="P17302" s="13"/>
    </row>
    <row r="17303">
      <c r="L17303" s="13"/>
      <c r="M17303" s="14"/>
      <c r="N17303" s="14"/>
      <c r="O17303" s="14"/>
      <c r="P17303" s="13"/>
    </row>
    <row r="17304">
      <c r="L17304" s="13"/>
      <c r="M17304" s="14"/>
      <c r="N17304" s="14"/>
      <c r="O17304" s="14"/>
      <c r="P17304" s="13"/>
    </row>
    <row r="17305">
      <c r="L17305" s="13"/>
      <c r="M17305" s="14"/>
      <c r="N17305" s="14"/>
      <c r="O17305" s="14"/>
      <c r="P17305" s="13"/>
    </row>
    <row r="17306">
      <c r="L17306" s="13"/>
      <c r="M17306" s="14"/>
      <c r="N17306" s="14"/>
      <c r="O17306" s="14"/>
      <c r="P17306" s="13"/>
    </row>
    <row r="17307">
      <c r="L17307" s="13"/>
      <c r="M17307" s="14"/>
      <c r="N17307" s="14"/>
      <c r="O17307" s="14"/>
      <c r="P17307" s="13"/>
    </row>
    <row r="17308">
      <c r="L17308" s="13"/>
      <c r="M17308" s="14"/>
      <c r="N17308" s="14"/>
      <c r="O17308" s="14"/>
      <c r="P17308" s="13"/>
    </row>
    <row r="17309">
      <c r="L17309" s="13"/>
      <c r="M17309" s="14"/>
      <c r="N17309" s="14"/>
      <c r="O17309" s="14"/>
      <c r="P17309" s="13"/>
    </row>
    <row r="17310">
      <c r="L17310" s="13"/>
      <c r="M17310" s="14"/>
      <c r="N17310" s="14"/>
      <c r="O17310" s="14"/>
      <c r="P17310" s="13"/>
    </row>
    <row r="17311">
      <c r="L17311" s="13"/>
      <c r="M17311" s="14"/>
      <c r="N17311" s="14"/>
      <c r="O17311" s="14"/>
      <c r="P17311" s="13"/>
    </row>
    <row r="17312">
      <c r="L17312" s="13"/>
      <c r="M17312" s="14"/>
      <c r="N17312" s="14"/>
      <c r="O17312" s="14"/>
      <c r="P17312" s="13"/>
    </row>
    <row r="17313">
      <c r="L17313" s="13"/>
      <c r="M17313" s="14"/>
      <c r="N17313" s="14"/>
      <c r="O17313" s="14"/>
      <c r="P17313" s="13"/>
    </row>
    <row r="17314">
      <c r="L17314" s="13"/>
      <c r="M17314" s="14"/>
      <c r="N17314" s="14"/>
      <c r="O17314" s="14"/>
      <c r="P17314" s="13"/>
    </row>
    <row r="17315">
      <c r="L17315" s="13"/>
      <c r="M17315" s="14"/>
      <c r="N17315" s="14"/>
      <c r="O17315" s="14"/>
      <c r="P17315" s="13"/>
    </row>
    <row r="17316">
      <c r="L17316" s="13"/>
      <c r="M17316" s="14"/>
      <c r="N17316" s="14"/>
      <c r="O17316" s="14"/>
      <c r="P17316" s="13"/>
    </row>
    <row r="17317">
      <c r="L17317" s="13"/>
      <c r="M17317" s="14"/>
      <c r="N17317" s="14"/>
      <c r="O17317" s="14"/>
      <c r="P17317" s="13"/>
    </row>
    <row r="17318">
      <c r="L17318" s="13"/>
      <c r="M17318" s="14"/>
      <c r="N17318" s="14"/>
      <c r="O17318" s="14"/>
      <c r="P17318" s="13"/>
    </row>
    <row r="17319">
      <c r="L17319" s="13"/>
      <c r="M17319" s="14"/>
      <c r="N17319" s="14"/>
      <c r="O17319" s="14"/>
      <c r="P17319" s="13"/>
    </row>
    <row r="17320">
      <c r="L17320" s="13"/>
      <c r="M17320" s="14"/>
      <c r="N17320" s="14"/>
      <c r="O17320" s="14"/>
      <c r="P17320" s="13"/>
    </row>
    <row r="17321">
      <c r="L17321" s="13"/>
      <c r="M17321" s="14"/>
      <c r="N17321" s="14"/>
      <c r="O17321" s="14"/>
      <c r="P17321" s="13"/>
    </row>
    <row r="17322">
      <c r="L17322" s="13"/>
      <c r="M17322" s="14"/>
      <c r="N17322" s="14"/>
      <c r="O17322" s="14"/>
      <c r="P17322" s="13"/>
    </row>
    <row r="17323">
      <c r="L17323" s="13"/>
      <c r="M17323" s="14"/>
      <c r="N17323" s="14"/>
      <c r="O17323" s="14"/>
      <c r="P17323" s="13"/>
    </row>
    <row r="17324">
      <c r="L17324" s="13"/>
      <c r="M17324" s="14"/>
      <c r="N17324" s="14"/>
      <c r="O17324" s="14"/>
      <c r="P17324" s="13"/>
    </row>
    <row r="17325">
      <c r="L17325" s="13"/>
      <c r="M17325" s="14"/>
      <c r="N17325" s="14"/>
      <c r="O17325" s="14"/>
      <c r="P17325" s="13"/>
    </row>
    <row r="17326">
      <c r="L17326" s="13"/>
      <c r="M17326" s="14"/>
      <c r="N17326" s="14"/>
      <c r="O17326" s="14"/>
      <c r="P17326" s="13"/>
    </row>
    <row r="17327">
      <c r="L17327" s="13"/>
      <c r="M17327" s="14"/>
      <c r="N17327" s="14"/>
      <c r="O17327" s="14"/>
      <c r="P17327" s="13"/>
    </row>
    <row r="17328">
      <c r="L17328" s="13"/>
      <c r="M17328" s="14"/>
      <c r="N17328" s="14"/>
      <c r="O17328" s="14"/>
      <c r="P17328" s="13"/>
    </row>
    <row r="17329">
      <c r="L17329" s="13"/>
      <c r="M17329" s="14"/>
      <c r="N17329" s="14"/>
      <c r="O17329" s="14"/>
      <c r="P17329" s="13"/>
    </row>
    <row r="17330">
      <c r="L17330" s="13"/>
      <c r="M17330" s="14"/>
      <c r="N17330" s="14"/>
      <c r="O17330" s="14"/>
      <c r="P17330" s="13"/>
    </row>
    <row r="17331">
      <c r="L17331" s="13"/>
      <c r="M17331" s="14"/>
      <c r="N17331" s="14"/>
      <c r="O17331" s="14"/>
      <c r="P17331" s="13"/>
    </row>
    <row r="17332">
      <c r="L17332" s="13"/>
      <c r="M17332" s="14"/>
      <c r="N17332" s="14"/>
      <c r="O17332" s="14"/>
      <c r="P17332" s="13"/>
    </row>
    <row r="17333">
      <c r="L17333" s="13"/>
      <c r="M17333" s="14"/>
      <c r="N17333" s="14"/>
      <c r="O17333" s="14"/>
      <c r="P17333" s="13"/>
    </row>
    <row r="17334">
      <c r="L17334" s="13"/>
      <c r="M17334" s="14"/>
      <c r="N17334" s="14"/>
      <c r="O17334" s="14"/>
      <c r="P17334" s="13"/>
    </row>
    <row r="17335">
      <c r="L17335" s="13"/>
      <c r="M17335" s="14"/>
      <c r="N17335" s="14"/>
      <c r="O17335" s="14"/>
      <c r="P17335" s="13"/>
    </row>
    <row r="17336">
      <c r="L17336" s="13"/>
      <c r="M17336" s="14"/>
      <c r="N17336" s="14"/>
      <c r="O17336" s="14"/>
      <c r="P17336" s="13"/>
    </row>
    <row r="17337">
      <c r="L17337" s="13"/>
      <c r="M17337" s="14"/>
      <c r="N17337" s="14"/>
      <c r="O17337" s="14"/>
      <c r="P17337" s="13"/>
    </row>
    <row r="17338">
      <c r="L17338" s="13"/>
      <c r="M17338" s="14"/>
      <c r="N17338" s="14"/>
      <c r="O17338" s="14"/>
      <c r="P17338" s="13"/>
    </row>
    <row r="17339">
      <c r="L17339" s="13"/>
      <c r="M17339" s="14"/>
      <c r="N17339" s="14"/>
      <c r="O17339" s="14"/>
      <c r="P17339" s="13"/>
    </row>
    <row r="17340">
      <c r="L17340" s="13"/>
      <c r="M17340" s="14"/>
      <c r="N17340" s="14"/>
      <c r="O17340" s="14"/>
      <c r="P17340" s="13"/>
    </row>
    <row r="17341">
      <c r="L17341" s="13"/>
      <c r="M17341" s="14"/>
      <c r="N17341" s="14"/>
      <c r="O17341" s="14"/>
      <c r="P17341" s="13"/>
    </row>
    <row r="17342">
      <c r="L17342" s="13"/>
      <c r="M17342" s="14"/>
      <c r="N17342" s="14"/>
      <c r="O17342" s="14"/>
      <c r="P17342" s="13"/>
    </row>
    <row r="17343">
      <c r="L17343" s="13"/>
      <c r="M17343" s="14"/>
      <c r="N17343" s="14"/>
      <c r="O17343" s="14"/>
      <c r="P17343" s="13"/>
    </row>
    <row r="17344">
      <c r="L17344" s="13"/>
      <c r="M17344" s="14"/>
      <c r="N17344" s="14"/>
      <c r="O17344" s="14"/>
      <c r="P17344" s="13"/>
    </row>
    <row r="17345">
      <c r="L17345" s="13"/>
      <c r="M17345" s="14"/>
      <c r="N17345" s="14"/>
      <c r="O17345" s="14"/>
      <c r="P17345" s="13"/>
    </row>
    <row r="17346">
      <c r="L17346" s="13"/>
      <c r="M17346" s="14"/>
      <c r="N17346" s="14"/>
      <c r="O17346" s="14"/>
      <c r="P17346" s="13"/>
    </row>
    <row r="17347">
      <c r="L17347" s="13"/>
      <c r="M17347" s="14"/>
      <c r="N17347" s="14"/>
      <c r="O17347" s="14"/>
      <c r="P17347" s="13"/>
    </row>
    <row r="17348">
      <c r="L17348" s="13"/>
      <c r="M17348" s="14"/>
      <c r="N17348" s="14"/>
      <c r="O17348" s="14"/>
      <c r="P17348" s="13"/>
    </row>
    <row r="17349">
      <c r="L17349" s="13"/>
      <c r="M17349" s="14"/>
      <c r="N17349" s="14"/>
      <c r="O17349" s="14"/>
      <c r="P17349" s="13"/>
    </row>
    <row r="17350">
      <c r="L17350" s="13"/>
      <c r="M17350" s="14"/>
      <c r="N17350" s="14"/>
      <c r="O17350" s="14"/>
      <c r="P17350" s="13"/>
    </row>
    <row r="17351">
      <c r="L17351" s="13"/>
      <c r="M17351" s="14"/>
      <c r="N17351" s="14"/>
      <c r="O17351" s="14"/>
      <c r="P17351" s="13"/>
    </row>
    <row r="17352">
      <c r="L17352" s="13"/>
      <c r="M17352" s="14"/>
      <c r="N17352" s="14"/>
      <c r="O17352" s="14"/>
      <c r="P17352" s="13"/>
    </row>
    <row r="17353">
      <c r="L17353" s="13"/>
      <c r="M17353" s="14"/>
      <c r="N17353" s="14"/>
      <c r="O17353" s="14"/>
      <c r="P17353" s="13"/>
    </row>
    <row r="17354">
      <c r="L17354" s="13"/>
      <c r="M17354" s="14"/>
      <c r="N17354" s="14"/>
      <c r="O17354" s="14"/>
      <c r="P17354" s="13"/>
    </row>
    <row r="17355">
      <c r="L17355" s="13"/>
      <c r="M17355" s="14"/>
      <c r="N17355" s="14"/>
      <c r="O17355" s="14"/>
      <c r="P17355" s="13"/>
    </row>
    <row r="17356">
      <c r="L17356" s="13"/>
      <c r="M17356" s="14"/>
      <c r="N17356" s="14"/>
      <c r="O17356" s="14"/>
      <c r="P17356" s="13"/>
    </row>
    <row r="17357">
      <c r="L17357" s="13"/>
      <c r="M17357" s="14"/>
      <c r="N17357" s="14"/>
      <c r="O17357" s="14"/>
      <c r="P17357" s="13"/>
    </row>
    <row r="17358">
      <c r="L17358" s="13"/>
      <c r="M17358" s="14"/>
      <c r="N17358" s="14"/>
      <c r="O17358" s="14"/>
      <c r="P17358" s="13"/>
    </row>
    <row r="17359">
      <c r="L17359" s="13"/>
      <c r="M17359" s="14"/>
      <c r="N17359" s="14"/>
      <c r="O17359" s="14"/>
      <c r="P17359" s="13"/>
    </row>
    <row r="17360">
      <c r="L17360" s="13"/>
      <c r="M17360" s="14"/>
      <c r="N17360" s="14"/>
      <c r="O17360" s="14"/>
      <c r="P17360" s="13"/>
    </row>
    <row r="17361">
      <c r="L17361" s="13"/>
      <c r="M17361" s="14"/>
      <c r="N17361" s="14"/>
      <c r="O17361" s="14"/>
      <c r="P17361" s="13"/>
    </row>
    <row r="17362">
      <c r="L17362" s="13"/>
      <c r="M17362" s="14"/>
      <c r="N17362" s="14"/>
      <c r="O17362" s="14"/>
      <c r="P17362" s="13"/>
    </row>
    <row r="17363">
      <c r="L17363" s="13"/>
      <c r="M17363" s="14"/>
      <c r="N17363" s="14"/>
      <c r="O17363" s="14"/>
      <c r="P17363" s="13"/>
    </row>
    <row r="17364">
      <c r="L17364" s="13"/>
      <c r="M17364" s="14"/>
      <c r="N17364" s="14"/>
      <c r="O17364" s="14"/>
      <c r="P17364" s="13"/>
    </row>
    <row r="17365">
      <c r="L17365" s="13"/>
      <c r="M17365" s="14"/>
      <c r="N17365" s="14"/>
      <c r="O17365" s="14"/>
      <c r="P17365" s="13"/>
    </row>
    <row r="17366">
      <c r="L17366" s="13"/>
      <c r="M17366" s="14"/>
      <c r="N17366" s="14"/>
      <c r="O17366" s="14"/>
      <c r="P17366" s="13"/>
    </row>
    <row r="17367">
      <c r="L17367" s="13"/>
      <c r="M17367" s="14"/>
      <c r="N17367" s="14"/>
      <c r="O17367" s="14"/>
      <c r="P17367" s="13"/>
    </row>
    <row r="17368">
      <c r="L17368" s="13"/>
      <c r="M17368" s="14"/>
      <c r="N17368" s="14"/>
      <c r="O17368" s="14"/>
      <c r="P17368" s="13"/>
    </row>
    <row r="17369">
      <c r="L17369" s="13"/>
      <c r="M17369" s="14"/>
      <c r="N17369" s="14"/>
      <c r="O17369" s="14"/>
      <c r="P17369" s="13"/>
    </row>
    <row r="17370">
      <c r="L17370" s="13"/>
      <c r="M17370" s="14"/>
      <c r="N17370" s="14"/>
      <c r="O17370" s="14"/>
      <c r="P17370" s="13"/>
    </row>
    <row r="17371">
      <c r="L17371" s="13"/>
      <c r="M17371" s="14"/>
      <c r="N17371" s="14"/>
      <c r="O17371" s="14"/>
      <c r="P17371" s="13"/>
    </row>
    <row r="17372">
      <c r="L17372" s="13"/>
      <c r="M17372" s="14"/>
      <c r="N17372" s="14"/>
      <c r="O17372" s="14"/>
      <c r="P17372" s="13"/>
    </row>
    <row r="17373">
      <c r="L17373" s="13"/>
      <c r="M17373" s="14"/>
      <c r="N17373" s="14"/>
      <c r="O17373" s="14"/>
      <c r="P17373" s="13"/>
    </row>
    <row r="17374">
      <c r="L17374" s="13"/>
      <c r="M17374" s="14"/>
      <c r="N17374" s="14"/>
      <c r="O17374" s="14"/>
      <c r="P17374" s="13"/>
    </row>
    <row r="17375">
      <c r="L17375" s="13"/>
      <c r="M17375" s="14"/>
      <c r="N17375" s="14"/>
      <c r="O17375" s="14"/>
      <c r="P17375" s="13"/>
    </row>
    <row r="17376">
      <c r="L17376" s="13"/>
      <c r="M17376" s="14"/>
      <c r="N17376" s="14"/>
      <c r="O17376" s="14"/>
      <c r="P17376" s="13"/>
    </row>
    <row r="17377">
      <c r="L17377" s="13"/>
      <c r="M17377" s="14"/>
      <c r="N17377" s="14"/>
      <c r="O17377" s="14"/>
      <c r="P17377" s="13"/>
    </row>
    <row r="17378">
      <c r="L17378" s="13"/>
      <c r="M17378" s="14"/>
      <c r="N17378" s="14"/>
      <c r="O17378" s="14"/>
      <c r="P17378" s="13"/>
    </row>
    <row r="17379">
      <c r="L17379" s="13"/>
      <c r="M17379" s="14"/>
      <c r="N17379" s="14"/>
      <c r="O17379" s="14"/>
      <c r="P17379" s="13"/>
    </row>
    <row r="17380">
      <c r="L17380" s="13"/>
      <c r="M17380" s="14"/>
      <c r="N17380" s="14"/>
      <c r="O17380" s="14"/>
      <c r="P17380" s="13"/>
    </row>
    <row r="17381">
      <c r="L17381" s="13"/>
      <c r="M17381" s="14"/>
      <c r="N17381" s="14"/>
      <c r="O17381" s="14"/>
      <c r="P17381" s="13"/>
    </row>
    <row r="17382">
      <c r="L17382" s="13"/>
      <c r="M17382" s="14"/>
      <c r="N17382" s="14"/>
      <c r="O17382" s="14"/>
      <c r="P17382" s="13"/>
    </row>
    <row r="17383">
      <c r="L17383" s="13"/>
      <c r="M17383" s="14"/>
      <c r="N17383" s="14"/>
      <c r="O17383" s="14"/>
      <c r="P17383" s="13"/>
    </row>
    <row r="17384">
      <c r="L17384" s="13"/>
      <c r="M17384" s="14"/>
      <c r="N17384" s="14"/>
      <c r="O17384" s="14"/>
      <c r="P17384" s="13"/>
    </row>
    <row r="17385">
      <c r="L17385" s="13"/>
      <c r="M17385" s="14"/>
      <c r="N17385" s="14"/>
      <c r="O17385" s="14"/>
      <c r="P17385" s="13"/>
    </row>
    <row r="17386">
      <c r="L17386" s="13"/>
      <c r="M17386" s="14"/>
      <c r="N17386" s="14"/>
      <c r="O17386" s="14"/>
      <c r="P17386" s="13"/>
    </row>
    <row r="17387">
      <c r="L17387" s="13"/>
      <c r="M17387" s="14"/>
      <c r="N17387" s="14"/>
      <c r="O17387" s="14"/>
      <c r="P17387" s="13"/>
    </row>
    <row r="17388">
      <c r="L17388" s="13"/>
      <c r="M17388" s="14"/>
      <c r="N17388" s="14"/>
      <c r="O17388" s="14"/>
      <c r="P17388" s="13"/>
    </row>
    <row r="17389">
      <c r="L17389" s="13"/>
      <c r="M17389" s="14"/>
      <c r="N17389" s="14"/>
      <c r="O17389" s="14"/>
      <c r="P17389" s="13"/>
    </row>
    <row r="17390">
      <c r="L17390" s="13"/>
      <c r="M17390" s="14"/>
      <c r="N17390" s="14"/>
      <c r="O17390" s="14"/>
      <c r="P17390" s="13"/>
    </row>
    <row r="17391">
      <c r="L17391" s="13"/>
      <c r="M17391" s="14"/>
      <c r="N17391" s="14"/>
      <c r="O17391" s="14"/>
      <c r="P17391" s="13"/>
    </row>
    <row r="17392">
      <c r="L17392" s="13"/>
      <c r="M17392" s="14"/>
      <c r="N17392" s="14"/>
      <c r="O17392" s="14"/>
      <c r="P17392" s="13"/>
    </row>
    <row r="17393">
      <c r="L17393" s="13"/>
      <c r="M17393" s="14"/>
      <c r="N17393" s="14"/>
      <c r="O17393" s="14"/>
      <c r="P17393" s="13"/>
    </row>
    <row r="17394">
      <c r="L17394" s="13"/>
      <c r="M17394" s="14"/>
      <c r="N17394" s="14"/>
      <c r="O17394" s="14"/>
      <c r="P17394" s="13"/>
    </row>
    <row r="17395">
      <c r="L17395" s="13"/>
      <c r="M17395" s="14"/>
      <c r="N17395" s="14"/>
      <c r="O17395" s="14"/>
      <c r="P17395" s="13"/>
    </row>
    <row r="17396">
      <c r="L17396" s="13"/>
      <c r="M17396" s="14"/>
      <c r="N17396" s="14"/>
      <c r="O17396" s="14"/>
      <c r="P17396" s="13"/>
    </row>
    <row r="17397">
      <c r="L17397" s="13"/>
      <c r="M17397" s="14"/>
      <c r="N17397" s="14"/>
      <c r="O17397" s="14"/>
      <c r="P17397" s="13"/>
    </row>
    <row r="17398">
      <c r="L17398" s="13"/>
      <c r="M17398" s="14"/>
      <c r="N17398" s="14"/>
      <c r="O17398" s="14"/>
      <c r="P17398" s="13"/>
    </row>
    <row r="17399">
      <c r="L17399" s="13"/>
      <c r="M17399" s="14"/>
      <c r="N17399" s="14"/>
      <c r="O17399" s="14"/>
      <c r="P17399" s="13"/>
    </row>
    <row r="17400">
      <c r="L17400" s="13"/>
      <c r="M17400" s="14"/>
      <c r="N17400" s="14"/>
      <c r="O17400" s="14"/>
      <c r="P17400" s="13"/>
    </row>
    <row r="17401">
      <c r="L17401" s="13"/>
      <c r="M17401" s="14"/>
      <c r="N17401" s="14"/>
      <c r="O17401" s="14"/>
      <c r="P17401" s="13"/>
    </row>
    <row r="17402">
      <c r="L17402" s="13"/>
      <c r="M17402" s="14"/>
      <c r="N17402" s="14"/>
      <c r="O17402" s="14"/>
      <c r="P17402" s="13"/>
    </row>
    <row r="17403">
      <c r="L17403" s="13"/>
      <c r="M17403" s="14"/>
      <c r="N17403" s="14"/>
      <c r="O17403" s="14"/>
      <c r="P17403" s="13"/>
    </row>
    <row r="17404">
      <c r="L17404" s="13"/>
      <c r="M17404" s="14"/>
      <c r="N17404" s="14"/>
      <c r="O17404" s="14"/>
      <c r="P17404" s="13"/>
    </row>
    <row r="17405">
      <c r="L17405" s="13"/>
      <c r="M17405" s="14"/>
      <c r="N17405" s="14"/>
      <c r="O17405" s="14"/>
      <c r="P17405" s="13"/>
    </row>
    <row r="17406">
      <c r="L17406" s="13"/>
      <c r="M17406" s="14"/>
      <c r="N17406" s="14"/>
      <c r="O17406" s="14"/>
      <c r="P17406" s="13"/>
    </row>
    <row r="17407">
      <c r="L17407" s="13"/>
      <c r="M17407" s="14"/>
      <c r="N17407" s="14"/>
      <c r="O17407" s="14"/>
      <c r="P17407" s="13"/>
    </row>
    <row r="17408">
      <c r="L17408" s="13"/>
      <c r="M17408" s="14"/>
      <c r="N17408" s="14"/>
      <c r="O17408" s="14"/>
      <c r="P17408" s="13"/>
    </row>
    <row r="17409">
      <c r="L17409" s="13"/>
      <c r="M17409" s="14"/>
      <c r="N17409" s="14"/>
      <c r="O17409" s="14"/>
      <c r="P17409" s="13"/>
    </row>
    <row r="17410">
      <c r="L17410" s="13"/>
      <c r="M17410" s="14"/>
      <c r="N17410" s="14"/>
      <c r="O17410" s="14"/>
      <c r="P17410" s="13"/>
    </row>
    <row r="17411">
      <c r="L17411" s="13"/>
      <c r="M17411" s="14"/>
      <c r="N17411" s="14"/>
      <c r="O17411" s="14"/>
      <c r="P17411" s="13"/>
    </row>
    <row r="17412">
      <c r="L17412" s="13"/>
      <c r="M17412" s="14"/>
      <c r="N17412" s="14"/>
      <c r="O17412" s="14"/>
      <c r="P17412" s="13"/>
    </row>
    <row r="17413">
      <c r="L17413" s="13"/>
      <c r="M17413" s="14"/>
      <c r="N17413" s="14"/>
      <c r="O17413" s="14"/>
      <c r="P17413" s="13"/>
    </row>
    <row r="17414">
      <c r="L17414" s="13"/>
      <c r="M17414" s="14"/>
      <c r="N17414" s="14"/>
      <c r="O17414" s="14"/>
      <c r="P17414" s="13"/>
    </row>
    <row r="17415">
      <c r="L17415" s="13"/>
      <c r="M17415" s="14"/>
      <c r="N17415" s="14"/>
      <c r="O17415" s="14"/>
      <c r="P17415" s="13"/>
    </row>
    <row r="17416">
      <c r="L17416" s="13"/>
      <c r="M17416" s="14"/>
      <c r="N17416" s="14"/>
      <c r="O17416" s="14"/>
      <c r="P17416" s="13"/>
    </row>
    <row r="17417">
      <c r="L17417" s="13"/>
      <c r="M17417" s="14"/>
      <c r="N17417" s="14"/>
      <c r="O17417" s="14"/>
      <c r="P17417" s="13"/>
    </row>
    <row r="17418">
      <c r="L17418" s="13"/>
      <c r="M17418" s="14"/>
      <c r="N17418" s="14"/>
      <c r="O17418" s="14"/>
      <c r="P17418" s="13"/>
    </row>
    <row r="17419">
      <c r="L17419" s="13"/>
      <c r="M17419" s="14"/>
      <c r="N17419" s="14"/>
      <c r="O17419" s="14"/>
      <c r="P17419" s="13"/>
    </row>
    <row r="17420">
      <c r="L17420" s="13"/>
      <c r="M17420" s="14"/>
      <c r="N17420" s="14"/>
      <c r="O17420" s="14"/>
      <c r="P17420" s="13"/>
    </row>
    <row r="17421">
      <c r="L17421" s="13"/>
      <c r="M17421" s="14"/>
      <c r="N17421" s="14"/>
      <c r="O17421" s="14"/>
      <c r="P17421" s="13"/>
    </row>
    <row r="17422">
      <c r="L17422" s="13"/>
      <c r="M17422" s="14"/>
      <c r="N17422" s="14"/>
      <c r="O17422" s="14"/>
      <c r="P17422" s="13"/>
    </row>
    <row r="17423">
      <c r="L17423" s="13"/>
      <c r="M17423" s="14"/>
      <c r="N17423" s="14"/>
      <c r="O17423" s="14"/>
      <c r="P17423" s="13"/>
    </row>
    <row r="17424">
      <c r="L17424" s="13"/>
      <c r="M17424" s="14"/>
      <c r="N17424" s="14"/>
      <c r="O17424" s="14"/>
      <c r="P17424" s="13"/>
    </row>
    <row r="17425">
      <c r="L17425" s="13"/>
      <c r="M17425" s="14"/>
      <c r="N17425" s="14"/>
      <c r="O17425" s="14"/>
      <c r="P17425" s="13"/>
    </row>
    <row r="17426">
      <c r="L17426" s="13"/>
      <c r="M17426" s="14"/>
      <c r="N17426" s="14"/>
      <c r="O17426" s="14"/>
      <c r="P17426" s="13"/>
    </row>
    <row r="17427">
      <c r="L17427" s="13"/>
      <c r="M17427" s="14"/>
      <c r="N17427" s="14"/>
      <c r="O17427" s="14"/>
      <c r="P17427" s="13"/>
    </row>
    <row r="17428">
      <c r="L17428" s="13"/>
      <c r="M17428" s="14"/>
      <c r="N17428" s="14"/>
      <c r="O17428" s="14"/>
      <c r="P17428" s="13"/>
    </row>
    <row r="17429">
      <c r="L17429" s="13"/>
      <c r="M17429" s="14"/>
      <c r="N17429" s="14"/>
      <c r="O17429" s="14"/>
      <c r="P17429" s="13"/>
    </row>
    <row r="17430">
      <c r="L17430" s="13"/>
      <c r="M17430" s="14"/>
      <c r="N17430" s="14"/>
      <c r="O17430" s="14"/>
      <c r="P17430" s="13"/>
    </row>
    <row r="17431">
      <c r="L17431" s="13"/>
      <c r="M17431" s="14"/>
      <c r="N17431" s="14"/>
      <c r="O17431" s="14"/>
      <c r="P17431" s="13"/>
    </row>
    <row r="17432">
      <c r="L17432" s="13"/>
      <c r="M17432" s="14"/>
      <c r="N17432" s="14"/>
      <c r="O17432" s="14"/>
      <c r="P17432" s="13"/>
    </row>
    <row r="17433">
      <c r="L17433" s="13"/>
      <c r="M17433" s="14"/>
      <c r="N17433" s="14"/>
      <c r="O17433" s="14"/>
      <c r="P17433" s="13"/>
    </row>
    <row r="17434">
      <c r="L17434" s="13"/>
      <c r="M17434" s="14"/>
      <c r="N17434" s="14"/>
      <c r="O17434" s="14"/>
      <c r="P17434" s="13"/>
    </row>
    <row r="17435">
      <c r="L17435" s="13"/>
      <c r="M17435" s="14"/>
      <c r="N17435" s="14"/>
      <c r="O17435" s="14"/>
      <c r="P17435" s="13"/>
    </row>
    <row r="17436">
      <c r="L17436" s="13"/>
      <c r="M17436" s="14"/>
      <c r="N17436" s="14"/>
      <c r="O17436" s="14"/>
      <c r="P17436" s="13"/>
    </row>
    <row r="17437">
      <c r="L17437" s="13"/>
      <c r="M17437" s="14"/>
      <c r="N17437" s="14"/>
      <c r="O17437" s="14"/>
      <c r="P17437" s="13"/>
    </row>
    <row r="17438">
      <c r="L17438" s="13"/>
      <c r="M17438" s="14"/>
      <c r="N17438" s="14"/>
      <c r="O17438" s="14"/>
      <c r="P17438" s="13"/>
    </row>
    <row r="17439">
      <c r="L17439" s="13"/>
      <c r="M17439" s="14"/>
      <c r="N17439" s="14"/>
      <c r="O17439" s="14"/>
      <c r="P17439" s="13"/>
    </row>
    <row r="17440">
      <c r="L17440" s="13"/>
      <c r="M17440" s="14"/>
      <c r="N17440" s="14"/>
      <c r="O17440" s="14"/>
      <c r="P17440" s="13"/>
    </row>
    <row r="17441">
      <c r="L17441" s="13"/>
      <c r="M17441" s="14"/>
      <c r="N17441" s="14"/>
      <c r="O17441" s="14"/>
      <c r="P17441" s="13"/>
    </row>
    <row r="17442">
      <c r="L17442" s="13"/>
      <c r="M17442" s="14"/>
      <c r="N17442" s="14"/>
      <c r="O17442" s="14"/>
      <c r="P17442" s="13"/>
    </row>
    <row r="17443">
      <c r="L17443" s="13"/>
      <c r="M17443" s="14"/>
      <c r="N17443" s="14"/>
      <c r="O17443" s="14"/>
      <c r="P17443" s="13"/>
    </row>
    <row r="17444">
      <c r="L17444" s="13"/>
      <c r="M17444" s="14"/>
      <c r="N17444" s="14"/>
      <c r="O17444" s="14"/>
      <c r="P17444" s="13"/>
    </row>
    <row r="17445">
      <c r="L17445" s="13"/>
      <c r="M17445" s="14"/>
      <c r="N17445" s="14"/>
      <c r="O17445" s="14"/>
      <c r="P17445" s="13"/>
    </row>
    <row r="17446">
      <c r="L17446" s="13"/>
      <c r="M17446" s="14"/>
      <c r="N17446" s="14"/>
      <c r="O17446" s="14"/>
      <c r="P17446" s="13"/>
    </row>
    <row r="17447">
      <c r="L17447" s="13"/>
      <c r="M17447" s="14"/>
      <c r="N17447" s="14"/>
      <c r="O17447" s="14"/>
      <c r="P17447" s="13"/>
    </row>
    <row r="17448">
      <c r="L17448" s="13"/>
      <c r="M17448" s="14"/>
      <c r="N17448" s="14"/>
      <c r="O17448" s="14"/>
      <c r="P17448" s="13"/>
    </row>
    <row r="17449">
      <c r="L17449" s="13"/>
      <c r="M17449" s="14"/>
      <c r="N17449" s="14"/>
      <c r="O17449" s="14"/>
      <c r="P17449" s="13"/>
    </row>
    <row r="17450">
      <c r="L17450" s="13"/>
      <c r="M17450" s="14"/>
      <c r="N17450" s="14"/>
      <c r="O17450" s="14"/>
      <c r="P17450" s="13"/>
    </row>
    <row r="17451">
      <c r="L17451" s="13"/>
      <c r="M17451" s="14"/>
      <c r="N17451" s="14"/>
      <c r="O17451" s="14"/>
      <c r="P17451" s="13"/>
    </row>
    <row r="17452">
      <c r="L17452" s="13"/>
      <c r="M17452" s="14"/>
      <c r="N17452" s="14"/>
      <c r="O17452" s="14"/>
      <c r="P17452" s="13"/>
    </row>
    <row r="17453">
      <c r="L17453" s="13"/>
      <c r="M17453" s="14"/>
      <c r="N17453" s="14"/>
      <c r="O17453" s="14"/>
      <c r="P17453" s="13"/>
    </row>
    <row r="17454">
      <c r="L17454" s="13"/>
      <c r="M17454" s="14"/>
      <c r="N17454" s="14"/>
      <c r="O17454" s="14"/>
      <c r="P17454" s="13"/>
    </row>
    <row r="17455">
      <c r="L17455" s="13"/>
      <c r="M17455" s="14"/>
      <c r="N17455" s="14"/>
      <c r="O17455" s="14"/>
      <c r="P17455" s="13"/>
    </row>
    <row r="17456">
      <c r="L17456" s="13"/>
      <c r="M17456" s="14"/>
      <c r="N17456" s="14"/>
      <c r="O17456" s="14"/>
      <c r="P17456" s="13"/>
    </row>
    <row r="17457">
      <c r="L17457" s="13"/>
      <c r="M17457" s="14"/>
      <c r="N17457" s="14"/>
      <c r="O17457" s="14"/>
      <c r="P17457" s="13"/>
    </row>
    <row r="17458">
      <c r="L17458" s="13"/>
      <c r="M17458" s="14"/>
      <c r="N17458" s="14"/>
      <c r="O17458" s="14"/>
      <c r="P17458" s="13"/>
    </row>
    <row r="17459">
      <c r="L17459" s="13"/>
      <c r="M17459" s="14"/>
      <c r="N17459" s="14"/>
      <c r="O17459" s="14"/>
      <c r="P17459" s="13"/>
    </row>
    <row r="17460">
      <c r="L17460" s="13"/>
      <c r="M17460" s="14"/>
      <c r="N17460" s="14"/>
      <c r="O17460" s="14"/>
      <c r="P17460" s="13"/>
    </row>
    <row r="17461">
      <c r="L17461" s="13"/>
      <c r="M17461" s="14"/>
      <c r="N17461" s="14"/>
      <c r="O17461" s="14"/>
      <c r="P17461" s="13"/>
    </row>
    <row r="17462">
      <c r="L17462" s="13"/>
      <c r="M17462" s="14"/>
      <c r="N17462" s="14"/>
      <c r="O17462" s="14"/>
      <c r="P17462" s="13"/>
    </row>
    <row r="17463">
      <c r="L17463" s="13"/>
      <c r="M17463" s="14"/>
      <c r="N17463" s="14"/>
      <c r="O17463" s="14"/>
      <c r="P17463" s="13"/>
    </row>
    <row r="17464">
      <c r="L17464" s="13"/>
      <c r="M17464" s="14"/>
      <c r="N17464" s="14"/>
      <c r="O17464" s="14"/>
      <c r="P17464" s="13"/>
    </row>
    <row r="17465">
      <c r="L17465" s="13"/>
      <c r="M17465" s="14"/>
      <c r="N17465" s="14"/>
      <c r="O17465" s="14"/>
      <c r="P17465" s="13"/>
    </row>
    <row r="17466">
      <c r="L17466" s="13"/>
      <c r="M17466" s="14"/>
      <c r="N17466" s="14"/>
      <c r="O17466" s="14"/>
      <c r="P17466" s="13"/>
    </row>
    <row r="17467">
      <c r="L17467" s="13"/>
      <c r="M17467" s="14"/>
      <c r="N17467" s="14"/>
      <c r="O17467" s="14"/>
      <c r="P17467" s="13"/>
    </row>
    <row r="17468">
      <c r="L17468" s="13"/>
      <c r="M17468" s="14"/>
      <c r="N17468" s="14"/>
      <c r="O17468" s="14"/>
      <c r="P17468" s="13"/>
    </row>
    <row r="17469">
      <c r="L17469" s="13"/>
      <c r="M17469" s="14"/>
      <c r="N17469" s="14"/>
      <c r="O17469" s="14"/>
      <c r="P17469" s="13"/>
    </row>
    <row r="17470">
      <c r="L17470" s="13"/>
      <c r="M17470" s="14"/>
      <c r="N17470" s="14"/>
      <c r="O17470" s="14"/>
      <c r="P17470" s="13"/>
    </row>
    <row r="17471">
      <c r="L17471" s="13"/>
      <c r="M17471" s="14"/>
      <c r="N17471" s="14"/>
      <c r="O17471" s="14"/>
      <c r="P17471" s="13"/>
    </row>
    <row r="17472">
      <c r="L17472" s="13"/>
      <c r="M17472" s="14"/>
      <c r="N17472" s="14"/>
      <c r="O17472" s="14"/>
      <c r="P17472" s="13"/>
    </row>
    <row r="17473">
      <c r="L17473" s="13"/>
      <c r="M17473" s="14"/>
      <c r="N17473" s="14"/>
      <c r="O17473" s="14"/>
      <c r="P17473" s="13"/>
    </row>
    <row r="17474">
      <c r="L17474" s="13"/>
      <c r="M17474" s="14"/>
      <c r="N17474" s="14"/>
      <c r="O17474" s="14"/>
      <c r="P17474" s="13"/>
    </row>
    <row r="17475">
      <c r="L17475" s="13"/>
      <c r="M17475" s="14"/>
      <c r="N17475" s="14"/>
      <c r="O17475" s="14"/>
      <c r="P17475" s="13"/>
    </row>
    <row r="17476">
      <c r="L17476" s="13"/>
      <c r="M17476" s="14"/>
      <c r="N17476" s="14"/>
      <c r="O17476" s="14"/>
      <c r="P17476" s="13"/>
    </row>
    <row r="17477">
      <c r="L17477" s="13"/>
      <c r="M17477" s="14"/>
      <c r="N17477" s="14"/>
      <c r="O17477" s="14"/>
      <c r="P17477" s="13"/>
    </row>
    <row r="17478">
      <c r="L17478" s="13"/>
      <c r="M17478" s="14"/>
      <c r="N17478" s="14"/>
      <c r="O17478" s="14"/>
      <c r="P17478" s="13"/>
    </row>
    <row r="17479">
      <c r="L17479" s="13"/>
      <c r="M17479" s="14"/>
      <c r="N17479" s="14"/>
      <c r="O17479" s="14"/>
      <c r="P17479" s="13"/>
    </row>
    <row r="17480">
      <c r="L17480" s="13"/>
      <c r="M17480" s="14"/>
      <c r="N17480" s="14"/>
      <c r="O17480" s="14"/>
      <c r="P17480" s="13"/>
    </row>
    <row r="17481">
      <c r="L17481" s="13"/>
      <c r="M17481" s="14"/>
      <c r="N17481" s="14"/>
      <c r="O17481" s="14"/>
      <c r="P17481" s="13"/>
    </row>
    <row r="17482">
      <c r="L17482" s="13"/>
      <c r="M17482" s="14"/>
      <c r="N17482" s="14"/>
      <c r="O17482" s="14"/>
      <c r="P17482" s="13"/>
    </row>
    <row r="17483">
      <c r="L17483" s="13"/>
      <c r="M17483" s="14"/>
      <c r="N17483" s="14"/>
      <c r="O17483" s="14"/>
      <c r="P17483" s="13"/>
    </row>
    <row r="17484">
      <c r="L17484" s="13"/>
      <c r="M17484" s="14"/>
      <c r="N17484" s="14"/>
      <c r="O17484" s="14"/>
      <c r="P17484" s="13"/>
    </row>
    <row r="17485">
      <c r="L17485" s="13"/>
      <c r="M17485" s="14"/>
      <c r="N17485" s="14"/>
      <c r="O17485" s="14"/>
      <c r="P17485" s="13"/>
    </row>
    <row r="17486">
      <c r="L17486" s="13"/>
      <c r="M17486" s="14"/>
      <c r="N17486" s="14"/>
      <c r="O17486" s="14"/>
      <c r="P17486" s="13"/>
    </row>
    <row r="17487">
      <c r="L17487" s="13"/>
      <c r="M17487" s="14"/>
      <c r="N17487" s="14"/>
      <c r="O17487" s="14"/>
      <c r="P17487" s="13"/>
    </row>
    <row r="17488">
      <c r="L17488" s="13"/>
      <c r="M17488" s="14"/>
      <c r="N17488" s="14"/>
      <c r="O17488" s="14"/>
      <c r="P17488" s="13"/>
    </row>
    <row r="17489">
      <c r="L17489" s="13"/>
      <c r="M17489" s="14"/>
      <c r="N17489" s="14"/>
      <c r="O17489" s="14"/>
      <c r="P17489" s="13"/>
    </row>
    <row r="17490">
      <c r="L17490" s="13"/>
      <c r="M17490" s="14"/>
      <c r="N17490" s="14"/>
      <c r="O17490" s="14"/>
      <c r="P17490" s="13"/>
    </row>
    <row r="17491">
      <c r="L17491" s="13"/>
      <c r="M17491" s="14"/>
      <c r="N17491" s="14"/>
      <c r="O17491" s="14"/>
      <c r="P17491" s="13"/>
    </row>
    <row r="17492">
      <c r="L17492" s="13"/>
      <c r="M17492" s="14"/>
      <c r="N17492" s="14"/>
      <c r="O17492" s="14"/>
      <c r="P17492" s="13"/>
    </row>
    <row r="17493">
      <c r="L17493" s="13"/>
      <c r="M17493" s="14"/>
      <c r="N17493" s="14"/>
      <c r="O17493" s="14"/>
      <c r="P17493" s="13"/>
    </row>
    <row r="17494">
      <c r="L17494" s="13"/>
      <c r="M17494" s="14"/>
      <c r="N17494" s="14"/>
      <c r="O17494" s="14"/>
      <c r="P17494" s="13"/>
    </row>
    <row r="17495">
      <c r="L17495" s="13"/>
      <c r="M17495" s="14"/>
      <c r="N17495" s="14"/>
      <c r="O17495" s="14"/>
      <c r="P17495" s="13"/>
    </row>
    <row r="17496">
      <c r="L17496" s="13"/>
      <c r="M17496" s="14"/>
      <c r="N17496" s="14"/>
      <c r="O17496" s="14"/>
      <c r="P17496" s="13"/>
    </row>
    <row r="17497">
      <c r="L17497" s="13"/>
      <c r="M17497" s="14"/>
      <c r="N17497" s="14"/>
      <c r="O17497" s="14"/>
      <c r="P17497" s="13"/>
    </row>
    <row r="17498">
      <c r="L17498" s="13"/>
      <c r="M17498" s="14"/>
      <c r="N17498" s="14"/>
      <c r="O17498" s="14"/>
      <c r="P17498" s="13"/>
    </row>
    <row r="17499">
      <c r="L17499" s="13"/>
      <c r="M17499" s="14"/>
      <c r="N17499" s="14"/>
      <c r="O17499" s="14"/>
      <c r="P17499" s="13"/>
    </row>
    <row r="17500">
      <c r="L17500" s="13"/>
      <c r="M17500" s="14"/>
      <c r="N17500" s="14"/>
      <c r="O17500" s="14"/>
      <c r="P17500" s="13"/>
    </row>
    <row r="17501">
      <c r="L17501" s="13"/>
      <c r="M17501" s="14"/>
      <c r="N17501" s="14"/>
      <c r="O17501" s="14"/>
      <c r="P17501" s="13"/>
    </row>
    <row r="17502">
      <c r="L17502" s="13"/>
      <c r="M17502" s="14"/>
      <c r="N17502" s="14"/>
      <c r="O17502" s="14"/>
      <c r="P17502" s="13"/>
    </row>
    <row r="17503">
      <c r="L17503" s="13"/>
      <c r="M17503" s="14"/>
      <c r="N17503" s="14"/>
      <c r="O17503" s="14"/>
      <c r="P17503" s="13"/>
    </row>
    <row r="17504">
      <c r="L17504" s="13"/>
      <c r="M17504" s="14"/>
      <c r="N17504" s="14"/>
      <c r="O17504" s="14"/>
      <c r="P17504" s="13"/>
    </row>
    <row r="17505">
      <c r="L17505" s="13"/>
      <c r="M17505" s="14"/>
      <c r="N17505" s="14"/>
      <c r="O17505" s="14"/>
      <c r="P17505" s="13"/>
    </row>
    <row r="17506">
      <c r="L17506" s="13"/>
      <c r="M17506" s="14"/>
      <c r="N17506" s="14"/>
      <c r="O17506" s="14"/>
      <c r="P17506" s="13"/>
    </row>
    <row r="17507">
      <c r="L17507" s="13"/>
      <c r="M17507" s="14"/>
      <c r="N17507" s="14"/>
      <c r="O17507" s="14"/>
      <c r="P17507" s="13"/>
    </row>
    <row r="17508">
      <c r="L17508" s="13"/>
      <c r="M17508" s="14"/>
      <c r="N17508" s="14"/>
      <c r="O17508" s="14"/>
      <c r="P17508" s="13"/>
    </row>
    <row r="17509">
      <c r="L17509" s="13"/>
      <c r="M17509" s="14"/>
      <c r="N17509" s="14"/>
      <c r="O17509" s="14"/>
      <c r="P17509" s="13"/>
    </row>
    <row r="17510">
      <c r="L17510" s="13"/>
      <c r="M17510" s="14"/>
      <c r="N17510" s="14"/>
      <c r="O17510" s="14"/>
      <c r="P17510" s="13"/>
    </row>
    <row r="17511">
      <c r="L17511" s="13"/>
      <c r="M17511" s="14"/>
      <c r="N17511" s="14"/>
      <c r="O17511" s="14"/>
      <c r="P17511" s="13"/>
    </row>
    <row r="17512">
      <c r="L17512" s="13"/>
      <c r="M17512" s="14"/>
      <c r="N17512" s="14"/>
      <c r="O17512" s="14"/>
      <c r="P17512" s="13"/>
    </row>
    <row r="17513">
      <c r="L17513" s="13"/>
      <c r="M17513" s="14"/>
      <c r="N17513" s="14"/>
      <c r="O17513" s="14"/>
      <c r="P17513" s="13"/>
    </row>
    <row r="17514">
      <c r="L17514" s="13"/>
      <c r="M17514" s="14"/>
      <c r="N17514" s="14"/>
      <c r="O17514" s="14"/>
      <c r="P17514" s="13"/>
    </row>
    <row r="17515">
      <c r="L17515" s="13"/>
      <c r="M17515" s="14"/>
      <c r="N17515" s="14"/>
      <c r="O17515" s="14"/>
      <c r="P17515" s="13"/>
    </row>
    <row r="17516">
      <c r="L17516" s="13"/>
      <c r="M17516" s="14"/>
      <c r="N17516" s="14"/>
      <c r="O17516" s="14"/>
      <c r="P17516" s="13"/>
    </row>
    <row r="17517">
      <c r="L17517" s="13"/>
      <c r="M17517" s="14"/>
      <c r="N17517" s="14"/>
      <c r="O17517" s="14"/>
      <c r="P17517" s="13"/>
    </row>
    <row r="17518">
      <c r="L17518" s="13"/>
      <c r="M17518" s="14"/>
      <c r="N17518" s="14"/>
      <c r="O17518" s="14"/>
      <c r="P17518" s="13"/>
    </row>
    <row r="17519">
      <c r="L17519" s="13"/>
      <c r="M17519" s="14"/>
      <c r="N17519" s="14"/>
      <c r="O17519" s="14"/>
      <c r="P17519" s="13"/>
    </row>
    <row r="17520">
      <c r="L17520" s="13"/>
      <c r="M17520" s="14"/>
      <c r="N17520" s="14"/>
      <c r="O17520" s="14"/>
      <c r="P17520" s="13"/>
    </row>
    <row r="17521">
      <c r="L17521" s="13"/>
      <c r="M17521" s="14"/>
      <c r="N17521" s="14"/>
      <c r="O17521" s="14"/>
      <c r="P17521" s="13"/>
    </row>
    <row r="17522">
      <c r="L17522" s="13"/>
      <c r="M17522" s="14"/>
      <c r="N17522" s="14"/>
      <c r="O17522" s="14"/>
      <c r="P17522" s="13"/>
    </row>
    <row r="17523">
      <c r="L17523" s="13"/>
      <c r="M17523" s="14"/>
      <c r="N17523" s="14"/>
      <c r="O17523" s="14"/>
      <c r="P17523" s="13"/>
    </row>
    <row r="17524">
      <c r="L17524" s="13"/>
      <c r="M17524" s="14"/>
      <c r="N17524" s="14"/>
      <c r="O17524" s="14"/>
      <c r="P17524" s="13"/>
    </row>
    <row r="17525">
      <c r="L17525" s="13"/>
      <c r="M17525" s="14"/>
      <c r="N17525" s="14"/>
      <c r="O17525" s="14"/>
      <c r="P17525" s="13"/>
    </row>
    <row r="17526">
      <c r="L17526" s="13"/>
      <c r="M17526" s="14"/>
      <c r="N17526" s="14"/>
      <c r="O17526" s="14"/>
      <c r="P17526" s="13"/>
    </row>
    <row r="17527">
      <c r="L17527" s="13"/>
      <c r="M17527" s="14"/>
      <c r="N17527" s="14"/>
      <c r="O17527" s="14"/>
      <c r="P17527" s="13"/>
    </row>
    <row r="17528">
      <c r="L17528" s="13"/>
      <c r="M17528" s="14"/>
      <c r="N17528" s="14"/>
      <c r="O17528" s="14"/>
      <c r="P17528" s="13"/>
    </row>
    <row r="17529">
      <c r="L17529" s="13"/>
      <c r="M17529" s="14"/>
      <c r="N17529" s="14"/>
      <c r="O17529" s="14"/>
      <c r="P17529" s="13"/>
    </row>
    <row r="17530">
      <c r="L17530" s="13"/>
      <c r="M17530" s="14"/>
      <c r="N17530" s="14"/>
      <c r="O17530" s="14"/>
      <c r="P17530" s="13"/>
    </row>
    <row r="17531">
      <c r="L17531" s="13"/>
      <c r="M17531" s="14"/>
      <c r="N17531" s="14"/>
      <c r="O17531" s="14"/>
      <c r="P17531" s="13"/>
    </row>
    <row r="17532">
      <c r="L17532" s="13"/>
      <c r="M17532" s="14"/>
      <c r="N17532" s="14"/>
      <c r="O17532" s="14"/>
      <c r="P17532" s="13"/>
    </row>
    <row r="17533">
      <c r="L17533" s="13"/>
      <c r="M17533" s="14"/>
      <c r="N17533" s="14"/>
      <c r="O17533" s="14"/>
      <c r="P17533" s="13"/>
    </row>
    <row r="17534">
      <c r="L17534" s="13"/>
      <c r="M17534" s="14"/>
      <c r="N17534" s="14"/>
      <c r="O17534" s="14"/>
      <c r="P17534" s="13"/>
    </row>
    <row r="17535">
      <c r="L17535" s="13"/>
      <c r="M17535" s="14"/>
      <c r="N17535" s="14"/>
      <c r="O17535" s="14"/>
      <c r="P17535" s="13"/>
    </row>
    <row r="17536">
      <c r="L17536" s="13"/>
      <c r="M17536" s="14"/>
      <c r="N17536" s="14"/>
      <c r="O17536" s="14"/>
      <c r="P17536" s="13"/>
    </row>
    <row r="17537">
      <c r="L17537" s="13"/>
      <c r="M17537" s="14"/>
      <c r="N17537" s="14"/>
      <c r="O17537" s="14"/>
      <c r="P17537" s="13"/>
    </row>
    <row r="17538">
      <c r="L17538" s="13"/>
      <c r="M17538" s="14"/>
      <c r="N17538" s="14"/>
      <c r="O17538" s="14"/>
      <c r="P17538" s="13"/>
    </row>
    <row r="17539">
      <c r="L17539" s="13"/>
      <c r="M17539" s="14"/>
      <c r="N17539" s="14"/>
      <c r="O17539" s="14"/>
      <c r="P17539" s="13"/>
    </row>
    <row r="17540">
      <c r="L17540" s="13"/>
      <c r="M17540" s="14"/>
      <c r="N17540" s="14"/>
      <c r="O17540" s="14"/>
      <c r="P17540" s="13"/>
    </row>
    <row r="17541">
      <c r="L17541" s="13"/>
      <c r="M17541" s="14"/>
      <c r="N17541" s="14"/>
      <c r="O17541" s="14"/>
      <c r="P17541" s="13"/>
    </row>
    <row r="17542">
      <c r="L17542" s="13"/>
      <c r="M17542" s="14"/>
      <c r="N17542" s="14"/>
      <c r="O17542" s="14"/>
      <c r="P17542" s="13"/>
    </row>
    <row r="17543">
      <c r="L17543" s="13"/>
      <c r="M17543" s="14"/>
      <c r="N17543" s="14"/>
      <c r="O17543" s="14"/>
      <c r="P17543" s="13"/>
    </row>
    <row r="17544">
      <c r="L17544" s="13"/>
      <c r="M17544" s="14"/>
      <c r="N17544" s="14"/>
      <c r="O17544" s="14"/>
      <c r="P17544" s="13"/>
    </row>
    <row r="17545">
      <c r="L17545" s="13"/>
      <c r="M17545" s="14"/>
      <c r="N17545" s="14"/>
      <c r="O17545" s="14"/>
      <c r="P17545" s="13"/>
    </row>
    <row r="17546">
      <c r="L17546" s="13"/>
      <c r="M17546" s="14"/>
      <c r="N17546" s="14"/>
      <c r="O17546" s="14"/>
      <c r="P17546" s="13"/>
    </row>
    <row r="17547">
      <c r="L17547" s="13"/>
      <c r="M17547" s="14"/>
      <c r="N17547" s="14"/>
      <c r="O17547" s="14"/>
      <c r="P17547" s="13"/>
    </row>
    <row r="17548">
      <c r="L17548" s="13"/>
      <c r="M17548" s="14"/>
      <c r="N17548" s="14"/>
      <c r="O17548" s="14"/>
      <c r="P17548" s="13"/>
    </row>
    <row r="17549">
      <c r="L17549" s="13"/>
      <c r="M17549" s="14"/>
      <c r="N17549" s="14"/>
      <c r="O17549" s="14"/>
      <c r="P17549" s="13"/>
    </row>
    <row r="17550">
      <c r="L17550" s="13"/>
      <c r="M17550" s="14"/>
      <c r="N17550" s="14"/>
      <c r="O17550" s="14"/>
      <c r="P17550" s="13"/>
    </row>
    <row r="17551">
      <c r="L17551" s="13"/>
      <c r="M17551" s="14"/>
      <c r="N17551" s="14"/>
      <c r="O17551" s="14"/>
      <c r="P17551" s="13"/>
    </row>
    <row r="17552">
      <c r="L17552" s="13"/>
      <c r="M17552" s="14"/>
      <c r="N17552" s="14"/>
      <c r="O17552" s="14"/>
      <c r="P17552" s="13"/>
    </row>
    <row r="17553">
      <c r="L17553" s="13"/>
      <c r="M17553" s="14"/>
      <c r="N17553" s="14"/>
      <c r="O17553" s="14"/>
      <c r="P17553" s="13"/>
    </row>
    <row r="17554">
      <c r="L17554" s="13"/>
      <c r="M17554" s="14"/>
      <c r="N17554" s="14"/>
      <c r="O17554" s="14"/>
      <c r="P17554" s="13"/>
    </row>
    <row r="17555">
      <c r="L17555" s="13"/>
      <c r="M17555" s="14"/>
      <c r="N17555" s="14"/>
      <c r="O17555" s="14"/>
      <c r="P17555" s="13"/>
    </row>
    <row r="17556">
      <c r="L17556" s="13"/>
      <c r="M17556" s="14"/>
      <c r="N17556" s="14"/>
      <c r="O17556" s="14"/>
      <c r="P17556" s="13"/>
    </row>
    <row r="17557">
      <c r="L17557" s="13"/>
      <c r="M17557" s="14"/>
      <c r="N17557" s="14"/>
      <c r="O17557" s="14"/>
      <c r="P17557" s="13"/>
    </row>
    <row r="17558">
      <c r="L17558" s="13"/>
      <c r="M17558" s="14"/>
      <c r="N17558" s="14"/>
      <c r="O17558" s="14"/>
      <c r="P17558" s="13"/>
    </row>
    <row r="17559">
      <c r="L17559" s="13"/>
      <c r="M17559" s="14"/>
      <c r="N17559" s="14"/>
      <c r="O17559" s="14"/>
      <c r="P17559" s="13"/>
    </row>
    <row r="17560">
      <c r="L17560" s="13"/>
      <c r="M17560" s="14"/>
      <c r="N17560" s="14"/>
      <c r="O17560" s="14"/>
      <c r="P17560" s="13"/>
    </row>
    <row r="17561">
      <c r="L17561" s="13"/>
      <c r="M17561" s="14"/>
      <c r="N17561" s="14"/>
      <c r="O17561" s="14"/>
      <c r="P17561" s="13"/>
    </row>
    <row r="17562">
      <c r="L17562" s="13"/>
      <c r="M17562" s="14"/>
      <c r="N17562" s="14"/>
      <c r="O17562" s="14"/>
      <c r="P17562" s="13"/>
    </row>
    <row r="17563">
      <c r="L17563" s="13"/>
      <c r="M17563" s="14"/>
      <c r="N17563" s="14"/>
      <c r="O17563" s="14"/>
      <c r="P17563" s="13"/>
    </row>
    <row r="17564">
      <c r="L17564" s="13"/>
      <c r="M17564" s="14"/>
      <c r="N17564" s="14"/>
      <c r="O17564" s="14"/>
      <c r="P17564" s="13"/>
    </row>
    <row r="17565">
      <c r="L17565" s="13"/>
      <c r="M17565" s="14"/>
      <c r="N17565" s="14"/>
      <c r="O17565" s="14"/>
      <c r="P17565" s="13"/>
    </row>
    <row r="17566">
      <c r="L17566" s="13"/>
      <c r="M17566" s="14"/>
      <c r="N17566" s="14"/>
      <c r="O17566" s="14"/>
      <c r="P17566" s="13"/>
    </row>
    <row r="17567">
      <c r="L17567" s="13"/>
      <c r="M17567" s="14"/>
      <c r="N17567" s="14"/>
      <c r="O17567" s="14"/>
      <c r="P17567" s="13"/>
    </row>
    <row r="17568">
      <c r="L17568" s="13"/>
      <c r="M17568" s="14"/>
      <c r="N17568" s="14"/>
      <c r="O17568" s="14"/>
      <c r="P17568" s="13"/>
    </row>
    <row r="17569">
      <c r="L17569" s="13"/>
      <c r="M17569" s="14"/>
      <c r="N17569" s="14"/>
      <c r="O17569" s="14"/>
      <c r="P17569" s="13"/>
    </row>
    <row r="17570">
      <c r="L17570" s="13"/>
      <c r="M17570" s="14"/>
      <c r="N17570" s="14"/>
      <c r="O17570" s="14"/>
      <c r="P17570" s="13"/>
    </row>
    <row r="17571">
      <c r="L17571" s="13"/>
      <c r="M17571" s="14"/>
      <c r="N17571" s="14"/>
      <c r="O17571" s="14"/>
      <c r="P17571" s="13"/>
    </row>
    <row r="17572">
      <c r="L17572" s="13"/>
      <c r="M17572" s="14"/>
      <c r="N17572" s="14"/>
      <c r="O17572" s="14"/>
      <c r="P17572" s="13"/>
    </row>
    <row r="17573">
      <c r="L17573" s="13"/>
      <c r="M17573" s="14"/>
      <c r="N17573" s="14"/>
      <c r="O17573" s="14"/>
      <c r="P17573" s="13"/>
    </row>
    <row r="17574">
      <c r="L17574" s="13"/>
      <c r="M17574" s="14"/>
      <c r="N17574" s="14"/>
      <c r="O17574" s="14"/>
      <c r="P17574" s="13"/>
    </row>
    <row r="17575">
      <c r="L17575" s="13"/>
      <c r="M17575" s="14"/>
      <c r="N17575" s="14"/>
      <c r="O17575" s="14"/>
      <c r="P17575" s="13"/>
    </row>
    <row r="17576">
      <c r="L17576" s="13"/>
      <c r="M17576" s="14"/>
      <c r="N17576" s="14"/>
      <c r="O17576" s="14"/>
      <c r="P17576" s="13"/>
    </row>
    <row r="17577">
      <c r="L17577" s="13"/>
      <c r="M17577" s="14"/>
      <c r="N17577" s="14"/>
      <c r="O17577" s="14"/>
      <c r="P17577" s="13"/>
    </row>
    <row r="17578">
      <c r="L17578" s="13"/>
      <c r="M17578" s="14"/>
      <c r="N17578" s="14"/>
      <c r="O17578" s="14"/>
      <c r="P17578" s="13"/>
    </row>
    <row r="17579">
      <c r="L17579" s="13"/>
      <c r="M17579" s="14"/>
      <c r="N17579" s="14"/>
      <c r="O17579" s="14"/>
      <c r="P17579" s="13"/>
    </row>
    <row r="17580">
      <c r="L17580" s="13"/>
      <c r="M17580" s="14"/>
      <c r="N17580" s="14"/>
      <c r="O17580" s="14"/>
      <c r="P17580" s="13"/>
    </row>
    <row r="17581">
      <c r="L17581" s="13"/>
      <c r="M17581" s="14"/>
      <c r="N17581" s="14"/>
      <c r="O17581" s="14"/>
      <c r="P17581" s="13"/>
    </row>
    <row r="17582">
      <c r="L17582" s="13"/>
      <c r="M17582" s="14"/>
      <c r="N17582" s="14"/>
      <c r="O17582" s="14"/>
      <c r="P17582" s="13"/>
    </row>
    <row r="17583">
      <c r="L17583" s="13"/>
      <c r="M17583" s="14"/>
      <c r="N17583" s="14"/>
      <c r="O17583" s="14"/>
      <c r="P17583" s="13"/>
    </row>
    <row r="17584">
      <c r="L17584" s="13"/>
      <c r="M17584" s="14"/>
      <c r="N17584" s="14"/>
      <c r="O17584" s="14"/>
      <c r="P17584" s="13"/>
    </row>
    <row r="17585">
      <c r="L17585" s="13"/>
      <c r="M17585" s="14"/>
      <c r="N17585" s="14"/>
      <c r="O17585" s="14"/>
      <c r="P17585" s="13"/>
    </row>
    <row r="17586">
      <c r="L17586" s="13"/>
      <c r="M17586" s="14"/>
      <c r="N17586" s="14"/>
      <c r="O17586" s="14"/>
      <c r="P17586" s="13"/>
    </row>
    <row r="17587">
      <c r="L17587" s="13"/>
      <c r="M17587" s="14"/>
      <c r="N17587" s="14"/>
      <c r="O17587" s="14"/>
      <c r="P17587" s="13"/>
    </row>
    <row r="17588">
      <c r="L17588" s="13"/>
      <c r="M17588" s="14"/>
      <c r="N17588" s="14"/>
      <c r="O17588" s="14"/>
      <c r="P17588" s="13"/>
    </row>
    <row r="17589">
      <c r="L17589" s="13"/>
      <c r="M17589" s="14"/>
      <c r="N17589" s="14"/>
      <c r="O17589" s="14"/>
      <c r="P17589" s="13"/>
    </row>
    <row r="17590">
      <c r="L17590" s="13"/>
      <c r="M17590" s="14"/>
      <c r="N17590" s="14"/>
      <c r="O17590" s="14"/>
      <c r="P17590" s="13"/>
    </row>
    <row r="17591">
      <c r="L17591" s="13"/>
      <c r="M17591" s="14"/>
      <c r="N17591" s="14"/>
      <c r="O17591" s="14"/>
      <c r="P17591" s="13"/>
    </row>
    <row r="17592">
      <c r="L17592" s="13"/>
      <c r="M17592" s="14"/>
      <c r="N17592" s="14"/>
      <c r="O17592" s="14"/>
      <c r="P17592" s="13"/>
    </row>
    <row r="17593">
      <c r="L17593" s="13"/>
      <c r="M17593" s="14"/>
      <c r="N17593" s="14"/>
      <c r="O17593" s="14"/>
      <c r="P17593" s="13"/>
    </row>
    <row r="17594">
      <c r="L17594" s="13"/>
      <c r="M17594" s="14"/>
      <c r="N17594" s="14"/>
      <c r="O17594" s="14"/>
      <c r="P17594" s="13"/>
    </row>
    <row r="17595">
      <c r="L17595" s="13"/>
      <c r="M17595" s="14"/>
      <c r="N17595" s="14"/>
      <c r="O17595" s="14"/>
      <c r="P17595" s="13"/>
    </row>
    <row r="17596">
      <c r="L17596" s="13"/>
      <c r="M17596" s="14"/>
      <c r="N17596" s="14"/>
      <c r="O17596" s="14"/>
      <c r="P17596" s="13"/>
    </row>
    <row r="17597">
      <c r="L17597" s="13"/>
      <c r="M17597" s="14"/>
      <c r="N17597" s="14"/>
      <c r="O17597" s="14"/>
      <c r="P17597" s="13"/>
    </row>
    <row r="17598">
      <c r="L17598" s="13"/>
      <c r="M17598" s="14"/>
      <c r="N17598" s="14"/>
      <c r="O17598" s="14"/>
      <c r="P17598" s="13"/>
    </row>
    <row r="17599">
      <c r="L17599" s="13"/>
      <c r="M17599" s="14"/>
      <c r="N17599" s="14"/>
      <c r="O17599" s="14"/>
      <c r="P17599" s="13"/>
    </row>
    <row r="17600">
      <c r="L17600" s="13"/>
      <c r="M17600" s="14"/>
      <c r="N17600" s="14"/>
      <c r="O17600" s="14"/>
      <c r="P17600" s="13"/>
    </row>
    <row r="17601">
      <c r="L17601" s="13"/>
      <c r="M17601" s="14"/>
      <c r="N17601" s="14"/>
      <c r="O17601" s="14"/>
      <c r="P17601" s="13"/>
    </row>
    <row r="17602">
      <c r="L17602" s="13"/>
      <c r="M17602" s="14"/>
      <c r="N17602" s="14"/>
      <c r="O17602" s="14"/>
      <c r="P17602" s="13"/>
    </row>
    <row r="17603">
      <c r="L17603" s="13"/>
      <c r="M17603" s="14"/>
      <c r="N17603" s="14"/>
      <c r="O17603" s="14"/>
      <c r="P17603" s="13"/>
    </row>
    <row r="17604">
      <c r="L17604" s="13"/>
      <c r="M17604" s="14"/>
      <c r="N17604" s="14"/>
      <c r="O17604" s="14"/>
      <c r="P17604" s="13"/>
    </row>
    <row r="17605">
      <c r="L17605" s="13"/>
      <c r="M17605" s="14"/>
      <c r="N17605" s="14"/>
      <c r="O17605" s="14"/>
      <c r="P17605" s="13"/>
    </row>
    <row r="17606">
      <c r="L17606" s="13"/>
      <c r="M17606" s="14"/>
      <c r="N17606" s="14"/>
      <c r="O17606" s="14"/>
      <c r="P17606" s="13"/>
    </row>
    <row r="17607">
      <c r="L17607" s="13"/>
      <c r="M17607" s="14"/>
      <c r="N17607" s="14"/>
      <c r="O17607" s="14"/>
      <c r="P17607" s="13"/>
    </row>
    <row r="17608">
      <c r="L17608" s="13"/>
      <c r="M17608" s="14"/>
      <c r="N17608" s="14"/>
      <c r="O17608" s="14"/>
      <c r="P17608" s="13"/>
    </row>
    <row r="17609">
      <c r="L17609" s="13"/>
      <c r="M17609" s="14"/>
      <c r="N17609" s="14"/>
      <c r="O17609" s="14"/>
      <c r="P17609" s="13"/>
    </row>
    <row r="17610">
      <c r="L17610" s="13"/>
      <c r="M17610" s="14"/>
      <c r="N17610" s="14"/>
      <c r="O17610" s="14"/>
      <c r="P17610" s="13"/>
    </row>
    <row r="17611">
      <c r="L17611" s="13"/>
      <c r="M17611" s="14"/>
      <c r="N17611" s="14"/>
      <c r="O17611" s="14"/>
      <c r="P17611" s="13"/>
    </row>
    <row r="17612">
      <c r="L17612" s="13"/>
      <c r="M17612" s="14"/>
      <c r="N17612" s="14"/>
      <c r="O17612" s="14"/>
      <c r="P17612" s="13"/>
    </row>
    <row r="17613">
      <c r="L17613" s="13"/>
      <c r="M17613" s="14"/>
      <c r="N17613" s="14"/>
      <c r="O17613" s="14"/>
      <c r="P17613" s="13"/>
    </row>
    <row r="17614">
      <c r="L17614" s="13"/>
      <c r="M17614" s="14"/>
      <c r="N17614" s="14"/>
      <c r="O17614" s="14"/>
      <c r="P17614" s="13"/>
    </row>
    <row r="17615">
      <c r="L17615" s="13"/>
      <c r="M17615" s="14"/>
      <c r="N17615" s="14"/>
      <c r="O17615" s="14"/>
      <c r="P17615" s="13"/>
    </row>
    <row r="17616">
      <c r="L17616" s="13"/>
      <c r="M17616" s="14"/>
      <c r="N17616" s="14"/>
      <c r="O17616" s="14"/>
      <c r="P17616" s="13"/>
    </row>
    <row r="17617">
      <c r="L17617" s="13"/>
      <c r="M17617" s="14"/>
      <c r="N17617" s="14"/>
      <c r="O17617" s="14"/>
      <c r="P17617" s="13"/>
    </row>
    <row r="17618">
      <c r="L17618" s="13"/>
      <c r="M17618" s="14"/>
      <c r="N17618" s="14"/>
      <c r="O17618" s="14"/>
      <c r="P17618" s="13"/>
    </row>
    <row r="17619">
      <c r="L17619" s="13"/>
      <c r="M17619" s="14"/>
      <c r="N17619" s="14"/>
      <c r="O17619" s="14"/>
      <c r="P17619" s="13"/>
    </row>
    <row r="17620">
      <c r="L17620" s="13"/>
      <c r="M17620" s="14"/>
      <c r="N17620" s="14"/>
      <c r="O17620" s="14"/>
      <c r="P17620" s="13"/>
    </row>
    <row r="17621">
      <c r="L17621" s="13"/>
      <c r="M17621" s="14"/>
      <c r="N17621" s="14"/>
      <c r="O17621" s="14"/>
      <c r="P17621" s="13"/>
    </row>
    <row r="17622">
      <c r="L17622" s="13"/>
      <c r="M17622" s="14"/>
      <c r="N17622" s="14"/>
      <c r="O17622" s="14"/>
      <c r="P17622" s="13"/>
    </row>
    <row r="17623">
      <c r="L17623" s="13"/>
      <c r="M17623" s="14"/>
      <c r="N17623" s="14"/>
      <c r="O17623" s="14"/>
      <c r="P17623" s="13"/>
    </row>
    <row r="17624">
      <c r="L17624" s="13"/>
      <c r="M17624" s="14"/>
      <c r="N17624" s="14"/>
      <c r="O17624" s="14"/>
      <c r="P17624" s="13"/>
    </row>
    <row r="17625">
      <c r="L17625" s="13"/>
      <c r="M17625" s="14"/>
      <c r="N17625" s="14"/>
      <c r="O17625" s="14"/>
      <c r="P17625" s="13"/>
    </row>
    <row r="17626">
      <c r="L17626" s="13"/>
      <c r="M17626" s="14"/>
      <c r="N17626" s="14"/>
      <c r="O17626" s="14"/>
      <c r="P17626" s="13"/>
    </row>
    <row r="17627">
      <c r="L17627" s="13"/>
      <c r="M17627" s="14"/>
      <c r="N17627" s="14"/>
      <c r="O17627" s="14"/>
      <c r="P17627" s="13"/>
    </row>
    <row r="17628">
      <c r="L17628" s="13"/>
      <c r="M17628" s="14"/>
      <c r="N17628" s="14"/>
      <c r="O17628" s="14"/>
      <c r="P17628" s="13"/>
    </row>
    <row r="17629">
      <c r="L17629" s="13"/>
      <c r="M17629" s="14"/>
      <c r="N17629" s="14"/>
      <c r="O17629" s="14"/>
      <c r="P17629" s="13"/>
    </row>
    <row r="17630">
      <c r="L17630" s="13"/>
      <c r="M17630" s="14"/>
      <c r="N17630" s="14"/>
      <c r="O17630" s="14"/>
      <c r="P17630" s="13"/>
    </row>
    <row r="17631">
      <c r="L17631" s="13"/>
      <c r="M17631" s="14"/>
      <c r="N17631" s="14"/>
      <c r="O17631" s="14"/>
      <c r="P17631" s="13"/>
    </row>
    <row r="17632">
      <c r="L17632" s="13"/>
      <c r="M17632" s="14"/>
      <c r="N17632" s="14"/>
      <c r="O17632" s="14"/>
      <c r="P17632" s="13"/>
    </row>
    <row r="17633">
      <c r="L17633" s="13"/>
      <c r="M17633" s="14"/>
      <c r="N17633" s="14"/>
      <c r="O17633" s="14"/>
      <c r="P17633" s="13"/>
    </row>
    <row r="17634">
      <c r="L17634" s="13"/>
      <c r="M17634" s="14"/>
      <c r="N17634" s="14"/>
      <c r="O17634" s="14"/>
      <c r="P17634" s="13"/>
    </row>
    <row r="17635">
      <c r="L17635" s="13"/>
      <c r="M17635" s="14"/>
      <c r="N17635" s="14"/>
      <c r="O17635" s="14"/>
      <c r="P17635" s="13"/>
    </row>
    <row r="17636">
      <c r="L17636" s="13"/>
      <c r="M17636" s="14"/>
      <c r="N17636" s="14"/>
      <c r="O17636" s="14"/>
      <c r="P17636" s="13"/>
    </row>
    <row r="17637">
      <c r="L17637" s="13"/>
      <c r="M17637" s="14"/>
      <c r="N17637" s="14"/>
      <c r="O17637" s="14"/>
      <c r="P17637" s="13"/>
    </row>
    <row r="17638">
      <c r="L17638" s="13"/>
      <c r="M17638" s="14"/>
      <c r="N17638" s="14"/>
      <c r="O17638" s="14"/>
      <c r="P17638" s="13"/>
    </row>
    <row r="17639">
      <c r="L17639" s="13"/>
      <c r="M17639" s="14"/>
      <c r="N17639" s="14"/>
      <c r="O17639" s="14"/>
      <c r="P17639" s="13"/>
    </row>
    <row r="17640">
      <c r="L17640" s="13"/>
      <c r="M17640" s="14"/>
      <c r="N17640" s="14"/>
      <c r="O17640" s="14"/>
      <c r="P17640" s="13"/>
    </row>
    <row r="17641">
      <c r="L17641" s="13"/>
      <c r="M17641" s="14"/>
      <c r="N17641" s="14"/>
      <c r="O17641" s="14"/>
      <c r="P17641" s="13"/>
    </row>
    <row r="17642">
      <c r="L17642" s="13"/>
      <c r="M17642" s="14"/>
      <c r="N17642" s="14"/>
      <c r="O17642" s="14"/>
      <c r="P17642" s="13"/>
    </row>
    <row r="17643">
      <c r="L17643" s="13"/>
      <c r="M17643" s="14"/>
      <c r="N17643" s="14"/>
      <c r="O17643" s="14"/>
      <c r="P17643" s="13"/>
    </row>
    <row r="17644">
      <c r="L17644" s="13"/>
      <c r="M17644" s="14"/>
      <c r="N17644" s="14"/>
      <c r="O17644" s="14"/>
      <c r="P17644" s="13"/>
    </row>
    <row r="17645">
      <c r="L17645" s="13"/>
      <c r="M17645" s="14"/>
      <c r="N17645" s="14"/>
      <c r="O17645" s="14"/>
      <c r="P17645" s="13"/>
    </row>
    <row r="17646">
      <c r="L17646" s="13"/>
      <c r="M17646" s="14"/>
      <c r="N17646" s="14"/>
      <c r="O17646" s="14"/>
      <c r="P17646" s="13"/>
    </row>
    <row r="17647">
      <c r="L17647" s="13"/>
      <c r="M17647" s="14"/>
      <c r="N17647" s="14"/>
      <c r="O17647" s="14"/>
      <c r="P17647" s="13"/>
    </row>
    <row r="17648">
      <c r="L17648" s="13"/>
      <c r="M17648" s="14"/>
      <c r="N17648" s="14"/>
      <c r="O17648" s="14"/>
      <c r="P17648" s="13"/>
    </row>
    <row r="17649">
      <c r="L17649" s="13"/>
      <c r="M17649" s="14"/>
      <c r="N17649" s="14"/>
      <c r="O17649" s="14"/>
      <c r="P17649" s="13"/>
    </row>
    <row r="17650">
      <c r="L17650" s="13"/>
      <c r="M17650" s="14"/>
      <c r="N17650" s="14"/>
      <c r="O17650" s="14"/>
      <c r="P17650" s="13"/>
    </row>
    <row r="17651">
      <c r="L17651" s="13"/>
      <c r="M17651" s="14"/>
      <c r="N17651" s="14"/>
      <c r="O17651" s="14"/>
      <c r="P17651" s="13"/>
    </row>
    <row r="17652">
      <c r="L17652" s="13"/>
      <c r="M17652" s="14"/>
      <c r="N17652" s="14"/>
      <c r="O17652" s="14"/>
      <c r="P17652" s="13"/>
    </row>
    <row r="17653">
      <c r="L17653" s="13"/>
      <c r="M17653" s="14"/>
      <c r="N17653" s="14"/>
      <c r="O17653" s="14"/>
      <c r="P17653" s="13"/>
    </row>
    <row r="17654">
      <c r="L17654" s="13"/>
      <c r="M17654" s="14"/>
      <c r="N17654" s="14"/>
      <c r="O17654" s="14"/>
      <c r="P17654" s="13"/>
    </row>
    <row r="17655">
      <c r="L17655" s="13"/>
      <c r="M17655" s="14"/>
      <c r="N17655" s="14"/>
      <c r="O17655" s="14"/>
      <c r="P17655" s="13"/>
    </row>
    <row r="17656">
      <c r="L17656" s="13"/>
      <c r="M17656" s="14"/>
      <c r="N17656" s="14"/>
      <c r="O17656" s="14"/>
      <c r="P17656" s="13"/>
    </row>
    <row r="17657">
      <c r="L17657" s="13"/>
      <c r="M17657" s="14"/>
      <c r="N17657" s="14"/>
      <c r="O17657" s="14"/>
      <c r="P17657" s="13"/>
    </row>
    <row r="17658">
      <c r="L17658" s="13"/>
      <c r="M17658" s="14"/>
      <c r="N17658" s="14"/>
      <c r="O17658" s="14"/>
      <c r="P17658" s="13"/>
    </row>
    <row r="17659">
      <c r="L17659" s="13"/>
      <c r="M17659" s="14"/>
      <c r="N17659" s="14"/>
      <c r="O17659" s="14"/>
      <c r="P17659" s="13"/>
    </row>
    <row r="17660">
      <c r="L17660" s="13"/>
      <c r="M17660" s="14"/>
      <c r="N17660" s="14"/>
      <c r="O17660" s="14"/>
      <c r="P17660" s="13"/>
    </row>
    <row r="17661">
      <c r="L17661" s="13"/>
      <c r="M17661" s="14"/>
      <c r="N17661" s="14"/>
      <c r="O17661" s="14"/>
      <c r="P17661" s="13"/>
    </row>
    <row r="17662">
      <c r="L17662" s="13"/>
      <c r="M17662" s="14"/>
      <c r="N17662" s="14"/>
      <c r="O17662" s="14"/>
      <c r="P17662" s="13"/>
    </row>
    <row r="17663">
      <c r="L17663" s="13"/>
      <c r="M17663" s="14"/>
      <c r="N17663" s="14"/>
      <c r="O17663" s="14"/>
      <c r="P17663" s="13"/>
    </row>
    <row r="17664">
      <c r="L17664" s="13"/>
      <c r="M17664" s="14"/>
      <c r="N17664" s="14"/>
      <c r="O17664" s="14"/>
      <c r="P17664" s="13"/>
    </row>
    <row r="17665">
      <c r="L17665" s="13"/>
      <c r="M17665" s="14"/>
      <c r="N17665" s="14"/>
      <c r="O17665" s="14"/>
      <c r="P17665" s="13"/>
    </row>
    <row r="17666">
      <c r="L17666" s="13"/>
      <c r="M17666" s="14"/>
      <c r="N17666" s="14"/>
      <c r="O17666" s="14"/>
      <c r="P17666" s="13"/>
    </row>
    <row r="17667">
      <c r="L17667" s="13"/>
      <c r="M17667" s="14"/>
      <c r="N17667" s="14"/>
      <c r="O17667" s="14"/>
      <c r="P17667" s="13"/>
    </row>
    <row r="17668">
      <c r="L17668" s="13"/>
      <c r="M17668" s="14"/>
      <c r="N17668" s="14"/>
      <c r="O17668" s="14"/>
      <c r="P17668" s="13"/>
    </row>
    <row r="17669">
      <c r="L17669" s="13"/>
      <c r="M17669" s="14"/>
      <c r="N17669" s="14"/>
      <c r="O17669" s="14"/>
      <c r="P17669" s="13"/>
    </row>
    <row r="17670">
      <c r="L17670" s="13"/>
      <c r="M17670" s="14"/>
      <c r="N17670" s="14"/>
      <c r="O17670" s="14"/>
      <c r="P17670" s="13"/>
    </row>
    <row r="17671">
      <c r="L17671" s="13"/>
      <c r="M17671" s="14"/>
      <c r="N17671" s="14"/>
      <c r="O17671" s="14"/>
      <c r="P17671" s="13"/>
    </row>
    <row r="17672">
      <c r="L17672" s="13"/>
      <c r="M17672" s="14"/>
      <c r="N17672" s="14"/>
      <c r="O17672" s="14"/>
      <c r="P17672" s="13"/>
    </row>
    <row r="17673">
      <c r="L17673" s="13"/>
      <c r="M17673" s="14"/>
      <c r="N17673" s="14"/>
      <c r="O17673" s="14"/>
      <c r="P17673" s="13"/>
    </row>
    <row r="17674">
      <c r="L17674" s="13"/>
      <c r="M17674" s="14"/>
      <c r="N17674" s="14"/>
      <c r="O17674" s="14"/>
      <c r="P17674" s="13"/>
    </row>
    <row r="17675">
      <c r="L17675" s="13"/>
      <c r="M17675" s="14"/>
      <c r="N17675" s="14"/>
      <c r="O17675" s="14"/>
      <c r="P17675" s="13"/>
    </row>
    <row r="17676">
      <c r="L17676" s="13"/>
      <c r="M17676" s="14"/>
      <c r="N17676" s="14"/>
      <c r="O17676" s="14"/>
      <c r="P17676" s="13"/>
    </row>
    <row r="17677">
      <c r="L17677" s="13"/>
      <c r="M17677" s="14"/>
      <c r="N17677" s="14"/>
      <c r="O17677" s="14"/>
      <c r="P17677" s="13"/>
    </row>
    <row r="17678">
      <c r="L17678" s="13"/>
      <c r="M17678" s="14"/>
      <c r="N17678" s="14"/>
      <c r="O17678" s="14"/>
      <c r="P17678" s="13"/>
    </row>
    <row r="17679">
      <c r="L17679" s="13"/>
      <c r="M17679" s="14"/>
      <c r="N17679" s="14"/>
      <c r="O17679" s="14"/>
      <c r="P17679" s="13"/>
    </row>
    <row r="17680">
      <c r="L17680" s="13"/>
      <c r="M17680" s="14"/>
      <c r="N17680" s="14"/>
      <c r="O17680" s="14"/>
      <c r="P17680" s="13"/>
    </row>
    <row r="17681">
      <c r="L17681" s="13"/>
      <c r="M17681" s="14"/>
      <c r="N17681" s="14"/>
      <c r="O17681" s="14"/>
      <c r="P17681" s="13"/>
    </row>
    <row r="17682">
      <c r="L17682" s="13"/>
      <c r="M17682" s="14"/>
      <c r="N17682" s="14"/>
      <c r="O17682" s="14"/>
      <c r="P17682" s="13"/>
    </row>
    <row r="17683">
      <c r="L17683" s="13"/>
      <c r="M17683" s="14"/>
      <c r="N17683" s="14"/>
      <c r="O17683" s="14"/>
      <c r="P17683" s="13"/>
    </row>
    <row r="17684">
      <c r="L17684" s="13"/>
      <c r="M17684" s="14"/>
      <c r="N17684" s="14"/>
      <c r="O17684" s="14"/>
      <c r="P17684" s="13"/>
    </row>
    <row r="17685">
      <c r="L17685" s="13"/>
      <c r="M17685" s="14"/>
      <c r="N17685" s="14"/>
      <c r="O17685" s="14"/>
      <c r="P17685" s="13"/>
    </row>
    <row r="17686">
      <c r="L17686" s="13"/>
      <c r="M17686" s="14"/>
      <c r="N17686" s="14"/>
      <c r="O17686" s="14"/>
      <c r="P17686" s="13"/>
    </row>
    <row r="17687">
      <c r="L17687" s="13"/>
      <c r="M17687" s="14"/>
      <c r="N17687" s="14"/>
      <c r="O17687" s="14"/>
      <c r="P17687" s="13"/>
    </row>
    <row r="17688">
      <c r="L17688" s="13"/>
      <c r="M17688" s="14"/>
      <c r="N17688" s="14"/>
      <c r="O17688" s="14"/>
      <c r="P17688" s="13"/>
    </row>
    <row r="17689">
      <c r="L17689" s="13"/>
      <c r="M17689" s="14"/>
      <c r="N17689" s="14"/>
      <c r="O17689" s="14"/>
      <c r="P17689" s="13"/>
    </row>
    <row r="17690">
      <c r="L17690" s="13"/>
      <c r="M17690" s="14"/>
      <c r="N17690" s="14"/>
      <c r="O17690" s="14"/>
      <c r="P17690" s="13"/>
    </row>
    <row r="17691">
      <c r="L17691" s="13"/>
      <c r="M17691" s="14"/>
      <c r="N17691" s="14"/>
      <c r="O17691" s="14"/>
      <c r="P17691" s="13"/>
    </row>
    <row r="17692">
      <c r="L17692" s="13"/>
      <c r="M17692" s="14"/>
      <c r="N17692" s="14"/>
      <c r="O17692" s="14"/>
      <c r="P17692" s="13"/>
    </row>
    <row r="17693">
      <c r="L17693" s="13"/>
      <c r="M17693" s="14"/>
      <c r="N17693" s="14"/>
      <c r="O17693" s="14"/>
      <c r="P17693" s="13"/>
    </row>
    <row r="17694">
      <c r="L17694" s="13"/>
      <c r="M17694" s="14"/>
      <c r="N17694" s="14"/>
      <c r="O17694" s="14"/>
      <c r="P17694" s="13"/>
    </row>
    <row r="17695">
      <c r="L17695" s="13"/>
      <c r="M17695" s="14"/>
      <c r="N17695" s="14"/>
      <c r="O17695" s="14"/>
      <c r="P17695" s="13"/>
    </row>
    <row r="17696">
      <c r="L17696" s="13"/>
      <c r="M17696" s="14"/>
      <c r="N17696" s="14"/>
      <c r="O17696" s="14"/>
      <c r="P17696" s="13"/>
    </row>
    <row r="17697">
      <c r="L17697" s="13"/>
      <c r="M17697" s="14"/>
      <c r="N17697" s="14"/>
      <c r="O17697" s="14"/>
      <c r="P17697" s="13"/>
    </row>
    <row r="17698">
      <c r="L17698" s="13"/>
      <c r="M17698" s="14"/>
      <c r="N17698" s="14"/>
      <c r="O17698" s="14"/>
      <c r="P17698" s="13"/>
    </row>
    <row r="17699">
      <c r="L17699" s="13"/>
      <c r="M17699" s="14"/>
      <c r="N17699" s="14"/>
      <c r="O17699" s="14"/>
      <c r="P17699" s="13"/>
    </row>
    <row r="17700">
      <c r="L17700" s="13"/>
      <c r="M17700" s="14"/>
      <c r="N17700" s="14"/>
      <c r="O17700" s="14"/>
      <c r="P17700" s="13"/>
    </row>
    <row r="17701">
      <c r="L17701" s="13"/>
      <c r="M17701" s="14"/>
      <c r="N17701" s="14"/>
      <c r="O17701" s="14"/>
      <c r="P17701" s="13"/>
    </row>
    <row r="17702">
      <c r="L17702" s="13"/>
      <c r="M17702" s="14"/>
      <c r="N17702" s="14"/>
      <c r="O17702" s="14"/>
      <c r="P17702" s="13"/>
    </row>
    <row r="17703">
      <c r="L17703" s="13"/>
      <c r="M17703" s="14"/>
      <c r="N17703" s="14"/>
      <c r="O17703" s="14"/>
      <c r="P17703" s="13"/>
    </row>
    <row r="17704">
      <c r="L17704" s="13"/>
      <c r="M17704" s="14"/>
      <c r="N17704" s="14"/>
      <c r="O17704" s="14"/>
      <c r="P17704" s="13"/>
    </row>
    <row r="17705">
      <c r="L17705" s="13"/>
      <c r="M17705" s="14"/>
      <c r="N17705" s="14"/>
      <c r="O17705" s="14"/>
      <c r="P17705" s="13"/>
    </row>
    <row r="17706">
      <c r="L17706" s="13"/>
      <c r="M17706" s="14"/>
      <c r="N17706" s="14"/>
      <c r="O17706" s="14"/>
      <c r="P17706" s="13"/>
    </row>
    <row r="17707">
      <c r="L17707" s="13"/>
      <c r="M17707" s="14"/>
      <c r="N17707" s="14"/>
      <c r="O17707" s="14"/>
      <c r="P17707" s="13"/>
    </row>
    <row r="17708">
      <c r="L17708" s="13"/>
      <c r="M17708" s="14"/>
      <c r="N17708" s="14"/>
      <c r="O17708" s="14"/>
      <c r="P17708" s="13"/>
    </row>
    <row r="17709">
      <c r="L17709" s="13"/>
      <c r="M17709" s="14"/>
      <c r="N17709" s="14"/>
      <c r="O17709" s="14"/>
      <c r="P17709" s="13"/>
    </row>
    <row r="17710">
      <c r="L17710" s="13"/>
      <c r="M17710" s="14"/>
      <c r="N17710" s="14"/>
      <c r="O17710" s="14"/>
      <c r="P17710" s="13"/>
    </row>
    <row r="17711">
      <c r="L17711" s="13"/>
      <c r="M17711" s="14"/>
      <c r="N17711" s="14"/>
      <c r="O17711" s="14"/>
      <c r="P17711" s="13"/>
    </row>
    <row r="17712">
      <c r="L17712" s="13"/>
      <c r="M17712" s="14"/>
      <c r="N17712" s="14"/>
      <c r="O17712" s="14"/>
      <c r="P17712" s="13"/>
    </row>
    <row r="17713">
      <c r="L17713" s="13"/>
      <c r="M17713" s="14"/>
      <c r="N17713" s="14"/>
      <c r="O17713" s="14"/>
      <c r="P17713" s="13"/>
    </row>
    <row r="17714">
      <c r="L17714" s="13"/>
      <c r="M17714" s="14"/>
      <c r="N17714" s="14"/>
      <c r="O17714" s="14"/>
      <c r="P17714" s="13"/>
    </row>
    <row r="17715">
      <c r="L17715" s="13"/>
      <c r="M17715" s="14"/>
      <c r="N17715" s="14"/>
      <c r="O17715" s="14"/>
      <c r="P17715" s="13"/>
    </row>
    <row r="17716">
      <c r="L17716" s="13"/>
      <c r="M17716" s="14"/>
      <c r="N17716" s="14"/>
      <c r="O17716" s="14"/>
      <c r="P17716" s="13"/>
    </row>
    <row r="17717">
      <c r="L17717" s="13"/>
      <c r="M17717" s="14"/>
      <c r="N17717" s="14"/>
      <c r="O17717" s="14"/>
      <c r="P17717" s="13"/>
    </row>
    <row r="17718">
      <c r="L17718" s="13"/>
      <c r="M17718" s="14"/>
      <c r="N17718" s="14"/>
      <c r="O17718" s="14"/>
      <c r="P17718" s="13"/>
    </row>
    <row r="17719">
      <c r="L17719" s="13"/>
      <c r="M17719" s="14"/>
      <c r="N17719" s="14"/>
      <c r="O17719" s="14"/>
      <c r="P17719" s="13"/>
    </row>
    <row r="17720">
      <c r="L17720" s="13"/>
      <c r="M17720" s="14"/>
      <c r="N17720" s="14"/>
      <c r="O17720" s="14"/>
      <c r="P17720" s="13"/>
    </row>
    <row r="17721">
      <c r="L17721" s="13"/>
      <c r="M17721" s="14"/>
      <c r="N17721" s="14"/>
      <c r="O17721" s="14"/>
      <c r="P17721" s="13"/>
    </row>
    <row r="17722">
      <c r="L17722" s="13"/>
      <c r="M17722" s="14"/>
      <c r="N17722" s="14"/>
      <c r="O17722" s="14"/>
      <c r="P17722" s="13"/>
    </row>
    <row r="17723">
      <c r="L17723" s="13"/>
      <c r="M17723" s="14"/>
      <c r="N17723" s="14"/>
      <c r="O17723" s="14"/>
      <c r="P17723" s="13"/>
    </row>
    <row r="17724">
      <c r="L17724" s="13"/>
      <c r="M17724" s="14"/>
      <c r="N17724" s="14"/>
      <c r="O17724" s="14"/>
      <c r="P17724" s="13"/>
    </row>
    <row r="17725">
      <c r="L17725" s="13"/>
      <c r="M17725" s="14"/>
      <c r="N17725" s="14"/>
      <c r="O17725" s="14"/>
      <c r="P17725" s="13"/>
    </row>
    <row r="17726">
      <c r="L17726" s="13"/>
      <c r="M17726" s="14"/>
      <c r="N17726" s="14"/>
      <c r="O17726" s="14"/>
      <c r="P17726" s="13"/>
    </row>
    <row r="17727">
      <c r="L17727" s="13"/>
      <c r="M17727" s="14"/>
      <c r="N17727" s="14"/>
      <c r="O17727" s="14"/>
      <c r="P17727" s="13"/>
    </row>
    <row r="17728">
      <c r="L17728" s="13"/>
      <c r="M17728" s="14"/>
      <c r="N17728" s="14"/>
      <c r="O17728" s="14"/>
      <c r="P17728" s="13"/>
    </row>
    <row r="17729">
      <c r="L17729" s="13"/>
      <c r="M17729" s="14"/>
      <c r="N17729" s="14"/>
      <c r="O17729" s="14"/>
      <c r="P17729" s="13"/>
    </row>
    <row r="17730">
      <c r="L17730" s="13"/>
      <c r="M17730" s="14"/>
      <c r="N17730" s="14"/>
      <c r="O17730" s="14"/>
      <c r="P17730" s="13"/>
    </row>
    <row r="17731">
      <c r="L17731" s="13"/>
      <c r="M17731" s="14"/>
      <c r="N17731" s="14"/>
      <c r="O17731" s="14"/>
      <c r="P17731" s="13"/>
    </row>
    <row r="17732">
      <c r="L17732" s="13"/>
      <c r="M17732" s="14"/>
      <c r="N17732" s="14"/>
      <c r="O17732" s="14"/>
      <c r="P17732" s="13"/>
    </row>
    <row r="17733">
      <c r="L17733" s="13"/>
      <c r="M17733" s="14"/>
      <c r="N17733" s="14"/>
      <c r="O17733" s="14"/>
      <c r="P17733" s="13"/>
    </row>
    <row r="17734">
      <c r="L17734" s="13"/>
      <c r="M17734" s="14"/>
      <c r="N17734" s="14"/>
      <c r="O17734" s="14"/>
      <c r="P17734" s="13"/>
    </row>
    <row r="17735">
      <c r="L17735" s="13"/>
      <c r="M17735" s="14"/>
      <c r="N17735" s="14"/>
      <c r="O17735" s="14"/>
      <c r="P17735" s="13"/>
    </row>
    <row r="17736">
      <c r="L17736" s="13"/>
      <c r="M17736" s="14"/>
      <c r="N17736" s="14"/>
      <c r="O17736" s="14"/>
      <c r="P17736" s="13"/>
    </row>
    <row r="17737">
      <c r="L17737" s="13"/>
      <c r="M17737" s="14"/>
      <c r="N17737" s="14"/>
      <c r="O17737" s="14"/>
      <c r="P17737" s="13"/>
    </row>
    <row r="17738">
      <c r="L17738" s="13"/>
      <c r="M17738" s="14"/>
      <c r="N17738" s="14"/>
      <c r="O17738" s="14"/>
      <c r="P17738" s="13"/>
    </row>
    <row r="17739">
      <c r="L17739" s="13"/>
      <c r="M17739" s="14"/>
      <c r="N17739" s="14"/>
      <c r="O17739" s="14"/>
      <c r="P17739" s="13"/>
    </row>
    <row r="17740">
      <c r="L17740" s="13"/>
      <c r="M17740" s="14"/>
      <c r="N17740" s="14"/>
      <c r="O17740" s="14"/>
      <c r="P17740" s="13"/>
    </row>
    <row r="17741">
      <c r="L17741" s="13"/>
      <c r="M17741" s="14"/>
      <c r="N17741" s="14"/>
      <c r="O17741" s="14"/>
      <c r="P17741" s="13"/>
    </row>
    <row r="17742">
      <c r="L17742" s="13"/>
      <c r="M17742" s="14"/>
      <c r="N17742" s="14"/>
      <c r="O17742" s="14"/>
      <c r="P17742" s="13"/>
    </row>
    <row r="17743">
      <c r="L17743" s="13"/>
      <c r="M17743" s="14"/>
      <c r="N17743" s="14"/>
      <c r="O17743" s="14"/>
      <c r="P17743" s="13"/>
    </row>
    <row r="17744">
      <c r="L17744" s="13"/>
      <c r="M17744" s="14"/>
      <c r="N17744" s="14"/>
      <c r="O17744" s="14"/>
      <c r="P17744" s="13"/>
    </row>
    <row r="17745">
      <c r="L17745" s="13"/>
      <c r="M17745" s="14"/>
      <c r="N17745" s="14"/>
      <c r="O17745" s="14"/>
      <c r="P17745" s="13"/>
    </row>
    <row r="17746">
      <c r="L17746" s="13"/>
      <c r="M17746" s="14"/>
      <c r="N17746" s="14"/>
      <c r="O17746" s="14"/>
      <c r="P17746" s="13"/>
    </row>
    <row r="17747">
      <c r="L17747" s="13"/>
      <c r="M17747" s="14"/>
      <c r="N17747" s="14"/>
      <c r="O17747" s="14"/>
      <c r="P17747" s="13"/>
    </row>
    <row r="17748">
      <c r="L17748" s="13"/>
      <c r="M17748" s="14"/>
      <c r="N17748" s="14"/>
      <c r="O17748" s="14"/>
      <c r="P17748" s="13"/>
    </row>
    <row r="17749">
      <c r="L17749" s="13"/>
      <c r="M17749" s="14"/>
      <c r="N17749" s="14"/>
      <c r="O17749" s="14"/>
      <c r="P17749" s="13"/>
    </row>
    <row r="17750">
      <c r="L17750" s="13"/>
      <c r="M17750" s="14"/>
      <c r="N17750" s="14"/>
      <c r="O17750" s="14"/>
      <c r="P17750" s="13"/>
    </row>
    <row r="17751">
      <c r="L17751" s="13"/>
      <c r="M17751" s="14"/>
      <c r="N17751" s="14"/>
      <c r="O17751" s="14"/>
      <c r="P17751" s="13"/>
    </row>
    <row r="17752">
      <c r="L17752" s="13"/>
      <c r="M17752" s="14"/>
      <c r="N17752" s="14"/>
      <c r="O17752" s="14"/>
      <c r="P17752" s="13"/>
    </row>
    <row r="17753">
      <c r="L17753" s="13"/>
      <c r="M17753" s="14"/>
      <c r="N17753" s="14"/>
      <c r="O17753" s="14"/>
      <c r="P17753" s="13"/>
    </row>
    <row r="17754">
      <c r="L17754" s="13"/>
      <c r="M17754" s="14"/>
      <c r="N17754" s="14"/>
      <c r="O17754" s="14"/>
      <c r="P17754" s="13"/>
    </row>
    <row r="17755">
      <c r="L17755" s="13"/>
      <c r="M17755" s="14"/>
      <c r="N17755" s="14"/>
      <c r="O17755" s="14"/>
      <c r="P17755" s="13"/>
    </row>
    <row r="17756">
      <c r="L17756" s="13"/>
      <c r="M17756" s="14"/>
      <c r="N17756" s="14"/>
      <c r="O17756" s="14"/>
      <c r="P17756" s="13"/>
    </row>
    <row r="17757">
      <c r="L17757" s="13"/>
      <c r="M17757" s="14"/>
      <c r="N17757" s="14"/>
      <c r="O17757" s="14"/>
      <c r="P17757" s="13"/>
    </row>
    <row r="17758">
      <c r="L17758" s="13"/>
      <c r="M17758" s="14"/>
      <c r="N17758" s="14"/>
      <c r="O17758" s="14"/>
      <c r="P17758" s="13"/>
    </row>
    <row r="17759">
      <c r="L17759" s="13"/>
      <c r="M17759" s="14"/>
      <c r="N17759" s="14"/>
      <c r="O17759" s="14"/>
      <c r="P17759" s="13"/>
    </row>
    <row r="17760">
      <c r="L17760" s="13"/>
      <c r="M17760" s="14"/>
      <c r="N17760" s="14"/>
      <c r="O17760" s="14"/>
      <c r="P17760" s="13"/>
    </row>
    <row r="17761">
      <c r="L17761" s="13"/>
      <c r="M17761" s="14"/>
      <c r="N17761" s="14"/>
      <c r="O17761" s="14"/>
      <c r="P17761" s="13"/>
    </row>
    <row r="17762">
      <c r="L17762" s="13"/>
      <c r="M17762" s="14"/>
      <c r="N17762" s="14"/>
      <c r="O17762" s="14"/>
      <c r="P17762" s="13"/>
    </row>
    <row r="17763">
      <c r="L17763" s="13"/>
      <c r="M17763" s="14"/>
      <c r="N17763" s="14"/>
      <c r="O17763" s="14"/>
      <c r="P17763" s="13"/>
    </row>
    <row r="17764">
      <c r="L17764" s="13"/>
      <c r="M17764" s="14"/>
      <c r="N17764" s="14"/>
      <c r="O17764" s="14"/>
      <c r="P17764" s="13"/>
    </row>
    <row r="17765">
      <c r="L17765" s="13"/>
      <c r="M17765" s="14"/>
      <c r="N17765" s="14"/>
      <c r="O17765" s="14"/>
      <c r="P17765" s="13"/>
    </row>
    <row r="17766">
      <c r="L17766" s="13"/>
      <c r="M17766" s="14"/>
      <c r="N17766" s="14"/>
      <c r="O17766" s="14"/>
      <c r="P17766" s="13"/>
    </row>
    <row r="17767">
      <c r="L17767" s="13"/>
      <c r="M17767" s="14"/>
      <c r="N17767" s="14"/>
      <c r="O17767" s="14"/>
      <c r="P17767" s="13"/>
    </row>
    <row r="17768">
      <c r="L17768" s="13"/>
      <c r="M17768" s="14"/>
      <c r="N17768" s="14"/>
      <c r="O17768" s="14"/>
      <c r="P17768" s="13"/>
    </row>
    <row r="17769">
      <c r="L17769" s="13"/>
      <c r="M17769" s="14"/>
      <c r="N17769" s="14"/>
      <c r="O17769" s="14"/>
      <c r="P17769" s="13"/>
    </row>
    <row r="17770">
      <c r="L17770" s="13"/>
      <c r="M17770" s="14"/>
      <c r="N17770" s="14"/>
      <c r="O17770" s="14"/>
      <c r="P17770" s="13"/>
    </row>
    <row r="17771">
      <c r="L17771" s="13"/>
      <c r="M17771" s="14"/>
      <c r="N17771" s="14"/>
      <c r="O17771" s="14"/>
      <c r="P17771" s="13"/>
    </row>
    <row r="17772">
      <c r="L17772" s="13"/>
      <c r="M17772" s="14"/>
      <c r="N17772" s="14"/>
      <c r="O17772" s="14"/>
      <c r="P17772" s="13"/>
    </row>
    <row r="17773">
      <c r="L17773" s="13"/>
      <c r="M17773" s="14"/>
      <c r="N17773" s="14"/>
      <c r="O17773" s="14"/>
      <c r="P17773" s="13"/>
    </row>
    <row r="17774">
      <c r="L17774" s="13"/>
      <c r="M17774" s="14"/>
      <c r="N17774" s="14"/>
      <c r="O17774" s="14"/>
      <c r="P17774" s="13"/>
    </row>
    <row r="17775">
      <c r="L17775" s="13"/>
      <c r="M17775" s="14"/>
      <c r="N17775" s="14"/>
      <c r="O17775" s="14"/>
      <c r="P17775" s="13"/>
    </row>
    <row r="17776">
      <c r="L17776" s="13"/>
      <c r="M17776" s="14"/>
      <c r="N17776" s="14"/>
      <c r="O17776" s="14"/>
      <c r="P17776" s="13"/>
    </row>
    <row r="17777">
      <c r="L17777" s="13"/>
      <c r="M17777" s="14"/>
      <c r="N17777" s="14"/>
      <c r="O17777" s="14"/>
      <c r="P17777" s="13"/>
    </row>
    <row r="17778">
      <c r="L17778" s="13"/>
      <c r="M17778" s="14"/>
      <c r="N17778" s="14"/>
      <c r="O17778" s="14"/>
      <c r="P17778" s="13"/>
    </row>
    <row r="17779">
      <c r="L17779" s="13"/>
      <c r="M17779" s="14"/>
      <c r="N17779" s="14"/>
      <c r="O17779" s="14"/>
      <c r="P17779" s="13"/>
    </row>
    <row r="17780">
      <c r="L17780" s="13"/>
      <c r="M17780" s="14"/>
      <c r="N17780" s="14"/>
      <c r="O17780" s="14"/>
      <c r="P17780" s="13"/>
    </row>
    <row r="17781">
      <c r="L17781" s="13"/>
      <c r="M17781" s="14"/>
      <c r="N17781" s="14"/>
      <c r="O17781" s="14"/>
      <c r="P17781" s="13"/>
    </row>
    <row r="17782">
      <c r="L17782" s="13"/>
      <c r="M17782" s="14"/>
      <c r="N17782" s="14"/>
      <c r="O17782" s="14"/>
      <c r="P17782" s="13"/>
    </row>
    <row r="17783">
      <c r="L17783" s="13"/>
      <c r="M17783" s="14"/>
      <c r="N17783" s="14"/>
      <c r="O17783" s="14"/>
      <c r="P17783" s="13"/>
    </row>
    <row r="17784">
      <c r="L17784" s="13"/>
      <c r="M17784" s="14"/>
      <c r="N17784" s="14"/>
      <c r="O17784" s="14"/>
      <c r="P17784" s="13"/>
    </row>
    <row r="17785">
      <c r="L17785" s="13"/>
      <c r="M17785" s="14"/>
      <c r="N17785" s="14"/>
      <c r="O17785" s="14"/>
      <c r="P17785" s="13"/>
    </row>
    <row r="17786">
      <c r="L17786" s="13"/>
      <c r="M17786" s="14"/>
      <c r="N17786" s="14"/>
      <c r="O17786" s="14"/>
      <c r="P17786" s="13"/>
    </row>
    <row r="17787">
      <c r="L17787" s="13"/>
      <c r="M17787" s="14"/>
      <c r="N17787" s="14"/>
      <c r="O17787" s="14"/>
      <c r="P17787" s="13"/>
    </row>
    <row r="17788">
      <c r="L17788" s="13"/>
      <c r="M17788" s="14"/>
      <c r="N17788" s="14"/>
      <c r="O17788" s="14"/>
      <c r="P17788" s="13"/>
    </row>
    <row r="17789">
      <c r="L17789" s="13"/>
      <c r="M17789" s="14"/>
      <c r="N17789" s="14"/>
      <c r="O17789" s="14"/>
      <c r="P17789" s="13"/>
    </row>
    <row r="17790">
      <c r="L17790" s="13"/>
      <c r="M17790" s="14"/>
      <c r="N17790" s="14"/>
      <c r="O17790" s="14"/>
      <c r="P17790" s="13"/>
    </row>
    <row r="17791">
      <c r="L17791" s="13"/>
      <c r="M17791" s="14"/>
      <c r="N17791" s="14"/>
      <c r="O17791" s="14"/>
      <c r="P17791" s="13"/>
    </row>
    <row r="17792">
      <c r="L17792" s="13"/>
      <c r="M17792" s="14"/>
      <c r="N17792" s="14"/>
      <c r="O17792" s="14"/>
      <c r="P17792" s="13"/>
    </row>
    <row r="17793">
      <c r="L17793" s="13"/>
      <c r="M17793" s="14"/>
      <c r="N17793" s="14"/>
      <c r="O17793" s="14"/>
      <c r="P17793" s="13"/>
    </row>
    <row r="17794">
      <c r="L17794" s="13"/>
      <c r="M17794" s="14"/>
      <c r="N17794" s="14"/>
      <c r="O17794" s="14"/>
      <c r="P17794" s="13"/>
    </row>
    <row r="17795">
      <c r="L17795" s="13"/>
      <c r="M17795" s="14"/>
      <c r="N17795" s="14"/>
      <c r="O17795" s="14"/>
      <c r="P17795" s="13"/>
    </row>
    <row r="17796">
      <c r="L17796" s="13"/>
      <c r="M17796" s="14"/>
      <c r="N17796" s="14"/>
      <c r="O17796" s="14"/>
      <c r="P17796" s="13"/>
    </row>
    <row r="17797">
      <c r="L17797" s="13"/>
      <c r="M17797" s="14"/>
      <c r="N17797" s="14"/>
      <c r="O17797" s="14"/>
      <c r="P17797" s="13"/>
    </row>
    <row r="17798">
      <c r="L17798" s="13"/>
      <c r="M17798" s="14"/>
      <c r="N17798" s="14"/>
      <c r="O17798" s="14"/>
      <c r="P17798" s="13"/>
    </row>
    <row r="17799">
      <c r="L17799" s="13"/>
      <c r="M17799" s="14"/>
      <c r="N17799" s="14"/>
      <c r="O17799" s="14"/>
      <c r="P17799" s="13"/>
    </row>
    <row r="17800">
      <c r="L17800" s="13"/>
      <c r="M17800" s="14"/>
      <c r="N17800" s="14"/>
      <c r="O17800" s="14"/>
      <c r="P17800" s="13"/>
    </row>
    <row r="17801">
      <c r="L17801" s="13"/>
      <c r="M17801" s="14"/>
      <c r="N17801" s="14"/>
      <c r="O17801" s="14"/>
      <c r="P17801" s="13"/>
    </row>
    <row r="17802">
      <c r="L17802" s="13"/>
      <c r="M17802" s="14"/>
      <c r="N17802" s="14"/>
      <c r="O17802" s="14"/>
      <c r="P17802" s="13"/>
    </row>
    <row r="17803">
      <c r="L17803" s="13"/>
      <c r="M17803" s="14"/>
      <c r="N17803" s="14"/>
      <c r="O17803" s="14"/>
      <c r="P17803" s="13"/>
    </row>
    <row r="17804">
      <c r="L17804" s="13"/>
      <c r="M17804" s="14"/>
      <c r="N17804" s="14"/>
      <c r="O17804" s="14"/>
      <c r="P17804" s="13"/>
    </row>
    <row r="17805">
      <c r="L17805" s="13"/>
      <c r="M17805" s="14"/>
      <c r="N17805" s="14"/>
      <c r="O17805" s="14"/>
      <c r="P17805" s="13"/>
    </row>
    <row r="17806">
      <c r="L17806" s="13"/>
      <c r="M17806" s="14"/>
      <c r="N17806" s="14"/>
      <c r="O17806" s="14"/>
      <c r="P17806" s="13"/>
    </row>
    <row r="17807">
      <c r="L17807" s="13"/>
      <c r="M17807" s="14"/>
      <c r="N17807" s="14"/>
      <c r="O17807" s="14"/>
      <c r="P17807" s="13"/>
    </row>
    <row r="17808">
      <c r="L17808" s="13"/>
      <c r="M17808" s="14"/>
      <c r="N17808" s="14"/>
      <c r="O17808" s="14"/>
      <c r="P17808" s="13"/>
    </row>
    <row r="17809">
      <c r="L17809" s="13"/>
      <c r="M17809" s="14"/>
      <c r="N17809" s="14"/>
      <c r="O17809" s="14"/>
      <c r="P17809" s="13"/>
    </row>
    <row r="17810">
      <c r="L17810" s="13"/>
      <c r="M17810" s="14"/>
      <c r="N17810" s="14"/>
      <c r="O17810" s="14"/>
      <c r="P17810" s="13"/>
    </row>
    <row r="17811">
      <c r="L17811" s="13"/>
      <c r="M17811" s="14"/>
      <c r="N17811" s="14"/>
      <c r="O17811" s="14"/>
      <c r="P17811" s="13"/>
    </row>
    <row r="17812">
      <c r="L17812" s="13"/>
      <c r="M17812" s="14"/>
      <c r="N17812" s="14"/>
      <c r="O17812" s="14"/>
      <c r="P17812" s="13"/>
    </row>
    <row r="17813">
      <c r="L17813" s="13"/>
      <c r="M17813" s="14"/>
      <c r="N17813" s="14"/>
      <c r="O17813" s="14"/>
      <c r="P17813" s="13"/>
    </row>
    <row r="17814">
      <c r="L17814" s="13"/>
      <c r="M17814" s="14"/>
      <c r="N17814" s="14"/>
      <c r="O17814" s="14"/>
      <c r="P17814" s="13"/>
    </row>
    <row r="17815">
      <c r="L17815" s="13"/>
      <c r="M17815" s="14"/>
      <c r="N17815" s="14"/>
      <c r="O17815" s="14"/>
      <c r="P17815" s="13"/>
    </row>
    <row r="17816">
      <c r="L17816" s="13"/>
      <c r="M17816" s="14"/>
      <c r="N17816" s="14"/>
      <c r="O17816" s="14"/>
      <c r="P17816" s="13"/>
    </row>
    <row r="17817">
      <c r="L17817" s="13"/>
      <c r="M17817" s="14"/>
      <c r="N17817" s="14"/>
      <c r="O17817" s="14"/>
      <c r="P17817" s="13"/>
    </row>
    <row r="17818">
      <c r="L17818" s="13"/>
      <c r="M17818" s="14"/>
      <c r="N17818" s="14"/>
      <c r="O17818" s="14"/>
      <c r="P17818" s="13"/>
    </row>
    <row r="17819">
      <c r="L17819" s="13"/>
      <c r="M17819" s="14"/>
      <c r="N17819" s="14"/>
      <c r="O17819" s="14"/>
      <c r="P17819" s="13"/>
    </row>
    <row r="17820">
      <c r="L17820" s="13"/>
      <c r="M17820" s="14"/>
      <c r="N17820" s="14"/>
      <c r="O17820" s="14"/>
      <c r="P17820" s="13"/>
    </row>
    <row r="17821">
      <c r="L17821" s="13"/>
      <c r="M17821" s="14"/>
      <c r="N17821" s="14"/>
      <c r="O17821" s="14"/>
      <c r="P17821" s="13"/>
    </row>
    <row r="17822">
      <c r="L17822" s="13"/>
      <c r="M17822" s="14"/>
      <c r="N17822" s="14"/>
      <c r="O17822" s="14"/>
      <c r="P17822" s="13"/>
    </row>
    <row r="17823">
      <c r="L17823" s="13"/>
      <c r="M17823" s="14"/>
      <c r="N17823" s="14"/>
      <c r="O17823" s="14"/>
      <c r="P17823" s="13"/>
    </row>
    <row r="17824">
      <c r="L17824" s="13"/>
      <c r="M17824" s="14"/>
      <c r="N17824" s="14"/>
      <c r="O17824" s="14"/>
      <c r="P17824" s="13"/>
    </row>
    <row r="17825">
      <c r="L17825" s="13"/>
      <c r="M17825" s="14"/>
      <c r="N17825" s="14"/>
      <c r="O17825" s="14"/>
      <c r="P17825" s="13"/>
    </row>
    <row r="17826">
      <c r="L17826" s="13"/>
      <c r="M17826" s="14"/>
      <c r="N17826" s="14"/>
      <c r="O17826" s="14"/>
      <c r="P17826" s="13"/>
    </row>
    <row r="17827">
      <c r="L17827" s="13"/>
      <c r="M17827" s="14"/>
      <c r="N17827" s="14"/>
      <c r="O17827" s="14"/>
      <c r="P17827" s="13"/>
    </row>
    <row r="17828">
      <c r="L17828" s="13"/>
      <c r="M17828" s="14"/>
      <c r="N17828" s="14"/>
      <c r="O17828" s="14"/>
      <c r="P17828" s="13"/>
    </row>
    <row r="17829">
      <c r="L17829" s="13"/>
      <c r="M17829" s="14"/>
      <c r="N17829" s="14"/>
      <c r="O17829" s="14"/>
      <c r="P17829" s="13"/>
    </row>
    <row r="17830">
      <c r="L17830" s="13"/>
      <c r="M17830" s="14"/>
      <c r="N17830" s="14"/>
      <c r="O17830" s="14"/>
      <c r="P17830" s="13"/>
    </row>
    <row r="17831">
      <c r="L17831" s="13"/>
      <c r="M17831" s="14"/>
      <c r="N17831" s="14"/>
      <c r="O17831" s="14"/>
      <c r="P17831" s="13"/>
    </row>
    <row r="17832">
      <c r="L17832" s="13"/>
      <c r="M17832" s="14"/>
      <c r="N17832" s="14"/>
      <c r="O17832" s="14"/>
      <c r="P17832" s="13"/>
    </row>
    <row r="17833">
      <c r="L17833" s="13"/>
      <c r="M17833" s="14"/>
      <c r="N17833" s="14"/>
      <c r="O17833" s="14"/>
      <c r="P17833" s="13"/>
    </row>
    <row r="17834">
      <c r="L17834" s="13"/>
      <c r="M17834" s="14"/>
      <c r="N17834" s="14"/>
      <c r="O17834" s="14"/>
      <c r="P17834" s="13"/>
    </row>
    <row r="17835">
      <c r="L17835" s="13"/>
      <c r="M17835" s="14"/>
      <c r="N17835" s="14"/>
      <c r="O17835" s="14"/>
      <c r="P17835" s="13"/>
    </row>
    <row r="17836">
      <c r="L17836" s="13"/>
      <c r="M17836" s="14"/>
      <c r="N17836" s="14"/>
      <c r="O17836" s="14"/>
      <c r="P17836" s="13"/>
    </row>
    <row r="17837">
      <c r="L17837" s="13"/>
      <c r="M17837" s="14"/>
      <c r="N17837" s="14"/>
      <c r="O17837" s="14"/>
      <c r="P17837" s="13"/>
    </row>
    <row r="17838">
      <c r="L17838" s="13"/>
      <c r="M17838" s="14"/>
      <c r="N17838" s="14"/>
      <c r="O17838" s="14"/>
      <c r="P17838" s="13"/>
    </row>
    <row r="17839">
      <c r="L17839" s="13"/>
      <c r="M17839" s="14"/>
      <c r="N17839" s="14"/>
      <c r="O17839" s="14"/>
      <c r="P17839" s="13"/>
    </row>
    <row r="17840">
      <c r="L17840" s="13"/>
      <c r="M17840" s="14"/>
      <c r="N17840" s="14"/>
      <c r="O17840" s="14"/>
      <c r="P17840" s="13"/>
    </row>
    <row r="17841">
      <c r="L17841" s="13"/>
      <c r="M17841" s="14"/>
      <c r="N17841" s="14"/>
      <c r="O17841" s="14"/>
      <c r="P17841" s="13"/>
    </row>
    <row r="17842">
      <c r="L17842" s="13"/>
      <c r="M17842" s="14"/>
      <c r="N17842" s="14"/>
      <c r="O17842" s="14"/>
      <c r="P17842" s="13"/>
    </row>
    <row r="17843">
      <c r="L17843" s="13"/>
      <c r="M17843" s="14"/>
      <c r="N17843" s="14"/>
      <c r="O17843" s="14"/>
      <c r="P17843" s="13"/>
    </row>
    <row r="17844">
      <c r="L17844" s="13"/>
      <c r="M17844" s="14"/>
      <c r="N17844" s="14"/>
      <c r="O17844" s="14"/>
      <c r="P17844" s="13"/>
    </row>
    <row r="17845">
      <c r="L17845" s="13"/>
      <c r="M17845" s="14"/>
      <c r="N17845" s="14"/>
      <c r="O17845" s="14"/>
      <c r="P17845" s="13"/>
    </row>
    <row r="17846">
      <c r="L17846" s="13"/>
      <c r="M17846" s="14"/>
      <c r="N17846" s="14"/>
      <c r="O17846" s="14"/>
      <c r="P17846" s="13"/>
    </row>
    <row r="17847">
      <c r="L17847" s="13"/>
      <c r="M17847" s="14"/>
      <c r="N17847" s="14"/>
      <c r="O17847" s="14"/>
      <c r="P17847" s="13"/>
    </row>
    <row r="17848">
      <c r="L17848" s="13"/>
      <c r="M17848" s="14"/>
      <c r="N17848" s="14"/>
      <c r="O17848" s="14"/>
      <c r="P17848" s="13"/>
    </row>
    <row r="17849">
      <c r="L17849" s="13"/>
      <c r="M17849" s="14"/>
      <c r="N17849" s="14"/>
      <c r="O17849" s="14"/>
      <c r="P17849" s="13"/>
    </row>
    <row r="17850">
      <c r="L17850" s="13"/>
      <c r="M17850" s="14"/>
      <c r="N17850" s="14"/>
      <c r="O17850" s="14"/>
      <c r="P17850" s="13"/>
    </row>
    <row r="17851">
      <c r="L17851" s="13"/>
      <c r="M17851" s="14"/>
      <c r="N17851" s="14"/>
      <c r="O17851" s="14"/>
      <c r="P17851" s="13"/>
    </row>
    <row r="17852">
      <c r="L17852" s="13"/>
      <c r="M17852" s="14"/>
      <c r="N17852" s="14"/>
      <c r="O17852" s="14"/>
      <c r="P17852" s="13"/>
    </row>
    <row r="17853">
      <c r="L17853" s="13"/>
      <c r="M17853" s="14"/>
      <c r="N17853" s="14"/>
      <c r="O17853" s="14"/>
      <c r="P17853" s="13"/>
    </row>
    <row r="17854">
      <c r="L17854" s="13"/>
      <c r="M17854" s="14"/>
      <c r="N17854" s="14"/>
      <c r="O17854" s="14"/>
      <c r="P17854" s="13"/>
    </row>
    <row r="17855">
      <c r="L17855" s="13"/>
      <c r="M17855" s="14"/>
      <c r="N17855" s="14"/>
      <c r="O17855" s="14"/>
      <c r="P17855" s="13"/>
    </row>
    <row r="17856">
      <c r="L17856" s="13"/>
      <c r="M17856" s="14"/>
      <c r="N17856" s="14"/>
      <c r="O17856" s="14"/>
      <c r="P17856" s="13"/>
    </row>
    <row r="17857">
      <c r="L17857" s="13"/>
      <c r="M17857" s="14"/>
      <c r="N17857" s="14"/>
      <c r="O17857" s="14"/>
      <c r="P17857" s="13"/>
    </row>
    <row r="17858">
      <c r="L17858" s="13"/>
      <c r="M17858" s="14"/>
      <c r="N17858" s="14"/>
      <c r="O17858" s="14"/>
      <c r="P17858" s="13"/>
    </row>
    <row r="17859">
      <c r="L17859" s="13"/>
      <c r="M17859" s="14"/>
      <c r="N17859" s="14"/>
      <c r="O17859" s="14"/>
      <c r="P17859" s="13"/>
    </row>
    <row r="17860">
      <c r="L17860" s="13"/>
      <c r="M17860" s="14"/>
      <c r="N17860" s="14"/>
      <c r="O17860" s="14"/>
      <c r="P17860" s="13"/>
    </row>
    <row r="17861">
      <c r="L17861" s="13"/>
      <c r="M17861" s="14"/>
      <c r="N17861" s="14"/>
      <c r="O17861" s="14"/>
      <c r="P17861" s="13"/>
    </row>
    <row r="17862">
      <c r="L17862" s="13"/>
      <c r="M17862" s="14"/>
      <c r="N17862" s="14"/>
      <c r="O17862" s="14"/>
      <c r="P17862" s="13"/>
    </row>
    <row r="17863">
      <c r="L17863" s="13"/>
      <c r="M17863" s="14"/>
      <c r="N17863" s="14"/>
      <c r="O17863" s="14"/>
      <c r="P17863" s="13"/>
    </row>
    <row r="17864">
      <c r="L17864" s="13"/>
      <c r="M17864" s="14"/>
      <c r="N17864" s="14"/>
      <c r="O17864" s="14"/>
      <c r="P17864" s="13"/>
    </row>
    <row r="17865">
      <c r="L17865" s="13"/>
      <c r="M17865" s="14"/>
      <c r="N17865" s="14"/>
      <c r="O17865" s="14"/>
      <c r="P17865" s="13"/>
    </row>
    <row r="17866">
      <c r="L17866" s="13"/>
      <c r="M17866" s="14"/>
      <c r="N17866" s="14"/>
      <c r="O17866" s="14"/>
      <c r="P17866" s="13"/>
    </row>
    <row r="17867">
      <c r="L17867" s="13"/>
      <c r="M17867" s="14"/>
      <c r="N17867" s="14"/>
      <c r="O17867" s="14"/>
      <c r="P17867" s="13"/>
    </row>
    <row r="17868">
      <c r="L17868" s="13"/>
      <c r="M17868" s="14"/>
      <c r="N17868" s="14"/>
      <c r="O17868" s="14"/>
      <c r="P17868" s="13"/>
    </row>
    <row r="17869">
      <c r="L17869" s="13"/>
      <c r="M17869" s="14"/>
      <c r="N17869" s="14"/>
      <c r="O17869" s="14"/>
      <c r="P17869" s="13"/>
    </row>
    <row r="17870">
      <c r="L17870" s="13"/>
      <c r="M17870" s="14"/>
      <c r="N17870" s="14"/>
      <c r="O17870" s="14"/>
      <c r="P17870" s="13"/>
    </row>
    <row r="17871">
      <c r="L17871" s="13"/>
      <c r="M17871" s="14"/>
      <c r="N17871" s="14"/>
      <c r="O17871" s="14"/>
      <c r="P17871" s="13"/>
    </row>
    <row r="17872">
      <c r="L17872" s="13"/>
      <c r="M17872" s="14"/>
      <c r="N17872" s="14"/>
      <c r="O17872" s="14"/>
      <c r="P17872" s="13"/>
    </row>
    <row r="17873">
      <c r="L17873" s="13"/>
      <c r="M17873" s="14"/>
      <c r="N17873" s="14"/>
      <c r="O17873" s="14"/>
      <c r="P17873" s="13"/>
    </row>
    <row r="17874">
      <c r="L17874" s="13"/>
      <c r="M17874" s="14"/>
      <c r="N17874" s="14"/>
      <c r="O17874" s="14"/>
      <c r="P17874" s="13"/>
    </row>
    <row r="17875">
      <c r="L17875" s="13"/>
      <c r="M17875" s="14"/>
      <c r="N17875" s="14"/>
      <c r="O17875" s="14"/>
      <c r="P17875" s="13"/>
    </row>
    <row r="17876">
      <c r="L17876" s="13"/>
      <c r="M17876" s="14"/>
      <c r="N17876" s="14"/>
      <c r="O17876" s="14"/>
      <c r="P17876" s="13"/>
    </row>
    <row r="17877">
      <c r="L17877" s="13"/>
      <c r="M17877" s="14"/>
      <c r="N17877" s="14"/>
      <c r="O17877" s="14"/>
      <c r="P17877" s="13"/>
    </row>
    <row r="17878">
      <c r="L17878" s="13"/>
      <c r="M17878" s="14"/>
      <c r="N17878" s="14"/>
      <c r="O17878" s="14"/>
      <c r="P17878" s="13"/>
    </row>
    <row r="17879">
      <c r="L17879" s="13"/>
      <c r="M17879" s="14"/>
      <c r="N17879" s="14"/>
      <c r="O17879" s="14"/>
      <c r="P17879" s="13"/>
    </row>
    <row r="17880">
      <c r="L17880" s="13"/>
      <c r="M17880" s="14"/>
      <c r="N17880" s="14"/>
      <c r="O17880" s="14"/>
      <c r="P17880" s="13"/>
    </row>
    <row r="17881">
      <c r="L17881" s="13"/>
      <c r="M17881" s="14"/>
      <c r="N17881" s="14"/>
      <c r="O17881" s="14"/>
      <c r="P17881" s="13"/>
    </row>
    <row r="17882">
      <c r="L17882" s="13"/>
      <c r="M17882" s="14"/>
      <c r="N17882" s="14"/>
      <c r="O17882" s="14"/>
      <c r="P17882" s="13"/>
    </row>
    <row r="17883">
      <c r="L17883" s="13"/>
      <c r="M17883" s="14"/>
      <c r="N17883" s="14"/>
      <c r="O17883" s="14"/>
      <c r="P17883" s="13"/>
    </row>
    <row r="17884">
      <c r="L17884" s="13"/>
      <c r="M17884" s="14"/>
      <c r="N17884" s="14"/>
      <c r="O17884" s="14"/>
      <c r="P17884" s="13"/>
    </row>
    <row r="17885">
      <c r="L17885" s="13"/>
      <c r="M17885" s="14"/>
      <c r="N17885" s="14"/>
      <c r="O17885" s="14"/>
      <c r="P17885" s="13"/>
    </row>
    <row r="17886">
      <c r="L17886" s="13"/>
      <c r="M17886" s="14"/>
      <c r="N17886" s="14"/>
      <c r="O17886" s="14"/>
      <c r="P17886" s="13"/>
    </row>
    <row r="17887">
      <c r="L17887" s="13"/>
      <c r="M17887" s="14"/>
      <c r="N17887" s="14"/>
      <c r="O17887" s="14"/>
      <c r="P17887" s="13"/>
    </row>
    <row r="17888">
      <c r="L17888" s="13"/>
      <c r="M17888" s="14"/>
      <c r="N17888" s="14"/>
      <c r="O17888" s="14"/>
      <c r="P17888" s="13"/>
    </row>
    <row r="17889">
      <c r="L17889" s="13"/>
      <c r="M17889" s="14"/>
      <c r="N17889" s="14"/>
      <c r="O17889" s="14"/>
      <c r="P17889" s="13"/>
    </row>
    <row r="17890">
      <c r="L17890" s="13"/>
      <c r="M17890" s="14"/>
      <c r="N17890" s="14"/>
      <c r="O17890" s="14"/>
      <c r="P17890" s="13"/>
    </row>
    <row r="17891">
      <c r="L17891" s="13"/>
      <c r="M17891" s="14"/>
      <c r="N17891" s="14"/>
      <c r="O17891" s="14"/>
      <c r="P17891" s="13"/>
    </row>
    <row r="17892">
      <c r="L17892" s="13"/>
      <c r="M17892" s="14"/>
      <c r="N17892" s="14"/>
      <c r="O17892" s="14"/>
      <c r="P17892" s="13"/>
    </row>
    <row r="17893">
      <c r="L17893" s="13"/>
      <c r="M17893" s="14"/>
      <c r="N17893" s="14"/>
      <c r="O17893" s="14"/>
      <c r="P17893" s="13"/>
    </row>
    <row r="17894">
      <c r="L17894" s="13"/>
      <c r="M17894" s="14"/>
      <c r="N17894" s="14"/>
      <c r="O17894" s="14"/>
      <c r="P17894" s="13"/>
    </row>
    <row r="17895">
      <c r="L17895" s="13"/>
      <c r="M17895" s="14"/>
      <c r="N17895" s="14"/>
      <c r="O17895" s="14"/>
      <c r="P17895" s="13"/>
    </row>
    <row r="17896">
      <c r="L17896" s="13"/>
      <c r="M17896" s="14"/>
      <c r="N17896" s="14"/>
      <c r="O17896" s="14"/>
      <c r="P17896" s="13"/>
    </row>
    <row r="17897">
      <c r="L17897" s="13"/>
      <c r="M17897" s="14"/>
      <c r="N17897" s="14"/>
      <c r="O17897" s="14"/>
      <c r="P17897" s="13"/>
    </row>
    <row r="17898">
      <c r="L17898" s="13"/>
      <c r="M17898" s="14"/>
      <c r="N17898" s="14"/>
      <c r="O17898" s="14"/>
      <c r="P17898" s="13"/>
    </row>
    <row r="17899">
      <c r="L17899" s="13"/>
      <c r="M17899" s="14"/>
      <c r="N17899" s="14"/>
      <c r="O17899" s="14"/>
      <c r="P17899" s="13"/>
    </row>
    <row r="17900">
      <c r="L17900" s="13"/>
      <c r="M17900" s="14"/>
      <c r="N17900" s="14"/>
      <c r="O17900" s="14"/>
      <c r="P17900" s="13"/>
    </row>
    <row r="17901">
      <c r="L17901" s="13"/>
      <c r="M17901" s="14"/>
      <c r="N17901" s="14"/>
      <c r="O17901" s="14"/>
      <c r="P17901" s="13"/>
    </row>
    <row r="17902">
      <c r="L17902" s="13"/>
      <c r="M17902" s="14"/>
      <c r="N17902" s="14"/>
      <c r="O17902" s="14"/>
      <c r="P17902" s="13"/>
    </row>
    <row r="17903">
      <c r="L17903" s="13"/>
      <c r="M17903" s="14"/>
      <c r="N17903" s="14"/>
      <c r="O17903" s="14"/>
      <c r="P17903" s="13"/>
    </row>
    <row r="17904">
      <c r="L17904" s="13"/>
      <c r="M17904" s="14"/>
      <c r="N17904" s="14"/>
      <c r="O17904" s="14"/>
      <c r="P17904" s="13"/>
    </row>
    <row r="17905">
      <c r="L17905" s="13"/>
      <c r="M17905" s="14"/>
      <c r="N17905" s="14"/>
      <c r="O17905" s="14"/>
      <c r="P17905" s="13"/>
    </row>
    <row r="17906">
      <c r="L17906" s="13"/>
      <c r="M17906" s="14"/>
      <c r="N17906" s="14"/>
      <c r="O17906" s="14"/>
      <c r="P17906" s="13"/>
    </row>
    <row r="17907">
      <c r="L17907" s="13"/>
      <c r="M17907" s="14"/>
      <c r="N17907" s="14"/>
      <c r="O17907" s="14"/>
      <c r="P17907" s="13"/>
    </row>
    <row r="17908">
      <c r="L17908" s="13"/>
      <c r="M17908" s="14"/>
      <c r="N17908" s="14"/>
      <c r="O17908" s="14"/>
      <c r="P17908" s="13"/>
    </row>
    <row r="17909">
      <c r="L17909" s="13"/>
      <c r="M17909" s="14"/>
      <c r="N17909" s="14"/>
      <c r="O17909" s="14"/>
      <c r="P17909" s="13"/>
    </row>
    <row r="17910">
      <c r="L17910" s="13"/>
      <c r="M17910" s="14"/>
      <c r="N17910" s="14"/>
      <c r="O17910" s="14"/>
      <c r="P17910" s="13"/>
    </row>
    <row r="17911">
      <c r="L17911" s="13"/>
      <c r="M17911" s="14"/>
      <c r="N17911" s="14"/>
      <c r="O17911" s="14"/>
      <c r="P17911" s="13"/>
    </row>
    <row r="17912">
      <c r="L17912" s="13"/>
      <c r="M17912" s="14"/>
      <c r="N17912" s="14"/>
      <c r="O17912" s="14"/>
      <c r="P17912" s="13"/>
    </row>
    <row r="17913">
      <c r="L17913" s="13"/>
      <c r="M17913" s="14"/>
      <c r="N17913" s="14"/>
      <c r="O17913" s="14"/>
      <c r="P17913" s="13"/>
    </row>
    <row r="17914">
      <c r="L17914" s="13"/>
      <c r="M17914" s="14"/>
      <c r="N17914" s="14"/>
      <c r="O17914" s="14"/>
      <c r="P17914" s="13"/>
    </row>
    <row r="17915">
      <c r="L17915" s="13"/>
      <c r="M17915" s="14"/>
      <c r="N17915" s="14"/>
      <c r="O17915" s="14"/>
      <c r="P17915" s="13"/>
    </row>
    <row r="17916">
      <c r="L17916" s="13"/>
      <c r="M17916" s="14"/>
      <c r="N17916" s="14"/>
      <c r="O17916" s="14"/>
      <c r="P17916" s="13"/>
    </row>
    <row r="17917">
      <c r="L17917" s="13"/>
      <c r="M17917" s="14"/>
      <c r="N17917" s="14"/>
      <c r="O17917" s="14"/>
      <c r="P17917" s="13"/>
    </row>
    <row r="17918">
      <c r="L17918" s="13"/>
      <c r="M17918" s="14"/>
      <c r="N17918" s="14"/>
      <c r="O17918" s="14"/>
      <c r="P17918" s="13"/>
    </row>
    <row r="17919">
      <c r="L17919" s="13"/>
      <c r="M17919" s="14"/>
      <c r="N17919" s="14"/>
      <c r="O17919" s="14"/>
      <c r="P17919" s="13"/>
    </row>
    <row r="17920">
      <c r="L17920" s="13"/>
      <c r="M17920" s="14"/>
      <c r="N17920" s="14"/>
      <c r="O17920" s="14"/>
      <c r="P17920" s="13"/>
    </row>
    <row r="17921">
      <c r="L17921" s="13"/>
      <c r="M17921" s="14"/>
      <c r="N17921" s="14"/>
      <c r="O17921" s="14"/>
      <c r="P17921" s="13"/>
    </row>
    <row r="17922">
      <c r="L17922" s="13"/>
      <c r="M17922" s="14"/>
      <c r="N17922" s="14"/>
      <c r="O17922" s="14"/>
      <c r="P17922" s="13"/>
    </row>
    <row r="17923">
      <c r="L17923" s="13"/>
      <c r="M17923" s="14"/>
      <c r="N17923" s="14"/>
      <c r="O17923" s="14"/>
      <c r="P17923" s="13"/>
    </row>
    <row r="17924">
      <c r="L17924" s="13"/>
      <c r="M17924" s="14"/>
      <c r="N17924" s="14"/>
      <c r="O17924" s="14"/>
      <c r="P17924" s="13"/>
    </row>
    <row r="17925">
      <c r="L17925" s="13"/>
      <c r="M17925" s="14"/>
      <c r="N17925" s="14"/>
      <c r="O17925" s="14"/>
      <c r="P17925" s="13"/>
    </row>
    <row r="17926">
      <c r="L17926" s="13"/>
      <c r="M17926" s="14"/>
      <c r="N17926" s="14"/>
      <c r="O17926" s="14"/>
      <c r="P17926" s="13"/>
    </row>
    <row r="17927">
      <c r="L17927" s="13"/>
      <c r="M17927" s="14"/>
      <c r="N17927" s="14"/>
      <c r="O17927" s="14"/>
      <c r="P17927" s="13"/>
    </row>
    <row r="17928">
      <c r="L17928" s="13"/>
      <c r="M17928" s="14"/>
      <c r="N17928" s="14"/>
      <c r="O17928" s="14"/>
      <c r="P17928" s="13"/>
    </row>
    <row r="17929">
      <c r="L17929" s="13"/>
      <c r="M17929" s="14"/>
      <c r="N17929" s="14"/>
      <c r="O17929" s="14"/>
      <c r="P17929" s="13"/>
    </row>
    <row r="17930">
      <c r="L17930" s="13"/>
      <c r="M17930" s="14"/>
      <c r="N17930" s="14"/>
      <c r="O17930" s="14"/>
      <c r="P17930" s="13"/>
    </row>
    <row r="17931">
      <c r="L17931" s="13"/>
      <c r="M17931" s="14"/>
      <c r="N17931" s="14"/>
      <c r="O17931" s="14"/>
      <c r="P17931" s="13"/>
    </row>
    <row r="17932">
      <c r="L17932" s="13"/>
      <c r="M17932" s="14"/>
      <c r="N17932" s="14"/>
      <c r="O17932" s="14"/>
      <c r="P17932" s="13"/>
    </row>
    <row r="17933">
      <c r="L17933" s="13"/>
      <c r="M17933" s="14"/>
      <c r="N17933" s="14"/>
      <c r="O17933" s="14"/>
      <c r="P17933" s="13"/>
    </row>
    <row r="17934">
      <c r="L17934" s="13"/>
      <c r="M17934" s="14"/>
      <c r="N17934" s="14"/>
      <c r="O17934" s="14"/>
      <c r="P17934" s="13"/>
    </row>
    <row r="17935">
      <c r="L17935" s="13"/>
      <c r="M17935" s="14"/>
      <c r="N17935" s="14"/>
      <c r="O17935" s="14"/>
      <c r="P17935" s="13"/>
    </row>
    <row r="17936">
      <c r="L17936" s="13"/>
      <c r="M17936" s="14"/>
      <c r="N17936" s="14"/>
      <c r="O17936" s="14"/>
      <c r="P17936" s="13"/>
    </row>
    <row r="17937">
      <c r="L17937" s="13"/>
      <c r="M17937" s="14"/>
      <c r="N17937" s="14"/>
      <c r="O17937" s="14"/>
      <c r="P17937" s="13"/>
    </row>
    <row r="17938">
      <c r="L17938" s="13"/>
      <c r="M17938" s="14"/>
      <c r="N17938" s="14"/>
      <c r="O17938" s="14"/>
      <c r="P17938" s="13"/>
    </row>
    <row r="17939">
      <c r="L17939" s="13"/>
      <c r="M17939" s="14"/>
      <c r="N17939" s="14"/>
      <c r="O17939" s="14"/>
      <c r="P17939" s="13"/>
    </row>
    <row r="17940">
      <c r="L17940" s="13"/>
      <c r="M17940" s="14"/>
      <c r="N17940" s="14"/>
      <c r="O17940" s="14"/>
      <c r="P17940" s="13"/>
    </row>
    <row r="17941">
      <c r="L17941" s="13"/>
      <c r="M17941" s="14"/>
      <c r="N17941" s="14"/>
      <c r="O17941" s="14"/>
      <c r="P17941" s="13"/>
    </row>
    <row r="17942">
      <c r="L17942" s="13"/>
      <c r="M17942" s="14"/>
      <c r="N17942" s="14"/>
      <c r="O17942" s="14"/>
      <c r="P17942" s="13"/>
    </row>
    <row r="17943">
      <c r="L17943" s="13"/>
      <c r="M17943" s="14"/>
      <c r="N17943" s="14"/>
      <c r="O17943" s="14"/>
      <c r="P17943" s="13"/>
    </row>
    <row r="17944">
      <c r="L17944" s="13"/>
      <c r="M17944" s="14"/>
      <c r="N17944" s="14"/>
      <c r="O17944" s="14"/>
      <c r="P17944" s="13"/>
    </row>
    <row r="17945">
      <c r="L17945" s="13"/>
      <c r="M17945" s="14"/>
      <c r="N17945" s="14"/>
      <c r="O17945" s="14"/>
      <c r="P17945" s="13"/>
    </row>
    <row r="17946">
      <c r="L17946" s="13"/>
      <c r="M17946" s="14"/>
      <c r="N17946" s="14"/>
      <c r="O17946" s="14"/>
      <c r="P17946" s="13"/>
    </row>
    <row r="17947">
      <c r="L17947" s="13"/>
      <c r="M17947" s="14"/>
      <c r="N17947" s="14"/>
      <c r="O17947" s="14"/>
      <c r="P17947" s="13"/>
    </row>
    <row r="17948">
      <c r="L17948" s="13"/>
      <c r="M17948" s="14"/>
      <c r="N17948" s="14"/>
      <c r="O17948" s="14"/>
      <c r="P17948" s="13"/>
    </row>
    <row r="17949">
      <c r="L17949" s="13"/>
      <c r="M17949" s="14"/>
      <c r="N17949" s="14"/>
      <c r="O17949" s="14"/>
      <c r="P17949" s="13"/>
    </row>
    <row r="17950">
      <c r="L17950" s="13"/>
      <c r="M17950" s="14"/>
      <c r="N17950" s="14"/>
      <c r="O17950" s="14"/>
      <c r="P17950" s="13"/>
    </row>
    <row r="17951">
      <c r="L17951" s="13"/>
      <c r="M17951" s="14"/>
      <c r="N17951" s="14"/>
      <c r="O17951" s="14"/>
      <c r="P17951" s="13"/>
    </row>
    <row r="17952">
      <c r="L17952" s="13"/>
      <c r="M17952" s="14"/>
      <c r="N17952" s="14"/>
      <c r="O17952" s="14"/>
      <c r="P17952" s="13"/>
    </row>
    <row r="17953">
      <c r="L17953" s="13"/>
      <c r="M17953" s="14"/>
      <c r="N17953" s="14"/>
      <c r="O17953" s="14"/>
      <c r="P17953" s="13"/>
    </row>
    <row r="17954">
      <c r="L17954" s="13"/>
      <c r="M17954" s="14"/>
      <c r="N17954" s="14"/>
      <c r="O17954" s="14"/>
      <c r="P17954" s="13"/>
    </row>
    <row r="17955">
      <c r="L17955" s="13"/>
      <c r="M17955" s="14"/>
      <c r="N17955" s="14"/>
      <c r="O17955" s="14"/>
      <c r="P17955" s="13"/>
    </row>
    <row r="17956">
      <c r="L17956" s="13"/>
      <c r="M17956" s="14"/>
      <c r="N17956" s="14"/>
      <c r="O17956" s="14"/>
      <c r="P17956" s="13"/>
    </row>
    <row r="17957">
      <c r="L17957" s="13"/>
      <c r="M17957" s="14"/>
      <c r="N17957" s="14"/>
      <c r="O17957" s="14"/>
      <c r="P17957" s="13"/>
    </row>
    <row r="17958">
      <c r="L17958" s="13"/>
      <c r="M17958" s="14"/>
      <c r="N17958" s="14"/>
      <c r="O17958" s="14"/>
      <c r="P17958" s="13"/>
    </row>
    <row r="17959">
      <c r="L17959" s="13"/>
      <c r="M17959" s="14"/>
      <c r="N17959" s="14"/>
      <c r="O17959" s="14"/>
      <c r="P17959" s="13"/>
    </row>
    <row r="17960">
      <c r="L17960" s="13"/>
      <c r="M17960" s="14"/>
      <c r="N17960" s="14"/>
      <c r="O17960" s="14"/>
      <c r="P17960" s="13"/>
    </row>
    <row r="17961">
      <c r="L17961" s="13"/>
      <c r="M17961" s="14"/>
      <c r="N17961" s="14"/>
      <c r="O17961" s="14"/>
      <c r="P17961" s="13"/>
    </row>
    <row r="17962">
      <c r="L17962" s="13"/>
      <c r="M17962" s="14"/>
      <c r="N17962" s="14"/>
      <c r="O17962" s="14"/>
      <c r="P17962" s="13"/>
    </row>
    <row r="17963">
      <c r="L17963" s="13"/>
      <c r="M17963" s="14"/>
      <c r="N17963" s="14"/>
      <c r="O17963" s="14"/>
      <c r="P17963" s="13"/>
    </row>
    <row r="17964">
      <c r="L17964" s="13"/>
      <c r="M17964" s="14"/>
      <c r="N17964" s="14"/>
      <c r="O17964" s="14"/>
      <c r="P17964" s="13"/>
    </row>
    <row r="17965">
      <c r="L17965" s="13"/>
      <c r="M17965" s="14"/>
      <c r="N17965" s="14"/>
      <c r="O17965" s="14"/>
      <c r="P17965" s="13"/>
    </row>
    <row r="17966">
      <c r="L17966" s="13"/>
      <c r="M17966" s="14"/>
      <c r="N17966" s="14"/>
      <c r="O17966" s="14"/>
      <c r="P17966" s="13"/>
    </row>
    <row r="17967">
      <c r="L17967" s="13"/>
      <c r="M17967" s="14"/>
      <c r="N17967" s="14"/>
      <c r="O17967" s="14"/>
      <c r="P17967" s="13"/>
    </row>
    <row r="17968">
      <c r="L17968" s="13"/>
      <c r="M17968" s="14"/>
      <c r="N17968" s="14"/>
      <c r="O17968" s="14"/>
      <c r="P17968" s="13"/>
    </row>
    <row r="17969">
      <c r="L17969" s="13"/>
      <c r="M17969" s="14"/>
      <c r="N17969" s="14"/>
      <c r="O17969" s="14"/>
      <c r="P17969" s="13"/>
    </row>
    <row r="17970">
      <c r="L17970" s="13"/>
      <c r="M17970" s="14"/>
      <c r="N17970" s="14"/>
      <c r="O17970" s="14"/>
      <c r="P17970" s="13"/>
    </row>
    <row r="17971">
      <c r="L17971" s="13"/>
      <c r="M17971" s="14"/>
      <c r="N17971" s="14"/>
      <c r="O17971" s="14"/>
      <c r="P17971" s="13"/>
    </row>
    <row r="17972">
      <c r="L17972" s="13"/>
      <c r="M17972" s="14"/>
      <c r="N17972" s="14"/>
      <c r="O17972" s="14"/>
      <c r="P17972" s="13"/>
    </row>
    <row r="17973">
      <c r="L17973" s="13"/>
      <c r="M17973" s="14"/>
      <c r="N17973" s="14"/>
      <c r="O17973" s="14"/>
      <c r="P17973" s="13"/>
    </row>
    <row r="17974">
      <c r="L17974" s="13"/>
      <c r="M17974" s="14"/>
      <c r="N17974" s="14"/>
      <c r="O17974" s="14"/>
      <c r="P17974" s="13"/>
    </row>
    <row r="17975">
      <c r="L17975" s="13"/>
      <c r="M17975" s="14"/>
      <c r="N17975" s="14"/>
      <c r="O17975" s="14"/>
      <c r="P17975" s="13"/>
    </row>
    <row r="17976">
      <c r="L17976" s="13"/>
      <c r="M17976" s="14"/>
      <c r="N17976" s="14"/>
      <c r="O17976" s="14"/>
      <c r="P17976" s="13"/>
    </row>
    <row r="17977">
      <c r="L17977" s="13"/>
      <c r="M17977" s="14"/>
      <c r="N17977" s="14"/>
      <c r="O17977" s="14"/>
      <c r="P17977" s="13"/>
    </row>
    <row r="17978">
      <c r="L17978" s="13"/>
      <c r="M17978" s="14"/>
      <c r="N17978" s="14"/>
      <c r="O17978" s="14"/>
      <c r="P17978" s="13"/>
    </row>
    <row r="17979">
      <c r="L17979" s="13"/>
      <c r="M17979" s="14"/>
      <c r="N17979" s="14"/>
      <c r="O17979" s="14"/>
      <c r="P17979" s="13"/>
    </row>
    <row r="17980">
      <c r="L17980" s="13"/>
      <c r="M17980" s="14"/>
      <c r="N17980" s="14"/>
      <c r="O17980" s="14"/>
      <c r="P17980" s="13"/>
    </row>
    <row r="17981">
      <c r="L17981" s="13"/>
      <c r="M17981" s="14"/>
      <c r="N17981" s="14"/>
      <c r="O17981" s="14"/>
      <c r="P17981" s="13"/>
    </row>
    <row r="17982">
      <c r="L17982" s="13"/>
      <c r="M17982" s="14"/>
      <c r="N17982" s="14"/>
      <c r="O17982" s="14"/>
      <c r="P17982" s="13"/>
    </row>
    <row r="17983">
      <c r="L17983" s="13"/>
      <c r="M17983" s="14"/>
      <c r="N17983" s="14"/>
      <c r="O17983" s="14"/>
      <c r="P17983" s="13"/>
    </row>
    <row r="17984">
      <c r="L17984" s="13"/>
      <c r="M17984" s="14"/>
      <c r="N17984" s="14"/>
      <c r="O17984" s="14"/>
      <c r="P17984" s="13"/>
    </row>
    <row r="17985">
      <c r="L17985" s="13"/>
      <c r="M17985" s="14"/>
      <c r="N17985" s="14"/>
      <c r="O17985" s="14"/>
      <c r="P17985" s="13"/>
    </row>
    <row r="17986">
      <c r="L17986" s="13"/>
      <c r="M17986" s="14"/>
      <c r="N17986" s="14"/>
      <c r="O17986" s="14"/>
      <c r="P17986" s="13"/>
    </row>
    <row r="17987">
      <c r="L17987" s="13"/>
      <c r="M17987" s="14"/>
      <c r="N17987" s="14"/>
      <c r="O17987" s="14"/>
      <c r="P17987" s="13"/>
    </row>
    <row r="17988">
      <c r="L17988" s="13"/>
      <c r="M17988" s="14"/>
      <c r="N17988" s="14"/>
      <c r="O17988" s="14"/>
      <c r="P17988" s="13"/>
    </row>
    <row r="17989">
      <c r="L17989" s="13"/>
      <c r="M17989" s="14"/>
      <c r="N17989" s="14"/>
      <c r="O17989" s="14"/>
      <c r="P17989" s="13"/>
    </row>
    <row r="17990">
      <c r="L17990" s="13"/>
      <c r="M17990" s="14"/>
      <c r="N17990" s="14"/>
      <c r="O17990" s="14"/>
      <c r="P17990" s="13"/>
    </row>
    <row r="17991">
      <c r="L17991" s="13"/>
      <c r="M17991" s="14"/>
      <c r="N17991" s="14"/>
      <c r="O17991" s="14"/>
      <c r="P17991" s="13"/>
    </row>
    <row r="17992">
      <c r="L17992" s="13"/>
      <c r="M17992" s="14"/>
      <c r="N17992" s="14"/>
      <c r="O17992" s="14"/>
      <c r="P17992" s="13"/>
    </row>
    <row r="17993">
      <c r="L17993" s="13"/>
      <c r="M17993" s="14"/>
      <c r="N17993" s="14"/>
      <c r="O17993" s="14"/>
      <c r="P17993" s="13"/>
    </row>
    <row r="17994">
      <c r="L17994" s="13"/>
      <c r="M17994" s="14"/>
      <c r="N17994" s="14"/>
      <c r="O17994" s="14"/>
      <c r="P17994" s="13"/>
    </row>
    <row r="17995">
      <c r="L17995" s="13"/>
      <c r="M17995" s="14"/>
      <c r="N17995" s="14"/>
      <c r="O17995" s="14"/>
      <c r="P17995" s="13"/>
    </row>
    <row r="17996">
      <c r="L17996" s="13"/>
      <c r="M17996" s="14"/>
      <c r="N17996" s="14"/>
      <c r="O17996" s="14"/>
      <c r="P17996" s="13"/>
    </row>
    <row r="17997">
      <c r="L17997" s="13"/>
      <c r="M17997" s="14"/>
      <c r="N17997" s="14"/>
      <c r="O17997" s="14"/>
      <c r="P17997" s="13"/>
    </row>
    <row r="17998">
      <c r="L17998" s="13"/>
      <c r="M17998" s="14"/>
      <c r="N17998" s="14"/>
      <c r="O17998" s="14"/>
      <c r="P17998" s="13"/>
    </row>
    <row r="17999">
      <c r="L17999" s="13"/>
      <c r="M17999" s="14"/>
      <c r="N17999" s="14"/>
      <c r="O17999" s="14"/>
      <c r="P17999" s="13"/>
    </row>
    <row r="18000">
      <c r="L18000" s="13"/>
      <c r="M18000" s="14"/>
      <c r="N18000" s="14"/>
      <c r="O18000" s="14"/>
      <c r="P18000" s="13"/>
    </row>
    <row r="18001">
      <c r="L18001" s="13"/>
      <c r="M18001" s="14"/>
      <c r="N18001" s="14"/>
      <c r="O18001" s="14"/>
      <c r="P18001" s="13"/>
    </row>
    <row r="18002">
      <c r="L18002" s="13"/>
      <c r="M18002" s="14"/>
      <c r="N18002" s="14"/>
      <c r="O18002" s="14"/>
      <c r="P18002" s="13"/>
    </row>
    <row r="18003">
      <c r="L18003" s="13"/>
      <c r="M18003" s="14"/>
      <c r="N18003" s="14"/>
      <c r="O18003" s="14"/>
      <c r="P18003" s="13"/>
    </row>
    <row r="18004">
      <c r="L18004" s="13"/>
      <c r="M18004" s="14"/>
      <c r="N18004" s="14"/>
      <c r="O18004" s="14"/>
      <c r="P18004" s="13"/>
    </row>
    <row r="18005">
      <c r="L18005" s="13"/>
      <c r="M18005" s="14"/>
      <c r="N18005" s="14"/>
      <c r="O18005" s="14"/>
      <c r="P18005" s="13"/>
    </row>
    <row r="18006">
      <c r="L18006" s="13"/>
      <c r="M18006" s="14"/>
      <c r="N18006" s="14"/>
      <c r="O18006" s="14"/>
      <c r="P18006" s="13"/>
    </row>
    <row r="18007">
      <c r="L18007" s="13"/>
      <c r="M18007" s="14"/>
      <c r="N18007" s="14"/>
      <c r="O18007" s="14"/>
      <c r="P18007" s="13"/>
    </row>
    <row r="18008">
      <c r="L18008" s="13"/>
      <c r="M18008" s="14"/>
      <c r="N18008" s="14"/>
      <c r="O18008" s="14"/>
      <c r="P18008" s="13"/>
    </row>
    <row r="18009">
      <c r="L18009" s="13"/>
      <c r="M18009" s="14"/>
      <c r="N18009" s="14"/>
      <c r="O18009" s="14"/>
      <c r="P18009" s="13"/>
    </row>
    <row r="18010">
      <c r="L18010" s="13"/>
      <c r="M18010" s="14"/>
      <c r="N18010" s="14"/>
      <c r="O18010" s="14"/>
      <c r="P18010" s="13"/>
    </row>
    <row r="18011">
      <c r="L18011" s="13"/>
      <c r="M18011" s="14"/>
      <c r="N18011" s="14"/>
      <c r="O18011" s="14"/>
      <c r="P18011" s="13"/>
    </row>
    <row r="18012">
      <c r="L18012" s="13"/>
      <c r="M18012" s="14"/>
      <c r="N18012" s="14"/>
      <c r="O18012" s="14"/>
      <c r="P18012" s="13"/>
    </row>
    <row r="18013">
      <c r="L18013" s="13"/>
      <c r="M18013" s="14"/>
      <c r="N18013" s="14"/>
      <c r="O18013" s="14"/>
      <c r="P18013" s="13"/>
    </row>
    <row r="18014">
      <c r="L18014" s="13"/>
      <c r="M18014" s="14"/>
      <c r="N18014" s="14"/>
      <c r="O18014" s="14"/>
      <c r="P18014" s="13"/>
    </row>
    <row r="18015">
      <c r="L18015" s="13"/>
      <c r="M18015" s="14"/>
      <c r="N18015" s="14"/>
      <c r="O18015" s="14"/>
      <c r="P18015" s="13"/>
    </row>
    <row r="18016">
      <c r="L18016" s="13"/>
      <c r="M18016" s="14"/>
      <c r="N18016" s="14"/>
      <c r="O18016" s="14"/>
      <c r="P18016" s="13"/>
    </row>
    <row r="18017">
      <c r="L18017" s="13"/>
      <c r="M18017" s="14"/>
      <c r="N18017" s="14"/>
      <c r="O18017" s="14"/>
      <c r="P18017" s="13"/>
    </row>
    <row r="18018">
      <c r="L18018" s="13"/>
      <c r="M18018" s="14"/>
      <c r="N18018" s="14"/>
      <c r="O18018" s="14"/>
      <c r="P18018" s="13"/>
    </row>
    <row r="18019">
      <c r="L18019" s="13"/>
      <c r="M18019" s="14"/>
      <c r="N18019" s="14"/>
      <c r="O18019" s="14"/>
      <c r="P18019" s="13"/>
    </row>
    <row r="18020">
      <c r="L18020" s="13"/>
      <c r="M18020" s="14"/>
      <c r="N18020" s="14"/>
      <c r="O18020" s="14"/>
      <c r="P18020" s="13"/>
    </row>
    <row r="18021">
      <c r="L18021" s="13"/>
      <c r="M18021" s="14"/>
      <c r="N18021" s="14"/>
      <c r="O18021" s="14"/>
      <c r="P18021" s="13"/>
    </row>
    <row r="18022">
      <c r="L18022" s="13"/>
      <c r="M18022" s="14"/>
      <c r="N18022" s="14"/>
      <c r="O18022" s="14"/>
      <c r="P18022" s="13"/>
    </row>
    <row r="18023">
      <c r="L18023" s="13"/>
      <c r="M18023" s="14"/>
      <c r="N18023" s="14"/>
      <c r="O18023" s="14"/>
      <c r="P18023" s="13"/>
    </row>
    <row r="18024">
      <c r="L18024" s="13"/>
      <c r="M18024" s="14"/>
      <c r="N18024" s="14"/>
      <c r="O18024" s="14"/>
      <c r="P18024" s="13"/>
    </row>
    <row r="18025">
      <c r="L18025" s="13"/>
      <c r="M18025" s="14"/>
      <c r="N18025" s="14"/>
      <c r="O18025" s="14"/>
      <c r="P18025" s="13"/>
    </row>
    <row r="18026">
      <c r="L18026" s="13"/>
      <c r="M18026" s="14"/>
      <c r="N18026" s="14"/>
      <c r="O18026" s="14"/>
      <c r="P18026" s="13"/>
    </row>
    <row r="18027">
      <c r="L18027" s="13"/>
      <c r="M18027" s="14"/>
      <c r="N18027" s="14"/>
      <c r="O18027" s="14"/>
      <c r="P18027" s="13"/>
    </row>
    <row r="18028">
      <c r="L18028" s="13"/>
      <c r="M18028" s="14"/>
      <c r="N18028" s="14"/>
      <c r="O18028" s="14"/>
      <c r="P18028" s="13"/>
    </row>
    <row r="18029">
      <c r="L18029" s="13"/>
      <c r="M18029" s="14"/>
      <c r="N18029" s="14"/>
      <c r="O18029" s="14"/>
      <c r="P18029" s="13"/>
    </row>
    <row r="18030">
      <c r="L18030" s="13"/>
      <c r="M18030" s="14"/>
      <c r="N18030" s="14"/>
      <c r="O18030" s="14"/>
      <c r="P18030" s="13"/>
    </row>
    <row r="18031">
      <c r="L18031" s="13"/>
      <c r="M18031" s="14"/>
      <c r="N18031" s="14"/>
      <c r="O18031" s="14"/>
      <c r="P18031" s="13"/>
    </row>
    <row r="18032">
      <c r="L18032" s="13"/>
      <c r="M18032" s="14"/>
      <c r="N18032" s="14"/>
      <c r="O18032" s="14"/>
      <c r="P18032" s="13"/>
    </row>
    <row r="18033">
      <c r="L18033" s="13"/>
      <c r="M18033" s="14"/>
      <c r="N18033" s="14"/>
      <c r="O18033" s="14"/>
      <c r="P18033" s="13"/>
    </row>
    <row r="18034">
      <c r="L18034" s="13"/>
      <c r="M18034" s="14"/>
      <c r="N18034" s="14"/>
      <c r="O18034" s="14"/>
      <c r="P18034" s="13"/>
    </row>
    <row r="18035">
      <c r="L18035" s="13"/>
      <c r="M18035" s="14"/>
      <c r="N18035" s="14"/>
      <c r="O18035" s="14"/>
      <c r="P18035" s="13"/>
    </row>
    <row r="18036">
      <c r="L18036" s="13"/>
      <c r="M18036" s="14"/>
      <c r="N18036" s="14"/>
      <c r="O18036" s="14"/>
      <c r="P18036" s="13"/>
    </row>
    <row r="18037">
      <c r="L18037" s="13"/>
      <c r="M18037" s="14"/>
      <c r="N18037" s="14"/>
      <c r="O18037" s="14"/>
      <c r="P18037" s="13"/>
    </row>
    <row r="18038">
      <c r="L18038" s="13"/>
      <c r="M18038" s="14"/>
      <c r="N18038" s="14"/>
      <c r="O18038" s="14"/>
      <c r="P18038" s="13"/>
    </row>
    <row r="18039">
      <c r="L18039" s="13"/>
      <c r="M18039" s="14"/>
      <c r="N18039" s="14"/>
      <c r="O18039" s="14"/>
      <c r="P18039" s="13"/>
    </row>
    <row r="18040">
      <c r="L18040" s="13"/>
      <c r="M18040" s="14"/>
      <c r="N18040" s="14"/>
      <c r="O18040" s="14"/>
      <c r="P18040" s="13"/>
    </row>
    <row r="18041">
      <c r="L18041" s="13"/>
      <c r="M18041" s="14"/>
      <c r="N18041" s="14"/>
      <c r="O18041" s="14"/>
      <c r="P18041" s="13"/>
    </row>
    <row r="18042">
      <c r="L18042" s="13"/>
      <c r="M18042" s="14"/>
      <c r="N18042" s="14"/>
      <c r="O18042" s="14"/>
      <c r="P18042" s="13"/>
    </row>
    <row r="18043">
      <c r="L18043" s="13"/>
      <c r="M18043" s="14"/>
      <c r="N18043" s="14"/>
      <c r="O18043" s="14"/>
      <c r="P18043" s="13"/>
    </row>
    <row r="18044">
      <c r="L18044" s="13"/>
      <c r="M18044" s="14"/>
      <c r="N18044" s="14"/>
      <c r="O18044" s="14"/>
      <c r="P18044" s="13"/>
    </row>
    <row r="18045">
      <c r="L18045" s="13"/>
      <c r="M18045" s="14"/>
      <c r="N18045" s="14"/>
      <c r="O18045" s="14"/>
      <c r="P18045" s="13"/>
    </row>
    <row r="18046">
      <c r="L18046" s="13"/>
      <c r="M18046" s="14"/>
      <c r="N18046" s="14"/>
      <c r="O18046" s="14"/>
      <c r="P18046" s="13"/>
    </row>
    <row r="18047">
      <c r="L18047" s="13"/>
      <c r="M18047" s="14"/>
      <c r="N18047" s="14"/>
      <c r="O18047" s="14"/>
      <c r="P18047" s="13"/>
    </row>
    <row r="18048">
      <c r="L18048" s="13"/>
      <c r="M18048" s="14"/>
      <c r="N18048" s="14"/>
      <c r="O18048" s="14"/>
      <c r="P18048" s="13"/>
    </row>
    <row r="18049">
      <c r="L18049" s="13"/>
      <c r="M18049" s="14"/>
      <c r="N18049" s="14"/>
      <c r="O18049" s="14"/>
      <c r="P18049" s="13"/>
    </row>
    <row r="18050">
      <c r="L18050" s="13"/>
      <c r="M18050" s="14"/>
      <c r="N18050" s="14"/>
      <c r="O18050" s="14"/>
      <c r="P18050" s="13"/>
    </row>
    <row r="18051">
      <c r="L18051" s="13"/>
      <c r="M18051" s="14"/>
      <c r="N18051" s="14"/>
      <c r="O18051" s="14"/>
      <c r="P18051" s="13"/>
    </row>
    <row r="18052">
      <c r="L18052" s="13"/>
      <c r="M18052" s="14"/>
      <c r="N18052" s="14"/>
      <c r="O18052" s="14"/>
      <c r="P18052" s="13"/>
    </row>
    <row r="18053">
      <c r="L18053" s="13"/>
      <c r="M18053" s="14"/>
      <c r="N18053" s="14"/>
      <c r="O18053" s="14"/>
      <c r="P18053" s="13"/>
    </row>
    <row r="18054">
      <c r="L18054" s="13"/>
      <c r="M18054" s="14"/>
      <c r="N18054" s="14"/>
      <c r="O18054" s="14"/>
      <c r="P18054" s="13"/>
    </row>
    <row r="18055">
      <c r="L18055" s="13"/>
      <c r="M18055" s="14"/>
      <c r="N18055" s="14"/>
      <c r="O18055" s="14"/>
      <c r="P18055" s="13"/>
    </row>
    <row r="18056">
      <c r="L18056" s="13"/>
      <c r="M18056" s="14"/>
      <c r="N18056" s="14"/>
      <c r="O18056" s="14"/>
      <c r="P18056" s="13"/>
    </row>
    <row r="18057">
      <c r="L18057" s="13"/>
      <c r="M18057" s="14"/>
      <c r="N18057" s="14"/>
      <c r="O18057" s="14"/>
      <c r="P18057" s="13"/>
    </row>
    <row r="18058">
      <c r="L18058" s="13"/>
      <c r="M18058" s="14"/>
      <c r="N18058" s="14"/>
      <c r="O18058" s="14"/>
      <c r="P18058" s="13"/>
    </row>
    <row r="18059">
      <c r="L18059" s="13"/>
      <c r="M18059" s="14"/>
      <c r="N18059" s="14"/>
      <c r="O18059" s="14"/>
      <c r="P18059" s="13"/>
    </row>
    <row r="18060">
      <c r="L18060" s="13"/>
      <c r="M18060" s="14"/>
      <c r="N18060" s="14"/>
      <c r="O18060" s="14"/>
      <c r="P18060" s="13"/>
    </row>
    <row r="18061">
      <c r="L18061" s="13"/>
      <c r="M18061" s="14"/>
      <c r="N18061" s="14"/>
      <c r="O18061" s="14"/>
      <c r="P18061" s="13"/>
    </row>
    <row r="18062">
      <c r="L18062" s="13"/>
      <c r="M18062" s="14"/>
      <c r="N18062" s="14"/>
      <c r="O18062" s="14"/>
      <c r="P18062" s="13"/>
    </row>
    <row r="18063">
      <c r="L18063" s="13"/>
      <c r="M18063" s="14"/>
      <c r="N18063" s="14"/>
      <c r="O18063" s="14"/>
      <c r="P18063" s="13"/>
    </row>
    <row r="18064">
      <c r="L18064" s="13"/>
      <c r="M18064" s="14"/>
      <c r="N18064" s="14"/>
      <c r="O18064" s="14"/>
      <c r="P18064" s="13"/>
    </row>
    <row r="18065">
      <c r="L18065" s="13"/>
      <c r="M18065" s="14"/>
      <c r="N18065" s="14"/>
      <c r="O18065" s="14"/>
      <c r="P18065" s="13"/>
    </row>
    <row r="18066">
      <c r="L18066" s="13"/>
      <c r="M18066" s="14"/>
      <c r="N18066" s="14"/>
      <c r="O18066" s="14"/>
      <c r="P18066" s="13"/>
    </row>
    <row r="18067">
      <c r="L18067" s="13"/>
      <c r="M18067" s="14"/>
      <c r="N18067" s="14"/>
      <c r="O18067" s="14"/>
      <c r="P18067" s="13"/>
    </row>
    <row r="18068">
      <c r="L18068" s="13"/>
      <c r="M18068" s="14"/>
      <c r="N18068" s="14"/>
      <c r="O18068" s="14"/>
      <c r="P18068" s="13"/>
    </row>
    <row r="18069">
      <c r="L18069" s="13"/>
      <c r="M18069" s="14"/>
      <c r="N18069" s="14"/>
      <c r="O18069" s="14"/>
      <c r="P18069" s="13"/>
    </row>
    <row r="18070">
      <c r="L18070" s="13"/>
      <c r="M18070" s="14"/>
      <c r="N18070" s="14"/>
      <c r="O18070" s="14"/>
      <c r="P18070" s="13"/>
    </row>
    <row r="18071">
      <c r="L18071" s="13"/>
      <c r="M18071" s="14"/>
      <c r="N18071" s="14"/>
      <c r="O18071" s="14"/>
      <c r="P18071" s="13"/>
    </row>
    <row r="18072">
      <c r="L18072" s="13"/>
      <c r="M18072" s="14"/>
      <c r="N18072" s="14"/>
      <c r="O18072" s="14"/>
      <c r="P18072" s="13"/>
    </row>
    <row r="18073">
      <c r="L18073" s="13"/>
      <c r="M18073" s="14"/>
      <c r="N18073" s="14"/>
      <c r="O18073" s="14"/>
      <c r="P18073" s="13"/>
    </row>
    <row r="18074">
      <c r="L18074" s="13"/>
      <c r="M18074" s="14"/>
      <c r="N18074" s="14"/>
      <c r="O18074" s="14"/>
      <c r="P18074" s="13"/>
    </row>
    <row r="18075">
      <c r="L18075" s="13"/>
      <c r="M18075" s="14"/>
      <c r="N18075" s="14"/>
      <c r="O18075" s="14"/>
      <c r="P18075" s="13"/>
    </row>
    <row r="18076">
      <c r="L18076" s="13"/>
      <c r="M18076" s="14"/>
      <c r="N18076" s="14"/>
      <c r="O18076" s="14"/>
      <c r="P18076" s="13"/>
    </row>
    <row r="18077">
      <c r="L18077" s="13"/>
      <c r="M18077" s="14"/>
      <c r="N18077" s="14"/>
      <c r="O18077" s="14"/>
      <c r="P18077" s="13"/>
    </row>
    <row r="18078">
      <c r="L18078" s="13"/>
      <c r="M18078" s="14"/>
      <c r="N18078" s="14"/>
      <c r="O18078" s="14"/>
      <c r="P18078" s="13"/>
    </row>
    <row r="18079">
      <c r="L18079" s="13"/>
      <c r="M18079" s="14"/>
      <c r="N18079" s="14"/>
      <c r="O18079" s="14"/>
      <c r="P18079" s="13"/>
    </row>
    <row r="18080">
      <c r="L18080" s="13"/>
      <c r="M18080" s="14"/>
      <c r="N18080" s="14"/>
      <c r="O18080" s="14"/>
      <c r="P18080" s="13"/>
    </row>
    <row r="18081">
      <c r="L18081" s="13"/>
      <c r="M18081" s="14"/>
      <c r="N18081" s="14"/>
      <c r="O18081" s="14"/>
      <c r="P18081" s="13"/>
    </row>
    <row r="18082">
      <c r="L18082" s="13"/>
      <c r="M18082" s="14"/>
      <c r="N18082" s="14"/>
      <c r="O18082" s="14"/>
      <c r="P18082" s="13"/>
    </row>
    <row r="18083">
      <c r="L18083" s="13"/>
      <c r="M18083" s="14"/>
      <c r="N18083" s="14"/>
      <c r="O18083" s="14"/>
      <c r="P18083" s="13"/>
    </row>
    <row r="18084">
      <c r="L18084" s="13"/>
      <c r="M18084" s="14"/>
      <c r="N18084" s="14"/>
      <c r="O18084" s="14"/>
      <c r="P18084" s="13"/>
    </row>
    <row r="18085">
      <c r="L18085" s="13"/>
      <c r="M18085" s="14"/>
      <c r="N18085" s="14"/>
      <c r="O18085" s="14"/>
      <c r="P18085" s="13"/>
    </row>
    <row r="18086">
      <c r="L18086" s="13"/>
      <c r="M18086" s="14"/>
      <c r="N18086" s="14"/>
      <c r="O18086" s="14"/>
      <c r="P18086" s="13"/>
    </row>
    <row r="18087">
      <c r="L18087" s="13"/>
      <c r="M18087" s="14"/>
      <c r="N18087" s="14"/>
      <c r="O18087" s="14"/>
      <c r="P18087" s="13"/>
    </row>
    <row r="18088">
      <c r="L18088" s="13"/>
      <c r="M18088" s="14"/>
      <c r="N18088" s="14"/>
      <c r="O18088" s="14"/>
      <c r="P18088" s="13"/>
    </row>
    <row r="18089">
      <c r="L18089" s="13"/>
      <c r="M18089" s="14"/>
      <c r="N18089" s="14"/>
      <c r="O18089" s="14"/>
      <c r="P18089" s="13"/>
    </row>
    <row r="18090">
      <c r="L18090" s="13"/>
      <c r="M18090" s="14"/>
      <c r="N18090" s="14"/>
      <c r="O18090" s="14"/>
      <c r="P18090" s="13"/>
    </row>
    <row r="18091">
      <c r="L18091" s="13"/>
      <c r="M18091" s="14"/>
      <c r="N18091" s="14"/>
      <c r="O18091" s="14"/>
      <c r="P18091" s="13"/>
    </row>
    <row r="18092">
      <c r="L18092" s="13"/>
      <c r="M18092" s="14"/>
      <c r="N18092" s="14"/>
      <c r="O18092" s="14"/>
      <c r="P18092" s="13"/>
    </row>
    <row r="18093">
      <c r="L18093" s="13"/>
      <c r="M18093" s="14"/>
      <c r="N18093" s="14"/>
      <c r="O18093" s="14"/>
      <c r="P18093" s="13"/>
    </row>
    <row r="18094">
      <c r="L18094" s="13"/>
      <c r="M18094" s="14"/>
      <c r="N18094" s="14"/>
      <c r="O18094" s="14"/>
      <c r="P18094" s="13"/>
    </row>
    <row r="18095">
      <c r="L18095" s="13"/>
      <c r="M18095" s="14"/>
      <c r="N18095" s="14"/>
      <c r="O18095" s="14"/>
      <c r="P18095" s="13"/>
    </row>
    <row r="18096">
      <c r="L18096" s="13"/>
      <c r="M18096" s="14"/>
      <c r="N18096" s="14"/>
      <c r="O18096" s="14"/>
      <c r="P18096" s="13"/>
    </row>
    <row r="18097">
      <c r="L18097" s="13"/>
      <c r="M18097" s="14"/>
      <c r="N18097" s="14"/>
      <c r="O18097" s="14"/>
      <c r="P18097" s="13"/>
    </row>
    <row r="18098">
      <c r="L18098" s="13"/>
      <c r="M18098" s="14"/>
      <c r="N18098" s="14"/>
      <c r="O18098" s="14"/>
      <c r="P18098" s="13"/>
    </row>
    <row r="18099">
      <c r="L18099" s="13"/>
      <c r="M18099" s="14"/>
      <c r="N18099" s="14"/>
      <c r="O18099" s="14"/>
      <c r="P18099" s="13"/>
    </row>
    <row r="18100">
      <c r="L18100" s="13"/>
      <c r="M18100" s="14"/>
      <c r="N18100" s="14"/>
      <c r="O18100" s="14"/>
      <c r="P18100" s="13"/>
    </row>
    <row r="18101">
      <c r="L18101" s="13"/>
      <c r="M18101" s="14"/>
      <c r="N18101" s="14"/>
      <c r="O18101" s="14"/>
      <c r="P18101" s="13"/>
    </row>
    <row r="18102">
      <c r="L18102" s="13"/>
      <c r="M18102" s="14"/>
      <c r="N18102" s="14"/>
      <c r="O18102" s="14"/>
      <c r="P18102" s="13"/>
    </row>
    <row r="18103">
      <c r="L18103" s="13"/>
      <c r="M18103" s="14"/>
      <c r="N18103" s="14"/>
      <c r="O18103" s="14"/>
      <c r="P18103" s="13"/>
    </row>
    <row r="18104">
      <c r="L18104" s="13"/>
      <c r="M18104" s="14"/>
      <c r="N18104" s="14"/>
      <c r="O18104" s="14"/>
      <c r="P18104" s="13"/>
    </row>
    <row r="18105">
      <c r="L18105" s="13"/>
      <c r="M18105" s="14"/>
      <c r="N18105" s="14"/>
      <c r="O18105" s="14"/>
      <c r="P18105" s="13"/>
    </row>
    <row r="18106">
      <c r="L18106" s="13"/>
      <c r="M18106" s="14"/>
      <c r="N18106" s="14"/>
      <c r="O18106" s="14"/>
      <c r="P18106" s="13"/>
    </row>
    <row r="18107">
      <c r="L18107" s="13"/>
      <c r="M18107" s="14"/>
      <c r="N18107" s="14"/>
      <c r="O18107" s="14"/>
      <c r="P18107" s="13"/>
    </row>
    <row r="18108">
      <c r="L18108" s="13"/>
      <c r="M18108" s="14"/>
      <c r="N18108" s="14"/>
      <c r="O18108" s="14"/>
      <c r="P18108" s="13"/>
    </row>
    <row r="18109">
      <c r="L18109" s="13"/>
      <c r="M18109" s="14"/>
      <c r="N18109" s="14"/>
      <c r="O18109" s="14"/>
      <c r="P18109" s="13"/>
    </row>
    <row r="18110">
      <c r="L18110" s="13"/>
      <c r="M18110" s="14"/>
      <c r="N18110" s="14"/>
      <c r="O18110" s="14"/>
      <c r="P18110" s="13"/>
    </row>
    <row r="18111">
      <c r="L18111" s="13"/>
      <c r="M18111" s="14"/>
      <c r="N18111" s="14"/>
      <c r="O18111" s="14"/>
      <c r="P18111" s="13"/>
    </row>
    <row r="18112">
      <c r="L18112" s="13"/>
      <c r="M18112" s="14"/>
      <c r="N18112" s="14"/>
      <c r="O18112" s="14"/>
      <c r="P18112" s="13"/>
    </row>
    <row r="18113">
      <c r="L18113" s="13"/>
      <c r="M18113" s="14"/>
      <c r="N18113" s="14"/>
      <c r="O18113" s="14"/>
      <c r="P18113" s="13"/>
    </row>
    <row r="18114">
      <c r="L18114" s="13"/>
      <c r="M18114" s="14"/>
      <c r="N18114" s="14"/>
      <c r="O18114" s="14"/>
      <c r="P18114" s="13"/>
    </row>
    <row r="18115">
      <c r="L18115" s="13"/>
      <c r="M18115" s="14"/>
      <c r="N18115" s="14"/>
      <c r="O18115" s="14"/>
      <c r="P18115" s="13"/>
    </row>
    <row r="18116">
      <c r="L18116" s="13"/>
      <c r="M18116" s="14"/>
      <c r="N18116" s="14"/>
      <c r="O18116" s="14"/>
      <c r="P18116" s="13"/>
    </row>
    <row r="18117">
      <c r="L18117" s="13"/>
      <c r="M18117" s="14"/>
      <c r="N18117" s="14"/>
      <c r="O18117" s="14"/>
      <c r="P18117" s="13"/>
    </row>
    <row r="18118">
      <c r="L18118" s="13"/>
      <c r="M18118" s="14"/>
      <c r="N18118" s="14"/>
      <c r="O18118" s="14"/>
      <c r="P18118" s="13"/>
    </row>
    <row r="18119">
      <c r="L18119" s="13"/>
      <c r="M18119" s="14"/>
      <c r="N18119" s="14"/>
      <c r="O18119" s="14"/>
      <c r="P18119" s="13"/>
    </row>
    <row r="18120">
      <c r="L18120" s="13"/>
      <c r="M18120" s="14"/>
      <c r="N18120" s="14"/>
      <c r="O18120" s="14"/>
      <c r="P18120" s="13"/>
    </row>
    <row r="18121">
      <c r="L18121" s="13"/>
      <c r="M18121" s="14"/>
      <c r="N18121" s="14"/>
      <c r="O18121" s="14"/>
      <c r="P18121" s="13"/>
    </row>
    <row r="18122">
      <c r="L18122" s="13"/>
      <c r="M18122" s="14"/>
      <c r="N18122" s="14"/>
      <c r="O18122" s="14"/>
      <c r="P18122" s="13"/>
    </row>
    <row r="18123">
      <c r="L18123" s="13"/>
      <c r="M18123" s="14"/>
      <c r="N18123" s="14"/>
      <c r="O18123" s="14"/>
      <c r="P18123" s="13"/>
    </row>
    <row r="18124">
      <c r="L18124" s="13"/>
      <c r="M18124" s="14"/>
      <c r="N18124" s="14"/>
      <c r="O18124" s="14"/>
      <c r="P18124" s="13"/>
    </row>
    <row r="18125">
      <c r="L18125" s="13"/>
      <c r="M18125" s="14"/>
      <c r="N18125" s="14"/>
      <c r="O18125" s="14"/>
      <c r="P18125" s="13"/>
    </row>
    <row r="18126">
      <c r="L18126" s="13"/>
      <c r="M18126" s="14"/>
      <c r="N18126" s="14"/>
      <c r="O18126" s="14"/>
      <c r="P18126" s="13"/>
    </row>
    <row r="18127">
      <c r="L18127" s="13"/>
      <c r="M18127" s="14"/>
      <c r="N18127" s="14"/>
      <c r="O18127" s="14"/>
      <c r="P18127" s="13"/>
    </row>
    <row r="18128">
      <c r="L18128" s="13"/>
      <c r="M18128" s="14"/>
      <c r="N18128" s="14"/>
      <c r="O18128" s="14"/>
      <c r="P18128" s="13"/>
    </row>
    <row r="18129">
      <c r="L18129" s="13"/>
      <c r="M18129" s="14"/>
      <c r="N18129" s="14"/>
      <c r="O18129" s="14"/>
      <c r="P18129" s="13"/>
    </row>
    <row r="18130">
      <c r="L18130" s="13"/>
      <c r="M18130" s="14"/>
      <c r="N18130" s="14"/>
      <c r="O18130" s="14"/>
      <c r="P18130" s="13"/>
    </row>
    <row r="18131">
      <c r="L18131" s="13"/>
      <c r="M18131" s="14"/>
      <c r="N18131" s="14"/>
      <c r="O18131" s="14"/>
      <c r="P18131" s="13"/>
    </row>
    <row r="18132">
      <c r="L18132" s="13"/>
      <c r="M18132" s="14"/>
      <c r="N18132" s="14"/>
      <c r="O18132" s="14"/>
      <c r="P18132" s="13"/>
    </row>
    <row r="18133">
      <c r="L18133" s="13"/>
      <c r="M18133" s="14"/>
      <c r="N18133" s="14"/>
      <c r="O18133" s="14"/>
      <c r="P18133" s="13"/>
    </row>
    <row r="18134">
      <c r="L18134" s="13"/>
      <c r="M18134" s="14"/>
      <c r="N18134" s="14"/>
      <c r="O18134" s="14"/>
      <c r="P18134" s="13"/>
    </row>
    <row r="18135">
      <c r="L18135" s="13"/>
      <c r="M18135" s="14"/>
      <c r="N18135" s="14"/>
      <c r="O18135" s="14"/>
      <c r="P18135" s="13"/>
    </row>
    <row r="18136">
      <c r="L18136" s="13"/>
      <c r="M18136" s="14"/>
      <c r="N18136" s="14"/>
      <c r="O18136" s="14"/>
      <c r="P18136" s="13"/>
    </row>
    <row r="18137">
      <c r="L18137" s="13"/>
      <c r="M18137" s="14"/>
      <c r="N18137" s="14"/>
      <c r="O18137" s="14"/>
      <c r="P18137" s="13"/>
    </row>
    <row r="18138">
      <c r="L18138" s="13"/>
      <c r="M18138" s="14"/>
      <c r="N18138" s="14"/>
      <c r="O18138" s="14"/>
      <c r="P18138" s="13"/>
    </row>
    <row r="18139">
      <c r="L18139" s="13"/>
      <c r="M18139" s="14"/>
      <c r="N18139" s="14"/>
      <c r="O18139" s="14"/>
      <c r="P18139" s="13"/>
    </row>
    <row r="18140">
      <c r="L18140" s="13"/>
      <c r="M18140" s="14"/>
      <c r="N18140" s="14"/>
      <c r="O18140" s="14"/>
      <c r="P18140" s="13"/>
    </row>
    <row r="18141">
      <c r="L18141" s="13"/>
      <c r="M18141" s="14"/>
      <c r="N18141" s="14"/>
      <c r="O18141" s="14"/>
      <c r="P18141" s="13"/>
    </row>
    <row r="18142">
      <c r="L18142" s="13"/>
      <c r="M18142" s="14"/>
      <c r="N18142" s="14"/>
      <c r="O18142" s="14"/>
      <c r="P18142" s="13"/>
    </row>
    <row r="18143">
      <c r="L18143" s="13"/>
      <c r="M18143" s="14"/>
      <c r="N18143" s="14"/>
      <c r="O18143" s="14"/>
      <c r="P18143" s="13"/>
    </row>
    <row r="18144">
      <c r="L18144" s="13"/>
      <c r="M18144" s="14"/>
      <c r="N18144" s="14"/>
      <c r="O18144" s="14"/>
      <c r="P18144" s="13"/>
    </row>
    <row r="18145">
      <c r="L18145" s="13"/>
      <c r="M18145" s="14"/>
      <c r="N18145" s="14"/>
      <c r="O18145" s="14"/>
      <c r="P18145" s="13"/>
    </row>
    <row r="18146">
      <c r="L18146" s="13"/>
      <c r="M18146" s="14"/>
      <c r="N18146" s="14"/>
      <c r="O18146" s="14"/>
      <c r="P18146" s="13"/>
    </row>
    <row r="18147">
      <c r="L18147" s="13"/>
      <c r="M18147" s="14"/>
      <c r="N18147" s="14"/>
      <c r="O18147" s="14"/>
      <c r="P18147" s="13"/>
    </row>
    <row r="18148">
      <c r="L18148" s="13"/>
      <c r="M18148" s="14"/>
      <c r="N18148" s="14"/>
      <c r="O18148" s="14"/>
      <c r="P18148" s="13"/>
    </row>
    <row r="18149">
      <c r="L18149" s="13"/>
      <c r="M18149" s="14"/>
      <c r="N18149" s="14"/>
      <c r="O18149" s="14"/>
      <c r="P18149" s="13"/>
    </row>
    <row r="18150">
      <c r="L18150" s="13"/>
      <c r="M18150" s="14"/>
      <c r="N18150" s="14"/>
      <c r="O18150" s="14"/>
      <c r="P18150" s="13"/>
    </row>
    <row r="18151">
      <c r="L18151" s="13"/>
      <c r="M18151" s="14"/>
      <c r="N18151" s="14"/>
      <c r="O18151" s="14"/>
      <c r="P18151" s="13"/>
    </row>
    <row r="18152">
      <c r="L18152" s="13"/>
      <c r="M18152" s="14"/>
      <c r="N18152" s="14"/>
      <c r="O18152" s="14"/>
      <c r="P18152" s="13"/>
    </row>
    <row r="18153">
      <c r="L18153" s="13"/>
      <c r="M18153" s="14"/>
      <c r="N18153" s="14"/>
      <c r="O18153" s="14"/>
      <c r="P18153" s="13"/>
    </row>
    <row r="18154">
      <c r="L18154" s="13"/>
      <c r="M18154" s="14"/>
      <c r="N18154" s="14"/>
      <c r="O18154" s="14"/>
      <c r="P18154" s="13"/>
    </row>
    <row r="18155">
      <c r="L18155" s="13"/>
      <c r="M18155" s="14"/>
      <c r="N18155" s="14"/>
      <c r="O18155" s="14"/>
      <c r="P18155" s="13"/>
    </row>
    <row r="18156">
      <c r="L18156" s="13"/>
      <c r="M18156" s="14"/>
      <c r="N18156" s="14"/>
      <c r="O18156" s="14"/>
      <c r="P18156" s="13"/>
    </row>
    <row r="18157">
      <c r="L18157" s="13"/>
      <c r="M18157" s="14"/>
      <c r="N18157" s="14"/>
      <c r="O18157" s="14"/>
      <c r="P18157" s="13"/>
    </row>
    <row r="18158">
      <c r="L18158" s="13"/>
      <c r="M18158" s="14"/>
      <c r="N18158" s="14"/>
      <c r="O18158" s="14"/>
      <c r="P18158" s="13"/>
    </row>
    <row r="18159">
      <c r="L18159" s="13"/>
      <c r="M18159" s="14"/>
      <c r="N18159" s="14"/>
      <c r="O18159" s="14"/>
      <c r="P18159" s="13"/>
    </row>
    <row r="18160">
      <c r="L18160" s="13"/>
      <c r="M18160" s="14"/>
      <c r="N18160" s="14"/>
      <c r="O18160" s="14"/>
      <c r="P18160" s="13"/>
    </row>
    <row r="18161">
      <c r="L18161" s="13"/>
      <c r="M18161" s="14"/>
      <c r="N18161" s="14"/>
      <c r="O18161" s="14"/>
      <c r="P18161" s="13"/>
    </row>
    <row r="18162">
      <c r="L18162" s="13"/>
      <c r="M18162" s="14"/>
      <c r="N18162" s="14"/>
      <c r="O18162" s="14"/>
      <c r="P18162" s="13"/>
    </row>
    <row r="18163">
      <c r="L18163" s="13"/>
      <c r="M18163" s="14"/>
      <c r="N18163" s="14"/>
      <c r="O18163" s="14"/>
      <c r="P18163" s="13"/>
    </row>
    <row r="18164">
      <c r="L18164" s="13"/>
      <c r="M18164" s="14"/>
      <c r="N18164" s="14"/>
      <c r="O18164" s="14"/>
      <c r="P18164" s="13"/>
    </row>
    <row r="18165">
      <c r="L18165" s="13"/>
      <c r="M18165" s="14"/>
      <c r="N18165" s="14"/>
      <c r="O18165" s="14"/>
      <c r="P18165" s="13"/>
    </row>
    <row r="18166">
      <c r="L18166" s="13"/>
      <c r="M18166" s="14"/>
      <c r="N18166" s="14"/>
      <c r="O18166" s="14"/>
      <c r="P18166" s="13"/>
    </row>
    <row r="18167">
      <c r="L18167" s="13"/>
      <c r="M18167" s="14"/>
      <c r="N18167" s="14"/>
      <c r="O18167" s="14"/>
      <c r="P18167" s="13"/>
    </row>
    <row r="18168">
      <c r="L18168" s="13"/>
      <c r="M18168" s="14"/>
      <c r="N18168" s="14"/>
      <c r="O18168" s="14"/>
      <c r="P18168" s="13"/>
    </row>
    <row r="18169">
      <c r="L18169" s="13"/>
      <c r="M18169" s="14"/>
      <c r="N18169" s="14"/>
      <c r="O18169" s="14"/>
      <c r="P18169" s="13"/>
    </row>
    <row r="18170">
      <c r="L18170" s="13"/>
      <c r="M18170" s="14"/>
      <c r="N18170" s="14"/>
      <c r="O18170" s="14"/>
      <c r="P18170" s="13"/>
    </row>
    <row r="18171">
      <c r="L18171" s="13"/>
      <c r="M18171" s="14"/>
      <c r="N18171" s="14"/>
      <c r="O18171" s="14"/>
      <c r="P18171" s="13"/>
    </row>
    <row r="18172">
      <c r="L18172" s="13"/>
      <c r="M18172" s="14"/>
      <c r="N18172" s="14"/>
      <c r="O18172" s="14"/>
      <c r="P18172" s="13"/>
    </row>
    <row r="18173">
      <c r="L18173" s="13"/>
      <c r="M18173" s="14"/>
      <c r="N18173" s="14"/>
      <c r="O18173" s="14"/>
      <c r="P18173" s="13"/>
    </row>
    <row r="18174">
      <c r="L18174" s="13"/>
      <c r="M18174" s="14"/>
      <c r="N18174" s="14"/>
      <c r="O18174" s="14"/>
      <c r="P18174" s="13"/>
    </row>
    <row r="18175">
      <c r="L18175" s="13"/>
      <c r="M18175" s="14"/>
      <c r="N18175" s="14"/>
      <c r="O18175" s="14"/>
      <c r="P18175" s="13"/>
    </row>
    <row r="18176">
      <c r="L18176" s="13"/>
      <c r="M18176" s="14"/>
      <c r="N18176" s="14"/>
      <c r="O18176" s="14"/>
      <c r="P18176" s="13"/>
    </row>
    <row r="18177">
      <c r="L18177" s="13"/>
      <c r="M18177" s="14"/>
      <c r="N18177" s="14"/>
      <c r="O18177" s="14"/>
      <c r="P18177" s="13"/>
    </row>
    <row r="18178">
      <c r="L18178" s="13"/>
      <c r="M18178" s="14"/>
      <c r="N18178" s="14"/>
      <c r="O18178" s="14"/>
      <c r="P18178" s="13"/>
    </row>
    <row r="18179">
      <c r="L18179" s="13"/>
      <c r="M18179" s="14"/>
      <c r="N18179" s="14"/>
      <c r="O18179" s="14"/>
      <c r="P18179" s="13"/>
    </row>
    <row r="18180">
      <c r="L18180" s="13"/>
      <c r="M18180" s="14"/>
      <c r="N18180" s="14"/>
      <c r="O18180" s="14"/>
      <c r="P18180" s="13"/>
    </row>
    <row r="18181">
      <c r="L18181" s="13"/>
      <c r="M18181" s="14"/>
      <c r="N18181" s="14"/>
      <c r="O18181" s="14"/>
      <c r="P18181" s="13"/>
    </row>
    <row r="18182">
      <c r="L18182" s="13"/>
      <c r="M18182" s="14"/>
      <c r="N18182" s="14"/>
      <c r="O18182" s="14"/>
      <c r="P18182" s="13"/>
    </row>
    <row r="18183">
      <c r="L18183" s="13"/>
      <c r="M18183" s="14"/>
      <c r="N18183" s="14"/>
      <c r="O18183" s="14"/>
      <c r="P18183" s="13"/>
    </row>
    <row r="18184">
      <c r="L18184" s="13"/>
      <c r="M18184" s="14"/>
      <c r="N18184" s="14"/>
      <c r="O18184" s="14"/>
      <c r="P18184" s="13"/>
    </row>
    <row r="18185">
      <c r="L18185" s="13"/>
      <c r="M18185" s="14"/>
      <c r="N18185" s="14"/>
      <c r="O18185" s="14"/>
      <c r="P18185" s="13"/>
    </row>
    <row r="18186">
      <c r="L18186" s="13"/>
      <c r="M18186" s="14"/>
      <c r="N18186" s="14"/>
      <c r="O18186" s="14"/>
      <c r="P18186" s="13"/>
    </row>
    <row r="18187">
      <c r="L18187" s="13"/>
      <c r="M18187" s="14"/>
      <c r="N18187" s="14"/>
      <c r="O18187" s="14"/>
      <c r="P18187" s="13"/>
    </row>
    <row r="18188">
      <c r="L18188" s="13"/>
      <c r="M18188" s="14"/>
      <c r="N18188" s="14"/>
      <c r="O18188" s="14"/>
      <c r="P18188" s="13"/>
    </row>
    <row r="18189">
      <c r="L18189" s="13"/>
      <c r="M18189" s="14"/>
      <c r="N18189" s="14"/>
      <c r="O18189" s="14"/>
      <c r="P18189" s="13"/>
    </row>
    <row r="18190">
      <c r="L18190" s="13"/>
      <c r="M18190" s="14"/>
      <c r="N18190" s="14"/>
      <c r="O18190" s="14"/>
      <c r="P18190" s="13"/>
    </row>
    <row r="18191">
      <c r="L18191" s="13"/>
      <c r="M18191" s="14"/>
      <c r="N18191" s="14"/>
      <c r="O18191" s="14"/>
      <c r="P18191" s="13"/>
    </row>
    <row r="18192">
      <c r="L18192" s="13"/>
      <c r="M18192" s="14"/>
      <c r="N18192" s="14"/>
      <c r="O18192" s="14"/>
      <c r="P18192" s="13"/>
    </row>
    <row r="18193">
      <c r="L18193" s="13"/>
      <c r="M18193" s="14"/>
      <c r="N18193" s="14"/>
      <c r="O18193" s="14"/>
      <c r="P18193" s="13"/>
    </row>
    <row r="18194">
      <c r="L18194" s="13"/>
      <c r="M18194" s="14"/>
      <c r="N18194" s="14"/>
      <c r="O18194" s="14"/>
      <c r="P18194" s="13"/>
    </row>
    <row r="18195">
      <c r="L18195" s="13"/>
      <c r="M18195" s="14"/>
      <c r="N18195" s="14"/>
      <c r="O18195" s="14"/>
      <c r="P18195" s="13"/>
    </row>
    <row r="18196">
      <c r="L18196" s="13"/>
      <c r="M18196" s="14"/>
      <c r="N18196" s="14"/>
      <c r="O18196" s="14"/>
      <c r="P18196" s="13"/>
    </row>
    <row r="18197">
      <c r="L18197" s="13"/>
      <c r="M18197" s="14"/>
      <c r="N18197" s="14"/>
      <c r="O18197" s="14"/>
      <c r="P18197" s="13"/>
    </row>
    <row r="18198">
      <c r="L18198" s="13"/>
      <c r="M18198" s="14"/>
      <c r="N18198" s="14"/>
      <c r="O18198" s="14"/>
      <c r="P18198" s="13"/>
    </row>
    <row r="18199">
      <c r="L18199" s="13"/>
      <c r="M18199" s="14"/>
      <c r="N18199" s="14"/>
      <c r="O18199" s="14"/>
      <c r="P18199" s="13"/>
    </row>
    <row r="18200">
      <c r="L18200" s="13"/>
      <c r="M18200" s="14"/>
      <c r="N18200" s="14"/>
      <c r="O18200" s="14"/>
      <c r="P18200" s="13"/>
    </row>
    <row r="18201">
      <c r="L18201" s="13"/>
      <c r="M18201" s="14"/>
      <c r="N18201" s="14"/>
      <c r="O18201" s="14"/>
      <c r="P18201" s="13"/>
    </row>
    <row r="18202">
      <c r="L18202" s="13"/>
      <c r="M18202" s="14"/>
      <c r="N18202" s="14"/>
      <c r="O18202" s="14"/>
      <c r="P18202" s="13"/>
    </row>
    <row r="18203">
      <c r="L18203" s="13"/>
      <c r="M18203" s="14"/>
      <c r="N18203" s="14"/>
      <c r="O18203" s="14"/>
      <c r="P18203" s="13"/>
    </row>
    <row r="18204">
      <c r="L18204" s="13"/>
      <c r="M18204" s="14"/>
      <c r="N18204" s="14"/>
      <c r="O18204" s="14"/>
      <c r="P18204" s="13"/>
    </row>
    <row r="18205">
      <c r="L18205" s="13"/>
      <c r="M18205" s="14"/>
      <c r="N18205" s="14"/>
      <c r="O18205" s="14"/>
      <c r="P18205" s="13"/>
    </row>
    <row r="18206">
      <c r="L18206" s="13"/>
      <c r="M18206" s="14"/>
      <c r="N18206" s="14"/>
      <c r="O18206" s="14"/>
      <c r="P18206" s="13"/>
    </row>
    <row r="18207">
      <c r="L18207" s="13"/>
      <c r="M18207" s="14"/>
      <c r="N18207" s="14"/>
      <c r="O18207" s="14"/>
      <c r="P18207" s="13"/>
    </row>
    <row r="18208">
      <c r="L18208" s="13"/>
      <c r="M18208" s="14"/>
      <c r="N18208" s="14"/>
      <c r="O18208" s="14"/>
      <c r="P18208" s="13"/>
    </row>
    <row r="18209">
      <c r="L18209" s="13"/>
      <c r="M18209" s="14"/>
      <c r="N18209" s="14"/>
      <c r="O18209" s="14"/>
      <c r="P18209" s="13"/>
    </row>
    <row r="18210">
      <c r="L18210" s="13"/>
      <c r="M18210" s="14"/>
      <c r="N18210" s="14"/>
      <c r="O18210" s="14"/>
      <c r="P18210" s="13"/>
    </row>
    <row r="18211">
      <c r="L18211" s="13"/>
      <c r="M18211" s="14"/>
      <c r="N18211" s="14"/>
      <c r="O18211" s="14"/>
      <c r="P18211" s="13"/>
    </row>
    <row r="18212">
      <c r="L18212" s="13"/>
      <c r="M18212" s="14"/>
      <c r="N18212" s="14"/>
      <c r="O18212" s="14"/>
      <c r="P18212" s="13"/>
    </row>
    <row r="18213">
      <c r="L18213" s="13"/>
      <c r="M18213" s="14"/>
      <c r="N18213" s="14"/>
      <c r="O18213" s="14"/>
      <c r="P18213" s="13"/>
    </row>
    <row r="18214">
      <c r="L18214" s="13"/>
      <c r="M18214" s="14"/>
      <c r="N18214" s="14"/>
      <c r="O18214" s="14"/>
      <c r="P18214" s="13"/>
    </row>
    <row r="18215">
      <c r="L18215" s="13"/>
      <c r="M18215" s="14"/>
      <c r="N18215" s="14"/>
      <c r="O18215" s="14"/>
      <c r="P18215" s="13"/>
    </row>
    <row r="18216">
      <c r="L18216" s="13"/>
      <c r="M18216" s="14"/>
      <c r="N18216" s="14"/>
      <c r="O18216" s="14"/>
      <c r="P18216" s="13"/>
    </row>
    <row r="18217">
      <c r="L18217" s="13"/>
      <c r="M18217" s="14"/>
      <c r="N18217" s="14"/>
      <c r="O18217" s="14"/>
      <c r="P18217" s="13"/>
    </row>
    <row r="18218">
      <c r="L18218" s="13"/>
      <c r="M18218" s="14"/>
      <c r="N18218" s="14"/>
      <c r="O18218" s="14"/>
      <c r="P18218" s="13"/>
    </row>
    <row r="18219">
      <c r="L18219" s="13"/>
      <c r="M18219" s="14"/>
      <c r="N18219" s="14"/>
      <c r="O18219" s="14"/>
      <c r="P18219" s="13"/>
    </row>
    <row r="18220">
      <c r="L18220" s="13"/>
      <c r="M18220" s="14"/>
      <c r="N18220" s="14"/>
      <c r="O18220" s="14"/>
      <c r="P18220" s="13"/>
    </row>
    <row r="18221">
      <c r="L18221" s="13"/>
      <c r="M18221" s="14"/>
      <c r="N18221" s="14"/>
      <c r="O18221" s="14"/>
      <c r="P18221" s="13"/>
    </row>
    <row r="18222">
      <c r="L18222" s="13"/>
      <c r="M18222" s="14"/>
      <c r="N18222" s="14"/>
      <c r="O18222" s="14"/>
      <c r="P18222" s="13"/>
    </row>
    <row r="18223">
      <c r="L18223" s="13"/>
      <c r="M18223" s="14"/>
      <c r="N18223" s="14"/>
      <c r="O18223" s="14"/>
      <c r="P18223" s="13"/>
    </row>
    <row r="18224">
      <c r="L18224" s="13"/>
      <c r="M18224" s="14"/>
      <c r="N18224" s="14"/>
      <c r="O18224" s="14"/>
      <c r="P18224" s="13"/>
    </row>
    <row r="18225">
      <c r="L18225" s="13"/>
      <c r="M18225" s="14"/>
      <c r="N18225" s="14"/>
      <c r="O18225" s="14"/>
      <c r="P18225" s="13"/>
    </row>
    <row r="18226">
      <c r="L18226" s="13"/>
      <c r="M18226" s="14"/>
      <c r="N18226" s="14"/>
      <c r="O18226" s="14"/>
      <c r="P18226" s="13"/>
    </row>
    <row r="18227">
      <c r="L18227" s="13"/>
      <c r="M18227" s="14"/>
      <c r="N18227" s="14"/>
      <c r="O18227" s="14"/>
      <c r="P18227" s="13"/>
    </row>
    <row r="18228">
      <c r="L18228" s="13"/>
      <c r="M18228" s="14"/>
      <c r="N18228" s="14"/>
      <c r="O18228" s="14"/>
      <c r="P18228" s="13"/>
    </row>
    <row r="18229">
      <c r="L18229" s="13"/>
      <c r="M18229" s="14"/>
      <c r="N18229" s="14"/>
      <c r="O18229" s="14"/>
      <c r="P18229" s="13"/>
    </row>
    <row r="18230">
      <c r="L18230" s="13"/>
      <c r="M18230" s="14"/>
      <c r="N18230" s="14"/>
      <c r="O18230" s="14"/>
      <c r="P18230" s="13"/>
    </row>
    <row r="18231">
      <c r="L18231" s="13"/>
      <c r="M18231" s="14"/>
      <c r="N18231" s="14"/>
      <c r="O18231" s="14"/>
      <c r="P18231" s="13"/>
    </row>
    <row r="18232">
      <c r="L18232" s="13"/>
      <c r="M18232" s="14"/>
      <c r="N18232" s="14"/>
      <c r="O18232" s="14"/>
      <c r="P18232" s="13"/>
    </row>
    <row r="18233">
      <c r="L18233" s="13"/>
      <c r="M18233" s="14"/>
      <c r="N18233" s="14"/>
      <c r="O18233" s="14"/>
      <c r="P18233" s="13"/>
    </row>
    <row r="18234">
      <c r="L18234" s="13"/>
      <c r="M18234" s="14"/>
      <c r="N18234" s="14"/>
      <c r="O18234" s="14"/>
      <c r="P18234" s="13"/>
    </row>
    <row r="18235">
      <c r="L18235" s="13"/>
      <c r="M18235" s="14"/>
      <c r="N18235" s="14"/>
      <c r="O18235" s="14"/>
      <c r="P18235" s="13"/>
    </row>
    <row r="18236">
      <c r="L18236" s="13"/>
      <c r="M18236" s="14"/>
      <c r="N18236" s="14"/>
      <c r="O18236" s="14"/>
      <c r="P18236" s="13"/>
    </row>
    <row r="18237">
      <c r="L18237" s="13"/>
      <c r="M18237" s="14"/>
      <c r="N18237" s="14"/>
      <c r="O18237" s="14"/>
      <c r="P18237" s="13"/>
    </row>
    <row r="18238">
      <c r="L18238" s="13"/>
      <c r="M18238" s="14"/>
      <c r="N18238" s="14"/>
      <c r="O18238" s="14"/>
      <c r="P18238" s="13"/>
    </row>
    <row r="18239">
      <c r="L18239" s="13"/>
      <c r="M18239" s="14"/>
      <c r="N18239" s="14"/>
      <c r="O18239" s="14"/>
      <c r="P18239" s="13"/>
    </row>
    <row r="18240">
      <c r="L18240" s="13"/>
      <c r="M18240" s="14"/>
      <c r="N18240" s="14"/>
      <c r="O18240" s="14"/>
      <c r="P18240" s="13"/>
    </row>
    <row r="18241">
      <c r="L18241" s="13"/>
      <c r="M18241" s="14"/>
      <c r="N18241" s="14"/>
      <c r="O18241" s="14"/>
      <c r="P18241" s="13"/>
    </row>
    <row r="18242">
      <c r="L18242" s="13"/>
      <c r="M18242" s="14"/>
      <c r="N18242" s="14"/>
      <c r="O18242" s="14"/>
      <c r="P18242" s="13"/>
    </row>
    <row r="18243">
      <c r="L18243" s="13"/>
      <c r="M18243" s="14"/>
      <c r="N18243" s="14"/>
      <c r="O18243" s="14"/>
      <c r="P18243" s="13"/>
    </row>
    <row r="18244">
      <c r="L18244" s="13"/>
      <c r="M18244" s="14"/>
      <c r="N18244" s="14"/>
      <c r="O18244" s="14"/>
      <c r="P18244" s="13"/>
    </row>
    <row r="18245">
      <c r="L18245" s="13"/>
      <c r="M18245" s="14"/>
      <c r="N18245" s="14"/>
      <c r="O18245" s="14"/>
      <c r="P18245" s="13"/>
    </row>
    <row r="18246">
      <c r="L18246" s="13"/>
      <c r="M18246" s="14"/>
      <c r="N18246" s="14"/>
      <c r="O18246" s="14"/>
      <c r="P18246" s="13"/>
    </row>
    <row r="18247">
      <c r="L18247" s="13"/>
      <c r="M18247" s="14"/>
      <c r="N18247" s="14"/>
      <c r="O18247" s="14"/>
      <c r="P18247" s="13"/>
    </row>
    <row r="18248">
      <c r="L18248" s="13"/>
      <c r="M18248" s="14"/>
      <c r="N18248" s="14"/>
      <c r="O18248" s="14"/>
      <c r="P18248" s="13"/>
    </row>
    <row r="18249">
      <c r="L18249" s="13"/>
      <c r="M18249" s="14"/>
      <c r="N18249" s="14"/>
      <c r="O18249" s="14"/>
      <c r="P18249" s="13"/>
    </row>
    <row r="18250">
      <c r="L18250" s="13"/>
      <c r="M18250" s="14"/>
      <c r="N18250" s="14"/>
      <c r="O18250" s="14"/>
      <c r="P18250" s="13"/>
    </row>
    <row r="18251">
      <c r="L18251" s="13"/>
      <c r="M18251" s="14"/>
      <c r="N18251" s="14"/>
      <c r="O18251" s="14"/>
      <c r="P18251" s="13"/>
    </row>
    <row r="18252">
      <c r="L18252" s="13"/>
      <c r="M18252" s="14"/>
      <c r="N18252" s="14"/>
      <c r="O18252" s="14"/>
      <c r="P18252" s="13"/>
    </row>
    <row r="18253">
      <c r="L18253" s="13"/>
      <c r="M18253" s="14"/>
      <c r="N18253" s="14"/>
      <c r="O18253" s="14"/>
      <c r="P18253" s="13"/>
    </row>
    <row r="18254">
      <c r="L18254" s="13"/>
      <c r="M18254" s="14"/>
      <c r="N18254" s="14"/>
      <c r="O18254" s="14"/>
      <c r="P18254" s="13"/>
    </row>
    <row r="18255">
      <c r="L18255" s="13"/>
      <c r="M18255" s="14"/>
      <c r="N18255" s="14"/>
      <c r="O18255" s="14"/>
      <c r="P18255" s="13"/>
    </row>
    <row r="18256">
      <c r="L18256" s="13"/>
      <c r="M18256" s="14"/>
      <c r="N18256" s="14"/>
      <c r="O18256" s="14"/>
      <c r="P18256" s="13"/>
    </row>
    <row r="18257">
      <c r="L18257" s="13"/>
      <c r="M18257" s="14"/>
      <c r="N18257" s="14"/>
      <c r="O18257" s="14"/>
      <c r="P18257" s="13"/>
    </row>
    <row r="18258">
      <c r="L18258" s="13"/>
      <c r="M18258" s="14"/>
      <c r="N18258" s="14"/>
      <c r="O18258" s="14"/>
      <c r="P18258" s="13"/>
    </row>
    <row r="18259">
      <c r="L18259" s="13"/>
      <c r="M18259" s="14"/>
      <c r="N18259" s="14"/>
      <c r="O18259" s="14"/>
      <c r="P18259" s="13"/>
    </row>
    <row r="18260">
      <c r="L18260" s="13"/>
      <c r="M18260" s="14"/>
      <c r="N18260" s="14"/>
      <c r="O18260" s="14"/>
      <c r="P18260" s="13"/>
    </row>
    <row r="18261">
      <c r="L18261" s="13"/>
      <c r="M18261" s="14"/>
      <c r="N18261" s="14"/>
      <c r="O18261" s="14"/>
      <c r="P18261" s="13"/>
    </row>
    <row r="18262">
      <c r="L18262" s="13"/>
      <c r="M18262" s="14"/>
      <c r="N18262" s="14"/>
      <c r="O18262" s="14"/>
      <c r="P18262" s="13"/>
    </row>
    <row r="18263">
      <c r="L18263" s="13"/>
      <c r="M18263" s="14"/>
      <c r="N18263" s="14"/>
      <c r="O18263" s="14"/>
      <c r="P18263" s="13"/>
    </row>
    <row r="18264">
      <c r="L18264" s="13"/>
      <c r="M18264" s="14"/>
      <c r="N18264" s="14"/>
      <c r="O18264" s="14"/>
      <c r="P18264" s="13"/>
    </row>
    <row r="18265">
      <c r="L18265" s="13"/>
      <c r="M18265" s="14"/>
      <c r="N18265" s="14"/>
      <c r="O18265" s="14"/>
      <c r="P18265" s="13"/>
    </row>
    <row r="18266">
      <c r="L18266" s="13"/>
      <c r="M18266" s="14"/>
      <c r="N18266" s="14"/>
      <c r="O18266" s="14"/>
      <c r="P18266" s="13"/>
    </row>
    <row r="18267">
      <c r="L18267" s="13"/>
      <c r="M18267" s="14"/>
      <c r="N18267" s="14"/>
      <c r="O18267" s="14"/>
      <c r="P18267" s="13"/>
    </row>
    <row r="18268">
      <c r="L18268" s="13"/>
      <c r="M18268" s="14"/>
      <c r="N18268" s="14"/>
      <c r="O18268" s="14"/>
      <c r="P18268" s="13"/>
    </row>
    <row r="18269">
      <c r="L18269" s="13"/>
      <c r="M18269" s="14"/>
      <c r="N18269" s="14"/>
      <c r="O18269" s="14"/>
      <c r="P18269" s="13"/>
    </row>
    <row r="18270">
      <c r="L18270" s="13"/>
      <c r="M18270" s="14"/>
      <c r="N18270" s="14"/>
      <c r="O18270" s="14"/>
      <c r="P18270" s="13"/>
    </row>
    <row r="18271">
      <c r="L18271" s="13"/>
      <c r="M18271" s="14"/>
      <c r="N18271" s="14"/>
      <c r="O18271" s="14"/>
      <c r="P18271" s="13"/>
    </row>
    <row r="18272">
      <c r="L18272" s="13"/>
      <c r="M18272" s="14"/>
      <c r="N18272" s="14"/>
      <c r="O18272" s="14"/>
      <c r="P18272" s="13"/>
    </row>
    <row r="18273">
      <c r="L18273" s="13"/>
      <c r="M18273" s="14"/>
      <c r="N18273" s="14"/>
      <c r="O18273" s="14"/>
      <c r="P18273" s="13"/>
    </row>
    <row r="18274">
      <c r="L18274" s="13"/>
      <c r="M18274" s="14"/>
      <c r="N18274" s="14"/>
      <c r="O18274" s="14"/>
      <c r="P18274" s="13"/>
    </row>
    <row r="18275">
      <c r="L18275" s="13"/>
      <c r="M18275" s="14"/>
      <c r="N18275" s="14"/>
      <c r="O18275" s="14"/>
      <c r="P18275" s="13"/>
    </row>
    <row r="18276">
      <c r="L18276" s="13"/>
      <c r="M18276" s="14"/>
      <c r="N18276" s="14"/>
      <c r="O18276" s="14"/>
      <c r="P18276" s="13"/>
    </row>
    <row r="18277">
      <c r="L18277" s="13"/>
      <c r="M18277" s="14"/>
      <c r="N18277" s="14"/>
      <c r="O18277" s="14"/>
      <c r="P18277" s="13"/>
    </row>
    <row r="18278">
      <c r="L18278" s="13"/>
      <c r="M18278" s="14"/>
      <c r="N18278" s="14"/>
      <c r="O18278" s="14"/>
      <c r="P18278" s="13"/>
    </row>
    <row r="18279">
      <c r="L18279" s="13"/>
      <c r="M18279" s="14"/>
      <c r="N18279" s="14"/>
      <c r="O18279" s="14"/>
      <c r="P18279" s="13"/>
    </row>
    <row r="18280">
      <c r="L18280" s="13"/>
      <c r="M18280" s="14"/>
      <c r="N18280" s="14"/>
      <c r="O18280" s="14"/>
      <c r="P18280" s="13"/>
    </row>
    <row r="18281">
      <c r="L18281" s="13"/>
      <c r="M18281" s="14"/>
      <c r="N18281" s="14"/>
      <c r="O18281" s="14"/>
      <c r="P18281" s="13"/>
    </row>
    <row r="18282">
      <c r="L18282" s="13"/>
      <c r="M18282" s="14"/>
      <c r="N18282" s="14"/>
      <c r="O18282" s="14"/>
      <c r="P18282" s="13"/>
    </row>
    <row r="18283">
      <c r="L18283" s="13"/>
      <c r="M18283" s="14"/>
      <c r="N18283" s="14"/>
      <c r="O18283" s="14"/>
      <c r="P18283" s="13"/>
    </row>
    <row r="18284">
      <c r="L18284" s="13"/>
      <c r="M18284" s="14"/>
      <c r="N18284" s="14"/>
      <c r="O18284" s="14"/>
      <c r="P18284" s="13"/>
    </row>
    <row r="18285">
      <c r="L18285" s="13"/>
      <c r="M18285" s="14"/>
      <c r="N18285" s="14"/>
      <c r="O18285" s="14"/>
      <c r="P18285" s="13"/>
    </row>
    <row r="18286">
      <c r="L18286" s="13"/>
      <c r="M18286" s="14"/>
      <c r="N18286" s="14"/>
      <c r="O18286" s="14"/>
      <c r="P18286" s="13"/>
    </row>
    <row r="18287">
      <c r="L18287" s="13"/>
      <c r="M18287" s="14"/>
      <c r="N18287" s="14"/>
      <c r="O18287" s="14"/>
      <c r="P18287" s="13"/>
    </row>
    <row r="18288">
      <c r="L18288" s="13"/>
      <c r="M18288" s="14"/>
      <c r="N18288" s="14"/>
      <c r="O18288" s="14"/>
      <c r="P18288" s="13"/>
    </row>
    <row r="18289">
      <c r="L18289" s="13"/>
      <c r="M18289" s="14"/>
      <c r="N18289" s="14"/>
      <c r="O18289" s="14"/>
      <c r="P18289" s="13"/>
    </row>
    <row r="18290">
      <c r="L18290" s="13"/>
      <c r="M18290" s="14"/>
      <c r="N18290" s="14"/>
      <c r="O18290" s="14"/>
      <c r="P18290" s="13"/>
    </row>
    <row r="18291">
      <c r="L18291" s="13"/>
      <c r="M18291" s="14"/>
      <c r="N18291" s="14"/>
      <c r="O18291" s="14"/>
      <c r="P18291" s="13"/>
    </row>
    <row r="18292">
      <c r="L18292" s="13"/>
      <c r="M18292" s="14"/>
      <c r="N18292" s="14"/>
      <c r="O18292" s="14"/>
      <c r="P18292" s="13"/>
    </row>
    <row r="18293">
      <c r="L18293" s="13"/>
      <c r="M18293" s="14"/>
      <c r="N18293" s="14"/>
      <c r="O18293" s="14"/>
      <c r="P18293" s="13"/>
    </row>
    <row r="18294">
      <c r="L18294" s="13"/>
      <c r="M18294" s="14"/>
      <c r="N18294" s="14"/>
      <c r="O18294" s="14"/>
      <c r="P18294" s="13"/>
    </row>
    <row r="18295">
      <c r="L18295" s="13"/>
      <c r="M18295" s="14"/>
      <c r="N18295" s="14"/>
      <c r="O18295" s="14"/>
      <c r="P18295" s="13"/>
    </row>
    <row r="18296">
      <c r="L18296" s="13"/>
      <c r="M18296" s="14"/>
      <c r="N18296" s="14"/>
      <c r="O18296" s="14"/>
      <c r="P18296" s="13"/>
    </row>
    <row r="18297">
      <c r="L18297" s="13"/>
      <c r="M18297" s="14"/>
      <c r="N18297" s="14"/>
      <c r="O18297" s="14"/>
      <c r="P18297" s="13"/>
    </row>
    <row r="18298">
      <c r="L18298" s="13"/>
      <c r="M18298" s="14"/>
      <c r="N18298" s="14"/>
      <c r="O18298" s="14"/>
      <c r="P18298" s="13"/>
    </row>
    <row r="18299">
      <c r="L18299" s="13"/>
      <c r="M18299" s="14"/>
      <c r="N18299" s="14"/>
      <c r="O18299" s="14"/>
      <c r="P18299" s="13"/>
    </row>
    <row r="18300">
      <c r="L18300" s="13"/>
      <c r="M18300" s="14"/>
      <c r="N18300" s="14"/>
      <c r="O18300" s="14"/>
      <c r="P18300" s="13"/>
    </row>
    <row r="18301">
      <c r="L18301" s="13"/>
      <c r="M18301" s="14"/>
      <c r="N18301" s="14"/>
      <c r="O18301" s="14"/>
      <c r="P18301" s="13"/>
    </row>
    <row r="18302">
      <c r="L18302" s="13"/>
      <c r="M18302" s="14"/>
      <c r="N18302" s="14"/>
      <c r="O18302" s="14"/>
      <c r="P18302" s="13"/>
    </row>
    <row r="18303">
      <c r="L18303" s="13"/>
      <c r="M18303" s="14"/>
      <c r="N18303" s="14"/>
      <c r="O18303" s="14"/>
      <c r="P18303" s="13"/>
    </row>
    <row r="18304">
      <c r="L18304" s="13"/>
      <c r="M18304" s="14"/>
      <c r="N18304" s="14"/>
      <c r="O18304" s="14"/>
      <c r="P18304" s="13"/>
    </row>
    <row r="18305">
      <c r="L18305" s="13"/>
      <c r="M18305" s="14"/>
      <c r="N18305" s="14"/>
      <c r="O18305" s="14"/>
      <c r="P18305" s="13"/>
    </row>
    <row r="18306">
      <c r="L18306" s="13"/>
      <c r="M18306" s="14"/>
      <c r="N18306" s="14"/>
      <c r="O18306" s="14"/>
      <c r="P18306" s="13"/>
    </row>
    <row r="18307">
      <c r="L18307" s="13"/>
      <c r="M18307" s="14"/>
      <c r="N18307" s="14"/>
      <c r="O18307" s="14"/>
      <c r="P18307" s="13"/>
    </row>
    <row r="18308">
      <c r="L18308" s="13"/>
      <c r="M18308" s="14"/>
      <c r="N18308" s="14"/>
      <c r="O18308" s="14"/>
      <c r="P18308" s="13"/>
    </row>
    <row r="18309">
      <c r="L18309" s="13"/>
      <c r="M18309" s="14"/>
      <c r="N18309" s="14"/>
      <c r="O18309" s="14"/>
      <c r="P18309" s="13"/>
    </row>
    <row r="18310">
      <c r="L18310" s="13"/>
      <c r="M18310" s="14"/>
      <c r="N18310" s="14"/>
      <c r="O18310" s="14"/>
      <c r="P18310" s="13"/>
    </row>
    <row r="18311">
      <c r="L18311" s="13"/>
      <c r="M18311" s="14"/>
      <c r="N18311" s="14"/>
      <c r="O18311" s="14"/>
      <c r="P18311" s="13"/>
    </row>
    <row r="18312">
      <c r="L18312" s="13"/>
      <c r="M18312" s="14"/>
      <c r="N18312" s="14"/>
      <c r="O18312" s="14"/>
      <c r="P18312" s="13"/>
    </row>
    <row r="18313">
      <c r="L18313" s="13"/>
      <c r="M18313" s="14"/>
      <c r="N18313" s="14"/>
      <c r="O18313" s="14"/>
      <c r="P18313" s="13"/>
    </row>
    <row r="18314">
      <c r="L18314" s="13"/>
      <c r="M18314" s="14"/>
      <c r="N18314" s="14"/>
      <c r="O18314" s="14"/>
      <c r="P18314" s="13"/>
    </row>
    <row r="18315">
      <c r="L18315" s="13"/>
      <c r="M18315" s="14"/>
      <c r="N18315" s="14"/>
      <c r="O18315" s="14"/>
      <c r="P18315" s="13"/>
    </row>
    <row r="18316">
      <c r="L18316" s="13"/>
      <c r="M18316" s="14"/>
      <c r="N18316" s="14"/>
      <c r="O18316" s="14"/>
      <c r="P18316" s="13"/>
    </row>
    <row r="18317">
      <c r="L18317" s="13"/>
      <c r="M18317" s="14"/>
      <c r="N18317" s="14"/>
      <c r="O18317" s="14"/>
      <c r="P18317" s="13"/>
    </row>
    <row r="18318">
      <c r="L18318" s="13"/>
      <c r="M18318" s="14"/>
      <c r="N18318" s="14"/>
      <c r="O18318" s="14"/>
      <c r="P18318" s="13"/>
    </row>
    <row r="18319">
      <c r="L18319" s="13"/>
      <c r="M18319" s="14"/>
      <c r="N18319" s="14"/>
      <c r="O18319" s="14"/>
      <c r="P18319" s="13"/>
    </row>
    <row r="18320">
      <c r="L18320" s="13"/>
      <c r="M18320" s="14"/>
      <c r="N18320" s="14"/>
      <c r="O18320" s="14"/>
      <c r="P18320" s="13"/>
    </row>
    <row r="18321">
      <c r="L18321" s="13"/>
      <c r="M18321" s="14"/>
      <c r="N18321" s="14"/>
      <c r="O18321" s="14"/>
      <c r="P18321" s="13"/>
    </row>
    <row r="18322">
      <c r="L18322" s="13"/>
      <c r="M18322" s="14"/>
      <c r="N18322" s="14"/>
      <c r="O18322" s="14"/>
      <c r="P18322" s="13"/>
    </row>
    <row r="18323">
      <c r="L18323" s="13"/>
      <c r="M18323" s="14"/>
      <c r="N18323" s="14"/>
      <c r="O18323" s="14"/>
      <c r="P18323" s="13"/>
    </row>
    <row r="18324">
      <c r="L18324" s="13"/>
      <c r="M18324" s="14"/>
      <c r="N18324" s="14"/>
      <c r="O18324" s="14"/>
      <c r="P18324" s="13"/>
    </row>
    <row r="18325">
      <c r="L18325" s="13"/>
      <c r="M18325" s="14"/>
      <c r="N18325" s="14"/>
      <c r="O18325" s="14"/>
      <c r="P18325" s="13"/>
    </row>
    <row r="18326">
      <c r="L18326" s="13"/>
      <c r="M18326" s="14"/>
      <c r="N18326" s="14"/>
      <c r="O18326" s="14"/>
      <c r="P18326" s="13"/>
    </row>
    <row r="18327">
      <c r="L18327" s="13"/>
      <c r="M18327" s="14"/>
      <c r="N18327" s="14"/>
      <c r="O18327" s="14"/>
      <c r="P18327" s="13"/>
    </row>
    <row r="18328">
      <c r="L18328" s="13"/>
      <c r="M18328" s="14"/>
      <c r="N18328" s="14"/>
      <c r="O18328" s="14"/>
      <c r="P18328" s="13"/>
    </row>
    <row r="18329">
      <c r="L18329" s="13"/>
      <c r="M18329" s="14"/>
      <c r="N18329" s="14"/>
      <c r="O18329" s="14"/>
      <c r="P18329" s="13"/>
    </row>
    <row r="18330">
      <c r="L18330" s="13"/>
      <c r="M18330" s="14"/>
      <c r="N18330" s="14"/>
      <c r="O18330" s="14"/>
      <c r="P18330" s="13"/>
    </row>
    <row r="18331">
      <c r="L18331" s="13"/>
      <c r="M18331" s="14"/>
      <c r="N18331" s="14"/>
      <c r="O18331" s="14"/>
      <c r="P18331" s="13"/>
    </row>
    <row r="18332">
      <c r="L18332" s="13"/>
      <c r="M18332" s="14"/>
      <c r="N18332" s="14"/>
      <c r="O18332" s="14"/>
      <c r="P18332" s="13"/>
    </row>
    <row r="18333">
      <c r="L18333" s="13"/>
      <c r="M18333" s="14"/>
      <c r="N18333" s="14"/>
      <c r="O18333" s="14"/>
      <c r="P18333" s="13"/>
    </row>
    <row r="18334">
      <c r="L18334" s="13"/>
      <c r="M18334" s="14"/>
      <c r="N18334" s="14"/>
      <c r="O18334" s="14"/>
      <c r="P18334" s="13"/>
    </row>
    <row r="18335">
      <c r="L18335" s="13"/>
      <c r="M18335" s="14"/>
      <c r="N18335" s="14"/>
      <c r="O18335" s="14"/>
      <c r="P18335" s="13"/>
    </row>
    <row r="18336">
      <c r="L18336" s="13"/>
      <c r="M18336" s="14"/>
      <c r="N18336" s="14"/>
      <c r="O18336" s="14"/>
      <c r="P18336" s="13"/>
    </row>
    <row r="18337">
      <c r="L18337" s="13"/>
      <c r="M18337" s="14"/>
      <c r="N18337" s="14"/>
      <c r="O18337" s="14"/>
      <c r="P18337" s="13"/>
    </row>
    <row r="18338">
      <c r="L18338" s="13"/>
      <c r="M18338" s="14"/>
      <c r="N18338" s="14"/>
      <c r="O18338" s="14"/>
      <c r="P18338" s="13"/>
    </row>
    <row r="18339">
      <c r="L18339" s="13"/>
      <c r="M18339" s="14"/>
      <c r="N18339" s="14"/>
      <c r="O18339" s="14"/>
      <c r="P18339" s="13"/>
    </row>
    <row r="18340">
      <c r="L18340" s="13"/>
      <c r="M18340" s="14"/>
      <c r="N18340" s="14"/>
      <c r="O18340" s="14"/>
      <c r="P18340" s="13"/>
    </row>
    <row r="18341">
      <c r="L18341" s="13"/>
      <c r="M18341" s="14"/>
      <c r="N18341" s="14"/>
      <c r="O18341" s="14"/>
      <c r="P18341" s="13"/>
    </row>
    <row r="18342">
      <c r="L18342" s="13"/>
      <c r="M18342" s="14"/>
      <c r="N18342" s="14"/>
      <c r="O18342" s="14"/>
      <c r="P18342" s="13"/>
    </row>
    <row r="18343">
      <c r="L18343" s="13"/>
      <c r="M18343" s="14"/>
      <c r="N18343" s="14"/>
      <c r="O18343" s="14"/>
      <c r="P18343" s="13"/>
    </row>
    <row r="18344">
      <c r="L18344" s="13"/>
      <c r="M18344" s="14"/>
      <c r="N18344" s="14"/>
      <c r="O18344" s="14"/>
      <c r="P18344" s="13"/>
    </row>
    <row r="18345">
      <c r="L18345" s="13"/>
      <c r="M18345" s="14"/>
      <c r="N18345" s="14"/>
      <c r="O18345" s="14"/>
      <c r="P18345" s="13"/>
    </row>
    <row r="18346">
      <c r="L18346" s="13"/>
      <c r="M18346" s="14"/>
      <c r="N18346" s="14"/>
      <c r="O18346" s="14"/>
      <c r="P18346" s="13"/>
    </row>
    <row r="18347">
      <c r="L18347" s="13"/>
      <c r="M18347" s="14"/>
      <c r="N18347" s="14"/>
      <c r="O18347" s="14"/>
      <c r="P18347" s="13"/>
    </row>
    <row r="18348">
      <c r="L18348" s="13"/>
      <c r="M18348" s="14"/>
      <c r="N18348" s="14"/>
      <c r="O18348" s="14"/>
      <c r="P18348" s="13"/>
    </row>
    <row r="18349">
      <c r="L18349" s="13"/>
      <c r="M18349" s="14"/>
      <c r="N18349" s="14"/>
      <c r="O18349" s="14"/>
      <c r="P18349" s="13"/>
    </row>
    <row r="18350">
      <c r="L18350" s="13"/>
      <c r="M18350" s="14"/>
      <c r="N18350" s="14"/>
      <c r="O18350" s="14"/>
      <c r="P18350" s="13"/>
    </row>
    <row r="18351">
      <c r="L18351" s="13"/>
      <c r="M18351" s="14"/>
      <c r="N18351" s="14"/>
      <c r="O18351" s="14"/>
      <c r="P18351" s="13"/>
    </row>
    <row r="18352">
      <c r="L18352" s="13"/>
      <c r="M18352" s="14"/>
      <c r="N18352" s="14"/>
      <c r="O18352" s="14"/>
      <c r="P18352" s="13"/>
    </row>
    <row r="18353">
      <c r="L18353" s="13"/>
      <c r="M18353" s="14"/>
      <c r="N18353" s="14"/>
      <c r="O18353" s="14"/>
      <c r="P18353" s="13"/>
    </row>
    <row r="18354">
      <c r="L18354" s="13"/>
      <c r="M18354" s="14"/>
      <c r="N18354" s="14"/>
      <c r="O18354" s="14"/>
      <c r="P18354" s="13"/>
    </row>
    <row r="18355">
      <c r="L18355" s="13"/>
      <c r="M18355" s="14"/>
      <c r="N18355" s="14"/>
      <c r="O18355" s="14"/>
      <c r="P18355" s="13"/>
    </row>
    <row r="18356">
      <c r="L18356" s="13"/>
      <c r="M18356" s="14"/>
      <c r="N18356" s="14"/>
      <c r="O18356" s="14"/>
      <c r="P18356" s="13"/>
    </row>
    <row r="18357">
      <c r="L18357" s="13"/>
      <c r="M18357" s="14"/>
      <c r="N18357" s="14"/>
      <c r="O18357" s="14"/>
      <c r="P18357" s="13"/>
    </row>
    <row r="18358">
      <c r="L18358" s="13"/>
      <c r="M18358" s="14"/>
      <c r="N18358" s="14"/>
      <c r="O18358" s="14"/>
      <c r="P18358" s="13"/>
    </row>
    <row r="18359">
      <c r="L18359" s="13"/>
      <c r="M18359" s="14"/>
      <c r="N18359" s="14"/>
      <c r="O18359" s="14"/>
      <c r="P18359" s="13"/>
    </row>
    <row r="18360">
      <c r="L18360" s="13"/>
      <c r="M18360" s="14"/>
      <c r="N18360" s="14"/>
      <c r="O18360" s="14"/>
      <c r="P18360" s="13"/>
    </row>
    <row r="18361">
      <c r="L18361" s="13"/>
      <c r="M18361" s="14"/>
      <c r="N18361" s="14"/>
      <c r="O18361" s="14"/>
      <c r="P18361" s="13"/>
    </row>
    <row r="18362">
      <c r="L18362" s="13"/>
      <c r="M18362" s="14"/>
      <c r="N18362" s="14"/>
      <c r="O18362" s="14"/>
      <c r="P18362" s="13"/>
    </row>
    <row r="18363">
      <c r="L18363" s="13"/>
      <c r="M18363" s="14"/>
      <c r="N18363" s="14"/>
      <c r="O18363" s="14"/>
      <c r="P18363" s="13"/>
    </row>
    <row r="18364">
      <c r="L18364" s="13"/>
      <c r="M18364" s="14"/>
      <c r="N18364" s="14"/>
      <c r="O18364" s="14"/>
      <c r="P18364" s="13"/>
    </row>
    <row r="18365">
      <c r="L18365" s="13"/>
      <c r="M18365" s="14"/>
      <c r="N18365" s="14"/>
      <c r="O18365" s="14"/>
      <c r="P18365" s="13"/>
    </row>
    <row r="18366">
      <c r="L18366" s="13"/>
      <c r="M18366" s="14"/>
      <c r="N18366" s="14"/>
      <c r="O18366" s="14"/>
      <c r="P18366" s="13"/>
    </row>
    <row r="18367">
      <c r="L18367" s="13"/>
      <c r="M18367" s="14"/>
      <c r="N18367" s="14"/>
      <c r="O18367" s="14"/>
      <c r="P18367" s="13"/>
    </row>
    <row r="18368">
      <c r="L18368" s="13"/>
      <c r="M18368" s="14"/>
      <c r="N18368" s="14"/>
      <c r="O18368" s="14"/>
      <c r="P18368" s="13"/>
    </row>
    <row r="18369">
      <c r="L18369" s="13"/>
      <c r="M18369" s="14"/>
      <c r="N18369" s="14"/>
      <c r="O18369" s="14"/>
      <c r="P18369" s="13"/>
    </row>
    <row r="18370">
      <c r="L18370" s="13"/>
      <c r="M18370" s="14"/>
      <c r="N18370" s="14"/>
      <c r="O18370" s="14"/>
      <c r="P18370" s="13"/>
    </row>
    <row r="18371">
      <c r="L18371" s="13"/>
      <c r="M18371" s="14"/>
      <c r="N18371" s="14"/>
      <c r="O18371" s="14"/>
      <c r="P18371" s="13"/>
    </row>
    <row r="18372">
      <c r="L18372" s="13"/>
      <c r="M18372" s="14"/>
      <c r="N18372" s="14"/>
      <c r="O18372" s="14"/>
      <c r="P18372" s="13"/>
    </row>
    <row r="18373">
      <c r="L18373" s="13"/>
      <c r="M18373" s="14"/>
      <c r="N18373" s="14"/>
      <c r="O18373" s="14"/>
      <c r="P18373" s="13"/>
    </row>
    <row r="18374">
      <c r="L18374" s="13"/>
      <c r="M18374" s="14"/>
      <c r="N18374" s="14"/>
      <c r="O18374" s="14"/>
      <c r="P18374" s="13"/>
    </row>
    <row r="18375">
      <c r="L18375" s="13"/>
      <c r="M18375" s="14"/>
      <c r="N18375" s="14"/>
      <c r="O18375" s="14"/>
      <c r="P18375" s="13"/>
    </row>
    <row r="18376">
      <c r="L18376" s="13"/>
      <c r="M18376" s="14"/>
      <c r="N18376" s="14"/>
      <c r="O18376" s="14"/>
      <c r="P18376" s="13"/>
    </row>
    <row r="18377">
      <c r="L18377" s="13"/>
      <c r="M18377" s="14"/>
      <c r="N18377" s="14"/>
      <c r="O18377" s="14"/>
      <c r="P18377" s="13"/>
    </row>
    <row r="18378">
      <c r="L18378" s="13"/>
      <c r="M18378" s="14"/>
      <c r="N18378" s="14"/>
      <c r="O18378" s="14"/>
      <c r="P18378" s="13"/>
    </row>
    <row r="18379">
      <c r="L18379" s="13"/>
      <c r="M18379" s="14"/>
      <c r="N18379" s="14"/>
      <c r="O18379" s="14"/>
      <c r="P18379" s="13"/>
    </row>
    <row r="18380">
      <c r="L18380" s="13"/>
      <c r="M18380" s="14"/>
      <c r="N18380" s="14"/>
      <c r="O18380" s="14"/>
      <c r="P18380" s="13"/>
    </row>
    <row r="18381">
      <c r="L18381" s="13"/>
      <c r="M18381" s="14"/>
      <c r="N18381" s="14"/>
      <c r="O18381" s="14"/>
      <c r="P18381" s="13"/>
    </row>
    <row r="18382">
      <c r="L18382" s="13"/>
      <c r="M18382" s="14"/>
      <c r="N18382" s="14"/>
      <c r="O18382" s="14"/>
      <c r="P18382" s="13"/>
    </row>
    <row r="18383">
      <c r="L18383" s="13"/>
      <c r="M18383" s="14"/>
      <c r="N18383" s="14"/>
      <c r="O18383" s="14"/>
      <c r="P18383" s="13"/>
    </row>
    <row r="18384">
      <c r="L18384" s="13"/>
      <c r="M18384" s="14"/>
      <c r="N18384" s="14"/>
      <c r="O18384" s="14"/>
      <c r="P18384" s="13"/>
    </row>
    <row r="18385">
      <c r="L18385" s="13"/>
      <c r="M18385" s="14"/>
      <c r="N18385" s="14"/>
      <c r="O18385" s="14"/>
      <c r="P18385" s="13"/>
    </row>
    <row r="18386">
      <c r="L18386" s="13"/>
      <c r="M18386" s="14"/>
      <c r="N18386" s="14"/>
      <c r="O18386" s="14"/>
      <c r="P18386" s="13"/>
    </row>
    <row r="18387">
      <c r="L18387" s="13"/>
      <c r="M18387" s="14"/>
      <c r="N18387" s="14"/>
      <c r="O18387" s="14"/>
      <c r="P18387" s="13"/>
    </row>
    <row r="18388">
      <c r="L18388" s="13"/>
      <c r="M18388" s="14"/>
      <c r="N18388" s="14"/>
      <c r="O18388" s="14"/>
      <c r="P18388" s="13"/>
    </row>
    <row r="18389">
      <c r="L18389" s="13"/>
      <c r="M18389" s="14"/>
      <c r="N18389" s="14"/>
      <c r="O18389" s="14"/>
      <c r="P18389" s="13"/>
    </row>
    <row r="18390">
      <c r="L18390" s="13"/>
      <c r="M18390" s="14"/>
      <c r="N18390" s="14"/>
      <c r="O18390" s="14"/>
      <c r="P18390" s="13"/>
    </row>
    <row r="18391">
      <c r="L18391" s="13"/>
      <c r="M18391" s="14"/>
      <c r="N18391" s="14"/>
      <c r="O18391" s="14"/>
      <c r="P18391" s="13"/>
    </row>
    <row r="18392">
      <c r="L18392" s="13"/>
      <c r="M18392" s="14"/>
      <c r="N18392" s="14"/>
      <c r="O18392" s="14"/>
      <c r="P18392" s="13"/>
    </row>
    <row r="18393">
      <c r="L18393" s="13"/>
      <c r="M18393" s="14"/>
      <c r="N18393" s="14"/>
      <c r="O18393" s="14"/>
      <c r="P18393" s="13"/>
    </row>
    <row r="18394">
      <c r="L18394" s="13"/>
      <c r="M18394" s="14"/>
      <c r="N18394" s="14"/>
      <c r="O18394" s="14"/>
      <c r="P18394" s="13"/>
    </row>
    <row r="18395">
      <c r="L18395" s="13"/>
      <c r="M18395" s="14"/>
      <c r="N18395" s="14"/>
      <c r="O18395" s="14"/>
      <c r="P18395" s="13"/>
    </row>
    <row r="18396">
      <c r="L18396" s="13"/>
      <c r="M18396" s="14"/>
      <c r="N18396" s="14"/>
      <c r="O18396" s="14"/>
      <c r="P18396" s="13"/>
    </row>
    <row r="18397">
      <c r="L18397" s="13"/>
      <c r="M18397" s="14"/>
      <c r="N18397" s="14"/>
      <c r="O18397" s="14"/>
      <c r="P18397" s="13"/>
    </row>
    <row r="18398">
      <c r="L18398" s="13"/>
      <c r="M18398" s="14"/>
      <c r="N18398" s="14"/>
      <c r="O18398" s="14"/>
      <c r="P18398" s="13"/>
    </row>
    <row r="18399">
      <c r="L18399" s="13"/>
      <c r="M18399" s="14"/>
      <c r="N18399" s="14"/>
      <c r="O18399" s="14"/>
      <c r="P18399" s="13"/>
    </row>
    <row r="18400">
      <c r="L18400" s="13"/>
      <c r="M18400" s="14"/>
      <c r="N18400" s="14"/>
      <c r="O18400" s="14"/>
      <c r="P18400" s="13"/>
    </row>
    <row r="18401">
      <c r="L18401" s="13"/>
      <c r="M18401" s="14"/>
      <c r="N18401" s="14"/>
      <c r="O18401" s="14"/>
      <c r="P18401" s="13"/>
    </row>
    <row r="18402">
      <c r="L18402" s="13"/>
      <c r="M18402" s="14"/>
      <c r="N18402" s="14"/>
      <c r="O18402" s="14"/>
      <c r="P18402" s="13"/>
    </row>
    <row r="18403">
      <c r="L18403" s="13"/>
      <c r="M18403" s="14"/>
      <c r="N18403" s="14"/>
      <c r="O18403" s="14"/>
      <c r="P18403" s="13"/>
    </row>
    <row r="18404">
      <c r="L18404" s="13"/>
      <c r="M18404" s="14"/>
      <c r="N18404" s="14"/>
      <c r="O18404" s="14"/>
      <c r="P18404" s="13"/>
    </row>
    <row r="18405">
      <c r="L18405" s="13"/>
      <c r="M18405" s="14"/>
      <c r="N18405" s="14"/>
      <c r="O18405" s="14"/>
      <c r="P18405" s="13"/>
    </row>
    <row r="18406">
      <c r="L18406" s="13"/>
      <c r="M18406" s="14"/>
      <c r="N18406" s="14"/>
      <c r="O18406" s="14"/>
      <c r="P18406" s="13"/>
    </row>
    <row r="18407">
      <c r="L18407" s="13"/>
      <c r="M18407" s="14"/>
      <c r="N18407" s="14"/>
      <c r="O18407" s="14"/>
      <c r="P18407" s="13"/>
    </row>
    <row r="18408">
      <c r="L18408" s="13"/>
      <c r="M18408" s="14"/>
      <c r="N18408" s="14"/>
      <c r="O18408" s="14"/>
      <c r="P18408" s="13"/>
    </row>
    <row r="18409">
      <c r="L18409" s="13"/>
      <c r="M18409" s="14"/>
      <c r="N18409" s="14"/>
      <c r="O18409" s="14"/>
      <c r="P18409" s="13"/>
    </row>
    <row r="18410">
      <c r="L18410" s="13"/>
      <c r="M18410" s="14"/>
      <c r="N18410" s="14"/>
      <c r="O18410" s="14"/>
      <c r="P18410" s="13"/>
    </row>
    <row r="18411">
      <c r="L18411" s="13"/>
      <c r="M18411" s="14"/>
      <c r="N18411" s="14"/>
      <c r="O18411" s="14"/>
      <c r="P18411" s="13"/>
    </row>
    <row r="18412">
      <c r="L18412" s="13"/>
      <c r="M18412" s="14"/>
      <c r="N18412" s="14"/>
      <c r="O18412" s="14"/>
      <c r="P18412" s="13"/>
    </row>
    <row r="18413">
      <c r="L18413" s="13"/>
      <c r="M18413" s="14"/>
      <c r="N18413" s="14"/>
      <c r="O18413" s="14"/>
      <c r="P18413" s="13"/>
    </row>
    <row r="18414">
      <c r="L18414" s="13"/>
      <c r="M18414" s="14"/>
      <c r="N18414" s="14"/>
      <c r="O18414" s="14"/>
      <c r="P18414" s="13"/>
    </row>
    <row r="18415">
      <c r="L18415" s="13"/>
      <c r="M18415" s="14"/>
      <c r="N18415" s="14"/>
      <c r="O18415" s="14"/>
      <c r="P18415" s="13"/>
    </row>
    <row r="18416">
      <c r="L18416" s="13"/>
      <c r="M18416" s="14"/>
      <c r="N18416" s="14"/>
      <c r="O18416" s="14"/>
      <c r="P18416" s="13"/>
    </row>
    <row r="18417">
      <c r="L18417" s="13"/>
      <c r="M18417" s="14"/>
      <c r="N18417" s="14"/>
      <c r="O18417" s="14"/>
      <c r="P18417" s="13"/>
    </row>
    <row r="18418">
      <c r="L18418" s="13"/>
      <c r="M18418" s="14"/>
      <c r="N18418" s="14"/>
      <c r="O18418" s="14"/>
      <c r="P18418" s="13"/>
    </row>
    <row r="18419">
      <c r="L18419" s="13"/>
      <c r="M18419" s="14"/>
      <c r="N18419" s="14"/>
      <c r="O18419" s="14"/>
      <c r="P18419" s="13"/>
    </row>
    <row r="18420">
      <c r="L18420" s="13"/>
      <c r="M18420" s="14"/>
      <c r="N18420" s="14"/>
      <c r="O18420" s="14"/>
      <c r="P18420" s="13"/>
    </row>
    <row r="18421">
      <c r="L18421" s="13"/>
      <c r="M18421" s="14"/>
      <c r="N18421" s="14"/>
      <c r="O18421" s="14"/>
      <c r="P18421" s="13"/>
    </row>
    <row r="18422">
      <c r="L18422" s="13"/>
      <c r="M18422" s="14"/>
      <c r="N18422" s="14"/>
      <c r="O18422" s="14"/>
      <c r="P18422" s="13"/>
    </row>
    <row r="18423">
      <c r="L18423" s="13"/>
      <c r="M18423" s="14"/>
      <c r="N18423" s="14"/>
      <c r="O18423" s="14"/>
      <c r="P18423" s="13"/>
    </row>
    <row r="18424">
      <c r="L18424" s="13"/>
      <c r="M18424" s="14"/>
      <c r="N18424" s="14"/>
      <c r="O18424" s="14"/>
      <c r="P18424" s="13"/>
    </row>
    <row r="18425">
      <c r="L18425" s="13"/>
      <c r="M18425" s="14"/>
      <c r="N18425" s="14"/>
      <c r="O18425" s="14"/>
      <c r="P18425" s="13"/>
    </row>
    <row r="18426">
      <c r="L18426" s="13"/>
      <c r="M18426" s="14"/>
      <c r="N18426" s="14"/>
      <c r="O18426" s="14"/>
      <c r="P18426" s="13"/>
    </row>
    <row r="18427">
      <c r="L18427" s="13"/>
      <c r="M18427" s="14"/>
      <c r="N18427" s="14"/>
      <c r="O18427" s="14"/>
      <c r="P18427" s="13"/>
    </row>
    <row r="18428">
      <c r="L18428" s="13"/>
      <c r="M18428" s="14"/>
      <c r="N18428" s="14"/>
      <c r="O18428" s="14"/>
      <c r="P18428" s="13"/>
    </row>
    <row r="18429">
      <c r="L18429" s="13"/>
      <c r="M18429" s="14"/>
      <c r="N18429" s="14"/>
      <c r="O18429" s="14"/>
      <c r="P18429" s="13"/>
    </row>
    <row r="18430">
      <c r="L18430" s="13"/>
      <c r="M18430" s="14"/>
      <c r="N18430" s="14"/>
      <c r="O18430" s="14"/>
      <c r="P18430" s="13"/>
    </row>
    <row r="18431">
      <c r="L18431" s="13"/>
      <c r="M18431" s="14"/>
      <c r="N18431" s="14"/>
      <c r="O18431" s="14"/>
      <c r="P18431" s="13"/>
    </row>
    <row r="18432">
      <c r="L18432" s="13"/>
      <c r="M18432" s="14"/>
      <c r="N18432" s="14"/>
      <c r="O18432" s="14"/>
      <c r="P18432" s="13"/>
    </row>
    <row r="18433">
      <c r="L18433" s="13"/>
      <c r="M18433" s="14"/>
      <c r="N18433" s="14"/>
      <c r="O18433" s="14"/>
      <c r="P18433" s="13"/>
    </row>
    <row r="18434">
      <c r="L18434" s="13"/>
      <c r="M18434" s="14"/>
      <c r="N18434" s="14"/>
      <c r="O18434" s="14"/>
      <c r="P18434" s="13"/>
    </row>
    <row r="18435">
      <c r="L18435" s="13"/>
      <c r="M18435" s="14"/>
      <c r="N18435" s="14"/>
      <c r="O18435" s="14"/>
      <c r="P18435" s="13"/>
    </row>
    <row r="18436">
      <c r="L18436" s="13"/>
      <c r="M18436" s="14"/>
      <c r="N18436" s="14"/>
      <c r="O18436" s="14"/>
      <c r="P18436" s="13"/>
    </row>
    <row r="18437">
      <c r="L18437" s="13"/>
      <c r="M18437" s="14"/>
      <c r="N18437" s="14"/>
      <c r="O18437" s="14"/>
      <c r="P18437" s="13"/>
    </row>
    <row r="18438">
      <c r="L18438" s="13"/>
      <c r="M18438" s="14"/>
      <c r="N18438" s="14"/>
      <c r="O18438" s="14"/>
      <c r="P18438" s="13"/>
    </row>
    <row r="18439">
      <c r="L18439" s="13"/>
      <c r="M18439" s="14"/>
      <c r="N18439" s="14"/>
      <c r="O18439" s="14"/>
      <c r="P18439" s="13"/>
    </row>
    <row r="18440">
      <c r="L18440" s="13"/>
      <c r="M18440" s="14"/>
      <c r="N18440" s="14"/>
      <c r="O18440" s="14"/>
      <c r="P18440" s="13"/>
    </row>
    <row r="18441">
      <c r="L18441" s="13"/>
      <c r="M18441" s="14"/>
      <c r="N18441" s="14"/>
      <c r="O18441" s="14"/>
      <c r="P18441" s="13"/>
    </row>
    <row r="18442">
      <c r="L18442" s="13"/>
      <c r="M18442" s="14"/>
      <c r="N18442" s="14"/>
      <c r="O18442" s="14"/>
      <c r="P18442" s="13"/>
    </row>
    <row r="18443">
      <c r="L18443" s="13"/>
      <c r="M18443" s="14"/>
      <c r="N18443" s="14"/>
      <c r="O18443" s="14"/>
      <c r="P18443" s="13"/>
    </row>
    <row r="18444">
      <c r="L18444" s="13"/>
      <c r="M18444" s="14"/>
      <c r="N18444" s="14"/>
      <c r="O18444" s="14"/>
      <c r="P18444" s="13"/>
    </row>
    <row r="18445">
      <c r="L18445" s="13"/>
      <c r="M18445" s="14"/>
      <c r="N18445" s="14"/>
      <c r="O18445" s="14"/>
      <c r="P18445" s="13"/>
    </row>
    <row r="18446">
      <c r="L18446" s="13"/>
      <c r="M18446" s="14"/>
      <c r="N18446" s="14"/>
      <c r="O18446" s="14"/>
      <c r="P18446" s="13"/>
    </row>
    <row r="18447">
      <c r="L18447" s="13"/>
      <c r="M18447" s="14"/>
      <c r="N18447" s="14"/>
      <c r="O18447" s="14"/>
      <c r="P18447" s="13"/>
    </row>
    <row r="18448">
      <c r="L18448" s="13"/>
      <c r="M18448" s="14"/>
      <c r="N18448" s="14"/>
      <c r="O18448" s="14"/>
      <c r="P18448" s="13"/>
    </row>
    <row r="18449">
      <c r="L18449" s="13"/>
      <c r="M18449" s="14"/>
      <c r="N18449" s="14"/>
      <c r="O18449" s="14"/>
      <c r="P18449" s="13"/>
    </row>
    <row r="18450">
      <c r="L18450" s="13"/>
      <c r="M18450" s="14"/>
      <c r="N18450" s="14"/>
      <c r="O18450" s="14"/>
      <c r="P18450" s="13"/>
    </row>
    <row r="18451">
      <c r="L18451" s="13"/>
      <c r="M18451" s="14"/>
      <c r="N18451" s="14"/>
      <c r="O18451" s="14"/>
      <c r="P18451" s="13"/>
    </row>
    <row r="18452">
      <c r="L18452" s="13"/>
      <c r="M18452" s="14"/>
      <c r="N18452" s="14"/>
      <c r="O18452" s="14"/>
      <c r="P18452" s="13"/>
    </row>
    <row r="18453">
      <c r="L18453" s="13"/>
      <c r="M18453" s="14"/>
      <c r="N18453" s="14"/>
      <c r="O18453" s="14"/>
      <c r="P18453" s="13"/>
    </row>
    <row r="18454">
      <c r="L18454" s="13"/>
      <c r="M18454" s="14"/>
      <c r="N18454" s="14"/>
      <c r="O18454" s="14"/>
      <c r="P18454" s="13"/>
    </row>
    <row r="18455">
      <c r="L18455" s="13"/>
      <c r="M18455" s="14"/>
      <c r="N18455" s="14"/>
      <c r="O18455" s="14"/>
      <c r="P18455" s="13"/>
    </row>
    <row r="18456">
      <c r="L18456" s="13"/>
      <c r="M18456" s="14"/>
      <c r="N18456" s="14"/>
      <c r="O18456" s="14"/>
      <c r="P18456" s="13"/>
    </row>
    <row r="18457">
      <c r="L18457" s="13"/>
      <c r="M18457" s="14"/>
      <c r="N18457" s="14"/>
      <c r="O18457" s="14"/>
      <c r="P18457" s="13"/>
    </row>
    <row r="18458">
      <c r="L18458" s="13"/>
      <c r="M18458" s="14"/>
      <c r="N18458" s="14"/>
      <c r="O18458" s="14"/>
      <c r="P18458" s="13"/>
    </row>
    <row r="18459">
      <c r="L18459" s="13"/>
      <c r="M18459" s="14"/>
      <c r="N18459" s="14"/>
      <c r="O18459" s="14"/>
      <c r="P18459" s="13"/>
    </row>
    <row r="18460">
      <c r="L18460" s="13"/>
      <c r="M18460" s="14"/>
      <c r="N18460" s="14"/>
      <c r="O18460" s="14"/>
      <c r="P18460" s="13"/>
    </row>
    <row r="18461">
      <c r="L18461" s="13"/>
      <c r="M18461" s="14"/>
      <c r="N18461" s="14"/>
      <c r="O18461" s="14"/>
      <c r="P18461" s="13"/>
    </row>
    <row r="18462">
      <c r="L18462" s="13"/>
      <c r="M18462" s="14"/>
      <c r="N18462" s="14"/>
      <c r="O18462" s="14"/>
      <c r="P18462" s="13"/>
    </row>
    <row r="18463">
      <c r="L18463" s="13"/>
      <c r="M18463" s="14"/>
      <c r="N18463" s="14"/>
      <c r="O18463" s="14"/>
      <c r="P18463" s="13"/>
    </row>
    <row r="18464">
      <c r="L18464" s="13"/>
      <c r="M18464" s="14"/>
      <c r="N18464" s="14"/>
      <c r="O18464" s="14"/>
      <c r="P18464" s="13"/>
    </row>
    <row r="18465">
      <c r="L18465" s="13"/>
      <c r="M18465" s="14"/>
      <c r="N18465" s="14"/>
      <c r="O18465" s="14"/>
      <c r="P18465" s="13"/>
    </row>
    <row r="18466">
      <c r="L18466" s="13"/>
      <c r="M18466" s="14"/>
      <c r="N18466" s="14"/>
      <c r="O18466" s="14"/>
      <c r="P18466" s="13"/>
    </row>
    <row r="18467">
      <c r="L18467" s="13"/>
      <c r="M18467" s="14"/>
      <c r="N18467" s="14"/>
      <c r="O18467" s="14"/>
      <c r="P18467" s="13"/>
    </row>
    <row r="18468">
      <c r="L18468" s="13"/>
      <c r="M18468" s="14"/>
      <c r="N18468" s="14"/>
      <c r="O18468" s="14"/>
      <c r="P18468" s="13"/>
    </row>
    <row r="18469">
      <c r="L18469" s="13"/>
      <c r="M18469" s="14"/>
      <c r="N18469" s="14"/>
      <c r="O18469" s="14"/>
      <c r="P18469" s="13"/>
    </row>
    <row r="18470">
      <c r="L18470" s="13"/>
      <c r="M18470" s="14"/>
      <c r="N18470" s="14"/>
      <c r="O18470" s="14"/>
      <c r="P18470" s="13"/>
    </row>
    <row r="18471">
      <c r="L18471" s="13"/>
      <c r="M18471" s="14"/>
      <c r="N18471" s="14"/>
      <c r="O18471" s="14"/>
      <c r="P18471" s="13"/>
    </row>
    <row r="18472">
      <c r="L18472" s="13"/>
      <c r="M18472" s="14"/>
      <c r="N18472" s="14"/>
      <c r="O18472" s="14"/>
      <c r="P18472" s="13"/>
    </row>
    <row r="18473">
      <c r="L18473" s="13"/>
      <c r="M18473" s="14"/>
      <c r="N18473" s="14"/>
      <c r="O18473" s="14"/>
      <c r="P18473" s="13"/>
    </row>
    <row r="18474">
      <c r="L18474" s="13"/>
      <c r="M18474" s="14"/>
      <c r="N18474" s="14"/>
      <c r="O18474" s="14"/>
      <c r="P18474" s="13"/>
    </row>
    <row r="18475">
      <c r="L18475" s="13"/>
      <c r="M18475" s="14"/>
      <c r="N18475" s="14"/>
      <c r="O18475" s="14"/>
      <c r="P18475" s="13"/>
    </row>
    <row r="18476">
      <c r="L18476" s="13"/>
      <c r="M18476" s="14"/>
      <c r="N18476" s="14"/>
      <c r="O18476" s="14"/>
      <c r="P18476" s="13"/>
    </row>
    <row r="18477">
      <c r="L18477" s="13"/>
      <c r="M18477" s="14"/>
      <c r="N18477" s="14"/>
      <c r="O18477" s="14"/>
      <c r="P18477" s="13"/>
    </row>
    <row r="18478">
      <c r="L18478" s="13"/>
      <c r="M18478" s="14"/>
      <c r="N18478" s="14"/>
      <c r="O18478" s="14"/>
      <c r="P18478" s="13"/>
    </row>
    <row r="18479">
      <c r="L18479" s="13"/>
      <c r="M18479" s="14"/>
      <c r="N18479" s="14"/>
      <c r="O18479" s="14"/>
      <c r="P18479" s="13"/>
    </row>
    <row r="18480">
      <c r="L18480" s="13"/>
      <c r="M18480" s="14"/>
      <c r="N18480" s="14"/>
      <c r="O18480" s="14"/>
      <c r="P18480" s="13"/>
    </row>
    <row r="18481">
      <c r="L18481" s="13"/>
      <c r="M18481" s="14"/>
      <c r="N18481" s="14"/>
      <c r="O18481" s="14"/>
      <c r="P18481" s="13"/>
    </row>
    <row r="18482">
      <c r="L18482" s="13"/>
      <c r="M18482" s="14"/>
      <c r="N18482" s="14"/>
      <c r="O18482" s="14"/>
      <c r="P18482" s="13"/>
    </row>
    <row r="18483">
      <c r="L18483" s="13"/>
      <c r="M18483" s="14"/>
      <c r="N18483" s="14"/>
      <c r="O18483" s="14"/>
      <c r="P18483" s="13"/>
    </row>
    <row r="18484">
      <c r="L18484" s="13"/>
      <c r="M18484" s="14"/>
      <c r="N18484" s="14"/>
      <c r="O18484" s="14"/>
      <c r="P18484" s="13"/>
    </row>
    <row r="18485">
      <c r="L18485" s="13"/>
      <c r="M18485" s="14"/>
      <c r="N18485" s="14"/>
      <c r="O18485" s="14"/>
      <c r="P18485" s="13"/>
    </row>
    <row r="18486">
      <c r="L18486" s="13"/>
      <c r="M18486" s="14"/>
      <c r="N18486" s="14"/>
      <c r="O18486" s="14"/>
      <c r="P18486" s="13"/>
    </row>
    <row r="18487">
      <c r="L18487" s="13"/>
      <c r="M18487" s="14"/>
      <c r="N18487" s="14"/>
      <c r="O18487" s="14"/>
      <c r="P18487" s="13"/>
    </row>
    <row r="18488">
      <c r="L18488" s="13"/>
      <c r="M18488" s="14"/>
      <c r="N18488" s="14"/>
      <c r="O18488" s="14"/>
      <c r="P18488" s="13"/>
    </row>
    <row r="18489">
      <c r="L18489" s="13"/>
      <c r="M18489" s="14"/>
      <c r="N18489" s="14"/>
      <c r="O18489" s="14"/>
      <c r="P18489" s="13"/>
    </row>
    <row r="18490">
      <c r="L18490" s="13"/>
      <c r="M18490" s="14"/>
      <c r="N18490" s="14"/>
      <c r="O18490" s="14"/>
      <c r="P18490" s="13"/>
    </row>
    <row r="18491">
      <c r="L18491" s="13"/>
      <c r="M18491" s="14"/>
      <c r="N18491" s="14"/>
      <c r="O18491" s="14"/>
      <c r="P18491" s="13"/>
    </row>
    <row r="18492">
      <c r="L18492" s="13"/>
      <c r="M18492" s="14"/>
      <c r="N18492" s="14"/>
      <c r="O18492" s="14"/>
      <c r="P18492" s="13"/>
    </row>
    <row r="18493">
      <c r="L18493" s="13"/>
      <c r="M18493" s="14"/>
      <c r="N18493" s="14"/>
      <c r="O18493" s="14"/>
      <c r="P18493" s="13"/>
    </row>
    <row r="18494">
      <c r="L18494" s="13"/>
      <c r="M18494" s="14"/>
      <c r="N18494" s="14"/>
      <c r="O18494" s="14"/>
      <c r="P18494" s="13"/>
    </row>
    <row r="18495">
      <c r="L18495" s="13"/>
      <c r="M18495" s="14"/>
      <c r="N18495" s="14"/>
      <c r="O18495" s="14"/>
      <c r="P18495" s="13"/>
    </row>
    <row r="18496">
      <c r="L18496" s="13"/>
      <c r="M18496" s="14"/>
      <c r="N18496" s="14"/>
      <c r="O18496" s="14"/>
      <c r="P18496" s="13"/>
    </row>
    <row r="18497">
      <c r="L18497" s="13"/>
      <c r="M18497" s="14"/>
      <c r="N18497" s="14"/>
      <c r="O18497" s="14"/>
      <c r="P18497" s="13"/>
    </row>
    <row r="18498">
      <c r="L18498" s="13"/>
      <c r="M18498" s="14"/>
      <c r="N18498" s="14"/>
      <c r="O18498" s="14"/>
      <c r="P18498" s="13"/>
    </row>
    <row r="18499">
      <c r="L18499" s="13"/>
      <c r="M18499" s="14"/>
      <c r="N18499" s="14"/>
      <c r="O18499" s="14"/>
      <c r="P18499" s="13"/>
    </row>
    <row r="18500">
      <c r="L18500" s="13"/>
      <c r="M18500" s="14"/>
      <c r="N18500" s="14"/>
      <c r="O18500" s="14"/>
      <c r="P18500" s="13"/>
    </row>
    <row r="18501">
      <c r="L18501" s="13"/>
      <c r="M18501" s="14"/>
      <c r="N18501" s="14"/>
      <c r="O18501" s="14"/>
      <c r="P18501" s="13"/>
    </row>
    <row r="18502">
      <c r="L18502" s="13"/>
      <c r="M18502" s="14"/>
      <c r="N18502" s="14"/>
      <c r="O18502" s="14"/>
      <c r="P18502" s="13"/>
    </row>
    <row r="18503">
      <c r="L18503" s="13"/>
      <c r="M18503" s="14"/>
      <c r="N18503" s="14"/>
      <c r="O18503" s="14"/>
      <c r="P18503" s="13"/>
    </row>
    <row r="18504">
      <c r="L18504" s="13"/>
      <c r="M18504" s="14"/>
      <c r="N18504" s="14"/>
      <c r="O18504" s="14"/>
      <c r="P18504" s="13"/>
    </row>
    <row r="18505">
      <c r="L18505" s="13"/>
      <c r="M18505" s="14"/>
      <c r="N18505" s="14"/>
      <c r="O18505" s="14"/>
      <c r="P18505" s="13"/>
    </row>
    <row r="18506">
      <c r="L18506" s="13"/>
      <c r="M18506" s="14"/>
      <c r="N18506" s="14"/>
      <c r="O18506" s="14"/>
      <c r="P18506" s="13"/>
    </row>
    <row r="18507">
      <c r="L18507" s="13"/>
      <c r="M18507" s="14"/>
      <c r="N18507" s="14"/>
      <c r="O18507" s="14"/>
      <c r="P18507" s="13"/>
    </row>
    <row r="18508">
      <c r="L18508" s="13"/>
      <c r="M18508" s="14"/>
      <c r="N18508" s="14"/>
      <c r="O18508" s="14"/>
      <c r="P18508" s="13"/>
    </row>
    <row r="18509">
      <c r="L18509" s="13"/>
      <c r="M18509" s="14"/>
      <c r="N18509" s="14"/>
      <c r="O18509" s="14"/>
      <c r="P18509" s="13"/>
    </row>
    <row r="18510">
      <c r="L18510" s="13"/>
      <c r="M18510" s="14"/>
      <c r="N18510" s="14"/>
      <c r="O18510" s="14"/>
      <c r="P18510" s="13"/>
    </row>
    <row r="18511">
      <c r="L18511" s="13"/>
      <c r="M18511" s="14"/>
      <c r="N18511" s="14"/>
      <c r="O18511" s="14"/>
      <c r="P18511" s="13"/>
    </row>
    <row r="18512">
      <c r="L18512" s="13"/>
      <c r="M18512" s="14"/>
      <c r="N18512" s="14"/>
      <c r="O18512" s="14"/>
      <c r="P18512" s="13"/>
    </row>
    <row r="18513">
      <c r="L18513" s="13"/>
      <c r="M18513" s="14"/>
      <c r="N18513" s="14"/>
      <c r="O18513" s="14"/>
      <c r="P18513" s="13"/>
    </row>
    <row r="18514">
      <c r="L18514" s="13"/>
      <c r="M18514" s="14"/>
      <c r="N18514" s="14"/>
      <c r="O18514" s="14"/>
      <c r="P18514" s="13"/>
    </row>
    <row r="18515">
      <c r="L18515" s="13"/>
      <c r="M18515" s="14"/>
      <c r="N18515" s="14"/>
      <c r="O18515" s="14"/>
      <c r="P18515" s="13"/>
    </row>
    <row r="18516">
      <c r="L18516" s="13"/>
      <c r="M18516" s="14"/>
      <c r="N18516" s="14"/>
      <c r="O18516" s="14"/>
      <c r="P18516" s="13"/>
    </row>
    <row r="18517">
      <c r="L18517" s="13"/>
      <c r="M18517" s="14"/>
      <c r="N18517" s="14"/>
      <c r="O18517" s="14"/>
      <c r="P18517" s="13"/>
    </row>
    <row r="18518">
      <c r="L18518" s="13"/>
      <c r="M18518" s="14"/>
      <c r="N18518" s="14"/>
      <c r="O18518" s="14"/>
      <c r="P18518" s="13"/>
    </row>
    <row r="18519">
      <c r="L18519" s="13"/>
      <c r="M18519" s="14"/>
      <c r="N18519" s="14"/>
      <c r="O18519" s="14"/>
      <c r="P18519" s="13"/>
    </row>
    <row r="18520">
      <c r="L18520" s="13"/>
      <c r="M18520" s="14"/>
      <c r="N18520" s="14"/>
      <c r="O18520" s="14"/>
      <c r="P18520" s="13"/>
    </row>
    <row r="18521">
      <c r="L18521" s="13"/>
      <c r="M18521" s="14"/>
      <c r="N18521" s="14"/>
      <c r="O18521" s="14"/>
      <c r="P18521" s="13"/>
    </row>
    <row r="18522">
      <c r="L18522" s="13"/>
      <c r="M18522" s="14"/>
      <c r="N18522" s="14"/>
      <c r="O18522" s="14"/>
      <c r="P18522" s="13"/>
    </row>
    <row r="18523">
      <c r="L18523" s="13"/>
      <c r="M18523" s="14"/>
      <c r="N18523" s="14"/>
      <c r="O18523" s="14"/>
      <c r="P18523" s="13"/>
    </row>
    <row r="18524">
      <c r="L18524" s="13"/>
      <c r="M18524" s="14"/>
      <c r="N18524" s="14"/>
      <c r="O18524" s="14"/>
      <c r="P18524" s="13"/>
    </row>
    <row r="18525">
      <c r="L18525" s="13"/>
      <c r="M18525" s="14"/>
      <c r="N18525" s="14"/>
      <c r="O18525" s="14"/>
      <c r="P18525" s="13"/>
    </row>
    <row r="18526">
      <c r="L18526" s="13"/>
      <c r="M18526" s="14"/>
      <c r="N18526" s="14"/>
      <c r="O18526" s="14"/>
      <c r="P18526" s="13"/>
    </row>
    <row r="18527">
      <c r="L18527" s="13"/>
      <c r="M18527" s="14"/>
      <c r="N18527" s="14"/>
      <c r="O18527" s="14"/>
      <c r="P18527" s="13"/>
    </row>
    <row r="18528">
      <c r="L18528" s="13"/>
      <c r="M18528" s="14"/>
      <c r="N18528" s="14"/>
      <c r="O18528" s="14"/>
      <c r="P18528" s="13"/>
    </row>
    <row r="18529">
      <c r="L18529" s="13"/>
      <c r="M18529" s="14"/>
      <c r="N18529" s="14"/>
      <c r="O18529" s="14"/>
      <c r="P18529" s="13"/>
    </row>
    <row r="18530">
      <c r="L18530" s="13"/>
      <c r="M18530" s="14"/>
      <c r="N18530" s="14"/>
      <c r="O18530" s="14"/>
      <c r="P18530" s="13"/>
    </row>
    <row r="18531">
      <c r="L18531" s="13"/>
      <c r="M18531" s="14"/>
      <c r="N18531" s="14"/>
      <c r="O18531" s="14"/>
      <c r="P18531" s="13"/>
    </row>
    <row r="18532">
      <c r="L18532" s="13"/>
      <c r="M18532" s="14"/>
      <c r="N18532" s="14"/>
      <c r="O18532" s="14"/>
      <c r="P18532" s="13"/>
    </row>
    <row r="18533">
      <c r="L18533" s="13"/>
      <c r="M18533" s="14"/>
      <c r="N18533" s="14"/>
      <c r="O18533" s="14"/>
      <c r="P18533" s="13"/>
    </row>
    <row r="18534">
      <c r="L18534" s="13"/>
      <c r="M18534" s="14"/>
      <c r="N18534" s="14"/>
      <c r="O18534" s="14"/>
      <c r="P18534" s="13"/>
    </row>
    <row r="18535">
      <c r="L18535" s="13"/>
      <c r="M18535" s="14"/>
      <c r="N18535" s="14"/>
      <c r="O18535" s="14"/>
      <c r="P18535" s="13"/>
    </row>
    <row r="18536">
      <c r="L18536" s="13"/>
      <c r="M18536" s="14"/>
      <c r="N18536" s="14"/>
      <c r="O18536" s="14"/>
      <c r="P18536" s="13"/>
    </row>
    <row r="18537">
      <c r="L18537" s="13"/>
      <c r="M18537" s="14"/>
      <c r="N18537" s="14"/>
      <c r="O18537" s="14"/>
      <c r="P18537" s="13"/>
    </row>
    <row r="18538">
      <c r="L18538" s="13"/>
      <c r="M18538" s="14"/>
      <c r="N18538" s="14"/>
      <c r="O18538" s="14"/>
      <c r="P18538" s="13"/>
    </row>
    <row r="18539">
      <c r="L18539" s="13"/>
      <c r="M18539" s="14"/>
      <c r="N18539" s="14"/>
      <c r="O18539" s="14"/>
      <c r="P18539" s="13"/>
    </row>
    <row r="18540">
      <c r="L18540" s="13"/>
      <c r="M18540" s="14"/>
      <c r="N18540" s="14"/>
      <c r="O18540" s="14"/>
      <c r="P18540" s="13"/>
    </row>
    <row r="18541">
      <c r="L18541" s="13"/>
      <c r="M18541" s="14"/>
      <c r="N18541" s="14"/>
      <c r="O18541" s="14"/>
      <c r="P18541" s="13"/>
    </row>
    <row r="18542">
      <c r="L18542" s="13"/>
      <c r="M18542" s="14"/>
      <c r="N18542" s="14"/>
      <c r="O18542" s="14"/>
      <c r="P18542" s="13"/>
    </row>
    <row r="18543">
      <c r="L18543" s="13"/>
      <c r="M18543" s="14"/>
      <c r="N18543" s="14"/>
      <c r="O18543" s="14"/>
      <c r="P18543" s="13"/>
    </row>
    <row r="18544">
      <c r="L18544" s="13"/>
      <c r="M18544" s="14"/>
      <c r="N18544" s="14"/>
      <c r="O18544" s="14"/>
      <c r="P18544" s="13"/>
    </row>
    <row r="18545">
      <c r="L18545" s="13"/>
      <c r="M18545" s="14"/>
      <c r="N18545" s="14"/>
      <c r="O18545" s="14"/>
      <c r="P18545" s="13"/>
    </row>
    <row r="18546">
      <c r="L18546" s="13"/>
      <c r="M18546" s="14"/>
      <c r="N18546" s="14"/>
      <c r="O18546" s="14"/>
      <c r="P18546" s="13"/>
    </row>
    <row r="18547">
      <c r="L18547" s="13"/>
      <c r="M18547" s="14"/>
      <c r="N18547" s="14"/>
      <c r="O18547" s="14"/>
      <c r="P18547" s="13"/>
    </row>
    <row r="18548">
      <c r="L18548" s="13"/>
      <c r="M18548" s="14"/>
      <c r="N18548" s="14"/>
      <c r="O18548" s="14"/>
      <c r="P18548" s="13"/>
    </row>
    <row r="18549">
      <c r="L18549" s="13"/>
      <c r="M18549" s="14"/>
      <c r="N18549" s="14"/>
      <c r="O18549" s="14"/>
      <c r="P18549" s="13"/>
    </row>
    <row r="18550">
      <c r="L18550" s="13"/>
      <c r="M18550" s="14"/>
      <c r="N18550" s="14"/>
      <c r="O18550" s="14"/>
      <c r="P18550" s="13"/>
    </row>
    <row r="18551">
      <c r="L18551" s="13"/>
      <c r="M18551" s="14"/>
      <c r="N18551" s="14"/>
      <c r="O18551" s="14"/>
      <c r="P18551" s="13"/>
    </row>
    <row r="18552">
      <c r="L18552" s="13"/>
      <c r="M18552" s="14"/>
      <c r="N18552" s="14"/>
      <c r="O18552" s="14"/>
      <c r="P18552" s="13"/>
    </row>
    <row r="18553">
      <c r="L18553" s="13"/>
      <c r="M18553" s="14"/>
      <c r="N18553" s="14"/>
      <c r="O18553" s="14"/>
      <c r="P18553" s="13"/>
    </row>
    <row r="18554">
      <c r="L18554" s="13"/>
      <c r="M18554" s="14"/>
      <c r="N18554" s="14"/>
      <c r="O18554" s="14"/>
      <c r="P18554" s="13"/>
    </row>
    <row r="18555">
      <c r="L18555" s="13"/>
      <c r="M18555" s="14"/>
      <c r="N18555" s="14"/>
      <c r="O18555" s="14"/>
      <c r="P18555" s="13"/>
    </row>
    <row r="18556">
      <c r="L18556" s="13"/>
      <c r="M18556" s="14"/>
      <c r="N18556" s="14"/>
      <c r="O18556" s="14"/>
      <c r="P18556" s="13"/>
    </row>
    <row r="18557">
      <c r="L18557" s="13"/>
      <c r="M18557" s="14"/>
      <c r="N18557" s="14"/>
      <c r="O18557" s="14"/>
      <c r="P18557" s="13"/>
    </row>
    <row r="18558">
      <c r="L18558" s="13"/>
      <c r="M18558" s="14"/>
      <c r="N18558" s="14"/>
      <c r="O18558" s="14"/>
      <c r="P18558" s="13"/>
    </row>
    <row r="18559">
      <c r="L18559" s="13"/>
      <c r="M18559" s="14"/>
      <c r="N18559" s="14"/>
      <c r="O18559" s="14"/>
      <c r="P18559" s="13"/>
    </row>
    <row r="18560">
      <c r="L18560" s="13"/>
      <c r="M18560" s="14"/>
      <c r="N18560" s="14"/>
      <c r="O18560" s="14"/>
      <c r="P18560" s="13"/>
    </row>
    <row r="18561">
      <c r="L18561" s="13"/>
      <c r="M18561" s="14"/>
      <c r="N18561" s="14"/>
      <c r="O18561" s="14"/>
      <c r="P18561" s="13"/>
    </row>
    <row r="18562">
      <c r="L18562" s="13"/>
      <c r="M18562" s="14"/>
      <c r="N18562" s="14"/>
      <c r="O18562" s="14"/>
      <c r="P18562" s="13"/>
    </row>
    <row r="18563">
      <c r="L18563" s="13"/>
      <c r="M18563" s="14"/>
      <c r="N18563" s="14"/>
      <c r="O18563" s="14"/>
      <c r="P18563" s="13"/>
    </row>
    <row r="18564">
      <c r="L18564" s="13"/>
      <c r="M18564" s="14"/>
      <c r="N18564" s="14"/>
      <c r="O18564" s="14"/>
      <c r="P18564" s="13"/>
    </row>
    <row r="18565">
      <c r="L18565" s="13"/>
      <c r="M18565" s="14"/>
      <c r="N18565" s="14"/>
      <c r="O18565" s="14"/>
      <c r="P18565" s="13"/>
    </row>
    <row r="18566">
      <c r="L18566" s="13"/>
      <c r="M18566" s="14"/>
      <c r="N18566" s="14"/>
      <c r="O18566" s="14"/>
      <c r="P18566" s="13"/>
    </row>
    <row r="18567">
      <c r="L18567" s="13"/>
      <c r="M18567" s="14"/>
      <c r="N18567" s="14"/>
      <c r="O18567" s="14"/>
      <c r="P18567" s="13"/>
    </row>
    <row r="18568">
      <c r="L18568" s="13"/>
      <c r="M18568" s="14"/>
      <c r="N18568" s="14"/>
      <c r="O18568" s="14"/>
      <c r="P18568" s="13"/>
    </row>
    <row r="18569">
      <c r="L18569" s="13"/>
      <c r="M18569" s="14"/>
      <c r="N18569" s="14"/>
      <c r="O18569" s="14"/>
      <c r="P18569" s="13"/>
    </row>
    <row r="18570">
      <c r="L18570" s="13"/>
      <c r="M18570" s="14"/>
      <c r="N18570" s="14"/>
      <c r="O18570" s="14"/>
      <c r="P18570" s="13"/>
    </row>
    <row r="18571">
      <c r="L18571" s="13"/>
      <c r="M18571" s="14"/>
      <c r="N18571" s="14"/>
      <c r="O18571" s="14"/>
      <c r="P18571" s="13"/>
    </row>
    <row r="18572">
      <c r="L18572" s="13"/>
      <c r="M18572" s="14"/>
      <c r="N18572" s="14"/>
      <c r="O18572" s="14"/>
      <c r="P18572" s="13"/>
    </row>
    <row r="18573">
      <c r="L18573" s="13"/>
      <c r="M18573" s="14"/>
      <c r="N18573" s="14"/>
      <c r="O18573" s="14"/>
      <c r="P18573" s="13"/>
    </row>
    <row r="18574">
      <c r="L18574" s="13"/>
      <c r="M18574" s="14"/>
      <c r="N18574" s="14"/>
      <c r="O18574" s="14"/>
      <c r="P18574" s="13"/>
    </row>
    <row r="18575">
      <c r="L18575" s="13"/>
      <c r="M18575" s="14"/>
      <c r="N18575" s="14"/>
      <c r="O18575" s="14"/>
      <c r="P18575" s="13"/>
    </row>
    <row r="18576">
      <c r="L18576" s="13"/>
      <c r="M18576" s="14"/>
      <c r="N18576" s="14"/>
      <c r="O18576" s="14"/>
      <c r="P18576" s="13"/>
    </row>
    <row r="18577">
      <c r="L18577" s="13"/>
      <c r="M18577" s="14"/>
      <c r="N18577" s="14"/>
      <c r="O18577" s="14"/>
      <c r="P18577" s="13"/>
    </row>
    <row r="18578">
      <c r="L18578" s="13"/>
      <c r="M18578" s="14"/>
      <c r="N18578" s="14"/>
      <c r="O18578" s="14"/>
      <c r="P18578" s="13"/>
    </row>
    <row r="18579">
      <c r="L18579" s="13"/>
      <c r="M18579" s="14"/>
      <c r="N18579" s="14"/>
      <c r="O18579" s="14"/>
      <c r="P18579" s="13"/>
    </row>
    <row r="18580">
      <c r="L18580" s="13"/>
      <c r="M18580" s="14"/>
      <c r="N18580" s="14"/>
      <c r="O18580" s="14"/>
      <c r="P18580" s="13"/>
    </row>
    <row r="18581">
      <c r="L18581" s="13"/>
      <c r="M18581" s="14"/>
      <c r="N18581" s="14"/>
      <c r="O18581" s="14"/>
      <c r="P18581" s="13"/>
    </row>
    <row r="18582">
      <c r="L18582" s="13"/>
      <c r="M18582" s="14"/>
      <c r="N18582" s="14"/>
      <c r="O18582" s="14"/>
      <c r="P18582" s="13"/>
    </row>
    <row r="18583">
      <c r="L18583" s="13"/>
      <c r="M18583" s="14"/>
      <c r="N18583" s="14"/>
      <c r="O18583" s="14"/>
      <c r="P18583" s="13"/>
    </row>
    <row r="18584">
      <c r="L18584" s="13"/>
      <c r="M18584" s="14"/>
      <c r="N18584" s="14"/>
      <c r="O18584" s="14"/>
      <c r="P18584" s="13"/>
    </row>
    <row r="18585">
      <c r="L18585" s="13"/>
      <c r="M18585" s="14"/>
      <c r="N18585" s="14"/>
      <c r="O18585" s="14"/>
      <c r="P18585" s="13"/>
    </row>
    <row r="18586">
      <c r="L18586" s="13"/>
      <c r="M18586" s="14"/>
      <c r="N18586" s="14"/>
      <c r="O18586" s="14"/>
      <c r="P18586" s="13"/>
    </row>
    <row r="18587">
      <c r="L18587" s="13"/>
      <c r="M18587" s="14"/>
      <c r="N18587" s="14"/>
      <c r="O18587" s="14"/>
      <c r="P18587" s="13"/>
    </row>
    <row r="18588">
      <c r="L18588" s="13"/>
      <c r="M18588" s="14"/>
      <c r="N18588" s="14"/>
      <c r="O18588" s="14"/>
      <c r="P18588" s="13"/>
    </row>
    <row r="18589">
      <c r="L18589" s="13"/>
      <c r="M18589" s="14"/>
      <c r="N18589" s="14"/>
      <c r="O18589" s="14"/>
      <c r="P18589" s="13"/>
    </row>
    <row r="18590">
      <c r="L18590" s="13"/>
      <c r="M18590" s="14"/>
      <c r="N18590" s="14"/>
      <c r="O18590" s="14"/>
      <c r="P18590" s="13"/>
    </row>
    <row r="18591">
      <c r="L18591" s="13"/>
      <c r="M18591" s="14"/>
      <c r="N18591" s="14"/>
      <c r="O18591" s="14"/>
      <c r="P18591" s="13"/>
    </row>
    <row r="18592">
      <c r="L18592" s="13"/>
      <c r="M18592" s="14"/>
      <c r="N18592" s="14"/>
      <c r="O18592" s="14"/>
      <c r="P18592" s="13"/>
    </row>
    <row r="18593">
      <c r="L18593" s="13"/>
      <c r="M18593" s="14"/>
      <c r="N18593" s="14"/>
      <c r="O18593" s="14"/>
      <c r="P18593" s="13"/>
    </row>
    <row r="18594">
      <c r="L18594" s="13"/>
      <c r="M18594" s="14"/>
      <c r="N18594" s="14"/>
      <c r="O18594" s="14"/>
      <c r="P18594" s="13"/>
    </row>
    <row r="18595">
      <c r="L18595" s="13"/>
      <c r="M18595" s="14"/>
      <c r="N18595" s="14"/>
      <c r="O18595" s="14"/>
      <c r="P18595" s="13"/>
    </row>
    <row r="18596">
      <c r="L18596" s="13"/>
      <c r="M18596" s="14"/>
      <c r="N18596" s="14"/>
      <c r="O18596" s="14"/>
      <c r="P18596" s="13"/>
    </row>
    <row r="18597">
      <c r="L18597" s="13"/>
      <c r="M18597" s="14"/>
      <c r="N18597" s="14"/>
      <c r="O18597" s="14"/>
      <c r="P18597" s="13"/>
    </row>
    <row r="18598">
      <c r="L18598" s="13"/>
      <c r="M18598" s="14"/>
      <c r="N18598" s="14"/>
      <c r="O18598" s="14"/>
      <c r="P18598" s="13"/>
    </row>
    <row r="18599">
      <c r="L18599" s="13"/>
      <c r="M18599" s="14"/>
      <c r="N18599" s="14"/>
      <c r="O18599" s="14"/>
      <c r="P18599" s="13"/>
    </row>
    <row r="18600">
      <c r="L18600" s="13"/>
      <c r="M18600" s="14"/>
      <c r="N18600" s="14"/>
      <c r="O18600" s="14"/>
      <c r="P18600" s="13"/>
    </row>
    <row r="18601">
      <c r="L18601" s="13"/>
      <c r="M18601" s="14"/>
      <c r="N18601" s="14"/>
      <c r="O18601" s="14"/>
      <c r="P18601" s="13"/>
    </row>
    <row r="18602">
      <c r="L18602" s="13"/>
      <c r="M18602" s="14"/>
      <c r="N18602" s="14"/>
      <c r="O18602" s="14"/>
      <c r="P18602" s="13"/>
    </row>
    <row r="18603">
      <c r="L18603" s="13"/>
      <c r="M18603" s="14"/>
      <c r="N18603" s="14"/>
      <c r="O18603" s="14"/>
      <c r="P18603" s="13"/>
    </row>
    <row r="18604">
      <c r="L18604" s="13"/>
      <c r="M18604" s="14"/>
      <c r="N18604" s="14"/>
      <c r="O18604" s="14"/>
      <c r="P18604" s="13"/>
    </row>
    <row r="18605">
      <c r="L18605" s="13"/>
      <c r="M18605" s="14"/>
      <c r="N18605" s="14"/>
      <c r="O18605" s="14"/>
      <c r="P18605" s="13"/>
    </row>
    <row r="18606">
      <c r="L18606" s="13"/>
      <c r="M18606" s="14"/>
      <c r="N18606" s="14"/>
      <c r="O18606" s="14"/>
      <c r="P18606" s="13"/>
    </row>
    <row r="18607">
      <c r="L18607" s="13"/>
      <c r="M18607" s="14"/>
      <c r="N18607" s="14"/>
      <c r="O18607" s="14"/>
      <c r="P18607" s="13"/>
    </row>
    <row r="18608">
      <c r="L18608" s="13"/>
      <c r="M18608" s="14"/>
      <c r="N18608" s="14"/>
      <c r="O18608" s="14"/>
      <c r="P18608" s="13"/>
    </row>
    <row r="18609">
      <c r="L18609" s="13"/>
      <c r="M18609" s="14"/>
      <c r="N18609" s="14"/>
      <c r="O18609" s="14"/>
      <c r="P18609" s="13"/>
    </row>
    <row r="18610">
      <c r="L18610" s="13"/>
      <c r="M18610" s="14"/>
      <c r="N18610" s="14"/>
      <c r="O18610" s="14"/>
      <c r="P18610" s="13"/>
    </row>
    <row r="18611">
      <c r="L18611" s="13"/>
      <c r="M18611" s="14"/>
      <c r="N18611" s="14"/>
      <c r="O18611" s="14"/>
      <c r="P18611" s="13"/>
    </row>
    <row r="18612">
      <c r="L18612" s="13"/>
      <c r="M18612" s="14"/>
      <c r="N18612" s="14"/>
      <c r="O18612" s="14"/>
      <c r="P18612" s="13"/>
    </row>
    <row r="18613">
      <c r="L18613" s="13"/>
      <c r="M18613" s="14"/>
      <c r="N18613" s="14"/>
      <c r="O18613" s="14"/>
      <c r="P18613" s="13"/>
    </row>
    <row r="18614">
      <c r="L18614" s="13"/>
      <c r="M18614" s="14"/>
      <c r="N18614" s="14"/>
      <c r="O18614" s="14"/>
      <c r="P18614" s="13"/>
    </row>
    <row r="18615">
      <c r="L18615" s="13"/>
      <c r="M18615" s="14"/>
      <c r="N18615" s="14"/>
      <c r="O18615" s="14"/>
      <c r="P18615" s="13"/>
    </row>
    <row r="18616">
      <c r="L18616" s="13"/>
      <c r="M18616" s="14"/>
      <c r="N18616" s="14"/>
      <c r="O18616" s="14"/>
      <c r="P18616" s="13"/>
    </row>
    <row r="18617">
      <c r="L18617" s="13"/>
      <c r="M18617" s="14"/>
      <c r="N18617" s="14"/>
      <c r="O18617" s="14"/>
      <c r="P18617" s="13"/>
    </row>
    <row r="18618">
      <c r="L18618" s="13"/>
      <c r="M18618" s="14"/>
      <c r="N18618" s="14"/>
      <c r="O18618" s="14"/>
      <c r="P18618" s="13"/>
    </row>
    <row r="18619">
      <c r="L18619" s="13"/>
      <c r="M18619" s="14"/>
      <c r="N18619" s="14"/>
      <c r="O18619" s="14"/>
      <c r="P18619" s="13"/>
    </row>
    <row r="18620">
      <c r="L18620" s="13"/>
      <c r="M18620" s="14"/>
      <c r="N18620" s="14"/>
      <c r="O18620" s="14"/>
      <c r="P18620" s="13"/>
    </row>
    <row r="18621">
      <c r="L18621" s="13"/>
      <c r="M18621" s="14"/>
      <c r="N18621" s="14"/>
      <c r="O18621" s="14"/>
      <c r="P18621" s="13"/>
    </row>
    <row r="18622">
      <c r="L18622" s="13"/>
      <c r="M18622" s="14"/>
      <c r="N18622" s="14"/>
      <c r="O18622" s="14"/>
      <c r="P18622" s="13"/>
    </row>
    <row r="18623">
      <c r="L18623" s="13"/>
      <c r="M18623" s="14"/>
      <c r="N18623" s="14"/>
      <c r="O18623" s="14"/>
      <c r="P18623" s="13"/>
    </row>
    <row r="18624">
      <c r="L18624" s="13"/>
      <c r="M18624" s="14"/>
      <c r="N18624" s="14"/>
      <c r="O18624" s="14"/>
      <c r="P18624" s="13"/>
    </row>
    <row r="18625">
      <c r="L18625" s="13"/>
      <c r="M18625" s="14"/>
      <c r="N18625" s="14"/>
      <c r="O18625" s="14"/>
      <c r="P18625" s="13"/>
    </row>
    <row r="18626">
      <c r="L18626" s="13"/>
      <c r="M18626" s="14"/>
      <c r="N18626" s="14"/>
      <c r="O18626" s="14"/>
      <c r="P18626" s="13"/>
    </row>
    <row r="18627">
      <c r="L18627" s="13"/>
      <c r="M18627" s="14"/>
      <c r="N18627" s="14"/>
      <c r="O18627" s="14"/>
      <c r="P18627" s="13"/>
    </row>
    <row r="18628">
      <c r="L18628" s="13"/>
      <c r="M18628" s="14"/>
      <c r="N18628" s="14"/>
      <c r="O18628" s="14"/>
      <c r="P18628" s="13"/>
    </row>
    <row r="18629">
      <c r="L18629" s="13"/>
      <c r="M18629" s="14"/>
      <c r="N18629" s="14"/>
      <c r="O18629" s="14"/>
      <c r="P18629" s="13"/>
    </row>
    <row r="18630">
      <c r="L18630" s="13"/>
      <c r="M18630" s="14"/>
      <c r="N18630" s="14"/>
      <c r="O18630" s="14"/>
      <c r="P18630" s="13"/>
    </row>
    <row r="18631">
      <c r="L18631" s="13"/>
      <c r="M18631" s="14"/>
      <c r="N18631" s="14"/>
      <c r="O18631" s="14"/>
      <c r="P18631" s="13"/>
    </row>
    <row r="18632">
      <c r="L18632" s="13"/>
      <c r="M18632" s="14"/>
      <c r="N18632" s="14"/>
      <c r="O18632" s="14"/>
      <c r="P18632" s="13"/>
    </row>
    <row r="18633">
      <c r="L18633" s="13"/>
      <c r="M18633" s="14"/>
      <c r="N18633" s="14"/>
      <c r="O18633" s="14"/>
      <c r="P18633" s="13"/>
    </row>
    <row r="18634">
      <c r="L18634" s="13"/>
      <c r="M18634" s="14"/>
      <c r="N18634" s="14"/>
      <c r="O18634" s="14"/>
      <c r="P18634" s="13"/>
    </row>
    <row r="18635">
      <c r="L18635" s="13"/>
      <c r="M18635" s="14"/>
      <c r="N18635" s="14"/>
      <c r="O18635" s="14"/>
      <c r="P18635" s="13"/>
    </row>
    <row r="18636">
      <c r="L18636" s="13"/>
      <c r="M18636" s="14"/>
      <c r="N18636" s="14"/>
      <c r="O18636" s="14"/>
      <c r="P18636" s="13"/>
    </row>
    <row r="18637">
      <c r="L18637" s="13"/>
      <c r="M18637" s="14"/>
      <c r="N18637" s="14"/>
      <c r="O18637" s="14"/>
      <c r="P18637" s="13"/>
    </row>
    <row r="18638">
      <c r="L18638" s="13"/>
      <c r="M18638" s="14"/>
      <c r="N18638" s="14"/>
      <c r="O18638" s="14"/>
      <c r="P18638" s="13"/>
    </row>
    <row r="18639">
      <c r="L18639" s="13"/>
      <c r="M18639" s="14"/>
      <c r="N18639" s="14"/>
      <c r="O18639" s="14"/>
      <c r="P18639" s="13"/>
    </row>
    <row r="18640">
      <c r="L18640" s="13"/>
      <c r="M18640" s="14"/>
      <c r="N18640" s="14"/>
      <c r="O18640" s="14"/>
      <c r="P18640" s="13"/>
    </row>
    <row r="18641">
      <c r="L18641" s="13"/>
      <c r="M18641" s="14"/>
      <c r="N18641" s="14"/>
      <c r="O18641" s="14"/>
      <c r="P18641" s="13"/>
    </row>
    <row r="18642">
      <c r="L18642" s="13"/>
      <c r="M18642" s="14"/>
      <c r="N18642" s="14"/>
      <c r="O18642" s="14"/>
      <c r="P18642" s="13"/>
    </row>
    <row r="18643">
      <c r="L18643" s="13"/>
      <c r="M18643" s="14"/>
      <c r="N18643" s="14"/>
      <c r="O18643" s="14"/>
      <c r="P18643" s="13"/>
    </row>
    <row r="18644">
      <c r="L18644" s="13"/>
      <c r="M18644" s="14"/>
      <c r="N18644" s="14"/>
      <c r="O18644" s="14"/>
      <c r="P18644" s="13"/>
    </row>
    <row r="18645">
      <c r="L18645" s="13"/>
      <c r="M18645" s="14"/>
      <c r="N18645" s="14"/>
      <c r="O18645" s="14"/>
      <c r="P18645" s="13"/>
    </row>
    <row r="18646">
      <c r="L18646" s="13"/>
      <c r="M18646" s="14"/>
      <c r="N18646" s="14"/>
      <c r="O18646" s="14"/>
      <c r="P18646" s="13"/>
    </row>
    <row r="18647">
      <c r="L18647" s="13"/>
      <c r="M18647" s="14"/>
      <c r="N18647" s="14"/>
      <c r="O18647" s="14"/>
      <c r="P18647" s="13"/>
    </row>
    <row r="18648">
      <c r="L18648" s="13"/>
      <c r="M18648" s="14"/>
      <c r="N18648" s="14"/>
      <c r="O18648" s="14"/>
      <c r="P18648" s="13"/>
    </row>
    <row r="18649">
      <c r="L18649" s="13"/>
      <c r="M18649" s="14"/>
      <c r="N18649" s="14"/>
      <c r="O18649" s="14"/>
      <c r="P18649" s="13"/>
    </row>
    <row r="18650">
      <c r="L18650" s="13"/>
      <c r="M18650" s="14"/>
      <c r="N18650" s="14"/>
      <c r="O18650" s="14"/>
      <c r="P18650" s="13"/>
    </row>
    <row r="18651">
      <c r="L18651" s="13"/>
      <c r="M18651" s="14"/>
      <c r="N18651" s="14"/>
      <c r="O18651" s="14"/>
      <c r="P18651" s="13"/>
    </row>
    <row r="18652">
      <c r="L18652" s="13"/>
      <c r="M18652" s="14"/>
      <c r="N18652" s="14"/>
      <c r="O18652" s="14"/>
      <c r="P18652" s="13"/>
    </row>
    <row r="18653">
      <c r="L18653" s="13"/>
      <c r="M18653" s="14"/>
      <c r="N18653" s="14"/>
      <c r="O18653" s="14"/>
      <c r="P18653" s="13"/>
    </row>
    <row r="18654">
      <c r="L18654" s="13"/>
      <c r="M18654" s="14"/>
      <c r="N18654" s="14"/>
      <c r="O18654" s="14"/>
      <c r="P18654" s="13"/>
    </row>
    <row r="18655">
      <c r="L18655" s="13"/>
      <c r="M18655" s="14"/>
      <c r="N18655" s="14"/>
      <c r="O18655" s="14"/>
      <c r="P18655" s="13"/>
    </row>
    <row r="18656">
      <c r="L18656" s="13"/>
      <c r="M18656" s="14"/>
      <c r="N18656" s="14"/>
      <c r="O18656" s="14"/>
      <c r="P18656" s="13"/>
    </row>
    <row r="18657">
      <c r="L18657" s="13"/>
      <c r="M18657" s="14"/>
      <c r="N18657" s="14"/>
      <c r="O18657" s="14"/>
      <c r="P18657" s="13"/>
    </row>
    <row r="18658">
      <c r="L18658" s="13"/>
      <c r="M18658" s="14"/>
      <c r="N18658" s="14"/>
      <c r="O18658" s="14"/>
      <c r="P18658" s="13"/>
    </row>
    <row r="18659">
      <c r="L18659" s="13"/>
      <c r="M18659" s="14"/>
      <c r="N18659" s="14"/>
      <c r="O18659" s="14"/>
      <c r="P18659" s="13"/>
    </row>
    <row r="18660">
      <c r="L18660" s="13"/>
      <c r="M18660" s="14"/>
      <c r="N18660" s="14"/>
      <c r="O18660" s="14"/>
      <c r="P18660" s="13"/>
    </row>
    <row r="18661">
      <c r="L18661" s="13"/>
      <c r="M18661" s="14"/>
      <c r="N18661" s="14"/>
      <c r="O18661" s="14"/>
      <c r="P18661" s="13"/>
    </row>
    <row r="18662">
      <c r="L18662" s="13"/>
      <c r="M18662" s="14"/>
      <c r="N18662" s="14"/>
      <c r="O18662" s="14"/>
      <c r="P18662" s="13"/>
    </row>
    <row r="18663">
      <c r="L18663" s="13"/>
      <c r="M18663" s="14"/>
      <c r="N18663" s="14"/>
      <c r="O18663" s="14"/>
      <c r="P18663" s="13"/>
    </row>
    <row r="18664">
      <c r="L18664" s="13"/>
      <c r="M18664" s="14"/>
      <c r="N18664" s="14"/>
      <c r="O18664" s="14"/>
      <c r="P18664" s="13"/>
    </row>
    <row r="18665">
      <c r="L18665" s="13"/>
      <c r="M18665" s="14"/>
      <c r="N18665" s="14"/>
      <c r="O18665" s="14"/>
      <c r="P18665" s="13"/>
    </row>
    <row r="18666">
      <c r="L18666" s="13"/>
      <c r="M18666" s="14"/>
      <c r="N18666" s="14"/>
      <c r="O18666" s="14"/>
      <c r="P18666" s="13"/>
    </row>
    <row r="18667">
      <c r="L18667" s="13"/>
      <c r="M18667" s="14"/>
      <c r="N18667" s="14"/>
      <c r="O18667" s="14"/>
      <c r="P18667" s="13"/>
    </row>
    <row r="18668">
      <c r="L18668" s="13"/>
      <c r="M18668" s="14"/>
      <c r="N18668" s="14"/>
      <c r="O18668" s="14"/>
      <c r="P18668" s="13"/>
    </row>
    <row r="18669">
      <c r="L18669" s="13"/>
      <c r="M18669" s="14"/>
      <c r="N18669" s="14"/>
      <c r="O18669" s="14"/>
      <c r="P18669" s="13"/>
    </row>
    <row r="18670">
      <c r="L18670" s="13"/>
      <c r="M18670" s="14"/>
      <c r="N18670" s="14"/>
      <c r="O18670" s="14"/>
      <c r="P18670" s="13"/>
    </row>
    <row r="18671">
      <c r="L18671" s="13"/>
      <c r="M18671" s="14"/>
      <c r="N18671" s="14"/>
      <c r="O18671" s="14"/>
      <c r="P18671" s="13"/>
    </row>
    <row r="18672">
      <c r="L18672" s="13"/>
      <c r="M18672" s="14"/>
      <c r="N18672" s="14"/>
      <c r="O18672" s="14"/>
      <c r="P18672" s="13"/>
    </row>
    <row r="18673">
      <c r="L18673" s="13"/>
      <c r="M18673" s="14"/>
      <c r="N18673" s="14"/>
      <c r="O18673" s="14"/>
      <c r="P18673" s="13"/>
    </row>
    <row r="18674">
      <c r="L18674" s="13"/>
      <c r="M18674" s="14"/>
      <c r="N18674" s="14"/>
      <c r="O18674" s="14"/>
      <c r="P18674" s="13"/>
    </row>
    <row r="18675">
      <c r="L18675" s="13"/>
      <c r="M18675" s="14"/>
      <c r="N18675" s="14"/>
      <c r="O18675" s="14"/>
      <c r="P18675" s="13"/>
    </row>
    <row r="18676">
      <c r="L18676" s="13"/>
      <c r="M18676" s="14"/>
      <c r="N18676" s="14"/>
      <c r="O18676" s="14"/>
      <c r="P18676" s="13"/>
    </row>
    <row r="18677">
      <c r="L18677" s="13"/>
      <c r="M18677" s="14"/>
      <c r="N18677" s="14"/>
      <c r="O18677" s="14"/>
      <c r="P18677" s="13"/>
    </row>
    <row r="18678">
      <c r="L18678" s="13"/>
      <c r="M18678" s="14"/>
      <c r="N18678" s="14"/>
      <c r="O18678" s="14"/>
      <c r="P18678" s="13"/>
    </row>
    <row r="18679">
      <c r="L18679" s="13"/>
      <c r="M18679" s="14"/>
      <c r="N18679" s="14"/>
      <c r="O18679" s="14"/>
      <c r="P18679" s="13"/>
    </row>
    <row r="18680">
      <c r="L18680" s="13"/>
      <c r="M18680" s="14"/>
      <c r="N18680" s="14"/>
      <c r="O18680" s="14"/>
      <c r="P18680" s="13"/>
    </row>
    <row r="18681">
      <c r="L18681" s="13"/>
      <c r="M18681" s="14"/>
      <c r="N18681" s="14"/>
      <c r="O18681" s="14"/>
      <c r="P18681" s="13"/>
    </row>
    <row r="18682">
      <c r="L18682" s="13"/>
      <c r="M18682" s="14"/>
      <c r="N18682" s="14"/>
      <c r="O18682" s="14"/>
      <c r="P18682" s="13"/>
    </row>
    <row r="18683">
      <c r="L18683" s="13"/>
      <c r="M18683" s="14"/>
      <c r="N18683" s="14"/>
      <c r="O18683" s="14"/>
      <c r="P18683" s="13"/>
    </row>
    <row r="18684">
      <c r="L18684" s="13"/>
      <c r="M18684" s="14"/>
      <c r="N18684" s="14"/>
      <c r="O18684" s="14"/>
      <c r="P18684" s="13"/>
    </row>
    <row r="18685">
      <c r="L18685" s="13"/>
      <c r="M18685" s="14"/>
      <c r="N18685" s="14"/>
      <c r="O18685" s="14"/>
      <c r="P18685" s="13"/>
    </row>
    <row r="18686">
      <c r="L18686" s="13"/>
      <c r="M18686" s="14"/>
      <c r="N18686" s="14"/>
      <c r="O18686" s="14"/>
      <c r="P18686" s="13"/>
    </row>
    <row r="18687">
      <c r="L18687" s="13"/>
      <c r="M18687" s="14"/>
      <c r="N18687" s="14"/>
      <c r="O18687" s="14"/>
      <c r="P18687" s="13"/>
    </row>
    <row r="18688">
      <c r="L18688" s="13"/>
      <c r="M18688" s="14"/>
      <c r="N18688" s="14"/>
      <c r="O18688" s="14"/>
      <c r="P18688" s="13"/>
    </row>
    <row r="18689">
      <c r="L18689" s="13"/>
      <c r="M18689" s="14"/>
      <c r="N18689" s="14"/>
      <c r="O18689" s="14"/>
      <c r="P18689" s="13"/>
    </row>
    <row r="18690">
      <c r="L18690" s="13"/>
      <c r="M18690" s="14"/>
      <c r="N18690" s="14"/>
      <c r="O18690" s="14"/>
      <c r="P18690" s="13"/>
    </row>
    <row r="18691">
      <c r="L18691" s="13"/>
      <c r="M18691" s="14"/>
      <c r="N18691" s="14"/>
      <c r="O18691" s="14"/>
      <c r="P18691" s="13"/>
    </row>
    <row r="18692">
      <c r="L18692" s="13"/>
      <c r="M18692" s="14"/>
      <c r="N18692" s="14"/>
      <c r="O18692" s="14"/>
      <c r="P18692" s="13"/>
    </row>
    <row r="18693">
      <c r="L18693" s="13"/>
      <c r="M18693" s="14"/>
      <c r="N18693" s="14"/>
      <c r="O18693" s="14"/>
      <c r="P18693" s="13"/>
    </row>
    <row r="18694">
      <c r="L18694" s="13"/>
      <c r="M18694" s="14"/>
      <c r="N18694" s="14"/>
      <c r="O18694" s="14"/>
      <c r="P18694" s="13"/>
    </row>
    <row r="18695">
      <c r="L18695" s="13"/>
      <c r="M18695" s="14"/>
      <c r="N18695" s="14"/>
      <c r="O18695" s="14"/>
      <c r="P18695" s="13"/>
    </row>
    <row r="18696">
      <c r="L18696" s="13"/>
      <c r="M18696" s="14"/>
      <c r="N18696" s="14"/>
      <c r="O18696" s="14"/>
      <c r="P18696" s="13"/>
    </row>
    <row r="18697">
      <c r="L18697" s="13"/>
      <c r="M18697" s="14"/>
      <c r="N18697" s="14"/>
      <c r="O18697" s="14"/>
      <c r="P18697" s="13"/>
    </row>
    <row r="18698">
      <c r="L18698" s="13"/>
      <c r="M18698" s="14"/>
      <c r="N18698" s="14"/>
      <c r="O18698" s="14"/>
      <c r="P18698" s="13"/>
    </row>
    <row r="18699">
      <c r="L18699" s="13"/>
      <c r="M18699" s="14"/>
      <c r="N18699" s="14"/>
      <c r="O18699" s="14"/>
      <c r="P18699" s="13"/>
    </row>
    <row r="18700">
      <c r="L18700" s="13"/>
      <c r="M18700" s="14"/>
      <c r="N18700" s="14"/>
      <c r="O18700" s="14"/>
      <c r="P18700" s="13"/>
    </row>
    <row r="18701">
      <c r="L18701" s="13"/>
      <c r="M18701" s="14"/>
      <c r="N18701" s="14"/>
      <c r="O18701" s="14"/>
      <c r="P18701" s="13"/>
    </row>
    <row r="18702">
      <c r="L18702" s="13"/>
      <c r="M18702" s="14"/>
      <c r="N18702" s="14"/>
      <c r="O18702" s="14"/>
      <c r="P18702" s="13"/>
    </row>
    <row r="18703">
      <c r="L18703" s="13"/>
      <c r="M18703" s="14"/>
      <c r="N18703" s="14"/>
      <c r="O18703" s="14"/>
      <c r="P18703" s="13"/>
    </row>
    <row r="18704">
      <c r="L18704" s="13"/>
      <c r="M18704" s="14"/>
      <c r="N18704" s="14"/>
      <c r="O18704" s="14"/>
      <c r="P18704" s="13"/>
    </row>
    <row r="18705">
      <c r="L18705" s="13"/>
      <c r="M18705" s="14"/>
      <c r="N18705" s="14"/>
      <c r="O18705" s="14"/>
      <c r="P18705" s="13"/>
    </row>
    <row r="18706">
      <c r="L18706" s="13"/>
      <c r="M18706" s="14"/>
      <c r="N18706" s="14"/>
      <c r="O18706" s="14"/>
      <c r="P18706" s="13"/>
    </row>
    <row r="18707">
      <c r="L18707" s="13"/>
      <c r="M18707" s="14"/>
      <c r="N18707" s="14"/>
      <c r="O18707" s="14"/>
      <c r="P18707" s="13"/>
    </row>
    <row r="18708">
      <c r="L18708" s="13"/>
      <c r="M18708" s="14"/>
      <c r="N18708" s="14"/>
      <c r="O18708" s="14"/>
      <c r="P18708" s="13"/>
    </row>
    <row r="18709">
      <c r="L18709" s="13"/>
      <c r="M18709" s="14"/>
      <c r="N18709" s="14"/>
      <c r="O18709" s="14"/>
      <c r="P18709" s="13"/>
    </row>
    <row r="18710">
      <c r="L18710" s="13"/>
      <c r="M18710" s="14"/>
      <c r="N18710" s="14"/>
      <c r="O18710" s="14"/>
      <c r="P18710" s="13"/>
    </row>
    <row r="18711">
      <c r="L18711" s="13"/>
      <c r="M18711" s="14"/>
      <c r="N18711" s="14"/>
      <c r="O18711" s="14"/>
      <c r="P18711" s="13"/>
    </row>
    <row r="18712">
      <c r="L18712" s="13"/>
      <c r="M18712" s="14"/>
      <c r="N18712" s="14"/>
      <c r="O18712" s="14"/>
      <c r="P18712" s="13"/>
    </row>
    <row r="18713">
      <c r="L18713" s="13"/>
      <c r="M18713" s="14"/>
      <c r="N18713" s="14"/>
      <c r="O18713" s="14"/>
      <c r="P18713" s="13"/>
    </row>
    <row r="18714">
      <c r="L18714" s="13"/>
      <c r="M18714" s="14"/>
      <c r="N18714" s="14"/>
      <c r="O18714" s="14"/>
      <c r="P18714" s="13"/>
    </row>
    <row r="18715">
      <c r="L18715" s="13"/>
      <c r="M18715" s="14"/>
      <c r="N18715" s="14"/>
      <c r="O18715" s="14"/>
      <c r="P18715" s="13"/>
    </row>
    <row r="18716">
      <c r="L18716" s="13"/>
      <c r="M18716" s="14"/>
      <c r="N18716" s="14"/>
      <c r="O18716" s="14"/>
      <c r="P18716" s="13"/>
    </row>
    <row r="18717">
      <c r="L18717" s="13"/>
      <c r="M18717" s="14"/>
      <c r="N18717" s="14"/>
      <c r="O18717" s="14"/>
      <c r="P18717" s="13"/>
    </row>
    <row r="18718">
      <c r="L18718" s="13"/>
      <c r="M18718" s="14"/>
      <c r="N18718" s="14"/>
      <c r="O18718" s="14"/>
      <c r="P18718" s="13"/>
    </row>
    <row r="18719">
      <c r="L18719" s="13"/>
      <c r="M18719" s="14"/>
      <c r="N18719" s="14"/>
      <c r="O18719" s="14"/>
      <c r="P18719" s="13"/>
    </row>
    <row r="18720">
      <c r="L18720" s="13"/>
      <c r="M18720" s="14"/>
      <c r="N18720" s="14"/>
      <c r="O18720" s="14"/>
      <c r="P18720" s="13"/>
    </row>
    <row r="18721">
      <c r="L18721" s="13"/>
      <c r="M18721" s="14"/>
      <c r="N18721" s="14"/>
      <c r="O18721" s="14"/>
      <c r="P18721" s="13"/>
    </row>
    <row r="18722">
      <c r="L18722" s="13"/>
      <c r="M18722" s="14"/>
      <c r="N18722" s="14"/>
      <c r="O18722" s="14"/>
      <c r="P18722" s="13"/>
    </row>
    <row r="18723">
      <c r="L18723" s="13"/>
      <c r="M18723" s="14"/>
      <c r="N18723" s="14"/>
      <c r="O18723" s="14"/>
      <c r="P18723" s="13"/>
    </row>
    <row r="18724">
      <c r="L18724" s="13"/>
      <c r="M18724" s="14"/>
      <c r="N18724" s="14"/>
      <c r="O18724" s="14"/>
      <c r="P18724" s="13"/>
    </row>
    <row r="18725">
      <c r="L18725" s="13"/>
      <c r="M18725" s="14"/>
      <c r="N18725" s="14"/>
      <c r="O18725" s="14"/>
      <c r="P18725" s="13"/>
    </row>
    <row r="18726">
      <c r="L18726" s="13"/>
      <c r="M18726" s="14"/>
      <c r="N18726" s="14"/>
      <c r="O18726" s="14"/>
      <c r="P18726" s="13"/>
    </row>
    <row r="18727">
      <c r="L18727" s="13"/>
      <c r="M18727" s="14"/>
      <c r="N18727" s="14"/>
      <c r="O18727" s="14"/>
      <c r="P18727" s="13"/>
    </row>
    <row r="18728">
      <c r="L18728" s="13"/>
      <c r="M18728" s="14"/>
      <c r="N18728" s="14"/>
      <c r="O18728" s="14"/>
      <c r="P18728" s="13"/>
    </row>
    <row r="18729">
      <c r="L18729" s="13"/>
      <c r="M18729" s="14"/>
      <c r="N18729" s="14"/>
      <c r="O18729" s="14"/>
      <c r="P18729" s="13"/>
    </row>
    <row r="18730">
      <c r="L18730" s="13"/>
      <c r="M18730" s="14"/>
      <c r="N18730" s="14"/>
      <c r="O18730" s="14"/>
      <c r="P18730" s="13"/>
    </row>
    <row r="18731">
      <c r="L18731" s="13"/>
      <c r="M18731" s="14"/>
      <c r="N18731" s="14"/>
      <c r="O18731" s="14"/>
      <c r="P18731" s="13"/>
    </row>
    <row r="18732">
      <c r="L18732" s="13"/>
      <c r="M18732" s="14"/>
      <c r="N18732" s="14"/>
      <c r="O18732" s="14"/>
      <c r="P18732" s="13"/>
    </row>
    <row r="18733">
      <c r="L18733" s="13"/>
      <c r="M18733" s="14"/>
      <c r="N18733" s="14"/>
      <c r="O18733" s="14"/>
      <c r="P18733" s="13"/>
    </row>
    <row r="18734">
      <c r="L18734" s="13"/>
      <c r="M18734" s="14"/>
      <c r="N18734" s="14"/>
      <c r="O18734" s="14"/>
      <c r="P18734" s="13"/>
    </row>
    <row r="18735">
      <c r="L18735" s="13"/>
      <c r="M18735" s="14"/>
      <c r="N18735" s="14"/>
      <c r="O18735" s="14"/>
      <c r="P18735" s="13"/>
    </row>
    <row r="18736">
      <c r="L18736" s="13"/>
      <c r="M18736" s="14"/>
      <c r="N18736" s="14"/>
      <c r="O18736" s="14"/>
      <c r="P18736" s="13"/>
    </row>
    <row r="18737">
      <c r="L18737" s="13"/>
      <c r="M18737" s="14"/>
      <c r="N18737" s="14"/>
      <c r="O18737" s="14"/>
      <c r="P18737" s="13"/>
    </row>
    <row r="18738">
      <c r="L18738" s="13"/>
      <c r="M18738" s="14"/>
      <c r="N18738" s="14"/>
      <c r="O18738" s="14"/>
      <c r="P18738" s="13"/>
    </row>
    <row r="18739">
      <c r="L18739" s="13"/>
      <c r="M18739" s="14"/>
      <c r="N18739" s="14"/>
      <c r="O18739" s="14"/>
      <c r="P18739" s="13"/>
    </row>
    <row r="18740">
      <c r="L18740" s="13"/>
      <c r="M18740" s="14"/>
      <c r="N18740" s="14"/>
      <c r="O18740" s="14"/>
      <c r="P18740" s="13"/>
    </row>
    <row r="18741">
      <c r="L18741" s="13"/>
      <c r="M18741" s="14"/>
      <c r="N18741" s="14"/>
      <c r="O18741" s="14"/>
      <c r="P18741" s="13"/>
    </row>
    <row r="18742">
      <c r="L18742" s="13"/>
      <c r="M18742" s="14"/>
      <c r="N18742" s="14"/>
      <c r="O18742" s="14"/>
      <c r="P18742" s="13"/>
    </row>
    <row r="18743">
      <c r="L18743" s="13"/>
      <c r="M18743" s="14"/>
      <c r="N18743" s="14"/>
      <c r="O18743" s="14"/>
      <c r="P18743" s="13"/>
    </row>
    <row r="18744">
      <c r="L18744" s="13"/>
      <c r="M18744" s="14"/>
      <c r="N18744" s="14"/>
      <c r="O18744" s="14"/>
      <c r="P18744" s="13"/>
    </row>
    <row r="18745">
      <c r="L18745" s="13"/>
      <c r="M18745" s="14"/>
      <c r="N18745" s="14"/>
      <c r="O18745" s="14"/>
      <c r="P18745" s="13"/>
    </row>
    <row r="18746">
      <c r="L18746" s="13"/>
      <c r="M18746" s="14"/>
      <c r="N18746" s="14"/>
      <c r="O18746" s="14"/>
      <c r="P18746" s="13"/>
    </row>
    <row r="18747">
      <c r="L18747" s="13"/>
      <c r="M18747" s="14"/>
      <c r="N18747" s="14"/>
      <c r="O18747" s="14"/>
      <c r="P18747" s="13"/>
    </row>
    <row r="18748">
      <c r="L18748" s="13"/>
      <c r="M18748" s="14"/>
      <c r="N18748" s="14"/>
      <c r="O18748" s="14"/>
      <c r="P18748" s="13"/>
    </row>
    <row r="18749">
      <c r="L18749" s="13"/>
      <c r="M18749" s="14"/>
      <c r="N18749" s="14"/>
      <c r="O18749" s="14"/>
      <c r="P18749" s="13"/>
    </row>
    <row r="18750">
      <c r="L18750" s="13"/>
      <c r="M18750" s="14"/>
      <c r="N18750" s="14"/>
      <c r="O18750" s="14"/>
      <c r="P18750" s="13"/>
    </row>
    <row r="18751">
      <c r="L18751" s="13"/>
      <c r="M18751" s="14"/>
      <c r="N18751" s="14"/>
      <c r="O18751" s="14"/>
      <c r="P18751" s="13"/>
    </row>
    <row r="18752">
      <c r="L18752" s="13"/>
      <c r="M18752" s="14"/>
      <c r="N18752" s="14"/>
      <c r="O18752" s="14"/>
      <c r="P18752" s="13"/>
    </row>
    <row r="18753">
      <c r="L18753" s="13"/>
      <c r="M18753" s="14"/>
      <c r="N18753" s="14"/>
      <c r="O18753" s="14"/>
      <c r="P18753" s="13"/>
    </row>
    <row r="18754">
      <c r="L18754" s="13"/>
      <c r="M18754" s="14"/>
      <c r="N18754" s="14"/>
      <c r="O18754" s="14"/>
      <c r="P18754" s="13"/>
    </row>
    <row r="18755">
      <c r="L18755" s="13"/>
      <c r="M18755" s="14"/>
      <c r="N18755" s="14"/>
      <c r="O18755" s="14"/>
      <c r="P18755" s="13"/>
    </row>
    <row r="18756">
      <c r="L18756" s="13"/>
      <c r="M18756" s="14"/>
      <c r="N18756" s="14"/>
      <c r="O18756" s="14"/>
      <c r="P18756" s="13"/>
    </row>
    <row r="18757">
      <c r="L18757" s="13"/>
      <c r="M18757" s="14"/>
      <c r="N18757" s="14"/>
      <c r="O18757" s="14"/>
      <c r="P18757" s="13"/>
    </row>
    <row r="18758">
      <c r="L18758" s="13"/>
      <c r="M18758" s="14"/>
      <c r="N18758" s="14"/>
      <c r="O18758" s="14"/>
      <c r="P18758" s="13"/>
    </row>
    <row r="18759">
      <c r="L18759" s="13"/>
      <c r="M18759" s="14"/>
      <c r="N18759" s="14"/>
      <c r="O18759" s="14"/>
      <c r="P18759" s="13"/>
    </row>
    <row r="18760">
      <c r="L18760" s="13"/>
      <c r="M18760" s="14"/>
      <c r="N18760" s="14"/>
      <c r="O18760" s="14"/>
      <c r="P18760" s="13"/>
    </row>
    <row r="18761">
      <c r="L18761" s="13"/>
      <c r="M18761" s="14"/>
      <c r="N18761" s="14"/>
      <c r="O18761" s="14"/>
      <c r="P18761" s="13"/>
    </row>
    <row r="18762">
      <c r="L18762" s="13"/>
      <c r="M18762" s="14"/>
      <c r="N18762" s="14"/>
      <c r="O18762" s="14"/>
      <c r="P18762" s="13"/>
    </row>
    <row r="18763">
      <c r="L18763" s="13"/>
      <c r="M18763" s="14"/>
      <c r="N18763" s="14"/>
      <c r="O18763" s="14"/>
      <c r="P18763" s="13"/>
    </row>
    <row r="18764">
      <c r="L18764" s="13"/>
      <c r="M18764" s="14"/>
      <c r="N18764" s="14"/>
      <c r="O18764" s="14"/>
      <c r="P18764" s="13"/>
    </row>
    <row r="18765">
      <c r="L18765" s="13"/>
      <c r="M18765" s="14"/>
      <c r="N18765" s="14"/>
      <c r="O18765" s="14"/>
      <c r="P18765" s="13"/>
    </row>
    <row r="18766">
      <c r="L18766" s="13"/>
      <c r="M18766" s="14"/>
      <c r="N18766" s="14"/>
      <c r="O18766" s="14"/>
      <c r="P18766" s="13"/>
    </row>
    <row r="18767">
      <c r="L18767" s="13"/>
      <c r="M18767" s="14"/>
      <c r="N18767" s="14"/>
      <c r="O18767" s="14"/>
      <c r="P18767" s="13"/>
    </row>
    <row r="18768">
      <c r="L18768" s="13"/>
      <c r="M18768" s="14"/>
      <c r="N18768" s="14"/>
      <c r="O18768" s="14"/>
      <c r="P18768" s="13"/>
    </row>
    <row r="18769">
      <c r="L18769" s="13"/>
      <c r="M18769" s="14"/>
      <c r="N18769" s="14"/>
      <c r="O18769" s="14"/>
      <c r="P18769" s="13"/>
    </row>
    <row r="18770">
      <c r="L18770" s="13"/>
      <c r="M18770" s="14"/>
      <c r="N18770" s="14"/>
      <c r="O18770" s="14"/>
      <c r="P18770" s="13"/>
    </row>
    <row r="18771">
      <c r="L18771" s="13"/>
      <c r="M18771" s="14"/>
      <c r="N18771" s="14"/>
      <c r="O18771" s="14"/>
      <c r="P18771" s="13"/>
    </row>
    <row r="18772">
      <c r="L18772" s="13"/>
      <c r="M18772" s="14"/>
      <c r="N18772" s="14"/>
      <c r="O18772" s="14"/>
      <c r="P18772" s="13"/>
    </row>
    <row r="18773">
      <c r="L18773" s="13"/>
      <c r="M18773" s="14"/>
      <c r="N18773" s="14"/>
      <c r="O18773" s="14"/>
      <c r="P18773" s="13"/>
    </row>
    <row r="18774">
      <c r="L18774" s="13"/>
      <c r="M18774" s="14"/>
      <c r="N18774" s="14"/>
      <c r="O18774" s="14"/>
      <c r="P18774" s="13"/>
    </row>
    <row r="18775">
      <c r="L18775" s="13"/>
      <c r="M18775" s="14"/>
      <c r="N18775" s="14"/>
      <c r="O18775" s="14"/>
      <c r="P18775" s="13"/>
    </row>
    <row r="18776">
      <c r="L18776" s="13"/>
      <c r="M18776" s="14"/>
      <c r="N18776" s="14"/>
      <c r="O18776" s="14"/>
      <c r="P18776" s="13"/>
    </row>
    <row r="18777">
      <c r="L18777" s="13"/>
      <c r="M18777" s="14"/>
      <c r="N18777" s="14"/>
      <c r="O18777" s="14"/>
      <c r="P18777" s="13"/>
    </row>
    <row r="18778">
      <c r="L18778" s="13"/>
      <c r="M18778" s="14"/>
      <c r="N18778" s="14"/>
      <c r="O18778" s="14"/>
      <c r="P18778" s="13"/>
    </row>
    <row r="18779">
      <c r="L18779" s="13"/>
      <c r="M18779" s="14"/>
      <c r="N18779" s="14"/>
      <c r="O18779" s="14"/>
      <c r="P18779" s="13"/>
    </row>
    <row r="18780">
      <c r="L18780" s="13"/>
      <c r="M18780" s="14"/>
      <c r="N18780" s="14"/>
      <c r="O18780" s="14"/>
      <c r="P18780" s="13"/>
    </row>
    <row r="18781">
      <c r="L18781" s="13"/>
      <c r="M18781" s="14"/>
      <c r="N18781" s="14"/>
      <c r="O18781" s="14"/>
      <c r="P18781" s="13"/>
    </row>
    <row r="18782">
      <c r="L18782" s="13"/>
      <c r="M18782" s="14"/>
      <c r="N18782" s="14"/>
      <c r="O18782" s="14"/>
      <c r="P18782" s="13"/>
    </row>
    <row r="18783">
      <c r="L18783" s="13"/>
      <c r="M18783" s="14"/>
      <c r="N18783" s="14"/>
      <c r="O18783" s="14"/>
      <c r="P18783" s="13"/>
    </row>
    <row r="18784">
      <c r="L18784" s="13"/>
      <c r="M18784" s="14"/>
      <c r="N18784" s="14"/>
      <c r="O18784" s="14"/>
      <c r="P18784" s="13"/>
    </row>
    <row r="18785">
      <c r="L18785" s="13"/>
      <c r="M18785" s="14"/>
      <c r="N18785" s="14"/>
      <c r="O18785" s="14"/>
      <c r="P18785" s="13"/>
    </row>
    <row r="18786">
      <c r="L18786" s="13"/>
      <c r="M18786" s="14"/>
      <c r="N18786" s="14"/>
      <c r="O18786" s="14"/>
      <c r="P18786" s="13"/>
    </row>
    <row r="18787">
      <c r="L18787" s="13"/>
      <c r="M18787" s="14"/>
      <c r="N18787" s="14"/>
      <c r="O18787" s="14"/>
      <c r="P18787" s="13"/>
    </row>
    <row r="18788">
      <c r="L18788" s="13"/>
      <c r="M18788" s="14"/>
      <c r="N18788" s="14"/>
      <c r="O18788" s="14"/>
      <c r="P18788" s="13"/>
    </row>
    <row r="18789">
      <c r="L18789" s="13"/>
      <c r="M18789" s="14"/>
      <c r="N18789" s="14"/>
      <c r="O18789" s="14"/>
      <c r="P18789" s="13"/>
    </row>
    <row r="18790">
      <c r="L18790" s="13"/>
      <c r="M18790" s="14"/>
      <c r="N18790" s="14"/>
      <c r="O18790" s="14"/>
      <c r="P18790" s="13"/>
    </row>
    <row r="18791">
      <c r="L18791" s="13"/>
      <c r="M18791" s="14"/>
      <c r="N18791" s="14"/>
      <c r="O18791" s="14"/>
      <c r="P18791" s="13"/>
    </row>
    <row r="18792">
      <c r="L18792" s="13"/>
      <c r="M18792" s="14"/>
      <c r="N18792" s="14"/>
      <c r="O18792" s="14"/>
      <c r="P18792" s="13"/>
    </row>
    <row r="18793">
      <c r="L18793" s="13"/>
      <c r="M18793" s="14"/>
      <c r="N18793" s="14"/>
      <c r="O18793" s="14"/>
      <c r="P18793" s="13"/>
    </row>
    <row r="18794">
      <c r="L18794" s="13"/>
      <c r="M18794" s="14"/>
      <c r="N18794" s="14"/>
      <c r="O18794" s="14"/>
      <c r="P18794" s="13"/>
    </row>
    <row r="18795">
      <c r="L18795" s="13"/>
      <c r="M18795" s="14"/>
      <c r="N18795" s="14"/>
      <c r="O18795" s="14"/>
      <c r="P18795" s="13"/>
    </row>
    <row r="18796">
      <c r="L18796" s="13"/>
      <c r="M18796" s="14"/>
      <c r="N18796" s="14"/>
      <c r="O18796" s="14"/>
      <c r="P18796" s="13"/>
    </row>
    <row r="18797">
      <c r="L18797" s="13"/>
      <c r="M18797" s="14"/>
      <c r="N18797" s="14"/>
      <c r="O18797" s="14"/>
      <c r="P18797" s="13"/>
    </row>
    <row r="18798">
      <c r="L18798" s="13"/>
      <c r="M18798" s="14"/>
      <c r="N18798" s="14"/>
      <c r="O18798" s="14"/>
      <c r="P18798" s="13"/>
    </row>
    <row r="18799">
      <c r="L18799" s="13"/>
      <c r="M18799" s="14"/>
      <c r="N18799" s="14"/>
      <c r="O18799" s="14"/>
      <c r="P18799" s="13"/>
    </row>
    <row r="18800">
      <c r="L18800" s="13"/>
      <c r="M18800" s="14"/>
      <c r="N18800" s="14"/>
      <c r="O18800" s="14"/>
      <c r="P18800" s="13"/>
    </row>
    <row r="18801">
      <c r="L18801" s="13"/>
      <c r="M18801" s="14"/>
      <c r="N18801" s="14"/>
      <c r="O18801" s="14"/>
      <c r="P18801" s="13"/>
    </row>
    <row r="18802">
      <c r="L18802" s="13"/>
      <c r="M18802" s="14"/>
      <c r="N18802" s="14"/>
      <c r="O18802" s="14"/>
      <c r="P18802" s="13"/>
    </row>
    <row r="18803">
      <c r="L18803" s="13"/>
      <c r="M18803" s="14"/>
      <c r="N18803" s="14"/>
      <c r="O18803" s="14"/>
      <c r="P18803" s="13"/>
    </row>
    <row r="18804">
      <c r="L18804" s="13"/>
      <c r="M18804" s="14"/>
      <c r="N18804" s="14"/>
      <c r="O18804" s="14"/>
      <c r="P18804" s="13"/>
    </row>
    <row r="18805">
      <c r="L18805" s="13"/>
      <c r="M18805" s="14"/>
      <c r="N18805" s="14"/>
      <c r="O18805" s="14"/>
      <c r="P18805" s="13"/>
    </row>
    <row r="18806">
      <c r="L18806" s="13"/>
      <c r="M18806" s="14"/>
      <c r="N18806" s="14"/>
      <c r="O18806" s="14"/>
      <c r="P18806" s="13"/>
    </row>
    <row r="18807">
      <c r="L18807" s="13"/>
      <c r="M18807" s="14"/>
      <c r="N18807" s="14"/>
      <c r="O18807" s="14"/>
      <c r="P18807" s="13"/>
    </row>
    <row r="18808">
      <c r="L18808" s="13"/>
      <c r="M18808" s="14"/>
      <c r="N18808" s="14"/>
      <c r="O18808" s="14"/>
      <c r="P18808" s="13"/>
    </row>
    <row r="18809">
      <c r="L18809" s="13"/>
      <c r="M18809" s="14"/>
      <c r="N18809" s="14"/>
      <c r="O18809" s="14"/>
      <c r="P18809" s="13"/>
    </row>
    <row r="18810">
      <c r="L18810" s="13"/>
      <c r="M18810" s="14"/>
      <c r="N18810" s="14"/>
      <c r="O18810" s="14"/>
      <c r="P18810" s="13"/>
    </row>
    <row r="18811">
      <c r="L18811" s="13"/>
      <c r="M18811" s="14"/>
      <c r="N18811" s="14"/>
      <c r="O18811" s="14"/>
      <c r="P18811" s="13"/>
    </row>
    <row r="18812">
      <c r="L18812" s="13"/>
      <c r="M18812" s="14"/>
      <c r="N18812" s="14"/>
      <c r="O18812" s="14"/>
      <c r="P18812" s="13"/>
    </row>
    <row r="18813">
      <c r="L18813" s="13"/>
      <c r="M18813" s="14"/>
      <c r="N18813" s="14"/>
      <c r="O18813" s="14"/>
      <c r="P18813" s="13"/>
    </row>
    <row r="18814">
      <c r="L18814" s="13"/>
      <c r="M18814" s="14"/>
      <c r="N18814" s="14"/>
      <c r="O18814" s="14"/>
      <c r="P18814" s="13"/>
    </row>
    <row r="18815">
      <c r="L18815" s="13"/>
      <c r="M18815" s="14"/>
      <c r="N18815" s="14"/>
      <c r="O18815" s="14"/>
      <c r="P18815" s="13"/>
    </row>
    <row r="18816">
      <c r="L18816" s="13"/>
      <c r="M18816" s="14"/>
      <c r="N18816" s="14"/>
      <c r="O18816" s="14"/>
      <c r="P18816" s="13"/>
    </row>
    <row r="18817">
      <c r="L18817" s="13"/>
      <c r="M18817" s="14"/>
      <c r="N18817" s="14"/>
      <c r="O18817" s="14"/>
      <c r="P18817" s="13"/>
    </row>
    <row r="18818">
      <c r="L18818" s="13"/>
      <c r="M18818" s="14"/>
      <c r="N18818" s="14"/>
      <c r="O18818" s="14"/>
      <c r="P18818" s="13"/>
    </row>
    <row r="18819">
      <c r="L18819" s="13"/>
      <c r="M18819" s="14"/>
      <c r="N18819" s="14"/>
      <c r="O18819" s="14"/>
      <c r="P18819" s="13"/>
    </row>
    <row r="18820">
      <c r="L18820" s="13"/>
      <c r="M18820" s="14"/>
      <c r="N18820" s="14"/>
      <c r="O18820" s="14"/>
      <c r="P18820" s="13"/>
    </row>
    <row r="18821">
      <c r="L18821" s="13"/>
      <c r="M18821" s="14"/>
      <c r="N18821" s="14"/>
      <c r="O18821" s="14"/>
      <c r="P18821" s="13"/>
    </row>
    <row r="18822">
      <c r="L18822" s="13"/>
      <c r="M18822" s="14"/>
      <c r="N18822" s="14"/>
      <c r="O18822" s="14"/>
      <c r="P18822" s="13"/>
    </row>
    <row r="18823">
      <c r="L18823" s="13"/>
      <c r="M18823" s="14"/>
      <c r="N18823" s="14"/>
      <c r="O18823" s="14"/>
      <c r="P18823" s="13"/>
    </row>
    <row r="18824">
      <c r="L18824" s="13"/>
      <c r="M18824" s="14"/>
      <c r="N18824" s="14"/>
      <c r="O18824" s="14"/>
      <c r="P18824" s="13"/>
    </row>
    <row r="18825">
      <c r="L18825" s="13"/>
      <c r="M18825" s="14"/>
      <c r="N18825" s="14"/>
      <c r="O18825" s="14"/>
      <c r="P18825" s="13"/>
    </row>
    <row r="18826">
      <c r="L18826" s="13"/>
      <c r="M18826" s="14"/>
      <c r="N18826" s="14"/>
      <c r="O18826" s="14"/>
      <c r="P18826" s="13"/>
    </row>
    <row r="18827">
      <c r="L18827" s="13"/>
      <c r="M18827" s="14"/>
      <c r="N18827" s="14"/>
      <c r="O18827" s="14"/>
      <c r="P18827" s="13"/>
    </row>
    <row r="18828">
      <c r="L18828" s="13"/>
      <c r="M18828" s="14"/>
      <c r="N18828" s="14"/>
      <c r="O18828" s="14"/>
      <c r="P18828" s="13"/>
    </row>
    <row r="18829">
      <c r="L18829" s="13"/>
      <c r="M18829" s="14"/>
      <c r="N18829" s="14"/>
      <c r="O18829" s="14"/>
      <c r="P18829" s="13"/>
    </row>
    <row r="18830">
      <c r="L18830" s="13"/>
      <c r="M18830" s="14"/>
      <c r="N18830" s="14"/>
      <c r="O18830" s="14"/>
      <c r="P18830" s="13"/>
    </row>
    <row r="18831">
      <c r="L18831" s="13"/>
      <c r="M18831" s="14"/>
      <c r="N18831" s="14"/>
      <c r="O18831" s="14"/>
      <c r="P18831" s="13"/>
    </row>
    <row r="18832">
      <c r="L18832" s="13"/>
      <c r="M18832" s="14"/>
      <c r="N18832" s="14"/>
      <c r="O18832" s="14"/>
      <c r="P18832" s="13"/>
    </row>
    <row r="18833">
      <c r="L18833" s="13"/>
      <c r="M18833" s="14"/>
      <c r="N18833" s="14"/>
      <c r="O18833" s="14"/>
      <c r="P18833" s="13"/>
    </row>
    <row r="18834">
      <c r="L18834" s="13"/>
      <c r="M18834" s="14"/>
      <c r="N18834" s="14"/>
      <c r="O18834" s="14"/>
      <c r="P18834" s="13"/>
    </row>
    <row r="18835">
      <c r="L18835" s="13"/>
      <c r="M18835" s="14"/>
      <c r="N18835" s="14"/>
      <c r="O18835" s="14"/>
      <c r="P18835" s="13"/>
    </row>
    <row r="18836">
      <c r="L18836" s="13"/>
      <c r="M18836" s="14"/>
      <c r="N18836" s="14"/>
      <c r="O18836" s="14"/>
      <c r="P18836" s="13"/>
    </row>
    <row r="18837">
      <c r="L18837" s="13"/>
      <c r="M18837" s="14"/>
      <c r="N18837" s="14"/>
      <c r="O18837" s="14"/>
      <c r="P18837" s="13"/>
    </row>
    <row r="18838">
      <c r="L18838" s="13"/>
      <c r="M18838" s="14"/>
      <c r="N18838" s="14"/>
      <c r="O18838" s="14"/>
      <c r="P18838" s="13"/>
    </row>
    <row r="18839">
      <c r="L18839" s="13"/>
      <c r="M18839" s="14"/>
      <c r="N18839" s="14"/>
      <c r="O18839" s="14"/>
      <c r="P18839" s="13"/>
    </row>
    <row r="18840">
      <c r="L18840" s="13"/>
      <c r="M18840" s="14"/>
      <c r="N18840" s="14"/>
      <c r="O18840" s="14"/>
      <c r="P18840" s="13"/>
    </row>
    <row r="18841">
      <c r="L18841" s="13"/>
      <c r="M18841" s="14"/>
      <c r="N18841" s="14"/>
      <c r="O18841" s="14"/>
      <c r="P18841" s="13"/>
    </row>
    <row r="18842">
      <c r="L18842" s="13"/>
      <c r="M18842" s="14"/>
      <c r="N18842" s="14"/>
      <c r="O18842" s="14"/>
      <c r="P18842" s="13"/>
    </row>
    <row r="18843">
      <c r="L18843" s="13"/>
      <c r="M18843" s="14"/>
      <c r="N18843" s="14"/>
      <c r="O18843" s="14"/>
      <c r="P18843" s="13"/>
    </row>
    <row r="18844">
      <c r="L18844" s="13"/>
      <c r="M18844" s="14"/>
      <c r="N18844" s="14"/>
      <c r="O18844" s="14"/>
      <c r="P18844" s="13"/>
    </row>
    <row r="18845">
      <c r="L18845" s="13"/>
      <c r="M18845" s="14"/>
      <c r="N18845" s="14"/>
      <c r="O18845" s="14"/>
      <c r="P18845" s="13"/>
    </row>
    <row r="18846">
      <c r="L18846" s="13"/>
      <c r="M18846" s="14"/>
      <c r="N18846" s="14"/>
      <c r="O18846" s="14"/>
      <c r="P18846" s="13"/>
    </row>
    <row r="18847">
      <c r="L18847" s="13"/>
      <c r="M18847" s="14"/>
      <c r="N18847" s="14"/>
      <c r="O18847" s="14"/>
      <c r="P18847" s="13"/>
    </row>
    <row r="18848">
      <c r="L18848" s="13"/>
      <c r="M18848" s="14"/>
      <c r="N18848" s="14"/>
      <c r="O18848" s="14"/>
      <c r="P18848" s="13"/>
    </row>
    <row r="18849">
      <c r="L18849" s="13"/>
      <c r="M18849" s="14"/>
      <c r="N18849" s="14"/>
      <c r="O18849" s="14"/>
      <c r="P18849" s="13"/>
    </row>
    <row r="18850">
      <c r="L18850" s="13"/>
      <c r="M18850" s="14"/>
      <c r="N18850" s="14"/>
      <c r="O18850" s="14"/>
      <c r="P18850" s="13"/>
    </row>
    <row r="18851">
      <c r="L18851" s="13"/>
      <c r="M18851" s="14"/>
      <c r="N18851" s="14"/>
      <c r="O18851" s="14"/>
      <c r="P18851" s="13"/>
    </row>
    <row r="18852">
      <c r="L18852" s="13"/>
      <c r="M18852" s="14"/>
      <c r="N18852" s="14"/>
      <c r="O18852" s="14"/>
      <c r="P18852" s="13"/>
    </row>
    <row r="18853">
      <c r="L18853" s="13"/>
      <c r="M18853" s="14"/>
      <c r="N18853" s="14"/>
      <c r="O18853" s="14"/>
      <c r="P18853" s="13"/>
    </row>
    <row r="18854">
      <c r="L18854" s="13"/>
      <c r="M18854" s="14"/>
      <c r="N18854" s="14"/>
      <c r="O18854" s="14"/>
      <c r="P18854" s="13"/>
    </row>
    <row r="18855">
      <c r="L18855" s="13"/>
      <c r="M18855" s="14"/>
      <c r="N18855" s="14"/>
      <c r="O18855" s="14"/>
      <c r="P18855" s="13"/>
    </row>
    <row r="18856">
      <c r="L18856" s="13"/>
      <c r="M18856" s="14"/>
      <c r="N18856" s="14"/>
      <c r="O18856" s="14"/>
      <c r="P18856" s="13"/>
    </row>
    <row r="18857">
      <c r="L18857" s="13"/>
      <c r="M18857" s="14"/>
      <c r="N18857" s="14"/>
      <c r="O18857" s="14"/>
      <c r="P18857" s="13"/>
    </row>
    <row r="18858">
      <c r="L18858" s="13"/>
      <c r="M18858" s="14"/>
      <c r="N18858" s="14"/>
      <c r="O18858" s="14"/>
      <c r="P18858" s="13"/>
    </row>
    <row r="18859">
      <c r="L18859" s="13"/>
      <c r="M18859" s="14"/>
      <c r="N18859" s="14"/>
      <c r="O18859" s="14"/>
      <c r="P18859" s="13"/>
    </row>
    <row r="18860">
      <c r="L18860" s="13"/>
      <c r="M18860" s="14"/>
      <c r="N18860" s="14"/>
      <c r="O18860" s="14"/>
      <c r="P18860" s="13"/>
    </row>
    <row r="18861">
      <c r="L18861" s="13"/>
      <c r="M18861" s="14"/>
      <c r="N18861" s="14"/>
      <c r="O18861" s="14"/>
      <c r="P18861" s="13"/>
    </row>
    <row r="18862">
      <c r="L18862" s="13"/>
      <c r="M18862" s="14"/>
      <c r="N18862" s="14"/>
      <c r="O18862" s="14"/>
      <c r="P18862" s="13"/>
    </row>
    <row r="18863">
      <c r="L18863" s="13"/>
      <c r="M18863" s="14"/>
      <c r="N18863" s="14"/>
      <c r="O18863" s="14"/>
      <c r="P18863" s="13"/>
    </row>
    <row r="18864">
      <c r="L18864" s="13"/>
      <c r="M18864" s="14"/>
      <c r="N18864" s="14"/>
      <c r="O18864" s="14"/>
      <c r="P18864" s="13"/>
    </row>
    <row r="18865">
      <c r="L18865" s="13"/>
      <c r="M18865" s="14"/>
      <c r="N18865" s="14"/>
      <c r="O18865" s="14"/>
      <c r="P18865" s="13"/>
    </row>
    <row r="18866">
      <c r="L18866" s="13"/>
      <c r="M18866" s="14"/>
      <c r="N18866" s="14"/>
      <c r="O18866" s="14"/>
      <c r="P18866" s="13"/>
    </row>
    <row r="18867">
      <c r="L18867" s="13"/>
      <c r="M18867" s="14"/>
      <c r="N18867" s="14"/>
      <c r="O18867" s="14"/>
      <c r="P18867" s="13"/>
    </row>
    <row r="18868">
      <c r="L18868" s="13"/>
      <c r="M18868" s="14"/>
      <c r="N18868" s="14"/>
      <c r="O18868" s="14"/>
      <c r="P18868" s="13"/>
    </row>
    <row r="18869">
      <c r="L18869" s="13"/>
      <c r="M18869" s="14"/>
      <c r="N18869" s="14"/>
      <c r="O18869" s="14"/>
      <c r="P18869" s="13"/>
    </row>
    <row r="18870">
      <c r="L18870" s="13"/>
      <c r="M18870" s="14"/>
      <c r="N18870" s="14"/>
      <c r="O18870" s="14"/>
      <c r="P18870" s="13"/>
    </row>
    <row r="18871">
      <c r="L18871" s="13"/>
      <c r="M18871" s="14"/>
      <c r="N18871" s="14"/>
      <c r="O18871" s="14"/>
      <c r="P18871" s="13"/>
    </row>
    <row r="18872">
      <c r="L18872" s="13"/>
      <c r="M18872" s="14"/>
      <c r="N18872" s="14"/>
      <c r="O18872" s="14"/>
      <c r="P18872" s="13"/>
    </row>
    <row r="18873">
      <c r="L18873" s="13"/>
      <c r="M18873" s="14"/>
      <c r="N18873" s="14"/>
      <c r="O18873" s="14"/>
      <c r="P18873" s="13"/>
    </row>
    <row r="18874">
      <c r="L18874" s="13"/>
      <c r="M18874" s="14"/>
      <c r="N18874" s="14"/>
      <c r="O18874" s="14"/>
      <c r="P18874" s="13"/>
    </row>
    <row r="18875">
      <c r="L18875" s="13"/>
      <c r="M18875" s="14"/>
      <c r="N18875" s="14"/>
      <c r="O18875" s="14"/>
      <c r="P18875" s="13"/>
    </row>
    <row r="18876">
      <c r="L18876" s="13"/>
      <c r="M18876" s="14"/>
      <c r="N18876" s="14"/>
      <c r="O18876" s="14"/>
      <c r="P18876" s="13"/>
    </row>
    <row r="18877">
      <c r="L18877" s="13"/>
      <c r="M18877" s="14"/>
      <c r="N18877" s="14"/>
      <c r="O18877" s="14"/>
      <c r="P18877" s="13"/>
    </row>
    <row r="18878">
      <c r="L18878" s="13"/>
      <c r="M18878" s="14"/>
      <c r="N18878" s="14"/>
      <c r="O18878" s="14"/>
      <c r="P18878" s="13"/>
    </row>
    <row r="18879">
      <c r="L18879" s="13"/>
      <c r="M18879" s="14"/>
      <c r="N18879" s="14"/>
      <c r="O18879" s="14"/>
      <c r="P18879" s="13"/>
    </row>
    <row r="18880">
      <c r="L18880" s="13"/>
      <c r="M18880" s="14"/>
      <c r="N18880" s="14"/>
      <c r="O18880" s="14"/>
      <c r="P18880" s="13"/>
    </row>
    <row r="18881">
      <c r="L18881" s="13"/>
      <c r="M18881" s="14"/>
      <c r="N18881" s="14"/>
      <c r="O18881" s="14"/>
      <c r="P18881" s="13"/>
    </row>
    <row r="18882">
      <c r="L18882" s="13"/>
      <c r="M18882" s="14"/>
      <c r="N18882" s="14"/>
      <c r="O18882" s="14"/>
      <c r="P18882" s="13"/>
    </row>
    <row r="18883">
      <c r="L18883" s="13"/>
      <c r="M18883" s="14"/>
      <c r="N18883" s="14"/>
      <c r="O18883" s="14"/>
      <c r="P18883" s="13"/>
    </row>
    <row r="18884">
      <c r="L18884" s="13"/>
      <c r="M18884" s="14"/>
      <c r="N18884" s="14"/>
      <c r="O18884" s="14"/>
      <c r="P18884" s="13"/>
    </row>
    <row r="18885">
      <c r="L18885" s="13"/>
      <c r="M18885" s="14"/>
      <c r="N18885" s="14"/>
      <c r="O18885" s="14"/>
      <c r="P18885" s="13"/>
    </row>
    <row r="18886">
      <c r="L18886" s="13"/>
      <c r="M18886" s="14"/>
      <c r="N18886" s="14"/>
      <c r="O18886" s="14"/>
      <c r="P18886" s="13"/>
    </row>
    <row r="18887">
      <c r="L18887" s="13"/>
      <c r="M18887" s="14"/>
      <c r="N18887" s="14"/>
      <c r="O18887" s="14"/>
      <c r="P18887" s="13"/>
    </row>
    <row r="18888">
      <c r="L18888" s="13"/>
      <c r="M18888" s="14"/>
      <c r="N18888" s="14"/>
      <c r="O18888" s="14"/>
      <c r="P18888" s="13"/>
    </row>
    <row r="18889">
      <c r="L18889" s="13"/>
      <c r="M18889" s="14"/>
      <c r="N18889" s="14"/>
      <c r="O18889" s="14"/>
      <c r="P18889" s="13"/>
    </row>
    <row r="18890">
      <c r="L18890" s="13"/>
      <c r="M18890" s="14"/>
      <c r="N18890" s="14"/>
      <c r="O18890" s="14"/>
      <c r="P18890" s="13"/>
    </row>
    <row r="18891">
      <c r="L18891" s="13"/>
      <c r="M18891" s="14"/>
      <c r="N18891" s="14"/>
      <c r="O18891" s="14"/>
      <c r="P18891" s="13"/>
    </row>
    <row r="18892">
      <c r="L18892" s="13"/>
      <c r="M18892" s="14"/>
      <c r="N18892" s="14"/>
      <c r="O18892" s="14"/>
      <c r="P18892" s="13"/>
    </row>
    <row r="18893">
      <c r="L18893" s="13"/>
      <c r="M18893" s="14"/>
      <c r="N18893" s="14"/>
      <c r="O18893" s="14"/>
      <c r="P18893" s="13"/>
    </row>
    <row r="18894">
      <c r="L18894" s="13"/>
      <c r="M18894" s="14"/>
      <c r="N18894" s="14"/>
      <c r="O18894" s="14"/>
      <c r="P18894" s="13"/>
    </row>
    <row r="18895">
      <c r="L18895" s="13"/>
      <c r="M18895" s="14"/>
      <c r="N18895" s="14"/>
      <c r="O18895" s="14"/>
      <c r="P18895" s="13"/>
    </row>
    <row r="18896">
      <c r="L18896" s="13"/>
      <c r="M18896" s="14"/>
      <c r="N18896" s="14"/>
      <c r="O18896" s="14"/>
      <c r="P18896" s="13"/>
    </row>
    <row r="18897">
      <c r="L18897" s="13"/>
      <c r="M18897" s="14"/>
      <c r="N18897" s="14"/>
      <c r="O18897" s="14"/>
      <c r="P18897" s="13"/>
    </row>
    <row r="18898">
      <c r="L18898" s="13"/>
      <c r="M18898" s="14"/>
      <c r="N18898" s="14"/>
      <c r="O18898" s="14"/>
      <c r="P18898" s="13"/>
    </row>
    <row r="18899">
      <c r="L18899" s="13"/>
      <c r="M18899" s="14"/>
      <c r="N18899" s="14"/>
      <c r="O18899" s="14"/>
      <c r="P18899" s="13"/>
    </row>
    <row r="18900">
      <c r="L18900" s="13"/>
      <c r="M18900" s="14"/>
      <c r="N18900" s="14"/>
      <c r="O18900" s="14"/>
      <c r="P18900" s="13"/>
    </row>
    <row r="18901">
      <c r="L18901" s="13"/>
      <c r="M18901" s="14"/>
      <c r="N18901" s="14"/>
      <c r="O18901" s="14"/>
      <c r="P18901" s="13"/>
    </row>
    <row r="18902">
      <c r="L18902" s="13"/>
      <c r="M18902" s="14"/>
      <c r="N18902" s="14"/>
      <c r="O18902" s="14"/>
      <c r="P18902" s="13"/>
    </row>
    <row r="18903">
      <c r="L18903" s="13"/>
      <c r="M18903" s="14"/>
      <c r="N18903" s="14"/>
      <c r="O18903" s="14"/>
      <c r="P18903" s="13"/>
    </row>
    <row r="18904">
      <c r="L18904" s="13"/>
      <c r="M18904" s="14"/>
      <c r="N18904" s="14"/>
      <c r="O18904" s="14"/>
      <c r="P18904" s="13"/>
    </row>
    <row r="18905">
      <c r="L18905" s="13"/>
      <c r="M18905" s="14"/>
      <c r="N18905" s="14"/>
      <c r="O18905" s="14"/>
      <c r="P18905" s="13"/>
    </row>
    <row r="18906">
      <c r="L18906" s="13"/>
      <c r="M18906" s="14"/>
      <c r="N18906" s="14"/>
      <c r="O18906" s="14"/>
      <c r="P18906" s="13"/>
    </row>
    <row r="18907">
      <c r="L18907" s="13"/>
      <c r="M18907" s="14"/>
      <c r="N18907" s="14"/>
      <c r="O18907" s="14"/>
      <c r="P18907" s="13"/>
    </row>
    <row r="18908">
      <c r="L18908" s="13"/>
      <c r="M18908" s="14"/>
      <c r="N18908" s="14"/>
      <c r="O18908" s="14"/>
      <c r="P18908" s="13"/>
    </row>
    <row r="18909">
      <c r="L18909" s="13"/>
      <c r="M18909" s="14"/>
      <c r="N18909" s="14"/>
      <c r="O18909" s="14"/>
      <c r="P18909" s="13"/>
    </row>
    <row r="18910">
      <c r="L18910" s="13"/>
      <c r="M18910" s="14"/>
      <c r="N18910" s="14"/>
      <c r="O18910" s="14"/>
      <c r="P18910" s="13"/>
    </row>
    <row r="18911">
      <c r="L18911" s="13"/>
      <c r="M18911" s="14"/>
      <c r="N18911" s="14"/>
      <c r="O18911" s="14"/>
      <c r="P18911" s="13"/>
    </row>
    <row r="18912">
      <c r="L18912" s="13"/>
      <c r="M18912" s="14"/>
      <c r="N18912" s="14"/>
      <c r="O18912" s="14"/>
      <c r="P18912" s="13"/>
    </row>
    <row r="18913">
      <c r="L18913" s="13"/>
      <c r="M18913" s="14"/>
      <c r="N18913" s="14"/>
      <c r="O18913" s="14"/>
      <c r="P18913" s="13"/>
    </row>
    <row r="18914">
      <c r="L18914" s="13"/>
      <c r="M18914" s="14"/>
      <c r="N18914" s="14"/>
      <c r="O18914" s="14"/>
      <c r="P18914" s="13"/>
    </row>
    <row r="18915">
      <c r="L18915" s="13"/>
      <c r="M18915" s="14"/>
      <c r="N18915" s="14"/>
      <c r="O18915" s="14"/>
      <c r="P18915" s="13"/>
    </row>
    <row r="18916">
      <c r="L18916" s="13"/>
      <c r="M18916" s="14"/>
      <c r="N18916" s="14"/>
      <c r="O18916" s="14"/>
      <c r="P18916" s="13"/>
    </row>
    <row r="18917">
      <c r="L18917" s="13"/>
      <c r="M18917" s="14"/>
      <c r="N18917" s="14"/>
      <c r="O18917" s="14"/>
      <c r="P18917" s="13"/>
    </row>
    <row r="18918">
      <c r="L18918" s="13"/>
      <c r="M18918" s="14"/>
      <c r="N18918" s="14"/>
      <c r="O18918" s="14"/>
      <c r="P18918" s="13"/>
    </row>
    <row r="18919">
      <c r="L18919" s="13"/>
      <c r="M18919" s="14"/>
      <c r="N18919" s="14"/>
      <c r="O18919" s="14"/>
      <c r="P18919" s="13"/>
    </row>
    <row r="18920">
      <c r="L18920" s="13"/>
      <c r="M18920" s="14"/>
      <c r="N18920" s="14"/>
      <c r="O18920" s="14"/>
      <c r="P18920" s="13"/>
    </row>
    <row r="18921">
      <c r="L18921" s="13"/>
      <c r="M18921" s="14"/>
      <c r="N18921" s="14"/>
      <c r="O18921" s="14"/>
      <c r="P18921" s="13"/>
    </row>
    <row r="18922">
      <c r="L18922" s="13"/>
      <c r="M18922" s="14"/>
      <c r="N18922" s="14"/>
      <c r="O18922" s="14"/>
      <c r="P18922" s="13"/>
    </row>
    <row r="18923">
      <c r="L18923" s="13"/>
      <c r="M18923" s="14"/>
      <c r="N18923" s="14"/>
      <c r="O18923" s="14"/>
      <c r="P18923" s="13"/>
    </row>
    <row r="18924">
      <c r="L18924" s="13"/>
      <c r="M18924" s="14"/>
      <c r="N18924" s="14"/>
      <c r="O18924" s="14"/>
      <c r="P18924" s="13"/>
    </row>
    <row r="18925">
      <c r="L18925" s="13"/>
      <c r="M18925" s="14"/>
      <c r="N18925" s="14"/>
      <c r="O18925" s="14"/>
      <c r="P18925" s="13"/>
    </row>
    <row r="18926">
      <c r="L18926" s="13"/>
      <c r="M18926" s="14"/>
      <c r="N18926" s="14"/>
      <c r="O18926" s="14"/>
      <c r="P18926" s="13"/>
    </row>
    <row r="18927">
      <c r="L18927" s="13"/>
      <c r="M18927" s="14"/>
      <c r="N18927" s="14"/>
      <c r="O18927" s="14"/>
      <c r="P18927" s="13"/>
    </row>
    <row r="18928">
      <c r="L18928" s="13"/>
      <c r="M18928" s="14"/>
      <c r="N18928" s="14"/>
      <c r="O18928" s="14"/>
      <c r="P18928" s="13"/>
    </row>
    <row r="18929">
      <c r="L18929" s="13"/>
      <c r="M18929" s="14"/>
      <c r="N18929" s="14"/>
      <c r="O18929" s="14"/>
      <c r="P18929" s="13"/>
    </row>
    <row r="18930">
      <c r="L18930" s="13"/>
      <c r="M18930" s="14"/>
      <c r="N18930" s="14"/>
      <c r="O18930" s="14"/>
      <c r="P18930" s="13"/>
    </row>
    <row r="18931">
      <c r="L18931" s="13"/>
      <c r="M18931" s="14"/>
      <c r="N18931" s="14"/>
      <c r="O18931" s="14"/>
      <c r="P18931" s="13"/>
    </row>
    <row r="18932">
      <c r="L18932" s="13"/>
      <c r="M18932" s="14"/>
      <c r="N18932" s="14"/>
      <c r="O18932" s="14"/>
      <c r="P18932" s="13"/>
    </row>
    <row r="18933">
      <c r="L18933" s="13"/>
      <c r="M18933" s="14"/>
      <c r="N18933" s="14"/>
      <c r="O18933" s="14"/>
      <c r="P18933" s="13"/>
    </row>
    <row r="18934">
      <c r="L18934" s="13"/>
      <c r="M18934" s="14"/>
      <c r="N18934" s="14"/>
      <c r="O18934" s="14"/>
      <c r="P18934" s="13"/>
    </row>
    <row r="18935">
      <c r="L18935" s="13"/>
      <c r="M18935" s="14"/>
      <c r="N18935" s="14"/>
      <c r="O18935" s="14"/>
      <c r="P18935" s="13"/>
    </row>
    <row r="18936">
      <c r="L18936" s="13"/>
      <c r="M18936" s="14"/>
      <c r="N18936" s="14"/>
      <c r="O18936" s="14"/>
      <c r="P18936" s="13"/>
    </row>
    <row r="18937">
      <c r="L18937" s="13"/>
      <c r="M18937" s="14"/>
      <c r="N18937" s="14"/>
      <c r="O18937" s="14"/>
      <c r="P18937" s="13"/>
    </row>
    <row r="18938">
      <c r="L18938" s="13"/>
      <c r="M18938" s="14"/>
      <c r="N18938" s="14"/>
      <c r="O18938" s="14"/>
      <c r="P18938" s="13"/>
    </row>
    <row r="18939">
      <c r="L18939" s="13"/>
      <c r="M18939" s="14"/>
      <c r="N18939" s="14"/>
      <c r="O18939" s="14"/>
      <c r="P18939" s="13"/>
    </row>
    <row r="18940">
      <c r="L18940" s="13"/>
      <c r="M18940" s="14"/>
      <c r="N18940" s="14"/>
      <c r="O18940" s="14"/>
      <c r="P18940" s="13"/>
    </row>
    <row r="18941">
      <c r="L18941" s="13"/>
      <c r="M18941" s="14"/>
      <c r="N18941" s="14"/>
      <c r="O18941" s="14"/>
      <c r="P18941" s="13"/>
    </row>
    <row r="18942">
      <c r="L18942" s="13"/>
      <c r="M18942" s="14"/>
      <c r="N18942" s="14"/>
      <c r="O18942" s="14"/>
      <c r="P18942" s="13"/>
    </row>
    <row r="18943">
      <c r="L18943" s="13"/>
      <c r="M18943" s="14"/>
      <c r="N18943" s="14"/>
      <c r="O18943" s="14"/>
      <c r="P18943" s="13"/>
    </row>
    <row r="18944">
      <c r="L18944" s="13"/>
      <c r="M18944" s="14"/>
      <c r="N18944" s="14"/>
      <c r="O18944" s="14"/>
      <c r="P18944" s="13"/>
    </row>
    <row r="18945">
      <c r="L18945" s="13"/>
      <c r="M18945" s="14"/>
      <c r="N18945" s="14"/>
      <c r="O18945" s="14"/>
      <c r="P18945" s="13"/>
    </row>
    <row r="18946">
      <c r="L18946" s="13"/>
      <c r="M18946" s="14"/>
      <c r="N18946" s="14"/>
      <c r="O18946" s="14"/>
      <c r="P18946" s="13"/>
    </row>
    <row r="18947">
      <c r="L18947" s="13"/>
      <c r="M18947" s="14"/>
      <c r="N18947" s="14"/>
      <c r="O18947" s="14"/>
      <c r="P18947" s="13"/>
    </row>
    <row r="18948">
      <c r="L18948" s="13"/>
      <c r="M18948" s="14"/>
      <c r="N18948" s="14"/>
      <c r="O18948" s="14"/>
      <c r="P18948" s="13"/>
    </row>
    <row r="18949">
      <c r="L18949" s="13"/>
      <c r="M18949" s="14"/>
      <c r="N18949" s="14"/>
      <c r="O18949" s="14"/>
      <c r="P18949" s="13"/>
    </row>
    <row r="18950">
      <c r="L18950" s="13"/>
      <c r="M18950" s="14"/>
      <c r="N18950" s="14"/>
      <c r="O18950" s="14"/>
      <c r="P18950" s="13"/>
    </row>
    <row r="18951">
      <c r="L18951" s="13"/>
      <c r="M18951" s="14"/>
      <c r="N18951" s="14"/>
      <c r="O18951" s="14"/>
      <c r="P18951" s="13"/>
    </row>
    <row r="18952">
      <c r="L18952" s="13"/>
      <c r="M18952" s="14"/>
      <c r="N18952" s="14"/>
      <c r="O18952" s="14"/>
      <c r="P18952" s="13"/>
    </row>
    <row r="18953">
      <c r="L18953" s="13"/>
      <c r="M18953" s="14"/>
      <c r="N18953" s="14"/>
      <c r="O18953" s="14"/>
      <c r="P18953" s="13"/>
    </row>
    <row r="18954">
      <c r="L18954" s="13"/>
      <c r="M18954" s="14"/>
      <c r="N18954" s="14"/>
      <c r="O18954" s="14"/>
      <c r="P18954" s="13"/>
    </row>
    <row r="18955">
      <c r="L18955" s="13"/>
      <c r="M18955" s="14"/>
      <c r="N18955" s="14"/>
      <c r="O18955" s="14"/>
      <c r="P18955" s="13"/>
    </row>
    <row r="18956">
      <c r="L18956" s="13"/>
      <c r="M18956" s="14"/>
      <c r="N18956" s="14"/>
      <c r="O18956" s="14"/>
      <c r="P18956" s="13"/>
    </row>
    <row r="18957">
      <c r="L18957" s="13"/>
      <c r="M18957" s="14"/>
      <c r="N18957" s="14"/>
      <c r="O18957" s="14"/>
      <c r="P18957" s="13"/>
    </row>
    <row r="18958">
      <c r="L18958" s="13"/>
      <c r="M18958" s="14"/>
      <c r="N18958" s="14"/>
      <c r="O18958" s="14"/>
      <c r="P18958" s="13"/>
    </row>
    <row r="18959">
      <c r="L18959" s="13"/>
      <c r="M18959" s="14"/>
      <c r="N18959" s="14"/>
      <c r="O18959" s="14"/>
      <c r="P18959" s="13"/>
    </row>
    <row r="18960">
      <c r="L18960" s="13"/>
      <c r="M18960" s="14"/>
      <c r="N18960" s="14"/>
      <c r="O18960" s="14"/>
      <c r="P18960" s="13"/>
    </row>
    <row r="18961">
      <c r="L18961" s="13"/>
      <c r="M18961" s="14"/>
      <c r="N18961" s="14"/>
      <c r="O18961" s="14"/>
      <c r="P18961" s="13"/>
    </row>
    <row r="18962">
      <c r="L18962" s="13"/>
      <c r="M18962" s="14"/>
      <c r="N18962" s="14"/>
      <c r="O18962" s="14"/>
      <c r="P18962" s="13"/>
    </row>
    <row r="18963">
      <c r="L18963" s="13"/>
      <c r="M18963" s="14"/>
      <c r="N18963" s="14"/>
      <c r="O18963" s="14"/>
      <c r="P18963" s="13"/>
    </row>
    <row r="18964">
      <c r="L18964" s="13"/>
      <c r="M18964" s="14"/>
      <c r="N18964" s="14"/>
      <c r="O18964" s="14"/>
      <c r="P18964" s="13"/>
    </row>
    <row r="18965">
      <c r="L18965" s="13"/>
      <c r="M18965" s="14"/>
      <c r="N18965" s="14"/>
      <c r="O18965" s="14"/>
      <c r="P18965" s="13"/>
    </row>
    <row r="18966">
      <c r="L18966" s="13"/>
      <c r="M18966" s="14"/>
      <c r="N18966" s="14"/>
      <c r="O18966" s="14"/>
      <c r="P18966" s="13"/>
    </row>
    <row r="18967">
      <c r="L18967" s="13"/>
      <c r="M18967" s="14"/>
      <c r="N18967" s="14"/>
      <c r="O18967" s="14"/>
      <c r="P18967" s="13"/>
    </row>
    <row r="18968">
      <c r="L18968" s="13"/>
      <c r="M18968" s="14"/>
      <c r="N18968" s="14"/>
      <c r="O18968" s="14"/>
      <c r="P18968" s="13"/>
    </row>
    <row r="18969">
      <c r="L18969" s="13"/>
      <c r="M18969" s="14"/>
      <c r="N18969" s="14"/>
      <c r="O18969" s="14"/>
      <c r="P18969" s="13"/>
    </row>
    <row r="18970">
      <c r="L18970" s="13"/>
      <c r="M18970" s="14"/>
      <c r="N18970" s="14"/>
      <c r="O18970" s="14"/>
      <c r="P18970" s="13"/>
    </row>
    <row r="18971">
      <c r="L18971" s="13"/>
      <c r="M18971" s="14"/>
      <c r="N18971" s="14"/>
      <c r="O18971" s="14"/>
      <c r="P18971" s="13"/>
    </row>
    <row r="18972">
      <c r="L18972" s="13"/>
      <c r="M18972" s="14"/>
      <c r="N18972" s="14"/>
      <c r="O18972" s="14"/>
      <c r="P18972" s="13"/>
    </row>
    <row r="18973">
      <c r="L18973" s="13"/>
      <c r="M18973" s="14"/>
      <c r="N18973" s="14"/>
      <c r="O18973" s="14"/>
      <c r="P18973" s="13"/>
    </row>
    <row r="18974">
      <c r="L18974" s="13"/>
      <c r="M18974" s="14"/>
      <c r="N18974" s="14"/>
      <c r="O18974" s="14"/>
      <c r="P18974" s="13"/>
    </row>
    <row r="18975">
      <c r="L18975" s="13"/>
      <c r="M18975" s="14"/>
      <c r="N18975" s="14"/>
      <c r="O18975" s="14"/>
      <c r="P18975" s="13"/>
    </row>
    <row r="18976">
      <c r="L18976" s="13"/>
      <c r="M18976" s="14"/>
      <c r="N18976" s="14"/>
      <c r="O18976" s="14"/>
      <c r="P18976" s="13"/>
    </row>
    <row r="18977">
      <c r="L18977" s="13"/>
      <c r="M18977" s="14"/>
      <c r="N18977" s="14"/>
      <c r="O18977" s="14"/>
      <c r="P18977" s="13"/>
    </row>
    <row r="18978">
      <c r="L18978" s="13"/>
      <c r="M18978" s="14"/>
      <c r="N18978" s="14"/>
      <c r="O18978" s="14"/>
      <c r="P18978" s="13"/>
    </row>
    <row r="18979">
      <c r="L18979" s="13"/>
      <c r="M18979" s="14"/>
      <c r="N18979" s="14"/>
      <c r="O18979" s="14"/>
      <c r="P18979" s="13"/>
    </row>
    <row r="18980">
      <c r="L18980" s="13"/>
      <c r="M18980" s="14"/>
      <c r="N18980" s="14"/>
      <c r="O18980" s="14"/>
      <c r="P18980" s="13"/>
    </row>
    <row r="18981">
      <c r="L18981" s="13"/>
      <c r="M18981" s="14"/>
      <c r="N18981" s="14"/>
      <c r="O18981" s="14"/>
      <c r="P18981" s="13"/>
    </row>
    <row r="18982">
      <c r="L18982" s="13"/>
      <c r="M18982" s="14"/>
      <c r="N18982" s="14"/>
      <c r="O18982" s="14"/>
      <c r="P18982" s="13"/>
    </row>
    <row r="18983">
      <c r="L18983" s="13"/>
      <c r="M18983" s="14"/>
      <c r="N18983" s="14"/>
      <c r="O18983" s="14"/>
      <c r="P18983" s="13"/>
    </row>
    <row r="18984">
      <c r="L18984" s="13"/>
      <c r="M18984" s="14"/>
      <c r="N18984" s="14"/>
      <c r="O18984" s="14"/>
      <c r="P18984" s="13"/>
    </row>
    <row r="18985">
      <c r="L18985" s="13"/>
      <c r="M18985" s="14"/>
      <c r="N18985" s="14"/>
      <c r="O18985" s="14"/>
      <c r="P18985" s="13"/>
    </row>
    <row r="18986">
      <c r="L18986" s="13"/>
      <c r="M18986" s="14"/>
      <c r="N18986" s="14"/>
      <c r="O18986" s="14"/>
      <c r="P18986" s="13"/>
    </row>
    <row r="18987">
      <c r="L18987" s="13"/>
      <c r="M18987" s="14"/>
      <c r="N18987" s="14"/>
      <c r="O18987" s="14"/>
      <c r="P18987" s="13"/>
    </row>
    <row r="18988">
      <c r="L18988" s="13"/>
      <c r="M18988" s="14"/>
      <c r="N18988" s="14"/>
      <c r="O18988" s="14"/>
      <c r="P18988" s="13"/>
    </row>
    <row r="18989">
      <c r="L18989" s="13"/>
      <c r="M18989" s="14"/>
      <c r="N18989" s="14"/>
      <c r="O18989" s="14"/>
      <c r="P18989" s="13"/>
    </row>
    <row r="18990">
      <c r="L18990" s="13"/>
      <c r="M18990" s="14"/>
      <c r="N18990" s="14"/>
      <c r="O18990" s="14"/>
      <c r="P18990" s="13"/>
    </row>
    <row r="18991">
      <c r="L18991" s="13"/>
      <c r="M18991" s="14"/>
      <c r="N18991" s="14"/>
      <c r="O18991" s="14"/>
      <c r="P18991" s="13"/>
    </row>
    <row r="18992">
      <c r="L18992" s="13"/>
      <c r="M18992" s="14"/>
      <c r="N18992" s="14"/>
      <c r="O18992" s="14"/>
      <c r="P18992" s="13"/>
    </row>
    <row r="18993">
      <c r="L18993" s="13"/>
      <c r="M18993" s="14"/>
      <c r="N18993" s="14"/>
      <c r="O18993" s="14"/>
      <c r="P18993" s="13"/>
    </row>
    <row r="18994">
      <c r="L18994" s="13"/>
      <c r="M18994" s="14"/>
      <c r="N18994" s="14"/>
      <c r="O18994" s="14"/>
      <c r="P18994" s="13"/>
    </row>
    <row r="18995">
      <c r="L18995" s="13"/>
      <c r="M18995" s="14"/>
      <c r="N18995" s="14"/>
      <c r="O18995" s="14"/>
      <c r="P18995" s="13"/>
    </row>
    <row r="18996">
      <c r="L18996" s="13"/>
      <c r="M18996" s="14"/>
      <c r="N18996" s="14"/>
      <c r="O18996" s="14"/>
      <c r="P18996" s="13"/>
    </row>
    <row r="18997">
      <c r="L18997" s="13"/>
      <c r="M18997" s="14"/>
      <c r="N18997" s="14"/>
      <c r="O18997" s="14"/>
      <c r="P18997" s="13"/>
    </row>
    <row r="18998">
      <c r="L18998" s="13"/>
      <c r="M18998" s="14"/>
      <c r="N18998" s="14"/>
      <c r="O18998" s="14"/>
      <c r="P18998" s="13"/>
    </row>
    <row r="18999">
      <c r="L18999" s="13"/>
      <c r="M18999" s="14"/>
      <c r="N18999" s="14"/>
      <c r="O18999" s="14"/>
      <c r="P18999" s="13"/>
    </row>
    <row r="19000">
      <c r="L19000" s="13"/>
      <c r="M19000" s="14"/>
      <c r="N19000" s="14"/>
      <c r="O19000" s="14"/>
      <c r="P19000" s="13"/>
    </row>
    <row r="19001">
      <c r="L19001" s="13"/>
      <c r="M19001" s="14"/>
      <c r="N19001" s="14"/>
      <c r="O19001" s="14"/>
      <c r="P19001" s="13"/>
    </row>
    <row r="19002">
      <c r="L19002" s="13"/>
      <c r="M19002" s="14"/>
      <c r="N19002" s="14"/>
      <c r="O19002" s="14"/>
      <c r="P19002" s="13"/>
    </row>
    <row r="19003">
      <c r="L19003" s="13"/>
      <c r="M19003" s="14"/>
      <c r="N19003" s="14"/>
      <c r="O19003" s="14"/>
      <c r="P19003" s="13"/>
    </row>
    <row r="19004">
      <c r="L19004" s="13"/>
      <c r="M19004" s="14"/>
      <c r="N19004" s="14"/>
      <c r="O19004" s="14"/>
      <c r="P19004" s="13"/>
    </row>
    <row r="19005">
      <c r="L19005" s="13"/>
      <c r="M19005" s="14"/>
      <c r="N19005" s="14"/>
      <c r="O19005" s="14"/>
      <c r="P19005" s="13"/>
    </row>
    <row r="19006">
      <c r="L19006" s="13"/>
      <c r="M19006" s="14"/>
      <c r="N19006" s="14"/>
      <c r="O19006" s="14"/>
      <c r="P19006" s="13"/>
    </row>
    <row r="19007">
      <c r="L19007" s="13"/>
      <c r="M19007" s="14"/>
      <c r="N19007" s="14"/>
      <c r="O19007" s="14"/>
      <c r="P19007" s="13"/>
    </row>
    <row r="19008">
      <c r="L19008" s="13"/>
      <c r="M19008" s="14"/>
      <c r="N19008" s="14"/>
      <c r="O19008" s="14"/>
      <c r="P19008" s="13"/>
    </row>
    <row r="19009">
      <c r="L19009" s="13"/>
      <c r="M19009" s="14"/>
      <c r="N19009" s="14"/>
      <c r="O19009" s="14"/>
      <c r="P19009" s="13"/>
    </row>
    <row r="19010">
      <c r="L19010" s="13"/>
      <c r="M19010" s="14"/>
      <c r="N19010" s="14"/>
      <c r="O19010" s="14"/>
      <c r="P19010" s="13"/>
    </row>
    <row r="19011">
      <c r="L19011" s="13"/>
      <c r="M19011" s="14"/>
      <c r="N19011" s="14"/>
      <c r="O19011" s="14"/>
      <c r="P19011" s="13"/>
    </row>
    <row r="19012">
      <c r="L19012" s="13"/>
      <c r="M19012" s="14"/>
      <c r="N19012" s="14"/>
      <c r="O19012" s="14"/>
      <c r="P19012" s="13"/>
    </row>
    <row r="19013">
      <c r="L19013" s="13"/>
      <c r="M19013" s="14"/>
      <c r="N19013" s="14"/>
      <c r="O19013" s="14"/>
      <c r="P19013" s="13"/>
    </row>
    <row r="19014">
      <c r="L19014" s="13"/>
      <c r="M19014" s="14"/>
      <c r="N19014" s="14"/>
      <c r="O19014" s="14"/>
      <c r="P19014" s="13"/>
    </row>
    <row r="19015">
      <c r="L19015" s="13"/>
      <c r="M19015" s="14"/>
      <c r="N19015" s="14"/>
      <c r="O19015" s="14"/>
      <c r="P19015" s="13"/>
    </row>
    <row r="19016">
      <c r="L19016" s="13"/>
      <c r="M19016" s="14"/>
      <c r="N19016" s="14"/>
      <c r="O19016" s="14"/>
      <c r="P19016" s="13"/>
    </row>
    <row r="19017">
      <c r="L19017" s="13"/>
      <c r="M19017" s="14"/>
      <c r="N19017" s="14"/>
      <c r="O19017" s="14"/>
      <c r="P19017" s="13"/>
    </row>
    <row r="19018">
      <c r="L19018" s="13"/>
      <c r="M19018" s="14"/>
      <c r="N19018" s="14"/>
      <c r="O19018" s="14"/>
      <c r="P19018" s="13"/>
    </row>
    <row r="19019">
      <c r="L19019" s="13"/>
      <c r="M19019" s="14"/>
      <c r="N19019" s="14"/>
      <c r="O19019" s="14"/>
      <c r="P19019" s="13"/>
    </row>
    <row r="19020">
      <c r="L19020" s="13"/>
      <c r="M19020" s="14"/>
      <c r="N19020" s="14"/>
      <c r="O19020" s="14"/>
      <c r="P19020" s="13"/>
    </row>
    <row r="19021">
      <c r="L19021" s="13"/>
      <c r="M19021" s="14"/>
      <c r="N19021" s="14"/>
      <c r="O19021" s="14"/>
      <c r="P19021" s="13"/>
    </row>
    <row r="19022">
      <c r="L19022" s="13"/>
      <c r="M19022" s="14"/>
      <c r="N19022" s="14"/>
      <c r="O19022" s="14"/>
      <c r="P19022" s="13"/>
    </row>
    <row r="19023">
      <c r="L19023" s="13"/>
      <c r="M19023" s="14"/>
      <c r="N19023" s="14"/>
      <c r="O19023" s="14"/>
      <c r="P19023" s="13"/>
    </row>
    <row r="19024">
      <c r="L19024" s="13"/>
      <c r="M19024" s="14"/>
      <c r="N19024" s="14"/>
      <c r="O19024" s="14"/>
      <c r="P19024" s="13"/>
    </row>
    <row r="19025">
      <c r="L19025" s="13"/>
      <c r="M19025" s="14"/>
      <c r="N19025" s="14"/>
      <c r="O19025" s="14"/>
      <c r="P19025" s="13"/>
    </row>
    <row r="19026">
      <c r="L19026" s="13"/>
      <c r="M19026" s="14"/>
      <c r="N19026" s="14"/>
      <c r="O19026" s="14"/>
      <c r="P19026" s="13"/>
    </row>
    <row r="19027">
      <c r="L19027" s="13"/>
      <c r="M19027" s="14"/>
      <c r="N19027" s="14"/>
      <c r="O19027" s="14"/>
      <c r="P19027" s="13"/>
    </row>
    <row r="19028">
      <c r="L19028" s="13"/>
      <c r="M19028" s="14"/>
      <c r="N19028" s="14"/>
      <c r="O19028" s="14"/>
      <c r="P19028" s="13"/>
    </row>
    <row r="19029">
      <c r="L19029" s="13"/>
      <c r="M19029" s="14"/>
      <c r="N19029" s="14"/>
      <c r="O19029" s="14"/>
      <c r="P19029" s="13"/>
    </row>
    <row r="19030">
      <c r="L19030" s="13"/>
      <c r="M19030" s="14"/>
      <c r="N19030" s="14"/>
      <c r="O19030" s="14"/>
      <c r="P19030" s="13"/>
    </row>
    <row r="19031">
      <c r="L19031" s="13"/>
      <c r="M19031" s="14"/>
      <c r="N19031" s="14"/>
      <c r="O19031" s="14"/>
      <c r="P19031" s="13"/>
    </row>
    <row r="19032">
      <c r="L19032" s="13"/>
      <c r="M19032" s="14"/>
      <c r="N19032" s="14"/>
      <c r="O19032" s="14"/>
      <c r="P19032" s="13"/>
    </row>
    <row r="19033">
      <c r="L19033" s="13"/>
      <c r="M19033" s="14"/>
      <c r="N19033" s="14"/>
      <c r="O19033" s="14"/>
      <c r="P19033" s="13"/>
    </row>
    <row r="19034">
      <c r="L19034" s="13"/>
      <c r="M19034" s="14"/>
      <c r="N19034" s="14"/>
      <c r="O19034" s="14"/>
      <c r="P19034" s="13"/>
    </row>
    <row r="19035">
      <c r="L19035" s="13"/>
      <c r="M19035" s="14"/>
      <c r="N19035" s="14"/>
      <c r="O19035" s="14"/>
      <c r="P19035" s="13"/>
    </row>
    <row r="19036">
      <c r="L19036" s="13"/>
      <c r="M19036" s="14"/>
      <c r="N19036" s="14"/>
      <c r="O19036" s="14"/>
      <c r="P19036" s="13"/>
    </row>
    <row r="19037">
      <c r="L19037" s="13"/>
      <c r="M19037" s="14"/>
      <c r="N19037" s="14"/>
      <c r="O19037" s="14"/>
      <c r="P19037" s="13"/>
    </row>
    <row r="19038">
      <c r="L19038" s="13"/>
      <c r="M19038" s="14"/>
      <c r="N19038" s="14"/>
      <c r="O19038" s="14"/>
      <c r="P19038" s="13"/>
    </row>
    <row r="19039">
      <c r="L19039" s="13"/>
      <c r="M19039" s="14"/>
      <c r="N19039" s="14"/>
      <c r="O19039" s="14"/>
      <c r="P19039" s="13"/>
    </row>
    <row r="19040">
      <c r="L19040" s="13"/>
      <c r="M19040" s="14"/>
      <c r="N19040" s="14"/>
      <c r="O19040" s="14"/>
      <c r="P19040" s="13"/>
    </row>
    <row r="19041">
      <c r="L19041" s="13"/>
      <c r="M19041" s="14"/>
      <c r="N19041" s="14"/>
      <c r="O19041" s="14"/>
      <c r="P19041" s="13"/>
    </row>
    <row r="19042">
      <c r="L19042" s="13"/>
      <c r="M19042" s="14"/>
      <c r="N19042" s="14"/>
      <c r="O19042" s="14"/>
      <c r="P19042" s="13"/>
    </row>
    <row r="19043">
      <c r="L19043" s="13"/>
      <c r="M19043" s="14"/>
      <c r="N19043" s="14"/>
      <c r="O19043" s="14"/>
      <c r="P19043" s="13"/>
    </row>
    <row r="19044">
      <c r="L19044" s="13"/>
      <c r="M19044" s="14"/>
      <c r="N19044" s="14"/>
      <c r="O19044" s="14"/>
      <c r="P19044" s="13"/>
    </row>
    <row r="19045">
      <c r="L19045" s="13"/>
      <c r="M19045" s="14"/>
      <c r="N19045" s="14"/>
      <c r="O19045" s="14"/>
      <c r="P19045" s="13"/>
    </row>
    <row r="19046">
      <c r="L19046" s="13"/>
      <c r="M19046" s="14"/>
      <c r="N19046" s="14"/>
      <c r="O19046" s="14"/>
      <c r="P19046" s="13"/>
    </row>
    <row r="19047">
      <c r="L19047" s="13"/>
      <c r="M19047" s="14"/>
      <c r="N19047" s="14"/>
      <c r="O19047" s="14"/>
      <c r="P19047" s="13"/>
    </row>
    <row r="19048">
      <c r="L19048" s="13"/>
      <c r="M19048" s="14"/>
      <c r="N19048" s="14"/>
      <c r="O19048" s="14"/>
      <c r="P19048" s="13"/>
    </row>
    <row r="19049">
      <c r="L19049" s="13"/>
      <c r="M19049" s="14"/>
      <c r="N19049" s="14"/>
      <c r="O19049" s="14"/>
      <c r="P19049" s="13"/>
    </row>
    <row r="19050">
      <c r="L19050" s="13"/>
      <c r="M19050" s="14"/>
      <c r="N19050" s="14"/>
      <c r="O19050" s="14"/>
      <c r="P19050" s="13"/>
    </row>
    <row r="19051">
      <c r="L19051" s="13"/>
      <c r="M19051" s="14"/>
      <c r="N19051" s="14"/>
      <c r="O19051" s="14"/>
      <c r="P19051" s="13"/>
    </row>
    <row r="19052">
      <c r="L19052" s="13"/>
      <c r="M19052" s="14"/>
      <c r="N19052" s="14"/>
      <c r="O19052" s="14"/>
      <c r="P19052" s="13"/>
    </row>
    <row r="19053">
      <c r="L19053" s="13"/>
      <c r="M19053" s="14"/>
      <c r="N19053" s="14"/>
      <c r="O19053" s="14"/>
      <c r="P19053" s="13"/>
    </row>
    <row r="19054">
      <c r="L19054" s="13"/>
      <c r="M19054" s="14"/>
      <c r="N19054" s="14"/>
      <c r="O19054" s="14"/>
      <c r="P19054" s="13"/>
    </row>
    <row r="19055">
      <c r="L19055" s="13"/>
      <c r="M19055" s="14"/>
      <c r="N19055" s="14"/>
      <c r="O19055" s="14"/>
      <c r="P19055" s="13"/>
    </row>
    <row r="19056">
      <c r="L19056" s="13"/>
      <c r="M19056" s="14"/>
      <c r="N19056" s="14"/>
      <c r="O19056" s="14"/>
      <c r="P19056" s="13"/>
    </row>
    <row r="19057">
      <c r="L19057" s="13"/>
      <c r="M19057" s="14"/>
      <c r="N19057" s="14"/>
      <c r="O19057" s="14"/>
      <c r="P19057" s="13"/>
    </row>
    <row r="19058">
      <c r="L19058" s="13"/>
      <c r="M19058" s="14"/>
      <c r="N19058" s="14"/>
      <c r="O19058" s="14"/>
      <c r="P19058" s="13"/>
    </row>
    <row r="19059">
      <c r="L19059" s="13"/>
      <c r="M19059" s="14"/>
      <c r="N19059" s="14"/>
      <c r="O19059" s="14"/>
      <c r="P19059" s="13"/>
    </row>
    <row r="19060">
      <c r="L19060" s="13"/>
      <c r="M19060" s="14"/>
      <c r="N19060" s="14"/>
      <c r="O19060" s="14"/>
      <c r="P19060" s="13"/>
    </row>
    <row r="19061">
      <c r="L19061" s="13"/>
      <c r="M19061" s="14"/>
      <c r="N19061" s="14"/>
      <c r="O19061" s="14"/>
      <c r="P19061" s="13"/>
    </row>
    <row r="19062">
      <c r="L19062" s="13"/>
      <c r="M19062" s="14"/>
      <c r="N19062" s="14"/>
      <c r="O19062" s="14"/>
      <c r="P19062" s="13"/>
    </row>
    <row r="19063">
      <c r="L19063" s="13"/>
      <c r="M19063" s="14"/>
      <c r="N19063" s="14"/>
      <c r="O19063" s="14"/>
      <c r="P19063" s="13"/>
    </row>
    <row r="19064">
      <c r="L19064" s="13"/>
      <c r="M19064" s="14"/>
      <c r="N19064" s="14"/>
      <c r="O19064" s="14"/>
      <c r="P19064" s="13"/>
    </row>
    <row r="19065">
      <c r="L19065" s="13"/>
      <c r="M19065" s="14"/>
      <c r="N19065" s="14"/>
      <c r="O19065" s="14"/>
      <c r="P19065" s="13"/>
    </row>
    <row r="19066">
      <c r="L19066" s="13"/>
      <c r="M19066" s="14"/>
      <c r="N19066" s="14"/>
      <c r="O19066" s="14"/>
      <c r="P19066" s="13"/>
    </row>
    <row r="19067">
      <c r="L19067" s="13"/>
      <c r="M19067" s="14"/>
      <c r="N19067" s="14"/>
      <c r="O19067" s="14"/>
      <c r="P19067" s="13"/>
    </row>
    <row r="19068">
      <c r="L19068" s="13"/>
      <c r="M19068" s="14"/>
      <c r="N19068" s="14"/>
      <c r="O19068" s="14"/>
      <c r="P19068" s="13"/>
    </row>
    <row r="19069">
      <c r="L19069" s="13"/>
      <c r="M19069" s="14"/>
      <c r="N19069" s="14"/>
      <c r="O19069" s="14"/>
      <c r="P19069" s="13"/>
    </row>
    <row r="19070">
      <c r="L19070" s="13"/>
      <c r="M19070" s="14"/>
      <c r="N19070" s="14"/>
      <c r="O19070" s="14"/>
      <c r="P19070" s="13"/>
    </row>
    <row r="19071">
      <c r="L19071" s="13"/>
      <c r="M19071" s="14"/>
      <c r="N19071" s="14"/>
      <c r="O19071" s="14"/>
      <c r="P19071" s="13"/>
    </row>
    <row r="19072">
      <c r="L19072" s="13"/>
      <c r="M19072" s="14"/>
      <c r="N19072" s="14"/>
      <c r="O19072" s="14"/>
      <c r="P19072" s="13"/>
    </row>
    <row r="19073">
      <c r="L19073" s="13"/>
      <c r="M19073" s="14"/>
      <c r="N19073" s="14"/>
      <c r="O19073" s="14"/>
      <c r="P19073" s="13"/>
    </row>
    <row r="19074">
      <c r="L19074" s="13"/>
      <c r="M19074" s="14"/>
      <c r="N19074" s="14"/>
      <c r="O19074" s="14"/>
      <c r="P19074" s="13"/>
    </row>
    <row r="19075">
      <c r="L19075" s="13"/>
      <c r="M19075" s="14"/>
      <c r="N19075" s="14"/>
      <c r="O19075" s="14"/>
      <c r="P19075" s="13"/>
    </row>
    <row r="19076">
      <c r="L19076" s="13"/>
      <c r="M19076" s="14"/>
      <c r="N19076" s="14"/>
      <c r="O19076" s="14"/>
      <c r="P19076" s="13"/>
    </row>
    <row r="19077">
      <c r="L19077" s="13"/>
      <c r="M19077" s="14"/>
      <c r="N19077" s="14"/>
      <c r="O19077" s="14"/>
      <c r="P19077" s="13"/>
    </row>
    <row r="19078">
      <c r="L19078" s="13"/>
      <c r="M19078" s="14"/>
      <c r="N19078" s="14"/>
      <c r="O19078" s="14"/>
      <c r="P19078" s="13"/>
    </row>
    <row r="19079">
      <c r="L19079" s="13"/>
      <c r="M19079" s="14"/>
      <c r="N19079" s="14"/>
      <c r="O19079" s="14"/>
      <c r="P19079" s="13"/>
    </row>
    <row r="19080">
      <c r="L19080" s="13"/>
      <c r="M19080" s="14"/>
      <c r="N19080" s="14"/>
      <c r="O19080" s="14"/>
      <c r="P19080" s="13"/>
    </row>
    <row r="19081">
      <c r="L19081" s="13"/>
      <c r="M19081" s="14"/>
      <c r="N19081" s="14"/>
      <c r="O19081" s="14"/>
      <c r="P19081" s="13"/>
    </row>
    <row r="19082">
      <c r="L19082" s="13"/>
      <c r="M19082" s="14"/>
      <c r="N19082" s="14"/>
      <c r="O19082" s="14"/>
      <c r="P19082" s="13"/>
    </row>
    <row r="19083">
      <c r="L19083" s="13"/>
      <c r="M19083" s="14"/>
      <c r="N19083" s="14"/>
      <c r="O19083" s="14"/>
      <c r="P19083" s="13"/>
    </row>
    <row r="19084">
      <c r="L19084" s="13"/>
      <c r="M19084" s="14"/>
      <c r="N19084" s="14"/>
      <c r="O19084" s="14"/>
      <c r="P19084" s="13"/>
    </row>
    <row r="19085">
      <c r="L19085" s="13"/>
      <c r="M19085" s="14"/>
      <c r="N19085" s="14"/>
      <c r="O19085" s="14"/>
      <c r="P19085" s="13"/>
    </row>
    <row r="19086">
      <c r="L19086" s="13"/>
      <c r="M19086" s="14"/>
      <c r="N19086" s="14"/>
      <c r="O19086" s="14"/>
      <c r="P19086" s="13"/>
    </row>
    <row r="19087">
      <c r="L19087" s="13"/>
      <c r="M19087" s="14"/>
      <c r="N19087" s="14"/>
      <c r="O19087" s="14"/>
      <c r="P19087" s="13"/>
    </row>
    <row r="19088">
      <c r="L19088" s="13"/>
      <c r="M19088" s="14"/>
      <c r="N19088" s="14"/>
      <c r="O19088" s="14"/>
      <c r="P19088" s="13"/>
    </row>
    <row r="19089">
      <c r="L19089" s="13"/>
      <c r="M19089" s="14"/>
      <c r="N19089" s="14"/>
      <c r="O19089" s="14"/>
      <c r="P19089" s="13"/>
    </row>
    <row r="19090">
      <c r="L19090" s="13"/>
      <c r="M19090" s="14"/>
      <c r="N19090" s="14"/>
      <c r="O19090" s="14"/>
      <c r="P19090" s="13"/>
    </row>
    <row r="19091">
      <c r="L19091" s="13"/>
      <c r="M19091" s="14"/>
      <c r="N19091" s="14"/>
      <c r="O19091" s="14"/>
      <c r="P19091" s="13"/>
    </row>
    <row r="19092">
      <c r="L19092" s="13"/>
      <c r="M19092" s="14"/>
      <c r="N19092" s="14"/>
      <c r="O19092" s="14"/>
      <c r="P19092" s="13"/>
    </row>
    <row r="19093">
      <c r="L19093" s="13"/>
      <c r="M19093" s="14"/>
      <c r="N19093" s="14"/>
      <c r="O19093" s="14"/>
      <c r="P19093" s="13"/>
    </row>
    <row r="19094">
      <c r="L19094" s="13"/>
      <c r="M19094" s="14"/>
      <c r="N19094" s="14"/>
      <c r="O19094" s="14"/>
      <c r="P19094" s="13"/>
    </row>
    <row r="19095">
      <c r="L19095" s="13"/>
      <c r="M19095" s="14"/>
      <c r="N19095" s="14"/>
      <c r="O19095" s="14"/>
      <c r="P19095" s="13"/>
    </row>
    <row r="19096">
      <c r="L19096" s="13"/>
      <c r="M19096" s="14"/>
      <c r="N19096" s="14"/>
      <c r="O19096" s="14"/>
      <c r="P19096" s="13"/>
    </row>
    <row r="19097">
      <c r="L19097" s="13"/>
      <c r="M19097" s="14"/>
      <c r="N19097" s="14"/>
      <c r="O19097" s="14"/>
      <c r="P19097" s="13"/>
    </row>
    <row r="19098">
      <c r="L19098" s="13"/>
      <c r="M19098" s="14"/>
      <c r="N19098" s="14"/>
      <c r="O19098" s="14"/>
      <c r="P19098" s="13"/>
    </row>
    <row r="19099">
      <c r="L19099" s="13"/>
      <c r="M19099" s="14"/>
      <c r="N19099" s="14"/>
      <c r="O19099" s="14"/>
      <c r="P19099" s="13"/>
    </row>
    <row r="19100">
      <c r="L19100" s="13"/>
      <c r="M19100" s="14"/>
      <c r="N19100" s="14"/>
      <c r="O19100" s="14"/>
      <c r="P19100" s="13"/>
    </row>
    <row r="19101">
      <c r="L19101" s="13"/>
      <c r="M19101" s="14"/>
      <c r="N19101" s="14"/>
      <c r="O19101" s="14"/>
      <c r="P19101" s="13"/>
    </row>
    <row r="19102">
      <c r="L19102" s="13"/>
      <c r="M19102" s="14"/>
      <c r="N19102" s="14"/>
      <c r="O19102" s="14"/>
      <c r="P19102" s="13"/>
    </row>
    <row r="19103">
      <c r="L19103" s="13"/>
      <c r="M19103" s="14"/>
      <c r="N19103" s="14"/>
      <c r="O19103" s="14"/>
      <c r="P19103" s="13"/>
    </row>
    <row r="19104">
      <c r="L19104" s="13"/>
      <c r="M19104" s="14"/>
      <c r="N19104" s="14"/>
      <c r="O19104" s="14"/>
      <c r="P19104" s="13"/>
    </row>
    <row r="19105">
      <c r="L19105" s="13"/>
      <c r="M19105" s="14"/>
      <c r="N19105" s="14"/>
      <c r="O19105" s="14"/>
      <c r="P19105" s="13"/>
    </row>
    <row r="19106">
      <c r="L19106" s="13"/>
      <c r="M19106" s="14"/>
      <c r="N19106" s="14"/>
      <c r="O19106" s="14"/>
      <c r="P19106" s="13"/>
    </row>
    <row r="19107">
      <c r="L19107" s="13"/>
      <c r="M19107" s="14"/>
      <c r="N19107" s="14"/>
      <c r="O19107" s="14"/>
      <c r="P19107" s="13"/>
    </row>
    <row r="19108">
      <c r="L19108" s="13"/>
      <c r="M19108" s="14"/>
      <c r="N19108" s="14"/>
      <c r="O19108" s="14"/>
      <c r="P19108" s="13"/>
    </row>
    <row r="19109">
      <c r="L19109" s="13"/>
      <c r="M19109" s="14"/>
      <c r="N19109" s="14"/>
      <c r="O19109" s="14"/>
      <c r="P19109" s="13"/>
    </row>
    <row r="19110">
      <c r="L19110" s="13"/>
      <c r="M19110" s="14"/>
      <c r="N19110" s="14"/>
      <c r="O19110" s="14"/>
      <c r="P19110" s="13"/>
    </row>
    <row r="19111">
      <c r="L19111" s="13"/>
      <c r="M19111" s="14"/>
      <c r="N19111" s="14"/>
      <c r="O19111" s="14"/>
      <c r="P19111" s="13"/>
    </row>
    <row r="19112">
      <c r="L19112" s="13"/>
      <c r="M19112" s="14"/>
      <c r="N19112" s="14"/>
      <c r="O19112" s="14"/>
      <c r="P19112" s="13"/>
    </row>
    <row r="19113">
      <c r="L19113" s="13"/>
      <c r="M19113" s="14"/>
      <c r="N19113" s="14"/>
      <c r="O19113" s="14"/>
      <c r="P19113" s="13"/>
    </row>
    <row r="19114">
      <c r="L19114" s="13"/>
      <c r="M19114" s="14"/>
      <c r="N19114" s="14"/>
      <c r="O19114" s="14"/>
      <c r="P19114" s="13"/>
    </row>
    <row r="19115">
      <c r="L19115" s="13"/>
      <c r="M19115" s="14"/>
      <c r="N19115" s="14"/>
      <c r="O19115" s="14"/>
      <c r="P19115" s="13"/>
    </row>
    <row r="19116">
      <c r="L19116" s="13"/>
      <c r="M19116" s="14"/>
      <c r="N19116" s="14"/>
      <c r="O19116" s="14"/>
      <c r="P19116" s="13"/>
    </row>
    <row r="19117">
      <c r="L19117" s="13"/>
      <c r="M19117" s="14"/>
      <c r="N19117" s="14"/>
      <c r="O19117" s="14"/>
      <c r="P19117" s="13"/>
    </row>
    <row r="19118">
      <c r="L19118" s="13"/>
      <c r="M19118" s="14"/>
      <c r="N19118" s="14"/>
      <c r="O19118" s="14"/>
      <c r="P19118" s="13"/>
    </row>
    <row r="19119">
      <c r="L19119" s="13"/>
      <c r="M19119" s="14"/>
      <c r="N19119" s="14"/>
      <c r="O19119" s="14"/>
      <c r="P19119" s="13"/>
    </row>
    <row r="19120">
      <c r="L19120" s="13"/>
      <c r="M19120" s="14"/>
      <c r="N19120" s="14"/>
      <c r="O19120" s="14"/>
      <c r="P19120" s="13"/>
    </row>
    <row r="19121">
      <c r="L19121" s="13"/>
      <c r="M19121" s="14"/>
      <c r="N19121" s="14"/>
      <c r="O19121" s="14"/>
      <c r="P19121" s="13"/>
    </row>
    <row r="19122">
      <c r="L19122" s="13"/>
      <c r="M19122" s="14"/>
      <c r="N19122" s="14"/>
      <c r="O19122" s="14"/>
      <c r="P19122" s="13"/>
    </row>
    <row r="19123">
      <c r="L19123" s="13"/>
      <c r="M19123" s="14"/>
      <c r="N19123" s="14"/>
      <c r="O19123" s="14"/>
      <c r="P19123" s="13"/>
    </row>
    <row r="19124">
      <c r="L19124" s="13"/>
      <c r="M19124" s="14"/>
      <c r="N19124" s="14"/>
      <c r="O19124" s="14"/>
      <c r="P19124" s="13"/>
    </row>
    <row r="19125">
      <c r="L19125" s="13"/>
      <c r="M19125" s="14"/>
      <c r="N19125" s="14"/>
      <c r="O19125" s="14"/>
      <c r="P19125" s="13"/>
    </row>
    <row r="19126">
      <c r="L19126" s="13"/>
      <c r="M19126" s="14"/>
      <c r="N19126" s="14"/>
      <c r="O19126" s="14"/>
      <c r="P19126" s="13"/>
    </row>
    <row r="19127">
      <c r="L19127" s="13"/>
      <c r="M19127" s="14"/>
      <c r="N19127" s="14"/>
      <c r="O19127" s="14"/>
      <c r="P19127" s="13"/>
    </row>
    <row r="19128">
      <c r="L19128" s="13"/>
      <c r="M19128" s="14"/>
      <c r="N19128" s="14"/>
      <c r="O19128" s="14"/>
      <c r="P19128" s="13"/>
    </row>
    <row r="19129">
      <c r="L19129" s="13"/>
      <c r="M19129" s="14"/>
      <c r="N19129" s="14"/>
      <c r="O19129" s="14"/>
      <c r="P19129" s="13"/>
    </row>
    <row r="19130">
      <c r="L19130" s="13"/>
      <c r="M19130" s="14"/>
      <c r="N19130" s="14"/>
      <c r="O19130" s="14"/>
      <c r="P19130" s="13"/>
    </row>
    <row r="19131">
      <c r="L19131" s="13"/>
      <c r="M19131" s="14"/>
      <c r="N19131" s="14"/>
      <c r="O19131" s="14"/>
      <c r="P19131" s="13"/>
    </row>
    <row r="19132">
      <c r="L19132" s="13"/>
      <c r="M19132" s="14"/>
      <c r="N19132" s="14"/>
      <c r="O19132" s="14"/>
      <c r="P19132" s="13"/>
    </row>
    <row r="19133">
      <c r="L19133" s="13"/>
      <c r="M19133" s="14"/>
      <c r="N19133" s="14"/>
      <c r="O19133" s="14"/>
      <c r="P19133" s="13"/>
    </row>
    <row r="19134">
      <c r="L19134" s="13"/>
      <c r="M19134" s="14"/>
      <c r="N19134" s="14"/>
      <c r="O19134" s="14"/>
      <c r="P19134" s="13"/>
    </row>
    <row r="19135">
      <c r="L19135" s="13"/>
      <c r="M19135" s="14"/>
      <c r="N19135" s="14"/>
      <c r="O19135" s="14"/>
      <c r="P19135" s="13"/>
    </row>
    <row r="19136">
      <c r="L19136" s="13"/>
      <c r="M19136" s="14"/>
      <c r="N19136" s="14"/>
      <c r="O19136" s="14"/>
      <c r="P19136" s="13"/>
    </row>
    <row r="19137">
      <c r="L19137" s="13"/>
      <c r="M19137" s="14"/>
      <c r="N19137" s="14"/>
      <c r="O19137" s="14"/>
      <c r="P19137" s="13"/>
    </row>
    <row r="19138">
      <c r="L19138" s="13"/>
      <c r="M19138" s="14"/>
      <c r="N19138" s="14"/>
      <c r="O19138" s="14"/>
      <c r="P19138" s="13"/>
    </row>
    <row r="19139">
      <c r="L19139" s="13"/>
      <c r="M19139" s="14"/>
      <c r="N19139" s="14"/>
      <c r="O19139" s="14"/>
      <c r="P19139" s="13"/>
    </row>
    <row r="19140">
      <c r="L19140" s="13"/>
      <c r="M19140" s="14"/>
      <c r="N19140" s="14"/>
      <c r="O19140" s="14"/>
      <c r="P19140" s="13"/>
    </row>
    <row r="19141">
      <c r="L19141" s="13"/>
      <c r="M19141" s="14"/>
      <c r="N19141" s="14"/>
      <c r="O19141" s="14"/>
      <c r="P19141" s="13"/>
    </row>
    <row r="19142">
      <c r="L19142" s="13"/>
      <c r="M19142" s="14"/>
      <c r="N19142" s="14"/>
      <c r="O19142" s="14"/>
      <c r="P19142" s="13"/>
    </row>
    <row r="19143">
      <c r="L19143" s="13"/>
      <c r="M19143" s="14"/>
      <c r="N19143" s="14"/>
      <c r="O19143" s="14"/>
      <c r="P19143" s="13"/>
    </row>
    <row r="19144">
      <c r="L19144" s="13"/>
      <c r="M19144" s="14"/>
      <c r="N19144" s="14"/>
      <c r="O19144" s="14"/>
      <c r="P19144" s="13"/>
    </row>
    <row r="19145">
      <c r="L19145" s="13"/>
      <c r="M19145" s="14"/>
      <c r="N19145" s="14"/>
      <c r="O19145" s="14"/>
      <c r="P19145" s="13"/>
    </row>
    <row r="19146">
      <c r="L19146" s="13"/>
      <c r="M19146" s="14"/>
      <c r="N19146" s="14"/>
      <c r="O19146" s="14"/>
      <c r="P19146" s="13"/>
    </row>
    <row r="19147">
      <c r="L19147" s="13"/>
      <c r="M19147" s="14"/>
      <c r="N19147" s="14"/>
      <c r="O19147" s="14"/>
      <c r="P19147" s="13"/>
    </row>
    <row r="19148">
      <c r="L19148" s="13"/>
      <c r="M19148" s="14"/>
      <c r="N19148" s="14"/>
      <c r="O19148" s="14"/>
      <c r="P19148" s="13"/>
    </row>
    <row r="19149">
      <c r="L19149" s="13"/>
      <c r="M19149" s="14"/>
      <c r="N19149" s="14"/>
      <c r="O19149" s="14"/>
      <c r="P19149" s="13"/>
    </row>
    <row r="19150">
      <c r="L19150" s="13"/>
      <c r="M19150" s="14"/>
      <c r="N19150" s="14"/>
      <c r="O19150" s="14"/>
      <c r="P19150" s="13"/>
    </row>
    <row r="19151">
      <c r="L19151" s="13"/>
      <c r="M19151" s="14"/>
      <c r="N19151" s="14"/>
      <c r="O19151" s="14"/>
      <c r="P19151" s="13"/>
    </row>
    <row r="19152">
      <c r="L19152" s="13"/>
      <c r="M19152" s="14"/>
      <c r="N19152" s="14"/>
      <c r="O19152" s="14"/>
      <c r="P19152" s="13"/>
    </row>
    <row r="19153">
      <c r="L19153" s="13"/>
      <c r="M19153" s="14"/>
      <c r="N19153" s="14"/>
      <c r="O19153" s="14"/>
      <c r="P19153" s="13"/>
    </row>
    <row r="19154">
      <c r="L19154" s="13"/>
      <c r="M19154" s="14"/>
      <c r="N19154" s="14"/>
      <c r="O19154" s="14"/>
      <c r="P19154" s="13"/>
    </row>
    <row r="19155">
      <c r="L19155" s="13"/>
      <c r="M19155" s="14"/>
      <c r="N19155" s="14"/>
      <c r="O19155" s="14"/>
      <c r="P19155" s="13"/>
    </row>
    <row r="19156">
      <c r="L19156" s="13"/>
      <c r="M19156" s="14"/>
      <c r="N19156" s="14"/>
      <c r="O19156" s="14"/>
      <c r="P19156" s="13"/>
    </row>
    <row r="19157">
      <c r="L19157" s="13"/>
      <c r="M19157" s="14"/>
      <c r="N19157" s="14"/>
      <c r="O19157" s="14"/>
      <c r="P19157" s="13"/>
    </row>
    <row r="19158">
      <c r="L19158" s="13"/>
      <c r="M19158" s="14"/>
      <c r="N19158" s="14"/>
      <c r="O19158" s="14"/>
      <c r="P19158" s="13"/>
    </row>
    <row r="19159">
      <c r="L19159" s="13"/>
      <c r="M19159" s="14"/>
      <c r="N19159" s="14"/>
      <c r="O19159" s="14"/>
      <c r="P19159" s="13"/>
    </row>
    <row r="19160">
      <c r="L19160" s="13"/>
      <c r="M19160" s="14"/>
      <c r="N19160" s="14"/>
      <c r="O19160" s="14"/>
      <c r="P19160" s="13"/>
    </row>
    <row r="19161">
      <c r="L19161" s="13"/>
      <c r="M19161" s="14"/>
      <c r="N19161" s="14"/>
      <c r="O19161" s="14"/>
      <c r="P19161" s="13"/>
    </row>
    <row r="19162">
      <c r="L19162" s="13"/>
      <c r="M19162" s="14"/>
      <c r="N19162" s="14"/>
      <c r="O19162" s="14"/>
      <c r="P19162" s="13"/>
    </row>
    <row r="19163">
      <c r="L19163" s="13"/>
      <c r="M19163" s="14"/>
      <c r="N19163" s="14"/>
      <c r="O19163" s="14"/>
      <c r="P19163" s="13"/>
    </row>
    <row r="19164">
      <c r="L19164" s="13"/>
      <c r="M19164" s="14"/>
      <c r="N19164" s="14"/>
      <c r="O19164" s="14"/>
      <c r="P19164" s="13"/>
    </row>
    <row r="19165">
      <c r="L19165" s="13"/>
      <c r="M19165" s="14"/>
      <c r="N19165" s="14"/>
      <c r="O19165" s="14"/>
      <c r="P19165" s="13"/>
    </row>
    <row r="19166">
      <c r="L19166" s="13"/>
      <c r="M19166" s="14"/>
      <c r="N19166" s="14"/>
      <c r="O19166" s="14"/>
      <c r="P19166" s="13"/>
    </row>
    <row r="19167">
      <c r="L19167" s="13"/>
      <c r="M19167" s="14"/>
      <c r="N19167" s="14"/>
      <c r="O19167" s="14"/>
      <c r="P19167" s="13"/>
    </row>
    <row r="19168">
      <c r="L19168" s="13"/>
      <c r="M19168" s="14"/>
      <c r="N19168" s="14"/>
      <c r="O19168" s="14"/>
      <c r="P19168" s="13"/>
    </row>
    <row r="19169">
      <c r="L19169" s="13"/>
      <c r="M19169" s="14"/>
      <c r="N19169" s="14"/>
      <c r="O19169" s="14"/>
      <c r="P19169" s="13"/>
    </row>
    <row r="19170">
      <c r="L19170" s="13"/>
      <c r="M19170" s="14"/>
      <c r="N19170" s="14"/>
      <c r="O19170" s="14"/>
      <c r="P19170" s="13"/>
    </row>
    <row r="19171">
      <c r="L19171" s="13"/>
      <c r="M19171" s="14"/>
      <c r="N19171" s="14"/>
      <c r="O19171" s="14"/>
      <c r="P19171" s="13"/>
    </row>
    <row r="19172">
      <c r="L19172" s="13"/>
      <c r="M19172" s="14"/>
      <c r="N19172" s="14"/>
      <c r="O19172" s="14"/>
      <c r="P19172" s="13"/>
    </row>
    <row r="19173">
      <c r="L19173" s="13"/>
      <c r="M19173" s="14"/>
      <c r="N19173" s="14"/>
      <c r="O19173" s="14"/>
      <c r="P19173" s="13"/>
    </row>
    <row r="19174">
      <c r="L19174" s="13"/>
      <c r="M19174" s="14"/>
      <c r="N19174" s="14"/>
      <c r="O19174" s="14"/>
      <c r="P19174" s="13"/>
    </row>
    <row r="19175">
      <c r="L19175" s="13"/>
      <c r="M19175" s="14"/>
      <c r="N19175" s="14"/>
      <c r="O19175" s="14"/>
      <c r="P19175" s="13"/>
    </row>
    <row r="19176">
      <c r="L19176" s="13"/>
      <c r="M19176" s="14"/>
      <c r="N19176" s="14"/>
      <c r="O19176" s="14"/>
      <c r="P19176" s="13"/>
    </row>
    <row r="19177">
      <c r="L19177" s="13"/>
      <c r="M19177" s="14"/>
      <c r="N19177" s="14"/>
      <c r="O19177" s="14"/>
      <c r="P19177" s="13"/>
    </row>
    <row r="19178">
      <c r="L19178" s="13"/>
      <c r="M19178" s="14"/>
      <c r="N19178" s="14"/>
      <c r="O19178" s="14"/>
      <c r="P19178" s="13"/>
    </row>
    <row r="19179">
      <c r="L19179" s="13"/>
      <c r="M19179" s="14"/>
      <c r="N19179" s="14"/>
      <c r="O19179" s="14"/>
      <c r="P19179" s="13"/>
    </row>
    <row r="19180">
      <c r="L19180" s="13"/>
      <c r="M19180" s="14"/>
      <c r="N19180" s="14"/>
      <c r="O19180" s="14"/>
      <c r="P19180" s="13"/>
    </row>
    <row r="19181">
      <c r="L19181" s="13"/>
      <c r="M19181" s="14"/>
      <c r="N19181" s="14"/>
      <c r="O19181" s="14"/>
      <c r="P19181" s="13"/>
    </row>
    <row r="19182">
      <c r="L19182" s="13"/>
      <c r="M19182" s="14"/>
      <c r="N19182" s="14"/>
      <c r="O19182" s="14"/>
      <c r="P19182" s="13"/>
    </row>
    <row r="19183">
      <c r="L19183" s="13"/>
      <c r="M19183" s="14"/>
      <c r="N19183" s="14"/>
      <c r="O19183" s="14"/>
      <c r="P19183" s="13"/>
    </row>
    <row r="19184">
      <c r="L19184" s="13"/>
      <c r="M19184" s="14"/>
      <c r="N19184" s="14"/>
      <c r="O19184" s="14"/>
      <c r="P19184" s="13"/>
    </row>
    <row r="19185">
      <c r="L19185" s="13"/>
      <c r="M19185" s="14"/>
      <c r="N19185" s="14"/>
      <c r="O19185" s="14"/>
      <c r="P19185" s="13"/>
    </row>
    <row r="19186">
      <c r="L19186" s="13"/>
      <c r="M19186" s="14"/>
      <c r="N19186" s="14"/>
      <c r="O19186" s="14"/>
      <c r="P19186" s="13"/>
    </row>
    <row r="19187">
      <c r="L19187" s="13"/>
      <c r="M19187" s="14"/>
      <c r="N19187" s="14"/>
      <c r="O19187" s="14"/>
      <c r="P19187" s="13"/>
    </row>
    <row r="19188">
      <c r="L19188" s="13"/>
      <c r="M19188" s="14"/>
      <c r="N19188" s="14"/>
      <c r="O19188" s="14"/>
      <c r="P19188" s="13"/>
    </row>
    <row r="19189">
      <c r="L19189" s="13"/>
      <c r="M19189" s="14"/>
      <c r="N19189" s="14"/>
      <c r="O19189" s="14"/>
      <c r="P19189" s="13"/>
    </row>
    <row r="19190">
      <c r="L19190" s="13"/>
      <c r="M19190" s="14"/>
      <c r="N19190" s="14"/>
      <c r="O19190" s="14"/>
      <c r="P19190" s="13"/>
    </row>
    <row r="19191">
      <c r="L19191" s="13"/>
      <c r="M19191" s="14"/>
      <c r="N19191" s="14"/>
      <c r="O19191" s="14"/>
      <c r="P19191" s="13"/>
    </row>
    <row r="19192">
      <c r="L19192" s="13"/>
      <c r="M19192" s="14"/>
      <c r="N19192" s="14"/>
      <c r="O19192" s="14"/>
      <c r="P19192" s="13"/>
    </row>
    <row r="19193">
      <c r="L19193" s="13"/>
      <c r="M19193" s="14"/>
      <c r="N19193" s="14"/>
      <c r="O19193" s="14"/>
      <c r="P19193" s="13"/>
    </row>
    <row r="19194">
      <c r="L19194" s="13"/>
      <c r="M19194" s="14"/>
      <c r="N19194" s="14"/>
      <c r="O19194" s="14"/>
      <c r="P19194" s="13"/>
    </row>
    <row r="19195">
      <c r="L19195" s="13"/>
      <c r="M19195" s="14"/>
      <c r="N19195" s="14"/>
      <c r="O19195" s="14"/>
      <c r="P19195" s="13"/>
    </row>
    <row r="19196">
      <c r="L19196" s="13"/>
      <c r="M19196" s="14"/>
      <c r="N19196" s="14"/>
      <c r="O19196" s="14"/>
      <c r="P19196" s="13"/>
    </row>
    <row r="19197">
      <c r="L19197" s="13"/>
      <c r="M19197" s="14"/>
      <c r="N19197" s="14"/>
      <c r="O19197" s="14"/>
      <c r="P19197" s="13"/>
    </row>
    <row r="19198">
      <c r="L19198" s="13"/>
      <c r="M19198" s="14"/>
      <c r="N19198" s="14"/>
      <c r="O19198" s="14"/>
      <c r="P19198" s="13"/>
    </row>
    <row r="19199">
      <c r="L19199" s="13"/>
      <c r="M19199" s="14"/>
      <c r="N19199" s="14"/>
      <c r="O19199" s="14"/>
      <c r="P19199" s="13"/>
    </row>
    <row r="19200">
      <c r="L19200" s="13"/>
      <c r="M19200" s="14"/>
      <c r="N19200" s="14"/>
      <c r="O19200" s="14"/>
      <c r="P19200" s="13"/>
    </row>
    <row r="19201">
      <c r="L19201" s="13"/>
      <c r="M19201" s="14"/>
      <c r="N19201" s="14"/>
      <c r="O19201" s="14"/>
      <c r="P19201" s="13"/>
    </row>
    <row r="19202">
      <c r="L19202" s="13"/>
      <c r="M19202" s="14"/>
      <c r="N19202" s="14"/>
      <c r="O19202" s="14"/>
      <c r="P19202" s="13"/>
    </row>
    <row r="19203">
      <c r="L19203" s="13"/>
      <c r="M19203" s="14"/>
      <c r="N19203" s="14"/>
      <c r="O19203" s="14"/>
      <c r="P19203" s="13"/>
    </row>
    <row r="19204">
      <c r="L19204" s="13"/>
      <c r="M19204" s="14"/>
      <c r="N19204" s="14"/>
      <c r="O19204" s="14"/>
      <c r="P19204" s="13"/>
    </row>
    <row r="19205">
      <c r="L19205" s="13"/>
      <c r="M19205" s="14"/>
      <c r="N19205" s="14"/>
      <c r="O19205" s="14"/>
      <c r="P19205" s="13"/>
    </row>
    <row r="19206">
      <c r="L19206" s="13"/>
      <c r="M19206" s="14"/>
      <c r="N19206" s="14"/>
      <c r="O19206" s="14"/>
      <c r="P19206" s="13"/>
    </row>
    <row r="19207">
      <c r="L19207" s="13"/>
      <c r="M19207" s="14"/>
      <c r="N19207" s="14"/>
      <c r="O19207" s="14"/>
      <c r="P19207" s="13"/>
    </row>
    <row r="19208">
      <c r="L19208" s="13"/>
      <c r="M19208" s="14"/>
      <c r="N19208" s="14"/>
      <c r="O19208" s="14"/>
      <c r="P19208" s="13"/>
    </row>
    <row r="19209">
      <c r="L19209" s="13"/>
      <c r="M19209" s="14"/>
      <c r="N19209" s="14"/>
      <c r="O19209" s="14"/>
      <c r="P19209" s="13"/>
    </row>
    <row r="19210">
      <c r="L19210" s="13"/>
      <c r="M19210" s="14"/>
      <c r="N19210" s="14"/>
      <c r="O19210" s="14"/>
      <c r="P19210" s="13"/>
    </row>
    <row r="19211">
      <c r="L19211" s="13"/>
      <c r="M19211" s="14"/>
      <c r="N19211" s="14"/>
      <c r="O19211" s="14"/>
      <c r="P19211" s="13"/>
    </row>
    <row r="19212">
      <c r="L19212" s="13"/>
      <c r="M19212" s="14"/>
      <c r="N19212" s="14"/>
      <c r="O19212" s="14"/>
      <c r="P19212" s="13"/>
    </row>
    <row r="19213">
      <c r="L19213" s="13"/>
      <c r="M19213" s="14"/>
      <c r="N19213" s="14"/>
      <c r="O19213" s="14"/>
      <c r="P19213" s="13"/>
    </row>
    <row r="19214">
      <c r="L19214" s="13"/>
      <c r="M19214" s="14"/>
      <c r="N19214" s="14"/>
      <c r="O19214" s="14"/>
      <c r="P19214" s="13"/>
    </row>
    <row r="19215">
      <c r="L19215" s="13"/>
      <c r="M19215" s="14"/>
      <c r="N19215" s="14"/>
      <c r="O19215" s="14"/>
      <c r="P19215" s="13"/>
    </row>
    <row r="19216">
      <c r="L19216" s="13"/>
      <c r="M19216" s="14"/>
      <c r="N19216" s="14"/>
      <c r="O19216" s="14"/>
      <c r="P19216" s="13"/>
    </row>
    <row r="19217">
      <c r="L19217" s="13"/>
      <c r="M19217" s="14"/>
      <c r="N19217" s="14"/>
      <c r="O19217" s="14"/>
      <c r="P19217" s="13"/>
    </row>
    <row r="19218">
      <c r="L19218" s="13"/>
      <c r="M19218" s="14"/>
      <c r="N19218" s="14"/>
      <c r="O19218" s="14"/>
      <c r="P19218" s="13"/>
    </row>
    <row r="19219">
      <c r="L19219" s="13"/>
      <c r="M19219" s="14"/>
      <c r="N19219" s="14"/>
      <c r="O19219" s="14"/>
      <c r="P19219" s="13"/>
    </row>
    <row r="19220">
      <c r="L19220" s="13"/>
      <c r="M19220" s="14"/>
      <c r="N19220" s="14"/>
      <c r="O19220" s="14"/>
      <c r="P19220" s="13"/>
    </row>
    <row r="19221">
      <c r="L19221" s="13"/>
      <c r="M19221" s="14"/>
      <c r="N19221" s="14"/>
      <c r="O19221" s="14"/>
      <c r="P19221" s="13"/>
    </row>
    <row r="19222">
      <c r="L19222" s="13"/>
      <c r="M19222" s="14"/>
      <c r="N19222" s="14"/>
      <c r="O19222" s="14"/>
      <c r="P19222" s="13"/>
    </row>
    <row r="19223">
      <c r="L19223" s="13"/>
      <c r="M19223" s="14"/>
      <c r="N19223" s="14"/>
      <c r="O19223" s="14"/>
      <c r="P19223" s="13"/>
    </row>
    <row r="19224">
      <c r="L19224" s="13"/>
      <c r="M19224" s="14"/>
      <c r="N19224" s="14"/>
      <c r="O19224" s="14"/>
      <c r="P19224" s="13"/>
    </row>
    <row r="19225">
      <c r="L19225" s="13"/>
      <c r="M19225" s="14"/>
      <c r="N19225" s="14"/>
      <c r="O19225" s="14"/>
      <c r="P19225" s="13"/>
    </row>
    <row r="19226">
      <c r="L19226" s="13"/>
      <c r="M19226" s="14"/>
      <c r="N19226" s="14"/>
      <c r="O19226" s="14"/>
      <c r="P19226" s="13"/>
    </row>
    <row r="19227">
      <c r="L19227" s="13"/>
      <c r="M19227" s="14"/>
      <c r="N19227" s="14"/>
      <c r="O19227" s="14"/>
      <c r="P19227" s="13"/>
    </row>
    <row r="19228">
      <c r="L19228" s="13"/>
      <c r="M19228" s="14"/>
      <c r="N19228" s="14"/>
      <c r="O19228" s="14"/>
      <c r="P19228" s="13"/>
    </row>
    <row r="19229">
      <c r="L19229" s="13"/>
      <c r="M19229" s="14"/>
      <c r="N19229" s="14"/>
      <c r="O19229" s="14"/>
      <c r="P19229" s="13"/>
    </row>
    <row r="19230">
      <c r="L19230" s="13"/>
      <c r="M19230" s="14"/>
      <c r="N19230" s="14"/>
      <c r="O19230" s="14"/>
      <c r="P19230" s="13"/>
    </row>
    <row r="19231">
      <c r="L19231" s="13"/>
      <c r="M19231" s="14"/>
      <c r="N19231" s="14"/>
      <c r="O19231" s="14"/>
      <c r="P19231" s="13"/>
    </row>
    <row r="19232">
      <c r="L19232" s="13"/>
      <c r="M19232" s="14"/>
      <c r="N19232" s="14"/>
      <c r="O19232" s="14"/>
      <c r="P19232" s="13"/>
    </row>
    <row r="19233">
      <c r="L19233" s="13"/>
      <c r="M19233" s="14"/>
      <c r="N19233" s="14"/>
      <c r="O19233" s="14"/>
      <c r="P19233" s="13"/>
    </row>
    <row r="19234">
      <c r="L19234" s="13"/>
      <c r="M19234" s="14"/>
      <c r="N19234" s="14"/>
      <c r="O19234" s="14"/>
      <c r="P19234" s="13"/>
    </row>
    <row r="19235">
      <c r="L19235" s="13"/>
      <c r="M19235" s="14"/>
      <c r="N19235" s="14"/>
      <c r="O19235" s="14"/>
      <c r="P19235" s="13"/>
    </row>
    <row r="19236">
      <c r="L19236" s="13"/>
      <c r="M19236" s="14"/>
      <c r="N19236" s="14"/>
      <c r="O19236" s="14"/>
      <c r="P19236" s="13"/>
    </row>
    <row r="19237">
      <c r="L19237" s="13"/>
      <c r="M19237" s="14"/>
      <c r="N19237" s="14"/>
      <c r="O19237" s="14"/>
      <c r="P19237" s="13"/>
    </row>
    <row r="19238">
      <c r="L19238" s="13"/>
      <c r="M19238" s="14"/>
      <c r="N19238" s="14"/>
      <c r="O19238" s="14"/>
      <c r="P19238" s="13"/>
    </row>
    <row r="19239">
      <c r="L19239" s="13"/>
      <c r="M19239" s="14"/>
      <c r="N19239" s="14"/>
      <c r="O19239" s="14"/>
      <c r="P19239" s="13"/>
    </row>
    <row r="19240">
      <c r="L19240" s="13"/>
      <c r="M19240" s="14"/>
      <c r="N19240" s="14"/>
      <c r="O19240" s="14"/>
      <c r="P19240" s="13"/>
    </row>
    <row r="19241">
      <c r="L19241" s="13"/>
      <c r="M19241" s="14"/>
      <c r="N19241" s="14"/>
      <c r="O19241" s="14"/>
      <c r="P19241" s="13"/>
    </row>
    <row r="19242">
      <c r="L19242" s="13"/>
      <c r="M19242" s="14"/>
      <c r="N19242" s="14"/>
      <c r="O19242" s="14"/>
      <c r="P19242" s="13"/>
    </row>
    <row r="19243">
      <c r="L19243" s="13"/>
      <c r="M19243" s="14"/>
      <c r="N19243" s="14"/>
      <c r="O19243" s="14"/>
      <c r="P19243" s="13"/>
    </row>
    <row r="19244">
      <c r="L19244" s="13"/>
      <c r="M19244" s="14"/>
      <c r="N19244" s="14"/>
      <c r="O19244" s="14"/>
      <c r="P19244" s="13"/>
    </row>
    <row r="19245">
      <c r="L19245" s="13"/>
      <c r="M19245" s="14"/>
      <c r="N19245" s="14"/>
      <c r="O19245" s="14"/>
      <c r="P19245" s="13"/>
    </row>
    <row r="19246">
      <c r="L19246" s="13"/>
      <c r="M19246" s="14"/>
      <c r="N19246" s="14"/>
      <c r="O19246" s="14"/>
      <c r="P19246" s="13"/>
    </row>
    <row r="19247">
      <c r="L19247" s="13"/>
      <c r="M19247" s="14"/>
      <c r="N19247" s="14"/>
      <c r="O19247" s="14"/>
      <c r="P19247" s="13"/>
    </row>
    <row r="19248">
      <c r="L19248" s="13"/>
      <c r="M19248" s="14"/>
      <c r="N19248" s="14"/>
      <c r="O19248" s="14"/>
      <c r="P19248" s="13"/>
    </row>
    <row r="19249">
      <c r="L19249" s="13"/>
      <c r="M19249" s="14"/>
      <c r="N19249" s="14"/>
      <c r="O19249" s="14"/>
      <c r="P19249" s="13"/>
    </row>
    <row r="19250">
      <c r="L19250" s="13"/>
      <c r="M19250" s="14"/>
      <c r="N19250" s="14"/>
      <c r="O19250" s="14"/>
      <c r="P19250" s="13"/>
    </row>
    <row r="19251">
      <c r="L19251" s="13"/>
      <c r="M19251" s="14"/>
      <c r="N19251" s="14"/>
      <c r="O19251" s="14"/>
      <c r="P19251" s="13"/>
    </row>
    <row r="19252">
      <c r="L19252" s="13"/>
      <c r="M19252" s="14"/>
      <c r="N19252" s="14"/>
      <c r="O19252" s="14"/>
      <c r="P19252" s="13"/>
    </row>
    <row r="19253">
      <c r="L19253" s="13"/>
      <c r="M19253" s="14"/>
      <c r="N19253" s="14"/>
      <c r="O19253" s="14"/>
      <c r="P19253" s="13"/>
    </row>
    <row r="19254">
      <c r="L19254" s="13"/>
      <c r="M19254" s="14"/>
      <c r="N19254" s="14"/>
      <c r="O19254" s="14"/>
      <c r="P19254" s="13"/>
    </row>
    <row r="19255">
      <c r="L19255" s="13"/>
      <c r="M19255" s="14"/>
      <c r="N19255" s="14"/>
      <c r="O19255" s="14"/>
      <c r="P19255" s="13"/>
    </row>
    <row r="19256">
      <c r="L19256" s="13"/>
      <c r="M19256" s="14"/>
      <c r="N19256" s="14"/>
      <c r="O19256" s="14"/>
      <c r="P19256" s="13"/>
    </row>
    <row r="19257">
      <c r="L19257" s="13"/>
      <c r="M19257" s="14"/>
      <c r="N19257" s="14"/>
      <c r="O19257" s="14"/>
      <c r="P19257" s="13"/>
    </row>
    <row r="19258">
      <c r="L19258" s="13"/>
      <c r="M19258" s="14"/>
      <c r="N19258" s="14"/>
      <c r="O19258" s="14"/>
      <c r="P19258" s="13"/>
    </row>
    <row r="19259">
      <c r="L19259" s="13"/>
      <c r="M19259" s="14"/>
      <c r="N19259" s="14"/>
      <c r="O19259" s="14"/>
      <c r="P19259" s="13"/>
    </row>
    <row r="19260">
      <c r="L19260" s="13"/>
      <c r="M19260" s="14"/>
      <c r="N19260" s="14"/>
      <c r="O19260" s="14"/>
      <c r="P19260" s="13"/>
    </row>
    <row r="19261">
      <c r="L19261" s="13"/>
      <c r="M19261" s="14"/>
      <c r="N19261" s="14"/>
      <c r="O19261" s="14"/>
      <c r="P19261" s="13"/>
    </row>
    <row r="19262">
      <c r="L19262" s="13"/>
      <c r="M19262" s="14"/>
      <c r="N19262" s="14"/>
      <c r="O19262" s="14"/>
      <c r="P19262" s="13"/>
    </row>
    <row r="19263">
      <c r="L19263" s="13"/>
      <c r="M19263" s="14"/>
      <c r="N19263" s="14"/>
      <c r="O19263" s="14"/>
      <c r="P19263" s="13"/>
    </row>
    <row r="19264">
      <c r="L19264" s="13"/>
      <c r="M19264" s="14"/>
      <c r="N19264" s="14"/>
      <c r="O19264" s="14"/>
      <c r="P19264" s="13"/>
    </row>
    <row r="19265">
      <c r="L19265" s="13"/>
      <c r="M19265" s="14"/>
      <c r="N19265" s="14"/>
      <c r="O19265" s="14"/>
      <c r="P19265" s="13"/>
    </row>
    <row r="19266">
      <c r="L19266" s="13"/>
      <c r="M19266" s="14"/>
      <c r="N19266" s="14"/>
      <c r="O19266" s="14"/>
      <c r="P19266" s="13"/>
    </row>
    <row r="19267">
      <c r="L19267" s="13"/>
      <c r="M19267" s="14"/>
      <c r="N19267" s="14"/>
      <c r="O19267" s="14"/>
      <c r="P19267" s="13"/>
    </row>
    <row r="19268">
      <c r="L19268" s="13"/>
      <c r="M19268" s="14"/>
      <c r="N19268" s="14"/>
      <c r="O19268" s="14"/>
      <c r="P19268" s="13"/>
    </row>
    <row r="19269">
      <c r="L19269" s="13"/>
      <c r="M19269" s="14"/>
      <c r="N19269" s="14"/>
      <c r="O19269" s="14"/>
      <c r="P19269" s="13"/>
    </row>
    <row r="19270">
      <c r="L19270" s="13"/>
      <c r="M19270" s="14"/>
      <c r="N19270" s="14"/>
      <c r="O19270" s="14"/>
      <c r="P19270" s="13"/>
    </row>
    <row r="19271">
      <c r="L19271" s="13"/>
      <c r="M19271" s="14"/>
      <c r="N19271" s="14"/>
      <c r="O19271" s="14"/>
      <c r="P19271" s="13"/>
    </row>
    <row r="19272">
      <c r="L19272" s="13"/>
      <c r="M19272" s="14"/>
      <c r="N19272" s="14"/>
      <c r="O19272" s="14"/>
      <c r="P19272" s="13"/>
    </row>
    <row r="19273">
      <c r="L19273" s="13"/>
      <c r="M19273" s="14"/>
      <c r="N19273" s="14"/>
      <c r="O19273" s="14"/>
      <c r="P19273" s="13"/>
    </row>
    <row r="19274">
      <c r="L19274" s="13"/>
      <c r="M19274" s="14"/>
      <c r="N19274" s="14"/>
      <c r="O19274" s="14"/>
      <c r="P19274" s="13"/>
    </row>
    <row r="19275">
      <c r="L19275" s="13"/>
      <c r="M19275" s="14"/>
      <c r="N19275" s="14"/>
      <c r="O19275" s="14"/>
      <c r="P19275" s="13"/>
    </row>
    <row r="19276">
      <c r="L19276" s="13"/>
      <c r="M19276" s="14"/>
      <c r="N19276" s="14"/>
      <c r="O19276" s="14"/>
      <c r="P19276" s="13"/>
    </row>
    <row r="19277">
      <c r="L19277" s="13"/>
      <c r="M19277" s="14"/>
      <c r="N19277" s="14"/>
      <c r="O19277" s="14"/>
      <c r="P19277" s="13"/>
    </row>
    <row r="19278">
      <c r="L19278" s="13"/>
      <c r="M19278" s="14"/>
      <c r="N19278" s="14"/>
      <c r="O19278" s="14"/>
      <c r="P19278" s="13"/>
    </row>
    <row r="19279">
      <c r="L19279" s="13"/>
      <c r="M19279" s="14"/>
      <c r="N19279" s="14"/>
      <c r="O19279" s="14"/>
      <c r="P19279" s="13"/>
    </row>
    <row r="19280">
      <c r="L19280" s="13"/>
      <c r="M19280" s="14"/>
      <c r="N19280" s="14"/>
      <c r="O19280" s="14"/>
      <c r="P19280" s="13"/>
    </row>
    <row r="19281">
      <c r="L19281" s="13"/>
      <c r="M19281" s="14"/>
      <c r="N19281" s="14"/>
      <c r="O19281" s="14"/>
      <c r="P19281" s="13"/>
    </row>
    <row r="19282">
      <c r="L19282" s="13"/>
      <c r="M19282" s="14"/>
      <c r="N19282" s="14"/>
      <c r="O19282" s="14"/>
      <c r="P19282" s="13"/>
    </row>
    <row r="19283">
      <c r="L19283" s="13"/>
      <c r="M19283" s="14"/>
      <c r="N19283" s="14"/>
      <c r="O19283" s="14"/>
      <c r="P19283" s="13"/>
    </row>
    <row r="19284">
      <c r="L19284" s="13"/>
      <c r="M19284" s="14"/>
      <c r="N19284" s="14"/>
      <c r="O19284" s="14"/>
      <c r="P19284" s="13"/>
    </row>
    <row r="19285">
      <c r="L19285" s="13"/>
      <c r="M19285" s="14"/>
      <c r="N19285" s="14"/>
      <c r="O19285" s="14"/>
      <c r="P19285" s="13"/>
    </row>
    <row r="19286">
      <c r="L19286" s="13"/>
      <c r="M19286" s="14"/>
      <c r="N19286" s="14"/>
      <c r="O19286" s="14"/>
      <c r="P19286" s="13"/>
    </row>
    <row r="19287">
      <c r="L19287" s="13"/>
      <c r="M19287" s="14"/>
      <c r="N19287" s="14"/>
      <c r="O19287" s="14"/>
      <c r="P19287" s="13"/>
    </row>
    <row r="19288">
      <c r="L19288" s="13"/>
      <c r="M19288" s="14"/>
      <c r="N19288" s="14"/>
      <c r="O19288" s="14"/>
      <c r="P19288" s="13"/>
    </row>
    <row r="19289">
      <c r="L19289" s="13"/>
      <c r="M19289" s="14"/>
      <c r="N19289" s="14"/>
      <c r="O19289" s="14"/>
      <c r="P19289" s="13"/>
    </row>
    <row r="19290">
      <c r="L19290" s="13"/>
      <c r="M19290" s="14"/>
      <c r="N19290" s="14"/>
      <c r="O19290" s="14"/>
      <c r="P19290" s="13"/>
    </row>
    <row r="19291">
      <c r="L19291" s="13"/>
      <c r="M19291" s="14"/>
      <c r="N19291" s="14"/>
      <c r="O19291" s="14"/>
      <c r="P19291" s="13"/>
    </row>
    <row r="19292">
      <c r="L19292" s="13"/>
      <c r="M19292" s="14"/>
      <c r="N19292" s="14"/>
      <c r="O19292" s="14"/>
      <c r="P19292" s="13"/>
    </row>
    <row r="19293">
      <c r="L19293" s="13"/>
      <c r="M19293" s="14"/>
      <c r="N19293" s="14"/>
      <c r="O19293" s="14"/>
      <c r="P19293" s="13"/>
    </row>
    <row r="19294">
      <c r="L19294" s="13"/>
      <c r="M19294" s="14"/>
      <c r="N19294" s="14"/>
      <c r="O19294" s="14"/>
      <c r="P19294" s="13"/>
    </row>
    <row r="19295">
      <c r="L19295" s="13"/>
      <c r="M19295" s="14"/>
      <c r="N19295" s="14"/>
      <c r="O19295" s="14"/>
      <c r="P19295" s="13"/>
    </row>
    <row r="19296">
      <c r="L19296" s="13"/>
      <c r="M19296" s="14"/>
      <c r="N19296" s="14"/>
      <c r="O19296" s="14"/>
      <c r="P19296" s="13"/>
    </row>
    <row r="19297">
      <c r="L19297" s="13"/>
      <c r="M19297" s="14"/>
      <c r="N19297" s="14"/>
      <c r="O19297" s="14"/>
      <c r="P19297" s="13"/>
    </row>
    <row r="19298">
      <c r="L19298" s="13"/>
      <c r="M19298" s="14"/>
      <c r="N19298" s="14"/>
      <c r="O19298" s="14"/>
      <c r="P19298" s="13"/>
    </row>
    <row r="19299">
      <c r="L19299" s="13"/>
      <c r="M19299" s="14"/>
      <c r="N19299" s="14"/>
      <c r="O19299" s="14"/>
      <c r="P19299" s="13"/>
    </row>
    <row r="19300">
      <c r="L19300" s="13"/>
      <c r="M19300" s="14"/>
      <c r="N19300" s="14"/>
      <c r="O19300" s="14"/>
      <c r="P19300" s="13"/>
    </row>
    <row r="19301">
      <c r="L19301" s="13"/>
      <c r="M19301" s="14"/>
      <c r="N19301" s="14"/>
      <c r="O19301" s="14"/>
      <c r="P19301" s="13"/>
    </row>
    <row r="19302">
      <c r="L19302" s="13"/>
      <c r="M19302" s="14"/>
      <c r="N19302" s="14"/>
      <c r="O19302" s="14"/>
      <c r="P19302" s="13"/>
    </row>
    <row r="19303">
      <c r="L19303" s="13"/>
      <c r="M19303" s="14"/>
      <c r="N19303" s="14"/>
      <c r="O19303" s="14"/>
      <c r="P19303" s="13"/>
    </row>
    <row r="19304">
      <c r="L19304" s="13"/>
      <c r="M19304" s="14"/>
      <c r="N19304" s="14"/>
      <c r="O19304" s="14"/>
      <c r="P19304" s="13"/>
    </row>
    <row r="19305">
      <c r="L19305" s="13"/>
      <c r="M19305" s="14"/>
      <c r="N19305" s="14"/>
      <c r="O19305" s="14"/>
      <c r="P19305" s="13"/>
    </row>
    <row r="19306">
      <c r="L19306" s="13"/>
      <c r="M19306" s="14"/>
      <c r="N19306" s="14"/>
      <c r="O19306" s="14"/>
      <c r="P19306" s="13"/>
    </row>
    <row r="19307">
      <c r="L19307" s="13"/>
      <c r="M19307" s="14"/>
      <c r="N19307" s="14"/>
      <c r="O19307" s="14"/>
      <c r="P19307" s="13"/>
    </row>
    <row r="19308">
      <c r="L19308" s="13"/>
      <c r="M19308" s="14"/>
      <c r="N19308" s="14"/>
      <c r="O19308" s="14"/>
      <c r="P19308" s="13"/>
    </row>
    <row r="19309">
      <c r="L19309" s="13"/>
      <c r="M19309" s="14"/>
      <c r="N19309" s="14"/>
      <c r="O19309" s="14"/>
      <c r="P19309" s="13"/>
    </row>
    <row r="19310">
      <c r="L19310" s="13"/>
      <c r="M19310" s="14"/>
      <c r="N19310" s="14"/>
      <c r="O19310" s="14"/>
      <c r="P19310" s="13"/>
    </row>
    <row r="19311">
      <c r="L19311" s="13"/>
      <c r="M19311" s="14"/>
      <c r="N19311" s="14"/>
      <c r="O19311" s="14"/>
      <c r="P19311" s="13"/>
    </row>
    <row r="19312">
      <c r="L19312" s="13"/>
      <c r="M19312" s="14"/>
      <c r="N19312" s="14"/>
      <c r="O19312" s="14"/>
      <c r="P19312" s="13"/>
    </row>
    <row r="19313">
      <c r="L19313" s="13"/>
      <c r="M19313" s="14"/>
      <c r="N19313" s="14"/>
      <c r="O19313" s="14"/>
      <c r="P19313" s="13"/>
    </row>
    <row r="19314">
      <c r="L19314" s="13"/>
      <c r="M19314" s="14"/>
      <c r="N19314" s="14"/>
      <c r="O19314" s="14"/>
      <c r="P19314" s="13"/>
    </row>
    <row r="19315">
      <c r="L19315" s="13"/>
      <c r="M19315" s="14"/>
      <c r="N19315" s="14"/>
      <c r="O19315" s="14"/>
      <c r="P19315" s="13"/>
    </row>
    <row r="19316">
      <c r="L19316" s="13"/>
      <c r="M19316" s="14"/>
      <c r="N19316" s="14"/>
      <c r="O19316" s="14"/>
      <c r="P19316" s="13"/>
    </row>
    <row r="19317">
      <c r="L19317" s="13"/>
      <c r="M19317" s="14"/>
      <c r="N19317" s="14"/>
      <c r="O19317" s="14"/>
      <c r="P19317" s="13"/>
    </row>
    <row r="19318">
      <c r="L19318" s="13"/>
      <c r="M19318" s="14"/>
      <c r="N19318" s="14"/>
      <c r="O19318" s="14"/>
      <c r="P19318" s="13"/>
    </row>
    <row r="19319">
      <c r="L19319" s="13"/>
      <c r="M19319" s="14"/>
      <c r="N19319" s="14"/>
      <c r="O19319" s="14"/>
      <c r="P19319" s="13"/>
    </row>
    <row r="19320">
      <c r="L19320" s="13"/>
      <c r="M19320" s="14"/>
      <c r="N19320" s="14"/>
      <c r="O19320" s="14"/>
      <c r="P19320" s="13"/>
    </row>
    <row r="19321">
      <c r="L19321" s="13"/>
      <c r="M19321" s="14"/>
      <c r="N19321" s="14"/>
      <c r="O19321" s="14"/>
      <c r="P19321" s="13"/>
    </row>
    <row r="19322">
      <c r="L19322" s="13"/>
      <c r="M19322" s="14"/>
      <c r="N19322" s="14"/>
      <c r="O19322" s="14"/>
      <c r="P19322" s="13"/>
    </row>
    <row r="19323">
      <c r="L19323" s="13"/>
      <c r="M19323" s="14"/>
      <c r="N19323" s="14"/>
      <c r="O19323" s="14"/>
      <c r="P19323" s="13"/>
    </row>
    <row r="19324">
      <c r="L19324" s="13"/>
      <c r="M19324" s="14"/>
      <c r="N19324" s="14"/>
      <c r="O19324" s="14"/>
      <c r="P19324" s="13"/>
    </row>
    <row r="19325">
      <c r="L19325" s="13"/>
      <c r="M19325" s="14"/>
      <c r="N19325" s="14"/>
      <c r="O19325" s="14"/>
      <c r="P19325" s="13"/>
    </row>
    <row r="19326">
      <c r="L19326" s="13"/>
      <c r="M19326" s="14"/>
      <c r="N19326" s="14"/>
      <c r="O19326" s="14"/>
      <c r="P19326" s="13"/>
    </row>
    <row r="19327">
      <c r="L19327" s="13"/>
      <c r="M19327" s="14"/>
      <c r="N19327" s="14"/>
      <c r="O19327" s="14"/>
      <c r="P19327" s="13"/>
    </row>
    <row r="19328">
      <c r="L19328" s="13"/>
      <c r="M19328" s="14"/>
      <c r="N19328" s="14"/>
      <c r="O19328" s="14"/>
      <c r="P19328" s="13"/>
    </row>
    <row r="19329">
      <c r="L19329" s="13"/>
      <c r="M19329" s="14"/>
      <c r="N19329" s="14"/>
      <c r="O19329" s="14"/>
      <c r="P19329" s="13"/>
    </row>
    <row r="19330">
      <c r="L19330" s="13"/>
      <c r="M19330" s="14"/>
      <c r="N19330" s="14"/>
      <c r="O19330" s="14"/>
      <c r="P19330" s="13"/>
    </row>
    <row r="19331">
      <c r="L19331" s="13"/>
      <c r="M19331" s="14"/>
      <c r="N19331" s="14"/>
      <c r="O19331" s="14"/>
      <c r="P19331" s="13"/>
    </row>
    <row r="19332">
      <c r="L19332" s="13"/>
      <c r="M19332" s="14"/>
      <c r="N19332" s="14"/>
      <c r="O19332" s="14"/>
      <c r="P19332" s="13"/>
    </row>
    <row r="19333">
      <c r="L19333" s="13"/>
      <c r="M19333" s="14"/>
      <c r="N19333" s="14"/>
      <c r="O19333" s="14"/>
      <c r="P19333" s="13"/>
    </row>
    <row r="19334">
      <c r="L19334" s="13"/>
      <c r="M19334" s="14"/>
      <c r="N19334" s="14"/>
      <c r="O19334" s="14"/>
      <c r="P19334" s="13"/>
    </row>
    <row r="19335">
      <c r="L19335" s="13"/>
      <c r="M19335" s="14"/>
      <c r="N19335" s="14"/>
      <c r="O19335" s="14"/>
      <c r="P19335" s="13"/>
    </row>
    <row r="19336">
      <c r="L19336" s="13"/>
      <c r="M19336" s="14"/>
      <c r="N19336" s="14"/>
      <c r="O19336" s="14"/>
      <c r="P19336" s="13"/>
    </row>
    <row r="19337">
      <c r="L19337" s="13"/>
      <c r="M19337" s="14"/>
      <c r="N19337" s="14"/>
      <c r="O19337" s="14"/>
      <c r="P19337" s="13"/>
    </row>
    <row r="19338">
      <c r="L19338" s="13"/>
      <c r="M19338" s="14"/>
      <c r="N19338" s="14"/>
      <c r="O19338" s="14"/>
      <c r="P19338" s="13"/>
    </row>
    <row r="19339">
      <c r="L19339" s="13"/>
      <c r="M19339" s="14"/>
      <c r="N19339" s="14"/>
      <c r="O19339" s="14"/>
      <c r="P19339" s="13"/>
    </row>
    <row r="19340">
      <c r="L19340" s="13"/>
      <c r="M19340" s="14"/>
      <c r="N19340" s="14"/>
      <c r="O19340" s="14"/>
      <c r="P19340" s="13"/>
    </row>
    <row r="19341">
      <c r="L19341" s="13"/>
      <c r="M19341" s="14"/>
      <c r="N19341" s="14"/>
      <c r="O19341" s="14"/>
      <c r="P19341" s="13"/>
    </row>
    <row r="19342">
      <c r="L19342" s="13"/>
      <c r="M19342" s="14"/>
      <c r="N19342" s="14"/>
      <c r="O19342" s="14"/>
      <c r="P19342" s="13"/>
    </row>
    <row r="19343">
      <c r="L19343" s="13"/>
      <c r="M19343" s="14"/>
      <c r="N19343" s="14"/>
      <c r="O19343" s="14"/>
      <c r="P19343" s="13"/>
    </row>
    <row r="19344">
      <c r="L19344" s="13"/>
      <c r="M19344" s="14"/>
      <c r="N19344" s="14"/>
      <c r="O19344" s="14"/>
      <c r="P19344" s="13"/>
    </row>
    <row r="19345">
      <c r="L19345" s="13"/>
      <c r="M19345" s="14"/>
      <c r="N19345" s="14"/>
      <c r="O19345" s="14"/>
      <c r="P19345" s="13"/>
    </row>
    <row r="19346">
      <c r="L19346" s="13"/>
      <c r="M19346" s="14"/>
      <c r="N19346" s="14"/>
      <c r="O19346" s="14"/>
      <c r="P19346" s="13"/>
    </row>
    <row r="19347">
      <c r="L19347" s="13"/>
      <c r="M19347" s="14"/>
      <c r="N19347" s="14"/>
      <c r="O19347" s="14"/>
      <c r="P19347" s="13"/>
    </row>
    <row r="19348">
      <c r="L19348" s="13"/>
      <c r="M19348" s="14"/>
      <c r="N19348" s="14"/>
      <c r="O19348" s="14"/>
      <c r="P19348" s="13"/>
    </row>
    <row r="19349">
      <c r="L19349" s="13"/>
      <c r="M19349" s="14"/>
      <c r="N19349" s="14"/>
      <c r="O19349" s="14"/>
      <c r="P19349" s="13"/>
    </row>
    <row r="19350">
      <c r="L19350" s="13"/>
      <c r="M19350" s="14"/>
      <c r="N19350" s="14"/>
      <c r="O19350" s="14"/>
      <c r="P19350" s="13"/>
    </row>
    <row r="19351">
      <c r="L19351" s="13"/>
      <c r="M19351" s="14"/>
      <c r="N19351" s="14"/>
      <c r="O19351" s="14"/>
      <c r="P19351" s="13"/>
    </row>
    <row r="19352">
      <c r="L19352" s="13"/>
      <c r="M19352" s="14"/>
      <c r="N19352" s="14"/>
      <c r="O19352" s="14"/>
      <c r="P19352" s="13"/>
    </row>
    <row r="19353">
      <c r="L19353" s="13"/>
      <c r="M19353" s="14"/>
      <c r="N19353" s="14"/>
      <c r="O19353" s="14"/>
      <c r="P19353" s="13"/>
    </row>
    <row r="19354">
      <c r="L19354" s="13"/>
      <c r="M19354" s="14"/>
      <c r="N19354" s="14"/>
      <c r="O19354" s="14"/>
      <c r="P19354" s="13"/>
    </row>
    <row r="19355">
      <c r="L19355" s="13"/>
      <c r="M19355" s="14"/>
      <c r="N19355" s="14"/>
      <c r="O19355" s="14"/>
      <c r="P19355" s="13"/>
    </row>
    <row r="19356">
      <c r="L19356" s="13"/>
      <c r="M19356" s="14"/>
      <c r="N19356" s="14"/>
      <c r="O19356" s="14"/>
      <c r="P19356" s="13"/>
    </row>
    <row r="19357">
      <c r="L19357" s="13"/>
      <c r="M19357" s="14"/>
      <c r="N19357" s="14"/>
      <c r="O19357" s="14"/>
      <c r="P19357" s="13"/>
    </row>
    <row r="19358">
      <c r="L19358" s="13"/>
      <c r="M19358" s="14"/>
      <c r="N19358" s="14"/>
      <c r="O19358" s="14"/>
      <c r="P19358" s="13"/>
    </row>
    <row r="19359">
      <c r="L19359" s="13"/>
      <c r="M19359" s="14"/>
      <c r="N19359" s="14"/>
      <c r="O19359" s="14"/>
      <c r="P19359" s="13"/>
    </row>
    <row r="19360">
      <c r="L19360" s="13"/>
      <c r="M19360" s="14"/>
      <c r="N19360" s="14"/>
      <c r="O19360" s="14"/>
      <c r="P19360" s="13"/>
    </row>
    <row r="19361">
      <c r="L19361" s="13"/>
      <c r="M19361" s="14"/>
      <c r="N19361" s="14"/>
      <c r="O19361" s="14"/>
      <c r="P19361" s="13"/>
    </row>
    <row r="19362">
      <c r="L19362" s="13"/>
      <c r="M19362" s="14"/>
      <c r="N19362" s="14"/>
      <c r="O19362" s="14"/>
      <c r="P19362" s="13"/>
    </row>
    <row r="19363">
      <c r="L19363" s="13"/>
      <c r="M19363" s="14"/>
      <c r="N19363" s="14"/>
      <c r="O19363" s="14"/>
      <c r="P19363" s="13"/>
    </row>
    <row r="19364">
      <c r="L19364" s="13"/>
      <c r="M19364" s="14"/>
      <c r="N19364" s="14"/>
      <c r="O19364" s="14"/>
      <c r="P19364" s="13"/>
    </row>
    <row r="19365">
      <c r="L19365" s="13"/>
      <c r="M19365" s="14"/>
      <c r="N19365" s="14"/>
      <c r="O19365" s="14"/>
      <c r="P19365" s="13"/>
    </row>
    <row r="19366">
      <c r="L19366" s="13"/>
      <c r="M19366" s="14"/>
      <c r="N19366" s="14"/>
      <c r="O19366" s="14"/>
      <c r="P19366" s="13"/>
    </row>
    <row r="19367">
      <c r="L19367" s="13"/>
      <c r="M19367" s="14"/>
      <c r="N19367" s="14"/>
      <c r="O19367" s="14"/>
      <c r="P19367" s="13"/>
    </row>
    <row r="19368">
      <c r="L19368" s="13"/>
      <c r="M19368" s="14"/>
      <c r="N19368" s="14"/>
      <c r="O19368" s="14"/>
      <c r="P19368" s="13"/>
    </row>
    <row r="19369">
      <c r="L19369" s="13"/>
      <c r="M19369" s="14"/>
      <c r="N19369" s="14"/>
      <c r="O19369" s="14"/>
      <c r="P19369" s="13"/>
    </row>
    <row r="19370">
      <c r="L19370" s="13"/>
      <c r="M19370" s="14"/>
      <c r="N19370" s="14"/>
      <c r="O19370" s="14"/>
      <c r="P19370" s="13"/>
    </row>
    <row r="19371">
      <c r="L19371" s="13"/>
      <c r="M19371" s="14"/>
      <c r="N19371" s="14"/>
      <c r="O19371" s="14"/>
      <c r="P19371" s="13"/>
    </row>
    <row r="19372">
      <c r="L19372" s="13"/>
      <c r="M19372" s="14"/>
      <c r="N19372" s="14"/>
      <c r="O19372" s="14"/>
      <c r="P19372" s="13"/>
    </row>
    <row r="19373">
      <c r="L19373" s="13"/>
      <c r="M19373" s="14"/>
      <c r="N19373" s="14"/>
      <c r="O19373" s="14"/>
      <c r="P19373" s="13"/>
    </row>
    <row r="19374">
      <c r="L19374" s="13"/>
      <c r="M19374" s="14"/>
      <c r="N19374" s="14"/>
      <c r="O19374" s="14"/>
      <c r="P19374" s="13"/>
    </row>
    <row r="19375">
      <c r="L19375" s="13"/>
      <c r="M19375" s="14"/>
      <c r="N19375" s="14"/>
      <c r="O19375" s="14"/>
      <c r="P19375" s="13"/>
    </row>
    <row r="19376">
      <c r="L19376" s="13"/>
      <c r="M19376" s="14"/>
      <c r="N19376" s="14"/>
      <c r="O19376" s="14"/>
      <c r="P19376" s="13"/>
    </row>
    <row r="19377">
      <c r="L19377" s="13"/>
      <c r="M19377" s="14"/>
      <c r="N19377" s="14"/>
      <c r="O19377" s="14"/>
      <c r="P19377" s="13"/>
    </row>
    <row r="19378">
      <c r="L19378" s="13"/>
      <c r="M19378" s="14"/>
      <c r="N19378" s="14"/>
      <c r="O19378" s="14"/>
      <c r="P19378" s="13"/>
    </row>
    <row r="19379">
      <c r="L19379" s="13"/>
      <c r="M19379" s="14"/>
      <c r="N19379" s="14"/>
      <c r="O19379" s="14"/>
      <c r="P19379" s="13"/>
    </row>
    <row r="19380">
      <c r="L19380" s="13"/>
      <c r="M19380" s="14"/>
      <c r="N19380" s="14"/>
      <c r="O19380" s="14"/>
      <c r="P19380" s="13"/>
    </row>
    <row r="19381">
      <c r="L19381" s="13"/>
      <c r="M19381" s="14"/>
      <c r="N19381" s="14"/>
      <c r="O19381" s="14"/>
      <c r="P19381" s="13"/>
    </row>
    <row r="19382">
      <c r="L19382" s="13"/>
      <c r="M19382" s="14"/>
      <c r="N19382" s="14"/>
      <c r="O19382" s="14"/>
      <c r="P19382" s="13"/>
    </row>
    <row r="19383">
      <c r="L19383" s="13"/>
      <c r="M19383" s="14"/>
      <c r="N19383" s="14"/>
      <c r="O19383" s="14"/>
      <c r="P19383" s="13"/>
    </row>
    <row r="19384">
      <c r="L19384" s="13"/>
      <c r="M19384" s="14"/>
      <c r="N19384" s="14"/>
      <c r="O19384" s="14"/>
      <c r="P19384" s="13"/>
    </row>
    <row r="19385">
      <c r="L19385" s="13"/>
      <c r="M19385" s="14"/>
      <c r="N19385" s="14"/>
      <c r="O19385" s="14"/>
      <c r="P19385" s="13"/>
    </row>
    <row r="19386">
      <c r="L19386" s="13"/>
      <c r="M19386" s="14"/>
      <c r="N19386" s="14"/>
      <c r="O19386" s="14"/>
      <c r="P19386" s="13"/>
    </row>
    <row r="19387">
      <c r="L19387" s="13"/>
      <c r="M19387" s="14"/>
      <c r="N19387" s="14"/>
      <c r="O19387" s="14"/>
      <c r="P19387" s="13"/>
    </row>
    <row r="19388">
      <c r="L19388" s="13"/>
      <c r="M19388" s="14"/>
      <c r="N19388" s="14"/>
      <c r="O19388" s="14"/>
      <c r="P19388" s="13"/>
    </row>
    <row r="19389">
      <c r="L19389" s="13"/>
      <c r="M19389" s="14"/>
      <c r="N19389" s="14"/>
      <c r="O19389" s="14"/>
      <c r="P19389" s="13"/>
    </row>
    <row r="19390">
      <c r="L19390" s="13"/>
      <c r="M19390" s="14"/>
      <c r="N19390" s="14"/>
      <c r="O19390" s="14"/>
      <c r="P19390" s="13"/>
    </row>
    <row r="19391">
      <c r="L19391" s="13"/>
      <c r="M19391" s="14"/>
      <c r="N19391" s="14"/>
      <c r="O19391" s="14"/>
      <c r="P19391" s="13"/>
    </row>
    <row r="19392">
      <c r="L19392" s="13"/>
      <c r="M19392" s="14"/>
      <c r="N19392" s="14"/>
      <c r="O19392" s="14"/>
      <c r="P19392" s="13"/>
    </row>
    <row r="19393">
      <c r="L19393" s="13"/>
      <c r="M19393" s="14"/>
      <c r="N19393" s="14"/>
      <c r="O19393" s="14"/>
      <c r="P19393" s="13"/>
    </row>
    <row r="19394">
      <c r="L19394" s="13"/>
      <c r="M19394" s="14"/>
      <c r="N19394" s="14"/>
      <c r="O19394" s="14"/>
      <c r="P19394" s="13"/>
    </row>
    <row r="19395">
      <c r="L19395" s="13"/>
      <c r="M19395" s="14"/>
      <c r="N19395" s="14"/>
      <c r="O19395" s="14"/>
      <c r="P19395" s="13"/>
    </row>
    <row r="19396">
      <c r="L19396" s="13"/>
      <c r="M19396" s="14"/>
      <c r="N19396" s="14"/>
      <c r="O19396" s="14"/>
      <c r="P19396" s="13"/>
    </row>
    <row r="19397">
      <c r="L19397" s="13"/>
      <c r="M19397" s="14"/>
      <c r="N19397" s="14"/>
      <c r="O19397" s="14"/>
      <c r="P19397" s="13"/>
    </row>
    <row r="19398">
      <c r="L19398" s="13"/>
      <c r="M19398" s="14"/>
      <c r="N19398" s="14"/>
      <c r="O19398" s="14"/>
      <c r="P19398" s="13"/>
    </row>
    <row r="19399">
      <c r="L19399" s="13"/>
      <c r="M19399" s="14"/>
      <c r="N19399" s="14"/>
      <c r="O19399" s="14"/>
      <c r="P19399" s="13"/>
    </row>
    <row r="19400">
      <c r="L19400" s="13"/>
      <c r="M19400" s="14"/>
      <c r="N19400" s="14"/>
      <c r="O19400" s="14"/>
      <c r="P19400" s="13"/>
    </row>
    <row r="19401">
      <c r="L19401" s="13"/>
      <c r="M19401" s="14"/>
      <c r="N19401" s="14"/>
      <c r="O19401" s="14"/>
      <c r="P19401" s="13"/>
    </row>
    <row r="19402">
      <c r="L19402" s="13"/>
      <c r="M19402" s="14"/>
      <c r="N19402" s="14"/>
      <c r="O19402" s="14"/>
      <c r="P19402" s="13"/>
    </row>
    <row r="19403">
      <c r="L19403" s="13"/>
      <c r="M19403" s="14"/>
      <c r="N19403" s="14"/>
      <c r="O19403" s="14"/>
      <c r="P19403" s="13"/>
    </row>
    <row r="19404">
      <c r="L19404" s="13"/>
      <c r="M19404" s="14"/>
      <c r="N19404" s="14"/>
      <c r="O19404" s="14"/>
      <c r="P19404" s="13"/>
    </row>
    <row r="19405">
      <c r="L19405" s="13"/>
      <c r="M19405" s="14"/>
      <c r="N19405" s="14"/>
      <c r="O19405" s="14"/>
      <c r="P19405" s="13"/>
    </row>
    <row r="19406">
      <c r="L19406" s="13"/>
      <c r="M19406" s="14"/>
      <c r="N19406" s="14"/>
      <c r="O19406" s="14"/>
      <c r="P19406" s="13"/>
    </row>
    <row r="19407">
      <c r="L19407" s="13"/>
      <c r="M19407" s="14"/>
      <c r="N19407" s="14"/>
      <c r="O19407" s="14"/>
      <c r="P19407" s="13"/>
    </row>
    <row r="19408">
      <c r="L19408" s="13"/>
      <c r="M19408" s="14"/>
      <c r="N19408" s="14"/>
      <c r="O19408" s="14"/>
      <c r="P19408" s="13"/>
    </row>
    <row r="19409">
      <c r="L19409" s="13"/>
      <c r="M19409" s="14"/>
      <c r="N19409" s="14"/>
      <c r="O19409" s="14"/>
      <c r="P19409" s="13"/>
    </row>
    <row r="19410">
      <c r="L19410" s="13"/>
      <c r="M19410" s="14"/>
      <c r="N19410" s="14"/>
      <c r="O19410" s="14"/>
      <c r="P19410" s="13"/>
    </row>
    <row r="19411">
      <c r="L19411" s="13"/>
      <c r="M19411" s="14"/>
      <c r="N19411" s="14"/>
      <c r="O19411" s="14"/>
      <c r="P19411" s="13"/>
    </row>
    <row r="19412">
      <c r="L19412" s="13"/>
      <c r="M19412" s="14"/>
      <c r="N19412" s="14"/>
      <c r="O19412" s="14"/>
      <c r="P19412" s="13"/>
    </row>
    <row r="19413">
      <c r="L19413" s="13"/>
      <c r="M19413" s="14"/>
      <c r="N19413" s="14"/>
      <c r="O19413" s="14"/>
      <c r="P19413" s="13"/>
    </row>
    <row r="19414">
      <c r="L19414" s="13"/>
      <c r="M19414" s="14"/>
      <c r="N19414" s="14"/>
      <c r="O19414" s="14"/>
      <c r="P19414" s="13"/>
    </row>
    <row r="19415">
      <c r="L19415" s="13"/>
      <c r="M19415" s="14"/>
      <c r="N19415" s="14"/>
      <c r="O19415" s="14"/>
      <c r="P19415" s="13"/>
    </row>
    <row r="19416">
      <c r="L19416" s="13"/>
      <c r="M19416" s="14"/>
      <c r="N19416" s="14"/>
      <c r="O19416" s="14"/>
      <c r="P19416" s="13"/>
    </row>
    <row r="19417">
      <c r="L19417" s="13"/>
      <c r="M19417" s="14"/>
      <c r="N19417" s="14"/>
      <c r="O19417" s="14"/>
      <c r="P19417" s="13"/>
    </row>
    <row r="19418">
      <c r="L19418" s="13"/>
      <c r="M19418" s="14"/>
      <c r="N19418" s="14"/>
      <c r="O19418" s="14"/>
      <c r="P19418" s="13"/>
    </row>
    <row r="19419">
      <c r="L19419" s="13"/>
      <c r="M19419" s="14"/>
      <c r="N19419" s="14"/>
      <c r="O19419" s="14"/>
      <c r="P19419" s="13"/>
    </row>
    <row r="19420">
      <c r="L19420" s="13"/>
      <c r="M19420" s="14"/>
      <c r="N19420" s="14"/>
      <c r="O19420" s="14"/>
      <c r="P19420" s="13"/>
    </row>
    <row r="19421">
      <c r="L19421" s="13"/>
      <c r="M19421" s="14"/>
      <c r="N19421" s="14"/>
      <c r="O19421" s="14"/>
      <c r="P19421" s="13"/>
    </row>
    <row r="19422">
      <c r="L19422" s="13"/>
      <c r="M19422" s="14"/>
      <c r="N19422" s="14"/>
      <c r="O19422" s="14"/>
      <c r="P19422" s="13"/>
    </row>
    <row r="19423">
      <c r="L19423" s="13"/>
      <c r="M19423" s="14"/>
      <c r="N19423" s="14"/>
      <c r="O19423" s="14"/>
      <c r="P19423" s="13"/>
    </row>
    <row r="19424">
      <c r="L19424" s="13"/>
      <c r="M19424" s="14"/>
      <c r="N19424" s="14"/>
      <c r="O19424" s="14"/>
      <c r="P19424" s="13"/>
    </row>
    <row r="19425">
      <c r="L19425" s="13"/>
      <c r="M19425" s="14"/>
      <c r="N19425" s="14"/>
      <c r="O19425" s="14"/>
      <c r="P19425" s="13"/>
    </row>
    <row r="19426">
      <c r="L19426" s="13"/>
      <c r="M19426" s="14"/>
      <c r="N19426" s="14"/>
      <c r="O19426" s="14"/>
      <c r="P19426" s="13"/>
    </row>
    <row r="19427">
      <c r="L19427" s="13"/>
      <c r="M19427" s="14"/>
      <c r="N19427" s="14"/>
      <c r="O19427" s="14"/>
      <c r="P19427" s="13"/>
    </row>
    <row r="19428">
      <c r="L19428" s="13"/>
      <c r="M19428" s="14"/>
      <c r="N19428" s="14"/>
      <c r="O19428" s="14"/>
      <c r="P19428" s="13"/>
    </row>
    <row r="19429">
      <c r="L19429" s="13"/>
      <c r="M19429" s="14"/>
      <c r="N19429" s="14"/>
      <c r="O19429" s="14"/>
      <c r="P19429" s="13"/>
    </row>
    <row r="19430">
      <c r="L19430" s="13"/>
      <c r="M19430" s="14"/>
      <c r="N19430" s="14"/>
      <c r="O19430" s="14"/>
      <c r="P19430" s="13"/>
    </row>
    <row r="19431">
      <c r="L19431" s="13"/>
      <c r="M19431" s="14"/>
      <c r="N19431" s="14"/>
      <c r="O19431" s="14"/>
      <c r="P19431" s="13"/>
    </row>
    <row r="19432">
      <c r="L19432" s="13"/>
      <c r="M19432" s="14"/>
      <c r="N19432" s="14"/>
      <c r="O19432" s="14"/>
      <c r="P19432" s="13"/>
    </row>
    <row r="19433">
      <c r="L19433" s="13"/>
      <c r="M19433" s="14"/>
      <c r="N19433" s="14"/>
      <c r="O19433" s="14"/>
      <c r="P19433" s="13"/>
    </row>
    <row r="19434">
      <c r="L19434" s="13"/>
      <c r="M19434" s="14"/>
      <c r="N19434" s="14"/>
      <c r="O19434" s="14"/>
      <c r="P19434" s="13"/>
    </row>
    <row r="19435">
      <c r="L19435" s="13"/>
      <c r="M19435" s="14"/>
      <c r="N19435" s="14"/>
      <c r="O19435" s="14"/>
      <c r="P19435" s="13"/>
    </row>
    <row r="19436">
      <c r="L19436" s="13"/>
      <c r="M19436" s="14"/>
      <c r="N19436" s="14"/>
      <c r="O19436" s="14"/>
      <c r="P19436" s="13"/>
    </row>
    <row r="19437">
      <c r="L19437" s="13"/>
      <c r="M19437" s="14"/>
      <c r="N19437" s="14"/>
      <c r="O19437" s="14"/>
      <c r="P19437" s="13"/>
    </row>
    <row r="19438">
      <c r="L19438" s="13"/>
      <c r="M19438" s="14"/>
      <c r="N19438" s="14"/>
      <c r="O19438" s="14"/>
      <c r="P19438" s="13"/>
    </row>
    <row r="19439">
      <c r="L19439" s="13"/>
      <c r="M19439" s="14"/>
      <c r="N19439" s="14"/>
      <c r="O19439" s="14"/>
      <c r="P19439" s="13"/>
    </row>
    <row r="19440">
      <c r="L19440" s="13"/>
      <c r="M19440" s="14"/>
      <c r="N19440" s="14"/>
      <c r="O19440" s="14"/>
      <c r="P19440" s="13"/>
    </row>
    <row r="19441">
      <c r="L19441" s="13"/>
      <c r="M19441" s="14"/>
      <c r="N19441" s="14"/>
      <c r="O19441" s="14"/>
      <c r="P19441" s="13"/>
    </row>
    <row r="19442">
      <c r="L19442" s="13"/>
      <c r="M19442" s="14"/>
      <c r="N19442" s="14"/>
      <c r="O19442" s="14"/>
      <c r="P19442" s="13"/>
    </row>
    <row r="19443">
      <c r="L19443" s="13"/>
      <c r="M19443" s="14"/>
      <c r="N19443" s="14"/>
      <c r="O19443" s="14"/>
      <c r="P19443" s="13"/>
    </row>
    <row r="19444">
      <c r="L19444" s="13"/>
      <c r="M19444" s="14"/>
      <c r="N19444" s="14"/>
      <c r="O19444" s="14"/>
      <c r="P19444" s="13"/>
    </row>
    <row r="19445">
      <c r="L19445" s="13"/>
      <c r="M19445" s="14"/>
      <c r="N19445" s="14"/>
      <c r="O19445" s="14"/>
      <c r="P19445" s="13"/>
    </row>
    <row r="19446">
      <c r="L19446" s="13"/>
      <c r="M19446" s="14"/>
      <c r="N19446" s="14"/>
      <c r="O19446" s="14"/>
      <c r="P19446" s="13"/>
    </row>
    <row r="19447">
      <c r="L19447" s="13"/>
      <c r="M19447" s="14"/>
      <c r="N19447" s="14"/>
      <c r="O19447" s="14"/>
      <c r="P19447" s="13"/>
    </row>
    <row r="19448">
      <c r="L19448" s="13"/>
      <c r="M19448" s="14"/>
      <c r="N19448" s="14"/>
      <c r="O19448" s="14"/>
      <c r="P19448" s="13"/>
    </row>
    <row r="19449">
      <c r="L19449" s="13"/>
      <c r="M19449" s="14"/>
      <c r="N19449" s="14"/>
      <c r="O19449" s="14"/>
      <c r="P19449" s="13"/>
    </row>
    <row r="19450">
      <c r="L19450" s="13"/>
      <c r="M19450" s="14"/>
      <c r="N19450" s="14"/>
      <c r="O19450" s="14"/>
      <c r="P19450" s="13"/>
    </row>
    <row r="19451">
      <c r="L19451" s="13"/>
      <c r="M19451" s="14"/>
      <c r="N19451" s="14"/>
      <c r="O19451" s="14"/>
      <c r="P19451" s="13"/>
    </row>
    <row r="19452">
      <c r="L19452" s="13"/>
      <c r="M19452" s="14"/>
      <c r="N19452" s="14"/>
      <c r="O19452" s="14"/>
      <c r="P19452" s="13"/>
    </row>
    <row r="19453">
      <c r="L19453" s="13"/>
      <c r="M19453" s="14"/>
      <c r="N19453" s="14"/>
      <c r="O19453" s="14"/>
      <c r="P19453" s="13"/>
    </row>
    <row r="19454">
      <c r="L19454" s="13"/>
      <c r="M19454" s="14"/>
      <c r="N19454" s="14"/>
      <c r="O19454" s="14"/>
      <c r="P19454" s="13"/>
    </row>
    <row r="19455">
      <c r="L19455" s="13"/>
      <c r="M19455" s="14"/>
      <c r="N19455" s="14"/>
      <c r="O19455" s="14"/>
      <c r="P19455" s="13"/>
    </row>
    <row r="19456">
      <c r="L19456" s="13"/>
      <c r="M19456" s="14"/>
      <c r="N19456" s="14"/>
      <c r="O19456" s="14"/>
      <c r="P19456" s="13"/>
    </row>
    <row r="19457">
      <c r="L19457" s="13"/>
      <c r="M19457" s="14"/>
      <c r="N19457" s="14"/>
      <c r="O19457" s="14"/>
      <c r="P19457" s="13"/>
    </row>
    <row r="19458">
      <c r="L19458" s="13"/>
      <c r="M19458" s="14"/>
      <c r="N19458" s="14"/>
      <c r="O19458" s="14"/>
      <c r="P19458" s="13"/>
    </row>
    <row r="19459">
      <c r="L19459" s="13"/>
      <c r="M19459" s="14"/>
      <c r="N19459" s="14"/>
      <c r="O19459" s="14"/>
      <c r="P19459" s="13"/>
    </row>
    <row r="19460">
      <c r="L19460" s="13"/>
      <c r="M19460" s="14"/>
      <c r="N19460" s="14"/>
      <c r="O19460" s="14"/>
      <c r="P19460" s="13"/>
    </row>
    <row r="19461">
      <c r="L19461" s="13"/>
      <c r="M19461" s="14"/>
      <c r="N19461" s="14"/>
      <c r="O19461" s="14"/>
      <c r="P19461" s="13"/>
    </row>
    <row r="19462">
      <c r="L19462" s="13"/>
      <c r="M19462" s="14"/>
      <c r="N19462" s="14"/>
      <c r="O19462" s="14"/>
      <c r="P19462" s="13"/>
    </row>
    <row r="19463">
      <c r="L19463" s="13"/>
      <c r="M19463" s="14"/>
      <c r="N19463" s="14"/>
      <c r="O19463" s="14"/>
      <c r="P19463" s="13"/>
    </row>
    <row r="19464">
      <c r="L19464" s="13"/>
      <c r="M19464" s="14"/>
      <c r="N19464" s="14"/>
      <c r="O19464" s="14"/>
      <c r="P19464" s="13"/>
    </row>
    <row r="19465">
      <c r="L19465" s="13"/>
      <c r="M19465" s="14"/>
      <c r="N19465" s="14"/>
      <c r="O19465" s="14"/>
      <c r="P19465" s="13"/>
    </row>
    <row r="19466">
      <c r="L19466" s="13"/>
      <c r="M19466" s="14"/>
      <c r="N19466" s="14"/>
      <c r="O19466" s="14"/>
      <c r="P19466" s="13"/>
    </row>
    <row r="19467">
      <c r="L19467" s="13"/>
      <c r="M19467" s="14"/>
      <c r="N19467" s="14"/>
      <c r="O19467" s="14"/>
      <c r="P19467" s="13"/>
    </row>
    <row r="19468">
      <c r="L19468" s="13"/>
      <c r="M19468" s="14"/>
      <c r="N19468" s="14"/>
      <c r="O19468" s="14"/>
      <c r="P19468" s="13"/>
    </row>
    <row r="19469">
      <c r="L19469" s="13"/>
      <c r="M19469" s="14"/>
      <c r="N19469" s="14"/>
      <c r="O19469" s="14"/>
      <c r="P19469" s="13"/>
    </row>
    <row r="19470">
      <c r="L19470" s="13"/>
      <c r="M19470" s="14"/>
      <c r="N19470" s="14"/>
      <c r="O19470" s="14"/>
      <c r="P19470" s="13"/>
    </row>
    <row r="19471">
      <c r="L19471" s="13"/>
      <c r="M19471" s="14"/>
      <c r="N19471" s="14"/>
      <c r="O19471" s="14"/>
      <c r="P19471" s="13"/>
    </row>
    <row r="19472">
      <c r="L19472" s="13"/>
      <c r="M19472" s="14"/>
      <c r="N19472" s="14"/>
      <c r="O19472" s="14"/>
      <c r="P19472" s="13"/>
    </row>
    <row r="19473">
      <c r="L19473" s="13"/>
      <c r="M19473" s="14"/>
      <c r="N19473" s="14"/>
      <c r="O19473" s="14"/>
      <c r="P19473" s="13"/>
    </row>
    <row r="19474">
      <c r="L19474" s="13"/>
      <c r="M19474" s="14"/>
      <c r="N19474" s="14"/>
      <c r="O19474" s="14"/>
      <c r="P19474" s="13"/>
    </row>
    <row r="19475">
      <c r="L19475" s="13"/>
      <c r="M19475" s="14"/>
      <c r="N19475" s="14"/>
      <c r="O19475" s="14"/>
      <c r="P19475" s="13"/>
    </row>
    <row r="19476">
      <c r="L19476" s="13"/>
      <c r="M19476" s="14"/>
      <c r="N19476" s="14"/>
      <c r="O19476" s="14"/>
      <c r="P19476" s="13"/>
    </row>
    <row r="19477">
      <c r="L19477" s="13"/>
      <c r="M19477" s="14"/>
      <c r="N19477" s="14"/>
      <c r="O19477" s="14"/>
      <c r="P19477" s="13"/>
    </row>
    <row r="19478">
      <c r="L19478" s="13"/>
      <c r="M19478" s="14"/>
      <c r="N19478" s="14"/>
      <c r="O19478" s="14"/>
      <c r="P19478" s="13"/>
    </row>
    <row r="19479">
      <c r="L19479" s="13"/>
      <c r="M19479" s="14"/>
      <c r="N19479" s="14"/>
      <c r="O19479" s="14"/>
      <c r="P19479" s="13"/>
    </row>
    <row r="19480">
      <c r="L19480" s="13"/>
      <c r="M19480" s="14"/>
      <c r="N19480" s="14"/>
      <c r="O19480" s="14"/>
      <c r="P19480" s="13"/>
    </row>
    <row r="19481">
      <c r="L19481" s="13"/>
      <c r="M19481" s="14"/>
      <c r="N19481" s="14"/>
      <c r="O19481" s="14"/>
      <c r="P19481" s="13"/>
    </row>
    <row r="19482">
      <c r="L19482" s="13"/>
      <c r="M19482" s="14"/>
      <c r="N19482" s="14"/>
      <c r="O19482" s="14"/>
      <c r="P19482" s="13"/>
    </row>
    <row r="19483">
      <c r="L19483" s="13"/>
      <c r="M19483" s="14"/>
      <c r="N19483" s="14"/>
      <c r="O19483" s="14"/>
      <c r="P19483" s="13"/>
    </row>
    <row r="19484">
      <c r="L19484" s="13"/>
      <c r="M19484" s="14"/>
      <c r="N19484" s="14"/>
      <c r="O19484" s="14"/>
      <c r="P19484" s="13"/>
    </row>
    <row r="19485">
      <c r="L19485" s="13"/>
      <c r="M19485" s="14"/>
      <c r="N19485" s="14"/>
      <c r="O19485" s="14"/>
      <c r="P19485" s="13"/>
    </row>
    <row r="19486">
      <c r="L19486" s="13"/>
      <c r="M19486" s="14"/>
      <c r="N19486" s="14"/>
      <c r="O19486" s="14"/>
      <c r="P19486" s="13"/>
    </row>
    <row r="19487">
      <c r="L19487" s="13"/>
      <c r="M19487" s="14"/>
      <c r="N19487" s="14"/>
      <c r="O19487" s="14"/>
      <c r="P19487" s="13"/>
    </row>
    <row r="19488">
      <c r="L19488" s="13"/>
      <c r="M19488" s="14"/>
      <c r="N19488" s="14"/>
      <c r="O19488" s="14"/>
      <c r="P19488" s="13"/>
    </row>
    <row r="19489">
      <c r="L19489" s="13"/>
      <c r="M19489" s="14"/>
      <c r="N19489" s="14"/>
      <c r="O19489" s="14"/>
      <c r="P19489" s="13"/>
    </row>
    <row r="19490">
      <c r="L19490" s="13"/>
      <c r="M19490" s="14"/>
      <c r="N19490" s="14"/>
      <c r="O19490" s="14"/>
      <c r="P19490" s="13"/>
    </row>
    <row r="19491">
      <c r="L19491" s="13"/>
      <c r="M19491" s="14"/>
      <c r="N19491" s="14"/>
      <c r="O19491" s="14"/>
      <c r="P19491" s="13"/>
    </row>
    <row r="19492">
      <c r="L19492" s="13"/>
      <c r="M19492" s="14"/>
      <c r="N19492" s="14"/>
      <c r="O19492" s="14"/>
      <c r="P19492" s="13"/>
    </row>
    <row r="19493">
      <c r="L19493" s="13"/>
      <c r="M19493" s="14"/>
      <c r="N19493" s="14"/>
      <c r="O19493" s="14"/>
      <c r="P19493" s="13"/>
    </row>
    <row r="19494">
      <c r="L19494" s="13"/>
      <c r="M19494" s="14"/>
      <c r="N19494" s="14"/>
      <c r="O19494" s="14"/>
      <c r="P19494" s="13"/>
    </row>
    <row r="19495">
      <c r="L19495" s="13"/>
      <c r="M19495" s="14"/>
      <c r="N19495" s="14"/>
      <c r="O19495" s="14"/>
      <c r="P19495" s="13"/>
    </row>
    <row r="19496">
      <c r="L19496" s="13"/>
      <c r="M19496" s="14"/>
      <c r="N19496" s="14"/>
      <c r="O19496" s="14"/>
      <c r="P19496" s="13"/>
    </row>
    <row r="19497">
      <c r="L19497" s="13"/>
      <c r="M19497" s="14"/>
      <c r="N19497" s="14"/>
      <c r="O19497" s="14"/>
      <c r="P19497" s="13"/>
    </row>
    <row r="19498">
      <c r="L19498" s="13"/>
      <c r="M19498" s="14"/>
      <c r="N19498" s="14"/>
      <c r="O19498" s="14"/>
      <c r="P19498" s="13"/>
    </row>
    <row r="19499">
      <c r="L19499" s="13"/>
      <c r="M19499" s="14"/>
      <c r="N19499" s="14"/>
      <c r="O19499" s="14"/>
      <c r="P19499" s="13"/>
    </row>
    <row r="19500">
      <c r="L19500" s="13"/>
      <c r="M19500" s="14"/>
      <c r="N19500" s="14"/>
      <c r="O19500" s="14"/>
      <c r="P19500" s="13"/>
    </row>
    <row r="19501">
      <c r="L19501" s="13"/>
      <c r="M19501" s="14"/>
      <c r="N19501" s="14"/>
      <c r="O19501" s="14"/>
      <c r="P19501" s="13"/>
    </row>
    <row r="19502">
      <c r="L19502" s="13"/>
      <c r="M19502" s="14"/>
      <c r="N19502" s="14"/>
      <c r="O19502" s="14"/>
      <c r="P19502" s="13"/>
    </row>
    <row r="19503">
      <c r="L19503" s="13"/>
      <c r="M19503" s="14"/>
      <c r="N19503" s="14"/>
      <c r="O19503" s="14"/>
      <c r="P19503" s="13"/>
    </row>
    <row r="19504">
      <c r="L19504" s="13"/>
      <c r="M19504" s="14"/>
      <c r="N19504" s="14"/>
      <c r="O19504" s="14"/>
      <c r="P19504" s="13"/>
    </row>
    <row r="19505">
      <c r="L19505" s="13"/>
      <c r="M19505" s="14"/>
      <c r="N19505" s="14"/>
      <c r="O19505" s="14"/>
      <c r="P19505" s="13"/>
    </row>
    <row r="19506">
      <c r="L19506" s="13"/>
      <c r="M19506" s="14"/>
      <c r="N19506" s="14"/>
      <c r="O19506" s="14"/>
      <c r="P19506" s="13"/>
    </row>
    <row r="19507">
      <c r="L19507" s="13"/>
      <c r="M19507" s="14"/>
      <c r="N19507" s="14"/>
      <c r="O19507" s="14"/>
      <c r="P19507" s="13"/>
    </row>
    <row r="19508">
      <c r="L19508" s="13"/>
      <c r="M19508" s="14"/>
      <c r="N19508" s="14"/>
      <c r="O19508" s="14"/>
      <c r="P19508" s="13"/>
    </row>
    <row r="19509">
      <c r="L19509" s="13"/>
      <c r="M19509" s="14"/>
      <c r="N19509" s="14"/>
      <c r="O19509" s="14"/>
      <c r="P19509" s="13"/>
    </row>
    <row r="19510">
      <c r="L19510" s="13"/>
      <c r="M19510" s="14"/>
      <c r="N19510" s="14"/>
      <c r="O19510" s="14"/>
      <c r="P19510" s="13"/>
    </row>
    <row r="19511">
      <c r="L19511" s="13"/>
      <c r="M19511" s="14"/>
      <c r="N19511" s="14"/>
      <c r="O19511" s="14"/>
      <c r="P19511" s="13"/>
    </row>
    <row r="19512">
      <c r="L19512" s="13"/>
      <c r="M19512" s="14"/>
      <c r="N19512" s="14"/>
      <c r="O19512" s="14"/>
      <c r="P19512" s="13"/>
    </row>
    <row r="19513">
      <c r="L19513" s="13"/>
      <c r="M19513" s="14"/>
      <c r="N19513" s="14"/>
      <c r="O19513" s="14"/>
      <c r="P19513" s="13"/>
    </row>
    <row r="19514">
      <c r="L19514" s="13"/>
      <c r="M19514" s="14"/>
      <c r="N19514" s="14"/>
      <c r="O19514" s="14"/>
      <c r="P19514" s="13"/>
    </row>
    <row r="19515">
      <c r="L19515" s="13"/>
      <c r="M19515" s="14"/>
      <c r="N19515" s="14"/>
      <c r="O19515" s="14"/>
      <c r="P19515" s="13"/>
    </row>
    <row r="19516">
      <c r="L19516" s="13"/>
      <c r="M19516" s="14"/>
      <c r="N19516" s="14"/>
      <c r="O19516" s="14"/>
      <c r="P19516" s="13"/>
    </row>
    <row r="19517">
      <c r="L19517" s="13"/>
      <c r="M19517" s="14"/>
      <c r="N19517" s="14"/>
      <c r="O19517" s="14"/>
      <c r="P19517" s="13"/>
    </row>
    <row r="19518">
      <c r="L19518" s="13"/>
      <c r="M19518" s="14"/>
      <c r="N19518" s="14"/>
      <c r="O19518" s="14"/>
      <c r="P19518" s="13"/>
    </row>
    <row r="19519">
      <c r="L19519" s="13"/>
      <c r="M19519" s="14"/>
      <c r="N19519" s="14"/>
      <c r="O19519" s="14"/>
      <c r="P19519" s="13"/>
    </row>
    <row r="19520">
      <c r="L19520" s="13"/>
      <c r="M19520" s="14"/>
      <c r="N19520" s="14"/>
      <c r="O19520" s="14"/>
      <c r="P19520" s="13"/>
    </row>
    <row r="19521">
      <c r="L19521" s="13"/>
      <c r="M19521" s="14"/>
      <c r="N19521" s="14"/>
      <c r="O19521" s="14"/>
      <c r="P19521" s="13"/>
    </row>
    <row r="19522">
      <c r="L19522" s="13"/>
      <c r="M19522" s="14"/>
      <c r="N19522" s="14"/>
      <c r="O19522" s="14"/>
      <c r="P19522" s="13"/>
    </row>
    <row r="19523">
      <c r="L19523" s="13"/>
      <c r="M19523" s="14"/>
      <c r="N19523" s="14"/>
      <c r="O19523" s="14"/>
      <c r="P19523" s="13"/>
    </row>
    <row r="19524">
      <c r="L19524" s="13"/>
      <c r="M19524" s="14"/>
      <c r="N19524" s="14"/>
      <c r="O19524" s="14"/>
      <c r="P19524" s="13"/>
    </row>
    <row r="19525">
      <c r="L19525" s="13"/>
      <c r="M19525" s="14"/>
      <c r="N19525" s="14"/>
      <c r="O19525" s="14"/>
      <c r="P19525" s="13"/>
    </row>
    <row r="19526">
      <c r="L19526" s="13"/>
      <c r="M19526" s="14"/>
      <c r="N19526" s="14"/>
      <c r="O19526" s="14"/>
      <c r="P19526" s="13"/>
    </row>
    <row r="19527">
      <c r="L19527" s="13"/>
      <c r="M19527" s="14"/>
      <c r="N19527" s="14"/>
      <c r="O19527" s="14"/>
      <c r="P19527" s="13"/>
    </row>
    <row r="19528">
      <c r="L19528" s="13"/>
      <c r="M19528" s="14"/>
      <c r="N19528" s="14"/>
      <c r="O19528" s="14"/>
      <c r="P19528" s="13"/>
    </row>
    <row r="19529">
      <c r="L19529" s="13"/>
      <c r="M19529" s="14"/>
      <c r="N19529" s="14"/>
      <c r="O19529" s="14"/>
      <c r="P19529" s="13"/>
    </row>
    <row r="19530">
      <c r="L19530" s="13"/>
      <c r="M19530" s="14"/>
      <c r="N19530" s="14"/>
      <c r="O19530" s="14"/>
      <c r="P19530" s="13"/>
    </row>
    <row r="19531">
      <c r="L19531" s="13"/>
      <c r="M19531" s="14"/>
      <c r="N19531" s="14"/>
      <c r="O19531" s="14"/>
      <c r="P19531" s="13"/>
    </row>
    <row r="19532">
      <c r="L19532" s="13"/>
      <c r="M19532" s="14"/>
      <c r="N19532" s="14"/>
      <c r="O19532" s="14"/>
      <c r="P19532" s="13"/>
    </row>
    <row r="19533">
      <c r="L19533" s="13"/>
      <c r="M19533" s="14"/>
      <c r="N19533" s="14"/>
      <c r="O19533" s="14"/>
      <c r="P19533" s="13"/>
    </row>
    <row r="19534">
      <c r="L19534" s="13"/>
      <c r="M19534" s="14"/>
      <c r="N19534" s="14"/>
      <c r="O19534" s="14"/>
      <c r="P19534" s="13"/>
    </row>
    <row r="19535">
      <c r="L19535" s="13"/>
      <c r="M19535" s="14"/>
      <c r="N19535" s="14"/>
      <c r="O19535" s="14"/>
      <c r="P19535" s="13"/>
    </row>
    <row r="19536">
      <c r="L19536" s="13"/>
      <c r="M19536" s="14"/>
      <c r="N19536" s="14"/>
      <c r="O19536" s="14"/>
      <c r="P19536" s="13"/>
    </row>
    <row r="19537">
      <c r="L19537" s="13"/>
      <c r="M19537" s="14"/>
      <c r="N19537" s="14"/>
      <c r="O19537" s="14"/>
      <c r="P19537" s="13"/>
    </row>
    <row r="19538">
      <c r="L19538" s="13"/>
      <c r="M19538" s="14"/>
      <c r="N19538" s="14"/>
      <c r="O19538" s="14"/>
      <c r="P19538" s="13"/>
    </row>
    <row r="19539">
      <c r="L19539" s="13"/>
      <c r="M19539" s="14"/>
      <c r="N19539" s="14"/>
      <c r="O19539" s="14"/>
      <c r="P19539" s="13"/>
    </row>
    <row r="19540">
      <c r="L19540" s="13"/>
      <c r="M19540" s="14"/>
      <c r="N19540" s="14"/>
      <c r="O19540" s="14"/>
      <c r="P19540" s="13"/>
    </row>
    <row r="19541">
      <c r="L19541" s="13"/>
      <c r="M19541" s="14"/>
      <c r="N19541" s="14"/>
      <c r="O19541" s="14"/>
      <c r="P19541" s="13"/>
    </row>
    <row r="19542">
      <c r="L19542" s="13"/>
      <c r="M19542" s="14"/>
      <c r="N19542" s="14"/>
      <c r="O19542" s="14"/>
      <c r="P19542" s="13"/>
    </row>
    <row r="19543">
      <c r="L19543" s="13"/>
      <c r="M19543" s="14"/>
      <c r="N19543" s="14"/>
      <c r="O19543" s="14"/>
      <c r="P19543" s="13"/>
    </row>
    <row r="19544">
      <c r="L19544" s="13"/>
      <c r="M19544" s="14"/>
      <c r="N19544" s="14"/>
      <c r="O19544" s="14"/>
      <c r="P19544" s="13"/>
    </row>
    <row r="19545">
      <c r="L19545" s="13"/>
      <c r="M19545" s="14"/>
      <c r="N19545" s="14"/>
      <c r="O19545" s="14"/>
      <c r="P19545" s="13"/>
    </row>
    <row r="19546">
      <c r="L19546" s="13"/>
      <c r="M19546" s="14"/>
      <c r="N19546" s="14"/>
      <c r="O19546" s="14"/>
      <c r="P19546" s="13"/>
    </row>
    <row r="19547">
      <c r="L19547" s="13"/>
      <c r="M19547" s="14"/>
      <c r="N19547" s="14"/>
      <c r="O19547" s="14"/>
      <c r="P19547" s="13"/>
    </row>
    <row r="19548">
      <c r="L19548" s="13"/>
      <c r="M19548" s="14"/>
      <c r="N19548" s="14"/>
      <c r="O19548" s="14"/>
      <c r="P19548" s="13"/>
    </row>
    <row r="19549">
      <c r="L19549" s="13"/>
      <c r="M19549" s="14"/>
      <c r="N19549" s="14"/>
      <c r="O19549" s="14"/>
      <c r="P19549" s="13"/>
    </row>
    <row r="19550">
      <c r="L19550" s="13"/>
      <c r="M19550" s="14"/>
      <c r="N19550" s="14"/>
      <c r="O19550" s="14"/>
      <c r="P19550" s="13"/>
    </row>
    <row r="19551">
      <c r="L19551" s="13"/>
      <c r="M19551" s="14"/>
      <c r="N19551" s="14"/>
      <c r="O19551" s="14"/>
      <c r="P19551" s="13"/>
    </row>
    <row r="19552">
      <c r="L19552" s="13"/>
      <c r="M19552" s="14"/>
      <c r="N19552" s="14"/>
      <c r="O19552" s="14"/>
      <c r="P19552" s="13"/>
    </row>
    <row r="19553">
      <c r="L19553" s="13"/>
      <c r="M19553" s="14"/>
      <c r="N19553" s="14"/>
      <c r="O19553" s="14"/>
      <c r="P19553" s="13"/>
    </row>
    <row r="19554">
      <c r="L19554" s="13"/>
      <c r="M19554" s="14"/>
      <c r="N19554" s="14"/>
      <c r="O19554" s="14"/>
      <c r="P19554" s="13"/>
    </row>
    <row r="19555">
      <c r="L19555" s="13"/>
      <c r="M19555" s="14"/>
      <c r="N19555" s="14"/>
      <c r="O19555" s="14"/>
      <c r="P19555" s="13"/>
    </row>
    <row r="19556">
      <c r="L19556" s="13"/>
      <c r="M19556" s="14"/>
      <c r="N19556" s="14"/>
      <c r="O19556" s="14"/>
      <c r="P19556" s="13"/>
    </row>
    <row r="19557">
      <c r="L19557" s="13"/>
      <c r="M19557" s="14"/>
      <c r="N19557" s="14"/>
      <c r="O19557" s="14"/>
      <c r="P19557" s="13"/>
    </row>
    <row r="19558">
      <c r="L19558" s="13"/>
      <c r="M19558" s="14"/>
      <c r="N19558" s="14"/>
      <c r="O19558" s="14"/>
      <c r="P19558" s="13"/>
    </row>
    <row r="19559">
      <c r="L19559" s="13"/>
      <c r="M19559" s="14"/>
      <c r="N19559" s="14"/>
      <c r="O19559" s="14"/>
      <c r="P19559" s="13"/>
    </row>
    <row r="19560">
      <c r="L19560" s="13"/>
      <c r="M19560" s="14"/>
      <c r="N19560" s="14"/>
      <c r="O19560" s="14"/>
      <c r="P19560" s="13"/>
    </row>
    <row r="19561">
      <c r="L19561" s="13"/>
      <c r="M19561" s="14"/>
      <c r="N19561" s="14"/>
      <c r="O19561" s="14"/>
      <c r="P19561" s="13"/>
    </row>
    <row r="19562">
      <c r="L19562" s="13"/>
      <c r="M19562" s="14"/>
      <c r="N19562" s="14"/>
      <c r="O19562" s="14"/>
      <c r="P19562" s="13"/>
    </row>
    <row r="19563">
      <c r="L19563" s="13"/>
      <c r="M19563" s="14"/>
      <c r="N19563" s="14"/>
      <c r="O19563" s="14"/>
      <c r="P19563" s="13"/>
    </row>
    <row r="19564">
      <c r="L19564" s="13"/>
      <c r="M19564" s="14"/>
      <c r="N19564" s="14"/>
      <c r="O19564" s="14"/>
      <c r="P19564" s="13"/>
    </row>
    <row r="19565">
      <c r="L19565" s="13"/>
      <c r="M19565" s="14"/>
      <c r="N19565" s="14"/>
      <c r="O19565" s="14"/>
      <c r="P19565" s="13"/>
    </row>
    <row r="19566">
      <c r="L19566" s="13"/>
      <c r="M19566" s="14"/>
      <c r="N19566" s="14"/>
      <c r="O19566" s="14"/>
      <c r="P19566" s="13"/>
    </row>
    <row r="19567">
      <c r="L19567" s="13"/>
      <c r="M19567" s="14"/>
      <c r="N19567" s="14"/>
      <c r="O19567" s="14"/>
      <c r="P19567" s="13"/>
    </row>
    <row r="19568">
      <c r="L19568" s="13"/>
      <c r="M19568" s="14"/>
      <c r="N19568" s="14"/>
      <c r="O19568" s="14"/>
      <c r="P19568" s="13"/>
    </row>
    <row r="19569">
      <c r="L19569" s="13"/>
      <c r="M19569" s="14"/>
      <c r="N19569" s="14"/>
      <c r="O19569" s="14"/>
      <c r="P19569" s="13"/>
    </row>
    <row r="19570">
      <c r="L19570" s="13"/>
      <c r="M19570" s="14"/>
      <c r="N19570" s="14"/>
      <c r="O19570" s="14"/>
      <c r="P19570" s="13"/>
    </row>
    <row r="19571">
      <c r="L19571" s="13"/>
      <c r="M19571" s="14"/>
      <c r="N19571" s="14"/>
      <c r="O19571" s="14"/>
      <c r="P19571" s="13"/>
    </row>
    <row r="19572">
      <c r="L19572" s="13"/>
      <c r="M19572" s="14"/>
      <c r="N19572" s="14"/>
      <c r="O19572" s="14"/>
      <c r="P19572" s="13"/>
    </row>
    <row r="19573">
      <c r="L19573" s="13"/>
      <c r="M19573" s="14"/>
      <c r="N19573" s="14"/>
      <c r="O19573" s="14"/>
      <c r="P19573" s="13"/>
    </row>
    <row r="19574">
      <c r="L19574" s="13"/>
      <c r="M19574" s="14"/>
      <c r="N19574" s="14"/>
      <c r="O19574" s="14"/>
      <c r="P19574" s="13"/>
    </row>
    <row r="19575">
      <c r="L19575" s="13"/>
      <c r="M19575" s="14"/>
      <c r="N19575" s="14"/>
      <c r="O19575" s="14"/>
      <c r="P19575" s="13"/>
    </row>
    <row r="19576">
      <c r="L19576" s="13"/>
      <c r="M19576" s="14"/>
      <c r="N19576" s="14"/>
      <c r="O19576" s="14"/>
      <c r="P19576" s="13"/>
    </row>
    <row r="19577">
      <c r="L19577" s="13"/>
      <c r="M19577" s="14"/>
      <c r="N19577" s="14"/>
      <c r="O19577" s="14"/>
      <c r="P19577" s="13"/>
    </row>
    <row r="19578">
      <c r="L19578" s="13"/>
      <c r="M19578" s="14"/>
      <c r="N19578" s="14"/>
      <c r="O19578" s="14"/>
      <c r="P19578" s="13"/>
    </row>
    <row r="19579">
      <c r="L19579" s="13"/>
      <c r="M19579" s="14"/>
      <c r="N19579" s="14"/>
      <c r="O19579" s="14"/>
      <c r="P19579" s="13"/>
    </row>
    <row r="19580">
      <c r="L19580" s="13"/>
      <c r="M19580" s="14"/>
      <c r="N19580" s="14"/>
      <c r="O19580" s="14"/>
      <c r="P19580" s="13"/>
    </row>
    <row r="19581">
      <c r="L19581" s="13"/>
      <c r="M19581" s="14"/>
      <c r="N19581" s="14"/>
      <c r="O19581" s="14"/>
      <c r="P19581" s="13"/>
    </row>
    <row r="19582">
      <c r="L19582" s="13"/>
      <c r="M19582" s="14"/>
      <c r="N19582" s="14"/>
      <c r="O19582" s="14"/>
      <c r="P19582" s="13"/>
    </row>
    <row r="19583">
      <c r="L19583" s="13"/>
      <c r="M19583" s="14"/>
      <c r="N19583" s="14"/>
      <c r="O19583" s="14"/>
      <c r="P19583" s="13"/>
    </row>
    <row r="19584">
      <c r="L19584" s="13"/>
      <c r="M19584" s="14"/>
      <c r="N19584" s="14"/>
      <c r="O19584" s="14"/>
      <c r="P19584" s="13"/>
    </row>
    <row r="19585">
      <c r="L19585" s="13"/>
      <c r="M19585" s="14"/>
      <c r="N19585" s="14"/>
      <c r="O19585" s="14"/>
      <c r="P19585" s="13"/>
    </row>
    <row r="19586">
      <c r="L19586" s="13"/>
      <c r="M19586" s="14"/>
      <c r="N19586" s="14"/>
      <c r="O19586" s="14"/>
      <c r="P19586" s="13"/>
    </row>
    <row r="19587">
      <c r="L19587" s="13"/>
      <c r="M19587" s="14"/>
      <c r="N19587" s="14"/>
      <c r="O19587" s="14"/>
      <c r="P19587" s="13"/>
    </row>
    <row r="19588">
      <c r="L19588" s="13"/>
      <c r="M19588" s="14"/>
      <c r="N19588" s="14"/>
      <c r="O19588" s="14"/>
      <c r="P19588" s="13"/>
    </row>
    <row r="19589">
      <c r="L19589" s="13"/>
      <c r="M19589" s="14"/>
      <c r="N19589" s="14"/>
      <c r="O19589" s="14"/>
      <c r="P19589" s="13"/>
    </row>
    <row r="19590">
      <c r="L19590" s="13"/>
      <c r="M19590" s="14"/>
      <c r="N19590" s="14"/>
      <c r="O19590" s="14"/>
      <c r="P19590" s="13"/>
    </row>
    <row r="19591">
      <c r="L19591" s="13"/>
      <c r="M19591" s="14"/>
      <c r="N19591" s="14"/>
      <c r="O19591" s="14"/>
      <c r="P19591" s="13"/>
    </row>
    <row r="19592">
      <c r="L19592" s="13"/>
      <c r="M19592" s="14"/>
      <c r="N19592" s="14"/>
      <c r="O19592" s="14"/>
      <c r="P19592" s="13"/>
    </row>
    <row r="19593">
      <c r="L19593" s="13"/>
      <c r="M19593" s="14"/>
      <c r="N19593" s="14"/>
      <c r="O19593" s="14"/>
      <c r="P19593" s="13"/>
    </row>
    <row r="19594">
      <c r="L19594" s="13"/>
      <c r="M19594" s="14"/>
      <c r="N19594" s="14"/>
      <c r="O19594" s="14"/>
      <c r="P19594" s="13"/>
    </row>
    <row r="19595">
      <c r="L19595" s="13"/>
      <c r="M19595" s="14"/>
      <c r="N19595" s="14"/>
      <c r="O19595" s="14"/>
      <c r="P19595" s="13"/>
    </row>
    <row r="19596">
      <c r="L19596" s="13"/>
      <c r="M19596" s="14"/>
      <c r="N19596" s="14"/>
      <c r="O19596" s="14"/>
      <c r="P19596" s="13"/>
    </row>
    <row r="19597">
      <c r="L19597" s="13"/>
      <c r="M19597" s="14"/>
      <c r="N19597" s="14"/>
      <c r="O19597" s="14"/>
      <c r="P19597" s="13"/>
    </row>
    <row r="19598">
      <c r="L19598" s="13"/>
      <c r="M19598" s="14"/>
      <c r="N19598" s="14"/>
      <c r="O19598" s="14"/>
      <c r="P19598" s="13"/>
    </row>
    <row r="19599">
      <c r="L19599" s="13"/>
      <c r="M19599" s="14"/>
      <c r="N19599" s="14"/>
      <c r="O19599" s="14"/>
      <c r="P19599" s="13"/>
    </row>
    <row r="19600">
      <c r="L19600" s="13"/>
      <c r="M19600" s="14"/>
      <c r="N19600" s="14"/>
      <c r="O19600" s="14"/>
      <c r="P19600" s="13"/>
    </row>
    <row r="19601">
      <c r="L19601" s="13"/>
      <c r="M19601" s="14"/>
      <c r="N19601" s="14"/>
      <c r="O19601" s="14"/>
      <c r="P19601" s="13"/>
    </row>
    <row r="19602">
      <c r="L19602" s="13"/>
      <c r="M19602" s="14"/>
      <c r="N19602" s="14"/>
      <c r="O19602" s="14"/>
      <c r="P19602" s="13"/>
    </row>
    <row r="19603">
      <c r="L19603" s="13"/>
      <c r="M19603" s="14"/>
      <c r="N19603" s="14"/>
      <c r="O19603" s="14"/>
      <c r="P19603" s="13"/>
    </row>
    <row r="19604">
      <c r="L19604" s="13"/>
      <c r="M19604" s="14"/>
      <c r="N19604" s="14"/>
      <c r="O19604" s="14"/>
      <c r="P19604" s="13"/>
    </row>
    <row r="19605">
      <c r="L19605" s="13"/>
      <c r="M19605" s="14"/>
      <c r="N19605" s="14"/>
      <c r="O19605" s="14"/>
      <c r="P19605" s="13"/>
    </row>
    <row r="19606">
      <c r="L19606" s="13"/>
      <c r="M19606" s="14"/>
      <c r="N19606" s="14"/>
      <c r="O19606" s="14"/>
      <c r="P19606" s="13"/>
    </row>
    <row r="19607">
      <c r="L19607" s="13"/>
      <c r="M19607" s="14"/>
      <c r="N19607" s="14"/>
      <c r="O19607" s="14"/>
      <c r="P19607" s="13"/>
    </row>
    <row r="19608">
      <c r="L19608" s="13"/>
      <c r="M19608" s="14"/>
      <c r="N19608" s="14"/>
      <c r="O19608" s="14"/>
      <c r="P19608" s="13"/>
    </row>
    <row r="19609">
      <c r="L19609" s="13"/>
      <c r="M19609" s="14"/>
      <c r="N19609" s="14"/>
      <c r="O19609" s="14"/>
      <c r="P19609" s="13"/>
    </row>
    <row r="19610">
      <c r="L19610" s="13"/>
      <c r="M19610" s="14"/>
      <c r="N19610" s="14"/>
      <c r="O19610" s="14"/>
      <c r="P19610" s="13"/>
    </row>
    <row r="19611">
      <c r="L19611" s="13"/>
      <c r="M19611" s="14"/>
      <c r="N19611" s="14"/>
      <c r="O19611" s="14"/>
      <c r="P19611" s="13"/>
    </row>
    <row r="19612">
      <c r="L19612" s="13"/>
      <c r="M19612" s="14"/>
      <c r="N19612" s="14"/>
      <c r="O19612" s="14"/>
      <c r="P19612" s="13"/>
    </row>
    <row r="19613">
      <c r="L19613" s="13"/>
      <c r="M19613" s="14"/>
      <c r="N19613" s="14"/>
      <c r="O19613" s="14"/>
      <c r="P19613" s="13"/>
    </row>
    <row r="19614">
      <c r="L19614" s="13"/>
      <c r="M19614" s="14"/>
      <c r="N19614" s="14"/>
      <c r="O19614" s="14"/>
      <c r="P19614" s="13"/>
    </row>
    <row r="19615">
      <c r="L19615" s="13"/>
      <c r="M19615" s="14"/>
      <c r="N19615" s="14"/>
      <c r="O19615" s="14"/>
      <c r="P19615" s="13"/>
    </row>
    <row r="19616">
      <c r="L19616" s="13"/>
      <c r="M19616" s="14"/>
      <c r="N19616" s="14"/>
      <c r="O19616" s="14"/>
      <c r="P19616" s="13"/>
    </row>
    <row r="19617">
      <c r="L19617" s="13"/>
      <c r="M19617" s="14"/>
      <c r="N19617" s="14"/>
      <c r="O19617" s="14"/>
      <c r="P19617" s="13"/>
    </row>
    <row r="19618">
      <c r="L19618" s="13"/>
      <c r="M19618" s="14"/>
      <c r="N19618" s="14"/>
      <c r="O19618" s="14"/>
      <c r="P19618" s="13"/>
    </row>
    <row r="19619">
      <c r="L19619" s="13"/>
      <c r="M19619" s="14"/>
      <c r="N19619" s="14"/>
      <c r="O19619" s="14"/>
      <c r="P19619" s="13"/>
    </row>
    <row r="19620">
      <c r="L19620" s="13"/>
      <c r="M19620" s="14"/>
      <c r="N19620" s="14"/>
      <c r="O19620" s="14"/>
      <c r="P19620" s="13"/>
    </row>
    <row r="19621">
      <c r="L19621" s="13"/>
      <c r="M19621" s="14"/>
      <c r="N19621" s="14"/>
      <c r="O19621" s="14"/>
      <c r="P19621" s="13"/>
    </row>
    <row r="19622">
      <c r="L19622" s="13"/>
      <c r="M19622" s="14"/>
      <c r="N19622" s="14"/>
      <c r="O19622" s="14"/>
      <c r="P19622" s="13"/>
    </row>
    <row r="19623">
      <c r="L19623" s="13"/>
      <c r="M19623" s="14"/>
      <c r="N19623" s="14"/>
      <c r="O19623" s="14"/>
      <c r="P19623" s="13"/>
    </row>
    <row r="19624">
      <c r="L19624" s="13"/>
      <c r="M19624" s="14"/>
      <c r="N19624" s="14"/>
      <c r="O19624" s="14"/>
      <c r="P19624" s="13"/>
    </row>
    <row r="19625">
      <c r="L19625" s="13"/>
      <c r="M19625" s="14"/>
      <c r="N19625" s="14"/>
      <c r="O19625" s="14"/>
      <c r="P19625" s="13"/>
    </row>
    <row r="19626">
      <c r="L19626" s="13"/>
      <c r="M19626" s="14"/>
      <c r="N19626" s="14"/>
      <c r="O19626" s="14"/>
      <c r="P19626" s="13"/>
    </row>
    <row r="19627">
      <c r="L19627" s="13"/>
      <c r="M19627" s="14"/>
      <c r="N19627" s="14"/>
      <c r="O19627" s="14"/>
      <c r="P19627" s="13"/>
    </row>
    <row r="19628">
      <c r="L19628" s="13"/>
      <c r="M19628" s="14"/>
      <c r="N19628" s="14"/>
      <c r="O19628" s="14"/>
      <c r="P19628" s="13"/>
    </row>
    <row r="19629">
      <c r="L19629" s="13"/>
      <c r="M19629" s="14"/>
      <c r="N19629" s="14"/>
      <c r="O19629" s="14"/>
      <c r="P19629" s="13"/>
    </row>
    <row r="19630">
      <c r="L19630" s="13"/>
      <c r="M19630" s="14"/>
      <c r="N19630" s="14"/>
      <c r="O19630" s="14"/>
      <c r="P19630" s="13"/>
    </row>
    <row r="19631">
      <c r="L19631" s="13"/>
      <c r="M19631" s="14"/>
      <c r="N19631" s="14"/>
      <c r="O19631" s="14"/>
      <c r="P19631" s="13"/>
    </row>
    <row r="19632">
      <c r="L19632" s="13"/>
      <c r="M19632" s="14"/>
      <c r="N19632" s="14"/>
      <c r="O19632" s="14"/>
      <c r="P19632" s="13"/>
    </row>
    <row r="19633">
      <c r="L19633" s="13"/>
      <c r="M19633" s="14"/>
      <c r="N19633" s="14"/>
      <c r="O19633" s="14"/>
      <c r="P19633" s="13"/>
    </row>
    <row r="19634">
      <c r="L19634" s="13"/>
      <c r="M19634" s="14"/>
      <c r="N19634" s="14"/>
      <c r="O19634" s="14"/>
      <c r="P19634" s="13"/>
    </row>
    <row r="19635">
      <c r="L19635" s="13"/>
      <c r="M19635" s="14"/>
      <c r="N19635" s="14"/>
      <c r="O19635" s="14"/>
      <c r="P19635" s="13"/>
    </row>
    <row r="19636">
      <c r="L19636" s="13"/>
      <c r="M19636" s="14"/>
      <c r="N19636" s="14"/>
      <c r="O19636" s="14"/>
      <c r="P19636" s="13"/>
    </row>
    <row r="19637">
      <c r="L19637" s="13"/>
      <c r="M19637" s="14"/>
      <c r="N19637" s="14"/>
      <c r="O19637" s="14"/>
      <c r="P19637" s="13"/>
    </row>
    <row r="19638">
      <c r="L19638" s="13"/>
      <c r="M19638" s="14"/>
      <c r="N19638" s="14"/>
      <c r="O19638" s="14"/>
      <c r="P19638" s="13"/>
    </row>
    <row r="19639">
      <c r="L19639" s="13"/>
      <c r="M19639" s="14"/>
      <c r="N19639" s="14"/>
      <c r="O19639" s="14"/>
      <c r="P19639" s="13"/>
    </row>
    <row r="19640">
      <c r="L19640" s="13"/>
      <c r="M19640" s="14"/>
      <c r="N19640" s="14"/>
      <c r="O19640" s="14"/>
      <c r="P19640" s="13"/>
    </row>
    <row r="19641">
      <c r="L19641" s="13"/>
      <c r="M19641" s="14"/>
      <c r="N19641" s="14"/>
      <c r="O19641" s="14"/>
      <c r="P19641" s="13"/>
    </row>
    <row r="19642">
      <c r="L19642" s="13"/>
      <c r="M19642" s="14"/>
      <c r="N19642" s="14"/>
      <c r="O19642" s="14"/>
      <c r="P19642" s="13"/>
    </row>
    <row r="19643">
      <c r="L19643" s="13"/>
      <c r="M19643" s="14"/>
      <c r="N19643" s="14"/>
      <c r="O19643" s="14"/>
      <c r="P19643" s="13"/>
    </row>
    <row r="19644">
      <c r="L19644" s="13"/>
      <c r="M19644" s="14"/>
      <c r="N19644" s="14"/>
      <c r="O19644" s="14"/>
      <c r="P19644" s="13"/>
    </row>
    <row r="19645">
      <c r="L19645" s="13"/>
      <c r="M19645" s="14"/>
      <c r="N19645" s="14"/>
      <c r="O19645" s="14"/>
      <c r="P19645" s="13"/>
    </row>
    <row r="19646">
      <c r="L19646" s="13"/>
      <c r="M19646" s="14"/>
      <c r="N19646" s="14"/>
      <c r="O19646" s="14"/>
      <c r="P19646" s="13"/>
    </row>
    <row r="19647">
      <c r="L19647" s="13"/>
      <c r="M19647" s="14"/>
      <c r="N19647" s="14"/>
      <c r="O19647" s="14"/>
      <c r="P19647" s="13"/>
    </row>
    <row r="19648">
      <c r="L19648" s="13"/>
      <c r="M19648" s="14"/>
      <c r="N19648" s="14"/>
      <c r="O19648" s="14"/>
      <c r="P19648" s="13"/>
    </row>
    <row r="19649">
      <c r="L19649" s="13"/>
      <c r="M19649" s="14"/>
      <c r="N19649" s="14"/>
      <c r="O19649" s="14"/>
      <c r="P19649" s="13"/>
    </row>
    <row r="19650">
      <c r="L19650" s="13"/>
      <c r="M19650" s="14"/>
      <c r="N19650" s="14"/>
      <c r="O19650" s="14"/>
      <c r="P19650" s="13"/>
    </row>
    <row r="19651">
      <c r="L19651" s="13"/>
      <c r="M19651" s="14"/>
      <c r="N19651" s="14"/>
      <c r="O19651" s="14"/>
      <c r="P19651" s="13"/>
    </row>
    <row r="19652">
      <c r="L19652" s="13"/>
      <c r="M19652" s="14"/>
      <c r="N19652" s="14"/>
      <c r="O19652" s="14"/>
      <c r="P19652" s="13"/>
    </row>
    <row r="19653">
      <c r="L19653" s="13"/>
      <c r="M19653" s="14"/>
      <c r="N19653" s="14"/>
      <c r="O19653" s="14"/>
      <c r="P19653" s="13"/>
    </row>
    <row r="19654">
      <c r="L19654" s="13"/>
      <c r="M19654" s="14"/>
      <c r="N19654" s="14"/>
      <c r="O19654" s="14"/>
      <c r="P19654" s="13"/>
    </row>
    <row r="19655">
      <c r="L19655" s="13"/>
      <c r="M19655" s="14"/>
      <c r="N19655" s="14"/>
      <c r="O19655" s="14"/>
      <c r="P19655" s="13"/>
    </row>
    <row r="19656">
      <c r="L19656" s="13"/>
      <c r="M19656" s="14"/>
      <c r="N19656" s="14"/>
      <c r="O19656" s="14"/>
      <c r="P19656" s="13"/>
    </row>
    <row r="19657">
      <c r="L19657" s="13"/>
      <c r="M19657" s="14"/>
      <c r="N19657" s="14"/>
      <c r="O19657" s="14"/>
      <c r="P19657" s="13"/>
    </row>
    <row r="19658">
      <c r="L19658" s="13"/>
      <c r="M19658" s="14"/>
      <c r="N19658" s="14"/>
      <c r="O19658" s="14"/>
      <c r="P19658" s="13"/>
    </row>
    <row r="19659">
      <c r="L19659" s="13"/>
      <c r="M19659" s="14"/>
      <c r="N19659" s="14"/>
      <c r="O19659" s="14"/>
      <c r="P19659" s="13"/>
    </row>
    <row r="19660">
      <c r="L19660" s="13"/>
      <c r="M19660" s="14"/>
      <c r="N19660" s="14"/>
      <c r="O19660" s="14"/>
      <c r="P19660" s="13"/>
    </row>
    <row r="19661">
      <c r="L19661" s="13"/>
      <c r="M19661" s="14"/>
      <c r="N19661" s="14"/>
      <c r="O19661" s="14"/>
      <c r="P19661" s="13"/>
    </row>
    <row r="19662">
      <c r="L19662" s="13"/>
      <c r="M19662" s="14"/>
      <c r="N19662" s="14"/>
      <c r="O19662" s="14"/>
      <c r="P19662" s="13"/>
    </row>
    <row r="19663">
      <c r="L19663" s="13"/>
      <c r="M19663" s="14"/>
      <c r="N19663" s="14"/>
      <c r="O19663" s="14"/>
      <c r="P19663" s="13"/>
    </row>
    <row r="19664">
      <c r="L19664" s="13"/>
      <c r="M19664" s="14"/>
      <c r="N19664" s="14"/>
      <c r="O19664" s="14"/>
      <c r="P19664" s="13"/>
    </row>
    <row r="19665">
      <c r="L19665" s="13"/>
      <c r="M19665" s="14"/>
      <c r="N19665" s="14"/>
      <c r="O19665" s="14"/>
      <c r="P19665" s="13"/>
    </row>
    <row r="19666">
      <c r="L19666" s="13"/>
      <c r="M19666" s="14"/>
      <c r="N19666" s="14"/>
      <c r="O19666" s="14"/>
      <c r="P19666" s="13"/>
    </row>
    <row r="19667">
      <c r="L19667" s="13"/>
      <c r="M19667" s="14"/>
      <c r="N19667" s="14"/>
      <c r="O19667" s="14"/>
      <c r="P19667" s="13"/>
    </row>
    <row r="19668">
      <c r="L19668" s="13"/>
      <c r="M19668" s="14"/>
      <c r="N19668" s="14"/>
      <c r="O19668" s="14"/>
      <c r="P19668" s="13"/>
    </row>
    <row r="19669">
      <c r="L19669" s="13"/>
      <c r="M19669" s="14"/>
      <c r="N19669" s="14"/>
      <c r="O19669" s="14"/>
      <c r="P19669" s="13"/>
    </row>
    <row r="19670">
      <c r="L19670" s="13"/>
      <c r="M19670" s="14"/>
      <c r="N19670" s="14"/>
      <c r="O19670" s="14"/>
      <c r="P19670" s="13"/>
    </row>
    <row r="19671">
      <c r="L19671" s="13"/>
      <c r="M19671" s="14"/>
      <c r="N19671" s="14"/>
      <c r="O19671" s="14"/>
      <c r="P19671" s="13"/>
    </row>
    <row r="19672">
      <c r="L19672" s="13"/>
      <c r="M19672" s="14"/>
      <c r="N19672" s="14"/>
      <c r="O19672" s="14"/>
      <c r="P19672" s="13"/>
    </row>
    <row r="19673">
      <c r="L19673" s="13"/>
      <c r="M19673" s="14"/>
      <c r="N19673" s="14"/>
      <c r="O19673" s="14"/>
      <c r="P19673" s="13"/>
    </row>
    <row r="19674">
      <c r="L19674" s="13"/>
      <c r="M19674" s="14"/>
      <c r="N19674" s="14"/>
      <c r="O19674" s="14"/>
      <c r="P19674" s="13"/>
    </row>
    <row r="19675">
      <c r="L19675" s="13"/>
      <c r="M19675" s="14"/>
      <c r="N19675" s="14"/>
      <c r="O19675" s="14"/>
      <c r="P19675" s="13"/>
    </row>
    <row r="19676">
      <c r="L19676" s="13"/>
      <c r="M19676" s="14"/>
      <c r="N19676" s="14"/>
      <c r="O19676" s="14"/>
      <c r="P19676" s="13"/>
    </row>
    <row r="19677">
      <c r="L19677" s="13"/>
      <c r="M19677" s="14"/>
      <c r="N19677" s="14"/>
      <c r="O19677" s="14"/>
      <c r="P19677" s="13"/>
    </row>
    <row r="19678">
      <c r="L19678" s="13"/>
      <c r="M19678" s="14"/>
      <c r="N19678" s="14"/>
      <c r="O19678" s="14"/>
      <c r="P19678" s="13"/>
    </row>
    <row r="19679">
      <c r="L19679" s="13"/>
      <c r="M19679" s="14"/>
      <c r="N19679" s="14"/>
      <c r="O19679" s="14"/>
      <c r="P19679" s="13"/>
    </row>
    <row r="19680">
      <c r="L19680" s="13"/>
      <c r="M19680" s="14"/>
      <c r="N19680" s="14"/>
      <c r="O19680" s="14"/>
      <c r="P19680" s="13"/>
    </row>
    <row r="19681">
      <c r="L19681" s="13"/>
      <c r="M19681" s="14"/>
      <c r="N19681" s="14"/>
      <c r="O19681" s="14"/>
      <c r="P19681" s="13"/>
    </row>
    <row r="19682">
      <c r="L19682" s="13"/>
      <c r="M19682" s="14"/>
      <c r="N19682" s="14"/>
      <c r="O19682" s="14"/>
      <c r="P19682" s="13"/>
    </row>
    <row r="19683">
      <c r="L19683" s="13"/>
      <c r="M19683" s="14"/>
      <c r="N19683" s="14"/>
      <c r="O19683" s="14"/>
      <c r="P19683" s="13"/>
    </row>
    <row r="19684">
      <c r="L19684" s="13"/>
      <c r="M19684" s="14"/>
      <c r="N19684" s="14"/>
      <c r="O19684" s="14"/>
      <c r="P19684" s="13"/>
    </row>
    <row r="19685">
      <c r="L19685" s="13"/>
      <c r="M19685" s="14"/>
      <c r="N19685" s="14"/>
      <c r="O19685" s="14"/>
      <c r="P19685" s="13"/>
    </row>
    <row r="19686">
      <c r="L19686" s="13"/>
      <c r="M19686" s="14"/>
      <c r="N19686" s="14"/>
      <c r="O19686" s="14"/>
      <c r="P19686" s="13"/>
    </row>
    <row r="19687">
      <c r="L19687" s="13"/>
      <c r="M19687" s="14"/>
      <c r="N19687" s="14"/>
      <c r="O19687" s="14"/>
      <c r="P19687" s="13"/>
    </row>
    <row r="19688">
      <c r="L19688" s="13"/>
      <c r="M19688" s="14"/>
      <c r="N19688" s="14"/>
      <c r="O19688" s="14"/>
      <c r="P19688" s="13"/>
    </row>
    <row r="19689">
      <c r="L19689" s="13"/>
      <c r="M19689" s="14"/>
      <c r="N19689" s="14"/>
      <c r="O19689" s="14"/>
      <c r="P19689" s="13"/>
    </row>
    <row r="19690">
      <c r="L19690" s="13"/>
      <c r="M19690" s="14"/>
      <c r="N19690" s="14"/>
      <c r="O19690" s="14"/>
      <c r="P19690" s="13"/>
    </row>
    <row r="19691">
      <c r="L19691" s="13"/>
      <c r="M19691" s="14"/>
      <c r="N19691" s="14"/>
      <c r="O19691" s="14"/>
      <c r="P19691" s="13"/>
    </row>
    <row r="19692">
      <c r="L19692" s="13"/>
      <c r="M19692" s="14"/>
      <c r="N19692" s="14"/>
      <c r="O19692" s="14"/>
      <c r="P19692" s="13"/>
    </row>
    <row r="19693">
      <c r="L19693" s="13"/>
      <c r="M19693" s="14"/>
      <c r="N19693" s="14"/>
      <c r="O19693" s="14"/>
      <c r="P19693" s="13"/>
    </row>
    <row r="19694">
      <c r="L19694" s="13"/>
      <c r="M19694" s="14"/>
      <c r="N19694" s="14"/>
      <c r="O19694" s="14"/>
      <c r="P19694" s="13"/>
    </row>
    <row r="19695">
      <c r="L19695" s="13"/>
      <c r="M19695" s="14"/>
      <c r="N19695" s="14"/>
      <c r="O19695" s="14"/>
      <c r="P19695" s="13"/>
    </row>
    <row r="19696">
      <c r="L19696" s="13"/>
      <c r="M19696" s="14"/>
      <c r="N19696" s="14"/>
      <c r="O19696" s="14"/>
      <c r="P19696" s="13"/>
    </row>
    <row r="19697">
      <c r="L19697" s="13"/>
      <c r="M19697" s="14"/>
      <c r="N19697" s="14"/>
      <c r="O19697" s="14"/>
      <c r="P19697" s="13"/>
    </row>
    <row r="19698">
      <c r="L19698" s="13"/>
      <c r="M19698" s="14"/>
      <c r="N19698" s="14"/>
      <c r="O19698" s="14"/>
      <c r="P19698" s="13"/>
    </row>
    <row r="19699">
      <c r="L19699" s="13"/>
      <c r="M19699" s="14"/>
      <c r="N19699" s="14"/>
      <c r="O19699" s="14"/>
      <c r="P19699" s="13"/>
    </row>
    <row r="19700">
      <c r="L19700" s="13"/>
      <c r="M19700" s="14"/>
      <c r="N19700" s="14"/>
      <c r="O19700" s="14"/>
      <c r="P19700" s="13"/>
    </row>
    <row r="19701">
      <c r="L19701" s="13"/>
      <c r="M19701" s="14"/>
      <c r="N19701" s="14"/>
      <c r="O19701" s="14"/>
      <c r="P19701" s="13"/>
    </row>
    <row r="19702">
      <c r="L19702" s="13"/>
      <c r="M19702" s="14"/>
      <c r="N19702" s="14"/>
      <c r="O19702" s="14"/>
      <c r="P19702" s="13"/>
    </row>
    <row r="19703">
      <c r="L19703" s="13"/>
      <c r="M19703" s="14"/>
      <c r="N19703" s="14"/>
      <c r="O19703" s="14"/>
      <c r="P19703" s="13"/>
    </row>
    <row r="19704">
      <c r="L19704" s="13"/>
      <c r="M19704" s="14"/>
      <c r="N19704" s="14"/>
      <c r="O19704" s="14"/>
      <c r="P19704" s="13"/>
    </row>
    <row r="19705">
      <c r="L19705" s="13"/>
      <c r="M19705" s="14"/>
      <c r="N19705" s="14"/>
      <c r="O19705" s="14"/>
      <c r="P19705" s="13"/>
    </row>
    <row r="19706">
      <c r="L19706" s="13"/>
      <c r="M19706" s="14"/>
      <c r="N19706" s="14"/>
      <c r="O19706" s="14"/>
      <c r="P19706" s="13"/>
    </row>
    <row r="19707">
      <c r="L19707" s="13"/>
      <c r="M19707" s="14"/>
      <c r="N19707" s="14"/>
      <c r="O19707" s="14"/>
      <c r="P19707" s="13"/>
    </row>
    <row r="19708">
      <c r="L19708" s="13"/>
      <c r="M19708" s="14"/>
      <c r="N19708" s="14"/>
      <c r="O19708" s="14"/>
      <c r="P19708" s="13"/>
    </row>
    <row r="19709">
      <c r="L19709" s="13"/>
      <c r="M19709" s="14"/>
      <c r="N19709" s="14"/>
      <c r="O19709" s="14"/>
      <c r="P19709" s="13"/>
    </row>
    <row r="19710">
      <c r="L19710" s="13"/>
      <c r="M19710" s="14"/>
      <c r="N19710" s="14"/>
      <c r="O19710" s="14"/>
      <c r="P19710" s="13"/>
    </row>
    <row r="19711">
      <c r="L19711" s="13"/>
      <c r="M19711" s="14"/>
      <c r="N19711" s="14"/>
      <c r="O19711" s="14"/>
      <c r="P19711" s="13"/>
    </row>
    <row r="19712">
      <c r="L19712" s="13"/>
      <c r="M19712" s="14"/>
      <c r="N19712" s="14"/>
      <c r="O19712" s="14"/>
      <c r="P19712" s="13"/>
    </row>
    <row r="19713">
      <c r="L19713" s="13"/>
      <c r="M19713" s="14"/>
      <c r="N19713" s="14"/>
      <c r="O19713" s="14"/>
      <c r="P19713" s="13"/>
    </row>
    <row r="19714">
      <c r="L19714" s="13"/>
      <c r="M19714" s="14"/>
      <c r="N19714" s="14"/>
      <c r="O19714" s="14"/>
      <c r="P19714" s="13"/>
    </row>
    <row r="19715">
      <c r="L19715" s="13"/>
      <c r="M19715" s="14"/>
      <c r="N19715" s="14"/>
      <c r="O19715" s="14"/>
      <c r="P19715" s="13"/>
    </row>
    <row r="19716">
      <c r="L19716" s="13"/>
      <c r="M19716" s="14"/>
      <c r="N19716" s="14"/>
      <c r="O19716" s="14"/>
      <c r="P19716" s="13"/>
    </row>
    <row r="19717">
      <c r="L19717" s="13"/>
      <c r="M19717" s="14"/>
      <c r="N19717" s="14"/>
      <c r="O19717" s="14"/>
      <c r="P19717" s="13"/>
    </row>
    <row r="19718">
      <c r="L19718" s="13"/>
      <c r="M19718" s="14"/>
      <c r="N19718" s="14"/>
      <c r="O19718" s="14"/>
      <c r="P19718" s="13"/>
    </row>
    <row r="19719">
      <c r="L19719" s="13"/>
      <c r="M19719" s="14"/>
      <c r="N19719" s="14"/>
      <c r="O19719" s="14"/>
      <c r="P19719" s="13"/>
    </row>
    <row r="19720">
      <c r="L19720" s="13"/>
      <c r="M19720" s="14"/>
      <c r="N19720" s="14"/>
      <c r="O19720" s="14"/>
      <c r="P19720" s="13"/>
    </row>
    <row r="19721">
      <c r="L19721" s="13"/>
      <c r="M19721" s="14"/>
      <c r="N19721" s="14"/>
      <c r="O19721" s="14"/>
      <c r="P19721" s="13"/>
    </row>
    <row r="19722">
      <c r="L19722" s="13"/>
      <c r="M19722" s="14"/>
      <c r="N19722" s="14"/>
      <c r="O19722" s="14"/>
      <c r="P19722" s="13"/>
    </row>
    <row r="19723">
      <c r="L19723" s="13"/>
      <c r="M19723" s="14"/>
      <c r="N19723" s="14"/>
      <c r="O19723" s="14"/>
      <c r="P19723" s="13"/>
    </row>
    <row r="19724">
      <c r="L19724" s="13"/>
      <c r="M19724" s="14"/>
      <c r="N19724" s="14"/>
      <c r="O19724" s="14"/>
      <c r="P19724" s="13"/>
    </row>
    <row r="19725">
      <c r="L19725" s="13"/>
      <c r="M19725" s="14"/>
      <c r="N19725" s="14"/>
      <c r="O19725" s="14"/>
      <c r="P19725" s="13"/>
    </row>
    <row r="19726">
      <c r="L19726" s="13"/>
      <c r="M19726" s="14"/>
      <c r="N19726" s="14"/>
      <c r="O19726" s="14"/>
      <c r="P19726" s="13"/>
    </row>
    <row r="19727">
      <c r="L19727" s="13"/>
      <c r="M19727" s="14"/>
      <c r="N19727" s="14"/>
      <c r="O19727" s="14"/>
      <c r="P19727" s="13"/>
    </row>
    <row r="19728">
      <c r="L19728" s="13"/>
      <c r="M19728" s="14"/>
      <c r="N19728" s="14"/>
      <c r="O19728" s="14"/>
      <c r="P19728" s="13"/>
    </row>
    <row r="19729">
      <c r="L19729" s="13"/>
      <c r="M19729" s="14"/>
      <c r="N19729" s="14"/>
      <c r="O19729" s="14"/>
      <c r="P19729" s="13"/>
    </row>
    <row r="19730">
      <c r="L19730" s="13"/>
      <c r="M19730" s="14"/>
      <c r="N19730" s="14"/>
      <c r="O19730" s="14"/>
      <c r="P19730" s="13"/>
    </row>
    <row r="19731">
      <c r="L19731" s="13"/>
      <c r="M19731" s="14"/>
      <c r="N19731" s="14"/>
      <c r="O19731" s="14"/>
      <c r="P19731" s="13"/>
    </row>
    <row r="19732">
      <c r="L19732" s="13"/>
      <c r="M19732" s="14"/>
      <c r="N19732" s="14"/>
      <c r="O19732" s="14"/>
      <c r="P19732" s="13"/>
    </row>
    <row r="19733">
      <c r="L19733" s="13"/>
      <c r="M19733" s="14"/>
      <c r="N19733" s="14"/>
      <c r="O19733" s="14"/>
      <c r="P19733" s="13"/>
    </row>
    <row r="19734">
      <c r="L19734" s="13"/>
      <c r="M19734" s="14"/>
      <c r="N19734" s="14"/>
      <c r="O19734" s="14"/>
      <c r="P19734" s="13"/>
    </row>
    <row r="19735">
      <c r="L19735" s="13"/>
      <c r="M19735" s="14"/>
      <c r="N19735" s="14"/>
      <c r="O19735" s="14"/>
      <c r="P19735" s="13"/>
    </row>
    <row r="19736">
      <c r="L19736" s="13"/>
      <c r="M19736" s="14"/>
      <c r="N19736" s="14"/>
      <c r="O19736" s="14"/>
      <c r="P19736" s="13"/>
    </row>
    <row r="19737">
      <c r="L19737" s="13"/>
      <c r="M19737" s="14"/>
      <c r="N19737" s="14"/>
      <c r="O19737" s="14"/>
      <c r="P19737" s="13"/>
    </row>
    <row r="19738">
      <c r="L19738" s="13"/>
      <c r="M19738" s="14"/>
      <c r="N19738" s="14"/>
      <c r="O19738" s="14"/>
      <c r="P19738" s="13"/>
    </row>
    <row r="19739">
      <c r="L19739" s="13"/>
      <c r="M19739" s="14"/>
      <c r="N19739" s="14"/>
      <c r="O19739" s="14"/>
      <c r="P19739" s="13"/>
    </row>
    <row r="19740">
      <c r="L19740" s="13"/>
      <c r="M19740" s="14"/>
      <c r="N19740" s="14"/>
      <c r="O19740" s="14"/>
      <c r="P19740" s="13"/>
    </row>
    <row r="19741">
      <c r="L19741" s="13"/>
      <c r="M19741" s="14"/>
      <c r="N19741" s="14"/>
      <c r="O19741" s="14"/>
      <c r="P19741" s="13"/>
    </row>
    <row r="19742">
      <c r="L19742" s="13"/>
      <c r="M19742" s="14"/>
      <c r="N19742" s="14"/>
      <c r="O19742" s="14"/>
      <c r="P19742" s="13"/>
    </row>
    <row r="19743">
      <c r="L19743" s="13"/>
      <c r="M19743" s="14"/>
      <c r="N19743" s="14"/>
      <c r="O19743" s="14"/>
      <c r="P19743" s="13"/>
    </row>
    <row r="19744">
      <c r="L19744" s="13"/>
      <c r="M19744" s="14"/>
      <c r="N19744" s="14"/>
      <c r="O19744" s="14"/>
      <c r="P19744" s="13"/>
    </row>
    <row r="19745">
      <c r="L19745" s="13"/>
      <c r="M19745" s="14"/>
      <c r="N19745" s="14"/>
      <c r="O19745" s="14"/>
      <c r="P19745" s="13"/>
    </row>
    <row r="19746">
      <c r="L19746" s="13"/>
      <c r="M19746" s="14"/>
      <c r="N19746" s="14"/>
      <c r="O19746" s="14"/>
      <c r="P19746" s="13"/>
    </row>
    <row r="19747">
      <c r="L19747" s="13"/>
      <c r="M19747" s="14"/>
      <c r="N19747" s="14"/>
      <c r="O19747" s="14"/>
      <c r="P19747" s="13"/>
    </row>
    <row r="19748">
      <c r="L19748" s="13"/>
      <c r="M19748" s="14"/>
      <c r="N19748" s="14"/>
      <c r="O19748" s="14"/>
      <c r="P19748" s="13"/>
    </row>
    <row r="19749">
      <c r="L19749" s="13"/>
      <c r="M19749" s="14"/>
      <c r="N19749" s="14"/>
      <c r="O19749" s="14"/>
      <c r="P19749" s="13"/>
    </row>
    <row r="19750">
      <c r="L19750" s="13"/>
      <c r="M19750" s="14"/>
      <c r="N19750" s="14"/>
      <c r="O19750" s="14"/>
      <c r="P19750" s="13"/>
    </row>
    <row r="19751">
      <c r="L19751" s="13"/>
      <c r="M19751" s="14"/>
      <c r="N19751" s="14"/>
      <c r="O19751" s="14"/>
      <c r="P19751" s="13"/>
    </row>
    <row r="19752">
      <c r="L19752" s="13"/>
      <c r="M19752" s="14"/>
      <c r="N19752" s="14"/>
      <c r="O19752" s="14"/>
      <c r="P19752" s="13"/>
    </row>
    <row r="19753">
      <c r="L19753" s="13"/>
      <c r="M19753" s="14"/>
      <c r="N19753" s="14"/>
      <c r="O19753" s="14"/>
      <c r="P19753" s="13"/>
    </row>
    <row r="19754">
      <c r="L19754" s="13"/>
      <c r="M19754" s="14"/>
      <c r="N19754" s="14"/>
      <c r="O19754" s="14"/>
      <c r="P19754" s="13"/>
    </row>
    <row r="19755">
      <c r="L19755" s="13"/>
      <c r="M19755" s="14"/>
      <c r="N19755" s="14"/>
      <c r="O19755" s="14"/>
      <c r="P19755" s="13"/>
    </row>
    <row r="19756">
      <c r="L19756" s="13"/>
      <c r="M19756" s="14"/>
      <c r="N19756" s="14"/>
      <c r="O19756" s="14"/>
      <c r="P19756" s="13"/>
    </row>
    <row r="19757">
      <c r="L19757" s="13"/>
      <c r="M19757" s="14"/>
      <c r="N19757" s="14"/>
      <c r="O19757" s="14"/>
      <c r="P19757" s="13"/>
    </row>
    <row r="19758">
      <c r="L19758" s="13"/>
      <c r="M19758" s="14"/>
      <c r="N19758" s="14"/>
      <c r="O19758" s="14"/>
      <c r="P19758" s="13"/>
    </row>
    <row r="19759">
      <c r="L19759" s="13"/>
      <c r="M19759" s="14"/>
      <c r="N19759" s="14"/>
      <c r="O19759" s="14"/>
      <c r="P19759" s="13"/>
    </row>
    <row r="19760">
      <c r="L19760" s="13"/>
      <c r="M19760" s="14"/>
      <c r="N19760" s="14"/>
      <c r="O19760" s="14"/>
      <c r="P19760" s="13"/>
    </row>
    <row r="19761">
      <c r="L19761" s="13"/>
      <c r="M19761" s="14"/>
      <c r="N19761" s="14"/>
      <c r="O19761" s="14"/>
      <c r="P19761" s="13"/>
    </row>
    <row r="19762">
      <c r="L19762" s="13"/>
      <c r="M19762" s="14"/>
      <c r="N19762" s="14"/>
      <c r="O19762" s="14"/>
      <c r="P19762" s="13"/>
    </row>
    <row r="19763">
      <c r="L19763" s="13"/>
      <c r="M19763" s="14"/>
      <c r="N19763" s="14"/>
      <c r="O19763" s="14"/>
      <c r="P19763" s="13"/>
    </row>
    <row r="19764">
      <c r="L19764" s="13"/>
      <c r="M19764" s="14"/>
      <c r="N19764" s="14"/>
      <c r="O19764" s="14"/>
      <c r="P19764" s="13"/>
    </row>
    <row r="19765">
      <c r="L19765" s="13"/>
      <c r="M19765" s="14"/>
      <c r="N19765" s="14"/>
      <c r="O19765" s="14"/>
      <c r="P19765" s="13"/>
    </row>
    <row r="19766">
      <c r="L19766" s="13"/>
      <c r="M19766" s="14"/>
      <c r="N19766" s="14"/>
      <c r="O19766" s="14"/>
      <c r="P19766" s="13"/>
    </row>
    <row r="19767">
      <c r="L19767" s="13"/>
      <c r="M19767" s="14"/>
      <c r="N19767" s="14"/>
      <c r="O19767" s="14"/>
      <c r="P19767" s="13"/>
    </row>
    <row r="19768">
      <c r="L19768" s="13"/>
      <c r="M19768" s="14"/>
      <c r="N19768" s="14"/>
      <c r="O19768" s="14"/>
      <c r="P19768" s="13"/>
    </row>
    <row r="19769">
      <c r="L19769" s="13"/>
      <c r="M19769" s="14"/>
      <c r="N19769" s="14"/>
      <c r="O19769" s="14"/>
      <c r="P19769" s="13"/>
    </row>
    <row r="19770">
      <c r="L19770" s="13"/>
      <c r="M19770" s="14"/>
      <c r="N19770" s="14"/>
      <c r="O19770" s="14"/>
      <c r="P19770" s="13"/>
    </row>
    <row r="19771">
      <c r="L19771" s="13"/>
      <c r="M19771" s="14"/>
      <c r="N19771" s="14"/>
      <c r="O19771" s="14"/>
      <c r="P19771" s="13"/>
    </row>
    <row r="19772">
      <c r="L19772" s="13"/>
      <c r="M19772" s="14"/>
      <c r="N19772" s="14"/>
      <c r="O19772" s="14"/>
      <c r="P19772" s="13"/>
    </row>
    <row r="19773">
      <c r="L19773" s="13"/>
      <c r="M19773" s="14"/>
      <c r="N19773" s="14"/>
      <c r="O19773" s="14"/>
      <c r="P19773" s="13"/>
    </row>
    <row r="19774">
      <c r="L19774" s="13"/>
      <c r="M19774" s="14"/>
      <c r="N19774" s="14"/>
      <c r="O19774" s="14"/>
      <c r="P19774" s="13"/>
    </row>
    <row r="19775">
      <c r="L19775" s="13"/>
      <c r="M19775" s="14"/>
      <c r="N19775" s="14"/>
      <c r="O19775" s="14"/>
      <c r="P19775" s="13"/>
    </row>
    <row r="19776">
      <c r="L19776" s="13"/>
      <c r="M19776" s="14"/>
      <c r="N19776" s="14"/>
      <c r="O19776" s="14"/>
      <c r="P19776" s="13"/>
    </row>
    <row r="19777">
      <c r="L19777" s="13"/>
      <c r="M19777" s="14"/>
      <c r="N19777" s="14"/>
      <c r="O19777" s="14"/>
      <c r="P19777" s="13"/>
    </row>
    <row r="19778">
      <c r="L19778" s="13"/>
      <c r="M19778" s="14"/>
      <c r="N19778" s="14"/>
      <c r="O19778" s="14"/>
      <c r="P19778" s="13"/>
    </row>
    <row r="19779">
      <c r="L19779" s="13"/>
      <c r="M19779" s="14"/>
      <c r="N19779" s="14"/>
      <c r="O19779" s="14"/>
      <c r="P19779" s="13"/>
    </row>
    <row r="19780">
      <c r="L19780" s="13"/>
      <c r="M19780" s="14"/>
      <c r="N19780" s="14"/>
      <c r="O19780" s="14"/>
      <c r="P19780" s="13"/>
    </row>
    <row r="19781">
      <c r="L19781" s="13"/>
      <c r="M19781" s="14"/>
      <c r="N19781" s="14"/>
      <c r="O19781" s="14"/>
      <c r="P19781" s="13"/>
    </row>
    <row r="19782">
      <c r="L19782" s="13"/>
      <c r="M19782" s="14"/>
      <c r="N19782" s="14"/>
      <c r="O19782" s="14"/>
      <c r="P19782" s="13"/>
    </row>
    <row r="19783">
      <c r="L19783" s="13"/>
      <c r="M19783" s="14"/>
      <c r="N19783" s="14"/>
      <c r="O19783" s="14"/>
      <c r="P19783" s="13"/>
    </row>
    <row r="19784">
      <c r="L19784" s="13"/>
      <c r="M19784" s="14"/>
      <c r="N19784" s="14"/>
      <c r="O19784" s="14"/>
      <c r="P19784" s="13"/>
    </row>
    <row r="19785">
      <c r="L19785" s="13"/>
      <c r="M19785" s="14"/>
      <c r="N19785" s="14"/>
      <c r="O19785" s="14"/>
      <c r="P19785" s="13"/>
    </row>
    <row r="19786">
      <c r="L19786" s="13"/>
      <c r="M19786" s="14"/>
      <c r="N19786" s="14"/>
      <c r="O19786" s="14"/>
      <c r="P19786" s="13"/>
    </row>
    <row r="19787">
      <c r="L19787" s="13"/>
      <c r="M19787" s="14"/>
      <c r="N19787" s="14"/>
      <c r="O19787" s="14"/>
      <c r="P19787" s="13"/>
    </row>
    <row r="19788">
      <c r="L19788" s="13"/>
      <c r="M19788" s="14"/>
      <c r="N19788" s="14"/>
      <c r="O19788" s="14"/>
      <c r="P19788" s="13"/>
    </row>
    <row r="19789">
      <c r="L19789" s="13"/>
      <c r="M19789" s="14"/>
      <c r="N19789" s="14"/>
      <c r="O19789" s="14"/>
      <c r="P19789" s="13"/>
    </row>
    <row r="19790">
      <c r="L19790" s="13"/>
      <c r="M19790" s="14"/>
      <c r="N19790" s="14"/>
      <c r="O19790" s="14"/>
      <c r="P19790" s="13"/>
    </row>
    <row r="19791">
      <c r="L19791" s="13"/>
      <c r="M19791" s="14"/>
      <c r="N19791" s="14"/>
      <c r="O19791" s="14"/>
      <c r="P19791" s="13"/>
    </row>
    <row r="19792">
      <c r="L19792" s="13"/>
      <c r="M19792" s="14"/>
      <c r="N19792" s="14"/>
      <c r="O19792" s="14"/>
      <c r="P19792" s="13"/>
    </row>
    <row r="19793">
      <c r="L19793" s="13"/>
      <c r="M19793" s="14"/>
      <c r="N19793" s="14"/>
      <c r="O19793" s="14"/>
      <c r="P19793" s="13"/>
    </row>
    <row r="19794">
      <c r="L19794" s="13"/>
      <c r="M19794" s="14"/>
      <c r="N19794" s="14"/>
      <c r="O19794" s="14"/>
      <c r="P19794" s="13"/>
    </row>
    <row r="19795">
      <c r="L19795" s="13"/>
      <c r="M19795" s="14"/>
      <c r="N19795" s="14"/>
      <c r="O19795" s="14"/>
      <c r="P19795" s="13"/>
    </row>
    <row r="19796">
      <c r="L19796" s="13"/>
      <c r="M19796" s="14"/>
      <c r="N19796" s="14"/>
      <c r="O19796" s="14"/>
      <c r="P19796" s="13"/>
    </row>
    <row r="19797">
      <c r="L19797" s="13"/>
      <c r="M19797" s="14"/>
      <c r="N19797" s="14"/>
      <c r="O19797" s="14"/>
      <c r="P19797" s="13"/>
    </row>
    <row r="19798">
      <c r="L19798" s="13"/>
      <c r="M19798" s="14"/>
      <c r="N19798" s="14"/>
      <c r="O19798" s="14"/>
      <c r="P19798" s="13"/>
    </row>
    <row r="19799">
      <c r="L19799" s="13"/>
      <c r="M19799" s="14"/>
      <c r="N19799" s="14"/>
      <c r="O19799" s="14"/>
      <c r="P19799" s="13"/>
    </row>
    <row r="19800">
      <c r="L19800" s="13"/>
      <c r="M19800" s="14"/>
      <c r="N19800" s="14"/>
      <c r="O19800" s="14"/>
      <c r="P19800" s="13"/>
    </row>
    <row r="19801">
      <c r="L19801" s="13"/>
      <c r="M19801" s="14"/>
      <c r="N19801" s="14"/>
      <c r="O19801" s="14"/>
      <c r="P19801" s="13"/>
    </row>
    <row r="19802">
      <c r="L19802" s="13"/>
      <c r="M19802" s="14"/>
      <c r="N19802" s="14"/>
      <c r="O19802" s="14"/>
      <c r="P19802" s="13"/>
    </row>
    <row r="19803">
      <c r="L19803" s="13"/>
      <c r="M19803" s="14"/>
      <c r="N19803" s="14"/>
      <c r="O19803" s="14"/>
      <c r="P19803" s="13"/>
    </row>
    <row r="19804">
      <c r="L19804" s="13"/>
      <c r="M19804" s="14"/>
      <c r="N19804" s="14"/>
      <c r="O19804" s="14"/>
      <c r="P19804" s="13"/>
    </row>
    <row r="19805">
      <c r="L19805" s="13"/>
      <c r="M19805" s="14"/>
      <c r="N19805" s="14"/>
      <c r="O19805" s="14"/>
      <c r="P19805" s="13"/>
    </row>
    <row r="19806">
      <c r="L19806" s="13"/>
      <c r="M19806" s="14"/>
      <c r="N19806" s="14"/>
      <c r="O19806" s="14"/>
      <c r="P19806" s="13"/>
    </row>
    <row r="19807">
      <c r="L19807" s="13"/>
      <c r="M19807" s="14"/>
      <c r="N19807" s="14"/>
      <c r="O19807" s="14"/>
      <c r="P19807" s="13"/>
    </row>
    <row r="19808">
      <c r="L19808" s="13"/>
      <c r="M19808" s="14"/>
      <c r="N19808" s="14"/>
      <c r="O19808" s="14"/>
      <c r="P19808" s="13"/>
    </row>
    <row r="19809">
      <c r="L19809" s="13"/>
      <c r="M19809" s="14"/>
      <c r="N19809" s="14"/>
      <c r="O19809" s="14"/>
      <c r="P19809" s="13"/>
    </row>
    <row r="19810">
      <c r="L19810" s="13"/>
      <c r="M19810" s="14"/>
      <c r="N19810" s="14"/>
      <c r="O19810" s="14"/>
      <c r="P19810" s="13"/>
    </row>
    <row r="19811">
      <c r="L19811" s="13"/>
      <c r="M19811" s="14"/>
      <c r="N19811" s="14"/>
      <c r="O19811" s="14"/>
      <c r="P19811" s="13"/>
    </row>
    <row r="19812">
      <c r="L19812" s="13"/>
      <c r="M19812" s="14"/>
      <c r="N19812" s="14"/>
      <c r="O19812" s="14"/>
      <c r="P19812" s="13"/>
    </row>
    <row r="19813">
      <c r="L19813" s="13"/>
      <c r="M19813" s="14"/>
      <c r="N19813" s="14"/>
      <c r="O19813" s="14"/>
      <c r="P19813" s="13"/>
    </row>
    <row r="19814">
      <c r="L19814" s="13"/>
      <c r="M19814" s="14"/>
      <c r="N19814" s="14"/>
      <c r="O19814" s="14"/>
      <c r="P19814" s="13"/>
    </row>
    <row r="19815">
      <c r="L19815" s="13"/>
      <c r="M19815" s="14"/>
      <c r="N19815" s="14"/>
      <c r="O19815" s="14"/>
      <c r="P19815" s="13"/>
    </row>
    <row r="19816">
      <c r="L19816" s="13"/>
      <c r="M19816" s="14"/>
      <c r="N19816" s="14"/>
      <c r="O19816" s="14"/>
      <c r="P19816" s="13"/>
    </row>
    <row r="19817">
      <c r="L19817" s="13"/>
      <c r="M19817" s="14"/>
      <c r="N19817" s="14"/>
      <c r="O19817" s="14"/>
      <c r="P19817" s="13"/>
    </row>
    <row r="19818">
      <c r="L19818" s="13"/>
      <c r="M19818" s="14"/>
      <c r="N19818" s="14"/>
      <c r="O19818" s="14"/>
      <c r="P19818" s="13"/>
    </row>
    <row r="19819">
      <c r="L19819" s="13"/>
      <c r="M19819" s="14"/>
      <c r="N19819" s="14"/>
      <c r="O19819" s="14"/>
      <c r="P19819" s="13"/>
    </row>
    <row r="19820">
      <c r="L19820" s="13"/>
      <c r="M19820" s="14"/>
      <c r="N19820" s="14"/>
      <c r="O19820" s="14"/>
      <c r="P19820" s="13"/>
    </row>
    <row r="19821">
      <c r="L19821" s="13"/>
      <c r="M19821" s="14"/>
      <c r="N19821" s="14"/>
      <c r="O19821" s="14"/>
      <c r="P19821" s="13"/>
    </row>
    <row r="19822">
      <c r="L19822" s="13"/>
      <c r="M19822" s="14"/>
      <c r="N19822" s="14"/>
      <c r="O19822" s="14"/>
      <c r="P19822" s="13"/>
    </row>
    <row r="19823">
      <c r="L19823" s="13"/>
      <c r="M19823" s="14"/>
      <c r="N19823" s="14"/>
      <c r="O19823" s="14"/>
      <c r="P19823" s="13"/>
    </row>
    <row r="19824">
      <c r="L19824" s="13"/>
      <c r="M19824" s="14"/>
      <c r="N19824" s="14"/>
      <c r="O19824" s="14"/>
      <c r="P19824" s="13"/>
    </row>
    <row r="19825">
      <c r="L19825" s="13"/>
      <c r="M19825" s="14"/>
      <c r="N19825" s="14"/>
      <c r="O19825" s="14"/>
      <c r="P19825" s="13"/>
    </row>
    <row r="19826">
      <c r="L19826" s="13"/>
      <c r="M19826" s="14"/>
      <c r="N19826" s="14"/>
      <c r="O19826" s="14"/>
      <c r="P19826" s="13"/>
    </row>
    <row r="19827">
      <c r="L19827" s="13"/>
      <c r="M19827" s="14"/>
      <c r="N19827" s="14"/>
      <c r="O19827" s="14"/>
      <c r="P19827" s="13"/>
    </row>
    <row r="19828">
      <c r="L19828" s="13"/>
      <c r="M19828" s="14"/>
      <c r="N19828" s="14"/>
      <c r="O19828" s="14"/>
      <c r="P19828" s="13"/>
    </row>
    <row r="19829">
      <c r="L19829" s="13"/>
      <c r="M19829" s="14"/>
      <c r="N19829" s="14"/>
      <c r="O19829" s="14"/>
      <c r="P19829" s="13"/>
    </row>
    <row r="19830">
      <c r="L19830" s="13"/>
      <c r="M19830" s="14"/>
      <c r="N19830" s="14"/>
      <c r="O19830" s="14"/>
      <c r="P19830" s="13"/>
    </row>
    <row r="19831">
      <c r="L19831" s="13"/>
      <c r="M19831" s="14"/>
      <c r="N19831" s="14"/>
      <c r="O19831" s="14"/>
      <c r="P19831" s="13"/>
    </row>
    <row r="19832">
      <c r="L19832" s="13"/>
      <c r="M19832" s="14"/>
      <c r="N19832" s="14"/>
      <c r="O19832" s="14"/>
      <c r="P19832" s="13"/>
    </row>
    <row r="19833">
      <c r="L19833" s="13"/>
      <c r="M19833" s="14"/>
      <c r="N19833" s="14"/>
      <c r="O19833" s="14"/>
      <c r="P19833" s="13"/>
    </row>
    <row r="19834">
      <c r="L19834" s="13"/>
      <c r="M19834" s="14"/>
      <c r="N19834" s="14"/>
      <c r="O19834" s="14"/>
      <c r="P19834" s="13"/>
    </row>
    <row r="19835">
      <c r="L19835" s="13"/>
      <c r="M19835" s="14"/>
      <c r="N19835" s="14"/>
      <c r="O19835" s="14"/>
      <c r="P19835" s="13"/>
    </row>
    <row r="19836">
      <c r="L19836" s="13"/>
      <c r="M19836" s="14"/>
      <c r="N19836" s="14"/>
      <c r="O19836" s="14"/>
      <c r="P19836" s="13"/>
    </row>
    <row r="19837">
      <c r="L19837" s="13"/>
      <c r="M19837" s="14"/>
      <c r="N19837" s="14"/>
      <c r="O19837" s="14"/>
      <c r="P19837" s="13"/>
    </row>
    <row r="19838">
      <c r="L19838" s="13"/>
      <c r="M19838" s="14"/>
      <c r="N19838" s="14"/>
      <c r="O19838" s="14"/>
      <c r="P19838" s="13"/>
    </row>
    <row r="19839">
      <c r="L19839" s="13"/>
      <c r="M19839" s="14"/>
      <c r="N19839" s="14"/>
      <c r="O19839" s="14"/>
      <c r="P19839" s="13"/>
    </row>
    <row r="19840">
      <c r="L19840" s="13"/>
      <c r="M19840" s="14"/>
      <c r="N19840" s="14"/>
      <c r="O19840" s="14"/>
      <c r="P19840" s="13"/>
    </row>
    <row r="19841">
      <c r="L19841" s="13"/>
      <c r="M19841" s="14"/>
      <c r="N19841" s="14"/>
      <c r="O19841" s="14"/>
      <c r="P19841" s="13"/>
    </row>
    <row r="19842">
      <c r="L19842" s="13"/>
      <c r="M19842" s="14"/>
      <c r="N19842" s="14"/>
      <c r="O19842" s="14"/>
      <c r="P19842" s="13"/>
    </row>
    <row r="19843">
      <c r="L19843" s="13"/>
      <c r="M19843" s="14"/>
      <c r="N19843" s="14"/>
      <c r="O19843" s="14"/>
      <c r="P19843" s="13"/>
    </row>
    <row r="19844">
      <c r="L19844" s="13"/>
      <c r="M19844" s="14"/>
      <c r="N19844" s="14"/>
      <c r="O19844" s="14"/>
      <c r="P19844" s="13"/>
    </row>
    <row r="19845">
      <c r="L19845" s="13"/>
      <c r="M19845" s="14"/>
      <c r="N19845" s="14"/>
      <c r="O19845" s="14"/>
      <c r="P19845" s="13"/>
    </row>
    <row r="19846">
      <c r="L19846" s="13"/>
      <c r="M19846" s="14"/>
      <c r="N19846" s="14"/>
      <c r="O19846" s="14"/>
      <c r="P19846" s="13"/>
    </row>
    <row r="19847">
      <c r="L19847" s="13"/>
      <c r="M19847" s="14"/>
      <c r="N19847" s="14"/>
      <c r="O19847" s="14"/>
      <c r="P19847" s="13"/>
    </row>
    <row r="19848">
      <c r="L19848" s="13"/>
      <c r="M19848" s="14"/>
      <c r="N19848" s="14"/>
      <c r="O19848" s="14"/>
      <c r="P19848" s="13"/>
    </row>
    <row r="19849">
      <c r="L19849" s="13"/>
      <c r="M19849" s="14"/>
      <c r="N19849" s="14"/>
      <c r="O19849" s="14"/>
      <c r="P19849" s="13"/>
    </row>
    <row r="19850">
      <c r="L19850" s="13"/>
      <c r="M19850" s="14"/>
      <c r="N19850" s="14"/>
      <c r="O19850" s="14"/>
      <c r="P19850" s="13"/>
    </row>
    <row r="19851">
      <c r="L19851" s="13"/>
      <c r="M19851" s="14"/>
      <c r="N19851" s="14"/>
      <c r="O19851" s="14"/>
      <c r="P19851" s="13"/>
    </row>
    <row r="19852">
      <c r="L19852" s="13"/>
      <c r="M19852" s="14"/>
      <c r="N19852" s="14"/>
      <c r="O19852" s="14"/>
      <c r="P19852" s="13"/>
    </row>
    <row r="19853">
      <c r="L19853" s="13"/>
      <c r="M19853" s="14"/>
      <c r="N19853" s="14"/>
      <c r="O19853" s="14"/>
      <c r="P19853" s="13"/>
    </row>
    <row r="19854">
      <c r="L19854" s="13"/>
      <c r="M19854" s="14"/>
      <c r="N19854" s="14"/>
      <c r="O19854" s="14"/>
      <c r="P19854" s="13"/>
    </row>
    <row r="19855">
      <c r="L19855" s="13"/>
      <c r="M19855" s="14"/>
      <c r="N19855" s="14"/>
      <c r="O19855" s="14"/>
      <c r="P19855" s="13"/>
    </row>
    <row r="19856">
      <c r="L19856" s="13"/>
      <c r="M19856" s="14"/>
      <c r="N19856" s="14"/>
      <c r="O19856" s="14"/>
      <c r="P19856" s="13"/>
    </row>
    <row r="19857">
      <c r="L19857" s="13"/>
      <c r="M19857" s="14"/>
      <c r="N19857" s="14"/>
      <c r="O19857" s="14"/>
      <c r="P19857" s="13"/>
    </row>
    <row r="19858">
      <c r="L19858" s="13"/>
      <c r="M19858" s="14"/>
      <c r="N19858" s="14"/>
      <c r="O19858" s="14"/>
      <c r="P19858" s="13"/>
    </row>
    <row r="19859">
      <c r="L19859" s="13"/>
      <c r="M19859" s="14"/>
      <c r="N19859" s="14"/>
      <c r="O19859" s="14"/>
      <c r="P19859" s="13"/>
    </row>
    <row r="19860">
      <c r="L19860" s="13"/>
      <c r="M19860" s="14"/>
      <c r="N19860" s="14"/>
      <c r="O19860" s="14"/>
      <c r="P19860" s="13"/>
    </row>
    <row r="19861">
      <c r="L19861" s="13"/>
      <c r="M19861" s="14"/>
      <c r="N19861" s="14"/>
      <c r="O19861" s="14"/>
      <c r="P19861" s="13"/>
    </row>
    <row r="19862">
      <c r="L19862" s="13"/>
      <c r="M19862" s="14"/>
      <c r="N19862" s="14"/>
      <c r="O19862" s="14"/>
      <c r="P19862" s="13"/>
    </row>
    <row r="19863">
      <c r="L19863" s="13"/>
      <c r="M19863" s="14"/>
      <c r="N19863" s="14"/>
      <c r="O19863" s="14"/>
      <c r="P19863" s="13"/>
    </row>
    <row r="19864">
      <c r="L19864" s="13"/>
      <c r="M19864" s="14"/>
      <c r="N19864" s="14"/>
      <c r="O19864" s="14"/>
      <c r="P19864" s="13"/>
    </row>
    <row r="19865">
      <c r="L19865" s="13"/>
      <c r="M19865" s="14"/>
      <c r="N19865" s="14"/>
      <c r="O19865" s="14"/>
      <c r="P19865" s="13"/>
    </row>
    <row r="19866">
      <c r="L19866" s="13"/>
      <c r="M19866" s="14"/>
      <c r="N19866" s="14"/>
      <c r="O19866" s="14"/>
      <c r="P19866" s="13"/>
    </row>
    <row r="19867">
      <c r="L19867" s="13"/>
      <c r="M19867" s="14"/>
      <c r="N19867" s="14"/>
      <c r="O19867" s="14"/>
      <c r="P19867" s="13"/>
    </row>
    <row r="19868">
      <c r="L19868" s="13"/>
      <c r="M19868" s="14"/>
      <c r="N19868" s="14"/>
      <c r="O19868" s="14"/>
      <c r="P19868" s="13"/>
    </row>
    <row r="19869">
      <c r="L19869" s="13"/>
      <c r="M19869" s="14"/>
      <c r="N19869" s="14"/>
      <c r="O19869" s="14"/>
      <c r="P19869" s="13"/>
    </row>
    <row r="19870">
      <c r="L19870" s="13"/>
      <c r="M19870" s="14"/>
      <c r="N19870" s="14"/>
      <c r="O19870" s="14"/>
      <c r="P19870" s="13"/>
    </row>
    <row r="19871">
      <c r="L19871" s="13"/>
      <c r="M19871" s="14"/>
      <c r="N19871" s="14"/>
      <c r="O19871" s="14"/>
      <c r="P19871" s="13"/>
    </row>
    <row r="19872">
      <c r="L19872" s="13"/>
      <c r="M19872" s="14"/>
      <c r="N19872" s="14"/>
      <c r="O19872" s="14"/>
      <c r="P19872" s="13"/>
    </row>
    <row r="19873">
      <c r="L19873" s="13"/>
      <c r="M19873" s="14"/>
      <c r="N19873" s="14"/>
      <c r="O19873" s="14"/>
      <c r="P19873" s="13"/>
    </row>
    <row r="19874">
      <c r="L19874" s="13"/>
      <c r="M19874" s="14"/>
      <c r="N19874" s="14"/>
      <c r="O19874" s="14"/>
      <c r="P19874" s="13"/>
    </row>
    <row r="19875">
      <c r="L19875" s="13"/>
      <c r="M19875" s="14"/>
      <c r="N19875" s="14"/>
      <c r="O19875" s="14"/>
      <c r="P19875" s="13"/>
    </row>
    <row r="19876">
      <c r="L19876" s="13"/>
      <c r="M19876" s="14"/>
      <c r="N19876" s="14"/>
      <c r="O19876" s="14"/>
      <c r="P19876" s="13"/>
    </row>
    <row r="19877">
      <c r="L19877" s="13"/>
      <c r="M19877" s="14"/>
      <c r="N19877" s="14"/>
      <c r="O19877" s="14"/>
      <c r="P19877" s="13"/>
    </row>
    <row r="19878">
      <c r="L19878" s="13"/>
      <c r="M19878" s="14"/>
      <c r="N19878" s="14"/>
      <c r="O19878" s="14"/>
      <c r="P19878" s="13"/>
    </row>
    <row r="19879">
      <c r="L19879" s="13"/>
      <c r="M19879" s="14"/>
      <c r="N19879" s="14"/>
      <c r="O19879" s="14"/>
      <c r="P19879" s="13"/>
    </row>
    <row r="19880">
      <c r="L19880" s="13"/>
      <c r="M19880" s="14"/>
      <c r="N19880" s="14"/>
      <c r="O19880" s="14"/>
      <c r="P19880" s="13"/>
    </row>
    <row r="19881">
      <c r="L19881" s="13"/>
      <c r="M19881" s="14"/>
      <c r="N19881" s="14"/>
      <c r="O19881" s="14"/>
      <c r="P19881" s="13"/>
    </row>
    <row r="19882">
      <c r="L19882" s="13"/>
      <c r="M19882" s="14"/>
      <c r="N19882" s="14"/>
      <c r="O19882" s="14"/>
      <c r="P19882" s="13"/>
    </row>
    <row r="19883">
      <c r="L19883" s="13"/>
      <c r="M19883" s="14"/>
      <c r="N19883" s="14"/>
      <c r="O19883" s="14"/>
      <c r="P19883" s="13"/>
    </row>
    <row r="19884">
      <c r="L19884" s="13"/>
      <c r="M19884" s="14"/>
      <c r="N19884" s="14"/>
      <c r="O19884" s="14"/>
      <c r="P19884" s="13"/>
    </row>
    <row r="19885">
      <c r="L19885" s="13"/>
      <c r="M19885" s="14"/>
      <c r="N19885" s="14"/>
      <c r="O19885" s="14"/>
      <c r="P19885" s="13"/>
    </row>
    <row r="19886">
      <c r="L19886" s="13"/>
      <c r="M19886" s="14"/>
      <c r="N19886" s="14"/>
      <c r="O19886" s="14"/>
      <c r="P19886" s="13"/>
    </row>
    <row r="19887">
      <c r="L19887" s="13"/>
      <c r="M19887" s="14"/>
      <c r="N19887" s="14"/>
      <c r="O19887" s="14"/>
      <c r="P19887" s="13"/>
    </row>
    <row r="19888">
      <c r="L19888" s="13"/>
      <c r="M19888" s="14"/>
      <c r="N19888" s="14"/>
      <c r="O19888" s="14"/>
      <c r="P19888" s="13"/>
    </row>
    <row r="19889">
      <c r="L19889" s="13"/>
      <c r="M19889" s="14"/>
      <c r="N19889" s="14"/>
      <c r="O19889" s="14"/>
      <c r="P19889" s="13"/>
    </row>
    <row r="19890">
      <c r="L19890" s="13"/>
      <c r="M19890" s="14"/>
      <c r="N19890" s="14"/>
      <c r="O19890" s="14"/>
      <c r="P19890" s="13"/>
    </row>
    <row r="19891">
      <c r="L19891" s="13"/>
      <c r="M19891" s="14"/>
      <c r="N19891" s="14"/>
      <c r="O19891" s="14"/>
      <c r="P19891" s="13"/>
    </row>
    <row r="19892">
      <c r="L19892" s="13"/>
      <c r="M19892" s="14"/>
      <c r="N19892" s="14"/>
      <c r="O19892" s="14"/>
      <c r="P19892" s="13"/>
    </row>
    <row r="19893">
      <c r="L19893" s="13"/>
      <c r="M19893" s="14"/>
      <c r="N19893" s="14"/>
      <c r="O19893" s="14"/>
      <c r="P19893" s="13"/>
    </row>
    <row r="19894">
      <c r="L19894" s="13"/>
      <c r="M19894" s="14"/>
      <c r="N19894" s="14"/>
      <c r="O19894" s="14"/>
      <c r="P19894" s="13"/>
    </row>
    <row r="19895">
      <c r="L19895" s="13"/>
      <c r="M19895" s="14"/>
      <c r="N19895" s="14"/>
      <c r="O19895" s="14"/>
      <c r="P19895" s="13"/>
    </row>
    <row r="19896">
      <c r="L19896" s="13"/>
      <c r="M19896" s="14"/>
      <c r="N19896" s="14"/>
      <c r="O19896" s="14"/>
      <c r="P19896" s="13"/>
    </row>
    <row r="19897">
      <c r="L19897" s="13"/>
      <c r="M19897" s="14"/>
      <c r="N19897" s="14"/>
      <c r="O19897" s="14"/>
      <c r="P19897" s="13"/>
    </row>
    <row r="19898">
      <c r="L19898" s="13"/>
      <c r="M19898" s="14"/>
      <c r="N19898" s="14"/>
      <c r="O19898" s="14"/>
      <c r="P19898" s="13"/>
    </row>
    <row r="19899">
      <c r="L19899" s="13"/>
      <c r="M19899" s="14"/>
      <c r="N19899" s="14"/>
      <c r="O19899" s="14"/>
      <c r="P19899" s="13"/>
    </row>
    <row r="19900">
      <c r="L19900" s="13"/>
      <c r="M19900" s="14"/>
      <c r="N19900" s="14"/>
      <c r="O19900" s="14"/>
      <c r="P19900" s="13"/>
    </row>
    <row r="19901">
      <c r="L19901" s="13"/>
      <c r="M19901" s="14"/>
      <c r="N19901" s="14"/>
      <c r="O19901" s="14"/>
      <c r="P19901" s="13"/>
    </row>
    <row r="19902">
      <c r="L19902" s="13"/>
      <c r="M19902" s="14"/>
      <c r="N19902" s="14"/>
      <c r="O19902" s="14"/>
      <c r="P19902" s="13"/>
    </row>
    <row r="19903">
      <c r="L19903" s="13"/>
      <c r="M19903" s="14"/>
      <c r="N19903" s="14"/>
      <c r="O19903" s="14"/>
      <c r="P19903" s="13"/>
    </row>
    <row r="19904">
      <c r="L19904" s="13"/>
      <c r="M19904" s="14"/>
      <c r="N19904" s="14"/>
      <c r="O19904" s="14"/>
      <c r="P19904" s="13"/>
    </row>
    <row r="19905">
      <c r="L19905" s="13"/>
      <c r="M19905" s="14"/>
      <c r="N19905" s="14"/>
      <c r="O19905" s="14"/>
      <c r="P19905" s="13"/>
    </row>
    <row r="19906">
      <c r="L19906" s="13"/>
      <c r="M19906" s="14"/>
      <c r="N19906" s="14"/>
      <c r="O19906" s="14"/>
      <c r="P19906" s="13"/>
    </row>
    <row r="19907">
      <c r="L19907" s="13"/>
      <c r="M19907" s="14"/>
      <c r="N19907" s="14"/>
      <c r="O19907" s="14"/>
      <c r="P19907" s="13"/>
    </row>
    <row r="19908">
      <c r="L19908" s="13"/>
      <c r="M19908" s="14"/>
      <c r="N19908" s="14"/>
      <c r="O19908" s="14"/>
      <c r="P19908" s="13"/>
    </row>
    <row r="19909">
      <c r="L19909" s="13"/>
      <c r="M19909" s="14"/>
      <c r="N19909" s="14"/>
      <c r="O19909" s="14"/>
      <c r="P19909" s="13"/>
    </row>
    <row r="19910">
      <c r="L19910" s="13"/>
      <c r="M19910" s="14"/>
      <c r="N19910" s="14"/>
      <c r="O19910" s="14"/>
      <c r="P19910" s="13"/>
    </row>
    <row r="19911">
      <c r="L19911" s="13"/>
      <c r="M19911" s="14"/>
      <c r="N19911" s="14"/>
      <c r="O19911" s="14"/>
      <c r="P19911" s="13"/>
    </row>
    <row r="19912">
      <c r="L19912" s="13"/>
      <c r="M19912" s="14"/>
      <c r="N19912" s="14"/>
      <c r="O19912" s="14"/>
      <c r="P19912" s="13"/>
    </row>
    <row r="19913">
      <c r="L19913" s="13"/>
      <c r="M19913" s="14"/>
      <c r="N19913" s="14"/>
      <c r="O19913" s="14"/>
      <c r="P19913" s="13"/>
    </row>
    <row r="19914">
      <c r="L19914" s="13"/>
      <c r="M19914" s="14"/>
      <c r="N19914" s="14"/>
      <c r="O19914" s="14"/>
      <c r="P19914" s="13"/>
    </row>
    <row r="19915">
      <c r="L19915" s="13"/>
      <c r="M19915" s="14"/>
      <c r="N19915" s="14"/>
      <c r="O19915" s="14"/>
      <c r="P19915" s="13"/>
    </row>
    <row r="19916">
      <c r="L19916" s="13"/>
      <c r="M19916" s="14"/>
      <c r="N19916" s="14"/>
      <c r="O19916" s="14"/>
      <c r="P19916" s="13"/>
    </row>
    <row r="19917">
      <c r="L19917" s="13"/>
      <c r="M19917" s="14"/>
      <c r="N19917" s="14"/>
      <c r="O19917" s="14"/>
      <c r="P19917" s="13"/>
    </row>
    <row r="19918">
      <c r="L19918" s="13"/>
      <c r="M19918" s="14"/>
      <c r="N19918" s="14"/>
      <c r="O19918" s="14"/>
      <c r="P19918" s="13"/>
    </row>
    <row r="19919">
      <c r="L19919" s="13"/>
      <c r="M19919" s="14"/>
      <c r="N19919" s="14"/>
      <c r="O19919" s="14"/>
      <c r="P19919" s="13"/>
    </row>
    <row r="19920">
      <c r="L19920" s="13"/>
      <c r="M19920" s="14"/>
      <c r="N19920" s="14"/>
      <c r="O19920" s="14"/>
      <c r="P19920" s="13"/>
    </row>
    <row r="19921">
      <c r="L19921" s="13"/>
      <c r="M19921" s="14"/>
      <c r="N19921" s="14"/>
      <c r="O19921" s="14"/>
      <c r="P19921" s="13"/>
    </row>
    <row r="19922">
      <c r="L19922" s="13"/>
      <c r="M19922" s="14"/>
      <c r="N19922" s="14"/>
      <c r="O19922" s="14"/>
      <c r="P19922" s="13"/>
    </row>
    <row r="19923">
      <c r="L19923" s="13"/>
      <c r="M19923" s="14"/>
      <c r="N19923" s="14"/>
      <c r="O19923" s="14"/>
      <c r="P19923" s="13"/>
    </row>
    <row r="19924">
      <c r="L19924" s="13"/>
      <c r="M19924" s="14"/>
      <c r="N19924" s="14"/>
      <c r="O19924" s="14"/>
      <c r="P19924" s="13"/>
    </row>
    <row r="19925">
      <c r="L19925" s="13"/>
      <c r="M19925" s="14"/>
      <c r="N19925" s="14"/>
      <c r="O19925" s="14"/>
      <c r="P19925" s="13"/>
    </row>
    <row r="19926">
      <c r="L19926" s="13"/>
      <c r="M19926" s="14"/>
      <c r="N19926" s="14"/>
      <c r="O19926" s="14"/>
      <c r="P19926" s="13"/>
    </row>
    <row r="19927">
      <c r="L19927" s="13"/>
      <c r="M19927" s="14"/>
      <c r="N19927" s="14"/>
      <c r="O19927" s="14"/>
      <c r="P19927" s="13"/>
    </row>
    <row r="19928">
      <c r="L19928" s="13"/>
      <c r="M19928" s="14"/>
      <c r="N19928" s="14"/>
      <c r="O19928" s="14"/>
      <c r="P19928" s="13"/>
    </row>
    <row r="19929">
      <c r="L19929" s="13"/>
      <c r="M19929" s="14"/>
      <c r="N19929" s="14"/>
      <c r="O19929" s="14"/>
      <c r="P19929" s="13"/>
    </row>
    <row r="19930">
      <c r="L19930" s="13"/>
      <c r="M19930" s="14"/>
      <c r="N19930" s="14"/>
      <c r="O19930" s="14"/>
      <c r="P19930" s="13"/>
    </row>
    <row r="19931">
      <c r="L19931" s="13"/>
      <c r="M19931" s="14"/>
      <c r="N19931" s="14"/>
      <c r="O19931" s="14"/>
      <c r="P19931" s="13"/>
    </row>
    <row r="19932">
      <c r="L19932" s="13"/>
      <c r="M19932" s="14"/>
      <c r="N19932" s="14"/>
      <c r="O19932" s="14"/>
      <c r="P19932" s="13"/>
    </row>
    <row r="19933">
      <c r="L19933" s="13"/>
      <c r="M19933" s="14"/>
      <c r="N19933" s="14"/>
      <c r="O19933" s="14"/>
      <c r="P19933" s="13"/>
    </row>
    <row r="19934">
      <c r="L19934" s="13"/>
      <c r="M19934" s="14"/>
      <c r="N19934" s="14"/>
      <c r="O19934" s="14"/>
      <c r="P19934" s="13"/>
    </row>
    <row r="19935">
      <c r="L19935" s="13"/>
      <c r="M19935" s="14"/>
      <c r="N19935" s="14"/>
      <c r="O19935" s="14"/>
      <c r="P19935" s="13"/>
    </row>
    <row r="19936">
      <c r="L19936" s="13"/>
      <c r="M19936" s="14"/>
      <c r="N19936" s="14"/>
      <c r="O19936" s="14"/>
      <c r="P19936" s="13"/>
    </row>
    <row r="19937">
      <c r="L19937" s="13"/>
      <c r="M19937" s="14"/>
      <c r="N19937" s="14"/>
      <c r="O19937" s="14"/>
      <c r="P19937" s="13"/>
    </row>
    <row r="19938">
      <c r="L19938" s="13"/>
      <c r="M19938" s="14"/>
      <c r="N19938" s="14"/>
      <c r="O19938" s="14"/>
      <c r="P19938" s="13"/>
    </row>
    <row r="19939">
      <c r="L19939" s="13"/>
      <c r="M19939" s="14"/>
      <c r="N19939" s="14"/>
      <c r="O19939" s="14"/>
      <c r="P19939" s="13"/>
    </row>
    <row r="19940">
      <c r="L19940" s="13"/>
      <c r="M19940" s="14"/>
      <c r="N19940" s="14"/>
      <c r="O19940" s="14"/>
      <c r="P19940" s="13"/>
    </row>
    <row r="19941">
      <c r="L19941" s="13"/>
      <c r="M19941" s="14"/>
      <c r="N19941" s="14"/>
      <c r="O19941" s="14"/>
      <c r="P19941" s="13"/>
    </row>
    <row r="19942">
      <c r="L19942" s="13"/>
      <c r="M19942" s="14"/>
      <c r="N19942" s="14"/>
      <c r="O19942" s="14"/>
      <c r="P19942" s="13"/>
    </row>
    <row r="19943">
      <c r="L19943" s="13"/>
      <c r="M19943" s="14"/>
      <c r="N19943" s="14"/>
      <c r="O19943" s="14"/>
      <c r="P19943" s="13"/>
    </row>
    <row r="19944">
      <c r="L19944" s="13"/>
      <c r="M19944" s="14"/>
      <c r="N19944" s="14"/>
      <c r="O19944" s="14"/>
      <c r="P19944" s="13"/>
    </row>
    <row r="19945">
      <c r="L19945" s="13"/>
      <c r="M19945" s="14"/>
      <c r="N19945" s="14"/>
      <c r="O19945" s="14"/>
      <c r="P19945" s="13"/>
    </row>
    <row r="19946">
      <c r="L19946" s="13"/>
      <c r="M19946" s="14"/>
      <c r="N19946" s="14"/>
      <c r="O19946" s="14"/>
      <c r="P19946" s="13"/>
    </row>
    <row r="19947">
      <c r="L19947" s="13"/>
      <c r="M19947" s="14"/>
      <c r="N19947" s="14"/>
      <c r="O19947" s="14"/>
      <c r="P19947" s="13"/>
    </row>
    <row r="19948">
      <c r="L19948" s="13"/>
      <c r="M19948" s="14"/>
      <c r="N19948" s="14"/>
      <c r="O19948" s="14"/>
      <c r="P19948" s="13"/>
    </row>
    <row r="19949">
      <c r="L19949" s="13"/>
      <c r="M19949" s="14"/>
      <c r="N19949" s="14"/>
      <c r="O19949" s="14"/>
      <c r="P19949" s="13"/>
    </row>
    <row r="19950">
      <c r="L19950" s="13"/>
      <c r="M19950" s="14"/>
      <c r="N19950" s="14"/>
      <c r="O19950" s="14"/>
      <c r="P19950" s="13"/>
    </row>
    <row r="19951">
      <c r="L19951" s="13"/>
      <c r="M19951" s="14"/>
      <c r="N19951" s="14"/>
      <c r="O19951" s="14"/>
      <c r="P19951" s="13"/>
    </row>
    <row r="19952">
      <c r="L19952" s="13"/>
      <c r="M19952" s="14"/>
      <c r="N19952" s="14"/>
      <c r="O19952" s="14"/>
      <c r="P19952" s="13"/>
    </row>
    <row r="19953">
      <c r="L19953" s="13"/>
      <c r="M19953" s="14"/>
      <c r="N19953" s="14"/>
      <c r="O19953" s="14"/>
      <c r="P19953" s="13"/>
    </row>
    <row r="19954">
      <c r="L19954" s="13"/>
      <c r="M19954" s="14"/>
      <c r="N19954" s="14"/>
      <c r="O19954" s="14"/>
      <c r="P19954" s="13"/>
    </row>
    <row r="19955">
      <c r="L19955" s="13"/>
      <c r="M19955" s="14"/>
      <c r="N19955" s="14"/>
      <c r="O19955" s="14"/>
      <c r="P19955" s="13"/>
    </row>
    <row r="19956">
      <c r="L19956" s="13"/>
      <c r="M19956" s="14"/>
      <c r="N19956" s="14"/>
      <c r="O19956" s="14"/>
      <c r="P19956" s="13"/>
    </row>
    <row r="19957">
      <c r="L19957" s="13"/>
      <c r="M19957" s="14"/>
      <c r="N19957" s="14"/>
      <c r="O19957" s="14"/>
      <c r="P19957" s="13"/>
    </row>
    <row r="19958">
      <c r="L19958" s="13"/>
      <c r="M19958" s="14"/>
      <c r="N19958" s="14"/>
      <c r="O19958" s="14"/>
      <c r="P19958" s="13"/>
    </row>
    <row r="19959">
      <c r="L19959" s="13"/>
      <c r="M19959" s="14"/>
      <c r="N19959" s="14"/>
      <c r="O19959" s="14"/>
      <c r="P19959" s="13"/>
    </row>
    <row r="19960">
      <c r="L19960" s="13"/>
      <c r="M19960" s="14"/>
      <c r="N19960" s="14"/>
      <c r="O19960" s="14"/>
      <c r="P19960" s="13"/>
    </row>
    <row r="19961">
      <c r="L19961" s="13"/>
      <c r="M19961" s="14"/>
      <c r="N19961" s="14"/>
      <c r="O19961" s="14"/>
      <c r="P19961" s="13"/>
    </row>
    <row r="19962">
      <c r="L19962" s="13"/>
      <c r="M19962" s="14"/>
      <c r="N19962" s="14"/>
      <c r="O19962" s="14"/>
      <c r="P19962" s="13"/>
    </row>
    <row r="19963">
      <c r="L19963" s="13"/>
      <c r="M19963" s="14"/>
      <c r="N19963" s="14"/>
      <c r="O19963" s="14"/>
      <c r="P19963" s="13"/>
    </row>
    <row r="19964">
      <c r="L19964" s="13"/>
      <c r="M19964" s="14"/>
      <c r="N19964" s="14"/>
      <c r="O19964" s="14"/>
      <c r="P19964" s="13"/>
    </row>
    <row r="19965">
      <c r="L19965" s="13"/>
      <c r="M19965" s="14"/>
      <c r="N19965" s="14"/>
      <c r="O19965" s="14"/>
      <c r="P19965" s="13"/>
    </row>
    <row r="19966">
      <c r="L19966" s="13"/>
      <c r="M19966" s="14"/>
      <c r="N19966" s="14"/>
      <c r="O19966" s="14"/>
      <c r="P19966" s="13"/>
    </row>
    <row r="19967">
      <c r="L19967" s="13"/>
      <c r="M19967" s="14"/>
      <c r="N19967" s="14"/>
      <c r="O19967" s="14"/>
      <c r="P19967" s="13"/>
    </row>
    <row r="19968">
      <c r="L19968" s="13"/>
      <c r="M19968" s="14"/>
      <c r="N19968" s="14"/>
      <c r="O19968" s="14"/>
      <c r="P19968" s="13"/>
    </row>
    <row r="19969">
      <c r="L19969" s="13"/>
      <c r="M19969" s="14"/>
      <c r="N19969" s="14"/>
      <c r="O19969" s="14"/>
      <c r="P19969" s="13"/>
    </row>
    <row r="19970">
      <c r="L19970" s="13"/>
      <c r="M19970" s="14"/>
      <c r="N19970" s="14"/>
      <c r="O19970" s="14"/>
      <c r="P19970" s="13"/>
    </row>
    <row r="19971">
      <c r="L19971" s="13"/>
      <c r="M19971" s="14"/>
      <c r="N19971" s="14"/>
      <c r="O19971" s="14"/>
      <c r="P19971" s="13"/>
    </row>
    <row r="19972">
      <c r="L19972" s="13"/>
      <c r="M19972" s="14"/>
      <c r="N19972" s="14"/>
      <c r="O19972" s="14"/>
      <c r="P19972" s="13"/>
    </row>
    <row r="19973">
      <c r="L19973" s="13"/>
      <c r="M19973" s="14"/>
      <c r="N19973" s="14"/>
      <c r="O19973" s="14"/>
      <c r="P19973" s="13"/>
    </row>
    <row r="19974">
      <c r="L19974" s="13"/>
      <c r="M19974" s="14"/>
      <c r="N19974" s="14"/>
      <c r="O19974" s="14"/>
      <c r="P19974" s="13"/>
    </row>
    <row r="19975">
      <c r="L19975" s="13"/>
      <c r="M19975" s="14"/>
      <c r="N19975" s="14"/>
      <c r="O19975" s="14"/>
      <c r="P19975" s="13"/>
    </row>
    <row r="19976">
      <c r="L19976" s="13"/>
      <c r="M19976" s="14"/>
      <c r="N19976" s="14"/>
      <c r="O19976" s="14"/>
      <c r="P19976" s="13"/>
    </row>
    <row r="19977">
      <c r="L19977" s="13"/>
      <c r="M19977" s="14"/>
      <c r="N19977" s="14"/>
      <c r="O19977" s="14"/>
      <c r="P19977" s="13"/>
    </row>
    <row r="19978">
      <c r="L19978" s="13"/>
      <c r="M19978" s="14"/>
      <c r="N19978" s="14"/>
      <c r="O19978" s="14"/>
      <c r="P19978" s="13"/>
    </row>
    <row r="19979">
      <c r="L19979" s="13"/>
      <c r="M19979" s="14"/>
      <c r="N19979" s="14"/>
      <c r="O19979" s="14"/>
      <c r="P19979" s="13"/>
    </row>
    <row r="19980">
      <c r="L19980" s="13"/>
      <c r="M19980" s="14"/>
      <c r="N19980" s="14"/>
      <c r="O19980" s="14"/>
      <c r="P19980" s="13"/>
    </row>
    <row r="19981">
      <c r="L19981" s="13"/>
      <c r="M19981" s="14"/>
      <c r="N19981" s="14"/>
      <c r="O19981" s="14"/>
      <c r="P19981" s="13"/>
    </row>
    <row r="19982">
      <c r="L19982" s="13"/>
      <c r="M19982" s="14"/>
      <c r="N19982" s="14"/>
      <c r="O19982" s="14"/>
      <c r="P19982" s="13"/>
    </row>
    <row r="19983">
      <c r="L19983" s="13"/>
      <c r="M19983" s="14"/>
      <c r="N19983" s="14"/>
      <c r="O19983" s="14"/>
      <c r="P19983" s="13"/>
    </row>
    <row r="19984">
      <c r="L19984" s="13"/>
      <c r="M19984" s="14"/>
      <c r="N19984" s="14"/>
      <c r="O19984" s="14"/>
      <c r="P19984" s="13"/>
    </row>
    <row r="19985">
      <c r="L19985" s="13"/>
      <c r="M19985" s="14"/>
      <c r="N19985" s="14"/>
      <c r="O19985" s="14"/>
      <c r="P19985" s="13"/>
    </row>
    <row r="19986">
      <c r="L19986" s="13"/>
      <c r="M19986" s="14"/>
      <c r="N19986" s="14"/>
      <c r="O19986" s="14"/>
      <c r="P19986" s="13"/>
    </row>
    <row r="19987">
      <c r="L19987" s="13"/>
      <c r="M19987" s="14"/>
      <c r="N19987" s="14"/>
      <c r="O19987" s="14"/>
      <c r="P19987" s="13"/>
    </row>
    <row r="19988">
      <c r="L19988" s="13"/>
      <c r="M19988" s="14"/>
      <c r="N19988" s="14"/>
      <c r="O19988" s="14"/>
      <c r="P19988" s="13"/>
    </row>
    <row r="19989">
      <c r="L19989" s="13"/>
      <c r="M19989" s="14"/>
      <c r="N19989" s="14"/>
      <c r="O19989" s="14"/>
      <c r="P19989" s="13"/>
    </row>
    <row r="19990">
      <c r="L19990" s="13"/>
      <c r="M19990" s="14"/>
      <c r="N19990" s="14"/>
      <c r="O19990" s="14"/>
      <c r="P19990" s="13"/>
    </row>
    <row r="19991">
      <c r="L19991" s="13"/>
      <c r="M19991" s="14"/>
      <c r="N19991" s="14"/>
      <c r="O19991" s="14"/>
      <c r="P19991" s="13"/>
    </row>
    <row r="19992">
      <c r="L19992" s="13"/>
      <c r="M19992" s="14"/>
      <c r="N19992" s="14"/>
      <c r="O19992" s="14"/>
      <c r="P19992" s="13"/>
    </row>
    <row r="19993">
      <c r="L19993" s="13"/>
      <c r="M19993" s="14"/>
      <c r="N19993" s="14"/>
      <c r="O19993" s="14"/>
      <c r="P19993" s="13"/>
    </row>
    <row r="19994">
      <c r="L19994" s="13"/>
      <c r="M19994" s="14"/>
      <c r="N19994" s="14"/>
      <c r="O19994" s="14"/>
      <c r="P19994" s="13"/>
    </row>
    <row r="19995">
      <c r="L19995" s="13"/>
      <c r="M19995" s="14"/>
      <c r="N19995" s="14"/>
      <c r="O19995" s="14"/>
      <c r="P19995" s="13"/>
    </row>
    <row r="19996">
      <c r="L19996" s="13"/>
      <c r="M19996" s="14"/>
      <c r="N19996" s="14"/>
      <c r="O19996" s="14"/>
      <c r="P19996" s="13"/>
    </row>
    <row r="19997">
      <c r="L19997" s="13"/>
      <c r="M19997" s="14"/>
      <c r="N19997" s="14"/>
      <c r="O19997" s="14"/>
      <c r="P19997" s="13"/>
    </row>
    <row r="19998">
      <c r="L19998" s="13"/>
      <c r="M19998" s="14"/>
      <c r="N19998" s="14"/>
      <c r="O19998" s="14"/>
      <c r="P19998" s="13"/>
    </row>
    <row r="19999">
      <c r="L19999" s="13"/>
      <c r="M19999" s="14"/>
      <c r="N19999" s="14"/>
      <c r="O19999" s="14"/>
      <c r="P19999" s="13"/>
    </row>
    <row r="20000">
      <c r="L20000" s="13"/>
      <c r="M20000" s="14"/>
      <c r="N20000" s="14"/>
      <c r="O20000" s="14"/>
      <c r="P20000" s="13"/>
    </row>
    <row r="20001">
      <c r="L20001" s="13"/>
      <c r="M20001" s="14"/>
      <c r="N20001" s="14"/>
      <c r="O20001" s="14"/>
      <c r="P20001" s="13"/>
    </row>
    <row r="20002">
      <c r="L20002" s="13"/>
      <c r="M20002" s="14"/>
      <c r="N20002" s="14"/>
      <c r="O20002" s="14"/>
      <c r="P20002" s="13"/>
    </row>
    <row r="20003">
      <c r="L20003" s="13"/>
      <c r="M20003" s="14"/>
      <c r="N20003" s="14"/>
      <c r="O20003" s="14"/>
      <c r="P20003" s="13"/>
    </row>
    <row r="20004">
      <c r="L20004" s="13"/>
      <c r="M20004" s="14"/>
      <c r="N20004" s="14"/>
      <c r="O20004" s="14"/>
      <c r="P20004" s="13"/>
    </row>
    <row r="20005">
      <c r="L20005" s="13"/>
      <c r="M20005" s="14"/>
      <c r="N20005" s="14"/>
      <c r="O20005" s="14"/>
      <c r="P20005" s="13"/>
    </row>
    <row r="20006">
      <c r="L20006" s="13"/>
      <c r="M20006" s="14"/>
      <c r="N20006" s="14"/>
      <c r="O20006" s="14"/>
      <c r="P20006" s="13"/>
    </row>
    <row r="20007">
      <c r="L20007" s="13"/>
      <c r="M20007" s="14"/>
      <c r="N20007" s="14"/>
      <c r="O20007" s="14"/>
      <c r="P20007" s="13"/>
    </row>
    <row r="20008">
      <c r="L20008" s="13"/>
      <c r="M20008" s="14"/>
      <c r="N20008" s="14"/>
      <c r="O20008" s="14"/>
      <c r="P20008" s="13"/>
    </row>
    <row r="20009">
      <c r="L20009" s="13"/>
      <c r="M20009" s="14"/>
      <c r="N20009" s="14"/>
      <c r="O20009" s="14"/>
      <c r="P20009" s="13"/>
    </row>
    <row r="20010">
      <c r="L20010" s="13"/>
      <c r="M20010" s="14"/>
      <c r="N20010" s="14"/>
      <c r="O20010" s="14"/>
      <c r="P20010" s="13"/>
    </row>
    <row r="20011">
      <c r="L20011" s="13"/>
      <c r="M20011" s="14"/>
      <c r="N20011" s="14"/>
      <c r="O20011" s="14"/>
      <c r="P20011" s="13"/>
    </row>
    <row r="20012">
      <c r="L20012" s="13"/>
      <c r="M20012" s="14"/>
      <c r="N20012" s="14"/>
      <c r="O20012" s="14"/>
      <c r="P20012" s="13"/>
    </row>
    <row r="20013">
      <c r="L20013" s="13"/>
      <c r="M20013" s="14"/>
      <c r="N20013" s="14"/>
      <c r="O20013" s="14"/>
      <c r="P20013" s="13"/>
    </row>
    <row r="20014">
      <c r="L20014" s="13"/>
      <c r="M20014" s="14"/>
      <c r="N20014" s="14"/>
      <c r="O20014" s="14"/>
      <c r="P20014" s="13"/>
    </row>
    <row r="20015">
      <c r="L20015" s="13"/>
      <c r="M20015" s="14"/>
      <c r="N20015" s="14"/>
      <c r="O20015" s="14"/>
      <c r="P20015" s="13"/>
    </row>
    <row r="20016">
      <c r="L20016" s="13"/>
      <c r="M20016" s="14"/>
      <c r="N20016" s="14"/>
      <c r="O20016" s="14"/>
      <c r="P20016" s="13"/>
    </row>
    <row r="20017">
      <c r="L20017" s="13"/>
      <c r="M20017" s="14"/>
      <c r="N20017" s="14"/>
      <c r="O20017" s="14"/>
      <c r="P20017" s="13"/>
    </row>
    <row r="20018">
      <c r="L20018" s="13"/>
      <c r="M20018" s="14"/>
      <c r="N20018" s="14"/>
      <c r="O20018" s="14"/>
      <c r="P20018" s="13"/>
    </row>
    <row r="20019">
      <c r="L20019" s="13"/>
      <c r="M20019" s="14"/>
      <c r="N20019" s="14"/>
      <c r="O20019" s="14"/>
      <c r="P20019" s="13"/>
    </row>
    <row r="20020">
      <c r="L20020" s="13"/>
      <c r="M20020" s="14"/>
      <c r="N20020" s="14"/>
      <c r="O20020" s="14"/>
      <c r="P20020" s="13"/>
    </row>
    <row r="20021">
      <c r="L20021" s="13"/>
      <c r="M20021" s="14"/>
      <c r="N20021" s="14"/>
      <c r="O20021" s="14"/>
      <c r="P20021" s="13"/>
    </row>
    <row r="20022">
      <c r="L20022" s="13"/>
      <c r="M20022" s="14"/>
      <c r="N20022" s="14"/>
      <c r="O20022" s="14"/>
      <c r="P20022" s="13"/>
    </row>
    <row r="20023">
      <c r="L20023" s="13"/>
      <c r="M20023" s="14"/>
      <c r="N20023" s="14"/>
      <c r="O20023" s="14"/>
      <c r="P20023" s="13"/>
    </row>
    <row r="20024">
      <c r="L20024" s="13"/>
      <c r="M20024" s="14"/>
      <c r="N20024" s="14"/>
      <c r="O20024" s="14"/>
      <c r="P20024" s="13"/>
    </row>
    <row r="20025">
      <c r="L20025" s="13"/>
      <c r="M20025" s="14"/>
      <c r="N20025" s="14"/>
      <c r="O20025" s="14"/>
      <c r="P20025" s="13"/>
    </row>
    <row r="20026">
      <c r="L20026" s="13"/>
      <c r="M20026" s="14"/>
      <c r="N20026" s="14"/>
      <c r="O20026" s="14"/>
      <c r="P20026" s="13"/>
    </row>
    <row r="20027">
      <c r="L20027" s="13"/>
      <c r="M20027" s="14"/>
      <c r="N20027" s="14"/>
      <c r="O20027" s="14"/>
      <c r="P20027" s="13"/>
    </row>
    <row r="20028">
      <c r="L20028" s="13"/>
      <c r="M20028" s="14"/>
      <c r="N20028" s="14"/>
      <c r="O20028" s="14"/>
      <c r="P20028" s="13"/>
    </row>
    <row r="20029">
      <c r="L20029" s="13"/>
      <c r="M20029" s="14"/>
      <c r="N20029" s="14"/>
      <c r="O20029" s="14"/>
      <c r="P20029" s="13"/>
    </row>
    <row r="20030">
      <c r="L20030" s="13"/>
      <c r="M20030" s="14"/>
      <c r="N20030" s="14"/>
      <c r="O20030" s="14"/>
      <c r="P20030" s="13"/>
    </row>
    <row r="20031">
      <c r="L20031" s="13"/>
      <c r="M20031" s="14"/>
      <c r="N20031" s="14"/>
      <c r="O20031" s="14"/>
      <c r="P20031" s="13"/>
    </row>
    <row r="20032">
      <c r="L20032" s="13"/>
      <c r="M20032" s="14"/>
      <c r="N20032" s="14"/>
      <c r="O20032" s="14"/>
      <c r="P20032" s="13"/>
    </row>
    <row r="20033">
      <c r="L20033" s="13"/>
      <c r="M20033" s="14"/>
      <c r="N20033" s="14"/>
      <c r="O20033" s="14"/>
      <c r="P20033" s="13"/>
    </row>
    <row r="20034">
      <c r="L20034" s="13"/>
      <c r="M20034" s="14"/>
      <c r="N20034" s="14"/>
      <c r="O20034" s="14"/>
      <c r="P20034" s="13"/>
    </row>
    <row r="20035">
      <c r="L20035" s="13"/>
      <c r="M20035" s="14"/>
      <c r="N20035" s="14"/>
      <c r="O20035" s="14"/>
      <c r="P20035" s="13"/>
    </row>
    <row r="20036">
      <c r="L20036" s="13"/>
      <c r="M20036" s="14"/>
      <c r="N20036" s="14"/>
      <c r="O20036" s="14"/>
      <c r="P20036" s="13"/>
    </row>
    <row r="20037">
      <c r="L20037" s="13"/>
      <c r="M20037" s="14"/>
      <c r="N20037" s="14"/>
      <c r="O20037" s="14"/>
      <c r="P20037" s="13"/>
    </row>
    <row r="20038">
      <c r="L20038" s="13"/>
      <c r="M20038" s="14"/>
      <c r="N20038" s="14"/>
      <c r="O20038" s="14"/>
      <c r="P20038" s="13"/>
    </row>
    <row r="20039">
      <c r="L20039" s="13"/>
      <c r="M20039" s="14"/>
      <c r="N20039" s="14"/>
      <c r="O20039" s="14"/>
      <c r="P20039" s="13"/>
    </row>
    <row r="20040">
      <c r="L20040" s="13"/>
      <c r="M20040" s="14"/>
      <c r="N20040" s="14"/>
      <c r="O20040" s="14"/>
      <c r="P20040" s="13"/>
    </row>
    <row r="20041">
      <c r="L20041" s="13"/>
      <c r="M20041" s="14"/>
      <c r="N20041" s="14"/>
      <c r="O20041" s="14"/>
      <c r="P20041" s="13"/>
    </row>
    <row r="20042">
      <c r="L20042" s="13"/>
      <c r="M20042" s="14"/>
      <c r="N20042" s="14"/>
      <c r="O20042" s="14"/>
      <c r="P20042" s="13"/>
    </row>
    <row r="20043">
      <c r="L20043" s="13"/>
      <c r="M20043" s="14"/>
      <c r="N20043" s="14"/>
      <c r="O20043" s="14"/>
      <c r="P20043" s="13"/>
    </row>
    <row r="20044">
      <c r="L20044" s="13"/>
      <c r="M20044" s="14"/>
      <c r="N20044" s="14"/>
      <c r="O20044" s="14"/>
      <c r="P20044" s="13"/>
    </row>
    <row r="20045">
      <c r="L20045" s="13"/>
      <c r="M20045" s="14"/>
      <c r="N20045" s="14"/>
      <c r="O20045" s="14"/>
      <c r="P20045" s="13"/>
    </row>
    <row r="20046">
      <c r="L20046" s="13"/>
      <c r="M20046" s="14"/>
      <c r="N20046" s="14"/>
      <c r="O20046" s="14"/>
      <c r="P20046" s="13"/>
    </row>
    <row r="20047">
      <c r="L20047" s="13"/>
      <c r="M20047" s="14"/>
      <c r="N20047" s="14"/>
      <c r="O20047" s="14"/>
      <c r="P20047" s="13"/>
    </row>
    <row r="20048">
      <c r="L20048" s="13"/>
      <c r="M20048" s="14"/>
      <c r="N20048" s="14"/>
      <c r="O20048" s="14"/>
      <c r="P20048" s="13"/>
    </row>
    <row r="20049">
      <c r="L20049" s="13"/>
      <c r="M20049" s="14"/>
      <c r="N20049" s="14"/>
      <c r="O20049" s="14"/>
      <c r="P20049" s="13"/>
    </row>
    <row r="20050">
      <c r="L20050" s="13"/>
      <c r="M20050" s="14"/>
      <c r="N20050" s="14"/>
      <c r="O20050" s="14"/>
      <c r="P20050" s="13"/>
    </row>
    <row r="20051">
      <c r="L20051" s="13"/>
      <c r="M20051" s="14"/>
      <c r="N20051" s="14"/>
      <c r="O20051" s="14"/>
      <c r="P20051" s="13"/>
    </row>
    <row r="20052">
      <c r="L20052" s="13"/>
      <c r="M20052" s="14"/>
      <c r="N20052" s="14"/>
      <c r="O20052" s="14"/>
      <c r="P20052" s="13"/>
    </row>
    <row r="20053">
      <c r="L20053" s="13"/>
      <c r="M20053" s="14"/>
      <c r="N20053" s="14"/>
      <c r="O20053" s="14"/>
      <c r="P20053" s="13"/>
    </row>
    <row r="20054">
      <c r="L20054" s="13"/>
      <c r="M20054" s="14"/>
      <c r="N20054" s="14"/>
      <c r="O20054" s="14"/>
      <c r="P20054" s="13"/>
    </row>
    <row r="20055">
      <c r="L20055" s="13"/>
      <c r="M20055" s="14"/>
      <c r="N20055" s="14"/>
      <c r="O20055" s="14"/>
      <c r="P20055" s="13"/>
    </row>
    <row r="20056">
      <c r="L20056" s="13"/>
      <c r="M20056" s="14"/>
      <c r="N20056" s="14"/>
      <c r="O20056" s="14"/>
      <c r="P20056" s="13"/>
    </row>
    <row r="20057">
      <c r="L20057" s="13"/>
      <c r="M20057" s="14"/>
      <c r="N20057" s="14"/>
      <c r="O20057" s="14"/>
      <c r="P20057" s="13"/>
    </row>
    <row r="20058">
      <c r="L20058" s="13"/>
      <c r="M20058" s="14"/>
      <c r="N20058" s="14"/>
      <c r="O20058" s="14"/>
      <c r="P20058" s="13"/>
    </row>
    <row r="20059">
      <c r="L20059" s="13"/>
      <c r="M20059" s="14"/>
      <c r="N20059" s="14"/>
      <c r="O20059" s="14"/>
      <c r="P20059" s="13"/>
    </row>
    <row r="20060">
      <c r="L20060" s="13"/>
      <c r="M20060" s="14"/>
      <c r="N20060" s="14"/>
      <c r="O20060" s="14"/>
      <c r="P20060" s="13"/>
    </row>
    <row r="20061">
      <c r="L20061" s="13"/>
      <c r="M20061" s="14"/>
      <c r="N20061" s="14"/>
      <c r="O20061" s="14"/>
      <c r="P20061" s="13"/>
    </row>
    <row r="20062">
      <c r="L20062" s="13"/>
      <c r="M20062" s="14"/>
      <c r="N20062" s="14"/>
      <c r="O20062" s="14"/>
      <c r="P20062" s="13"/>
    </row>
    <row r="20063">
      <c r="L20063" s="13"/>
      <c r="M20063" s="14"/>
      <c r="N20063" s="14"/>
      <c r="O20063" s="14"/>
      <c r="P20063" s="13"/>
    </row>
    <row r="20064">
      <c r="L20064" s="13"/>
      <c r="M20064" s="14"/>
      <c r="N20064" s="14"/>
      <c r="O20064" s="14"/>
      <c r="P20064" s="13"/>
    </row>
    <row r="20065">
      <c r="L20065" s="13"/>
      <c r="M20065" s="14"/>
      <c r="N20065" s="14"/>
      <c r="O20065" s="14"/>
      <c r="P20065" s="13"/>
    </row>
    <row r="20066">
      <c r="L20066" s="13"/>
      <c r="M20066" s="14"/>
      <c r="N20066" s="14"/>
      <c r="O20066" s="14"/>
      <c r="P20066" s="13"/>
    </row>
    <row r="20067">
      <c r="L20067" s="13"/>
      <c r="M20067" s="14"/>
      <c r="N20067" s="14"/>
      <c r="O20067" s="14"/>
      <c r="P20067" s="13"/>
    </row>
    <row r="20068">
      <c r="L20068" s="13"/>
      <c r="M20068" s="14"/>
      <c r="N20068" s="14"/>
      <c r="O20068" s="14"/>
      <c r="P20068" s="13"/>
    </row>
    <row r="20069">
      <c r="L20069" s="13"/>
      <c r="M20069" s="14"/>
      <c r="N20069" s="14"/>
      <c r="O20069" s="14"/>
      <c r="P20069" s="13"/>
    </row>
    <row r="20070">
      <c r="L20070" s="13"/>
      <c r="M20070" s="14"/>
      <c r="N20070" s="14"/>
      <c r="O20070" s="14"/>
      <c r="P20070" s="13"/>
    </row>
    <row r="20071">
      <c r="L20071" s="13"/>
      <c r="M20071" s="14"/>
      <c r="N20071" s="14"/>
      <c r="O20071" s="14"/>
      <c r="P20071" s="13"/>
    </row>
    <row r="20072">
      <c r="L20072" s="13"/>
      <c r="M20072" s="14"/>
      <c r="N20072" s="14"/>
      <c r="O20072" s="14"/>
      <c r="P20072" s="13"/>
    </row>
    <row r="20073">
      <c r="L20073" s="13"/>
      <c r="M20073" s="14"/>
      <c r="N20073" s="14"/>
      <c r="O20073" s="14"/>
      <c r="P20073" s="13"/>
    </row>
    <row r="20074">
      <c r="L20074" s="13"/>
      <c r="M20074" s="14"/>
      <c r="N20074" s="14"/>
      <c r="O20074" s="14"/>
      <c r="P20074" s="13"/>
    </row>
    <row r="20075">
      <c r="L20075" s="13"/>
      <c r="M20075" s="14"/>
      <c r="N20075" s="14"/>
      <c r="O20075" s="14"/>
      <c r="P20075" s="13"/>
    </row>
    <row r="20076">
      <c r="L20076" s="13"/>
      <c r="M20076" s="14"/>
      <c r="N20076" s="14"/>
      <c r="O20076" s="14"/>
      <c r="P20076" s="13"/>
    </row>
    <row r="20077">
      <c r="L20077" s="13"/>
      <c r="M20077" s="14"/>
      <c r="N20077" s="14"/>
      <c r="O20077" s="14"/>
      <c r="P20077" s="13"/>
    </row>
    <row r="20078">
      <c r="L20078" s="13"/>
      <c r="M20078" s="14"/>
      <c r="N20078" s="14"/>
      <c r="O20078" s="14"/>
      <c r="P20078" s="13"/>
    </row>
    <row r="20079">
      <c r="L20079" s="13"/>
      <c r="M20079" s="14"/>
      <c r="N20079" s="14"/>
      <c r="O20079" s="14"/>
      <c r="P20079" s="13"/>
    </row>
    <row r="20080">
      <c r="L20080" s="13"/>
      <c r="M20080" s="14"/>
      <c r="N20080" s="14"/>
      <c r="O20080" s="14"/>
      <c r="P20080" s="13"/>
    </row>
    <row r="20081">
      <c r="L20081" s="13"/>
      <c r="M20081" s="14"/>
      <c r="N20081" s="14"/>
      <c r="O20081" s="14"/>
      <c r="P20081" s="13"/>
    </row>
    <row r="20082">
      <c r="L20082" s="13"/>
      <c r="M20082" s="14"/>
      <c r="N20082" s="14"/>
      <c r="O20082" s="14"/>
      <c r="P20082" s="13"/>
    </row>
    <row r="20083">
      <c r="L20083" s="13"/>
      <c r="M20083" s="14"/>
      <c r="N20083" s="14"/>
      <c r="O20083" s="14"/>
      <c r="P20083" s="13"/>
    </row>
    <row r="20084">
      <c r="L20084" s="13"/>
      <c r="M20084" s="14"/>
      <c r="N20084" s="14"/>
      <c r="O20084" s="14"/>
      <c r="P20084" s="13"/>
    </row>
    <row r="20085">
      <c r="L20085" s="13"/>
      <c r="M20085" s="14"/>
      <c r="N20085" s="14"/>
      <c r="O20085" s="14"/>
      <c r="P20085" s="13"/>
    </row>
    <row r="20086">
      <c r="L20086" s="13"/>
      <c r="M20086" s="14"/>
      <c r="N20086" s="14"/>
      <c r="O20086" s="14"/>
      <c r="P20086" s="13"/>
    </row>
    <row r="20087">
      <c r="L20087" s="13"/>
      <c r="M20087" s="14"/>
      <c r="N20087" s="14"/>
      <c r="O20087" s="14"/>
      <c r="P20087" s="13"/>
    </row>
    <row r="20088">
      <c r="L20088" s="13"/>
      <c r="M20088" s="14"/>
      <c r="N20088" s="14"/>
      <c r="O20088" s="14"/>
      <c r="P20088" s="13"/>
    </row>
    <row r="20089">
      <c r="L20089" s="13"/>
      <c r="M20089" s="14"/>
      <c r="N20089" s="14"/>
      <c r="O20089" s="14"/>
      <c r="P20089" s="13"/>
    </row>
    <row r="20090">
      <c r="L20090" s="13"/>
      <c r="M20090" s="14"/>
      <c r="N20090" s="14"/>
      <c r="O20090" s="14"/>
      <c r="P20090" s="13"/>
    </row>
    <row r="20091">
      <c r="L20091" s="13"/>
      <c r="M20091" s="14"/>
      <c r="N20091" s="14"/>
      <c r="O20091" s="14"/>
      <c r="P20091" s="13"/>
    </row>
    <row r="20092">
      <c r="L20092" s="13"/>
      <c r="M20092" s="14"/>
      <c r="N20092" s="14"/>
      <c r="O20092" s="14"/>
      <c r="P20092" s="13"/>
    </row>
    <row r="20093">
      <c r="L20093" s="13"/>
      <c r="M20093" s="14"/>
      <c r="N20093" s="14"/>
      <c r="O20093" s="14"/>
      <c r="P20093" s="13"/>
    </row>
    <row r="20094">
      <c r="L20094" s="13"/>
      <c r="M20094" s="14"/>
      <c r="N20094" s="14"/>
      <c r="O20094" s="14"/>
      <c r="P20094" s="13"/>
    </row>
    <row r="20095">
      <c r="L20095" s="13"/>
      <c r="M20095" s="14"/>
      <c r="N20095" s="14"/>
      <c r="O20095" s="14"/>
      <c r="P20095" s="13"/>
    </row>
    <row r="20096">
      <c r="L20096" s="13"/>
      <c r="M20096" s="14"/>
      <c r="N20096" s="14"/>
      <c r="O20096" s="14"/>
      <c r="P20096" s="13"/>
    </row>
    <row r="20097">
      <c r="L20097" s="13"/>
      <c r="M20097" s="14"/>
      <c r="N20097" s="14"/>
      <c r="O20097" s="14"/>
      <c r="P20097" s="13"/>
    </row>
    <row r="20098">
      <c r="L20098" s="13"/>
      <c r="M20098" s="14"/>
      <c r="N20098" s="14"/>
      <c r="O20098" s="14"/>
      <c r="P20098" s="13"/>
    </row>
    <row r="20099">
      <c r="L20099" s="13"/>
      <c r="M20099" s="14"/>
      <c r="N20099" s="14"/>
      <c r="O20099" s="14"/>
      <c r="P20099" s="13"/>
    </row>
    <row r="20100">
      <c r="L20100" s="13"/>
      <c r="M20100" s="14"/>
      <c r="N20100" s="14"/>
      <c r="O20100" s="14"/>
      <c r="P20100" s="13"/>
    </row>
    <row r="20101">
      <c r="L20101" s="13"/>
      <c r="M20101" s="14"/>
      <c r="N20101" s="14"/>
      <c r="O20101" s="14"/>
      <c r="P20101" s="13"/>
    </row>
    <row r="20102">
      <c r="L20102" s="13"/>
      <c r="M20102" s="14"/>
      <c r="N20102" s="14"/>
      <c r="O20102" s="14"/>
      <c r="P20102" s="13"/>
    </row>
    <row r="20103">
      <c r="L20103" s="13"/>
      <c r="M20103" s="14"/>
      <c r="N20103" s="14"/>
      <c r="O20103" s="14"/>
      <c r="P20103" s="13"/>
    </row>
    <row r="20104">
      <c r="L20104" s="13"/>
      <c r="M20104" s="14"/>
      <c r="N20104" s="14"/>
      <c r="O20104" s="14"/>
      <c r="P20104" s="13"/>
    </row>
    <row r="20105">
      <c r="L20105" s="13"/>
      <c r="M20105" s="14"/>
      <c r="N20105" s="14"/>
      <c r="O20105" s="14"/>
      <c r="P20105" s="13"/>
    </row>
    <row r="20106">
      <c r="L20106" s="13"/>
      <c r="M20106" s="14"/>
      <c r="N20106" s="14"/>
      <c r="O20106" s="14"/>
      <c r="P20106" s="13"/>
    </row>
    <row r="20107">
      <c r="L20107" s="13"/>
      <c r="M20107" s="14"/>
      <c r="N20107" s="14"/>
      <c r="O20107" s="14"/>
      <c r="P20107" s="13"/>
    </row>
    <row r="20108">
      <c r="L20108" s="13"/>
      <c r="M20108" s="14"/>
      <c r="N20108" s="14"/>
      <c r="O20108" s="14"/>
      <c r="P20108" s="13"/>
    </row>
    <row r="20109">
      <c r="L20109" s="13"/>
      <c r="M20109" s="14"/>
      <c r="N20109" s="14"/>
      <c r="O20109" s="14"/>
      <c r="P20109" s="13"/>
    </row>
    <row r="20110">
      <c r="L20110" s="13"/>
      <c r="M20110" s="14"/>
      <c r="N20110" s="14"/>
      <c r="O20110" s="14"/>
      <c r="P20110" s="13"/>
    </row>
    <row r="20111">
      <c r="L20111" s="13"/>
      <c r="M20111" s="14"/>
      <c r="N20111" s="14"/>
      <c r="O20111" s="14"/>
      <c r="P20111" s="13"/>
    </row>
    <row r="20112">
      <c r="L20112" s="13"/>
      <c r="M20112" s="14"/>
      <c r="N20112" s="14"/>
      <c r="O20112" s="14"/>
      <c r="P20112" s="13"/>
    </row>
    <row r="20113">
      <c r="L20113" s="13"/>
      <c r="M20113" s="14"/>
      <c r="N20113" s="14"/>
      <c r="O20113" s="14"/>
      <c r="P20113" s="13"/>
    </row>
    <row r="20114">
      <c r="L20114" s="13"/>
      <c r="M20114" s="14"/>
      <c r="N20114" s="14"/>
      <c r="O20114" s="14"/>
      <c r="P20114" s="13"/>
    </row>
    <row r="20115">
      <c r="L20115" s="13"/>
      <c r="M20115" s="14"/>
      <c r="N20115" s="14"/>
      <c r="O20115" s="14"/>
      <c r="P20115" s="13"/>
    </row>
    <row r="20116">
      <c r="L20116" s="13"/>
      <c r="M20116" s="14"/>
      <c r="N20116" s="14"/>
      <c r="O20116" s="14"/>
      <c r="P20116" s="13"/>
    </row>
    <row r="20117">
      <c r="L20117" s="13"/>
      <c r="M20117" s="14"/>
      <c r="N20117" s="14"/>
      <c r="O20117" s="14"/>
      <c r="P20117" s="13"/>
    </row>
    <row r="20118">
      <c r="L20118" s="13"/>
      <c r="M20118" s="14"/>
      <c r="N20118" s="14"/>
      <c r="O20118" s="14"/>
      <c r="P20118" s="13"/>
    </row>
    <row r="20119">
      <c r="L20119" s="13"/>
      <c r="M20119" s="14"/>
      <c r="N20119" s="14"/>
      <c r="O20119" s="14"/>
      <c r="P20119" s="13"/>
    </row>
    <row r="20120">
      <c r="L20120" s="13"/>
      <c r="M20120" s="14"/>
      <c r="N20120" s="14"/>
      <c r="O20120" s="14"/>
      <c r="P20120" s="13"/>
    </row>
    <row r="20121">
      <c r="L20121" s="13"/>
      <c r="M20121" s="14"/>
      <c r="N20121" s="14"/>
      <c r="O20121" s="14"/>
      <c r="P20121" s="13"/>
    </row>
    <row r="20122">
      <c r="L20122" s="13"/>
      <c r="M20122" s="14"/>
      <c r="N20122" s="14"/>
      <c r="O20122" s="14"/>
      <c r="P20122" s="13"/>
    </row>
    <row r="20123">
      <c r="L20123" s="13"/>
      <c r="M20123" s="14"/>
      <c r="N20123" s="14"/>
      <c r="O20123" s="14"/>
      <c r="P20123" s="13"/>
    </row>
    <row r="20124">
      <c r="L20124" s="13"/>
      <c r="M20124" s="14"/>
      <c r="N20124" s="14"/>
      <c r="O20124" s="14"/>
      <c r="P20124" s="13"/>
    </row>
    <row r="20125">
      <c r="L20125" s="13"/>
      <c r="M20125" s="14"/>
      <c r="N20125" s="14"/>
      <c r="O20125" s="14"/>
      <c r="P20125" s="13"/>
    </row>
    <row r="20126">
      <c r="L20126" s="13"/>
      <c r="M20126" s="14"/>
      <c r="N20126" s="14"/>
      <c r="O20126" s="14"/>
      <c r="P20126" s="13"/>
    </row>
    <row r="20127">
      <c r="L20127" s="13"/>
      <c r="M20127" s="14"/>
      <c r="N20127" s="14"/>
      <c r="O20127" s="14"/>
      <c r="P20127" s="13"/>
    </row>
    <row r="20128">
      <c r="L20128" s="13"/>
      <c r="M20128" s="14"/>
      <c r="N20128" s="14"/>
      <c r="O20128" s="14"/>
      <c r="P20128" s="13"/>
    </row>
    <row r="20129">
      <c r="L20129" s="13"/>
      <c r="M20129" s="14"/>
      <c r="N20129" s="14"/>
      <c r="O20129" s="14"/>
      <c r="P20129" s="13"/>
    </row>
    <row r="20130">
      <c r="L20130" s="13"/>
      <c r="M20130" s="14"/>
      <c r="N20130" s="14"/>
      <c r="O20130" s="14"/>
      <c r="P20130" s="13"/>
    </row>
    <row r="20131">
      <c r="L20131" s="13"/>
      <c r="M20131" s="14"/>
      <c r="N20131" s="14"/>
      <c r="O20131" s="14"/>
      <c r="P20131" s="13"/>
    </row>
    <row r="20132">
      <c r="L20132" s="13"/>
      <c r="M20132" s="14"/>
      <c r="N20132" s="14"/>
      <c r="O20132" s="14"/>
      <c r="P20132" s="13"/>
    </row>
    <row r="20133">
      <c r="L20133" s="13"/>
      <c r="M20133" s="14"/>
      <c r="N20133" s="14"/>
      <c r="O20133" s="14"/>
      <c r="P20133" s="13"/>
    </row>
    <row r="20134">
      <c r="L20134" s="13"/>
      <c r="M20134" s="14"/>
      <c r="N20134" s="14"/>
      <c r="O20134" s="14"/>
      <c r="P20134" s="13"/>
    </row>
    <row r="20135">
      <c r="L20135" s="13"/>
      <c r="M20135" s="14"/>
      <c r="N20135" s="14"/>
      <c r="O20135" s="14"/>
      <c r="P20135" s="13"/>
    </row>
    <row r="20136">
      <c r="L20136" s="13"/>
      <c r="M20136" s="14"/>
      <c r="N20136" s="14"/>
      <c r="O20136" s="14"/>
      <c r="P20136" s="13"/>
    </row>
    <row r="20137">
      <c r="L20137" s="13"/>
      <c r="M20137" s="14"/>
      <c r="N20137" s="14"/>
      <c r="O20137" s="14"/>
      <c r="P20137" s="13"/>
    </row>
    <row r="20138">
      <c r="L20138" s="13"/>
      <c r="M20138" s="14"/>
      <c r="N20138" s="14"/>
      <c r="O20138" s="14"/>
      <c r="P20138" s="13"/>
    </row>
    <row r="20139">
      <c r="L20139" s="13"/>
      <c r="M20139" s="14"/>
      <c r="N20139" s="14"/>
      <c r="O20139" s="14"/>
      <c r="P20139" s="13"/>
    </row>
    <row r="20140">
      <c r="L20140" s="13"/>
      <c r="M20140" s="14"/>
      <c r="N20140" s="14"/>
      <c r="O20140" s="14"/>
      <c r="P20140" s="13"/>
    </row>
    <row r="20141">
      <c r="L20141" s="13"/>
      <c r="M20141" s="14"/>
      <c r="N20141" s="14"/>
      <c r="O20141" s="14"/>
      <c r="P20141" s="13"/>
    </row>
    <row r="20142">
      <c r="L20142" s="13"/>
      <c r="M20142" s="14"/>
      <c r="N20142" s="14"/>
      <c r="O20142" s="14"/>
      <c r="P20142" s="13"/>
    </row>
    <row r="20143">
      <c r="L20143" s="13"/>
      <c r="M20143" s="14"/>
      <c r="N20143" s="14"/>
      <c r="O20143" s="14"/>
      <c r="P20143" s="13"/>
    </row>
    <row r="20144">
      <c r="L20144" s="13"/>
      <c r="M20144" s="14"/>
      <c r="N20144" s="14"/>
      <c r="O20144" s="14"/>
      <c r="P20144" s="13"/>
    </row>
    <row r="20145">
      <c r="L20145" s="13"/>
      <c r="M20145" s="14"/>
      <c r="N20145" s="14"/>
      <c r="O20145" s="14"/>
      <c r="P20145" s="13"/>
    </row>
    <row r="20146">
      <c r="L20146" s="13"/>
      <c r="M20146" s="14"/>
      <c r="N20146" s="14"/>
      <c r="O20146" s="14"/>
      <c r="P20146" s="13"/>
    </row>
    <row r="20147">
      <c r="L20147" s="13"/>
      <c r="M20147" s="14"/>
      <c r="N20147" s="14"/>
      <c r="O20147" s="14"/>
      <c r="P20147" s="13"/>
    </row>
    <row r="20148">
      <c r="L20148" s="13"/>
      <c r="M20148" s="14"/>
      <c r="N20148" s="14"/>
      <c r="O20148" s="14"/>
      <c r="P20148" s="13"/>
    </row>
    <row r="20149">
      <c r="L20149" s="13"/>
      <c r="M20149" s="14"/>
      <c r="N20149" s="14"/>
      <c r="O20149" s="14"/>
      <c r="P20149" s="13"/>
    </row>
    <row r="20150">
      <c r="L20150" s="13"/>
      <c r="M20150" s="14"/>
      <c r="N20150" s="14"/>
      <c r="O20150" s="14"/>
      <c r="P20150" s="13"/>
    </row>
    <row r="20151">
      <c r="L20151" s="13"/>
      <c r="M20151" s="14"/>
      <c r="N20151" s="14"/>
      <c r="O20151" s="14"/>
      <c r="P20151" s="13"/>
    </row>
    <row r="20152">
      <c r="L20152" s="13"/>
      <c r="M20152" s="14"/>
      <c r="N20152" s="14"/>
      <c r="O20152" s="14"/>
      <c r="P20152" s="13"/>
    </row>
    <row r="20153">
      <c r="L20153" s="13"/>
      <c r="M20153" s="14"/>
      <c r="N20153" s="14"/>
      <c r="O20153" s="14"/>
      <c r="P20153" s="13"/>
    </row>
    <row r="20154">
      <c r="L20154" s="13"/>
      <c r="M20154" s="14"/>
      <c r="N20154" s="14"/>
      <c r="O20154" s="14"/>
      <c r="P20154" s="13"/>
    </row>
    <row r="20155">
      <c r="L20155" s="13"/>
      <c r="M20155" s="14"/>
      <c r="N20155" s="14"/>
      <c r="O20155" s="14"/>
      <c r="P20155" s="13"/>
    </row>
    <row r="20156">
      <c r="L20156" s="13"/>
      <c r="M20156" s="14"/>
      <c r="N20156" s="14"/>
      <c r="O20156" s="14"/>
      <c r="P20156" s="13"/>
    </row>
    <row r="20157">
      <c r="L20157" s="13"/>
      <c r="M20157" s="14"/>
      <c r="N20157" s="14"/>
      <c r="O20157" s="14"/>
      <c r="P20157" s="13"/>
    </row>
    <row r="20158">
      <c r="L20158" s="13"/>
      <c r="M20158" s="14"/>
      <c r="N20158" s="14"/>
      <c r="O20158" s="14"/>
      <c r="P20158" s="13"/>
    </row>
    <row r="20159">
      <c r="L20159" s="13"/>
      <c r="M20159" s="14"/>
      <c r="N20159" s="14"/>
      <c r="O20159" s="14"/>
      <c r="P20159" s="13"/>
    </row>
    <row r="20160">
      <c r="L20160" s="13"/>
      <c r="M20160" s="14"/>
      <c r="N20160" s="14"/>
      <c r="O20160" s="14"/>
      <c r="P20160" s="13"/>
    </row>
    <row r="20161">
      <c r="L20161" s="13"/>
      <c r="M20161" s="14"/>
      <c r="N20161" s="14"/>
      <c r="O20161" s="14"/>
      <c r="P20161" s="13"/>
    </row>
    <row r="20162">
      <c r="L20162" s="13"/>
      <c r="M20162" s="14"/>
      <c r="N20162" s="14"/>
      <c r="O20162" s="14"/>
      <c r="P20162" s="13"/>
    </row>
    <row r="20163">
      <c r="L20163" s="13"/>
      <c r="M20163" s="14"/>
      <c r="N20163" s="14"/>
      <c r="O20163" s="14"/>
      <c r="P20163" s="13"/>
    </row>
    <row r="20164">
      <c r="L20164" s="13"/>
      <c r="M20164" s="14"/>
      <c r="N20164" s="14"/>
      <c r="O20164" s="14"/>
      <c r="P20164" s="13"/>
    </row>
    <row r="20165">
      <c r="L20165" s="13"/>
      <c r="M20165" s="14"/>
      <c r="N20165" s="14"/>
      <c r="O20165" s="14"/>
      <c r="P20165" s="13"/>
    </row>
    <row r="20166">
      <c r="L20166" s="13"/>
      <c r="M20166" s="14"/>
      <c r="N20166" s="14"/>
      <c r="O20166" s="14"/>
      <c r="P20166" s="13"/>
    </row>
    <row r="20167">
      <c r="L20167" s="13"/>
      <c r="M20167" s="14"/>
      <c r="N20167" s="14"/>
      <c r="O20167" s="14"/>
      <c r="P20167" s="13"/>
    </row>
    <row r="20168">
      <c r="L20168" s="13"/>
      <c r="M20168" s="14"/>
      <c r="N20168" s="14"/>
      <c r="O20168" s="14"/>
      <c r="P20168" s="13"/>
    </row>
    <row r="20169">
      <c r="L20169" s="13"/>
      <c r="M20169" s="14"/>
      <c r="N20169" s="14"/>
      <c r="O20169" s="14"/>
      <c r="P20169" s="13"/>
    </row>
    <row r="20170">
      <c r="L20170" s="13"/>
      <c r="M20170" s="14"/>
      <c r="N20170" s="14"/>
      <c r="O20170" s="14"/>
      <c r="P20170" s="13"/>
    </row>
    <row r="20171">
      <c r="L20171" s="13"/>
      <c r="M20171" s="14"/>
      <c r="N20171" s="14"/>
      <c r="O20171" s="14"/>
      <c r="P20171" s="13"/>
    </row>
    <row r="20172">
      <c r="L20172" s="13"/>
      <c r="M20172" s="14"/>
      <c r="N20172" s="14"/>
      <c r="O20172" s="14"/>
      <c r="P20172" s="13"/>
    </row>
    <row r="20173">
      <c r="L20173" s="13"/>
      <c r="M20173" s="14"/>
      <c r="N20173" s="14"/>
      <c r="O20173" s="14"/>
      <c r="P20173" s="13"/>
    </row>
    <row r="20174">
      <c r="L20174" s="13"/>
      <c r="M20174" s="14"/>
      <c r="N20174" s="14"/>
      <c r="O20174" s="14"/>
      <c r="P20174" s="13"/>
    </row>
    <row r="20175">
      <c r="L20175" s="13"/>
      <c r="M20175" s="14"/>
      <c r="N20175" s="14"/>
      <c r="O20175" s="14"/>
      <c r="P20175" s="13"/>
    </row>
    <row r="20176">
      <c r="L20176" s="13"/>
      <c r="M20176" s="14"/>
      <c r="N20176" s="14"/>
      <c r="O20176" s="14"/>
      <c r="P20176" s="13"/>
    </row>
    <row r="20177">
      <c r="L20177" s="13"/>
      <c r="M20177" s="14"/>
      <c r="N20177" s="14"/>
      <c r="O20177" s="14"/>
      <c r="P20177" s="13"/>
    </row>
    <row r="20178">
      <c r="L20178" s="13"/>
      <c r="M20178" s="14"/>
      <c r="N20178" s="14"/>
      <c r="O20178" s="14"/>
      <c r="P20178" s="13"/>
    </row>
    <row r="20179">
      <c r="L20179" s="13"/>
      <c r="M20179" s="14"/>
      <c r="N20179" s="14"/>
      <c r="O20179" s="14"/>
      <c r="P20179" s="13"/>
    </row>
    <row r="20180">
      <c r="L20180" s="13"/>
      <c r="M20180" s="14"/>
      <c r="N20180" s="14"/>
      <c r="O20180" s="14"/>
      <c r="P20180" s="13"/>
    </row>
    <row r="20181">
      <c r="L20181" s="13"/>
      <c r="M20181" s="14"/>
      <c r="N20181" s="14"/>
      <c r="O20181" s="14"/>
      <c r="P20181" s="13"/>
    </row>
    <row r="20182">
      <c r="L20182" s="13"/>
      <c r="M20182" s="14"/>
      <c r="N20182" s="14"/>
      <c r="O20182" s="14"/>
      <c r="P20182" s="13"/>
    </row>
    <row r="20183">
      <c r="L20183" s="13"/>
      <c r="M20183" s="14"/>
      <c r="N20183" s="14"/>
      <c r="O20183" s="14"/>
      <c r="P20183" s="13"/>
    </row>
    <row r="20184">
      <c r="L20184" s="13"/>
      <c r="M20184" s="14"/>
      <c r="N20184" s="14"/>
      <c r="O20184" s="14"/>
      <c r="P20184" s="13"/>
    </row>
    <row r="20185">
      <c r="L20185" s="13"/>
      <c r="M20185" s="14"/>
      <c r="N20185" s="14"/>
      <c r="O20185" s="14"/>
      <c r="P20185" s="13"/>
    </row>
    <row r="20186">
      <c r="L20186" s="13"/>
      <c r="M20186" s="14"/>
      <c r="N20186" s="14"/>
      <c r="O20186" s="14"/>
      <c r="P20186" s="13"/>
    </row>
    <row r="20187">
      <c r="L20187" s="13"/>
      <c r="M20187" s="14"/>
      <c r="N20187" s="14"/>
      <c r="O20187" s="14"/>
      <c r="P20187" s="13"/>
    </row>
    <row r="20188">
      <c r="L20188" s="13"/>
      <c r="M20188" s="14"/>
      <c r="N20188" s="14"/>
      <c r="O20188" s="14"/>
      <c r="P20188" s="13"/>
    </row>
    <row r="20189">
      <c r="L20189" s="13"/>
      <c r="M20189" s="14"/>
      <c r="N20189" s="14"/>
      <c r="O20189" s="14"/>
      <c r="P20189" s="13"/>
    </row>
    <row r="20190">
      <c r="L20190" s="13"/>
      <c r="M20190" s="14"/>
      <c r="N20190" s="14"/>
      <c r="O20190" s="14"/>
      <c r="P20190" s="13"/>
    </row>
    <row r="20191">
      <c r="L20191" s="13"/>
      <c r="M20191" s="14"/>
      <c r="N20191" s="14"/>
      <c r="O20191" s="14"/>
      <c r="P20191" s="13"/>
    </row>
    <row r="20192">
      <c r="L20192" s="13"/>
      <c r="M20192" s="14"/>
      <c r="N20192" s="14"/>
      <c r="O20192" s="14"/>
      <c r="P20192" s="13"/>
    </row>
    <row r="20193">
      <c r="L20193" s="13"/>
      <c r="M20193" s="14"/>
      <c r="N20193" s="14"/>
      <c r="O20193" s="14"/>
      <c r="P20193" s="13"/>
    </row>
    <row r="20194">
      <c r="L20194" s="13"/>
      <c r="M20194" s="14"/>
      <c r="N20194" s="14"/>
      <c r="O20194" s="14"/>
      <c r="P20194" s="13"/>
    </row>
    <row r="20195">
      <c r="L20195" s="13"/>
      <c r="M20195" s="14"/>
      <c r="N20195" s="14"/>
      <c r="O20195" s="14"/>
      <c r="P20195" s="13"/>
    </row>
    <row r="20196">
      <c r="L20196" s="13"/>
      <c r="M20196" s="14"/>
      <c r="N20196" s="14"/>
      <c r="O20196" s="14"/>
      <c r="P20196" s="13"/>
    </row>
    <row r="20197">
      <c r="L20197" s="13"/>
      <c r="M20197" s="14"/>
      <c r="N20197" s="14"/>
      <c r="O20197" s="14"/>
      <c r="P20197" s="13"/>
    </row>
    <row r="20198">
      <c r="L20198" s="13"/>
      <c r="M20198" s="14"/>
      <c r="N20198" s="14"/>
      <c r="O20198" s="14"/>
      <c r="P20198" s="13"/>
    </row>
    <row r="20199">
      <c r="L20199" s="13"/>
      <c r="M20199" s="14"/>
      <c r="N20199" s="14"/>
      <c r="O20199" s="14"/>
      <c r="P20199" s="13"/>
    </row>
    <row r="20200">
      <c r="L20200" s="13"/>
      <c r="M20200" s="14"/>
      <c r="N20200" s="14"/>
      <c r="O20200" s="14"/>
      <c r="P20200" s="13"/>
    </row>
    <row r="20201">
      <c r="L20201" s="13"/>
      <c r="M20201" s="14"/>
      <c r="N20201" s="14"/>
      <c r="O20201" s="14"/>
      <c r="P20201" s="13"/>
    </row>
    <row r="20202">
      <c r="L20202" s="13"/>
      <c r="M20202" s="14"/>
      <c r="N20202" s="14"/>
      <c r="O20202" s="14"/>
      <c r="P20202" s="13"/>
    </row>
    <row r="20203">
      <c r="L20203" s="13"/>
      <c r="M20203" s="14"/>
      <c r="N20203" s="14"/>
      <c r="O20203" s="14"/>
      <c r="P20203" s="13"/>
    </row>
    <row r="20204">
      <c r="L20204" s="13"/>
      <c r="M20204" s="14"/>
      <c r="N20204" s="14"/>
      <c r="O20204" s="14"/>
      <c r="P20204" s="13"/>
    </row>
    <row r="20205">
      <c r="L20205" s="13"/>
      <c r="M20205" s="14"/>
      <c r="N20205" s="14"/>
      <c r="O20205" s="14"/>
      <c r="P20205" s="13"/>
    </row>
    <row r="20206">
      <c r="L20206" s="13"/>
      <c r="M20206" s="14"/>
      <c r="N20206" s="14"/>
      <c r="O20206" s="14"/>
      <c r="P20206" s="13"/>
    </row>
    <row r="20207">
      <c r="L20207" s="13"/>
      <c r="M20207" s="14"/>
      <c r="N20207" s="14"/>
      <c r="O20207" s="14"/>
      <c r="P20207" s="13"/>
    </row>
    <row r="20208">
      <c r="L20208" s="13"/>
      <c r="M20208" s="14"/>
      <c r="N20208" s="14"/>
      <c r="O20208" s="14"/>
      <c r="P20208" s="13"/>
    </row>
    <row r="20209">
      <c r="L20209" s="13"/>
      <c r="M20209" s="14"/>
      <c r="N20209" s="14"/>
      <c r="O20209" s="14"/>
      <c r="P20209" s="13"/>
    </row>
    <row r="20210">
      <c r="L20210" s="13"/>
      <c r="M20210" s="14"/>
      <c r="N20210" s="14"/>
      <c r="O20210" s="14"/>
      <c r="P20210" s="13"/>
    </row>
    <row r="20211">
      <c r="L20211" s="13"/>
      <c r="M20211" s="14"/>
      <c r="N20211" s="14"/>
      <c r="O20211" s="14"/>
      <c r="P20211" s="13"/>
    </row>
    <row r="20212">
      <c r="L20212" s="13"/>
      <c r="M20212" s="14"/>
      <c r="N20212" s="14"/>
      <c r="O20212" s="14"/>
      <c r="P20212" s="13"/>
    </row>
    <row r="20213">
      <c r="L20213" s="13"/>
      <c r="M20213" s="14"/>
      <c r="N20213" s="14"/>
      <c r="O20213" s="14"/>
      <c r="P20213" s="13"/>
    </row>
    <row r="20214">
      <c r="L20214" s="13"/>
      <c r="M20214" s="14"/>
      <c r="N20214" s="14"/>
      <c r="O20214" s="14"/>
      <c r="P20214" s="13"/>
    </row>
    <row r="20215">
      <c r="L20215" s="13"/>
      <c r="M20215" s="14"/>
      <c r="N20215" s="14"/>
      <c r="O20215" s="14"/>
      <c r="P20215" s="13"/>
    </row>
    <row r="20216">
      <c r="L20216" s="13"/>
      <c r="M20216" s="14"/>
      <c r="N20216" s="14"/>
      <c r="O20216" s="14"/>
      <c r="P20216" s="13"/>
    </row>
    <row r="20217">
      <c r="L20217" s="13"/>
      <c r="M20217" s="14"/>
      <c r="N20217" s="14"/>
      <c r="O20217" s="14"/>
      <c r="P20217" s="13"/>
    </row>
    <row r="20218">
      <c r="L20218" s="13"/>
      <c r="M20218" s="14"/>
      <c r="N20218" s="14"/>
      <c r="O20218" s="14"/>
      <c r="P20218" s="13"/>
    </row>
    <row r="20219">
      <c r="L20219" s="13"/>
      <c r="M20219" s="14"/>
      <c r="N20219" s="14"/>
      <c r="O20219" s="14"/>
      <c r="P20219" s="13"/>
    </row>
    <row r="20220">
      <c r="L20220" s="13"/>
      <c r="M20220" s="14"/>
      <c r="N20220" s="14"/>
      <c r="O20220" s="14"/>
      <c r="P20220" s="13"/>
    </row>
    <row r="20221">
      <c r="L20221" s="13"/>
      <c r="M20221" s="14"/>
      <c r="N20221" s="14"/>
      <c r="O20221" s="14"/>
      <c r="P20221" s="13"/>
    </row>
    <row r="20222">
      <c r="L20222" s="13"/>
      <c r="M20222" s="14"/>
      <c r="N20222" s="14"/>
      <c r="O20222" s="14"/>
      <c r="P20222" s="13"/>
    </row>
    <row r="20223">
      <c r="L20223" s="13"/>
      <c r="M20223" s="14"/>
      <c r="N20223" s="14"/>
      <c r="O20223" s="14"/>
      <c r="P20223" s="13"/>
    </row>
    <row r="20224">
      <c r="L20224" s="13"/>
      <c r="M20224" s="14"/>
      <c r="N20224" s="14"/>
      <c r="O20224" s="14"/>
      <c r="P20224" s="13"/>
    </row>
    <row r="20225">
      <c r="L20225" s="13"/>
      <c r="M20225" s="14"/>
      <c r="N20225" s="14"/>
      <c r="O20225" s="14"/>
      <c r="P20225" s="13"/>
    </row>
    <row r="20226">
      <c r="L20226" s="13"/>
      <c r="M20226" s="14"/>
      <c r="N20226" s="14"/>
      <c r="O20226" s="14"/>
      <c r="P20226" s="13"/>
    </row>
    <row r="20227">
      <c r="L20227" s="13"/>
      <c r="M20227" s="14"/>
      <c r="N20227" s="14"/>
      <c r="O20227" s="14"/>
      <c r="P20227" s="13"/>
    </row>
    <row r="20228">
      <c r="L20228" s="13"/>
      <c r="M20228" s="14"/>
      <c r="N20228" s="14"/>
      <c r="O20228" s="14"/>
      <c r="P20228" s="13"/>
    </row>
    <row r="20229">
      <c r="L20229" s="13"/>
      <c r="M20229" s="14"/>
      <c r="N20229" s="14"/>
      <c r="O20229" s="14"/>
      <c r="P20229" s="13"/>
    </row>
    <row r="20230">
      <c r="L20230" s="13"/>
      <c r="M20230" s="14"/>
      <c r="N20230" s="14"/>
      <c r="O20230" s="14"/>
      <c r="P20230" s="13"/>
    </row>
    <row r="20231">
      <c r="L20231" s="13"/>
      <c r="M20231" s="14"/>
      <c r="N20231" s="14"/>
      <c r="O20231" s="14"/>
      <c r="P20231" s="13"/>
    </row>
    <row r="20232">
      <c r="L20232" s="13"/>
      <c r="M20232" s="14"/>
      <c r="N20232" s="14"/>
      <c r="O20232" s="14"/>
      <c r="P20232" s="13"/>
    </row>
    <row r="20233">
      <c r="L20233" s="13"/>
      <c r="M20233" s="14"/>
      <c r="N20233" s="14"/>
      <c r="O20233" s="14"/>
      <c r="P20233" s="13"/>
    </row>
    <row r="20234">
      <c r="L20234" s="13"/>
      <c r="M20234" s="14"/>
      <c r="N20234" s="14"/>
      <c r="O20234" s="14"/>
      <c r="P20234" s="13"/>
    </row>
    <row r="20235">
      <c r="L20235" s="13"/>
      <c r="M20235" s="14"/>
      <c r="N20235" s="14"/>
      <c r="O20235" s="14"/>
      <c r="P20235" s="13"/>
    </row>
    <row r="20236">
      <c r="L20236" s="13"/>
      <c r="M20236" s="14"/>
      <c r="N20236" s="14"/>
      <c r="O20236" s="14"/>
      <c r="P20236" s="13"/>
    </row>
    <row r="20237">
      <c r="L20237" s="13"/>
      <c r="M20237" s="14"/>
      <c r="N20237" s="14"/>
      <c r="O20237" s="14"/>
      <c r="P20237" s="13"/>
    </row>
    <row r="20238">
      <c r="L20238" s="13"/>
      <c r="M20238" s="14"/>
      <c r="N20238" s="14"/>
      <c r="O20238" s="14"/>
      <c r="P20238" s="13"/>
    </row>
    <row r="20239">
      <c r="L20239" s="13"/>
      <c r="M20239" s="14"/>
      <c r="N20239" s="14"/>
      <c r="O20239" s="14"/>
      <c r="P20239" s="13"/>
    </row>
    <row r="20240">
      <c r="L20240" s="13"/>
      <c r="M20240" s="14"/>
      <c r="N20240" s="14"/>
      <c r="O20240" s="14"/>
      <c r="P20240" s="13"/>
    </row>
    <row r="20241">
      <c r="L20241" s="13"/>
      <c r="M20241" s="14"/>
      <c r="N20241" s="14"/>
      <c r="O20241" s="14"/>
      <c r="P20241" s="13"/>
    </row>
    <row r="20242">
      <c r="L20242" s="13"/>
      <c r="M20242" s="14"/>
      <c r="N20242" s="14"/>
      <c r="O20242" s="14"/>
      <c r="P20242" s="13"/>
    </row>
    <row r="20243">
      <c r="L20243" s="13"/>
      <c r="M20243" s="14"/>
      <c r="N20243" s="14"/>
      <c r="O20243" s="14"/>
      <c r="P20243" s="13"/>
    </row>
    <row r="20244">
      <c r="L20244" s="13"/>
      <c r="M20244" s="14"/>
      <c r="N20244" s="14"/>
      <c r="O20244" s="14"/>
      <c r="P20244" s="13"/>
    </row>
    <row r="20245">
      <c r="L20245" s="13"/>
      <c r="M20245" s="14"/>
      <c r="N20245" s="14"/>
      <c r="O20245" s="14"/>
      <c r="P20245" s="13"/>
    </row>
    <row r="20246">
      <c r="L20246" s="13"/>
      <c r="M20246" s="14"/>
      <c r="N20246" s="14"/>
      <c r="O20246" s="14"/>
      <c r="P20246" s="13"/>
    </row>
    <row r="20247">
      <c r="L20247" s="13"/>
      <c r="M20247" s="14"/>
      <c r="N20247" s="14"/>
      <c r="O20247" s="14"/>
      <c r="P20247" s="13"/>
    </row>
    <row r="20248">
      <c r="L20248" s="13"/>
      <c r="M20248" s="14"/>
      <c r="N20248" s="14"/>
      <c r="O20248" s="14"/>
      <c r="P20248" s="13"/>
    </row>
    <row r="20249">
      <c r="L20249" s="13"/>
      <c r="M20249" s="14"/>
      <c r="N20249" s="14"/>
      <c r="O20249" s="14"/>
      <c r="P20249" s="13"/>
    </row>
    <row r="20250">
      <c r="L20250" s="13"/>
      <c r="M20250" s="14"/>
      <c r="N20250" s="14"/>
      <c r="O20250" s="14"/>
      <c r="P20250" s="13"/>
    </row>
    <row r="20251">
      <c r="L20251" s="13"/>
      <c r="M20251" s="14"/>
      <c r="N20251" s="14"/>
      <c r="O20251" s="14"/>
      <c r="P20251" s="13"/>
    </row>
    <row r="20252">
      <c r="L20252" s="13"/>
      <c r="M20252" s="14"/>
      <c r="N20252" s="14"/>
      <c r="O20252" s="14"/>
      <c r="P20252" s="13"/>
    </row>
    <row r="20253">
      <c r="L20253" s="13"/>
      <c r="M20253" s="14"/>
      <c r="N20253" s="14"/>
      <c r="O20253" s="14"/>
      <c r="P20253" s="13"/>
    </row>
    <row r="20254">
      <c r="L20254" s="13"/>
      <c r="M20254" s="14"/>
      <c r="N20254" s="14"/>
      <c r="O20254" s="14"/>
      <c r="P20254" s="13"/>
    </row>
    <row r="20255">
      <c r="L20255" s="13"/>
      <c r="M20255" s="14"/>
      <c r="N20255" s="14"/>
      <c r="O20255" s="14"/>
      <c r="P20255" s="13"/>
    </row>
    <row r="20256">
      <c r="L20256" s="13"/>
      <c r="M20256" s="14"/>
      <c r="N20256" s="14"/>
      <c r="O20256" s="14"/>
      <c r="P20256" s="13"/>
    </row>
    <row r="20257">
      <c r="L20257" s="13"/>
      <c r="M20257" s="14"/>
      <c r="N20257" s="14"/>
      <c r="O20257" s="14"/>
      <c r="P20257" s="13"/>
    </row>
    <row r="20258">
      <c r="L20258" s="13"/>
      <c r="M20258" s="14"/>
      <c r="N20258" s="14"/>
      <c r="O20258" s="14"/>
      <c r="P20258" s="13"/>
    </row>
    <row r="20259">
      <c r="L20259" s="13"/>
      <c r="M20259" s="14"/>
      <c r="N20259" s="14"/>
      <c r="O20259" s="14"/>
      <c r="P20259" s="13"/>
    </row>
    <row r="20260">
      <c r="L20260" s="13"/>
      <c r="M20260" s="14"/>
      <c r="N20260" s="14"/>
      <c r="O20260" s="14"/>
      <c r="P20260" s="13"/>
    </row>
    <row r="20261">
      <c r="L20261" s="13"/>
      <c r="M20261" s="14"/>
      <c r="N20261" s="14"/>
      <c r="O20261" s="14"/>
      <c r="P20261" s="13"/>
    </row>
    <row r="20262">
      <c r="L20262" s="13"/>
      <c r="M20262" s="14"/>
      <c r="N20262" s="14"/>
      <c r="O20262" s="14"/>
      <c r="P20262" s="13"/>
    </row>
    <row r="20263">
      <c r="L20263" s="13"/>
      <c r="M20263" s="14"/>
      <c r="N20263" s="14"/>
      <c r="O20263" s="14"/>
      <c r="P20263" s="13"/>
    </row>
    <row r="20264">
      <c r="L20264" s="13"/>
      <c r="M20264" s="14"/>
      <c r="N20264" s="14"/>
      <c r="O20264" s="14"/>
      <c r="P20264" s="13"/>
    </row>
    <row r="20265">
      <c r="L20265" s="13"/>
      <c r="M20265" s="14"/>
      <c r="N20265" s="14"/>
      <c r="O20265" s="14"/>
      <c r="P20265" s="13"/>
    </row>
    <row r="20266">
      <c r="L20266" s="13"/>
      <c r="M20266" s="14"/>
      <c r="N20266" s="14"/>
      <c r="O20266" s="14"/>
      <c r="P20266" s="13"/>
    </row>
    <row r="20267">
      <c r="L20267" s="13"/>
      <c r="M20267" s="14"/>
      <c r="N20267" s="14"/>
      <c r="O20267" s="14"/>
      <c r="P20267" s="13"/>
    </row>
    <row r="20268">
      <c r="L20268" s="13"/>
      <c r="M20268" s="14"/>
      <c r="N20268" s="14"/>
      <c r="O20268" s="14"/>
      <c r="P20268" s="13"/>
    </row>
    <row r="20269">
      <c r="L20269" s="13"/>
      <c r="M20269" s="14"/>
      <c r="N20269" s="14"/>
      <c r="O20269" s="14"/>
      <c r="P20269" s="13"/>
    </row>
    <row r="20270">
      <c r="L20270" s="13"/>
      <c r="M20270" s="14"/>
      <c r="N20270" s="14"/>
      <c r="O20270" s="14"/>
      <c r="P20270" s="13"/>
    </row>
    <row r="20271">
      <c r="L20271" s="13"/>
      <c r="M20271" s="14"/>
      <c r="N20271" s="14"/>
      <c r="O20271" s="14"/>
      <c r="P20271" s="13"/>
    </row>
    <row r="20272">
      <c r="L20272" s="13"/>
      <c r="M20272" s="14"/>
      <c r="N20272" s="14"/>
      <c r="O20272" s="14"/>
      <c r="P20272" s="13"/>
    </row>
    <row r="20273">
      <c r="L20273" s="13"/>
      <c r="M20273" s="14"/>
      <c r="N20273" s="14"/>
      <c r="O20273" s="14"/>
      <c r="P20273" s="13"/>
    </row>
    <row r="20274">
      <c r="L20274" s="13"/>
      <c r="M20274" s="14"/>
      <c r="N20274" s="14"/>
      <c r="O20274" s="14"/>
      <c r="P20274" s="13"/>
    </row>
    <row r="20275">
      <c r="L20275" s="13"/>
      <c r="M20275" s="14"/>
      <c r="N20275" s="14"/>
      <c r="O20275" s="14"/>
      <c r="P20275" s="13"/>
    </row>
    <row r="20276">
      <c r="L20276" s="13"/>
      <c r="M20276" s="14"/>
      <c r="N20276" s="14"/>
      <c r="O20276" s="14"/>
      <c r="P20276" s="13"/>
    </row>
    <row r="20277">
      <c r="L20277" s="13"/>
      <c r="M20277" s="14"/>
      <c r="N20277" s="14"/>
      <c r="O20277" s="14"/>
      <c r="P20277" s="13"/>
    </row>
    <row r="20278">
      <c r="L20278" s="13"/>
      <c r="M20278" s="14"/>
      <c r="N20278" s="14"/>
      <c r="O20278" s="14"/>
      <c r="P20278" s="13"/>
    </row>
    <row r="20279">
      <c r="L20279" s="13"/>
      <c r="M20279" s="14"/>
      <c r="N20279" s="14"/>
      <c r="O20279" s="14"/>
      <c r="P20279" s="13"/>
    </row>
    <row r="20280">
      <c r="L20280" s="13"/>
      <c r="M20280" s="14"/>
      <c r="N20280" s="14"/>
      <c r="O20280" s="14"/>
      <c r="P20280" s="13"/>
    </row>
    <row r="20281">
      <c r="L20281" s="13"/>
      <c r="M20281" s="14"/>
      <c r="N20281" s="14"/>
      <c r="O20281" s="14"/>
      <c r="P20281" s="13"/>
    </row>
    <row r="20282">
      <c r="L20282" s="13"/>
      <c r="M20282" s="14"/>
      <c r="N20282" s="14"/>
      <c r="O20282" s="14"/>
      <c r="P20282" s="13"/>
    </row>
    <row r="20283">
      <c r="L20283" s="13"/>
      <c r="M20283" s="14"/>
      <c r="N20283" s="14"/>
      <c r="O20283" s="14"/>
      <c r="P20283" s="13"/>
    </row>
    <row r="20284">
      <c r="L20284" s="13"/>
      <c r="M20284" s="14"/>
      <c r="N20284" s="14"/>
      <c r="O20284" s="14"/>
      <c r="P20284" s="13"/>
    </row>
    <row r="20285">
      <c r="L20285" s="13"/>
      <c r="M20285" s="14"/>
      <c r="N20285" s="14"/>
      <c r="O20285" s="14"/>
      <c r="P20285" s="13"/>
    </row>
    <row r="20286">
      <c r="L20286" s="13"/>
      <c r="M20286" s="14"/>
      <c r="N20286" s="14"/>
      <c r="O20286" s="14"/>
      <c r="P20286" s="13"/>
    </row>
    <row r="20287">
      <c r="L20287" s="13"/>
      <c r="M20287" s="14"/>
      <c r="N20287" s="14"/>
      <c r="O20287" s="14"/>
      <c r="P20287" s="13"/>
    </row>
    <row r="20288">
      <c r="L20288" s="13"/>
      <c r="M20288" s="14"/>
      <c r="N20288" s="14"/>
      <c r="O20288" s="14"/>
      <c r="P20288" s="13"/>
    </row>
    <row r="20289">
      <c r="L20289" s="13"/>
      <c r="M20289" s="14"/>
      <c r="N20289" s="14"/>
      <c r="O20289" s="14"/>
      <c r="P20289" s="13"/>
    </row>
    <row r="20290">
      <c r="L20290" s="13"/>
      <c r="M20290" s="14"/>
      <c r="N20290" s="14"/>
      <c r="O20290" s="14"/>
      <c r="P20290" s="13"/>
    </row>
    <row r="20291">
      <c r="L20291" s="13"/>
      <c r="M20291" s="14"/>
      <c r="N20291" s="14"/>
      <c r="O20291" s="14"/>
      <c r="P20291" s="13"/>
    </row>
    <row r="20292">
      <c r="L20292" s="13"/>
      <c r="M20292" s="14"/>
      <c r="N20292" s="14"/>
      <c r="O20292" s="14"/>
      <c r="P20292" s="13"/>
    </row>
    <row r="20293">
      <c r="L20293" s="13"/>
      <c r="M20293" s="14"/>
      <c r="N20293" s="14"/>
      <c r="O20293" s="14"/>
      <c r="P20293" s="13"/>
    </row>
    <row r="20294">
      <c r="L20294" s="13"/>
      <c r="M20294" s="14"/>
      <c r="N20294" s="14"/>
      <c r="O20294" s="14"/>
      <c r="P20294" s="13"/>
    </row>
    <row r="20295">
      <c r="L20295" s="13"/>
      <c r="M20295" s="14"/>
      <c r="N20295" s="14"/>
      <c r="O20295" s="14"/>
      <c r="P20295" s="13"/>
    </row>
    <row r="20296">
      <c r="L20296" s="13"/>
      <c r="M20296" s="14"/>
      <c r="N20296" s="14"/>
      <c r="O20296" s="14"/>
      <c r="P20296" s="13"/>
    </row>
    <row r="20297">
      <c r="L20297" s="13"/>
      <c r="M20297" s="14"/>
      <c r="N20297" s="14"/>
      <c r="O20297" s="14"/>
      <c r="P20297" s="13"/>
    </row>
    <row r="20298">
      <c r="L20298" s="13"/>
      <c r="M20298" s="14"/>
      <c r="N20298" s="14"/>
      <c r="O20298" s="14"/>
      <c r="P20298" s="13"/>
    </row>
    <row r="20299">
      <c r="L20299" s="13"/>
      <c r="M20299" s="14"/>
      <c r="N20299" s="14"/>
      <c r="O20299" s="14"/>
      <c r="P20299" s="13"/>
    </row>
    <row r="20300">
      <c r="L20300" s="13"/>
      <c r="M20300" s="14"/>
      <c r="N20300" s="14"/>
      <c r="O20300" s="14"/>
      <c r="P20300" s="13"/>
    </row>
    <row r="20301">
      <c r="L20301" s="13"/>
      <c r="M20301" s="14"/>
      <c r="N20301" s="14"/>
      <c r="O20301" s="14"/>
      <c r="P20301" s="13"/>
    </row>
    <row r="20302">
      <c r="L20302" s="13"/>
      <c r="M20302" s="14"/>
      <c r="N20302" s="14"/>
      <c r="O20302" s="14"/>
      <c r="P20302" s="13"/>
    </row>
    <row r="20303">
      <c r="L20303" s="13"/>
      <c r="M20303" s="14"/>
      <c r="N20303" s="14"/>
      <c r="O20303" s="14"/>
      <c r="P20303" s="13"/>
    </row>
    <row r="20304">
      <c r="L20304" s="13"/>
      <c r="M20304" s="14"/>
      <c r="N20304" s="14"/>
      <c r="O20304" s="14"/>
      <c r="P20304" s="13"/>
    </row>
    <row r="20305">
      <c r="L20305" s="13"/>
      <c r="M20305" s="14"/>
      <c r="N20305" s="14"/>
      <c r="O20305" s="14"/>
      <c r="P20305" s="13"/>
    </row>
    <row r="20306">
      <c r="L20306" s="13"/>
      <c r="M20306" s="14"/>
      <c r="N20306" s="14"/>
      <c r="O20306" s="14"/>
      <c r="P20306" s="13"/>
    </row>
    <row r="20307">
      <c r="L20307" s="13"/>
      <c r="M20307" s="14"/>
      <c r="N20307" s="14"/>
      <c r="O20307" s="14"/>
      <c r="P20307" s="13"/>
    </row>
    <row r="20308">
      <c r="L20308" s="13"/>
      <c r="M20308" s="14"/>
      <c r="N20308" s="14"/>
      <c r="O20308" s="14"/>
      <c r="P20308" s="13"/>
    </row>
    <row r="20309">
      <c r="L20309" s="13"/>
      <c r="M20309" s="14"/>
      <c r="N20309" s="14"/>
      <c r="O20309" s="14"/>
      <c r="P20309" s="13"/>
    </row>
    <row r="20310">
      <c r="L20310" s="13"/>
      <c r="M20310" s="14"/>
      <c r="N20310" s="14"/>
      <c r="O20310" s="14"/>
      <c r="P20310" s="13"/>
    </row>
    <row r="20311">
      <c r="L20311" s="13"/>
      <c r="M20311" s="14"/>
      <c r="N20311" s="14"/>
      <c r="O20311" s="14"/>
      <c r="P20311" s="13"/>
    </row>
    <row r="20312">
      <c r="L20312" s="13"/>
      <c r="M20312" s="14"/>
      <c r="N20312" s="14"/>
      <c r="O20312" s="14"/>
      <c r="P20312" s="13"/>
    </row>
    <row r="20313">
      <c r="L20313" s="13"/>
      <c r="M20313" s="14"/>
      <c r="N20313" s="14"/>
      <c r="O20313" s="14"/>
      <c r="P20313" s="13"/>
    </row>
    <row r="20314">
      <c r="L20314" s="13"/>
      <c r="M20314" s="14"/>
      <c r="N20314" s="14"/>
      <c r="O20314" s="14"/>
      <c r="P20314" s="13"/>
    </row>
    <row r="20315">
      <c r="L20315" s="13"/>
      <c r="M20315" s="14"/>
      <c r="N20315" s="14"/>
      <c r="O20315" s="14"/>
      <c r="P20315" s="13"/>
    </row>
    <row r="20316">
      <c r="L20316" s="13"/>
      <c r="M20316" s="14"/>
      <c r="N20316" s="14"/>
      <c r="O20316" s="14"/>
      <c r="P20316" s="13"/>
    </row>
    <row r="20317">
      <c r="L20317" s="13"/>
      <c r="M20317" s="14"/>
      <c r="N20317" s="14"/>
      <c r="O20317" s="14"/>
      <c r="P20317" s="13"/>
    </row>
    <row r="20318">
      <c r="L20318" s="13"/>
      <c r="M20318" s="14"/>
      <c r="N20318" s="14"/>
      <c r="O20318" s="14"/>
      <c r="P20318" s="13"/>
    </row>
    <row r="20319">
      <c r="L20319" s="13"/>
      <c r="M20319" s="14"/>
      <c r="N20319" s="14"/>
      <c r="O20319" s="14"/>
      <c r="P20319" s="13"/>
    </row>
    <row r="20320">
      <c r="L20320" s="13"/>
      <c r="M20320" s="14"/>
      <c r="N20320" s="14"/>
      <c r="O20320" s="14"/>
      <c r="P20320" s="13"/>
    </row>
    <row r="20321">
      <c r="L20321" s="13"/>
      <c r="M20321" s="14"/>
      <c r="N20321" s="14"/>
      <c r="O20321" s="14"/>
      <c r="P20321" s="13"/>
    </row>
    <row r="20322">
      <c r="L20322" s="13"/>
      <c r="M20322" s="14"/>
      <c r="N20322" s="14"/>
      <c r="O20322" s="14"/>
      <c r="P20322" s="13"/>
    </row>
    <row r="20323">
      <c r="L20323" s="13"/>
      <c r="M20323" s="14"/>
      <c r="N20323" s="14"/>
      <c r="O20323" s="14"/>
      <c r="P20323" s="13"/>
    </row>
    <row r="20324">
      <c r="L20324" s="13"/>
      <c r="M20324" s="14"/>
      <c r="N20324" s="14"/>
      <c r="O20324" s="14"/>
      <c r="P20324" s="13"/>
    </row>
    <row r="20325">
      <c r="L20325" s="13"/>
      <c r="M20325" s="14"/>
      <c r="N20325" s="14"/>
      <c r="O20325" s="14"/>
      <c r="P20325" s="13"/>
    </row>
    <row r="20326">
      <c r="L20326" s="13"/>
      <c r="M20326" s="14"/>
      <c r="N20326" s="14"/>
      <c r="O20326" s="14"/>
      <c r="P20326" s="13"/>
    </row>
    <row r="20327">
      <c r="L20327" s="13"/>
      <c r="M20327" s="14"/>
      <c r="N20327" s="14"/>
      <c r="O20327" s="14"/>
      <c r="P20327" s="13"/>
    </row>
    <row r="20328">
      <c r="L20328" s="13"/>
      <c r="M20328" s="14"/>
      <c r="N20328" s="14"/>
      <c r="O20328" s="14"/>
      <c r="P20328" s="13"/>
    </row>
    <row r="20329">
      <c r="L20329" s="13"/>
      <c r="M20329" s="14"/>
      <c r="N20329" s="14"/>
      <c r="O20329" s="14"/>
      <c r="P20329" s="13"/>
    </row>
    <row r="20330">
      <c r="L20330" s="13"/>
      <c r="M20330" s="14"/>
      <c r="N20330" s="14"/>
      <c r="O20330" s="14"/>
      <c r="P20330" s="13"/>
    </row>
    <row r="20331">
      <c r="L20331" s="13"/>
      <c r="M20331" s="14"/>
      <c r="N20331" s="14"/>
      <c r="O20331" s="14"/>
      <c r="P20331" s="13"/>
    </row>
    <row r="20332">
      <c r="L20332" s="13"/>
      <c r="M20332" s="14"/>
      <c r="N20332" s="14"/>
      <c r="O20332" s="14"/>
      <c r="P20332" s="13"/>
    </row>
    <row r="20333">
      <c r="L20333" s="13"/>
      <c r="M20333" s="14"/>
      <c r="N20333" s="14"/>
      <c r="O20333" s="14"/>
      <c r="P20333" s="13"/>
    </row>
    <row r="20334">
      <c r="L20334" s="13"/>
      <c r="M20334" s="14"/>
      <c r="N20334" s="14"/>
      <c r="O20334" s="14"/>
      <c r="P20334" s="13"/>
    </row>
    <row r="20335">
      <c r="L20335" s="13"/>
      <c r="M20335" s="14"/>
      <c r="N20335" s="14"/>
      <c r="O20335" s="14"/>
      <c r="P20335" s="13"/>
    </row>
    <row r="20336">
      <c r="L20336" s="13"/>
      <c r="M20336" s="14"/>
      <c r="N20336" s="14"/>
      <c r="O20336" s="14"/>
      <c r="P20336" s="13"/>
    </row>
    <row r="20337">
      <c r="L20337" s="13"/>
      <c r="M20337" s="14"/>
      <c r="N20337" s="14"/>
      <c r="O20337" s="14"/>
      <c r="P20337" s="13"/>
    </row>
    <row r="20338">
      <c r="L20338" s="13"/>
      <c r="M20338" s="14"/>
      <c r="N20338" s="14"/>
      <c r="O20338" s="14"/>
      <c r="P20338" s="13"/>
    </row>
    <row r="20339">
      <c r="L20339" s="13"/>
      <c r="M20339" s="14"/>
      <c r="N20339" s="14"/>
      <c r="O20339" s="14"/>
      <c r="P20339" s="13"/>
    </row>
    <row r="20340">
      <c r="L20340" s="13"/>
      <c r="M20340" s="14"/>
      <c r="N20340" s="14"/>
      <c r="O20340" s="14"/>
      <c r="P20340" s="13"/>
    </row>
    <row r="20341">
      <c r="L20341" s="13"/>
      <c r="M20341" s="14"/>
      <c r="N20341" s="14"/>
      <c r="O20341" s="14"/>
      <c r="P20341" s="13"/>
    </row>
    <row r="20342">
      <c r="L20342" s="13"/>
      <c r="M20342" s="14"/>
      <c r="N20342" s="14"/>
      <c r="O20342" s="14"/>
      <c r="P20342" s="13"/>
    </row>
    <row r="20343">
      <c r="L20343" s="13"/>
      <c r="M20343" s="14"/>
      <c r="N20343" s="14"/>
      <c r="O20343" s="14"/>
      <c r="P20343" s="13"/>
    </row>
    <row r="20344">
      <c r="L20344" s="13"/>
      <c r="M20344" s="14"/>
      <c r="N20344" s="14"/>
      <c r="O20344" s="14"/>
      <c r="P20344" s="13"/>
    </row>
    <row r="20345">
      <c r="L20345" s="13"/>
      <c r="M20345" s="14"/>
      <c r="N20345" s="14"/>
      <c r="O20345" s="14"/>
      <c r="P20345" s="13"/>
    </row>
    <row r="20346">
      <c r="L20346" s="13"/>
      <c r="M20346" s="14"/>
      <c r="N20346" s="14"/>
      <c r="O20346" s="14"/>
      <c r="P20346" s="13"/>
    </row>
    <row r="20347">
      <c r="L20347" s="13"/>
      <c r="M20347" s="14"/>
      <c r="N20347" s="14"/>
      <c r="O20347" s="14"/>
      <c r="P20347" s="13"/>
    </row>
    <row r="20348">
      <c r="L20348" s="13"/>
      <c r="M20348" s="14"/>
      <c r="N20348" s="14"/>
      <c r="O20348" s="14"/>
      <c r="P20348" s="13"/>
    </row>
    <row r="20349">
      <c r="L20349" s="13"/>
      <c r="M20349" s="14"/>
      <c r="N20349" s="14"/>
      <c r="O20349" s="14"/>
      <c r="P20349" s="13"/>
    </row>
    <row r="20350">
      <c r="L20350" s="13"/>
      <c r="M20350" s="14"/>
      <c r="N20350" s="14"/>
      <c r="O20350" s="14"/>
      <c r="P20350" s="13"/>
    </row>
    <row r="20351">
      <c r="L20351" s="13"/>
      <c r="M20351" s="14"/>
      <c r="N20351" s="14"/>
      <c r="O20351" s="14"/>
      <c r="P20351" s="13"/>
    </row>
    <row r="20352">
      <c r="L20352" s="13"/>
      <c r="M20352" s="14"/>
      <c r="N20352" s="14"/>
      <c r="O20352" s="14"/>
      <c r="P20352" s="13"/>
    </row>
    <row r="20353">
      <c r="L20353" s="13"/>
      <c r="M20353" s="14"/>
      <c r="N20353" s="14"/>
      <c r="O20353" s="14"/>
      <c r="P20353" s="13"/>
    </row>
    <row r="20354">
      <c r="L20354" s="13"/>
      <c r="M20354" s="14"/>
      <c r="N20354" s="14"/>
      <c r="O20354" s="14"/>
      <c r="P20354" s="13"/>
    </row>
    <row r="20355">
      <c r="L20355" s="13"/>
      <c r="M20355" s="14"/>
      <c r="N20355" s="14"/>
      <c r="O20355" s="14"/>
      <c r="P20355" s="13"/>
    </row>
    <row r="20356">
      <c r="L20356" s="13"/>
      <c r="M20356" s="14"/>
      <c r="N20356" s="14"/>
      <c r="O20356" s="14"/>
      <c r="P20356" s="13"/>
    </row>
    <row r="20357">
      <c r="L20357" s="13"/>
      <c r="M20357" s="14"/>
      <c r="N20357" s="14"/>
      <c r="O20357" s="14"/>
      <c r="P20357" s="13"/>
    </row>
    <row r="20358">
      <c r="L20358" s="13"/>
      <c r="M20358" s="14"/>
      <c r="N20358" s="14"/>
      <c r="O20358" s="14"/>
      <c r="P20358" s="13"/>
    </row>
    <row r="20359">
      <c r="L20359" s="13"/>
      <c r="M20359" s="14"/>
      <c r="N20359" s="14"/>
      <c r="O20359" s="14"/>
      <c r="P20359" s="13"/>
    </row>
    <row r="20360">
      <c r="L20360" s="13"/>
      <c r="M20360" s="14"/>
      <c r="N20360" s="14"/>
      <c r="O20360" s="14"/>
      <c r="P20360" s="13"/>
    </row>
    <row r="20361">
      <c r="L20361" s="13"/>
      <c r="M20361" s="14"/>
      <c r="N20361" s="14"/>
      <c r="O20361" s="14"/>
      <c r="P20361" s="13"/>
    </row>
    <row r="20362">
      <c r="L20362" s="13"/>
      <c r="M20362" s="14"/>
      <c r="N20362" s="14"/>
      <c r="O20362" s="14"/>
      <c r="P20362" s="13"/>
    </row>
    <row r="20363">
      <c r="L20363" s="13"/>
      <c r="M20363" s="14"/>
      <c r="N20363" s="14"/>
      <c r="O20363" s="14"/>
      <c r="P20363" s="13"/>
    </row>
    <row r="20364">
      <c r="L20364" s="13"/>
      <c r="M20364" s="14"/>
      <c r="N20364" s="14"/>
      <c r="O20364" s="14"/>
      <c r="P20364" s="13"/>
    </row>
    <row r="20365">
      <c r="L20365" s="13"/>
      <c r="M20365" s="14"/>
      <c r="N20365" s="14"/>
      <c r="O20365" s="14"/>
      <c r="P20365" s="13"/>
    </row>
    <row r="20366">
      <c r="L20366" s="13"/>
      <c r="M20366" s="14"/>
      <c r="N20366" s="14"/>
      <c r="O20366" s="14"/>
      <c r="P20366" s="13"/>
    </row>
    <row r="20367">
      <c r="L20367" s="13"/>
      <c r="M20367" s="14"/>
      <c r="N20367" s="14"/>
      <c r="O20367" s="14"/>
      <c r="P20367" s="13"/>
    </row>
    <row r="20368">
      <c r="L20368" s="13"/>
      <c r="M20368" s="14"/>
      <c r="N20368" s="14"/>
      <c r="O20368" s="14"/>
      <c r="P20368" s="13"/>
    </row>
    <row r="20369">
      <c r="L20369" s="13"/>
      <c r="M20369" s="14"/>
      <c r="N20369" s="14"/>
      <c r="O20369" s="14"/>
      <c r="P20369" s="13"/>
    </row>
    <row r="20370">
      <c r="L20370" s="13"/>
      <c r="M20370" s="14"/>
      <c r="N20370" s="14"/>
      <c r="O20370" s="14"/>
      <c r="P20370" s="13"/>
    </row>
    <row r="20371">
      <c r="L20371" s="13"/>
      <c r="M20371" s="14"/>
      <c r="N20371" s="14"/>
      <c r="O20371" s="14"/>
      <c r="P20371" s="13"/>
    </row>
    <row r="20372">
      <c r="L20372" s="13"/>
      <c r="M20372" s="14"/>
      <c r="N20372" s="14"/>
      <c r="O20372" s="14"/>
      <c r="P20372" s="13"/>
    </row>
    <row r="20373">
      <c r="L20373" s="13"/>
      <c r="M20373" s="14"/>
      <c r="N20373" s="14"/>
      <c r="O20373" s="14"/>
      <c r="P20373" s="13"/>
    </row>
    <row r="20374">
      <c r="L20374" s="13"/>
      <c r="M20374" s="14"/>
      <c r="N20374" s="14"/>
      <c r="O20374" s="14"/>
      <c r="P20374" s="13"/>
    </row>
    <row r="20375">
      <c r="L20375" s="13"/>
      <c r="M20375" s="14"/>
      <c r="N20375" s="14"/>
      <c r="O20375" s="14"/>
      <c r="P20375" s="13"/>
    </row>
    <row r="20376">
      <c r="L20376" s="13"/>
      <c r="M20376" s="14"/>
      <c r="N20376" s="14"/>
      <c r="O20376" s="14"/>
      <c r="P20376" s="13"/>
    </row>
    <row r="20377">
      <c r="L20377" s="13"/>
      <c r="M20377" s="14"/>
      <c r="N20377" s="14"/>
      <c r="O20377" s="14"/>
      <c r="P20377" s="13"/>
    </row>
    <row r="20378">
      <c r="L20378" s="13"/>
      <c r="M20378" s="14"/>
      <c r="N20378" s="14"/>
      <c r="O20378" s="14"/>
      <c r="P20378" s="13"/>
    </row>
    <row r="20379">
      <c r="L20379" s="13"/>
      <c r="M20379" s="14"/>
      <c r="N20379" s="14"/>
      <c r="O20379" s="14"/>
      <c r="P20379" s="13"/>
    </row>
    <row r="20380">
      <c r="L20380" s="13"/>
      <c r="M20380" s="14"/>
      <c r="N20380" s="14"/>
      <c r="O20380" s="14"/>
      <c r="P20380" s="13"/>
    </row>
    <row r="20381">
      <c r="L20381" s="13"/>
      <c r="M20381" s="14"/>
      <c r="N20381" s="14"/>
      <c r="O20381" s="14"/>
      <c r="P20381" s="13"/>
    </row>
    <row r="20382">
      <c r="L20382" s="13"/>
      <c r="M20382" s="14"/>
      <c r="N20382" s="14"/>
      <c r="O20382" s="14"/>
      <c r="P20382" s="13"/>
    </row>
    <row r="20383">
      <c r="L20383" s="13"/>
      <c r="M20383" s="14"/>
      <c r="N20383" s="14"/>
      <c r="O20383" s="14"/>
      <c r="P20383" s="13"/>
    </row>
    <row r="20384">
      <c r="L20384" s="13"/>
      <c r="M20384" s="14"/>
      <c r="N20384" s="14"/>
      <c r="O20384" s="14"/>
      <c r="P20384" s="13"/>
    </row>
    <row r="20385">
      <c r="L20385" s="13"/>
      <c r="M20385" s="14"/>
      <c r="N20385" s="14"/>
      <c r="O20385" s="14"/>
      <c r="P20385" s="13"/>
    </row>
    <row r="20386">
      <c r="L20386" s="13"/>
      <c r="M20386" s="14"/>
      <c r="N20386" s="14"/>
      <c r="O20386" s="14"/>
      <c r="P20386" s="13"/>
    </row>
    <row r="20387">
      <c r="L20387" s="13"/>
      <c r="M20387" s="14"/>
      <c r="N20387" s="14"/>
      <c r="O20387" s="14"/>
      <c r="P20387" s="13"/>
    </row>
    <row r="20388">
      <c r="L20388" s="13"/>
      <c r="M20388" s="14"/>
      <c r="N20388" s="14"/>
      <c r="O20388" s="14"/>
      <c r="P20388" s="13"/>
    </row>
    <row r="20389">
      <c r="L20389" s="13"/>
      <c r="M20389" s="14"/>
      <c r="N20389" s="14"/>
      <c r="O20389" s="14"/>
      <c r="P20389" s="13"/>
    </row>
    <row r="20390">
      <c r="L20390" s="13"/>
      <c r="M20390" s="14"/>
      <c r="N20390" s="14"/>
      <c r="O20390" s="14"/>
      <c r="P20390" s="13"/>
    </row>
    <row r="20391">
      <c r="L20391" s="13"/>
      <c r="M20391" s="14"/>
      <c r="N20391" s="14"/>
      <c r="O20391" s="14"/>
      <c r="P20391" s="13"/>
    </row>
    <row r="20392">
      <c r="L20392" s="13"/>
      <c r="M20392" s="14"/>
      <c r="N20392" s="14"/>
      <c r="O20392" s="14"/>
      <c r="P20392" s="13"/>
    </row>
    <row r="20393">
      <c r="L20393" s="13"/>
      <c r="M20393" s="14"/>
      <c r="N20393" s="14"/>
      <c r="O20393" s="14"/>
      <c r="P20393" s="13"/>
    </row>
    <row r="20394">
      <c r="L20394" s="13"/>
      <c r="M20394" s="14"/>
      <c r="N20394" s="14"/>
      <c r="O20394" s="14"/>
      <c r="P20394" s="13"/>
    </row>
    <row r="20395">
      <c r="L20395" s="13"/>
      <c r="M20395" s="14"/>
      <c r="N20395" s="14"/>
      <c r="O20395" s="14"/>
      <c r="P20395" s="13"/>
    </row>
    <row r="20396">
      <c r="L20396" s="13"/>
      <c r="M20396" s="14"/>
      <c r="N20396" s="14"/>
      <c r="O20396" s="14"/>
      <c r="P20396" s="13"/>
    </row>
    <row r="20397">
      <c r="L20397" s="13"/>
      <c r="M20397" s="14"/>
      <c r="N20397" s="14"/>
      <c r="O20397" s="14"/>
      <c r="P20397" s="13"/>
    </row>
    <row r="20398">
      <c r="L20398" s="13"/>
      <c r="M20398" s="14"/>
      <c r="N20398" s="14"/>
      <c r="O20398" s="14"/>
      <c r="P20398" s="13"/>
    </row>
    <row r="20399">
      <c r="L20399" s="13"/>
      <c r="M20399" s="14"/>
      <c r="N20399" s="14"/>
      <c r="O20399" s="14"/>
      <c r="P20399" s="13"/>
    </row>
    <row r="20400">
      <c r="L20400" s="13"/>
      <c r="M20400" s="14"/>
      <c r="N20400" s="14"/>
      <c r="O20400" s="14"/>
      <c r="P20400" s="13"/>
    </row>
    <row r="20401">
      <c r="L20401" s="13"/>
      <c r="M20401" s="14"/>
      <c r="N20401" s="14"/>
      <c r="O20401" s="14"/>
      <c r="P20401" s="13"/>
    </row>
    <row r="20402">
      <c r="L20402" s="13"/>
      <c r="M20402" s="14"/>
      <c r="N20402" s="14"/>
      <c r="O20402" s="14"/>
      <c r="P20402" s="13"/>
    </row>
    <row r="20403">
      <c r="L20403" s="13"/>
      <c r="M20403" s="14"/>
      <c r="N20403" s="14"/>
      <c r="O20403" s="14"/>
      <c r="P20403" s="13"/>
    </row>
    <row r="20404">
      <c r="L20404" s="13"/>
      <c r="M20404" s="14"/>
      <c r="N20404" s="14"/>
      <c r="O20404" s="14"/>
      <c r="P20404" s="13"/>
    </row>
    <row r="20405">
      <c r="L20405" s="13"/>
      <c r="M20405" s="14"/>
      <c r="N20405" s="14"/>
      <c r="O20405" s="14"/>
      <c r="P20405" s="13"/>
    </row>
    <row r="20406">
      <c r="L20406" s="13"/>
      <c r="M20406" s="14"/>
      <c r="N20406" s="14"/>
      <c r="O20406" s="14"/>
      <c r="P20406" s="13"/>
    </row>
    <row r="20407">
      <c r="L20407" s="13"/>
      <c r="M20407" s="14"/>
      <c r="N20407" s="14"/>
      <c r="O20407" s="14"/>
      <c r="P20407" s="13"/>
    </row>
    <row r="20408">
      <c r="L20408" s="13"/>
      <c r="M20408" s="14"/>
      <c r="N20408" s="14"/>
      <c r="O20408" s="14"/>
      <c r="P20408" s="13"/>
    </row>
    <row r="20409">
      <c r="L20409" s="13"/>
      <c r="M20409" s="14"/>
      <c r="N20409" s="14"/>
      <c r="O20409" s="14"/>
      <c r="P20409" s="13"/>
    </row>
    <row r="20410">
      <c r="L20410" s="13"/>
      <c r="M20410" s="14"/>
      <c r="N20410" s="14"/>
      <c r="O20410" s="14"/>
      <c r="P20410" s="13"/>
    </row>
    <row r="20411">
      <c r="L20411" s="13"/>
      <c r="M20411" s="14"/>
      <c r="N20411" s="14"/>
      <c r="O20411" s="14"/>
      <c r="P20411" s="13"/>
    </row>
    <row r="20412">
      <c r="L20412" s="13"/>
      <c r="M20412" s="14"/>
      <c r="N20412" s="14"/>
      <c r="O20412" s="14"/>
      <c r="P20412" s="13"/>
    </row>
    <row r="20413">
      <c r="L20413" s="13"/>
      <c r="M20413" s="14"/>
      <c r="N20413" s="14"/>
      <c r="O20413" s="14"/>
      <c r="P20413" s="13"/>
    </row>
    <row r="20414">
      <c r="L20414" s="13"/>
      <c r="M20414" s="14"/>
      <c r="N20414" s="14"/>
      <c r="O20414" s="14"/>
      <c r="P20414" s="13"/>
    </row>
    <row r="20415">
      <c r="L20415" s="13"/>
      <c r="M20415" s="14"/>
      <c r="N20415" s="14"/>
      <c r="O20415" s="14"/>
      <c r="P20415" s="13"/>
    </row>
    <row r="20416">
      <c r="L20416" s="13"/>
      <c r="M20416" s="14"/>
      <c r="N20416" s="14"/>
      <c r="O20416" s="14"/>
      <c r="P20416" s="13"/>
    </row>
    <row r="20417">
      <c r="L20417" s="13"/>
      <c r="M20417" s="14"/>
      <c r="N20417" s="14"/>
      <c r="O20417" s="14"/>
      <c r="P20417" s="13"/>
    </row>
    <row r="20418">
      <c r="L20418" s="13"/>
      <c r="M20418" s="14"/>
      <c r="N20418" s="14"/>
      <c r="O20418" s="14"/>
      <c r="P20418" s="13"/>
    </row>
    <row r="20419">
      <c r="L20419" s="13"/>
      <c r="M20419" s="14"/>
      <c r="N20419" s="14"/>
      <c r="O20419" s="14"/>
      <c r="P20419" s="13"/>
    </row>
    <row r="20420">
      <c r="L20420" s="13"/>
      <c r="M20420" s="14"/>
      <c r="N20420" s="14"/>
      <c r="O20420" s="14"/>
      <c r="P20420" s="13"/>
    </row>
    <row r="20421">
      <c r="L20421" s="13"/>
      <c r="M20421" s="14"/>
      <c r="N20421" s="14"/>
      <c r="O20421" s="14"/>
      <c r="P20421" s="13"/>
    </row>
    <row r="20422">
      <c r="L20422" s="13"/>
      <c r="M20422" s="14"/>
      <c r="N20422" s="14"/>
      <c r="O20422" s="14"/>
      <c r="P20422" s="13"/>
    </row>
    <row r="20423">
      <c r="L20423" s="13"/>
      <c r="M20423" s="14"/>
      <c r="N20423" s="14"/>
      <c r="O20423" s="14"/>
      <c r="P20423" s="13"/>
    </row>
    <row r="20424">
      <c r="L20424" s="13"/>
      <c r="M20424" s="14"/>
      <c r="N20424" s="14"/>
      <c r="O20424" s="14"/>
      <c r="P20424" s="13"/>
    </row>
    <row r="20425">
      <c r="L20425" s="13"/>
      <c r="M20425" s="14"/>
      <c r="N20425" s="14"/>
      <c r="O20425" s="14"/>
      <c r="P20425" s="13"/>
    </row>
    <row r="20426">
      <c r="L20426" s="13"/>
      <c r="M20426" s="14"/>
      <c r="N20426" s="14"/>
      <c r="O20426" s="14"/>
      <c r="P20426" s="13"/>
    </row>
    <row r="20427">
      <c r="L20427" s="13"/>
      <c r="M20427" s="14"/>
      <c r="N20427" s="14"/>
      <c r="O20427" s="14"/>
      <c r="P20427" s="13"/>
    </row>
    <row r="20428">
      <c r="L20428" s="13"/>
      <c r="M20428" s="14"/>
      <c r="N20428" s="14"/>
      <c r="O20428" s="14"/>
      <c r="P20428" s="13"/>
    </row>
    <row r="20429">
      <c r="L20429" s="13"/>
      <c r="M20429" s="14"/>
      <c r="N20429" s="14"/>
      <c r="O20429" s="14"/>
      <c r="P20429" s="13"/>
    </row>
    <row r="20430">
      <c r="L20430" s="13"/>
      <c r="M20430" s="14"/>
      <c r="N20430" s="14"/>
      <c r="O20430" s="14"/>
      <c r="P20430" s="13"/>
    </row>
    <row r="20431">
      <c r="L20431" s="13"/>
      <c r="M20431" s="14"/>
      <c r="N20431" s="14"/>
      <c r="O20431" s="14"/>
      <c r="P20431" s="13"/>
    </row>
    <row r="20432">
      <c r="L20432" s="13"/>
      <c r="M20432" s="14"/>
      <c r="N20432" s="14"/>
      <c r="O20432" s="14"/>
      <c r="P20432" s="13"/>
    </row>
    <row r="20433">
      <c r="L20433" s="13"/>
      <c r="M20433" s="14"/>
      <c r="N20433" s="14"/>
      <c r="O20433" s="14"/>
      <c r="P20433" s="13"/>
    </row>
    <row r="20434">
      <c r="L20434" s="13"/>
      <c r="M20434" s="14"/>
      <c r="N20434" s="14"/>
      <c r="O20434" s="14"/>
      <c r="P20434" s="13"/>
    </row>
    <row r="20435">
      <c r="L20435" s="13"/>
      <c r="M20435" s="14"/>
      <c r="N20435" s="14"/>
      <c r="O20435" s="14"/>
      <c r="P20435" s="13"/>
    </row>
    <row r="20436">
      <c r="L20436" s="13"/>
      <c r="M20436" s="14"/>
      <c r="N20436" s="14"/>
      <c r="O20436" s="14"/>
      <c r="P20436" s="13"/>
    </row>
    <row r="20437">
      <c r="L20437" s="13"/>
      <c r="M20437" s="14"/>
      <c r="N20437" s="14"/>
      <c r="O20437" s="14"/>
      <c r="P20437" s="13"/>
    </row>
    <row r="20438">
      <c r="L20438" s="13"/>
      <c r="M20438" s="14"/>
      <c r="N20438" s="14"/>
      <c r="O20438" s="14"/>
      <c r="P20438" s="13"/>
    </row>
    <row r="20439">
      <c r="L20439" s="13"/>
      <c r="M20439" s="14"/>
      <c r="N20439" s="14"/>
      <c r="O20439" s="14"/>
      <c r="P20439" s="13"/>
    </row>
    <row r="20440">
      <c r="L20440" s="13"/>
      <c r="M20440" s="14"/>
      <c r="N20440" s="14"/>
      <c r="O20440" s="14"/>
      <c r="P20440" s="13"/>
    </row>
    <row r="20441">
      <c r="L20441" s="13"/>
      <c r="M20441" s="14"/>
      <c r="N20441" s="14"/>
      <c r="O20441" s="14"/>
      <c r="P20441" s="13"/>
    </row>
    <row r="20442">
      <c r="L20442" s="13"/>
      <c r="M20442" s="14"/>
      <c r="N20442" s="14"/>
      <c r="O20442" s="14"/>
      <c r="P20442" s="13"/>
    </row>
    <row r="20443">
      <c r="L20443" s="13"/>
      <c r="M20443" s="14"/>
      <c r="N20443" s="14"/>
      <c r="O20443" s="14"/>
      <c r="P20443" s="13"/>
    </row>
    <row r="20444">
      <c r="L20444" s="13"/>
      <c r="M20444" s="14"/>
      <c r="N20444" s="14"/>
      <c r="O20444" s="14"/>
      <c r="P20444" s="13"/>
    </row>
    <row r="20445">
      <c r="L20445" s="13"/>
      <c r="M20445" s="14"/>
      <c r="N20445" s="14"/>
      <c r="O20445" s="14"/>
      <c r="P20445" s="13"/>
    </row>
    <row r="20446">
      <c r="L20446" s="13"/>
      <c r="M20446" s="14"/>
      <c r="N20446" s="14"/>
      <c r="O20446" s="14"/>
      <c r="P20446" s="13"/>
    </row>
    <row r="20447">
      <c r="L20447" s="13"/>
      <c r="M20447" s="14"/>
      <c r="N20447" s="14"/>
      <c r="O20447" s="14"/>
      <c r="P20447" s="13"/>
    </row>
    <row r="20448">
      <c r="L20448" s="13"/>
      <c r="M20448" s="14"/>
      <c r="N20448" s="14"/>
      <c r="O20448" s="14"/>
      <c r="P20448" s="13"/>
    </row>
    <row r="20449">
      <c r="L20449" s="13"/>
      <c r="M20449" s="14"/>
      <c r="N20449" s="14"/>
      <c r="O20449" s="14"/>
      <c r="P20449" s="13"/>
    </row>
    <row r="20450">
      <c r="L20450" s="13"/>
      <c r="M20450" s="14"/>
      <c r="N20450" s="14"/>
      <c r="O20450" s="14"/>
      <c r="P20450" s="13"/>
    </row>
    <row r="20451">
      <c r="L20451" s="13"/>
      <c r="M20451" s="14"/>
      <c r="N20451" s="14"/>
      <c r="O20451" s="14"/>
      <c r="P20451" s="13"/>
    </row>
    <row r="20452">
      <c r="L20452" s="13"/>
      <c r="M20452" s="14"/>
      <c r="N20452" s="14"/>
      <c r="O20452" s="14"/>
      <c r="P20452" s="13"/>
    </row>
    <row r="20453">
      <c r="L20453" s="13"/>
      <c r="M20453" s="14"/>
      <c r="N20453" s="14"/>
      <c r="O20453" s="14"/>
      <c r="P20453" s="13"/>
    </row>
    <row r="20454">
      <c r="L20454" s="13"/>
      <c r="M20454" s="14"/>
      <c r="N20454" s="14"/>
      <c r="O20454" s="14"/>
      <c r="P20454" s="13"/>
    </row>
    <row r="20455">
      <c r="L20455" s="13"/>
      <c r="M20455" s="14"/>
      <c r="N20455" s="14"/>
      <c r="O20455" s="14"/>
      <c r="P20455" s="13"/>
    </row>
    <row r="20456">
      <c r="L20456" s="13"/>
      <c r="M20456" s="14"/>
      <c r="N20456" s="14"/>
      <c r="O20456" s="14"/>
      <c r="P20456" s="13"/>
    </row>
    <row r="20457">
      <c r="L20457" s="13"/>
      <c r="M20457" s="14"/>
      <c r="N20457" s="14"/>
      <c r="O20457" s="14"/>
      <c r="P20457" s="13"/>
    </row>
    <row r="20458">
      <c r="L20458" s="13"/>
      <c r="M20458" s="14"/>
      <c r="N20458" s="14"/>
      <c r="O20458" s="14"/>
      <c r="P20458" s="13"/>
    </row>
    <row r="20459">
      <c r="L20459" s="13"/>
      <c r="M20459" s="14"/>
      <c r="N20459" s="14"/>
      <c r="O20459" s="14"/>
      <c r="P20459" s="13"/>
    </row>
    <row r="20460">
      <c r="L20460" s="13"/>
      <c r="M20460" s="14"/>
      <c r="N20460" s="14"/>
      <c r="O20460" s="14"/>
      <c r="P20460" s="13"/>
    </row>
    <row r="20461">
      <c r="L20461" s="13"/>
      <c r="M20461" s="14"/>
      <c r="N20461" s="14"/>
      <c r="O20461" s="14"/>
      <c r="P20461" s="13"/>
    </row>
    <row r="20462">
      <c r="L20462" s="13"/>
      <c r="M20462" s="14"/>
      <c r="N20462" s="14"/>
      <c r="O20462" s="14"/>
      <c r="P20462" s="13"/>
    </row>
    <row r="20463">
      <c r="L20463" s="13"/>
      <c r="M20463" s="14"/>
      <c r="N20463" s="14"/>
      <c r="O20463" s="14"/>
      <c r="P20463" s="13"/>
    </row>
    <row r="20464">
      <c r="L20464" s="13"/>
      <c r="M20464" s="14"/>
      <c r="N20464" s="14"/>
      <c r="O20464" s="14"/>
      <c r="P20464" s="13"/>
    </row>
    <row r="20465">
      <c r="L20465" s="13"/>
      <c r="M20465" s="14"/>
      <c r="N20465" s="14"/>
      <c r="O20465" s="14"/>
      <c r="P20465" s="13"/>
    </row>
    <row r="20466">
      <c r="L20466" s="13"/>
      <c r="M20466" s="14"/>
      <c r="N20466" s="14"/>
      <c r="O20466" s="14"/>
      <c r="P20466" s="13"/>
    </row>
    <row r="20467">
      <c r="L20467" s="13"/>
      <c r="M20467" s="14"/>
      <c r="N20467" s="14"/>
      <c r="O20467" s="14"/>
      <c r="P20467" s="13"/>
    </row>
    <row r="20468">
      <c r="L20468" s="13"/>
      <c r="M20468" s="14"/>
      <c r="N20468" s="14"/>
      <c r="O20468" s="14"/>
      <c r="P20468" s="13"/>
    </row>
    <row r="20469">
      <c r="L20469" s="13"/>
      <c r="M20469" s="14"/>
      <c r="N20469" s="14"/>
      <c r="O20469" s="14"/>
      <c r="P20469" s="13"/>
    </row>
    <row r="20470">
      <c r="L20470" s="13"/>
      <c r="M20470" s="14"/>
      <c r="N20470" s="14"/>
      <c r="O20470" s="14"/>
      <c r="P20470" s="13"/>
    </row>
    <row r="20471">
      <c r="L20471" s="13"/>
      <c r="M20471" s="14"/>
      <c r="N20471" s="14"/>
      <c r="O20471" s="14"/>
      <c r="P20471" s="13"/>
    </row>
    <row r="20472">
      <c r="L20472" s="13"/>
      <c r="M20472" s="14"/>
      <c r="N20472" s="14"/>
      <c r="O20472" s="14"/>
      <c r="P20472" s="13"/>
    </row>
    <row r="20473">
      <c r="L20473" s="13"/>
      <c r="M20473" s="14"/>
      <c r="N20473" s="14"/>
      <c r="O20473" s="14"/>
      <c r="P20473" s="13"/>
    </row>
    <row r="20474">
      <c r="L20474" s="13"/>
      <c r="M20474" s="14"/>
      <c r="N20474" s="14"/>
      <c r="O20474" s="14"/>
      <c r="P20474" s="13"/>
    </row>
    <row r="20475">
      <c r="L20475" s="13"/>
      <c r="M20475" s="14"/>
      <c r="N20475" s="14"/>
      <c r="O20475" s="14"/>
      <c r="P20475" s="13"/>
    </row>
    <row r="20476">
      <c r="L20476" s="13"/>
      <c r="M20476" s="14"/>
      <c r="N20476" s="14"/>
      <c r="O20476" s="14"/>
      <c r="P20476" s="13"/>
    </row>
    <row r="20477">
      <c r="L20477" s="13"/>
      <c r="M20477" s="14"/>
      <c r="N20477" s="14"/>
      <c r="O20477" s="14"/>
      <c r="P20477" s="13"/>
    </row>
    <row r="20478">
      <c r="L20478" s="13"/>
      <c r="M20478" s="14"/>
      <c r="N20478" s="14"/>
      <c r="O20478" s="14"/>
      <c r="P20478" s="13"/>
    </row>
    <row r="20479">
      <c r="L20479" s="13"/>
      <c r="M20479" s="14"/>
      <c r="N20479" s="14"/>
      <c r="O20479" s="14"/>
      <c r="P20479" s="13"/>
    </row>
    <row r="20480">
      <c r="L20480" s="13"/>
      <c r="M20480" s="14"/>
      <c r="N20480" s="14"/>
      <c r="O20480" s="14"/>
      <c r="P20480" s="13"/>
    </row>
    <row r="20481">
      <c r="L20481" s="13"/>
      <c r="M20481" s="14"/>
      <c r="N20481" s="14"/>
      <c r="O20481" s="14"/>
      <c r="P20481" s="13"/>
    </row>
    <row r="20482">
      <c r="L20482" s="13"/>
      <c r="M20482" s="14"/>
      <c r="N20482" s="14"/>
      <c r="O20482" s="14"/>
      <c r="P20482" s="13"/>
    </row>
    <row r="20483">
      <c r="L20483" s="13"/>
      <c r="M20483" s="14"/>
      <c r="N20483" s="14"/>
      <c r="O20483" s="14"/>
      <c r="P20483" s="13"/>
    </row>
    <row r="20484">
      <c r="L20484" s="13"/>
      <c r="M20484" s="14"/>
      <c r="N20484" s="14"/>
      <c r="O20484" s="14"/>
      <c r="P20484" s="13"/>
    </row>
    <row r="20485">
      <c r="L20485" s="13"/>
      <c r="M20485" s="14"/>
      <c r="N20485" s="14"/>
      <c r="O20485" s="14"/>
      <c r="P20485" s="13"/>
    </row>
    <row r="20486">
      <c r="L20486" s="13"/>
      <c r="M20486" s="14"/>
      <c r="N20486" s="14"/>
      <c r="O20486" s="14"/>
      <c r="P20486" s="13"/>
    </row>
    <row r="20487">
      <c r="L20487" s="13"/>
      <c r="M20487" s="14"/>
      <c r="N20487" s="14"/>
      <c r="O20487" s="14"/>
      <c r="P20487" s="13"/>
    </row>
    <row r="20488">
      <c r="L20488" s="13"/>
      <c r="M20488" s="14"/>
      <c r="N20488" s="14"/>
      <c r="O20488" s="14"/>
      <c r="P20488" s="13"/>
    </row>
    <row r="20489">
      <c r="L20489" s="13"/>
      <c r="M20489" s="14"/>
      <c r="N20489" s="14"/>
      <c r="O20489" s="14"/>
      <c r="P20489" s="13"/>
    </row>
    <row r="20490">
      <c r="L20490" s="13"/>
      <c r="M20490" s="14"/>
      <c r="N20490" s="14"/>
      <c r="O20490" s="14"/>
      <c r="P20490" s="13"/>
    </row>
    <row r="20491">
      <c r="L20491" s="13"/>
      <c r="M20491" s="14"/>
      <c r="N20491" s="14"/>
      <c r="O20491" s="14"/>
      <c r="P20491" s="13"/>
    </row>
    <row r="20492">
      <c r="L20492" s="13"/>
      <c r="M20492" s="14"/>
      <c r="N20492" s="14"/>
      <c r="O20492" s="14"/>
      <c r="P20492" s="13"/>
    </row>
    <row r="20493">
      <c r="L20493" s="13"/>
      <c r="M20493" s="14"/>
      <c r="N20493" s="14"/>
      <c r="O20493" s="14"/>
      <c r="P20493" s="13"/>
    </row>
    <row r="20494">
      <c r="L20494" s="13"/>
      <c r="M20494" s="14"/>
      <c r="N20494" s="14"/>
      <c r="O20494" s="14"/>
      <c r="P20494" s="13"/>
    </row>
    <row r="20495">
      <c r="L20495" s="13"/>
      <c r="M20495" s="14"/>
      <c r="N20495" s="14"/>
      <c r="O20495" s="14"/>
      <c r="P20495" s="13"/>
    </row>
    <row r="20496">
      <c r="L20496" s="13"/>
      <c r="M20496" s="14"/>
      <c r="N20496" s="14"/>
      <c r="O20496" s="14"/>
      <c r="P20496" s="13"/>
    </row>
    <row r="20497">
      <c r="L20497" s="13"/>
      <c r="M20497" s="14"/>
      <c r="N20497" s="14"/>
      <c r="O20497" s="14"/>
      <c r="P20497" s="13"/>
    </row>
    <row r="20498">
      <c r="L20498" s="13"/>
      <c r="M20498" s="14"/>
      <c r="N20498" s="14"/>
      <c r="O20498" s="14"/>
      <c r="P20498" s="13"/>
    </row>
    <row r="20499">
      <c r="L20499" s="13"/>
      <c r="M20499" s="14"/>
      <c r="N20499" s="14"/>
      <c r="O20499" s="14"/>
      <c r="P20499" s="13"/>
    </row>
    <row r="20500">
      <c r="L20500" s="13"/>
      <c r="M20500" s="14"/>
      <c r="N20500" s="14"/>
      <c r="O20500" s="14"/>
      <c r="P20500" s="13"/>
    </row>
    <row r="20501">
      <c r="L20501" s="13"/>
      <c r="M20501" s="14"/>
      <c r="N20501" s="14"/>
      <c r="O20501" s="14"/>
      <c r="P20501" s="13"/>
    </row>
    <row r="20502">
      <c r="L20502" s="13"/>
      <c r="M20502" s="14"/>
      <c r="N20502" s="14"/>
      <c r="O20502" s="14"/>
      <c r="P20502" s="13"/>
    </row>
    <row r="20503">
      <c r="L20503" s="13"/>
      <c r="M20503" s="14"/>
      <c r="N20503" s="14"/>
      <c r="O20503" s="14"/>
      <c r="P20503" s="13"/>
    </row>
    <row r="20504">
      <c r="L20504" s="13"/>
      <c r="M20504" s="14"/>
      <c r="N20504" s="14"/>
      <c r="O20504" s="14"/>
      <c r="P20504" s="13"/>
    </row>
    <row r="20505">
      <c r="L20505" s="13"/>
      <c r="M20505" s="14"/>
      <c r="N20505" s="14"/>
      <c r="O20505" s="14"/>
      <c r="P20505" s="13"/>
    </row>
    <row r="20506">
      <c r="L20506" s="13"/>
      <c r="M20506" s="14"/>
      <c r="N20506" s="14"/>
      <c r="O20506" s="14"/>
      <c r="P20506" s="13"/>
    </row>
    <row r="20507">
      <c r="L20507" s="13"/>
      <c r="M20507" s="14"/>
      <c r="N20507" s="14"/>
      <c r="O20507" s="14"/>
      <c r="P20507" s="13"/>
    </row>
    <row r="20508">
      <c r="L20508" s="13"/>
      <c r="M20508" s="14"/>
      <c r="N20508" s="14"/>
      <c r="O20508" s="14"/>
      <c r="P20508" s="13"/>
    </row>
    <row r="20509">
      <c r="L20509" s="13"/>
      <c r="M20509" s="14"/>
      <c r="N20509" s="14"/>
      <c r="O20509" s="14"/>
      <c r="P20509" s="13"/>
    </row>
    <row r="20510">
      <c r="L20510" s="13"/>
      <c r="M20510" s="14"/>
      <c r="N20510" s="14"/>
      <c r="O20510" s="14"/>
      <c r="P20510" s="13"/>
    </row>
    <row r="20511">
      <c r="L20511" s="13"/>
      <c r="M20511" s="14"/>
      <c r="N20511" s="14"/>
      <c r="O20511" s="14"/>
      <c r="P20511" s="13"/>
    </row>
    <row r="20512">
      <c r="L20512" s="13"/>
      <c r="M20512" s="14"/>
      <c r="N20512" s="14"/>
      <c r="O20512" s="14"/>
      <c r="P20512" s="13"/>
    </row>
    <row r="20513">
      <c r="L20513" s="13"/>
      <c r="M20513" s="14"/>
      <c r="N20513" s="14"/>
      <c r="O20513" s="14"/>
      <c r="P20513" s="13"/>
    </row>
    <row r="20514">
      <c r="L20514" s="13"/>
      <c r="M20514" s="14"/>
      <c r="N20514" s="14"/>
      <c r="O20514" s="14"/>
      <c r="P20514" s="13"/>
    </row>
    <row r="20515">
      <c r="L20515" s="13"/>
      <c r="M20515" s="14"/>
      <c r="N20515" s="14"/>
      <c r="O20515" s="14"/>
      <c r="P20515" s="13"/>
    </row>
    <row r="20516">
      <c r="L20516" s="13"/>
      <c r="M20516" s="14"/>
      <c r="N20516" s="14"/>
      <c r="O20516" s="14"/>
      <c r="P20516" s="13"/>
    </row>
    <row r="20517">
      <c r="L20517" s="13"/>
      <c r="M20517" s="14"/>
      <c r="N20517" s="14"/>
      <c r="O20517" s="14"/>
      <c r="P20517" s="13"/>
    </row>
    <row r="20518">
      <c r="L20518" s="13"/>
      <c r="M20518" s="14"/>
      <c r="N20518" s="14"/>
      <c r="O20518" s="14"/>
      <c r="P20518" s="13"/>
    </row>
    <row r="20519">
      <c r="L20519" s="13"/>
      <c r="M20519" s="14"/>
      <c r="N20519" s="14"/>
      <c r="O20519" s="14"/>
      <c r="P20519" s="13"/>
    </row>
    <row r="20520">
      <c r="L20520" s="13"/>
      <c r="M20520" s="14"/>
      <c r="N20520" s="14"/>
      <c r="O20520" s="14"/>
      <c r="P20520" s="13"/>
    </row>
    <row r="20521">
      <c r="L20521" s="13"/>
      <c r="M20521" s="14"/>
      <c r="N20521" s="14"/>
      <c r="O20521" s="14"/>
      <c r="P20521" s="13"/>
    </row>
    <row r="20522">
      <c r="L20522" s="13"/>
      <c r="M20522" s="14"/>
      <c r="N20522" s="14"/>
      <c r="O20522" s="14"/>
      <c r="P20522" s="13"/>
    </row>
    <row r="20523">
      <c r="L20523" s="13"/>
      <c r="M20523" s="14"/>
      <c r="N20523" s="14"/>
      <c r="O20523" s="14"/>
      <c r="P20523" s="13"/>
    </row>
    <row r="20524">
      <c r="L20524" s="13"/>
      <c r="M20524" s="14"/>
      <c r="N20524" s="14"/>
      <c r="O20524" s="14"/>
      <c r="P20524" s="13"/>
    </row>
    <row r="20525">
      <c r="L20525" s="13"/>
      <c r="M20525" s="14"/>
      <c r="N20525" s="14"/>
      <c r="O20525" s="14"/>
      <c r="P20525" s="13"/>
    </row>
    <row r="20526">
      <c r="L20526" s="13"/>
      <c r="M20526" s="14"/>
      <c r="N20526" s="14"/>
      <c r="O20526" s="14"/>
      <c r="P20526" s="13"/>
    </row>
    <row r="20527">
      <c r="L20527" s="13"/>
      <c r="M20527" s="14"/>
      <c r="N20527" s="14"/>
      <c r="O20527" s="14"/>
      <c r="P20527" s="13"/>
    </row>
    <row r="20528">
      <c r="L20528" s="13"/>
      <c r="M20528" s="14"/>
      <c r="N20528" s="14"/>
      <c r="O20528" s="14"/>
      <c r="P20528" s="13"/>
    </row>
    <row r="20529">
      <c r="L20529" s="13"/>
      <c r="M20529" s="14"/>
      <c r="N20529" s="14"/>
      <c r="O20529" s="14"/>
      <c r="P20529" s="13"/>
    </row>
    <row r="20530">
      <c r="L20530" s="13"/>
      <c r="M20530" s="14"/>
      <c r="N20530" s="14"/>
      <c r="O20530" s="14"/>
      <c r="P20530" s="13"/>
    </row>
    <row r="20531">
      <c r="L20531" s="13"/>
      <c r="M20531" s="14"/>
      <c r="N20531" s="14"/>
      <c r="O20531" s="14"/>
      <c r="P20531" s="13"/>
    </row>
    <row r="20532">
      <c r="L20532" s="13"/>
      <c r="M20532" s="14"/>
      <c r="N20532" s="14"/>
      <c r="O20532" s="14"/>
      <c r="P20532" s="13"/>
    </row>
    <row r="20533">
      <c r="L20533" s="13"/>
      <c r="M20533" s="14"/>
      <c r="N20533" s="14"/>
      <c r="O20533" s="14"/>
      <c r="P20533" s="13"/>
    </row>
    <row r="20534">
      <c r="L20534" s="13"/>
      <c r="M20534" s="14"/>
      <c r="N20534" s="14"/>
      <c r="O20534" s="14"/>
      <c r="P20534" s="13"/>
    </row>
    <row r="20535">
      <c r="L20535" s="13"/>
      <c r="M20535" s="14"/>
      <c r="N20535" s="14"/>
      <c r="O20535" s="14"/>
      <c r="P20535" s="13"/>
    </row>
    <row r="20536">
      <c r="L20536" s="13"/>
      <c r="M20536" s="14"/>
      <c r="N20536" s="14"/>
      <c r="O20536" s="14"/>
      <c r="P20536" s="13"/>
    </row>
    <row r="20537">
      <c r="L20537" s="13"/>
      <c r="M20537" s="14"/>
      <c r="N20537" s="14"/>
      <c r="O20537" s="14"/>
      <c r="P20537" s="13"/>
    </row>
    <row r="20538">
      <c r="L20538" s="13"/>
      <c r="M20538" s="14"/>
      <c r="N20538" s="14"/>
      <c r="O20538" s="14"/>
      <c r="P20538" s="13"/>
    </row>
    <row r="20539">
      <c r="L20539" s="13"/>
      <c r="M20539" s="14"/>
      <c r="N20539" s="14"/>
      <c r="O20539" s="14"/>
      <c r="P20539" s="13"/>
    </row>
    <row r="20540">
      <c r="L20540" s="13"/>
      <c r="M20540" s="14"/>
      <c r="N20540" s="14"/>
      <c r="O20540" s="14"/>
      <c r="P20540" s="13"/>
    </row>
    <row r="20541">
      <c r="L20541" s="13"/>
      <c r="M20541" s="14"/>
      <c r="N20541" s="14"/>
      <c r="O20541" s="14"/>
      <c r="P20541" s="13"/>
    </row>
    <row r="20542">
      <c r="L20542" s="13"/>
      <c r="M20542" s="14"/>
      <c r="N20542" s="14"/>
      <c r="O20542" s="14"/>
      <c r="P20542" s="13"/>
    </row>
    <row r="20543">
      <c r="L20543" s="13"/>
      <c r="M20543" s="14"/>
      <c r="N20543" s="14"/>
      <c r="O20543" s="14"/>
      <c r="P20543" s="13"/>
    </row>
    <row r="20544">
      <c r="L20544" s="13"/>
      <c r="M20544" s="14"/>
      <c r="N20544" s="14"/>
      <c r="O20544" s="14"/>
      <c r="P20544" s="13"/>
    </row>
    <row r="20545">
      <c r="L20545" s="13"/>
      <c r="M20545" s="14"/>
      <c r="N20545" s="14"/>
      <c r="O20545" s="14"/>
      <c r="P20545" s="13"/>
    </row>
    <row r="20546">
      <c r="L20546" s="13"/>
      <c r="M20546" s="14"/>
      <c r="N20546" s="14"/>
      <c r="O20546" s="14"/>
      <c r="P20546" s="13"/>
    </row>
    <row r="20547">
      <c r="L20547" s="13"/>
      <c r="M20547" s="14"/>
      <c r="N20547" s="14"/>
      <c r="O20547" s="14"/>
      <c r="P20547" s="13"/>
    </row>
    <row r="20548">
      <c r="L20548" s="13"/>
      <c r="M20548" s="14"/>
      <c r="N20548" s="14"/>
      <c r="O20548" s="14"/>
      <c r="P20548" s="13"/>
    </row>
    <row r="20549">
      <c r="L20549" s="13"/>
      <c r="M20549" s="14"/>
      <c r="N20549" s="14"/>
      <c r="O20549" s="14"/>
      <c r="P20549" s="13"/>
    </row>
    <row r="20550">
      <c r="L20550" s="13"/>
      <c r="M20550" s="14"/>
      <c r="N20550" s="14"/>
      <c r="O20550" s="14"/>
      <c r="P20550" s="13"/>
    </row>
    <row r="20551">
      <c r="L20551" s="13"/>
      <c r="M20551" s="14"/>
      <c r="N20551" s="14"/>
      <c r="O20551" s="14"/>
      <c r="P20551" s="13"/>
    </row>
    <row r="20552">
      <c r="L20552" s="13"/>
      <c r="M20552" s="14"/>
      <c r="N20552" s="14"/>
      <c r="O20552" s="14"/>
      <c r="P20552" s="13"/>
    </row>
    <row r="20553">
      <c r="L20553" s="13"/>
      <c r="M20553" s="14"/>
      <c r="N20553" s="14"/>
      <c r="O20553" s="14"/>
      <c r="P20553" s="13"/>
    </row>
    <row r="20554">
      <c r="L20554" s="13"/>
      <c r="M20554" s="14"/>
      <c r="N20554" s="14"/>
      <c r="O20554" s="14"/>
      <c r="P20554" s="13"/>
    </row>
    <row r="20555">
      <c r="L20555" s="13"/>
      <c r="M20555" s="14"/>
      <c r="N20555" s="14"/>
      <c r="O20555" s="14"/>
      <c r="P20555" s="13"/>
    </row>
    <row r="20556">
      <c r="L20556" s="13"/>
      <c r="M20556" s="14"/>
      <c r="N20556" s="14"/>
      <c r="O20556" s="14"/>
      <c r="P20556" s="13"/>
    </row>
    <row r="20557">
      <c r="L20557" s="13"/>
      <c r="M20557" s="14"/>
      <c r="N20557" s="14"/>
      <c r="O20557" s="14"/>
      <c r="P20557" s="13"/>
    </row>
    <row r="20558">
      <c r="L20558" s="13"/>
      <c r="M20558" s="14"/>
      <c r="N20558" s="14"/>
      <c r="O20558" s="14"/>
      <c r="P20558" s="13"/>
    </row>
    <row r="20559">
      <c r="L20559" s="13"/>
      <c r="M20559" s="14"/>
      <c r="N20559" s="14"/>
      <c r="O20559" s="14"/>
      <c r="P20559" s="13"/>
    </row>
    <row r="20560">
      <c r="L20560" s="13"/>
      <c r="M20560" s="14"/>
      <c r="N20560" s="14"/>
      <c r="O20560" s="14"/>
      <c r="P20560" s="13"/>
    </row>
    <row r="20561">
      <c r="L20561" s="13"/>
      <c r="M20561" s="14"/>
      <c r="N20561" s="14"/>
      <c r="O20561" s="14"/>
      <c r="P20561" s="13"/>
    </row>
    <row r="20562">
      <c r="L20562" s="13"/>
      <c r="M20562" s="14"/>
      <c r="N20562" s="14"/>
      <c r="O20562" s="14"/>
      <c r="P20562" s="13"/>
    </row>
    <row r="20563">
      <c r="L20563" s="13"/>
      <c r="M20563" s="14"/>
      <c r="N20563" s="14"/>
      <c r="O20563" s="14"/>
      <c r="P20563" s="13"/>
    </row>
    <row r="20564">
      <c r="L20564" s="13"/>
      <c r="M20564" s="14"/>
      <c r="N20564" s="14"/>
      <c r="O20564" s="14"/>
      <c r="P20564" s="13"/>
    </row>
    <row r="20565">
      <c r="L20565" s="13"/>
      <c r="M20565" s="14"/>
      <c r="N20565" s="14"/>
      <c r="O20565" s="14"/>
      <c r="P20565" s="13"/>
    </row>
    <row r="20566">
      <c r="L20566" s="13"/>
      <c r="M20566" s="14"/>
      <c r="N20566" s="14"/>
      <c r="O20566" s="14"/>
      <c r="P20566" s="13"/>
    </row>
    <row r="20567">
      <c r="L20567" s="13"/>
      <c r="M20567" s="14"/>
      <c r="N20567" s="14"/>
      <c r="O20567" s="14"/>
      <c r="P20567" s="13"/>
    </row>
    <row r="20568">
      <c r="L20568" s="13"/>
      <c r="M20568" s="14"/>
      <c r="N20568" s="14"/>
      <c r="O20568" s="14"/>
      <c r="P20568" s="13"/>
    </row>
    <row r="20569">
      <c r="L20569" s="13"/>
      <c r="M20569" s="14"/>
      <c r="N20569" s="14"/>
      <c r="O20569" s="14"/>
      <c r="P20569" s="13"/>
    </row>
    <row r="20570">
      <c r="L20570" s="13"/>
      <c r="M20570" s="14"/>
      <c r="N20570" s="14"/>
      <c r="O20570" s="14"/>
      <c r="P20570" s="13"/>
    </row>
    <row r="20571">
      <c r="L20571" s="13"/>
      <c r="M20571" s="14"/>
      <c r="N20571" s="14"/>
      <c r="O20571" s="14"/>
      <c r="P20571" s="13"/>
    </row>
    <row r="20572">
      <c r="L20572" s="13"/>
      <c r="M20572" s="14"/>
      <c r="N20572" s="14"/>
      <c r="O20572" s="14"/>
      <c r="P20572" s="13"/>
    </row>
    <row r="20573">
      <c r="L20573" s="13"/>
      <c r="M20573" s="14"/>
      <c r="N20573" s="14"/>
      <c r="O20573" s="14"/>
      <c r="P20573" s="13"/>
    </row>
    <row r="20574">
      <c r="L20574" s="13"/>
      <c r="M20574" s="14"/>
      <c r="N20574" s="14"/>
      <c r="O20574" s="14"/>
      <c r="P20574" s="13"/>
    </row>
    <row r="20575">
      <c r="L20575" s="13"/>
      <c r="M20575" s="14"/>
      <c r="N20575" s="14"/>
      <c r="O20575" s="14"/>
      <c r="P20575" s="13"/>
    </row>
    <row r="20576">
      <c r="L20576" s="13"/>
      <c r="M20576" s="14"/>
      <c r="N20576" s="14"/>
      <c r="O20576" s="14"/>
      <c r="P20576" s="13"/>
    </row>
    <row r="20577">
      <c r="L20577" s="13"/>
      <c r="M20577" s="14"/>
      <c r="N20577" s="14"/>
      <c r="O20577" s="14"/>
      <c r="P20577" s="13"/>
    </row>
    <row r="20578">
      <c r="L20578" s="13"/>
      <c r="M20578" s="14"/>
      <c r="N20578" s="14"/>
      <c r="O20578" s="14"/>
      <c r="P20578" s="13"/>
    </row>
    <row r="20579">
      <c r="L20579" s="13"/>
      <c r="M20579" s="14"/>
      <c r="N20579" s="14"/>
      <c r="O20579" s="14"/>
      <c r="P20579" s="13"/>
    </row>
    <row r="20580">
      <c r="L20580" s="13"/>
      <c r="M20580" s="14"/>
      <c r="N20580" s="14"/>
      <c r="O20580" s="14"/>
      <c r="P20580" s="13"/>
    </row>
    <row r="20581">
      <c r="L20581" s="13"/>
      <c r="M20581" s="14"/>
      <c r="N20581" s="14"/>
      <c r="O20581" s="14"/>
      <c r="P20581" s="13"/>
    </row>
    <row r="20582">
      <c r="L20582" s="13"/>
      <c r="M20582" s="14"/>
      <c r="N20582" s="14"/>
      <c r="O20582" s="14"/>
      <c r="P20582" s="13"/>
    </row>
    <row r="20583">
      <c r="L20583" s="13"/>
      <c r="M20583" s="14"/>
      <c r="N20583" s="14"/>
      <c r="O20583" s="14"/>
      <c r="P20583" s="13"/>
    </row>
    <row r="20584">
      <c r="L20584" s="13"/>
      <c r="M20584" s="14"/>
      <c r="N20584" s="14"/>
      <c r="O20584" s="14"/>
      <c r="P20584" s="13"/>
    </row>
    <row r="20585">
      <c r="L20585" s="13"/>
      <c r="M20585" s="14"/>
      <c r="N20585" s="14"/>
      <c r="O20585" s="14"/>
      <c r="P20585" s="13"/>
    </row>
    <row r="20586">
      <c r="L20586" s="13"/>
      <c r="M20586" s="14"/>
      <c r="N20586" s="14"/>
      <c r="O20586" s="14"/>
      <c r="P20586" s="13"/>
    </row>
    <row r="20587">
      <c r="L20587" s="13"/>
      <c r="M20587" s="14"/>
      <c r="N20587" s="14"/>
      <c r="O20587" s="14"/>
      <c r="P20587" s="13"/>
    </row>
    <row r="20588">
      <c r="L20588" s="13"/>
      <c r="M20588" s="14"/>
      <c r="N20588" s="14"/>
      <c r="O20588" s="14"/>
      <c r="P20588" s="13"/>
    </row>
    <row r="20589">
      <c r="L20589" s="13"/>
      <c r="M20589" s="14"/>
      <c r="N20589" s="14"/>
      <c r="O20589" s="14"/>
      <c r="P20589" s="13"/>
    </row>
    <row r="20590">
      <c r="L20590" s="13"/>
      <c r="M20590" s="14"/>
      <c r="N20590" s="14"/>
      <c r="O20590" s="14"/>
      <c r="P20590" s="13"/>
    </row>
    <row r="20591">
      <c r="L20591" s="13"/>
      <c r="M20591" s="14"/>
      <c r="N20591" s="14"/>
      <c r="O20591" s="14"/>
      <c r="P20591" s="13"/>
    </row>
    <row r="20592">
      <c r="L20592" s="13"/>
      <c r="M20592" s="14"/>
      <c r="N20592" s="14"/>
      <c r="O20592" s="14"/>
      <c r="P20592" s="13"/>
    </row>
    <row r="20593">
      <c r="L20593" s="13"/>
      <c r="M20593" s="14"/>
      <c r="N20593" s="14"/>
      <c r="O20593" s="14"/>
      <c r="P20593" s="13"/>
    </row>
    <row r="20594">
      <c r="L20594" s="13"/>
      <c r="M20594" s="14"/>
      <c r="N20594" s="14"/>
      <c r="O20594" s="14"/>
      <c r="P20594" s="13"/>
    </row>
    <row r="20595">
      <c r="L20595" s="13"/>
      <c r="M20595" s="14"/>
      <c r="N20595" s="14"/>
      <c r="O20595" s="14"/>
      <c r="P20595" s="13"/>
    </row>
    <row r="20596">
      <c r="L20596" s="13"/>
      <c r="M20596" s="14"/>
      <c r="N20596" s="14"/>
      <c r="O20596" s="14"/>
      <c r="P20596" s="13"/>
    </row>
    <row r="20597">
      <c r="L20597" s="13"/>
      <c r="M20597" s="14"/>
      <c r="N20597" s="14"/>
      <c r="O20597" s="14"/>
      <c r="P20597" s="13"/>
    </row>
    <row r="20598">
      <c r="L20598" s="13"/>
      <c r="M20598" s="14"/>
      <c r="N20598" s="14"/>
      <c r="O20598" s="14"/>
      <c r="P20598" s="13"/>
    </row>
    <row r="20599">
      <c r="L20599" s="13"/>
      <c r="M20599" s="14"/>
      <c r="N20599" s="14"/>
      <c r="O20599" s="14"/>
      <c r="P20599" s="13"/>
    </row>
    <row r="20600">
      <c r="L20600" s="13"/>
      <c r="M20600" s="14"/>
      <c r="N20600" s="14"/>
      <c r="O20600" s="14"/>
      <c r="P20600" s="13"/>
    </row>
    <row r="20601">
      <c r="L20601" s="13"/>
      <c r="M20601" s="14"/>
      <c r="N20601" s="14"/>
      <c r="O20601" s="14"/>
      <c r="P20601" s="13"/>
    </row>
    <row r="20602">
      <c r="L20602" s="13"/>
      <c r="M20602" s="14"/>
      <c r="N20602" s="14"/>
      <c r="O20602" s="14"/>
      <c r="P20602" s="13"/>
    </row>
    <row r="20603">
      <c r="L20603" s="13"/>
      <c r="M20603" s="14"/>
      <c r="N20603" s="14"/>
      <c r="O20603" s="14"/>
      <c r="P20603" s="13"/>
    </row>
    <row r="20604">
      <c r="L20604" s="13"/>
      <c r="M20604" s="14"/>
      <c r="N20604" s="14"/>
      <c r="O20604" s="14"/>
      <c r="P20604" s="13"/>
    </row>
    <row r="20605">
      <c r="L20605" s="13"/>
      <c r="M20605" s="14"/>
      <c r="N20605" s="14"/>
      <c r="O20605" s="14"/>
      <c r="P20605" s="13"/>
    </row>
    <row r="20606">
      <c r="L20606" s="13"/>
      <c r="M20606" s="14"/>
      <c r="N20606" s="14"/>
      <c r="O20606" s="14"/>
      <c r="P20606" s="13"/>
    </row>
    <row r="20607">
      <c r="L20607" s="13"/>
      <c r="M20607" s="14"/>
      <c r="N20607" s="14"/>
      <c r="O20607" s="14"/>
      <c r="P20607" s="13"/>
    </row>
    <row r="20608">
      <c r="L20608" s="13"/>
      <c r="M20608" s="14"/>
      <c r="N20608" s="14"/>
      <c r="O20608" s="14"/>
      <c r="P20608" s="13"/>
    </row>
    <row r="20609">
      <c r="L20609" s="13"/>
      <c r="M20609" s="14"/>
      <c r="N20609" s="14"/>
      <c r="O20609" s="14"/>
      <c r="P20609" s="13"/>
    </row>
    <row r="20610">
      <c r="L20610" s="13"/>
      <c r="M20610" s="14"/>
      <c r="N20610" s="14"/>
      <c r="O20610" s="14"/>
      <c r="P20610" s="13"/>
    </row>
    <row r="20611">
      <c r="L20611" s="13"/>
      <c r="M20611" s="14"/>
      <c r="N20611" s="14"/>
      <c r="O20611" s="14"/>
      <c r="P20611" s="13"/>
    </row>
    <row r="20612">
      <c r="L20612" s="13"/>
      <c r="M20612" s="14"/>
      <c r="N20612" s="14"/>
      <c r="O20612" s="14"/>
      <c r="P20612" s="13"/>
    </row>
    <row r="20613">
      <c r="L20613" s="13"/>
      <c r="M20613" s="14"/>
      <c r="N20613" s="14"/>
      <c r="O20613" s="14"/>
      <c r="P20613" s="13"/>
    </row>
    <row r="20614">
      <c r="L20614" s="13"/>
      <c r="M20614" s="14"/>
      <c r="N20614" s="14"/>
      <c r="O20614" s="14"/>
      <c r="P20614" s="13"/>
    </row>
    <row r="20615">
      <c r="L20615" s="13"/>
      <c r="M20615" s="14"/>
      <c r="N20615" s="14"/>
      <c r="O20615" s="14"/>
      <c r="P20615" s="13"/>
    </row>
    <row r="20616">
      <c r="L20616" s="13"/>
      <c r="M20616" s="14"/>
      <c r="N20616" s="14"/>
      <c r="O20616" s="14"/>
      <c r="P20616" s="13"/>
    </row>
    <row r="20617">
      <c r="L20617" s="13"/>
      <c r="M20617" s="14"/>
      <c r="N20617" s="14"/>
      <c r="O20617" s="14"/>
      <c r="P20617" s="13"/>
    </row>
    <row r="20618">
      <c r="L20618" s="13"/>
      <c r="M20618" s="14"/>
      <c r="N20618" s="14"/>
      <c r="O20618" s="14"/>
      <c r="P20618" s="13"/>
    </row>
    <row r="20619">
      <c r="L20619" s="13"/>
      <c r="M20619" s="14"/>
      <c r="N20619" s="14"/>
      <c r="O20619" s="14"/>
      <c r="P20619" s="13"/>
    </row>
    <row r="20620">
      <c r="L20620" s="13"/>
      <c r="M20620" s="14"/>
      <c r="N20620" s="14"/>
      <c r="O20620" s="14"/>
      <c r="P20620" s="13"/>
    </row>
    <row r="20621">
      <c r="L20621" s="13"/>
      <c r="M20621" s="14"/>
      <c r="N20621" s="14"/>
      <c r="O20621" s="14"/>
      <c r="P20621" s="13"/>
    </row>
    <row r="20622">
      <c r="L20622" s="13"/>
      <c r="M20622" s="14"/>
      <c r="N20622" s="14"/>
      <c r="O20622" s="14"/>
      <c r="P20622" s="13"/>
    </row>
    <row r="20623">
      <c r="L20623" s="13"/>
      <c r="M20623" s="14"/>
      <c r="N20623" s="14"/>
      <c r="O20623" s="14"/>
      <c r="P20623" s="13"/>
    </row>
    <row r="20624">
      <c r="L20624" s="13"/>
      <c r="M20624" s="14"/>
      <c r="N20624" s="14"/>
      <c r="O20624" s="14"/>
      <c r="P20624" s="13"/>
    </row>
    <row r="20625">
      <c r="L20625" s="13"/>
      <c r="M20625" s="14"/>
      <c r="N20625" s="14"/>
      <c r="O20625" s="14"/>
      <c r="P20625" s="13"/>
    </row>
    <row r="20626">
      <c r="L20626" s="13"/>
      <c r="M20626" s="14"/>
      <c r="N20626" s="14"/>
      <c r="O20626" s="14"/>
      <c r="P20626" s="13"/>
    </row>
    <row r="20627">
      <c r="L20627" s="13"/>
      <c r="M20627" s="14"/>
      <c r="N20627" s="14"/>
      <c r="O20627" s="14"/>
      <c r="P20627" s="13"/>
    </row>
    <row r="20628">
      <c r="L20628" s="13"/>
      <c r="M20628" s="14"/>
      <c r="N20628" s="14"/>
      <c r="O20628" s="14"/>
      <c r="P20628" s="13"/>
    </row>
    <row r="20629">
      <c r="L20629" s="13"/>
      <c r="M20629" s="14"/>
      <c r="N20629" s="14"/>
      <c r="O20629" s="14"/>
      <c r="P20629" s="13"/>
    </row>
    <row r="20630">
      <c r="L20630" s="13"/>
      <c r="M20630" s="14"/>
      <c r="N20630" s="14"/>
      <c r="O20630" s="14"/>
      <c r="P20630" s="13"/>
    </row>
    <row r="20631">
      <c r="L20631" s="13"/>
      <c r="M20631" s="14"/>
      <c r="N20631" s="14"/>
      <c r="O20631" s="14"/>
      <c r="P20631" s="13"/>
    </row>
    <row r="20632">
      <c r="L20632" s="13"/>
      <c r="M20632" s="14"/>
      <c r="N20632" s="14"/>
      <c r="O20632" s="14"/>
      <c r="P20632" s="13"/>
    </row>
    <row r="20633">
      <c r="L20633" s="13"/>
      <c r="M20633" s="14"/>
      <c r="N20633" s="14"/>
      <c r="O20633" s="14"/>
      <c r="P20633" s="13"/>
    </row>
    <row r="20634">
      <c r="L20634" s="13"/>
      <c r="M20634" s="14"/>
      <c r="N20634" s="14"/>
      <c r="O20634" s="14"/>
      <c r="P20634" s="13"/>
    </row>
    <row r="20635">
      <c r="L20635" s="13"/>
      <c r="M20635" s="14"/>
      <c r="N20635" s="14"/>
      <c r="O20635" s="14"/>
      <c r="P20635" s="13"/>
    </row>
    <row r="20636">
      <c r="L20636" s="13"/>
      <c r="M20636" s="14"/>
      <c r="N20636" s="14"/>
      <c r="O20636" s="14"/>
      <c r="P20636" s="13"/>
    </row>
    <row r="20637">
      <c r="L20637" s="13"/>
      <c r="M20637" s="14"/>
      <c r="N20637" s="14"/>
      <c r="O20637" s="14"/>
      <c r="P20637" s="13"/>
    </row>
    <row r="20638">
      <c r="L20638" s="13"/>
      <c r="M20638" s="14"/>
      <c r="N20638" s="14"/>
      <c r="O20638" s="14"/>
      <c r="P20638" s="13"/>
    </row>
    <row r="20639">
      <c r="L20639" s="13"/>
      <c r="M20639" s="14"/>
      <c r="N20639" s="14"/>
      <c r="O20639" s="14"/>
      <c r="P20639" s="13"/>
    </row>
    <row r="20640">
      <c r="L20640" s="13"/>
      <c r="M20640" s="14"/>
      <c r="N20640" s="14"/>
      <c r="O20640" s="14"/>
      <c r="P20640" s="13"/>
    </row>
    <row r="20641">
      <c r="L20641" s="13"/>
      <c r="M20641" s="14"/>
      <c r="N20641" s="14"/>
      <c r="O20641" s="14"/>
      <c r="P20641" s="13"/>
    </row>
    <row r="20642">
      <c r="L20642" s="13"/>
      <c r="M20642" s="14"/>
      <c r="N20642" s="14"/>
      <c r="O20642" s="14"/>
      <c r="P20642" s="13"/>
    </row>
    <row r="20643">
      <c r="L20643" s="13"/>
      <c r="M20643" s="14"/>
      <c r="N20643" s="14"/>
      <c r="O20643" s="14"/>
      <c r="P20643" s="13"/>
    </row>
    <row r="20644">
      <c r="L20644" s="13"/>
      <c r="M20644" s="14"/>
      <c r="N20644" s="14"/>
      <c r="O20644" s="14"/>
      <c r="P20644" s="13"/>
    </row>
    <row r="20645">
      <c r="L20645" s="13"/>
      <c r="M20645" s="14"/>
      <c r="N20645" s="14"/>
      <c r="O20645" s="14"/>
      <c r="P20645" s="13"/>
    </row>
    <row r="20646">
      <c r="L20646" s="13"/>
      <c r="M20646" s="14"/>
      <c r="N20646" s="14"/>
      <c r="O20646" s="14"/>
      <c r="P20646" s="13"/>
    </row>
    <row r="20647">
      <c r="L20647" s="13"/>
      <c r="M20647" s="14"/>
      <c r="N20647" s="14"/>
      <c r="O20647" s="14"/>
      <c r="P20647" s="13"/>
    </row>
    <row r="20648">
      <c r="L20648" s="13"/>
      <c r="M20648" s="14"/>
      <c r="N20648" s="14"/>
      <c r="O20648" s="14"/>
      <c r="P20648" s="13"/>
    </row>
    <row r="20649">
      <c r="L20649" s="13"/>
      <c r="M20649" s="14"/>
      <c r="N20649" s="14"/>
      <c r="O20649" s="14"/>
      <c r="P20649" s="13"/>
    </row>
    <row r="20650">
      <c r="L20650" s="13"/>
      <c r="M20650" s="14"/>
      <c r="N20650" s="14"/>
      <c r="O20650" s="14"/>
      <c r="P20650" s="13"/>
    </row>
    <row r="20651">
      <c r="L20651" s="13"/>
      <c r="M20651" s="14"/>
      <c r="N20651" s="14"/>
      <c r="O20651" s="14"/>
      <c r="P20651" s="13"/>
    </row>
    <row r="20652">
      <c r="L20652" s="13"/>
      <c r="M20652" s="14"/>
      <c r="N20652" s="14"/>
      <c r="O20652" s="14"/>
      <c r="P20652" s="13"/>
    </row>
    <row r="20653">
      <c r="L20653" s="13"/>
      <c r="M20653" s="14"/>
      <c r="N20653" s="14"/>
      <c r="O20653" s="14"/>
      <c r="P20653" s="13"/>
    </row>
    <row r="20654">
      <c r="L20654" s="13"/>
      <c r="M20654" s="14"/>
      <c r="N20654" s="14"/>
      <c r="O20654" s="14"/>
      <c r="P20654" s="13"/>
    </row>
    <row r="20655">
      <c r="L20655" s="13"/>
      <c r="M20655" s="14"/>
      <c r="N20655" s="14"/>
      <c r="O20655" s="14"/>
      <c r="P20655" s="13"/>
    </row>
    <row r="20656">
      <c r="L20656" s="13"/>
      <c r="M20656" s="14"/>
      <c r="N20656" s="14"/>
      <c r="O20656" s="14"/>
      <c r="P20656" s="13"/>
    </row>
    <row r="20657">
      <c r="L20657" s="13"/>
      <c r="M20657" s="14"/>
      <c r="N20657" s="14"/>
      <c r="O20657" s="14"/>
      <c r="P20657" s="13"/>
    </row>
    <row r="20658">
      <c r="L20658" s="13"/>
      <c r="M20658" s="14"/>
      <c r="N20658" s="14"/>
      <c r="O20658" s="14"/>
      <c r="P20658" s="13"/>
    </row>
    <row r="20659">
      <c r="L20659" s="13"/>
      <c r="M20659" s="14"/>
      <c r="N20659" s="14"/>
      <c r="O20659" s="14"/>
      <c r="P20659" s="13"/>
    </row>
    <row r="20660">
      <c r="L20660" s="13"/>
      <c r="M20660" s="14"/>
      <c r="N20660" s="14"/>
      <c r="O20660" s="14"/>
      <c r="P20660" s="13"/>
    </row>
    <row r="20661">
      <c r="L20661" s="13"/>
      <c r="M20661" s="14"/>
      <c r="N20661" s="14"/>
      <c r="O20661" s="14"/>
      <c r="P20661" s="13"/>
    </row>
    <row r="20662">
      <c r="L20662" s="13"/>
      <c r="M20662" s="14"/>
      <c r="N20662" s="14"/>
      <c r="O20662" s="14"/>
      <c r="P20662" s="13"/>
    </row>
    <row r="20663">
      <c r="L20663" s="13"/>
      <c r="M20663" s="14"/>
      <c r="N20663" s="14"/>
      <c r="O20663" s="14"/>
      <c r="P20663" s="13"/>
    </row>
    <row r="20664">
      <c r="L20664" s="13"/>
      <c r="M20664" s="14"/>
      <c r="N20664" s="14"/>
      <c r="O20664" s="14"/>
      <c r="P20664" s="13"/>
    </row>
    <row r="20665">
      <c r="L20665" s="13"/>
      <c r="M20665" s="14"/>
      <c r="N20665" s="14"/>
      <c r="O20665" s="14"/>
      <c r="P20665" s="13"/>
    </row>
    <row r="20666">
      <c r="L20666" s="13"/>
      <c r="M20666" s="14"/>
      <c r="N20666" s="14"/>
      <c r="O20666" s="14"/>
      <c r="P20666" s="13"/>
    </row>
    <row r="20667">
      <c r="L20667" s="13"/>
      <c r="M20667" s="14"/>
      <c r="N20667" s="14"/>
      <c r="O20667" s="14"/>
      <c r="P20667" s="13"/>
    </row>
    <row r="20668">
      <c r="L20668" s="13"/>
      <c r="M20668" s="14"/>
      <c r="N20668" s="14"/>
      <c r="O20668" s="14"/>
      <c r="P20668" s="13"/>
    </row>
    <row r="20669">
      <c r="L20669" s="13"/>
      <c r="M20669" s="14"/>
      <c r="N20669" s="14"/>
      <c r="O20669" s="14"/>
      <c r="P20669" s="13"/>
    </row>
    <row r="20670">
      <c r="L20670" s="13"/>
      <c r="M20670" s="14"/>
      <c r="N20670" s="14"/>
      <c r="O20670" s="14"/>
      <c r="P20670" s="13"/>
    </row>
    <row r="20671">
      <c r="L20671" s="13"/>
      <c r="M20671" s="14"/>
      <c r="N20671" s="14"/>
      <c r="O20671" s="14"/>
      <c r="P20671" s="13"/>
    </row>
    <row r="20672">
      <c r="L20672" s="13"/>
      <c r="M20672" s="14"/>
      <c r="N20672" s="14"/>
      <c r="O20672" s="14"/>
      <c r="P20672" s="13"/>
    </row>
    <row r="20673">
      <c r="L20673" s="13"/>
      <c r="M20673" s="14"/>
      <c r="N20673" s="14"/>
      <c r="O20673" s="14"/>
      <c r="P20673" s="13"/>
    </row>
    <row r="20674">
      <c r="L20674" s="13"/>
      <c r="M20674" s="14"/>
      <c r="N20674" s="14"/>
      <c r="O20674" s="14"/>
      <c r="P20674" s="13"/>
    </row>
    <row r="20675">
      <c r="L20675" s="13"/>
      <c r="M20675" s="14"/>
      <c r="N20675" s="14"/>
      <c r="O20675" s="14"/>
      <c r="P20675" s="13"/>
    </row>
    <row r="20676">
      <c r="L20676" s="13"/>
      <c r="M20676" s="14"/>
      <c r="N20676" s="14"/>
      <c r="O20676" s="14"/>
      <c r="P20676" s="13"/>
    </row>
    <row r="20677">
      <c r="L20677" s="13"/>
      <c r="M20677" s="14"/>
      <c r="N20677" s="14"/>
      <c r="O20677" s="14"/>
      <c r="P20677" s="13"/>
    </row>
    <row r="20678">
      <c r="L20678" s="13"/>
      <c r="M20678" s="14"/>
      <c r="N20678" s="14"/>
      <c r="O20678" s="14"/>
      <c r="P20678" s="13"/>
    </row>
    <row r="20679">
      <c r="L20679" s="13"/>
      <c r="M20679" s="14"/>
      <c r="N20679" s="14"/>
      <c r="O20679" s="14"/>
      <c r="P20679" s="13"/>
    </row>
    <row r="20680">
      <c r="L20680" s="13"/>
      <c r="M20680" s="14"/>
      <c r="N20680" s="14"/>
      <c r="O20680" s="14"/>
      <c r="P20680" s="13"/>
    </row>
    <row r="20681">
      <c r="L20681" s="13"/>
      <c r="M20681" s="14"/>
      <c r="N20681" s="14"/>
      <c r="O20681" s="14"/>
      <c r="P20681" s="13"/>
    </row>
    <row r="20682">
      <c r="L20682" s="13"/>
      <c r="M20682" s="14"/>
      <c r="N20682" s="14"/>
      <c r="O20682" s="14"/>
      <c r="P20682" s="13"/>
    </row>
    <row r="20683">
      <c r="L20683" s="13"/>
      <c r="M20683" s="14"/>
      <c r="N20683" s="14"/>
      <c r="O20683" s="14"/>
      <c r="P20683" s="13"/>
    </row>
    <row r="20684">
      <c r="L20684" s="13"/>
      <c r="M20684" s="14"/>
      <c r="N20684" s="14"/>
      <c r="O20684" s="14"/>
      <c r="P20684" s="13"/>
    </row>
    <row r="20685">
      <c r="L20685" s="13"/>
      <c r="M20685" s="14"/>
      <c r="N20685" s="14"/>
      <c r="O20685" s="14"/>
      <c r="P20685" s="13"/>
    </row>
    <row r="20686">
      <c r="L20686" s="13"/>
      <c r="M20686" s="14"/>
      <c r="N20686" s="14"/>
      <c r="O20686" s="14"/>
      <c r="P20686" s="13"/>
    </row>
    <row r="20687">
      <c r="L20687" s="13"/>
      <c r="M20687" s="14"/>
      <c r="N20687" s="14"/>
      <c r="O20687" s="14"/>
      <c r="P20687" s="13"/>
    </row>
    <row r="20688">
      <c r="L20688" s="13"/>
      <c r="M20688" s="14"/>
      <c r="N20688" s="14"/>
      <c r="O20688" s="14"/>
      <c r="P20688" s="13"/>
    </row>
    <row r="20689">
      <c r="L20689" s="13"/>
      <c r="M20689" s="14"/>
      <c r="N20689" s="14"/>
      <c r="O20689" s="14"/>
      <c r="P20689" s="13"/>
    </row>
    <row r="20690">
      <c r="L20690" s="13"/>
      <c r="M20690" s="14"/>
      <c r="N20690" s="14"/>
      <c r="O20690" s="14"/>
      <c r="P20690" s="13"/>
    </row>
    <row r="20691">
      <c r="L20691" s="13"/>
      <c r="M20691" s="14"/>
      <c r="N20691" s="14"/>
      <c r="O20691" s="14"/>
      <c r="P20691" s="13"/>
    </row>
    <row r="20692">
      <c r="L20692" s="13"/>
      <c r="M20692" s="14"/>
      <c r="N20692" s="14"/>
      <c r="O20692" s="14"/>
      <c r="P20692" s="13"/>
    </row>
    <row r="20693">
      <c r="L20693" s="13"/>
      <c r="M20693" s="14"/>
      <c r="N20693" s="14"/>
      <c r="O20693" s="14"/>
      <c r="P20693" s="13"/>
    </row>
    <row r="20694">
      <c r="L20694" s="13"/>
      <c r="M20694" s="14"/>
      <c r="N20694" s="14"/>
      <c r="O20694" s="14"/>
      <c r="P20694" s="13"/>
    </row>
    <row r="20695">
      <c r="L20695" s="13"/>
      <c r="M20695" s="14"/>
      <c r="N20695" s="14"/>
      <c r="O20695" s="14"/>
      <c r="P20695" s="13"/>
    </row>
    <row r="20696">
      <c r="L20696" s="13"/>
      <c r="M20696" s="14"/>
      <c r="N20696" s="14"/>
      <c r="O20696" s="14"/>
      <c r="P20696" s="13"/>
    </row>
    <row r="20697">
      <c r="L20697" s="13"/>
      <c r="M20697" s="14"/>
      <c r="N20697" s="14"/>
      <c r="O20697" s="14"/>
      <c r="P20697" s="13"/>
    </row>
    <row r="20698">
      <c r="L20698" s="13"/>
      <c r="M20698" s="14"/>
      <c r="N20698" s="14"/>
      <c r="O20698" s="14"/>
      <c r="P20698" s="13"/>
    </row>
    <row r="20699">
      <c r="L20699" s="13"/>
      <c r="M20699" s="14"/>
      <c r="N20699" s="14"/>
      <c r="O20699" s="14"/>
      <c r="P20699" s="13"/>
    </row>
    <row r="20700">
      <c r="L20700" s="13"/>
      <c r="M20700" s="14"/>
      <c r="N20700" s="14"/>
      <c r="O20700" s="14"/>
      <c r="P20700" s="13"/>
    </row>
    <row r="20701">
      <c r="L20701" s="13"/>
      <c r="M20701" s="14"/>
      <c r="N20701" s="14"/>
      <c r="O20701" s="14"/>
      <c r="P20701" s="13"/>
    </row>
    <row r="20702">
      <c r="L20702" s="13"/>
      <c r="M20702" s="14"/>
      <c r="N20702" s="14"/>
      <c r="O20702" s="14"/>
      <c r="P20702" s="13"/>
    </row>
    <row r="20703">
      <c r="L20703" s="13"/>
      <c r="M20703" s="14"/>
      <c r="N20703" s="14"/>
      <c r="O20703" s="14"/>
      <c r="P20703" s="13"/>
    </row>
    <row r="20704">
      <c r="L20704" s="13"/>
      <c r="M20704" s="14"/>
      <c r="N20704" s="14"/>
      <c r="O20704" s="14"/>
      <c r="P20704" s="13"/>
    </row>
    <row r="20705">
      <c r="L20705" s="13"/>
      <c r="M20705" s="14"/>
      <c r="N20705" s="14"/>
      <c r="O20705" s="14"/>
      <c r="P20705" s="13"/>
    </row>
    <row r="20706">
      <c r="L20706" s="13"/>
      <c r="M20706" s="14"/>
      <c r="N20706" s="14"/>
      <c r="O20706" s="14"/>
      <c r="P20706" s="13"/>
    </row>
    <row r="20707">
      <c r="L20707" s="13"/>
      <c r="M20707" s="14"/>
      <c r="N20707" s="14"/>
      <c r="O20707" s="14"/>
      <c r="P20707" s="13"/>
    </row>
    <row r="20708">
      <c r="L20708" s="13"/>
      <c r="M20708" s="14"/>
      <c r="N20708" s="14"/>
      <c r="O20708" s="14"/>
      <c r="P20708" s="13"/>
    </row>
    <row r="20709">
      <c r="L20709" s="13"/>
      <c r="M20709" s="14"/>
      <c r="N20709" s="14"/>
      <c r="O20709" s="14"/>
      <c r="P20709" s="13"/>
    </row>
    <row r="20710">
      <c r="L20710" s="13"/>
      <c r="M20710" s="14"/>
      <c r="N20710" s="14"/>
      <c r="O20710" s="14"/>
      <c r="P20710" s="13"/>
    </row>
    <row r="20711">
      <c r="L20711" s="13"/>
      <c r="M20711" s="14"/>
      <c r="N20711" s="14"/>
      <c r="O20711" s="14"/>
      <c r="P20711" s="13"/>
    </row>
    <row r="20712">
      <c r="L20712" s="13"/>
      <c r="M20712" s="14"/>
      <c r="N20712" s="14"/>
      <c r="O20712" s="14"/>
      <c r="P20712" s="13"/>
    </row>
    <row r="20713">
      <c r="L20713" s="13"/>
      <c r="M20713" s="14"/>
      <c r="N20713" s="14"/>
      <c r="O20713" s="14"/>
      <c r="P20713" s="13"/>
    </row>
    <row r="20714">
      <c r="L20714" s="13"/>
      <c r="M20714" s="14"/>
      <c r="N20714" s="14"/>
      <c r="O20714" s="14"/>
      <c r="P20714" s="13"/>
    </row>
    <row r="20715">
      <c r="L20715" s="13"/>
      <c r="M20715" s="14"/>
      <c r="N20715" s="14"/>
      <c r="O20715" s="14"/>
      <c r="P20715" s="13"/>
    </row>
    <row r="20716">
      <c r="L20716" s="13"/>
      <c r="M20716" s="14"/>
      <c r="N20716" s="14"/>
      <c r="O20716" s="14"/>
      <c r="P20716" s="13"/>
    </row>
    <row r="20717">
      <c r="L20717" s="13"/>
      <c r="M20717" s="14"/>
      <c r="N20717" s="14"/>
      <c r="O20717" s="14"/>
      <c r="P20717" s="13"/>
    </row>
    <row r="20718">
      <c r="L20718" s="13"/>
      <c r="M20718" s="14"/>
      <c r="N20718" s="14"/>
      <c r="O20718" s="14"/>
      <c r="P20718" s="13"/>
    </row>
    <row r="20719">
      <c r="L20719" s="13"/>
      <c r="M20719" s="14"/>
      <c r="N20719" s="14"/>
      <c r="O20719" s="14"/>
      <c r="P20719" s="13"/>
    </row>
    <row r="20720">
      <c r="L20720" s="13"/>
      <c r="M20720" s="14"/>
      <c r="N20720" s="14"/>
      <c r="O20720" s="14"/>
      <c r="P20720" s="13"/>
    </row>
    <row r="20721">
      <c r="L20721" s="13"/>
      <c r="M20721" s="14"/>
      <c r="N20721" s="14"/>
      <c r="O20721" s="14"/>
      <c r="P20721" s="13"/>
    </row>
    <row r="20722">
      <c r="L20722" s="13"/>
      <c r="M20722" s="14"/>
      <c r="N20722" s="14"/>
      <c r="O20722" s="14"/>
      <c r="P20722" s="13"/>
    </row>
    <row r="20723">
      <c r="L20723" s="13"/>
      <c r="M20723" s="14"/>
      <c r="N20723" s="14"/>
      <c r="O20723" s="14"/>
      <c r="P20723" s="13"/>
    </row>
    <row r="20724">
      <c r="L20724" s="13"/>
      <c r="M20724" s="14"/>
      <c r="N20724" s="14"/>
      <c r="O20724" s="14"/>
      <c r="P20724" s="13"/>
    </row>
    <row r="20725">
      <c r="L20725" s="13"/>
      <c r="M20725" s="14"/>
      <c r="N20725" s="14"/>
      <c r="O20725" s="14"/>
      <c r="P20725" s="13"/>
    </row>
    <row r="20726">
      <c r="L20726" s="13"/>
      <c r="M20726" s="14"/>
      <c r="N20726" s="14"/>
      <c r="O20726" s="14"/>
      <c r="P20726" s="13"/>
    </row>
    <row r="20727">
      <c r="L20727" s="13"/>
      <c r="M20727" s="14"/>
      <c r="N20727" s="14"/>
      <c r="O20727" s="14"/>
      <c r="P20727" s="13"/>
    </row>
    <row r="20728">
      <c r="L20728" s="13"/>
      <c r="M20728" s="14"/>
      <c r="N20728" s="14"/>
      <c r="O20728" s="14"/>
      <c r="P20728" s="13"/>
    </row>
    <row r="20729">
      <c r="L20729" s="13"/>
      <c r="M20729" s="14"/>
      <c r="N20729" s="14"/>
      <c r="O20729" s="14"/>
      <c r="P20729" s="13"/>
    </row>
    <row r="20730">
      <c r="L20730" s="13"/>
      <c r="M20730" s="14"/>
      <c r="N20730" s="14"/>
      <c r="O20730" s="14"/>
      <c r="P20730" s="13"/>
    </row>
    <row r="20731">
      <c r="L20731" s="13"/>
      <c r="M20731" s="14"/>
      <c r="N20731" s="14"/>
      <c r="O20731" s="14"/>
      <c r="P20731" s="13"/>
    </row>
    <row r="20732">
      <c r="L20732" s="13"/>
      <c r="M20732" s="14"/>
      <c r="N20732" s="14"/>
      <c r="O20732" s="14"/>
      <c r="P20732" s="13"/>
    </row>
    <row r="20733">
      <c r="L20733" s="13"/>
      <c r="M20733" s="14"/>
      <c r="N20733" s="14"/>
      <c r="O20733" s="14"/>
      <c r="P20733" s="13"/>
    </row>
    <row r="20734">
      <c r="L20734" s="13"/>
      <c r="M20734" s="14"/>
      <c r="N20734" s="14"/>
      <c r="O20734" s="14"/>
      <c r="P20734" s="13"/>
    </row>
    <row r="20735">
      <c r="L20735" s="13"/>
      <c r="M20735" s="14"/>
      <c r="N20735" s="14"/>
      <c r="O20735" s="14"/>
      <c r="P20735" s="13"/>
    </row>
    <row r="20736">
      <c r="L20736" s="13"/>
      <c r="M20736" s="14"/>
      <c r="N20736" s="14"/>
      <c r="O20736" s="14"/>
      <c r="P20736" s="13"/>
    </row>
    <row r="20737">
      <c r="L20737" s="13"/>
      <c r="M20737" s="14"/>
      <c r="N20737" s="14"/>
      <c r="O20737" s="14"/>
      <c r="P20737" s="13"/>
    </row>
    <row r="20738">
      <c r="L20738" s="13"/>
      <c r="M20738" s="14"/>
      <c r="N20738" s="14"/>
      <c r="O20738" s="14"/>
      <c r="P20738" s="13"/>
    </row>
    <row r="20739">
      <c r="L20739" s="13"/>
      <c r="M20739" s="14"/>
      <c r="N20739" s="14"/>
      <c r="O20739" s="14"/>
      <c r="P20739" s="13"/>
    </row>
    <row r="20740">
      <c r="L20740" s="13"/>
      <c r="M20740" s="14"/>
      <c r="N20740" s="14"/>
      <c r="O20740" s="14"/>
      <c r="P20740" s="13"/>
    </row>
    <row r="20741">
      <c r="L20741" s="13"/>
      <c r="M20741" s="14"/>
      <c r="N20741" s="14"/>
      <c r="O20741" s="14"/>
      <c r="P20741" s="13"/>
    </row>
    <row r="20742">
      <c r="L20742" s="13"/>
      <c r="M20742" s="14"/>
      <c r="N20742" s="14"/>
      <c r="O20742" s="14"/>
      <c r="P20742" s="13"/>
    </row>
    <row r="20743">
      <c r="L20743" s="13"/>
      <c r="M20743" s="14"/>
      <c r="N20743" s="14"/>
      <c r="O20743" s="14"/>
      <c r="P20743" s="13"/>
    </row>
    <row r="20744">
      <c r="L20744" s="13"/>
      <c r="M20744" s="14"/>
      <c r="N20744" s="14"/>
      <c r="O20744" s="14"/>
      <c r="P20744" s="13"/>
    </row>
    <row r="20745">
      <c r="L20745" s="13"/>
      <c r="M20745" s="14"/>
      <c r="N20745" s="14"/>
      <c r="O20745" s="14"/>
      <c r="P20745" s="13"/>
    </row>
    <row r="20746">
      <c r="L20746" s="13"/>
      <c r="M20746" s="14"/>
      <c r="N20746" s="14"/>
      <c r="O20746" s="14"/>
      <c r="P20746" s="13"/>
    </row>
    <row r="20747">
      <c r="L20747" s="13"/>
      <c r="M20747" s="14"/>
      <c r="N20747" s="14"/>
      <c r="O20747" s="14"/>
      <c r="P20747" s="13"/>
    </row>
    <row r="20748">
      <c r="L20748" s="13"/>
      <c r="M20748" s="14"/>
      <c r="N20748" s="14"/>
      <c r="O20748" s="14"/>
      <c r="P20748" s="13"/>
    </row>
    <row r="20749">
      <c r="L20749" s="13"/>
      <c r="M20749" s="14"/>
      <c r="N20749" s="14"/>
      <c r="O20749" s="14"/>
      <c r="P20749" s="13"/>
    </row>
    <row r="20750">
      <c r="L20750" s="13"/>
      <c r="M20750" s="14"/>
      <c r="N20750" s="14"/>
      <c r="O20750" s="14"/>
      <c r="P20750" s="13"/>
    </row>
    <row r="20751">
      <c r="L20751" s="13"/>
      <c r="M20751" s="14"/>
      <c r="N20751" s="14"/>
      <c r="O20751" s="14"/>
      <c r="P20751" s="13"/>
    </row>
    <row r="20752">
      <c r="L20752" s="13"/>
      <c r="M20752" s="14"/>
      <c r="N20752" s="14"/>
      <c r="O20752" s="14"/>
      <c r="P20752" s="13"/>
    </row>
    <row r="20753">
      <c r="L20753" s="13"/>
      <c r="M20753" s="14"/>
      <c r="N20753" s="14"/>
      <c r="O20753" s="14"/>
      <c r="P20753" s="13"/>
    </row>
    <row r="20754">
      <c r="L20754" s="13"/>
      <c r="M20754" s="14"/>
      <c r="N20754" s="14"/>
      <c r="O20754" s="14"/>
      <c r="P20754" s="13"/>
    </row>
    <row r="20755">
      <c r="L20755" s="13"/>
      <c r="M20755" s="14"/>
      <c r="N20755" s="14"/>
      <c r="O20755" s="14"/>
      <c r="P20755" s="13"/>
    </row>
    <row r="20756">
      <c r="L20756" s="13"/>
      <c r="M20756" s="14"/>
      <c r="N20756" s="14"/>
      <c r="O20756" s="14"/>
      <c r="P20756" s="13"/>
    </row>
    <row r="20757">
      <c r="L20757" s="13"/>
      <c r="M20757" s="14"/>
      <c r="N20757" s="14"/>
      <c r="O20757" s="14"/>
      <c r="P20757" s="13"/>
    </row>
    <row r="20758">
      <c r="L20758" s="13"/>
      <c r="M20758" s="14"/>
      <c r="N20758" s="14"/>
      <c r="O20758" s="14"/>
      <c r="P20758" s="13"/>
    </row>
    <row r="20759">
      <c r="L20759" s="13"/>
      <c r="M20759" s="14"/>
      <c r="N20759" s="14"/>
      <c r="O20759" s="14"/>
      <c r="P20759" s="13"/>
    </row>
    <row r="20760">
      <c r="L20760" s="13"/>
      <c r="M20760" s="14"/>
      <c r="N20760" s="14"/>
      <c r="O20760" s="14"/>
      <c r="P20760" s="13"/>
    </row>
    <row r="20761">
      <c r="L20761" s="13"/>
      <c r="M20761" s="14"/>
      <c r="N20761" s="14"/>
      <c r="O20761" s="14"/>
      <c r="P20761" s="13"/>
    </row>
    <row r="20762">
      <c r="L20762" s="13"/>
      <c r="M20762" s="14"/>
      <c r="N20762" s="14"/>
      <c r="O20762" s="14"/>
      <c r="P20762" s="13"/>
    </row>
    <row r="20763">
      <c r="L20763" s="13"/>
      <c r="M20763" s="14"/>
      <c r="N20763" s="14"/>
      <c r="O20763" s="14"/>
      <c r="P20763" s="13"/>
    </row>
    <row r="20764">
      <c r="L20764" s="13"/>
      <c r="M20764" s="14"/>
      <c r="N20764" s="14"/>
      <c r="O20764" s="14"/>
      <c r="P20764" s="13"/>
    </row>
    <row r="20765">
      <c r="L20765" s="13"/>
      <c r="M20765" s="14"/>
      <c r="N20765" s="14"/>
      <c r="O20765" s="14"/>
      <c r="P20765" s="13"/>
    </row>
    <row r="20766">
      <c r="L20766" s="13"/>
      <c r="M20766" s="14"/>
      <c r="N20766" s="14"/>
      <c r="O20766" s="14"/>
      <c r="P20766" s="13"/>
    </row>
    <row r="20767">
      <c r="L20767" s="13"/>
      <c r="M20767" s="14"/>
      <c r="N20767" s="14"/>
      <c r="O20767" s="14"/>
      <c r="P20767" s="13"/>
    </row>
    <row r="20768">
      <c r="L20768" s="13"/>
      <c r="M20768" s="14"/>
      <c r="N20768" s="14"/>
      <c r="O20768" s="14"/>
      <c r="P20768" s="13"/>
    </row>
    <row r="20769">
      <c r="L20769" s="13"/>
      <c r="M20769" s="14"/>
      <c r="N20769" s="14"/>
      <c r="O20769" s="14"/>
      <c r="P20769" s="13"/>
    </row>
    <row r="20770">
      <c r="L20770" s="13"/>
      <c r="M20770" s="14"/>
      <c r="N20770" s="14"/>
      <c r="O20770" s="14"/>
      <c r="P20770" s="13"/>
    </row>
    <row r="20771">
      <c r="L20771" s="13"/>
      <c r="M20771" s="14"/>
      <c r="N20771" s="14"/>
      <c r="O20771" s="14"/>
      <c r="P20771" s="13"/>
    </row>
    <row r="20772">
      <c r="L20772" s="13"/>
      <c r="M20772" s="14"/>
      <c r="N20772" s="14"/>
      <c r="O20772" s="14"/>
      <c r="P20772" s="13"/>
    </row>
    <row r="20773">
      <c r="L20773" s="13"/>
      <c r="M20773" s="14"/>
      <c r="N20773" s="14"/>
      <c r="O20773" s="14"/>
      <c r="P20773" s="13"/>
    </row>
    <row r="20774">
      <c r="L20774" s="13"/>
      <c r="M20774" s="14"/>
      <c r="N20774" s="14"/>
      <c r="O20774" s="14"/>
      <c r="P20774" s="13"/>
    </row>
    <row r="20775">
      <c r="L20775" s="13"/>
      <c r="M20775" s="14"/>
      <c r="N20775" s="14"/>
      <c r="O20775" s="14"/>
      <c r="P20775" s="13"/>
    </row>
    <row r="20776">
      <c r="L20776" s="13"/>
      <c r="M20776" s="14"/>
      <c r="N20776" s="14"/>
      <c r="O20776" s="14"/>
      <c r="P20776" s="13"/>
    </row>
    <row r="20777">
      <c r="L20777" s="13"/>
      <c r="M20777" s="14"/>
      <c r="N20777" s="14"/>
      <c r="O20777" s="14"/>
      <c r="P20777" s="13"/>
    </row>
    <row r="20778">
      <c r="L20778" s="13"/>
      <c r="M20778" s="14"/>
      <c r="N20778" s="14"/>
      <c r="O20778" s="14"/>
      <c r="P20778" s="13"/>
    </row>
    <row r="20779">
      <c r="L20779" s="13"/>
      <c r="M20779" s="14"/>
      <c r="N20779" s="14"/>
      <c r="O20779" s="14"/>
      <c r="P20779" s="13"/>
    </row>
    <row r="20780">
      <c r="L20780" s="13"/>
      <c r="M20780" s="14"/>
      <c r="N20780" s="14"/>
      <c r="O20780" s="14"/>
      <c r="P20780" s="13"/>
    </row>
    <row r="20781">
      <c r="L20781" s="13"/>
      <c r="M20781" s="14"/>
      <c r="N20781" s="14"/>
      <c r="O20781" s="14"/>
      <c r="P20781" s="13"/>
    </row>
    <row r="20782">
      <c r="L20782" s="13"/>
      <c r="M20782" s="14"/>
      <c r="N20782" s="14"/>
      <c r="O20782" s="14"/>
      <c r="P20782" s="13"/>
    </row>
    <row r="20783">
      <c r="L20783" s="13"/>
      <c r="M20783" s="14"/>
      <c r="N20783" s="14"/>
      <c r="O20783" s="14"/>
      <c r="P20783" s="13"/>
    </row>
    <row r="20784">
      <c r="L20784" s="13"/>
      <c r="M20784" s="14"/>
      <c r="N20784" s="14"/>
      <c r="O20784" s="14"/>
      <c r="P20784" s="13"/>
    </row>
    <row r="20785">
      <c r="L20785" s="13"/>
      <c r="M20785" s="14"/>
      <c r="N20785" s="14"/>
      <c r="O20785" s="14"/>
      <c r="P20785" s="13"/>
    </row>
    <row r="20786">
      <c r="L20786" s="13"/>
      <c r="M20786" s="14"/>
      <c r="N20786" s="14"/>
      <c r="O20786" s="14"/>
      <c r="P20786" s="13"/>
    </row>
    <row r="20787">
      <c r="L20787" s="13"/>
      <c r="M20787" s="14"/>
      <c r="N20787" s="14"/>
      <c r="O20787" s="14"/>
      <c r="P20787" s="13"/>
    </row>
    <row r="20788">
      <c r="L20788" s="13"/>
      <c r="M20788" s="14"/>
      <c r="N20788" s="14"/>
      <c r="O20788" s="14"/>
      <c r="P20788" s="13"/>
    </row>
    <row r="20789">
      <c r="L20789" s="13"/>
      <c r="M20789" s="14"/>
      <c r="N20789" s="14"/>
      <c r="O20789" s="14"/>
      <c r="P20789" s="13"/>
    </row>
    <row r="20790">
      <c r="L20790" s="13"/>
      <c r="M20790" s="14"/>
      <c r="N20790" s="14"/>
      <c r="O20790" s="14"/>
      <c r="P20790" s="13"/>
    </row>
    <row r="20791">
      <c r="L20791" s="13"/>
      <c r="M20791" s="14"/>
      <c r="N20791" s="14"/>
      <c r="O20791" s="14"/>
      <c r="P20791" s="13"/>
    </row>
    <row r="20792">
      <c r="L20792" s="13"/>
      <c r="M20792" s="14"/>
      <c r="N20792" s="14"/>
      <c r="O20792" s="14"/>
      <c r="P20792" s="13"/>
    </row>
    <row r="20793">
      <c r="L20793" s="13"/>
      <c r="M20793" s="14"/>
      <c r="N20793" s="14"/>
      <c r="O20793" s="14"/>
      <c r="P20793" s="13"/>
    </row>
    <row r="20794">
      <c r="L20794" s="13"/>
      <c r="M20794" s="14"/>
      <c r="N20794" s="14"/>
      <c r="O20794" s="14"/>
      <c r="P20794" s="13"/>
    </row>
    <row r="20795">
      <c r="L20795" s="13"/>
      <c r="M20795" s="14"/>
      <c r="N20795" s="14"/>
      <c r="O20795" s="14"/>
      <c r="P20795" s="13"/>
    </row>
    <row r="20796">
      <c r="L20796" s="13"/>
      <c r="M20796" s="14"/>
      <c r="N20796" s="14"/>
      <c r="O20796" s="14"/>
      <c r="P20796" s="13"/>
    </row>
    <row r="20797">
      <c r="L20797" s="13"/>
      <c r="M20797" s="14"/>
      <c r="N20797" s="14"/>
      <c r="O20797" s="14"/>
      <c r="P20797" s="13"/>
    </row>
    <row r="20798">
      <c r="L20798" s="13"/>
      <c r="M20798" s="14"/>
      <c r="N20798" s="14"/>
      <c r="O20798" s="14"/>
      <c r="P20798" s="13"/>
    </row>
    <row r="20799">
      <c r="L20799" s="13"/>
      <c r="M20799" s="14"/>
      <c r="N20799" s="14"/>
      <c r="O20799" s="14"/>
      <c r="P20799" s="13"/>
    </row>
    <row r="20800">
      <c r="L20800" s="13"/>
      <c r="M20800" s="14"/>
      <c r="N20800" s="14"/>
      <c r="O20800" s="14"/>
      <c r="P20800" s="13"/>
    </row>
    <row r="20801">
      <c r="L20801" s="13"/>
      <c r="M20801" s="14"/>
      <c r="N20801" s="14"/>
      <c r="O20801" s="14"/>
      <c r="P20801" s="13"/>
    </row>
    <row r="20802">
      <c r="L20802" s="13"/>
      <c r="M20802" s="14"/>
      <c r="N20802" s="14"/>
      <c r="O20802" s="14"/>
      <c r="P20802" s="13"/>
    </row>
    <row r="20803">
      <c r="L20803" s="13"/>
      <c r="M20803" s="14"/>
      <c r="N20803" s="14"/>
      <c r="O20803" s="14"/>
      <c r="P20803" s="13"/>
    </row>
    <row r="20804">
      <c r="L20804" s="13"/>
      <c r="M20804" s="14"/>
      <c r="N20804" s="14"/>
      <c r="O20804" s="14"/>
      <c r="P20804" s="13"/>
    </row>
    <row r="20805">
      <c r="L20805" s="13"/>
      <c r="M20805" s="14"/>
      <c r="N20805" s="14"/>
      <c r="O20805" s="14"/>
      <c r="P20805" s="13"/>
    </row>
    <row r="20806">
      <c r="L20806" s="13"/>
      <c r="M20806" s="14"/>
      <c r="N20806" s="14"/>
      <c r="O20806" s="14"/>
      <c r="P20806" s="13"/>
    </row>
    <row r="20807">
      <c r="L20807" s="13"/>
      <c r="M20807" s="14"/>
      <c r="N20807" s="14"/>
      <c r="O20807" s="14"/>
      <c r="P20807" s="13"/>
    </row>
    <row r="20808">
      <c r="L20808" s="13"/>
      <c r="M20808" s="14"/>
      <c r="N20808" s="14"/>
      <c r="O20808" s="14"/>
      <c r="P20808" s="13"/>
    </row>
    <row r="20809">
      <c r="L20809" s="13"/>
      <c r="M20809" s="14"/>
      <c r="N20809" s="14"/>
      <c r="O20809" s="14"/>
      <c r="P20809" s="13"/>
    </row>
    <row r="20810">
      <c r="L20810" s="13"/>
      <c r="M20810" s="14"/>
      <c r="N20810" s="14"/>
      <c r="O20810" s="14"/>
      <c r="P20810" s="13"/>
    </row>
    <row r="20811">
      <c r="L20811" s="13"/>
      <c r="M20811" s="14"/>
      <c r="N20811" s="14"/>
      <c r="O20811" s="14"/>
      <c r="P20811" s="13"/>
    </row>
    <row r="20812">
      <c r="L20812" s="13"/>
      <c r="M20812" s="14"/>
      <c r="N20812" s="14"/>
      <c r="O20812" s="14"/>
      <c r="P20812" s="13"/>
    </row>
    <row r="20813">
      <c r="L20813" s="13"/>
      <c r="M20813" s="14"/>
      <c r="N20813" s="14"/>
      <c r="O20813" s="14"/>
      <c r="P20813" s="13"/>
    </row>
    <row r="20814">
      <c r="L20814" s="13"/>
      <c r="M20814" s="14"/>
      <c r="N20814" s="14"/>
      <c r="O20814" s="14"/>
      <c r="P20814" s="13"/>
    </row>
    <row r="20815">
      <c r="L20815" s="13"/>
      <c r="M20815" s="14"/>
      <c r="N20815" s="14"/>
      <c r="O20815" s="14"/>
      <c r="P20815" s="13"/>
    </row>
    <row r="20816">
      <c r="L20816" s="13"/>
      <c r="M20816" s="14"/>
      <c r="N20816" s="14"/>
      <c r="O20816" s="14"/>
      <c r="P20816" s="13"/>
    </row>
    <row r="20817">
      <c r="L20817" s="13"/>
      <c r="M20817" s="14"/>
      <c r="N20817" s="14"/>
      <c r="O20817" s="14"/>
      <c r="P20817" s="13"/>
    </row>
    <row r="20818">
      <c r="L20818" s="13"/>
      <c r="M20818" s="14"/>
      <c r="N20818" s="14"/>
      <c r="O20818" s="14"/>
      <c r="P20818" s="13"/>
    </row>
    <row r="20819">
      <c r="L20819" s="13"/>
      <c r="M20819" s="14"/>
      <c r="N20819" s="14"/>
      <c r="O20819" s="14"/>
      <c r="P20819" s="13"/>
    </row>
    <row r="20820">
      <c r="L20820" s="13"/>
      <c r="M20820" s="14"/>
      <c r="N20820" s="14"/>
      <c r="O20820" s="14"/>
      <c r="P20820" s="13"/>
    </row>
    <row r="20821">
      <c r="L20821" s="13"/>
      <c r="M20821" s="14"/>
      <c r="N20821" s="14"/>
      <c r="O20821" s="14"/>
      <c r="P20821" s="13"/>
    </row>
    <row r="20822">
      <c r="L20822" s="13"/>
      <c r="M20822" s="14"/>
      <c r="N20822" s="14"/>
      <c r="O20822" s="14"/>
      <c r="P20822" s="13"/>
    </row>
    <row r="20823">
      <c r="L20823" s="13"/>
      <c r="M20823" s="14"/>
      <c r="N20823" s="14"/>
      <c r="O20823" s="14"/>
      <c r="P20823" s="13"/>
    </row>
    <row r="20824">
      <c r="L20824" s="13"/>
      <c r="M20824" s="14"/>
      <c r="N20824" s="14"/>
      <c r="O20824" s="14"/>
      <c r="P20824" s="13"/>
    </row>
    <row r="20825">
      <c r="L20825" s="13"/>
      <c r="M20825" s="14"/>
      <c r="N20825" s="14"/>
      <c r="O20825" s="14"/>
      <c r="P20825" s="13"/>
    </row>
    <row r="20826">
      <c r="L20826" s="13"/>
      <c r="M20826" s="14"/>
      <c r="N20826" s="14"/>
      <c r="O20826" s="14"/>
      <c r="P20826" s="13"/>
    </row>
    <row r="20827">
      <c r="L20827" s="13"/>
      <c r="M20827" s="14"/>
      <c r="N20827" s="14"/>
      <c r="O20827" s="14"/>
      <c r="P20827" s="13"/>
    </row>
    <row r="20828">
      <c r="L20828" s="13"/>
      <c r="M20828" s="14"/>
      <c r="N20828" s="14"/>
      <c r="O20828" s="14"/>
      <c r="P20828" s="13"/>
    </row>
    <row r="20829">
      <c r="L20829" s="13"/>
      <c r="M20829" s="14"/>
      <c r="N20829" s="14"/>
      <c r="O20829" s="14"/>
      <c r="P20829" s="13"/>
    </row>
    <row r="20830">
      <c r="L20830" s="13"/>
      <c r="M20830" s="14"/>
      <c r="N20830" s="14"/>
      <c r="O20830" s="14"/>
      <c r="P20830" s="13"/>
    </row>
    <row r="20831">
      <c r="L20831" s="13"/>
      <c r="M20831" s="14"/>
      <c r="N20831" s="14"/>
      <c r="O20831" s="14"/>
      <c r="P20831" s="13"/>
    </row>
    <row r="20832">
      <c r="L20832" s="13"/>
      <c r="M20832" s="14"/>
      <c r="N20832" s="14"/>
      <c r="O20832" s="14"/>
      <c r="P20832" s="13"/>
    </row>
    <row r="20833">
      <c r="L20833" s="13"/>
      <c r="M20833" s="14"/>
      <c r="N20833" s="14"/>
      <c r="O20833" s="14"/>
      <c r="P20833" s="13"/>
    </row>
    <row r="20834">
      <c r="L20834" s="13"/>
      <c r="M20834" s="14"/>
      <c r="N20834" s="14"/>
      <c r="O20834" s="14"/>
      <c r="P20834" s="13"/>
    </row>
    <row r="20835">
      <c r="L20835" s="13"/>
      <c r="M20835" s="14"/>
      <c r="N20835" s="14"/>
      <c r="O20835" s="14"/>
      <c r="P20835" s="13"/>
    </row>
    <row r="20836">
      <c r="L20836" s="13"/>
      <c r="M20836" s="14"/>
      <c r="N20836" s="14"/>
      <c r="O20836" s="14"/>
      <c r="P20836" s="13"/>
    </row>
    <row r="20837">
      <c r="L20837" s="13"/>
      <c r="M20837" s="14"/>
      <c r="N20837" s="14"/>
      <c r="O20837" s="14"/>
      <c r="P20837" s="13"/>
    </row>
    <row r="20838">
      <c r="L20838" s="13"/>
      <c r="M20838" s="14"/>
      <c r="N20838" s="14"/>
      <c r="O20838" s="14"/>
      <c r="P20838" s="13"/>
    </row>
    <row r="20839">
      <c r="L20839" s="13"/>
      <c r="M20839" s="14"/>
      <c r="N20839" s="14"/>
      <c r="O20839" s="14"/>
      <c r="P20839" s="13"/>
    </row>
    <row r="20840">
      <c r="L20840" s="13"/>
      <c r="M20840" s="14"/>
      <c r="N20840" s="14"/>
      <c r="O20840" s="14"/>
      <c r="P20840" s="13"/>
    </row>
    <row r="20841">
      <c r="L20841" s="13"/>
      <c r="M20841" s="14"/>
      <c r="N20841" s="14"/>
      <c r="O20841" s="14"/>
      <c r="P20841" s="13"/>
    </row>
    <row r="20842">
      <c r="L20842" s="13"/>
      <c r="M20842" s="14"/>
      <c r="N20842" s="14"/>
      <c r="O20842" s="14"/>
      <c r="P20842" s="13"/>
    </row>
    <row r="20843">
      <c r="L20843" s="13"/>
      <c r="M20843" s="14"/>
      <c r="N20843" s="14"/>
      <c r="O20843" s="14"/>
      <c r="P20843" s="13"/>
    </row>
    <row r="20844">
      <c r="L20844" s="13"/>
      <c r="M20844" s="14"/>
      <c r="N20844" s="14"/>
      <c r="O20844" s="14"/>
      <c r="P20844" s="13"/>
    </row>
    <row r="20845">
      <c r="L20845" s="13"/>
      <c r="M20845" s="14"/>
      <c r="N20845" s="14"/>
      <c r="O20845" s="14"/>
      <c r="P20845" s="13"/>
    </row>
    <row r="20846">
      <c r="L20846" s="13"/>
      <c r="M20846" s="14"/>
      <c r="N20846" s="14"/>
      <c r="O20846" s="14"/>
      <c r="P20846" s="13"/>
    </row>
    <row r="20847">
      <c r="L20847" s="13"/>
      <c r="M20847" s="14"/>
      <c r="N20847" s="14"/>
      <c r="O20847" s="14"/>
      <c r="P20847" s="13"/>
    </row>
    <row r="20848">
      <c r="L20848" s="13"/>
      <c r="M20848" s="14"/>
      <c r="N20848" s="14"/>
      <c r="O20848" s="14"/>
      <c r="P20848" s="13"/>
    </row>
    <row r="20849">
      <c r="L20849" s="13"/>
      <c r="M20849" s="14"/>
      <c r="N20849" s="14"/>
      <c r="O20849" s="14"/>
      <c r="P20849" s="13"/>
    </row>
    <row r="20850">
      <c r="L20850" s="13"/>
      <c r="M20850" s="14"/>
      <c r="N20850" s="14"/>
      <c r="O20850" s="14"/>
      <c r="P20850" s="13"/>
    </row>
    <row r="20851">
      <c r="L20851" s="13"/>
      <c r="M20851" s="14"/>
      <c r="N20851" s="14"/>
      <c r="O20851" s="14"/>
      <c r="P20851" s="13"/>
    </row>
    <row r="20852">
      <c r="L20852" s="13"/>
      <c r="M20852" s="14"/>
      <c r="N20852" s="14"/>
      <c r="O20852" s="14"/>
      <c r="P20852" s="13"/>
    </row>
    <row r="20853">
      <c r="L20853" s="13"/>
      <c r="M20853" s="14"/>
      <c r="N20853" s="14"/>
      <c r="O20853" s="14"/>
      <c r="P20853" s="13"/>
    </row>
    <row r="20854">
      <c r="L20854" s="13"/>
      <c r="M20854" s="14"/>
      <c r="N20854" s="14"/>
      <c r="O20854" s="14"/>
      <c r="P20854" s="13"/>
    </row>
    <row r="20855">
      <c r="L20855" s="13"/>
      <c r="M20855" s="14"/>
      <c r="N20855" s="14"/>
      <c r="O20855" s="14"/>
      <c r="P20855" s="13"/>
    </row>
    <row r="20856">
      <c r="L20856" s="13"/>
      <c r="M20856" s="14"/>
      <c r="N20856" s="14"/>
      <c r="O20856" s="14"/>
      <c r="P20856" s="13"/>
    </row>
    <row r="20857">
      <c r="L20857" s="13"/>
      <c r="M20857" s="14"/>
      <c r="N20857" s="14"/>
      <c r="O20857" s="14"/>
      <c r="P20857" s="13"/>
    </row>
    <row r="20858">
      <c r="L20858" s="13"/>
      <c r="M20858" s="14"/>
      <c r="N20858" s="14"/>
      <c r="O20858" s="14"/>
      <c r="P20858" s="13"/>
    </row>
    <row r="20859">
      <c r="L20859" s="13"/>
      <c r="M20859" s="14"/>
      <c r="N20859" s="14"/>
      <c r="O20859" s="14"/>
      <c r="P20859" s="13"/>
    </row>
    <row r="20860">
      <c r="L20860" s="13"/>
      <c r="M20860" s="14"/>
      <c r="N20860" s="14"/>
      <c r="O20860" s="14"/>
      <c r="P20860" s="13"/>
    </row>
    <row r="20861">
      <c r="L20861" s="13"/>
      <c r="M20861" s="14"/>
      <c r="N20861" s="14"/>
      <c r="O20861" s="14"/>
      <c r="P20861" s="13"/>
    </row>
    <row r="20862">
      <c r="L20862" s="13"/>
      <c r="M20862" s="14"/>
      <c r="N20862" s="14"/>
      <c r="O20862" s="14"/>
      <c r="P20862" s="13"/>
    </row>
    <row r="20863">
      <c r="L20863" s="13"/>
      <c r="M20863" s="14"/>
      <c r="N20863" s="14"/>
      <c r="O20863" s="14"/>
      <c r="P20863" s="13"/>
    </row>
    <row r="20864">
      <c r="L20864" s="13"/>
      <c r="M20864" s="14"/>
      <c r="N20864" s="14"/>
      <c r="O20864" s="14"/>
      <c r="P20864" s="13"/>
    </row>
    <row r="20865">
      <c r="L20865" s="13"/>
      <c r="M20865" s="14"/>
      <c r="N20865" s="14"/>
      <c r="O20865" s="14"/>
      <c r="P20865" s="13"/>
    </row>
    <row r="20866">
      <c r="L20866" s="13"/>
      <c r="M20866" s="14"/>
      <c r="N20866" s="14"/>
      <c r="O20866" s="14"/>
      <c r="P20866" s="13"/>
    </row>
    <row r="20867">
      <c r="L20867" s="13"/>
      <c r="M20867" s="14"/>
      <c r="N20867" s="14"/>
      <c r="O20867" s="14"/>
      <c r="P20867" s="13"/>
    </row>
    <row r="20868">
      <c r="L20868" s="13"/>
      <c r="M20868" s="14"/>
      <c r="N20868" s="14"/>
      <c r="O20868" s="14"/>
      <c r="P20868" s="13"/>
    </row>
    <row r="20869">
      <c r="L20869" s="13"/>
      <c r="M20869" s="14"/>
      <c r="N20869" s="14"/>
      <c r="O20869" s="14"/>
      <c r="P20869" s="13"/>
    </row>
    <row r="20870">
      <c r="L20870" s="13"/>
      <c r="M20870" s="14"/>
      <c r="N20870" s="14"/>
      <c r="O20870" s="14"/>
      <c r="P20870" s="13"/>
    </row>
    <row r="20871">
      <c r="L20871" s="13"/>
      <c r="M20871" s="14"/>
      <c r="N20871" s="14"/>
      <c r="O20871" s="14"/>
      <c r="P20871" s="13"/>
    </row>
    <row r="20872">
      <c r="L20872" s="13"/>
      <c r="M20872" s="14"/>
      <c r="N20872" s="14"/>
      <c r="O20872" s="14"/>
      <c r="P20872" s="13"/>
    </row>
    <row r="20873">
      <c r="L20873" s="13"/>
      <c r="M20873" s="14"/>
      <c r="N20873" s="14"/>
      <c r="O20873" s="14"/>
      <c r="P20873" s="13"/>
    </row>
    <row r="20874">
      <c r="L20874" s="13"/>
      <c r="M20874" s="14"/>
      <c r="N20874" s="14"/>
      <c r="O20874" s="14"/>
      <c r="P20874" s="13"/>
    </row>
    <row r="20875">
      <c r="L20875" s="13"/>
      <c r="M20875" s="14"/>
      <c r="N20875" s="14"/>
      <c r="O20875" s="14"/>
      <c r="P20875" s="13"/>
    </row>
    <row r="20876">
      <c r="L20876" s="13"/>
      <c r="M20876" s="14"/>
      <c r="N20876" s="14"/>
      <c r="O20876" s="14"/>
      <c r="P20876" s="13"/>
    </row>
    <row r="20877">
      <c r="L20877" s="13"/>
      <c r="M20877" s="14"/>
      <c r="N20877" s="14"/>
      <c r="O20877" s="14"/>
      <c r="P20877" s="13"/>
    </row>
    <row r="20878">
      <c r="L20878" s="13"/>
      <c r="M20878" s="14"/>
      <c r="N20878" s="14"/>
      <c r="O20878" s="14"/>
      <c r="P20878" s="13"/>
    </row>
    <row r="20879">
      <c r="L20879" s="13"/>
      <c r="M20879" s="14"/>
      <c r="N20879" s="14"/>
      <c r="O20879" s="14"/>
      <c r="P20879" s="13"/>
    </row>
    <row r="20880">
      <c r="L20880" s="13"/>
      <c r="M20880" s="14"/>
      <c r="N20880" s="14"/>
      <c r="O20880" s="14"/>
      <c r="P20880" s="13"/>
    </row>
    <row r="20881">
      <c r="L20881" s="13"/>
      <c r="M20881" s="14"/>
      <c r="N20881" s="14"/>
      <c r="O20881" s="14"/>
      <c r="P20881" s="13"/>
    </row>
    <row r="20882">
      <c r="L20882" s="13"/>
      <c r="M20882" s="14"/>
      <c r="N20882" s="14"/>
      <c r="O20882" s="14"/>
      <c r="P20882" s="13"/>
    </row>
    <row r="20883">
      <c r="L20883" s="13"/>
      <c r="M20883" s="14"/>
      <c r="N20883" s="14"/>
      <c r="O20883" s="14"/>
      <c r="P20883" s="13"/>
    </row>
    <row r="20884">
      <c r="L20884" s="13"/>
      <c r="M20884" s="14"/>
      <c r="N20884" s="14"/>
      <c r="O20884" s="14"/>
      <c r="P20884" s="13"/>
    </row>
    <row r="20885">
      <c r="L20885" s="13"/>
      <c r="M20885" s="14"/>
      <c r="N20885" s="14"/>
      <c r="O20885" s="14"/>
      <c r="P20885" s="13"/>
    </row>
    <row r="20886">
      <c r="L20886" s="13"/>
      <c r="M20886" s="14"/>
      <c r="N20886" s="14"/>
      <c r="O20886" s="14"/>
      <c r="P20886" s="13"/>
    </row>
    <row r="20887">
      <c r="L20887" s="13"/>
      <c r="M20887" s="14"/>
      <c r="N20887" s="14"/>
      <c r="O20887" s="14"/>
      <c r="P20887" s="13"/>
    </row>
    <row r="20888">
      <c r="L20888" s="13"/>
      <c r="M20888" s="14"/>
      <c r="N20888" s="14"/>
      <c r="O20888" s="14"/>
      <c r="P20888" s="13"/>
    </row>
    <row r="20889">
      <c r="L20889" s="13"/>
      <c r="M20889" s="14"/>
      <c r="N20889" s="14"/>
      <c r="O20889" s="14"/>
      <c r="P20889" s="13"/>
    </row>
    <row r="20890">
      <c r="L20890" s="13"/>
      <c r="M20890" s="14"/>
      <c r="N20890" s="14"/>
      <c r="O20890" s="14"/>
      <c r="P20890" s="13"/>
    </row>
    <row r="20891">
      <c r="L20891" s="13"/>
      <c r="M20891" s="14"/>
      <c r="N20891" s="14"/>
      <c r="O20891" s="14"/>
      <c r="P20891" s="13"/>
    </row>
    <row r="20892">
      <c r="L20892" s="13"/>
      <c r="M20892" s="14"/>
      <c r="N20892" s="14"/>
      <c r="O20892" s="14"/>
      <c r="P20892" s="13"/>
    </row>
    <row r="20893">
      <c r="L20893" s="13"/>
      <c r="M20893" s="14"/>
      <c r="N20893" s="14"/>
      <c r="O20893" s="14"/>
      <c r="P20893" s="13"/>
    </row>
    <row r="20894">
      <c r="L20894" s="13"/>
      <c r="M20894" s="14"/>
      <c r="N20894" s="14"/>
      <c r="O20894" s="14"/>
      <c r="P20894" s="13"/>
    </row>
    <row r="20895">
      <c r="L20895" s="13"/>
      <c r="M20895" s="14"/>
      <c r="N20895" s="14"/>
      <c r="O20895" s="14"/>
      <c r="P20895" s="13"/>
    </row>
    <row r="20896">
      <c r="L20896" s="13"/>
      <c r="M20896" s="14"/>
      <c r="N20896" s="14"/>
      <c r="O20896" s="14"/>
      <c r="P20896" s="13"/>
    </row>
    <row r="20897">
      <c r="L20897" s="13"/>
      <c r="M20897" s="14"/>
      <c r="N20897" s="14"/>
      <c r="O20897" s="14"/>
      <c r="P20897" s="13"/>
    </row>
    <row r="20898">
      <c r="L20898" s="13"/>
      <c r="M20898" s="14"/>
      <c r="N20898" s="14"/>
      <c r="O20898" s="14"/>
      <c r="P20898" s="13"/>
    </row>
    <row r="20899">
      <c r="L20899" s="13"/>
      <c r="M20899" s="14"/>
      <c r="N20899" s="14"/>
      <c r="O20899" s="14"/>
      <c r="P20899" s="13"/>
    </row>
    <row r="20900">
      <c r="L20900" s="13"/>
      <c r="M20900" s="14"/>
      <c r="N20900" s="14"/>
      <c r="O20900" s="14"/>
      <c r="P20900" s="13"/>
    </row>
    <row r="20901">
      <c r="L20901" s="13"/>
      <c r="M20901" s="14"/>
      <c r="N20901" s="14"/>
      <c r="O20901" s="14"/>
      <c r="P20901" s="13"/>
    </row>
    <row r="20902">
      <c r="L20902" s="13"/>
      <c r="M20902" s="14"/>
      <c r="N20902" s="14"/>
      <c r="O20902" s="14"/>
      <c r="P20902" s="13"/>
    </row>
    <row r="20903">
      <c r="L20903" s="13"/>
      <c r="M20903" s="14"/>
      <c r="N20903" s="14"/>
      <c r="O20903" s="14"/>
      <c r="P20903" s="13"/>
    </row>
    <row r="20904">
      <c r="L20904" s="13"/>
      <c r="M20904" s="14"/>
      <c r="N20904" s="14"/>
      <c r="O20904" s="14"/>
      <c r="P20904" s="13"/>
    </row>
    <row r="20905">
      <c r="L20905" s="13"/>
      <c r="M20905" s="14"/>
      <c r="N20905" s="14"/>
      <c r="O20905" s="14"/>
      <c r="P20905" s="13"/>
    </row>
    <row r="20906">
      <c r="L20906" s="13"/>
      <c r="M20906" s="14"/>
      <c r="N20906" s="14"/>
      <c r="O20906" s="14"/>
      <c r="P20906" s="13"/>
    </row>
    <row r="20907">
      <c r="L20907" s="13"/>
      <c r="M20907" s="14"/>
      <c r="N20907" s="14"/>
      <c r="O20907" s="14"/>
      <c r="P20907" s="13"/>
    </row>
    <row r="20908">
      <c r="L20908" s="13"/>
      <c r="M20908" s="14"/>
      <c r="N20908" s="14"/>
      <c r="O20908" s="14"/>
      <c r="P20908" s="13"/>
    </row>
    <row r="20909">
      <c r="L20909" s="13"/>
      <c r="M20909" s="14"/>
      <c r="N20909" s="14"/>
      <c r="O20909" s="14"/>
      <c r="P20909" s="13"/>
    </row>
    <row r="20910">
      <c r="L20910" s="13"/>
      <c r="M20910" s="14"/>
      <c r="N20910" s="14"/>
      <c r="O20910" s="14"/>
      <c r="P20910" s="13"/>
    </row>
    <row r="20911">
      <c r="L20911" s="13"/>
      <c r="M20911" s="14"/>
      <c r="N20911" s="14"/>
      <c r="O20911" s="14"/>
      <c r="P20911" s="13"/>
    </row>
    <row r="20912">
      <c r="L20912" s="13"/>
      <c r="M20912" s="14"/>
      <c r="N20912" s="14"/>
      <c r="O20912" s="14"/>
      <c r="P20912" s="13"/>
    </row>
    <row r="20913">
      <c r="L20913" s="13"/>
      <c r="M20913" s="14"/>
      <c r="N20913" s="14"/>
      <c r="O20913" s="14"/>
      <c r="P20913" s="13"/>
    </row>
    <row r="20914">
      <c r="L20914" s="13"/>
      <c r="M20914" s="14"/>
      <c r="N20914" s="14"/>
      <c r="O20914" s="14"/>
      <c r="P20914" s="13"/>
    </row>
    <row r="20915">
      <c r="L20915" s="13"/>
      <c r="M20915" s="14"/>
      <c r="N20915" s="14"/>
      <c r="O20915" s="14"/>
      <c r="P20915" s="13"/>
    </row>
    <row r="20916">
      <c r="L20916" s="13"/>
      <c r="M20916" s="14"/>
      <c r="N20916" s="14"/>
      <c r="O20916" s="14"/>
      <c r="P20916" s="13"/>
    </row>
    <row r="20917">
      <c r="L20917" s="13"/>
      <c r="M20917" s="14"/>
      <c r="N20917" s="14"/>
      <c r="O20917" s="14"/>
      <c r="P20917" s="13"/>
    </row>
    <row r="20918">
      <c r="L20918" s="13"/>
      <c r="M20918" s="14"/>
      <c r="N20918" s="14"/>
      <c r="O20918" s="14"/>
      <c r="P20918" s="13"/>
    </row>
    <row r="20919">
      <c r="L20919" s="13"/>
      <c r="M20919" s="14"/>
      <c r="N20919" s="14"/>
      <c r="O20919" s="14"/>
      <c r="P20919" s="13"/>
    </row>
    <row r="20920">
      <c r="L20920" s="13"/>
      <c r="M20920" s="14"/>
      <c r="N20920" s="14"/>
      <c r="O20920" s="14"/>
      <c r="P20920" s="13"/>
    </row>
    <row r="20921">
      <c r="L20921" s="13"/>
      <c r="M20921" s="14"/>
      <c r="N20921" s="14"/>
      <c r="O20921" s="14"/>
      <c r="P20921" s="13"/>
    </row>
    <row r="20922">
      <c r="L20922" s="13"/>
      <c r="M20922" s="14"/>
      <c r="N20922" s="14"/>
      <c r="O20922" s="14"/>
      <c r="P20922" s="13"/>
    </row>
    <row r="20923">
      <c r="L20923" s="13"/>
      <c r="M20923" s="14"/>
      <c r="N20923" s="14"/>
      <c r="O20923" s="14"/>
      <c r="P20923" s="13"/>
    </row>
    <row r="20924">
      <c r="L20924" s="13"/>
      <c r="M20924" s="14"/>
      <c r="N20924" s="14"/>
      <c r="O20924" s="14"/>
      <c r="P20924" s="13"/>
    </row>
    <row r="20925">
      <c r="L20925" s="13"/>
      <c r="M20925" s="14"/>
      <c r="N20925" s="14"/>
      <c r="O20925" s="14"/>
      <c r="P20925" s="13"/>
    </row>
    <row r="20926">
      <c r="L20926" s="13"/>
      <c r="M20926" s="14"/>
      <c r="N20926" s="14"/>
      <c r="O20926" s="14"/>
      <c r="P20926" s="13"/>
    </row>
    <row r="20927">
      <c r="L20927" s="13"/>
      <c r="M20927" s="14"/>
      <c r="N20927" s="14"/>
      <c r="O20927" s="14"/>
      <c r="P20927" s="13"/>
    </row>
    <row r="20928">
      <c r="L20928" s="13"/>
      <c r="M20928" s="14"/>
      <c r="N20928" s="14"/>
      <c r="O20928" s="14"/>
      <c r="P20928" s="13"/>
    </row>
    <row r="20929">
      <c r="L20929" s="13"/>
      <c r="M20929" s="14"/>
      <c r="N20929" s="14"/>
      <c r="O20929" s="14"/>
      <c r="P20929" s="13"/>
    </row>
    <row r="20930">
      <c r="L20930" s="13"/>
      <c r="M20930" s="14"/>
      <c r="N20930" s="14"/>
      <c r="O20930" s="14"/>
      <c r="P20930" s="13"/>
    </row>
    <row r="20931">
      <c r="L20931" s="13"/>
      <c r="M20931" s="14"/>
      <c r="N20931" s="14"/>
      <c r="O20931" s="14"/>
      <c r="P20931" s="13"/>
    </row>
    <row r="20932">
      <c r="L20932" s="13"/>
      <c r="M20932" s="14"/>
      <c r="N20932" s="14"/>
      <c r="O20932" s="14"/>
      <c r="P20932" s="13"/>
    </row>
    <row r="20933">
      <c r="L20933" s="13"/>
      <c r="M20933" s="14"/>
      <c r="N20933" s="14"/>
      <c r="O20933" s="14"/>
      <c r="P20933" s="13"/>
    </row>
    <row r="20934">
      <c r="L20934" s="13"/>
      <c r="M20934" s="14"/>
      <c r="N20934" s="14"/>
      <c r="O20934" s="14"/>
      <c r="P20934" s="13"/>
    </row>
    <row r="20935">
      <c r="L20935" s="13"/>
      <c r="M20935" s="14"/>
      <c r="N20935" s="14"/>
      <c r="O20935" s="14"/>
      <c r="P20935" s="13"/>
    </row>
    <row r="20936">
      <c r="L20936" s="13"/>
      <c r="M20936" s="14"/>
      <c r="N20936" s="14"/>
      <c r="O20936" s="14"/>
      <c r="P20936" s="13"/>
    </row>
    <row r="20937">
      <c r="L20937" s="13"/>
      <c r="M20937" s="14"/>
      <c r="N20937" s="14"/>
      <c r="O20937" s="14"/>
      <c r="P20937" s="13"/>
    </row>
    <row r="20938">
      <c r="L20938" s="13"/>
      <c r="M20938" s="14"/>
      <c r="N20938" s="14"/>
      <c r="O20938" s="14"/>
      <c r="P20938" s="13"/>
    </row>
    <row r="20939">
      <c r="L20939" s="13"/>
      <c r="M20939" s="14"/>
      <c r="N20939" s="14"/>
      <c r="O20939" s="14"/>
      <c r="P20939" s="13"/>
    </row>
    <row r="20940">
      <c r="L20940" s="13"/>
      <c r="M20940" s="14"/>
      <c r="N20940" s="14"/>
      <c r="O20940" s="14"/>
      <c r="P20940" s="13"/>
    </row>
    <row r="20941">
      <c r="L20941" s="13"/>
      <c r="M20941" s="14"/>
      <c r="N20941" s="14"/>
      <c r="O20941" s="14"/>
      <c r="P20941" s="13"/>
    </row>
    <row r="20942">
      <c r="L20942" s="13"/>
      <c r="M20942" s="14"/>
      <c r="N20942" s="14"/>
      <c r="O20942" s="14"/>
      <c r="P20942" s="13"/>
    </row>
    <row r="20943">
      <c r="L20943" s="13"/>
      <c r="M20943" s="14"/>
      <c r="N20943" s="14"/>
      <c r="O20943" s="14"/>
      <c r="P20943" s="13"/>
    </row>
    <row r="20944">
      <c r="L20944" s="13"/>
      <c r="M20944" s="14"/>
      <c r="N20944" s="14"/>
      <c r="O20944" s="14"/>
      <c r="P20944" s="13"/>
    </row>
    <row r="20945">
      <c r="L20945" s="13"/>
      <c r="M20945" s="14"/>
      <c r="N20945" s="14"/>
      <c r="O20945" s="14"/>
      <c r="P20945" s="13"/>
    </row>
    <row r="20946">
      <c r="L20946" s="13"/>
      <c r="M20946" s="14"/>
      <c r="N20946" s="14"/>
      <c r="O20946" s="14"/>
      <c r="P20946" s="13"/>
    </row>
    <row r="20947">
      <c r="L20947" s="13"/>
      <c r="M20947" s="14"/>
      <c r="N20947" s="14"/>
      <c r="O20947" s="14"/>
      <c r="P20947" s="13"/>
    </row>
    <row r="20948">
      <c r="L20948" s="13"/>
      <c r="M20948" s="14"/>
      <c r="N20948" s="14"/>
      <c r="O20948" s="14"/>
      <c r="P20948" s="13"/>
    </row>
    <row r="20949">
      <c r="L20949" s="13"/>
      <c r="M20949" s="14"/>
      <c r="N20949" s="14"/>
      <c r="O20949" s="14"/>
      <c r="P20949" s="13"/>
    </row>
    <row r="20950">
      <c r="L20950" s="13"/>
      <c r="M20950" s="14"/>
      <c r="N20950" s="14"/>
      <c r="O20950" s="14"/>
      <c r="P20950" s="13"/>
    </row>
    <row r="20951">
      <c r="L20951" s="13"/>
      <c r="M20951" s="14"/>
      <c r="N20951" s="14"/>
      <c r="O20951" s="14"/>
      <c r="P20951" s="13"/>
    </row>
    <row r="20952">
      <c r="L20952" s="13"/>
      <c r="M20952" s="14"/>
      <c r="N20952" s="14"/>
      <c r="O20952" s="14"/>
      <c r="P20952" s="13"/>
    </row>
    <row r="20953">
      <c r="L20953" s="13"/>
      <c r="M20953" s="14"/>
      <c r="N20953" s="14"/>
      <c r="O20953" s="14"/>
      <c r="P20953" s="13"/>
    </row>
    <row r="20954">
      <c r="L20954" s="13"/>
      <c r="M20954" s="14"/>
      <c r="N20954" s="14"/>
      <c r="O20954" s="14"/>
      <c r="P20954" s="13"/>
    </row>
    <row r="20955">
      <c r="L20955" s="13"/>
      <c r="M20955" s="14"/>
      <c r="N20955" s="14"/>
      <c r="O20955" s="14"/>
      <c r="P20955" s="13"/>
    </row>
    <row r="20956">
      <c r="L20956" s="13"/>
      <c r="M20956" s="14"/>
      <c r="N20956" s="14"/>
      <c r="O20956" s="14"/>
      <c r="P20956" s="13"/>
    </row>
    <row r="20957">
      <c r="L20957" s="13"/>
      <c r="M20957" s="14"/>
      <c r="N20957" s="14"/>
      <c r="O20957" s="14"/>
      <c r="P20957" s="13"/>
    </row>
    <row r="20958">
      <c r="L20958" s="13"/>
      <c r="M20958" s="14"/>
      <c r="N20958" s="14"/>
      <c r="O20958" s="14"/>
      <c r="P20958" s="13"/>
    </row>
    <row r="20959">
      <c r="L20959" s="13"/>
      <c r="M20959" s="14"/>
      <c r="N20959" s="14"/>
      <c r="O20959" s="14"/>
      <c r="P20959" s="13"/>
    </row>
    <row r="20960">
      <c r="L20960" s="13"/>
      <c r="M20960" s="14"/>
      <c r="N20960" s="14"/>
      <c r="O20960" s="14"/>
      <c r="P20960" s="13"/>
    </row>
    <row r="20961">
      <c r="L20961" s="13"/>
      <c r="M20961" s="14"/>
      <c r="N20961" s="14"/>
      <c r="O20961" s="14"/>
      <c r="P20961" s="13"/>
    </row>
    <row r="20962">
      <c r="L20962" s="13"/>
      <c r="M20962" s="14"/>
      <c r="N20962" s="14"/>
      <c r="O20962" s="14"/>
      <c r="P20962" s="13"/>
    </row>
    <row r="20963">
      <c r="L20963" s="13"/>
      <c r="M20963" s="14"/>
      <c r="N20963" s="14"/>
      <c r="O20963" s="14"/>
      <c r="P20963" s="13"/>
    </row>
    <row r="20964">
      <c r="L20964" s="13"/>
      <c r="M20964" s="14"/>
      <c r="N20964" s="14"/>
      <c r="O20964" s="14"/>
      <c r="P20964" s="13"/>
    </row>
    <row r="20965">
      <c r="L20965" s="13"/>
      <c r="M20965" s="14"/>
      <c r="N20965" s="14"/>
      <c r="O20965" s="14"/>
      <c r="P20965" s="13"/>
    </row>
    <row r="20966">
      <c r="L20966" s="13"/>
      <c r="M20966" s="14"/>
      <c r="N20966" s="14"/>
      <c r="O20966" s="14"/>
      <c r="P20966" s="13"/>
    </row>
    <row r="20967">
      <c r="L20967" s="13"/>
      <c r="M20967" s="14"/>
      <c r="N20967" s="14"/>
      <c r="O20967" s="14"/>
      <c r="P20967" s="13"/>
    </row>
    <row r="20968">
      <c r="L20968" s="13"/>
      <c r="M20968" s="14"/>
      <c r="N20968" s="14"/>
      <c r="O20968" s="14"/>
      <c r="P20968" s="13"/>
    </row>
    <row r="20969">
      <c r="L20969" s="13"/>
      <c r="M20969" s="14"/>
      <c r="N20969" s="14"/>
      <c r="O20969" s="14"/>
      <c r="P20969" s="13"/>
    </row>
    <row r="20970">
      <c r="L20970" s="13"/>
      <c r="M20970" s="14"/>
      <c r="N20970" s="14"/>
      <c r="O20970" s="14"/>
      <c r="P20970" s="13"/>
    </row>
    <row r="20971">
      <c r="L20971" s="13"/>
      <c r="M20971" s="14"/>
      <c r="N20971" s="14"/>
      <c r="O20971" s="14"/>
      <c r="P20971" s="13"/>
    </row>
    <row r="20972">
      <c r="L20972" s="13"/>
      <c r="M20972" s="14"/>
      <c r="N20972" s="14"/>
      <c r="O20972" s="14"/>
      <c r="P20972" s="13"/>
    </row>
    <row r="20973">
      <c r="L20973" s="13"/>
      <c r="M20973" s="14"/>
      <c r="N20973" s="14"/>
      <c r="O20973" s="14"/>
      <c r="P20973" s="13"/>
    </row>
    <row r="20974">
      <c r="L20974" s="13"/>
      <c r="M20974" s="14"/>
      <c r="N20974" s="14"/>
      <c r="O20974" s="14"/>
      <c r="P20974" s="13"/>
    </row>
    <row r="20975">
      <c r="L20975" s="13"/>
      <c r="M20975" s="14"/>
      <c r="N20975" s="14"/>
      <c r="O20975" s="14"/>
      <c r="P20975" s="13"/>
    </row>
    <row r="20976">
      <c r="L20976" s="13"/>
      <c r="M20976" s="14"/>
      <c r="N20976" s="14"/>
      <c r="O20976" s="14"/>
      <c r="P20976" s="13"/>
    </row>
    <row r="20977">
      <c r="L20977" s="13"/>
      <c r="M20977" s="14"/>
      <c r="N20977" s="14"/>
      <c r="O20977" s="14"/>
      <c r="P20977" s="13"/>
    </row>
    <row r="20978">
      <c r="L20978" s="13"/>
      <c r="M20978" s="14"/>
      <c r="N20978" s="14"/>
      <c r="O20978" s="14"/>
      <c r="P20978" s="13"/>
    </row>
    <row r="20979">
      <c r="L20979" s="13"/>
      <c r="M20979" s="14"/>
      <c r="N20979" s="14"/>
      <c r="O20979" s="14"/>
      <c r="P20979" s="13"/>
    </row>
    <row r="20980">
      <c r="L20980" s="13"/>
      <c r="M20980" s="14"/>
      <c r="N20980" s="14"/>
      <c r="O20980" s="14"/>
      <c r="P20980" s="13"/>
    </row>
    <row r="20981">
      <c r="L20981" s="13"/>
      <c r="M20981" s="14"/>
      <c r="N20981" s="14"/>
      <c r="O20981" s="14"/>
      <c r="P20981" s="13"/>
    </row>
    <row r="20982">
      <c r="L20982" s="13"/>
      <c r="M20982" s="14"/>
      <c r="N20982" s="14"/>
      <c r="O20982" s="14"/>
      <c r="P20982" s="13"/>
    </row>
    <row r="20983">
      <c r="L20983" s="13"/>
      <c r="M20983" s="14"/>
      <c r="N20983" s="14"/>
      <c r="O20983" s="14"/>
      <c r="P20983" s="13"/>
    </row>
    <row r="20984">
      <c r="L20984" s="13"/>
      <c r="M20984" s="14"/>
      <c r="N20984" s="14"/>
      <c r="O20984" s="14"/>
      <c r="P20984" s="13"/>
    </row>
    <row r="20985">
      <c r="L20985" s="13"/>
      <c r="M20985" s="14"/>
      <c r="N20985" s="14"/>
      <c r="O20985" s="14"/>
      <c r="P20985" s="13"/>
    </row>
    <row r="20986">
      <c r="L20986" s="13"/>
      <c r="M20986" s="14"/>
      <c r="N20986" s="14"/>
      <c r="O20986" s="14"/>
      <c r="P20986" s="13"/>
    </row>
    <row r="20987">
      <c r="L20987" s="13"/>
      <c r="M20987" s="14"/>
      <c r="N20987" s="14"/>
      <c r="O20987" s="14"/>
      <c r="P20987" s="13"/>
    </row>
    <row r="20988">
      <c r="L20988" s="13"/>
      <c r="M20988" s="14"/>
      <c r="N20988" s="14"/>
      <c r="O20988" s="14"/>
      <c r="P20988" s="13"/>
    </row>
    <row r="20989">
      <c r="L20989" s="13"/>
      <c r="M20989" s="14"/>
      <c r="N20989" s="14"/>
      <c r="O20989" s="14"/>
      <c r="P20989" s="13"/>
    </row>
    <row r="20990">
      <c r="L20990" s="13"/>
      <c r="M20990" s="14"/>
      <c r="N20990" s="14"/>
      <c r="O20990" s="14"/>
      <c r="P20990" s="13"/>
    </row>
    <row r="20991">
      <c r="L20991" s="13"/>
      <c r="M20991" s="14"/>
      <c r="N20991" s="14"/>
      <c r="O20991" s="14"/>
      <c r="P20991" s="13"/>
    </row>
    <row r="20992">
      <c r="L20992" s="13"/>
      <c r="M20992" s="14"/>
      <c r="N20992" s="14"/>
      <c r="O20992" s="14"/>
      <c r="P20992" s="13"/>
    </row>
    <row r="20993">
      <c r="L20993" s="13"/>
      <c r="M20993" s="14"/>
      <c r="N20993" s="14"/>
      <c r="O20993" s="14"/>
      <c r="P20993" s="13"/>
    </row>
    <row r="20994">
      <c r="L20994" s="13"/>
      <c r="M20994" s="14"/>
      <c r="N20994" s="14"/>
      <c r="O20994" s="14"/>
      <c r="P20994" s="13"/>
    </row>
    <row r="20995">
      <c r="L20995" s="13"/>
      <c r="M20995" s="14"/>
      <c r="N20995" s="14"/>
      <c r="O20995" s="14"/>
      <c r="P20995" s="13"/>
    </row>
    <row r="20996">
      <c r="L20996" s="13"/>
      <c r="M20996" s="14"/>
      <c r="N20996" s="14"/>
      <c r="O20996" s="14"/>
      <c r="P20996" s="13"/>
    </row>
    <row r="20997">
      <c r="L20997" s="13"/>
      <c r="M20997" s="14"/>
      <c r="N20997" s="14"/>
      <c r="O20997" s="14"/>
      <c r="P20997" s="13"/>
    </row>
    <row r="20998">
      <c r="L20998" s="13"/>
      <c r="M20998" s="14"/>
      <c r="N20998" s="14"/>
      <c r="O20998" s="14"/>
      <c r="P20998" s="13"/>
    </row>
    <row r="20999">
      <c r="L20999" s="13"/>
      <c r="M20999" s="14"/>
      <c r="N20999" s="14"/>
      <c r="O20999" s="14"/>
      <c r="P20999" s="13"/>
    </row>
    <row r="21000">
      <c r="L21000" s="13"/>
      <c r="M21000" s="14"/>
      <c r="N21000" s="14"/>
      <c r="O21000" s="14"/>
      <c r="P21000" s="13"/>
    </row>
    <row r="21001">
      <c r="L21001" s="13"/>
      <c r="M21001" s="14"/>
      <c r="N21001" s="14"/>
      <c r="O21001" s="14"/>
      <c r="P21001" s="13"/>
    </row>
    <row r="21002">
      <c r="L21002" s="13"/>
      <c r="M21002" s="14"/>
      <c r="N21002" s="14"/>
      <c r="O21002" s="14"/>
      <c r="P21002" s="13"/>
    </row>
    <row r="21003">
      <c r="L21003" s="13"/>
      <c r="M21003" s="14"/>
      <c r="N21003" s="14"/>
      <c r="O21003" s="14"/>
      <c r="P21003" s="13"/>
    </row>
    <row r="21004">
      <c r="L21004" s="13"/>
      <c r="M21004" s="14"/>
      <c r="N21004" s="14"/>
      <c r="O21004" s="14"/>
      <c r="P21004" s="13"/>
    </row>
    <row r="21005">
      <c r="L21005" s="13"/>
      <c r="M21005" s="14"/>
      <c r="N21005" s="14"/>
      <c r="O21005" s="14"/>
      <c r="P21005" s="13"/>
    </row>
    <row r="21006">
      <c r="L21006" s="13"/>
      <c r="M21006" s="14"/>
      <c r="N21006" s="14"/>
      <c r="O21006" s="14"/>
      <c r="P21006" s="13"/>
    </row>
    <row r="21007">
      <c r="L21007" s="13"/>
      <c r="M21007" s="14"/>
      <c r="N21007" s="14"/>
      <c r="O21007" s="14"/>
      <c r="P21007" s="13"/>
    </row>
    <row r="21008">
      <c r="L21008" s="13"/>
      <c r="M21008" s="14"/>
      <c r="N21008" s="14"/>
      <c r="O21008" s="14"/>
      <c r="P21008" s="13"/>
    </row>
    <row r="21009">
      <c r="L21009" s="13"/>
      <c r="M21009" s="14"/>
      <c r="N21009" s="14"/>
      <c r="O21009" s="14"/>
      <c r="P21009" s="13"/>
    </row>
    <row r="21010">
      <c r="L21010" s="13"/>
      <c r="M21010" s="14"/>
      <c r="N21010" s="14"/>
      <c r="O21010" s="14"/>
      <c r="P21010" s="13"/>
    </row>
    <row r="21011">
      <c r="L21011" s="13"/>
      <c r="M21011" s="14"/>
      <c r="N21011" s="14"/>
      <c r="O21011" s="14"/>
      <c r="P21011" s="13"/>
    </row>
    <row r="21012">
      <c r="L21012" s="13"/>
      <c r="M21012" s="14"/>
      <c r="N21012" s="14"/>
      <c r="O21012" s="14"/>
      <c r="P21012" s="13"/>
    </row>
    <row r="21013">
      <c r="L21013" s="13"/>
      <c r="M21013" s="14"/>
      <c r="N21013" s="14"/>
      <c r="O21013" s="14"/>
      <c r="P21013" s="13"/>
    </row>
    <row r="21014">
      <c r="L21014" s="13"/>
      <c r="M21014" s="14"/>
      <c r="N21014" s="14"/>
      <c r="O21014" s="14"/>
      <c r="P21014" s="13"/>
    </row>
    <row r="21015">
      <c r="L21015" s="13"/>
      <c r="M21015" s="14"/>
      <c r="N21015" s="14"/>
      <c r="O21015" s="14"/>
      <c r="P21015" s="13"/>
    </row>
    <row r="21016">
      <c r="L21016" s="13"/>
      <c r="M21016" s="14"/>
      <c r="N21016" s="14"/>
      <c r="O21016" s="14"/>
      <c r="P21016" s="13"/>
    </row>
    <row r="21017">
      <c r="L21017" s="13"/>
      <c r="M21017" s="14"/>
      <c r="N21017" s="14"/>
      <c r="O21017" s="14"/>
      <c r="P21017" s="13"/>
    </row>
    <row r="21018">
      <c r="L21018" s="13"/>
      <c r="M21018" s="14"/>
      <c r="N21018" s="14"/>
      <c r="O21018" s="14"/>
      <c r="P21018" s="13"/>
    </row>
    <row r="21019">
      <c r="L21019" s="13"/>
      <c r="M21019" s="14"/>
      <c r="N21019" s="14"/>
      <c r="O21019" s="14"/>
      <c r="P21019" s="13"/>
    </row>
    <row r="21020">
      <c r="L21020" s="13"/>
      <c r="M21020" s="14"/>
      <c r="N21020" s="14"/>
      <c r="O21020" s="14"/>
      <c r="P21020" s="13"/>
    </row>
    <row r="21021">
      <c r="L21021" s="13"/>
      <c r="M21021" s="14"/>
      <c r="N21021" s="14"/>
      <c r="O21021" s="14"/>
      <c r="P21021" s="13"/>
    </row>
    <row r="21022">
      <c r="L21022" s="13"/>
      <c r="M21022" s="14"/>
      <c r="N21022" s="14"/>
      <c r="O21022" s="14"/>
      <c r="P21022" s="13"/>
    </row>
    <row r="21023">
      <c r="L21023" s="13"/>
      <c r="M21023" s="14"/>
      <c r="N21023" s="14"/>
      <c r="O21023" s="14"/>
      <c r="P21023" s="13"/>
    </row>
    <row r="21024">
      <c r="L21024" s="13"/>
      <c r="M21024" s="14"/>
      <c r="N21024" s="14"/>
      <c r="O21024" s="14"/>
      <c r="P21024" s="13"/>
    </row>
    <row r="21025">
      <c r="L21025" s="13"/>
      <c r="M21025" s="14"/>
      <c r="N21025" s="14"/>
      <c r="O21025" s="14"/>
      <c r="P21025" s="13"/>
    </row>
    <row r="21026">
      <c r="L21026" s="13"/>
      <c r="M21026" s="14"/>
      <c r="N21026" s="14"/>
      <c r="O21026" s="14"/>
      <c r="P21026" s="13"/>
    </row>
    <row r="21027">
      <c r="L21027" s="13"/>
      <c r="M21027" s="14"/>
      <c r="N21027" s="14"/>
      <c r="O21027" s="14"/>
      <c r="P21027" s="13"/>
    </row>
    <row r="21028">
      <c r="L21028" s="13"/>
      <c r="M21028" s="14"/>
      <c r="N21028" s="14"/>
      <c r="O21028" s="14"/>
      <c r="P21028" s="13"/>
    </row>
    <row r="21029">
      <c r="L21029" s="13"/>
      <c r="M21029" s="14"/>
      <c r="N21029" s="14"/>
      <c r="O21029" s="14"/>
      <c r="P21029" s="13"/>
    </row>
    <row r="21030">
      <c r="L21030" s="13"/>
      <c r="M21030" s="14"/>
      <c r="N21030" s="14"/>
      <c r="O21030" s="14"/>
      <c r="P21030" s="13"/>
    </row>
    <row r="21031">
      <c r="L21031" s="13"/>
      <c r="M21031" s="14"/>
      <c r="N21031" s="14"/>
      <c r="O21031" s="14"/>
      <c r="P21031" s="13"/>
    </row>
    <row r="21032">
      <c r="L21032" s="13"/>
      <c r="M21032" s="14"/>
      <c r="N21032" s="14"/>
      <c r="O21032" s="14"/>
      <c r="P21032" s="13"/>
    </row>
    <row r="21033">
      <c r="L21033" s="13"/>
      <c r="M21033" s="14"/>
      <c r="N21033" s="14"/>
      <c r="O21033" s="14"/>
      <c r="P21033" s="13"/>
    </row>
    <row r="21034">
      <c r="L21034" s="13"/>
      <c r="M21034" s="14"/>
      <c r="N21034" s="14"/>
      <c r="O21034" s="14"/>
      <c r="P21034" s="13"/>
    </row>
    <row r="21035">
      <c r="L21035" s="13"/>
      <c r="M21035" s="14"/>
      <c r="N21035" s="14"/>
      <c r="O21035" s="14"/>
      <c r="P21035" s="13"/>
    </row>
    <row r="21036">
      <c r="L21036" s="13"/>
      <c r="M21036" s="14"/>
      <c r="N21036" s="14"/>
      <c r="O21036" s="14"/>
      <c r="P21036" s="13"/>
    </row>
    <row r="21037">
      <c r="L21037" s="13"/>
      <c r="M21037" s="14"/>
      <c r="N21037" s="14"/>
      <c r="O21037" s="14"/>
      <c r="P21037" s="13"/>
    </row>
    <row r="21038">
      <c r="L21038" s="13"/>
      <c r="M21038" s="14"/>
      <c r="N21038" s="14"/>
      <c r="O21038" s="14"/>
      <c r="P21038" s="13"/>
    </row>
    <row r="21039">
      <c r="L21039" s="13"/>
      <c r="M21039" s="14"/>
      <c r="N21039" s="14"/>
      <c r="O21039" s="14"/>
      <c r="P21039" s="13"/>
    </row>
    <row r="21040">
      <c r="L21040" s="13"/>
      <c r="M21040" s="14"/>
      <c r="N21040" s="14"/>
      <c r="O21040" s="14"/>
      <c r="P21040" s="13"/>
    </row>
    <row r="21041">
      <c r="L21041" s="13"/>
      <c r="M21041" s="14"/>
      <c r="N21041" s="14"/>
      <c r="O21041" s="14"/>
      <c r="P21041" s="13"/>
    </row>
    <row r="21042">
      <c r="L21042" s="13"/>
      <c r="M21042" s="14"/>
      <c r="N21042" s="14"/>
      <c r="O21042" s="14"/>
      <c r="P21042" s="13"/>
    </row>
    <row r="21043">
      <c r="L21043" s="13"/>
      <c r="M21043" s="14"/>
      <c r="N21043" s="14"/>
      <c r="O21043" s="14"/>
      <c r="P21043" s="13"/>
    </row>
    <row r="21044">
      <c r="L21044" s="13"/>
      <c r="M21044" s="14"/>
      <c r="N21044" s="14"/>
      <c r="O21044" s="14"/>
      <c r="P21044" s="13"/>
    </row>
    <row r="21045">
      <c r="L21045" s="13"/>
      <c r="M21045" s="14"/>
      <c r="N21045" s="14"/>
      <c r="O21045" s="14"/>
      <c r="P21045" s="13"/>
    </row>
    <row r="21046">
      <c r="L21046" s="13"/>
      <c r="M21046" s="14"/>
      <c r="N21046" s="14"/>
      <c r="O21046" s="14"/>
      <c r="P21046" s="13"/>
    </row>
    <row r="21047">
      <c r="L21047" s="13"/>
      <c r="M21047" s="14"/>
      <c r="N21047" s="14"/>
      <c r="O21047" s="14"/>
      <c r="P21047" s="13"/>
    </row>
    <row r="21048">
      <c r="L21048" s="13"/>
      <c r="M21048" s="14"/>
      <c r="N21048" s="14"/>
      <c r="O21048" s="14"/>
      <c r="P21048" s="13"/>
    </row>
    <row r="21049">
      <c r="L21049" s="13"/>
      <c r="M21049" s="14"/>
      <c r="N21049" s="14"/>
      <c r="O21049" s="14"/>
      <c r="P21049" s="13"/>
    </row>
    <row r="21050">
      <c r="L21050" s="13"/>
      <c r="M21050" s="14"/>
      <c r="N21050" s="14"/>
      <c r="O21050" s="14"/>
      <c r="P21050" s="13"/>
    </row>
    <row r="21051">
      <c r="L21051" s="13"/>
      <c r="M21051" s="14"/>
      <c r="N21051" s="14"/>
      <c r="O21051" s="14"/>
      <c r="P21051" s="13"/>
    </row>
    <row r="21052">
      <c r="L21052" s="13"/>
      <c r="M21052" s="14"/>
      <c r="N21052" s="14"/>
      <c r="O21052" s="14"/>
      <c r="P21052" s="13"/>
    </row>
    <row r="21053">
      <c r="L21053" s="13"/>
      <c r="M21053" s="14"/>
      <c r="N21053" s="14"/>
      <c r="O21053" s="14"/>
      <c r="P21053" s="13"/>
    </row>
    <row r="21054">
      <c r="L21054" s="13"/>
      <c r="M21054" s="14"/>
      <c r="N21054" s="14"/>
      <c r="O21054" s="14"/>
      <c r="P21054" s="13"/>
    </row>
    <row r="21055">
      <c r="L21055" s="13"/>
      <c r="M21055" s="14"/>
      <c r="N21055" s="14"/>
      <c r="O21055" s="14"/>
      <c r="P21055" s="13"/>
    </row>
    <row r="21056">
      <c r="L21056" s="13"/>
      <c r="M21056" s="14"/>
      <c r="N21056" s="14"/>
      <c r="O21056" s="14"/>
      <c r="P21056" s="13"/>
    </row>
    <row r="21057">
      <c r="L21057" s="13"/>
      <c r="M21057" s="14"/>
      <c r="N21057" s="14"/>
      <c r="O21057" s="14"/>
      <c r="P21057" s="13"/>
    </row>
    <row r="21058">
      <c r="L21058" s="13"/>
      <c r="M21058" s="14"/>
      <c r="N21058" s="14"/>
      <c r="O21058" s="14"/>
      <c r="P21058" s="13"/>
    </row>
    <row r="21059">
      <c r="L21059" s="13"/>
      <c r="M21059" s="14"/>
      <c r="N21059" s="14"/>
      <c r="O21059" s="14"/>
      <c r="P21059" s="13"/>
    </row>
    <row r="21060">
      <c r="L21060" s="13"/>
      <c r="M21060" s="14"/>
      <c r="N21060" s="14"/>
      <c r="O21060" s="14"/>
      <c r="P21060" s="13"/>
    </row>
    <row r="21061">
      <c r="L21061" s="13"/>
      <c r="M21061" s="14"/>
      <c r="N21061" s="14"/>
      <c r="O21061" s="14"/>
      <c r="P21061" s="13"/>
    </row>
    <row r="21062">
      <c r="L21062" s="13"/>
      <c r="M21062" s="14"/>
      <c r="N21062" s="14"/>
      <c r="O21062" s="14"/>
      <c r="P21062" s="13"/>
    </row>
    <row r="21063">
      <c r="L21063" s="13"/>
      <c r="M21063" s="14"/>
      <c r="N21063" s="14"/>
      <c r="O21063" s="14"/>
      <c r="P21063" s="13"/>
    </row>
    <row r="21064">
      <c r="L21064" s="13"/>
      <c r="M21064" s="14"/>
      <c r="N21064" s="14"/>
      <c r="O21064" s="14"/>
      <c r="P21064" s="13"/>
    </row>
    <row r="21065">
      <c r="L21065" s="13"/>
      <c r="M21065" s="14"/>
      <c r="N21065" s="14"/>
      <c r="O21065" s="14"/>
      <c r="P21065" s="13"/>
    </row>
    <row r="21066">
      <c r="L21066" s="13"/>
      <c r="M21066" s="14"/>
      <c r="N21066" s="14"/>
      <c r="O21066" s="14"/>
      <c r="P21066" s="13"/>
    </row>
    <row r="21067">
      <c r="L21067" s="13"/>
      <c r="M21067" s="14"/>
      <c r="N21067" s="14"/>
      <c r="O21067" s="14"/>
      <c r="P21067" s="13"/>
    </row>
    <row r="21068">
      <c r="L21068" s="13"/>
      <c r="M21068" s="14"/>
      <c r="N21068" s="14"/>
      <c r="O21068" s="14"/>
      <c r="P21068" s="13"/>
    </row>
    <row r="21069">
      <c r="L21069" s="13"/>
      <c r="M21069" s="14"/>
      <c r="N21069" s="14"/>
      <c r="O21069" s="14"/>
      <c r="P21069" s="13"/>
    </row>
    <row r="21070">
      <c r="L21070" s="13"/>
      <c r="M21070" s="14"/>
      <c r="N21070" s="14"/>
      <c r="O21070" s="14"/>
      <c r="P21070" s="13"/>
    </row>
    <row r="21071">
      <c r="L21071" s="13"/>
      <c r="M21071" s="14"/>
      <c r="N21071" s="14"/>
      <c r="O21071" s="14"/>
      <c r="P21071" s="13"/>
    </row>
    <row r="21072">
      <c r="L21072" s="13"/>
      <c r="M21072" s="14"/>
      <c r="N21072" s="14"/>
      <c r="O21072" s="14"/>
      <c r="P21072" s="13"/>
    </row>
    <row r="21073">
      <c r="L21073" s="13"/>
      <c r="M21073" s="14"/>
      <c r="N21073" s="14"/>
      <c r="O21073" s="14"/>
      <c r="P21073" s="13"/>
    </row>
    <row r="21074">
      <c r="L21074" s="13"/>
      <c r="M21074" s="14"/>
      <c r="N21074" s="14"/>
      <c r="O21074" s="14"/>
      <c r="P21074" s="13"/>
    </row>
    <row r="21075">
      <c r="L21075" s="13"/>
      <c r="M21075" s="14"/>
      <c r="N21075" s="14"/>
      <c r="O21075" s="14"/>
      <c r="P21075" s="13"/>
    </row>
    <row r="21076">
      <c r="L21076" s="13"/>
      <c r="M21076" s="14"/>
      <c r="N21076" s="14"/>
      <c r="O21076" s="14"/>
      <c r="P21076" s="13"/>
    </row>
    <row r="21077">
      <c r="L21077" s="13"/>
      <c r="M21077" s="14"/>
      <c r="N21077" s="14"/>
      <c r="O21077" s="14"/>
      <c r="P21077" s="13"/>
    </row>
    <row r="21078">
      <c r="L21078" s="13"/>
      <c r="M21078" s="14"/>
      <c r="N21078" s="14"/>
      <c r="O21078" s="14"/>
      <c r="P21078" s="13"/>
    </row>
    <row r="21079">
      <c r="L21079" s="13"/>
      <c r="M21079" s="14"/>
      <c r="N21079" s="14"/>
      <c r="O21079" s="14"/>
      <c r="P21079" s="13"/>
    </row>
    <row r="21080">
      <c r="L21080" s="13"/>
      <c r="M21080" s="14"/>
      <c r="N21080" s="14"/>
      <c r="O21080" s="14"/>
      <c r="P21080" s="13"/>
    </row>
    <row r="21081">
      <c r="L21081" s="13"/>
      <c r="M21081" s="14"/>
      <c r="N21081" s="14"/>
      <c r="O21081" s="14"/>
      <c r="P21081" s="13"/>
    </row>
    <row r="21082">
      <c r="L21082" s="13"/>
      <c r="M21082" s="14"/>
      <c r="N21082" s="14"/>
      <c r="O21082" s="14"/>
      <c r="P21082" s="13"/>
    </row>
    <row r="21083">
      <c r="L21083" s="13"/>
      <c r="M21083" s="14"/>
      <c r="N21083" s="14"/>
      <c r="O21083" s="14"/>
      <c r="P21083" s="13"/>
    </row>
    <row r="21084">
      <c r="L21084" s="13"/>
      <c r="M21084" s="14"/>
      <c r="N21084" s="14"/>
      <c r="O21084" s="14"/>
      <c r="P21084" s="13"/>
    </row>
    <row r="21085">
      <c r="L21085" s="13"/>
      <c r="M21085" s="14"/>
      <c r="N21085" s="14"/>
      <c r="O21085" s="14"/>
      <c r="P21085" s="13"/>
    </row>
    <row r="21086">
      <c r="L21086" s="13"/>
      <c r="M21086" s="14"/>
      <c r="N21086" s="14"/>
      <c r="O21086" s="14"/>
      <c r="P21086" s="13"/>
    </row>
    <row r="21087">
      <c r="L21087" s="13"/>
      <c r="M21087" s="14"/>
      <c r="N21087" s="14"/>
      <c r="O21087" s="14"/>
      <c r="P21087" s="13"/>
    </row>
    <row r="21088">
      <c r="L21088" s="13"/>
      <c r="M21088" s="14"/>
      <c r="N21088" s="14"/>
      <c r="O21088" s="14"/>
      <c r="P21088" s="13"/>
    </row>
    <row r="21089">
      <c r="L21089" s="13"/>
      <c r="M21089" s="14"/>
      <c r="N21089" s="14"/>
      <c r="O21089" s="14"/>
      <c r="P21089" s="13"/>
    </row>
    <row r="21090">
      <c r="L21090" s="13"/>
      <c r="M21090" s="14"/>
      <c r="N21090" s="14"/>
      <c r="O21090" s="14"/>
      <c r="P21090" s="13"/>
    </row>
    <row r="21091">
      <c r="L21091" s="13"/>
      <c r="M21091" s="14"/>
      <c r="N21091" s="14"/>
      <c r="O21091" s="14"/>
      <c r="P21091" s="13"/>
    </row>
    <row r="21092">
      <c r="L21092" s="13"/>
      <c r="M21092" s="14"/>
      <c r="N21092" s="14"/>
      <c r="O21092" s="14"/>
      <c r="P21092" s="13"/>
    </row>
    <row r="21093">
      <c r="L21093" s="13"/>
      <c r="M21093" s="14"/>
      <c r="N21093" s="14"/>
      <c r="O21093" s="14"/>
      <c r="P21093" s="13"/>
    </row>
    <row r="21094">
      <c r="L21094" s="13"/>
      <c r="M21094" s="14"/>
      <c r="N21094" s="14"/>
      <c r="O21094" s="14"/>
      <c r="P21094" s="13"/>
    </row>
    <row r="21095">
      <c r="L21095" s="13"/>
      <c r="M21095" s="14"/>
      <c r="N21095" s="14"/>
      <c r="O21095" s="14"/>
      <c r="P21095" s="13"/>
    </row>
    <row r="21096">
      <c r="L21096" s="13"/>
      <c r="M21096" s="14"/>
      <c r="N21096" s="14"/>
      <c r="O21096" s="14"/>
      <c r="P21096" s="13"/>
    </row>
    <row r="21097">
      <c r="L21097" s="13"/>
      <c r="M21097" s="14"/>
      <c r="N21097" s="14"/>
      <c r="O21097" s="14"/>
      <c r="P21097" s="13"/>
    </row>
    <row r="21098">
      <c r="L21098" s="13"/>
      <c r="M21098" s="14"/>
      <c r="N21098" s="14"/>
      <c r="O21098" s="14"/>
      <c r="P21098" s="13"/>
    </row>
    <row r="21099">
      <c r="L21099" s="13"/>
      <c r="M21099" s="14"/>
      <c r="N21099" s="14"/>
      <c r="O21099" s="14"/>
      <c r="P21099" s="13"/>
    </row>
    <row r="21100">
      <c r="L21100" s="13"/>
      <c r="M21100" s="14"/>
      <c r="N21100" s="14"/>
      <c r="O21100" s="14"/>
      <c r="P21100" s="13"/>
    </row>
    <row r="21101">
      <c r="L21101" s="13"/>
      <c r="M21101" s="14"/>
      <c r="N21101" s="14"/>
      <c r="O21101" s="14"/>
      <c r="P21101" s="13"/>
    </row>
    <row r="21102">
      <c r="L21102" s="13"/>
      <c r="M21102" s="14"/>
      <c r="N21102" s="14"/>
      <c r="O21102" s="14"/>
      <c r="P21102" s="13"/>
    </row>
    <row r="21103">
      <c r="L21103" s="13"/>
      <c r="M21103" s="14"/>
      <c r="N21103" s="14"/>
      <c r="O21103" s="14"/>
      <c r="P21103" s="13"/>
    </row>
    <row r="21104">
      <c r="L21104" s="13"/>
      <c r="M21104" s="14"/>
      <c r="N21104" s="14"/>
      <c r="O21104" s="14"/>
      <c r="P21104" s="13"/>
    </row>
    <row r="21105">
      <c r="L21105" s="13"/>
      <c r="M21105" s="14"/>
      <c r="N21105" s="14"/>
      <c r="O21105" s="14"/>
      <c r="P21105" s="13"/>
    </row>
    <row r="21106">
      <c r="L21106" s="13"/>
      <c r="M21106" s="14"/>
      <c r="N21106" s="14"/>
      <c r="O21106" s="14"/>
      <c r="P21106" s="13"/>
    </row>
    <row r="21107">
      <c r="L21107" s="13"/>
      <c r="M21107" s="14"/>
      <c r="N21107" s="14"/>
      <c r="O21107" s="14"/>
      <c r="P21107" s="13"/>
    </row>
    <row r="21108">
      <c r="L21108" s="13"/>
      <c r="M21108" s="14"/>
      <c r="N21108" s="14"/>
      <c r="O21108" s="14"/>
      <c r="P21108" s="13"/>
    </row>
    <row r="21109">
      <c r="L21109" s="13"/>
      <c r="M21109" s="14"/>
      <c r="N21109" s="14"/>
      <c r="O21109" s="14"/>
      <c r="P21109" s="13"/>
    </row>
    <row r="21110">
      <c r="L21110" s="13"/>
      <c r="M21110" s="14"/>
      <c r="N21110" s="14"/>
      <c r="O21110" s="14"/>
      <c r="P21110" s="13"/>
    </row>
    <row r="21111">
      <c r="L21111" s="13"/>
      <c r="M21111" s="14"/>
      <c r="N21111" s="14"/>
      <c r="O21111" s="14"/>
      <c r="P21111" s="13"/>
    </row>
    <row r="21112">
      <c r="L21112" s="13"/>
      <c r="M21112" s="14"/>
      <c r="N21112" s="14"/>
      <c r="O21112" s="14"/>
      <c r="P21112" s="13"/>
    </row>
    <row r="21113">
      <c r="L21113" s="13"/>
      <c r="M21113" s="14"/>
      <c r="N21113" s="14"/>
      <c r="O21113" s="14"/>
      <c r="P21113" s="13"/>
    </row>
    <row r="21114">
      <c r="L21114" s="13"/>
      <c r="M21114" s="14"/>
      <c r="N21114" s="14"/>
      <c r="O21114" s="14"/>
      <c r="P21114" s="13"/>
    </row>
    <row r="21115">
      <c r="L21115" s="13"/>
      <c r="M21115" s="14"/>
      <c r="N21115" s="14"/>
      <c r="O21115" s="14"/>
      <c r="P21115" s="13"/>
    </row>
    <row r="21116">
      <c r="L21116" s="13"/>
      <c r="M21116" s="14"/>
      <c r="N21116" s="14"/>
      <c r="O21116" s="14"/>
      <c r="P21116" s="13"/>
    </row>
    <row r="21117">
      <c r="L21117" s="13"/>
      <c r="M21117" s="14"/>
      <c r="N21117" s="14"/>
      <c r="O21117" s="14"/>
      <c r="P21117" s="13"/>
    </row>
    <row r="21118">
      <c r="L21118" s="13"/>
      <c r="M21118" s="14"/>
      <c r="N21118" s="14"/>
      <c r="O21118" s="14"/>
      <c r="P21118" s="13"/>
    </row>
    <row r="21119">
      <c r="L21119" s="13"/>
      <c r="M21119" s="14"/>
      <c r="N21119" s="14"/>
      <c r="O21119" s="14"/>
      <c r="P21119" s="13"/>
    </row>
    <row r="21120">
      <c r="L21120" s="13"/>
      <c r="M21120" s="14"/>
      <c r="N21120" s="14"/>
      <c r="O21120" s="14"/>
      <c r="P21120" s="13"/>
    </row>
    <row r="21121">
      <c r="L21121" s="13"/>
      <c r="M21121" s="14"/>
      <c r="N21121" s="14"/>
      <c r="O21121" s="14"/>
      <c r="P21121" s="13"/>
    </row>
    <row r="21122">
      <c r="L21122" s="13"/>
      <c r="M21122" s="14"/>
      <c r="N21122" s="14"/>
      <c r="O21122" s="14"/>
      <c r="P21122" s="13"/>
    </row>
    <row r="21123">
      <c r="L21123" s="13"/>
      <c r="M21123" s="14"/>
      <c r="N21123" s="14"/>
      <c r="O21123" s="14"/>
      <c r="P21123" s="13"/>
    </row>
    <row r="21124">
      <c r="L21124" s="13"/>
      <c r="M21124" s="14"/>
      <c r="N21124" s="14"/>
      <c r="O21124" s="14"/>
      <c r="P21124" s="13"/>
    </row>
    <row r="21125">
      <c r="L21125" s="13"/>
      <c r="M21125" s="14"/>
      <c r="N21125" s="14"/>
      <c r="O21125" s="14"/>
      <c r="P21125" s="13"/>
    </row>
    <row r="21126">
      <c r="L21126" s="13"/>
      <c r="M21126" s="14"/>
      <c r="N21126" s="14"/>
      <c r="O21126" s="14"/>
      <c r="P21126" s="13"/>
    </row>
    <row r="21127">
      <c r="L21127" s="13"/>
      <c r="M21127" s="14"/>
      <c r="N21127" s="14"/>
      <c r="O21127" s="14"/>
      <c r="P21127" s="13"/>
    </row>
    <row r="21128">
      <c r="L21128" s="13"/>
      <c r="M21128" s="14"/>
      <c r="N21128" s="14"/>
      <c r="O21128" s="14"/>
      <c r="P21128" s="13"/>
    </row>
    <row r="21129">
      <c r="L21129" s="13"/>
      <c r="M21129" s="14"/>
      <c r="N21129" s="14"/>
      <c r="O21129" s="14"/>
      <c r="P21129" s="13"/>
    </row>
    <row r="21130">
      <c r="L21130" s="13"/>
      <c r="M21130" s="14"/>
      <c r="N21130" s="14"/>
      <c r="O21130" s="14"/>
      <c r="P21130" s="13"/>
    </row>
    <row r="21131">
      <c r="L21131" s="13"/>
      <c r="M21131" s="14"/>
      <c r="N21131" s="14"/>
      <c r="O21131" s="14"/>
      <c r="P21131" s="13"/>
    </row>
    <row r="21132">
      <c r="L21132" s="13"/>
      <c r="M21132" s="14"/>
      <c r="N21132" s="14"/>
      <c r="O21132" s="14"/>
      <c r="P21132" s="13"/>
    </row>
    <row r="21133">
      <c r="L21133" s="13"/>
      <c r="M21133" s="14"/>
      <c r="N21133" s="14"/>
      <c r="O21133" s="14"/>
      <c r="P21133" s="13"/>
    </row>
    <row r="21134">
      <c r="L21134" s="13"/>
      <c r="M21134" s="14"/>
      <c r="N21134" s="14"/>
      <c r="O21134" s="14"/>
      <c r="P21134" s="13"/>
    </row>
    <row r="21135">
      <c r="L21135" s="13"/>
      <c r="M21135" s="14"/>
      <c r="N21135" s="14"/>
      <c r="O21135" s="14"/>
      <c r="P21135" s="13"/>
    </row>
    <row r="21136">
      <c r="L21136" s="13"/>
      <c r="M21136" s="14"/>
      <c r="N21136" s="14"/>
      <c r="O21136" s="14"/>
      <c r="P21136" s="13"/>
    </row>
    <row r="21137">
      <c r="L21137" s="13"/>
      <c r="M21137" s="14"/>
      <c r="N21137" s="14"/>
      <c r="O21137" s="14"/>
      <c r="P21137" s="13"/>
    </row>
    <row r="21138">
      <c r="L21138" s="13"/>
      <c r="M21138" s="14"/>
      <c r="N21138" s="14"/>
      <c r="O21138" s="14"/>
      <c r="P21138" s="13"/>
    </row>
    <row r="21139">
      <c r="L21139" s="13"/>
      <c r="M21139" s="14"/>
      <c r="N21139" s="14"/>
      <c r="O21139" s="14"/>
      <c r="P21139" s="13"/>
    </row>
    <row r="21140">
      <c r="L21140" s="13"/>
      <c r="M21140" s="14"/>
      <c r="N21140" s="14"/>
      <c r="O21140" s="14"/>
      <c r="P21140" s="13"/>
    </row>
    <row r="21141">
      <c r="L21141" s="13"/>
      <c r="M21141" s="14"/>
      <c r="N21141" s="14"/>
      <c r="O21141" s="14"/>
      <c r="P21141" s="13"/>
    </row>
    <row r="21142">
      <c r="L21142" s="13"/>
      <c r="M21142" s="14"/>
      <c r="N21142" s="14"/>
      <c r="O21142" s="14"/>
      <c r="P21142" s="13"/>
    </row>
    <row r="21143">
      <c r="L21143" s="13"/>
      <c r="M21143" s="14"/>
      <c r="N21143" s="14"/>
      <c r="O21143" s="14"/>
      <c r="P21143" s="13"/>
    </row>
    <row r="21144">
      <c r="L21144" s="13"/>
      <c r="M21144" s="14"/>
      <c r="N21144" s="14"/>
      <c r="O21144" s="14"/>
      <c r="P21144" s="13"/>
    </row>
    <row r="21145">
      <c r="L21145" s="13"/>
      <c r="M21145" s="14"/>
      <c r="N21145" s="14"/>
      <c r="O21145" s="14"/>
      <c r="P21145" s="13"/>
    </row>
    <row r="21146">
      <c r="L21146" s="13"/>
      <c r="M21146" s="14"/>
      <c r="N21146" s="14"/>
      <c r="O21146" s="14"/>
      <c r="P21146" s="13"/>
    </row>
    <row r="21147">
      <c r="L21147" s="13"/>
      <c r="M21147" s="14"/>
      <c r="N21147" s="14"/>
      <c r="O21147" s="14"/>
      <c r="P21147" s="13"/>
    </row>
    <row r="21148">
      <c r="L21148" s="13"/>
      <c r="M21148" s="14"/>
      <c r="N21148" s="14"/>
      <c r="O21148" s="14"/>
      <c r="P21148" s="13"/>
    </row>
    <row r="21149">
      <c r="L21149" s="13"/>
      <c r="M21149" s="14"/>
      <c r="N21149" s="14"/>
      <c r="O21149" s="14"/>
      <c r="P21149" s="13"/>
    </row>
    <row r="21150">
      <c r="L21150" s="13"/>
      <c r="M21150" s="14"/>
      <c r="N21150" s="14"/>
      <c r="O21150" s="14"/>
      <c r="P21150" s="13"/>
    </row>
    <row r="21151">
      <c r="L21151" s="13"/>
      <c r="M21151" s="14"/>
      <c r="N21151" s="14"/>
      <c r="O21151" s="14"/>
      <c r="P21151" s="13"/>
    </row>
    <row r="21152">
      <c r="L21152" s="13"/>
      <c r="M21152" s="14"/>
      <c r="N21152" s="14"/>
      <c r="O21152" s="14"/>
      <c r="P21152" s="13"/>
    </row>
    <row r="21153">
      <c r="L21153" s="13"/>
      <c r="M21153" s="14"/>
      <c r="N21153" s="14"/>
      <c r="O21153" s="14"/>
      <c r="P21153" s="13"/>
    </row>
    <row r="21154">
      <c r="L21154" s="13"/>
      <c r="M21154" s="14"/>
      <c r="N21154" s="14"/>
      <c r="O21154" s="14"/>
      <c r="P21154" s="13"/>
    </row>
    <row r="21155">
      <c r="L21155" s="13"/>
      <c r="M21155" s="14"/>
      <c r="N21155" s="14"/>
      <c r="O21155" s="14"/>
      <c r="P21155" s="13"/>
    </row>
    <row r="21156">
      <c r="L21156" s="13"/>
      <c r="M21156" s="14"/>
      <c r="N21156" s="14"/>
      <c r="O21156" s="14"/>
      <c r="P21156" s="13"/>
    </row>
    <row r="21157">
      <c r="L21157" s="13"/>
      <c r="M21157" s="14"/>
      <c r="N21157" s="14"/>
      <c r="O21157" s="14"/>
      <c r="P21157" s="13"/>
    </row>
    <row r="21158">
      <c r="L21158" s="13"/>
      <c r="M21158" s="14"/>
      <c r="N21158" s="14"/>
      <c r="O21158" s="14"/>
      <c r="P21158" s="13"/>
    </row>
    <row r="21159">
      <c r="L21159" s="13"/>
      <c r="M21159" s="14"/>
      <c r="N21159" s="14"/>
      <c r="O21159" s="14"/>
      <c r="P21159" s="13"/>
    </row>
    <row r="21160">
      <c r="L21160" s="13"/>
      <c r="M21160" s="14"/>
      <c r="N21160" s="14"/>
      <c r="O21160" s="14"/>
      <c r="P21160" s="13"/>
    </row>
    <row r="21161">
      <c r="L21161" s="13"/>
      <c r="M21161" s="14"/>
      <c r="N21161" s="14"/>
      <c r="O21161" s="14"/>
      <c r="P21161" s="13"/>
    </row>
    <row r="21162">
      <c r="L21162" s="13"/>
      <c r="M21162" s="14"/>
      <c r="N21162" s="14"/>
      <c r="O21162" s="14"/>
      <c r="P21162" s="13"/>
    </row>
    <row r="21163">
      <c r="L21163" s="13"/>
      <c r="M21163" s="14"/>
      <c r="N21163" s="14"/>
      <c r="O21163" s="14"/>
      <c r="P21163" s="13"/>
    </row>
    <row r="21164">
      <c r="L21164" s="13"/>
      <c r="M21164" s="14"/>
      <c r="N21164" s="14"/>
      <c r="O21164" s="14"/>
      <c r="P21164" s="13"/>
    </row>
    <row r="21165">
      <c r="L21165" s="13"/>
      <c r="M21165" s="14"/>
      <c r="N21165" s="14"/>
      <c r="O21165" s="14"/>
      <c r="P21165" s="13"/>
    </row>
    <row r="21166">
      <c r="L21166" s="13"/>
      <c r="M21166" s="14"/>
      <c r="N21166" s="14"/>
      <c r="O21166" s="14"/>
      <c r="P21166" s="13"/>
    </row>
    <row r="21167">
      <c r="L21167" s="13"/>
      <c r="M21167" s="14"/>
      <c r="N21167" s="14"/>
      <c r="O21167" s="14"/>
      <c r="P21167" s="13"/>
    </row>
    <row r="21168">
      <c r="L21168" s="13"/>
      <c r="M21168" s="14"/>
      <c r="N21168" s="14"/>
      <c r="O21168" s="14"/>
      <c r="P21168" s="13"/>
    </row>
    <row r="21169">
      <c r="L21169" s="13"/>
      <c r="M21169" s="14"/>
      <c r="N21169" s="14"/>
      <c r="O21169" s="14"/>
      <c r="P21169" s="13"/>
    </row>
    <row r="21170">
      <c r="L21170" s="13"/>
      <c r="M21170" s="14"/>
      <c r="N21170" s="14"/>
      <c r="O21170" s="14"/>
      <c r="P21170" s="13"/>
    </row>
    <row r="21171">
      <c r="L21171" s="13"/>
      <c r="M21171" s="14"/>
      <c r="N21171" s="14"/>
      <c r="O21171" s="14"/>
      <c r="P21171" s="13"/>
    </row>
    <row r="21172">
      <c r="L21172" s="13"/>
      <c r="M21172" s="14"/>
      <c r="N21172" s="14"/>
      <c r="O21172" s="14"/>
      <c r="P21172" s="13"/>
    </row>
    <row r="21173">
      <c r="L21173" s="13"/>
      <c r="M21173" s="14"/>
      <c r="N21173" s="14"/>
      <c r="O21173" s="14"/>
      <c r="P21173" s="13"/>
    </row>
    <row r="21174">
      <c r="L21174" s="13"/>
      <c r="M21174" s="14"/>
      <c r="N21174" s="14"/>
      <c r="O21174" s="14"/>
      <c r="P21174" s="13"/>
    </row>
    <row r="21175">
      <c r="L21175" s="13"/>
      <c r="M21175" s="14"/>
      <c r="N21175" s="14"/>
      <c r="O21175" s="14"/>
      <c r="P21175" s="13"/>
    </row>
    <row r="21176">
      <c r="L21176" s="13"/>
      <c r="M21176" s="14"/>
      <c r="N21176" s="14"/>
      <c r="O21176" s="14"/>
      <c r="P21176" s="13"/>
    </row>
    <row r="21177">
      <c r="L21177" s="13"/>
      <c r="M21177" s="14"/>
      <c r="N21177" s="14"/>
      <c r="O21177" s="14"/>
      <c r="P21177" s="13"/>
    </row>
    <row r="21178">
      <c r="L21178" s="13"/>
      <c r="M21178" s="14"/>
      <c r="N21178" s="14"/>
      <c r="O21178" s="14"/>
      <c r="P21178" s="13"/>
    </row>
    <row r="21179">
      <c r="L21179" s="13"/>
      <c r="M21179" s="14"/>
      <c r="N21179" s="14"/>
      <c r="O21179" s="14"/>
      <c r="P21179" s="13"/>
    </row>
    <row r="21180">
      <c r="L21180" s="13"/>
      <c r="M21180" s="14"/>
      <c r="N21180" s="14"/>
      <c r="O21180" s="14"/>
      <c r="P21180" s="13"/>
    </row>
    <row r="21181">
      <c r="L21181" s="13"/>
      <c r="M21181" s="14"/>
      <c r="N21181" s="14"/>
      <c r="O21181" s="14"/>
      <c r="P21181" s="13"/>
    </row>
    <row r="21182">
      <c r="L21182" s="13"/>
      <c r="M21182" s="14"/>
      <c r="N21182" s="14"/>
      <c r="O21182" s="14"/>
      <c r="P21182" s="13"/>
    </row>
    <row r="21183">
      <c r="L21183" s="13"/>
      <c r="M21183" s="14"/>
      <c r="N21183" s="14"/>
      <c r="O21183" s="14"/>
      <c r="P21183" s="13"/>
    </row>
    <row r="21184">
      <c r="L21184" s="13"/>
      <c r="M21184" s="14"/>
      <c r="N21184" s="14"/>
      <c r="O21184" s="14"/>
      <c r="P21184" s="13"/>
    </row>
    <row r="21185">
      <c r="L21185" s="13"/>
      <c r="M21185" s="14"/>
      <c r="N21185" s="14"/>
      <c r="O21185" s="14"/>
      <c r="P21185" s="13"/>
    </row>
    <row r="21186">
      <c r="L21186" s="13"/>
      <c r="M21186" s="14"/>
      <c r="N21186" s="14"/>
      <c r="O21186" s="14"/>
      <c r="P21186" s="13"/>
    </row>
    <row r="21187">
      <c r="L21187" s="13"/>
      <c r="M21187" s="14"/>
      <c r="N21187" s="14"/>
      <c r="O21187" s="14"/>
      <c r="P21187" s="13"/>
    </row>
    <row r="21188">
      <c r="L21188" s="13"/>
      <c r="M21188" s="14"/>
      <c r="N21188" s="14"/>
      <c r="O21188" s="14"/>
      <c r="P21188" s="13"/>
    </row>
    <row r="21189">
      <c r="L21189" s="13"/>
      <c r="M21189" s="14"/>
      <c r="N21189" s="14"/>
      <c r="O21189" s="14"/>
      <c r="P21189" s="13"/>
    </row>
    <row r="21190">
      <c r="L21190" s="13"/>
      <c r="M21190" s="14"/>
      <c r="N21190" s="14"/>
      <c r="O21190" s="14"/>
      <c r="P21190" s="13"/>
    </row>
    <row r="21191">
      <c r="L21191" s="13"/>
      <c r="M21191" s="14"/>
      <c r="N21191" s="14"/>
      <c r="O21191" s="14"/>
      <c r="P21191" s="13"/>
    </row>
    <row r="21192">
      <c r="L21192" s="13"/>
      <c r="M21192" s="14"/>
      <c r="N21192" s="14"/>
      <c r="O21192" s="14"/>
      <c r="P21192" s="13"/>
    </row>
    <row r="21193">
      <c r="L21193" s="13"/>
      <c r="M21193" s="14"/>
      <c r="N21193" s="14"/>
      <c r="O21193" s="14"/>
      <c r="P21193" s="13"/>
    </row>
    <row r="21194">
      <c r="L21194" s="13"/>
      <c r="M21194" s="14"/>
      <c r="N21194" s="14"/>
      <c r="O21194" s="14"/>
      <c r="P21194" s="13"/>
    </row>
    <row r="21195">
      <c r="L21195" s="13"/>
      <c r="M21195" s="14"/>
      <c r="N21195" s="14"/>
      <c r="O21195" s="14"/>
      <c r="P21195" s="13"/>
    </row>
    <row r="21196">
      <c r="L21196" s="13"/>
      <c r="M21196" s="14"/>
      <c r="N21196" s="14"/>
      <c r="O21196" s="14"/>
      <c r="P21196" s="13"/>
    </row>
    <row r="21197">
      <c r="L21197" s="13"/>
      <c r="M21197" s="14"/>
      <c r="N21197" s="14"/>
      <c r="O21197" s="14"/>
      <c r="P21197" s="13"/>
    </row>
    <row r="21198">
      <c r="L21198" s="13"/>
      <c r="M21198" s="14"/>
      <c r="N21198" s="14"/>
      <c r="O21198" s="14"/>
      <c r="P21198" s="13"/>
    </row>
    <row r="21199">
      <c r="L21199" s="13"/>
      <c r="M21199" s="14"/>
      <c r="N21199" s="14"/>
      <c r="O21199" s="14"/>
      <c r="P21199" s="13"/>
    </row>
    <row r="21200">
      <c r="L21200" s="13"/>
      <c r="M21200" s="14"/>
      <c r="N21200" s="14"/>
      <c r="O21200" s="14"/>
      <c r="P21200" s="13"/>
    </row>
    <row r="21201">
      <c r="L21201" s="13"/>
      <c r="M21201" s="14"/>
      <c r="N21201" s="14"/>
      <c r="O21201" s="14"/>
      <c r="P21201" s="13"/>
    </row>
    <row r="21202">
      <c r="L21202" s="13"/>
      <c r="M21202" s="14"/>
      <c r="N21202" s="14"/>
      <c r="O21202" s="14"/>
      <c r="P21202" s="13"/>
    </row>
    <row r="21203">
      <c r="L21203" s="13"/>
      <c r="M21203" s="14"/>
      <c r="N21203" s="14"/>
      <c r="O21203" s="14"/>
      <c r="P21203" s="13"/>
    </row>
    <row r="21204">
      <c r="L21204" s="13"/>
      <c r="M21204" s="14"/>
      <c r="N21204" s="14"/>
      <c r="O21204" s="14"/>
      <c r="P21204" s="13"/>
    </row>
    <row r="21205">
      <c r="L21205" s="13"/>
      <c r="M21205" s="14"/>
      <c r="N21205" s="14"/>
      <c r="O21205" s="14"/>
      <c r="P21205" s="13"/>
    </row>
    <row r="21206">
      <c r="L21206" s="13"/>
      <c r="M21206" s="14"/>
      <c r="N21206" s="14"/>
      <c r="O21206" s="14"/>
      <c r="P21206" s="13"/>
    </row>
    <row r="21207">
      <c r="L21207" s="13"/>
      <c r="M21207" s="14"/>
      <c r="N21207" s="14"/>
      <c r="O21207" s="14"/>
      <c r="P21207" s="13"/>
    </row>
    <row r="21208">
      <c r="L21208" s="13"/>
      <c r="M21208" s="14"/>
      <c r="N21208" s="14"/>
      <c r="O21208" s="14"/>
      <c r="P21208" s="13"/>
    </row>
    <row r="21209">
      <c r="L21209" s="13"/>
      <c r="M21209" s="14"/>
      <c r="N21209" s="14"/>
      <c r="O21209" s="14"/>
      <c r="P21209" s="13"/>
    </row>
    <row r="21210">
      <c r="L21210" s="13"/>
      <c r="M21210" s="14"/>
      <c r="N21210" s="14"/>
      <c r="O21210" s="14"/>
      <c r="P21210" s="13"/>
    </row>
    <row r="21211">
      <c r="L21211" s="13"/>
      <c r="M21211" s="14"/>
      <c r="N21211" s="14"/>
      <c r="O21211" s="14"/>
      <c r="P21211" s="13"/>
    </row>
    <row r="21212">
      <c r="L21212" s="13"/>
      <c r="M21212" s="14"/>
      <c r="N21212" s="14"/>
      <c r="O21212" s="14"/>
      <c r="P21212" s="13"/>
    </row>
    <row r="21213">
      <c r="L21213" s="13"/>
      <c r="M21213" s="14"/>
      <c r="N21213" s="14"/>
      <c r="O21213" s="14"/>
      <c r="P21213" s="13"/>
    </row>
    <row r="21214">
      <c r="L21214" s="13"/>
      <c r="M21214" s="14"/>
      <c r="N21214" s="14"/>
      <c r="O21214" s="14"/>
      <c r="P21214" s="13"/>
    </row>
    <row r="21215">
      <c r="L21215" s="13"/>
      <c r="M21215" s="14"/>
      <c r="N21215" s="14"/>
      <c r="O21215" s="14"/>
      <c r="P21215" s="13"/>
    </row>
    <row r="21216">
      <c r="L21216" s="13"/>
      <c r="M21216" s="14"/>
      <c r="N21216" s="14"/>
      <c r="O21216" s="14"/>
      <c r="P21216" s="13"/>
    </row>
    <row r="21217">
      <c r="L21217" s="13"/>
      <c r="M21217" s="14"/>
      <c r="N21217" s="14"/>
      <c r="O21217" s="14"/>
      <c r="P21217" s="13"/>
    </row>
    <row r="21218">
      <c r="L21218" s="13"/>
      <c r="M21218" s="14"/>
      <c r="N21218" s="14"/>
      <c r="O21218" s="14"/>
      <c r="P21218" s="13"/>
    </row>
    <row r="21219">
      <c r="L21219" s="13"/>
      <c r="M21219" s="14"/>
      <c r="N21219" s="14"/>
      <c r="O21219" s="14"/>
      <c r="P21219" s="13"/>
    </row>
    <row r="21220">
      <c r="L21220" s="13"/>
      <c r="M21220" s="14"/>
      <c r="N21220" s="14"/>
      <c r="O21220" s="14"/>
      <c r="P21220" s="13"/>
    </row>
    <row r="21221">
      <c r="L21221" s="13"/>
      <c r="M21221" s="14"/>
      <c r="N21221" s="14"/>
      <c r="O21221" s="14"/>
      <c r="P21221" s="13"/>
    </row>
    <row r="21222">
      <c r="L21222" s="13"/>
      <c r="M21222" s="14"/>
      <c r="N21222" s="14"/>
      <c r="O21222" s="14"/>
      <c r="P21222" s="13"/>
    </row>
    <row r="21223">
      <c r="L21223" s="13"/>
      <c r="M21223" s="14"/>
      <c r="N21223" s="14"/>
      <c r="O21223" s="14"/>
      <c r="P21223" s="13"/>
    </row>
    <row r="21224">
      <c r="L21224" s="13"/>
      <c r="M21224" s="14"/>
      <c r="N21224" s="14"/>
      <c r="O21224" s="14"/>
      <c r="P21224" s="13"/>
    </row>
    <row r="21225">
      <c r="L21225" s="13"/>
      <c r="M21225" s="14"/>
      <c r="N21225" s="14"/>
      <c r="O21225" s="14"/>
      <c r="P21225" s="13"/>
    </row>
    <row r="21226">
      <c r="L21226" s="13"/>
      <c r="M21226" s="14"/>
      <c r="N21226" s="14"/>
      <c r="O21226" s="14"/>
      <c r="P21226" s="13"/>
    </row>
    <row r="21227">
      <c r="L21227" s="13"/>
      <c r="M21227" s="14"/>
      <c r="N21227" s="14"/>
      <c r="O21227" s="14"/>
      <c r="P21227" s="13"/>
    </row>
    <row r="21228">
      <c r="L21228" s="13"/>
      <c r="M21228" s="14"/>
      <c r="N21228" s="14"/>
      <c r="O21228" s="14"/>
      <c r="P21228" s="13"/>
    </row>
    <row r="21229">
      <c r="L21229" s="13"/>
      <c r="M21229" s="14"/>
      <c r="N21229" s="14"/>
      <c r="O21229" s="14"/>
      <c r="P21229" s="13"/>
    </row>
    <row r="21230">
      <c r="L21230" s="13"/>
      <c r="M21230" s="14"/>
      <c r="N21230" s="14"/>
      <c r="O21230" s="14"/>
      <c r="P21230" s="13"/>
    </row>
    <row r="21231">
      <c r="L21231" s="13"/>
      <c r="M21231" s="14"/>
      <c r="N21231" s="14"/>
      <c r="O21231" s="14"/>
      <c r="P21231" s="13"/>
    </row>
    <row r="21232">
      <c r="L21232" s="13"/>
      <c r="M21232" s="14"/>
      <c r="N21232" s="14"/>
      <c r="O21232" s="14"/>
      <c r="P21232" s="13"/>
    </row>
    <row r="21233">
      <c r="L21233" s="13"/>
      <c r="M21233" s="14"/>
      <c r="N21233" s="14"/>
      <c r="O21233" s="14"/>
      <c r="P21233" s="13"/>
    </row>
    <row r="21234">
      <c r="L21234" s="13"/>
      <c r="M21234" s="14"/>
      <c r="N21234" s="14"/>
      <c r="O21234" s="14"/>
      <c r="P21234" s="13"/>
    </row>
    <row r="21235">
      <c r="L21235" s="13"/>
      <c r="M21235" s="14"/>
      <c r="N21235" s="14"/>
      <c r="O21235" s="14"/>
      <c r="P21235" s="13"/>
    </row>
    <row r="21236">
      <c r="L21236" s="13"/>
      <c r="M21236" s="14"/>
      <c r="N21236" s="14"/>
      <c r="O21236" s="14"/>
      <c r="P21236" s="13"/>
    </row>
    <row r="21237">
      <c r="L21237" s="13"/>
      <c r="M21237" s="14"/>
      <c r="N21237" s="14"/>
      <c r="O21237" s="14"/>
      <c r="P21237" s="13"/>
    </row>
    <row r="21238">
      <c r="L21238" s="13"/>
      <c r="M21238" s="14"/>
      <c r="N21238" s="14"/>
      <c r="O21238" s="14"/>
      <c r="P21238" s="13"/>
    </row>
    <row r="21239">
      <c r="L21239" s="13"/>
      <c r="M21239" s="14"/>
      <c r="N21239" s="14"/>
      <c r="O21239" s="14"/>
      <c r="P21239" s="13"/>
    </row>
    <row r="21240">
      <c r="L21240" s="13"/>
      <c r="M21240" s="14"/>
      <c r="N21240" s="14"/>
      <c r="O21240" s="14"/>
      <c r="P21240" s="13"/>
    </row>
    <row r="21241">
      <c r="L21241" s="13"/>
      <c r="M21241" s="14"/>
      <c r="N21241" s="14"/>
      <c r="O21241" s="14"/>
      <c r="P21241" s="13"/>
    </row>
    <row r="21242">
      <c r="L21242" s="13"/>
      <c r="M21242" s="14"/>
      <c r="N21242" s="14"/>
      <c r="O21242" s="14"/>
      <c r="P21242" s="13"/>
    </row>
    <row r="21243">
      <c r="L21243" s="13"/>
      <c r="M21243" s="14"/>
      <c r="N21243" s="14"/>
      <c r="O21243" s="14"/>
      <c r="P21243" s="13"/>
    </row>
    <row r="21244">
      <c r="L21244" s="13"/>
      <c r="M21244" s="14"/>
      <c r="N21244" s="14"/>
      <c r="O21244" s="14"/>
      <c r="P21244" s="13"/>
    </row>
    <row r="21245">
      <c r="L21245" s="13"/>
      <c r="M21245" s="14"/>
      <c r="N21245" s="14"/>
      <c r="O21245" s="14"/>
      <c r="P21245" s="13"/>
    </row>
    <row r="21246">
      <c r="L21246" s="13"/>
      <c r="M21246" s="14"/>
      <c r="N21246" s="14"/>
      <c r="O21246" s="14"/>
      <c r="P21246" s="13"/>
    </row>
    <row r="21247">
      <c r="L21247" s="13"/>
      <c r="M21247" s="14"/>
      <c r="N21247" s="14"/>
      <c r="O21247" s="14"/>
      <c r="P21247" s="13"/>
    </row>
    <row r="21248">
      <c r="L21248" s="13"/>
      <c r="M21248" s="14"/>
      <c r="N21248" s="14"/>
      <c r="O21248" s="14"/>
      <c r="P21248" s="13"/>
    </row>
    <row r="21249">
      <c r="L21249" s="13"/>
      <c r="M21249" s="14"/>
      <c r="N21249" s="14"/>
      <c r="O21249" s="14"/>
      <c r="P21249" s="13"/>
    </row>
    <row r="21250">
      <c r="L21250" s="13"/>
      <c r="M21250" s="14"/>
      <c r="N21250" s="14"/>
      <c r="O21250" s="14"/>
      <c r="P21250" s="13"/>
    </row>
    <row r="21251">
      <c r="L21251" s="13"/>
      <c r="M21251" s="14"/>
      <c r="N21251" s="14"/>
      <c r="O21251" s="14"/>
      <c r="P21251" s="13"/>
    </row>
    <row r="21252">
      <c r="L21252" s="13"/>
      <c r="M21252" s="14"/>
      <c r="N21252" s="14"/>
      <c r="O21252" s="14"/>
      <c r="P21252" s="13"/>
    </row>
    <row r="21253">
      <c r="L21253" s="13"/>
      <c r="M21253" s="14"/>
      <c r="N21253" s="14"/>
      <c r="O21253" s="14"/>
      <c r="P21253" s="13"/>
    </row>
    <row r="21254">
      <c r="L21254" s="13"/>
      <c r="M21254" s="14"/>
      <c r="N21254" s="14"/>
      <c r="O21254" s="14"/>
      <c r="P21254" s="13"/>
    </row>
    <row r="21255">
      <c r="L21255" s="13"/>
      <c r="M21255" s="14"/>
      <c r="N21255" s="14"/>
      <c r="O21255" s="14"/>
      <c r="P21255" s="13"/>
    </row>
    <row r="21256">
      <c r="L21256" s="13"/>
      <c r="M21256" s="14"/>
      <c r="N21256" s="14"/>
      <c r="O21256" s="14"/>
      <c r="P21256" s="13"/>
    </row>
    <row r="21257">
      <c r="L21257" s="13"/>
      <c r="M21257" s="14"/>
      <c r="N21257" s="14"/>
      <c r="O21257" s="14"/>
      <c r="P21257" s="13"/>
    </row>
    <row r="21258">
      <c r="L21258" s="13"/>
      <c r="M21258" s="14"/>
      <c r="N21258" s="14"/>
      <c r="O21258" s="14"/>
      <c r="P21258" s="13"/>
    </row>
    <row r="21259">
      <c r="L21259" s="13"/>
      <c r="M21259" s="14"/>
      <c r="N21259" s="14"/>
      <c r="O21259" s="14"/>
      <c r="P21259" s="13"/>
    </row>
    <row r="21260">
      <c r="L21260" s="13"/>
      <c r="M21260" s="14"/>
      <c r="N21260" s="14"/>
      <c r="O21260" s="14"/>
      <c r="P21260" s="13"/>
    </row>
    <row r="21261">
      <c r="L21261" s="13"/>
      <c r="M21261" s="14"/>
      <c r="N21261" s="14"/>
      <c r="O21261" s="14"/>
      <c r="P21261" s="13"/>
    </row>
    <row r="21262">
      <c r="L21262" s="13"/>
      <c r="M21262" s="14"/>
      <c r="N21262" s="14"/>
      <c r="O21262" s="14"/>
      <c r="P21262" s="13"/>
    </row>
    <row r="21263">
      <c r="L21263" s="13"/>
      <c r="M21263" s="14"/>
      <c r="N21263" s="14"/>
      <c r="O21263" s="14"/>
      <c r="P21263" s="13"/>
    </row>
    <row r="21264">
      <c r="L21264" s="13"/>
      <c r="M21264" s="14"/>
      <c r="N21264" s="14"/>
      <c r="O21264" s="14"/>
      <c r="P21264" s="13"/>
    </row>
    <row r="21265">
      <c r="L21265" s="13"/>
      <c r="M21265" s="14"/>
      <c r="N21265" s="14"/>
      <c r="O21265" s="14"/>
      <c r="P21265" s="13"/>
    </row>
    <row r="21266">
      <c r="L21266" s="13"/>
      <c r="M21266" s="14"/>
      <c r="N21266" s="14"/>
      <c r="O21266" s="14"/>
      <c r="P21266" s="13"/>
    </row>
    <row r="21267">
      <c r="L21267" s="13"/>
      <c r="M21267" s="14"/>
      <c r="N21267" s="14"/>
      <c r="O21267" s="14"/>
      <c r="P21267" s="13"/>
    </row>
    <row r="21268">
      <c r="L21268" s="13"/>
      <c r="M21268" s="14"/>
      <c r="N21268" s="14"/>
      <c r="O21268" s="14"/>
      <c r="P21268" s="13"/>
    </row>
    <row r="21269">
      <c r="L21269" s="13"/>
      <c r="M21269" s="14"/>
      <c r="N21269" s="14"/>
      <c r="O21269" s="14"/>
      <c r="P21269" s="13"/>
    </row>
    <row r="21270">
      <c r="L21270" s="13"/>
      <c r="M21270" s="14"/>
      <c r="N21270" s="14"/>
      <c r="O21270" s="14"/>
      <c r="P21270" s="13"/>
    </row>
    <row r="21271">
      <c r="L21271" s="13"/>
      <c r="M21271" s="14"/>
      <c r="N21271" s="14"/>
      <c r="O21271" s="14"/>
      <c r="P21271" s="13"/>
    </row>
    <row r="21272">
      <c r="L21272" s="13"/>
      <c r="M21272" s="14"/>
      <c r="N21272" s="14"/>
      <c r="O21272" s="14"/>
      <c r="P21272" s="13"/>
    </row>
    <row r="21273">
      <c r="L21273" s="13"/>
      <c r="M21273" s="14"/>
      <c r="N21273" s="14"/>
      <c r="O21273" s="14"/>
      <c r="P21273" s="13"/>
    </row>
    <row r="21274">
      <c r="L21274" s="13"/>
      <c r="M21274" s="14"/>
      <c r="N21274" s="14"/>
      <c r="O21274" s="14"/>
      <c r="P21274" s="13"/>
    </row>
    <row r="21275">
      <c r="L21275" s="13"/>
      <c r="M21275" s="14"/>
      <c r="N21275" s="14"/>
      <c r="O21275" s="14"/>
      <c r="P21275" s="13"/>
    </row>
    <row r="21276">
      <c r="L21276" s="13"/>
      <c r="M21276" s="14"/>
      <c r="N21276" s="14"/>
      <c r="O21276" s="14"/>
      <c r="P21276" s="13"/>
    </row>
    <row r="21277">
      <c r="L21277" s="13"/>
      <c r="M21277" s="14"/>
      <c r="N21277" s="14"/>
      <c r="O21277" s="14"/>
      <c r="P21277" s="13"/>
    </row>
    <row r="21278">
      <c r="L21278" s="13"/>
      <c r="M21278" s="14"/>
      <c r="N21278" s="14"/>
      <c r="O21278" s="14"/>
      <c r="P21278" s="13"/>
    </row>
    <row r="21279">
      <c r="L21279" s="13"/>
      <c r="M21279" s="14"/>
      <c r="N21279" s="14"/>
      <c r="O21279" s="14"/>
      <c r="P21279" s="13"/>
    </row>
    <row r="21280">
      <c r="L21280" s="13"/>
      <c r="M21280" s="14"/>
      <c r="N21280" s="14"/>
      <c r="O21280" s="14"/>
      <c r="P21280" s="13"/>
    </row>
    <row r="21281">
      <c r="L21281" s="13"/>
      <c r="M21281" s="14"/>
      <c r="N21281" s="14"/>
      <c r="O21281" s="14"/>
      <c r="P21281" s="13"/>
    </row>
    <row r="21282">
      <c r="L21282" s="13"/>
      <c r="M21282" s="14"/>
      <c r="N21282" s="14"/>
      <c r="O21282" s="14"/>
      <c r="P21282" s="13"/>
    </row>
    <row r="21283">
      <c r="L21283" s="13"/>
      <c r="M21283" s="14"/>
      <c r="N21283" s="14"/>
      <c r="O21283" s="14"/>
      <c r="P21283" s="13"/>
    </row>
    <row r="21284">
      <c r="L21284" s="13"/>
      <c r="M21284" s="14"/>
      <c r="N21284" s="14"/>
      <c r="O21284" s="14"/>
      <c r="P21284" s="13"/>
    </row>
    <row r="21285">
      <c r="L21285" s="13"/>
      <c r="M21285" s="14"/>
      <c r="N21285" s="14"/>
      <c r="O21285" s="14"/>
      <c r="P21285" s="13"/>
    </row>
    <row r="21286">
      <c r="L21286" s="13"/>
      <c r="M21286" s="14"/>
      <c r="N21286" s="14"/>
      <c r="O21286" s="14"/>
      <c r="P21286" s="13"/>
    </row>
    <row r="21287">
      <c r="L21287" s="13"/>
      <c r="M21287" s="14"/>
      <c r="N21287" s="14"/>
      <c r="O21287" s="14"/>
      <c r="P21287" s="13"/>
    </row>
    <row r="21288">
      <c r="L21288" s="13"/>
      <c r="M21288" s="14"/>
      <c r="N21288" s="14"/>
      <c r="O21288" s="14"/>
      <c r="P21288" s="13"/>
    </row>
    <row r="21289">
      <c r="L21289" s="13"/>
      <c r="M21289" s="14"/>
      <c r="N21289" s="14"/>
      <c r="O21289" s="14"/>
      <c r="P21289" s="13"/>
    </row>
    <row r="21290">
      <c r="L21290" s="13"/>
      <c r="M21290" s="14"/>
      <c r="N21290" s="14"/>
      <c r="O21290" s="14"/>
      <c r="P21290" s="13"/>
    </row>
    <row r="21291">
      <c r="L21291" s="13"/>
      <c r="M21291" s="14"/>
      <c r="N21291" s="14"/>
      <c r="O21291" s="14"/>
      <c r="P21291" s="13"/>
    </row>
    <row r="21292">
      <c r="L21292" s="13"/>
      <c r="M21292" s="14"/>
      <c r="N21292" s="14"/>
      <c r="O21292" s="14"/>
      <c r="P21292" s="13"/>
    </row>
    <row r="21293">
      <c r="L21293" s="13"/>
      <c r="M21293" s="14"/>
      <c r="N21293" s="14"/>
      <c r="O21293" s="14"/>
      <c r="P21293" s="13"/>
    </row>
    <row r="21294">
      <c r="L21294" s="13"/>
      <c r="M21294" s="14"/>
      <c r="N21294" s="14"/>
      <c r="O21294" s="14"/>
      <c r="P21294" s="13"/>
    </row>
    <row r="21295">
      <c r="L21295" s="13"/>
      <c r="M21295" s="14"/>
      <c r="N21295" s="14"/>
      <c r="O21295" s="14"/>
      <c r="P21295" s="13"/>
    </row>
    <row r="21296">
      <c r="L21296" s="13"/>
      <c r="M21296" s="14"/>
      <c r="N21296" s="14"/>
      <c r="O21296" s="14"/>
      <c r="P21296" s="13"/>
    </row>
    <row r="21297">
      <c r="L21297" s="13"/>
      <c r="M21297" s="14"/>
      <c r="N21297" s="14"/>
      <c r="O21297" s="14"/>
      <c r="P21297" s="13"/>
    </row>
    <row r="21298">
      <c r="L21298" s="13"/>
      <c r="M21298" s="14"/>
      <c r="N21298" s="14"/>
      <c r="O21298" s="14"/>
      <c r="P21298" s="13"/>
    </row>
    <row r="21299">
      <c r="L21299" s="13"/>
      <c r="M21299" s="14"/>
      <c r="N21299" s="14"/>
      <c r="O21299" s="14"/>
      <c r="P21299" s="13"/>
    </row>
    <row r="21300">
      <c r="L21300" s="13"/>
      <c r="M21300" s="14"/>
      <c r="N21300" s="14"/>
      <c r="O21300" s="14"/>
      <c r="P21300" s="13"/>
    </row>
    <row r="21301">
      <c r="L21301" s="13"/>
      <c r="M21301" s="14"/>
      <c r="N21301" s="14"/>
      <c r="O21301" s="14"/>
      <c r="P21301" s="13"/>
    </row>
    <row r="21302">
      <c r="L21302" s="13"/>
      <c r="M21302" s="14"/>
      <c r="N21302" s="14"/>
      <c r="O21302" s="14"/>
      <c r="P21302" s="13"/>
    </row>
    <row r="21303">
      <c r="L21303" s="13"/>
      <c r="M21303" s="14"/>
      <c r="N21303" s="14"/>
      <c r="O21303" s="14"/>
      <c r="P21303" s="13"/>
    </row>
    <row r="21304">
      <c r="L21304" s="13"/>
      <c r="M21304" s="14"/>
      <c r="N21304" s="14"/>
      <c r="O21304" s="14"/>
      <c r="P21304" s="13"/>
    </row>
    <row r="21305">
      <c r="L21305" s="13"/>
      <c r="M21305" s="14"/>
      <c r="N21305" s="14"/>
      <c r="O21305" s="14"/>
      <c r="P21305" s="13"/>
    </row>
    <row r="21306">
      <c r="L21306" s="13"/>
      <c r="M21306" s="14"/>
      <c r="N21306" s="14"/>
      <c r="O21306" s="14"/>
      <c r="P21306" s="13"/>
    </row>
    <row r="21307">
      <c r="L21307" s="13"/>
      <c r="M21307" s="14"/>
      <c r="N21307" s="14"/>
      <c r="O21307" s="14"/>
      <c r="P21307" s="13"/>
    </row>
    <row r="21308">
      <c r="L21308" s="13"/>
      <c r="M21308" s="14"/>
      <c r="N21308" s="14"/>
      <c r="O21308" s="14"/>
      <c r="P21308" s="13"/>
    </row>
    <row r="21309">
      <c r="L21309" s="13"/>
      <c r="M21309" s="14"/>
      <c r="N21309" s="14"/>
      <c r="O21309" s="14"/>
      <c r="P21309" s="13"/>
    </row>
    <row r="21310">
      <c r="L21310" s="13"/>
      <c r="M21310" s="14"/>
      <c r="N21310" s="14"/>
      <c r="O21310" s="14"/>
      <c r="P21310" s="13"/>
    </row>
    <row r="21311">
      <c r="L21311" s="13"/>
      <c r="M21311" s="14"/>
      <c r="N21311" s="14"/>
      <c r="O21311" s="14"/>
      <c r="P21311" s="13"/>
    </row>
    <row r="21312">
      <c r="L21312" s="13"/>
      <c r="M21312" s="14"/>
      <c r="N21312" s="14"/>
      <c r="O21312" s="14"/>
      <c r="P21312" s="13"/>
    </row>
    <row r="21313">
      <c r="L21313" s="13"/>
      <c r="M21313" s="14"/>
      <c r="N21313" s="14"/>
      <c r="O21313" s="14"/>
      <c r="P21313" s="13"/>
    </row>
    <row r="21314">
      <c r="L21314" s="13"/>
      <c r="M21314" s="14"/>
      <c r="N21314" s="14"/>
      <c r="O21314" s="14"/>
      <c r="P21314" s="13"/>
    </row>
    <row r="21315">
      <c r="L21315" s="13"/>
      <c r="M21315" s="14"/>
      <c r="N21315" s="14"/>
      <c r="O21315" s="14"/>
      <c r="P21315" s="13"/>
    </row>
    <row r="21316">
      <c r="L21316" s="13"/>
      <c r="M21316" s="14"/>
      <c r="N21316" s="14"/>
      <c r="O21316" s="14"/>
      <c r="P21316" s="13"/>
    </row>
    <row r="21317">
      <c r="L21317" s="13"/>
      <c r="M21317" s="14"/>
      <c r="N21317" s="14"/>
      <c r="O21317" s="14"/>
      <c r="P21317" s="13"/>
    </row>
    <row r="21318">
      <c r="L21318" s="13"/>
      <c r="M21318" s="14"/>
      <c r="N21318" s="14"/>
      <c r="O21318" s="14"/>
      <c r="P21318" s="13"/>
    </row>
    <row r="21319">
      <c r="L21319" s="13"/>
      <c r="M21319" s="14"/>
      <c r="N21319" s="14"/>
      <c r="O21319" s="14"/>
      <c r="P21319" s="13"/>
    </row>
    <row r="21320">
      <c r="L21320" s="13"/>
      <c r="M21320" s="14"/>
      <c r="N21320" s="14"/>
      <c r="O21320" s="14"/>
      <c r="P21320" s="13"/>
    </row>
    <row r="21321">
      <c r="L21321" s="13"/>
      <c r="M21321" s="14"/>
      <c r="N21321" s="14"/>
      <c r="O21321" s="14"/>
      <c r="P21321" s="13"/>
    </row>
    <row r="21322">
      <c r="L21322" s="13"/>
      <c r="M21322" s="14"/>
      <c r="N21322" s="14"/>
      <c r="O21322" s="14"/>
      <c r="P21322" s="13"/>
    </row>
    <row r="21323">
      <c r="L21323" s="13"/>
      <c r="M21323" s="14"/>
      <c r="N21323" s="14"/>
      <c r="O21323" s="14"/>
      <c r="P21323" s="13"/>
    </row>
    <row r="21324">
      <c r="L21324" s="13"/>
      <c r="M21324" s="14"/>
      <c r="N21324" s="14"/>
      <c r="O21324" s="14"/>
      <c r="P21324" s="13"/>
    </row>
    <row r="21325">
      <c r="L21325" s="13"/>
      <c r="M21325" s="14"/>
      <c r="N21325" s="14"/>
      <c r="O21325" s="14"/>
      <c r="P21325" s="13"/>
    </row>
    <row r="21326">
      <c r="L21326" s="13"/>
      <c r="M21326" s="14"/>
      <c r="N21326" s="14"/>
      <c r="O21326" s="14"/>
      <c r="P21326" s="13"/>
    </row>
    <row r="21327">
      <c r="L21327" s="13"/>
      <c r="M21327" s="14"/>
      <c r="N21327" s="14"/>
      <c r="O21327" s="14"/>
      <c r="P21327" s="13"/>
    </row>
    <row r="21328">
      <c r="L21328" s="13"/>
      <c r="M21328" s="14"/>
      <c r="N21328" s="14"/>
      <c r="O21328" s="14"/>
      <c r="P21328" s="13"/>
    </row>
    <row r="21329">
      <c r="L21329" s="13"/>
      <c r="M21329" s="14"/>
      <c r="N21329" s="14"/>
      <c r="O21329" s="14"/>
      <c r="P21329" s="13"/>
    </row>
    <row r="21330">
      <c r="L21330" s="13"/>
      <c r="M21330" s="14"/>
      <c r="N21330" s="14"/>
      <c r="O21330" s="14"/>
      <c r="P21330" s="13"/>
    </row>
    <row r="21331">
      <c r="L21331" s="13"/>
      <c r="M21331" s="14"/>
      <c r="N21331" s="14"/>
      <c r="O21331" s="14"/>
      <c r="P21331" s="13"/>
    </row>
    <row r="21332">
      <c r="L21332" s="13"/>
      <c r="M21332" s="14"/>
      <c r="N21332" s="14"/>
      <c r="O21332" s="14"/>
      <c r="P21332" s="13"/>
    </row>
    <row r="21333">
      <c r="L21333" s="13"/>
      <c r="M21333" s="14"/>
      <c r="N21333" s="14"/>
      <c r="O21333" s="14"/>
      <c r="P21333" s="13"/>
    </row>
    <row r="21334">
      <c r="L21334" s="13"/>
      <c r="M21334" s="14"/>
      <c r="N21334" s="14"/>
      <c r="O21334" s="14"/>
      <c r="P21334" s="13"/>
    </row>
    <row r="21335">
      <c r="L21335" s="13"/>
      <c r="M21335" s="14"/>
      <c r="N21335" s="14"/>
      <c r="O21335" s="14"/>
      <c r="P21335" s="13"/>
    </row>
    <row r="21336">
      <c r="L21336" s="13"/>
      <c r="M21336" s="14"/>
      <c r="N21336" s="14"/>
      <c r="O21336" s="14"/>
      <c r="P21336" s="13"/>
    </row>
    <row r="21337">
      <c r="L21337" s="13"/>
      <c r="M21337" s="14"/>
      <c r="N21337" s="14"/>
      <c r="O21337" s="14"/>
      <c r="P21337" s="13"/>
    </row>
    <row r="21338">
      <c r="L21338" s="13"/>
      <c r="M21338" s="14"/>
      <c r="N21338" s="14"/>
      <c r="O21338" s="14"/>
      <c r="P21338" s="13"/>
    </row>
    <row r="21339">
      <c r="L21339" s="13"/>
      <c r="M21339" s="14"/>
      <c r="N21339" s="14"/>
      <c r="O21339" s="14"/>
      <c r="P21339" s="13"/>
    </row>
    <row r="21340">
      <c r="L21340" s="13"/>
      <c r="M21340" s="14"/>
      <c r="N21340" s="14"/>
      <c r="O21340" s="14"/>
      <c r="P21340" s="13"/>
    </row>
    <row r="21341">
      <c r="L21341" s="13"/>
      <c r="M21341" s="14"/>
      <c r="N21341" s="14"/>
      <c r="O21341" s="14"/>
      <c r="P21341" s="13"/>
    </row>
    <row r="21342">
      <c r="L21342" s="13"/>
      <c r="M21342" s="14"/>
      <c r="N21342" s="14"/>
      <c r="O21342" s="14"/>
      <c r="P21342" s="13"/>
    </row>
    <row r="21343">
      <c r="L21343" s="13"/>
      <c r="M21343" s="14"/>
      <c r="N21343" s="14"/>
      <c r="O21343" s="14"/>
      <c r="P21343" s="13"/>
    </row>
    <row r="21344">
      <c r="L21344" s="13"/>
      <c r="M21344" s="14"/>
      <c r="N21344" s="14"/>
      <c r="O21344" s="14"/>
      <c r="P21344" s="13"/>
    </row>
    <row r="21345">
      <c r="L21345" s="13"/>
      <c r="M21345" s="14"/>
      <c r="N21345" s="14"/>
      <c r="O21345" s="14"/>
      <c r="P21345" s="13"/>
    </row>
    <row r="21346">
      <c r="L21346" s="13"/>
      <c r="M21346" s="14"/>
      <c r="N21346" s="14"/>
      <c r="O21346" s="14"/>
      <c r="P21346" s="13"/>
    </row>
    <row r="21347">
      <c r="L21347" s="13"/>
      <c r="M21347" s="14"/>
      <c r="N21347" s="14"/>
      <c r="O21347" s="14"/>
      <c r="P21347" s="13"/>
    </row>
    <row r="21348">
      <c r="L21348" s="13"/>
      <c r="M21348" s="14"/>
      <c r="N21348" s="14"/>
      <c r="O21348" s="14"/>
      <c r="P21348" s="13"/>
    </row>
    <row r="21349">
      <c r="L21349" s="13"/>
      <c r="M21349" s="14"/>
      <c r="N21349" s="14"/>
      <c r="O21349" s="14"/>
      <c r="P21349" s="13"/>
    </row>
    <row r="21350">
      <c r="L21350" s="13"/>
      <c r="M21350" s="14"/>
      <c r="N21350" s="14"/>
      <c r="O21350" s="14"/>
      <c r="P21350" s="13"/>
    </row>
    <row r="21351">
      <c r="L21351" s="13"/>
      <c r="M21351" s="14"/>
      <c r="N21351" s="14"/>
      <c r="O21351" s="14"/>
      <c r="P21351" s="13"/>
    </row>
    <row r="21352">
      <c r="L21352" s="13"/>
      <c r="M21352" s="14"/>
      <c r="N21352" s="14"/>
      <c r="O21352" s="14"/>
      <c r="P21352" s="13"/>
    </row>
    <row r="21353">
      <c r="L21353" s="13"/>
      <c r="M21353" s="14"/>
      <c r="N21353" s="14"/>
      <c r="O21353" s="14"/>
      <c r="P21353" s="13"/>
    </row>
    <row r="21354">
      <c r="L21354" s="13"/>
      <c r="M21354" s="14"/>
      <c r="N21354" s="14"/>
      <c r="O21354" s="14"/>
      <c r="P21354" s="13"/>
    </row>
    <row r="21355">
      <c r="L21355" s="13"/>
      <c r="M21355" s="14"/>
      <c r="N21355" s="14"/>
      <c r="O21355" s="14"/>
      <c r="P21355" s="13"/>
    </row>
    <row r="21356">
      <c r="L21356" s="13"/>
      <c r="M21356" s="14"/>
      <c r="N21356" s="14"/>
      <c r="O21356" s="14"/>
      <c r="P21356" s="13"/>
    </row>
    <row r="21357">
      <c r="L21357" s="13"/>
      <c r="M21357" s="14"/>
      <c r="N21357" s="14"/>
      <c r="O21357" s="14"/>
      <c r="P21357" s="13"/>
    </row>
    <row r="21358">
      <c r="L21358" s="13"/>
      <c r="M21358" s="14"/>
      <c r="N21358" s="14"/>
      <c r="O21358" s="14"/>
      <c r="P21358" s="13"/>
    </row>
    <row r="21359">
      <c r="L21359" s="13"/>
      <c r="M21359" s="14"/>
      <c r="N21359" s="14"/>
      <c r="O21359" s="14"/>
      <c r="P21359" s="13"/>
    </row>
    <row r="21360">
      <c r="L21360" s="13"/>
      <c r="M21360" s="14"/>
      <c r="N21360" s="14"/>
      <c r="O21360" s="14"/>
      <c r="P21360" s="13"/>
    </row>
    <row r="21361">
      <c r="L21361" s="13"/>
      <c r="M21361" s="14"/>
      <c r="N21361" s="14"/>
      <c r="O21361" s="14"/>
      <c r="P21361" s="13"/>
    </row>
    <row r="21362">
      <c r="L21362" s="13"/>
      <c r="M21362" s="14"/>
      <c r="N21362" s="14"/>
      <c r="O21362" s="14"/>
      <c r="P21362" s="13"/>
    </row>
    <row r="21363">
      <c r="L21363" s="13"/>
      <c r="M21363" s="14"/>
      <c r="N21363" s="14"/>
      <c r="O21363" s="14"/>
      <c r="P21363" s="13"/>
    </row>
    <row r="21364">
      <c r="L21364" s="13"/>
      <c r="M21364" s="14"/>
      <c r="N21364" s="14"/>
      <c r="O21364" s="14"/>
      <c r="P21364" s="13"/>
    </row>
    <row r="21365">
      <c r="L21365" s="13"/>
      <c r="M21365" s="14"/>
      <c r="N21365" s="14"/>
      <c r="O21365" s="14"/>
      <c r="P21365" s="13"/>
    </row>
    <row r="21366">
      <c r="L21366" s="13"/>
      <c r="M21366" s="14"/>
      <c r="N21366" s="14"/>
      <c r="O21366" s="14"/>
      <c r="P21366" s="13"/>
    </row>
    <row r="21367">
      <c r="L21367" s="13"/>
      <c r="M21367" s="14"/>
      <c r="N21367" s="14"/>
      <c r="O21367" s="14"/>
      <c r="P21367" s="13"/>
    </row>
    <row r="21368">
      <c r="L21368" s="13"/>
      <c r="M21368" s="14"/>
      <c r="N21368" s="14"/>
      <c r="O21368" s="14"/>
      <c r="P21368" s="13"/>
    </row>
    <row r="21369">
      <c r="L21369" s="13"/>
      <c r="M21369" s="14"/>
      <c r="N21369" s="14"/>
      <c r="O21369" s="14"/>
      <c r="P21369" s="13"/>
    </row>
    <row r="21370">
      <c r="L21370" s="13"/>
      <c r="M21370" s="14"/>
      <c r="N21370" s="14"/>
      <c r="O21370" s="14"/>
      <c r="P21370" s="13"/>
    </row>
    <row r="21371">
      <c r="L21371" s="13"/>
      <c r="M21371" s="14"/>
      <c r="N21371" s="14"/>
      <c r="O21371" s="14"/>
      <c r="P21371" s="13"/>
    </row>
    <row r="21372">
      <c r="L21372" s="13"/>
      <c r="M21372" s="14"/>
      <c r="N21372" s="14"/>
      <c r="O21372" s="14"/>
      <c r="P21372" s="13"/>
    </row>
    <row r="21373">
      <c r="L21373" s="13"/>
      <c r="M21373" s="14"/>
      <c r="N21373" s="14"/>
      <c r="O21373" s="14"/>
      <c r="P21373" s="13"/>
    </row>
    <row r="21374">
      <c r="L21374" s="13"/>
      <c r="M21374" s="14"/>
      <c r="N21374" s="14"/>
      <c r="O21374" s="14"/>
      <c r="P21374" s="13"/>
    </row>
    <row r="21375">
      <c r="L21375" s="13"/>
      <c r="M21375" s="14"/>
      <c r="N21375" s="14"/>
      <c r="O21375" s="14"/>
      <c r="P21375" s="13"/>
    </row>
    <row r="21376">
      <c r="L21376" s="13"/>
      <c r="M21376" s="14"/>
      <c r="N21376" s="14"/>
      <c r="O21376" s="14"/>
      <c r="P21376" s="13"/>
    </row>
    <row r="21377">
      <c r="L21377" s="13"/>
      <c r="M21377" s="14"/>
      <c r="N21377" s="14"/>
      <c r="O21377" s="14"/>
      <c r="P21377" s="13"/>
    </row>
    <row r="21378">
      <c r="L21378" s="13"/>
      <c r="M21378" s="14"/>
      <c r="N21378" s="14"/>
      <c r="O21378" s="14"/>
      <c r="P21378" s="13"/>
    </row>
    <row r="21379">
      <c r="L21379" s="13"/>
      <c r="M21379" s="14"/>
      <c r="N21379" s="14"/>
      <c r="O21379" s="14"/>
      <c r="P21379" s="13"/>
    </row>
    <row r="21380">
      <c r="L21380" s="13"/>
      <c r="M21380" s="14"/>
      <c r="N21380" s="14"/>
      <c r="O21380" s="14"/>
      <c r="P21380" s="13"/>
    </row>
    <row r="21381">
      <c r="L21381" s="13"/>
      <c r="M21381" s="14"/>
      <c r="N21381" s="14"/>
      <c r="O21381" s="14"/>
      <c r="P21381" s="13"/>
    </row>
    <row r="21382">
      <c r="L21382" s="13"/>
      <c r="M21382" s="14"/>
      <c r="N21382" s="14"/>
      <c r="O21382" s="14"/>
      <c r="P21382" s="13"/>
    </row>
    <row r="21383">
      <c r="L21383" s="13"/>
      <c r="M21383" s="14"/>
      <c r="N21383" s="14"/>
      <c r="O21383" s="14"/>
      <c r="P21383" s="13"/>
    </row>
    <row r="21384">
      <c r="L21384" s="13"/>
      <c r="M21384" s="14"/>
      <c r="N21384" s="14"/>
      <c r="O21384" s="14"/>
      <c r="P21384" s="13"/>
    </row>
    <row r="21385">
      <c r="L21385" s="13"/>
      <c r="M21385" s="14"/>
      <c r="N21385" s="14"/>
      <c r="O21385" s="14"/>
      <c r="P21385" s="13"/>
    </row>
    <row r="21386">
      <c r="L21386" s="13"/>
      <c r="M21386" s="14"/>
      <c r="N21386" s="14"/>
      <c r="O21386" s="14"/>
      <c r="P21386" s="13"/>
    </row>
    <row r="21387">
      <c r="L21387" s="13"/>
      <c r="M21387" s="14"/>
      <c r="N21387" s="14"/>
      <c r="O21387" s="14"/>
      <c r="P21387" s="13"/>
    </row>
    <row r="21388">
      <c r="L21388" s="13"/>
      <c r="M21388" s="14"/>
      <c r="N21388" s="14"/>
      <c r="O21388" s="14"/>
      <c r="P21388" s="13"/>
    </row>
    <row r="21389">
      <c r="L21389" s="13"/>
      <c r="M21389" s="14"/>
      <c r="N21389" s="14"/>
      <c r="O21389" s="14"/>
      <c r="P21389" s="13"/>
    </row>
    <row r="21390">
      <c r="L21390" s="13"/>
      <c r="M21390" s="14"/>
      <c r="N21390" s="14"/>
      <c r="O21390" s="14"/>
      <c r="P21390" s="13"/>
    </row>
    <row r="21391">
      <c r="L21391" s="13"/>
      <c r="M21391" s="14"/>
      <c r="N21391" s="14"/>
      <c r="O21391" s="14"/>
      <c r="P21391" s="13"/>
    </row>
    <row r="21392">
      <c r="L21392" s="13"/>
      <c r="M21392" s="14"/>
      <c r="N21392" s="14"/>
      <c r="O21392" s="14"/>
      <c r="P21392" s="13"/>
    </row>
    <row r="21393">
      <c r="L21393" s="13"/>
      <c r="M21393" s="14"/>
      <c r="N21393" s="14"/>
      <c r="O21393" s="14"/>
      <c r="P21393" s="13"/>
    </row>
    <row r="21394">
      <c r="L21394" s="13"/>
      <c r="M21394" s="14"/>
      <c r="N21394" s="14"/>
      <c r="O21394" s="14"/>
      <c r="P21394" s="13"/>
    </row>
    <row r="21395">
      <c r="L21395" s="13"/>
      <c r="M21395" s="14"/>
      <c r="N21395" s="14"/>
      <c r="O21395" s="14"/>
      <c r="P21395" s="13"/>
    </row>
    <row r="21396">
      <c r="L21396" s="13"/>
      <c r="M21396" s="14"/>
      <c r="N21396" s="14"/>
      <c r="O21396" s="14"/>
      <c r="P21396" s="13"/>
    </row>
    <row r="21397">
      <c r="L21397" s="13"/>
      <c r="M21397" s="14"/>
      <c r="N21397" s="14"/>
      <c r="O21397" s="14"/>
      <c r="P21397" s="13"/>
    </row>
    <row r="21398">
      <c r="L21398" s="13"/>
      <c r="M21398" s="14"/>
      <c r="N21398" s="14"/>
      <c r="O21398" s="14"/>
      <c r="P21398" s="13"/>
    </row>
    <row r="21399">
      <c r="L21399" s="13"/>
      <c r="M21399" s="14"/>
      <c r="N21399" s="14"/>
      <c r="O21399" s="14"/>
      <c r="P21399" s="13"/>
    </row>
    <row r="21400">
      <c r="L21400" s="13"/>
      <c r="M21400" s="14"/>
      <c r="N21400" s="14"/>
      <c r="O21400" s="14"/>
      <c r="P21400" s="13"/>
    </row>
    <row r="21401">
      <c r="L21401" s="13"/>
      <c r="M21401" s="14"/>
      <c r="N21401" s="14"/>
      <c r="O21401" s="14"/>
      <c r="P21401" s="13"/>
    </row>
    <row r="21402">
      <c r="L21402" s="13"/>
      <c r="M21402" s="14"/>
      <c r="N21402" s="14"/>
      <c r="O21402" s="14"/>
      <c r="P21402" s="13"/>
    </row>
    <row r="21403">
      <c r="L21403" s="13"/>
      <c r="M21403" s="14"/>
      <c r="N21403" s="14"/>
      <c r="O21403" s="14"/>
      <c r="P21403" s="13"/>
    </row>
    <row r="21404">
      <c r="L21404" s="13"/>
      <c r="M21404" s="14"/>
      <c r="N21404" s="14"/>
      <c r="O21404" s="14"/>
      <c r="P21404" s="13"/>
    </row>
    <row r="21405">
      <c r="L21405" s="13"/>
      <c r="M21405" s="14"/>
      <c r="N21405" s="14"/>
      <c r="O21405" s="14"/>
      <c r="P21405" s="13"/>
    </row>
    <row r="21406">
      <c r="L21406" s="13"/>
      <c r="M21406" s="14"/>
      <c r="N21406" s="14"/>
      <c r="O21406" s="14"/>
      <c r="P21406" s="13"/>
    </row>
    <row r="21407">
      <c r="L21407" s="13"/>
      <c r="M21407" s="14"/>
      <c r="N21407" s="14"/>
      <c r="O21407" s="14"/>
      <c r="P21407" s="13"/>
    </row>
    <row r="21408">
      <c r="L21408" s="13"/>
      <c r="M21408" s="14"/>
      <c r="N21408" s="14"/>
      <c r="O21408" s="14"/>
      <c r="P21408" s="13"/>
    </row>
    <row r="21409">
      <c r="L21409" s="13"/>
      <c r="M21409" s="14"/>
      <c r="N21409" s="14"/>
      <c r="O21409" s="14"/>
      <c r="P21409" s="13"/>
    </row>
    <row r="21410">
      <c r="L21410" s="13"/>
      <c r="M21410" s="14"/>
      <c r="N21410" s="14"/>
      <c r="O21410" s="14"/>
      <c r="P21410" s="13"/>
    </row>
    <row r="21411">
      <c r="L21411" s="13"/>
      <c r="M21411" s="14"/>
      <c r="N21411" s="14"/>
      <c r="O21411" s="14"/>
      <c r="P21411" s="13"/>
    </row>
    <row r="21412">
      <c r="L21412" s="13"/>
      <c r="M21412" s="14"/>
      <c r="N21412" s="14"/>
      <c r="O21412" s="14"/>
      <c r="P21412" s="13"/>
    </row>
    <row r="21413">
      <c r="L21413" s="13"/>
      <c r="M21413" s="14"/>
      <c r="N21413" s="14"/>
      <c r="O21413" s="14"/>
      <c r="P21413" s="13"/>
    </row>
    <row r="21414">
      <c r="L21414" s="13"/>
      <c r="M21414" s="14"/>
      <c r="N21414" s="14"/>
      <c r="O21414" s="14"/>
      <c r="P21414" s="13"/>
    </row>
    <row r="21415">
      <c r="L21415" s="13"/>
      <c r="M21415" s="14"/>
      <c r="N21415" s="14"/>
      <c r="O21415" s="14"/>
      <c r="P21415" s="13"/>
    </row>
    <row r="21416">
      <c r="L21416" s="13"/>
      <c r="M21416" s="14"/>
      <c r="N21416" s="14"/>
      <c r="O21416" s="14"/>
      <c r="P21416" s="13"/>
    </row>
    <row r="21417">
      <c r="L21417" s="13"/>
      <c r="M21417" s="14"/>
      <c r="N21417" s="14"/>
      <c r="O21417" s="14"/>
      <c r="P21417" s="13"/>
    </row>
    <row r="21418">
      <c r="L21418" s="13"/>
      <c r="M21418" s="14"/>
      <c r="N21418" s="14"/>
      <c r="O21418" s="14"/>
      <c r="P21418" s="13"/>
    </row>
    <row r="21419">
      <c r="L21419" s="13"/>
      <c r="M21419" s="14"/>
      <c r="N21419" s="14"/>
      <c r="O21419" s="14"/>
      <c r="P21419" s="13"/>
    </row>
    <row r="21420">
      <c r="L21420" s="13"/>
      <c r="M21420" s="14"/>
      <c r="N21420" s="14"/>
      <c r="O21420" s="14"/>
      <c r="P21420" s="13"/>
    </row>
    <row r="21421">
      <c r="L21421" s="13"/>
      <c r="M21421" s="14"/>
      <c r="N21421" s="14"/>
      <c r="O21421" s="14"/>
      <c r="P21421" s="13"/>
    </row>
    <row r="21422">
      <c r="L21422" s="13"/>
      <c r="M21422" s="14"/>
      <c r="N21422" s="14"/>
      <c r="O21422" s="14"/>
      <c r="P21422" s="13"/>
    </row>
    <row r="21423">
      <c r="L21423" s="13"/>
      <c r="M21423" s="14"/>
      <c r="N21423" s="14"/>
      <c r="O21423" s="14"/>
      <c r="P21423" s="13"/>
    </row>
    <row r="21424">
      <c r="L21424" s="13"/>
      <c r="M21424" s="14"/>
      <c r="N21424" s="14"/>
      <c r="O21424" s="14"/>
      <c r="P21424" s="13"/>
    </row>
    <row r="21425">
      <c r="L21425" s="13"/>
      <c r="M21425" s="14"/>
      <c r="N21425" s="14"/>
      <c r="O21425" s="14"/>
      <c r="P21425" s="13"/>
    </row>
    <row r="21426">
      <c r="L21426" s="13"/>
      <c r="M21426" s="14"/>
      <c r="N21426" s="14"/>
      <c r="O21426" s="14"/>
      <c r="P21426" s="13"/>
    </row>
    <row r="21427">
      <c r="L21427" s="13"/>
      <c r="M21427" s="14"/>
      <c r="N21427" s="14"/>
      <c r="O21427" s="14"/>
      <c r="P21427" s="13"/>
    </row>
    <row r="21428">
      <c r="L21428" s="13"/>
      <c r="M21428" s="14"/>
      <c r="N21428" s="14"/>
      <c r="O21428" s="14"/>
      <c r="P21428" s="13"/>
    </row>
    <row r="21429">
      <c r="L21429" s="13"/>
      <c r="M21429" s="14"/>
      <c r="N21429" s="14"/>
      <c r="O21429" s="14"/>
      <c r="P21429" s="13"/>
    </row>
    <row r="21430">
      <c r="L21430" s="13"/>
      <c r="M21430" s="14"/>
      <c r="N21430" s="14"/>
      <c r="O21430" s="14"/>
      <c r="P21430" s="13"/>
    </row>
    <row r="21431">
      <c r="L21431" s="13"/>
      <c r="M21431" s="14"/>
      <c r="N21431" s="14"/>
      <c r="O21431" s="14"/>
      <c r="P21431" s="13"/>
    </row>
    <row r="21432">
      <c r="L21432" s="13"/>
      <c r="M21432" s="14"/>
      <c r="N21432" s="14"/>
      <c r="O21432" s="14"/>
      <c r="P21432" s="13"/>
    </row>
    <row r="21433">
      <c r="L21433" s="13"/>
      <c r="M21433" s="14"/>
      <c r="N21433" s="14"/>
      <c r="O21433" s="14"/>
      <c r="P21433" s="13"/>
    </row>
    <row r="21434">
      <c r="L21434" s="13"/>
      <c r="M21434" s="14"/>
      <c r="N21434" s="14"/>
      <c r="O21434" s="14"/>
      <c r="P21434" s="13"/>
    </row>
    <row r="21435">
      <c r="L21435" s="13"/>
      <c r="M21435" s="14"/>
      <c r="N21435" s="14"/>
      <c r="O21435" s="14"/>
      <c r="P21435" s="13"/>
    </row>
    <row r="21436">
      <c r="L21436" s="13"/>
      <c r="M21436" s="14"/>
      <c r="N21436" s="14"/>
      <c r="O21436" s="14"/>
      <c r="P21436" s="13"/>
    </row>
    <row r="21437">
      <c r="L21437" s="13"/>
      <c r="M21437" s="14"/>
      <c r="N21437" s="14"/>
      <c r="O21437" s="14"/>
      <c r="P21437" s="13"/>
    </row>
    <row r="21438">
      <c r="L21438" s="13"/>
      <c r="M21438" s="14"/>
      <c r="N21438" s="14"/>
      <c r="O21438" s="14"/>
      <c r="P21438" s="13"/>
    </row>
    <row r="21439">
      <c r="L21439" s="13"/>
      <c r="M21439" s="14"/>
      <c r="N21439" s="14"/>
      <c r="O21439" s="14"/>
      <c r="P21439" s="13"/>
    </row>
    <row r="21440">
      <c r="L21440" s="13"/>
      <c r="M21440" s="14"/>
      <c r="N21440" s="14"/>
      <c r="O21440" s="14"/>
      <c r="P21440" s="13"/>
    </row>
    <row r="21441">
      <c r="L21441" s="13"/>
      <c r="M21441" s="14"/>
      <c r="N21441" s="14"/>
      <c r="O21441" s="14"/>
      <c r="P21441" s="13"/>
    </row>
    <row r="21442">
      <c r="L21442" s="13"/>
      <c r="M21442" s="14"/>
      <c r="N21442" s="14"/>
      <c r="O21442" s="14"/>
      <c r="P21442" s="13"/>
    </row>
    <row r="21443">
      <c r="L21443" s="13"/>
      <c r="M21443" s="14"/>
      <c r="N21443" s="14"/>
      <c r="O21443" s="14"/>
      <c r="P21443" s="13"/>
    </row>
    <row r="21444">
      <c r="L21444" s="13"/>
      <c r="M21444" s="14"/>
      <c r="N21444" s="14"/>
      <c r="O21444" s="14"/>
      <c r="P21444" s="13"/>
    </row>
    <row r="21445">
      <c r="L21445" s="13"/>
      <c r="M21445" s="14"/>
      <c r="N21445" s="14"/>
      <c r="O21445" s="14"/>
      <c r="P21445" s="13"/>
    </row>
    <row r="21446">
      <c r="L21446" s="13"/>
      <c r="M21446" s="14"/>
      <c r="N21446" s="14"/>
      <c r="O21446" s="14"/>
      <c r="P21446" s="13"/>
    </row>
    <row r="21447">
      <c r="L21447" s="13"/>
      <c r="M21447" s="14"/>
      <c r="N21447" s="14"/>
      <c r="O21447" s="14"/>
      <c r="P21447" s="13"/>
    </row>
    <row r="21448">
      <c r="L21448" s="13"/>
      <c r="M21448" s="14"/>
      <c r="N21448" s="14"/>
      <c r="O21448" s="14"/>
      <c r="P21448" s="13"/>
    </row>
    <row r="21449">
      <c r="L21449" s="13"/>
      <c r="M21449" s="14"/>
      <c r="N21449" s="14"/>
      <c r="O21449" s="14"/>
      <c r="P21449" s="13"/>
    </row>
    <row r="21450">
      <c r="L21450" s="13"/>
      <c r="M21450" s="14"/>
      <c r="N21450" s="14"/>
      <c r="O21450" s="14"/>
      <c r="P21450" s="13"/>
    </row>
    <row r="21451">
      <c r="L21451" s="13"/>
      <c r="M21451" s="14"/>
      <c r="N21451" s="14"/>
      <c r="O21451" s="14"/>
      <c r="P21451" s="13"/>
    </row>
    <row r="21452">
      <c r="L21452" s="13"/>
      <c r="M21452" s="14"/>
      <c r="N21452" s="14"/>
      <c r="O21452" s="14"/>
      <c r="P21452" s="13"/>
    </row>
    <row r="21453">
      <c r="L21453" s="13"/>
      <c r="M21453" s="14"/>
      <c r="N21453" s="14"/>
      <c r="O21453" s="14"/>
      <c r="P21453" s="13"/>
    </row>
    <row r="21454">
      <c r="L21454" s="13"/>
      <c r="M21454" s="14"/>
      <c r="N21454" s="14"/>
      <c r="O21454" s="14"/>
      <c r="P21454" s="13"/>
    </row>
    <row r="21455">
      <c r="L21455" s="13"/>
      <c r="M21455" s="14"/>
      <c r="N21455" s="14"/>
      <c r="O21455" s="14"/>
      <c r="P21455" s="13"/>
    </row>
    <row r="21456">
      <c r="L21456" s="13"/>
      <c r="M21456" s="14"/>
      <c r="N21456" s="14"/>
      <c r="O21456" s="14"/>
      <c r="P21456" s="13"/>
    </row>
    <row r="21457">
      <c r="L21457" s="13"/>
      <c r="M21457" s="14"/>
      <c r="N21457" s="14"/>
      <c r="O21457" s="14"/>
      <c r="P21457" s="13"/>
    </row>
    <row r="21458">
      <c r="L21458" s="13"/>
      <c r="M21458" s="14"/>
      <c r="N21458" s="14"/>
      <c r="O21458" s="14"/>
      <c r="P21458" s="13"/>
    </row>
    <row r="21459">
      <c r="L21459" s="13"/>
      <c r="M21459" s="14"/>
      <c r="N21459" s="14"/>
      <c r="O21459" s="14"/>
      <c r="P21459" s="13"/>
    </row>
    <row r="21460">
      <c r="L21460" s="13"/>
      <c r="M21460" s="14"/>
      <c r="N21460" s="14"/>
      <c r="O21460" s="14"/>
      <c r="P21460" s="13"/>
    </row>
    <row r="21461">
      <c r="L21461" s="13"/>
      <c r="M21461" s="14"/>
      <c r="N21461" s="14"/>
      <c r="O21461" s="14"/>
      <c r="P21461" s="13"/>
    </row>
    <row r="21462">
      <c r="L21462" s="13"/>
      <c r="M21462" s="14"/>
      <c r="N21462" s="14"/>
      <c r="O21462" s="14"/>
      <c r="P21462" s="13"/>
    </row>
    <row r="21463">
      <c r="L21463" s="13"/>
      <c r="M21463" s="14"/>
      <c r="N21463" s="14"/>
      <c r="O21463" s="14"/>
      <c r="P21463" s="13"/>
    </row>
    <row r="21464">
      <c r="L21464" s="13"/>
      <c r="M21464" s="14"/>
      <c r="N21464" s="14"/>
      <c r="O21464" s="14"/>
      <c r="P21464" s="13"/>
    </row>
    <row r="21465">
      <c r="L21465" s="13"/>
      <c r="M21465" s="14"/>
      <c r="N21465" s="14"/>
      <c r="O21465" s="14"/>
      <c r="P21465" s="13"/>
    </row>
    <row r="21466">
      <c r="L21466" s="13"/>
      <c r="M21466" s="14"/>
      <c r="N21466" s="14"/>
      <c r="O21466" s="14"/>
      <c r="P21466" s="13"/>
    </row>
    <row r="21467">
      <c r="L21467" s="13"/>
      <c r="M21467" s="14"/>
      <c r="N21467" s="14"/>
      <c r="O21467" s="14"/>
      <c r="P21467" s="13"/>
    </row>
    <row r="21468">
      <c r="L21468" s="13"/>
      <c r="M21468" s="14"/>
      <c r="N21468" s="14"/>
      <c r="O21468" s="14"/>
      <c r="P21468" s="13"/>
    </row>
    <row r="21469">
      <c r="L21469" s="13"/>
      <c r="M21469" s="14"/>
      <c r="N21469" s="14"/>
      <c r="O21469" s="14"/>
      <c r="P21469" s="13"/>
    </row>
    <row r="21470">
      <c r="L21470" s="13"/>
      <c r="M21470" s="14"/>
      <c r="N21470" s="14"/>
      <c r="O21470" s="14"/>
      <c r="P21470" s="13"/>
    </row>
    <row r="21471">
      <c r="L21471" s="13"/>
      <c r="M21471" s="14"/>
      <c r="N21471" s="14"/>
      <c r="O21471" s="14"/>
      <c r="P21471" s="13"/>
    </row>
    <row r="21472">
      <c r="L21472" s="13"/>
      <c r="M21472" s="14"/>
      <c r="N21472" s="14"/>
      <c r="O21472" s="14"/>
      <c r="P21472" s="13"/>
    </row>
    <row r="21473">
      <c r="L21473" s="13"/>
      <c r="M21473" s="14"/>
      <c r="N21473" s="14"/>
      <c r="O21473" s="14"/>
      <c r="P21473" s="13"/>
    </row>
    <row r="21474">
      <c r="L21474" s="13"/>
      <c r="M21474" s="14"/>
      <c r="N21474" s="14"/>
      <c r="O21474" s="14"/>
      <c r="P21474" s="13"/>
    </row>
    <row r="21475">
      <c r="L21475" s="13"/>
      <c r="M21475" s="14"/>
      <c r="N21475" s="14"/>
      <c r="O21475" s="14"/>
      <c r="P21475" s="13"/>
    </row>
    <row r="21476">
      <c r="L21476" s="13"/>
      <c r="M21476" s="14"/>
      <c r="N21476" s="14"/>
      <c r="O21476" s="14"/>
      <c r="P21476" s="13"/>
    </row>
    <row r="21477">
      <c r="L21477" s="13"/>
      <c r="M21477" s="14"/>
      <c r="N21477" s="14"/>
      <c r="O21477" s="14"/>
      <c r="P21477" s="13"/>
    </row>
    <row r="21478">
      <c r="L21478" s="13"/>
      <c r="M21478" s="14"/>
      <c r="N21478" s="14"/>
      <c r="O21478" s="14"/>
      <c r="P21478" s="13"/>
    </row>
    <row r="21479">
      <c r="L21479" s="13"/>
      <c r="M21479" s="14"/>
      <c r="N21479" s="14"/>
      <c r="O21479" s="14"/>
      <c r="P21479" s="13"/>
    </row>
    <row r="21480">
      <c r="L21480" s="13"/>
      <c r="M21480" s="14"/>
      <c r="N21480" s="14"/>
      <c r="O21480" s="14"/>
      <c r="P21480" s="13"/>
    </row>
    <row r="21481">
      <c r="L21481" s="13"/>
      <c r="M21481" s="14"/>
      <c r="N21481" s="14"/>
      <c r="O21481" s="14"/>
      <c r="P21481" s="13"/>
    </row>
    <row r="21482">
      <c r="L21482" s="13"/>
      <c r="M21482" s="14"/>
      <c r="N21482" s="14"/>
      <c r="O21482" s="14"/>
      <c r="P21482" s="13"/>
    </row>
    <row r="21483">
      <c r="L21483" s="13"/>
      <c r="M21483" s="14"/>
      <c r="N21483" s="14"/>
      <c r="O21483" s="14"/>
      <c r="P21483" s="13"/>
    </row>
    <row r="21484">
      <c r="L21484" s="13"/>
      <c r="M21484" s="14"/>
      <c r="N21484" s="14"/>
      <c r="O21484" s="14"/>
      <c r="P21484" s="13"/>
    </row>
    <row r="21485">
      <c r="L21485" s="13"/>
      <c r="M21485" s="14"/>
      <c r="N21485" s="14"/>
      <c r="O21485" s="14"/>
      <c r="P21485" s="13"/>
    </row>
    <row r="21486">
      <c r="L21486" s="13"/>
      <c r="M21486" s="14"/>
      <c r="N21486" s="14"/>
      <c r="O21486" s="14"/>
      <c r="P21486" s="13"/>
    </row>
    <row r="21487">
      <c r="L21487" s="13"/>
      <c r="M21487" s="14"/>
      <c r="N21487" s="14"/>
      <c r="O21487" s="14"/>
      <c r="P21487" s="13"/>
    </row>
    <row r="21488">
      <c r="L21488" s="13"/>
      <c r="M21488" s="14"/>
      <c r="N21488" s="14"/>
      <c r="O21488" s="14"/>
      <c r="P21488" s="13"/>
    </row>
    <row r="21489">
      <c r="L21489" s="13"/>
      <c r="M21489" s="14"/>
      <c r="N21489" s="14"/>
      <c r="O21489" s="14"/>
      <c r="P21489" s="13"/>
    </row>
    <row r="21490">
      <c r="L21490" s="13"/>
      <c r="M21490" s="14"/>
      <c r="N21490" s="14"/>
      <c r="O21490" s="14"/>
      <c r="P21490" s="13"/>
    </row>
    <row r="21491">
      <c r="L21491" s="13"/>
      <c r="M21491" s="14"/>
      <c r="N21491" s="14"/>
      <c r="O21491" s="14"/>
      <c r="P21491" s="13"/>
    </row>
    <row r="21492">
      <c r="L21492" s="13"/>
      <c r="M21492" s="14"/>
      <c r="N21492" s="14"/>
      <c r="O21492" s="14"/>
      <c r="P21492" s="13"/>
    </row>
    <row r="21493">
      <c r="L21493" s="13"/>
      <c r="M21493" s="14"/>
      <c r="N21493" s="14"/>
      <c r="O21493" s="14"/>
      <c r="P21493" s="13"/>
    </row>
    <row r="21494">
      <c r="L21494" s="13"/>
      <c r="M21494" s="14"/>
      <c r="N21494" s="14"/>
      <c r="O21494" s="14"/>
      <c r="P21494" s="13"/>
    </row>
    <row r="21495">
      <c r="L21495" s="13"/>
      <c r="M21495" s="14"/>
      <c r="N21495" s="14"/>
      <c r="O21495" s="14"/>
      <c r="P21495" s="13"/>
    </row>
    <row r="21496">
      <c r="L21496" s="13"/>
      <c r="M21496" s="14"/>
      <c r="N21496" s="14"/>
      <c r="O21496" s="14"/>
      <c r="P21496" s="13"/>
    </row>
    <row r="21497">
      <c r="L21497" s="13"/>
      <c r="M21497" s="14"/>
      <c r="N21497" s="14"/>
      <c r="O21497" s="14"/>
      <c r="P21497" s="13"/>
    </row>
    <row r="21498">
      <c r="L21498" s="13"/>
      <c r="M21498" s="14"/>
      <c r="N21498" s="14"/>
      <c r="O21498" s="14"/>
      <c r="P21498" s="13"/>
    </row>
    <row r="21499">
      <c r="L21499" s="13"/>
      <c r="M21499" s="14"/>
      <c r="N21499" s="14"/>
      <c r="O21499" s="14"/>
      <c r="P21499" s="13"/>
    </row>
    <row r="21500">
      <c r="L21500" s="13"/>
      <c r="M21500" s="14"/>
      <c r="N21500" s="14"/>
      <c r="O21500" s="14"/>
      <c r="P21500" s="13"/>
    </row>
    <row r="21501">
      <c r="L21501" s="13"/>
      <c r="M21501" s="14"/>
      <c r="N21501" s="14"/>
      <c r="O21501" s="14"/>
      <c r="P21501" s="13"/>
    </row>
    <row r="21502">
      <c r="L21502" s="13"/>
      <c r="M21502" s="14"/>
      <c r="N21502" s="14"/>
      <c r="O21502" s="14"/>
      <c r="P21502" s="13"/>
    </row>
    <row r="21503">
      <c r="L21503" s="13"/>
      <c r="M21503" s="14"/>
      <c r="N21503" s="14"/>
      <c r="O21503" s="14"/>
      <c r="P21503" s="13"/>
    </row>
    <row r="21504">
      <c r="L21504" s="13"/>
      <c r="M21504" s="14"/>
      <c r="N21504" s="14"/>
      <c r="O21504" s="14"/>
      <c r="P21504" s="13"/>
    </row>
    <row r="21505">
      <c r="L21505" s="13"/>
      <c r="M21505" s="14"/>
      <c r="N21505" s="14"/>
      <c r="O21505" s="14"/>
      <c r="P21505" s="13"/>
    </row>
    <row r="21506">
      <c r="L21506" s="13"/>
      <c r="M21506" s="14"/>
      <c r="N21506" s="14"/>
      <c r="O21506" s="14"/>
      <c r="P21506" s="13"/>
    </row>
    <row r="21507">
      <c r="L21507" s="13"/>
      <c r="M21507" s="14"/>
      <c r="N21507" s="14"/>
      <c r="O21507" s="14"/>
      <c r="P21507" s="13"/>
    </row>
    <row r="21508">
      <c r="L21508" s="13"/>
      <c r="M21508" s="14"/>
      <c r="N21508" s="14"/>
      <c r="O21508" s="14"/>
      <c r="P21508" s="13"/>
    </row>
    <row r="21509">
      <c r="L21509" s="13"/>
      <c r="M21509" s="14"/>
      <c r="N21509" s="14"/>
      <c r="O21509" s="14"/>
      <c r="P21509" s="13"/>
    </row>
    <row r="21510">
      <c r="L21510" s="13"/>
      <c r="M21510" s="14"/>
      <c r="N21510" s="14"/>
      <c r="O21510" s="14"/>
      <c r="P21510" s="13"/>
    </row>
    <row r="21511">
      <c r="L21511" s="13"/>
      <c r="M21511" s="14"/>
      <c r="N21511" s="14"/>
      <c r="O21511" s="14"/>
      <c r="P21511" s="13"/>
    </row>
    <row r="21512">
      <c r="L21512" s="13"/>
      <c r="M21512" s="14"/>
      <c r="N21512" s="14"/>
      <c r="O21512" s="14"/>
      <c r="P21512" s="13"/>
    </row>
    <row r="21513">
      <c r="L21513" s="13"/>
      <c r="M21513" s="14"/>
      <c r="N21513" s="14"/>
      <c r="O21513" s="14"/>
      <c r="P21513" s="13"/>
    </row>
    <row r="21514">
      <c r="L21514" s="13"/>
      <c r="M21514" s="14"/>
      <c r="N21514" s="14"/>
      <c r="O21514" s="14"/>
      <c r="P21514" s="13"/>
    </row>
    <row r="21515">
      <c r="L21515" s="13"/>
      <c r="M21515" s="14"/>
      <c r="N21515" s="14"/>
      <c r="O21515" s="14"/>
      <c r="P21515" s="13"/>
    </row>
    <row r="21516">
      <c r="L21516" s="13"/>
      <c r="M21516" s="14"/>
      <c r="N21516" s="14"/>
      <c r="O21516" s="14"/>
      <c r="P21516" s="13"/>
    </row>
    <row r="21517">
      <c r="L21517" s="13"/>
      <c r="M21517" s="14"/>
      <c r="N21517" s="14"/>
      <c r="O21517" s="14"/>
      <c r="P21517" s="13"/>
    </row>
    <row r="21518">
      <c r="L21518" s="13"/>
      <c r="M21518" s="14"/>
      <c r="N21518" s="14"/>
      <c r="O21518" s="14"/>
      <c r="P21518" s="13"/>
    </row>
    <row r="21519">
      <c r="L21519" s="13"/>
      <c r="M21519" s="14"/>
      <c r="N21519" s="14"/>
      <c r="O21519" s="14"/>
      <c r="P21519" s="13"/>
    </row>
    <row r="21520">
      <c r="L21520" s="13"/>
      <c r="M21520" s="14"/>
      <c r="N21520" s="14"/>
      <c r="O21520" s="14"/>
      <c r="P21520" s="13"/>
    </row>
    <row r="21521">
      <c r="L21521" s="13"/>
      <c r="M21521" s="14"/>
      <c r="N21521" s="14"/>
      <c r="O21521" s="14"/>
      <c r="P21521" s="13"/>
    </row>
    <row r="21522">
      <c r="L21522" s="13"/>
      <c r="M21522" s="14"/>
      <c r="N21522" s="14"/>
      <c r="O21522" s="14"/>
      <c r="P21522" s="13"/>
    </row>
    <row r="21523">
      <c r="L21523" s="13"/>
      <c r="M21523" s="14"/>
      <c r="N21523" s="14"/>
      <c r="O21523" s="14"/>
      <c r="P21523" s="13"/>
    </row>
    <row r="21524">
      <c r="L21524" s="13"/>
      <c r="M21524" s="14"/>
      <c r="N21524" s="14"/>
      <c r="O21524" s="14"/>
      <c r="P21524" s="13"/>
    </row>
    <row r="21525">
      <c r="L21525" s="13"/>
      <c r="M21525" s="14"/>
      <c r="N21525" s="14"/>
      <c r="O21525" s="14"/>
      <c r="P21525" s="13"/>
    </row>
    <row r="21526">
      <c r="L21526" s="13"/>
      <c r="M21526" s="14"/>
      <c r="N21526" s="14"/>
      <c r="O21526" s="14"/>
      <c r="P21526" s="13"/>
    </row>
    <row r="21527">
      <c r="L21527" s="13"/>
      <c r="M21527" s="14"/>
      <c r="N21527" s="14"/>
      <c r="O21527" s="14"/>
      <c r="P21527" s="13"/>
    </row>
    <row r="21528">
      <c r="L21528" s="13"/>
      <c r="M21528" s="14"/>
      <c r="N21528" s="14"/>
      <c r="O21528" s="14"/>
      <c r="P21528" s="13"/>
    </row>
    <row r="21529">
      <c r="L21529" s="13"/>
      <c r="M21529" s="14"/>
      <c r="N21529" s="14"/>
      <c r="O21529" s="14"/>
      <c r="P21529" s="13"/>
    </row>
    <row r="21530">
      <c r="L21530" s="13"/>
      <c r="M21530" s="14"/>
      <c r="N21530" s="14"/>
      <c r="O21530" s="14"/>
      <c r="P21530" s="13"/>
    </row>
    <row r="21531">
      <c r="L21531" s="13"/>
      <c r="M21531" s="14"/>
      <c r="N21531" s="14"/>
      <c r="O21531" s="14"/>
      <c r="P21531" s="13"/>
    </row>
    <row r="21532">
      <c r="L21532" s="13"/>
      <c r="M21532" s="14"/>
      <c r="N21532" s="14"/>
      <c r="O21532" s="14"/>
      <c r="P21532" s="13"/>
    </row>
    <row r="21533">
      <c r="L21533" s="13"/>
      <c r="M21533" s="14"/>
      <c r="N21533" s="14"/>
      <c r="O21533" s="14"/>
      <c r="P21533" s="13"/>
    </row>
    <row r="21534">
      <c r="L21534" s="13"/>
      <c r="M21534" s="14"/>
      <c r="N21534" s="14"/>
      <c r="O21534" s="14"/>
      <c r="P21534" s="13"/>
    </row>
    <row r="21535">
      <c r="L21535" s="13"/>
      <c r="M21535" s="14"/>
      <c r="N21535" s="14"/>
      <c r="O21535" s="14"/>
      <c r="P21535" s="13"/>
    </row>
    <row r="21536">
      <c r="L21536" s="13"/>
      <c r="M21536" s="14"/>
      <c r="N21536" s="14"/>
      <c r="O21536" s="14"/>
      <c r="P21536" s="13"/>
    </row>
    <row r="21537">
      <c r="L21537" s="13"/>
      <c r="M21537" s="14"/>
      <c r="N21537" s="14"/>
      <c r="O21537" s="14"/>
      <c r="P21537" s="13"/>
    </row>
    <row r="21538">
      <c r="L21538" s="13"/>
      <c r="M21538" s="14"/>
      <c r="N21538" s="14"/>
      <c r="O21538" s="14"/>
      <c r="P21538" s="13"/>
    </row>
    <row r="21539">
      <c r="L21539" s="13"/>
      <c r="M21539" s="14"/>
      <c r="N21539" s="14"/>
      <c r="O21539" s="14"/>
      <c r="P21539" s="13"/>
    </row>
    <row r="21540">
      <c r="L21540" s="13"/>
      <c r="M21540" s="14"/>
      <c r="N21540" s="14"/>
      <c r="O21540" s="14"/>
      <c r="P21540" s="13"/>
    </row>
    <row r="21541">
      <c r="L21541" s="13"/>
      <c r="M21541" s="14"/>
      <c r="N21541" s="14"/>
      <c r="O21541" s="14"/>
      <c r="P21541" s="13"/>
    </row>
    <row r="21542">
      <c r="L21542" s="13"/>
      <c r="M21542" s="14"/>
      <c r="N21542" s="14"/>
      <c r="O21542" s="14"/>
      <c r="P21542" s="13"/>
    </row>
    <row r="21543">
      <c r="L21543" s="13"/>
      <c r="M21543" s="14"/>
      <c r="N21543" s="14"/>
      <c r="O21543" s="14"/>
      <c r="P21543" s="13"/>
    </row>
    <row r="21544">
      <c r="L21544" s="13"/>
      <c r="M21544" s="14"/>
      <c r="N21544" s="14"/>
      <c r="O21544" s="14"/>
      <c r="P21544" s="13"/>
    </row>
    <row r="21545">
      <c r="L21545" s="13"/>
      <c r="M21545" s="14"/>
      <c r="N21545" s="14"/>
      <c r="O21545" s="14"/>
      <c r="P21545" s="13"/>
    </row>
    <row r="21546">
      <c r="L21546" s="13"/>
      <c r="M21546" s="14"/>
      <c r="N21546" s="14"/>
      <c r="O21546" s="14"/>
      <c r="P21546" s="13"/>
    </row>
    <row r="21547">
      <c r="L21547" s="13"/>
      <c r="M21547" s="14"/>
      <c r="N21547" s="14"/>
      <c r="O21547" s="14"/>
      <c r="P21547" s="13"/>
    </row>
    <row r="21548">
      <c r="L21548" s="13"/>
      <c r="M21548" s="14"/>
      <c r="N21548" s="14"/>
      <c r="O21548" s="14"/>
      <c r="P21548" s="13"/>
    </row>
    <row r="21549">
      <c r="L21549" s="13"/>
      <c r="M21549" s="14"/>
      <c r="N21549" s="14"/>
      <c r="O21549" s="14"/>
      <c r="P21549" s="13"/>
    </row>
    <row r="21550">
      <c r="L21550" s="13"/>
      <c r="M21550" s="14"/>
      <c r="N21550" s="14"/>
      <c r="O21550" s="14"/>
      <c r="P21550" s="13"/>
    </row>
    <row r="21551">
      <c r="L21551" s="13"/>
      <c r="M21551" s="14"/>
      <c r="N21551" s="14"/>
      <c r="O21551" s="14"/>
      <c r="P21551" s="13"/>
    </row>
    <row r="21552">
      <c r="L21552" s="13"/>
      <c r="M21552" s="14"/>
      <c r="N21552" s="14"/>
      <c r="O21552" s="14"/>
      <c r="P21552" s="13"/>
    </row>
    <row r="21553">
      <c r="L21553" s="13"/>
      <c r="M21553" s="14"/>
      <c r="N21553" s="14"/>
      <c r="O21553" s="14"/>
      <c r="P21553" s="13"/>
    </row>
    <row r="21554">
      <c r="L21554" s="13"/>
      <c r="M21554" s="14"/>
      <c r="N21554" s="14"/>
      <c r="O21554" s="14"/>
      <c r="P21554" s="13"/>
    </row>
    <row r="21555">
      <c r="L21555" s="13"/>
      <c r="M21555" s="14"/>
      <c r="N21555" s="14"/>
      <c r="O21555" s="14"/>
      <c r="P21555" s="13"/>
    </row>
    <row r="21556">
      <c r="L21556" s="13"/>
      <c r="M21556" s="14"/>
      <c r="N21556" s="14"/>
      <c r="O21556" s="14"/>
      <c r="P21556" s="13"/>
    </row>
    <row r="21557">
      <c r="L21557" s="13"/>
      <c r="M21557" s="14"/>
      <c r="N21557" s="14"/>
      <c r="O21557" s="14"/>
      <c r="P21557" s="13"/>
    </row>
    <row r="21558">
      <c r="L21558" s="13"/>
      <c r="M21558" s="14"/>
      <c r="N21558" s="14"/>
      <c r="O21558" s="14"/>
      <c r="P21558" s="13"/>
    </row>
    <row r="21559">
      <c r="L21559" s="13"/>
      <c r="M21559" s="14"/>
      <c r="N21559" s="14"/>
      <c r="O21559" s="14"/>
      <c r="P21559" s="13"/>
    </row>
    <row r="21560">
      <c r="L21560" s="13"/>
      <c r="M21560" s="14"/>
      <c r="N21560" s="14"/>
      <c r="O21560" s="14"/>
      <c r="P21560" s="13"/>
    </row>
    <row r="21561">
      <c r="L21561" s="13"/>
      <c r="M21561" s="14"/>
      <c r="N21561" s="14"/>
      <c r="O21561" s="14"/>
      <c r="P21561" s="13"/>
    </row>
    <row r="21562">
      <c r="L21562" s="13"/>
      <c r="M21562" s="14"/>
      <c r="N21562" s="14"/>
      <c r="O21562" s="14"/>
      <c r="P21562" s="13"/>
    </row>
    <row r="21563">
      <c r="L21563" s="13"/>
      <c r="M21563" s="14"/>
      <c r="N21563" s="14"/>
      <c r="O21563" s="14"/>
      <c r="P21563" s="13"/>
    </row>
    <row r="21564">
      <c r="L21564" s="13"/>
      <c r="M21564" s="14"/>
      <c r="N21564" s="14"/>
      <c r="O21564" s="14"/>
      <c r="P21564" s="13"/>
    </row>
    <row r="21565">
      <c r="L21565" s="13"/>
      <c r="M21565" s="14"/>
      <c r="N21565" s="14"/>
      <c r="O21565" s="14"/>
      <c r="P21565" s="13"/>
    </row>
    <row r="21566">
      <c r="L21566" s="13"/>
      <c r="M21566" s="14"/>
      <c r="N21566" s="14"/>
      <c r="O21566" s="14"/>
      <c r="P21566" s="13"/>
    </row>
    <row r="21567">
      <c r="L21567" s="13"/>
      <c r="M21567" s="14"/>
      <c r="N21567" s="14"/>
      <c r="O21567" s="14"/>
      <c r="P21567" s="13"/>
    </row>
    <row r="21568">
      <c r="L21568" s="13"/>
      <c r="M21568" s="14"/>
      <c r="N21568" s="14"/>
      <c r="O21568" s="14"/>
      <c r="P21568" s="13"/>
    </row>
    <row r="21569">
      <c r="L21569" s="13"/>
      <c r="M21569" s="14"/>
      <c r="N21569" s="14"/>
      <c r="O21569" s="14"/>
      <c r="P21569" s="13"/>
    </row>
    <row r="21570">
      <c r="L21570" s="13"/>
      <c r="M21570" s="14"/>
      <c r="N21570" s="14"/>
      <c r="O21570" s="14"/>
      <c r="P21570" s="13"/>
    </row>
    <row r="21571">
      <c r="L21571" s="13"/>
      <c r="M21571" s="14"/>
      <c r="N21571" s="14"/>
      <c r="O21571" s="14"/>
      <c r="P21571" s="13"/>
    </row>
    <row r="21572">
      <c r="L21572" s="13"/>
      <c r="M21572" s="14"/>
      <c r="N21572" s="14"/>
      <c r="O21572" s="14"/>
      <c r="P21572" s="13"/>
    </row>
    <row r="21573">
      <c r="L21573" s="13"/>
      <c r="M21573" s="14"/>
      <c r="N21573" s="14"/>
      <c r="O21573" s="14"/>
      <c r="P21573" s="13"/>
    </row>
    <row r="21574">
      <c r="L21574" s="13"/>
      <c r="M21574" s="14"/>
      <c r="N21574" s="14"/>
      <c r="O21574" s="14"/>
      <c r="P21574" s="13"/>
    </row>
    <row r="21575">
      <c r="L21575" s="13"/>
      <c r="M21575" s="14"/>
      <c r="N21575" s="14"/>
      <c r="O21575" s="14"/>
      <c r="P21575" s="13"/>
    </row>
    <row r="21576">
      <c r="L21576" s="13"/>
      <c r="M21576" s="14"/>
      <c r="N21576" s="14"/>
      <c r="O21576" s="14"/>
      <c r="P21576" s="13"/>
    </row>
    <row r="21577">
      <c r="L21577" s="13"/>
      <c r="M21577" s="14"/>
      <c r="N21577" s="14"/>
      <c r="O21577" s="14"/>
      <c r="P21577" s="13"/>
    </row>
    <row r="21578">
      <c r="L21578" s="13"/>
      <c r="M21578" s="14"/>
      <c r="N21578" s="14"/>
      <c r="O21578" s="14"/>
      <c r="P21578" s="13"/>
    </row>
    <row r="21579">
      <c r="L21579" s="13"/>
      <c r="M21579" s="14"/>
      <c r="N21579" s="14"/>
      <c r="O21579" s="14"/>
      <c r="P21579" s="13"/>
    </row>
    <row r="21580">
      <c r="L21580" s="13"/>
      <c r="M21580" s="14"/>
      <c r="N21580" s="14"/>
      <c r="O21580" s="14"/>
      <c r="P21580" s="13"/>
    </row>
    <row r="21581">
      <c r="L21581" s="13"/>
      <c r="M21581" s="14"/>
      <c r="N21581" s="14"/>
      <c r="O21581" s="14"/>
      <c r="P21581" s="13"/>
    </row>
    <row r="21582">
      <c r="L21582" s="13"/>
      <c r="M21582" s="14"/>
      <c r="N21582" s="14"/>
      <c r="O21582" s="14"/>
      <c r="P21582" s="13"/>
    </row>
    <row r="21583">
      <c r="L21583" s="13"/>
      <c r="M21583" s="14"/>
      <c r="N21583" s="14"/>
      <c r="O21583" s="14"/>
      <c r="P21583" s="13"/>
    </row>
    <row r="21584">
      <c r="L21584" s="13"/>
      <c r="M21584" s="14"/>
      <c r="N21584" s="14"/>
      <c r="O21584" s="14"/>
      <c r="P21584" s="13"/>
    </row>
    <row r="21585">
      <c r="L21585" s="13"/>
      <c r="M21585" s="14"/>
      <c r="N21585" s="14"/>
      <c r="O21585" s="14"/>
      <c r="P21585" s="13"/>
    </row>
    <row r="21586">
      <c r="L21586" s="13"/>
      <c r="M21586" s="14"/>
      <c r="N21586" s="14"/>
      <c r="O21586" s="14"/>
      <c r="P21586" s="13"/>
    </row>
    <row r="21587">
      <c r="L21587" s="13"/>
      <c r="M21587" s="14"/>
      <c r="N21587" s="14"/>
      <c r="O21587" s="14"/>
      <c r="P21587" s="13"/>
    </row>
    <row r="21588">
      <c r="L21588" s="13"/>
      <c r="M21588" s="14"/>
      <c r="N21588" s="14"/>
      <c r="O21588" s="14"/>
      <c r="P21588" s="13"/>
    </row>
    <row r="21589">
      <c r="L21589" s="13"/>
      <c r="M21589" s="14"/>
      <c r="N21589" s="14"/>
      <c r="O21589" s="14"/>
      <c r="P21589" s="13"/>
    </row>
    <row r="21590">
      <c r="L21590" s="13"/>
      <c r="M21590" s="14"/>
      <c r="N21590" s="14"/>
      <c r="O21590" s="14"/>
      <c r="P21590" s="13"/>
    </row>
    <row r="21591">
      <c r="L21591" s="13"/>
      <c r="M21591" s="14"/>
      <c r="N21591" s="14"/>
      <c r="O21591" s="14"/>
      <c r="P21591" s="13"/>
    </row>
    <row r="21592">
      <c r="L21592" s="13"/>
      <c r="M21592" s="14"/>
      <c r="N21592" s="14"/>
      <c r="O21592" s="14"/>
      <c r="P21592" s="13"/>
    </row>
    <row r="21593">
      <c r="L21593" s="13"/>
      <c r="M21593" s="14"/>
      <c r="N21593" s="14"/>
      <c r="O21593" s="14"/>
      <c r="P21593" s="13"/>
    </row>
    <row r="21594">
      <c r="L21594" s="13"/>
      <c r="M21594" s="14"/>
      <c r="N21594" s="14"/>
      <c r="O21594" s="14"/>
      <c r="P21594" s="13"/>
    </row>
    <row r="21595">
      <c r="L21595" s="13"/>
      <c r="M21595" s="14"/>
      <c r="N21595" s="14"/>
      <c r="O21595" s="14"/>
      <c r="P21595" s="13"/>
    </row>
    <row r="21596">
      <c r="L21596" s="13"/>
      <c r="M21596" s="14"/>
      <c r="N21596" s="14"/>
      <c r="O21596" s="14"/>
      <c r="P21596" s="13"/>
    </row>
    <row r="21597">
      <c r="L21597" s="13"/>
      <c r="M21597" s="14"/>
      <c r="N21597" s="14"/>
      <c r="O21597" s="14"/>
      <c r="P21597" s="13"/>
    </row>
    <row r="21598">
      <c r="L21598" s="13"/>
      <c r="M21598" s="14"/>
      <c r="N21598" s="14"/>
      <c r="O21598" s="14"/>
      <c r="P21598" s="13"/>
    </row>
    <row r="21599">
      <c r="L21599" s="13"/>
      <c r="M21599" s="14"/>
      <c r="N21599" s="14"/>
      <c r="O21599" s="14"/>
      <c r="P21599" s="13"/>
    </row>
    <row r="21600">
      <c r="L21600" s="13"/>
      <c r="M21600" s="14"/>
      <c r="N21600" s="14"/>
      <c r="O21600" s="14"/>
      <c r="P21600" s="13"/>
    </row>
    <row r="21601">
      <c r="L21601" s="13"/>
      <c r="M21601" s="14"/>
      <c r="N21601" s="14"/>
      <c r="O21601" s="14"/>
      <c r="P21601" s="13"/>
    </row>
    <row r="21602">
      <c r="L21602" s="13"/>
      <c r="M21602" s="14"/>
      <c r="N21602" s="14"/>
      <c r="O21602" s="14"/>
      <c r="P21602" s="13"/>
    </row>
    <row r="21603">
      <c r="L21603" s="13"/>
      <c r="M21603" s="14"/>
      <c r="N21603" s="14"/>
      <c r="O21603" s="14"/>
      <c r="P21603" s="13"/>
    </row>
    <row r="21604">
      <c r="L21604" s="13"/>
      <c r="M21604" s="14"/>
      <c r="N21604" s="14"/>
      <c r="O21604" s="14"/>
      <c r="P21604" s="13"/>
    </row>
    <row r="21605">
      <c r="L21605" s="13"/>
      <c r="M21605" s="14"/>
      <c r="N21605" s="14"/>
      <c r="O21605" s="14"/>
      <c r="P21605" s="13"/>
    </row>
    <row r="21606">
      <c r="L21606" s="13"/>
      <c r="M21606" s="14"/>
      <c r="N21606" s="14"/>
      <c r="O21606" s="14"/>
      <c r="P21606" s="13"/>
    </row>
    <row r="21607">
      <c r="L21607" s="13"/>
      <c r="M21607" s="14"/>
      <c r="N21607" s="14"/>
      <c r="O21607" s="14"/>
      <c r="P21607" s="13"/>
    </row>
    <row r="21608">
      <c r="L21608" s="13"/>
      <c r="M21608" s="14"/>
      <c r="N21608" s="14"/>
      <c r="O21608" s="14"/>
      <c r="P21608" s="13"/>
    </row>
    <row r="21609">
      <c r="L21609" s="13"/>
      <c r="M21609" s="14"/>
      <c r="N21609" s="14"/>
      <c r="O21609" s="14"/>
      <c r="P21609" s="13"/>
    </row>
    <row r="21610">
      <c r="L21610" s="13"/>
      <c r="M21610" s="14"/>
      <c r="N21610" s="14"/>
      <c r="O21610" s="14"/>
      <c r="P21610" s="13"/>
    </row>
    <row r="21611">
      <c r="L21611" s="13"/>
      <c r="M21611" s="14"/>
      <c r="N21611" s="14"/>
      <c r="O21611" s="14"/>
      <c r="P21611" s="13"/>
    </row>
    <row r="21612">
      <c r="L21612" s="13"/>
      <c r="M21612" s="14"/>
      <c r="N21612" s="14"/>
      <c r="O21612" s="14"/>
      <c r="P21612" s="13"/>
    </row>
    <row r="21613">
      <c r="L21613" s="13"/>
      <c r="M21613" s="14"/>
      <c r="N21613" s="14"/>
      <c r="O21613" s="14"/>
      <c r="P21613" s="13"/>
    </row>
    <row r="21614">
      <c r="L21614" s="13"/>
      <c r="M21614" s="14"/>
      <c r="N21614" s="14"/>
      <c r="O21614" s="14"/>
      <c r="P21614" s="13"/>
    </row>
    <row r="21615">
      <c r="L21615" s="13"/>
      <c r="M21615" s="14"/>
      <c r="N21615" s="14"/>
      <c r="O21615" s="14"/>
      <c r="P21615" s="13"/>
    </row>
    <row r="21616">
      <c r="L21616" s="13"/>
      <c r="M21616" s="14"/>
      <c r="N21616" s="14"/>
      <c r="O21616" s="14"/>
      <c r="P21616" s="13"/>
    </row>
    <row r="21617">
      <c r="L21617" s="13"/>
      <c r="M21617" s="14"/>
      <c r="N21617" s="14"/>
      <c r="O21617" s="14"/>
      <c r="P21617" s="13"/>
    </row>
    <row r="21618">
      <c r="L21618" s="13"/>
      <c r="M21618" s="14"/>
      <c r="N21618" s="14"/>
      <c r="O21618" s="14"/>
      <c r="P21618" s="13"/>
    </row>
    <row r="21619">
      <c r="L21619" s="13"/>
      <c r="M21619" s="14"/>
      <c r="N21619" s="14"/>
      <c r="O21619" s="14"/>
      <c r="P21619" s="13"/>
    </row>
    <row r="21620">
      <c r="L21620" s="13"/>
      <c r="M21620" s="14"/>
      <c r="N21620" s="14"/>
      <c r="O21620" s="14"/>
      <c r="P21620" s="13"/>
    </row>
    <row r="21621">
      <c r="L21621" s="13"/>
      <c r="M21621" s="14"/>
      <c r="N21621" s="14"/>
      <c r="O21621" s="14"/>
      <c r="P21621" s="13"/>
    </row>
    <row r="21622">
      <c r="L21622" s="13"/>
      <c r="M21622" s="14"/>
      <c r="N21622" s="14"/>
      <c r="O21622" s="14"/>
      <c r="P21622" s="13"/>
    </row>
    <row r="21623">
      <c r="L21623" s="13"/>
      <c r="M21623" s="14"/>
      <c r="N21623" s="14"/>
      <c r="O21623" s="14"/>
      <c r="P21623" s="13"/>
    </row>
    <row r="21624">
      <c r="L21624" s="13"/>
      <c r="M21624" s="14"/>
      <c r="N21624" s="14"/>
      <c r="O21624" s="14"/>
      <c r="P21624" s="13"/>
    </row>
    <row r="21625">
      <c r="L21625" s="13"/>
      <c r="M21625" s="14"/>
      <c r="N21625" s="14"/>
      <c r="O21625" s="14"/>
      <c r="P21625" s="13"/>
    </row>
    <row r="21626">
      <c r="L21626" s="13"/>
      <c r="M21626" s="14"/>
      <c r="N21626" s="14"/>
      <c r="O21626" s="14"/>
      <c r="P21626" s="13"/>
    </row>
    <row r="21627">
      <c r="L21627" s="13"/>
      <c r="M21627" s="14"/>
      <c r="N21627" s="14"/>
      <c r="O21627" s="14"/>
      <c r="P21627" s="13"/>
    </row>
    <row r="21628">
      <c r="L21628" s="13"/>
      <c r="M21628" s="14"/>
      <c r="N21628" s="14"/>
      <c r="O21628" s="14"/>
      <c r="P21628" s="13"/>
    </row>
    <row r="21629">
      <c r="L21629" s="13"/>
      <c r="M21629" s="14"/>
      <c r="N21629" s="14"/>
      <c r="O21629" s="14"/>
      <c r="P21629" s="13"/>
    </row>
    <row r="21630">
      <c r="L21630" s="13"/>
      <c r="M21630" s="14"/>
      <c r="N21630" s="14"/>
      <c r="O21630" s="14"/>
      <c r="P21630" s="13"/>
    </row>
    <row r="21631">
      <c r="L21631" s="13"/>
      <c r="M21631" s="14"/>
      <c r="N21631" s="14"/>
      <c r="O21631" s="14"/>
      <c r="P21631" s="13"/>
    </row>
    <row r="21632">
      <c r="L21632" s="13"/>
      <c r="M21632" s="14"/>
      <c r="N21632" s="14"/>
      <c r="O21632" s="14"/>
      <c r="P21632" s="13"/>
    </row>
    <row r="21633">
      <c r="L21633" s="13"/>
      <c r="M21633" s="14"/>
      <c r="N21633" s="14"/>
      <c r="O21633" s="14"/>
      <c r="P21633" s="13"/>
    </row>
    <row r="21634">
      <c r="L21634" s="13"/>
      <c r="M21634" s="14"/>
      <c r="N21634" s="14"/>
      <c r="O21634" s="14"/>
      <c r="P21634" s="13"/>
    </row>
    <row r="21635">
      <c r="L21635" s="13"/>
      <c r="M21635" s="14"/>
      <c r="N21635" s="14"/>
      <c r="O21635" s="14"/>
      <c r="P21635" s="13"/>
    </row>
    <row r="21636">
      <c r="L21636" s="13"/>
      <c r="M21636" s="14"/>
      <c r="N21636" s="14"/>
      <c r="O21636" s="14"/>
      <c r="P21636" s="13"/>
    </row>
    <row r="21637">
      <c r="L21637" s="13"/>
      <c r="M21637" s="14"/>
      <c r="N21637" s="14"/>
      <c r="O21637" s="14"/>
      <c r="P21637" s="13"/>
    </row>
    <row r="21638">
      <c r="L21638" s="13"/>
      <c r="M21638" s="14"/>
      <c r="N21638" s="14"/>
      <c r="O21638" s="14"/>
      <c r="P21638" s="13"/>
    </row>
    <row r="21639">
      <c r="L21639" s="13"/>
      <c r="M21639" s="14"/>
      <c r="N21639" s="14"/>
      <c r="O21639" s="14"/>
      <c r="P21639" s="13"/>
    </row>
    <row r="21640">
      <c r="L21640" s="13"/>
      <c r="M21640" s="14"/>
      <c r="N21640" s="14"/>
      <c r="O21640" s="14"/>
      <c r="P21640" s="13"/>
    </row>
    <row r="21641">
      <c r="L21641" s="13"/>
      <c r="M21641" s="14"/>
      <c r="N21641" s="14"/>
      <c r="O21641" s="14"/>
      <c r="P21641" s="13"/>
    </row>
    <row r="21642">
      <c r="L21642" s="13"/>
      <c r="M21642" s="14"/>
      <c r="N21642" s="14"/>
      <c r="O21642" s="14"/>
      <c r="P21642" s="13"/>
    </row>
    <row r="21643">
      <c r="L21643" s="13"/>
      <c r="M21643" s="14"/>
      <c r="N21643" s="14"/>
      <c r="O21643" s="14"/>
      <c r="P21643" s="13"/>
    </row>
    <row r="21644">
      <c r="L21644" s="13"/>
      <c r="M21644" s="14"/>
      <c r="N21644" s="14"/>
      <c r="O21644" s="14"/>
      <c r="P21644" s="13"/>
    </row>
    <row r="21645">
      <c r="L21645" s="13"/>
      <c r="M21645" s="14"/>
      <c r="N21645" s="14"/>
      <c r="O21645" s="14"/>
      <c r="P21645" s="13"/>
    </row>
    <row r="21646">
      <c r="L21646" s="13"/>
      <c r="M21646" s="14"/>
      <c r="N21646" s="14"/>
      <c r="O21646" s="14"/>
      <c r="P21646" s="13"/>
    </row>
    <row r="21647">
      <c r="L21647" s="13"/>
      <c r="M21647" s="14"/>
      <c r="N21647" s="14"/>
      <c r="O21647" s="14"/>
      <c r="P21647" s="13"/>
    </row>
    <row r="21648">
      <c r="L21648" s="13"/>
      <c r="M21648" s="14"/>
      <c r="N21648" s="14"/>
      <c r="O21648" s="14"/>
      <c r="P21648" s="13"/>
    </row>
    <row r="21649">
      <c r="L21649" s="13"/>
      <c r="M21649" s="14"/>
      <c r="N21649" s="14"/>
      <c r="O21649" s="14"/>
      <c r="P21649" s="13"/>
    </row>
    <row r="21650">
      <c r="L21650" s="13"/>
      <c r="M21650" s="14"/>
      <c r="N21650" s="14"/>
      <c r="O21650" s="14"/>
      <c r="P21650" s="13"/>
    </row>
    <row r="21651">
      <c r="L21651" s="13"/>
      <c r="M21651" s="14"/>
      <c r="N21651" s="14"/>
      <c r="O21651" s="14"/>
      <c r="P21651" s="13"/>
    </row>
    <row r="21652">
      <c r="L21652" s="13"/>
      <c r="M21652" s="14"/>
      <c r="N21652" s="14"/>
      <c r="O21652" s="14"/>
      <c r="P21652" s="13"/>
    </row>
    <row r="21653">
      <c r="L21653" s="13"/>
      <c r="M21653" s="14"/>
      <c r="N21653" s="14"/>
      <c r="O21653" s="14"/>
      <c r="P21653" s="13"/>
    </row>
    <row r="21654">
      <c r="L21654" s="13"/>
      <c r="M21654" s="14"/>
      <c r="N21654" s="14"/>
      <c r="O21654" s="14"/>
      <c r="P21654" s="13"/>
    </row>
    <row r="21655">
      <c r="L21655" s="13"/>
      <c r="M21655" s="14"/>
      <c r="N21655" s="14"/>
      <c r="O21655" s="14"/>
      <c r="P21655" s="13"/>
    </row>
    <row r="21656">
      <c r="L21656" s="13"/>
      <c r="M21656" s="14"/>
      <c r="N21656" s="14"/>
      <c r="O21656" s="14"/>
      <c r="P21656" s="13"/>
    </row>
    <row r="21657">
      <c r="L21657" s="13"/>
      <c r="M21657" s="14"/>
      <c r="N21657" s="14"/>
      <c r="O21657" s="14"/>
      <c r="P21657" s="13"/>
    </row>
    <row r="21658">
      <c r="L21658" s="13"/>
      <c r="M21658" s="14"/>
      <c r="N21658" s="14"/>
      <c r="O21658" s="14"/>
      <c r="P21658" s="13"/>
    </row>
    <row r="21659">
      <c r="L21659" s="13"/>
      <c r="M21659" s="14"/>
      <c r="N21659" s="14"/>
      <c r="O21659" s="14"/>
      <c r="P21659" s="13"/>
    </row>
    <row r="21660">
      <c r="L21660" s="13"/>
      <c r="M21660" s="14"/>
      <c r="N21660" s="14"/>
      <c r="O21660" s="14"/>
      <c r="P21660" s="13"/>
    </row>
    <row r="21661">
      <c r="L21661" s="13"/>
      <c r="M21661" s="14"/>
      <c r="N21661" s="14"/>
      <c r="O21661" s="14"/>
      <c r="P21661" s="13"/>
    </row>
    <row r="21662">
      <c r="L21662" s="13"/>
      <c r="M21662" s="14"/>
      <c r="N21662" s="14"/>
      <c r="O21662" s="14"/>
      <c r="P21662" s="13"/>
    </row>
    <row r="21663">
      <c r="L21663" s="13"/>
      <c r="M21663" s="14"/>
      <c r="N21663" s="14"/>
      <c r="O21663" s="14"/>
      <c r="P21663" s="13"/>
    </row>
    <row r="21664">
      <c r="L21664" s="13"/>
      <c r="M21664" s="14"/>
      <c r="N21664" s="14"/>
      <c r="O21664" s="14"/>
      <c r="P21664" s="13"/>
    </row>
    <row r="21665">
      <c r="L21665" s="13"/>
      <c r="M21665" s="14"/>
      <c r="N21665" s="14"/>
      <c r="O21665" s="14"/>
      <c r="P21665" s="13"/>
    </row>
    <row r="21666">
      <c r="L21666" s="13"/>
      <c r="M21666" s="14"/>
      <c r="N21666" s="14"/>
      <c r="O21666" s="14"/>
      <c r="P21666" s="13"/>
    </row>
    <row r="21667">
      <c r="L21667" s="13"/>
      <c r="M21667" s="14"/>
      <c r="N21667" s="14"/>
      <c r="O21667" s="14"/>
      <c r="P21667" s="13"/>
    </row>
    <row r="21668">
      <c r="L21668" s="13"/>
      <c r="M21668" s="14"/>
      <c r="N21668" s="14"/>
      <c r="O21668" s="14"/>
      <c r="P21668" s="13"/>
    </row>
    <row r="21669">
      <c r="L21669" s="13"/>
      <c r="M21669" s="14"/>
      <c r="N21669" s="14"/>
      <c r="O21669" s="14"/>
      <c r="P21669" s="13"/>
    </row>
    <row r="21670">
      <c r="L21670" s="13"/>
      <c r="M21670" s="14"/>
      <c r="N21670" s="14"/>
      <c r="O21670" s="14"/>
      <c r="P21670" s="13"/>
    </row>
    <row r="21671">
      <c r="L21671" s="13"/>
      <c r="M21671" s="14"/>
      <c r="N21671" s="14"/>
      <c r="O21671" s="14"/>
      <c r="P21671" s="13"/>
    </row>
    <row r="21672">
      <c r="L21672" s="13"/>
      <c r="M21672" s="14"/>
      <c r="N21672" s="14"/>
      <c r="O21672" s="14"/>
      <c r="P21672" s="13"/>
    </row>
    <row r="21673">
      <c r="L21673" s="13"/>
      <c r="M21673" s="14"/>
      <c r="N21673" s="14"/>
      <c r="O21673" s="14"/>
      <c r="P21673" s="13"/>
    </row>
    <row r="21674">
      <c r="L21674" s="13"/>
      <c r="M21674" s="14"/>
      <c r="N21674" s="14"/>
      <c r="O21674" s="14"/>
      <c r="P21674" s="13"/>
    </row>
    <row r="21675">
      <c r="L21675" s="13"/>
      <c r="M21675" s="14"/>
      <c r="N21675" s="14"/>
      <c r="O21675" s="14"/>
      <c r="P21675" s="13"/>
    </row>
    <row r="21676">
      <c r="L21676" s="13"/>
      <c r="M21676" s="14"/>
      <c r="N21676" s="14"/>
      <c r="O21676" s="14"/>
      <c r="P21676" s="13"/>
    </row>
    <row r="21677">
      <c r="L21677" s="13"/>
      <c r="M21677" s="14"/>
      <c r="N21677" s="14"/>
      <c r="O21677" s="14"/>
      <c r="P21677" s="13"/>
    </row>
    <row r="21678">
      <c r="L21678" s="13"/>
      <c r="M21678" s="14"/>
      <c r="N21678" s="14"/>
      <c r="O21678" s="14"/>
      <c r="P21678" s="13"/>
    </row>
    <row r="21679">
      <c r="L21679" s="13"/>
      <c r="M21679" s="14"/>
      <c r="N21679" s="14"/>
      <c r="O21679" s="14"/>
      <c r="P21679" s="13"/>
    </row>
    <row r="21680">
      <c r="L21680" s="13"/>
      <c r="M21680" s="14"/>
      <c r="N21680" s="14"/>
      <c r="O21680" s="14"/>
      <c r="P21680" s="13"/>
    </row>
    <row r="21681">
      <c r="L21681" s="13"/>
      <c r="M21681" s="14"/>
      <c r="N21681" s="14"/>
      <c r="O21681" s="14"/>
      <c r="P21681" s="13"/>
    </row>
    <row r="21682">
      <c r="L21682" s="13"/>
      <c r="M21682" s="14"/>
      <c r="N21682" s="14"/>
      <c r="O21682" s="14"/>
      <c r="P21682" s="13"/>
    </row>
    <row r="21683">
      <c r="L21683" s="13"/>
      <c r="M21683" s="14"/>
      <c r="N21683" s="14"/>
      <c r="O21683" s="14"/>
      <c r="P21683" s="13"/>
    </row>
    <row r="21684">
      <c r="L21684" s="13"/>
      <c r="M21684" s="14"/>
      <c r="N21684" s="14"/>
      <c r="O21684" s="14"/>
      <c r="P21684" s="13"/>
    </row>
    <row r="21685">
      <c r="L21685" s="13"/>
      <c r="M21685" s="14"/>
      <c r="N21685" s="14"/>
      <c r="O21685" s="14"/>
      <c r="P21685" s="13"/>
    </row>
    <row r="21686">
      <c r="L21686" s="13"/>
      <c r="M21686" s="14"/>
      <c r="N21686" s="14"/>
      <c r="O21686" s="14"/>
      <c r="P21686" s="13"/>
    </row>
    <row r="21687">
      <c r="L21687" s="13"/>
      <c r="M21687" s="14"/>
      <c r="N21687" s="14"/>
      <c r="O21687" s="14"/>
      <c r="P21687" s="13"/>
    </row>
    <row r="21688">
      <c r="L21688" s="13"/>
      <c r="M21688" s="14"/>
      <c r="N21688" s="14"/>
      <c r="O21688" s="14"/>
      <c r="P21688" s="13"/>
    </row>
    <row r="21689">
      <c r="L21689" s="13"/>
      <c r="M21689" s="14"/>
      <c r="N21689" s="14"/>
      <c r="O21689" s="14"/>
      <c r="P21689" s="13"/>
    </row>
    <row r="21690">
      <c r="L21690" s="13"/>
      <c r="M21690" s="14"/>
      <c r="N21690" s="14"/>
      <c r="O21690" s="14"/>
      <c r="P21690" s="13"/>
    </row>
    <row r="21691">
      <c r="L21691" s="13"/>
      <c r="M21691" s="14"/>
      <c r="N21691" s="14"/>
      <c r="O21691" s="14"/>
      <c r="P21691" s="13"/>
    </row>
    <row r="21692">
      <c r="L21692" s="13"/>
      <c r="M21692" s="14"/>
      <c r="N21692" s="14"/>
      <c r="O21692" s="14"/>
      <c r="P21692" s="13"/>
    </row>
    <row r="21693">
      <c r="L21693" s="13"/>
      <c r="M21693" s="14"/>
      <c r="N21693" s="14"/>
      <c r="O21693" s="14"/>
      <c r="P21693" s="13"/>
    </row>
    <row r="21694">
      <c r="L21694" s="13"/>
      <c r="M21694" s="14"/>
      <c r="N21694" s="14"/>
      <c r="O21694" s="14"/>
      <c r="P21694" s="13"/>
    </row>
    <row r="21695">
      <c r="L21695" s="13"/>
      <c r="M21695" s="14"/>
      <c r="N21695" s="14"/>
      <c r="O21695" s="14"/>
      <c r="P21695" s="13"/>
    </row>
    <row r="21696">
      <c r="L21696" s="13"/>
      <c r="M21696" s="14"/>
      <c r="N21696" s="14"/>
      <c r="O21696" s="14"/>
      <c r="P21696" s="13"/>
    </row>
    <row r="21697">
      <c r="L21697" s="13"/>
      <c r="M21697" s="14"/>
      <c r="N21697" s="14"/>
      <c r="O21697" s="14"/>
      <c r="P21697" s="13"/>
    </row>
    <row r="21698">
      <c r="L21698" s="13"/>
      <c r="M21698" s="14"/>
      <c r="N21698" s="14"/>
      <c r="O21698" s="14"/>
      <c r="P21698" s="13"/>
    </row>
    <row r="21699">
      <c r="L21699" s="13"/>
      <c r="M21699" s="14"/>
      <c r="N21699" s="14"/>
      <c r="O21699" s="14"/>
      <c r="P21699" s="13"/>
    </row>
    <row r="21700">
      <c r="L21700" s="13"/>
      <c r="M21700" s="14"/>
      <c r="N21700" s="14"/>
      <c r="O21700" s="14"/>
      <c r="P21700" s="13"/>
    </row>
    <row r="21701">
      <c r="L21701" s="13"/>
      <c r="M21701" s="14"/>
      <c r="N21701" s="14"/>
      <c r="O21701" s="14"/>
      <c r="P21701" s="13"/>
    </row>
    <row r="21702">
      <c r="L21702" s="13"/>
      <c r="M21702" s="14"/>
      <c r="N21702" s="14"/>
      <c r="O21702" s="14"/>
      <c r="P21702" s="13"/>
    </row>
    <row r="21703">
      <c r="L21703" s="13"/>
      <c r="M21703" s="14"/>
      <c r="N21703" s="14"/>
      <c r="O21703" s="14"/>
      <c r="P21703" s="13"/>
    </row>
    <row r="21704">
      <c r="L21704" s="13"/>
      <c r="M21704" s="14"/>
      <c r="N21704" s="14"/>
      <c r="O21704" s="14"/>
      <c r="P21704" s="13"/>
    </row>
    <row r="21705">
      <c r="L21705" s="13"/>
      <c r="M21705" s="14"/>
      <c r="N21705" s="14"/>
      <c r="O21705" s="14"/>
      <c r="P21705" s="13"/>
    </row>
    <row r="21706">
      <c r="L21706" s="13"/>
      <c r="M21706" s="14"/>
      <c r="N21706" s="14"/>
      <c r="O21706" s="14"/>
      <c r="P21706" s="13"/>
    </row>
    <row r="21707">
      <c r="L21707" s="13"/>
      <c r="M21707" s="14"/>
      <c r="N21707" s="14"/>
      <c r="O21707" s="14"/>
      <c r="P21707" s="13"/>
    </row>
    <row r="21708">
      <c r="L21708" s="13"/>
      <c r="M21708" s="14"/>
      <c r="N21708" s="14"/>
      <c r="O21708" s="14"/>
      <c r="P21708" s="13"/>
    </row>
    <row r="21709">
      <c r="L21709" s="13"/>
      <c r="M21709" s="14"/>
      <c r="N21709" s="14"/>
      <c r="O21709" s="14"/>
      <c r="P21709" s="13"/>
    </row>
    <row r="21710">
      <c r="L21710" s="13"/>
      <c r="M21710" s="14"/>
      <c r="N21710" s="14"/>
      <c r="O21710" s="14"/>
      <c r="P21710" s="13"/>
    </row>
    <row r="21711">
      <c r="L21711" s="13"/>
      <c r="M21711" s="14"/>
      <c r="N21711" s="14"/>
      <c r="O21711" s="14"/>
      <c r="P21711" s="13"/>
    </row>
    <row r="21712">
      <c r="L21712" s="13"/>
      <c r="M21712" s="14"/>
      <c r="N21712" s="14"/>
      <c r="O21712" s="14"/>
      <c r="P21712" s="13"/>
    </row>
    <row r="21713">
      <c r="L21713" s="13"/>
      <c r="M21713" s="14"/>
      <c r="N21713" s="14"/>
      <c r="O21713" s="14"/>
      <c r="P21713" s="13"/>
    </row>
    <row r="21714">
      <c r="L21714" s="13"/>
      <c r="M21714" s="14"/>
      <c r="N21714" s="14"/>
      <c r="O21714" s="14"/>
      <c r="P21714" s="13"/>
    </row>
    <row r="21715">
      <c r="L21715" s="13"/>
      <c r="M21715" s="14"/>
      <c r="N21715" s="14"/>
      <c r="O21715" s="14"/>
      <c r="P21715" s="13"/>
    </row>
    <row r="21716">
      <c r="L21716" s="13"/>
      <c r="M21716" s="14"/>
      <c r="N21716" s="14"/>
      <c r="O21716" s="14"/>
      <c r="P21716" s="13"/>
    </row>
    <row r="21717">
      <c r="L21717" s="13"/>
      <c r="M21717" s="14"/>
      <c r="N21717" s="14"/>
      <c r="O21717" s="14"/>
      <c r="P21717" s="13"/>
    </row>
    <row r="21718">
      <c r="L21718" s="13"/>
      <c r="M21718" s="14"/>
      <c r="N21718" s="14"/>
      <c r="O21718" s="14"/>
      <c r="P21718" s="13"/>
    </row>
    <row r="21719">
      <c r="L21719" s="13"/>
      <c r="M21719" s="14"/>
      <c r="N21719" s="14"/>
      <c r="O21719" s="14"/>
      <c r="P21719" s="13"/>
    </row>
    <row r="21720">
      <c r="L21720" s="13"/>
      <c r="M21720" s="14"/>
      <c r="N21720" s="14"/>
      <c r="O21720" s="14"/>
      <c r="P21720" s="13"/>
    </row>
    <row r="21721">
      <c r="L21721" s="13"/>
      <c r="M21721" s="14"/>
      <c r="N21721" s="14"/>
      <c r="O21721" s="14"/>
      <c r="P21721" s="13"/>
    </row>
    <row r="21722">
      <c r="L21722" s="13"/>
      <c r="M21722" s="14"/>
      <c r="N21722" s="14"/>
      <c r="O21722" s="14"/>
      <c r="P21722" s="13"/>
    </row>
    <row r="21723">
      <c r="L21723" s="13"/>
      <c r="M21723" s="14"/>
      <c r="N21723" s="14"/>
      <c r="O21723" s="14"/>
      <c r="P21723" s="13"/>
    </row>
    <row r="21724">
      <c r="L21724" s="13"/>
      <c r="M21724" s="14"/>
      <c r="N21724" s="14"/>
      <c r="O21724" s="14"/>
      <c r="P21724" s="13"/>
    </row>
    <row r="21725">
      <c r="L21725" s="13"/>
      <c r="M21725" s="14"/>
      <c r="N21725" s="14"/>
      <c r="O21725" s="14"/>
      <c r="P21725" s="13"/>
    </row>
    <row r="21726">
      <c r="L21726" s="13"/>
      <c r="M21726" s="14"/>
      <c r="N21726" s="14"/>
      <c r="O21726" s="14"/>
      <c r="P21726" s="13"/>
    </row>
    <row r="21727">
      <c r="L21727" s="13"/>
      <c r="M21727" s="14"/>
      <c r="N21727" s="14"/>
      <c r="O21727" s="14"/>
      <c r="P21727" s="13"/>
    </row>
    <row r="21728">
      <c r="L21728" s="13"/>
      <c r="M21728" s="14"/>
      <c r="N21728" s="14"/>
      <c r="O21728" s="14"/>
      <c r="P21728" s="13"/>
    </row>
    <row r="21729">
      <c r="L21729" s="13"/>
      <c r="M21729" s="14"/>
      <c r="N21729" s="14"/>
      <c r="O21729" s="14"/>
      <c r="P21729" s="13"/>
    </row>
    <row r="21730">
      <c r="L21730" s="13"/>
      <c r="M21730" s="14"/>
      <c r="N21730" s="14"/>
      <c r="O21730" s="14"/>
      <c r="P21730" s="13"/>
    </row>
    <row r="21731">
      <c r="L21731" s="13"/>
      <c r="M21731" s="14"/>
      <c r="N21731" s="14"/>
      <c r="O21731" s="14"/>
      <c r="P21731" s="13"/>
    </row>
    <row r="21732">
      <c r="L21732" s="13"/>
      <c r="M21732" s="14"/>
      <c r="N21732" s="14"/>
      <c r="O21732" s="14"/>
      <c r="P21732" s="13"/>
    </row>
    <row r="21733">
      <c r="L21733" s="13"/>
      <c r="M21733" s="14"/>
      <c r="N21733" s="14"/>
      <c r="O21733" s="14"/>
      <c r="P21733" s="13"/>
    </row>
    <row r="21734">
      <c r="L21734" s="13"/>
      <c r="M21734" s="14"/>
      <c r="N21734" s="14"/>
      <c r="O21734" s="14"/>
      <c r="P21734" s="13"/>
    </row>
    <row r="21735">
      <c r="L21735" s="13"/>
      <c r="M21735" s="14"/>
      <c r="N21735" s="14"/>
      <c r="O21735" s="14"/>
      <c r="P21735" s="13"/>
    </row>
    <row r="21736">
      <c r="L21736" s="13"/>
      <c r="M21736" s="14"/>
      <c r="N21736" s="14"/>
      <c r="O21736" s="14"/>
      <c r="P21736" s="13"/>
    </row>
    <row r="21737">
      <c r="L21737" s="13"/>
      <c r="M21737" s="14"/>
      <c r="N21737" s="14"/>
      <c r="O21737" s="14"/>
      <c r="P21737" s="13"/>
    </row>
    <row r="21738">
      <c r="L21738" s="13"/>
      <c r="M21738" s="14"/>
      <c r="N21738" s="14"/>
      <c r="O21738" s="14"/>
      <c r="P21738" s="13"/>
    </row>
    <row r="21739">
      <c r="L21739" s="13"/>
      <c r="M21739" s="14"/>
      <c r="N21739" s="14"/>
      <c r="O21739" s="14"/>
      <c r="P21739" s="13"/>
    </row>
    <row r="21740">
      <c r="L21740" s="13"/>
      <c r="M21740" s="14"/>
      <c r="N21740" s="14"/>
      <c r="O21740" s="14"/>
      <c r="P21740" s="13"/>
    </row>
    <row r="21741">
      <c r="L21741" s="13"/>
      <c r="M21741" s="14"/>
      <c r="N21741" s="14"/>
      <c r="O21741" s="14"/>
      <c r="P21741" s="13"/>
    </row>
    <row r="21742">
      <c r="L21742" s="13"/>
      <c r="M21742" s="14"/>
      <c r="N21742" s="14"/>
      <c r="O21742" s="14"/>
      <c r="P21742" s="13"/>
    </row>
    <row r="21743">
      <c r="L21743" s="13"/>
      <c r="M21743" s="14"/>
      <c r="N21743" s="14"/>
      <c r="O21743" s="14"/>
      <c r="P21743" s="13"/>
    </row>
    <row r="21744">
      <c r="L21744" s="13"/>
      <c r="M21744" s="14"/>
      <c r="N21744" s="14"/>
      <c r="O21744" s="14"/>
      <c r="P21744" s="13"/>
    </row>
    <row r="21745">
      <c r="L21745" s="13"/>
      <c r="M21745" s="14"/>
      <c r="N21745" s="14"/>
      <c r="O21745" s="14"/>
      <c r="P21745" s="13"/>
    </row>
    <row r="21746">
      <c r="L21746" s="13"/>
      <c r="M21746" s="14"/>
      <c r="N21746" s="14"/>
      <c r="O21746" s="14"/>
      <c r="P21746" s="13"/>
    </row>
    <row r="21747">
      <c r="L21747" s="13"/>
      <c r="M21747" s="14"/>
      <c r="N21747" s="14"/>
      <c r="O21747" s="14"/>
      <c r="P21747" s="13"/>
    </row>
    <row r="21748">
      <c r="L21748" s="13"/>
      <c r="M21748" s="14"/>
      <c r="N21748" s="14"/>
      <c r="O21748" s="14"/>
      <c r="P21748" s="13"/>
    </row>
    <row r="21749">
      <c r="L21749" s="13"/>
      <c r="M21749" s="14"/>
      <c r="N21749" s="14"/>
      <c r="O21749" s="14"/>
      <c r="P21749" s="13"/>
    </row>
    <row r="21750">
      <c r="L21750" s="13"/>
      <c r="M21750" s="14"/>
      <c r="N21750" s="14"/>
      <c r="O21750" s="14"/>
      <c r="P21750" s="13"/>
    </row>
    <row r="21751">
      <c r="L21751" s="13"/>
      <c r="M21751" s="14"/>
      <c r="N21751" s="14"/>
      <c r="O21751" s="14"/>
      <c r="P21751" s="13"/>
    </row>
    <row r="21752">
      <c r="L21752" s="13"/>
      <c r="M21752" s="14"/>
      <c r="N21752" s="14"/>
      <c r="O21752" s="14"/>
      <c r="P21752" s="13"/>
    </row>
    <row r="21753">
      <c r="L21753" s="13"/>
      <c r="M21753" s="14"/>
      <c r="N21753" s="14"/>
      <c r="O21753" s="14"/>
      <c r="P21753" s="13"/>
    </row>
    <row r="21754">
      <c r="L21754" s="13"/>
      <c r="M21754" s="14"/>
      <c r="N21754" s="14"/>
      <c r="O21754" s="14"/>
      <c r="P21754" s="13"/>
    </row>
    <row r="21755">
      <c r="L21755" s="13"/>
      <c r="M21755" s="14"/>
      <c r="N21755" s="14"/>
      <c r="O21755" s="14"/>
      <c r="P21755" s="13"/>
    </row>
    <row r="21756">
      <c r="L21756" s="13"/>
      <c r="M21756" s="14"/>
      <c r="N21756" s="14"/>
      <c r="O21756" s="14"/>
      <c r="P21756" s="13"/>
    </row>
    <row r="21757">
      <c r="L21757" s="13"/>
      <c r="M21757" s="14"/>
      <c r="N21757" s="14"/>
      <c r="O21757" s="14"/>
      <c r="P21757" s="13"/>
    </row>
    <row r="21758">
      <c r="L21758" s="13"/>
      <c r="M21758" s="14"/>
      <c r="N21758" s="14"/>
      <c r="O21758" s="14"/>
      <c r="P21758" s="13"/>
    </row>
    <row r="21759">
      <c r="L21759" s="13"/>
      <c r="M21759" s="14"/>
      <c r="N21759" s="14"/>
      <c r="O21759" s="14"/>
      <c r="P21759" s="13"/>
    </row>
    <row r="21760">
      <c r="L21760" s="13"/>
      <c r="M21760" s="14"/>
      <c r="N21760" s="14"/>
      <c r="O21760" s="14"/>
      <c r="P21760" s="13"/>
    </row>
    <row r="21761">
      <c r="L21761" s="13"/>
      <c r="M21761" s="14"/>
      <c r="N21761" s="14"/>
      <c r="O21761" s="14"/>
      <c r="P21761" s="13"/>
    </row>
    <row r="21762">
      <c r="L21762" s="13"/>
      <c r="M21762" s="14"/>
      <c r="N21762" s="14"/>
      <c r="O21762" s="14"/>
      <c r="P21762" s="13"/>
    </row>
    <row r="21763">
      <c r="L21763" s="13"/>
      <c r="M21763" s="14"/>
      <c r="N21763" s="14"/>
      <c r="O21763" s="14"/>
      <c r="P21763" s="13"/>
    </row>
    <row r="21764">
      <c r="L21764" s="13"/>
      <c r="M21764" s="14"/>
      <c r="N21764" s="14"/>
      <c r="O21764" s="14"/>
      <c r="P21764" s="13"/>
    </row>
    <row r="21765">
      <c r="L21765" s="13"/>
      <c r="M21765" s="14"/>
      <c r="N21765" s="14"/>
      <c r="O21765" s="14"/>
      <c r="P21765" s="13"/>
    </row>
    <row r="21766">
      <c r="L21766" s="13"/>
      <c r="M21766" s="14"/>
      <c r="N21766" s="14"/>
      <c r="O21766" s="14"/>
      <c r="P21766" s="13"/>
    </row>
    <row r="21767">
      <c r="L21767" s="13"/>
      <c r="M21767" s="14"/>
      <c r="N21767" s="14"/>
      <c r="O21767" s="14"/>
      <c r="P21767" s="13"/>
    </row>
    <row r="21768">
      <c r="L21768" s="13"/>
      <c r="M21768" s="14"/>
      <c r="N21768" s="14"/>
      <c r="O21768" s="14"/>
      <c r="P21768" s="13"/>
    </row>
    <row r="21769">
      <c r="L21769" s="13"/>
      <c r="M21769" s="14"/>
      <c r="N21769" s="14"/>
      <c r="O21769" s="14"/>
      <c r="P21769" s="13"/>
    </row>
    <row r="21770">
      <c r="L21770" s="13"/>
      <c r="M21770" s="14"/>
      <c r="N21770" s="14"/>
      <c r="O21770" s="14"/>
      <c r="P21770" s="13"/>
    </row>
    <row r="21771">
      <c r="L21771" s="13"/>
      <c r="M21771" s="14"/>
      <c r="N21771" s="14"/>
      <c r="O21771" s="14"/>
      <c r="P21771" s="13"/>
    </row>
    <row r="21772">
      <c r="L21772" s="13"/>
      <c r="M21772" s="14"/>
      <c r="N21772" s="14"/>
      <c r="O21772" s="14"/>
      <c r="P21772" s="13"/>
    </row>
    <row r="21773">
      <c r="L21773" s="13"/>
      <c r="M21773" s="14"/>
      <c r="N21773" s="14"/>
      <c r="O21773" s="14"/>
      <c r="P21773" s="13"/>
    </row>
    <row r="21774">
      <c r="L21774" s="13"/>
      <c r="M21774" s="14"/>
      <c r="N21774" s="14"/>
      <c r="O21774" s="14"/>
      <c r="P21774" s="13"/>
    </row>
    <row r="21775">
      <c r="L21775" s="13"/>
      <c r="M21775" s="14"/>
      <c r="N21775" s="14"/>
      <c r="O21775" s="14"/>
      <c r="P21775" s="13"/>
    </row>
    <row r="21776">
      <c r="L21776" s="13"/>
      <c r="M21776" s="14"/>
      <c r="N21776" s="14"/>
      <c r="O21776" s="14"/>
      <c r="P21776" s="13"/>
    </row>
    <row r="21777">
      <c r="L21777" s="13"/>
      <c r="M21777" s="14"/>
      <c r="N21777" s="14"/>
      <c r="O21777" s="14"/>
      <c r="P21777" s="13"/>
    </row>
    <row r="21778">
      <c r="L21778" s="13"/>
      <c r="M21778" s="14"/>
      <c r="N21778" s="14"/>
      <c r="O21778" s="14"/>
      <c r="P21778" s="13"/>
    </row>
    <row r="21779">
      <c r="L21779" s="13"/>
      <c r="M21779" s="14"/>
      <c r="N21779" s="14"/>
      <c r="O21779" s="14"/>
      <c r="P21779" s="13"/>
    </row>
    <row r="21780">
      <c r="L21780" s="13"/>
      <c r="M21780" s="14"/>
      <c r="N21780" s="14"/>
      <c r="O21780" s="14"/>
      <c r="P21780" s="13"/>
    </row>
    <row r="21781">
      <c r="L21781" s="13"/>
      <c r="M21781" s="14"/>
      <c r="N21781" s="14"/>
      <c r="O21781" s="14"/>
      <c r="P21781" s="13"/>
    </row>
    <row r="21782">
      <c r="L21782" s="13"/>
      <c r="M21782" s="14"/>
      <c r="N21782" s="14"/>
      <c r="O21782" s="14"/>
      <c r="P21782" s="13"/>
    </row>
    <row r="21783">
      <c r="L21783" s="13"/>
      <c r="M21783" s="14"/>
      <c r="N21783" s="14"/>
      <c r="O21783" s="14"/>
      <c r="P21783" s="13"/>
    </row>
    <row r="21784">
      <c r="L21784" s="13"/>
      <c r="M21784" s="14"/>
      <c r="N21784" s="14"/>
      <c r="O21784" s="14"/>
      <c r="P21784" s="13"/>
    </row>
    <row r="21785">
      <c r="L21785" s="13"/>
      <c r="M21785" s="14"/>
      <c r="N21785" s="14"/>
      <c r="O21785" s="14"/>
      <c r="P21785" s="13"/>
    </row>
    <row r="21786">
      <c r="L21786" s="13"/>
      <c r="M21786" s="14"/>
      <c r="N21786" s="14"/>
      <c r="O21786" s="14"/>
      <c r="P21786" s="13"/>
    </row>
    <row r="21787">
      <c r="L21787" s="13"/>
      <c r="M21787" s="14"/>
      <c r="N21787" s="14"/>
      <c r="O21787" s="14"/>
      <c r="P21787" s="13"/>
    </row>
    <row r="21788">
      <c r="L21788" s="13"/>
      <c r="M21788" s="14"/>
      <c r="N21788" s="14"/>
      <c r="O21788" s="14"/>
      <c r="P21788" s="13"/>
    </row>
    <row r="21789">
      <c r="L21789" s="13"/>
      <c r="M21789" s="14"/>
      <c r="N21789" s="14"/>
      <c r="O21789" s="14"/>
      <c r="P21789" s="13"/>
    </row>
    <row r="21790">
      <c r="L21790" s="13"/>
      <c r="M21790" s="14"/>
      <c r="N21790" s="14"/>
      <c r="O21790" s="14"/>
      <c r="P21790" s="13"/>
    </row>
    <row r="21791">
      <c r="L21791" s="13"/>
      <c r="M21791" s="14"/>
      <c r="N21791" s="14"/>
      <c r="O21791" s="14"/>
      <c r="P21791" s="13"/>
    </row>
    <row r="21792">
      <c r="L21792" s="13"/>
      <c r="M21792" s="14"/>
      <c r="N21792" s="14"/>
      <c r="O21792" s="14"/>
      <c r="P21792" s="13"/>
    </row>
    <row r="21793">
      <c r="L21793" s="13"/>
      <c r="M21793" s="14"/>
      <c r="N21793" s="14"/>
      <c r="O21793" s="14"/>
      <c r="P21793" s="13"/>
    </row>
    <row r="21794">
      <c r="L21794" s="13"/>
      <c r="M21794" s="14"/>
      <c r="N21794" s="14"/>
      <c r="O21794" s="14"/>
      <c r="P21794" s="13"/>
    </row>
    <row r="21795">
      <c r="L21795" s="13"/>
      <c r="M21795" s="14"/>
      <c r="N21795" s="14"/>
      <c r="O21795" s="14"/>
      <c r="P21795" s="13"/>
    </row>
    <row r="21796">
      <c r="L21796" s="13"/>
      <c r="M21796" s="14"/>
      <c r="N21796" s="14"/>
      <c r="O21796" s="14"/>
      <c r="P21796" s="13"/>
    </row>
    <row r="21797">
      <c r="L21797" s="13"/>
      <c r="M21797" s="14"/>
      <c r="N21797" s="14"/>
      <c r="O21797" s="14"/>
      <c r="P21797" s="13"/>
    </row>
    <row r="21798">
      <c r="L21798" s="13"/>
      <c r="M21798" s="14"/>
      <c r="N21798" s="14"/>
      <c r="O21798" s="14"/>
      <c r="P21798" s="13"/>
    </row>
    <row r="21799">
      <c r="L21799" s="13"/>
      <c r="M21799" s="14"/>
      <c r="N21799" s="14"/>
      <c r="O21799" s="14"/>
      <c r="P21799" s="13"/>
    </row>
    <row r="21800">
      <c r="L21800" s="13"/>
      <c r="M21800" s="14"/>
      <c r="N21800" s="14"/>
      <c r="O21800" s="14"/>
      <c r="P21800" s="13"/>
    </row>
    <row r="21801">
      <c r="L21801" s="13"/>
      <c r="M21801" s="14"/>
      <c r="N21801" s="14"/>
      <c r="O21801" s="14"/>
      <c r="P21801" s="13"/>
    </row>
    <row r="21802">
      <c r="L21802" s="13"/>
      <c r="M21802" s="14"/>
      <c r="N21802" s="14"/>
      <c r="O21802" s="14"/>
      <c r="P21802" s="13"/>
    </row>
    <row r="21803">
      <c r="L21803" s="13"/>
      <c r="M21803" s="14"/>
      <c r="N21803" s="14"/>
      <c r="O21803" s="14"/>
      <c r="P21803" s="13"/>
    </row>
    <row r="21804">
      <c r="L21804" s="13"/>
      <c r="M21804" s="14"/>
      <c r="N21804" s="14"/>
      <c r="O21804" s="14"/>
      <c r="P21804" s="13"/>
    </row>
    <row r="21805">
      <c r="L21805" s="13"/>
      <c r="M21805" s="14"/>
      <c r="N21805" s="14"/>
      <c r="O21805" s="14"/>
      <c r="P21805" s="13"/>
    </row>
    <row r="21806">
      <c r="L21806" s="13"/>
      <c r="M21806" s="14"/>
      <c r="N21806" s="14"/>
      <c r="O21806" s="14"/>
      <c r="P21806" s="13"/>
    </row>
    <row r="21807">
      <c r="L21807" s="13"/>
      <c r="M21807" s="14"/>
      <c r="N21807" s="14"/>
      <c r="O21807" s="14"/>
      <c r="P21807" s="13"/>
    </row>
    <row r="21808">
      <c r="L21808" s="13"/>
      <c r="M21808" s="14"/>
      <c r="N21808" s="14"/>
      <c r="O21808" s="14"/>
      <c r="P21808" s="13"/>
    </row>
    <row r="21809">
      <c r="L21809" s="13"/>
      <c r="M21809" s="14"/>
      <c r="N21809" s="14"/>
      <c r="O21809" s="14"/>
      <c r="P21809" s="13"/>
    </row>
    <row r="21810">
      <c r="L21810" s="13"/>
      <c r="M21810" s="14"/>
      <c r="N21810" s="14"/>
      <c r="O21810" s="14"/>
      <c r="P21810" s="13"/>
    </row>
    <row r="21811">
      <c r="L21811" s="13"/>
      <c r="M21811" s="14"/>
      <c r="N21811" s="14"/>
      <c r="O21811" s="14"/>
      <c r="P21811" s="13"/>
    </row>
    <row r="21812">
      <c r="L21812" s="13"/>
      <c r="M21812" s="14"/>
      <c r="N21812" s="14"/>
      <c r="O21812" s="14"/>
      <c r="P21812" s="13"/>
    </row>
    <row r="21813">
      <c r="L21813" s="13"/>
      <c r="M21813" s="14"/>
      <c r="N21813" s="14"/>
      <c r="O21813" s="14"/>
      <c r="P21813" s="13"/>
    </row>
    <row r="21814">
      <c r="L21814" s="13"/>
      <c r="M21814" s="14"/>
      <c r="N21814" s="14"/>
      <c r="O21814" s="14"/>
      <c r="P21814" s="13"/>
    </row>
    <row r="21815">
      <c r="L21815" s="13"/>
      <c r="M21815" s="14"/>
      <c r="N21815" s="14"/>
      <c r="O21815" s="14"/>
      <c r="P21815" s="13"/>
    </row>
    <row r="21816">
      <c r="L21816" s="13"/>
      <c r="M21816" s="14"/>
      <c r="N21816" s="14"/>
      <c r="O21816" s="14"/>
      <c r="P21816" s="13"/>
    </row>
    <row r="21817">
      <c r="L21817" s="13"/>
      <c r="M21817" s="14"/>
      <c r="N21817" s="14"/>
      <c r="O21817" s="14"/>
      <c r="P21817" s="13"/>
    </row>
    <row r="21818">
      <c r="L21818" s="13"/>
      <c r="M21818" s="14"/>
      <c r="N21818" s="14"/>
      <c r="O21818" s="14"/>
      <c r="P21818" s="13"/>
    </row>
    <row r="21819">
      <c r="L21819" s="13"/>
      <c r="M21819" s="14"/>
      <c r="N21819" s="14"/>
      <c r="O21819" s="14"/>
      <c r="P21819" s="13"/>
    </row>
    <row r="21820">
      <c r="L21820" s="13"/>
      <c r="M21820" s="14"/>
      <c r="N21820" s="14"/>
      <c r="O21820" s="14"/>
      <c r="P21820" s="13"/>
    </row>
    <row r="21821">
      <c r="L21821" s="13"/>
      <c r="M21821" s="14"/>
      <c r="N21821" s="14"/>
      <c r="O21821" s="14"/>
      <c r="P21821" s="13"/>
    </row>
    <row r="21822">
      <c r="L21822" s="13"/>
      <c r="M21822" s="14"/>
      <c r="N21822" s="14"/>
      <c r="O21822" s="14"/>
      <c r="P21822" s="13"/>
    </row>
    <row r="21823">
      <c r="L21823" s="13"/>
      <c r="M21823" s="14"/>
      <c r="N21823" s="14"/>
      <c r="O21823" s="14"/>
      <c r="P21823" s="13"/>
    </row>
    <row r="21824">
      <c r="L21824" s="13"/>
      <c r="M21824" s="14"/>
      <c r="N21824" s="14"/>
      <c r="O21824" s="14"/>
      <c r="P21824" s="13"/>
    </row>
    <row r="21825">
      <c r="L21825" s="13"/>
      <c r="M21825" s="14"/>
      <c r="N21825" s="14"/>
      <c r="O21825" s="14"/>
      <c r="P21825" s="13"/>
    </row>
    <row r="21826">
      <c r="L21826" s="13"/>
      <c r="M21826" s="14"/>
      <c r="N21826" s="14"/>
      <c r="O21826" s="14"/>
      <c r="P21826" s="13"/>
    </row>
    <row r="21827">
      <c r="L21827" s="13"/>
      <c r="M21827" s="14"/>
      <c r="N21827" s="14"/>
      <c r="O21827" s="14"/>
      <c r="P21827" s="13"/>
    </row>
    <row r="21828">
      <c r="L21828" s="13"/>
      <c r="M21828" s="14"/>
      <c r="N21828" s="14"/>
      <c r="O21828" s="14"/>
      <c r="P21828" s="13"/>
    </row>
    <row r="21829">
      <c r="L21829" s="13"/>
      <c r="M21829" s="14"/>
      <c r="N21829" s="14"/>
      <c r="O21829" s="14"/>
      <c r="P21829" s="13"/>
    </row>
    <row r="21830">
      <c r="L21830" s="13"/>
      <c r="M21830" s="14"/>
      <c r="N21830" s="14"/>
      <c r="O21830" s="14"/>
      <c r="P21830" s="13"/>
    </row>
    <row r="21831">
      <c r="L21831" s="13"/>
      <c r="M21831" s="14"/>
      <c r="N21831" s="14"/>
      <c r="O21831" s="14"/>
      <c r="P21831" s="13"/>
    </row>
    <row r="21832">
      <c r="L21832" s="13"/>
      <c r="M21832" s="14"/>
      <c r="N21832" s="14"/>
      <c r="O21832" s="14"/>
      <c r="P21832" s="13"/>
    </row>
    <row r="21833">
      <c r="L21833" s="13"/>
      <c r="M21833" s="14"/>
      <c r="N21833" s="14"/>
      <c r="O21833" s="14"/>
      <c r="P21833" s="13"/>
    </row>
    <row r="21834">
      <c r="L21834" s="13"/>
      <c r="M21834" s="14"/>
      <c r="N21834" s="14"/>
      <c r="O21834" s="14"/>
      <c r="P21834" s="13"/>
    </row>
    <row r="21835">
      <c r="L21835" s="13"/>
      <c r="M21835" s="14"/>
      <c r="N21835" s="14"/>
      <c r="O21835" s="14"/>
      <c r="P21835" s="13"/>
    </row>
    <row r="21836">
      <c r="L21836" s="13"/>
      <c r="M21836" s="14"/>
      <c r="N21836" s="14"/>
      <c r="O21836" s="14"/>
      <c r="P21836" s="13"/>
    </row>
    <row r="21837">
      <c r="L21837" s="13"/>
      <c r="M21837" s="14"/>
      <c r="N21837" s="14"/>
      <c r="O21837" s="14"/>
      <c r="P21837" s="13"/>
    </row>
    <row r="21838">
      <c r="L21838" s="13"/>
      <c r="M21838" s="14"/>
      <c r="N21838" s="14"/>
      <c r="O21838" s="14"/>
      <c r="P21838" s="13"/>
    </row>
    <row r="21839">
      <c r="L21839" s="13"/>
      <c r="M21839" s="14"/>
      <c r="N21839" s="14"/>
      <c r="O21839" s="14"/>
      <c r="P21839" s="13"/>
    </row>
    <row r="21840">
      <c r="L21840" s="13"/>
      <c r="M21840" s="14"/>
      <c r="N21840" s="14"/>
      <c r="O21840" s="14"/>
      <c r="P21840" s="13"/>
    </row>
    <row r="21841">
      <c r="L21841" s="13"/>
      <c r="M21841" s="14"/>
      <c r="N21841" s="14"/>
      <c r="O21841" s="14"/>
      <c r="P21841" s="13"/>
    </row>
    <row r="21842">
      <c r="L21842" s="13"/>
      <c r="M21842" s="14"/>
      <c r="N21842" s="14"/>
      <c r="O21842" s="14"/>
      <c r="P21842" s="13"/>
    </row>
    <row r="21843">
      <c r="L21843" s="13"/>
      <c r="M21843" s="14"/>
      <c r="N21843" s="14"/>
      <c r="O21843" s="14"/>
      <c r="P21843" s="13"/>
    </row>
    <row r="21844">
      <c r="L21844" s="13"/>
      <c r="M21844" s="14"/>
      <c r="N21844" s="14"/>
      <c r="O21844" s="14"/>
      <c r="P21844" s="13"/>
    </row>
    <row r="21845">
      <c r="L21845" s="13"/>
      <c r="M21845" s="14"/>
      <c r="N21845" s="14"/>
      <c r="O21845" s="14"/>
      <c r="P21845" s="13"/>
    </row>
    <row r="21846">
      <c r="L21846" s="13"/>
      <c r="M21846" s="14"/>
      <c r="N21846" s="14"/>
      <c r="O21846" s="14"/>
      <c r="P21846" s="13"/>
    </row>
    <row r="21847">
      <c r="L21847" s="13"/>
      <c r="M21847" s="14"/>
      <c r="N21847" s="14"/>
      <c r="O21847" s="14"/>
      <c r="P21847" s="13"/>
    </row>
    <row r="21848">
      <c r="L21848" s="13"/>
      <c r="M21848" s="14"/>
      <c r="N21848" s="14"/>
      <c r="O21848" s="14"/>
      <c r="P21848" s="13"/>
    </row>
    <row r="21849">
      <c r="L21849" s="13"/>
      <c r="M21849" s="14"/>
      <c r="N21849" s="14"/>
      <c r="O21849" s="14"/>
      <c r="P21849" s="13"/>
    </row>
    <row r="21850">
      <c r="L21850" s="13"/>
      <c r="M21850" s="14"/>
      <c r="N21850" s="14"/>
      <c r="O21850" s="14"/>
      <c r="P21850" s="13"/>
    </row>
    <row r="21851">
      <c r="L21851" s="13"/>
      <c r="M21851" s="14"/>
      <c r="N21851" s="14"/>
      <c r="O21851" s="14"/>
      <c r="P21851" s="13"/>
    </row>
    <row r="21852">
      <c r="L21852" s="13"/>
      <c r="M21852" s="14"/>
      <c r="N21852" s="14"/>
      <c r="O21852" s="14"/>
      <c r="P21852" s="13"/>
    </row>
    <row r="21853">
      <c r="L21853" s="13"/>
      <c r="M21853" s="14"/>
      <c r="N21853" s="14"/>
      <c r="O21853" s="14"/>
      <c r="P21853" s="13"/>
    </row>
    <row r="21854">
      <c r="L21854" s="13"/>
      <c r="M21854" s="14"/>
      <c r="N21854" s="14"/>
      <c r="O21854" s="14"/>
      <c r="P21854" s="13"/>
    </row>
    <row r="21855">
      <c r="L21855" s="13"/>
      <c r="M21855" s="14"/>
      <c r="N21855" s="14"/>
      <c r="O21855" s="14"/>
      <c r="P21855" s="13"/>
    </row>
    <row r="21856">
      <c r="L21856" s="13"/>
      <c r="M21856" s="14"/>
      <c r="N21856" s="14"/>
      <c r="O21856" s="14"/>
      <c r="P21856" s="13"/>
    </row>
    <row r="21857">
      <c r="L21857" s="13"/>
      <c r="M21857" s="14"/>
      <c r="N21857" s="14"/>
      <c r="O21857" s="14"/>
      <c r="P21857" s="13"/>
    </row>
    <row r="21858">
      <c r="L21858" s="13"/>
      <c r="M21858" s="14"/>
      <c r="N21858" s="14"/>
      <c r="O21858" s="14"/>
      <c r="P21858" s="13"/>
    </row>
    <row r="21859">
      <c r="L21859" s="13"/>
      <c r="M21859" s="14"/>
      <c r="N21859" s="14"/>
      <c r="O21859" s="14"/>
      <c r="P21859" s="13"/>
    </row>
    <row r="21860">
      <c r="L21860" s="13"/>
      <c r="M21860" s="14"/>
      <c r="N21860" s="14"/>
      <c r="O21860" s="14"/>
      <c r="P21860" s="13"/>
    </row>
    <row r="21861">
      <c r="L21861" s="13"/>
      <c r="M21861" s="14"/>
      <c r="N21861" s="14"/>
      <c r="O21861" s="14"/>
      <c r="P21861" s="13"/>
    </row>
    <row r="21862">
      <c r="L21862" s="13"/>
      <c r="M21862" s="14"/>
      <c r="N21862" s="14"/>
      <c r="O21862" s="14"/>
      <c r="P21862" s="13"/>
    </row>
    <row r="21863">
      <c r="L21863" s="13"/>
      <c r="M21863" s="14"/>
      <c r="N21863" s="14"/>
      <c r="O21863" s="14"/>
      <c r="P21863" s="13"/>
    </row>
    <row r="21864">
      <c r="L21864" s="13"/>
      <c r="M21864" s="14"/>
      <c r="N21864" s="14"/>
      <c r="O21864" s="14"/>
      <c r="P21864" s="13"/>
    </row>
    <row r="21865">
      <c r="L21865" s="13"/>
      <c r="M21865" s="14"/>
      <c r="N21865" s="14"/>
      <c r="O21865" s="14"/>
      <c r="P21865" s="13"/>
    </row>
    <row r="21866">
      <c r="L21866" s="13"/>
      <c r="M21866" s="14"/>
      <c r="N21866" s="14"/>
      <c r="O21866" s="14"/>
      <c r="P21866" s="13"/>
    </row>
    <row r="21867">
      <c r="L21867" s="13"/>
      <c r="M21867" s="14"/>
      <c r="N21867" s="14"/>
      <c r="O21867" s="14"/>
      <c r="P21867" s="13"/>
    </row>
    <row r="21868">
      <c r="L21868" s="13"/>
      <c r="M21868" s="14"/>
      <c r="N21868" s="14"/>
      <c r="O21868" s="14"/>
      <c r="P21868" s="13"/>
    </row>
    <row r="21869">
      <c r="L21869" s="13"/>
      <c r="M21869" s="14"/>
      <c r="N21869" s="14"/>
      <c r="O21869" s="14"/>
      <c r="P21869" s="13"/>
    </row>
    <row r="21870">
      <c r="L21870" s="13"/>
      <c r="M21870" s="14"/>
      <c r="N21870" s="14"/>
      <c r="O21870" s="14"/>
      <c r="P21870" s="13"/>
    </row>
    <row r="21871">
      <c r="L21871" s="13"/>
      <c r="M21871" s="14"/>
      <c r="N21871" s="14"/>
      <c r="O21871" s="14"/>
      <c r="P21871" s="13"/>
    </row>
    <row r="21872">
      <c r="L21872" s="13"/>
      <c r="M21872" s="14"/>
      <c r="N21872" s="14"/>
      <c r="O21872" s="14"/>
      <c r="P21872" s="13"/>
    </row>
    <row r="21873">
      <c r="L21873" s="13"/>
      <c r="M21873" s="14"/>
      <c r="N21873" s="14"/>
      <c r="O21873" s="14"/>
      <c r="P21873" s="13"/>
    </row>
    <row r="21874">
      <c r="L21874" s="13"/>
      <c r="M21874" s="14"/>
      <c r="N21874" s="14"/>
      <c r="O21874" s="14"/>
      <c r="P21874" s="13"/>
    </row>
    <row r="21875">
      <c r="L21875" s="13"/>
      <c r="M21875" s="14"/>
      <c r="N21875" s="14"/>
      <c r="O21875" s="14"/>
      <c r="P21875" s="13"/>
    </row>
    <row r="21876">
      <c r="L21876" s="13"/>
      <c r="M21876" s="14"/>
      <c r="N21876" s="14"/>
      <c r="O21876" s="14"/>
      <c r="P21876" s="13"/>
    </row>
    <row r="21877">
      <c r="L21877" s="13"/>
      <c r="M21877" s="14"/>
      <c r="N21877" s="14"/>
      <c r="O21877" s="14"/>
      <c r="P21877" s="13"/>
    </row>
    <row r="21878">
      <c r="L21878" s="13"/>
      <c r="M21878" s="14"/>
      <c r="N21878" s="14"/>
      <c r="O21878" s="14"/>
      <c r="P21878" s="13"/>
    </row>
    <row r="21879">
      <c r="L21879" s="13"/>
      <c r="M21879" s="14"/>
      <c r="N21879" s="14"/>
      <c r="O21879" s="14"/>
      <c r="P21879" s="13"/>
    </row>
    <row r="21880">
      <c r="L21880" s="13"/>
      <c r="M21880" s="14"/>
      <c r="N21880" s="14"/>
      <c r="O21880" s="14"/>
      <c r="P21880" s="13"/>
    </row>
    <row r="21881">
      <c r="L21881" s="13"/>
      <c r="M21881" s="14"/>
      <c r="N21881" s="14"/>
      <c r="O21881" s="14"/>
      <c r="P21881" s="13"/>
    </row>
    <row r="21882">
      <c r="L21882" s="13"/>
      <c r="M21882" s="14"/>
      <c r="N21882" s="14"/>
      <c r="O21882" s="14"/>
      <c r="P21882" s="13"/>
    </row>
    <row r="21883">
      <c r="L21883" s="13"/>
      <c r="M21883" s="14"/>
      <c r="N21883" s="14"/>
      <c r="O21883" s="14"/>
      <c r="P21883" s="13"/>
    </row>
    <row r="21884">
      <c r="L21884" s="13"/>
      <c r="M21884" s="14"/>
      <c r="N21884" s="14"/>
      <c r="O21884" s="14"/>
      <c r="P21884" s="13"/>
    </row>
    <row r="21885">
      <c r="L21885" s="13"/>
      <c r="M21885" s="14"/>
      <c r="N21885" s="14"/>
      <c r="O21885" s="14"/>
      <c r="P21885" s="13"/>
    </row>
    <row r="21886">
      <c r="L21886" s="13"/>
      <c r="M21886" s="14"/>
      <c r="N21886" s="14"/>
      <c r="O21886" s="14"/>
      <c r="P21886" s="13"/>
    </row>
    <row r="21887">
      <c r="L21887" s="13"/>
      <c r="M21887" s="14"/>
      <c r="N21887" s="14"/>
      <c r="O21887" s="14"/>
      <c r="P21887" s="13"/>
    </row>
    <row r="21888">
      <c r="L21888" s="13"/>
      <c r="M21888" s="14"/>
      <c r="N21888" s="14"/>
      <c r="O21888" s="14"/>
      <c r="P21888" s="13"/>
    </row>
    <row r="21889">
      <c r="L21889" s="13"/>
      <c r="M21889" s="14"/>
      <c r="N21889" s="14"/>
      <c r="O21889" s="14"/>
      <c r="P21889" s="13"/>
    </row>
    <row r="21890">
      <c r="L21890" s="13"/>
      <c r="M21890" s="14"/>
      <c r="N21890" s="14"/>
      <c r="O21890" s="14"/>
      <c r="P21890" s="13"/>
    </row>
    <row r="21891">
      <c r="L21891" s="13"/>
      <c r="M21891" s="14"/>
      <c r="N21891" s="14"/>
      <c r="O21891" s="14"/>
      <c r="P21891" s="13"/>
    </row>
    <row r="21892">
      <c r="L21892" s="13"/>
      <c r="M21892" s="14"/>
      <c r="N21892" s="14"/>
      <c r="O21892" s="14"/>
      <c r="P21892" s="13"/>
    </row>
    <row r="21893">
      <c r="L21893" s="13"/>
      <c r="M21893" s="14"/>
      <c r="N21893" s="14"/>
      <c r="O21893" s="14"/>
      <c r="P21893" s="13"/>
    </row>
    <row r="21894">
      <c r="L21894" s="13"/>
      <c r="M21894" s="14"/>
      <c r="N21894" s="14"/>
      <c r="O21894" s="14"/>
      <c r="P21894" s="13"/>
    </row>
    <row r="21895">
      <c r="L21895" s="13"/>
      <c r="M21895" s="14"/>
      <c r="N21895" s="14"/>
      <c r="O21895" s="14"/>
      <c r="P21895" s="13"/>
    </row>
    <row r="21896">
      <c r="L21896" s="13"/>
      <c r="M21896" s="14"/>
      <c r="N21896" s="14"/>
      <c r="O21896" s="14"/>
      <c r="P21896" s="13"/>
    </row>
    <row r="21897">
      <c r="L21897" s="13"/>
      <c r="M21897" s="14"/>
      <c r="N21897" s="14"/>
      <c r="O21897" s="14"/>
      <c r="P21897" s="13"/>
    </row>
    <row r="21898">
      <c r="L21898" s="13"/>
      <c r="M21898" s="14"/>
      <c r="N21898" s="14"/>
      <c r="O21898" s="14"/>
      <c r="P21898" s="13"/>
    </row>
    <row r="21899">
      <c r="L21899" s="13"/>
      <c r="M21899" s="14"/>
      <c r="N21899" s="14"/>
      <c r="O21899" s="14"/>
      <c r="P21899" s="13"/>
    </row>
    <row r="21900">
      <c r="L21900" s="13"/>
      <c r="M21900" s="14"/>
      <c r="N21900" s="14"/>
      <c r="O21900" s="14"/>
      <c r="P21900" s="13"/>
    </row>
    <row r="21901">
      <c r="L21901" s="13"/>
      <c r="M21901" s="14"/>
      <c r="N21901" s="14"/>
      <c r="O21901" s="14"/>
      <c r="P21901" s="13"/>
    </row>
    <row r="21902">
      <c r="L21902" s="13"/>
      <c r="M21902" s="14"/>
      <c r="N21902" s="14"/>
      <c r="O21902" s="14"/>
      <c r="P21902" s="13"/>
    </row>
    <row r="21903">
      <c r="L21903" s="13"/>
      <c r="M21903" s="14"/>
      <c r="N21903" s="14"/>
      <c r="O21903" s="14"/>
      <c r="P21903" s="13"/>
    </row>
    <row r="21904">
      <c r="L21904" s="13"/>
      <c r="M21904" s="14"/>
      <c r="N21904" s="14"/>
      <c r="O21904" s="14"/>
      <c r="P21904" s="13"/>
    </row>
    <row r="21905">
      <c r="L21905" s="13"/>
      <c r="M21905" s="14"/>
      <c r="N21905" s="14"/>
      <c r="O21905" s="14"/>
      <c r="P21905" s="13"/>
    </row>
    <row r="21906">
      <c r="L21906" s="13"/>
      <c r="M21906" s="14"/>
      <c r="N21906" s="14"/>
      <c r="O21906" s="14"/>
      <c r="P21906" s="13"/>
    </row>
    <row r="21907">
      <c r="L21907" s="13"/>
      <c r="M21907" s="14"/>
      <c r="N21907" s="14"/>
      <c r="O21907" s="14"/>
      <c r="P21907" s="13"/>
    </row>
    <row r="21908">
      <c r="L21908" s="13"/>
      <c r="M21908" s="14"/>
      <c r="N21908" s="14"/>
      <c r="O21908" s="14"/>
      <c r="P21908" s="13"/>
    </row>
    <row r="21909">
      <c r="L21909" s="13"/>
      <c r="M21909" s="14"/>
      <c r="N21909" s="14"/>
      <c r="O21909" s="14"/>
      <c r="P21909" s="13"/>
    </row>
    <row r="21910">
      <c r="L21910" s="13"/>
      <c r="M21910" s="14"/>
      <c r="N21910" s="14"/>
      <c r="O21910" s="14"/>
      <c r="P21910" s="13"/>
    </row>
    <row r="21911">
      <c r="L21911" s="13"/>
      <c r="M21911" s="14"/>
      <c r="N21911" s="14"/>
      <c r="O21911" s="14"/>
      <c r="P21911" s="13"/>
    </row>
    <row r="21912">
      <c r="L21912" s="13"/>
      <c r="M21912" s="14"/>
      <c r="N21912" s="14"/>
      <c r="O21912" s="14"/>
      <c r="P21912" s="13"/>
    </row>
    <row r="21913">
      <c r="L21913" s="13"/>
      <c r="M21913" s="14"/>
      <c r="N21913" s="14"/>
      <c r="O21913" s="14"/>
      <c r="P21913" s="13"/>
    </row>
    <row r="21914">
      <c r="L21914" s="13"/>
      <c r="M21914" s="14"/>
      <c r="N21914" s="14"/>
      <c r="O21914" s="14"/>
      <c r="P21914" s="13"/>
    </row>
    <row r="21915">
      <c r="L21915" s="13"/>
      <c r="M21915" s="14"/>
      <c r="N21915" s="14"/>
      <c r="O21915" s="14"/>
      <c r="P21915" s="13"/>
    </row>
    <row r="21916">
      <c r="L21916" s="13"/>
      <c r="M21916" s="14"/>
      <c r="N21916" s="14"/>
      <c r="O21916" s="14"/>
      <c r="P21916" s="13"/>
    </row>
    <row r="21917">
      <c r="L21917" s="13"/>
      <c r="M21917" s="14"/>
      <c r="N21917" s="14"/>
      <c r="O21917" s="14"/>
      <c r="P21917" s="13"/>
    </row>
    <row r="21918">
      <c r="L21918" s="13"/>
      <c r="M21918" s="14"/>
      <c r="N21918" s="14"/>
      <c r="O21918" s="14"/>
      <c r="P21918" s="13"/>
    </row>
    <row r="21919">
      <c r="L21919" s="13"/>
      <c r="M21919" s="14"/>
      <c r="N21919" s="14"/>
      <c r="O21919" s="14"/>
      <c r="P21919" s="13"/>
    </row>
    <row r="21920">
      <c r="L21920" s="13"/>
      <c r="M21920" s="14"/>
      <c r="N21920" s="14"/>
      <c r="O21920" s="14"/>
      <c r="P21920" s="13"/>
    </row>
    <row r="21921">
      <c r="L21921" s="13"/>
      <c r="M21921" s="14"/>
      <c r="N21921" s="14"/>
      <c r="O21921" s="14"/>
      <c r="P21921" s="13"/>
    </row>
    <row r="21922">
      <c r="L21922" s="13"/>
      <c r="M21922" s="14"/>
      <c r="N21922" s="14"/>
      <c r="O21922" s="14"/>
      <c r="P21922" s="13"/>
    </row>
    <row r="21923">
      <c r="L21923" s="13"/>
      <c r="M21923" s="14"/>
      <c r="N21923" s="14"/>
      <c r="O21923" s="14"/>
      <c r="P21923" s="13"/>
    </row>
    <row r="21924">
      <c r="L21924" s="13"/>
      <c r="M21924" s="14"/>
      <c r="N21924" s="14"/>
      <c r="O21924" s="14"/>
      <c r="P21924" s="13"/>
    </row>
    <row r="21925">
      <c r="L21925" s="13"/>
      <c r="M21925" s="14"/>
      <c r="N21925" s="14"/>
      <c r="O21925" s="14"/>
      <c r="P21925" s="13"/>
    </row>
    <row r="21926">
      <c r="L21926" s="13"/>
      <c r="M21926" s="14"/>
      <c r="N21926" s="14"/>
      <c r="O21926" s="14"/>
      <c r="P21926" s="13"/>
    </row>
    <row r="21927">
      <c r="L21927" s="13"/>
      <c r="M21927" s="14"/>
      <c r="N21927" s="14"/>
      <c r="O21927" s="14"/>
      <c r="P21927" s="13"/>
    </row>
    <row r="21928">
      <c r="L21928" s="13"/>
      <c r="M21928" s="14"/>
      <c r="N21928" s="14"/>
      <c r="O21928" s="14"/>
      <c r="P21928" s="13"/>
    </row>
    <row r="21929">
      <c r="L21929" s="13"/>
      <c r="M21929" s="14"/>
      <c r="N21929" s="14"/>
      <c r="O21929" s="14"/>
      <c r="P21929" s="13"/>
    </row>
    <row r="21930">
      <c r="L21930" s="13"/>
      <c r="M21930" s="14"/>
      <c r="N21930" s="14"/>
      <c r="O21930" s="14"/>
      <c r="P21930" s="13"/>
    </row>
    <row r="21931">
      <c r="L21931" s="13"/>
      <c r="M21931" s="14"/>
      <c r="N21931" s="14"/>
      <c r="O21931" s="14"/>
      <c r="P21931" s="13"/>
    </row>
    <row r="21932">
      <c r="L21932" s="13"/>
      <c r="M21932" s="14"/>
      <c r="N21932" s="14"/>
      <c r="O21932" s="14"/>
      <c r="P21932" s="13"/>
    </row>
    <row r="21933">
      <c r="L21933" s="13"/>
      <c r="M21933" s="14"/>
      <c r="N21933" s="14"/>
      <c r="O21933" s="14"/>
      <c r="P21933" s="13"/>
    </row>
    <row r="21934">
      <c r="L21934" s="13"/>
      <c r="M21934" s="14"/>
      <c r="N21934" s="14"/>
      <c r="O21934" s="14"/>
      <c r="P21934" s="13"/>
    </row>
    <row r="21935">
      <c r="L21935" s="13"/>
      <c r="M21935" s="14"/>
      <c r="N21935" s="14"/>
      <c r="O21935" s="14"/>
      <c r="P21935" s="13"/>
    </row>
    <row r="21936">
      <c r="L21936" s="13"/>
      <c r="M21936" s="14"/>
      <c r="N21936" s="14"/>
      <c r="O21936" s="14"/>
      <c r="P21936" s="13"/>
    </row>
    <row r="21937">
      <c r="L21937" s="13"/>
      <c r="M21937" s="14"/>
      <c r="N21937" s="14"/>
      <c r="O21937" s="14"/>
      <c r="P21937" s="13"/>
    </row>
    <row r="21938">
      <c r="L21938" s="13"/>
      <c r="M21938" s="14"/>
      <c r="N21938" s="14"/>
      <c r="O21938" s="14"/>
      <c r="P21938" s="13"/>
    </row>
    <row r="21939">
      <c r="L21939" s="13"/>
      <c r="M21939" s="14"/>
      <c r="N21939" s="14"/>
      <c r="O21939" s="14"/>
      <c r="P21939" s="13"/>
    </row>
    <row r="21940">
      <c r="L21940" s="13"/>
      <c r="M21940" s="14"/>
      <c r="N21940" s="14"/>
      <c r="O21940" s="14"/>
      <c r="P21940" s="13"/>
    </row>
    <row r="21941">
      <c r="L21941" s="13"/>
      <c r="M21941" s="14"/>
      <c r="N21941" s="14"/>
      <c r="O21941" s="14"/>
      <c r="P21941" s="13"/>
    </row>
    <row r="21942">
      <c r="L21942" s="13"/>
      <c r="M21942" s="14"/>
      <c r="N21942" s="14"/>
      <c r="O21942" s="14"/>
      <c r="P21942" s="13"/>
    </row>
    <row r="21943">
      <c r="L21943" s="13"/>
      <c r="M21943" s="14"/>
      <c r="N21943" s="14"/>
      <c r="O21943" s="14"/>
      <c r="P21943" s="13"/>
    </row>
    <row r="21944">
      <c r="L21944" s="13"/>
      <c r="M21944" s="14"/>
      <c r="N21944" s="14"/>
      <c r="O21944" s="14"/>
      <c r="P21944" s="13"/>
    </row>
    <row r="21945">
      <c r="L21945" s="13"/>
      <c r="M21945" s="14"/>
      <c r="N21945" s="14"/>
      <c r="O21945" s="14"/>
      <c r="P21945" s="13"/>
    </row>
    <row r="21946">
      <c r="L21946" s="13"/>
      <c r="M21946" s="14"/>
      <c r="N21946" s="14"/>
      <c r="O21946" s="14"/>
      <c r="P21946" s="13"/>
    </row>
    <row r="21947">
      <c r="L21947" s="13"/>
      <c r="M21947" s="14"/>
      <c r="N21947" s="14"/>
      <c r="O21947" s="14"/>
      <c r="P21947" s="13"/>
    </row>
    <row r="21948">
      <c r="L21948" s="13"/>
      <c r="M21948" s="14"/>
      <c r="N21948" s="14"/>
      <c r="O21948" s="14"/>
      <c r="P21948" s="13"/>
    </row>
    <row r="21949">
      <c r="L21949" s="13"/>
      <c r="M21949" s="14"/>
      <c r="N21949" s="14"/>
      <c r="O21949" s="14"/>
      <c r="P21949" s="13"/>
    </row>
    <row r="21950">
      <c r="L21950" s="13"/>
      <c r="M21950" s="14"/>
      <c r="N21950" s="14"/>
      <c r="O21950" s="14"/>
      <c r="P21950" s="13"/>
    </row>
    <row r="21951">
      <c r="L21951" s="13"/>
      <c r="M21951" s="14"/>
      <c r="N21951" s="14"/>
      <c r="O21951" s="14"/>
      <c r="P21951" s="13"/>
    </row>
    <row r="21952">
      <c r="L21952" s="13"/>
      <c r="M21952" s="14"/>
      <c r="N21952" s="14"/>
      <c r="O21952" s="14"/>
      <c r="P21952" s="13"/>
    </row>
    <row r="21953">
      <c r="L21953" s="13"/>
      <c r="M21953" s="14"/>
      <c r="N21953" s="14"/>
      <c r="O21953" s="14"/>
      <c r="P21953" s="13"/>
    </row>
    <row r="21954">
      <c r="L21954" s="13"/>
      <c r="M21954" s="14"/>
      <c r="N21954" s="14"/>
      <c r="O21954" s="14"/>
      <c r="P21954" s="13"/>
    </row>
    <row r="21955">
      <c r="L21955" s="13"/>
      <c r="M21955" s="14"/>
      <c r="N21955" s="14"/>
      <c r="O21955" s="14"/>
      <c r="P21955" s="13"/>
    </row>
    <row r="21956">
      <c r="L21956" s="13"/>
      <c r="M21956" s="14"/>
      <c r="N21956" s="14"/>
      <c r="O21956" s="14"/>
      <c r="P21956" s="13"/>
    </row>
    <row r="21957">
      <c r="L21957" s="13"/>
      <c r="M21957" s="14"/>
      <c r="N21957" s="14"/>
      <c r="O21957" s="14"/>
      <c r="P21957" s="13"/>
    </row>
    <row r="21958">
      <c r="L21958" s="13"/>
      <c r="M21958" s="14"/>
      <c r="N21958" s="14"/>
      <c r="O21958" s="14"/>
      <c r="P21958" s="13"/>
    </row>
    <row r="21959">
      <c r="L21959" s="13"/>
      <c r="M21959" s="14"/>
      <c r="N21959" s="14"/>
      <c r="O21959" s="14"/>
      <c r="P21959" s="13"/>
    </row>
    <row r="21960">
      <c r="L21960" s="13"/>
      <c r="M21960" s="14"/>
      <c r="N21960" s="14"/>
      <c r="O21960" s="14"/>
      <c r="P21960" s="13"/>
    </row>
    <row r="21961">
      <c r="L21961" s="13"/>
      <c r="M21961" s="14"/>
      <c r="N21961" s="14"/>
      <c r="O21961" s="14"/>
      <c r="P21961" s="13"/>
    </row>
    <row r="21962">
      <c r="L21962" s="13"/>
      <c r="M21962" s="14"/>
      <c r="N21962" s="14"/>
      <c r="O21962" s="14"/>
      <c r="P21962" s="13"/>
    </row>
    <row r="21963">
      <c r="L21963" s="13"/>
      <c r="M21963" s="14"/>
      <c r="N21963" s="14"/>
      <c r="O21963" s="14"/>
      <c r="P21963" s="13"/>
    </row>
    <row r="21964">
      <c r="L21964" s="13"/>
      <c r="M21964" s="14"/>
      <c r="N21964" s="14"/>
      <c r="O21964" s="14"/>
      <c r="P21964" s="13"/>
    </row>
    <row r="21965">
      <c r="L21965" s="13"/>
      <c r="M21965" s="14"/>
      <c r="N21965" s="14"/>
      <c r="O21965" s="14"/>
      <c r="P21965" s="13"/>
    </row>
    <row r="21966">
      <c r="L21966" s="13"/>
      <c r="M21966" s="14"/>
      <c r="N21966" s="14"/>
      <c r="O21966" s="14"/>
      <c r="P21966" s="13"/>
    </row>
    <row r="21967">
      <c r="L21967" s="13"/>
      <c r="M21967" s="14"/>
      <c r="N21967" s="14"/>
      <c r="O21967" s="14"/>
      <c r="P21967" s="13"/>
    </row>
    <row r="21968">
      <c r="L21968" s="13"/>
      <c r="M21968" s="14"/>
      <c r="N21968" s="14"/>
      <c r="O21968" s="14"/>
      <c r="P21968" s="13"/>
    </row>
    <row r="21969">
      <c r="L21969" s="13"/>
      <c r="M21969" s="14"/>
      <c r="N21969" s="14"/>
      <c r="O21969" s="14"/>
      <c r="P21969" s="13"/>
    </row>
    <row r="21970">
      <c r="L21970" s="13"/>
      <c r="M21970" s="14"/>
      <c r="N21970" s="14"/>
      <c r="O21970" s="14"/>
      <c r="P21970" s="13"/>
    </row>
    <row r="21971">
      <c r="L21971" s="13"/>
      <c r="M21971" s="14"/>
      <c r="N21971" s="14"/>
      <c r="O21971" s="14"/>
      <c r="P21971" s="13"/>
    </row>
    <row r="21972">
      <c r="L21972" s="13"/>
      <c r="M21972" s="14"/>
      <c r="N21972" s="14"/>
      <c r="O21972" s="14"/>
      <c r="P21972" s="13"/>
    </row>
    <row r="21973">
      <c r="L21973" s="13"/>
      <c r="M21973" s="14"/>
      <c r="N21973" s="14"/>
      <c r="O21973" s="14"/>
      <c r="P21973" s="13"/>
    </row>
    <row r="21974">
      <c r="L21974" s="13"/>
      <c r="M21974" s="14"/>
      <c r="N21974" s="14"/>
      <c r="O21974" s="14"/>
      <c r="P21974" s="13"/>
    </row>
    <row r="21975">
      <c r="L21975" s="13"/>
      <c r="M21975" s="14"/>
      <c r="N21975" s="14"/>
      <c r="O21975" s="14"/>
      <c r="P21975" s="13"/>
    </row>
    <row r="21976">
      <c r="L21976" s="13"/>
      <c r="M21976" s="14"/>
      <c r="N21976" s="14"/>
      <c r="O21976" s="14"/>
      <c r="P21976" s="13"/>
    </row>
    <row r="21977">
      <c r="L21977" s="13"/>
      <c r="M21977" s="14"/>
      <c r="N21977" s="14"/>
      <c r="O21977" s="14"/>
      <c r="P21977" s="13"/>
    </row>
    <row r="21978">
      <c r="L21978" s="13"/>
      <c r="M21978" s="14"/>
      <c r="N21978" s="14"/>
      <c r="O21978" s="14"/>
      <c r="P21978" s="13"/>
    </row>
    <row r="21979">
      <c r="L21979" s="13"/>
      <c r="M21979" s="14"/>
      <c r="N21979" s="14"/>
      <c r="O21979" s="14"/>
      <c r="P21979" s="13"/>
    </row>
    <row r="21980">
      <c r="L21980" s="13"/>
      <c r="M21980" s="14"/>
      <c r="N21980" s="14"/>
      <c r="O21980" s="14"/>
      <c r="P21980" s="13"/>
    </row>
    <row r="21981">
      <c r="L21981" s="13"/>
      <c r="M21981" s="14"/>
      <c r="N21981" s="14"/>
      <c r="O21981" s="14"/>
      <c r="P21981" s="13"/>
    </row>
    <row r="21982">
      <c r="L21982" s="13"/>
      <c r="M21982" s="14"/>
      <c r="N21982" s="14"/>
      <c r="O21982" s="14"/>
      <c r="P21982" s="13"/>
    </row>
    <row r="21983">
      <c r="L21983" s="13"/>
      <c r="M21983" s="14"/>
      <c r="N21983" s="14"/>
      <c r="O21983" s="14"/>
      <c r="P21983" s="13"/>
    </row>
    <row r="21984">
      <c r="L21984" s="13"/>
      <c r="M21984" s="14"/>
      <c r="N21984" s="14"/>
      <c r="O21984" s="14"/>
      <c r="P21984" s="13"/>
    </row>
    <row r="21985">
      <c r="L21985" s="13"/>
      <c r="M21985" s="14"/>
      <c r="N21985" s="14"/>
      <c r="O21985" s="14"/>
      <c r="P21985" s="13"/>
    </row>
    <row r="21986">
      <c r="L21986" s="13"/>
      <c r="M21986" s="14"/>
      <c r="N21986" s="14"/>
      <c r="O21986" s="14"/>
      <c r="P21986" s="13"/>
    </row>
    <row r="21987">
      <c r="L21987" s="13"/>
      <c r="M21987" s="14"/>
      <c r="N21987" s="14"/>
      <c r="O21987" s="14"/>
      <c r="P21987" s="13"/>
    </row>
    <row r="21988">
      <c r="L21988" s="13"/>
      <c r="M21988" s="14"/>
      <c r="N21988" s="14"/>
      <c r="O21988" s="14"/>
      <c r="P21988" s="13"/>
    </row>
    <row r="21989">
      <c r="L21989" s="13"/>
      <c r="M21989" s="14"/>
      <c r="N21989" s="14"/>
      <c r="O21989" s="14"/>
      <c r="P21989" s="13"/>
    </row>
    <row r="21990">
      <c r="L21990" s="13"/>
      <c r="M21990" s="14"/>
      <c r="N21990" s="14"/>
      <c r="O21990" s="14"/>
      <c r="P21990" s="13"/>
    </row>
    <row r="21991">
      <c r="L21991" s="13"/>
      <c r="M21991" s="14"/>
      <c r="N21991" s="14"/>
      <c r="O21991" s="14"/>
      <c r="P21991" s="13"/>
    </row>
    <row r="21992">
      <c r="L21992" s="13"/>
      <c r="M21992" s="14"/>
      <c r="N21992" s="14"/>
      <c r="O21992" s="14"/>
      <c r="P21992" s="13"/>
    </row>
    <row r="21993">
      <c r="L21993" s="13"/>
      <c r="M21993" s="14"/>
      <c r="N21993" s="14"/>
      <c r="O21993" s="14"/>
      <c r="P21993" s="13"/>
    </row>
    <row r="21994">
      <c r="L21994" s="13"/>
      <c r="M21994" s="14"/>
      <c r="N21994" s="14"/>
      <c r="O21994" s="14"/>
      <c r="P21994" s="13"/>
    </row>
    <row r="21995">
      <c r="L21995" s="13"/>
      <c r="M21995" s="14"/>
      <c r="N21995" s="14"/>
      <c r="O21995" s="14"/>
      <c r="P21995" s="13"/>
    </row>
    <row r="21996">
      <c r="L21996" s="13"/>
      <c r="M21996" s="14"/>
      <c r="N21996" s="14"/>
      <c r="O21996" s="14"/>
      <c r="P21996" s="13"/>
    </row>
    <row r="21997">
      <c r="L21997" s="13"/>
      <c r="M21997" s="14"/>
      <c r="N21997" s="14"/>
      <c r="O21997" s="14"/>
      <c r="P21997" s="13"/>
    </row>
    <row r="21998">
      <c r="L21998" s="13"/>
      <c r="M21998" s="14"/>
      <c r="N21998" s="14"/>
      <c r="O21998" s="14"/>
      <c r="P21998" s="13"/>
    </row>
    <row r="21999">
      <c r="L21999" s="13"/>
      <c r="M21999" s="14"/>
      <c r="N21999" s="14"/>
      <c r="O21999" s="14"/>
      <c r="P21999" s="13"/>
    </row>
    <row r="22000">
      <c r="L22000" s="13"/>
      <c r="M22000" s="14"/>
      <c r="N22000" s="14"/>
      <c r="O22000" s="14"/>
      <c r="P22000" s="13"/>
    </row>
    <row r="22001">
      <c r="L22001" s="13"/>
      <c r="M22001" s="14"/>
      <c r="N22001" s="14"/>
      <c r="O22001" s="14"/>
      <c r="P22001" s="13"/>
    </row>
    <row r="22002">
      <c r="L22002" s="13"/>
      <c r="M22002" s="14"/>
      <c r="N22002" s="14"/>
      <c r="O22002" s="14"/>
      <c r="P22002" s="13"/>
    </row>
    <row r="22003">
      <c r="L22003" s="13"/>
      <c r="M22003" s="14"/>
      <c r="N22003" s="14"/>
      <c r="O22003" s="14"/>
      <c r="P22003" s="13"/>
    </row>
    <row r="22004">
      <c r="L22004" s="13"/>
      <c r="M22004" s="14"/>
      <c r="N22004" s="14"/>
      <c r="O22004" s="14"/>
      <c r="P22004" s="13"/>
    </row>
    <row r="22005">
      <c r="L22005" s="13"/>
      <c r="M22005" s="14"/>
      <c r="N22005" s="14"/>
      <c r="O22005" s="14"/>
      <c r="P22005" s="13"/>
    </row>
    <row r="22006">
      <c r="L22006" s="13"/>
      <c r="M22006" s="14"/>
      <c r="N22006" s="14"/>
      <c r="O22006" s="14"/>
      <c r="P22006" s="13"/>
    </row>
    <row r="22007">
      <c r="L22007" s="13"/>
      <c r="M22007" s="14"/>
      <c r="N22007" s="14"/>
      <c r="O22007" s="14"/>
      <c r="P22007" s="13"/>
    </row>
    <row r="22008">
      <c r="L22008" s="13"/>
      <c r="M22008" s="14"/>
      <c r="N22008" s="14"/>
      <c r="O22008" s="14"/>
      <c r="P22008" s="13"/>
    </row>
    <row r="22009">
      <c r="L22009" s="13"/>
      <c r="M22009" s="14"/>
      <c r="N22009" s="14"/>
      <c r="O22009" s="14"/>
      <c r="P22009" s="13"/>
    </row>
    <row r="22010">
      <c r="L22010" s="13"/>
      <c r="M22010" s="14"/>
      <c r="N22010" s="14"/>
      <c r="O22010" s="14"/>
      <c r="P22010" s="13"/>
    </row>
    <row r="22011">
      <c r="L22011" s="13"/>
      <c r="M22011" s="14"/>
      <c r="N22011" s="14"/>
      <c r="O22011" s="14"/>
      <c r="P22011" s="13"/>
    </row>
    <row r="22012">
      <c r="L22012" s="13"/>
      <c r="M22012" s="14"/>
      <c r="N22012" s="14"/>
      <c r="O22012" s="14"/>
      <c r="P22012" s="13"/>
    </row>
    <row r="22013">
      <c r="L22013" s="13"/>
      <c r="M22013" s="14"/>
      <c r="N22013" s="14"/>
      <c r="O22013" s="14"/>
      <c r="P22013" s="13"/>
    </row>
    <row r="22014">
      <c r="L22014" s="13"/>
      <c r="M22014" s="14"/>
      <c r="N22014" s="14"/>
      <c r="O22014" s="14"/>
      <c r="P22014" s="13"/>
    </row>
    <row r="22015">
      <c r="L22015" s="13"/>
      <c r="M22015" s="14"/>
      <c r="N22015" s="14"/>
      <c r="O22015" s="14"/>
      <c r="P22015" s="13"/>
    </row>
    <row r="22016">
      <c r="L22016" s="13"/>
      <c r="M22016" s="14"/>
      <c r="N22016" s="14"/>
      <c r="O22016" s="14"/>
      <c r="P22016" s="13"/>
    </row>
    <row r="22017">
      <c r="L22017" s="13"/>
      <c r="M22017" s="14"/>
      <c r="N22017" s="14"/>
      <c r="O22017" s="14"/>
      <c r="P22017" s="13"/>
    </row>
    <row r="22018">
      <c r="L22018" s="13"/>
      <c r="M22018" s="14"/>
      <c r="N22018" s="14"/>
      <c r="O22018" s="14"/>
      <c r="P22018" s="13"/>
    </row>
    <row r="22019">
      <c r="L22019" s="13"/>
      <c r="M22019" s="14"/>
      <c r="N22019" s="14"/>
      <c r="O22019" s="14"/>
      <c r="P22019" s="13"/>
    </row>
    <row r="22020">
      <c r="L22020" s="13"/>
      <c r="M22020" s="14"/>
      <c r="N22020" s="14"/>
      <c r="O22020" s="14"/>
      <c r="P22020" s="13"/>
    </row>
    <row r="22021">
      <c r="L22021" s="13"/>
      <c r="M22021" s="14"/>
      <c r="N22021" s="14"/>
      <c r="O22021" s="14"/>
      <c r="P22021" s="13"/>
    </row>
    <row r="22022">
      <c r="L22022" s="13"/>
      <c r="M22022" s="14"/>
      <c r="N22022" s="14"/>
      <c r="O22022" s="14"/>
      <c r="P22022" s="13"/>
    </row>
    <row r="22023">
      <c r="L22023" s="13"/>
      <c r="M22023" s="14"/>
      <c r="N22023" s="14"/>
      <c r="O22023" s="14"/>
      <c r="P22023" s="13"/>
    </row>
    <row r="22024">
      <c r="L22024" s="13"/>
      <c r="M22024" s="14"/>
      <c r="N22024" s="14"/>
      <c r="O22024" s="14"/>
      <c r="P22024" s="13"/>
    </row>
    <row r="22025">
      <c r="L22025" s="13"/>
      <c r="M22025" s="14"/>
      <c r="N22025" s="14"/>
      <c r="O22025" s="14"/>
      <c r="P22025" s="13"/>
    </row>
    <row r="22026">
      <c r="L22026" s="13"/>
      <c r="M22026" s="14"/>
      <c r="N22026" s="14"/>
      <c r="O22026" s="14"/>
      <c r="P22026" s="13"/>
    </row>
    <row r="22027">
      <c r="L22027" s="13"/>
      <c r="M22027" s="14"/>
      <c r="N22027" s="14"/>
      <c r="O22027" s="14"/>
      <c r="P22027" s="13"/>
    </row>
    <row r="22028">
      <c r="L22028" s="13"/>
      <c r="M22028" s="14"/>
      <c r="N22028" s="14"/>
      <c r="O22028" s="14"/>
      <c r="P22028" s="13"/>
    </row>
    <row r="22029">
      <c r="L22029" s="13"/>
      <c r="M22029" s="14"/>
      <c r="N22029" s="14"/>
      <c r="O22029" s="14"/>
      <c r="P22029" s="13"/>
    </row>
    <row r="22030">
      <c r="L22030" s="13"/>
      <c r="M22030" s="14"/>
      <c r="N22030" s="14"/>
      <c r="O22030" s="14"/>
      <c r="P22030" s="13"/>
    </row>
    <row r="22031">
      <c r="L22031" s="13"/>
      <c r="M22031" s="14"/>
      <c r="N22031" s="14"/>
      <c r="O22031" s="14"/>
      <c r="P22031" s="13"/>
    </row>
    <row r="22032">
      <c r="L22032" s="13"/>
      <c r="M22032" s="14"/>
      <c r="N22032" s="14"/>
      <c r="O22032" s="14"/>
      <c r="P22032" s="13"/>
    </row>
    <row r="22033">
      <c r="L22033" s="13"/>
      <c r="M22033" s="14"/>
      <c r="N22033" s="14"/>
      <c r="O22033" s="14"/>
      <c r="P22033" s="13"/>
    </row>
    <row r="22034">
      <c r="L22034" s="13"/>
      <c r="M22034" s="14"/>
      <c r="N22034" s="14"/>
      <c r="O22034" s="14"/>
      <c r="P22034" s="13"/>
    </row>
    <row r="22035">
      <c r="L22035" s="13"/>
      <c r="M22035" s="14"/>
      <c r="N22035" s="14"/>
      <c r="O22035" s="14"/>
      <c r="P22035" s="13"/>
    </row>
    <row r="22036">
      <c r="L22036" s="13"/>
      <c r="M22036" s="14"/>
      <c r="N22036" s="14"/>
      <c r="O22036" s="14"/>
      <c r="P22036" s="13"/>
    </row>
    <row r="22037">
      <c r="L22037" s="13"/>
      <c r="M22037" s="14"/>
      <c r="N22037" s="14"/>
      <c r="O22037" s="14"/>
      <c r="P22037" s="13"/>
    </row>
    <row r="22038">
      <c r="L22038" s="13"/>
      <c r="M22038" s="14"/>
      <c r="N22038" s="14"/>
      <c r="O22038" s="14"/>
      <c r="P22038" s="13"/>
    </row>
    <row r="22039">
      <c r="L22039" s="13"/>
      <c r="M22039" s="14"/>
      <c r="N22039" s="14"/>
      <c r="O22039" s="14"/>
      <c r="P22039" s="13"/>
    </row>
    <row r="22040">
      <c r="L22040" s="13"/>
      <c r="M22040" s="14"/>
      <c r="N22040" s="14"/>
      <c r="O22040" s="14"/>
      <c r="P22040" s="13"/>
    </row>
    <row r="22041">
      <c r="L22041" s="13"/>
      <c r="M22041" s="14"/>
      <c r="N22041" s="14"/>
      <c r="O22041" s="14"/>
      <c r="P22041" s="13"/>
    </row>
    <row r="22042">
      <c r="L22042" s="13"/>
      <c r="M22042" s="14"/>
      <c r="N22042" s="14"/>
      <c r="O22042" s="14"/>
      <c r="P22042" s="13"/>
    </row>
    <row r="22043">
      <c r="L22043" s="13"/>
      <c r="M22043" s="14"/>
      <c r="N22043" s="14"/>
      <c r="O22043" s="14"/>
      <c r="P22043" s="13"/>
    </row>
    <row r="22044">
      <c r="L22044" s="13"/>
      <c r="M22044" s="14"/>
      <c r="N22044" s="14"/>
      <c r="O22044" s="14"/>
      <c r="P22044" s="13"/>
    </row>
    <row r="22045">
      <c r="L22045" s="13"/>
      <c r="M22045" s="14"/>
      <c r="N22045" s="14"/>
      <c r="O22045" s="14"/>
      <c r="P22045" s="13"/>
    </row>
    <row r="22046">
      <c r="L22046" s="13"/>
      <c r="M22046" s="14"/>
      <c r="N22046" s="14"/>
      <c r="O22046" s="14"/>
      <c r="P22046" s="13"/>
    </row>
    <row r="22047">
      <c r="L22047" s="13"/>
      <c r="M22047" s="14"/>
      <c r="N22047" s="14"/>
      <c r="O22047" s="14"/>
      <c r="P22047" s="13"/>
    </row>
    <row r="22048">
      <c r="L22048" s="13"/>
      <c r="M22048" s="14"/>
      <c r="N22048" s="14"/>
      <c r="O22048" s="14"/>
      <c r="P22048" s="13"/>
    </row>
    <row r="22049">
      <c r="L22049" s="13"/>
      <c r="M22049" s="14"/>
      <c r="N22049" s="14"/>
      <c r="O22049" s="14"/>
      <c r="P22049" s="13"/>
    </row>
    <row r="22050">
      <c r="L22050" s="13"/>
      <c r="M22050" s="14"/>
      <c r="N22050" s="14"/>
      <c r="O22050" s="14"/>
      <c r="P22050" s="13"/>
    </row>
    <row r="22051">
      <c r="L22051" s="13"/>
      <c r="M22051" s="14"/>
      <c r="N22051" s="14"/>
      <c r="O22051" s="14"/>
      <c r="P22051" s="13"/>
    </row>
    <row r="22052">
      <c r="L22052" s="13"/>
      <c r="M22052" s="14"/>
      <c r="N22052" s="14"/>
      <c r="O22052" s="14"/>
      <c r="P22052" s="13"/>
    </row>
    <row r="22053">
      <c r="L22053" s="13"/>
      <c r="M22053" s="14"/>
      <c r="N22053" s="14"/>
      <c r="O22053" s="14"/>
      <c r="P22053" s="13"/>
    </row>
    <row r="22054">
      <c r="L22054" s="13"/>
      <c r="M22054" s="14"/>
      <c r="N22054" s="14"/>
      <c r="O22054" s="14"/>
      <c r="P22054" s="13"/>
    </row>
    <row r="22055">
      <c r="L22055" s="13"/>
      <c r="M22055" s="14"/>
      <c r="N22055" s="14"/>
      <c r="O22055" s="14"/>
      <c r="P22055" s="13"/>
    </row>
    <row r="22056">
      <c r="L22056" s="13"/>
      <c r="M22056" s="14"/>
      <c r="N22056" s="14"/>
      <c r="O22056" s="14"/>
      <c r="P22056" s="13"/>
    </row>
    <row r="22057">
      <c r="L22057" s="13"/>
      <c r="M22057" s="14"/>
      <c r="N22057" s="14"/>
      <c r="O22057" s="14"/>
      <c r="P22057" s="13"/>
    </row>
    <row r="22058">
      <c r="L22058" s="13"/>
      <c r="M22058" s="14"/>
      <c r="N22058" s="14"/>
      <c r="O22058" s="14"/>
      <c r="P22058" s="13"/>
    </row>
    <row r="22059">
      <c r="L22059" s="13"/>
      <c r="M22059" s="14"/>
      <c r="N22059" s="14"/>
      <c r="O22059" s="14"/>
      <c r="P22059" s="13"/>
    </row>
    <row r="22060">
      <c r="L22060" s="13"/>
      <c r="M22060" s="14"/>
      <c r="N22060" s="14"/>
      <c r="O22060" s="14"/>
      <c r="P22060" s="13"/>
    </row>
    <row r="22061">
      <c r="L22061" s="13"/>
      <c r="M22061" s="14"/>
      <c r="N22061" s="14"/>
      <c r="O22061" s="14"/>
      <c r="P22061" s="13"/>
    </row>
    <row r="22062">
      <c r="L22062" s="13"/>
      <c r="M22062" s="14"/>
      <c r="N22062" s="14"/>
      <c r="O22062" s="14"/>
      <c r="P22062" s="13"/>
    </row>
    <row r="22063">
      <c r="L22063" s="13"/>
      <c r="M22063" s="14"/>
      <c r="N22063" s="14"/>
      <c r="O22063" s="14"/>
      <c r="P22063" s="13"/>
    </row>
    <row r="22064">
      <c r="L22064" s="13"/>
      <c r="M22064" s="14"/>
      <c r="N22064" s="14"/>
      <c r="O22064" s="14"/>
      <c r="P22064" s="13"/>
    </row>
    <row r="22065">
      <c r="L22065" s="13"/>
      <c r="M22065" s="14"/>
      <c r="N22065" s="14"/>
      <c r="O22065" s="14"/>
      <c r="P22065" s="13"/>
    </row>
    <row r="22066">
      <c r="L22066" s="13"/>
      <c r="M22066" s="14"/>
      <c r="N22066" s="14"/>
      <c r="O22066" s="14"/>
      <c r="P22066" s="13"/>
    </row>
    <row r="22067">
      <c r="L22067" s="13"/>
      <c r="M22067" s="14"/>
      <c r="N22067" s="14"/>
      <c r="O22067" s="14"/>
      <c r="P22067" s="13"/>
    </row>
    <row r="22068">
      <c r="L22068" s="13"/>
      <c r="M22068" s="14"/>
      <c r="N22068" s="14"/>
      <c r="O22068" s="14"/>
      <c r="P22068" s="13"/>
    </row>
    <row r="22069">
      <c r="L22069" s="13"/>
      <c r="M22069" s="14"/>
      <c r="N22069" s="14"/>
      <c r="O22069" s="14"/>
      <c r="P22069" s="13"/>
    </row>
    <row r="22070">
      <c r="L22070" s="13"/>
      <c r="M22070" s="14"/>
      <c r="N22070" s="14"/>
      <c r="O22070" s="14"/>
      <c r="P22070" s="13"/>
    </row>
    <row r="22071">
      <c r="L22071" s="13"/>
      <c r="M22071" s="14"/>
      <c r="N22071" s="14"/>
      <c r="O22071" s="14"/>
      <c r="P22071" s="13"/>
    </row>
    <row r="22072">
      <c r="L22072" s="13"/>
      <c r="M22072" s="14"/>
      <c r="N22072" s="14"/>
      <c r="O22072" s="14"/>
      <c r="P22072" s="13"/>
    </row>
    <row r="22073">
      <c r="L22073" s="13"/>
      <c r="M22073" s="14"/>
      <c r="N22073" s="14"/>
      <c r="O22073" s="14"/>
      <c r="P22073" s="13"/>
    </row>
    <row r="22074">
      <c r="L22074" s="13"/>
      <c r="M22074" s="14"/>
      <c r="N22074" s="14"/>
      <c r="O22074" s="14"/>
      <c r="P22074" s="13"/>
    </row>
    <row r="22075">
      <c r="L22075" s="13"/>
      <c r="M22075" s="14"/>
      <c r="N22075" s="14"/>
      <c r="O22075" s="14"/>
      <c r="P22075" s="13"/>
    </row>
    <row r="22076">
      <c r="L22076" s="13"/>
      <c r="M22076" s="14"/>
      <c r="N22076" s="14"/>
      <c r="O22076" s="14"/>
      <c r="P22076" s="13"/>
    </row>
    <row r="22077">
      <c r="L22077" s="13"/>
      <c r="M22077" s="14"/>
      <c r="N22077" s="14"/>
      <c r="O22077" s="14"/>
      <c r="P22077" s="13"/>
    </row>
    <row r="22078">
      <c r="L22078" s="13"/>
      <c r="M22078" s="14"/>
      <c r="N22078" s="14"/>
      <c r="O22078" s="14"/>
      <c r="P22078" s="13"/>
    </row>
    <row r="22079">
      <c r="L22079" s="13"/>
      <c r="M22079" s="14"/>
      <c r="N22079" s="14"/>
      <c r="O22079" s="14"/>
      <c r="P22079" s="13"/>
    </row>
    <row r="22080">
      <c r="L22080" s="13"/>
      <c r="M22080" s="14"/>
      <c r="N22080" s="14"/>
      <c r="O22080" s="14"/>
      <c r="P22080" s="13"/>
    </row>
    <row r="22081">
      <c r="L22081" s="13"/>
      <c r="M22081" s="14"/>
      <c r="N22081" s="14"/>
      <c r="O22081" s="14"/>
      <c r="P22081" s="13"/>
    </row>
    <row r="22082">
      <c r="L22082" s="13"/>
      <c r="M22082" s="14"/>
      <c r="N22082" s="14"/>
      <c r="O22082" s="14"/>
      <c r="P22082" s="13"/>
    </row>
    <row r="22083">
      <c r="L22083" s="13"/>
      <c r="M22083" s="14"/>
      <c r="N22083" s="14"/>
      <c r="O22083" s="14"/>
      <c r="P22083" s="13"/>
    </row>
    <row r="22084">
      <c r="L22084" s="13"/>
      <c r="M22084" s="14"/>
      <c r="N22084" s="14"/>
      <c r="O22084" s="14"/>
      <c r="P22084" s="13"/>
    </row>
    <row r="22085">
      <c r="L22085" s="13"/>
      <c r="M22085" s="14"/>
      <c r="N22085" s="14"/>
      <c r="O22085" s="14"/>
      <c r="P22085" s="13"/>
    </row>
    <row r="22086">
      <c r="L22086" s="13"/>
      <c r="M22086" s="14"/>
      <c r="N22086" s="14"/>
      <c r="O22086" s="14"/>
      <c r="P22086" s="13"/>
    </row>
    <row r="22087">
      <c r="L22087" s="13"/>
      <c r="M22087" s="14"/>
      <c r="N22087" s="14"/>
      <c r="O22087" s="14"/>
      <c r="P22087" s="13"/>
    </row>
    <row r="22088">
      <c r="L22088" s="13"/>
      <c r="M22088" s="14"/>
      <c r="N22088" s="14"/>
      <c r="O22088" s="14"/>
      <c r="P22088" s="13"/>
    </row>
    <row r="22089">
      <c r="L22089" s="13"/>
      <c r="M22089" s="14"/>
      <c r="N22089" s="14"/>
      <c r="O22089" s="14"/>
      <c r="P22089" s="13"/>
    </row>
    <row r="22090">
      <c r="L22090" s="13"/>
      <c r="M22090" s="14"/>
      <c r="N22090" s="14"/>
      <c r="O22090" s="14"/>
      <c r="P22090" s="13"/>
    </row>
    <row r="22091">
      <c r="L22091" s="13"/>
      <c r="M22091" s="14"/>
      <c r="N22091" s="14"/>
      <c r="O22091" s="14"/>
      <c r="P22091" s="13"/>
    </row>
    <row r="22092">
      <c r="L22092" s="13"/>
      <c r="M22092" s="14"/>
      <c r="N22092" s="14"/>
      <c r="O22092" s="14"/>
      <c r="P22092" s="13"/>
    </row>
    <row r="22093">
      <c r="L22093" s="13"/>
      <c r="M22093" s="14"/>
      <c r="N22093" s="14"/>
      <c r="O22093" s="14"/>
      <c r="P22093" s="13"/>
    </row>
    <row r="22094">
      <c r="L22094" s="13"/>
      <c r="M22094" s="14"/>
      <c r="N22094" s="14"/>
      <c r="O22094" s="14"/>
      <c r="P22094" s="13"/>
    </row>
    <row r="22095">
      <c r="L22095" s="13"/>
      <c r="M22095" s="14"/>
      <c r="N22095" s="14"/>
      <c r="O22095" s="14"/>
      <c r="P22095" s="13"/>
    </row>
    <row r="22096">
      <c r="L22096" s="13"/>
      <c r="M22096" s="14"/>
      <c r="N22096" s="14"/>
      <c r="O22096" s="14"/>
      <c r="P22096" s="13"/>
    </row>
    <row r="22097">
      <c r="L22097" s="13"/>
      <c r="M22097" s="14"/>
      <c r="N22097" s="14"/>
      <c r="O22097" s="14"/>
      <c r="P22097" s="13"/>
    </row>
    <row r="22098">
      <c r="L22098" s="13"/>
      <c r="M22098" s="14"/>
      <c r="N22098" s="14"/>
      <c r="O22098" s="14"/>
      <c r="P22098" s="13"/>
    </row>
    <row r="22099">
      <c r="L22099" s="13"/>
      <c r="M22099" s="14"/>
      <c r="N22099" s="14"/>
      <c r="O22099" s="14"/>
      <c r="P22099" s="13"/>
    </row>
    <row r="22100">
      <c r="L22100" s="13"/>
      <c r="M22100" s="14"/>
      <c r="N22100" s="14"/>
      <c r="O22100" s="14"/>
      <c r="P22100" s="13"/>
    </row>
    <row r="22101">
      <c r="L22101" s="13"/>
      <c r="M22101" s="14"/>
      <c r="N22101" s="14"/>
      <c r="O22101" s="14"/>
      <c r="P22101" s="13"/>
    </row>
    <row r="22102">
      <c r="L22102" s="13"/>
      <c r="M22102" s="14"/>
      <c r="N22102" s="14"/>
      <c r="O22102" s="14"/>
      <c r="P22102" s="13"/>
    </row>
    <row r="22103">
      <c r="L22103" s="13"/>
      <c r="M22103" s="14"/>
      <c r="N22103" s="14"/>
      <c r="O22103" s="14"/>
      <c r="P22103" s="13"/>
    </row>
    <row r="22104">
      <c r="L22104" s="13"/>
      <c r="M22104" s="14"/>
      <c r="N22104" s="14"/>
      <c r="O22104" s="14"/>
      <c r="P22104" s="13"/>
    </row>
    <row r="22105">
      <c r="L22105" s="13"/>
      <c r="M22105" s="14"/>
      <c r="N22105" s="14"/>
      <c r="O22105" s="14"/>
      <c r="P22105" s="13"/>
    </row>
    <row r="22106">
      <c r="L22106" s="13"/>
      <c r="M22106" s="14"/>
      <c r="N22106" s="14"/>
      <c r="O22106" s="14"/>
      <c r="P22106" s="13"/>
    </row>
    <row r="22107">
      <c r="L22107" s="13"/>
      <c r="M22107" s="14"/>
      <c r="N22107" s="14"/>
      <c r="O22107" s="14"/>
      <c r="P22107" s="13"/>
    </row>
    <row r="22108">
      <c r="L22108" s="13"/>
      <c r="M22108" s="14"/>
      <c r="N22108" s="14"/>
      <c r="O22108" s="14"/>
      <c r="P22108" s="13"/>
    </row>
    <row r="22109">
      <c r="L22109" s="13"/>
      <c r="M22109" s="14"/>
      <c r="N22109" s="14"/>
      <c r="O22109" s="14"/>
      <c r="P22109" s="13"/>
    </row>
    <row r="22110">
      <c r="L22110" s="13"/>
      <c r="M22110" s="14"/>
      <c r="N22110" s="14"/>
      <c r="O22110" s="14"/>
      <c r="P22110" s="13"/>
    </row>
    <row r="22111">
      <c r="L22111" s="13"/>
      <c r="M22111" s="14"/>
      <c r="N22111" s="14"/>
      <c r="O22111" s="14"/>
      <c r="P22111" s="13"/>
    </row>
    <row r="22112">
      <c r="L22112" s="13"/>
      <c r="M22112" s="14"/>
      <c r="N22112" s="14"/>
      <c r="O22112" s="14"/>
      <c r="P22112" s="13"/>
    </row>
    <row r="22113">
      <c r="L22113" s="13"/>
      <c r="M22113" s="14"/>
      <c r="N22113" s="14"/>
      <c r="O22113" s="14"/>
      <c r="P22113" s="13"/>
    </row>
    <row r="22114">
      <c r="L22114" s="13"/>
      <c r="M22114" s="14"/>
      <c r="N22114" s="14"/>
      <c r="O22114" s="14"/>
      <c r="P22114" s="13"/>
    </row>
    <row r="22115">
      <c r="L22115" s="13"/>
      <c r="M22115" s="14"/>
      <c r="N22115" s="14"/>
      <c r="O22115" s="14"/>
      <c r="P22115" s="13"/>
    </row>
    <row r="22116">
      <c r="L22116" s="13"/>
      <c r="M22116" s="14"/>
      <c r="N22116" s="14"/>
      <c r="O22116" s="14"/>
      <c r="P22116" s="13"/>
    </row>
    <row r="22117">
      <c r="L22117" s="13"/>
      <c r="M22117" s="14"/>
      <c r="N22117" s="14"/>
      <c r="O22117" s="14"/>
      <c r="P22117" s="13"/>
    </row>
    <row r="22118">
      <c r="L22118" s="13"/>
      <c r="M22118" s="14"/>
      <c r="N22118" s="14"/>
      <c r="O22118" s="14"/>
      <c r="P22118" s="13"/>
    </row>
    <row r="22119">
      <c r="L22119" s="13"/>
      <c r="M22119" s="14"/>
      <c r="N22119" s="14"/>
      <c r="O22119" s="14"/>
      <c r="P22119" s="13"/>
    </row>
    <row r="22120">
      <c r="L22120" s="13"/>
      <c r="M22120" s="14"/>
      <c r="N22120" s="14"/>
      <c r="O22120" s="14"/>
      <c r="P22120" s="13"/>
    </row>
    <row r="22121">
      <c r="L22121" s="13"/>
      <c r="M22121" s="14"/>
      <c r="N22121" s="14"/>
      <c r="O22121" s="14"/>
      <c r="P22121" s="13"/>
    </row>
    <row r="22122">
      <c r="L22122" s="13"/>
      <c r="M22122" s="14"/>
      <c r="N22122" s="14"/>
      <c r="O22122" s="14"/>
      <c r="P22122" s="13"/>
    </row>
    <row r="22123">
      <c r="L22123" s="13"/>
      <c r="M22123" s="14"/>
      <c r="N22123" s="14"/>
      <c r="O22123" s="14"/>
      <c r="P22123" s="13"/>
    </row>
    <row r="22124">
      <c r="L22124" s="13"/>
      <c r="M22124" s="14"/>
      <c r="N22124" s="14"/>
      <c r="O22124" s="14"/>
      <c r="P22124" s="13"/>
    </row>
    <row r="22125">
      <c r="L22125" s="13"/>
      <c r="M22125" s="14"/>
      <c r="N22125" s="14"/>
      <c r="O22125" s="14"/>
      <c r="P22125" s="13"/>
    </row>
    <row r="22126">
      <c r="L22126" s="13"/>
      <c r="M22126" s="14"/>
      <c r="N22126" s="14"/>
      <c r="O22126" s="14"/>
      <c r="P22126" s="13"/>
    </row>
    <row r="22127">
      <c r="L22127" s="13"/>
      <c r="M22127" s="14"/>
      <c r="N22127" s="14"/>
      <c r="O22127" s="14"/>
      <c r="P22127" s="13"/>
    </row>
    <row r="22128">
      <c r="L22128" s="13"/>
      <c r="M22128" s="14"/>
      <c r="N22128" s="14"/>
      <c r="O22128" s="14"/>
      <c r="P22128" s="13"/>
    </row>
    <row r="22129">
      <c r="L22129" s="13"/>
      <c r="M22129" s="14"/>
      <c r="N22129" s="14"/>
      <c r="O22129" s="14"/>
      <c r="P22129" s="13"/>
    </row>
    <row r="22130">
      <c r="L22130" s="13"/>
      <c r="M22130" s="14"/>
      <c r="N22130" s="14"/>
      <c r="O22130" s="14"/>
      <c r="P22130" s="13"/>
    </row>
    <row r="22131">
      <c r="L22131" s="13"/>
      <c r="M22131" s="14"/>
      <c r="N22131" s="14"/>
      <c r="O22131" s="14"/>
      <c r="P22131" s="13"/>
    </row>
    <row r="22132">
      <c r="L22132" s="13"/>
      <c r="M22132" s="14"/>
      <c r="N22132" s="14"/>
      <c r="O22132" s="14"/>
      <c r="P22132" s="13"/>
    </row>
    <row r="22133">
      <c r="L22133" s="13"/>
      <c r="M22133" s="14"/>
      <c r="N22133" s="14"/>
      <c r="O22133" s="14"/>
      <c r="P22133" s="13"/>
    </row>
    <row r="22134">
      <c r="L22134" s="13"/>
      <c r="M22134" s="14"/>
      <c r="N22134" s="14"/>
      <c r="O22134" s="14"/>
      <c r="P22134" s="13"/>
    </row>
    <row r="22135">
      <c r="L22135" s="13"/>
      <c r="M22135" s="14"/>
      <c r="N22135" s="14"/>
      <c r="O22135" s="14"/>
      <c r="P22135" s="13"/>
    </row>
    <row r="22136">
      <c r="L22136" s="13"/>
      <c r="M22136" s="14"/>
      <c r="N22136" s="14"/>
      <c r="O22136" s="14"/>
      <c r="P22136" s="13"/>
    </row>
    <row r="22137">
      <c r="L22137" s="13"/>
      <c r="M22137" s="14"/>
      <c r="N22137" s="14"/>
      <c r="O22137" s="14"/>
      <c r="P22137" s="13"/>
    </row>
    <row r="22138">
      <c r="L22138" s="13"/>
      <c r="M22138" s="14"/>
      <c r="N22138" s="14"/>
      <c r="O22138" s="14"/>
      <c r="P22138" s="13"/>
    </row>
    <row r="22139">
      <c r="L22139" s="13"/>
      <c r="M22139" s="14"/>
      <c r="N22139" s="14"/>
      <c r="O22139" s="14"/>
      <c r="P22139" s="13"/>
    </row>
    <row r="22140">
      <c r="L22140" s="13"/>
      <c r="M22140" s="14"/>
      <c r="N22140" s="14"/>
      <c r="O22140" s="14"/>
      <c r="P22140" s="13"/>
    </row>
    <row r="22141">
      <c r="L22141" s="13"/>
      <c r="M22141" s="14"/>
      <c r="N22141" s="14"/>
      <c r="O22141" s="14"/>
      <c r="P22141" s="13"/>
    </row>
    <row r="22142">
      <c r="L22142" s="13"/>
      <c r="M22142" s="14"/>
      <c r="N22142" s="14"/>
      <c r="O22142" s="14"/>
      <c r="P22142" s="13"/>
    </row>
    <row r="22143">
      <c r="L22143" s="13"/>
      <c r="M22143" s="14"/>
      <c r="N22143" s="14"/>
      <c r="O22143" s="14"/>
      <c r="P22143" s="13"/>
    </row>
    <row r="22144">
      <c r="L22144" s="13"/>
      <c r="M22144" s="14"/>
      <c r="N22144" s="14"/>
      <c r="O22144" s="14"/>
      <c r="P22144" s="13"/>
    </row>
    <row r="22145">
      <c r="L22145" s="13"/>
      <c r="M22145" s="14"/>
      <c r="N22145" s="14"/>
      <c r="O22145" s="14"/>
      <c r="P22145" s="13"/>
    </row>
    <row r="22146">
      <c r="L22146" s="13"/>
      <c r="M22146" s="14"/>
      <c r="N22146" s="14"/>
      <c r="O22146" s="14"/>
      <c r="P22146" s="13"/>
    </row>
    <row r="22147">
      <c r="L22147" s="13"/>
      <c r="M22147" s="14"/>
      <c r="N22147" s="14"/>
      <c r="O22147" s="14"/>
      <c r="P22147" s="13"/>
    </row>
    <row r="22148">
      <c r="L22148" s="13"/>
      <c r="M22148" s="14"/>
      <c r="N22148" s="14"/>
      <c r="O22148" s="14"/>
      <c r="P22148" s="13"/>
    </row>
    <row r="22149">
      <c r="L22149" s="13"/>
      <c r="M22149" s="14"/>
      <c r="N22149" s="14"/>
      <c r="O22149" s="14"/>
      <c r="P22149" s="13"/>
    </row>
    <row r="22150">
      <c r="L22150" s="13"/>
      <c r="M22150" s="14"/>
      <c r="N22150" s="14"/>
      <c r="O22150" s="14"/>
      <c r="P22150" s="13"/>
    </row>
    <row r="22151">
      <c r="L22151" s="13"/>
      <c r="M22151" s="14"/>
      <c r="N22151" s="14"/>
      <c r="O22151" s="14"/>
      <c r="P22151" s="13"/>
    </row>
    <row r="22152">
      <c r="L22152" s="13"/>
      <c r="M22152" s="14"/>
      <c r="N22152" s="14"/>
      <c r="O22152" s="14"/>
      <c r="P22152" s="13"/>
    </row>
    <row r="22153">
      <c r="L22153" s="13"/>
      <c r="M22153" s="14"/>
      <c r="N22153" s="14"/>
      <c r="O22153" s="14"/>
      <c r="P22153" s="13"/>
    </row>
    <row r="22154">
      <c r="L22154" s="13"/>
      <c r="M22154" s="14"/>
      <c r="N22154" s="14"/>
      <c r="O22154" s="14"/>
      <c r="P22154" s="13"/>
    </row>
    <row r="22155">
      <c r="L22155" s="13"/>
      <c r="M22155" s="14"/>
      <c r="N22155" s="14"/>
      <c r="O22155" s="14"/>
      <c r="P22155" s="13"/>
    </row>
    <row r="22156">
      <c r="L22156" s="13"/>
      <c r="M22156" s="14"/>
      <c r="N22156" s="14"/>
      <c r="O22156" s="14"/>
      <c r="P22156" s="13"/>
    </row>
    <row r="22157">
      <c r="L22157" s="13"/>
      <c r="M22157" s="14"/>
      <c r="N22157" s="14"/>
      <c r="O22157" s="14"/>
      <c r="P22157" s="13"/>
    </row>
    <row r="22158">
      <c r="L22158" s="13"/>
      <c r="M22158" s="14"/>
      <c r="N22158" s="14"/>
      <c r="O22158" s="14"/>
      <c r="P22158" s="13"/>
    </row>
    <row r="22159">
      <c r="L22159" s="13"/>
      <c r="M22159" s="14"/>
      <c r="N22159" s="14"/>
      <c r="O22159" s="14"/>
      <c r="P22159" s="13"/>
    </row>
    <row r="22160">
      <c r="L22160" s="13"/>
      <c r="M22160" s="14"/>
      <c r="N22160" s="14"/>
      <c r="O22160" s="14"/>
      <c r="P22160" s="13"/>
    </row>
    <row r="22161">
      <c r="L22161" s="13"/>
      <c r="M22161" s="14"/>
      <c r="N22161" s="14"/>
      <c r="O22161" s="14"/>
      <c r="P22161" s="13"/>
    </row>
    <row r="22162">
      <c r="L22162" s="13"/>
      <c r="M22162" s="14"/>
      <c r="N22162" s="14"/>
      <c r="O22162" s="14"/>
      <c r="P22162" s="13"/>
    </row>
    <row r="22163">
      <c r="L22163" s="13"/>
      <c r="M22163" s="14"/>
      <c r="N22163" s="14"/>
      <c r="O22163" s="14"/>
      <c r="P22163" s="13"/>
    </row>
    <row r="22164">
      <c r="L22164" s="13"/>
      <c r="M22164" s="14"/>
      <c r="N22164" s="14"/>
      <c r="O22164" s="14"/>
      <c r="P22164" s="13"/>
    </row>
    <row r="22165">
      <c r="L22165" s="13"/>
      <c r="M22165" s="14"/>
      <c r="N22165" s="14"/>
      <c r="O22165" s="14"/>
      <c r="P22165" s="13"/>
    </row>
    <row r="22166">
      <c r="L22166" s="13"/>
      <c r="M22166" s="14"/>
      <c r="N22166" s="14"/>
      <c r="O22166" s="14"/>
      <c r="P22166" s="13"/>
    </row>
    <row r="22167">
      <c r="L22167" s="13"/>
      <c r="M22167" s="14"/>
      <c r="N22167" s="14"/>
      <c r="O22167" s="14"/>
      <c r="P22167" s="13"/>
    </row>
    <row r="22168">
      <c r="L22168" s="13"/>
      <c r="M22168" s="14"/>
      <c r="N22168" s="14"/>
      <c r="O22168" s="14"/>
      <c r="P22168" s="13"/>
    </row>
    <row r="22169">
      <c r="L22169" s="13"/>
      <c r="M22169" s="14"/>
      <c r="N22169" s="14"/>
      <c r="O22169" s="14"/>
      <c r="P22169" s="13"/>
    </row>
    <row r="22170">
      <c r="L22170" s="13"/>
      <c r="M22170" s="14"/>
      <c r="N22170" s="14"/>
      <c r="O22170" s="14"/>
      <c r="P22170" s="13"/>
    </row>
    <row r="22171">
      <c r="L22171" s="13"/>
      <c r="M22171" s="14"/>
      <c r="N22171" s="14"/>
      <c r="O22171" s="14"/>
      <c r="P22171" s="13"/>
    </row>
    <row r="22172">
      <c r="L22172" s="13"/>
      <c r="M22172" s="14"/>
      <c r="N22172" s="14"/>
      <c r="O22172" s="14"/>
      <c r="P22172" s="13"/>
    </row>
    <row r="22173">
      <c r="L22173" s="13"/>
      <c r="M22173" s="14"/>
      <c r="N22173" s="14"/>
      <c r="O22173" s="14"/>
      <c r="P22173" s="13"/>
    </row>
    <row r="22174">
      <c r="L22174" s="13"/>
      <c r="M22174" s="14"/>
      <c r="N22174" s="14"/>
      <c r="O22174" s="14"/>
      <c r="P22174" s="13"/>
    </row>
    <row r="22175">
      <c r="L22175" s="13"/>
      <c r="M22175" s="14"/>
      <c r="N22175" s="14"/>
      <c r="O22175" s="14"/>
      <c r="P22175" s="13"/>
    </row>
    <row r="22176">
      <c r="L22176" s="13"/>
      <c r="M22176" s="14"/>
      <c r="N22176" s="14"/>
      <c r="O22176" s="14"/>
      <c r="P22176" s="13"/>
    </row>
    <row r="22177">
      <c r="L22177" s="13"/>
      <c r="M22177" s="14"/>
      <c r="N22177" s="14"/>
      <c r="O22177" s="14"/>
      <c r="P22177" s="13"/>
    </row>
    <row r="22178">
      <c r="L22178" s="13"/>
      <c r="M22178" s="14"/>
      <c r="N22178" s="14"/>
      <c r="O22178" s="14"/>
      <c r="P22178" s="13"/>
    </row>
    <row r="22179">
      <c r="L22179" s="13"/>
      <c r="M22179" s="14"/>
      <c r="N22179" s="14"/>
      <c r="O22179" s="14"/>
      <c r="P22179" s="13"/>
    </row>
    <row r="22180">
      <c r="L22180" s="13"/>
      <c r="M22180" s="14"/>
      <c r="N22180" s="14"/>
      <c r="O22180" s="14"/>
      <c r="P22180" s="13"/>
    </row>
    <row r="22181">
      <c r="L22181" s="13"/>
      <c r="M22181" s="14"/>
      <c r="N22181" s="14"/>
      <c r="O22181" s="14"/>
      <c r="P22181" s="13"/>
    </row>
    <row r="22182">
      <c r="L22182" s="13"/>
      <c r="M22182" s="14"/>
      <c r="N22182" s="14"/>
      <c r="O22182" s="14"/>
      <c r="P22182" s="13"/>
    </row>
    <row r="22183">
      <c r="L22183" s="13"/>
      <c r="M22183" s="14"/>
      <c r="N22183" s="14"/>
      <c r="O22183" s="14"/>
      <c r="P22183" s="13"/>
    </row>
    <row r="22184">
      <c r="L22184" s="13"/>
      <c r="M22184" s="14"/>
      <c r="N22184" s="14"/>
      <c r="O22184" s="14"/>
      <c r="P22184" s="13"/>
    </row>
    <row r="22185">
      <c r="L22185" s="13"/>
      <c r="M22185" s="14"/>
      <c r="N22185" s="14"/>
      <c r="O22185" s="14"/>
      <c r="P22185" s="13"/>
    </row>
    <row r="22186">
      <c r="L22186" s="13"/>
      <c r="M22186" s="14"/>
      <c r="N22186" s="14"/>
      <c r="O22186" s="14"/>
      <c r="P22186" s="13"/>
    </row>
    <row r="22187">
      <c r="L22187" s="13"/>
      <c r="M22187" s="14"/>
      <c r="N22187" s="14"/>
      <c r="O22187" s="14"/>
      <c r="P22187" s="13"/>
    </row>
    <row r="22188">
      <c r="L22188" s="13"/>
      <c r="M22188" s="14"/>
      <c r="N22188" s="14"/>
      <c r="O22188" s="14"/>
      <c r="P22188" s="13"/>
    </row>
    <row r="22189">
      <c r="L22189" s="13"/>
      <c r="M22189" s="14"/>
      <c r="N22189" s="14"/>
      <c r="O22189" s="14"/>
      <c r="P22189" s="13"/>
    </row>
    <row r="22190">
      <c r="L22190" s="13"/>
      <c r="M22190" s="14"/>
      <c r="N22190" s="14"/>
      <c r="O22190" s="14"/>
      <c r="P22190" s="13"/>
    </row>
    <row r="22191">
      <c r="L22191" s="13"/>
      <c r="M22191" s="14"/>
      <c r="N22191" s="14"/>
      <c r="O22191" s="14"/>
      <c r="P22191" s="13"/>
    </row>
    <row r="22192">
      <c r="L22192" s="13"/>
      <c r="M22192" s="14"/>
      <c r="N22192" s="14"/>
      <c r="O22192" s="14"/>
      <c r="P22192" s="13"/>
    </row>
    <row r="22193">
      <c r="L22193" s="13"/>
      <c r="M22193" s="14"/>
      <c r="N22193" s="14"/>
      <c r="O22193" s="14"/>
      <c r="P22193" s="13"/>
    </row>
    <row r="22194">
      <c r="L22194" s="13"/>
      <c r="M22194" s="14"/>
      <c r="N22194" s="14"/>
      <c r="O22194" s="14"/>
      <c r="P22194" s="13"/>
    </row>
    <row r="22195">
      <c r="L22195" s="13"/>
      <c r="M22195" s="14"/>
      <c r="N22195" s="14"/>
      <c r="O22195" s="14"/>
      <c r="P22195" s="13"/>
    </row>
    <row r="22196">
      <c r="L22196" s="13"/>
      <c r="M22196" s="14"/>
      <c r="N22196" s="14"/>
      <c r="O22196" s="14"/>
      <c r="P22196" s="13"/>
    </row>
    <row r="22197">
      <c r="L22197" s="13"/>
      <c r="M22197" s="14"/>
      <c r="N22197" s="14"/>
      <c r="O22197" s="14"/>
      <c r="P22197" s="13"/>
    </row>
    <row r="22198">
      <c r="L22198" s="13"/>
      <c r="M22198" s="14"/>
      <c r="N22198" s="14"/>
      <c r="O22198" s="14"/>
      <c r="P22198" s="13"/>
    </row>
    <row r="22199">
      <c r="L22199" s="13"/>
      <c r="M22199" s="14"/>
      <c r="N22199" s="14"/>
      <c r="O22199" s="14"/>
      <c r="P22199" s="13"/>
    </row>
    <row r="22200">
      <c r="L22200" s="13"/>
      <c r="M22200" s="14"/>
      <c r="N22200" s="14"/>
      <c r="O22200" s="14"/>
      <c r="P22200" s="13"/>
    </row>
    <row r="22201">
      <c r="L22201" s="13"/>
      <c r="M22201" s="14"/>
      <c r="N22201" s="14"/>
      <c r="O22201" s="14"/>
      <c r="P22201" s="13"/>
    </row>
    <row r="22202">
      <c r="L22202" s="13"/>
      <c r="M22202" s="14"/>
      <c r="N22202" s="14"/>
      <c r="O22202" s="14"/>
      <c r="P22202" s="13"/>
    </row>
    <row r="22203">
      <c r="L22203" s="13"/>
      <c r="M22203" s="14"/>
      <c r="N22203" s="14"/>
      <c r="O22203" s="14"/>
      <c r="P22203" s="13"/>
    </row>
    <row r="22204">
      <c r="L22204" s="13"/>
      <c r="M22204" s="14"/>
      <c r="N22204" s="14"/>
      <c r="O22204" s="14"/>
      <c r="P22204" s="13"/>
    </row>
    <row r="22205">
      <c r="L22205" s="13"/>
      <c r="M22205" s="14"/>
      <c r="N22205" s="14"/>
      <c r="O22205" s="14"/>
      <c r="P22205" s="13"/>
    </row>
    <row r="22206">
      <c r="L22206" s="13"/>
      <c r="M22206" s="14"/>
      <c r="N22206" s="14"/>
      <c r="O22206" s="14"/>
      <c r="P22206" s="13"/>
    </row>
    <row r="22207">
      <c r="L22207" s="13"/>
      <c r="M22207" s="14"/>
      <c r="N22207" s="14"/>
      <c r="O22207" s="14"/>
      <c r="P22207" s="13"/>
    </row>
    <row r="22208">
      <c r="L22208" s="13"/>
      <c r="M22208" s="14"/>
      <c r="N22208" s="14"/>
      <c r="O22208" s="14"/>
      <c r="P22208" s="13"/>
    </row>
    <row r="22209">
      <c r="L22209" s="13"/>
      <c r="M22209" s="14"/>
      <c r="N22209" s="14"/>
      <c r="O22209" s="14"/>
      <c r="P22209" s="13"/>
    </row>
    <row r="22210">
      <c r="L22210" s="13"/>
      <c r="M22210" s="14"/>
      <c r="N22210" s="14"/>
      <c r="O22210" s="14"/>
      <c r="P22210" s="13"/>
    </row>
    <row r="22211">
      <c r="L22211" s="13"/>
      <c r="M22211" s="14"/>
      <c r="N22211" s="14"/>
      <c r="O22211" s="14"/>
      <c r="P22211" s="13"/>
    </row>
    <row r="22212">
      <c r="L22212" s="13"/>
      <c r="M22212" s="14"/>
      <c r="N22212" s="14"/>
      <c r="O22212" s="14"/>
      <c r="P22212" s="13"/>
    </row>
    <row r="22213">
      <c r="L22213" s="13"/>
      <c r="M22213" s="14"/>
      <c r="N22213" s="14"/>
      <c r="O22213" s="14"/>
      <c r="P22213" s="13"/>
    </row>
    <row r="22214">
      <c r="L22214" s="13"/>
      <c r="M22214" s="14"/>
      <c r="N22214" s="14"/>
      <c r="O22214" s="14"/>
      <c r="P22214" s="13"/>
    </row>
    <row r="22215">
      <c r="L22215" s="13"/>
      <c r="M22215" s="14"/>
      <c r="N22215" s="14"/>
      <c r="O22215" s="14"/>
      <c r="P22215" s="13"/>
    </row>
    <row r="22216">
      <c r="L22216" s="13"/>
      <c r="M22216" s="14"/>
      <c r="N22216" s="14"/>
      <c r="O22216" s="14"/>
      <c r="P22216" s="13"/>
    </row>
    <row r="22217">
      <c r="L22217" s="13"/>
      <c r="M22217" s="14"/>
      <c r="N22217" s="14"/>
      <c r="O22217" s="14"/>
      <c r="P22217" s="13"/>
    </row>
    <row r="22218">
      <c r="L22218" s="13"/>
      <c r="M22218" s="14"/>
      <c r="N22218" s="14"/>
      <c r="O22218" s="14"/>
      <c r="P22218" s="13"/>
    </row>
    <row r="22219">
      <c r="L22219" s="13"/>
      <c r="M22219" s="14"/>
      <c r="N22219" s="14"/>
      <c r="O22219" s="14"/>
      <c r="P22219" s="13"/>
    </row>
    <row r="22220">
      <c r="L22220" s="13"/>
      <c r="M22220" s="14"/>
      <c r="N22220" s="14"/>
      <c r="O22220" s="14"/>
      <c r="P22220" s="13"/>
    </row>
    <row r="22221">
      <c r="L22221" s="13"/>
      <c r="M22221" s="14"/>
      <c r="N22221" s="14"/>
      <c r="O22221" s="14"/>
      <c r="P22221" s="13"/>
    </row>
    <row r="22222">
      <c r="L22222" s="13"/>
      <c r="M22222" s="14"/>
      <c r="N22222" s="14"/>
      <c r="O22222" s="14"/>
      <c r="P22222" s="13"/>
    </row>
    <row r="22223">
      <c r="L22223" s="13"/>
      <c r="M22223" s="14"/>
      <c r="N22223" s="14"/>
      <c r="O22223" s="14"/>
      <c r="P22223" s="13"/>
    </row>
    <row r="22224">
      <c r="L22224" s="13"/>
      <c r="M22224" s="14"/>
      <c r="N22224" s="14"/>
      <c r="O22224" s="14"/>
      <c r="P22224" s="13"/>
    </row>
    <row r="22225">
      <c r="L22225" s="13"/>
      <c r="M22225" s="14"/>
      <c r="N22225" s="14"/>
      <c r="O22225" s="14"/>
      <c r="P22225" s="13"/>
    </row>
    <row r="22226">
      <c r="L22226" s="13"/>
      <c r="M22226" s="14"/>
      <c r="N22226" s="14"/>
      <c r="O22226" s="14"/>
      <c r="P22226" s="13"/>
    </row>
    <row r="22227">
      <c r="L22227" s="13"/>
      <c r="M22227" s="14"/>
      <c r="N22227" s="14"/>
      <c r="O22227" s="14"/>
      <c r="P22227" s="13"/>
    </row>
    <row r="22228">
      <c r="L22228" s="13"/>
      <c r="M22228" s="14"/>
      <c r="N22228" s="14"/>
      <c r="O22228" s="14"/>
      <c r="P22228" s="13"/>
    </row>
    <row r="22229">
      <c r="L22229" s="13"/>
      <c r="M22229" s="14"/>
      <c r="N22229" s="14"/>
      <c r="O22229" s="14"/>
      <c r="P22229" s="13"/>
    </row>
    <row r="22230">
      <c r="L22230" s="13"/>
      <c r="M22230" s="14"/>
      <c r="N22230" s="14"/>
      <c r="O22230" s="14"/>
      <c r="P22230" s="13"/>
    </row>
    <row r="22231">
      <c r="L22231" s="13"/>
      <c r="M22231" s="14"/>
      <c r="N22231" s="14"/>
      <c r="O22231" s="14"/>
      <c r="P22231" s="13"/>
    </row>
    <row r="22232">
      <c r="L22232" s="13"/>
      <c r="M22232" s="14"/>
      <c r="N22232" s="14"/>
      <c r="O22232" s="14"/>
      <c r="P22232" s="13"/>
    </row>
    <row r="22233">
      <c r="L22233" s="13"/>
      <c r="M22233" s="14"/>
      <c r="N22233" s="14"/>
      <c r="O22233" s="14"/>
      <c r="P22233" s="13"/>
    </row>
    <row r="22234">
      <c r="L22234" s="13"/>
      <c r="M22234" s="14"/>
      <c r="N22234" s="14"/>
      <c r="O22234" s="14"/>
      <c r="P22234" s="13"/>
    </row>
    <row r="22235">
      <c r="L22235" s="13"/>
      <c r="M22235" s="14"/>
      <c r="N22235" s="14"/>
      <c r="O22235" s="14"/>
      <c r="P22235" s="13"/>
    </row>
    <row r="22236">
      <c r="L22236" s="13"/>
      <c r="M22236" s="14"/>
      <c r="N22236" s="14"/>
      <c r="O22236" s="14"/>
      <c r="P22236" s="13"/>
    </row>
    <row r="22237">
      <c r="L22237" s="13"/>
      <c r="M22237" s="14"/>
      <c r="N22237" s="14"/>
      <c r="O22237" s="14"/>
      <c r="P22237" s="13"/>
    </row>
    <row r="22238">
      <c r="L22238" s="13"/>
      <c r="M22238" s="14"/>
      <c r="N22238" s="14"/>
      <c r="O22238" s="14"/>
      <c r="P22238" s="13"/>
    </row>
    <row r="22239">
      <c r="L22239" s="13"/>
      <c r="M22239" s="14"/>
      <c r="N22239" s="14"/>
      <c r="O22239" s="14"/>
      <c r="P22239" s="13"/>
    </row>
    <row r="22240">
      <c r="L22240" s="13"/>
      <c r="M22240" s="14"/>
      <c r="N22240" s="14"/>
      <c r="O22240" s="14"/>
      <c r="P22240" s="13"/>
    </row>
    <row r="22241">
      <c r="L22241" s="13"/>
      <c r="M22241" s="14"/>
      <c r="N22241" s="14"/>
      <c r="O22241" s="14"/>
      <c r="P22241" s="13"/>
    </row>
    <row r="22242">
      <c r="L22242" s="13"/>
      <c r="M22242" s="14"/>
      <c r="N22242" s="14"/>
      <c r="O22242" s="14"/>
      <c r="P22242" s="13"/>
    </row>
    <row r="22243">
      <c r="L22243" s="13"/>
      <c r="M22243" s="14"/>
      <c r="N22243" s="14"/>
      <c r="O22243" s="14"/>
      <c r="P22243" s="13"/>
    </row>
    <row r="22244">
      <c r="L22244" s="13"/>
      <c r="M22244" s="14"/>
      <c r="N22244" s="14"/>
      <c r="O22244" s="14"/>
      <c r="P22244" s="13"/>
    </row>
    <row r="22245">
      <c r="L22245" s="13"/>
      <c r="M22245" s="14"/>
      <c r="N22245" s="14"/>
      <c r="O22245" s="14"/>
      <c r="P22245" s="13"/>
    </row>
    <row r="22246">
      <c r="L22246" s="13"/>
      <c r="M22246" s="14"/>
      <c r="N22246" s="14"/>
      <c r="O22246" s="14"/>
      <c r="P22246" s="13"/>
    </row>
    <row r="22247">
      <c r="L22247" s="13"/>
      <c r="M22247" s="14"/>
      <c r="N22247" s="14"/>
      <c r="O22247" s="14"/>
      <c r="P22247" s="13"/>
    </row>
    <row r="22248">
      <c r="L22248" s="13"/>
      <c r="M22248" s="14"/>
      <c r="N22248" s="14"/>
      <c r="O22248" s="14"/>
      <c r="P22248" s="13"/>
    </row>
    <row r="22249">
      <c r="L22249" s="13"/>
      <c r="M22249" s="14"/>
      <c r="N22249" s="14"/>
      <c r="O22249" s="14"/>
      <c r="P22249" s="13"/>
    </row>
    <row r="22250">
      <c r="L22250" s="13"/>
      <c r="M22250" s="14"/>
      <c r="N22250" s="14"/>
      <c r="O22250" s="14"/>
      <c r="P22250" s="13"/>
    </row>
    <row r="22251">
      <c r="L22251" s="13"/>
      <c r="M22251" s="14"/>
      <c r="N22251" s="14"/>
      <c r="O22251" s="14"/>
      <c r="P22251" s="13"/>
    </row>
    <row r="22252">
      <c r="L22252" s="13"/>
      <c r="M22252" s="14"/>
      <c r="N22252" s="14"/>
      <c r="O22252" s="14"/>
      <c r="P22252" s="13"/>
    </row>
    <row r="22253">
      <c r="L22253" s="13"/>
      <c r="M22253" s="14"/>
      <c r="N22253" s="14"/>
      <c r="O22253" s="14"/>
      <c r="P22253" s="13"/>
    </row>
    <row r="22254">
      <c r="L22254" s="13"/>
      <c r="M22254" s="14"/>
      <c r="N22254" s="14"/>
      <c r="O22254" s="14"/>
      <c r="P22254" s="13"/>
    </row>
    <row r="22255">
      <c r="L22255" s="13"/>
      <c r="M22255" s="14"/>
      <c r="N22255" s="14"/>
      <c r="O22255" s="14"/>
      <c r="P22255" s="13"/>
    </row>
    <row r="22256">
      <c r="L22256" s="13"/>
      <c r="M22256" s="14"/>
      <c r="N22256" s="14"/>
      <c r="O22256" s="14"/>
      <c r="P22256" s="13"/>
    </row>
    <row r="22257">
      <c r="L22257" s="13"/>
      <c r="M22257" s="14"/>
      <c r="N22257" s="14"/>
      <c r="O22257" s="14"/>
      <c r="P22257" s="13"/>
    </row>
    <row r="22258">
      <c r="L22258" s="13"/>
      <c r="M22258" s="14"/>
      <c r="N22258" s="14"/>
      <c r="O22258" s="14"/>
      <c r="P22258" s="13"/>
    </row>
    <row r="22259">
      <c r="L22259" s="13"/>
      <c r="M22259" s="14"/>
      <c r="N22259" s="14"/>
      <c r="O22259" s="14"/>
      <c r="P22259" s="13"/>
    </row>
    <row r="22260">
      <c r="L22260" s="13"/>
      <c r="M22260" s="14"/>
      <c r="N22260" s="14"/>
      <c r="O22260" s="14"/>
      <c r="P22260" s="13"/>
    </row>
    <row r="22261">
      <c r="L22261" s="13"/>
      <c r="M22261" s="14"/>
      <c r="N22261" s="14"/>
      <c r="O22261" s="14"/>
      <c r="P22261" s="13"/>
    </row>
    <row r="22262">
      <c r="L22262" s="13"/>
      <c r="M22262" s="14"/>
      <c r="N22262" s="14"/>
      <c r="O22262" s="14"/>
      <c r="P22262" s="13"/>
    </row>
    <row r="22263">
      <c r="L22263" s="13"/>
      <c r="M22263" s="14"/>
      <c r="N22263" s="14"/>
      <c r="O22263" s="14"/>
      <c r="P22263" s="13"/>
    </row>
    <row r="22264">
      <c r="L22264" s="13"/>
      <c r="M22264" s="14"/>
      <c r="N22264" s="14"/>
      <c r="O22264" s="14"/>
      <c r="P22264" s="13"/>
    </row>
    <row r="22265">
      <c r="L22265" s="13"/>
      <c r="M22265" s="14"/>
      <c r="N22265" s="14"/>
      <c r="O22265" s="14"/>
      <c r="P22265" s="13"/>
    </row>
    <row r="22266">
      <c r="L22266" s="13"/>
      <c r="M22266" s="14"/>
      <c r="N22266" s="14"/>
      <c r="O22266" s="14"/>
      <c r="P22266" s="13"/>
    </row>
    <row r="22267">
      <c r="L22267" s="13"/>
      <c r="M22267" s="14"/>
      <c r="N22267" s="14"/>
      <c r="O22267" s="14"/>
      <c r="P22267" s="13"/>
    </row>
    <row r="22268">
      <c r="L22268" s="13"/>
      <c r="M22268" s="14"/>
      <c r="N22268" s="14"/>
      <c r="O22268" s="14"/>
      <c r="P22268" s="13"/>
    </row>
    <row r="22269">
      <c r="L22269" s="13"/>
      <c r="M22269" s="14"/>
      <c r="N22269" s="14"/>
      <c r="O22269" s="14"/>
      <c r="P22269" s="13"/>
    </row>
    <row r="22270">
      <c r="L22270" s="13"/>
      <c r="M22270" s="14"/>
      <c r="N22270" s="14"/>
      <c r="O22270" s="14"/>
      <c r="P22270" s="13"/>
    </row>
    <row r="22271">
      <c r="L22271" s="13"/>
      <c r="M22271" s="14"/>
      <c r="N22271" s="14"/>
      <c r="O22271" s="14"/>
      <c r="P22271" s="13"/>
    </row>
    <row r="22272">
      <c r="L22272" s="13"/>
      <c r="M22272" s="14"/>
      <c r="N22272" s="14"/>
      <c r="O22272" s="14"/>
      <c r="P22272" s="13"/>
    </row>
    <row r="22273">
      <c r="L22273" s="13"/>
      <c r="M22273" s="14"/>
      <c r="N22273" s="14"/>
      <c r="O22273" s="14"/>
      <c r="P22273" s="13"/>
    </row>
    <row r="22274">
      <c r="L22274" s="13"/>
      <c r="M22274" s="14"/>
      <c r="N22274" s="14"/>
      <c r="O22274" s="14"/>
      <c r="P22274" s="13"/>
    </row>
    <row r="22275">
      <c r="L22275" s="13"/>
      <c r="M22275" s="14"/>
      <c r="N22275" s="14"/>
      <c r="O22275" s="14"/>
      <c r="P22275" s="13"/>
    </row>
    <row r="22276">
      <c r="L22276" s="13"/>
      <c r="M22276" s="14"/>
      <c r="N22276" s="14"/>
      <c r="O22276" s="14"/>
      <c r="P22276" s="13"/>
    </row>
    <row r="22277">
      <c r="L22277" s="13"/>
      <c r="M22277" s="14"/>
      <c r="N22277" s="14"/>
      <c r="O22277" s="14"/>
      <c r="P22277" s="13"/>
    </row>
    <row r="22278">
      <c r="L22278" s="13"/>
      <c r="M22278" s="14"/>
      <c r="N22278" s="14"/>
      <c r="O22278" s="14"/>
      <c r="P22278" s="13"/>
    </row>
    <row r="22279">
      <c r="L22279" s="13"/>
      <c r="M22279" s="14"/>
      <c r="N22279" s="14"/>
      <c r="O22279" s="14"/>
      <c r="P22279" s="13"/>
    </row>
    <row r="22280">
      <c r="L22280" s="13"/>
      <c r="M22280" s="14"/>
      <c r="N22280" s="14"/>
      <c r="O22280" s="14"/>
      <c r="P22280" s="13"/>
    </row>
    <row r="22281">
      <c r="L22281" s="13"/>
      <c r="M22281" s="14"/>
      <c r="N22281" s="14"/>
      <c r="O22281" s="14"/>
      <c r="P22281" s="13"/>
    </row>
    <row r="22282">
      <c r="L22282" s="13"/>
      <c r="M22282" s="14"/>
      <c r="N22282" s="14"/>
      <c r="O22282" s="14"/>
      <c r="P22282" s="13"/>
    </row>
    <row r="22283">
      <c r="L22283" s="13"/>
      <c r="M22283" s="14"/>
      <c r="N22283" s="14"/>
      <c r="O22283" s="14"/>
      <c r="P22283" s="13"/>
    </row>
    <row r="22284">
      <c r="L22284" s="13"/>
      <c r="M22284" s="14"/>
      <c r="N22284" s="14"/>
      <c r="O22284" s="14"/>
      <c r="P22284" s="13"/>
    </row>
    <row r="22285">
      <c r="L22285" s="13"/>
      <c r="M22285" s="14"/>
      <c r="N22285" s="14"/>
      <c r="O22285" s="14"/>
      <c r="P22285" s="13"/>
    </row>
    <row r="22286">
      <c r="L22286" s="13"/>
      <c r="M22286" s="14"/>
      <c r="N22286" s="14"/>
      <c r="O22286" s="14"/>
      <c r="P22286" s="13"/>
    </row>
    <row r="22287">
      <c r="L22287" s="13"/>
      <c r="M22287" s="14"/>
      <c r="N22287" s="14"/>
      <c r="O22287" s="14"/>
      <c r="P22287" s="13"/>
    </row>
    <row r="22288">
      <c r="L22288" s="13"/>
      <c r="M22288" s="14"/>
      <c r="N22288" s="14"/>
      <c r="O22288" s="14"/>
      <c r="P22288" s="13"/>
    </row>
    <row r="22289">
      <c r="L22289" s="13"/>
      <c r="M22289" s="14"/>
      <c r="N22289" s="14"/>
      <c r="O22289" s="14"/>
      <c r="P22289" s="13"/>
    </row>
    <row r="22290">
      <c r="L22290" s="13"/>
      <c r="M22290" s="14"/>
      <c r="N22290" s="14"/>
      <c r="O22290" s="14"/>
      <c r="P22290" s="13"/>
    </row>
    <row r="22291">
      <c r="L22291" s="13"/>
      <c r="M22291" s="14"/>
      <c r="N22291" s="14"/>
      <c r="O22291" s="14"/>
      <c r="P22291" s="13"/>
    </row>
    <row r="22292">
      <c r="L22292" s="13"/>
      <c r="M22292" s="14"/>
      <c r="N22292" s="14"/>
      <c r="O22292" s="14"/>
      <c r="P22292" s="13"/>
    </row>
    <row r="22293">
      <c r="L22293" s="13"/>
      <c r="M22293" s="14"/>
      <c r="N22293" s="14"/>
      <c r="O22293" s="14"/>
      <c r="P22293" s="13"/>
    </row>
    <row r="22294">
      <c r="L22294" s="13"/>
      <c r="M22294" s="14"/>
      <c r="N22294" s="14"/>
      <c r="O22294" s="14"/>
      <c r="P22294" s="13"/>
    </row>
    <row r="22295">
      <c r="L22295" s="13"/>
      <c r="M22295" s="14"/>
      <c r="N22295" s="14"/>
      <c r="O22295" s="14"/>
      <c r="P22295" s="13"/>
    </row>
    <row r="22296">
      <c r="L22296" s="13"/>
      <c r="M22296" s="14"/>
      <c r="N22296" s="14"/>
      <c r="O22296" s="14"/>
      <c r="P22296" s="13"/>
    </row>
    <row r="22297">
      <c r="L22297" s="13"/>
      <c r="M22297" s="14"/>
      <c r="N22297" s="14"/>
      <c r="O22297" s="14"/>
      <c r="P22297" s="13"/>
    </row>
    <row r="22298">
      <c r="L22298" s="13"/>
      <c r="M22298" s="14"/>
      <c r="N22298" s="14"/>
      <c r="O22298" s="14"/>
      <c r="P22298" s="13"/>
    </row>
    <row r="22299">
      <c r="L22299" s="13"/>
      <c r="M22299" s="14"/>
      <c r="N22299" s="14"/>
      <c r="O22299" s="14"/>
      <c r="P22299" s="13"/>
    </row>
    <row r="22300">
      <c r="L22300" s="13"/>
      <c r="M22300" s="14"/>
      <c r="N22300" s="14"/>
      <c r="O22300" s="14"/>
      <c r="P22300" s="13"/>
    </row>
    <row r="22301">
      <c r="L22301" s="13"/>
      <c r="M22301" s="14"/>
      <c r="N22301" s="14"/>
      <c r="O22301" s="14"/>
      <c r="P22301" s="13"/>
    </row>
    <row r="22302">
      <c r="L22302" s="13"/>
      <c r="M22302" s="14"/>
      <c r="N22302" s="14"/>
      <c r="O22302" s="14"/>
      <c r="P22302" s="13"/>
    </row>
    <row r="22303">
      <c r="L22303" s="13"/>
      <c r="M22303" s="14"/>
      <c r="N22303" s="14"/>
      <c r="O22303" s="14"/>
      <c r="P22303" s="13"/>
    </row>
    <row r="22304">
      <c r="L22304" s="13"/>
      <c r="M22304" s="14"/>
      <c r="N22304" s="14"/>
      <c r="O22304" s="14"/>
      <c r="P22304" s="13"/>
    </row>
    <row r="22305">
      <c r="L22305" s="13"/>
      <c r="M22305" s="14"/>
      <c r="N22305" s="14"/>
      <c r="O22305" s="14"/>
      <c r="P22305" s="13"/>
    </row>
    <row r="22306">
      <c r="L22306" s="13"/>
      <c r="M22306" s="14"/>
      <c r="N22306" s="14"/>
      <c r="O22306" s="14"/>
      <c r="P22306" s="13"/>
    </row>
    <row r="22307">
      <c r="L22307" s="13"/>
      <c r="M22307" s="14"/>
      <c r="N22307" s="14"/>
      <c r="O22307" s="14"/>
      <c r="P22307" s="13"/>
    </row>
    <row r="22308">
      <c r="L22308" s="13"/>
      <c r="M22308" s="14"/>
      <c r="N22308" s="14"/>
      <c r="O22308" s="14"/>
      <c r="P22308" s="13"/>
    </row>
    <row r="22309">
      <c r="L22309" s="13"/>
      <c r="M22309" s="14"/>
      <c r="N22309" s="14"/>
      <c r="O22309" s="14"/>
      <c r="P22309" s="13"/>
    </row>
    <row r="22310">
      <c r="L22310" s="13"/>
      <c r="M22310" s="14"/>
      <c r="N22310" s="14"/>
      <c r="O22310" s="14"/>
      <c r="P22310" s="13"/>
    </row>
    <row r="22311">
      <c r="L22311" s="13"/>
      <c r="M22311" s="14"/>
      <c r="N22311" s="14"/>
      <c r="O22311" s="14"/>
      <c r="P22311" s="13"/>
    </row>
    <row r="22312">
      <c r="L22312" s="13"/>
      <c r="M22312" s="14"/>
      <c r="N22312" s="14"/>
      <c r="O22312" s="14"/>
      <c r="P22312" s="13"/>
    </row>
    <row r="22313">
      <c r="L22313" s="13"/>
      <c r="M22313" s="14"/>
      <c r="N22313" s="14"/>
      <c r="O22313" s="14"/>
      <c r="P22313" s="13"/>
    </row>
    <row r="22314">
      <c r="L22314" s="13"/>
      <c r="M22314" s="14"/>
      <c r="N22314" s="14"/>
      <c r="O22314" s="14"/>
      <c r="P22314" s="13"/>
    </row>
    <row r="22315">
      <c r="L22315" s="13"/>
      <c r="M22315" s="14"/>
      <c r="N22315" s="14"/>
      <c r="O22315" s="14"/>
      <c r="P22315" s="13"/>
    </row>
    <row r="22316">
      <c r="L22316" s="13"/>
      <c r="M22316" s="14"/>
      <c r="N22316" s="14"/>
      <c r="O22316" s="14"/>
      <c r="P22316" s="13"/>
    </row>
    <row r="22317">
      <c r="L22317" s="13"/>
      <c r="M22317" s="14"/>
      <c r="N22317" s="14"/>
      <c r="O22317" s="14"/>
      <c r="P22317" s="13"/>
    </row>
    <row r="22318">
      <c r="L22318" s="13"/>
      <c r="M22318" s="14"/>
      <c r="N22318" s="14"/>
      <c r="O22318" s="14"/>
      <c r="P22318" s="13"/>
    </row>
    <row r="22319">
      <c r="L22319" s="13"/>
      <c r="M22319" s="14"/>
      <c r="N22319" s="14"/>
      <c r="O22319" s="14"/>
      <c r="P22319" s="13"/>
    </row>
    <row r="22320">
      <c r="L22320" s="13"/>
      <c r="M22320" s="14"/>
      <c r="N22320" s="14"/>
      <c r="O22320" s="14"/>
      <c r="P22320" s="13"/>
    </row>
    <row r="22321">
      <c r="L22321" s="13"/>
      <c r="M22321" s="14"/>
      <c r="N22321" s="14"/>
      <c r="O22321" s="14"/>
      <c r="P22321" s="13"/>
    </row>
    <row r="22322">
      <c r="L22322" s="13"/>
      <c r="M22322" s="14"/>
      <c r="N22322" s="14"/>
      <c r="O22322" s="14"/>
      <c r="P22322" s="13"/>
    </row>
    <row r="22323">
      <c r="L22323" s="13"/>
      <c r="M22323" s="14"/>
      <c r="N22323" s="14"/>
      <c r="O22323" s="14"/>
      <c r="P22323" s="13"/>
    </row>
    <row r="22324">
      <c r="L22324" s="13"/>
      <c r="M22324" s="14"/>
      <c r="N22324" s="14"/>
      <c r="O22324" s="14"/>
      <c r="P22324" s="13"/>
    </row>
    <row r="22325">
      <c r="L22325" s="13"/>
      <c r="M22325" s="14"/>
      <c r="N22325" s="14"/>
      <c r="O22325" s="14"/>
      <c r="P22325" s="13"/>
    </row>
    <row r="22326">
      <c r="L22326" s="13"/>
      <c r="M22326" s="14"/>
      <c r="N22326" s="14"/>
      <c r="O22326" s="14"/>
      <c r="P22326" s="13"/>
    </row>
    <row r="22327">
      <c r="L22327" s="13"/>
      <c r="M22327" s="14"/>
      <c r="N22327" s="14"/>
      <c r="O22327" s="14"/>
      <c r="P22327" s="13"/>
    </row>
    <row r="22328">
      <c r="L22328" s="13"/>
      <c r="M22328" s="14"/>
      <c r="N22328" s="14"/>
      <c r="O22328" s="14"/>
      <c r="P22328" s="13"/>
    </row>
    <row r="22329">
      <c r="L22329" s="13"/>
      <c r="M22329" s="14"/>
      <c r="N22329" s="14"/>
      <c r="O22329" s="14"/>
      <c r="P22329" s="13"/>
    </row>
    <row r="22330">
      <c r="L22330" s="13"/>
      <c r="M22330" s="14"/>
      <c r="N22330" s="14"/>
      <c r="O22330" s="14"/>
      <c r="P22330" s="13"/>
    </row>
    <row r="22331">
      <c r="L22331" s="13"/>
      <c r="M22331" s="14"/>
      <c r="N22331" s="14"/>
      <c r="O22331" s="14"/>
      <c r="P22331" s="13"/>
    </row>
    <row r="22332">
      <c r="L22332" s="13"/>
      <c r="M22332" s="14"/>
      <c r="N22332" s="14"/>
      <c r="O22332" s="14"/>
      <c r="P22332" s="13"/>
    </row>
    <row r="22333">
      <c r="L22333" s="13"/>
      <c r="M22333" s="14"/>
      <c r="N22333" s="14"/>
      <c r="O22333" s="14"/>
      <c r="P22333" s="13"/>
    </row>
    <row r="22334">
      <c r="L22334" s="13"/>
      <c r="M22334" s="14"/>
      <c r="N22334" s="14"/>
      <c r="O22334" s="14"/>
      <c r="P22334" s="13"/>
    </row>
    <row r="22335">
      <c r="L22335" s="13"/>
      <c r="M22335" s="14"/>
      <c r="N22335" s="14"/>
      <c r="O22335" s="14"/>
      <c r="P22335" s="13"/>
    </row>
    <row r="22336">
      <c r="L22336" s="13"/>
      <c r="M22336" s="14"/>
      <c r="N22336" s="14"/>
      <c r="O22336" s="14"/>
      <c r="P22336" s="13"/>
    </row>
    <row r="22337">
      <c r="L22337" s="13"/>
      <c r="M22337" s="14"/>
      <c r="N22337" s="14"/>
      <c r="O22337" s="14"/>
      <c r="P22337" s="13"/>
    </row>
    <row r="22338">
      <c r="L22338" s="13"/>
      <c r="M22338" s="14"/>
      <c r="N22338" s="14"/>
      <c r="O22338" s="14"/>
      <c r="P22338" s="13"/>
    </row>
    <row r="22339">
      <c r="L22339" s="13"/>
      <c r="M22339" s="14"/>
      <c r="N22339" s="14"/>
      <c r="O22339" s="14"/>
      <c r="P22339" s="13"/>
    </row>
    <row r="22340">
      <c r="L22340" s="13"/>
      <c r="M22340" s="14"/>
      <c r="N22340" s="14"/>
      <c r="O22340" s="14"/>
      <c r="P22340" s="13"/>
    </row>
    <row r="22341">
      <c r="L22341" s="13"/>
      <c r="M22341" s="14"/>
      <c r="N22341" s="14"/>
      <c r="O22341" s="14"/>
      <c r="P22341" s="13"/>
    </row>
    <row r="22342">
      <c r="L22342" s="13"/>
      <c r="M22342" s="14"/>
      <c r="N22342" s="14"/>
      <c r="O22342" s="14"/>
      <c r="P22342" s="13"/>
    </row>
    <row r="22343">
      <c r="L22343" s="13"/>
      <c r="M22343" s="14"/>
      <c r="N22343" s="14"/>
      <c r="O22343" s="14"/>
      <c r="P22343" s="13"/>
    </row>
    <row r="22344">
      <c r="L22344" s="13"/>
      <c r="M22344" s="14"/>
      <c r="N22344" s="14"/>
      <c r="O22344" s="14"/>
      <c r="P22344" s="13"/>
    </row>
    <row r="22345">
      <c r="L22345" s="13"/>
      <c r="M22345" s="14"/>
      <c r="N22345" s="14"/>
      <c r="O22345" s="14"/>
      <c r="P22345" s="13"/>
    </row>
    <row r="22346">
      <c r="L22346" s="13"/>
      <c r="M22346" s="14"/>
      <c r="N22346" s="14"/>
      <c r="O22346" s="14"/>
      <c r="P22346" s="13"/>
    </row>
    <row r="22347">
      <c r="L22347" s="13"/>
      <c r="M22347" s="14"/>
      <c r="N22347" s="14"/>
      <c r="O22347" s="14"/>
      <c r="P22347" s="13"/>
    </row>
    <row r="22348">
      <c r="L22348" s="13"/>
      <c r="M22348" s="14"/>
      <c r="N22348" s="14"/>
      <c r="O22348" s="14"/>
      <c r="P22348" s="13"/>
    </row>
    <row r="22349">
      <c r="L22349" s="13"/>
      <c r="M22349" s="14"/>
      <c r="N22349" s="14"/>
      <c r="O22349" s="14"/>
      <c r="P22349" s="13"/>
    </row>
    <row r="22350">
      <c r="L22350" s="13"/>
      <c r="M22350" s="14"/>
      <c r="N22350" s="14"/>
      <c r="O22350" s="14"/>
      <c r="P22350" s="13"/>
    </row>
    <row r="22351">
      <c r="L22351" s="13"/>
      <c r="M22351" s="14"/>
      <c r="N22351" s="14"/>
      <c r="O22351" s="14"/>
      <c r="P22351" s="13"/>
    </row>
    <row r="22352">
      <c r="L22352" s="13"/>
      <c r="M22352" s="14"/>
      <c r="N22352" s="14"/>
      <c r="O22352" s="14"/>
      <c r="P22352" s="13"/>
    </row>
    <row r="22353">
      <c r="L22353" s="13"/>
      <c r="M22353" s="14"/>
      <c r="N22353" s="14"/>
      <c r="O22353" s="14"/>
      <c r="P22353" s="13"/>
    </row>
    <row r="22354">
      <c r="L22354" s="13"/>
      <c r="M22354" s="14"/>
      <c r="N22354" s="14"/>
      <c r="O22354" s="14"/>
      <c r="P22354" s="13"/>
    </row>
    <row r="22355">
      <c r="L22355" s="13"/>
      <c r="M22355" s="14"/>
      <c r="N22355" s="14"/>
      <c r="O22355" s="14"/>
      <c r="P22355" s="13"/>
    </row>
    <row r="22356">
      <c r="L22356" s="13"/>
      <c r="M22356" s="14"/>
      <c r="N22356" s="14"/>
      <c r="O22356" s="14"/>
      <c r="P22356" s="13"/>
    </row>
    <row r="22357">
      <c r="L22357" s="13"/>
      <c r="M22357" s="14"/>
      <c r="N22357" s="14"/>
      <c r="O22357" s="14"/>
      <c r="P22357" s="13"/>
    </row>
    <row r="22358">
      <c r="L22358" s="13"/>
      <c r="M22358" s="14"/>
      <c r="N22358" s="14"/>
      <c r="O22358" s="14"/>
      <c r="P22358" s="13"/>
    </row>
    <row r="22359">
      <c r="L22359" s="13"/>
      <c r="M22359" s="14"/>
      <c r="N22359" s="14"/>
      <c r="O22359" s="14"/>
      <c r="P22359" s="13"/>
    </row>
    <row r="22360">
      <c r="L22360" s="13"/>
      <c r="M22360" s="14"/>
      <c r="N22360" s="14"/>
      <c r="O22360" s="14"/>
      <c r="P22360" s="13"/>
    </row>
    <row r="22361">
      <c r="L22361" s="13"/>
      <c r="M22361" s="14"/>
      <c r="N22361" s="14"/>
      <c r="O22361" s="14"/>
      <c r="P22361" s="13"/>
    </row>
    <row r="22362">
      <c r="L22362" s="13"/>
      <c r="M22362" s="14"/>
      <c r="N22362" s="14"/>
      <c r="O22362" s="14"/>
      <c r="P22362" s="13"/>
    </row>
    <row r="22363">
      <c r="L22363" s="13"/>
      <c r="M22363" s="14"/>
      <c r="N22363" s="14"/>
      <c r="O22363" s="14"/>
      <c r="P22363" s="13"/>
    </row>
    <row r="22364">
      <c r="L22364" s="13"/>
      <c r="M22364" s="14"/>
      <c r="N22364" s="14"/>
      <c r="O22364" s="14"/>
      <c r="P22364" s="13"/>
    </row>
    <row r="22365">
      <c r="L22365" s="13"/>
      <c r="M22365" s="14"/>
      <c r="N22365" s="14"/>
      <c r="O22365" s="14"/>
      <c r="P22365" s="13"/>
    </row>
    <row r="22366">
      <c r="L22366" s="13"/>
      <c r="M22366" s="14"/>
      <c r="N22366" s="14"/>
      <c r="O22366" s="14"/>
      <c r="P22366" s="13"/>
    </row>
    <row r="22367">
      <c r="L22367" s="13"/>
      <c r="M22367" s="14"/>
      <c r="N22367" s="14"/>
      <c r="O22367" s="14"/>
      <c r="P22367" s="13"/>
    </row>
    <row r="22368">
      <c r="L22368" s="13"/>
      <c r="M22368" s="14"/>
      <c r="N22368" s="14"/>
      <c r="O22368" s="14"/>
      <c r="P22368" s="13"/>
    </row>
    <row r="22369">
      <c r="L22369" s="13"/>
      <c r="M22369" s="14"/>
      <c r="N22369" s="14"/>
      <c r="O22369" s="14"/>
      <c r="P22369" s="13"/>
    </row>
    <row r="22370">
      <c r="L22370" s="13"/>
      <c r="M22370" s="14"/>
      <c r="N22370" s="14"/>
      <c r="O22370" s="14"/>
      <c r="P22370" s="13"/>
    </row>
    <row r="22371">
      <c r="L22371" s="13"/>
      <c r="M22371" s="14"/>
      <c r="N22371" s="14"/>
      <c r="O22371" s="14"/>
      <c r="P22371" s="13"/>
    </row>
    <row r="22372">
      <c r="L22372" s="13"/>
      <c r="M22372" s="14"/>
      <c r="N22372" s="14"/>
      <c r="O22372" s="14"/>
      <c r="P22372" s="13"/>
    </row>
    <row r="22373">
      <c r="L22373" s="13"/>
      <c r="M22373" s="14"/>
      <c r="N22373" s="14"/>
      <c r="O22373" s="14"/>
      <c r="P22373" s="13"/>
    </row>
    <row r="22374">
      <c r="L22374" s="13"/>
      <c r="M22374" s="14"/>
      <c r="N22374" s="14"/>
      <c r="O22374" s="14"/>
      <c r="P22374" s="13"/>
    </row>
    <row r="22375">
      <c r="L22375" s="13"/>
      <c r="M22375" s="14"/>
      <c r="N22375" s="14"/>
      <c r="O22375" s="14"/>
      <c r="P22375" s="13"/>
    </row>
    <row r="22376">
      <c r="L22376" s="13"/>
      <c r="M22376" s="14"/>
      <c r="N22376" s="14"/>
      <c r="O22376" s="14"/>
      <c r="P22376" s="13"/>
    </row>
    <row r="22377">
      <c r="L22377" s="13"/>
      <c r="M22377" s="14"/>
      <c r="N22377" s="14"/>
      <c r="O22377" s="14"/>
      <c r="P22377" s="13"/>
    </row>
    <row r="22378">
      <c r="L22378" s="13"/>
      <c r="M22378" s="14"/>
      <c r="N22378" s="14"/>
      <c r="O22378" s="14"/>
      <c r="P22378" s="13"/>
    </row>
    <row r="22379">
      <c r="L22379" s="13"/>
      <c r="M22379" s="14"/>
      <c r="N22379" s="14"/>
      <c r="O22379" s="14"/>
      <c r="P22379" s="13"/>
    </row>
    <row r="22380">
      <c r="L22380" s="13"/>
      <c r="M22380" s="14"/>
      <c r="N22380" s="14"/>
      <c r="O22380" s="14"/>
      <c r="P22380" s="13"/>
    </row>
    <row r="22381">
      <c r="L22381" s="13"/>
      <c r="M22381" s="14"/>
      <c r="N22381" s="14"/>
      <c r="O22381" s="14"/>
      <c r="P22381" s="13"/>
    </row>
    <row r="22382">
      <c r="L22382" s="13"/>
      <c r="M22382" s="14"/>
      <c r="N22382" s="14"/>
      <c r="O22382" s="14"/>
      <c r="P22382" s="13"/>
    </row>
    <row r="22383">
      <c r="L22383" s="13"/>
      <c r="M22383" s="14"/>
      <c r="N22383" s="14"/>
      <c r="O22383" s="14"/>
      <c r="P22383" s="13"/>
    </row>
    <row r="22384">
      <c r="L22384" s="13"/>
      <c r="M22384" s="14"/>
      <c r="N22384" s="14"/>
      <c r="O22384" s="14"/>
      <c r="P22384" s="13"/>
    </row>
    <row r="22385">
      <c r="L22385" s="13"/>
      <c r="M22385" s="14"/>
      <c r="N22385" s="14"/>
      <c r="O22385" s="14"/>
      <c r="P22385" s="13"/>
    </row>
    <row r="22386">
      <c r="L22386" s="13"/>
      <c r="M22386" s="14"/>
      <c r="N22386" s="14"/>
      <c r="O22386" s="14"/>
      <c r="P22386" s="13"/>
    </row>
    <row r="22387">
      <c r="L22387" s="13"/>
      <c r="M22387" s="14"/>
      <c r="N22387" s="14"/>
      <c r="O22387" s="14"/>
      <c r="P22387" s="13"/>
    </row>
    <row r="22388">
      <c r="L22388" s="13"/>
      <c r="M22388" s="14"/>
      <c r="N22388" s="14"/>
      <c r="O22388" s="14"/>
      <c r="P22388" s="13"/>
    </row>
    <row r="22389">
      <c r="L22389" s="13"/>
      <c r="M22389" s="14"/>
      <c r="N22389" s="14"/>
      <c r="O22389" s="14"/>
      <c r="P22389" s="13"/>
    </row>
    <row r="22390">
      <c r="L22390" s="13"/>
      <c r="M22390" s="14"/>
      <c r="N22390" s="14"/>
      <c r="O22390" s="14"/>
      <c r="P22390" s="13"/>
    </row>
    <row r="22391">
      <c r="L22391" s="13"/>
      <c r="M22391" s="14"/>
      <c r="N22391" s="14"/>
      <c r="O22391" s="14"/>
      <c r="P22391" s="13"/>
    </row>
    <row r="22392">
      <c r="L22392" s="13"/>
      <c r="M22392" s="14"/>
      <c r="N22392" s="14"/>
      <c r="O22392" s="14"/>
      <c r="P22392" s="13"/>
    </row>
    <row r="22393">
      <c r="L22393" s="13"/>
      <c r="M22393" s="14"/>
      <c r="N22393" s="14"/>
      <c r="O22393" s="14"/>
      <c r="P22393" s="13"/>
    </row>
    <row r="22394">
      <c r="L22394" s="13"/>
      <c r="M22394" s="14"/>
      <c r="N22394" s="14"/>
      <c r="O22394" s="14"/>
      <c r="P22394" s="13"/>
    </row>
    <row r="22395">
      <c r="L22395" s="13"/>
      <c r="M22395" s="14"/>
      <c r="N22395" s="14"/>
      <c r="O22395" s="14"/>
      <c r="P22395" s="13"/>
    </row>
    <row r="22396">
      <c r="L22396" s="13"/>
      <c r="M22396" s="14"/>
      <c r="N22396" s="14"/>
      <c r="O22396" s="14"/>
      <c r="P22396" s="13"/>
    </row>
    <row r="22397">
      <c r="L22397" s="13"/>
      <c r="M22397" s="14"/>
      <c r="N22397" s="14"/>
      <c r="O22397" s="14"/>
      <c r="P22397" s="13"/>
    </row>
    <row r="22398">
      <c r="L22398" s="13"/>
      <c r="M22398" s="14"/>
      <c r="N22398" s="14"/>
      <c r="O22398" s="14"/>
      <c r="P22398" s="13"/>
    </row>
    <row r="22399">
      <c r="L22399" s="13"/>
      <c r="M22399" s="14"/>
      <c r="N22399" s="14"/>
      <c r="O22399" s="14"/>
      <c r="P22399" s="13"/>
    </row>
    <row r="22400">
      <c r="L22400" s="13"/>
      <c r="M22400" s="14"/>
      <c r="N22400" s="14"/>
      <c r="O22400" s="14"/>
      <c r="P22400" s="13"/>
    </row>
    <row r="22401">
      <c r="L22401" s="13"/>
      <c r="M22401" s="14"/>
      <c r="N22401" s="14"/>
      <c r="O22401" s="14"/>
      <c r="P22401" s="13"/>
    </row>
    <row r="22402">
      <c r="L22402" s="13"/>
      <c r="M22402" s="14"/>
      <c r="N22402" s="14"/>
      <c r="O22402" s="14"/>
      <c r="P22402" s="13"/>
    </row>
    <row r="22403">
      <c r="L22403" s="13"/>
      <c r="M22403" s="14"/>
      <c r="N22403" s="14"/>
      <c r="O22403" s="14"/>
      <c r="P22403" s="13"/>
    </row>
    <row r="22404">
      <c r="L22404" s="13"/>
      <c r="M22404" s="14"/>
      <c r="N22404" s="14"/>
      <c r="O22404" s="14"/>
      <c r="P22404" s="13"/>
    </row>
    <row r="22405">
      <c r="L22405" s="13"/>
      <c r="M22405" s="14"/>
      <c r="N22405" s="14"/>
      <c r="O22405" s="14"/>
      <c r="P22405" s="13"/>
    </row>
    <row r="22406">
      <c r="L22406" s="13"/>
      <c r="M22406" s="14"/>
      <c r="N22406" s="14"/>
      <c r="O22406" s="14"/>
      <c r="P22406" s="13"/>
    </row>
    <row r="22407">
      <c r="L22407" s="13"/>
      <c r="M22407" s="14"/>
      <c r="N22407" s="14"/>
      <c r="O22407" s="14"/>
      <c r="P22407" s="13"/>
    </row>
    <row r="22408">
      <c r="L22408" s="13"/>
      <c r="M22408" s="14"/>
      <c r="N22408" s="14"/>
      <c r="O22408" s="14"/>
      <c r="P22408" s="13"/>
    </row>
    <row r="22409">
      <c r="L22409" s="13"/>
      <c r="M22409" s="14"/>
      <c r="N22409" s="14"/>
      <c r="O22409" s="14"/>
      <c r="P22409" s="13"/>
    </row>
    <row r="22410">
      <c r="L22410" s="13"/>
      <c r="M22410" s="14"/>
      <c r="N22410" s="14"/>
      <c r="O22410" s="14"/>
      <c r="P22410" s="13"/>
    </row>
    <row r="22411">
      <c r="L22411" s="13"/>
      <c r="M22411" s="14"/>
      <c r="N22411" s="14"/>
      <c r="O22411" s="14"/>
      <c r="P22411" s="13"/>
    </row>
    <row r="22412">
      <c r="L22412" s="13"/>
      <c r="M22412" s="14"/>
      <c r="N22412" s="14"/>
      <c r="O22412" s="14"/>
      <c r="P22412" s="13"/>
    </row>
    <row r="22413">
      <c r="L22413" s="13"/>
      <c r="M22413" s="14"/>
      <c r="N22413" s="14"/>
      <c r="O22413" s="14"/>
      <c r="P22413" s="13"/>
    </row>
    <row r="22414">
      <c r="L22414" s="13"/>
      <c r="M22414" s="14"/>
      <c r="N22414" s="14"/>
      <c r="O22414" s="14"/>
      <c r="P22414" s="13"/>
    </row>
    <row r="22415">
      <c r="L22415" s="13"/>
      <c r="M22415" s="14"/>
      <c r="N22415" s="14"/>
      <c r="O22415" s="14"/>
      <c r="P22415" s="13"/>
    </row>
    <row r="22416">
      <c r="L22416" s="13"/>
      <c r="M22416" s="14"/>
      <c r="N22416" s="14"/>
      <c r="O22416" s="14"/>
      <c r="P22416" s="13"/>
    </row>
    <row r="22417">
      <c r="L22417" s="13"/>
      <c r="M22417" s="14"/>
      <c r="N22417" s="14"/>
      <c r="O22417" s="14"/>
      <c r="P22417" s="13"/>
    </row>
    <row r="22418">
      <c r="L22418" s="13"/>
      <c r="M22418" s="14"/>
      <c r="N22418" s="14"/>
      <c r="O22418" s="14"/>
      <c r="P22418" s="13"/>
    </row>
    <row r="22419">
      <c r="L22419" s="13"/>
      <c r="M22419" s="14"/>
      <c r="N22419" s="14"/>
      <c r="O22419" s="14"/>
      <c r="P22419" s="13"/>
    </row>
    <row r="22420">
      <c r="L22420" s="13"/>
      <c r="M22420" s="14"/>
      <c r="N22420" s="14"/>
      <c r="O22420" s="14"/>
      <c r="P22420" s="13"/>
    </row>
    <row r="22421">
      <c r="L22421" s="13"/>
      <c r="M22421" s="14"/>
      <c r="N22421" s="14"/>
      <c r="O22421" s="14"/>
      <c r="P22421" s="13"/>
    </row>
    <row r="22422">
      <c r="L22422" s="13"/>
      <c r="M22422" s="14"/>
      <c r="N22422" s="14"/>
      <c r="O22422" s="14"/>
      <c r="P22422" s="13"/>
    </row>
    <row r="22423">
      <c r="L22423" s="13"/>
      <c r="M22423" s="14"/>
      <c r="N22423" s="14"/>
      <c r="O22423" s="14"/>
      <c r="P22423" s="13"/>
    </row>
    <row r="22424">
      <c r="L22424" s="13"/>
      <c r="M22424" s="14"/>
      <c r="N22424" s="14"/>
      <c r="O22424" s="14"/>
      <c r="P22424" s="13"/>
    </row>
    <row r="22425">
      <c r="L22425" s="13"/>
      <c r="M22425" s="14"/>
      <c r="N22425" s="14"/>
      <c r="O22425" s="14"/>
      <c r="P22425" s="13"/>
    </row>
    <row r="22426">
      <c r="L22426" s="13"/>
      <c r="M22426" s="14"/>
      <c r="N22426" s="14"/>
      <c r="O22426" s="14"/>
      <c r="P22426" s="13"/>
    </row>
    <row r="22427">
      <c r="L22427" s="13"/>
      <c r="M22427" s="14"/>
      <c r="N22427" s="14"/>
      <c r="O22427" s="14"/>
      <c r="P22427" s="13"/>
    </row>
    <row r="22428">
      <c r="L22428" s="13"/>
      <c r="M22428" s="14"/>
      <c r="N22428" s="14"/>
      <c r="O22428" s="14"/>
      <c r="P22428" s="13"/>
    </row>
    <row r="22429">
      <c r="L22429" s="13"/>
      <c r="M22429" s="14"/>
      <c r="N22429" s="14"/>
      <c r="O22429" s="14"/>
      <c r="P22429" s="13"/>
    </row>
    <row r="22430">
      <c r="L22430" s="13"/>
      <c r="M22430" s="14"/>
      <c r="N22430" s="14"/>
      <c r="O22430" s="14"/>
      <c r="P22430" s="13"/>
    </row>
    <row r="22431">
      <c r="L22431" s="13"/>
      <c r="M22431" s="14"/>
      <c r="N22431" s="14"/>
      <c r="O22431" s="14"/>
      <c r="P22431" s="13"/>
    </row>
    <row r="22432">
      <c r="L22432" s="13"/>
      <c r="M22432" s="14"/>
      <c r="N22432" s="14"/>
      <c r="O22432" s="14"/>
      <c r="P22432" s="13"/>
    </row>
    <row r="22433">
      <c r="L22433" s="13"/>
      <c r="M22433" s="14"/>
      <c r="N22433" s="14"/>
      <c r="O22433" s="14"/>
      <c r="P22433" s="13"/>
    </row>
    <row r="22434">
      <c r="L22434" s="13"/>
      <c r="M22434" s="14"/>
      <c r="N22434" s="14"/>
      <c r="O22434" s="14"/>
      <c r="P22434" s="13"/>
    </row>
    <row r="22435">
      <c r="L22435" s="13"/>
      <c r="M22435" s="14"/>
      <c r="N22435" s="14"/>
      <c r="O22435" s="14"/>
      <c r="P22435" s="13"/>
    </row>
    <row r="22436">
      <c r="L22436" s="13"/>
      <c r="M22436" s="14"/>
      <c r="N22436" s="14"/>
      <c r="O22436" s="14"/>
      <c r="P22436" s="13"/>
    </row>
    <row r="22437">
      <c r="L22437" s="13"/>
      <c r="M22437" s="14"/>
      <c r="N22437" s="14"/>
      <c r="O22437" s="14"/>
      <c r="P22437" s="13"/>
    </row>
    <row r="22438">
      <c r="L22438" s="13"/>
      <c r="M22438" s="14"/>
      <c r="N22438" s="14"/>
      <c r="O22438" s="14"/>
      <c r="P22438" s="13"/>
    </row>
    <row r="22439">
      <c r="L22439" s="13"/>
      <c r="M22439" s="14"/>
      <c r="N22439" s="14"/>
      <c r="O22439" s="14"/>
      <c r="P22439" s="13"/>
    </row>
    <row r="22440">
      <c r="L22440" s="13"/>
      <c r="M22440" s="14"/>
      <c r="N22440" s="14"/>
      <c r="O22440" s="14"/>
      <c r="P22440" s="13"/>
    </row>
    <row r="22441">
      <c r="L22441" s="13"/>
      <c r="M22441" s="14"/>
      <c r="N22441" s="14"/>
      <c r="O22441" s="14"/>
      <c r="P22441" s="13"/>
    </row>
    <row r="22442">
      <c r="L22442" s="13"/>
      <c r="M22442" s="14"/>
      <c r="N22442" s="14"/>
      <c r="O22442" s="14"/>
      <c r="P22442" s="13"/>
    </row>
    <row r="22443">
      <c r="L22443" s="13"/>
      <c r="M22443" s="14"/>
      <c r="N22443" s="14"/>
      <c r="O22443" s="14"/>
      <c r="P22443" s="13"/>
    </row>
    <row r="22444">
      <c r="L22444" s="13"/>
      <c r="M22444" s="14"/>
      <c r="N22444" s="14"/>
      <c r="O22444" s="14"/>
      <c r="P22444" s="13"/>
    </row>
    <row r="22445">
      <c r="L22445" s="13"/>
      <c r="M22445" s="14"/>
      <c r="N22445" s="14"/>
      <c r="O22445" s="14"/>
      <c r="P22445" s="13"/>
    </row>
    <row r="22446">
      <c r="L22446" s="13"/>
      <c r="M22446" s="14"/>
      <c r="N22446" s="14"/>
      <c r="O22446" s="14"/>
      <c r="P22446" s="13"/>
    </row>
    <row r="22447">
      <c r="L22447" s="13"/>
      <c r="M22447" s="14"/>
      <c r="N22447" s="14"/>
      <c r="O22447" s="14"/>
      <c r="P22447" s="13"/>
    </row>
    <row r="22448">
      <c r="L22448" s="13"/>
      <c r="M22448" s="14"/>
      <c r="N22448" s="14"/>
      <c r="O22448" s="14"/>
      <c r="P22448" s="13"/>
    </row>
    <row r="22449">
      <c r="L22449" s="13"/>
      <c r="M22449" s="14"/>
      <c r="N22449" s="14"/>
      <c r="O22449" s="14"/>
      <c r="P22449" s="13"/>
    </row>
    <row r="22450">
      <c r="L22450" s="13"/>
      <c r="M22450" s="14"/>
      <c r="N22450" s="14"/>
      <c r="O22450" s="14"/>
      <c r="P22450" s="13"/>
    </row>
    <row r="22451">
      <c r="L22451" s="13"/>
      <c r="M22451" s="14"/>
      <c r="N22451" s="14"/>
      <c r="O22451" s="14"/>
      <c r="P22451" s="13"/>
    </row>
    <row r="22452">
      <c r="L22452" s="13"/>
      <c r="M22452" s="14"/>
      <c r="N22452" s="14"/>
      <c r="O22452" s="14"/>
      <c r="P22452" s="13"/>
    </row>
    <row r="22453">
      <c r="L22453" s="13"/>
      <c r="M22453" s="14"/>
      <c r="N22453" s="14"/>
      <c r="O22453" s="14"/>
      <c r="P22453" s="13"/>
    </row>
    <row r="22454">
      <c r="L22454" s="13"/>
      <c r="M22454" s="14"/>
      <c r="N22454" s="14"/>
      <c r="O22454" s="14"/>
      <c r="P22454" s="13"/>
    </row>
    <row r="22455">
      <c r="L22455" s="13"/>
      <c r="M22455" s="14"/>
      <c r="N22455" s="14"/>
      <c r="O22455" s="14"/>
      <c r="P22455" s="13"/>
    </row>
    <row r="22456">
      <c r="L22456" s="13"/>
      <c r="M22456" s="14"/>
      <c r="N22456" s="14"/>
      <c r="O22456" s="14"/>
      <c r="P22456" s="13"/>
    </row>
    <row r="22457">
      <c r="L22457" s="13"/>
      <c r="M22457" s="14"/>
      <c r="N22457" s="14"/>
      <c r="O22457" s="14"/>
      <c r="P22457" s="13"/>
    </row>
    <row r="22458">
      <c r="L22458" s="13"/>
      <c r="M22458" s="14"/>
      <c r="N22458" s="14"/>
      <c r="O22458" s="14"/>
      <c r="P22458" s="13"/>
    </row>
    <row r="22459">
      <c r="L22459" s="13"/>
      <c r="M22459" s="14"/>
      <c r="N22459" s="14"/>
      <c r="O22459" s="14"/>
      <c r="P22459" s="13"/>
    </row>
    <row r="22460">
      <c r="L22460" s="13"/>
      <c r="M22460" s="14"/>
      <c r="N22460" s="14"/>
      <c r="O22460" s="14"/>
      <c r="P22460" s="13"/>
    </row>
    <row r="22461">
      <c r="L22461" s="13"/>
      <c r="M22461" s="14"/>
      <c r="N22461" s="14"/>
      <c r="O22461" s="14"/>
      <c r="P22461" s="13"/>
    </row>
    <row r="22462">
      <c r="L22462" s="13"/>
      <c r="M22462" s="14"/>
      <c r="N22462" s="14"/>
      <c r="O22462" s="14"/>
      <c r="P22462" s="13"/>
    </row>
    <row r="22463">
      <c r="L22463" s="13"/>
      <c r="M22463" s="14"/>
      <c r="N22463" s="14"/>
      <c r="O22463" s="14"/>
      <c r="P22463" s="13"/>
    </row>
    <row r="22464">
      <c r="L22464" s="13"/>
      <c r="M22464" s="14"/>
      <c r="N22464" s="14"/>
      <c r="O22464" s="14"/>
      <c r="P22464" s="13"/>
    </row>
    <row r="22465">
      <c r="L22465" s="13"/>
      <c r="M22465" s="14"/>
      <c r="N22465" s="14"/>
      <c r="O22465" s="14"/>
      <c r="P22465" s="13"/>
    </row>
    <row r="22466">
      <c r="L22466" s="13"/>
      <c r="M22466" s="14"/>
      <c r="N22466" s="14"/>
      <c r="O22466" s="14"/>
      <c r="P22466" s="13"/>
    </row>
    <row r="22467">
      <c r="L22467" s="13"/>
      <c r="M22467" s="14"/>
      <c r="N22467" s="14"/>
      <c r="O22467" s="14"/>
      <c r="P22467" s="13"/>
    </row>
    <row r="22468">
      <c r="L22468" s="13"/>
      <c r="M22468" s="14"/>
      <c r="N22468" s="14"/>
      <c r="O22468" s="14"/>
      <c r="P22468" s="13"/>
    </row>
    <row r="22469">
      <c r="L22469" s="13"/>
      <c r="M22469" s="14"/>
      <c r="N22469" s="14"/>
      <c r="O22469" s="14"/>
      <c r="P22469" s="13"/>
    </row>
    <row r="22470">
      <c r="L22470" s="13"/>
      <c r="M22470" s="14"/>
      <c r="N22470" s="14"/>
      <c r="O22470" s="14"/>
      <c r="P22470" s="13"/>
    </row>
    <row r="22471">
      <c r="L22471" s="13"/>
      <c r="M22471" s="14"/>
      <c r="N22471" s="14"/>
      <c r="O22471" s="14"/>
      <c r="P22471" s="13"/>
    </row>
    <row r="22472">
      <c r="L22472" s="13"/>
      <c r="M22472" s="14"/>
      <c r="N22472" s="14"/>
      <c r="O22472" s="14"/>
      <c r="P22472" s="13"/>
    </row>
    <row r="22473">
      <c r="L22473" s="13"/>
      <c r="M22473" s="14"/>
      <c r="N22473" s="14"/>
      <c r="O22473" s="14"/>
      <c r="P22473" s="13"/>
    </row>
    <row r="22474">
      <c r="L22474" s="13"/>
      <c r="M22474" s="14"/>
      <c r="N22474" s="14"/>
      <c r="O22474" s="14"/>
      <c r="P22474" s="13"/>
    </row>
    <row r="22475">
      <c r="L22475" s="13"/>
      <c r="M22475" s="14"/>
      <c r="N22475" s="14"/>
      <c r="O22475" s="14"/>
      <c r="P22475" s="13"/>
    </row>
    <row r="22476">
      <c r="L22476" s="13"/>
      <c r="M22476" s="14"/>
      <c r="N22476" s="14"/>
      <c r="O22476" s="14"/>
      <c r="P22476" s="13"/>
    </row>
    <row r="22477">
      <c r="L22477" s="13"/>
      <c r="M22477" s="14"/>
      <c r="N22477" s="14"/>
      <c r="O22477" s="14"/>
      <c r="P22477" s="13"/>
    </row>
    <row r="22478">
      <c r="L22478" s="13"/>
      <c r="M22478" s="14"/>
      <c r="N22478" s="14"/>
      <c r="O22478" s="14"/>
      <c r="P22478" s="13"/>
    </row>
    <row r="22479">
      <c r="L22479" s="13"/>
      <c r="M22479" s="14"/>
      <c r="N22479" s="14"/>
      <c r="O22479" s="14"/>
      <c r="P22479" s="13"/>
    </row>
    <row r="22480">
      <c r="L22480" s="13"/>
      <c r="M22480" s="14"/>
      <c r="N22480" s="14"/>
      <c r="O22480" s="14"/>
      <c r="P22480" s="13"/>
    </row>
    <row r="22481">
      <c r="L22481" s="13"/>
      <c r="M22481" s="14"/>
      <c r="N22481" s="14"/>
      <c r="O22481" s="14"/>
      <c r="P22481" s="13"/>
    </row>
    <row r="22482">
      <c r="L22482" s="13"/>
      <c r="M22482" s="14"/>
      <c r="N22482" s="14"/>
      <c r="O22482" s="14"/>
      <c r="P22482" s="13"/>
    </row>
    <row r="22483">
      <c r="L22483" s="13"/>
      <c r="M22483" s="14"/>
      <c r="N22483" s="14"/>
      <c r="O22483" s="14"/>
      <c r="P22483" s="13"/>
    </row>
    <row r="22484">
      <c r="L22484" s="13"/>
      <c r="M22484" s="14"/>
      <c r="N22484" s="14"/>
      <c r="O22484" s="14"/>
      <c r="P22484" s="13"/>
    </row>
    <row r="22485">
      <c r="L22485" s="13"/>
      <c r="M22485" s="14"/>
      <c r="N22485" s="14"/>
      <c r="O22485" s="14"/>
      <c r="P22485" s="13"/>
    </row>
    <row r="22486">
      <c r="L22486" s="13"/>
      <c r="M22486" s="14"/>
      <c r="N22486" s="14"/>
      <c r="O22486" s="14"/>
      <c r="P22486" s="13"/>
    </row>
    <row r="22487">
      <c r="L22487" s="13"/>
      <c r="M22487" s="14"/>
      <c r="N22487" s="14"/>
      <c r="O22487" s="14"/>
      <c r="P22487" s="13"/>
    </row>
    <row r="22488">
      <c r="L22488" s="13"/>
      <c r="M22488" s="14"/>
      <c r="N22488" s="14"/>
      <c r="O22488" s="14"/>
      <c r="P22488" s="13"/>
    </row>
    <row r="22489">
      <c r="L22489" s="13"/>
      <c r="M22489" s="14"/>
      <c r="N22489" s="14"/>
      <c r="O22489" s="14"/>
      <c r="P22489" s="13"/>
    </row>
    <row r="22490">
      <c r="L22490" s="13"/>
      <c r="M22490" s="14"/>
      <c r="N22490" s="14"/>
      <c r="O22490" s="14"/>
      <c r="P22490" s="13"/>
    </row>
    <row r="22491">
      <c r="L22491" s="13"/>
      <c r="M22491" s="14"/>
      <c r="N22491" s="14"/>
      <c r="O22491" s="14"/>
      <c r="P22491" s="13"/>
    </row>
    <row r="22492">
      <c r="L22492" s="13"/>
      <c r="M22492" s="14"/>
      <c r="N22492" s="14"/>
      <c r="O22492" s="14"/>
      <c r="P22492" s="13"/>
    </row>
    <row r="22493">
      <c r="L22493" s="13"/>
      <c r="M22493" s="14"/>
      <c r="N22493" s="14"/>
      <c r="O22493" s="14"/>
      <c r="P22493" s="13"/>
    </row>
    <row r="22494">
      <c r="L22494" s="13"/>
      <c r="M22494" s="14"/>
      <c r="N22494" s="14"/>
      <c r="O22494" s="14"/>
      <c r="P22494" s="13"/>
    </row>
    <row r="22495">
      <c r="L22495" s="13"/>
      <c r="M22495" s="14"/>
      <c r="N22495" s="14"/>
      <c r="O22495" s="14"/>
      <c r="P22495" s="13"/>
    </row>
    <row r="22496">
      <c r="L22496" s="13"/>
      <c r="M22496" s="14"/>
      <c r="N22496" s="14"/>
      <c r="O22496" s="14"/>
      <c r="P22496" s="13"/>
    </row>
    <row r="22497">
      <c r="L22497" s="13"/>
      <c r="M22497" s="14"/>
      <c r="N22497" s="14"/>
      <c r="O22497" s="14"/>
      <c r="P22497" s="13"/>
    </row>
    <row r="22498">
      <c r="L22498" s="13"/>
      <c r="M22498" s="14"/>
      <c r="N22498" s="14"/>
      <c r="O22498" s="14"/>
      <c r="P22498" s="13"/>
    </row>
    <row r="22499">
      <c r="L22499" s="13"/>
      <c r="M22499" s="14"/>
      <c r="N22499" s="14"/>
      <c r="O22499" s="14"/>
      <c r="P22499" s="13"/>
    </row>
    <row r="22500">
      <c r="L22500" s="13"/>
      <c r="M22500" s="14"/>
      <c r="N22500" s="14"/>
      <c r="O22500" s="14"/>
      <c r="P22500" s="13"/>
    </row>
    <row r="22501">
      <c r="L22501" s="13"/>
      <c r="M22501" s="14"/>
      <c r="N22501" s="14"/>
      <c r="O22501" s="14"/>
      <c r="P22501" s="13"/>
    </row>
    <row r="22502">
      <c r="L22502" s="13"/>
      <c r="M22502" s="14"/>
      <c r="N22502" s="14"/>
      <c r="O22502" s="14"/>
      <c r="P22502" s="13"/>
    </row>
    <row r="22503">
      <c r="L22503" s="13"/>
      <c r="M22503" s="14"/>
      <c r="N22503" s="14"/>
      <c r="O22503" s="14"/>
      <c r="P22503" s="13"/>
    </row>
    <row r="22504">
      <c r="L22504" s="13"/>
      <c r="M22504" s="14"/>
      <c r="N22504" s="14"/>
      <c r="O22504" s="14"/>
      <c r="P22504" s="13"/>
    </row>
    <row r="22505">
      <c r="L22505" s="13"/>
      <c r="M22505" s="14"/>
      <c r="N22505" s="14"/>
      <c r="O22505" s="14"/>
      <c r="P22505" s="13"/>
    </row>
    <row r="22506">
      <c r="L22506" s="13"/>
      <c r="M22506" s="14"/>
      <c r="N22506" s="14"/>
      <c r="O22506" s="14"/>
      <c r="P22506" s="13"/>
    </row>
    <row r="22507">
      <c r="L22507" s="13"/>
      <c r="M22507" s="14"/>
      <c r="N22507" s="14"/>
      <c r="O22507" s="14"/>
      <c r="P22507" s="13"/>
    </row>
    <row r="22508">
      <c r="L22508" s="13"/>
      <c r="M22508" s="14"/>
      <c r="N22508" s="14"/>
      <c r="O22508" s="14"/>
      <c r="P22508" s="13"/>
    </row>
    <row r="22509">
      <c r="L22509" s="13"/>
      <c r="M22509" s="14"/>
      <c r="N22509" s="14"/>
      <c r="O22509" s="14"/>
      <c r="P22509" s="13"/>
    </row>
    <row r="22510">
      <c r="L22510" s="13"/>
      <c r="M22510" s="14"/>
      <c r="N22510" s="14"/>
      <c r="O22510" s="14"/>
      <c r="P22510" s="13"/>
    </row>
    <row r="22511">
      <c r="L22511" s="13"/>
      <c r="M22511" s="14"/>
      <c r="N22511" s="14"/>
      <c r="O22511" s="14"/>
      <c r="P22511" s="13"/>
    </row>
    <row r="22512">
      <c r="L22512" s="13"/>
      <c r="M22512" s="14"/>
      <c r="N22512" s="14"/>
      <c r="O22512" s="14"/>
      <c r="P22512" s="13"/>
    </row>
    <row r="22513">
      <c r="L22513" s="13"/>
      <c r="M22513" s="14"/>
      <c r="N22513" s="14"/>
      <c r="O22513" s="14"/>
      <c r="P22513" s="13"/>
    </row>
    <row r="22514">
      <c r="L22514" s="13"/>
      <c r="M22514" s="14"/>
      <c r="N22514" s="14"/>
      <c r="O22514" s="14"/>
      <c r="P22514" s="13"/>
    </row>
    <row r="22515">
      <c r="L22515" s="13"/>
      <c r="M22515" s="14"/>
      <c r="N22515" s="14"/>
      <c r="O22515" s="14"/>
      <c r="P22515" s="13"/>
    </row>
    <row r="22516">
      <c r="L22516" s="13"/>
      <c r="M22516" s="14"/>
      <c r="N22516" s="14"/>
      <c r="O22516" s="14"/>
      <c r="P22516" s="13"/>
    </row>
    <row r="22517">
      <c r="L22517" s="13"/>
      <c r="M22517" s="14"/>
      <c r="N22517" s="14"/>
      <c r="O22517" s="14"/>
      <c r="P22517" s="13"/>
    </row>
    <row r="22518">
      <c r="L22518" s="13"/>
      <c r="M22518" s="14"/>
      <c r="N22518" s="14"/>
      <c r="O22518" s="14"/>
      <c r="P22518" s="13"/>
    </row>
    <row r="22519">
      <c r="L22519" s="13"/>
      <c r="M22519" s="14"/>
      <c r="N22519" s="14"/>
      <c r="O22519" s="14"/>
      <c r="P22519" s="13"/>
    </row>
    <row r="22520">
      <c r="L22520" s="13"/>
      <c r="M22520" s="14"/>
      <c r="N22520" s="14"/>
      <c r="O22520" s="14"/>
      <c r="P22520" s="13"/>
    </row>
    <row r="22521">
      <c r="L22521" s="13"/>
      <c r="M22521" s="14"/>
      <c r="N22521" s="14"/>
      <c r="O22521" s="14"/>
      <c r="P22521" s="13"/>
    </row>
    <row r="22522">
      <c r="L22522" s="13"/>
      <c r="M22522" s="14"/>
      <c r="N22522" s="14"/>
      <c r="O22522" s="14"/>
      <c r="P22522" s="13"/>
    </row>
    <row r="22523">
      <c r="L22523" s="13"/>
      <c r="M22523" s="14"/>
      <c r="N22523" s="14"/>
      <c r="O22523" s="14"/>
      <c r="P22523" s="13"/>
    </row>
    <row r="22524">
      <c r="L22524" s="13"/>
      <c r="M22524" s="14"/>
      <c r="N22524" s="14"/>
      <c r="O22524" s="14"/>
      <c r="P22524" s="13"/>
    </row>
    <row r="22525">
      <c r="L22525" s="13"/>
      <c r="M22525" s="14"/>
      <c r="N22525" s="14"/>
      <c r="O22525" s="14"/>
      <c r="P22525" s="13"/>
    </row>
    <row r="22526">
      <c r="L22526" s="13"/>
      <c r="M22526" s="14"/>
      <c r="N22526" s="14"/>
      <c r="O22526" s="14"/>
      <c r="P22526" s="13"/>
    </row>
    <row r="22527">
      <c r="L22527" s="13"/>
      <c r="M22527" s="14"/>
      <c r="N22527" s="14"/>
      <c r="O22527" s="14"/>
      <c r="P22527" s="13"/>
    </row>
    <row r="22528">
      <c r="L22528" s="13"/>
      <c r="M22528" s="14"/>
      <c r="N22528" s="14"/>
      <c r="O22528" s="14"/>
      <c r="P22528" s="13"/>
    </row>
    <row r="22529">
      <c r="L22529" s="13"/>
      <c r="M22529" s="14"/>
      <c r="N22529" s="14"/>
      <c r="O22529" s="14"/>
      <c r="P22529" s="13"/>
    </row>
    <row r="22530">
      <c r="L22530" s="13"/>
      <c r="M22530" s="14"/>
      <c r="N22530" s="14"/>
      <c r="O22530" s="14"/>
      <c r="P22530" s="13"/>
    </row>
    <row r="22531">
      <c r="L22531" s="13"/>
      <c r="M22531" s="14"/>
      <c r="N22531" s="14"/>
      <c r="O22531" s="14"/>
      <c r="P22531" s="13"/>
    </row>
    <row r="22532">
      <c r="L22532" s="13"/>
      <c r="M22532" s="14"/>
      <c r="N22532" s="14"/>
      <c r="O22532" s="14"/>
      <c r="P22532" s="13"/>
    </row>
    <row r="22533">
      <c r="L22533" s="13"/>
      <c r="M22533" s="14"/>
      <c r="N22533" s="14"/>
      <c r="O22533" s="14"/>
      <c r="P22533" s="13"/>
    </row>
    <row r="22534">
      <c r="L22534" s="13"/>
      <c r="M22534" s="14"/>
      <c r="N22534" s="14"/>
      <c r="O22534" s="14"/>
      <c r="P22534" s="13"/>
    </row>
    <row r="22535">
      <c r="L22535" s="13"/>
      <c r="M22535" s="14"/>
      <c r="N22535" s="14"/>
      <c r="O22535" s="14"/>
      <c r="P22535" s="13"/>
    </row>
    <row r="22536">
      <c r="L22536" s="13"/>
      <c r="M22536" s="14"/>
      <c r="N22536" s="14"/>
      <c r="O22536" s="14"/>
      <c r="P22536" s="13"/>
    </row>
    <row r="22537">
      <c r="L22537" s="13"/>
      <c r="M22537" s="14"/>
      <c r="N22537" s="14"/>
      <c r="O22537" s="14"/>
      <c r="P22537" s="13"/>
    </row>
    <row r="22538">
      <c r="L22538" s="13"/>
      <c r="M22538" s="14"/>
      <c r="N22538" s="14"/>
      <c r="O22538" s="14"/>
      <c r="P22538" s="13"/>
    </row>
    <row r="22539">
      <c r="L22539" s="13"/>
      <c r="M22539" s="14"/>
      <c r="N22539" s="14"/>
      <c r="O22539" s="14"/>
      <c r="P22539" s="13"/>
    </row>
    <row r="22540">
      <c r="L22540" s="13"/>
      <c r="M22540" s="14"/>
      <c r="N22540" s="14"/>
      <c r="O22540" s="14"/>
      <c r="P22540" s="13"/>
    </row>
    <row r="22541">
      <c r="L22541" s="13"/>
      <c r="M22541" s="14"/>
      <c r="N22541" s="14"/>
      <c r="O22541" s="14"/>
      <c r="P22541" s="13"/>
    </row>
    <row r="22542">
      <c r="L22542" s="13"/>
      <c r="M22542" s="14"/>
      <c r="N22542" s="14"/>
      <c r="O22542" s="14"/>
      <c r="P22542" s="13"/>
    </row>
    <row r="22543">
      <c r="L22543" s="13"/>
      <c r="M22543" s="14"/>
      <c r="N22543" s="14"/>
      <c r="O22543" s="14"/>
      <c r="P22543" s="13"/>
    </row>
    <row r="22544">
      <c r="L22544" s="13"/>
      <c r="M22544" s="14"/>
      <c r="N22544" s="14"/>
      <c r="O22544" s="14"/>
      <c r="P22544" s="13"/>
    </row>
    <row r="22545">
      <c r="L22545" s="13"/>
      <c r="M22545" s="14"/>
      <c r="N22545" s="14"/>
      <c r="O22545" s="14"/>
      <c r="P22545" s="13"/>
    </row>
    <row r="22546">
      <c r="L22546" s="13"/>
      <c r="M22546" s="14"/>
      <c r="N22546" s="14"/>
      <c r="O22546" s="14"/>
      <c r="P22546" s="13"/>
    </row>
    <row r="22547">
      <c r="L22547" s="13"/>
      <c r="M22547" s="14"/>
      <c r="N22547" s="14"/>
      <c r="O22547" s="14"/>
      <c r="P22547" s="13"/>
    </row>
    <row r="22548">
      <c r="L22548" s="13"/>
      <c r="M22548" s="14"/>
      <c r="N22548" s="14"/>
      <c r="O22548" s="14"/>
      <c r="P22548" s="13"/>
    </row>
    <row r="22549">
      <c r="L22549" s="13"/>
      <c r="M22549" s="14"/>
      <c r="N22549" s="14"/>
      <c r="O22549" s="14"/>
      <c r="P22549" s="13"/>
    </row>
    <row r="22550">
      <c r="L22550" s="13"/>
      <c r="M22550" s="14"/>
      <c r="N22550" s="14"/>
      <c r="O22550" s="14"/>
      <c r="P22550" s="13"/>
    </row>
    <row r="22551">
      <c r="L22551" s="13"/>
      <c r="M22551" s="14"/>
      <c r="N22551" s="14"/>
      <c r="O22551" s="14"/>
      <c r="P22551" s="13"/>
    </row>
    <row r="22552">
      <c r="L22552" s="13"/>
      <c r="M22552" s="14"/>
      <c r="N22552" s="14"/>
      <c r="O22552" s="14"/>
      <c r="P22552" s="13"/>
    </row>
    <row r="22553">
      <c r="L22553" s="13"/>
      <c r="M22553" s="14"/>
      <c r="N22553" s="14"/>
      <c r="O22553" s="14"/>
      <c r="P22553" s="13"/>
    </row>
    <row r="22554">
      <c r="L22554" s="13"/>
      <c r="M22554" s="14"/>
      <c r="N22554" s="14"/>
      <c r="O22554" s="14"/>
      <c r="P22554" s="13"/>
    </row>
    <row r="22555">
      <c r="L22555" s="13"/>
      <c r="M22555" s="14"/>
      <c r="N22555" s="14"/>
      <c r="O22555" s="14"/>
      <c r="P22555" s="13"/>
    </row>
    <row r="22556">
      <c r="L22556" s="13"/>
      <c r="M22556" s="14"/>
      <c r="N22556" s="14"/>
      <c r="O22556" s="14"/>
      <c r="P22556" s="13"/>
    </row>
    <row r="22557">
      <c r="L22557" s="13"/>
      <c r="M22557" s="14"/>
      <c r="N22557" s="14"/>
      <c r="O22557" s="14"/>
      <c r="P22557" s="13"/>
    </row>
    <row r="22558">
      <c r="L22558" s="13"/>
      <c r="M22558" s="14"/>
      <c r="N22558" s="14"/>
      <c r="O22558" s="14"/>
      <c r="P22558" s="13"/>
    </row>
    <row r="22559">
      <c r="L22559" s="13"/>
      <c r="M22559" s="14"/>
      <c r="N22559" s="14"/>
      <c r="O22559" s="14"/>
      <c r="P22559" s="13"/>
    </row>
    <row r="22560">
      <c r="L22560" s="13"/>
      <c r="M22560" s="14"/>
      <c r="N22560" s="14"/>
      <c r="O22560" s="14"/>
      <c r="P22560" s="13"/>
    </row>
    <row r="22561">
      <c r="L22561" s="13"/>
      <c r="M22561" s="14"/>
      <c r="N22561" s="14"/>
      <c r="O22561" s="14"/>
      <c r="P22561" s="13"/>
    </row>
    <row r="22562">
      <c r="L22562" s="13"/>
      <c r="M22562" s="14"/>
      <c r="N22562" s="14"/>
      <c r="O22562" s="14"/>
      <c r="P22562" s="13"/>
    </row>
    <row r="22563">
      <c r="L22563" s="13"/>
      <c r="M22563" s="14"/>
      <c r="N22563" s="14"/>
      <c r="O22563" s="14"/>
      <c r="P22563" s="13"/>
    </row>
    <row r="22564">
      <c r="L22564" s="13"/>
      <c r="M22564" s="14"/>
      <c r="N22564" s="14"/>
      <c r="O22564" s="14"/>
      <c r="P22564" s="13"/>
    </row>
    <row r="22565">
      <c r="L22565" s="13"/>
      <c r="M22565" s="14"/>
      <c r="N22565" s="14"/>
      <c r="O22565" s="14"/>
      <c r="P22565" s="13"/>
    </row>
    <row r="22566">
      <c r="L22566" s="13"/>
      <c r="M22566" s="14"/>
      <c r="N22566" s="14"/>
      <c r="O22566" s="14"/>
      <c r="P22566" s="13"/>
    </row>
    <row r="22567">
      <c r="L22567" s="13"/>
      <c r="M22567" s="14"/>
      <c r="N22567" s="14"/>
      <c r="O22567" s="14"/>
      <c r="P22567" s="13"/>
    </row>
    <row r="22568">
      <c r="L22568" s="13"/>
      <c r="M22568" s="14"/>
      <c r="N22568" s="14"/>
      <c r="O22568" s="14"/>
      <c r="P22568" s="13"/>
    </row>
    <row r="22569">
      <c r="L22569" s="13"/>
      <c r="M22569" s="14"/>
      <c r="N22569" s="14"/>
      <c r="O22569" s="14"/>
      <c r="P22569" s="13"/>
    </row>
    <row r="22570">
      <c r="L22570" s="13"/>
      <c r="M22570" s="14"/>
      <c r="N22570" s="14"/>
      <c r="O22570" s="14"/>
      <c r="P22570" s="13"/>
    </row>
    <row r="22571">
      <c r="L22571" s="13"/>
      <c r="M22571" s="14"/>
      <c r="N22571" s="14"/>
      <c r="O22571" s="14"/>
      <c r="P22571" s="13"/>
    </row>
    <row r="22572">
      <c r="L22572" s="13"/>
      <c r="M22572" s="14"/>
      <c r="N22572" s="14"/>
      <c r="O22572" s="14"/>
      <c r="P22572" s="13"/>
    </row>
    <row r="22573">
      <c r="L22573" s="13"/>
      <c r="M22573" s="14"/>
      <c r="N22573" s="14"/>
      <c r="O22573" s="14"/>
      <c r="P22573" s="13"/>
    </row>
    <row r="22574">
      <c r="L22574" s="13"/>
      <c r="M22574" s="14"/>
      <c r="N22574" s="14"/>
      <c r="O22574" s="14"/>
      <c r="P22574" s="13"/>
    </row>
    <row r="22575">
      <c r="L22575" s="13"/>
      <c r="M22575" s="14"/>
      <c r="N22575" s="14"/>
      <c r="O22575" s="14"/>
      <c r="P22575" s="13"/>
    </row>
    <row r="22576">
      <c r="L22576" s="13"/>
      <c r="M22576" s="14"/>
      <c r="N22576" s="14"/>
      <c r="O22576" s="14"/>
      <c r="P22576" s="13"/>
    </row>
    <row r="22577">
      <c r="L22577" s="13"/>
      <c r="M22577" s="14"/>
      <c r="N22577" s="14"/>
      <c r="O22577" s="14"/>
      <c r="P22577" s="13"/>
    </row>
    <row r="22578">
      <c r="L22578" s="13"/>
      <c r="M22578" s="14"/>
      <c r="N22578" s="14"/>
      <c r="O22578" s="14"/>
      <c r="P22578" s="13"/>
    </row>
    <row r="22579">
      <c r="L22579" s="13"/>
      <c r="M22579" s="14"/>
      <c r="N22579" s="14"/>
      <c r="O22579" s="14"/>
      <c r="P22579" s="13"/>
    </row>
    <row r="22580">
      <c r="L22580" s="13"/>
      <c r="M22580" s="14"/>
      <c r="N22580" s="14"/>
      <c r="O22580" s="14"/>
      <c r="P22580" s="13"/>
    </row>
    <row r="22581">
      <c r="L22581" s="13"/>
      <c r="M22581" s="14"/>
      <c r="N22581" s="14"/>
      <c r="O22581" s="14"/>
      <c r="P22581" s="13"/>
    </row>
    <row r="22582">
      <c r="L22582" s="13"/>
      <c r="M22582" s="14"/>
      <c r="N22582" s="14"/>
      <c r="O22582" s="14"/>
      <c r="P22582" s="13"/>
    </row>
    <row r="22583">
      <c r="L22583" s="13"/>
      <c r="M22583" s="14"/>
      <c r="N22583" s="14"/>
      <c r="O22583" s="14"/>
      <c r="P22583" s="13"/>
    </row>
    <row r="22584">
      <c r="L22584" s="13"/>
      <c r="M22584" s="14"/>
      <c r="N22584" s="14"/>
      <c r="O22584" s="14"/>
      <c r="P22584" s="13"/>
    </row>
    <row r="22585">
      <c r="L22585" s="13"/>
      <c r="M22585" s="14"/>
      <c r="N22585" s="14"/>
      <c r="O22585" s="14"/>
      <c r="P22585" s="13"/>
    </row>
    <row r="22586">
      <c r="L22586" s="13"/>
      <c r="M22586" s="14"/>
      <c r="N22586" s="14"/>
      <c r="O22586" s="14"/>
      <c r="P22586" s="13"/>
    </row>
    <row r="22587">
      <c r="L22587" s="13"/>
      <c r="M22587" s="14"/>
      <c r="N22587" s="14"/>
      <c r="O22587" s="14"/>
      <c r="P22587" s="13"/>
    </row>
    <row r="22588">
      <c r="L22588" s="13"/>
      <c r="M22588" s="14"/>
      <c r="N22588" s="14"/>
      <c r="O22588" s="14"/>
      <c r="P22588" s="13"/>
    </row>
    <row r="22589">
      <c r="L22589" s="13"/>
      <c r="M22589" s="14"/>
      <c r="N22589" s="14"/>
      <c r="O22589" s="14"/>
      <c r="P22589" s="13"/>
    </row>
    <row r="22590">
      <c r="L22590" s="13"/>
      <c r="M22590" s="14"/>
      <c r="N22590" s="14"/>
      <c r="O22590" s="14"/>
      <c r="P22590" s="13"/>
    </row>
    <row r="22591">
      <c r="L22591" s="13"/>
      <c r="M22591" s="14"/>
      <c r="N22591" s="14"/>
      <c r="O22591" s="14"/>
      <c r="P22591" s="13"/>
    </row>
    <row r="22592">
      <c r="L22592" s="13"/>
      <c r="M22592" s="14"/>
      <c r="N22592" s="14"/>
      <c r="O22592" s="14"/>
      <c r="P22592" s="13"/>
    </row>
    <row r="22593">
      <c r="L22593" s="13"/>
      <c r="M22593" s="14"/>
      <c r="N22593" s="14"/>
      <c r="O22593" s="14"/>
      <c r="P22593" s="13"/>
    </row>
    <row r="22594">
      <c r="L22594" s="13"/>
      <c r="M22594" s="14"/>
      <c r="N22594" s="14"/>
      <c r="O22594" s="14"/>
      <c r="P22594" s="13"/>
    </row>
    <row r="22595">
      <c r="L22595" s="13"/>
      <c r="M22595" s="14"/>
      <c r="N22595" s="14"/>
      <c r="O22595" s="14"/>
      <c r="P22595" s="13"/>
    </row>
    <row r="22596">
      <c r="L22596" s="13"/>
      <c r="M22596" s="14"/>
      <c r="N22596" s="14"/>
      <c r="O22596" s="14"/>
      <c r="P22596" s="13"/>
    </row>
    <row r="22597">
      <c r="L22597" s="13"/>
      <c r="M22597" s="14"/>
      <c r="N22597" s="14"/>
      <c r="O22597" s="14"/>
      <c r="P22597" s="13"/>
    </row>
    <row r="22598">
      <c r="L22598" s="13"/>
      <c r="M22598" s="14"/>
      <c r="N22598" s="14"/>
      <c r="O22598" s="14"/>
      <c r="P22598" s="13"/>
    </row>
    <row r="22599">
      <c r="L22599" s="13"/>
      <c r="M22599" s="14"/>
      <c r="N22599" s="14"/>
      <c r="O22599" s="14"/>
      <c r="P22599" s="13"/>
    </row>
    <row r="22600">
      <c r="L22600" s="13"/>
      <c r="M22600" s="14"/>
      <c r="N22600" s="14"/>
      <c r="O22600" s="14"/>
      <c r="P22600" s="13"/>
    </row>
    <row r="22601">
      <c r="L22601" s="13"/>
      <c r="M22601" s="14"/>
      <c r="N22601" s="14"/>
      <c r="O22601" s="14"/>
      <c r="P22601" s="13"/>
    </row>
    <row r="22602">
      <c r="L22602" s="13"/>
      <c r="M22602" s="14"/>
      <c r="N22602" s="14"/>
      <c r="O22602" s="14"/>
      <c r="P22602" s="13"/>
    </row>
    <row r="22603">
      <c r="L22603" s="13"/>
      <c r="M22603" s="14"/>
      <c r="N22603" s="14"/>
      <c r="O22603" s="14"/>
      <c r="P22603" s="13"/>
    </row>
    <row r="22604">
      <c r="L22604" s="13"/>
      <c r="M22604" s="14"/>
      <c r="N22604" s="14"/>
      <c r="O22604" s="14"/>
      <c r="P22604" s="13"/>
    </row>
    <row r="22605">
      <c r="L22605" s="13"/>
      <c r="M22605" s="14"/>
      <c r="N22605" s="14"/>
      <c r="O22605" s="14"/>
      <c r="P22605" s="13"/>
    </row>
    <row r="22606">
      <c r="L22606" s="13"/>
      <c r="M22606" s="14"/>
      <c r="N22606" s="14"/>
      <c r="O22606" s="14"/>
      <c r="P22606" s="13"/>
    </row>
    <row r="22607">
      <c r="L22607" s="13"/>
      <c r="M22607" s="14"/>
      <c r="N22607" s="14"/>
      <c r="O22607" s="14"/>
      <c r="P22607" s="13"/>
    </row>
    <row r="22608">
      <c r="L22608" s="13"/>
      <c r="M22608" s="14"/>
      <c r="N22608" s="14"/>
      <c r="O22608" s="14"/>
      <c r="P22608" s="13"/>
    </row>
    <row r="22609">
      <c r="L22609" s="13"/>
      <c r="M22609" s="14"/>
      <c r="N22609" s="14"/>
      <c r="O22609" s="14"/>
      <c r="P22609" s="13"/>
    </row>
    <row r="22610">
      <c r="L22610" s="13"/>
      <c r="M22610" s="14"/>
      <c r="N22610" s="14"/>
      <c r="O22610" s="14"/>
      <c r="P22610" s="13"/>
    </row>
    <row r="22611">
      <c r="L22611" s="13"/>
      <c r="M22611" s="14"/>
      <c r="N22611" s="14"/>
      <c r="O22611" s="14"/>
      <c r="P22611" s="13"/>
    </row>
    <row r="22612">
      <c r="L22612" s="13"/>
      <c r="M22612" s="14"/>
      <c r="N22612" s="14"/>
      <c r="O22612" s="14"/>
      <c r="P22612" s="13"/>
    </row>
    <row r="22613">
      <c r="L22613" s="13"/>
      <c r="M22613" s="14"/>
      <c r="N22613" s="14"/>
      <c r="O22613" s="14"/>
      <c r="P22613" s="13"/>
    </row>
    <row r="22614">
      <c r="L22614" s="13"/>
      <c r="M22614" s="14"/>
      <c r="N22614" s="14"/>
      <c r="O22614" s="14"/>
      <c r="P22614" s="13"/>
    </row>
    <row r="22615">
      <c r="L22615" s="13"/>
      <c r="M22615" s="14"/>
      <c r="N22615" s="14"/>
      <c r="O22615" s="14"/>
      <c r="P22615" s="13"/>
    </row>
    <row r="22616">
      <c r="L22616" s="13"/>
      <c r="M22616" s="14"/>
      <c r="N22616" s="14"/>
      <c r="O22616" s="14"/>
      <c r="P22616" s="13"/>
    </row>
    <row r="22617">
      <c r="L22617" s="13"/>
      <c r="M22617" s="14"/>
      <c r="N22617" s="14"/>
      <c r="O22617" s="14"/>
      <c r="P22617" s="13"/>
    </row>
    <row r="22618">
      <c r="L22618" s="13"/>
      <c r="M22618" s="14"/>
      <c r="N22618" s="14"/>
      <c r="O22618" s="14"/>
      <c r="P22618" s="13"/>
    </row>
    <row r="22619">
      <c r="L22619" s="13"/>
      <c r="M22619" s="14"/>
      <c r="N22619" s="14"/>
      <c r="O22619" s="14"/>
      <c r="P22619" s="13"/>
    </row>
    <row r="22620">
      <c r="L22620" s="13"/>
      <c r="M22620" s="14"/>
      <c r="N22620" s="14"/>
      <c r="O22620" s="14"/>
      <c r="P22620" s="13"/>
    </row>
    <row r="22621">
      <c r="L22621" s="13"/>
      <c r="M22621" s="14"/>
      <c r="N22621" s="14"/>
      <c r="O22621" s="14"/>
      <c r="P22621" s="13"/>
    </row>
    <row r="22622">
      <c r="L22622" s="13"/>
      <c r="M22622" s="14"/>
      <c r="N22622" s="14"/>
      <c r="O22622" s="14"/>
      <c r="P22622" s="13"/>
    </row>
    <row r="22623">
      <c r="L22623" s="13"/>
      <c r="M22623" s="14"/>
      <c r="N22623" s="14"/>
      <c r="O22623" s="14"/>
      <c r="P22623" s="13"/>
    </row>
    <row r="22624">
      <c r="L22624" s="13"/>
      <c r="M22624" s="14"/>
      <c r="N22624" s="14"/>
      <c r="O22624" s="14"/>
      <c r="P22624" s="13"/>
    </row>
    <row r="22625">
      <c r="L22625" s="13"/>
      <c r="M22625" s="14"/>
      <c r="N22625" s="14"/>
      <c r="O22625" s="14"/>
      <c r="P22625" s="13"/>
    </row>
    <row r="22626">
      <c r="L22626" s="13"/>
      <c r="M22626" s="14"/>
      <c r="N22626" s="14"/>
      <c r="O22626" s="14"/>
      <c r="P22626" s="13"/>
    </row>
    <row r="22627">
      <c r="L22627" s="13"/>
      <c r="M22627" s="14"/>
      <c r="N22627" s="14"/>
      <c r="O22627" s="14"/>
      <c r="P22627" s="13"/>
    </row>
    <row r="22628">
      <c r="L22628" s="13"/>
      <c r="M22628" s="14"/>
      <c r="N22628" s="14"/>
      <c r="O22628" s="14"/>
      <c r="P22628" s="13"/>
    </row>
    <row r="22629">
      <c r="L22629" s="13"/>
      <c r="M22629" s="14"/>
      <c r="N22629" s="14"/>
      <c r="O22629" s="14"/>
      <c r="P22629" s="13"/>
    </row>
    <row r="22630">
      <c r="L22630" s="13"/>
      <c r="M22630" s="14"/>
      <c r="N22630" s="14"/>
      <c r="O22630" s="14"/>
      <c r="P22630" s="13"/>
    </row>
    <row r="22631">
      <c r="L22631" s="13"/>
      <c r="M22631" s="14"/>
      <c r="N22631" s="14"/>
      <c r="O22631" s="14"/>
      <c r="P22631" s="13"/>
    </row>
    <row r="22632">
      <c r="L22632" s="13"/>
      <c r="M22632" s="14"/>
      <c r="N22632" s="14"/>
      <c r="O22632" s="14"/>
      <c r="P22632" s="13"/>
    </row>
    <row r="22633">
      <c r="L22633" s="13"/>
      <c r="M22633" s="14"/>
      <c r="N22633" s="14"/>
      <c r="O22633" s="14"/>
      <c r="P22633" s="13"/>
    </row>
    <row r="22634">
      <c r="L22634" s="13"/>
      <c r="M22634" s="14"/>
      <c r="N22634" s="14"/>
      <c r="O22634" s="14"/>
      <c r="P22634" s="13"/>
    </row>
    <row r="22635">
      <c r="L22635" s="13"/>
      <c r="M22635" s="14"/>
      <c r="N22635" s="14"/>
      <c r="O22635" s="14"/>
      <c r="P22635" s="13"/>
    </row>
    <row r="22636">
      <c r="L22636" s="13"/>
      <c r="M22636" s="14"/>
      <c r="N22636" s="14"/>
      <c r="O22636" s="14"/>
      <c r="P22636" s="13"/>
    </row>
    <row r="22637">
      <c r="L22637" s="13"/>
      <c r="M22637" s="14"/>
      <c r="N22637" s="14"/>
      <c r="O22637" s="14"/>
      <c r="P22637" s="13"/>
    </row>
    <row r="22638">
      <c r="L22638" s="13"/>
      <c r="M22638" s="14"/>
      <c r="N22638" s="14"/>
      <c r="O22638" s="14"/>
      <c r="P22638" s="13"/>
    </row>
    <row r="22639">
      <c r="L22639" s="13"/>
      <c r="M22639" s="14"/>
      <c r="N22639" s="14"/>
      <c r="O22639" s="14"/>
      <c r="P22639" s="13"/>
    </row>
    <row r="22640">
      <c r="L22640" s="13"/>
      <c r="M22640" s="14"/>
      <c r="N22640" s="14"/>
      <c r="O22640" s="14"/>
      <c r="P22640" s="13"/>
    </row>
    <row r="22641">
      <c r="L22641" s="13"/>
      <c r="M22641" s="14"/>
      <c r="N22641" s="14"/>
      <c r="O22641" s="14"/>
      <c r="P22641" s="13"/>
    </row>
    <row r="22642">
      <c r="L22642" s="13"/>
      <c r="M22642" s="14"/>
      <c r="N22642" s="14"/>
      <c r="O22642" s="14"/>
      <c r="P22642" s="13"/>
    </row>
    <row r="22643">
      <c r="L22643" s="13"/>
      <c r="M22643" s="14"/>
      <c r="N22643" s="14"/>
      <c r="O22643" s="14"/>
      <c r="P22643" s="13"/>
    </row>
    <row r="22644">
      <c r="L22644" s="13"/>
      <c r="M22644" s="14"/>
      <c r="N22644" s="14"/>
      <c r="O22644" s="14"/>
      <c r="P22644" s="13"/>
    </row>
    <row r="22645">
      <c r="L22645" s="13"/>
      <c r="M22645" s="14"/>
      <c r="N22645" s="14"/>
      <c r="O22645" s="14"/>
      <c r="P22645" s="13"/>
    </row>
    <row r="22646">
      <c r="L22646" s="13"/>
      <c r="M22646" s="14"/>
      <c r="N22646" s="14"/>
      <c r="O22646" s="14"/>
      <c r="P22646" s="13"/>
    </row>
    <row r="22647">
      <c r="L22647" s="13"/>
      <c r="M22647" s="14"/>
      <c r="N22647" s="14"/>
      <c r="O22647" s="14"/>
      <c r="P22647" s="13"/>
    </row>
    <row r="22648">
      <c r="L22648" s="13"/>
      <c r="M22648" s="14"/>
      <c r="N22648" s="14"/>
      <c r="O22648" s="14"/>
      <c r="P22648" s="13"/>
    </row>
    <row r="22649">
      <c r="L22649" s="13"/>
      <c r="M22649" s="14"/>
      <c r="N22649" s="14"/>
      <c r="O22649" s="14"/>
      <c r="P22649" s="13"/>
    </row>
    <row r="22650">
      <c r="L22650" s="13"/>
      <c r="M22650" s="14"/>
      <c r="N22650" s="14"/>
      <c r="O22650" s="14"/>
      <c r="P22650" s="13"/>
    </row>
    <row r="22651">
      <c r="L22651" s="13"/>
      <c r="M22651" s="14"/>
      <c r="N22651" s="14"/>
      <c r="O22651" s="14"/>
      <c r="P22651" s="13"/>
    </row>
    <row r="22652">
      <c r="L22652" s="13"/>
      <c r="M22652" s="14"/>
      <c r="N22652" s="14"/>
      <c r="O22652" s="14"/>
      <c r="P22652" s="13"/>
    </row>
    <row r="22653">
      <c r="L22653" s="13"/>
      <c r="M22653" s="14"/>
      <c r="N22653" s="14"/>
      <c r="O22653" s="14"/>
      <c r="P22653" s="13"/>
    </row>
    <row r="22654">
      <c r="L22654" s="13"/>
      <c r="M22654" s="14"/>
      <c r="N22654" s="14"/>
      <c r="O22654" s="14"/>
      <c r="P22654" s="13"/>
    </row>
    <row r="22655">
      <c r="L22655" s="13"/>
      <c r="M22655" s="14"/>
      <c r="N22655" s="14"/>
      <c r="O22655" s="14"/>
      <c r="P22655" s="13"/>
    </row>
    <row r="22656">
      <c r="L22656" s="13"/>
      <c r="M22656" s="14"/>
      <c r="N22656" s="14"/>
      <c r="O22656" s="14"/>
      <c r="P22656" s="13"/>
    </row>
    <row r="22657">
      <c r="L22657" s="13"/>
      <c r="M22657" s="14"/>
      <c r="N22657" s="14"/>
      <c r="O22657" s="14"/>
      <c r="P22657" s="13"/>
    </row>
    <row r="22658">
      <c r="L22658" s="13"/>
      <c r="M22658" s="14"/>
      <c r="N22658" s="14"/>
      <c r="O22658" s="14"/>
      <c r="P22658" s="13"/>
    </row>
    <row r="22659">
      <c r="L22659" s="13"/>
      <c r="M22659" s="14"/>
      <c r="N22659" s="14"/>
      <c r="O22659" s="14"/>
      <c r="P22659" s="13"/>
    </row>
    <row r="22660">
      <c r="L22660" s="13"/>
      <c r="M22660" s="14"/>
      <c r="N22660" s="14"/>
      <c r="O22660" s="14"/>
      <c r="P22660" s="13"/>
    </row>
    <row r="22661">
      <c r="L22661" s="13"/>
      <c r="M22661" s="14"/>
      <c r="N22661" s="14"/>
      <c r="O22661" s="14"/>
      <c r="P22661" s="13"/>
    </row>
    <row r="22662">
      <c r="L22662" s="13"/>
      <c r="M22662" s="14"/>
      <c r="N22662" s="14"/>
      <c r="O22662" s="14"/>
      <c r="P22662" s="13"/>
    </row>
    <row r="22663">
      <c r="L22663" s="13"/>
      <c r="M22663" s="14"/>
      <c r="N22663" s="14"/>
      <c r="O22663" s="14"/>
      <c r="P22663" s="13"/>
    </row>
    <row r="22664">
      <c r="L22664" s="13"/>
      <c r="M22664" s="14"/>
      <c r="N22664" s="14"/>
      <c r="O22664" s="14"/>
      <c r="P22664" s="13"/>
    </row>
    <row r="22665">
      <c r="L22665" s="13"/>
      <c r="M22665" s="14"/>
      <c r="N22665" s="14"/>
      <c r="O22665" s="14"/>
      <c r="P22665" s="13"/>
    </row>
    <row r="22666">
      <c r="L22666" s="13"/>
      <c r="M22666" s="14"/>
      <c r="N22666" s="14"/>
      <c r="O22666" s="14"/>
      <c r="P22666" s="13"/>
    </row>
    <row r="22667">
      <c r="L22667" s="13"/>
      <c r="M22667" s="14"/>
      <c r="N22667" s="14"/>
      <c r="O22667" s="14"/>
      <c r="P22667" s="13"/>
    </row>
    <row r="22668">
      <c r="L22668" s="13"/>
      <c r="M22668" s="14"/>
      <c r="N22668" s="14"/>
      <c r="O22668" s="14"/>
      <c r="P22668" s="13"/>
    </row>
    <row r="22669">
      <c r="L22669" s="13"/>
      <c r="M22669" s="14"/>
      <c r="N22669" s="14"/>
      <c r="O22669" s="14"/>
      <c r="P22669" s="13"/>
    </row>
    <row r="22670">
      <c r="L22670" s="13"/>
      <c r="M22670" s="14"/>
      <c r="N22670" s="14"/>
      <c r="O22670" s="14"/>
      <c r="P22670" s="13"/>
    </row>
    <row r="22671">
      <c r="L22671" s="13"/>
      <c r="M22671" s="14"/>
      <c r="N22671" s="14"/>
      <c r="O22671" s="14"/>
      <c r="P22671" s="13"/>
    </row>
    <row r="22672">
      <c r="L22672" s="13"/>
      <c r="M22672" s="14"/>
      <c r="N22672" s="14"/>
      <c r="O22672" s="14"/>
      <c r="P22672" s="13"/>
    </row>
    <row r="22673">
      <c r="L22673" s="13"/>
      <c r="M22673" s="14"/>
      <c r="N22673" s="14"/>
      <c r="O22673" s="14"/>
      <c r="P22673" s="13"/>
    </row>
    <row r="22674">
      <c r="L22674" s="13"/>
      <c r="M22674" s="14"/>
      <c r="N22674" s="14"/>
      <c r="O22674" s="14"/>
      <c r="P22674" s="13"/>
    </row>
    <row r="22675">
      <c r="L22675" s="13"/>
      <c r="M22675" s="14"/>
      <c r="N22675" s="14"/>
      <c r="O22675" s="14"/>
      <c r="P22675" s="13"/>
    </row>
    <row r="22676">
      <c r="L22676" s="13"/>
      <c r="M22676" s="14"/>
      <c r="N22676" s="14"/>
      <c r="O22676" s="14"/>
      <c r="P22676" s="13"/>
    </row>
    <row r="22677">
      <c r="L22677" s="13"/>
      <c r="M22677" s="14"/>
      <c r="N22677" s="14"/>
      <c r="O22677" s="14"/>
      <c r="P22677" s="13"/>
    </row>
    <row r="22678">
      <c r="L22678" s="13"/>
      <c r="M22678" s="14"/>
      <c r="N22678" s="14"/>
      <c r="O22678" s="14"/>
      <c r="P22678" s="13"/>
    </row>
    <row r="22679">
      <c r="L22679" s="13"/>
      <c r="M22679" s="14"/>
      <c r="N22679" s="14"/>
      <c r="O22679" s="14"/>
      <c r="P22679" s="13"/>
    </row>
    <row r="22680">
      <c r="L22680" s="13"/>
      <c r="M22680" s="14"/>
      <c r="N22680" s="14"/>
      <c r="O22680" s="14"/>
      <c r="P22680" s="13"/>
    </row>
    <row r="22681">
      <c r="L22681" s="13"/>
      <c r="M22681" s="14"/>
      <c r="N22681" s="14"/>
      <c r="O22681" s="14"/>
      <c r="P22681" s="13"/>
    </row>
    <row r="22682">
      <c r="L22682" s="13"/>
      <c r="M22682" s="14"/>
      <c r="N22682" s="14"/>
      <c r="O22682" s="14"/>
      <c r="P22682" s="13"/>
    </row>
    <row r="22683">
      <c r="L22683" s="13"/>
      <c r="M22683" s="14"/>
      <c r="N22683" s="14"/>
      <c r="O22683" s="14"/>
      <c r="P22683" s="13"/>
    </row>
    <row r="22684">
      <c r="L22684" s="13"/>
      <c r="M22684" s="14"/>
      <c r="N22684" s="14"/>
      <c r="O22684" s="14"/>
      <c r="P22684" s="13"/>
    </row>
    <row r="22685">
      <c r="L22685" s="13"/>
      <c r="M22685" s="14"/>
      <c r="N22685" s="14"/>
      <c r="O22685" s="14"/>
      <c r="P22685" s="13"/>
    </row>
    <row r="22686">
      <c r="L22686" s="13"/>
      <c r="M22686" s="14"/>
      <c r="N22686" s="14"/>
      <c r="O22686" s="14"/>
      <c r="P22686" s="13"/>
    </row>
    <row r="22687">
      <c r="L22687" s="13"/>
      <c r="M22687" s="14"/>
      <c r="N22687" s="14"/>
      <c r="O22687" s="14"/>
      <c r="P22687" s="13"/>
    </row>
    <row r="22688">
      <c r="L22688" s="13"/>
      <c r="M22688" s="14"/>
      <c r="N22688" s="14"/>
      <c r="O22688" s="14"/>
      <c r="P22688" s="13"/>
    </row>
    <row r="22689">
      <c r="L22689" s="13"/>
      <c r="M22689" s="14"/>
      <c r="N22689" s="14"/>
      <c r="O22689" s="14"/>
      <c r="P22689" s="13"/>
    </row>
    <row r="22690">
      <c r="L22690" s="13"/>
      <c r="M22690" s="14"/>
      <c r="N22690" s="14"/>
      <c r="O22690" s="14"/>
      <c r="P22690" s="13"/>
    </row>
    <row r="22691">
      <c r="L22691" s="13"/>
      <c r="M22691" s="14"/>
      <c r="N22691" s="14"/>
      <c r="O22691" s="14"/>
      <c r="P22691" s="13"/>
    </row>
    <row r="22692">
      <c r="L22692" s="13"/>
      <c r="M22692" s="14"/>
      <c r="N22692" s="14"/>
      <c r="O22692" s="14"/>
      <c r="P22692" s="13"/>
    </row>
    <row r="22693">
      <c r="L22693" s="13"/>
      <c r="M22693" s="14"/>
      <c r="N22693" s="14"/>
      <c r="O22693" s="14"/>
      <c r="P22693" s="13"/>
    </row>
    <row r="22694">
      <c r="L22694" s="13"/>
      <c r="M22694" s="14"/>
      <c r="N22694" s="14"/>
      <c r="O22694" s="14"/>
      <c r="P22694" s="13"/>
    </row>
    <row r="22695">
      <c r="L22695" s="13"/>
      <c r="M22695" s="14"/>
      <c r="N22695" s="14"/>
      <c r="O22695" s="14"/>
      <c r="P22695" s="13"/>
    </row>
    <row r="22696">
      <c r="L22696" s="13"/>
      <c r="M22696" s="14"/>
      <c r="N22696" s="14"/>
      <c r="O22696" s="14"/>
      <c r="P22696" s="13"/>
    </row>
    <row r="22697">
      <c r="L22697" s="13"/>
      <c r="M22697" s="14"/>
      <c r="N22697" s="14"/>
      <c r="O22697" s="14"/>
      <c r="P22697" s="13"/>
    </row>
    <row r="22698">
      <c r="L22698" s="13"/>
      <c r="M22698" s="14"/>
      <c r="N22698" s="14"/>
      <c r="O22698" s="14"/>
      <c r="P22698" s="13"/>
    </row>
    <row r="22699">
      <c r="L22699" s="13"/>
      <c r="M22699" s="14"/>
      <c r="N22699" s="14"/>
      <c r="O22699" s="14"/>
      <c r="P22699" s="13"/>
    </row>
    <row r="22700">
      <c r="L22700" s="13"/>
      <c r="M22700" s="14"/>
      <c r="N22700" s="14"/>
      <c r="O22700" s="14"/>
      <c r="P22700" s="13"/>
    </row>
    <row r="22701">
      <c r="L22701" s="13"/>
      <c r="M22701" s="14"/>
      <c r="N22701" s="14"/>
      <c r="O22701" s="14"/>
      <c r="P22701" s="13"/>
    </row>
    <row r="22702">
      <c r="L22702" s="13"/>
      <c r="M22702" s="14"/>
      <c r="N22702" s="14"/>
      <c r="O22702" s="14"/>
      <c r="P22702" s="13"/>
    </row>
    <row r="22703">
      <c r="L22703" s="13"/>
      <c r="M22703" s="14"/>
      <c r="N22703" s="14"/>
      <c r="O22703" s="14"/>
      <c r="P22703" s="13"/>
    </row>
    <row r="22704">
      <c r="L22704" s="13"/>
      <c r="M22704" s="14"/>
      <c r="N22704" s="14"/>
      <c r="O22704" s="14"/>
      <c r="P22704" s="13"/>
    </row>
    <row r="22705">
      <c r="L22705" s="13"/>
      <c r="M22705" s="14"/>
      <c r="N22705" s="14"/>
      <c r="O22705" s="14"/>
      <c r="P22705" s="13"/>
    </row>
    <row r="22706">
      <c r="L22706" s="13"/>
      <c r="M22706" s="14"/>
      <c r="N22706" s="14"/>
      <c r="O22706" s="14"/>
      <c r="P22706" s="13"/>
    </row>
    <row r="22707">
      <c r="L22707" s="13"/>
      <c r="M22707" s="14"/>
      <c r="N22707" s="14"/>
      <c r="O22707" s="14"/>
      <c r="P22707" s="13"/>
    </row>
    <row r="22708">
      <c r="L22708" s="13"/>
      <c r="M22708" s="14"/>
      <c r="N22708" s="14"/>
      <c r="O22708" s="14"/>
      <c r="P22708" s="13"/>
    </row>
    <row r="22709">
      <c r="L22709" s="13"/>
      <c r="M22709" s="14"/>
      <c r="N22709" s="14"/>
      <c r="O22709" s="14"/>
      <c r="P22709" s="13"/>
    </row>
    <row r="22710">
      <c r="L22710" s="13"/>
      <c r="M22710" s="14"/>
      <c r="N22710" s="14"/>
      <c r="O22710" s="14"/>
      <c r="P22710" s="13"/>
    </row>
    <row r="22711">
      <c r="L22711" s="13"/>
      <c r="M22711" s="14"/>
      <c r="N22711" s="14"/>
      <c r="O22711" s="14"/>
      <c r="P22711" s="13"/>
    </row>
    <row r="22712">
      <c r="L22712" s="13"/>
      <c r="M22712" s="14"/>
      <c r="N22712" s="14"/>
      <c r="O22712" s="14"/>
      <c r="P22712" s="13"/>
    </row>
    <row r="22713">
      <c r="L22713" s="13"/>
      <c r="M22713" s="14"/>
      <c r="N22713" s="14"/>
      <c r="O22713" s="14"/>
      <c r="P22713" s="13"/>
    </row>
    <row r="22714">
      <c r="L22714" s="13"/>
      <c r="M22714" s="14"/>
      <c r="N22714" s="14"/>
      <c r="O22714" s="14"/>
      <c r="P22714" s="13"/>
    </row>
    <row r="22715">
      <c r="L22715" s="13"/>
      <c r="M22715" s="14"/>
      <c r="N22715" s="14"/>
      <c r="O22715" s="14"/>
      <c r="P22715" s="13"/>
    </row>
    <row r="22716">
      <c r="L22716" s="13"/>
      <c r="M22716" s="14"/>
      <c r="N22716" s="14"/>
      <c r="O22716" s="14"/>
      <c r="P22716" s="13"/>
    </row>
    <row r="22717">
      <c r="L22717" s="13"/>
      <c r="M22717" s="14"/>
      <c r="N22717" s="14"/>
      <c r="O22717" s="14"/>
      <c r="P22717" s="13"/>
    </row>
    <row r="22718">
      <c r="L22718" s="13"/>
      <c r="M22718" s="14"/>
      <c r="N22718" s="14"/>
      <c r="O22718" s="14"/>
      <c r="P22718" s="13"/>
    </row>
    <row r="22719">
      <c r="L22719" s="13"/>
      <c r="M22719" s="14"/>
      <c r="N22719" s="14"/>
      <c r="O22719" s="14"/>
      <c r="P22719" s="13"/>
    </row>
    <row r="22720">
      <c r="L22720" s="13"/>
      <c r="M22720" s="14"/>
      <c r="N22720" s="14"/>
      <c r="O22720" s="14"/>
      <c r="P22720" s="13"/>
    </row>
    <row r="22721">
      <c r="L22721" s="13"/>
      <c r="M22721" s="14"/>
      <c r="N22721" s="14"/>
      <c r="O22721" s="14"/>
      <c r="P22721" s="13"/>
    </row>
    <row r="22722">
      <c r="L22722" s="13"/>
      <c r="M22722" s="14"/>
      <c r="N22722" s="14"/>
      <c r="O22722" s="14"/>
      <c r="P22722" s="13"/>
    </row>
    <row r="22723">
      <c r="L22723" s="13"/>
      <c r="M22723" s="14"/>
      <c r="N22723" s="14"/>
      <c r="O22723" s="14"/>
      <c r="P22723" s="13"/>
    </row>
    <row r="22724">
      <c r="L22724" s="13"/>
      <c r="M22724" s="14"/>
      <c r="N22724" s="14"/>
      <c r="O22724" s="14"/>
      <c r="P22724" s="13"/>
    </row>
    <row r="22725">
      <c r="L22725" s="13"/>
      <c r="M22725" s="14"/>
      <c r="N22725" s="14"/>
      <c r="O22725" s="14"/>
      <c r="P22725" s="13"/>
    </row>
    <row r="22726">
      <c r="L22726" s="13"/>
      <c r="M22726" s="14"/>
      <c r="N22726" s="14"/>
      <c r="O22726" s="14"/>
      <c r="P22726" s="13"/>
    </row>
    <row r="22727">
      <c r="L22727" s="13"/>
      <c r="M22727" s="14"/>
      <c r="N22727" s="14"/>
      <c r="O22727" s="14"/>
      <c r="P22727" s="13"/>
    </row>
    <row r="22728">
      <c r="L22728" s="13"/>
      <c r="M22728" s="14"/>
      <c r="N22728" s="14"/>
      <c r="O22728" s="14"/>
      <c r="P22728" s="13"/>
    </row>
    <row r="22729">
      <c r="L22729" s="13"/>
      <c r="M22729" s="14"/>
      <c r="N22729" s="14"/>
      <c r="O22729" s="14"/>
      <c r="P22729" s="13"/>
    </row>
    <row r="22730">
      <c r="L22730" s="13"/>
      <c r="M22730" s="14"/>
      <c r="N22730" s="14"/>
      <c r="O22730" s="14"/>
      <c r="P22730" s="13"/>
    </row>
    <row r="22731">
      <c r="L22731" s="13"/>
      <c r="M22731" s="14"/>
      <c r="N22731" s="14"/>
      <c r="O22731" s="14"/>
      <c r="P22731" s="13"/>
    </row>
    <row r="22732">
      <c r="L22732" s="13"/>
      <c r="M22732" s="14"/>
      <c r="N22732" s="14"/>
      <c r="O22732" s="14"/>
      <c r="P22732" s="13"/>
    </row>
    <row r="22733">
      <c r="L22733" s="13"/>
      <c r="M22733" s="14"/>
      <c r="N22733" s="14"/>
      <c r="O22733" s="14"/>
      <c r="P22733" s="13"/>
    </row>
    <row r="22734">
      <c r="L22734" s="13"/>
      <c r="M22734" s="14"/>
      <c r="N22734" s="14"/>
      <c r="O22734" s="14"/>
      <c r="P22734" s="13"/>
    </row>
    <row r="22735">
      <c r="L22735" s="13"/>
      <c r="M22735" s="14"/>
      <c r="N22735" s="14"/>
      <c r="O22735" s="14"/>
      <c r="P22735" s="13"/>
    </row>
    <row r="22736">
      <c r="L22736" s="13"/>
      <c r="M22736" s="14"/>
      <c r="N22736" s="14"/>
      <c r="O22736" s="14"/>
      <c r="P22736" s="13"/>
    </row>
    <row r="22737">
      <c r="L22737" s="13"/>
      <c r="M22737" s="14"/>
      <c r="N22737" s="14"/>
      <c r="O22737" s="14"/>
      <c r="P22737" s="13"/>
    </row>
    <row r="22738">
      <c r="L22738" s="13"/>
      <c r="M22738" s="14"/>
      <c r="N22738" s="14"/>
      <c r="O22738" s="14"/>
      <c r="P22738" s="13"/>
    </row>
    <row r="22739">
      <c r="L22739" s="13"/>
      <c r="M22739" s="14"/>
      <c r="N22739" s="14"/>
      <c r="O22739" s="14"/>
      <c r="P22739" s="13"/>
    </row>
    <row r="22740">
      <c r="L22740" s="13"/>
      <c r="M22740" s="14"/>
      <c r="N22740" s="14"/>
      <c r="O22740" s="14"/>
      <c r="P22740" s="13"/>
    </row>
    <row r="22741">
      <c r="L22741" s="13"/>
      <c r="M22741" s="14"/>
      <c r="N22741" s="14"/>
      <c r="O22741" s="14"/>
      <c r="P22741" s="13"/>
    </row>
    <row r="22742">
      <c r="L22742" s="13"/>
      <c r="M22742" s="14"/>
      <c r="N22742" s="14"/>
      <c r="O22742" s="14"/>
      <c r="P22742" s="13"/>
    </row>
    <row r="22743">
      <c r="L22743" s="13"/>
      <c r="M22743" s="14"/>
      <c r="N22743" s="14"/>
      <c r="O22743" s="14"/>
      <c r="P22743" s="13"/>
    </row>
    <row r="22744">
      <c r="L22744" s="13"/>
      <c r="M22744" s="14"/>
      <c r="N22744" s="14"/>
      <c r="O22744" s="14"/>
      <c r="P22744" s="13"/>
    </row>
    <row r="22745">
      <c r="L22745" s="13"/>
      <c r="M22745" s="14"/>
      <c r="N22745" s="14"/>
      <c r="O22745" s="14"/>
      <c r="P22745" s="13"/>
    </row>
    <row r="22746">
      <c r="L22746" s="13"/>
      <c r="M22746" s="14"/>
      <c r="N22746" s="14"/>
      <c r="O22746" s="14"/>
      <c r="P22746" s="13"/>
    </row>
    <row r="22747">
      <c r="L22747" s="13"/>
      <c r="M22747" s="14"/>
      <c r="N22747" s="14"/>
      <c r="O22747" s="14"/>
      <c r="P22747" s="13"/>
    </row>
    <row r="22748">
      <c r="L22748" s="13"/>
      <c r="M22748" s="14"/>
      <c r="N22748" s="14"/>
      <c r="O22748" s="14"/>
      <c r="P22748" s="13"/>
    </row>
    <row r="22749">
      <c r="L22749" s="13"/>
      <c r="M22749" s="14"/>
      <c r="N22749" s="14"/>
      <c r="O22749" s="14"/>
      <c r="P22749" s="13"/>
    </row>
    <row r="22750">
      <c r="L22750" s="13"/>
      <c r="M22750" s="14"/>
      <c r="N22750" s="14"/>
      <c r="O22750" s="14"/>
      <c r="P22750" s="13"/>
    </row>
    <row r="22751">
      <c r="L22751" s="13"/>
      <c r="M22751" s="14"/>
      <c r="N22751" s="14"/>
      <c r="O22751" s="14"/>
      <c r="P22751" s="13"/>
    </row>
    <row r="22752">
      <c r="L22752" s="13"/>
      <c r="M22752" s="14"/>
      <c r="N22752" s="14"/>
      <c r="O22752" s="14"/>
      <c r="P22752" s="13"/>
    </row>
    <row r="22753">
      <c r="L22753" s="13"/>
      <c r="M22753" s="14"/>
      <c r="N22753" s="14"/>
      <c r="O22753" s="14"/>
      <c r="P22753" s="13"/>
    </row>
    <row r="22754">
      <c r="L22754" s="13"/>
      <c r="M22754" s="14"/>
      <c r="N22754" s="14"/>
      <c r="O22754" s="14"/>
      <c r="P22754" s="13"/>
    </row>
    <row r="22755">
      <c r="L22755" s="13"/>
      <c r="M22755" s="14"/>
      <c r="N22755" s="14"/>
      <c r="O22755" s="14"/>
      <c r="P22755" s="13"/>
    </row>
    <row r="22756">
      <c r="L22756" s="13"/>
      <c r="M22756" s="14"/>
      <c r="N22756" s="14"/>
      <c r="O22756" s="14"/>
      <c r="P22756" s="13"/>
    </row>
    <row r="22757">
      <c r="L22757" s="13"/>
      <c r="M22757" s="14"/>
      <c r="N22757" s="14"/>
      <c r="O22757" s="14"/>
      <c r="P22757" s="13"/>
    </row>
    <row r="22758">
      <c r="L22758" s="13"/>
      <c r="M22758" s="14"/>
      <c r="N22758" s="14"/>
      <c r="O22758" s="14"/>
      <c r="P22758" s="13"/>
    </row>
    <row r="22759">
      <c r="L22759" s="13"/>
      <c r="M22759" s="14"/>
      <c r="N22759" s="14"/>
      <c r="O22759" s="14"/>
      <c r="P22759" s="13"/>
    </row>
    <row r="22760">
      <c r="L22760" s="13"/>
      <c r="M22760" s="14"/>
      <c r="N22760" s="14"/>
      <c r="O22760" s="14"/>
      <c r="P22760" s="13"/>
    </row>
    <row r="22761">
      <c r="L22761" s="13"/>
      <c r="M22761" s="14"/>
      <c r="N22761" s="14"/>
      <c r="O22761" s="14"/>
      <c r="P22761" s="13"/>
    </row>
    <row r="22762">
      <c r="L22762" s="13"/>
      <c r="M22762" s="14"/>
      <c r="N22762" s="14"/>
      <c r="O22762" s="14"/>
      <c r="P22762" s="13"/>
    </row>
    <row r="22763">
      <c r="L22763" s="13"/>
      <c r="M22763" s="14"/>
      <c r="N22763" s="14"/>
      <c r="O22763" s="14"/>
      <c r="P22763" s="13"/>
    </row>
    <row r="22764">
      <c r="L22764" s="13"/>
      <c r="M22764" s="14"/>
      <c r="N22764" s="14"/>
      <c r="O22764" s="14"/>
      <c r="P22764" s="13"/>
    </row>
    <row r="22765">
      <c r="L22765" s="13"/>
      <c r="M22765" s="14"/>
      <c r="N22765" s="14"/>
      <c r="O22765" s="14"/>
      <c r="P22765" s="13"/>
    </row>
    <row r="22766">
      <c r="L22766" s="13"/>
      <c r="M22766" s="14"/>
      <c r="N22766" s="14"/>
      <c r="O22766" s="14"/>
      <c r="P22766" s="13"/>
    </row>
    <row r="22767">
      <c r="L22767" s="13"/>
      <c r="M22767" s="14"/>
      <c r="N22767" s="14"/>
      <c r="O22767" s="14"/>
      <c r="P22767" s="13"/>
    </row>
    <row r="22768">
      <c r="L22768" s="13"/>
      <c r="M22768" s="14"/>
      <c r="N22768" s="14"/>
      <c r="O22768" s="14"/>
      <c r="P22768" s="13"/>
    </row>
    <row r="22769">
      <c r="L22769" s="13"/>
      <c r="M22769" s="14"/>
      <c r="N22769" s="14"/>
      <c r="O22769" s="14"/>
      <c r="P22769" s="13"/>
    </row>
    <row r="22770">
      <c r="L22770" s="13"/>
      <c r="M22770" s="14"/>
      <c r="N22770" s="14"/>
      <c r="O22770" s="14"/>
      <c r="P22770" s="13"/>
    </row>
    <row r="22771">
      <c r="L22771" s="13"/>
      <c r="M22771" s="14"/>
      <c r="N22771" s="14"/>
      <c r="O22771" s="14"/>
      <c r="P22771" s="13"/>
    </row>
    <row r="22772">
      <c r="L22772" s="13"/>
      <c r="M22772" s="14"/>
      <c r="N22772" s="14"/>
      <c r="O22772" s="14"/>
      <c r="P22772" s="13"/>
    </row>
    <row r="22773">
      <c r="L22773" s="13"/>
      <c r="M22773" s="14"/>
      <c r="N22773" s="14"/>
      <c r="O22773" s="14"/>
      <c r="P22773" s="13"/>
    </row>
    <row r="22774">
      <c r="L22774" s="13"/>
      <c r="M22774" s="14"/>
      <c r="N22774" s="14"/>
      <c r="O22774" s="14"/>
      <c r="P22774" s="13"/>
    </row>
    <row r="22775">
      <c r="L22775" s="13"/>
      <c r="M22775" s="14"/>
      <c r="N22775" s="14"/>
      <c r="O22775" s="14"/>
      <c r="P22775" s="13"/>
    </row>
    <row r="22776">
      <c r="L22776" s="13"/>
      <c r="M22776" s="14"/>
      <c r="N22776" s="14"/>
      <c r="O22776" s="14"/>
      <c r="P22776" s="13"/>
    </row>
    <row r="22777">
      <c r="L22777" s="13"/>
      <c r="M22777" s="14"/>
      <c r="N22777" s="14"/>
      <c r="O22777" s="14"/>
      <c r="P22777" s="13"/>
    </row>
    <row r="22778">
      <c r="L22778" s="13"/>
      <c r="M22778" s="14"/>
      <c r="N22778" s="14"/>
      <c r="O22778" s="14"/>
      <c r="P22778" s="13"/>
    </row>
    <row r="22779">
      <c r="L22779" s="13"/>
      <c r="M22779" s="14"/>
      <c r="N22779" s="14"/>
      <c r="O22779" s="14"/>
      <c r="P22779" s="13"/>
    </row>
    <row r="22780">
      <c r="L22780" s="13"/>
      <c r="M22780" s="14"/>
      <c r="N22780" s="14"/>
      <c r="O22780" s="14"/>
      <c r="P22780" s="13"/>
    </row>
    <row r="22781">
      <c r="L22781" s="13"/>
      <c r="M22781" s="14"/>
      <c r="N22781" s="14"/>
      <c r="O22781" s="14"/>
      <c r="P22781" s="13"/>
    </row>
    <row r="22782">
      <c r="L22782" s="13"/>
      <c r="M22782" s="14"/>
      <c r="N22782" s="14"/>
      <c r="O22782" s="14"/>
      <c r="P22782" s="13"/>
    </row>
    <row r="22783">
      <c r="L22783" s="13"/>
      <c r="M22783" s="14"/>
      <c r="N22783" s="14"/>
      <c r="O22783" s="14"/>
      <c r="P22783" s="13"/>
    </row>
    <row r="22784">
      <c r="L22784" s="13"/>
      <c r="M22784" s="14"/>
      <c r="N22784" s="14"/>
      <c r="O22784" s="14"/>
      <c r="P22784" s="13"/>
    </row>
    <row r="22785">
      <c r="L22785" s="13"/>
      <c r="M22785" s="14"/>
      <c r="N22785" s="14"/>
      <c r="O22785" s="14"/>
      <c r="P22785" s="13"/>
    </row>
    <row r="22786">
      <c r="L22786" s="13"/>
      <c r="M22786" s="14"/>
      <c r="N22786" s="14"/>
      <c r="O22786" s="14"/>
      <c r="P22786" s="13"/>
    </row>
    <row r="22787">
      <c r="L22787" s="13"/>
      <c r="M22787" s="14"/>
      <c r="N22787" s="14"/>
      <c r="O22787" s="14"/>
      <c r="P22787" s="13"/>
    </row>
    <row r="22788">
      <c r="L22788" s="13"/>
      <c r="M22788" s="14"/>
      <c r="N22788" s="14"/>
      <c r="O22788" s="14"/>
      <c r="P22788" s="13"/>
    </row>
    <row r="22789">
      <c r="L22789" s="13"/>
      <c r="M22789" s="14"/>
      <c r="N22789" s="14"/>
      <c r="O22789" s="14"/>
      <c r="P22789" s="13"/>
    </row>
    <row r="22790">
      <c r="L22790" s="13"/>
      <c r="M22790" s="14"/>
      <c r="N22790" s="14"/>
      <c r="O22790" s="14"/>
      <c r="P22790" s="13"/>
    </row>
    <row r="22791">
      <c r="L22791" s="13"/>
      <c r="M22791" s="14"/>
      <c r="N22791" s="14"/>
      <c r="O22791" s="14"/>
      <c r="P22791" s="13"/>
    </row>
    <row r="22792">
      <c r="L22792" s="13"/>
      <c r="M22792" s="14"/>
      <c r="N22792" s="14"/>
      <c r="O22792" s="14"/>
      <c r="P22792" s="13"/>
    </row>
    <row r="22793">
      <c r="L22793" s="13"/>
      <c r="M22793" s="14"/>
      <c r="N22793" s="14"/>
      <c r="O22793" s="14"/>
      <c r="P22793" s="13"/>
    </row>
    <row r="22794">
      <c r="L22794" s="13"/>
      <c r="M22794" s="14"/>
      <c r="N22794" s="14"/>
      <c r="O22794" s="14"/>
      <c r="P22794" s="13"/>
    </row>
    <row r="22795">
      <c r="L22795" s="13"/>
      <c r="M22795" s="14"/>
      <c r="N22795" s="14"/>
      <c r="O22795" s="14"/>
      <c r="P22795" s="13"/>
    </row>
    <row r="22796">
      <c r="L22796" s="13"/>
      <c r="M22796" s="14"/>
      <c r="N22796" s="14"/>
      <c r="O22796" s="14"/>
      <c r="P22796" s="13"/>
    </row>
    <row r="22797">
      <c r="L22797" s="13"/>
      <c r="M22797" s="14"/>
      <c r="N22797" s="14"/>
      <c r="O22797" s="14"/>
      <c r="P22797" s="13"/>
    </row>
    <row r="22798">
      <c r="L22798" s="13"/>
      <c r="M22798" s="14"/>
      <c r="N22798" s="14"/>
      <c r="O22798" s="14"/>
      <c r="P22798" s="13"/>
    </row>
    <row r="22799">
      <c r="L22799" s="13"/>
      <c r="M22799" s="14"/>
      <c r="N22799" s="14"/>
      <c r="O22799" s="14"/>
      <c r="P22799" s="13"/>
    </row>
    <row r="22800">
      <c r="L22800" s="13"/>
      <c r="M22800" s="14"/>
      <c r="N22800" s="14"/>
      <c r="O22800" s="14"/>
      <c r="P22800" s="13"/>
    </row>
    <row r="22801">
      <c r="L22801" s="13"/>
      <c r="M22801" s="14"/>
      <c r="N22801" s="14"/>
      <c r="O22801" s="14"/>
      <c r="P22801" s="13"/>
    </row>
    <row r="22802">
      <c r="L22802" s="13"/>
      <c r="M22802" s="14"/>
      <c r="N22802" s="14"/>
      <c r="O22802" s="14"/>
      <c r="P22802" s="13"/>
    </row>
    <row r="22803">
      <c r="L22803" s="13"/>
      <c r="M22803" s="14"/>
      <c r="N22803" s="14"/>
      <c r="O22803" s="14"/>
      <c r="P22803" s="13"/>
    </row>
    <row r="22804">
      <c r="L22804" s="13"/>
      <c r="M22804" s="14"/>
      <c r="N22804" s="14"/>
      <c r="O22804" s="14"/>
      <c r="P22804" s="13"/>
    </row>
    <row r="22805">
      <c r="L22805" s="13"/>
      <c r="M22805" s="14"/>
      <c r="N22805" s="14"/>
      <c r="O22805" s="14"/>
      <c r="P22805" s="13"/>
    </row>
    <row r="22806">
      <c r="L22806" s="13"/>
      <c r="M22806" s="14"/>
      <c r="N22806" s="14"/>
      <c r="O22806" s="14"/>
      <c r="P22806" s="13"/>
    </row>
    <row r="22807">
      <c r="L22807" s="13"/>
      <c r="M22807" s="14"/>
      <c r="N22807" s="14"/>
      <c r="O22807" s="14"/>
      <c r="P22807" s="13"/>
    </row>
    <row r="22808">
      <c r="L22808" s="13"/>
      <c r="M22808" s="14"/>
      <c r="N22808" s="14"/>
      <c r="O22808" s="14"/>
      <c r="P22808" s="13"/>
    </row>
    <row r="22809">
      <c r="L22809" s="13"/>
      <c r="M22809" s="14"/>
      <c r="N22809" s="14"/>
      <c r="O22809" s="14"/>
      <c r="P22809" s="13"/>
    </row>
    <row r="22810">
      <c r="L22810" s="13"/>
      <c r="M22810" s="14"/>
      <c r="N22810" s="14"/>
      <c r="O22810" s="14"/>
      <c r="P22810" s="13"/>
    </row>
    <row r="22811">
      <c r="L22811" s="13"/>
      <c r="M22811" s="14"/>
      <c r="N22811" s="14"/>
      <c r="O22811" s="14"/>
      <c r="P22811" s="13"/>
    </row>
    <row r="22812">
      <c r="L22812" s="13"/>
      <c r="M22812" s="14"/>
      <c r="N22812" s="14"/>
      <c r="O22812" s="14"/>
      <c r="P22812" s="13"/>
    </row>
    <row r="22813">
      <c r="L22813" s="13"/>
      <c r="M22813" s="14"/>
      <c r="N22813" s="14"/>
      <c r="O22813" s="14"/>
      <c r="P22813" s="13"/>
    </row>
    <row r="22814">
      <c r="L22814" s="13"/>
      <c r="M22814" s="14"/>
      <c r="N22814" s="14"/>
      <c r="O22814" s="14"/>
      <c r="P22814" s="13"/>
    </row>
    <row r="22815">
      <c r="L22815" s="13"/>
      <c r="M22815" s="14"/>
      <c r="N22815" s="14"/>
      <c r="O22815" s="14"/>
      <c r="P22815" s="13"/>
    </row>
    <row r="22816">
      <c r="L22816" s="13"/>
      <c r="M22816" s="14"/>
      <c r="N22816" s="14"/>
      <c r="O22816" s="14"/>
      <c r="P22816" s="13"/>
    </row>
    <row r="22817">
      <c r="L22817" s="13"/>
      <c r="M22817" s="14"/>
      <c r="N22817" s="14"/>
      <c r="O22817" s="14"/>
      <c r="P22817" s="13"/>
    </row>
    <row r="22818">
      <c r="L22818" s="13"/>
      <c r="M22818" s="14"/>
      <c r="N22818" s="14"/>
      <c r="O22818" s="14"/>
      <c r="P22818" s="13"/>
    </row>
    <row r="22819">
      <c r="L22819" s="13"/>
      <c r="M22819" s="14"/>
      <c r="N22819" s="14"/>
      <c r="O22819" s="14"/>
      <c r="P22819" s="13"/>
    </row>
    <row r="22820">
      <c r="L22820" s="13"/>
      <c r="M22820" s="14"/>
      <c r="N22820" s="14"/>
      <c r="O22820" s="14"/>
      <c r="P22820" s="13"/>
    </row>
    <row r="22821">
      <c r="L22821" s="13"/>
      <c r="M22821" s="14"/>
      <c r="N22821" s="14"/>
      <c r="O22821" s="14"/>
      <c r="P22821" s="13"/>
    </row>
    <row r="22822">
      <c r="L22822" s="13"/>
      <c r="M22822" s="14"/>
      <c r="N22822" s="14"/>
      <c r="O22822" s="14"/>
      <c r="P22822" s="13"/>
    </row>
    <row r="22823">
      <c r="L22823" s="13"/>
      <c r="M22823" s="14"/>
      <c r="N22823" s="14"/>
      <c r="O22823" s="14"/>
      <c r="P22823" s="13"/>
    </row>
    <row r="22824">
      <c r="L22824" s="13"/>
      <c r="M22824" s="14"/>
      <c r="N22824" s="14"/>
      <c r="O22824" s="14"/>
      <c r="P22824" s="13"/>
    </row>
    <row r="22825">
      <c r="L22825" s="13"/>
      <c r="M22825" s="14"/>
      <c r="N22825" s="14"/>
      <c r="O22825" s="14"/>
      <c r="P22825" s="13"/>
    </row>
    <row r="22826">
      <c r="L22826" s="13"/>
      <c r="M22826" s="14"/>
      <c r="N22826" s="14"/>
      <c r="O22826" s="14"/>
      <c r="P22826" s="13"/>
    </row>
    <row r="22827">
      <c r="L22827" s="13"/>
      <c r="M22827" s="14"/>
      <c r="N22827" s="14"/>
      <c r="O22827" s="14"/>
      <c r="P22827" s="13"/>
    </row>
    <row r="22828">
      <c r="L22828" s="13"/>
      <c r="M22828" s="14"/>
      <c r="N22828" s="14"/>
      <c r="O22828" s="14"/>
      <c r="P22828" s="13"/>
    </row>
    <row r="22829">
      <c r="L22829" s="13"/>
      <c r="M22829" s="14"/>
      <c r="N22829" s="14"/>
      <c r="O22829" s="14"/>
      <c r="P22829" s="13"/>
    </row>
    <row r="22830">
      <c r="L22830" s="13"/>
      <c r="M22830" s="14"/>
      <c r="N22830" s="14"/>
      <c r="O22830" s="14"/>
      <c r="P22830" s="13"/>
    </row>
    <row r="22831">
      <c r="L22831" s="13"/>
      <c r="M22831" s="14"/>
      <c r="N22831" s="14"/>
      <c r="O22831" s="14"/>
      <c r="P22831" s="13"/>
    </row>
    <row r="22832">
      <c r="L22832" s="13"/>
      <c r="M22832" s="14"/>
      <c r="N22832" s="14"/>
      <c r="O22832" s="14"/>
      <c r="P22832" s="13"/>
    </row>
    <row r="22833">
      <c r="L22833" s="13"/>
      <c r="M22833" s="14"/>
      <c r="N22833" s="14"/>
      <c r="O22833" s="14"/>
      <c r="P22833" s="13"/>
    </row>
    <row r="22834">
      <c r="L22834" s="13"/>
      <c r="M22834" s="14"/>
      <c r="N22834" s="14"/>
      <c r="O22834" s="14"/>
      <c r="P22834" s="13"/>
    </row>
    <row r="22835">
      <c r="L22835" s="13"/>
      <c r="M22835" s="14"/>
      <c r="N22835" s="14"/>
      <c r="O22835" s="14"/>
      <c r="P22835" s="13"/>
    </row>
    <row r="22836">
      <c r="L22836" s="13"/>
      <c r="M22836" s="14"/>
      <c r="N22836" s="14"/>
      <c r="O22836" s="14"/>
      <c r="P22836" s="13"/>
    </row>
    <row r="22837">
      <c r="L22837" s="13"/>
      <c r="M22837" s="14"/>
      <c r="N22837" s="14"/>
      <c r="O22837" s="14"/>
      <c r="P22837" s="13"/>
    </row>
    <row r="22838">
      <c r="L22838" s="13"/>
      <c r="M22838" s="14"/>
      <c r="N22838" s="14"/>
      <c r="O22838" s="14"/>
      <c r="P22838" s="13"/>
    </row>
    <row r="22839">
      <c r="L22839" s="13"/>
      <c r="M22839" s="14"/>
      <c r="N22839" s="14"/>
      <c r="O22839" s="14"/>
      <c r="P22839" s="13"/>
    </row>
    <row r="22840">
      <c r="L22840" s="13"/>
      <c r="M22840" s="14"/>
      <c r="N22840" s="14"/>
      <c r="O22840" s="14"/>
      <c r="P22840" s="13"/>
    </row>
    <row r="22841">
      <c r="L22841" s="13"/>
      <c r="M22841" s="14"/>
      <c r="N22841" s="14"/>
      <c r="O22841" s="14"/>
      <c r="P22841" s="13"/>
    </row>
    <row r="22842">
      <c r="L22842" s="13"/>
      <c r="M22842" s="14"/>
      <c r="N22842" s="14"/>
      <c r="O22842" s="14"/>
      <c r="P22842" s="13"/>
    </row>
    <row r="22843">
      <c r="L22843" s="13"/>
      <c r="M22843" s="14"/>
      <c r="N22843" s="14"/>
      <c r="O22843" s="14"/>
      <c r="P22843" s="13"/>
    </row>
    <row r="22844">
      <c r="L22844" s="13"/>
      <c r="M22844" s="14"/>
      <c r="N22844" s="14"/>
      <c r="O22844" s="14"/>
      <c r="P22844" s="13"/>
    </row>
    <row r="22845">
      <c r="L22845" s="13"/>
      <c r="M22845" s="14"/>
      <c r="N22845" s="14"/>
      <c r="O22845" s="14"/>
      <c r="P22845" s="13"/>
    </row>
    <row r="22846">
      <c r="L22846" s="13"/>
      <c r="M22846" s="14"/>
      <c r="N22846" s="14"/>
      <c r="O22846" s="14"/>
      <c r="P22846" s="13"/>
    </row>
    <row r="22847">
      <c r="L22847" s="13"/>
      <c r="M22847" s="14"/>
      <c r="N22847" s="14"/>
      <c r="O22847" s="14"/>
      <c r="P22847" s="13"/>
    </row>
    <row r="22848">
      <c r="L22848" s="13"/>
      <c r="M22848" s="14"/>
      <c r="N22848" s="14"/>
      <c r="O22848" s="14"/>
      <c r="P22848" s="13"/>
    </row>
    <row r="22849">
      <c r="L22849" s="13"/>
      <c r="M22849" s="14"/>
      <c r="N22849" s="14"/>
      <c r="O22849" s="14"/>
      <c r="P22849" s="13"/>
    </row>
    <row r="22850">
      <c r="L22850" s="13"/>
      <c r="M22850" s="14"/>
      <c r="N22850" s="14"/>
      <c r="O22850" s="14"/>
      <c r="P22850" s="13"/>
    </row>
    <row r="22851">
      <c r="L22851" s="13"/>
      <c r="M22851" s="14"/>
      <c r="N22851" s="14"/>
      <c r="O22851" s="14"/>
      <c r="P22851" s="13"/>
    </row>
    <row r="22852">
      <c r="L22852" s="13"/>
      <c r="M22852" s="14"/>
      <c r="N22852" s="14"/>
      <c r="O22852" s="14"/>
      <c r="P22852" s="13"/>
    </row>
    <row r="22853">
      <c r="L22853" s="13"/>
      <c r="M22853" s="14"/>
      <c r="N22853" s="14"/>
      <c r="O22853" s="14"/>
      <c r="P22853" s="13"/>
    </row>
    <row r="22854">
      <c r="L22854" s="13"/>
      <c r="M22854" s="14"/>
      <c r="N22854" s="14"/>
      <c r="O22854" s="14"/>
      <c r="P22854" s="13"/>
    </row>
    <row r="22855">
      <c r="L22855" s="13"/>
      <c r="M22855" s="14"/>
      <c r="N22855" s="14"/>
      <c r="O22855" s="14"/>
      <c r="P22855" s="13"/>
    </row>
    <row r="22856">
      <c r="L22856" s="13"/>
      <c r="M22856" s="14"/>
      <c r="N22856" s="14"/>
      <c r="O22856" s="14"/>
      <c r="P22856" s="13"/>
    </row>
    <row r="22857">
      <c r="L22857" s="13"/>
      <c r="M22857" s="14"/>
      <c r="N22857" s="14"/>
      <c r="O22857" s="14"/>
      <c r="P22857" s="13"/>
    </row>
    <row r="22858">
      <c r="L22858" s="13"/>
      <c r="M22858" s="14"/>
      <c r="N22858" s="14"/>
      <c r="O22858" s="14"/>
      <c r="P22858" s="13"/>
    </row>
    <row r="22859">
      <c r="L22859" s="13"/>
      <c r="M22859" s="14"/>
      <c r="N22859" s="14"/>
      <c r="O22859" s="14"/>
      <c r="P22859" s="13"/>
    </row>
    <row r="22860">
      <c r="L22860" s="13"/>
      <c r="M22860" s="14"/>
      <c r="N22860" s="14"/>
      <c r="O22860" s="14"/>
      <c r="P22860" s="13"/>
    </row>
    <row r="22861">
      <c r="L22861" s="13"/>
      <c r="M22861" s="14"/>
      <c r="N22861" s="14"/>
      <c r="O22861" s="14"/>
      <c r="P22861" s="13"/>
    </row>
    <row r="22862">
      <c r="L22862" s="13"/>
      <c r="M22862" s="14"/>
      <c r="N22862" s="14"/>
      <c r="O22862" s="14"/>
      <c r="P22862" s="13"/>
    </row>
    <row r="22863">
      <c r="L22863" s="13"/>
      <c r="M22863" s="14"/>
      <c r="N22863" s="14"/>
      <c r="O22863" s="14"/>
      <c r="P22863" s="13"/>
    </row>
    <row r="22864">
      <c r="L22864" s="13"/>
      <c r="M22864" s="14"/>
      <c r="N22864" s="14"/>
      <c r="O22864" s="14"/>
      <c r="P22864" s="13"/>
    </row>
    <row r="22865">
      <c r="L22865" s="13"/>
      <c r="M22865" s="14"/>
      <c r="N22865" s="14"/>
      <c r="O22865" s="14"/>
      <c r="P22865" s="13"/>
    </row>
    <row r="22866">
      <c r="L22866" s="13"/>
      <c r="M22866" s="14"/>
      <c r="N22866" s="14"/>
      <c r="O22866" s="14"/>
      <c r="P22866" s="13"/>
    </row>
    <row r="22867">
      <c r="L22867" s="13"/>
      <c r="M22867" s="14"/>
      <c r="N22867" s="14"/>
      <c r="O22867" s="14"/>
      <c r="P22867" s="13"/>
    </row>
    <row r="22868">
      <c r="L22868" s="13"/>
      <c r="M22868" s="14"/>
      <c r="N22868" s="14"/>
      <c r="O22868" s="14"/>
      <c r="P22868" s="13"/>
    </row>
    <row r="22869">
      <c r="L22869" s="13"/>
      <c r="M22869" s="14"/>
      <c r="N22869" s="14"/>
      <c r="O22869" s="14"/>
      <c r="P22869" s="13"/>
    </row>
    <row r="22870">
      <c r="L22870" s="13"/>
      <c r="M22870" s="14"/>
      <c r="N22870" s="14"/>
      <c r="O22870" s="14"/>
      <c r="P22870" s="13"/>
    </row>
    <row r="22871">
      <c r="L22871" s="13"/>
      <c r="M22871" s="14"/>
      <c r="N22871" s="14"/>
      <c r="O22871" s="14"/>
      <c r="P22871" s="13"/>
    </row>
    <row r="22872">
      <c r="L22872" s="13"/>
      <c r="M22872" s="14"/>
      <c r="N22872" s="14"/>
      <c r="O22872" s="14"/>
      <c r="P22872" s="13"/>
    </row>
    <row r="22873">
      <c r="L22873" s="13"/>
      <c r="M22873" s="14"/>
      <c r="N22873" s="14"/>
      <c r="O22873" s="14"/>
      <c r="P22873" s="13"/>
    </row>
    <row r="22874">
      <c r="L22874" s="13"/>
      <c r="M22874" s="14"/>
      <c r="N22874" s="14"/>
      <c r="O22874" s="14"/>
      <c r="P22874" s="13"/>
    </row>
    <row r="22875">
      <c r="L22875" s="13"/>
      <c r="M22875" s="14"/>
      <c r="N22875" s="14"/>
      <c r="O22875" s="14"/>
      <c r="P22875" s="13"/>
    </row>
    <row r="22876">
      <c r="L22876" s="13"/>
      <c r="M22876" s="14"/>
      <c r="N22876" s="14"/>
      <c r="O22876" s="14"/>
      <c r="P22876" s="13"/>
    </row>
    <row r="22877">
      <c r="L22877" s="13"/>
      <c r="M22877" s="14"/>
      <c r="N22877" s="14"/>
      <c r="O22877" s="14"/>
      <c r="P22877" s="13"/>
    </row>
    <row r="22878">
      <c r="L22878" s="13"/>
      <c r="M22878" s="14"/>
      <c r="N22878" s="14"/>
      <c r="O22878" s="14"/>
      <c r="P22878" s="13"/>
    </row>
    <row r="22879">
      <c r="L22879" s="13"/>
      <c r="M22879" s="14"/>
      <c r="N22879" s="14"/>
      <c r="O22879" s="14"/>
      <c r="P22879" s="13"/>
    </row>
    <row r="22880">
      <c r="L22880" s="13"/>
      <c r="M22880" s="14"/>
      <c r="N22880" s="14"/>
      <c r="O22880" s="14"/>
      <c r="P22880" s="13"/>
    </row>
    <row r="22881">
      <c r="L22881" s="13"/>
      <c r="M22881" s="14"/>
      <c r="N22881" s="14"/>
      <c r="O22881" s="14"/>
      <c r="P22881" s="13"/>
    </row>
    <row r="22882">
      <c r="L22882" s="13"/>
      <c r="M22882" s="14"/>
      <c r="N22882" s="14"/>
      <c r="O22882" s="14"/>
      <c r="P22882" s="13"/>
    </row>
    <row r="22883">
      <c r="L22883" s="13"/>
      <c r="M22883" s="14"/>
      <c r="N22883" s="14"/>
      <c r="O22883" s="14"/>
      <c r="P22883" s="13"/>
    </row>
    <row r="22884">
      <c r="L22884" s="13"/>
      <c r="M22884" s="14"/>
      <c r="N22884" s="14"/>
      <c r="O22884" s="14"/>
      <c r="P22884" s="13"/>
    </row>
    <row r="22885">
      <c r="L22885" s="13"/>
      <c r="M22885" s="14"/>
      <c r="N22885" s="14"/>
      <c r="O22885" s="14"/>
      <c r="P22885" s="13"/>
    </row>
    <row r="22886">
      <c r="L22886" s="13"/>
      <c r="M22886" s="14"/>
      <c r="N22886" s="14"/>
      <c r="O22886" s="14"/>
      <c r="P22886" s="13"/>
    </row>
    <row r="22887">
      <c r="L22887" s="13"/>
      <c r="M22887" s="14"/>
      <c r="N22887" s="14"/>
      <c r="O22887" s="14"/>
      <c r="P22887" s="13"/>
    </row>
    <row r="22888">
      <c r="L22888" s="13"/>
      <c r="M22888" s="14"/>
      <c r="N22888" s="14"/>
      <c r="O22888" s="14"/>
      <c r="P22888" s="13"/>
    </row>
    <row r="22889">
      <c r="L22889" s="13"/>
      <c r="M22889" s="14"/>
      <c r="N22889" s="14"/>
      <c r="O22889" s="14"/>
      <c r="P22889" s="13"/>
    </row>
    <row r="22890">
      <c r="L22890" s="13"/>
      <c r="M22890" s="14"/>
      <c r="N22890" s="14"/>
      <c r="O22890" s="14"/>
      <c r="P22890" s="13"/>
    </row>
    <row r="22891">
      <c r="L22891" s="13"/>
      <c r="M22891" s="14"/>
      <c r="N22891" s="14"/>
      <c r="O22891" s="14"/>
      <c r="P22891" s="13"/>
    </row>
    <row r="22892">
      <c r="L22892" s="13"/>
      <c r="M22892" s="14"/>
      <c r="N22892" s="14"/>
      <c r="O22892" s="14"/>
      <c r="P22892" s="13"/>
    </row>
    <row r="22893">
      <c r="L22893" s="13"/>
      <c r="M22893" s="14"/>
      <c r="N22893" s="14"/>
      <c r="O22893" s="14"/>
      <c r="P22893" s="13"/>
    </row>
    <row r="22894">
      <c r="L22894" s="13"/>
      <c r="M22894" s="14"/>
      <c r="N22894" s="14"/>
      <c r="O22894" s="14"/>
      <c r="P22894" s="13"/>
    </row>
    <row r="22895">
      <c r="L22895" s="13"/>
      <c r="M22895" s="14"/>
      <c r="N22895" s="14"/>
      <c r="O22895" s="14"/>
      <c r="P22895" s="13"/>
    </row>
    <row r="22896">
      <c r="L22896" s="13"/>
      <c r="M22896" s="14"/>
      <c r="N22896" s="14"/>
      <c r="O22896" s="14"/>
      <c r="P22896" s="13"/>
    </row>
    <row r="22897">
      <c r="L22897" s="13"/>
      <c r="M22897" s="14"/>
      <c r="N22897" s="14"/>
      <c r="O22897" s="14"/>
      <c r="P22897" s="13"/>
    </row>
    <row r="22898">
      <c r="L22898" s="13"/>
      <c r="M22898" s="14"/>
      <c r="N22898" s="14"/>
      <c r="O22898" s="14"/>
      <c r="P22898" s="13"/>
    </row>
    <row r="22899">
      <c r="L22899" s="13"/>
      <c r="M22899" s="14"/>
      <c r="N22899" s="14"/>
      <c r="O22899" s="14"/>
      <c r="P22899" s="13"/>
    </row>
    <row r="22900">
      <c r="L22900" s="13"/>
      <c r="M22900" s="14"/>
      <c r="N22900" s="14"/>
      <c r="O22900" s="14"/>
      <c r="P22900" s="13"/>
    </row>
    <row r="22901">
      <c r="L22901" s="13"/>
      <c r="M22901" s="14"/>
      <c r="N22901" s="14"/>
      <c r="O22901" s="14"/>
      <c r="P22901" s="13"/>
    </row>
    <row r="22902">
      <c r="L22902" s="13"/>
      <c r="M22902" s="14"/>
      <c r="N22902" s="14"/>
      <c r="O22902" s="14"/>
      <c r="P22902" s="13"/>
    </row>
    <row r="22903">
      <c r="L22903" s="13"/>
      <c r="M22903" s="14"/>
      <c r="N22903" s="14"/>
      <c r="O22903" s="14"/>
      <c r="P22903" s="13"/>
    </row>
    <row r="22904">
      <c r="L22904" s="13"/>
      <c r="M22904" s="14"/>
      <c r="N22904" s="14"/>
      <c r="O22904" s="14"/>
      <c r="P22904" s="13"/>
    </row>
    <row r="22905">
      <c r="L22905" s="13"/>
      <c r="M22905" s="14"/>
      <c r="N22905" s="14"/>
      <c r="O22905" s="14"/>
      <c r="P22905" s="13"/>
    </row>
    <row r="22906">
      <c r="L22906" s="13"/>
      <c r="M22906" s="14"/>
      <c r="N22906" s="14"/>
      <c r="O22906" s="14"/>
      <c r="P22906" s="13"/>
    </row>
    <row r="22907">
      <c r="L22907" s="13"/>
      <c r="M22907" s="14"/>
      <c r="N22907" s="14"/>
      <c r="O22907" s="14"/>
      <c r="P22907" s="13"/>
    </row>
    <row r="22908">
      <c r="L22908" s="13"/>
      <c r="M22908" s="14"/>
      <c r="N22908" s="14"/>
      <c r="O22908" s="14"/>
      <c r="P22908" s="13"/>
    </row>
    <row r="22909">
      <c r="L22909" s="13"/>
      <c r="M22909" s="14"/>
      <c r="N22909" s="14"/>
      <c r="O22909" s="14"/>
      <c r="P22909" s="13"/>
    </row>
    <row r="22910">
      <c r="L22910" s="13"/>
      <c r="M22910" s="14"/>
      <c r="N22910" s="14"/>
      <c r="O22910" s="14"/>
      <c r="P22910" s="13"/>
    </row>
    <row r="22911">
      <c r="L22911" s="13"/>
      <c r="M22911" s="14"/>
      <c r="N22911" s="14"/>
      <c r="O22911" s="14"/>
      <c r="P22911" s="13"/>
    </row>
    <row r="22912">
      <c r="L22912" s="13"/>
      <c r="M22912" s="14"/>
      <c r="N22912" s="14"/>
      <c r="O22912" s="14"/>
      <c r="P22912" s="13"/>
    </row>
    <row r="22913">
      <c r="L22913" s="13"/>
      <c r="M22913" s="14"/>
      <c r="N22913" s="14"/>
      <c r="O22913" s="14"/>
      <c r="P22913" s="13"/>
    </row>
    <row r="22914">
      <c r="L22914" s="13"/>
      <c r="M22914" s="14"/>
      <c r="N22914" s="14"/>
      <c r="O22914" s="14"/>
      <c r="P22914" s="13"/>
    </row>
    <row r="22915">
      <c r="L22915" s="13"/>
      <c r="M22915" s="14"/>
      <c r="N22915" s="14"/>
      <c r="O22915" s="14"/>
      <c r="P22915" s="13"/>
    </row>
    <row r="22916">
      <c r="L22916" s="13"/>
      <c r="M22916" s="14"/>
      <c r="N22916" s="14"/>
      <c r="O22916" s="14"/>
      <c r="P22916" s="13"/>
    </row>
    <row r="22917">
      <c r="L22917" s="13"/>
      <c r="M22917" s="14"/>
      <c r="N22917" s="14"/>
      <c r="O22917" s="14"/>
      <c r="P22917" s="13"/>
    </row>
    <row r="22918">
      <c r="L22918" s="13"/>
      <c r="M22918" s="14"/>
      <c r="N22918" s="14"/>
      <c r="O22918" s="14"/>
      <c r="P22918" s="13"/>
    </row>
    <row r="22919">
      <c r="L22919" s="13"/>
      <c r="M22919" s="14"/>
      <c r="N22919" s="14"/>
      <c r="O22919" s="14"/>
      <c r="P22919" s="13"/>
    </row>
    <row r="22920">
      <c r="L22920" s="13"/>
      <c r="M22920" s="14"/>
      <c r="N22920" s="14"/>
      <c r="O22920" s="14"/>
      <c r="P22920" s="13"/>
    </row>
    <row r="22921">
      <c r="L22921" s="13"/>
      <c r="M22921" s="14"/>
      <c r="N22921" s="14"/>
      <c r="O22921" s="14"/>
      <c r="P22921" s="13"/>
    </row>
    <row r="22922">
      <c r="L22922" s="13"/>
      <c r="M22922" s="14"/>
      <c r="N22922" s="14"/>
      <c r="O22922" s="14"/>
      <c r="P22922" s="13"/>
    </row>
    <row r="22923">
      <c r="L22923" s="13"/>
      <c r="M22923" s="14"/>
      <c r="N22923" s="14"/>
      <c r="O22923" s="14"/>
      <c r="P22923" s="13"/>
    </row>
    <row r="22924">
      <c r="L22924" s="13"/>
      <c r="M22924" s="14"/>
      <c r="N22924" s="14"/>
      <c r="O22924" s="14"/>
      <c r="P22924" s="13"/>
    </row>
    <row r="22925">
      <c r="L22925" s="13"/>
      <c r="M22925" s="14"/>
      <c r="N22925" s="14"/>
      <c r="O22925" s="14"/>
      <c r="P22925" s="13"/>
    </row>
    <row r="22926">
      <c r="L22926" s="13"/>
      <c r="M22926" s="14"/>
      <c r="N22926" s="14"/>
      <c r="O22926" s="14"/>
      <c r="P22926" s="13"/>
    </row>
    <row r="22927">
      <c r="L22927" s="13"/>
      <c r="M22927" s="14"/>
      <c r="N22927" s="14"/>
      <c r="O22927" s="14"/>
      <c r="P22927" s="13"/>
    </row>
    <row r="22928">
      <c r="L22928" s="13"/>
      <c r="M22928" s="14"/>
      <c r="N22928" s="14"/>
      <c r="O22928" s="14"/>
      <c r="P22928" s="13"/>
    </row>
    <row r="22929">
      <c r="L22929" s="13"/>
      <c r="M22929" s="14"/>
      <c r="N22929" s="14"/>
      <c r="O22929" s="14"/>
      <c r="P22929" s="13"/>
    </row>
    <row r="22930">
      <c r="L22930" s="13"/>
      <c r="M22930" s="14"/>
      <c r="N22930" s="14"/>
      <c r="O22930" s="14"/>
      <c r="P22930" s="13"/>
    </row>
    <row r="22931">
      <c r="L22931" s="13"/>
      <c r="M22931" s="14"/>
      <c r="N22931" s="14"/>
      <c r="O22931" s="14"/>
      <c r="P22931" s="13"/>
    </row>
    <row r="22932">
      <c r="L22932" s="13"/>
      <c r="M22932" s="14"/>
      <c r="N22932" s="14"/>
      <c r="O22932" s="14"/>
      <c r="P22932" s="13"/>
    </row>
    <row r="22933">
      <c r="L22933" s="13"/>
      <c r="M22933" s="14"/>
      <c r="N22933" s="14"/>
      <c r="O22933" s="14"/>
      <c r="P22933" s="13"/>
    </row>
    <row r="22934">
      <c r="L22934" s="13"/>
      <c r="M22934" s="14"/>
      <c r="N22934" s="14"/>
      <c r="O22934" s="14"/>
      <c r="P22934" s="13"/>
    </row>
    <row r="22935">
      <c r="L22935" s="13"/>
      <c r="M22935" s="14"/>
      <c r="N22935" s="14"/>
      <c r="O22935" s="14"/>
      <c r="P22935" s="13"/>
    </row>
    <row r="22936">
      <c r="L22936" s="13"/>
      <c r="M22936" s="14"/>
      <c r="N22936" s="14"/>
      <c r="O22936" s="14"/>
      <c r="P22936" s="13"/>
    </row>
    <row r="22937">
      <c r="L22937" s="13"/>
      <c r="M22937" s="14"/>
      <c r="N22937" s="14"/>
      <c r="O22937" s="14"/>
      <c r="P22937" s="13"/>
    </row>
    <row r="22938">
      <c r="L22938" s="13"/>
      <c r="M22938" s="14"/>
      <c r="N22938" s="14"/>
      <c r="O22938" s="14"/>
      <c r="P22938" s="13"/>
    </row>
    <row r="22939">
      <c r="L22939" s="13"/>
      <c r="M22939" s="14"/>
      <c r="N22939" s="14"/>
      <c r="O22939" s="14"/>
      <c r="P22939" s="13"/>
    </row>
    <row r="22940">
      <c r="L22940" s="13"/>
      <c r="M22940" s="14"/>
      <c r="N22940" s="14"/>
      <c r="O22940" s="14"/>
      <c r="P22940" s="13"/>
    </row>
    <row r="22941">
      <c r="L22941" s="13"/>
      <c r="M22941" s="14"/>
      <c r="N22941" s="14"/>
      <c r="O22941" s="14"/>
      <c r="P22941" s="13"/>
    </row>
    <row r="22942">
      <c r="L22942" s="13"/>
      <c r="M22942" s="14"/>
      <c r="N22942" s="14"/>
      <c r="O22942" s="14"/>
      <c r="P22942" s="13"/>
    </row>
    <row r="22943">
      <c r="L22943" s="13"/>
      <c r="M22943" s="14"/>
      <c r="N22943" s="14"/>
      <c r="O22943" s="14"/>
      <c r="P22943" s="13"/>
    </row>
    <row r="22944">
      <c r="L22944" s="13"/>
      <c r="M22944" s="14"/>
      <c r="N22944" s="14"/>
      <c r="O22944" s="14"/>
      <c r="P22944" s="13"/>
    </row>
    <row r="22945">
      <c r="L22945" s="13"/>
      <c r="M22945" s="14"/>
      <c r="N22945" s="14"/>
      <c r="O22945" s="14"/>
      <c r="P22945" s="13"/>
    </row>
    <row r="22946">
      <c r="L22946" s="13"/>
      <c r="M22946" s="14"/>
      <c r="N22946" s="14"/>
      <c r="O22946" s="14"/>
      <c r="P22946" s="13"/>
    </row>
    <row r="22947">
      <c r="L22947" s="13"/>
      <c r="M22947" s="14"/>
      <c r="N22947" s="14"/>
      <c r="O22947" s="14"/>
      <c r="P22947" s="13"/>
    </row>
    <row r="22948">
      <c r="L22948" s="13"/>
      <c r="M22948" s="14"/>
      <c r="N22948" s="14"/>
      <c r="O22948" s="14"/>
      <c r="P22948" s="13"/>
    </row>
    <row r="22949">
      <c r="L22949" s="13"/>
      <c r="M22949" s="14"/>
      <c r="N22949" s="14"/>
      <c r="O22949" s="14"/>
      <c r="P22949" s="13"/>
    </row>
    <row r="22950">
      <c r="L22950" s="13"/>
      <c r="M22950" s="14"/>
      <c r="N22950" s="14"/>
      <c r="O22950" s="14"/>
      <c r="P22950" s="13"/>
    </row>
    <row r="22951">
      <c r="L22951" s="13"/>
      <c r="M22951" s="14"/>
      <c r="N22951" s="14"/>
      <c r="O22951" s="14"/>
      <c r="P22951" s="13"/>
    </row>
    <row r="22952">
      <c r="L22952" s="13"/>
      <c r="M22952" s="14"/>
      <c r="N22952" s="14"/>
      <c r="O22952" s="14"/>
      <c r="P22952" s="13"/>
    </row>
    <row r="22953">
      <c r="L22953" s="13"/>
      <c r="M22953" s="14"/>
      <c r="N22953" s="14"/>
      <c r="O22953" s="14"/>
      <c r="P22953" s="13"/>
    </row>
    <row r="22954">
      <c r="L22954" s="13"/>
      <c r="M22954" s="14"/>
      <c r="N22954" s="14"/>
      <c r="O22954" s="14"/>
      <c r="P22954" s="13"/>
    </row>
    <row r="22955">
      <c r="L22955" s="13"/>
      <c r="M22955" s="14"/>
      <c r="N22955" s="14"/>
      <c r="O22955" s="14"/>
      <c r="P22955" s="13"/>
    </row>
    <row r="22956">
      <c r="L22956" s="13"/>
      <c r="M22956" s="14"/>
      <c r="N22956" s="14"/>
      <c r="O22956" s="14"/>
      <c r="P22956" s="13"/>
    </row>
    <row r="22957">
      <c r="L22957" s="13"/>
      <c r="M22957" s="14"/>
      <c r="N22957" s="14"/>
      <c r="O22957" s="14"/>
      <c r="P22957" s="13"/>
    </row>
    <row r="22958">
      <c r="L22958" s="13"/>
      <c r="M22958" s="14"/>
      <c r="N22958" s="14"/>
      <c r="O22958" s="14"/>
      <c r="P22958" s="13"/>
    </row>
    <row r="22959">
      <c r="L22959" s="13"/>
      <c r="M22959" s="14"/>
      <c r="N22959" s="14"/>
      <c r="O22959" s="14"/>
      <c r="P22959" s="13"/>
    </row>
    <row r="22960">
      <c r="L22960" s="13"/>
      <c r="M22960" s="14"/>
      <c r="N22960" s="14"/>
      <c r="O22960" s="14"/>
      <c r="P22960" s="13"/>
    </row>
    <row r="22961">
      <c r="L22961" s="13"/>
      <c r="M22961" s="14"/>
      <c r="N22961" s="14"/>
      <c r="O22961" s="14"/>
      <c r="P22961" s="13"/>
    </row>
    <row r="22962">
      <c r="L22962" s="13"/>
      <c r="M22962" s="14"/>
      <c r="N22962" s="14"/>
      <c r="O22962" s="14"/>
      <c r="P22962" s="13"/>
    </row>
    <row r="22963">
      <c r="L22963" s="13"/>
      <c r="M22963" s="14"/>
      <c r="N22963" s="14"/>
      <c r="O22963" s="14"/>
      <c r="P22963" s="13"/>
    </row>
    <row r="22964">
      <c r="L22964" s="13"/>
      <c r="M22964" s="14"/>
      <c r="N22964" s="14"/>
      <c r="O22964" s="14"/>
      <c r="P22964" s="13"/>
    </row>
    <row r="22965">
      <c r="L22965" s="13"/>
      <c r="M22965" s="14"/>
      <c r="N22965" s="14"/>
      <c r="O22965" s="14"/>
      <c r="P22965" s="13"/>
    </row>
    <row r="22966">
      <c r="L22966" s="13"/>
      <c r="M22966" s="14"/>
      <c r="N22966" s="14"/>
      <c r="O22966" s="14"/>
      <c r="P22966" s="13"/>
    </row>
    <row r="22967">
      <c r="L22967" s="13"/>
      <c r="M22967" s="14"/>
      <c r="N22967" s="14"/>
      <c r="O22967" s="14"/>
      <c r="P22967" s="13"/>
    </row>
    <row r="22968">
      <c r="L22968" s="13"/>
      <c r="M22968" s="14"/>
      <c r="N22968" s="14"/>
      <c r="O22968" s="14"/>
      <c r="P22968" s="13"/>
    </row>
    <row r="22969">
      <c r="L22969" s="13"/>
      <c r="M22969" s="14"/>
      <c r="N22969" s="14"/>
      <c r="O22969" s="14"/>
      <c r="P22969" s="13"/>
    </row>
    <row r="22970">
      <c r="L22970" s="13"/>
      <c r="M22970" s="14"/>
      <c r="N22970" s="14"/>
      <c r="O22970" s="14"/>
      <c r="P22970" s="13"/>
    </row>
    <row r="22971">
      <c r="L22971" s="13"/>
      <c r="M22971" s="14"/>
      <c r="N22971" s="14"/>
      <c r="O22971" s="14"/>
      <c r="P22971" s="13"/>
    </row>
    <row r="22972">
      <c r="L22972" s="13"/>
      <c r="M22972" s="14"/>
      <c r="N22972" s="14"/>
      <c r="O22972" s="14"/>
      <c r="P22972" s="13"/>
    </row>
    <row r="22973">
      <c r="L22973" s="13"/>
      <c r="M22973" s="14"/>
      <c r="N22973" s="14"/>
      <c r="O22973" s="14"/>
      <c r="P22973" s="13"/>
    </row>
    <row r="22974">
      <c r="L22974" s="13"/>
      <c r="M22974" s="14"/>
      <c r="N22974" s="14"/>
      <c r="O22974" s="14"/>
      <c r="P22974" s="13"/>
    </row>
    <row r="22975">
      <c r="L22975" s="13"/>
      <c r="M22975" s="14"/>
      <c r="N22975" s="14"/>
      <c r="O22975" s="14"/>
      <c r="P22975" s="13"/>
    </row>
    <row r="22976">
      <c r="L22976" s="13"/>
      <c r="M22976" s="14"/>
      <c r="N22976" s="14"/>
      <c r="O22976" s="14"/>
      <c r="P22976" s="13"/>
    </row>
    <row r="22977">
      <c r="L22977" s="13"/>
      <c r="M22977" s="14"/>
      <c r="N22977" s="14"/>
      <c r="O22977" s="14"/>
      <c r="P22977" s="13"/>
    </row>
    <row r="22978">
      <c r="L22978" s="13"/>
      <c r="M22978" s="14"/>
      <c r="N22978" s="14"/>
      <c r="O22978" s="14"/>
      <c r="P22978" s="13"/>
    </row>
    <row r="22979">
      <c r="L22979" s="13"/>
      <c r="M22979" s="14"/>
      <c r="N22979" s="14"/>
      <c r="O22979" s="14"/>
      <c r="P22979" s="13"/>
    </row>
    <row r="22980">
      <c r="L22980" s="13"/>
      <c r="M22980" s="14"/>
      <c r="N22980" s="14"/>
      <c r="O22980" s="14"/>
      <c r="P22980" s="13"/>
    </row>
    <row r="22981">
      <c r="L22981" s="13"/>
      <c r="M22981" s="14"/>
      <c r="N22981" s="14"/>
      <c r="O22981" s="14"/>
      <c r="P22981" s="13"/>
    </row>
    <row r="22982">
      <c r="L22982" s="13"/>
      <c r="M22982" s="14"/>
      <c r="N22982" s="14"/>
      <c r="O22982" s="14"/>
      <c r="P22982" s="13"/>
    </row>
    <row r="22983">
      <c r="L22983" s="13"/>
      <c r="M22983" s="14"/>
      <c r="N22983" s="14"/>
      <c r="O22983" s="14"/>
      <c r="P22983" s="13"/>
    </row>
    <row r="22984">
      <c r="L22984" s="13"/>
      <c r="M22984" s="14"/>
      <c r="N22984" s="14"/>
      <c r="O22984" s="14"/>
      <c r="P22984" s="13"/>
    </row>
    <row r="22985">
      <c r="L22985" s="13"/>
      <c r="M22985" s="14"/>
      <c r="N22985" s="14"/>
      <c r="O22985" s="14"/>
      <c r="P22985" s="13"/>
    </row>
    <row r="22986">
      <c r="L22986" s="13"/>
      <c r="M22986" s="14"/>
      <c r="N22986" s="14"/>
      <c r="O22986" s="14"/>
      <c r="P22986" s="13"/>
    </row>
    <row r="22987">
      <c r="L22987" s="13"/>
      <c r="M22987" s="14"/>
      <c r="N22987" s="14"/>
      <c r="O22987" s="14"/>
      <c r="P22987" s="13"/>
    </row>
    <row r="22988">
      <c r="L22988" s="13"/>
      <c r="M22988" s="14"/>
      <c r="N22988" s="14"/>
      <c r="O22988" s="14"/>
      <c r="P22988" s="13"/>
    </row>
    <row r="22989">
      <c r="L22989" s="13"/>
      <c r="M22989" s="14"/>
      <c r="N22989" s="14"/>
      <c r="O22989" s="14"/>
      <c r="P22989" s="13"/>
    </row>
    <row r="22990">
      <c r="L22990" s="13"/>
      <c r="M22990" s="14"/>
      <c r="N22990" s="14"/>
      <c r="O22990" s="14"/>
      <c r="P22990" s="13"/>
    </row>
    <row r="22991">
      <c r="L22991" s="13"/>
      <c r="M22991" s="14"/>
      <c r="N22991" s="14"/>
      <c r="O22991" s="14"/>
      <c r="P22991" s="13"/>
    </row>
    <row r="22992">
      <c r="L22992" s="13"/>
      <c r="M22992" s="14"/>
      <c r="N22992" s="14"/>
      <c r="O22992" s="14"/>
      <c r="P22992" s="13"/>
    </row>
    <row r="22993">
      <c r="L22993" s="13"/>
      <c r="M22993" s="14"/>
      <c r="N22993" s="14"/>
      <c r="O22993" s="14"/>
      <c r="P22993" s="13"/>
    </row>
    <row r="22994">
      <c r="L22994" s="13"/>
      <c r="M22994" s="14"/>
      <c r="N22994" s="14"/>
      <c r="O22994" s="14"/>
      <c r="P22994" s="13"/>
    </row>
    <row r="22995">
      <c r="L22995" s="13"/>
      <c r="M22995" s="14"/>
      <c r="N22995" s="14"/>
      <c r="O22995" s="14"/>
      <c r="P22995" s="13"/>
    </row>
    <row r="22996">
      <c r="L22996" s="13"/>
      <c r="M22996" s="14"/>
      <c r="N22996" s="14"/>
      <c r="O22996" s="14"/>
      <c r="P22996" s="13"/>
    </row>
    <row r="22997">
      <c r="L22997" s="13"/>
      <c r="M22997" s="14"/>
      <c r="N22997" s="14"/>
      <c r="O22997" s="14"/>
      <c r="P22997" s="13"/>
    </row>
    <row r="22998">
      <c r="L22998" s="13"/>
      <c r="M22998" s="14"/>
      <c r="N22998" s="14"/>
      <c r="O22998" s="14"/>
      <c r="P22998" s="13"/>
    </row>
    <row r="22999">
      <c r="L22999" s="13"/>
      <c r="M22999" s="14"/>
      <c r="N22999" s="14"/>
      <c r="O22999" s="14"/>
      <c r="P22999" s="13"/>
    </row>
    <row r="23000">
      <c r="L23000" s="13"/>
      <c r="M23000" s="14"/>
      <c r="N23000" s="14"/>
      <c r="O23000" s="14"/>
      <c r="P23000" s="13"/>
    </row>
    <row r="23001">
      <c r="L23001" s="13"/>
      <c r="M23001" s="14"/>
      <c r="N23001" s="14"/>
      <c r="O23001" s="14"/>
      <c r="P23001" s="13"/>
    </row>
    <row r="23002">
      <c r="L23002" s="13"/>
      <c r="M23002" s="14"/>
      <c r="N23002" s="14"/>
      <c r="O23002" s="14"/>
      <c r="P23002" s="13"/>
    </row>
    <row r="23003">
      <c r="L23003" s="13"/>
      <c r="M23003" s="14"/>
      <c r="N23003" s="14"/>
      <c r="O23003" s="14"/>
      <c r="P23003" s="13"/>
    </row>
    <row r="23004">
      <c r="L23004" s="13"/>
      <c r="M23004" s="14"/>
      <c r="N23004" s="14"/>
      <c r="O23004" s="14"/>
      <c r="P23004" s="13"/>
    </row>
    <row r="23005">
      <c r="L23005" s="13"/>
      <c r="M23005" s="14"/>
      <c r="N23005" s="14"/>
      <c r="O23005" s="14"/>
      <c r="P23005" s="13"/>
    </row>
    <row r="23006">
      <c r="L23006" s="13"/>
      <c r="M23006" s="14"/>
      <c r="N23006" s="14"/>
      <c r="O23006" s="14"/>
      <c r="P23006" s="13"/>
    </row>
    <row r="23007">
      <c r="L23007" s="13"/>
      <c r="M23007" s="14"/>
      <c r="N23007" s="14"/>
      <c r="O23007" s="14"/>
      <c r="P23007" s="13"/>
    </row>
    <row r="23008">
      <c r="L23008" s="13"/>
      <c r="M23008" s="14"/>
      <c r="N23008" s="14"/>
      <c r="O23008" s="14"/>
      <c r="P23008" s="13"/>
    </row>
    <row r="23009">
      <c r="L23009" s="13"/>
      <c r="M23009" s="14"/>
      <c r="N23009" s="14"/>
      <c r="O23009" s="14"/>
      <c r="P23009" s="13"/>
    </row>
    <row r="23010">
      <c r="L23010" s="13"/>
      <c r="M23010" s="14"/>
      <c r="N23010" s="14"/>
      <c r="O23010" s="14"/>
      <c r="P23010" s="13"/>
    </row>
    <row r="23011">
      <c r="L23011" s="13"/>
      <c r="M23011" s="14"/>
      <c r="N23011" s="14"/>
      <c r="O23011" s="14"/>
      <c r="P23011" s="13"/>
    </row>
    <row r="23012">
      <c r="L23012" s="13"/>
      <c r="M23012" s="14"/>
      <c r="N23012" s="14"/>
      <c r="O23012" s="14"/>
      <c r="P23012" s="13"/>
    </row>
    <row r="23013">
      <c r="L23013" s="13"/>
      <c r="M23013" s="14"/>
      <c r="N23013" s="14"/>
      <c r="O23013" s="14"/>
      <c r="P23013" s="13"/>
    </row>
    <row r="23014">
      <c r="L23014" s="13"/>
      <c r="M23014" s="14"/>
      <c r="N23014" s="14"/>
      <c r="O23014" s="14"/>
      <c r="P23014" s="13"/>
    </row>
    <row r="23015">
      <c r="L23015" s="13"/>
      <c r="M23015" s="14"/>
      <c r="N23015" s="14"/>
      <c r="O23015" s="14"/>
      <c r="P23015" s="13"/>
    </row>
    <row r="23016">
      <c r="L23016" s="13"/>
      <c r="M23016" s="14"/>
      <c r="N23016" s="14"/>
      <c r="O23016" s="14"/>
      <c r="P23016" s="13"/>
    </row>
    <row r="23017">
      <c r="L23017" s="13"/>
      <c r="M23017" s="14"/>
      <c r="N23017" s="14"/>
      <c r="O23017" s="14"/>
      <c r="P23017" s="13"/>
    </row>
    <row r="23018">
      <c r="L23018" s="13"/>
      <c r="M23018" s="14"/>
      <c r="N23018" s="14"/>
      <c r="O23018" s="14"/>
      <c r="P23018" s="13"/>
    </row>
    <row r="23019">
      <c r="L23019" s="13"/>
      <c r="M23019" s="14"/>
      <c r="N23019" s="14"/>
      <c r="O23019" s="14"/>
      <c r="P23019" s="13"/>
    </row>
    <row r="23020">
      <c r="L23020" s="13"/>
      <c r="M23020" s="14"/>
      <c r="N23020" s="14"/>
      <c r="O23020" s="14"/>
      <c r="P23020" s="13"/>
    </row>
    <row r="23021">
      <c r="L23021" s="13"/>
      <c r="M23021" s="14"/>
      <c r="N23021" s="14"/>
      <c r="O23021" s="14"/>
      <c r="P23021" s="13"/>
    </row>
    <row r="23022">
      <c r="L23022" s="13"/>
      <c r="M23022" s="14"/>
      <c r="N23022" s="14"/>
      <c r="O23022" s="14"/>
      <c r="P23022" s="13"/>
    </row>
    <row r="23023">
      <c r="L23023" s="13"/>
      <c r="M23023" s="14"/>
      <c r="N23023" s="14"/>
      <c r="O23023" s="14"/>
      <c r="P23023" s="13"/>
    </row>
    <row r="23024">
      <c r="L23024" s="13"/>
      <c r="M23024" s="14"/>
      <c r="N23024" s="14"/>
      <c r="O23024" s="14"/>
      <c r="P23024" s="13"/>
    </row>
    <row r="23025">
      <c r="L23025" s="13"/>
      <c r="M23025" s="14"/>
      <c r="N23025" s="14"/>
      <c r="O23025" s="14"/>
      <c r="P23025" s="13"/>
    </row>
    <row r="23026">
      <c r="L23026" s="13"/>
      <c r="M23026" s="14"/>
      <c r="N23026" s="14"/>
      <c r="O23026" s="14"/>
      <c r="P23026" s="13"/>
    </row>
    <row r="23027">
      <c r="L23027" s="13"/>
      <c r="M23027" s="14"/>
      <c r="N23027" s="14"/>
      <c r="O23027" s="14"/>
      <c r="P23027" s="13"/>
    </row>
    <row r="23028">
      <c r="L23028" s="13"/>
      <c r="M23028" s="14"/>
      <c r="N23028" s="14"/>
      <c r="O23028" s="14"/>
      <c r="P23028" s="13"/>
    </row>
    <row r="23029">
      <c r="L23029" s="13"/>
      <c r="M23029" s="14"/>
      <c r="N23029" s="14"/>
      <c r="O23029" s="14"/>
      <c r="P23029" s="13"/>
    </row>
    <row r="23030">
      <c r="L23030" s="13"/>
      <c r="M23030" s="14"/>
      <c r="N23030" s="14"/>
      <c r="O23030" s="14"/>
      <c r="P23030" s="13"/>
    </row>
    <row r="23031">
      <c r="L23031" s="13"/>
      <c r="M23031" s="14"/>
      <c r="N23031" s="14"/>
      <c r="O23031" s="14"/>
      <c r="P23031" s="13"/>
    </row>
    <row r="23032">
      <c r="L23032" s="13"/>
      <c r="M23032" s="14"/>
      <c r="N23032" s="14"/>
      <c r="O23032" s="14"/>
      <c r="P23032" s="13"/>
    </row>
    <row r="23033">
      <c r="L23033" s="13"/>
      <c r="M23033" s="14"/>
      <c r="N23033" s="14"/>
      <c r="O23033" s="14"/>
      <c r="P23033" s="13"/>
    </row>
    <row r="23034">
      <c r="L23034" s="13"/>
      <c r="M23034" s="14"/>
      <c r="N23034" s="14"/>
      <c r="O23034" s="14"/>
      <c r="P23034" s="13"/>
    </row>
    <row r="23035">
      <c r="L23035" s="13"/>
      <c r="M23035" s="14"/>
      <c r="N23035" s="14"/>
      <c r="O23035" s="14"/>
      <c r="P23035" s="13"/>
    </row>
    <row r="23036">
      <c r="L23036" s="13"/>
      <c r="M23036" s="14"/>
      <c r="N23036" s="14"/>
      <c r="O23036" s="14"/>
      <c r="P23036" s="13"/>
    </row>
    <row r="23037">
      <c r="L23037" s="13"/>
      <c r="M23037" s="14"/>
      <c r="N23037" s="14"/>
      <c r="O23037" s="14"/>
      <c r="P23037" s="13"/>
    </row>
    <row r="23038">
      <c r="L23038" s="13"/>
      <c r="M23038" s="14"/>
      <c r="N23038" s="14"/>
      <c r="O23038" s="14"/>
      <c r="P23038" s="13"/>
    </row>
    <row r="23039">
      <c r="L23039" s="13"/>
      <c r="M23039" s="14"/>
      <c r="N23039" s="14"/>
      <c r="O23039" s="14"/>
      <c r="P23039" s="13"/>
    </row>
    <row r="23040">
      <c r="L23040" s="13"/>
      <c r="M23040" s="14"/>
      <c r="N23040" s="14"/>
      <c r="O23040" s="14"/>
      <c r="P23040" s="13"/>
    </row>
    <row r="23041">
      <c r="L23041" s="13"/>
      <c r="M23041" s="14"/>
      <c r="N23041" s="14"/>
      <c r="O23041" s="14"/>
      <c r="P23041" s="13"/>
    </row>
    <row r="23042">
      <c r="L23042" s="13"/>
      <c r="M23042" s="14"/>
      <c r="N23042" s="14"/>
      <c r="O23042" s="14"/>
      <c r="P23042" s="13"/>
    </row>
    <row r="23043">
      <c r="L23043" s="13"/>
      <c r="M23043" s="14"/>
      <c r="N23043" s="14"/>
      <c r="O23043" s="14"/>
      <c r="P23043" s="13"/>
    </row>
    <row r="23044">
      <c r="L23044" s="13"/>
      <c r="M23044" s="14"/>
      <c r="N23044" s="14"/>
      <c r="O23044" s="14"/>
      <c r="P23044" s="13"/>
    </row>
    <row r="23045">
      <c r="L23045" s="13"/>
      <c r="M23045" s="14"/>
      <c r="N23045" s="14"/>
      <c r="O23045" s="14"/>
      <c r="P23045" s="13"/>
    </row>
    <row r="23046">
      <c r="L23046" s="13"/>
      <c r="M23046" s="14"/>
      <c r="N23046" s="14"/>
      <c r="O23046" s="14"/>
      <c r="P23046" s="13"/>
    </row>
    <row r="23047">
      <c r="L23047" s="13"/>
      <c r="M23047" s="14"/>
      <c r="N23047" s="14"/>
      <c r="O23047" s="14"/>
      <c r="P23047" s="13"/>
    </row>
    <row r="23048">
      <c r="L23048" s="13"/>
      <c r="M23048" s="14"/>
      <c r="N23048" s="14"/>
      <c r="O23048" s="14"/>
      <c r="P23048" s="13"/>
    </row>
    <row r="23049">
      <c r="L23049" s="13"/>
      <c r="M23049" s="14"/>
      <c r="N23049" s="14"/>
      <c r="O23049" s="14"/>
      <c r="P23049" s="13"/>
    </row>
    <row r="23050">
      <c r="L23050" s="13"/>
      <c r="M23050" s="14"/>
      <c r="N23050" s="14"/>
      <c r="O23050" s="14"/>
      <c r="P23050" s="13"/>
    </row>
    <row r="23051">
      <c r="L23051" s="13"/>
      <c r="M23051" s="14"/>
      <c r="N23051" s="14"/>
      <c r="O23051" s="14"/>
      <c r="P23051" s="13"/>
    </row>
    <row r="23052">
      <c r="L23052" s="13"/>
      <c r="M23052" s="14"/>
      <c r="N23052" s="14"/>
      <c r="O23052" s="14"/>
      <c r="P23052" s="13"/>
    </row>
    <row r="23053">
      <c r="L23053" s="13"/>
      <c r="M23053" s="14"/>
      <c r="N23053" s="14"/>
      <c r="O23053" s="14"/>
      <c r="P23053" s="13"/>
    </row>
    <row r="23054">
      <c r="L23054" s="13"/>
      <c r="M23054" s="14"/>
      <c r="N23054" s="14"/>
      <c r="O23054" s="14"/>
      <c r="P23054" s="13"/>
    </row>
    <row r="23055">
      <c r="L23055" s="13"/>
      <c r="M23055" s="14"/>
      <c r="N23055" s="14"/>
      <c r="O23055" s="14"/>
      <c r="P23055" s="13"/>
    </row>
    <row r="23056">
      <c r="L23056" s="13"/>
      <c r="M23056" s="14"/>
      <c r="N23056" s="14"/>
      <c r="O23056" s="14"/>
      <c r="P23056" s="13"/>
    </row>
    <row r="23057">
      <c r="L23057" s="13"/>
      <c r="M23057" s="14"/>
      <c r="N23057" s="14"/>
      <c r="O23057" s="14"/>
      <c r="P23057" s="13"/>
    </row>
    <row r="23058">
      <c r="L23058" s="13"/>
      <c r="M23058" s="14"/>
      <c r="N23058" s="14"/>
      <c r="O23058" s="14"/>
      <c r="P23058" s="13"/>
    </row>
    <row r="23059">
      <c r="L23059" s="13"/>
      <c r="M23059" s="14"/>
      <c r="N23059" s="14"/>
      <c r="O23059" s="14"/>
      <c r="P23059" s="13"/>
    </row>
    <row r="23060">
      <c r="L23060" s="13"/>
      <c r="M23060" s="14"/>
      <c r="N23060" s="14"/>
      <c r="O23060" s="14"/>
      <c r="P23060" s="13"/>
    </row>
    <row r="23061">
      <c r="L23061" s="13"/>
      <c r="M23061" s="14"/>
      <c r="N23061" s="14"/>
      <c r="O23061" s="14"/>
      <c r="P23061" s="13"/>
    </row>
    <row r="23062">
      <c r="L23062" s="13"/>
      <c r="M23062" s="14"/>
      <c r="N23062" s="14"/>
      <c r="O23062" s="14"/>
      <c r="P23062" s="13"/>
    </row>
    <row r="23063">
      <c r="L23063" s="13"/>
      <c r="M23063" s="14"/>
      <c r="N23063" s="14"/>
      <c r="O23063" s="14"/>
      <c r="P23063" s="13"/>
    </row>
    <row r="23064">
      <c r="L23064" s="13"/>
      <c r="M23064" s="14"/>
      <c r="N23064" s="14"/>
      <c r="O23064" s="14"/>
      <c r="P23064" s="13"/>
    </row>
    <row r="23065">
      <c r="L23065" s="13"/>
      <c r="M23065" s="14"/>
      <c r="N23065" s="14"/>
      <c r="O23065" s="14"/>
      <c r="P23065" s="13"/>
    </row>
    <row r="23066">
      <c r="L23066" s="13"/>
      <c r="M23066" s="14"/>
      <c r="N23066" s="14"/>
      <c r="O23066" s="14"/>
      <c r="P23066" s="13"/>
    </row>
    <row r="23067">
      <c r="L23067" s="13"/>
      <c r="M23067" s="14"/>
      <c r="N23067" s="14"/>
      <c r="O23067" s="14"/>
      <c r="P23067" s="13"/>
    </row>
    <row r="23068">
      <c r="L23068" s="13"/>
      <c r="M23068" s="14"/>
      <c r="N23068" s="14"/>
      <c r="O23068" s="14"/>
      <c r="P23068" s="13"/>
    </row>
    <row r="23069">
      <c r="L23069" s="13"/>
      <c r="M23069" s="14"/>
      <c r="N23069" s="14"/>
      <c r="O23069" s="14"/>
      <c r="P23069" s="13"/>
    </row>
    <row r="23070">
      <c r="L23070" s="13"/>
      <c r="M23070" s="14"/>
      <c r="N23070" s="14"/>
      <c r="O23070" s="14"/>
      <c r="P23070" s="13"/>
    </row>
    <row r="23071">
      <c r="L23071" s="13"/>
      <c r="M23071" s="14"/>
      <c r="N23071" s="14"/>
      <c r="O23071" s="14"/>
      <c r="P23071" s="13"/>
    </row>
    <row r="23072">
      <c r="L23072" s="13"/>
      <c r="M23072" s="14"/>
      <c r="N23072" s="14"/>
      <c r="O23072" s="14"/>
      <c r="P23072" s="13"/>
    </row>
    <row r="23073">
      <c r="L23073" s="13"/>
      <c r="M23073" s="14"/>
      <c r="N23073" s="14"/>
      <c r="O23073" s="14"/>
      <c r="P23073" s="13"/>
    </row>
    <row r="23074">
      <c r="L23074" s="13"/>
      <c r="M23074" s="14"/>
      <c r="N23074" s="14"/>
      <c r="O23074" s="14"/>
      <c r="P23074" s="13"/>
    </row>
    <row r="23075">
      <c r="L23075" s="13"/>
      <c r="M23075" s="14"/>
      <c r="N23075" s="14"/>
      <c r="O23075" s="14"/>
      <c r="P23075" s="13"/>
    </row>
    <row r="23076">
      <c r="L23076" s="13"/>
      <c r="M23076" s="14"/>
      <c r="N23076" s="14"/>
      <c r="O23076" s="14"/>
      <c r="P23076" s="13"/>
    </row>
    <row r="23077">
      <c r="L23077" s="13"/>
      <c r="M23077" s="14"/>
      <c r="N23077" s="14"/>
      <c r="O23077" s="14"/>
      <c r="P23077" s="13"/>
    </row>
    <row r="23078">
      <c r="L23078" s="13"/>
      <c r="M23078" s="14"/>
      <c r="N23078" s="14"/>
      <c r="O23078" s="14"/>
      <c r="P23078" s="13"/>
    </row>
    <row r="23079">
      <c r="L23079" s="13"/>
      <c r="M23079" s="14"/>
      <c r="N23079" s="14"/>
      <c r="O23079" s="14"/>
      <c r="P23079" s="13"/>
    </row>
    <row r="23080">
      <c r="L23080" s="13"/>
      <c r="M23080" s="14"/>
      <c r="N23080" s="14"/>
      <c r="O23080" s="14"/>
      <c r="P23080" s="13"/>
    </row>
    <row r="23081">
      <c r="L23081" s="13"/>
      <c r="M23081" s="14"/>
      <c r="N23081" s="14"/>
      <c r="O23081" s="14"/>
      <c r="P23081" s="13"/>
    </row>
    <row r="23082">
      <c r="L23082" s="13"/>
      <c r="M23082" s="14"/>
      <c r="N23082" s="14"/>
      <c r="O23082" s="14"/>
      <c r="P23082" s="13"/>
    </row>
    <row r="23083">
      <c r="L23083" s="13"/>
      <c r="M23083" s="14"/>
      <c r="N23083" s="14"/>
      <c r="O23083" s="14"/>
      <c r="P23083" s="13"/>
    </row>
    <row r="23084">
      <c r="L23084" s="13"/>
      <c r="M23084" s="14"/>
      <c r="N23084" s="14"/>
      <c r="O23084" s="14"/>
      <c r="P23084" s="13"/>
    </row>
    <row r="23085">
      <c r="L23085" s="13"/>
      <c r="M23085" s="14"/>
      <c r="N23085" s="14"/>
      <c r="O23085" s="14"/>
      <c r="P23085" s="13"/>
    </row>
    <row r="23086">
      <c r="L23086" s="13"/>
      <c r="M23086" s="14"/>
      <c r="N23086" s="14"/>
      <c r="O23086" s="14"/>
      <c r="P23086" s="13"/>
    </row>
    <row r="23087">
      <c r="L23087" s="13"/>
      <c r="M23087" s="14"/>
      <c r="N23087" s="14"/>
      <c r="O23087" s="14"/>
      <c r="P23087" s="13"/>
    </row>
    <row r="23088">
      <c r="L23088" s="13"/>
      <c r="M23088" s="14"/>
      <c r="N23088" s="14"/>
      <c r="O23088" s="14"/>
      <c r="P23088" s="13"/>
    </row>
    <row r="23089">
      <c r="L23089" s="13"/>
      <c r="M23089" s="14"/>
      <c r="N23089" s="14"/>
      <c r="O23089" s="14"/>
      <c r="P23089" s="13"/>
    </row>
    <row r="23090">
      <c r="L23090" s="13"/>
      <c r="M23090" s="14"/>
      <c r="N23090" s="14"/>
      <c r="O23090" s="14"/>
      <c r="P23090" s="13"/>
    </row>
    <row r="23091">
      <c r="L23091" s="13"/>
      <c r="M23091" s="14"/>
      <c r="N23091" s="14"/>
      <c r="O23091" s="14"/>
      <c r="P23091" s="13"/>
    </row>
    <row r="23092">
      <c r="L23092" s="13"/>
      <c r="M23092" s="14"/>
      <c r="N23092" s="14"/>
      <c r="O23092" s="14"/>
      <c r="P23092" s="13"/>
    </row>
    <row r="23093">
      <c r="L23093" s="13"/>
      <c r="M23093" s="14"/>
      <c r="N23093" s="14"/>
      <c r="O23093" s="14"/>
      <c r="P23093" s="13"/>
    </row>
    <row r="23094">
      <c r="L23094" s="13"/>
      <c r="M23094" s="14"/>
      <c r="N23094" s="14"/>
      <c r="O23094" s="14"/>
      <c r="P23094" s="13"/>
    </row>
    <row r="23095">
      <c r="L23095" s="13"/>
      <c r="M23095" s="14"/>
      <c r="N23095" s="14"/>
      <c r="O23095" s="14"/>
      <c r="P23095" s="13"/>
    </row>
    <row r="23096">
      <c r="L23096" s="13"/>
      <c r="M23096" s="14"/>
      <c r="N23096" s="14"/>
      <c r="O23096" s="14"/>
      <c r="P23096" s="13"/>
    </row>
    <row r="23097">
      <c r="L23097" s="13"/>
      <c r="M23097" s="14"/>
      <c r="N23097" s="14"/>
      <c r="O23097" s="14"/>
      <c r="P23097" s="13"/>
    </row>
    <row r="23098">
      <c r="L23098" s="13"/>
      <c r="M23098" s="14"/>
      <c r="N23098" s="14"/>
      <c r="O23098" s="14"/>
      <c r="P23098" s="13"/>
    </row>
    <row r="23099">
      <c r="L23099" s="13"/>
      <c r="M23099" s="14"/>
      <c r="N23099" s="14"/>
      <c r="O23099" s="14"/>
      <c r="P23099" s="13"/>
    </row>
    <row r="23100">
      <c r="L23100" s="13"/>
      <c r="M23100" s="14"/>
      <c r="N23100" s="14"/>
      <c r="O23100" s="14"/>
      <c r="P23100" s="13"/>
    </row>
    <row r="23101">
      <c r="L23101" s="13"/>
      <c r="M23101" s="14"/>
      <c r="N23101" s="14"/>
      <c r="O23101" s="14"/>
      <c r="P23101" s="13"/>
    </row>
    <row r="23102">
      <c r="L23102" s="13"/>
      <c r="M23102" s="14"/>
      <c r="N23102" s="14"/>
      <c r="O23102" s="14"/>
      <c r="P23102" s="13"/>
    </row>
    <row r="23103">
      <c r="L23103" s="13"/>
      <c r="M23103" s="14"/>
      <c r="N23103" s="14"/>
      <c r="O23103" s="14"/>
      <c r="P23103" s="13"/>
    </row>
    <row r="23104">
      <c r="L23104" s="13"/>
      <c r="M23104" s="14"/>
      <c r="N23104" s="14"/>
      <c r="O23104" s="14"/>
      <c r="P23104" s="13"/>
    </row>
    <row r="23105">
      <c r="L23105" s="13"/>
      <c r="M23105" s="14"/>
      <c r="N23105" s="14"/>
      <c r="O23105" s="14"/>
      <c r="P23105" s="13"/>
    </row>
    <row r="23106">
      <c r="L23106" s="13"/>
      <c r="M23106" s="14"/>
      <c r="N23106" s="14"/>
      <c r="O23106" s="14"/>
      <c r="P23106" s="13"/>
    </row>
    <row r="23107">
      <c r="L23107" s="13"/>
      <c r="M23107" s="14"/>
      <c r="N23107" s="14"/>
      <c r="O23107" s="14"/>
      <c r="P23107" s="13"/>
    </row>
    <row r="23108">
      <c r="L23108" s="13"/>
      <c r="M23108" s="14"/>
      <c r="N23108" s="14"/>
      <c r="O23108" s="14"/>
      <c r="P23108" s="13"/>
    </row>
    <row r="23109">
      <c r="L23109" s="13"/>
      <c r="M23109" s="14"/>
      <c r="N23109" s="14"/>
      <c r="O23109" s="14"/>
      <c r="P23109" s="13"/>
    </row>
    <row r="23110">
      <c r="L23110" s="13"/>
      <c r="M23110" s="14"/>
      <c r="N23110" s="14"/>
      <c r="O23110" s="14"/>
      <c r="P23110" s="13"/>
    </row>
    <row r="23111">
      <c r="L23111" s="13"/>
      <c r="M23111" s="14"/>
      <c r="N23111" s="14"/>
      <c r="O23111" s="14"/>
      <c r="P23111" s="13"/>
    </row>
    <row r="23112">
      <c r="L23112" s="13"/>
      <c r="M23112" s="14"/>
      <c r="N23112" s="14"/>
      <c r="O23112" s="14"/>
      <c r="P23112" s="13"/>
    </row>
    <row r="23113">
      <c r="L23113" s="13"/>
      <c r="M23113" s="14"/>
      <c r="N23113" s="14"/>
      <c r="O23113" s="14"/>
      <c r="P23113" s="13"/>
    </row>
    <row r="23114">
      <c r="L23114" s="13"/>
      <c r="M23114" s="14"/>
      <c r="N23114" s="14"/>
      <c r="O23114" s="14"/>
      <c r="P23114" s="13"/>
    </row>
    <row r="23115">
      <c r="L23115" s="13"/>
      <c r="M23115" s="14"/>
      <c r="N23115" s="14"/>
      <c r="O23115" s="14"/>
      <c r="P23115" s="13"/>
    </row>
    <row r="23116">
      <c r="L23116" s="13"/>
      <c r="M23116" s="14"/>
      <c r="N23116" s="14"/>
      <c r="O23116" s="14"/>
      <c r="P23116" s="13"/>
    </row>
    <row r="23117">
      <c r="L23117" s="13"/>
      <c r="M23117" s="14"/>
      <c r="N23117" s="14"/>
      <c r="O23117" s="14"/>
      <c r="P23117" s="13"/>
    </row>
    <row r="23118">
      <c r="L23118" s="13"/>
      <c r="M23118" s="14"/>
      <c r="N23118" s="14"/>
      <c r="O23118" s="14"/>
      <c r="P23118" s="13"/>
    </row>
    <row r="23119">
      <c r="L23119" s="13"/>
      <c r="M23119" s="14"/>
      <c r="N23119" s="14"/>
      <c r="O23119" s="14"/>
      <c r="P23119" s="13"/>
    </row>
    <row r="23120">
      <c r="L23120" s="13"/>
      <c r="M23120" s="14"/>
      <c r="N23120" s="14"/>
      <c r="O23120" s="14"/>
      <c r="P23120" s="13"/>
    </row>
    <row r="23121">
      <c r="L23121" s="13"/>
      <c r="M23121" s="14"/>
      <c r="N23121" s="14"/>
      <c r="O23121" s="14"/>
      <c r="P23121" s="13"/>
    </row>
    <row r="23122">
      <c r="L23122" s="13"/>
      <c r="M23122" s="14"/>
      <c r="N23122" s="14"/>
      <c r="O23122" s="14"/>
      <c r="P23122" s="13"/>
    </row>
    <row r="23123">
      <c r="L23123" s="13"/>
      <c r="M23123" s="14"/>
      <c r="N23123" s="14"/>
      <c r="O23123" s="14"/>
      <c r="P23123" s="13"/>
    </row>
    <row r="23124">
      <c r="L23124" s="13"/>
      <c r="M23124" s="14"/>
      <c r="N23124" s="14"/>
      <c r="O23124" s="14"/>
      <c r="P23124" s="13"/>
    </row>
    <row r="23125">
      <c r="L23125" s="13"/>
      <c r="M23125" s="14"/>
      <c r="N23125" s="14"/>
      <c r="O23125" s="14"/>
      <c r="P23125" s="13"/>
    </row>
    <row r="23126">
      <c r="L23126" s="13"/>
      <c r="M23126" s="14"/>
      <c r="N23126" s="14"/>
      <c r="O23126" s="14"/>
      <c r="P23126" s="13"/>
    </row>
    <row r="23127">
      <c r="L23127" s="13"/>
      <c r="M23127" s="14"/>
      <c r="N23127" s="14"/>
      <c r="O23127" s="14"/>
      <c r="P23127" s="13"/>
    </row>
    <row r="23128">
      <c r="L23128" s="13"/>
      <c r="M23128" s="14"/>
      <c r="N23128" s="14"/>
      <c r="O23128" s="14"/>
      <c r="P23128" s="13"/>
    </row>
    <row r="23129">
      <c r="L23129" s="13"/>
      <c r="M23129" s="14"/>
      <c r="N23129" s="14"/>
      <c r="O23129" s="14"/>
      <c r="P23129" s="13"/>
    </row>
    <row r="23130">
      <c r="L23130" s="13"/>
      <c r="M23130" s="14"/>
      <c r="N23130" s="14"/>
      <c r="O23130" s="14"/>
      <c r="P23130" s="13"/>
    </row>
    <row r="23131">
      <c r="L23131" s="13"/>
      <c r="M23131" s="14"/>
      <c r="N23131" s="14"/>
      <c r="O23131" s="14"/>
      <c r="P23131" s="13"/>
    </row>
    <row r="23132">
      <c r="L23132" s="13"/>
      <c r="M23132" s="14"/>
      <c r="N23132" s="14"/>
      <c r="O23132" s="14"/>
      <c r="P23132" s="13"/>
    </row>
    <row r="23133">
      <c r="L23133" s="13"/>
      <c r="M23133" s="14"/>
      <c r="N23133" s="14"/>
      <c r="O23133" s="14"/>
      <c r="P23133" s="13"/>
    </row>
    <row r="23134">
      <c r="L23134" s="13"/>
      <c r="M23134" s="14"/>
      <c r="N23134" s="14"/>
      <c r="O23134" s="14"/>
      <c r="P23134" s="13"/>
    </row>
    <row r="23135">
      <c r="L23135" s="13"/>
      <c r="M23135" s="14"/>
      <c r="N23135" s="14"/>
      <c r="O23135" s="14"/>
      <c r="P23135" s="13"/>
    </row>
    <row r="23136">
      <c r="L23136" s="13"/>
      <c r="M23136" s="14"/>
      <c r="N23136" s="14"/>
      <c r="O23136" s="14"/>
      <c r="P23136" s="13"/>
    </row>
    <row r="23137">
      <c r="L23137" s="13"/>
      <c r="M23137" s="14"/>
      <c r="N23137" s="14"/>
      <c r="O23137" s="14"/>
      <c r="P23137" s="13"/>
    </row>
    <row r="23138">
      <c r="L23138" s="13"/>
      <c r="M23138" s="14"/>
      <c r="N23138" s="14"/>
      <c r="O23138" s="14"/>
      <c r="P23138" s="13"/>
    </row>
    <row r="23139">
      <c r="L23139" s="13"/>
      <c r="M23139" s="14"/>
      <c r="N23139" s="14"/>
      <c r="O23139" s="14"/>
      <c r="P23139" s="13"/>
    </row>
    <row r="23140">
      <c r="L23140" s="13"/>
      <c r="M23140" s="14"/>
      <c r="N23140" s="14"/>
      <c r="O23140" s="14"/>
      <c r="P23140" s="13"/>
    </row>
    <row r="23141">
      <c r="L23141" s="13"/>
      <c r="M23141" s="14"/>
      <c r="N23141" s="14"/>
      <c r="O23141" s="14"/>
      <c r="P23141" s="13"/>
    </row>
    <row r="23142">
      <c r="L23142" s="13"/>
      <c r="M23142" s="14"/>
      <c r="N23142" s="14"/>
      <c r="O23142" s="14"/>
      <c r="P23142" s="13"/>
    </row>
    <row r="23143">
      <c r="L23143" s="13"/>
      <c r="M23143" s="14"/>
      <c r="N23143" s="14"/>
      <c r="O23143" s="14"/>
      <c r="P23143" s="13"/>
    </row>
    <row r="23144">
      <c r="L23144" s="13"/>
      <c r="M23144" s="14"/>
      <c r="N23144" s="14"/>
      <c r="O23144" s="14"/>
      <c r="P23144" s="13"/>
    </row>
    <row r="23145">
      <c r="L23145" s="13"/>
      <c r="M23145" s="14"/>
      <c r="N23145" s="14"/>
      <c r="O23145" s="14"/>
      <c r="P23145" s="13"/>
    </row>
    <row r="23146">
      <c r="L23146" s="13"/>
      <c r="M23146" s="14"/>
      <c r="N23146" s="14"/>
      <c r="O23146" s="14"/>
      <c r="P23146" s="13"/>
    </row>
    <row r="23147">
      <c r="L23147" s="13"/>
      <c r="M23147" s="14"/>
      <c r="N23147" s="14"/>
      <c r="O23147" s="14"/>
      <c r="P23147" s="13"/>
    </row>
    <row r="23148">
      <c r="L23148" s="13"/>
      <c r="M23148" s="14"/>
      <c r="N23148" s="14"/>
      <c r="O23148" s="14"/>
      <c r="P23148" s="13"/>
    </row>
    <row r="23149">
      <c r="L23149" s="13"/>
      <c r="M23149" s="14"/>
      <c r="N23149" s="14"/>
      <c r="O23149" s="14"/>
      <c r="P23149" s="13"/>
    </row>
    <row r="23150">
      <c r="L23150" s="13"/>
      <c r="M23150" s="14"/>
      <c r="N23150" s="14"/>
      <c r="O23150" s="14"/>
      <c r="P23150" s="13"/>
    </row>
    <row r="23151">
      <c r="L23151" s="13"/>
      <c r="M23151" s="14"/>
      <c r="N23151" s="14"/>
      <c r="O23151" s="14"/>
      <c r="P23151" s="13"/>
    </row>
    <row r="23152">
      <c r="L23152" s="13"/>
      <c r="M23152" s="14"/>
      <c r="N23152" s="14"/>
      <c r="O23152" s="14"/>
      <c r="P23152" s="13"/>
    </row>
    <row r="23153">
      <c r="L23153" s="13"/>
      <c r="M23153" s="14"/>
      <c r="N23153" s="14"/>
      <c r="O23153" s="14"/>
      <c r="P23153" s="13"/>
    </row>
    <row r="23154">
      <c r="L23154" s="13"/>
      <c r="M23154" s="14"/>
      <c r="N23154" s="14"/>
      <c r="O23154" s="14"/>
      <c r="P23154" s="13"/>
    </row>
    <row r="23155">
      <c r="L23155" s="13"/>
      <c r="M23155" s="14"/>
      <c r="N23155" s="14"/>
      <c r="O23155" s="14"/>
      <c r="P23155" s="13"/>
    </row>
    <row r="23156">
      <c r="L23156" s="13"/>
      <c r="M23156" s="14"/>
      <c r="N23156" s="14"/>
      <c r="O23156" s="14"/>
      <c r="P23156" s="13"/>
    </row>
    <row r="23157">
      <c r="L23157" s="13"/>
      <c r="M23157" s="14"/>
      <c r="N23157" s="14"/>
      <c r="O23157" s="14"/>
      <c r="P23157" s="13"/>
    </row>
    <row r="23158">
      <c r="L23158" s="13"/>
      <c r="M23158" s="14"/>
      <c r="N23158" s="14"/>
      <c r="O23158" s="14"/>
      <c r="P23158" s="13"/>
    </row>
    <row r="23159">
      <c r="L23159" s="13"/>
      <c r="M23159" s="14"/>
      <c r="N23159" s="14"/>
      <c r="O23159" s="14"/>
      <c r="P23159" s="13"/>
    </row>
    <row r="23160">
      <c r="L23160" s="13"/>
      <c r="M23160" s="14"/>
      <c r="N23160" s="14"/>
      <c r="O23160" s="14"/>
      <c r="P23160" s="13"/>
    </row>
    <row r="23161">
      <c r="L23161" s="13"/>
      <c r="M23161" s="14"/>
      <c r="N23161" s="14"/>
      <c r="O23161" s="14"/>
      <c r="P23161" s="13"/>
    </row>
    <row r="23162">
      <c r="L23162" s="13"/>
      <c r="M23162" s="14"/>
      <c r="N23162" s="14"/>
      <c r="O23162" s="14"/>
      <c r="P23162" s="13"/>
    </row>
    <row r="23163">
      <c r="L23163" s="13"/>
      <c r="M23163" s="14"/>
      <c r="N23163" s="14"/>
      <c r="O23163" s="14"/>
      <c r="P23163" s="13"/>
    </row>
    <row r="23164">
      <c r="L23164" s="13"/>
      <c r="M23164" s="14"/>
      <c r="N23164" s="14"/>
      <c r="O23164" s="14"/>
      <c r="P23164" s="13"/>
    </row>
    <row r="23165">
      <c r="L23165" s="13"/>
      <c r="M23165" s="14"/>
      <c r="N23165" s="14"/>
      <c r="O23165" s="14"/>
      <c r="P23165" s="13"/>
    </row>
    <row r="23166">
      <c r="L23166" s="13"/>
      <c r="M23166" s="14"/>
      <c r="N23166" s="14"/>
      <c r="O23166" s="14"/>
      <c r="P23166" s="13"/>
    </row>
    <row r="23167">
      <c r="L23167" s="13"/>
      <c r="M23167" s="14"/>
      <c r="N23167" s="14"/>
      <c r="O23167" s="14"/>
      <c r="P23167" s="13"/>
    </row>
    <row r="23168">
      <c r="L23168" s="13"/>
      <c r="M23168" s="14"/>
      <c r="N23168" s="14"/>
      <c r="O23168" s="14"/>
      <c r="P23168" s="13"/>
    </row>
    <row r="23169">
      <c r="L23169" s="13"/>
      <c r="M23169" s="14"/>
      <c r="N23169" s="14"/>
      <c r="O23169" s="14"/>
      <c r="P23169" s="13"/>
    </row>
    <row r="23170">
      <c r="L23170" s="13"/>
      <c r="M23170" s="14"/>
      <c r="N23170" s="14"/>
      <c r="O23170" s="14"/>
      <c r="P23170" s="13"/>
    </row>
    <row r="23171">
      <c r="L23171" s="13"/>
      <c r="M23171" s="14"/>
      <c r="N23171" s="14"/>
      <c r="O23171" s="14"/>
      <c r="P23171" s="13"/>
    </row>
    <row r="23172">
      <c r="L23172" s="13"/>
      <c r="M23172" s="14"/>
      <c r="N23172" s="14"/>
      <c r="O23172" s="14"/>
      <c r="P23172" s="13"/>
    </row>
    <row r="23173">
      <c r="L23173" s="13"/>
      <c r="M23173" s="14"/>
      <c r="N23173" s="14"/>
      <c r="O23173" s="14"/>
      <c r="P23173" s="13"/>
    </row>
    <row r="23174">
      <c r="L23174" s="13"/>
      <c r="M23174" s="14"/>
      <c r="N23174" s="14"/>
      <c r="O23174" s="14"/>
      <c r="P23174" s="13"/>
    </row>
    <row r="23175">
      <c r="L23175" s="13"/>
      <c r="M23175" s="14"/>
      <c r="N23175" s="14"/>
      <c r="O23175" s="14"/>
      <c r="P23175" s="13"/>
    </row>
    <row r="23176">
      <c r="L23176" s="13"/>
      <c r="M23176" s="14"/>
      <c r="N23176" s="14"/>
      <c r="O23176" s="14"/>
      <c r="P23176" s="13"/>
    </row>
    <row r="23177">
      <c r="L23177" s="13"/>
      <c r="M23177" s="14"/>
      <c r="N23177" s="14"/>
      <c r="O23177" s="14"/>
      <c r="P23177" s="13"/>
    </row>
    <row r="23178">
      <c r="L23178" s="13"/>
      <c r="M23178" s="14"/>
      <c r="N23178" s="14"/>
      <c r="O23178" s="14"/>
      <c r="P23178" s="13"/>
    </row>
    <row r="23179">
      <c r="L23179" s="13"/>
      <c r="M23179" s="14"/>
      <c r="N23179" s="14"/>
      <c r="O23179" s="14"/>
      <c r="P23179" s="13"/>
    </row>
    <row r="23180">
      <c r="L23180" s="13"/>
      <c r="M23180" s="14"/>
      <c r="N23180" s="14"/>
      <c r="O23180" s="14"/>
      <c r="P23180" s="13"/>
    </row>
    <row r="23181">
      <c r="L23181" s="13"/>
      <c r="M23181" s="14"/>
      <c r="N23181" s="14"/>
      <c r="O23181" s="14"/>
      <c r="P23181" s="13"/>
    </row>
    <row r="23182">
      <c r="L23182" s="13"/>
      <c r="M23182" s="14"/>
      <c r="N23182" s="14"/>
      <c r="O23182" s="14"/>
      <c r="P23182" s="13"/>
    </row>
    <row r="23183">
      <c r="L23183" s="13"/>
      <c r="M23183" s="14"/>
      <c r="N23183" s="14"/>
      <c r="O23183" s="14"/>
      <c r="P23183" s="13"/>
    </row>
    <row r="23184">
      <c r="L23184" s="13"/>
      <c r="M23184" s="14"/>
      <c r="N23184" s="14"/>
      <c r="O23184" s="14"/>
      <c r="P23184" s="13"/>
    </row>
    <row r="23185">
      <c r="L23185" s="13"/>
      <c r="M23185" s="14"/>
      <c r="N23185" s="14"/>
      <c r="O23185" s="14"/>
      <c r="P23185" s="13"/>
    </row>
    <row r="23186">
      <c r="L23186" s="13"/>
      <c r="M23186" s="14"/>
      <c r="N23186" s="14"/>
      <c r="O23186" s="14"/>
      <c r="P23186" s="13"/>
    </row>
    <row r="23187">
      <c r="L23187" s="13"/>
      <c r="M23187" s="14"/>
      <c r="N23187" s="14"/>
      <c r="O23187" s="14"/>
      <c r="P23187" s="13"/>
    </row>
    <row r="23188">
      <c r="L23188" s="13"/>
      <c r="M23188" s="14"/>
      <c r="N23188" s="14"/>
      <c r="O23188" s="14"/>
      <c r="P23188" s="13"/>
    </row>
    <row r="23189">
      <c r="L23189" s="13"/>
      <c r="M23189" s="14"/>
      <c r="N23189" s="14"/>
      <c r="O23189" s="14"/>
      <c r="P23189" s="13"/>
    </row>
    <row r="23190">
      <c r="L23190" s="13"/>
      <c r="M23190" s="14"/>
      <c r="N23190" s="14"/>
      <c r="O23190" s="14"/>
      <c r="P23190" s="13"/>
    </row>
    <row r="23191">
      <c r="L23191" s="13"/>
      <c r="M23191" s="14"/>
      <c r="N23191" s="14"/>
      <c r="O23191" s="14"/>
      <c r="P23191" s="13"/>
    </row>
    <row r="23192">
      <c r="L23192" s="13"/>
      <c r="M23192" s="14"/>
      <c r="N23192" s="14"/>
      <c r="O23192" s="14"/>
      <c r="P23192" s="13"/>
    </row>
    <row r="23193">
      <c r="L23193" s="13"/>
      <c r="M23193" s="14"/>
      <c r="N23193" s="14"/>
      <c r="O23193" s="14"/>
      <c r="P23193" s="13"/>
    </row>
    <row r="23194">
      <c r="L23194" s="13"/>
      <c r="M23194" s="14"/>
      <c r="N23194" s="14"/>
      <c r="O23194" s="14"/>
      <c r="P23194" s="13"/>
    </row>
    <row r="23195">
      <c r="L23195" s="13"/>
      <c r="M23195" s="14"/>
      <c r="N23195" s="14"/>
      <c r="O23195" s="14"/>
      <c r="P23195" s="13"/>
    </row>
    <row r="23196">
      <c r="L23196" s="13"/>
      <c r="M23196" s="14"/>
      <c r="N23196" s="14"/>
      <c r="O23196" s="14"/>
      <c r="P23196" s="13"/>
    </row>
    <row r="23197">
      <c r="L23197" s="13"/>
      <c r="M23197" s="14"/>
      <c r="N23197" s="14"/>
      <c r="O23197" s="14"/>
      <c r="P23197" s="13"/>
    </row>
    <row r="23198">
      <c r="L23198" s="13"/>
      <c r="M23198" s="14"/>
      <c r="N23198" s="14"/>
      <c r="O23198" s="14"/>
      <c r="P23198" s="13"/>
    </row>
    <row r="23199">
      <c r="L23199" s="13"/>
      <c r="M23199" s="14"/>
      <c r="N23199" s="14"/>
      <c r="O23199" s="14"/>
      <c r="P23199" s="13"/>
    </row>
    <row r="23200">
      <c r="L23200" s="13"/>
      <c r="M23200" s="14"/>
      <c r="N23200" s="14"/>
      <c r="O23200" s="14"/>
      <c r="P23200" s="13"/>
    </row>
    <row r="23201">
      <c r="L23201" s="13"/>
      <c r="M23201" s="14"/>
      <c r="N23201" s="14"/>
      <c r="O23201" s="14"/>
      <c r="P23201" s="13"/>
    </row>
    <row r="23202">
      <c r="L23202" s="13"/>
      <c r="M23202" s="14"/>
      <c r="N23202" s="14"/>
      <c r="O23202" s="14"/>
      <c r="P23202" s="13"/>
    </row>
    <row r="23203">
      <c r="L23203" s="13"/>
      <c r="M23203" s="14"/>
      <c r="N23203" s="14"/>
      <c r="O23203" s="14"/>
      <c r="P23203" s="13"/>
    </row>
    <row r="23204">
      <c r="L23204" s="13"/>
      <c r="M23204" s="14"/>
      <c r="N23204" s="14"/>
      <c r="O23204" s="14"/>
      <c r="P23204" s="13"/>
    </row>
    <row r="23205">
      <c r="L23205" s="13"/>
      <c r="M23205" s="14"/>
      <c r="N23205" s="14"/>
      <c r="O23205" s="14"/>
      <c r="P23205" s="13"/>
    </row>
    <row r="23206">
      <c r="L23206" s="13"/>
      <c r="M23206" s="14"/>
      <c r="N23206" s="14"/>
      <c r="O23206" s="14"/>
      <c r="P23206" s="13"/>
    </row>
    <row r="23207">
      <c r="L23207" s="13"/>
      <c r="M23207" s="14"/>
      <c r="N23207" s="14"/>
      <c r="O23207" s="14"/>
      <c r="P23207" s="13"/>
    </row>
    <row r="23208">
      <c r="L23208" s="13"/>
      <c r="M23208" s="14"/>
      <c r="N23208" s="14"/>
      <c r="O23208" s="14"/>
      <c r="P23208" s="13"/>
    </row>
    <row r="23209">
      <c r="L23209" s="13"/>
      <c r="M23209" s="14"/>
      <c r="N23209" s="14"/>
      <c r="O23209" s="14"/>
      <c r="P23209" s="13"/>
    </row>
    <row r="23210">
      <c r="L23210" s="13"/>
      <c r="M23210" s="14"/>
      <c r="N23210" s="14"/>
      <c r="O23210" s="14"/>
      <c r="P23210" s="13"/>
    </row>
    <row r="23211">
      <c r="L23211" s="13"/>
      <c r="M23211" s="14"/>
      <c r="N23211" s="14"/>
      <c r="O23211" s="14"/>
      <c r="P23211" s="13"/>
    </row>
    <row r="23212">
      <c r="L23212" s="13"/>
      <c r="M23212" s="14"/>
      <c r="N23212" s="14"/>
      <c r="O23212" s="14"/>
      <c r="P23212" s="13"/>
    </row>
    <row r="23213">
      <c r="L23213" s="13"/>
      <c r="M23213" s="14"/>
      <c r="N23213" s="14"/>
      <c r="O23213" s="14"/>
      <c r="P23213" s="13"/>
    </row>
    <row r="23214">
      <c r="L23214" s="13"/>
      <c r="M23214" s="14"/>
      <c r="N23214" s="14"/>
      <c r="O23214" s="14"/>
      <c r="P23214" s="13"/>
    </row>
    <row r="23215">
      <c r="L23215" s="13"/>
      <c r="M23215" s="14"/>
      <c r="N23215" s="14"/>
      <c r="O23215" s="14"/>
      <c r="P23215" s="13"/>
    </row>
    <row r="23216">
      <c r="L23216" s="13"/>
      <c r="M23216" s="14"/>
      <c r="N23216" s="14"/>
      <c r="O23216" s="14"/>
      <c r="P23216" s="13"/>
    </row>
    <row r="23217">
      <c r="L23217" s="13"/>
      <c r="M23217" s="14"/>
      <c r="N23217" s="14"/>
      <c r="O23217" s="14"/>
      <c r="P23217" s="13"/>
    </row>
    <row r="23218">
      <c r="L23218" s="13"/>
      <c r="M23218" s="14"/>
      <c r="N23218" s="14"/>
      <c r="O23218" s="14"/>
      <c r="P23218" s="13"/>
    </row>
    <row r="23219">
      <c r="L23219" s="13"/>
      <c r="M23219" s="14"/>
      <c r="N23219" s="14"/>
      <c r="O23219" s="14"/>
      <c r="P23219" s="13"/>
    </row>
    <row r="23220">
      <c r="L23220" s="13"/>
      <c r="M23220" s="14"/>
      <c r="N23220" s="14"/>
      <c r="O23220" s="14"/>
      <c r="P23220" s="13"/>
    </row>
    <row r="23221">
      <c r="L23221" s="13"/>
      <c r="M23221" s="14"/>
      <c r="N23221" s="14"/>
      <c r="O23221" s="14"/>
      <c r="P23221" s="13"/>
    </row>
    <row r="23222">
      <c r="L23222" s="13"/>
      <c r="M23222" s="14"/>
      <c r="N23222" s="14"/>
      <c r="O23222" s="14"/>
      <c r="P23222" s="13"/>
    </row>
    <row r="23223">
      <c r="L23223" s="13"/>
      <c r="M23223" s="14"/>
      <c r="N23223" s="14"/>
      <c r="O23223" s="14"/>
      <c r="P23223" s="13"/>
    </row>
    <row r="23224">
      <c r="L23224" s="13"/>
      <c r="M23224" s="14"/>
      <c r="N23224" s="14"/>
      <c r="O23224" s="14"/>
      <c r="P23224" s="13"/>
    </row>
    <row r="23225">
      <c r="L23225" s="13"/>
      <c r="M23225" s="14"/>
      <c r="N23225" s="14"/>
      <c r="O23225" s="14"/>
      <c r="P23225" s="13"/>
    </row>
    <row r="23226">
      <c r="L23226" s="13"/>
      <c r="M23226" s="14"/>
      <c r="N23226" s="14"/>
      <c r="O23226" s="14"/>
      <c r="P23226" s="13"/>
    </row>
    <row r="23227">
      <c r="L23227" s="13"/>
      <c r="M23227" s="14"/>
      <c r="N23227" s="14"/>
      <c r="O23227" s="14"/>
      <c r="P23227" s="13"/>
    </row>
    <row r="23228">
      <c r="L23228" s="13"/>
      <c r="M23228" s="14"/>
      <c r="N23228" s="14"/>
      <c r="O23228" s="14"/>
      <c r="P23228" s="13"/>
    </row>
    <row r="23229">
      <c r="L23229" s="13"/>
      <c r="M23229" s="14"/>
      <c r="N23229" s="14"/>
      <c r="O23229" s="14"/>
      <c r="P23229" s="13"/>
    </row>
    <row r="23230">
      <c r="L23230" s="13"/>
      <c r="M23230" s="14"/>
      <c r="N23230" s="14"/>
      <c r="O23230" s="14"/>
      <c r="P23230" s="13"/>
    </row>
    <row r="23231">
      <c r="L23231" s="13"/>
      <c r="M23231" s="14"/>
      <c r="N23231" s="14"/>
      <c r="O23231" s="14"/>
      <c r="P23231" s="13"/>
    </row>
    <row r="23232">
      <c r="L23232" s="13"/>
      <c r="M23232" s="14"/>
      <c r="N23232" s="14"/>
      <c r="O23232" s="14"/>
      <c r="P23232" s="13"/>
    </row>
    <row r="23233">
      <c r="L23233" s="13"/>
      <c r="M23233" s="14"/>
      <c r="N23233" s="14"/>
      <c r="O23233" s="14"/>
      <c r="P23233" s="13"/>
    </row>
    <row r="23234">
      <c r="L23234" s="13"/>
      <c r="M23234" s="14"/>
      <c r="N23234" s="14"/>
      <c r="O23234" s="14"/>
      <c r="P23234" s="13"/>
    </row>
    <row r="23235">
      <c r="L23235" s="13"/>
      <c r="M23235" s="14"/>
      <c r="N23235" s="14"/>
      <c r="O23235" s="14"/>
      <c r="P23235" s="13"/>
    </row>
    <row r="23236">
      <c r="L23236" s="13"/>
      <c r="M23236" s="14"/>
      <c r="N23236" s="14"/>
      <c r="O23236" s="14"/>
      <c r="P23236" s="13"/>
    </row>
    <row r="23237">
      <c r="L23237" s="13"/>
      <c r="M23237" s="14"/>
      <c r="N23237" s="14"/>
      <c r="O23237" s="14"/>
      <c r="P23237" s="13"/>
    </row>
    <row r="23238">
      <c r="L23238" s="13"/>
      <c r="M23238" s="14"/>
      <c r="N23238" s="14"/>
      <c r="O23238" s="14"/>
      <c r="P23238" s="13"/>
    </row>
    <row r="23239">
      <c r="L23239" s="13"/>
      <c r="M23239" s="14"/>
      <c r="N23239" s="14"/>
      <c r="O23239" s="14"/>
      <c r="P23239" s="13"/>
    </row>
    <row r="23240">
      <c r="L23240" s="13"/>
      <c r="M23240" s="14"/>
      <c r="N23240" s="14"/>
      <c r="O23240" s="14"/>
      <c r="P23240" s="13"/>
    </row>
    <row r="23241">
      <c r="L23241" s="13"/>
      <c r="M23241" s="14"/>
      <c r="N23241" s="14"/>
      <c r="O23241" s="14"/>
      <c r="P23241" s="13"/>
    </row>
    <row r="23242">
      <c r="L23242" s="13"/>
      <c r="M23242" s="14"/>
      <c r="N23242" s="14"/>
      <c r="O23242" s="14"/>
      <c r="P23242" s="13"/>
    </row>
    <row r="23243">
      <c r="L23243" s="13"/>
      <c r="M23243" s="14"/>
      <c r="N23243" s="14"/>
      <c r="O23243" s="14"/>
      <c r="P23243" s="13"/>
    </row>
    <row r="23244">
      <c r="L23244" s="13"/>
      <c r="M23244" s="14"/>
      <c r="N23244" s="14"/>
      <c r="O23244" s="14"/>
      <c r="P23244" s="13"/>
    </row>
    <row r="23245">
      <c r="L23245" s="13"/>
      <c r="M23245" s="14"/>
      <c r="N23245" s="14"/>
      <c r="O23245" s="14"/>
      <c r="P23245" s="13"/>
    </row>
    <row r="23246">
      <c r="L23246" s="13"/>
      <c r="M23246" s="14"/>
      <c r="N23246" s="14"/>
      <c r="O23246" s="14"/>
      <c r="P23246" s="13"/>
    </row>
    <row r="23247">
      <c r="L23247" s="13"/>
      <c r="M23247" s="14"/>
      <c r="N23247" s="14"/>
      <c r="O23247" s="14"/>
      <c r="P23247" s="13"/>
    </row>
    <row r="23248">
      <c r="L23248" s="13"/>
      <c r="M23248" s="14"/>
      <c r="N23248" s="14"/>
      <c r="O23248" s="14"/>
      <c r="P23248" s="13"/>
    </row>
    <row r="23249">
      <c r="L23249" s="13"/>
      <c r="M23249" s="14"/>
      <c r="N23249" s="14"/>
      <c r="O23249" s="14"/>
      <c r="P23249" s="13"/>
    </row>
    <row r="23250">
      <c r="L23250" s="13"/>
      <c r="M23250" s="14"/>
      <c r="N23250" s="14"/>
      <c r="O23250" s="14"/>
      <c r="P23250" s="13"/>
    </row>
    <row r="23251">
      <c r="L23251" s="13"/>
      <c r="M23251" s="14"/>
      <c r="N23251" s="14"/>
      <c r="O23251" s="14"/>
      <c r="P23251" s="13"/>
    </row>
    <row r="23252">
      <c r="L23252" s="13"/>
      <c r="M23252" s="14"/>
      <c r="N23252" s="14"/>
      <c r="O23252" s="14"/>
      <c r="P23252" s="13"/>
    </row>
    <row r="23253">
      <c r="L23253" s="13"/>
      <c r="M23253" s="14"/>
      <c r="N23253" s="14"/>
      <c r="O23253" s="14"/>
      <c r="P23253" s="13"/>
    </row>
    <row r="23254">
      <c r="L23254" s="13"/>
      <c r="M23254" s="14"/>
      <c r="N23254" s="14"/>
      <c r="O23254" s="14"/>
      <c r="P23254" s="13"/>
    </row>
    <row r="23255">
      <c r="L23255" s="13"/>
      <c r="M23255" s="14"/>
      <c r="N23255" s="14"/>
      <c r="O23255" s="14"/>
      <c r="P23255" s="13"/>
    </row>
    <row r="23256">
      <c r="L23256" s="13"/>
      <c r="M23256" s="14"/>
      <c r="N23256" s="14"/>
      <c r="O23256" s="14"/>
      <c r="P23256" s="13"/>
    </row>
    <row r="23257">
      <c r="L23257" s="13"/>
      <c r="M23257" s="14"/>
      <c r="N23257" s="14"/>
      <c r="O23257" s="14"/>
      <c r="P23257" s="13"/>
    </row>
    <row r="23258">
      <c r="L23258" s="13"/>
      <c r="M23258" s="14"/>
      <c r="N23258" s="14"/>
      <c r="O23258" s="14"/>
      <c r="P23258" s="13"/>
    </row>
    <row r="23259">
      <c r="L23259" s="13"/>
      <c r="M23259" s="14"/>
      <c r="N23259" s="14"/>
      <c r="O23259" s="14"/>
      <c r="P23259" s="13"/>
    </row>
    <row r="23260">
      <c r="L23260" s="13"/>
      <c r="M23260" s="14"/>
      <c r="N23260" s="14"/>
      <c r="O23260" s="14"/>
      <c r="P23260" s="13"/>
    </row>
    <row r="23261">
      <c r="L23261" s="13"/>
      <c r="M23261" s="14"/>
      <c r="N23261" s="14"/>
      <c r="O23261" s="14"/>
      <c r="P23261" s="13"/>
    </row>
    <row r="23262">
      <c r="L23262" s="13"/>
      <c r="M23262" s="14"/>
      <c r="N23262" s="14"/>
      <c r="O23262" s="14"/>
      <c r="P23262" s="13"/>
    </row>
    <row r="23263">
      <c r="L23263" s="13"/>
      <c r="M23263" s="14"/>
      <c r="N23263" s="14"/>
      <c r="O23263" s="14"/>
      <c r="P23263" s="13"/>
    </row>
    <row r="23264">
      <c r="L23264" s="13"/>
      <c r="M23264" s="14"/>
      <c r="N23264" s="14"/>
      <c r="O23264" s="14"/>
      <c r="P23264" s="13"/>
    </row>
    <row r="23265">
      <c r="L23265" s="13"/>
      <c r="M23265" s="14"/>
      <c r="N23265" s="14"/>
      <c r="O23265" s="14"/>
      <c r="P23265" s="13"/>
    </row>
    <row r="23266">
      <c r="L23266" s="13"/>
      <c r="M23266" s="14"/>
      <c r="N23266" s="14"/>
      <c r="O23266" s="14"/>
      <c r="P23266" s="13"/>
    </row>
    <row r="23267">
      <c r="L23267" s="13"/>
      <c r="M23267" s="14"/>
      <c r="N23267" s="14"/>
      <c r="O23267" s="14"/>
      <c r="P23267" s="13"/>
    </row>
    <row r="23268">
      <c r="L23268" s="13"/>
      <c r="M23268" s="14"/>
      <c r="N23268" s="14"/>
      <c r="O23268" s="14"/>
      <c r="P23268" s="13"/>
    </row>
    <row r="23269">
      <c r="L23269" s="13"/>
      <c r="M23269" s="14"/>
      <c r="N23269" s="14"/>
      <c r="O23269" s="14"/>
      <c r="P23269" s="13"/>
    </row>
    <row r="23270">
      <c r="L23270" s="13"/>
      <c r="M23270" s="14"/>
      <c r="N23270" s="14"/>
      <c r="O23270" s="14"/>
      <c r="P23270" s="13"/>
    </row>
    <row r="23271">
      <c r="L23271" s="13"/>
      <c r="M23271" s="14"/>
      <c r="N23271" s="14"/>
      <c r="O23271" s="14"/>
      <c r="P23271" s="13"/>
    </row>
    <row r="23272">
      <c r="L23272" s="13"/>
      <c r="M23272" s="14"/>
      <c r="N23272" s="14"/>
      <c r="O23272" s="14"/>
      <c r="P23272" s="13"/>
    </row>
    <row r="23273">
      <c r="L23273" s="13"/>
      <c r="M23273" s="14"/>
      <c r="N23273" s="14"/>
      <c r="O23273" s="14"/>
      <c r="P23273" s="13"/>
    </row>
    <row r="23274">
      <c r="L23274" s="13"/>
      <c r="M23274" s="14"/>
      <c r="N23274" s="14"/>
      <c r="O23274" s="14"/>
      <c r="P23274" s="13"/>
    </row>
    <row r="23275">
      <c r="L23275" s="13"/>
      <c r="M23275" s="14"/>
      <c r="N23275" s="14"/>
      <c r="O23275" s="14"/>
      <c r="P23275" s="13"/>
    </row>
    <row r="23276">
      <c r="L23276" s="13"/>
      <c r="M23276" s="14"/>
      <c r="N23276" s="14"/>
      <c r="O23276" s="14"/>
      <c r="P23276" s="13"/>
    </row>
    <row r="23277">
      <c r="L23277" s="13"/>
      <c r="M23277" s="14"/>
      <c r="N23277" s="14"/>
      <c r="O23277" s="14"/>
      <c r="P23277" s="13"/>
    </row>
    <row r="23278">
      <c r="L23278" s="13"/>
      <c r="M23278" s="14"/>
      <c r="N23278" s="14"/>
      <c r="O23278" s="14"/>
      <c r="P23278" s="13"/>
    </row>
    <row r="23279">
      <c r="L23279" s="13"/>
      <c r="M23279" s="14"/>
      <c r="N23279" s="14"/>
      <c r="O23279" s="14"/>
      <c r="P23279" s="13"/>
    </row>
    <row r="23280">
      <c r="L23280" s="13"/>
      <c r="M23280" s="14"/>
      <c r="N23280" s="14"/>
      <c r="O23280" s="14"/>
      <c r="P23280" s="13"/>
    </row>
    <row r="23281">
      <c r="L23281" s="13"/>
      <c r="M23281" s="14"/>
      <c r="N23281" s="14"/>
      <c r="O23281" s="14"/>
      <c r="P23281" s="13"/>
    </row>
    <row r="23282">
      <c r="L23282" s="13"/>
      <c r="M23282" s="14"/>
      <c r="N23282" s="14"/>
      <c r="O23282" s="14"/>
      <c r="P23282" s="13"/>
    </row>
    <row r="23283">
      <c r="L23283" s="13"/>
      <c r="M23283" s="14"/>
      <c r="N23283" s="14"/>
      <c r="O23283" s="14"/>
      <c r="P23283" s="13"/>
    </row>
    <row r="23284">
      <c r="L23284" s="13"/>
      <c r="M23284" s="14"/>
      <c r="N23284" s="14"/>
      <c r="O23284" s="14"/>
      <c r="P23284" s="13"/>
    </row>
    <row r="23285">
      <c r="L23285" s="13"/>
      <c r="M23285" s="14"/>
      <c r="N23285" s="14"/>
      <c r="O23285" s="14"/>
      <c r="P23285" s="13"/>
    </row>
    <row r="23286">
      <c r="L23286" s="13"/>
      <c r="M23286" s="14"/>
      <c r="N23286" s="14"/>
      <c r="O23286" s="14"/>
      <c r="P23286" s="13"/>
    </row>
    <row r="23287">
      <c r="L23287" s="13"/>
      <c r="M23287" s="14"/>
      <c r="N23287" s="14"/>
      <c r="O23287" s="14"/>
      <c r="P23287" s="13"/>
    </row>
    <row r="23288">
      <c r="L23288" s="13"/>
      <c r="M23288" s="14"/>
      <c r="N23288" s="14"/>
      <c r="O23288" s="14"/>
      <c r="P23288" s="13"/>
    </row>
    <row r="23289">
      <c r="L23289" s="13"/>
      <c r="M23289" s="14"/>
      <c r="N23289" s="14"/>
      <c r="O23289" s="14"/>
      <c r="P23289" s="13"/>
    </row>
    <row r="23290">
      <c r="L23290" s="13"/>
      <c r="M23290" s="14"/>
      <c r="N23290" s="14"/>
      <c r="O23290" s="14"/>
      <c r="P23290" s="13"/>
    </row>
    <row r="23291">
      <c r="L23291" s="13"/>
      <c r="M23291" s="14"/>
      <c r="N23291" s="14"/>
      <c r="O23291" s="14"/>
      <c r="P23291" s="13"/>
    </row>
    <row r="23292">
      <c r="L23292" s="13"/>
      <c r="M23292" s="14"/>
      <c r="N23292" s="14"/>
      <c r="O23292" s="14"/>
      <c r="P23292" s="13"/>
    </row>
    <row r="23293">
      <c r="L23293" s="13"/>
      <c r="M23293" s="14"/>
      <c r="N23293" s="14"/>
      <c r="O23293" s="14"/>
      <c r="P23293" s="13"/>
    </row>
    <row r="23294">
      <c r="L23294" s="13"/>
      <c r="M23294" s="14"/>
      <c r="N23294" s="14"/>
      <c r="O23294" s="14"/>
      <c r="P23294" s="13"/>
    </row>
    <row r="23295">
      <c r="L23295" s="13"/>
      <c r="M23295" s="14"/>
      <c r="N23295" s="14"/>
      <c r="O23295" s="14"/>
      <c r="P23295" s="13"/>
    </row>
    <row r="23296">
      <c r="L23296" s="13"/>
      <c r="M23296" s="14"/>
      <c r="N23296" s="14"/>
      <c r="O23296" s="14"/>
      <c r="P23296" s="13"/>
    </row>
    <row r="23297">
      <c r="L23297" s="13"/>
      <c r="M23297" s="14"/>
      <c r="N23297" s="14"/>
      <c r="O23297" s="14"/>
      <c r="P23297" s="13"/>
    </row>
    <row r="23298">
      <c r="L23298" s="13"/>
      <c r="M23298" s="14"/>
      <c r="N23298" s="14"/>
      <c r="O23298" s="14"/>
      <c r="P23298" s="13"/>
    </row>
    <row r="23299">
      <c r="L23299" s="13"/>
      <c r="M23299" s="14"/>
      <c r="N23299" s="14"/>
      <c r="O23299" s="14"/>
      <c r="P23299" s="13"/>
    </row>
    <row r="23300">
      <c r="L23300" s="13"/>
      <c r="M23300" s="14"/>
      <c r="N23300" s="14"/>
      <c r="O23300" s="14"/>
      <c r="P23300" s="13"/>
    </row>
    <row r="23301">
      <c r="L23301" s="13"/>
      <c r="M23301" s="14"/>
      <c r="N23301" s="14"/>
      <c r="O23301" s="14"/>
      <c r="P23301" s="13"/>
    </row>
    <row r="23302">
      <c r="L23302" s="13"/>
      <c r="M23302" s="14"/>
      <c r="N23302" s="14"/>
      <c r="O23302" s="14"/>
      <c r="P23302" s="13"/>
    </row>
    <row r="23303">
      <c r="L23303" s="13"/>
      <c r="M23303" s="14"/>
      <c r="N23303" s="14"/>
      <c r="O23303" s="14"/>
      <c r="P23303" s="13"/>
    </row>
    <row r="23304">
      <c r="L23304" s="13"/>
      <c r="M23304" s="14"/>
      <c r="N23304" s="14"/>
      <c r="O23304" s="14"/>
      <c r="P23304" s="13"/>
    </row>
    <row r="23305">
      <c r="L23305" s="13"/>
      <c r="M23305" s="14"/>
      <c r="N23305" s="14"/>
      <c r="O23305" s="14"/>
      <c r="P23305" s="13"/>
    </row>
    <row r="23306">
      <c r="L23306" s="13"/>
      <c r="M23306" s="14"/>
      <c r="N23306" s="14"/>
      <c r="O23306" s="14"/>
      <c r="P23306" s="13"/>
    </row>
    <row r="23307">
      <c r="L23307" s="13"/>
      <c r="M23307" s="14"/>
      <c r="N23307" s="14"/>
      <c r="O23307" s="14"/>
      <c r="P23307" s="13"/>
    </row>
    <row r="23308">
      <c r="L23308" s="13"/>
      <c r="M23308" s="14"/>
      <c r="N23308" s="14"/>
      <c r="O23308" s="14"/>
      <c r="P23308" s="13"/>
    </row>
    <row r="23309">
      <c r="L23309" s="13"/>
      <c r="M23309" s="14"/>
      <c r="N23309" s="14"/>
      <c r="O23309" s="14"/>
      <c r="P23309" s="13"/>
    </row>
    <row r="23310">
      <c r="L23310" s="13"/>
      <c r="M23310" s="14"/>
      <c r="N23310" s="14"/>
      <c r="O23310" s="14"/>
      <c r="P23310" s="13"/>
    </row>
    <row r="23311">
      <c r="L23311" s="13"/>
      <c r="M23311" s="14"/>
      <c r="N23311" s="14"/>
      <c r="O23311" s="14"/>
      <c r="P23311" s="13"/>
    </row>
    <row r="23312">
      <c r="L23312" s="13"/>
      <c r="M23312" s="14"/>
      <c r="N23312" s="14"/>
      <c r="O23312" s="14"/>
      <c r="P23312" s="13"/>
    </row>
    <row r="23313">
      <c r="L23313" s="13"/>
      <c r="M23313" s="14"/>
      <c r="N23313" s="14"/>
      <c r="O23313" s="14"/>
      <c r="P23313" s="13"/>
    </row>
    <row r="23314">
      <c r="L23314" s="13"/>
      <c r="M23314" s="14"/>
      <c r="N23314" s="14"/>
      <c r="O23314" s="14"/>
      <c r="P23314" s="13"/>
    </row>
    <row r="23315">
      <c r="L23315" s="13"/>
      <c r="M23315" s="14"/>
      <c r="N23315" s="14"/>
      <c r="O23315" s="14"/>
      <c r="P23315" s="13"/>
    </row>
    <row r="23316">
      <c r="L23316" s="13"/>
      <c r="M23316" s="14"/>
      <c r="N23316" s="14"/>
      <c r="O23316" s="14"/>
      <c r="P23316" s="13"/>
    </row>
    <row r="23317">
      <c r="L23317" s="13"/>
      <c r="M23317" s="14"/>
      <c r="N23317" s="14"/>
      <c r="O23317" s="14"/>
      <c r="P23317" s="13"/>
    </row>
    <row r="23318">
      <c r="L23318" s="13"/>
      <c r="M23318" s="14"/>
      <c r="N23318" s="14"/>
      <c r="O23318" s="14"/>
      <c r="P23318" s="13"/>
    </row>
    <row r="23319">
      <c r="L23319" s="13"/>
      <c r="M23319" s="14"/>
      <c r="N23319" s="14"/>
      <c r="O23319" s="14"/>
      <c r="P23319" s="13"/>
    </row>
    <row r="23320">
      <c r="L23320" s="13"/>
      <c r="M23320" s="14"/>
      <c r="N23320" s="14"/>
      <c r="O23320" s="14"/>
      <c r="P23320" s="13"/>
    </row>
    <row r="23321">
      <c r="L23321" s="13"/>
      <c r="M23321" s="14"/>
      <c r="N23321" s="14"/>
      <c r="O23321" s="14"/>
      <c r="P23321" s="13"/>
    </row>
    <row r="23322">
      <c r="L23322" s="13"/>
      <c r="M23322" s="14"/>
      <c r="N23322" s="14"/>
      <c r="O23322" s="14"/>
      <c r="P23322" s="13"/>
    </row>
    <row r="23323">
      <c r="L23323" s="13"/>
      <c r="M23323" s="14"/>
      <c r="N23323" s="14"/>
      <c r="O23323" s="14"/>
      <c r="P23323" s="13"/>
    </row>
    <row r="23324">
      <c r="L23324" s="13"/>
      <c r="M23324" s="14"/>
      <c r="N23324" s="14"/>
      <c r="O23324" s="14"/>
      <c r="P23324" s="13"/>
    </row>
    <row r="23325">
      <c r="L23325" s="13"/>
      <c r="M23325" s="14"/>
      <c r="N23325" s="14"/>
      <c r="O23325" s="14"/>
      <c r="P23325" s="13"/>
    </row>
    <row r="23326">
      <c r="L23326" s="13"/>
      <c r="M23326" s="14"/>
      <c r="N23326" s="14"/>
      <c r="O23326" s="14"/>
      <c r="P23326" s="13"/>
    </row>
    <row r="23327">
      <c r="L23327" s="13"/>
      <c r="M23327" s="14"/>
      <c r="N23327" s="14"/>
      <c r="O23327" s="14"/>
      <c r="P23327" s="13"/>
    </row>
    <row r="23328">
      <c r="L23328" s="13"/>
      <c r="M23328" s="14"/>
      <c r="N23328" s="14"/>
      <c r="O23328" s="14"/>
      <c r="P23328" s="13"/>
    </row>
    <row r="23329">
      <c r="L23329" s="13"/>
      <c r="M23329" s="14"/>
      <c r="N23329" s="14"/>
      <c r="O23329" s="14"/>
      <c r="P23329" s="13"/>
    </row>
    <row r="23330">
      <c r="L23330" s="13"/>
      <c r="M23330" s="14"/>
      <c r="N23330" s="14"/>
      <c r="O23330" s="14"/>
      <c r="P23330" s="13"/>
    </row>
    <row r="23331">
      <c r="L23331" s="13"/>
      <c r="M23331" s="14"/>
      <c r="N23331" s="14"/>
      <c r="O23331" s="14"/>
      <c r="P23331" s="13"/>
    </row>
    <row r="23332">
      <c r="L23332" s="13"/>
      <c r="M23332" s="14"/>
      <c r="N23332" s="14"/>
      <c r="O23332" s="14"/>
      <c r="P23332" s="13"/>
    </row>
    <row r="23333">
      <c r="L23333" s="13"/>
      <c r="M23333" s="14"/>
      <c r="N23333" s="14"/>
      <c r="O23333" s="14"/>
      <c r="P23333" s="13"/>
    </row>
    <row r="23334">
      <c r="L23334" s="13"/>
      <c r="M23334" s="14"/>
      <c r="N23334" s="14"/>
      <c r="O23334" s="14"/>
      <c r="P23334" s="13"/>
    </row>
    <row r="23335">
      <c r="L23335" s="13"/>
      <c r="M23335" s="14"/>
      <c r="N23335" s="14"/>
      <c r="O23335" s="14"/>
      <c r="P23335" s="13"/>
    </row>
    <row r="23336">
      <c r="L23336" s="13"/>
      <c r="M23336" s="14"/>
      <c r="N23336" s="14"/>
      <c r="O23336" s="14"/>
      <c r="P23336" s="13"/>
    </row>
    <row r="23337">
      <c r="L23337" s="13"/>
      <c r="M23337" s="14"/>
      <c r="N23337" s="14"/>
      <c r="O23337" s="14"/>
      <c r="P23337" s="13"/>
    </row>
    <row r="23338">
      <c r="L23338" s="13"/>
      <c r="M23338" s="14"/>
      <c r="N23338" s="14"/>
      <c r="O23338" s="14"/>
      <c r="P23338" s="13"/>
    </row>
    <row r="23339">
      <c r="L23339" s="13"/>
      <c r="M23339" s="14"/>
      <c r="N23339" s="14"/>
      <c r="O23339" s="14"/>
      <c r="P23339" s="13"/>
    </row>
    <row r="23340">
      <c r="L23340" s="13"/>
      <c r="M23340" s="14"/>
      <c r="N23340" s="14"/>
      <c r="O23340" s="14"/>
      <c r="P23340" s="13"/>
    </row>
    <row r="23341">
      <c r="L23341" s="13"/>
      <c r="M23341" s="14"/>
      <c r="N23341" s="14"/>
      <c r="O23341" s="14"/>
      <c r="P23341" s="13"/>
    </row>
    <row r="23342">
      <c r="L23342" s="13"/>
      <c r="M23342" s="14"/>
      <c r="N23342" s="14"/>
      <c r="O23342" s="14"/>
      <c r="P23342" s="13"/>
    </row>
    <row r="23343">
      <c r="L23343" s="13"/>
      <c r="M23343" s="14"/>
      <c r="N23343" s="14"/>
      <c r="O23343" s="14"/>
      <c r="P23343" s="13"/>
    </row>
    <row r="23344">
      <c r="L23344" s="13"/>
      <c r="M23344" s="14"/>
      <c r="N23344" s="14"/>
      <c r="O23344" s="14"/>
      <c r="P23344" s="13"/>
    </row>
    <row r="23345">
      <c r="L23345" s="13"/>
      <c r="M23345" s="14"/>
      <c r="N23345" s="14"/>
      <c r="O23345" s="14"/>
      <c r="P23345" s="13"/>
    </row>
    <row r="23346">
      <c r="L23346" s="13"/>
      <c r="M23346" s="14"/>
      <c r="N23346" s="14"/>
      <c r="O23346" s="14"/>
      <c r="P23346" s="13"/>
    </row>
    <row r="23347">
      <c r="L23347" s="13"/>
      <c r="M23347" s="14"/>
      <c r="N23347" s="14"/>
      <c r="O23347" s="14"/>
      <c r="P23347" s="13"/>
    </row>
    <row r="23348">
      <c r="L23348" s="13"/>
      <c r="M23348" s="14"/>
      <c r="N23348" s="14"/>
      <c r="O23348" s="14"/>
      <c r="P23348" s="13"/>
    </row>
    <row r="23349">
      <c r="L23349" s="13"/>
      <c r="M23349" s="14"/>
      <c r="N23349" s="14"/>
      <c r="O23349" s="14"/>
      <c r="P23349" s="13"/>
    </row>
    <row r="23350">
      <c r="L23350" s="13"/>
      <c r="M23350" s="14"/>
      <c r="N23350" s="14"/>
      <c r="O23350" s="14"/>
      <c r="P23350" s="13"/>
    </row>
    <row r="23351">
      <c r="L23351" s="13"/>
      <c r="M23351" s="14"/>
      <c r="N23351" s="14"/>
      <c r="O23351" s="14"/>
      <c r="P23351" s="13"/>
    </row>
    <row r="23352">
      <c r="L23352" s="13"/>
      <c r="M23352" s="14"/>
      <c r="N23352" s="14"/>
      <c r="O23352" s="14"/>
      <c r="P23352" s="13"/>
    </row>
    <row r="23353">
      <c r="L23353" s="13"/>
      <c r="M23353" s="14"/>
      <c r="N23353" s="14"/>
      <c r="O23353" s="14"/>
      <c r="P23353" s="13"/>
    </row>
    <row r="23354">
      <c r="L23354" s="13"/>
      <c r="M23354" s="14"/>
      <c r="N23354" s="14"/>
      <c r="O23354" s="14"/>
      <c r="P23354" s="13"/>
    </row>
    <row r="23355">
      <c r="L23355" s="13"/>
      <c r="M23355" s="14"/>
      <c r="N23355" s="14"/>
      <c r="O23355" s="14"/>
      <c r="P23355" s="13"/>
    </row>
    <row r="23356">
      <c r="L23356" s="13"/>
      <c r="M23356" s="14"/>
      <c r="N23356" s="14"/>
      <c r="O23356" s="14"/>
      <c r="P23356" s="13"/>
    </row>
    <row r="23357">
      <c r="L23357" s="13"/>
      <c r="M23357" s="14"/>
      <c r="N23357" s="14"/>
      <c r="O23357" s="14"/>
      <c r="P23357" s="13"/>
    </row>
    <row r="23358">
      <c r="L23358" s="13"/>
      <c r="M23358" s="14"/>
      <c r="N23358" s="14"/>
      <c r="O23358" s="14"/>
      <c r="P23358" s="13"/>
    </row>
    <row r="23359">
      <c r="L23359" s="13"/>
      <c r="M23359" s="14"/>
      <c r="N23359" s="14"/>
      <c r="O23359" s="14"/>
      <c r="P23359" s="13"/>
    </row>
    <row r="23360">
      <c r="L23360" s="13"/>
      <c r="M23360" s="14"/>
      <c r="N23360" s="14"/>
      <c r="O23360" s="14"/>
      <c r="P23360" s="13"/>
    </row>
    <row r="23361">
      <c r="L23361" s="13"/>
      <c r="M23361" s="14"/>
      <c r="N23361" s="14"/>
      <c r="O23361" s="14"/>
      <c r="P23361" s="13"/>
    </row>
    <row r="23362">
      <c r="L23362" s="13"/>
      <c r="M23362" s="14"/>
      <c r="N23362" s="14"/>
      <c r="O23362" s="14"/>
      <c r="P23362" s="13"/>
    </row>
    <row r="23363">
      <c r="L23363" s="13"/>
      <c r="M23363" s="14"/>
      <c r="N23363" s="14"/>
      <c r="O23363" s="14"/>
      <c r="P23363" s="13"/>
    </row>
    <row r="23364">
      <c r="L23364" s="13"/>
      <c r="M23364" s="14"/>
      <c r="N23364" s="14"/>
      <c r="O23364" s="14"/>
      <c r="P23364" s="13"/>
    </row>
    <row r="23365">
      <c r="L23365" s="13"/>
      <c r="M23365" s="14"/>
      <c r="N23365" s="14"/>
      <c r="O23365" s="14"/>
      <c r="P23365" s="13"/>
    </row>
    <row r="23366">
      <c r="L23366" s="13"/>
      <c r="M23366" s="14"/>
      <c r="N23366" s="14"/>
      <c r="O23366" s="14"/>
      <c r="P23366" s="13"/>
    </row>
    <row r="23367">
      <c r="L23367" s="13"/>
      <c r="M23367" s="14"/>
      <c r="N23367" s="14"/>
      <c r="O23367" s="14"/>
      <c r="P23367" s="13"/>
    </row>
    <row r="23368">
      <c r="L23368" s="13"/>
      <c r="M23368" s="14"/>
      <c r="N23368" s="14"/>
      <c r="O23368" s="14"/>
      <c r="P23368" s="13"/>
    </row>
    <row r="23369">
      <c r="L23369" s="13"/>
      <c r="M23369" s="14"/>
      <c r="N23369" s="14"/>
      <c r="O23369" s="14"/>
      <c r="P23369" s="13"/>
    </row>
    <row r="23370">
      <c r="L23370" s="13"/>
      <c r="M23370" s="14"/>
      <c r="N23370" s="14"/>
      <c r="O23370" s="14"/>
      <c r="P23370" s="13"/>
    </row>
    <row r="23371">
      <c r="L23371" s="13"/>
      <c r="M23371" s="14"/>
      <c r="N23371" s="14"/>
      <c r="O23371" s="14"/>
      <c r="P23371" s="13"/>
    </row>
    <row r="23372">
      <c r="L23372" s="13"/>
      <c r="M23372" s="14"/>
      <c r="N23372" s="14"/>
      <c r="O23372" s="14"/>
      <c r="P23372" s="13"/>
    </row>
    <row r="23373">
      <c r="L23373" s="13"/>
      <c r="M23373" s="14"/>
      <c r="N23373" s="14"/>
      <c r="O23373" s="14"/>
      <c r="P23373" s="13"/>
    </row>
    <row r="23374">
      <c r="L23374" s="13"/>
      <c r="M23374" s="14"/>
      <c r="N23374" s="14"/>
      <c r="O23374" s="14"/>
      <c r="P23374" s="13"/>
    </row>
    <row r="23375">
      <c r="L23375" s="13"/>
      <c r="M23375" s="14"/>
      <c r="N23375" s="14"/>
      <c r="O23375" s="14"/>
      <c r="P23375" s="13"/>
    </row>
    <row r="23376">
      <c r="L23376" s="13"/>
      <c r="M23376" s="14"/>
      <c r="N23376" s="14"/>
      <c r="O23376" s="14"/>
      <c r="P23376" s="13"/>
    </row>
    <row r="23377">
      <c r="L23377" s="13"/>
      <c r="M23377" s="14"/>
      <c r="N23377" s="14"/>
      <c r="O23377" s="14"/>
      <c r="P23377" s="13"/>
    </row>
    <row r="23378">
      <c r="L23378" s="13"/>
      <c r="M23378" s="14"/>
      <c r="N23378" s="14"/>
      <c r="O23378" s="14"/>
      <c r="P23378" s="13"/>
    </row>
    <row r="23379">
      <c r="L23379" s="13"/>
      <c r="M23379" s="14"/>
      <c r="N23379" s="14"/>
      <c r="O23379" s="14"/>
      <c r="P23379" s="13"/>
    </row>
    <row r="23380">
      <c r="L23380" s="13"/>
      <c r="M23380" s="14"/>
      <c r="N23380" s="14"/>
      <c r="O23380" s="14"/>
      <c r="P23380" s="13"/>
    </row>
    <row r="23381">
      <c r="L23381" s="13"/>
      <c r="M23381" s="14"/>
      <c r="N23381" s="14"/>
      <c r="O23381" s="14"/>
      <c r="P23381" s="13"/>
    </row>
    <row r="23382">
      <c r="L23382" s="13"/>
      <c r="M23382" s="14"/>
      <c r="N23382" s="14"/>
      <c r="O23382" s="14"/>
      <c r="P23382" s="13"/>
    </row>
    <row r="23383">
      <c r="L23383" s="13"/>
      <c r="M23383" s="14"/>
      <c r="N23383" s="14"/>
      <c r="O23383" s="14"/>
      <c r="P23383" s="13"/>
    </row>
    <row r="23384">
      <c r="L23384" s="13"/>
      <c r="M23384" s="14"/>
      <c r="N23384" s="14"/>
      <c r="O23384" s="14"/>
      <c r="P23384" s="13"/>
    </row>
    <row r="23385">
      <c r="L23385" s="13"/>
      <c r="M23385" s="14"/>
      <c r="N23385" s="14"/>
      <c r="O23385" s="14"/>
      <c r="P23385" s="13"/>
    </row>
    <row r="23386">
      <c r="L23386" s="13"/>
      <c r="M23386" s="14"/>
      <c r="N23386" s="14"/>
      <c r="O23386" s="14"/>
      <c r="P23386" s="13"/>
    </row>
    <row r="23387">
      <c r="L23387" s="13"/>
      <c r="M23387" s="14"/>
      <c r="N23387" s="14"/>
      <c r="O23387" s="14"/>
      <c r="P23387" s="13"/>
    </row>
    <row r="23388">
      <c r="L23388" s="13"/>
      <c r="M23388" s="14"/>
      <c r="N23388" s="14"/>
      <c r="O23388" s="14"/>
      <c r="P23388" s="13"/>
    </row>
    <row r="23389">
      <c r="L23389" s="13"/>
      <c r="M23389" s="14"/>
      <c r="N23389" s="14"/>
      <c r="O23389" s="14"/>
      <c r="P23389" s="13"/>
    </row>
    <row r="23390">
      <c r="L23390" s="13"/>
      <c r="M23390" s="14"/>
      <c r="N23390" s="14"/>
      <c r="O23390" s="14"/>
      <c r="P23390" s="13"/>
    </row>
    <row r="23391">
      <c r="L23391" s="13"/>
      <c r="M23391" s="14"/>
      <c r="N23391" s="14"/>
      <c r="O23391" s="14"/>
      <c r="P23391" s="13"/>
    </row>
    <row r="23392">
      <c r="L23392" s="13"/>
      <c r="M23392" s="14"/>
      <c r="N23392" s="14"/>
      <c r="O23392" s="14"/>
      <c r="P23392" s="13"/>
    </row>
    <row r="23393">
      <c r="L23393" s="13"/>
      <c r="M23393" s="14"/>
      <c r="N23393" s="14"/>
      <c r="O23393" s="14"/>
      <c r="P23393" s="13"/>
    </row>
    <row r="23394">
      <c r="L23394" s="13"/>
      <c r="M23394" s="14"/>
      <c r="N23394" s="14"/>
      <c r="O23394" s="14"/>
      <c r="P23394" s="13"/>
    </row>
    <row r="23395">
      <c r="L23395" s="13"/>
      <c r="M23395" s="14"/>
      <c r="N23395" s="14"/>
      <c r="O23395" s="14"/>
      <c r="P23395" s="13"/>
    </row>
    <row r="23396">
      <c r="L23396" s="13"/>
      <c r="M23396" s="14"/>
      <c r="N23396" s="14"/>
      <c r="O23396" s="14"/>
      <c r="P23396" s="13"/>
    </row>
    <row r="23397">
      <c r="L23397" s="13"/>
      <c r="M23397" s="14"/>
      <c r="N23397" s="14"/>
      <c r="O23397" s="14"/>
      <c r="P23397" s="13"/>
    </row>
    <row r="23398">
      <c r="L23398" s="13"/>
      <c r="M23398" s="14"/>
      <c r="N23398" s="14"/>
      <c r="O23398" s="14"/>
      <c r="P23398" s="13"/>
    </row>
    <row r="23399">
      <c r="L23399" s="13"/>
      <c r="M23399" s="14"/>
      <c r="N23399" s="14"/>
      <c r="O23399" s="14"/>
      <c r="P23399" s="13"/>
    </row>
    <row r="23400">
      <c r="L23400" s="13"/>
      <c r="M23400" s="14"/>
      <c r="N23400" s="14"/>
      <c r="O23400" s="14"/>
      <c r="P23400" s="13"/>
    </row>
    <row r="23401">
      <c r="L23401" s="13"/>
      <c r="M23401" s="14"/>
      <c r="N23401" s="14"/>
      <c r="O23401" s="14"/>
      <c r="P23401" s="13"/>
    </row>
    <row r="23402">
      <c r="L23402" s="13"/>
      <c r="M23402" s="14"/>
      <c r="N23402" s="14"/>
      <c r="O23402" s="14"/>
      <c r="P23402" s="13"/>
    </row>
    <row r="23403">
      <c r="L23403" s="13"/>
      <c r="M23403" s="14"/>
      <c r="N23403" s="14"/>
      <c r="O23403" s="14"/>
      <c r="P23403" s="13"/>
    </row>
    <row r="23404">
      <c r="L23404" s="13"/>
      <c r="M23404" s="14"/>
      <c r="N23404" s="14"/>
      <c r="O23404" s="14"/>
      <c r="P23404" s="13"/>
    </row>
    <row r="23405">
      <c r="L23405" s="13"/>
      <c r="M23405" s="14"/>
      <c r="N23405" s="14"/>
      <c r="O23405" s="14"/>
      <c r="P23405" s="13"/>
    </row>
    <row r="23406">
      <c r="L23406" s="13"/>
      <c r="M23406" s="14"/>
      <c r="N23406" s="14"/>
      <c r="O23406" s="14"/>
      <c r="P23406" s="13"/>
    </row>
    <row r="23407">
      <c r="L23407" s="13"/>
      <c r="M23407" s="14"/>
      <c r="N23407" s="14"/>
      <c r="O23407" s="14"/>
      <c r="P23407" s="13"/>
    </row>
    <row r="23408">
      <c r="L23408" s="13"/>
      <c r="M23408" s="14"/>
      <c r="N23408" s="14"/>
      <c r="O23408" s="14"/>
      <c r="P23408" s="13"/>
    </row>
    <row r="23409">
      <c r="L23409" s="13"/>
      <c r="M23409" s="14"/>
      <c r="N23409" s="14"/>
      <c r="O23409" s="14"/>
      <c r="P23409" s="13"/>
    </row>
    <row r="23410">
      <c r="L23410" s="13"/>
      <c r="M23410" s="14"/>
      <c r="N23410" s="14"/>
      <c r="O23410" s="14"/>
      <c r="P23410" s="13"/>
    </row>
    <row r="23411">
      <c r="L23411" s="13"/>
      <c r="M23411" s="14"/>
      <c r="N23411" s="14"/>
      <c r="O23411" s="14"/>
      <c r="P23411" s="13"/>
    </row>
    <row r="23412">
      <c r="L23412" s="13"/>
      <c r="M23412" s="14"/>
      <c r="N23412" s="14"/>
      <c r="O23412" s="14"/>
      <c r="P23412" s="13"/>
    </row>
    <row r="23413">
      <c r="L23413" s="13"/>
      <c r="M23413" s="14"/>
      <c r="N23413" s="14"/>
      <c r="O23413" s="14"/>
      <c r="P23413" s="13"/>
    </row>
    <row r="23414">
      <c r="L23414" s="13"/>
      <c r="M23414" s="14"/>
      <c r="N23414" s="14"/>
      <c r="O23414" s="14"/>
      <c r="P23414" s="13"/>
    </row>
    <row r="23415">
      <c r="L23415" s="13"/>
      <c r="M23415" s="14"/>
      <c r="N23415" s="14"/>
      <c r="O23415" s="14"/>
      <c r="P23415" s="13"/>
    </row>
    <row r="23416">
      <c r="L23416" s="13"/>
      <c r="M23416" s="14"/>
      <c r="N23416" s="14"/>
      <c r="O23416" s="14"/>
      <c r="P23416" s="13"/>
    </row>
    <row r="23417">
      <c r="L23417" s="13"/>
      <c r="M23417" s="14"/>
      <c r="N23417" s="14"/>
      <c r="O23417" s="14"/>
      <c r="P23417" s="13"/>
    </row>
    <row r="23418">
      <c r="L23418" s="13"/>
      <c r="M23418" s="14"/>
      <c r="N23418" s="14"/>
      <c r="O23418" s="14"/>
      <c r="P23418" s="13"/>
    </row>
    <row r="23419">
      <c r="L23419" s="13"/>
      <c r="M23419" s="14"/>
      <c r="N23419" s="14"/>
      <c r="O23419" s="14"/>
      <c r="P23419" s="13"/>
    </row>
    <row r="23420">
      <c r="L23420" s="13"/>
      <c r="M23420" s="14"/>
      <c r="N23420" s="14"/>
      <c r="O23420" s="14"/>
      <c r="P23420" s="13"/>
    </row>
    <row r="23421">
      <c r="L23421" s="13"/>
      <c r="M23421" s="14"/>
      <c r="N23421" s="14"/>
      <c r="O23421" s="14"/>
      <c r="P23421" s="13"/>
    </row>
    <row r="23422">
      <c r="L23422" s="13"/>
      <c r="M23422" s="14"/>
      <c r="N23422" s="14"/>
      <c r="O23422" s="14"/>
      <c r="P23422" s="13"/>
    </row>
    <row r="23423">
      <c r="L23423" s="13"/>
      <c r="M23423" s="14"/>
      <c r="N23423" s="14"/>
      <c r="O23423" s="14"/>
      <c r="P23423" s="13"/>
    </row>
    <row r="23424">
      <c r="L23424" s="13"/>
      <c r="M23424" s="14"/>
      <c r="N23424" s="14"/>
      <c r="O23424" s="14"/>
      <c r="P23424" s="13"/>
    </row>
    <row r="23425">
      <c r="L23425" s="13"/>
      <c r="M23425" s="14"/>
      <c r="N23425" s="14"/>
      <c r="O23425" s="14"/>
      <c r="P23425" s="13"/>
    </row>
    <row r="23426">
      <c r="L23426" s="13"/>
      <c r="M23426" s="14"/>
      <c r="N23426" s="14"/>
      <c r="O23426" s="14"/>
      <c r="P23426" s="13"/>
    </row>
    <row r="23427">
      <c r="L23427" s="13"/>
      <c r="M23427" s="14"/>
      <c r="N23427" s="14"/>
      <c r="O23427" s="14"/>
      <c r="P23427" s="13"/>
    </row>
    <row r="23428">
      <c r="L23428" s="13"/>
      <c r="M23428" s="14"/>
      <c r="N23428" s="14"/>
      <c r="O23428" s="14"/>
      <c r="P23428" s="13"/>
    </row>
    <row r="23429">
      <c r="L23429" s="13"/>
      <c r="M23429" s="14"/>
      <c r="N23429" s="14"/>
      <c r="O23429" s="14"/>
      <c r="P23429" s="13"/>
    </row>
    <row r="23430">
      <c r="L23430" s="13"/>
      <c r="M23430" s="14"/>
      <c r="N23430" s="14"/>
      <c r="O23430" s="14"/>
      <c r="P23430" s="13"/>
    </row>
    <row r="23431">
      <c r="L23431" s="13"/>
      <c r="M23431" s="14"/>
      <c r="N23431" s="14"/>
      <c r="O23431" s="14"/>
      <c r="P23431" s="13"/>
    </row>
    <row r="23432">
      <c r="L23432" s="13"/>
      <c r="M23432" s="14"/>
      <c r="N23432" s="14"/>
      <c r="O23432" s="14"/>
      <c r="P23432" s="13"/>
    </row>
    <row r="23433">
      <c r="L23433" s="13"/>
      <c r="M23433" s="14"/>
      <c r="N23433" s="14"/>
      <c r="O23433" s="14"/>
      <c r="P23433" s="13"/>
    </row>
    <row r="23434">
      <c r="L23434" s="13"/>
      <c r="M23434" s="14"/>
      <c r="N23434" s="14"/>
      <c r="O23434" s="14"/>
      <c r="P23434" s="13"/>
    </row>
    <row r="23435">
      <c r="L23435" s="13"/>
      <c r="M23435" s="14"/>
      <c r="N23435" s="14"/>
      <c r="O23435" s="14"/>
      <c r="P23435" s="13"/>
    </row>
    <row r="23436">
      <c r="L23436" s="13"/>
      <c r="M23436" s="14"/>
      <c r="N23436" s="14"/>
      <c r="O23436" s="14"/>
      <c r="P23436" s="13"/>
    </row>
    <row r="23437">
      <c r="L23437" s="13"/>
      <c r="M23437" s="14"/>
      <c r="N23437" s="14"/>
      <c r="O23437" s="14"/>
      <c r="P23437" s="13"/>
    </row>
    <row r="23438">
      <c r="L23438" s="13"/>
      <c r="M23438" s="14"/>
      <c r="N23438" s="14"/>
      <c r="O23438" s="14"/>
      <c r="P23438" s="13"/>
    </row>
    <row r="23439">
      <c r="L23439" s="13"/>
      <c r="M23439" s="14"/>
      <c r="N23439" s="14"/>
      <c r="O23439" s="14"/>
      <c r="P23439" s="13"/>
    </row>
    <row r="23440">
      <c r="L23440" s="13"/>
      <c r="M23440" s="14"/>
      <c r="N23440" s="14"/>
      <c r="O23440" s="14"/>
      <c r="P23440" s="13"/>
    </row>
    <row r="23441">
      <c r="L23441" s="13"/>
      <c r="M23441" s="14"/>
      <c r="N23441" s="14"/>
      <c r="O23441" s="14"/>
      <c r="P23441" s="13"/>
    </row>
    <row r="23442">
      <c r="L23442" s="13"/>
      <c r="M23442" s="14"/>
      <c r="N23442" s="14"/>
      <c r="O23442" s="14"/>
      <c r="P23442" s="13"/>
    </row>
    <row r="23443">
      <c r="L23443" s="13"/>
      <c r="M23443" s="14"/>
      <c r="N23443" s="14"/>
      <c r="O23443" s="14"/>
      <c r="P23443" s="13"/>
    </row>
    <row r="23444">
      <c r="L23444" s="13"/>
      <c r="M23444" s="14"/>
      <c r="N23444" s="14"/>
      <c r="O23444" s="14"/>
      <c r="P23444" s="13"/>
    </row>
    <row r="23445">
      <c r="L23445" s="13"/>
      <c r="M23445" s="14"/>
      <c r="N23445" s="14"/>
      <c r="O23445" s="14"/>
      <c r="P23445" s="13"/>
    </row>
    <row r="23446">
      <c r="L23446" s="13"/>
      <c r="M23446" s="14"/>
      <c r="N23446" s="14"/>
      <c r="O23446" s="14"/>
      <c r="P23446" s="13"/>
    </row>
    <row r="23447">
      <c r="L23447" s="13"/>
      <c r="M23447" s="14"/>
      <c r="N23447" s="14"/>
      <c r="O23447" s="14"/>
      <c r="P23447" s="13"/>
    </row>
    <row r="23448">
      <c r="L23448" s="13"/>
      <c r="M23448" s="14"/>
      <c r="N23448" s="14"/>
      <c r="O23448" s="14"/>
      <c r="P23448" s="13"/>
    </row>
    <row r="23449">
      <c r="L23449" s="13"/>
      <c r="M23449" s="14"/>
      <c r="N23449" s="14"/>
      <c r="O23449" s="14"/>
      <c r="P23449" s="13"/>
    </row>
    <row r="23450">
      <c r="L23450" s="13"/>
      <c r="M23450" s="14"/>
      <c r="N23450" s="14"/>
      <c r="O23450" s="14"/>
      <c r="P23450" s="13"/>
    </row>
    <row r="23451">
      <c r="L23451" s="13"/>
      <c r="M23451" s="14"/>
      <c r="N23451" s="14"/>
      <c r="O23451" s="14"/>
      <c r="P23451" s="13"/>
    </row>
    <row r="23452">
      <c r="L23452" s="13"/>
      <c r="M23452" s="14"/>
      <c r="N23452" s="14"/>
      <c r="O23452" s="14"/>
      <c r="P23452" s="13"/>
    </row>
    <row r="23453">
      <c r="L23453" s="13"/>
      <c r="M23453" s="14"/>
      <c r="N23453" s="14"/>
      <c r="O23453" s="14"/>
      <c r="P23453" s="13"/>
    </row>
    <row r="23454">
      <c r="L23454" s="13"/>
      <c r="M23454" s="14"/>
      <c r="N23454" s="14"/>
      <c r="O23454" s="14"/>
      <c r="P23454" s="13"/>
    </row>
    <row r="23455">
      <c r="L23455" s="13"/>
      <c r="M23455" s="14"/>
      <c r="N23455" s="14"/>
      <c r="O23455" s="14"/>
      <c r="P23455" s="13"/>
    </row>
    <row r="23456">
      <c r="L23456" s="13"/>
      <c r="M23456" s="14"/>
      <c r="N23456" s="14"/>
      <c r="O23456" s="14"/>
      <c r="P23456" s="13"/>
    </row>
    <row r="23457">
      <c r="L23457" s="13"/>
      <c r="M23457" s="14"/>
      <c r="N23457" s="14"/>
      <c r="O23457" s="14"/>
      <c r="P23457" s="13"/>
    </row>
    <row r="23458">
      <c r="L23458" s="13"/>
      <c r="M23458" s="14"/>
      <c r="N23458" s="14"/>
      <c r="O23458" s="14"/>
      <c r="P23458" s="13"/>
    </row>
    <row r="23459">
      <c r="L23459" s="13"/>
      <c r="M23459" s="14"/>
      <c r="N23459" s="14"/>
      <c r="O23459" s="14"/>
      <c r="P23459" s="13"/>
    </row>
    <row r="23460">
      <c r="L23460" s="13"/>
      <c r="M23460" s="14"/>
      <c r="N23460" s="14"/>
      <c r="O23460" s="14"/>
      <c r="P23460" s="13"/>
    </row>
    <row r="23461">
      <c r="L23461" s="13"/>
      <c r="M23461" s="14"/>
      <c r="N23461" s="14"/>
      <c r="O23461" s="14"/>
      <c r="P23461" s="13"/>
    </row>
    <row r="23462">
      <c r="L23462" s="13"/>
      <c r="M23462" s="14"/>
      <c r="N23462" s="14"/>
      <c r="O23462" s="14"/>
      <c r="P23462" s="13"/>
    </row>
    <row r="23463">
      <c r="L23463" s="13"/>
      <c r="M23463" s="14"/>
      <c r="N23463" s="14"/>
      <c r="O23463" s="14"/>
      <c r="P23463" s="13"/>
    </row>
    <row r="23464">
      <c r="L23464" s="13"/>
      <c r="M23464" s="14"/>
      <c r="N23464" s="14"/>
      <c r="O23464" s="14"/>
      <c r="P23464" s="13"/>
    </row>
    <row r="23465">
      <c r="L23465" s="13"/>
      <c r="M23465" s="14"/>
      <c r="N23465" s="14"/>
      <c r="O23465" s="14"/>
      <c r="P23465" s="13"/>
    </row>
    <row r="23466">
      <c r="L23466" s="13"/>
      <c r="M23466" s="14"/>
      <c r="N23466" s="14"/>
      <c r="O23466" s="14"/>
      <c r="P23466" s="13"/>
    </row>
    <row r="23467">
      <c r="L23467" s="13"/>
      <c r="M23467" s="14"/>
      <c r="N23467" s="14"/>
      <c r="O23467" s="14"/>
      <c r="P23467" s="13"/>
    </row>
    <row r="23468">
      <c r="L23468" s="13"/>
      <c r="M23468" s="14"/>
      <c r="N23468" s="14"/>
      <c r="O23468" s="14"/>
      <c r="P23468" s="13"/>
    </row>
    <row r="23469">
      <c r="L23469" s="13"/>
      <c r="M23469" s="14"/>
      <c r="N23469" s="14"/>
      <c r="O23469" s="14"/>
      <c r="P23469" s="13"/>
    </row>
    <row r="23470">
      <c r="L23470" s="13"/>
      <c r="M23470" s="14"/>
      <c r="N23470" s="14"/>
      <c r="O23470" s="14"/>
      <c r="P23470" s="13"/>
    </row>
    <row r="23471">
      <c r="L23471" s="13"/>
      <c r="M23471" s="14"/>
      <c r="N23471" s="14"/>
      <c r="O23471" s="14"/>
      <c r="P23471" s="13"/>
    </row>
    <row r="23472">
      <c r="L23472" s="13"/>
      <c r="M23472" s="14"/>
      <c r="N23472" s="14"/>
      <c r="O23472" s="14"/>
      <c r="P23472" s="13"/>
    </row>
    <row r="23473">
      <c r="L23473" s="13"/>
      <c r="M23473" s="14"/>
      <c r="N23473" s="14"/>
      <c r="O23473" s="14"/>
      <c r="P23473" s="13"/>
    </row>
    <row r="23474">
      <c r="L23474" s="13"/>
      <c r="M23474" s="14"/>
      <c r="N23474" s="14"/>
      <c r="O23474" s="14"/>
      <c r="P23474" s="13"/>
    </row>
    <row r="23475">
      <c r="L23475" s="13"/>
      <c r="M23475" s="14"/>
      <c r="N23475" s="14"/>
      <c r="O23475" s="14"/>
      <c r="P23475" s="13"/>
    </row>
    <row r="23476">
      <c r="L23476" s="13"/>
      <c r="M23476" s="14"/>
      <c r="N23476" s="14"/>
      <c r="O23476" s="14"/>
      <c r="P23476" s="13"/>
    </row>
    <row r="23477">
      <c r="L23477" s="13"/>
      <c r="M23477" s="14"/>
      <c r="N23477" s="14"/>
      <c r="O23477" s="14"/>
      <c r="P23477" s="13"/>
    </row>
    <row r="23478">
      <c r="L23478" s="13"/>
      <c r="M23478" s="14"/>
      <c r="N23478" s="14"/>
      <c r="O23478" s="14"/>
      <c r="P23478" s="13"/>
    </row>
    <row r="23479">
      <c r="L23479" s="13"/>
      <c r="M23479" s="14"/>
      <c r="N23479" s="14"/>
      <c r="O23479" s="14"/>
      <c r="P23479" s="13"/>
    </row>
    <row r="23480">
      <c r="L23480" s="13"/>
      <c r="M23480" s="14"/>
      <c r="N23480" s="14"/>
      <c r="O23480" s="14"/>
      <c r="P23480" s="13"/>
    </row>
    <row r="23481">
      <c r="L23481" s="13"/>
      <c r="M23481" s="14"/>
      <c r="N23481" s="14"/>
      <c r="O23481" s="14"/>
      <c r="P23481" s="13"/>
    </row>
    <row r="23482">
      <c r="L23482" s="13"/>
      <c r="M23482" s="14"/>
      <c r="N23482" s="14"/>
      <c r="O23482" s="14"/>
      <c r="P23482" s="13"/>
    </row>
    <row r="23483">
      <c r="L23483" s="13"/>
      <c r="M23483" s="14"/>
      <c r="N23483" s="14"/>
      <c r="O23483" s="14"/>
      <c r="P23483" s="13"/>
    </row>
    <row r="23484">
      <c r="L23484" s="13"/>
      <c r="M23484" s="14"/>
      <c r="N23484" s="14"/>
      <c r="O23484" s="14"/>
      <c r="P23484" s="13"/>
    </row>
    <row r="23485">
      <c r="L23485" s="13"/>
      <c r="M23485" s="14"/>
      <c r="N23485" s="14"/>
      <c r="O23485" s="14"/>
      <c r="P23485" s="13"/>
    </row>
    <row r="23486">
      <c r="L23486" s="13"/>
      <c r="M23486" s="14"/>
      <c r="N23486" s="14"/>
      <c r="O23486" s="14"/>
      <c r="P23486" s="13"/>
    </row>
    <row r="23487">
      <c r="L23487" s="13"/>
      <c r="M23487" s="14"/>
      <c r="N23487" s="14"/>
      <c r="O23487" s="14"/>
      <c r="P23487" s="13"/>
    </row>
    <row r="23488">
      <c r="L23488" s="13"/>
      <c r="M23488" s="14"/>
      <c r="N23488" s="14"/>
      <c r="O23488" s="14"/>
      <c r="P23488" s="13"/>
    </row>
    <row r="23489">
      <c r="L23489" s="13"/>
      <c r="M23489" s="14"/>
      <c r="N23489" s="14"/>
      <c r="O23489" s="14"/>
      <c r="P23489" s="13"/>
    </row>
    <row r="23490">
      <c r="L23490" s="13"/>
      <c r="M23490" s="14"/>
      <c r="N23490" s="14"/>
      <c r="O23490" s="14"/>
      <c r="P23490" s="13"/>
    </row>
    <row r="23491">
      <c r="L23491" s="13"/>
      <c r="M23491" s="14"/>
      <c r="N23491" s="14"/>
      <c r="O23491" s="14"/>
      <c r="P23491" s="13"/>
    </row>
    <row r="23492">
      <c r="L23492" s="13"/>
      <c r="M23492" s="14"/>
      <c r="N23492" s="14"/>
      <c r="O23492" s="14"/>
      <c r="P23492" s="13"/>
    </row>
    <row r="23493">
      <c r="L23493" s="13"/>
      <c r="M23493" s="14"/>
      <c r="N23493" s="14"/>
      <c r="O23493" s="14"/>
      <c r="P23493" s="13"/>
    </row>
    <row r="23494">
      <c r="L23494" s="13"/>
      <c r="M23494" s="14"/>
      <c r="N23494" s="14"/>
      <c r="O23494" s="14"/>
      <c r="P23494" s="13"/>
    </row>
    <row r="23495">
      <c r="L23495" s="13"/>
      <c r="M23495" s="14"/>
      <c r="N23495" s="14"/>
      <c r="O23495" s="14"/>
      <c r="P23495" s="13"/>
    </row>
    <row r="23496">
      <c r="L23496" s="13"/>
      <c r="M23496" s="14"/>
      <c r="N23496" s="14"/>
      <c r="O23496" s="14"/>
      <c r="P23496" s="13"/>
    </row>
    <row r="23497">
      <c r="L23497" s="13"/>
      <c r="M23497" s="14"/>
      <c r="N23497" s="14"/>
      <c r="O23497" s="14"/>
      <c r="P23497" s="13"/>
    </row>
    <row r="23498">
      <c r="L23498" s="13"/>
      <c r="M23498" s="14"/>
      <c r="N23498" s="14"/>
      <c r="O23498" s="14"/>
      <c r="P23498" s="13"/>
    </row>
    <row r="23499">
      <c r="L23499" s="13"/>
      <c r="M23499" s="14"/>
      <c r="N23499" s="14"/>
      <c r="O23499" s="14"/>
      <c r="P23499" s="13"/>
    </row>
    <row r="23500">
      <c r="L23500" s="13"/>
      <c r="M23500" s="14"/>
      <c r="N23500" s="14"/>
      <c r="O23500" s="14"/>
      <c r="P23500" s="13"/>
    </row>
    <row r="23501">
      <c r="L23501" s="13"/>
      <c r="M23501" s="14"/>
      <c r="N23501" s="14"/>
      <c r="O23501" s="14"/>
      <c r="P23501" s="13"/>
    </row>
    <row r="23502">
      <c r="L23502" s="13"/>
      <c r="M23502" s="14"/>
      <c r="N23502" s="14"/>
      <c r="O23502" s="14"/>
      <c r="P23502" s="13"/>
    </row>
    <row r="23503">
      <c r="L23503" s="13"/>
      <c r="M23503" s="14"/>
      <c r="N23503" s="14"/>
      <c r="O23503" s="14"/>
      <c r="P23503" s="13"/>
    </row>
    <row r="23504">
      <c r="L23504" s="13"/>
      <c r="M23504" s="14"/>
      <c r="N23504" s="14"/>
      <c r="O23504" s="14"/>
      <c r="P23504" s="13"/>
    </row>
    <row r="23505">
      <c r="L23505" s="13"/>
      <c r="M23505" s="14"/>
      <c r="N23505" s="14"/>
      <c r="O23505" s="14"/>
      <c r="P23505" s="13"/>
    </row>
    <row r="23506">
      <c r="L23506" s="13"/>
      <c r="M23506" s="14"/>
      <c r="N23506" s="14"/>
      <c r="O23506" s="14"/>
      <c r="P23506" s="13"/>
    </row>
    <row r="23507">
      <c r="L23507" s="13"/>
      <c r="M23507" s="14"/>
      <c r="N23507" s="14"/>
      <c r="O23507" s="14"/>
      <c r="P23507" s="13"/>
    </row>
    <row r="23508">
      <c r="L23508" s="13"/>
      <c r="M23508" s="14"/>
      <c r="N23508" s="14"/>
      <c r="O23508" s="14"/>
      <c r="P23508" s="13"/>
    </row>
    <row r="23509">
      <c r="L23509" s="13"/>
      <c r="M23509" s="14"/>
      <c r="N23509" s="14"/>
      <c r="O23509" s="14"/>
      <c r="P23509" s="13"/>
    </row>
    <row r="23510">
      <c r="L23510" s="13"/>
      <c r="M23510" s="14"/>
      <c r="N23510" s="14"/>
      <c r="O23510" s="14"/>
      <c r="P23510" s="13"/>
    </row>
    <row r="23511">
      <c r="L23511" s="13"/>
      <c r="M23511" s="14"/>
      <c r="N23511" s="14"/>
      <c r="O23511" s="14"/>
      <c r="P23511" s="13"/>
    </row>
    <row r="23512">
      <c r="L23512" s="13"/>
      <c r="M23512" s="14"/>
      <c r="N23512" s="14"/>
      <c r="O23512" s="14"/>
      <c r="P23512" s="13"/>
    </row>
    <row r="23513">
      <c r="L23513" s="13"/>
      <c r="M23513" s="14"/>
      <c r="N23513" s="14"/>
      <c r="O23513" s="14"/>
      <c r="P23513" s="13"/>
    </row>
    <row r="23514">
      <c r="L23514" s="13"/>
      <c r="M23514" s="14"/>
      <c r="N23514" s="14"/>
      <c r="O23514" s="14"/>
      <c r="P23514" s="13"/>
    </row>
    <row r="23515">
      <c r="L23515" s="13"/>
      <c r="M23515" s="14"/>
      <c r="N23515" s="14"/>
      <c r="O23515" s="14"/>
      <c r="P23515" s="13"/>
    </row>
    <row r="23516">
      <c r="L23516" s="13"/>
      <c r="M23516" s="14"/>
      <c r="N23516" s="14"/>
      <c r="O23516" s="14"/>
      <c r="P23516" s="13"/>
    </row>
    <row r="23517">
      <c r="L23517" s="13"/>
      <c r="M23517" s="14"/>
      <c r="N23517" s="14"/>
      <c r="O23517" s="14"/>
      <c r="P23517" s="13"/>
    </row>
    <row r="23518">
      <c r="L23518" s="13"/>
      <c r="M23518" s="14"/>
      <c r="N23518" s="14"/>
      <c r="O23518" s="14"/>
      <c r="P23518" s="13"/>
    </row>
    <row r="23519">
      <c r="L23519" s="13"/>
      <c r="M23519" s="14"/>
      <c r="N23519" s="14"/>
      <c r="O23519" s="14"/>
      <c r="P23519" s="13"/>
    </row>
    <row r="23520">
      <c r="L23520" s="13"/>
      <c r="M23520" s="14"/>
      <c r="N23520" s="14"/>
      <c r="O23520" s="14"/>
      <c r="P23520" s="13"/>
    </row>
    <row r="23521">
      <c r="L23521" s="13"/>
      <c r="M23521" s="14"/>
      <c r="N23521" s="14"/>
      <c r="O23521" s="14"/>
      <c r="P23521" s="13"/>
    </row>
    <row r="23522">
      <c r="L23522" s="13"/>
      <c r="M23522" s="14"/>
      <c r="N23522" s="14"/>
      <c r="O23522" s="14"/>
      <c r="P23522" s="13"/>
    </row>
    <row r="23523">
      <c r="L23523" s="13"/>
      <c r="M23523" s="14"/>
      <c r="N23523" s="14"/>
      <c r="O23523" s="14"/>
      <c r="P23523" s="13"/>
    </row>
    <row r="23524">
      <c r="L23524" s="13"/>
      <c r="M23524" s="14"/>
      <c r="N23524" s="14"/>
      <c r="O23524" s="14"/>
      <c r="P23524" s="13"/>
    </row>
    <row r="23525">
      <c r="L23525" s="13"/>
      <c r="M23525" s="14"/>
      <c r="N23525" s="14"/>
      <c r="O23525" s="14"/>
      <c r="P23525" s="13"/>
    </row>
    <row r="23526">
      <c r="L23526" s="13"/>
      <c r="M23526" s="14"/>
      <c r="N23526" s="14"/>
      <c r="O23526" s="14"/>
      <c r="P23526" s="13"/>
    </row>
    <row r="23527">
      <c r="L23527" s="13"/>
      <c r="M23527" s="14"/>
      <c r="N23527" s="14"/>
      <c r="O23527" s="14"/>
      <c r="P23527" s="13"/>
    </row>
    <row r="23528">
      <c r="L23528" s="13"/>
      <c r="M23528" s="14"/>
      <c r="N23528" s="14"/>
      <c r="O23528" s="14"/>
      <c r="P23528" s="13"/>
    </row>
    <row r="23529">
      <c r="L23529" s="13"/>
      <c r="M23529" s="14"/>
      <c r="N23529" s="14"/>
      <c r="O23529" s="14"/>
      <c r="P23529" s="13"/>
    </row>
    <row r="23530">
      <c r="L23530" s="13"/>
      <c r="M23530" s="14"/>
      <c r="N23530" s="14"/>
      <c r="O23530" s="14"/>
      <c r="P23530" s="13"/>
    </row>
    <row r="23531">
      <c r="L23531" s="13"/>
      <c r="M23531" s="14"/>
      <c r="N23531" s="14"/>
      <c r="O23531" s="14"/>
      <c r="P23531" s="13"/>
    </row>
    <row r="23532">
      <c r="L23532" s="13"/>
      <c r="M23532" s="14"/>
      <c r="N23532" s="14"/>
      <c r="O23532" s="14"/>
      <c r="P23532" s="13"/>
    </row>
    <row r="23533">
      <c r="L23533" s="13"/>
      <c r="M23533" s="14"/>
      <c r="N23533" s="14"/>
      <c r="O23533" s="14"/>
      <c r="P23533" s="13"/>
    </row>
    <row r="23534">
      <c r="L23534" s="13"/>
      <c r="M23534" s="14"/>
      <c r="N23534" s="14"/>
      <c r="O23534" s="14"/>
      <c r="P23534" s="13"/>
    </row>
    <row r="23535">
      <c r="L23535" s="13"/>
      <c r="M23535" s="14"/>
      <c r="N23535" s="14"/>
      <c r="O23535" s="14"/>
      <c r="P23535" s="13"/>
    </row>
    <row r="23536">
      <c r="L23536" s="13"/>
      <c r="M23536" s="14"/>
      <c r="N23536" s="14"/>
      <c r="O23536" s="14"/>
      <c r="P23536" s="13"/>
    </row>
    <row r="23537">
      <c r="L23537" s="13"/>
      <c r="M23537" s="14"/>
      <c r="N23537" s="14"/>
      <c r="O23537" s="14"/>
      <c r="P23537" s="13"/>
    </row>
    <row r="23538">
      <c r="L23538" s="13"/>
      <c r="M23538" s="14"/>
      <c r="N23538" s="14"/>
      <c r="O23538" s="14"/>
      <c r="P23538" s="13"/>
    </row>
    <row r="23539">
      <c r="L23539" s="13"/>
      <c r="M23539" s="14"/>
      <c r="N23539" s="14"/>
      <c r="O23539" s="14"/>
      <c r="P23539" s="13"/>
    </row>
    <row r="23540">
      <c r="L23540" s="13"/>
      <c r="M23540" s="14"/>
      <c r="N23540" s="14"/>
      <c r="O23540" s="14"/>
      <c r="P23540" s="13"/>
    </row>
    <row r="23541">
      <c r="L23541" s="13"/>
      <c r="M23541" s="14"/>
      <c r="N23541" s="14"/>
      <c r="O23541" s="14"/>
      <c r="P23541" s="13"/>
    </row>
    <row r="23542">
      <c r="L23542" s="13"/>
      <c r="M23542" s="14"/>
      <c r="N23542" s="14"/>
      <c r="O23542" s="14"/>
      <c r="P23542" s="13"/>
    </row>
    <row r="23543">
      <c r="L23543" s="13"/>
      <c r="M23543" s="14"/>
      <c r="N23543" s="14"/>
      <c r="O23543" s="14"/>
      <c r="P23543" s="13"/>
    </row>
    <row r="23544">
      <c r="L23544" s="13"/>
      <c r="M23544" s="14"/>
      <c r="N23544" s="14"/>
      <c r="O23544" s="14"/>
      <c r="P23544" s="13"/>
    </row>
    <row r="23545">
      <c r="L23545" s="13"/>
      <c r="M23545" s="14"/>
      <c r="N23545" s="14"/>
      <c r="O23545" s="14"/>
      <c r="P23545" s="13"/>
    </row>
    <row r="23546">
      <c r="L23546" s="13"/>
      <c r="M23546" s="14"/>
      <c r="N23546" s="14"/>
      <c r="O23546" s="14"/>
      <c r="P23546" s="13"/>
    </row>
    <row r="23547">
      <c r="L23547" s="13"/>
      <c r="M23547" s="14"/>
      <c r="N23547" s="14"/>
      <c r="O23547" s="14"/>
      <c r="P23547" s="13"/>
    </row>
    <row r="23548">
      <c r="L23548" s="13"/>
      <c r="M23548" s="14"/>
      <c r="N23548" s="14"/>
      <c r="O23548" s="14"/>
      <c r="P23548" s="13"/>
    </row>
    <row r="23549">
      <c r="L23549" s="13"/>
      <c r="M23549" s="14"/>
      <c r="N23549" s="14"/>
      <c r="O23549" s="14"/>
      <c r="P23549" s="13"/>
    </row>
    <row r="23550">
      <c r="L23550" s="13"/>
      <c r="M23550" s="14"/>
      <c r="N23550" s="14"/>
      <c r="O23550" s="14"/>
      <c r="P23550" s="13"/>
    </row>
    <row r="23551">
      <c r="L23551" s="13"/>
      <c r="M23551" s="14"/>
      <c r="N23551" s="14"/>
      <c r="O23551" s="14"/>
      <c r="P23551" s="13"/>
    </row>
    <row r="23552">
      <c r="L23552" s="13"/>
      <c r="M23552" s="14"/>
      <c r="N23552" s="14"/>
      <c r="O23552" s="14"/>
      <c r="P23552" s="13"/>
    </row>
    <row r="23553">
      <c r="L23553" s="13"/>
      <c r="M23553" s="14"/>
      <c r="N23553" s="14"/>
      <c r="O23553" s="14"/>
      <c r="P23553" s="13"/>
    </row>
    <row r="23554">
      <c r="L23554" s="13"/>
      <c r="M23554" s="14"/>
      <c r="N23554" s="14"/>
      <c r="O23554" s="14"/>
      <c r="P23554" s="13"/>
    </row>
    <row r="23555">
      <c r="L23555" s="13"/>
      <c r="M23555" s="14"/>
      <c r="N23555" s="14"/>
      <c r="O23555" s="14"/>
      <c r="P23555" s="13"/>
    </row>
    <row r="23556">
      <c r="L23556" s="13"/>
      <c r="M23556" s="14"/>
      <c r="N23556" s="14"/>
      <c r="O23556" s="14"/>
      <c r="P23556" s="13"/>
    </row>
    <row r="23557">
      <c r="L23557" s="13"/>
      <c r="M23557" s="14"/>
      <c r="N23557" s="14"/>
      <c r="O23557" s="14"/>
      <c r="P23557" s="13"/>
    </row>
    <row r="23558">
      <c r="L23558" s="13"/>
      <c r="M23558" s="14"/>
      <c r="N23558" s="14"/>
      <c r="O23558" s="14"/>
      <c r="P23558" s="13"/>
    </row>
    <row r="23559">
      <c r="L23559" s="13"/>
      <c r="M23559" s="14"/>
      <c r="N23559" s="14"/>
      <c r="O23559" s="14"/>
      <c r="P23559" s="13"/>
    </row>
    <row r="23560">
      <c r="L23560" s="13"/>
      <c r="M23560" s="14"/>
      <c r="N23560" s="14"/>
      <c r="O23560" s="14"/>
      <c r="P23560" s="13"/>
    </row>
    <row r="23561">
      <c r="L23561" s="13"/>
      <c r="M23561" s="14"/>
      <c r="N23561" s="14"/>
      <c r="O23561" s="14"/>
      <c r="P23561" s="13"/>
    </row>
    <row r="23562">
      <c r="L23562" s="13"/>
      <c r="M23562" s="14"/>
      <c r="N23562" s="14"/>
      <c r="O23562" s="14"/>
      <c r="P23562" s="13"/>
    </row>
    <row r="23563">
      <c r="L23563" s="13"/>
      <c r="M23563" s="14"/>
      <c r="N23563" s="14"/>
      <c r="O23563" s="14"/>
      <c r="P23563" s="13"/>
    </row>
    <row r="23564">
      <c r="L23564" s="13"/>
      <c r="M23564" s="14"/>
      <c r="N23564" s="14"/>
      <c r="O23564" s="14"/>
      <c r="P23564" s="13"/>
    </row>
    <row r="23565">
      <c r="L23565" s="13"/>
      <c r="M23565" s="14"/>
      <c r="N23565" s="14"/>
      <c r="O23565" s="14"/>
      <c r="P23565" s="13"/>
    </row>
    <row r="23566">
      <c r="L23566" s="13"/>
      <c r="M23566" s="14"/>
      <c r="N23566" s="14"/>
      <c r="O23566" s="14"/>
      <c r="P23566" s="13"/>
    </row>
    <row r="23567">
      <c r="L23567" s="13"/>
      <c r="M23567" s="14"/>
      <c r="N23567" s="14"/>
      <c r="O23567" s="14"/>
      <c r="P23567" s="13"/>
    </row>
    <row r="23568">
      <c r="L23568" s="13"/>
      <c r="M23568" s="14"/>
      <c r="N23568" s="14"/>
      <c r="O23568" s="14"/>
      <c r="P23568" s="13"/>
    </row>
    <row r="23569">
      <c r="L23569" s="13"/>
      <c r="M23569" s="14"/>
      <c r="N23569" s="14"/>
      <c r="O23569" s="14"/>
      <c r="P23569" s="13"/>
    </row>
    <row r="23570">
      <c r="L23570" s="13"/>
      <c r="M23570" s="14"/>
      <c r="N23570" s="14"/>
      <c r="O23570" s="14"/>
      <c r="P23570" s="13"/>
    </row>
    <row r="23571">
      <c r="L23571" s="13"/>
      <c r="M23571" s="14"/>
      <c r="N23571" s="14"/>
      <c r="O23571" s="14"/>
      <c r="P23571" s="13"/>
    </row>
    <row r="23572">
      <c r="L23572" s="13"/>
      <c r="M23572" s="14"/>
      <c r="N23572" s="14"/>
      <c r="O23572" s="14"/>
      <c r="P23572" s="13"/>
    </row>
    <row r="23573">
      <c r="L23573" s="13"/>
      <c r="M23573" s="14"/>
      <c r="N23573" s="14"/>
      <c r="O23573" s="14"/>
      <c r="P23573" s="13"/>
    </row>
    <row r="23574">
      <c r="L23574" s="13"/>
      <c r="M23574" s="14"/>
      <c r="N23574" s="14"/>
      <c r="O23574" s="14"/>
      <c r="P23574" s="13"/>
    </row>
    <row r="23575">
      <c r="L23575" s="13"/>
      <c r="M23575" s="14"/>
      <c r="N23575" s="14"/>
      <c r="O23575" s="14"/>
      <c r="P23575" s="13"/>
    </row>
    <row r="23576">
      <c r="L23576" s="13"/>
      <c r="M23576" s="14"/>
      <c r="N23576" s="14"/>
      <c r="O23576" s="14"/>
      <c r="P23576" s="13"/>
    </row>
    <row r="23577">
      <c r="L23577" s="13"/>
      <c r="M23577" s="14"/>
      <c r="N23577" s="14"/>
      <c r="O23577" s="14"/>
      <c r="P23577" s="13"/>
    </row>
    <row r="23578">
      <c r="L23578" s="13"/>
      <c r="M23578" s="14"/>
      <c r="N23578" s="14"/>
      <c r="O23578" s="14"/>
      <c r="P23578" s="13"/>
    </row>
    <row r="23579">
      <c r="L23579" s="13"/>
      <c r="M23579" s="14"/>
      <c r="N23579" s="14"/>
      <c r="O23579" s="14"/>
      <c r="P23579" s="13"/>
    </row>
    <row r="23580">
      <c r="L23580" s="13"/>
      <c r="M23580" s="14"/>
      <c r="N23580" s="14"/>
      <c r="O23580" s="14"/>
      <c r="P23580" s="13"/>
    </row>
    <row r="23581">
      <c r="L23581" s="13"/>
      <c r="M23581" s="14"/>
      <c r="N23581" s="14"/>
      <c r="O23581" s="14"/>
      <c r="P23581" s="13"/>
    </row>
    <row r="23582">
      <c r="L23582" s="13"/>
      <c r="M23582" s="14"/>
      <c r="N23582" s="14"/>
      <c r="O23582" s="14"/>
      <c r="P23582" s="13"/>
    </row>
    <row r="23583">
      <c r="L23583" s="13"/>
      <c r="M23583" s="14"/>
      <c r="N23583" s="14"/>
      <c r="O23583" s="14"/>
      <c r="P23583" s="13"/>
    </row>
    <row r="23584">
      <c r="L23584" s="13"/>
      <c r="M23584" s="14"/>
      <c r="N23584" s="14"/>
      <c r="O23584" s="14"/>
      <c r="P23584" s="13"/>
    </row>
    <row r="23585">
      <c r="L23585" s="13"/>
      <c r="M23585" s="14"/>
      <c r="N23585" s="14"/>
      <c r="O23585" s="14"/>
      <c r="P23585" s="13"/>
    </row>
    <row r="23586">
      <c r="L23586" s="13"/>
      <c r="M23586" s="14"/>
      <c r="N23586" s="14"/>
      <c r="O23586" s="14"/>
      <c r="P23586" s="13"/>
    </row>
    <row r="23587">
      <c r="L23587" s="13"/>
      <c r="M23587" s="14"/>
      <c r="N23587" s="14"/>
      <c r="O23587" s="14"/>
      <c r="P23587" s="13"/>
    </row>
    <row r="23588">
      <c r="L23588" s="13"/>
      <c r="M23588" s="14"/>
      <c r="N23588" s="14"/>
      <c r="O23588" s="14"/>
      <c r="P23588" s="13"/>
    </row>
    <row r="23589">
      <c r="L23589" s="13"/>
      <c r="M23589" s="14"/>
      <c r="N23589" s="14"/>
      <c r="O23589" s="14"/>
      <c r="P23589" s="13"/>
    </row>
    <row r="23590">
      <c r="L23590" s="13"/>
      <c r="M23590" s="14"/>
      <c r="N23590" s="14"/>
      <c r="O23590" s="14"/>
      <c r="P23590" s="13"/>
    </row>
    <row r="23591">
      <c r="L23591" s="13"/>
      <c r="M23591" s="14"/>
      <c r="N23591" s="14"/>
      <c r="O23591" s="14"/>
      <c r="P23591" s="13"/>
    </row>
    <row r="23592">
      <c r="L23592" s="13"/>
      <c r="M23592" s="14"/>
      <c r="N23592" s="14"/>
      <c r="O23592" s="14"/>
      <c r="P23592" s="13"/>
    </row>
    <row r="23593">
      <c r="L23593" s="13"/>
      <c r="M23593" s="14"/>
      <c r="N23593" s="14"/>
      <c r="O23593" s="14"/>
      <c r="P23593" s="13"/>
    </row>
    <row r="23594">
      <c r="L23594" s="13"/>
      <c r="M23594" s="14"/>
      <c r="N23594" s="14"/>
      <c r="O23594" s="14"/>
      <c r="P23594" s="13"/>
    </row>
    <row r="23595">
      <c r="L23595" s="13"/>
      <c r="M23595" s="14"/>
      <c r="N23595" s="14"/>
      <c r="O23595" s="14"/>
      <c r="P23595" s="13"/>
    </row>
    <row r="23596">
      <c r="L23596" s="13"/>
      <c r="M23596" s="14"/>
      <c r="N23596" s="14"/>
      <c r="O23596" s="14"/>
      <c r="P23596" s="13"/>
    </row>
    <row r="23597">
      <c r="L23597" s="13"/>
      <c r="M23597" s="14"/>
      <c r="N23597" s="14"/>
      <c r="O23597" s="14"/>
      <c r="P23597" s="13"/>
    </row>
    <row r="23598">
      <c r="L23598" s="13"/>
      <c r="M23598" s="14"/>
      <c r="N23598" s="14"/>
      <c r="O23598" s="14"/>
      <c r="P23598" s="13"/>
    </row>
    <row r="23599">
      <c r="L23599" s="13"/>
      <c r="M23599" s="14"/>
      <c r="N23599" s="14"/>
      <c r="O23599" s="14"/>
      <c r="P23599" s="13"/>
    </row>
    <row r="23600">
      <c r="L23600" s="13"/>
      <c r="M23600" s="14"/>
      <c r="N23600" s="14"/>
      <c r="O23600" s="14"/>
      <c r="P23600" s="13"/>
    </row>
    <row r="23601">
      <c r="L23601" s="13"/>
      <c r="M23601" s="14"/>
      <c r="N23601" s="14"/>
      <c r="O23601" s="14"/>
      <c r="P23601" s="13"/>
    </row>
    <row r="23602">
      <c r="L23602" s="13"/>
      <c r="M23602" s="14"/>
      <c r="N23602" s="14"/>
      <c r="O23602" s="14"/>
      <c r="P23602" s="13"/>
    </row>
    <row r="23603">
      <c r="L23603" s="13"/>
      <c r="M23603" s="14"/>
      <c r="N23603" s="14"/>
      <c r="O23603" s="14"/>
      <c r="P23603" s="13"/>
    </row>
    <row r="23604">
      <c r="L23604" s="13"/>
      <c r="M23604" s="14"/>
      <c r="N23604" s="14"/>
      <c r="O23604" s="14"/>
      <c r="P23604" s="13"/>
    </row>
    <row r="23605">
      <c r="L23605" s="13"/>
      <c r="M23605" s="14"/>
      <c r="N23605" s="14"/>
      <c r="O23605" s="14"/>
      <c r="P23605" s="13"/>
    </row>
    <row r="23606">
      <c r="L23606" s="13"/>
      <c r="M23606" s="14"/>
      <c r="N23606" s="14"/>
      <c r="O23606" s="14"/>
      <c r="P23606" s="13"/>
    </row>
    <row r="23607">
      <c r="L23607" s="13"/>
      <c r="M23607" s="14"/>
      <c r="N23607" s="14"/>
      <c r="O23607" s="14"/>
      <c r="P23607" s="13"/>
    </row>
    <row r="23608">
      <c r="L23608" s="13"/>
      <c r="M23608" s="14"/>
      <c r="N23608" s="14"/>
      <c r="O23608" s="14"/>
      <c r="P23608" s="13"/>
    </row>
    <row r="23609">
      <c r="L23609" s="13"/>
      <c r="M23609" s="14"/>
      <c r="N23609" s="14"/>
      <c r="O23609" s="14"/>
      <c r="P23609" s="13"/>
    </row>
    <row r="23610">
      <c r="L23610" s="13"/>
      <c r="M23610" s="14"/>
      <c r="N23610" s="14"/>
      <c r="O23610" s="14"/>
      <c r="P23610" s="13"/>
    </row>
    <row r="23611">
      <c r="L23611" s="13"/>
      <c r="M23611" s="14"/>
      <c r="N23611" s="14"/>
      <c r="O23611" s="14"/>
      <c r="P23611" s="13"/>
    </row>
    <row r="23612">
      <c r="L23612" s="13"/>
      <c r="M23612" s="14"/>
      <c r="N23612" s="14"/>
      <c r="O23612" s="14"/>
      <c r="P23612" s="13"/>
    </row>
    <row r="23613">
      <c r="L23613" s="13"/>
      <c r="M23613" s="14"/>
      <c r="N23613" s="14"/>
      <c r="O23613" s="14"/>
      <c r="P23613" s="13"/>
    </row>
    <row r="23614">
      <c r="L23614" s="13"/>
      <c r="M23614" s="14"/>
      <c r="N23614" s="14"/>
      <c r="O23614" s="14"/>
      <c r="P23614" s="13"/>
    </row>
    <row r="23615">
      <c r="L23615" s="13"/>
      <c r="M23615" s="14"/>
      <c r="N23615" s="14"/>
      <c r="O23615" s="14"/>
      <c r="P23615" s="13"/>
    </row>
    <row r="23616">
      <c r="L23616" s="13"/>
      <c r="M23616" s="14"/>
      <c r="N23616" s="14"/>
      <c r="O23616" s="14"/>
      <c r="P23616" s="13"/>
    </row>
    <row r="23617">
      <c r="L23617" s="13"/>
      <c r="M23617" s="14"/>
      <c r="N23617" s="14"/>
      <c r="O23617" s="14"/>
      <c r="P23617" s="13"/>
    </row>
    <row r="23618">
      <c r="L23618" s="13"/>
      <c r="M23618" s="14"/>
      <c r="N23618" s="14"/>
      <c r="O23618" s="14"/>
      <c r="P23618" s="13"/>
    </row>
    <row r="23619">
      <c r="L23619" s="13"/>
      <c r="M23619" s="14"/>
      <c r="N23619" s="14"/>
      <c r="O23619" s="14"/>
      <c r="P23619" s="13"/>
    </row>
    <row r="23620">
      <c r="L23620" s="13"/>
      <c r="M23620" s="14"/>
      <c r="N23620" s="14"/>
      <c r="O23620" s="14"/>
      <c r="P23620" s="13"/>
    </row>
    <row r="23621">
      <c r="L23621" s="13"/>
      <c r="M23621" s="14"/>
      <c r="N23621" s="14"/>
      <c r="O23621" s="14"/>
      <c r="P23621" s="13"/>
    </row>
    <row r="23622">
      <c r="L23622" s="13"/>
      <c r="M23622" s="14"/>
      <c r="N23622" s="14"/>
      <c r="O23622" s="14"/>
      <c r="P23622" s="13"/>
    </row>
    <row r="23623">
      <c r="L23623" s="13"/>
      <c r="M23623" s="14"/>
      <c r="N23623" s="14"/>
      <c r="O23623" s="14"/>
      <c r="P23623" s="13"/>
    </row>
    <row r="23624">
      <c r="L23624" s="13"/>
      <c r="M23624" s="14"/>
      <c r="N23624" s="14"/>
      <c r="O23624" s="14"/>
      <c r="P23624" s="13"/>
    </row>
    <row r="23625">
      <c r="L23625" s="13"/>
      <c r="M23625" s="14"/>
      <c r="N23625" s="14"/>
      <c r="O23625" s="14"/>
      <c r="P23625" s="13"/>
    </row>
    <row r="23626">
      <c r="L23626" s="13"/>
      <c r="M23626" s="14"/>
      <c r="N23626" s="14"/>
      <c r="O23626" s="14"/>
      <c r="P23626" s="13"/>
    </row>
    <row r="23627">
      <c r="L23627" s="13"/>
      <c r="M23627" s="14"/>
      <c r="N23627" s="14"/>
      <c r="O23627" s="14"/>
      <c r="P23627" s="13"/>
    </row>
    <row r="23628">
      <c r="L23628" s="13"/>
      <c r="M23628" s="14"/>
      <c r="N23628" s="14"/>
      <c r="O23628" s="14"/>
      <c r="P23628" s="13"/>
    </row>
    <row r="23629">
      <c r="L23629" s="13"/>
      <c r="M23629" s="14"/>
      <c r="N23629" s="14"/>
      <c r="O23629" s="14"/>
      <c r="P23629" s="13"/>
    </row>
    <row r="23630">
      <c r="L23630" s="13"/>
      <c r="M23630" s="14"/>
      <c r="N23630" s="14"/>
      <c r="O23630" s="14"/>
      <c r="P23630" s="13"/>
    </row>
    <row r="23631">
      <c r="L23631" s="13"/>
      <c r="M23631" s="14"/>
      <c r="N23631" s="14"/>
      <c r="O23631" s="14"/>
      <c r="P23631" s="13"/>
    </row>
    <row r="23632">
      <c r="L23632" s="13"/>
      <c r="M23632" s="14"/>
      <c r="N23632" s="14"/>
      <c r="O23632" s="14"/>
      <c r="P23632" s="13"/>
    </row>
    <row r="23633">
      <c r="L23633" s="13"/>
      <c r="M23633" s="14"/>
      <c r="N23633" s="14"/>
      <c r="O23633" s="14"/>
      <c r="P23633" s="13"/>
    </row>
    <row r="23634">
      <c r="L23634" s="13"/>
      <c r="M23634" s="14"/>
      <c r="N23634" s="14"/>
      <c r="O23634" s="14"/>
      <c r="P23634" s="13"/>
    </row>
    <row r="23635">
      <c r="L23635" s="13"/>
      <c r="M23635" s="14"/>
      <c r="N23635" s="14"/>
      <c r="O23635" s="14"/>
      <c r="P23635" s="13"/>
    </row>
    <row r="23636">
      <c r="L23636" s="13"/>
      <c r="M23636" s="14"/>
      <c r="N23636" s="14"/>
      <c r="O23636" s="14"/>
      <c r="P23636" s="13"/>
    </row>
    <row r="23637">
      <c r="L23637" s="13"/>
      <c r="M23637" s="14"/>
      <c r="N23637" s="14"/>
      <c r="O23637" s="14"/>
      <c r="P23637" s="13"/>
    </row>
    <row r="23638">
      <c r="L23638" s="13"/>
      <c r="M23638" s="14"/>
      <c r="N23638" s="14"/>
      <c r="O23638" s="14"/>
      <c r="P23638" s="13"/>
    </row>
    <row r="23639">
      <c r="L23639" s="13"/>
      <c r="M23639" s="14"/>
      <c r="N23639" s="14"/>
      <c r="O23639" s="14"/>
      <c r="P23639" s="13"/>
    </row>
    <row r="23640">
      <c r="L23640" s="13"/>
      <c r="M23640" s="14"/>
      <c r="N23640" s="14"/>
      <c r="O23640" s="14"/>
      <c r="P23640" s="13"/>
    </row>
    <row r="23641">
      <c r="L23641" s="13"/>
      <c r="M23641" s="14"/>
      <c r="N23641" s="14"/>
      <c r="O23641" s="14"/>
      <c r="P23641" s="13"/>
    </row>
    <row r="23642">
      <c r="L23642" s="13"/>
      <c r="M23642" s="14"/>
      <c r="N23642" s="14"/>
      <c r="O23642" s="14"/>
      <c r="P23642" s="13"/>
    </row>
    <row r="23643">
      <c r="L23643" s="13"/>
      <c r="M23643" s="14"/>
      <c r="N23643" s="14"/>
      <c r="O23643" s="14"/>
      <c r="P23643" s="13"/>
    </row>
    <row r="23644">
      <c r="L23644" s="13"/>
      <c r="M23644" s="14"/>
      <c r="N23644" s="14"/>
      <c r="O23644" s="14"/>
      <c r="P23644" s="13"/>
    </row>
    <row r="23645">
      <c r="L23645" s="13"/>
      <c r="M23645" s="14"/>
      <c r="N23645" s="14"/>
      <c r="O23645" s="14"/>
      <c r="P23645" s="13"/>
    </row>
    <row r="23646">
      <c r="L23646" s="13"/>
      <c r="M23646" s="14"/>
      <c r="N23646" s="14"/>
      <c r="O23646" s="14"/>
      <c r="P23646" s="13"/>
    </row>
    <row r="23647">
      <c r="L23647" s="13"/>
      <c r="M23647" s="14"/>
      <c r="N23647" s="14"/>
      <c r="O23647" s="14"/>
      <c r="P23647" s="13"/>
    </row>
    <row r="23648">
      <c r="L23648" s="13"/>
      <c r="M23648" s="14"/>
      <c r="N23648" s="14"/>
      <c r="O23648" s="14"/>
      <c r="P23648" s="13"/>
    </row>
    <row r="23649">
      <c r="L23649" s="13"/>
      <c r="M23649" s="14"/>
      <c r="N23649" s="14"/>
      <c r="O23649" s="14"/>
      <c r="P23649" s="13"/>
    </row>
    <row r="23650">
      <c r="L23650" s="13"/>
      <c r="M23650" s="14"/>
      <c r="N23650" s="14"/>
      <c r="O23650" s="14"/>
      <c r="P23650" s="13"/>
    </row>
    <row r="23651">
      <c r="L23651" s="13"/>
      <c r="M23651" s="14"/>
      <c r="N23651" s="14"/>
      <c r="O23651" s="14"/>
      <c r="P23651" s="13"/>
    </row>
    <row r="23652">
      <c r="L23652" s="13"/>
      <c r="M23652" s="14"/>
      <c r="N23652" s="14"/>
      <c r="O23652" s="14"/>
      <c r="P23652" s="13"/>
    </row>
    <row r="23653">
      <c r="L23653" s="13"/>
      <c r="M23653" s="14"/>
      <c r="N23653" s="14"/>
      <c r="O23653" s="14"/>
      <c r="P23653" s="13"/>
    </row>
    <row r="23654">
      <c r="L23654" s="13"/>
      <c r="M23654" s="14"/>
      <c r="N23654" s="14"/>
      <c r="O23654" s="14"/>
      <c r="P23654" s="13"/>
    </row>
    <row r="23655">
      <c r="L23655" s="13"/>
      <c r="M23655" s="14"/>
      <c r="N23655" s="14"/>
      <c r="O23655" s="14"/>
      <c r="P23655" s="13"/>
    </row>
    <row r="23656">
      <c r="L23656" s="13"/>
      <c r="M23656" s="14"/>
      <c r="N23656" s="14"/>
      <c r="O23656" s="14"/>
      <c r="P23656" s="13"/>
    </row>
    <row r="23657">
      <c r="L23657" s="13"/>
      <c r="M23657" s="14"/>
      <c r="N23657" s="14"/>
      <c r="O23657" s="14"/>
      <c r="P23657" s="13"/>
    </row>
    <row r="23658">
      <c r="L23658" s="13"/>
      <c r="M23658" s="14"/>
      <c r="N23658" s="14"/>
      <c r="O23658" s="14"/>
      <c r="P23658" s="13"/>
    </row>
    <row r="23659">
      <c r="L23659" s="13"/>
      <c r="M23659" s="14"/>
      <c r="N23659" s="14"/>
      <c r="O23659" s="14"/>
      <c r="P23659" s="13"/>
    </row>
    <row r="23660">
      <c r="L23660" s="13"/>
      <c r="M23660" s="14"/>
      <c r="N23660" s="14"/>
      <c r="O23660" s="14"/>
      <c r="P23660" s="13"/>
    </row>
    <row r="23661">
      <c r="L23661" s="13"/>
      <c r="M23661" s="14"/>
      <c r="N23661" s="14"/>
      <c r="O23661" s="14"/>
      <c r="P23661" s="13"/>
    </row>
    <row r="23662">
      <c r="L23662" s="13"/>
      <c r="M23662" s="14"/>
      <c r="N23662" s="14"/>
      <c r="O23662" s="14"/>
      <c r="P23662" s="13"/>
    </row>
    <row r="23663">
      <c r="L23663" s="13"/>
      <c r="M23663" s="14"/>
      <c r="N23663" s="14"/>
      <c r="O23663" s="14"/>
      <c r="P23663" s="13"/>
    </row>
    <row r="23664">
      <c r="L23664" s="13"/>
      <c r="M23664" s="14"/>
      <c r="N23664" s="14"/>
      <c r="O23664" s="14"/>
      <c r="P23664" s="13"/>
    </row>
    <row r="23665">
      <c r="L23665" s="13"/>
      <c r="M23665" s="14"/>
      <c r="N23665" s="14"/>
      <c r="O23665" s="14"/>
      <c r="P23665" s="13"/>
    </row>
    <row r="23666">
      <c r="L23666" s="13"/>
      <c r="M23666" s="14"/>
      <c r="N23666" s="14"/>
      <c r="O23666" s="14"/>
      <c r="P23666" s="13"/>
    </row>
    <row r="23667">
      <c r="L23667" s="13"/>
      <c r="M23667" s="14"/>
      <c r="N23667" s="14"/>
      <c r="O23667" s="14"/>
      <c r="P23667" s="13"/>
    </row>
    <row r="23668">
      <c r="L23668" s="13"/>
      <c r="M23668" s="14"/>
      <c r="N23668" s="14"/>
      <c r="O23668" s="14"/>
      <c r="P23668" s="13"/>
    </row>
    <row r="23669">
      <c r="L23669" s="13"/>
      <c r="M23669" s="14"/>
      <c r="N23669" s="14"/>
      <c r="O23669" s="14"/>
      <c r="P23669" s="13"/>
    </row>
    <row r="23670">
      <c r="L23670" s="13"/>
      <c r="M23670" s="14"/>
      <c r="N23670" s="14"/>
      <c r="O23670" s="14"/>
      <c r="P23670" s="13"/>
    </row>
    <row r="23671">
      <c r="L23671" s="13"/>
      <c r="M23671" s="14"/>
      <c r="N23671" s="14"/>
      <c r="O23671" s="14"/>
      <c r="P23671" s="13"/>
    </row>
    <row r="23672">
      <c r="L23672" s="13"/>
      <c r="M23672" s="14"/>
      <c r="N23672" s="14"/>
      <c r="O23672" s="14"/>
      <c r="P23672" s="13"/>
    </row>
    <row r="23673">
      <c r="L23673" s="13"/>
      <c r="M23673" s="14"/>
      <c r="N23673" s="14"/>
      <c r="O23673" s="14"/>
      <c r="P23673" s="13"/>
    </row>
    <row r="23674">
      <c r="L23674" s="13"/>
      <c r="M23674" s="14"/>
      <c r="N23674" s="14"/>
      <c r="O23674" s="14"/>
      <c r="P23674" s="13"/>
    </row>
    <row r="23675">
      <c r="L23675" s="13"/>
      <c r="M23675" s="14"/>
      <c r="N23675" s="14"/>
      <c r="O23675" s="14"/>
      <c r="P23675" s="13"/>
    </row>
    <row r="23676">
      <c r="L23676" s="13"/>
      <c r="M23676" s="14"/>
      <c r="N23676" s="14"/>
      <c r="O23676" s="14"/>
      <c r="P23676" s="13"/>
    </row>
    <row r="23677">
      <c r="L23677" s="13"/>
      <c r="M23677" s="14"/>
      <c r="N23677" s="14"/>
      <c r="O23677" s="14"/>
      <c r="P23677" s="13"/>
    </row>
    <row r="23678">
      <c r="L23678" s="13"/>
      <c r="M23678" s="14"/>
      <c r="N23678" s="14"/>
      <c r="O23678" s="14"/>
      <c r="P23678" s="13"/>
    </row>
    <row r="23679">
      <c r="L23679" s="13"/>
      <c r="M23679" s="14"/>
      <c r="N23679" s="14"/>
      <c r="O23679" s="14"/>
      <c r="P23679" s="13"/>
    </row>
    <row r="23680">
      <c r="L23680" s="13"/>
      <c r="M23680" s="14"/>
      <c r="N23680" s="14"/>
      <c r="O23680" s="14"/>
      <c r="P23680" s="13"/>
    </row>
    <row r="23681">
      <c r="L23681" s="13"/>
      <c r="M23681" s="14"/>
      <c r="N23681" s="14"/>
      <c r="O23681" s="14"/>
      <c r="P23681" s="13"/>
    </row>
    <row r="23682">
      <c r="L23682" s="13"/>
      <c r="M23682" s="14"/>
      <c r="N23682" s="14"/>
      <c r="O23682" s="14"/>
      <c r="P23682" s="13"/>
    </row>
    <row r="23683">
      <c r="L23683" s="13"/>
      <c r="M23683" s="14"/>
      <c r="N23683" s="14"/>
      <c r="O23683" s="14"/>
      <c r="P23683" s="13"/>
    </row>
    <row r="23684">
      <c r="L23684" s="13"/>
      <c r="M23684" s="14"/>
      <c r="N23684" s="14"/>
      <c r="O23684" s="14"/>
      <c r="P23684" s="13"/>
    </row>
    <row r="23685">
      <c r="L23685" s="13"/>
      <c r="M23685" s="14"/>
      <c r="N23685" s="14"/>
      <c r="O23685" s="14"/>
      <c r="P23685" s="13"/>
    </row>
    <row r="23686">
      <c r="L23686" s="13"/>
      <c r="M23686" s="14"/>
      <c r="N23686" s="14"/>
      <c r="O23686" s="14"/>
      <c r="P23686" s="13"/>
    </row>
    <row r="23687">
      <c r="L23687" s="13"/>
      <c r="M23687" s="14"/>
      <c r="N23687" s="14"/>
      <c r="O23687" s="14"/>
      <c r="P23687" s="13"/>
    </row>
    <row r="23688">
      <c r="L23688" s="13"/>
      <c r="M23688" s="14"/>
      <c r="N23688" s="14"/>
      <c r="O23688" s="14"/>
      <c r="P23688" s="13"/>
    </row>
    <row r="23689">
      <c r="L23689" s="13"/>
      <c r="M23689" s="14"/>
      <c r="N23689" s="14"/>
      <c r="O23689" s="14"/>
      <c r="P23689" s="13"/>
    </row>
    <row r="23690">
      <c r="L23690" s="13"/>
      <c r="M23690" s="14"/>
      <c r="N23690" s="14"/>
      <c r="O23690" s="14"/>
      <c r="P23690" s="13"/>
    </row>
    <row r="23691">
      <c r="L23691" s="13"/>
      <c r="M23691" s="14"/>
      <c r="N23691" s="14"/>
      <c r="O23691" s="14"/>
      <c r="P23691" s="13"/>
    </row>
    <row r="23692">
      <c r="L23692" s="13"/>
      <c r="M23692" s="14"/>
      <c r="N23692" s="14"/>
      <c r="O23692" s="14"/>
      <c r="P23692" s="13"/>
    </row>
    <row r="23693">
      <c r="L23693" s="13"/>
      <c r="M23693" s="14"/>
      <c r="N23693" s="14"/>
      <c r="O23693" s="14"/>
      <c r="P23693" s="13"/>
    </row>
    <row r="23694">
      <c r="L23694" s="13"/>
      <c r="M23694" s="14"/>
      <c r="N23694" s="14"/>
      <c r="O23694" s="14"/>
      <c r="P23694" s="13"/>
    </row>
    <row r="23695">
      <c r="L23695" s="13"/>
      <c r="M23695" s="14"/>
      <c r="N23695" s="14"/>
      <c r="O23695" s="14"/>
      <c r="P23695" s="13"/>
    </row>
    <row r="23696">
      <c r="L23696" s="13"/>
      <c r="M23696" s="14"/>
      <c r="N23696" s="14"/>
      <c r="O23696" s="14"/>
      <c r="P23696" s="13"/>
    </row>
    <row r="23697">
      <c r="L23697" s="13"/>
      <c r="M23697" s="14"/>
      <c r="N23697" s="14"/>
      <c r="O23697" s="14"/>
      <c r="P23697" s="13"/>
    </row>
    <row r="23698">
      <c r="L23698" s="13"/>
      <c r="M23698" s="14"/>
      <c r="N23698" s="14"/>
      <c r="O23698" s="14"/>
      <c r="P23698" s="13"/>
    </row>
    <row r="23699">
      <c r="L23699" s="13"/>
      <c r="M23699" s="14"/>
      <c r="N23699" s="14"/>
      <c r="O23699" s="14"/>
      <c r="P23699" s="13"/>
    </row>
    <row r="23700">
      <c r="L23700" s="13"/>
      <c r="M23700" s="14"/>
      <c r="N23700" s="14"/>
      <c r="O23700" s="14"/>
      <c r="P23700" s="13"/>
    </row>
    <row r="23701">
      <c r="L23701" s="13"/>
      <c r="M23701" s="14"/>
      <c r="N23701" s="14"/>
      <c r="O23701" s="14"/>
      <c r="P23701" s="13"/>
    </row>
    <row r="23702">
      <c r="L23702" s="13"/>
      <c r="M23702" s="14"/>
      <c r="N23702" s="14"/>
      <c r="O23702" s="14"/>
      <c r="P23702" s="13"/>
    </row>
    <row r="23703">
      <c r="L23703" s="13"/>
      <c r="M23703" s="14"/>
      <c r="N23703" s="14"/>
      <c r="O23703" s="14"/>
      <c r="P23703" s="13"/>
    </row>
    <row r="23704">
      <c r="L23704" s="13"/>
      <c r="M23704" s="14"/>
      <c r="N23704" s="14"/>
      <c r="O23704" s="14"/>
      <c r="P23704" s="13"/>
    </row>
    <row r="23705">
      <c r="L23705" s="13"/>
      <c r="M23705" s="14"/>
      <c r="N23705" s="14"/>
      <c r="O23705" s="14"/>
      <c r="P23705" s="13"/>
    </row>
    <row r="23706">
      <c r="L23706" s="13"/>
      <c r="M23706" s="14"/>
      <c r="N23706" s="14"/>
      <c r="O23706" s="14"/>
      <c r="P23706" s="13"/>
    </row>
    <row r="23707">
      <c r="L23707" s="13"/>
      <c r="M23707" s="14"/>
      <c r="N23707" s="14"/>
      <c r="O23707" s="14"/>
      <c r="P23707" s="13"/>
    </row>
    <row r="23708">
      <c r="L23708" s="13"/>
      <c r="M23708" s="14"/>
      <c r="N23708" s="14"/>
      <c r="O23708" s="14"/>
      <c r="P23708" s="13"/>
    </row>
    <row r="23709">
      <c r="L23709" s="13"/>
      <c r="M23709" s="14"/>
      <c r="N23709" s="14"/>
      <c r="O23709" s="14"/>
      <c r="P23709" s="13"/>
    </row>
    <row r="23710">
      <c r="L23710" s="13"/>
      <c r="M23710" s="14"/>
      <c r="N23710" s="14"/>
      <c r="O23710" s="14"/>
      <c r="P23710" s="13"/>
    </row>
    <row r="23711">
      <c r="L23711" s="13"/>
      <c r="M23711" s="14"/>
      <c r="N23711" s="14"/>
      <c r="O23711" s="14"/>
      <c r="P23711" s="13"/>
    </row>
    <row r="23712">
      <c r="L23712" s="13"/>
      <c r="M23712" s="14"/>
      <c r="N23712" s="14"/>
      <c r="O23712" s="14"/>
      <c r="P23712" s="13"/>
    </row>
    <row r="23713">
      <c r="L23713" s="13"/>
      <c r="M23713" s="14"/>
      <c r="N23713" s="14"/>
      <c r="O23713" s="14"/>
      <c r="P23713" s="13"/>
    </row>
    <row r="23714">
      <c r="L23714" s="13"/>
      <c r="M23714" s="14"/>
      <c r="N23714" s="14"/>
      <c r="O23714" s="14"/>
      <c r="P23714" s="13"/>
    </row>
    <row r="23715">
      <c r="L23715" s="13"/>
      <c r="M23715" s="14"/>
      <c r="N23715" s="14"/>
      <c r="O23715" s="14"/>
      <c r="P23715" s="13"/>
    </row>
    <row r="23716">
      <c r="L23716" s="13"/>
      <c r="M23716" s="14"/>
      <c r="N23716" s="14"/>
      <c r="O23716" s="14"/>
      <c r="P23716" s="13"/>
    </row>
    <row r="23717">
      <c r="L23717" s="13"/>
      <c r="M23717" s="14"/>
      <c r="N23717" s="14"/>
      <c r="O23717" s="14"/>
      <c r="P23717" s="13"/>
    </row>
    <row r="23718">
      <c r="L23718" s="13"/>
      <c r="M23718" s="14"/>
      <c r="N23718" s="14"/>
      <c r="O23718" s="14"/>
      <c r="P23718" s="13"/>
    </row>
    <row r="23719">
      <c r="L23719" s="13"/>
      <c r="M23719" s="14"/>
      <c r="N23719" s="14"/>
      <c r="O23719" s="14"/>
      <c r="P23719" s="13"/>
    </row>
    <row r="23720">
      <c r="L23720" s="13"/>
      <c r="M23720" s="14"/>
      <c r="N23720" s="14"/>
      <c r="O23720" s="14"/>
      <c r="P23720" s="13"/>
    </row>
    <row r="23721">
      <c r="L23721" s="13"/>
      <c r="M23721" s="14"/>
      <c r="N23721" s="14"/>
      <c r="O23721" s="14"/>
      <c r="P23721" s="13"/>
    </row>
    <row r="23722">
      <c r="L23722" s="13"/>
      <c r="M23722" s="14"/>
      <c r="N23722" s="14"/>
      <c r="O23722" s="14"/>
      <c r="P23722" s="13"/>
    </row>
    <row r="23723">
      <c r="L23723" s="13"/>
      <c r="M23723" s="14"/>
      <c r="N23723" s="14"/>
      <c r="O23723" s="14"/>
      <c r="P23723" s="13"/>
    </row>
    <row r="23724">
      <c r="L23724" s="13"/>
      <c r="M23724" s="14"/>
      <c r="N23724" s="14"/>
      <c r="O23724" s="14"/>
      <c r="P23724" s="13"/>
    </row>
    <row r="23725">
      <c r="L23725" s="13"/>
      <c r="M23725" s="14"/>
      <c r="N23725" s="14"/>
      <c r="O23725" s="14"/>
      <c r="P23725" s="13"/>
    </row>
    <row r="23726">
      <c r="L23726" s="13"/>
      <c r="M23726" s="14"/>
      <c r="N23726" s="14"/>
      <c r="O23726" s="14"/>
      <c r="P23726" s="13"/>
    </row>
    <row r="23727">
      <c r="L23727" s="13"/>
      <c r="M23727" s="14"/>
      <c r="N23727" s="14"/>
      <c r="O23727" s="14"/>
      <c r="P23727" s="13"/>
    </row>
    <row r="23728">
      <c r="L23728" s="13"/>
      <c r="M23728" s="14"/>
      <c r="N23728" s="14"/>
      <c r="O23728" s="14"/>
      <c r="P23728" s="13"/>
    </row>
    <row r="23729">
      <c r="L23729" s="13"/>
      <c r="M23729" s="14"/>
      <c r="N23729" s="14"/>
      <c r="O23729" s="14"/>
      <c r="P23729" s="13"/>
    </row>
    <row r="23730">
      <c r="L23730" s="13"/>
      <c r="M23730" s="14"/>
      <c r="N23730" s="14"/>
      <c r="O23730" s="14"/>
      <c r="P23730" s="13"/>
    </row>
    <row r="23731">
      <c r="L23731" s="13"/>
      <c r="M23731" s="14"/>
      <c r="N23731" s="14"/>
      <c r="O23731" s="14"/>
      <c r="P23731" s="13"/>
    </row>
    <row r="23732">
      <c r="L23732" s="13"/>
      <c r="M23732" s="14"/>
      <c r="N23732" s="14"/>
      <c r="O23732" s="14"/>
      <c r="P23732" s="13"/>
    </row>
    <row r="23733">
      <c r="L23733" s="13"/>
      <c r="M23733" s="14"/>
      <c r="N23733" s="14"/>
      <c r="O23733" s="14"/>
      <c r="P23733" s="13"/>
    </row>
    <row r="23734">
      <c r="L23734" s="13"/>
      <c r="M23734" s="14"/>
      <c r="N23734" s="14"/>
      <c r="O23734" s="14"/>
      <c r="P23734" s="13"/>
    </row>
    <row r="23735">
      <c r="L23735" s="13"/>
      <c r="M23735" s="14"/>
      <c r="N23735" s="14"/>
      <c r="O23735" s="14"/>
      <c r="P23735" s="13"/>
    </row>
    <row r="23736">
      <c r="L23736" s="13"/>
      <c r="M23736" s="14"/>
      <c r="N23736" s="14"/>
      <c r="O23736" s="14"/>
      <c r="P23736" s="13"/>
    </row>
    <row r="23737">
      <c r="L23737" s="13"/>
      <c r="M23737" s="14"/>
      <c r="N23737" s="14"/>
      <c r="O23737" s="14"/>
      <c r="P23737" s="13"/>
    </row>
    <row r="23738">
      <c r="L23738" s="13"/>
      <c r="M23738" s="14"/>
      <c r="N23738" s="14"/>
      <c r="O23738" s="14"/>
      <c r="P23738" s="13"/>
    </row>
    <row r="23739">
      <c r="L23739" s="13"/>
      <c r="M23739" s="14"/>
      <c r="N23739" s="14"/>
      <c r="O23739" s="14"/>
      <c r="P23739" s="13"/>
    </row>
    <row r="23740">
      <c r="L23740" s="13"/>
      <c r="M23740" s="14"/>
      <c r="N23740" s="14"/>
      <c r="O23740" s="14"/>
      <c r="P23740" s="13"/>
    </row>
    <row r="23741">
      <c r="L23741" s="13"/>
      <c r="M23741" s="14"/>
      <c r="N23741" s="14"/>
      <c r="O23741" s="14"/>
      <c r="P23741" s="13"/>
    </row>
    <row r="23742">
      <c r="L23742" s="13"/>
      <c r="M23742" s="14"/>
      <c r="N23742" s="14"/>
      <c r="O23742" s="14"/>
      <c r="P23742" s="13"/>
    </row>
    <row r="23743">
      <c r="L23743" s="13"/>
      <c r="M23743" s="14"/>
      <c r="N23743" s="14"/>
      <c r="O23743" s="14"/>
      <c r="P23743" s="13"/>
    </row>
    <row r="23744">
      <c r="L23744" s="13"/>
      <c r="M23744" s="14"/>
      <c r="N23744" s="14"/>
      <c r="O23744" s="14"/>
      <c r="P23744" s="13"/>
    </row>
    <row r="23745">
      <c r="L23745" s="13"/>
      <c r="M23745" s="14"/>
      <c r="N23745" s="14"/>
      <c r="O23745" s="14"/>
      <c r="P23745" s="13"/>
    </row>
    <row r="23746">
      <c r="L23746" s="13"/>
      <c r="M23746" s="14"/>
      <c r="N23746" s="14"/>
      <c r="O23746" s="14"/>
      <c r="P23746" s="13"/>
    </row>
    <row r="23747">
      <c r="L23747" s="13"/>
      <c r="M23747" s="14"/>
      <c r="N23747" s="14"/>
      <c r="O23747" s="14"/>
      <c r="P23747" s="13"/>
    </row>
    <row r="23748">
      <c r="L23748" s="13"/>
      <c r="M23748" s="14"/>
      <c r="N23748" s="14"/>
      <c r="O23748" s="14"/>
      <c r="P23748" s="13"/>
    </row>
    <row r="23749">
      <c r="L23749" s="13"/>
      <c r="M23749" s="14"/>
      <c r="N23749" s="14"/>
      <c r="O23749" s="14"/>
      <c r="P23749" s="13"/>
    </row>
    <row r="23750">
      <c r="L23750" s="13"/>
      <c r="M23750" s="14"/>
      <c r="N23750" s="14"/>
      <c r="O23750" s="14"/>
      <c r="P23750" s="13"/>
    </row>
    <row r="23751">
      <c r="L23751" s="13"/>
      <c r="M23751" s="14"/>
      <c r="N23751" s="14"/>
      <c r="O23751" s="14"/>
      <c r="P23751" s="13"/>
    </row>
    <row r="23752">
      <c r="L23752" s="13"/>
      <c r="M23752" s="14"/>
      <c r="N23752" s="14"/>
      <c r="O23752" s="14"/>
      <c r="P23752" s="13"/>
    </row>
    <row r="23753">
      <c r="L23753" s="13"/>
      <c r="M23753" s="14"/>
      <c r="N23753" s="14"/>
      <c r="O23753" s="14"/>
      <c r="P23753" s="13"/>
    </row>
    <row r="23754">
      <c r="L23754" s="13"/>
      <c r="M23754" s="14"/>
      <c r="N23754" s="14"/>
      <c r="O23754" s="14"/>
      <c r="P23754" s="13"/>
    </row>
    <row r="23755">
      <c r="L23755" s="13"/>
      <c r="M23755" s="14"/>
      <c r="N23755" s="14"/>
      <c r="O23755" s="14"/>
      <c r="P23755" s="13"/>
    </row>
    <row r="23756">
      <c r="L23756" s="13"/>
      <c r="M23756" s="14"/>
      <c r="N23756" s="14"/>
      <c r="O23756" s="14"/>
      <c r="P23756" s="13"/>
    </row>
    <row r="23757">
      <c r="L23757" s="13"/>
      <c r="M23757" s="14"/>
      <c r="N23757" s="14"/>
      <c r="O23757" s="14"/>
      <c r="P23757" s="13"/>
    </row>
    <row r="23758">
      <c r="L23758" s="13"/>
      <c r="M23758" s="14"/>
      <c r="N23758" s="14"/>
      <c r="O23758" s="14"/>
      <c r="P23758" s="13"/>
    </row>
    <row r="23759">
      <c r="L23759" s="13"/>
      <c r="M23759" s="14"/>
      <c r="N23759" s="14"/>
      <c r="O23759" s="14"/>
      <c r="P23759" s="13"/>
    </row>
    <row r="23760">
      <c r="L23760" s="13"/>
      <c r="M23760" s="14"/>
      <c r="N23760" s="14"/>
      <c r="O23760" s="14"/>
      <c r="P23760" s="13"/>
    </row>
    <row r="23761">
      <c r="L23761" s="13"/>
      <c r="M23761" s="14"/>
      <c r="N23761" s="14"/>
      <c r="O23761" s="14"/>
      <c r="P23761" s="13"/>
    </row>
    <row r="23762">
      <c r="L23762" s="13"/>
      <c r="M23762" s="14"/>
      <c r="N23762" s="14"/>
      <c r="O23762" s="14"/>
      <c r="P23762" s="13"/>
    </row>
    <row r="23763">
      <c r="L23763" s="13"/>
      <c r="M23763" s="14"/>
      <c r="N23763" s="14"/>
      <c r="O23763" s="14"/>
      <c r="P23763" s="13"/>
    </row>
    <row r="23764">
      <c r="L23764" s="13"/>
      <c r="M23764" s="14"/>
      <c r="N23764" s="14"/>
      <c r="O23764" s="14"/>
      <c r="P23764" s="13"/>
    </row>
    <row r="23765">
      <c r="L23765" s="13"/>
      <c r="M23765" s="14"/>
      <c r="N23765" s="14"/>
      <c r="O23765" s="14"/>
      <c r="P23765" s="13"/>
    </row>
    <row r="23766">
      <c r="L23766" s="13"/>
      <c r="M23766" s="14"/>
      <c r="N23766" s="14"/>
      <c r="O23766" s="14"/>
      <c r="P23766" s="13"/>
    </row>
    <row r="23767">
      <c r="L23767" s="13"/>
      <c r="M23767" s="14"/>
      <c r="N23767" s="14"/>
      <c r="O23767" s="14"/>
      <c r="P23767" s="13"/>
    </row>
    <row r="23768">
      <c r="L23768" s="13"/>
      <c r="M23768" s="14"/>
      <c r="N23768" s="14"/>
      <c r="O23768" s="14"/>
      <c r="P23768" s="13"/>
    </row>
    <row r="23769">
      <c r="L23769" s="13"/>
      <c r="M23769" s="14"/>
      <c r="N23769" s="14"/>
      <c r="O23769" s="14"/>
      <c r="P23769" s="13"/>
    </row>
    <row r="23770">
      <c r="L23770" s="13"/>
      <c r="M23770" s="14"/>
      <c r="N23770" s="14"/>
      <c r="O23770" s="14"/>
      <c r="P23770" s="13"/>
    </row>
    <row r="23771">
      <c r="L23771" s="13"/>
      <c r="M23771" s="14"/>
      <c r="N23771" s="14"/>
      <c r="O23771" s="14"/>
      <c r="P23771" s="13"/>
    </row>
    <row r="23772">
      <c r="L23772" s="13"/>
      <c r="M23772" s="14"/>
      <c r="N23772" s="14"/>
      <c r="O23772" s="14"/>
      <c r="P23772" s="13"/>
    </row>
    <row r="23773">
      <c r="L23773" s="13"/>
      <c r="M23773" s="14"/>
      <c r="N23773" s="14"/>
      <c r="O23773" s="14"/>
      <c r="P23773" s="13"/>
    </row>
    <row r="23774">
      <c r="L23774" s="13"/>
      <c r="M23774" s="14"/>
      <c r="N23774" s="14"/>
      <c r="O23774" s="14"/>
      <c r="P23774" s="13"/>
    </row>
    <row r="23775">
      <c r="L23775" s="13"/>
      <c r="M23775" s="14"/>
      <c r="N23775" s="14"/>
      <c r="O23775" s="14"/>
      <c r="P23775" s="13"/>
    </row>
    <row r="23776">
      <c r="L23776" s="13"/>
      <c r="M23776" s="14"/>
      <c r="N23776" s="14"/>
      <c r="O23776" s="14"/>
      <c r="P23776" s="13"/>
    </row>
    <row r="23777">
      <c r="L23777" s="13"/>
      <c r="M23777" s="14"/>
      <c r="N23777" s="14"/>
      <c r="O23777" s="14"/>
      <c r="P23777" s="13"/>
    </row>
    <row r="23778">
      <c r="L23778" s="13"/>
      <c r="M23778" s="14"/>
      <c r="N23778" s="14"/>
      <c r="O23778" s="14"/>
      <c r="P23778" s="13"/>
    </row>
    <row r="23779">
      <c r="L23779" s="13"/>
      <c r="M23779" s="14"/>
      <c r="N23779" s="14"/>
      <c r="O23779" s="14"/>
      <c r="P23779" s="13"/>
    </row>
    <row r="23780">
      <c r="L23780" s="13"/>
      <c r="M23780" s="14"/>
      <c r="N23780" s="14"/>
      <c r="O23780" s="14"/>
      <c r="P23780" s="13"/>
    </row>
    <row r="23781">
      <c r="L23781" s="13"/>
      <c r="M23781" s="14"/>
      <c r="N23781" s="14"/>
      <c r="O23781" s="14"/>
      <c r="P23781" s="13"/>
    </row>
    <row r="23782">
      <c r="L23782" s="13"/>
      <c r="M23782" s="14"/>
      <c r="N23782" s="14"/>
      <c r="O23782" s="14"/>
      <c r="P23782" s="13"/>
    </row>
    <row r="23783">
      <c r="L23783" s="13"/>
      <c r="M23783" s="14"/>
      <c r="N23783" s="14"/>
      <c r="O23783" s="14"/>
      <c r="P23783" s="13"/>
    </row>
    <row r="23784">
      <c r="L23784" s="13"/>
      <c r="M23784" s="14"/>
      <c r="N23784" s="14"/>
      <c r="O23784" s="14"/>
      <c r="P23784" s="13"/>
    </row>
    <row r="23785">
      <c r="L23785" s="13"/>
      <c r="M23785" s="14"/>
      <c r="N23785" s="14"/>
      <c r="O23785" s="14"/>
      <c r="P23785" s="13"/>
    </row>
    <row r="23786">
      <c r="L23786" s="13"/>
      <c r="M23786" s="14"/>
      <c r="N23786" s="14"/>
      <c r="O23786" s="14"/>
      <c r="P23786" s="13"/>
    </row>
    <row r="23787">
      <c r="L23787" s="13"/>
      <c r="M23787" s="14"/>
      <c r="N23787" s="14"/>
      <c r="O23787" s="14"/>
      <c r="P23787" s="13"/>
    </row>
    <row r="23788">
      <c r="L23788" s="13"/>
      <c r="M23788" s="14"/>
      <c r="N23788" s="14"/>
      <c r="O23788" s="14"/>
      <c r="P23788" s="13"/>
    </row>
    <row r="23789">
      <c r="L23789" s="13"/>
      <c r="M23789" s="14"/>
      <c r="N23789" s="14"/>
      <c r="O23789" s="14"/>
      <c r="P23789" s="13"/>
    </row>
    <row r="23790">
      <c r="L23790" s="13"/>
      <c r="M23790" s="14"/>
      <c r="N23790" s="14"/>
      <c r="O23790" s="14"/>
      <c r="P23790" s="13"/>
    </row>
    <row r="23791">
      <c r="L23791" s="13"/>
      <c r="M23791" s="14"/>
      <c r="N23791" s="14"/>
      <c r="O23791" s="14"/>
      <c r="P23791" s="13"/>
    </row>
    <row r="23792">
      <c r="L23792" s="13"/>
      <c r="M23792" s="14"/>
      <c r="N23792" s="14"/>
      <c r="O23792" s="14"/>
      <c r="P23792" s="13"/>
    </row>
    <row r="23793">
      <c r="L23793" s="13"/>
      <c r="M23793" s="14"/>
      <c r="N23793" s="14"/>
      <c r="O23793" s="14"/>
      <c r="P23793" s="13"/>
    </row>
    <row r="23794">
      <c r="L23794" s="13"/>
      <c r="M23794" s="14"/>
      <c r="N23794" s="14"/>
      <c r="O23794" s="14"/>
      <c r="P23794" s="13"/>
    </row>
    <row r="23795">
      <c r="L23795" s="13"/>
      <c r="M23795" s="14"/>
      <c r="N23795" s="14"/>
      <c r="O23795" s="14"/>
      <c r="P23795" s="13"/>
    </row>
    <row r="23796">
      <c r="L23796" s="13"/>
      <c r="M23796" s="14"/>
      <c r="N23796" s="14"/>
      <c r="O23796" s="14"/>
      <c r="P23796" s="13"/>
    </row>
    <row r="23797">
      <c r="L23797" s="13"/>
      <c r="M23797" s="14"/>
      <c r="N23797" s="14"/>
      <c r="O23797" s="14"/>
      <c r="P23797" s="13"/>
    </row>
    <row r="23798">
      <c r="L23798" s="13"/>
      <c r="M23798" s="14"/>
      <c r="N23798" s="14"/>
      <c r="O23798" s="14"/>
      <c r="P23798" s="13"/>
    </row>
    <row r="23799">
      <c r="L23799" s="13"/>
      <c r="M23799" s="14"/>
      <c r="N23799" s="14"/>
      <c r="O23799" s="14"/>
      <c r="P23799" s="13"/>
    </row>
    <row r="23800">
      <c r="L23800" s="13"/>
      <c r="M23800" s="14"/>
      <c r="N23800" s="14"/>
      <c r="O23800" s="14"/>
      <c r="P23800" s="13"/>
    </row>
    <row r="23801">
      <c r="L23801" s="13"/>
      <c r="M23801" s="14"/>
      <c r="N23801" s="14"/>
      <c r="O23801" s="14"/>
      <c r="P23801" s="13"/>
    </row>
    <row r="23802">
      <c r="L23802" s="13"/>
      <c r="M23802" s="14"/>
      <c r="N23802" s="14"/>
      <c r="O23802" s="14"/>
      <c r="P23802" s="13"/>
    </row>
    <row r="23803">
      <c r="L23803" s="13"/>
      <c r="M23803" s="14"/>
      <c r="N23803" s="14"/>
      <c r="O23803" s="14"/>
      <c r="P23803" s="13"/>
    </row>
    <row r="23804">
      <c r="L23804" s="13"/>
      <c r="M23804" s="14"/>
      <c r="N23804" s="14"/>
      <c r="O23804" s="14"/>
      <c r="P23804" s="13"/>
    </row>
    <row r="23805">
      <c r="L23805" s="13"/>
      <c r="M23805" s="14"/>
      <c r="N23805" s="14"/>
      <c r="O23805" s="14"/>
      <c r="P23805" s="13"/>
    </row>
    <row r="23806">
      <c r="L23806" s="13"/>
      <c r="M23806" s="14"/>
      <c r="N23806" s="14"/>
      <c r="O23806" s="14"/>
      <c r="P23806" s="13"/>
    </row>
    <row r="23807">
      <c r="L23807" s="13"/>
      <c r="M23807" s="14"/>
      <c r="N23807" s="14"/>
      <c r="O23807" s="14"/>
      <c r="P23807" s="13"/>
    </row>
    <row r="23808">
      <c r="L23808" s="13"/>
      <c r="M23808" s="14"/>
      <c r="N23808" s="14"/>
      <c r="O23808" s="14"/>
      <c r="P23808" s="13"/>
    </row>
    <row r="23809">
      <c r="L23809" s="13"/>
      <c r="M23809" s="14"/>
      <c r="N23809" s="14"/>
      <c r="O23809" s="14"/>
      <c r="P23809" s="13"/>
    </row>
    <row r="23810">
      <c r="L23810" s="13"/>
      <c r="M23810" s="14"/>
      <c r="N23810" s="14"/>
      <c r="O23810" s="14"/>
      <c r="P23810" s="13"/>
    </row>
    <row r="23811">
      <c r="L23811" s="13"/>
      <c r="M23811" s="14"/>
      <c r="N23811" s="14"/>
      <c r="O23811" s="14"/>
      <c r="P23811" s="13"/>
    </row>
    <row r="23812">
      <c r="L23812" s="13"/>
      <c r="M23812" s="14"/>
      <c r="N23812" s="14"/>
      <c r="O23812" s="14"/>
      <c r="P23812" s="13"/>
    </row>
    <row r="23813">
      <c r="L23813" s="13"/>
      <c r="M23813" s="14"/>
      <c r="N23813" s="14"/>
      <c r="O23813" s="14"/>
      <c r="P23813" s="13"/>
    </row>
    <row r="23814">
      <c r="L23814" s="13"/>
      <c r="M23814" s="14"/>
      <c r="N23814" s="14"/>
      <c r="O23814" s="14"/>
      <c r="P23814" s="13"/>
    </row>
    <row r="23815">
      <c r="L23815" s="13"/>
      <c r="M23815" s="14"/>
      <c r="N23815" s="14"/>
      <c r="O23815" s="14"/>
      <c r="P23815" s="13"/>
    </row>
    <row r="23816">
      <c r="L23816" s="13"/>
      <c r="M23816" s="14"/>
      <c r="N23816" s="14"/>
      <c r="O23816" s="14"/>
      <c r="P23816" s="13"/>
    </row>
    <row r="23817">
      <c r="L23817" s="13"/>
      <c r="M23817" s="14"/>
      <c r="N23817" s="14"/>
      <c r="O23817" s="14"/>
      <c r="P23817" s="13"/>
    </row>
    <row r="23818">
      <c r="L23818" s="13"/>
      <c r="M23818" s="14"/>
      <c r="N23818" s="14"/>
      <c r="O23818" s="14"/>
      <c r="P23818" s="13"/>
    </row>
    <row r="23819">
      <c r="L23819" s="13"/>
      <c r="M23819" s="14"/>
      <c r="N23819" s="14"/>
      <c r="O23819" s="14"/>
      <c r="P23819" s="13"/>
    </row>
    <row r="23820">
      <c r="L23820" s="13"/>
      <c r="M23820" s="14"/>
      <c r="N23820" s="14"/>
      <c r="O23820" s="14"/>
      <c r="P23820" s="13"/>
    </row>
    <row r="23821">
      <c r="L23821" s="13"/>
      <c r="M23821" s="14"/>
      <c r="N23821" s="14"/>
      <c r="O23821" s="14"/>
      <c r="P23821" s="13"/>
    </row>
    <row r="23822">
      <c r="L23822" s="13"/>
      <c r="M23822" s="14"/>
      <c r="N23822" s="14"/>
      <c r="O23822" s="14"/>
      <c r="P23822" s="13"/>
    </row>
    <row r="23823">
      <c r="L23823" s="13"/>
      <c r="M23823" s="14"/>
      <c r="N23823" s="14"/>
      <c r="O23823" s="14"/>
      <c r="P23823" s="13"/>
    </row>
    <row r="23824">
      <c r="L23824" s="13"/>
      <c r="M23824" s="14"/>
      <c r="N23824" s="14"/>
      <c r="O23824" s="14"/>
      <c r="P23824" s="13"/>
    </row>
    <row r="23825">
      <c r="L23825" s="13"/>
      <c r="M23825" s="14"/>
      <c r="N23825" s="14"/>
      <c r="O23825" s="14"/>
      <c r="P23825" s="13"/>
    </row>
    <row r="23826">
      <c r="L23826" s="13"/>
      <c r="M23826" s="14"/>
      <c r="N23826" s="14"/>
      <c r="O23826" s="14"/>
      <c r="P23826" s="13"/>
    </row>
    <row r="23827">
      <c r="L23827" s="13"/>
      <c r="M23827" s="14"/>
      <c r="N23827" s="14"/>
      <c r="O23827" s="14"/>
      <c r="P23827" s="13"/>
    </row>
    <row r="23828">
      <c r="L23828" s="13"/>
      <c r="M23828" s="14"/>
      <c r="N23828" s="14"/>
      <c r="O23828" s="14"/>
      <c r="P23828" s="13"/>
    </row>
    <row r="23829">
      <c r="L23829" s="13"/>
      <c r="M23829" s="14"/>
      <c r="N23829" s="14"/>
      <c r="O23829" s="14"/>
      <c r="P23829" s="13"/>
    </row>
    <row r="23830">
      <c r="L23830" s="13"/>
      <c r="M23830" s="14"/>
      <c r="N23830" s="14"/>
      <c r="O23830" s="14"/>
      <c r="P23830" s="13"/>
    </row>
    <row r="23831">
      <c r="L23831" s="13"/>
      <c r="M23831" s="14"/>
      <c r="N23831" s="14"/>
      <c r="O23831" s="14"/>
      <c r="P23831" s="13"/>
    </row>
    <row r="23832">
      <c r="L23832" s="13"/>
      <c r="M23832" s="14"/>
      <c r="N23832" s="14"/>
      <c r="O23832" s="14"/>
      <c r="P23832" s="13"/>
    </row>
    <row r="23833">
      <c r="L23833" s="13"/>
      <c r="M23833" s="14"/>
      <c r="N23833" s="14"/>
      <c r="O23833" s="14"/>
      <c r="P23833" s="13"/>
    </row>
    <row r="23834">
      <c r="L23834" s="13"/>
      <c r="M23834" s="14"/>
      <c r="N23834" s="14"/>
      <c r="O23834" s="14"/>
      <c r="P23834" s="13"/>
    </row>
    <row r="23835">
      <c r="L23835" s="13"/>
      <c r="M23835" s="14"/>
      <c r="N23835" s="14"/>
      <c r="O23835" s="14"/>
      <c r="P23835" s="13"/>
    </row>
    <row r="23836">
      <c r="L23836" s="13"/>
      <c r="M23836" s="14"/>
      <c r="N23836" s="14"/>
      <c r="O23836" s="14"/>
      <c r="P23836" s="13"/>
    </row>
    <row r="23837">
      <c r="L23837" s="13"/>
      <c r="M23837" s="14"/>
      <c r="N23837" s="14"/>
      <c r="O23837" s="14"/>
      <c r="P23837" s="13"/>
    </row>
    <row r="23838">
      <c r="L23838" s="13"/>
      <c r="M23838" s="14"/>
      <c r="N23838" s="14"/>
      <c r="O23838" s="14"/>
      <c r="P23838" s="13"/>
    </row>
    <row r="23839">
      <c r="L23839" s="13"/>
      <c r="M23839" s="14"/>
      <c r="N23839" s="14"/>
      <c r="O23839" s="14"/>
      <c r="P23839" s="13"/>
    </row>
    <row r="23840">
      <c r="L23840" s="13"/>
      <c r="M23840" s="14"/>
      <c r="N23840" s="14"/>
      <c r="O23840" s="14"/>
      <c r="P23840" s="13"/>
    </row>
    <row r="23841">
      <c r="L23841" s="13"/>
      <c r="M23841" s="14"/>
      <c r="N23841" s="14"/>
      <c r="O23841" s="14"/>
      <c r="P23841" s="13"/>
    </row>
    <row r="23842">
      <c r="L23842" s="13"/>
      <c r="M23842" s="14"/>
      <c r="N23842" s="14"/>
      <c r="O23842" s="14"/>
      <c r="P23842" s="13"/>
    </row>
    <row r="23843">
      <c r="L23843" s="13"/>
      <c r="M23843" s="14"/>
      <c r="N23843" s="14"/>
      <c r="O23843" s="14"/>
      <c r="P23843" s="13"/>
    </row>
    <row r="23844">
      <c r="L23844" s="13"/>
      <c r="M23844" s="14"/>
      <c r="N23844" s="14"/>
      <c r="O23844" s="14"/>
      <c r="P23844" s="13"/>
    </row>
    <row r="23845">
      <c r="L23845" s="13"/>
      <c r="M23845" s="14"/>
      <c r="N23845" s="14"/>
      <c r="O23845" s="14"/>
      <c r="P23845" s="13"/>
    </row>
    <row r="23846">
      <c r="L23846" s="13"/>
      <c r="M23846" s="14"/>
      <c r="N23846" s="14"/>
      <c r="O23846" s="14"/>
      <c r="P23846" s="13"/>
    </row>
    <row r="23847">
      <c r="L23847" s="13"/>
      <c r="M23847" s="14"/>
      <c r="N23847" s="14"/>
      <c r="O23847" s="14"/>
      <c r="P23847" s="13"/>
    </row>
    <row r="23848">
      <c r="L23848" s="13"/>
      <c r="M23848" s="14"/>
      <c r="N23848" s="14"/>
      <c r="O23848" s="14"/>
      <c r="P23848" s="13"/>
    </row>
    <row r="23849">
      <c r="L23849" s="13"/>
      <c r="M23849" s="14"/>
      <c r="N23849" s="14"/>
      <c r="O23849" s="14"/>
      <c r="P23849" s="13"/>
    </row>
    <row r="23850">
      <c r="L23850" s="13"/>
      <c r="M23850" s="14"/>
      <c r="N23850" s="14"/>
      <c r="O23850" s="14"/>
      <c r="P23850" s="13"/>
    </row>
    <row r="23851">
      <c r="L23851" s="13"/>
      <c r="M23851" s="14"/>
      <c r="N23851" s="14"/>
      <c r="O23851" s="14"/>
      <c r="P23851" s="13"/>
    </row>
    <row r="23852">
      <c r="L23852" s="13"/>
      <c r="M23852" s="14"/>
      <c r="N23852" s="14"/>
      <c r="O23852" s="14"/>
      <c r="P23852" s="13"/>
    </row>
    <row r="23853">
      <c r="L23853" s="13"/>
      <c r="M23853" s="14"/>
      <c r="N23853" s="14"/>
      <c r="O23853" s="14"/>
      <c r="P23853" s="13"/>
    </row>
    <row r="23854">
      <c r="L23854" s="13"/>
      <c r="M23854" s="14"/>
      <c r="N23854" s="14"/>
      <c r="O23854" s="14"/>
      <c r="P23854" s="13"/>
    </row>
    <row r="23855">
      <c r="L23855" s="13"/>
      <c r="M23855" s="14"/>
      <c r="N23855" s="14"/>
      <c r="O23855" s="14"/>
      <c r="P23855" s="13"/>
    </row>
    <row r="23856">
      <c r="L23856" s="13"/>
      <c r="M23856" s="14"/>
      <c r="N23856" s="14"/>
      <c r="O23856" s="14"/>
      <c r="P23856" s="13"/>
    </row>
    <row r="23857">
      <c r="L23857" s="13"/>
      <c r="M23857" s="14"/>
      <c r="N23857" s="14"/>
      <c r="O23857" s="14"/>
      <c r="P23857" s="13"/>
    </row>
    <row r="23858">
      <c r="L23858" s="13"/>
      <c r="M23858" s="14"/>
      <c r="N23858" s="14"/>
      <c r="O23858" s="14"/>
      <c r="P23858" s="13"/>
    </row>
    <row r="23859">
      <c r="L23859" s="13"/>
      <c r="M23859" s="14"/>
      <c r="N23859" s="14"/>
      <c r="O23859" s="14"/>
      <c r="P23859" s="13"/>
    </row>
    <row r="23860">
      <c r="L23860" s="13"/>
      <c r="M23860" s="14"/>
      <c r="N23860" s="14"/>
      <c r="O23860" s="14"/>
      <c r="P23860" s="13"/>
    </row>
    <row r="23861">
      <c r="L23861" s="13"/>
      <c r="M23861" s="14"/>
      <c r="N23861" s="14"/>
      <c r="O23861" s="14"/>
      <c r="P23861" s="13"/>
    </row>
    <row r="23862">
      <c r="L23862" s="13"/>
      <c r="M23862" s="14"/>
      <c r="N23862" s="14"/>
      <c r="O23862" s="14"/>
      <c r="P23862" s="13"/>
    </row>
    <row r="23863">
      <c r="L23863" s="13"/>
      <c r="M23863" s="14"/>
      <c r="N23863" s="14"/>
      <c r="O23863" s="14"/>
      <c r="P23863" s="13"/>
    </row>
    <row r="23864">
      <c r="L23864" s="13"/>
      <c r="M23864" s="14"/>
      <c r="N23864" s="14"/>
      <c r="O23864" s="14"/>
      <c r="P23864" s="13"/>
    </row>
    <row r="23865">
      <c r="L23865" s="13"/>
      <c r="M23865" s="14"/>
      <c r="N23865" s="14"/>
      <c r="O23865" s="14"/>
      <c r="P23865" s="13"/>
    </row>
    <row r="23866">
      <c r="L23866" s="13"/>
      <c r="M23866" s="14"/>
      <c r="N23866" s="14"/>
      <c r="O23866" s="14"/>
      <c r="P23866" s="13"/>
    </row>
    <row r="23867">
      <c r="L23867" s="13"/>
      <c r="M23867" s="14"/>
      <c r="N23867" s="14"/>
      <c r="O23867" s="14"/>
      <c r="P23867" s="13"/>
    </row>
    <row r="23868">
      <c r="L23868" s="13"/>
      <c r="M23868" s="14"/>
      <c r="N23868" s="14"/>
      <c r="O23868" s="14"/>
      <c r="P23868" s="13"/>
    </row>
    <row r="23869">
      <c r="L23869" s="13"/>
      <c r="M23869" s="14"/>
      <c r="N23869" s="14"/>
      <c r="O23869" s="14"/>
      <c r="P23869" s="13"/>
    </row>
    <row r="23870">
      <c r="L23870" s="13"/>
      <c r="M23870" s="14"/>
      <c r="N23870" s="14"/>
      <c r="O23870" s="14"/>
      <c r="P23870" s="13"/>
    </row>
    <row r="23871">
      <c r="L23871" s="13"/>
      <c r="M23871" s="14"/>
      <c r="N23871" s="14"/>
      <c r="O23871" s="14"/>
      <c r="P23871" s="13"/>
    </row>
    <row r="23872">
      <c r="L23872" s="13"/>
      <c r="M23872" s="14"/>
      <c r="N23872" s="14"/>
      <c r="O23872" s="14"/>
      <c r="P23872" s="13"/>
    </row>
    <row r="23873">
      <c r="L23873" s="13"/>
      <c r="M23873" s="14"/>
      <c r="N23873" s="14"/>
      <c r="O23873" s="14"/>
      <c r="P23873" s="13"/>
    </row>
    <row r="23874">
      <c r="L23874" s="13"/>
      <c r="M23874" s="14"/>
      <c r="N23874" s="14"/>
      <c r="O23874" s="14"/>
      <c r="P23874" s="13"/>
    </row>
    <row r="23875">
      <c r="L23875" s="13"/>
      <c r="M23875" s="14"/>
      <c r="N23875" s="14"/>
      <c r="O23875" s="14"/>
      <c r="P23875" s="13"/>
    </row>
    <row r="23876">
      <c r="L23876" s="13"/>
      <c r="M23876" s="14"/>
      <c r="N23876" s="14"/>
      <c r="O23876" s="14"/>
      <c r="P23876" s="13"/>
    </row>
    <row r="23877">
      <c r="L23877" s="13"/>
      <c r="M23877" s="14"/>
      <c r="N23877" s="14"/>
      <c r="O23877" s="14"/>
      <c r="P23877" s="13"/>
    </row>
    <row r="23878">
      <c r="L23878" s="13"/>
      <c r="M23878" s="14"/>
      <c r="N23878" s="14"/>
      <c r="O23878" s="14"/>
      <c r="P23878" s="13"/>
    </row>
    <row r="23879">
      <c r="L23879" s="13"/>
      <c r="M23879" s="14"/>
      <c r="N23879" s="14"/>
      <c r="O23879" s="14"/>
      <c r="P23879" s="13"/>
    </row>
    <row r="23880">
      <c r="L23880" s="13"/>
      <c r="M23880" s="14"/>
      <c r="N23880" s="14"/>
      <c r="O23880" s="14"/>
      <c r="P23880" s="13"/>
    </row>
    <row r="23881">
      <c r="L23881" s="13"/>
      <c r="M23881" s="14"/>
      <c r="N23881" s="14"/>
      <c r="O23881" s="14"/>
      <c r="P23881" s="13"/>
    </row>
    <row r="23882">
      <c r="L23882" s="13"/>
      <c r="M23882" s="14"/>
      <c r="N23882" s="14"/>
      <c r="O23882" s="14"/>
      <c r="P23882" s="13"/>
    </row>
    <row r="23883">
      <c r="L23883" s="13"/>
      <c r="M23883" s="14"/>
      <c r="N23883" s="14"/>
      <c r="O23883" s="14"/>
      <c r="P23883" s="13"/>
    </row>
    <row r="23884">
      <c r="L23884" s="13"/>
      <c r="M23884" s="14"/>
      <c r="N23884" s="14"/>
      <c r="O23884" s="14"/>
      <c r="P23884" s="13"/>
    </row>
    <row r="23885">
      <c r="L23885" s="13"/>
      <c r="M23885" s="14"/>
      <c r="N23885" s="14"/>
      <c r="O23885" s="14"/>
      <c r="P23885" s="13"/>
    </row>
    <row r="23886">
      <c r="L23886" s="13"/>
      <c r="M23886" s="14"/>
      <c r="N23886" s="14"/>
      <c r="O23886" s="14"/>
      <c r="P23886" s="13"/>
    </row>
    <row r="23887">
      <c r="L23887" s="13"/>
      <c r="M23887" s="14"/>
      <c r="N23887" s="14"/>
      <c r="O23887" s="14"/>
      <c r="P23887" s="13"/>
    </row>
    <row r="23888">
      <c r="L23888" s="13"/>
      <c r="M23888" s="14"/>
      <c r="N23888" s="14"/>
      <c r="O23888" s="14"/>
      <c r="P23888" s="13"/>
    </row>
    <row r="23889">
      <c r="L23889" s="13"/>
      <c r="M23889" s="14"/>
      <c r="N23889" s="14"/>
      <c r="O23889" s="14"/>
      <c r="P23889" s="13"/>
    </row>
    <row r="23890">
      <c r="L23890" s="13"/>
      <c r="M23890" s="14"/>
      <c r="N23890" s="14"/>
      <c r="O23890" s="14"/>
      <c r="P23890" s="13"/>
    </row>
    <row r="23891">
      <c r="L23891" s="13"/>
      <c r="M23891" s="14"/>
      <c r="N23891" s="14"/>
      <c r="O23891" s="14"/>
      <c r="P23891" s="13"/>
    </row>
    <row r="23892">
      <c r="L23892" s="13"/>
      <c r="M23892" s="14"/>
      <c r="N23892" s="14"/>
      <c r="O23892" s="14"/>
      <c r="P23892" s="13"/>
    </row>
    <row r="23893">
      <c r="L23893" s="13"/>
      <c r="M23893" s="14"/>
      <c r="N23893" s="14"/>
      <c r="O23893" s="14"/>
      <c r="P23893" s="13"/>
    </row>
    <row r="23894">
      <c r="L23894" s="13"/>
      <c r="M23894" s="14"/>
      <c r="N23894" s="14"/>
      <c r="O23894" s="14"/>
      <c r="P23894" s="13"/>
    </row>
    <row r="23895">
      <c r="L23895" s="13"/>
      <c r="M23895" s="14"/>
      <c r="N23895" s="14"/>
      <c r="O23895" s="14"/>
      <c r="P23895" s="13"/>
    </row>
    <row r="23896">
      <c r="L23896" s="13"/>
      <c r="M23896" s="14"/>
      <c r="N23896" s="14"/>
      <c r="O23896" s="14"/>
      <c r="P23896" s="13"/>
    </row>
    <row r="23897">
      <c r="L23897" s="13"/>
      <c r="M23897" s="14"/>
      <c r="N23897" s="14"/>
      <c r="O23897" s="14"/>
      <c r="P23897" s="13"/>
    </row>
    <row r="23898">
      <c r="L23898" s="13"/>
      <c r="M23898" s="14"/>
      <c r="N23898" s="14"/>
      <c r="O23898" s="14"/>
      <c r="P23898" s="13"/>
    </row>
    <row r="23899">
      <c r="L23899" s="13"/>
      <c r="M23899" s="14"/>
      <c r="N23899" s="14"/>
      <c r="O23899" s="14"/>
      <c r="P23899" s="13"/>
    </row>
    <row r="23900">
      <c r="L23900" s="13"/>
      <c r="M23900" s="14"/>
      <c r="N23900" s="14"/>
      <c r="O23900" s="14"/>
      <c r="P23900" s="13"/>
    </row>
    <row r="23901">
      <c r="L23901" s="13"/>
      <c r="M23901" s="14"/>
      <c r="N23901" s="14"/>
      <c r="O23901" s="14"/>
      <c r="P23901" s="13"/>
    </row>
    <row r="23902">
      <c r="L23902" s="13"/>
      <c r="M23902" s="14"/>
      <c r="N23902" s="14"/>
      <c r="O23902" s="14"/>
      <c r="P23902" s="13"/>
    </row>
    <row r="23903">
      <c r="L23903" s="13"/>
      <c r="M23903" s="14"/>
      <c r="N23903" s="14"/>
      <c r="O23903" s="14"/>
      <c r="P23903" s="13"/>
    </row>
    <row r="23904">
      <c r="L23904" s="13"/>
      <c r="M23904" s="14"/>
      <c r="N23904" s="14"/>
      <c r="O23904" s="14"/>
      <c r="P23904" s="13"/>
    </row>
    <row r="23905">
      <c r="L23905" s="13"/>
      <c r="M23905" s="14"/>
      <c r="N23905" s="14"/>
      <c r="O23905" s="14"/>
      <c r="P23905" s="13"/>
    </row>
    <row r="23906">
      <c r="L23906" s="13"/>
      <c r="M23906" s="14"/>
      <c r="N23906" s="14"/>
      <c r="O23906" s="14"/>
      <c r="P23906" s="13"/>
    </row>
    <row r="23907">
      <c r="L23907" s="13"/>
      <c r="M23907" s="14"/>
      <c r="N23907" s="14"/>
      <c r="O23907" s="14"/>
      <c r="P23907" s="13"/>
    </row>
    <row r="23908">
      <c r="L23908" s="13"/>
      <c r="M23908" s="14"/>
      <c r="N23908" s="14"/>
      <c r="O23908" s="14"/>
      <c r="P23908" s="13"/>
    </row>
    <row r="23909">
      <c r="L23909" s="13"/>
      <c r="M23909" s="14"/>
      <c r="N23909" s="14"/>
      <c r="O23909" s="14"/>
      <c r="P23909" s="13"/>
    </row>
    <row r="23910">
      <c r="L23910" s="13"/>
      <c r="M23910" s="14"/>
      <c r="N23910" s="14"/>
      <c r="O23910" s="14"/>
      <c r="P23910" s="13"/>
    </row>
    <row r="23911">
      <c r="L23911" s="13"/>
      <c r="M23911" s="14"/>
      <c r="N23911" s="14"/>
      <c r="O23911" s="14"/>
      <c r="P23911" s="13"/>
    </row>
    <row r="23912">
      <c r="L23912" s="13"/>
      <c r="M23912" s="14"/>
      <c r="N23912" s="14"/>
      <c r="O23912" s="14"/>
      <c r="P23912" s="13"/>
    </row>
    <row r="23913">
      <c r="L23913" s="13"/>
      <c r="M23913" s="14"/>
      <c r="N23913" s="14"/>
      <c r="O23913" s="14"/>
      <c r="P23913" s="13"/>
    </row>
    <row r="23914">
      <c r="L23914" s="13"/>
      <c r="M23914" s="14"/>
      <c r="N23914" s="14"/>
      <c r="O23914" s="14"/>
      <c r="P23914" s="13"/>
    </row>
    <row r="23915">
      <c r="L23915" s="13"/>
      <c r="M23915" s="14"/>
      <c r="N23915" s="14"/>
      <c r="O23915" s="14"/>
      <c r="P23915" s="13"/>
    </row>
    <row r="23916">
      <c r="L23916" s="13"/>
      <c r="M23916" s="14"/>
      <c r="N23916" s="14"/>
      <c r="O23916" s="14"/>
      <c r="P23916" s="13"/>
    </row>
    <row r="23917">
      <c r="L23917" s="13"/>
      <c r="M23917" s="14"/>
      <c r="N23917" s="14"/>
      <c r="O23917" s="14"/>
      <c r="P23917" s="13"/>
    </row>
    <row r="23918">
      <c r="L23918" s="13"/>
      <c r="M23918" s="14"/>
      <c r="N23918" s="14"/>
      <c r="O23918" s="14"/>
      <c r="P23918" s="13"/>
    </row>
    <row r="23919">
      <c r="L23919" s="13"/>
      <c r="M23919" s="14"/>
      <c r="N23919" s="14"/>
      <c r="O23919" s="14"/>
      <c r="P23919" s="13"/>
    </row>
    <row r="23920">
      <c r="L23920" s="13"/>
      <c r="M23920" s="14"/>
      <c r="N23920" s="14"/>
      <c r="O23920" s="14"/>
      <c r="P23920" s="13"/>
    </row>
    <row r="23921">
      <c r="L23921" s="13"/>
      <c r="M23921" s="14"/>
      <c r="N23921" s="14"/>
      <c r="O23921" s="14"/>
      <c r="P23921" s="13"/>
    </row>
    <row r="23922">
      <c r="L23922" s="13"/>
      <c r="M23922" s="14"/>
      <c r="N23922" s="14"/>
      <c r="O23922" s="14"/>
      <c r="P23922" s="13"/>
    </row>
    <row r="23923">
      <c r="L23923" s="13"/>
      <c r="M23923" s="14"/>
      <c r="N23923" s="14"/>
      <c r="O23923" s="14"/>
      <c r="P23923" s="13"/>
    </row>
    <row r="23924">
      <c r="L23924" s="13"/>
      <c r="M23924" s="14"/>
      <c r="N23924" s="14"/>
      <c r="O23924" s="14"/>
      <c r="P23924" s="13"/>
    </row>
    <row r="23925">
      <c r="L23925" s="13"/>
      <c r="M23925" s="14"/>
      <c r="N23925" s="14"/>
      <c r="O23925" s="14"/>
      <c r="P23925" s="13"/>
    </row>
    <row r="23926">
      <c r="L23926" s="13"/>
      <c r="M23926" s="14"/>
      <c r="N23926" s="14"/>
      <c r="O23926" s="14"/>
      <c r="P23926" s="13"/>
    </row>
    <row r="23927">
      <c r="L23927" s="13"/>
      <c r="M23927" s="14"/>
      <c r="N23927" s="14"/>
      <c r="O23927" s="14"/>
      <c r="P23927" s="13"/>
    </row>
    <row r="23928">
      <c r="L23928" s="13"/>
      <c r="M23928" s="14"/>
      <c r="N23928" s="14"/>
      <c r="O23928" s="14"/>
      <c r="P23928" s="13"/>
    </row>
    <row r="23929">
      <c r="L23929" s="13"/>
      <c r="M23929" s="14"/>
      <c r="N23929" s="14"/>
      <c r="O23929" s="14"/>
      <c r="P23929" s="13"/>
    </row>
    <row r="23930">
      <c r="L23930" s="13"/>
      <c r="M23930" s="14"/>
      <c r="N23930" s="14"/>
      <c r="O23930" s="14"/>
      <c r="P23930" s="13"/>
    </row>
    <row r="23931">
      <c r="L23931" s="13"/>
      <c r="M23931" s="14"/>
      <c r="N23931" s="14"/>
      <c r="O23931" s="14"/>
      <c r="P23931" s="13"/>
    </row>
    <row r="23932">
      <c r="L23932" s="13"/>
      <c r="M23932" s="14"/>
      <c r="N23932" s="14"/>
      <c r="O23932" s="14"/>
      <c r="P23932" s="13"/>
    </row>
    <row r="23933">
      <c r="L23933" s="13"/>
      <c r="M23933" s="14"/>
      <c r="N23933" s="14"/>
      <c r="O23933" s="14"/>
      <c r="P23933" s="13"/>
    </row>
    <row r="23934">
      <c r="L23934" s="13"/>
      <c r="M23934" s="14"/>
      <c r="N23934" s="14"/>
      <c r="O23934" s="14"/>
      <c r="P23934" s="13"/>
    </row>
    <row r="23935">
      <c r="L23935" s="13"/>
      <c r="M23935" s="14"/>
      <c r="N23935" s="14"/>
      <c r="O23935" s="14"/>
      <c r="P23935" s="13"/>
    </row>
    <row r="23936">
      <c r="L23936" s="13"/>
      <c r="M23936" s="14"/>
      <c r="N23936" s="14"/>
      <c r="O23936" s="14"/>
      <c r="P23936" s="13"/>
    </row>
    <row r="23937">
      <c r="L23937" s="13"/>
      <c r="M23937" s="14"/>
      <c r="N23937" s="14"/>
      <c r="O23937" s="14"/>
      <c r="P23937" s="13"/>
    </row>
    <row r="23938">
      <c r="L23938" s="13"/>
      <c r="M23938" s="14"/>
      <c r="N23938" s="14"/>
      <c r="O23938" s="14"/>
      <c r="P23938" s="13"/>
    </row>
    <row r="23939">
      <c r="L23939" s="13"/>
      <c r="M23939" s="14"/>
      <c r="N23939" s="14"/>
      <c r="O23939" s="14"/>
      <c r="P23939" s="13"/>
    </row>
    <row r="23940">
      <c r="L23940" s="13"/>
      <c r="M23940" s="14"/>
      <c r="N23940" s="14"/>
      <c r="O23940" s="14"/>
      <c r="P23940" s="13"/>
    </row>
    <row r="23941">
      <c r="L23941" s="13"/>
      <c r="M23941" s="14"/>
      <c r="N23941" s="14"/>
      <c r="O23941" s="14"/>
      <c r="P23941" s="13"/>
    </row>
    <row r="23942">
      <c r="L23942" s="13"/>
      <c r="M23942" s="14"/>
      <c r="N23942" s="14"/>
      <c r="O23942" s="14"/>
      <c r="P23942" s="13"/>
    </row>
    <row r="23943">
      <c r="L23943" s="13"/>
      <c r="M23943" s="14"/>
      <c r="N23943" s="14"/>
      <c r="O23943" s="14"/>
      <c r="P23943" s="13"/>
    </row>
    <row r="23944">
      <c r="L23944" s="13"/>
      <c r="M23944" s="14"/>
      <c r="N23944" s="14"/>
      <c r="O23944" s="14"/>
      <c r="P23944" s="13"/>
    </row>
    <row r="23945">
      <c r="L23945" s="13"/>
      <c r="M23945" s="14"/>
      <c r="N23945" s="14"/>
      <c r="O23945" s="14"/>
      <c r="P23945" s="13"/>
    </row>
    <row r="23946">
      <c r="L23946" s="13"/>
      <c r="M23946" s="14"/>
      <c r="N23946" s="14"/>
      <c r="O23946" s="14"/>
      <c r="P23946" s="13"/>
    </row>
    <row r="23947">
      <c r="L23947" s="13"/>
      <c r="M23947" s="14"/>
      <c r="N23947" s="14"/>
      <c r="O23947" s="14"/>
      <c r="P23947" s="13"/>
    </row>
    <row r="23948">
      <c r="L23948" s="13"/>
      <c r="M23948" s="14"/>
      <c r="N23948" s="14"/>
      <c r="O23948" s="14"/>
      <c r="P23948" s="13"/>
    </row>
    <row r="23949">
      <c r="L23949" s="13"/>
      <c r="M23949" s="14"/>
      <c r="N23949" s="14"/>
      <c r="O23949" s="14"/>
      <c r="P23949" s="13"/>
    </row>
    <row r="23950">
      <c r="L23950" s="13"/>
      <c r="M23950" s="14"/>
      <c r="N23950" s="14"/>
      <c r="O23950" s="14"/>
      <c r="P23950" s="13"/>
    </row>
    <row r="23951">
      <c r="L23951" s="13"/>
      <c r="M23951" s="14"/>
      <c r="N23951" s="14"/>
      <c r="O23951" s="14"/>
      <c r="P23951" s="13"/>
    </row>
    <row r="23952">
      <c r="L23952" s="13"/>
      <c r="M23952" s="14"/>
      <c r="N23952" s="14"/>
      <c r="O23952" s="14"/>
      <c r="P23952" s="13"/>
    </row>
    <row r="23953">
      <c r="L23953" s="13"/>
      <c r="M23953" s="14"/>
      <c r="N23953" s="14"/>
      <c r="O23953" s="14"/>
      <c r="P23953" s="13"/>
    </row>
    <row r="23954">
      <c r="L23954" s="13"/>
      <c r="M23954" s="14"/>
      <c r="N23954" s="14"/>
      <c r="O23954" s="14"/>
      <c r="P23954" s="13"/>
    </row>
    <row r="23955">
      <c r="L23955" s="13"/>
      <c r="M23955" s="14"/>
      <c r="N23955" s="14"/>
      <c r="O23955" s="14"/>
      <c r="P23955" s="13"/>
    </row>
    <row r="23956">
      <c r="L23956" s="13"/>
      <c r="M23956" s="14"/>
      <c r="N23956" s="14"/>
      <c r="O23956" s="14"/>
      <c r="P23956" s="13"/>
    </row>
    <row r="23957">
      <c r="L23957" s="13"/>
      <c r="M23957" s="14"/>
      <c r="N23957" s="14"/>
      <c r="O23957" s="14"/>
      <c r="P23957" s="13"/>
    </row>
    <row r="23958">
      <c r="L23958" s="13"/>
      <c r="M23958" s="14"/>
      <c r="N23958" s="14"/>
      <c r="O23958" s="14"/>
      <c r="P23958" s="13"/>
    </row>
    <row r="23959">
      <c r="L23959" s="13"/>
      <c r="M23959" s="14"/>
      <c r="N23959" s="14"/>
      <c r="O23959" s="14"/>
      <c r="P23959" s="13"/>
    </row>
    <row r="23960">
      <c r="L23960" s="13"/>
      <c r="M23960" s="14"/>
      <c r="N23960" s="14"/>
      <c r="O23960" s="14"/>
      <c r="P23960" s="13"/>
    </row>
    <row r="23961">
      <c r="L23961" s="13"/>
      <c r="M23961" s="14"/>
      <c r="N23961" s="14"/>
      <c r="O23961" s="14"/>
      <c r="P23961" s="13"/>
    </row>
    <row r="23962">
      <c r="L23962" s="13"/>
      <c r="M23962" s="14"/>
      <c r="N23962" s="14"/>
      <c r="O23962" s="14"/>
      <c r="P23962" s="13"/>
    </row>
    <row r="23963">
      <c r="L23963" s="13"/>
      <c r="M23963" s="14"/>
      <c r="N23963" s="14"/>
      <c r="O23963" s="14"/>
      <c r="P23963" s="13"/>
    </row>
    <row r="23964">
      <c r="L23964" s="13"/>
      <c r="M23964" s="14"/>
      <c r="N23964" s="14"/>
      <c r="O23964" s="14"/>
      <c r="P23964" s="13"/>
    </row>
    <row r="23965">
      <c r="L23965" s="13"/>
      <c r="M23965" s="14"/>
      <c r="N23965" s="14"/>
      <c r="O23965" s="14"/>
      <c r="P23965" s="13"/>
    </row>
    <row r="23966">
      <c r="L23966" s="13"/>
      <c r="M23966" s="14"/>
      <c r="N23966" s="14"/>
      <c r="O23966" s="14"/>
      <c r="P23966" s="13"/>
    </row>
    <row r="23967">
      <c r="L23967" s="13"/>
      <c r="M23967" s="14"/>
      <c r="N23967" s="14"/>
      <c r="O23967" s="14"/>
      <c r="P23967" s="13"/>
    </row>
    <row r="23968">
      <c r="L23968" s="13"/>
      <c r="M23968" s="14"/>
      <c r="N23968" s="14"/>
      <c r="O23968" s="14"/>
      <c r="P23968" s="13"/>
    </row>
    <row r="23969">
      <c r="L23969" s="13"/>
      <c r="M23969" s="14"/>
      <c r="N23969" s="14"/>
      <c r="O23969" s="14"/>
      <c r="P23969" s="13"/>
    </row>
    <row r="23970">
      <c r="L23970" s="13"/>
      <c r="M23970" s="14"/>
      <c r="N23970" s="14"/>
      <c r="O23970" s="14"/>
      <c r="P23970" s="13"/>
    </row>
    <row r="23971">
      <c r="L23971" s="13"/>
      <c r="M23971" s="14"/>
      <c r="N23971" s="14"/>
      <c r="O23971" s="14"/>
      <c r="P23971" s="13"/>
    </row>
    <row r="23972">
      <c r="L23972" s="13"/>
      <c r="M23972" s="14"/>
      <c r="N23972" s="14"/>
      <c r="O23972" s="14"/>
      <c r="P23972" s="13"/>
    </row>
    <row r="23973">
      <c r="L23973" s="13"/>
      <c r="M23973" s="14"/>
      <c r="N23973" s="14"/>
      <c r="O23973" s="14"/>
      <c r="P23973" s="13"/>
    </row>
    <row r="23974">
      <c r="L23974" s="13"/>
      <c r="M23974" s="14"/>
      <c r="N23974" s="14"/>
      <c r="O23974" s="14"/>
      <c r="P23974" s="13"/>
    </row>
    <row r="23975">
      <c r="L23975" s="13"/>
      <c r="M23975" s="14"/>
      <c r="N23975" s="14"/>
      <c r="O23975" s="14"/>
      <c r="P23975" s="13"/>
    </row>
    <row r="23976">
      <c r="L23976" s="13"/>
      <c r="M23976" s="14"/>
      <c r="N23976" s="14"/>
      <c r="O23976" s="14"/>
      <c r="P23976" s="13"/>
    </row>
    <row r="23977">
      <c r="L23977" s="13"/>
      <c r="M23977" s="14"/>
      <c r="N23977" s="14"/>
      <c r="O23977" s="14"/>
      <c r="P23977" s="13"/>
    </row>
    <row r="23978">
      <c r="L23978" s="13"/>
      <c r="M23978" s="14"/>
      <c r="N23978" s="14"/>
      <c r="O23978" s="14"/>
      <c r="P23978" s="13"/>
    </row>
    <row r="23979">
      <c r="L23979" s="13"/>
      <c r="M23979" s="14"/>
      <c r="N23979" s="14"/>
      <c r="O23979" s="14"/>
      <c r="P23979" s="13"/>
    </row>
    <row r="23980">
      <c r="L23980" s="13"/>
      <c r="M23980" s="14"/>
      <c r="N23980" s="14"/>
      <c r="O23980" s="14"/>
      <c r="P23980" s="13"/>
    </row>
    <row r="23981">
      <c r="L23981" s="13"/>
      <c r="M23981" s="14"/>
      <c r="N23981" s="14"/>
      <c r="O23981" s="14"/>
      <c r="P23981" s="13"/>
    </row>
    <row r="23982">
      <c r="L23982" s="13"/>
      <c r="M23982" s="14"/>
      <c r="N23982" s="14"/>
      <c r="O23982" s="14"/>
      <c r="P23982" s="13"/>
    </row>
    <row r="23983">
      <c r="L23983" s="13"/>
      <c r="M23983" s="14"/>
      <c r="N23983" s="14"/>
      <c r="O23983" s="14"/>
      <c r="P23983" s="13"/>
    </row>
    <row r="23984">
      <c r="L23984" s="13"/>
      <c r="M23984" s="14"/>
      <c r="N23984" s="14"/>
      <c r="O23984" s="14"/>
      <c r="P23984" s="13"/>
    </row>
    <row r="23985">
      <c r="L23985" s="13"/>
      <c r="M23985" s="14"/>
      <c r="N23985" s="14"/>
      <c r="O23985" s="14"/>
      <c r="P23985" s="13"/>
    </row>
    <row r="23986">
      <c r="L23986" s="13"/>
      <c r="M23986" s="14"/>
      <c r="N23986" s="14"/>
      <c r="O23986" s="14"/>
      <c r="P23986" s="13"/>
    </row>
    <row r="23987">
      <c r="L23987" s="13"/>
      <c r="M23987" s="14"/>
      <c r="N23987" s="14"/>
      <c r="O23987" s="14"/>
      <c r="P23987" s="13"/>
    </row>
    <row r="23988">
      <c r="L23988" s="13"/>
      <c r="M23988" s="14"/>
      <c r="N23988" s="14"/>
      <c r="O23988" s="14"/>
      <c r="P23988" s="13"/>
    </row>
    <row r="23989">
      <c r="L23989" s="13"/>
      <c r="M23989" s="14"/>
      <c r="N23989" s="14"/>
      <c r="O23989" s="14"/>
      <c r="P23989" s="13"/>
    </row>
    <row r="23990">
      <c r="L23990" s="13"/>
      <c r="M23990" s="14"/>
      <c r="N23990" s="14"/>
      <c r="O23990" s="14"/>
      <c r="P23990" s="13"/>
    </row>
    <row r="23991">
      <c r="L23991" s="13"/>
      <c r="M23991" s="14"/>
      <c r="N23991" s="14"/>
      <c r="O23991" s="14"/>
      <c r="P23991" s="13"/>
    </row>
    <row r="23992">
      <c r="L23992" s="13"/>
      <c r="M23992" s="14"/>
      <c r="N23992" s="14"/>
      <c r="O23992" s="14"/>
      <c r="P23992" s="13"/>
    </row>
    <row r="23993">
      <c r="L23993" s="13"/>
      <c r="M23993" s="14"/>
      <c r="N23993" s="14"/>
      <c r="O23993" s="14"/>
      <c r="P23993" s="13"/>
    </row>
    <row r="23994">
      <c r="L23994" s="13"/>
      <c r="M23994" s="14"/>
      <c r="N23994" s="14"/>
      <c r="O23994" s="14"/>
      <c r="P23994" s="13"/>
    </row>
    <row r="23995">
      <c r="L23995" s="13"/>
      <c r="M23995" s="14"/>
      <c r="N23995" s="14"/>
      <c r="O23995" s="14"/>
      <c r="P23995" s="13"/>
    </row>
    <row r="23996">
      <c r="L23996" s="13"/>
      <c r="M23996" s="14"/>
      <c r="N23996" s="14"/>
      <c r="O23996" s="14"/>
      <c r="P23996" s="13"/>
    </row>
    <row r="23997">
      <c r="L23997" s="13"/>
      <c r="M23997" s="14"/>
      <c r="N23997" s="14"/>
      <c r="O23997" s="14"/>
      <c r="P23997" s="13"/>
    </row>
    <row r="23998">
      <c r="L23998" s="13"/>
      <c r="M23998" s="14"/>
      <c r="N23998" s="14"/>
      <c r="O23998" s="14"/>
      <c r="P23998" s="13"/>
    </row>
    <row r="23999">
      <c r="L23999" s="13"/>
      <c r="M23999" s="14"/>
      <c r="N23999" s="14"/>
      <c r="O23999" s="14"/>
      <c r="P23999" s="13"/>
    </row>
    <row r="24000">
      <c r="L24000" s="13"/>
      <c r="M24000" s="14"/>
      <c r="N24000" s="14"/>
      <c r="O24000" s="14"/>
      <c r="P24000" s="13"/>
    </row>
    <row r="24001">
      <c r="L24001" s="13"/>
      <c r="M24001" s="14"/>
      <c r="N24001" s="14"/>
      <c r="O24001" s="14"/>
      <c r="P24001" s="13"/>
    </row>
    <row r="24002">
      <c r="L24002" s="13"/>
      <c r="M24002" s="14"/>
      <c r="N24002" s="14"/>
      <c r="O24002" s="14"/>
      <c r="P24002" s="13"/>
    </row>
    <row r="24003">
      <c r="L24003" s="13"/>
      <c r="M24003" s="14"/>
      <c r="N24003" s="14"/>
      <c r="O24003" s="14"/>
      <c r="P24003" s="13"/>
    </row>
    <row r="24004">
      <c r="L24004" s="13"/>
      <c r="M24004" s="14"/>
      <c r="N24004" s="14"/>
      <c r="O24004" s="14"/>
      <c r="P24004" s="13"/>
    </row>
    <row r="24005">
      <c r="L24005" s="13"/>
      <c r="M24005" s="14"/>
      <c r="N24005" s="14"/>
      <c r="O24005" s="14"/>
      <c r="P24005" s="13"/>
    </row>
    <row r="24006">
      <c r="L24006" s="13"/>
      <c r="M24006" s="14"/>
      <c r="N24006" s="14"/>
      <c r="O24006" s="14"/>
      <c r="P24006" s="13"/>
    </row>
    <row r="24007">
      <c r="L24007" s="13"/>
      <c r="M24007" s="14"/>
      <c r="N24007" s="14"/>
      <c r="O24007" s="14"/>
      <c r="P24007" s="13"/>
    </row>
    <row r="24008">
      <c r="L24008" s="13"/>
      <c r="M24008" s="14"/>
      <c r="N24008" s="14"/>
      <c r="O24008" s="14"/>
      <c r="P24008" s="13"/>
    </row>
    <row r="24009">
      <c r="L24009" s="13"/>
      <c r="M24009" s="14"/>
      <c r="N24009" s="14"/>
      <c r="O24009" s="14"/>
      <c r="P24009" s="13"/>
    </row>
    <row r="24010">
      <c r="L24010" s="13"/>
      <c r="M24010" s="14"/>
      <c r="N24010" s="14"/>
      <c r="O24010" s="14"/>
      <c r="P24010" s="13"/>
    </row>
    <row r="24011">
      <c r="L24011" s="13"/>
      <c r="M24011" s="14"/>
      <c r="N24011" s="14"/>
      <c r="O24011" s="14"/>
      <c r="P24011" s="13"/>
    </row>
    <row r="24012">
      <c r="L24012" s="13"/>
      <c r="M24012" s="14"/>
      <c r="N24012" s="14"/>
      <c r="O24012" s="14"/>
      <c r="P24012" s="13"/>
    </row>
    <row r="24013">
      <c r="L24013" s="13"/>
      <c r="M24013" s="14"/>
      <c r="N24013" s="14"/>
      <c r="O24013" s="14"/>
      <c r="P24013" s="13"/>
    </row>
    <row r="24014">
      <c r="L24014" s="13"/>
      <c r="M24014" s="14"/>
      <c r="N24014" s="14"/>
      <c r="O24014" s="14"/>
      <c r="P24014" s="13"/>
    </row>
    <row r="24015">
      <c r="L24015" s="13"/>
      <c r="M24015" s="14"/>
      <c r="N24015" s="14"/>
      <c r="O24015" s="14"/>
      <c r="P24015" s="13"/>
    </row>
    <row r="24016">
      <c r="L24016" s="13"/>
      <c r="M24016" s="14"/>
      <c r="N24016" s="14"/>
      <c r="O24016" s="14"/>
      <c r="P24016" s="13"/>
    </row>
    <row r="24017">
      <c r="L24017" s="13"/>
      <c r="M24017" s="14"/>
      <c r="N24017" s="14"/>
      <c r="O24017" s="14"/>
      <c r="P24017" s="13"/>
    </row>
    <row r="24018">
      <c r="L24018" s="13"/>
      <c r="M24018" s="14"/>
      <c r="N24018" s="14"/>
      <c r="O24018" s="14"/>
      <c r="P24018" s="13"/>
    </row>
    <row r="24019">
      <c r="L24019" s="13"/>
      <c r="M24019" s="14"/>
      <c r="N24019" s="14"/>
      <c r="O24019" s="14"/>
      <c r="P24019" s="13"/>
    </row>
    <row r="24020">
      <c r="L24020" s="13"/>
      <c r="M24020" s="14"/>
      <c r="N24020" s="14"/>
      <c r="O24020" s="14"/>
      <c r="P24020" s="13"/>
    </row>
    <row r="24021">
      <c r="L24021" s="13"/>
      <c r="M24021" s="14"/>
      <c r="N24021" s="14"/>
      <c r="O24021" s="14"/>
      <c r="P24021" s="13"/>
    </row>
    <row r="24022">
      <c r="L24022" s="13"/>
      <c r="M24022" s="14"/>
      <c r="N24022" s="14"/>
      <c r="O24022" s="14"/>
      <c r="P24022" s="13"/>
    </row>
    <row r="24023">
      <c r="L24023" s="13"/>
      <c r="M24023" s="14"/>
      <c r="N24023" s="14"/>
      <c r="O24023" s="14"/>
      <c r="P24023" s="13"/>
    </row>
    <row r="24024">
      <c r="L24024" s="13"/>
      <c r="M24024" s="14"/>
      <c r="N24024" s="14"/>
      <c r="O24024" s="14"/>
      <c r="P24024" s="13"/>
    </row>
    <row r="24025">
      <c r="L24025" s="13"/>
      <c r="M24025" s="14"/>
      <c r="N24025" s="14"/>
      <c r="O24025" s="14"/>
      <c r="P24025" s="13"/>
    </row>
    <row r="24026">
      <c r="L24026" s="13"/>
      <c r="M24026" s="14"/>
      <c r="N24026" s="14"/>
      <c r="O24026" s="14"/>
      <c r="P24026" s="13"/>
    </row>
    <row r="24027">
      <c r="L24027" s="13"/>
      <c r="M24027" s="14"/>
      <c r="N24027" s="14"/>
      <c r="O24027" s="14"/>
      <c r="P24027" s="13"/>
    </row>
    <row r="24028">
      <c r="L24028" s="13"/>
      <c r="M24028" s="14"/>
      <c r="N24028" s="14"/>
      <c r="O24028" s="14"/>
      <c r="P24028" s="13"/>
    </row>
    <row r="24029">
      <c r="L24029" s="13"/>
      <c r="M24029" s="14"/>
      <c r="N24029" s="14"/>
      <c r="O24029" s="14"/>
      <c r="P24029" s="13"/>
    </row>
    <row r="24030">
      <c r="L24030" s="13"/>
      <c r="M24030" s="14"/>
      <c r="N24030" s="14"/>
      <c r="O24030" s="14"/>
      <c r="P24030" s="13"/>
    </row>
    <row r="24031">
      <c r="L24031" s="13"/>
      <c r="M24031" s="14"/>
      <c r="N24031" s="14"/>
      <c r="O24031" s="14"/>
      <c r="P24031" s="13"/>
    </row>
    <row r="24032">
      <c r="L24032" s="13"/>
      <c r="M24032" s="14"/>
      <c r="N24032" s="14"/>
      <c r="O24032" s="14"/>
      <c r="P24032" s="13"/>
    </row>
    <row r="24033">
      <c r="L24033" s="13"/>
      <c r="M24033" s="14"/>
      <c r="N24033" s="14"/>
      <c r="O24033" s="14"/>
      <c r="P24033" s="13"/>
    </row>
    <row r="24034">
      <c r="L24034" s="13"/>
      <c r="M24034" s="14"/>
      <c r="N24034" s="14"/>
      <c r="O24034" s="14"/>
      <c r="P24034" s="13"/>
    </row>
    <row r="24035">
      <c r="L24035" s="13"/>
      <c r="M24035" s="14"/>
      <c r="N24035" s="14"/>
      <c r="O24035" s="14"/>
      <c r="P24035" s="13"/>
    </row>
    <row r="24036">
      <c r="L24036" s="13"/>
      <c r="M24036" s="14"/>
      <c r="N24036" s="14"/>
      <c r="O24036" s="14"/>
      <c r="P24036" s="13"/>
    </row>
    <row r="24037">
      <c r="L24037" s="13"/>
      <c r="M24037" s="14"/>
      <c r="N24037" s="14"/>
      <c r="O24037" s="14"/>
      <c r="P24037" s="13"/>
    </row>
    <row r="24038">
      <c r="L24038" s="13"/>
      <c r="M24038" s="14"/>
      <c r="N24038" s="14"/>
      <c r="O24038" s="14"/>
      <c r="P24038" s="13"/>
    </row>
    <row r="24039">
      <c r="L24039" s="13"/>
      <c r="M24039" s="14"/>
      <c r="N24039" s="14"/>
      <c r="O24039" s="14"/>
      <c r="P24039" s="13"/>
    </row>
    <row r="24040">
      <c r="L24040" s="13"/>
      <c r="M24040" s="14"/>
      <c r="N24040" s="14"/>
      <c r="O24040" s="14"/>
      <c r="P24040" s="13"/>
    </row>
    <row r="24041">
      <c r="L24041" s="13"/>
      <c r="M24041" s="14"/>
      <c r="N24041" s="14"/>
      <c r="O24041" s="14"/>
      <c r="P24041" s="13"/>
    </row>
    <row r="24042">
      <c r="L24042" s="13"/>
      <c r="M24042" s="14"/>
      <c r="N24042" s="14"/>
      <c r="O24042" s="14"/>
      <c r="P24042" s="13"/>
    </row>
    <row r="24043">
      <c r="L24043" s="13"/>
      <c r="M24043" s="14"/>
      <c r="N24043" s="14"/>
      <c r="O24043" s="14"/>
      <c r="P24043" s="13"/>
    </row>
    <row r="24044">
      <c r="L24044" s="13"/>
      <c r="M24044" s="14"/>
      <c r="N24044" s="14"/>
      <c r="O24044" s="14"/>
      <c r="P24044" s="13"/>
    </row>
    <row r="24045">
      <c r="L24045" s="13"/>
      <c r="M24045" s="14"/>
      <c r="N24045" s="14"/>
      <c r="O24045" s="14"/>
      <c r="P24045" s="13"/>
    </row>
    <row r="24046">
      <c r="L24046" s="13"/>
      <c r="M24046" s="14"/>
      <c r="N24046" s="14"/>
      <c r="O24046" s="14"/>
      <c r="P24046" s="13"/>
    </row>
    <row r="24047">
      <c r="L24047" s="13"/>
      <c r="M24047" s="14"/>
      <c r="N24047" s="14"/>
      <c r="O24047" s="14"/>
      <c r="P24047" s="13"/>
    </row>
    <row r="24048">
      <c r="L24048" s="13"/>
      <c r="M24048" s="14"/>
      <c r="N24048" s="14"/>
      <c r="O24048" s="14"/>
      <c r="P24048" s="13"/>
    </row>
    <row r="24049">
      <c r="L24049" s="13"/>
      <c r="M24049" s="14"/>
      <c r="N24049" s="14"/>
      <c r="O24049" s="14"/>
      <c r="P24049" s="13"/>
    </row>
    <row r="24050">
      <c r="L24050" s="13"/>
      <c r="M24050" s="14"/>
      <c r="N24050" s="14"/>
      <c r="O24050" s="14"/>
      <c r="P24050" s="13"/>
    </row>
    <row r="24051">
      <c r="L24051" s="13"/>
      <c r="M24051" s="14"/>
      <c r="N24051" s="14"/>
      <c r="O24051" s="14"/>
      <c r="P24051" s="13"/>
    </row>
    <row r="24052">
      <c r="L24052" s="13"/>
      <c r="M24052" s="14"/>
      <c r="N24052" s="14"/>
      <c r="O24052" s="14"/>
      <c r="P24052" s="13"/>
    </row>
    <row r="24053">
      <c r="L24053" s="13"/>
      <c r="M24053" s="14"/>
      <c r="N24053" s="14"/>
      <c r="O24053" s="14"/>
      <c r="P24053" s="13"/>
    </row>
    <row r="24054">
      <c r="L24054" s="13"/>
      <c r="M24054" s="14"/>
      <c r="N24054" s="14"/>
      <c r="O24054" s="14"/>
      <c r="P24054" s="13"/>
    </row>
    <row r="24055">
      <c r="L24055" s="13"/>
      <c r="M24055" s="14"/>
      <c r="N24055" s="14"/>
      <c r="O24055" s="14"/>
      <c r="P24055" s="13"/>
    </row>
    <row r="24056">
      <c r="L24056" s="13"/>
      <c r="M24056" s="14"/>
      <c r="N24056" s="14"/>
      <c r="O24056" s="14"/>
      <c r="P24056" s="13"/>
    </row>
    <row r="24057">
      <c r="L24057" s="13"/>
      <c r="M24057" s="14"/>
      <c r="N24057" s="14"/>
      <c r="O24057" s="14"/>
      <c r="P24057" s="13"/>
    </row>
    <row r="24058">
      <c r="L24058" s="13"/>
      <c r="M24058" s="14"/>
      <c r="N24058" s="14"/>
      <c r="O24058" s="14"/>
      <c r="P24058" s="13"/>
    </row>
    <row r="24059">
      <c r="L24059" s="13"/>
      <c r="M24059" s="14"/>
      <c r="N24059" s="14"/>
      <c r="O24059" s="14"/>
      <c r="P24059" s="13"/>
    </row>
    <row r="24060">
      <c r="L24060" s="13"/>
      <c r="M24060" s="14"/>
      <c r="N24060" s="14"/>
      <c r="O24060" s="14"/>
      <c r="P24060" s="13"/>
    </row>
    <row r="24061">
      <c r="L24061" s="13"/>
      <c r="M24061" s="14"/>
      <c r="N24061" s="14"/>
      <c r="O24061" s="14"/>
      <c r="P24061" s="13"/>
    </row>
    <row r="24062">
      <c r="L24062" s="13"/>
      <c r="M24062" s="14"/>
      <c r="N24062" s="14"/>
      <c r="O24062" s="14"/>
      <c r="P24062" s="13"/>
    </row>
    <row r="24063">
      <c r="L24063" s="13"/>
      <c r="M24063" s="14"/>
      <c r="N24063" s="14"/>
      <c r="O24063" s="14"/>
      <c r="P24063" s="13"/>
    </row>
    <row r="24064">
      <c r="L24064" s="13"/>
      <c r="M24064" s="14"/>
      <c r="N24064" s="14"/>
      <c r="O24064" s="14"/>
      <c r="P24064" s="13"/>
    </row>
    <row r="24065">
      <c r="L24065" s="13"/>
      <c r="M24065" s="14"/>
      <c r="N24065" s="14"/>
      <c r="O24065" s="14"/>
      <c r="P24065" s="13"/>
    </row>
    <row r="24066">
      <c r="L24066" s="13"/>
      <c r="M24066" s="14"/>
      <c r="N24066" s="14"/>
      <c r="O24066" s="14"/>
      <c r="P24066" s="13"/>
    </row>
    <row r="24067">
      <c r="L24067" s="13"/>
      <c r="M24067" s="14"/>
      <c r="N24067" s="14"/>
      <c r="O24067" s="14"/>
      <c r="P24067" s="13"/>
    </row>
    <row r="24068">
      <c r="L24068" s="13"/>
      <c r="M24068" s="14"/>
      <c r="N24068" s="14"/>
      <c r="O24068" s="14"/>
      <c r="P24068" s="13"/>
    </row>
    <row r="24069">
      <c r="L24069" s="13"/>
      <c r="M24069" s="14"/>
      <c r="N24069" s="14"/>
      <c r="O24069" s="14"/>
      <c r="P24069" s="13"/>
    </row>
    <row r="24070">
      <c r="L24070" s="13"/>
      <c r="M24070" s="14"/>
      <c r="N24070" s="14"/>
      <c r="O24070" s="14"/>
      <c r="P24070" s="13"/>
    </row>
    <row r="24071">
      <c r="L24071" s="13"/>
      <c r="M24071" s="14"/>
      <c r="N24071" s="14"/>
      <c r="O24071" s="14"/>
      <c r="P24071" s="13"/>
    </row>
    <row r="24072">
      <c r="L24072" s="13"/>
      <c r="M24072" s="14"/>
      <c r="N24072" s="14"/>
      <c r="O24072" s="14"/>
      <c r="P24072" s="13"/>
    </row>
    <row r="24073">
      <c r="L24073" s="13"/>
      <c r="M24073" s="14"/>
      <c r="N24073" s="14"/>
      <c r="O24073" s="14"/>
      <c r="P24073" s="13"/>
    </row>
    <row r="24074">
      <c r="L24074" s="13"/>
      <c r="M24074" s="14"/>
      <c r="N24074" s="14"/>
      <c r="O24074" s="14"/>
      <c r="P24074" s="13"/>
    </row>
    <row r="24075">
      <c r="L24075" s="13"/>
      <c r="M24075" s="14"/>
      <c r="N24075" s="14"/>
      <c r="O24075" s="14"/>
      <c r="P24075" s="13"/>
    </row>
    <row r="24076">
      <c r="L24076" s="13"/>
      <c r="M24076" s="14"/>
      <c r="N24076" s="14"/>
      <c r="O24076" s="14"/>
      <c r="P24076" s="13"/>
    </row>
    <row r="24077">
      <c r="L24077" s="13"/>
      <c r="M24077" s="14"/>
      <c r="N24077" s="14"/>
      <c r="O24077" s="14"/>
      <c r="P24077" s="13"/>
    </row>
    <row r="24078">
      <c r="L24078" s="13"/>
      <c r="M24078" s="14"/>
      <c r="N24078" s="14"/>
      <c r="O24078" s="14"/>
      <c r="P24078" s="13"/>
    </row>
    <row r="24079">
      <c r="L24079" s="13"/>
      <c r="M24079" s="14"/>
      <c r="N24079" s="14"/>
      <c r="O24079" s="14"/>
      <c r="P24079" s="13"/>
    </row>
    <row r="24080">
      <c r="L24080" s="13"/>
      <c r="M24080" s="14"/>
      <c r="N24080" s="14"/>
      <c r="O24080" s="14"/>
      <c r="P24080" s="13"/>
    </row>
    <row r="24081">
      <c r="L24081" s="13"/>
      <c r="M24081" s="14"/>
      <c r="N24081" s="14"/>
      <c r="O24081" s="14"/>
      <c r="P24081" s="13"/>
    </row>
    <row r="24082">
      <c r="L24082" s="13"/>
      <c r="M24082" s="14"/>
      <c r="N24082" s="14"/>
      <c r="O24082" s="14"/>
      <c r="P24082" s="13"/>
    </row>
    <row r="24083">
      <c r="L24083" s="13"/>
      <c r="M24083" s="14"/>
      <c r="N24083" s="14"/>
      <c r="O24083" s="14"/>
      <c r="P24083" s="13"/>
    </row>
    <row r="24084">
      <c r="L24084" s="13"/>
      <c r="M24084" s="14"/>
      <c r="N24084" s="14"/>
      <c r="O24084" s="14"/>
      <c r="P24084" s="13"/>
    </row>
    <row r="24085">
      <c r="L24085" s="13"/>
      <c r="M24085" s="14"/>
      <c r="N24085" s="14"/>
      <c r="O24085" s="14"/>
      <c r="P24085" s="13"/>
    </row>
    <row r="24086">
      <c r="L24086" s="13"/>
      <c r="M24086" s="14"/>
      <c r="N24086" s="14"/>
      <c r="O24086" s="14"/>
      <c r="P24086" s="13"/>
    </row>
    <row r="24087">
      <c r="L24087" s="13"/>
      <c r="M24087" s="14"/>
      <c r="N24087" s="14"/>
      <c r="O24087" s="14"/>
      <c r="P24087" s="13"/>
    </row>
    <row r="24088">
      <c r="L24088" s="13"/>
      <c r="M24088" s="14"/>
      <c r="N24088" s="14"/>
      <c r="O24088" s="14"/>
      <c r="P24088" s="13"/>
    </row>
    <row r="24089">
      <c r="L24089" s="13"/>
      <c r="M24089" s="14"/>
      <c r="N24089" s="14"/>
      <c r="O24089" s="14"/>
      <c r="P24089" s="13"/>
    </row>
    <row r="24090">
      <c r="L24090" s="13"/>
      <c r="M24090" s="14"/>
      <c r="N24090" s="14"/>
      <c r="O24090" s="14"/>
      <c r="P24090" s="13"/>
    </row>
    <row r="24091">
      <c r="L24091" s="13"/>
      <c r="M24091" s="14"/>
      <c r="N24091" s="14"/>
      <c r="O24091" s="14"/>
      <c r="P24091" s="13"/>
    </row>
    <row r="24092">
      <c r="L24092" s="13"/>
      <c r="M24092" s="14"/>
      <c r="N24092" s="14"/>
      <c r="O24092" s="14"/>
      <c r="P24092" s="13"/>
    </row>
    <row r="24093">
      <c r="L24093" s="13"/>
      <c r="M24093" s="14"/>
      <c r="N24093" s="14"/>
      <c r="O24093" s="14"/>
      <c r="P24093" s="13"/>
    </row>
    <row r="24094">
      <c r="L24094" s="13"/>
      <c r="M24094" s="14"/>
      <c r="N24094" s="14"/>
      <c r="O24094" s="14"/>
      <c r="P24094" s="13"/>
    </row>
    <row r="24095">
      <c r="L24095" s="13"/>
      <c r="M24095" s="14"/>
      <c r="N24095" s="14"/>
      <c r="O24095" s="14"/>
      <c r="P24095" s="13"/>
    </row>
    <row r="24096">
      <c r="L24096" s="13"/>
      <c r="M24096" s="14"/>
      <c r="N24096" s="14"/>
      <c r="O24096" s="14"/>
      <c r="P24096" s="13"/>
    </row>
    <row r="24097">
      <c r="L24097" s="13"/>
      <c r="M24097" s="14"/>
      <c r="N24097" s="14"/>
      <c r="O24097" s="14"/>
      <c r="P24097" s="13"/>
    </row>
    <row r="24098">
      <c r="L24098" s="13"/>
      <c r="M24098" s="14"/>
      <c r="N24098" s="14"/>
      <c r="O24098" s="14"/>
      <c r="P24098" s="13"/>
    </row>
    <row r="24099">
      <c r="L24099" s="13"/>
      <c r="M24099" s="14"/>
      <c r="N24099" s="14"/>
      <c r="O24099" s="14"/>
      <c r="P24099" s="13"/>
    </row>
    <row r="24100">
      <c r="L24100" s="13"/>
      <c r="M24100" s="14"/>
      <c r="N24100" s="14"/>
      <c r="O24100" s="14"/>
      <c r="P24100" s="13"/>
    </row>
    <row r="24101">
      <c r="L24101" s="13"/>
      <c r="M24101" s="14"/>
      <c r="N24101" s="14"/>
      <c r="O24101" s="14"/>
      <c r="P24101" s="13"/>
    </row>
    <row r="24102">
      <c r="L24102" s="13"/>
      <c r="M24102" s="14"/>
      <c r="N24102" s="14"/>
      <c r="O24102" s="14"/>
      <c r="P24102" s="13"/>
    </row>
    <row r="24103">
      <c r="L24103" s="13"/>
      <c r="M24103" s="14"/>
      <c r="N24103" s="14"/>
      <c r="O24103" s="14"/>
      <c r="P24103" s="13"/>
    </row>
    <row r="24104">
      <c r="L24104" s="13"/>
      <c r="M24104" s="14"/>
      <c r="N24104" s="14"/>
      <c r="O24104" s="14"/>
      <c r="P24104" s="13"/>
    </row>
    <row r="24105">
      <c r="L24105" s="13"/>
      <c r="M24105" s="14"/>
      <c r="N24105" s="14"/>
      <c r="O24105" s="14"/>
      <c r="P24105" s="13"/>
    </row>
    <row r="24106">
      <c r="L24106" s="13"/>
      <c r="M24106" s="14"/>
      <c r="N24106" s="14"/>
      <c r="O24106" s="14"/>
      <c r="P24106" s="13"/>
    </row>
    <row r="24107">
      <c r="L24107" s="13"/>
      <c r="M24107" s="14"/>
      <c r="N24107" s="14"/>
      <c r="O24107" s="14"/>
      <c r="P24107" s="13"/>
    </row>
    <row r="24108">
      <c r="L24108" s="13"/>
      <c r="M24108" s="14"/>
      <c r="N24108" s="14"/>
      <c r="O24108" s="14"/>
      <c r="P24108" s="13"/>
    </row>
    <row r="24109">
      <c r="L24109" s="13"/>
      <c r="M24109" s="14"/>
      <c r="N24109" s="14"/>
      <c r="O24109" s="14"/>
      <c r="P24109" s="13"/>
    </row>
    <row r="24110">
      <c r="L24110" s="13"/>
      <c r="M24110" s="14"/>
      <c r="N24110" s="14"/>
      <c r="O24110" s="14"/>
      <c r="P24110" s="13"/>
    </row>
    <row r="24111">
      <c r="L24111" s="13"/>
      <c r="M24111" s="14"/>
      <c r="N24111" s="14"/>
      <c r="O24111" s="14"/>
      <c r="P24111" s="13"/>
    </row>
    <row r="24112">
      <c r="L24112" s="13"/>
      <c r="M24112" s="14"/>
      <c r="N24112" s="14"/>
      <c r="O24112" s="14"/>
      <c r="P24112" s="13"/>
    </row>
    <row r="24113">
      <c r="L24113" s="13"/>
      <c r="M24113" s="14"/>
      <c r="N24113" s="14"/>
      <c r="O24113" s="14"/>
      <c r="P24113" s="13"/>
    </row>
    <row r="24114">
      <c r="L24114" s="13"/>
      <c r="M24114" s="14"/>
      <c r="N24114" s="14"/>
      <c r="O24114" s="14"/>
      <c r="P24114" s="13"/>
    </row>
    <row r="24115">
      <c r="L24115" s="13"/>
      <c r="M24115" s="14"/>
      <c r="N24115" s="14"/>
      <c r="O24115" s="14"/>
      <c r="P24115" s="13"/>
    </row>
    <row r="24116">
      <c r="L24116" s="13"/>
      <c r="M24116" s="14"/>
      <c r="N24116" s="14"/>
      <c r="O24116" s="14"/>
      <c r="P24116" s="13"/>
    </row>
    <row r="24117">
      <c r="L24117" s="13"/>
      <c r="M24117" s="14"/>
      <c r="N24117" s="14"/>
      <c r="O24117" s="14"/>
      <c r="P24117" s="13"/>
    </row>
    <row r="24118">
      <c r="L24118" s="13"/>
      <c r="M24118" s="14"/>
      <c r="N24118" s="14"/>
      <c r="O24118" s="14"/>
      <c r="P24118" s="13"/>
    </row>
    <row r="24119">
      <c r="L24119" s="13"/>
      <c r="M24119" s="14"/>
      <c r="N24119" s="14"/>
      <c r="O24119" s="14"/>
      <c r="P24119" s="13"/>
    </row>
    <row r="24120">
      <c r="L24120" s="13"/>
      <c r="M24120" s="14"/>
      <c r="N24120" s="14"/>
      <c r="O24120" s="14"/>
      <c r="P24120" s="13"/>
    </row>
    <row r="24121">
      <c r="L24121" s="13"/>
      <c r="M24121" s="14"/>
      <c r="N24121" s="14"/>
      <c r="O24121" s="14"/>
      <c r="P24121" s="13"/>
    </row>
    <row r="24122">
      <c r="L24122" s="13"/>
      <c r="M24122" s="14"/>
      <c r="N24122" s="14"/>
      <c r="O24122" s="14"/>
      <c r="P24122" s="13"/>
    </row>
    <row r="24123">
      <c r="L24123" s="13"/>
      <c r="M24123" s="14"/>
      <c r="N24123" s="14"/>
      <c r="O24123" s="14"/>
      <c r="P24123" s="13"/>
    </row>
    <row r="24124">
      <c r="L24124" s="13"/>
      <c r="M24124" s="14"/>
      <c r="N24124" s="14"/>
      <c r="O24124" s="14"/>
      <c r="P24124" s="13"/>
    </row>
    <row r="24125">
      <c r="L24125" s="13"/>
      <c r="M24125" s="14"/>
      <c r="N24125" s="14"/>
      <c r="O24125" s="14"/>
      <c r="P24125" s="13"/>
    </row>
    <row r="24126">
      <c r="L24126" s="13"/>
      <c r="M24126" s="14"/>
      <c r="N24126" s="14"/>
      <c r="O24126" s="14"/>
      <c r="P24126" s="13"/>
    </row>
    <row r="24127">
      <c r="L24127" s="13"/>
      <c r="M24127" s="14"/>
      <c r="N24127" s="14"/>
      <c r="O24127" s="14"/>
      <c r="P24127" s="13"/>
    </row>
    <row r="24128">
      <c r="L24128" s="13"/>
      <c r="M24128" s="14"/>
      <c r="N24128" s="14"/>
      <c r="O24128" s="14"/>
      <c r="P24128" s="13"/>
    </row>
    <row r="24129">
      <c r="L24129" s="13"/>
      <c r="M24129" s="14"/>
      <c r="N24129" s="14"/>
      <c r="O24129" s="14"/>
      <c r="P24129" s="13"/>
    </row>
    <row r="24130">
      <c r="L24130" s="13"/>
      <c r="M24130" s="14"/>
      <c r="N24130" s="14"/>
      <c r="O24130" s="14"/>
      <c r="P24130" s="13"/>
    </row>
    <row r="24131">
      <c r="L24131" s="13"/>
      <c r="M24131" s="14"/>
      <c r="N24131" s="14"/>
      <c r="O24131" s="14"/>
      <c r="P24131" s="13"/>
    </row>
    <row r="24132">
      <c r="L24132" s="13"/>
      <c r="M24132" s="14"/>
      <c r="N24132" s="14"/>
      <c r="O24132" s="14"/>
      <c r="P24132" s="13"/>
    </row>
    <row r="24133">
      <c r="L24133" s="13"/>
      <c r="M24133" s="14"/>
      <c r="N24133" s="14"/>
      <c r="O24133" s="14"/>
      <c r="P24133" s="13"/>
    </row>
    <row r="24134">
      <c r="L24134" s="13"/>
      <c r="M24134" s="14"/>
      <c r="N24134" s="14"/>
      <c r="O24134" s="14"/>
      <c r="P24134" s="13"/>
    </row>
    <row r="24135">
      <c r="L24135" s="13"/>
      <c r="M24135" s="14"/>
      <c r="N24135" s="14"/>
      <c r="O24135" s="14"/>
      <c r="P24135" s="13"/>
    </row>
    <row r="24136">
      <c r="L24136" s="13"/>
      <c r="M24136" s="14"/>
      <c r="N24136" s="14"/>
      <c r="O24136" s="14"/>
      <c r="P24136" s="13"/>
    </row>
    <row r="24137">
      <c r="L24137" s="13"/>
      <c r="M24137" s="14"/>
      <c r="N24137" s="14"/>
      <c r="O24137" s="14"/>
      <c r="P24137" s="13"/>
    </row>
    <row r="24138">
      <c r="L24138" s="13"/>
      <c r="M24138" s="14"/>
      <c r="N24138" s="14"/>
      <c r="O24138" s="14"/>
      <c r="P24138" s="13"/>
    </row>
    <row r="24139">
      <c r="L24139" s="13"/>
      <c r="M24139" s="14"/>
      <c r="N24139" s="14"/>
      <c r="O24139" s="14"/>
      <c r="P24139" s="13"/>
    </row>
    <row r="24140">
      <c r="L24140" s="13"/>
      <c r="M24140" s="14"/>
      <c r="N24140" s="14"/>
      <c r="O24140" s="14"/>
      <c r="P24140" s="13"/>
    </row>
    <row r="24141">
      <c r="L24141" s="13"/>
      <c r="M24141" s="14"/>
      <c r="N24141" s="14"/>
      <c r="O24141" s="14"/>
      <c r="P24141" s="13"/>
    </row>
    <row r="24142">
      <c r="L24142" s="13"/>
      <c r="M24142" s="14"/>
      <c r="N24142" s="14"/>
      <c r="O24142" s="14"/>
      <c r="P24142" s="13"/>
    </row>
    <row r="24143">
      <c r="L24143" s="13"/>
      <c r="M24143" s="14"/>
      <c r="N24143" s="14"/>
      <c r="O24143" s="14"/>
      <c r="P24143" s="13"/>
    </row>
    <row r="24144">
      <c r="L24144" s="13"/>
      <c r="M24144" s="14"/>
      <c r="N24144" s="14"/>
      <c r="O24144" s="14"/>
      <c r="P24144" s="13"/>
    </row>
    <row r="24145">
      <c r="L24145" s="13"/>
      <c r="M24145" s="14"/>
      <c r="N24145" s="14"/>
      <c r="O24145" s="14"/>
      <c r="P24145" s="13"/>
    </row>
    <row r="24146">
      <c r="L24146" s="13"/>
      <c r="M24146" s="14"/>
      <c r="N24146" s="14"/>
      <c r="O24146" s="14"/>
      <c r="P24146" s="13"/>
    </row>
    <row r="24147">
      <c r="L24147" s="13"/>
      <c r="M24147" s="14"/>
      <c r="N24147" s="14"/>
      <c r="O24147" s="14"/>
      <c r="P24147" s="13"/>
    </row>
    <row r="24148">
      <c r="L24148" s="13"/>
      <c r="M24148" s="14"/>
      <c r="N24148" s="14"/>
      <c r="O24148" s="14"/>
      <c r="P24148" s="13"/>
    </row>
    <row r="24149">
      <c r="L24149" s="13"/>
      <c r="M24149" s="14"/>
      <c r="N24149" s="14"/>
      <c r="O24149" s="14"/>
      <c r="P24149" s="13"/>
    </row>
    <row r="24150">
      <c r="L24150" s="13"/>
      <c r="M24150" s="14"/>
      <c r="N24150" s="14"/>
      <c r="O24150" s="14"/>
      <c r="P24150" s="13"/>
    </row>
    <row r="24151">
      <c r="L24151" s="13"/>
      <c r="M24151" s="14"/>
      <c r="N24151" s="14"/>
      <c r="O24151" s="14"/>
      <c r="P24151" s="13"/>
    </row>
    <row r="24152">
      <c r="L24152" s="13"/>
      <c r="M24152" s="14"/>
      <c r="N24152" s="14"/>
      <c r="O24152" s="14"/>
      <c r="P24152" s="13"/>
    </row>
    <row r="24153">
      <c r="L24153" s="13"/>
      <c r="M24153" s="14"/>
      <c r="N24153" s="14"/>
      <c r="O24153" s="14"/>
      <c r="P24153" s="13"/>
    </row>
    <row r="24154">
      <c r="L24154" s="13"/>
      <c r="M24154" s="14"/>
      <c r="N24154" s="14"/>
      <c r="O24154" s="14"/>
      <c r="P24154" s="13"/>
    </row>
    <row r="24155">
      <c r="L24155" s="13"/>
      <c r="M24155" s="14"/>
      <c r="N24155" s="14"/>
      <c r="O24155" s="14"/>
      <c r="P24155" s="13"/>
    </row>
    <row r="24156">
      <c r="L24156" s="13"/>
      <c r="M24156" s="14"/>
      <c r="N24156" s="14"/>
      <c r="O24156" s="14"/>
      <c r="P24156" s="13"/>
    </row>
    <row r="24157">
      <c r="L24157" s="13"/>
      <c r="M24157" s="14"/>
      <c r="N24157" s="14"/>
      <c r="O24157" s="14"/>
      <c r="P24157" s="13"/>
    </row>
    <row r="24158">
      <c r="L24158" s="13"/>
      <c r="M24158" s="14"/>
      <c r="N24158" s="14"/>
      <c r="O24158" s="14"/>
      <c r="P24158" s="13"/>
    </row>
    <row r="24159">
      <c r="L24159" s="13"/>
      <c r="M24159" s="14"/>
      <c r="N24159" s="14"/>
      <c r="O24159" s="14"/>
      <c r="P24159" s="13"/>
    </row>
    <row r="24160">
      <c r="L24160" s="13"/>
      <c r="M24160" s="14"/>
      <c r="N24160" s="14"/>
      <c r="O24160" s="14"/>
      <c r="P24160" s="13"/>
    </row>
    <row r="24161">
      <c r="L24161" s="13"/>
      <c r="M24161" s="14"/>
      <c r="N24161" s="14"/>
      <c r="O24161" s="14"/>
      <c r="P24161" s="13"/>
    </row>
    <row r="24162">
      <c r="L24162" s="13"/>
      <c r="M24162" s="14"/>
      <c r="N24162" s="14"/>
      <c r="O24162" s="14"/>
      <c r="P24162" s="13"/>
    </row>
    <row r="24163">
      <c r="L24163" s="13"/>
      <c r="M24163" s="14"/>
      <c r="N24163" s="14"/>
      <c r="O24163" s="14"/>
      <c r="P24163" s="13"/>
    </row>
    <row r="24164">
      <c r="L24164" s="13"/>
      <c r="M24164" s="14"/>
      <c r="N24164" s="14"/>
      <c r="O24164" s="14"/>
      <c r="P24164" s="13"/>
    </row>
    <row r="24165">
      <c r="L24165" s="13"/>
      <c r="M24165" s="14"/>
      <c r="N24165" s="14"/>
      <c r="O24165" s="14"/>
      <c r="P24165" s="13"/>
    </row>
    <row r="24166">
      <c r="L24166" s="13"/>
      <c r="M24166" s="14"/>
      <c r="N24166" s="14"/>
      <c r="O24166" s="14"/>
      <c r="P24166" s="13"/>
    </row>
    <row r="24167">
      <c r="L24167" s="13"/>
      <c r="M24167" s="14"/>
      <c r="N24167" s="14"/>
      <c r="O24167" s="14"/>
      <c r="P24167" s="13"/>
    </row>
    <row r="24168">
      <c r="L24168" s="13"/>
      <c r="M24168" s="14"/>
      <c r="N24168" s="14"/>
      <c r="O24168" s="14"/>
      <c r="P24168" s="13"/>
    </row>
    <row r="24169">
      <c r="L24169" s="13"/>
      <c r="M24169" s="14"/>
      <c r="N24169" s="14"/>
      <c r="O24169" s="14"/>
      <c r="P24169" s="13"/>
    </row>
    <row r="24170">
      <c r="L24170" s="13"/>
      <c r="M24170" s="14"/>
      <c r="N24170" s="14"/>
      <c r="O24170" s="14"/>
      <c r="P24170" s="13"/>
    </row>
    <row r="24171">
      <c r="L24171" s="13"/>
      <c r="M24171" s="14"/>
      <c r="N24171" s="14"/>
      <c r="O24171" s="14"/>
      <c r="P24171" s="13"/>
    </row>
    <row r="24172">
      <c r="L24172" s="13"/>
      <c r="M24172" s="14"/>
      <c r="N24172" s="14"/>
      <c r="O24172" s="14"/>
      <c r="P24172" s="13"/>
    </row>
    <row r="24173">
      <c r="L24173" s="13"/>
      <c r="M24173" s="14"/>
      <c r="N24173" s="14"/>
      <c r="O24173" s="14"/>
      <c r="P24173" s="13"/>
    </row>
    <row r="24174">
      <c r="L24174" s="13"/>
      <c r="M24174" s="14"/>
      <c r="N24174" s="14"/>
      <c r="O24174" s="14"/>
      <c r="P24174" s="13"/>
    </row>
    <row r="24175">
      <c r="L24175" s="13"/>
      <c r="M24175" s="14"/>
      <c r="N24175" s="14"/>
      <c r="O24175" s="14"/>
      <c r="P24175" s="13"/>
    </row>
    <row r="24176">
      <c r="L24176" s="13"/>
      <c r="M24176" s="14"/>
      <c r="N24176" s="14"/>
      <c r="O24176" s="14"/>
      <c r="P24176" s="13"/>
    </row>
    <row r="24177">
      <c r="L24177" s="13"/>
      <c r="M24177" s="14"/>
      <c r="N24177" s="14"/>
      <c r="O24177" s="14"/>
      <c r="P24177" s="13"/>
    </row>
    <row r="24178">
      <c r="L24178" s="13"/>
      <c r="M24178" s="14"/>
      <c r="N24178" s="14"/>
      <c r="O24178" s="14"/>
      <c r="P24178" s="13"/>
    </row>
    <row r="24179">
      <c r="L24179" s="13"/>
      <c r="M24179" s="14"/>
      <c r="N24179" s="14"/>
      <c r="O24179" s="14"/>
      <c r="P24179" s="13"/>
    </row>
    <row r="24180">
      <c r="L24180" s="13"/>
      <c r="M24180" s="14"/>
      <c r="N24180" s="14"/>
      <c r="O24180" s="14"/>
      <c r="P24180" s="13"/>
    </row>
    <row r="24181">
      <c r="L24181" s="13"/>
      <c r="M24181" s="14"/>
      <c r="N24181" s="14"/>
      <c r="O24181" s="14"/>
      <c r="P24181" s="13"/>
    </row>
    <row r="24182">
      <c r="L24182" s="13"/>
      <c r="M24182" s="14"/>
      <c r="N24182" s="14"/>
      <c r="O24182" s="14"/>
      <c r="P24182" s="13"/>
    </row>
    <row r="24183">
      <c r="L24183" s="13"/>
      <c r="M24183" s="14"/>
      <c r="N24183" s="14"/>
      <c r="O24183" s="14"/>
      <c r="P24183" s="13"/>
    </row>
    <row r="24184">
      <c r="L24184" s="13"/>
      <c r="M24184" s="14"/>
      <c r="N24184" s="14"/>
      <c r="O24184" s="14"/>
      <c r="P24184" s="13"/>
    </row>
    <row r="24185">
      <c r="L24185" s="13"/>
      <c r="M24185" s="14"/>
      <c r="N24185" s="14"/>
      <c r="O24185" s="14"/>
      <c r="P24185" s="13"/>
    </row>
    <row r="24186">
      <c r="L24186" s="13"/>
      <c r="M24186" s="14"/>
      <c r="N24186" s="14"/>
      <c r="O24186" s="14"/>
      <c r="P24186" s="13"/>
    </row>
    <row r="24187">
      <c r="L24187" s="13"/>
      <c r="M24187" s="14"/>
      <c r="N24187" s="14"/>
      <c r="O24187" s="14"/>
      <c r="P24187" s="13"/>
    </row>
    <row r="24188">
      <c r="L24188" s="13"/>
      <c r="M24188" s="14"/>
      <c r="N24188" s="14"/>
      <c r="O24188" s="14"/>
      <c r="P24188" s="13"/>
    </row>
    <row r="24189">
      <c r="L24189" s="13"/>
      <c r="M24189" s="14"/>
      <c r="N24189" s="14"/>
      <c r="O24189" s="14"/>
      <c r="P24189" s="13"/>
    </row>
    <row r="24190">
      <c r="L24190" s="13"/>
      <c r="M24190" s="14"/>
      <c r="N24190" s="14"/>
      <c r="O24190" s="14"/>
      <c r="P24190" s="13"/>
    </row>
    <row r="24191">
      <c r="L24191" s="13"/>
      <c r="M24191" s="14"/>
      <c r="N24191" s="14"/>
      <c r="O24191" s="14"/>
      <c r="P24191" s="13"/>
    </row>
    <row r="24192">
      <c r="L24192" s="13"/>
      <c r="M24192" s="14"/>
      <c r="N24192" s="14"/>
      <c r="O24192" s="14"/>
      <c r="P24192" s="13"/>
    </row>
    <row r="24193">
      <c r="L24193" s="13"/>
      <c r="M24193" s="14"/>
      <c r="N24193" s="14"/>
      <c r="O24193" s="14"/>
      <c r="P24193" s="13"/>
    </row>
    <row r="24194">
      <c r="L24194" s="13"/>
      <c r="M24194" s="14"/>
      <c r="N24194" s="14"/>
      <c r="O24194" s="14"/>
      <c r="P24194" s="13"/>
    </row>
    <row r="24195">
      <c r="L24195" s="13"/>
      <c r="M24195" s="14"/>
      <c r="N24195" s="14"/>
      <c r="O24195" s="14"/>
      <c r="P24195" s="13"/>
    </row>
    <row r="24196">
      <c r="L24196" s="13"/>
      <c r="M24196" s="14"/>
      <c r="N24196" s="14"/>
      <c r="O24196" s="14"/>
      <c r="P24196" s="13"/>
    </row>
    <row r="24197">
      <c r="L24197" s="13"/>
      <c r="M24197" s="14"/>
      <c r="N24197" s="14"/>
      <c r="O24197" s="14"/>
      <c r="P24197" s="13"/>
    </row>
    <row r="24198">
      <c r="L24198" s="13"/>
      <c r="M24198" s="14"/>
      <c r="N24198" s="14"/>
      <c r="O24198" s="14"/>
      <c r="P24198" s="13"/>
    </row>
    <row r="24199">
      <c r="L24199" s="13"/>
      <c r="M24199" s="14"/>
      <c r="N24199" s="14"/>
      <c r="O24199" s="14"/>
      <c r="P24199" s="13"/>
    </row>
    <row r="24200">
      <c r="L24200" s="13"/>
      <c r="M24200" s="14"/>
      <c r="N24200" s="14"/>
      <c r="O24200" s="14"/>
      <c r="P24200" s="13"/>
    </row>
    <row r="24201">
      <c r="L24201" s="13"/>
      <c r="M24201" s="14"/>
      <c r="N24201" s="14"/>
      <c r="O24201" s="14"/>
      <c r="P24201" s="13"/>
    </row>
    <row r="24202">
      <c r="L24202" s="13"/>
      <c r="M24202" s="14"/>
      <c r="N24202" s="14"/>
      <c r="O24202" s="14"/>
      <c r="P24202" s="13"/>
    </row>
    <row r="24203">
      <c r="L24203" s="13"/>
      <c r="M24203" s="14"/>
      <c r="N24203" s="14"/>
      <c r="O24203" s="14"/>
      <c r="P24203" s="13"/>
    </row>
    <row r="24204">
      <c r="L24204" s="13"/>
      <c r="M24204" s="14"/>
      <c r="N24204" s="14"/>
      <c r="O24204" s="14"/>
      <c r="P24204" s="13"/>
    </row>
    <row r="24205">
      <c r="L24205" s="13"/>
      <c r="M24205" s="14"/>
      <c r="N24205" s="14"/>
      <c r="O24205" s="14"/>
      <c r="P24205" s="13"/>
    </row>
    <row r="24206">
      <c r="L24206" s="13"/>
      <c r="M24206" s="14"/>
      <c r="N24206" s="14"/>
      <c r="O24206" s="14"/>
      <c r="P24206" s="13"/>
    </row>
    <row r="24207">
      <c r="L24207" s="13"/>
      <c r="M24207" s="14"/>
      <c r="N24207" s="14"/>
      <c r="O24207" s="14"/>
      <c r="P24207" s="13"/>
    </row>
    <row r="24208">
      <c r="L24208" s="13"/>
      <c r="M24208" s="14"/>
      <c r="N24208" s="14"/>
      <c r="O24208" s="14"/>
      <c r="P24208" s="13"/>
    </row>
    <row r="24209">
      <c r="L24209" s="13"/>
      <c r="M24209" s="14"/>
      <c r="N24209" s="14"/>
      <c r="O24209" s="14"/>
      <c r="P24209" s="13"/>
    </row>
    <row r="24210">
      <c r="L24210" s="13"/>
      <c r="M24210" s="14"/>
      <c r="N24210" s="14"/>
      <c r="O24210" s="14"/>
      <c r="P24210" s="13"/>
    </row>
    <row r="24211">
      <c r="L24211" s="13"/>
      <c r="M24211" s="14"/>
      <c r="N24211" s="14"/>
      <c r="O24211" s="14"/>
      <c r="P24211" s="13"/>
    </row>
    <row r="24212">
      <c r="L24212" s="13"/>
      <c r="M24212" s="14"/>
      <c r="N24212" s="14"/>
      <c r="O24212" s="14"/>
      <c r="P24212" s="13"/>
    </row>
    <row r="24213">
      <c r="L24213" s="13"/>
      <c r="M24213" s="14"/>
      <c r="N24213" s="14"/>
      <c r="O24213" s="14"/>
      <c r="P24213" s="13"/>
    </row>
    <row r="24214">
      <c r="L24214" s="13"/>
      <c r="M24214" s="14"/>
      <c r="N24214" s="14"/>
      <c r="O24214" s="14"/>
      <c r="P24214" s="13"/>
    </row>
    <row r="24215">
      <c r="L24215" s="13"/>
      <c r="M24215" s="14"/>
      <c r="N24215" s="14"/>
      <c r="O24215" s="14"/>
      <c r="P24215" s="13"/>
    </row>
    <row r="24216">
      <c r="L24216" s="13"/>
      <c r="M24216" s="14"/>
      <c r="N24216" s="14"/>
      <c r="O24216" s="14"/>
      <c r="P24216" s="13"/>
    </row>
    <row r="24217">
      <c r="L24217" s="13"/>
      <c r="M24217" s="14"/>
      <c r="N24217" s="14"/>
      <c r="O24217" s="14"/>
      <c r="P24217" s="13"/>
    </row>
    <row r="24218">
      <c r="L24218" s="13"/>
      <c r="M24218" s="14"/>
      <c r="N24218" s="14"/>
      <c r="O24218" s="14"/>
      <c r="P24218" s="13"/>
    </row>
    <row r="24219">
      <c r="L24219" s="13"/>
      <c r="M24219" s="14"/>
      <c r="N24219" s="14"/>
      <c r="O24219" s="14"/>
      <c r="P24219" s="13"/>
    </row>
    <row r="24220">
      <c r="L24220" s="13"/>
      <c r="M24220" s="14"/>
      <c r="N24220" s="14"/>
      <c r="O24220" s="14"/>
      <c r="P24220" s="13"/>
    </row>
    <row r="24221">
      <c r="L24221" s="13"/>
      <c r="M24221" s="14"/>
      <c r="N24221" s="14"/>
      <c r="O24221" s="14"/>
      <c r="P24221" s="13"/>
    </row>
    <row r="24222">
      <c r="L24222" s="13"/>
      <c r="M24222" s="14"/>
      <c r="N24222" s="14"/>
      <c r="O24222" s="14"/>
      <c r="P24222" s="13"/>
    </row>
    <row r="24223">
      <c r="L24223" s="13"/>
      <c r="M24223" s="14"/>
      <c r="N24223" s="14"/>
      <c r="O24223" s="14"/>
      <c r="P24223" s="13"/>
    </row>
    <row r="24224">
      <c r="L24224" s="13"/>
      <c r="M24224" s="14"/>
      <c r="N24224" s="14"/>
      <c r="O24224" s="14"/>
      <c r="P24224" s="13"/>
    </row>
    <row r="24225">
      <c r="L24225" s="13"/>
      <c r="M24225" s="14"/>
      <c r="N24225" s="14"/>
      <c r="O24225" s="14"/>
      <c r="P24225" s="13"/>
    </row>
    <row r="24226">
      <c r="L24226" s="13"/>
      <c r="M24226" s="14"/>
      <c r="N24226" s="14"/>
      <c r="O24226" s="14"/>
      <c r="P24226" s="13"/>
    </row>
    <row r="24227">
      <c r="L24227" s="13"/>
      <c r="M24227" s="14"/>
      <c r="N24227" s="14"/>
      <c r="O24227" s="14"/>
      <c r="P24227" s="13"/>
    </row>
    <row r="24228">
      <c r="L24228" s="13"/>
      <c r="M24228" s="14"/>
      <c r="N24228" s="14"/>
      <c r="O24228" s="14"/>
      <c r="P24228" s="13"/>
    </row>
    <row r="24229">
      <c r="L24229" s="13"/>
      <c r="M24229" s="14"/>
      <c r="N24229" s="14"/>
      <c r="O24229" s="14"/>
      <c r="P24229" s="13"/>
    </row>
    <row r="24230">
      <c r="L24230" s="13"/>
      <c r="M24230" s="14"/>
      <c r="N24230" s="14"/>
      <c r="O24230" s="14"/>
      <c r="P24230" s="13"/>
    </row>
    <row r="24231">
      <c r="L24231" s="13"/>
      <c r="M24231" s="14"/>
      <c r="N24231" s="14"/>
      <c r="O24231" s="14"/>
      <c r="P24231" s="13"/>
    </row>
    <row r="24232">
      <c r="L24232" s="13"/>
      <c r="M24232" s="14"/>
      <c r="N24232" s="14"/>
      <c r="O24232" s="14"/>
      <c r="P24232" s="13"/>
    </row>
    <row r="24233">
      <c r="L24233" s="13"/>
      <c r="M24233" s="14"/>
      <c r="N24233" s="14"/>
      <c r="O24233" s="14"/>
      <c r="P24233" s="13"/>
    </row>
    <row r="24234">
      <c r="L24234" s="13"/>
      <c r="M24234" s="14"/>
      <c r="N24234" s="14"/>
      <c r="O24234" s="14"/>
      <c r="P24234" s="13"/>
    </row>
    <row r="24235">
      <c r="L24235" s="13"/>
      <c r="M24235" s="14"/>
      <c r="N24235" s="14"/>
      <c r="O24235" s="14"/>
      <c r="P24235" s="13"/>
    </row>
    <row r="24236">
      <c r="L24236" s="13"/>
      <c r="M24236" s="14"/>
      <c r="N24236" s="14"/>
      <c r="O24236" s="14"/>
      <c r="P24236" s="13"/>
    </row>
    <row r="24237">
      <c r="L24237" s="13"/>
      <c r="M24237" s="14"/>
      <c r="N24237" s="14"/>
      <c r="O24237" s="14"/>
      <c r="P24237" s="13"/>
    </row>
    <row r="24238">
      <c r="L24238" s="13"/>
      <c r="M24238" s="14"/>
      <c r="N24238" s="14"/>
      <c r="O24238" s="14"/>
      <c r="P24238" s="13"/>
    </row>
    <row r="24239">
      <c r="L24239" s="13"/>
      <c r="M24239" s="14"/>
      <c r="N24239" s="14"/>
      <c r="O24239" s="14"/>
      <c r="P24239" s="13"/>
    </row>
    <row r="24240">
      <c r="L24240" s="13"/>
      <c r="M24240" s="14"/>
      <c r="N24240" s="14"/>
      <c r="O24240" s="14"/>
      <c r="P24240" s="13"/>
    </row>
    <row r="24241">
      <c r="L24241" s="13"/>
      <c r="M24241" s="14"/>
      <c r="N24241" s="14"/>
      <c r="O24241" s="14"/>
      <c r="P24241" s="13"/>
    </row>
    <row r="24242">
      <c r="L24242" s="13"/>
      <c r="M24242" s="14"/>
      <c r="N24242" s="14"/>
      <c r="O24242" s="14"/>
      <c r="P24242" s="13"/>
    </row>
    <row r="24243">
      <c r="L24243" s="13"/>
      <c r="M24243" s="14"/>
      <c r="N24243" s="14"/>
      <c r="O24243" s="14"/>
      <c r="P24243" s="13"/>
    </row>
    <row r="24244">
      <c r="L24244" s="13"/>
      <c r="M24244" s="14"/>
      <c r="N24244" s="14"/>
      <c r="O24244" s="14"/>
      <c r="P24244" s="13"/>
    </row>
    <row r="24245">
      <c r="L24245" s="13"/>
      <c r="M24245" s="14"/>
      <c r="N24245" s="14"/>
      <c r="O24245" s="14"/>
      <c r="P24245" s="13"/>
    </row>
    <row r="24246">
      <c r="L24246" s="13"/>
      <c r="M24246" s="14"/>
      <c r="N24246" s="14"/>
      <c r="O24246" s="14"/>
      <c r="P24246" s="13"/>
    </row>
    <row r="24247">
      <c r="L24247" s="13"/>
      <c r="M24247" s="14"/>
      <c r="N24247" s="14"/>
      <c r="O24247" s="14"/>
      <c r="P24247" s="13"/>
    </row>
    <row r="24248">
      <c r="L24248" s="13"/>
      <c r="M24248" s="14"/>
      <c r="N24248" s="14"/>
      <c r="O24248" s="14"/>
      <c r="P24248" s="13"/>
    </row>
    <row r="24249">
      <c r="L24249" s="13"/>
      <c r="M24249" s="14"/>
      <c r="N24249" s="14"/>
      <c r="O24249" s="14"/>
      <c r="P24249" s="13"/>
    </row>
    <row r="24250">
      <c r="L24250" s="13"/>
      <c r="M24250" s="14"/>
      <c r="N24250" s="14"/>
      <c r="O24250" s="14"/>
      <c r="P24250" s="13"/>
    </row>
    <row r="24251">
      <c r="L24251" s="13"/>
      <c r="M24251" s="14"/>
      <c r="N24251" s="14"/>
      <c r="O24251" s="14"/>
      <c r="P24251" s="13"/>
    </row>
    <row r="24252">
      <c r="L24252" s="13"/>
      <c r="M24252" s="14"/>
      <c r="N24252" s="14"/>
      <c r="O24252" s="14"/>
      <c r="P24252" s="13"/>
    </row>
    <row r="24253">
      <c r="L24253" s="13"/>
      <c r="M24253" s="14"/>
      <c r="N24253" s="14"/>
      <c r="O24253" s="14"/>
      <c r="P24253" s="13"/>
    </row>
    <row r="24254">
      <c r="L24254" s="13"/>
      <c r="M24254" s="14"/>
      <c r="N24254" s="14"/>
      <c r="O24254" s="14"/>
      <c r="P24254" s="13"/>
    </row>
    <row r="24255">
      <c r="L24255" s="13"/>
      <c r="M24255" s="14"/>
      <c r="N24255" s="14"/>
      <c r="O24255" s="14"/>
      <c r="P24255" s="13"/>
    </row>
    <row r="24256">
      <c r="L24256" s="13"/>
      <c r="M24256" s="14"/>
      <c r="N24256" s="14"/>
      <c r="O24256" s="14"/>
      <c r="P24256" s="13"/>
    </row>
    <row r="24257">
      <c r="L24257" s="13"/>
      <c r="M24257" s="14"/>
      <c r="N24257" s="14"/>
      <c r="O24257" s="14"/>
      <c r="P24257" s="13"/>
    </row>
    <row r="24258">
      <c r="L24258" s="13"/>
      <c r="M24258" s="14"/>
      <c r="N24258" s="14"/>
      <c r="O24258" s="14"/>
      <c r="P24258" s="13"/>
    </row>
    <row r="24259">
      <c r="L24259" s="13"/>
      <c r="M24259" s="14"/>
      <c r="N24259" s="14"/>
      <c r="O24259" s="14"/>
      <c r="P24259" s="13"/>
    </row>
    <row r="24260">
      <c r="L24260" s="13"/>
      <c r="M24260" s="14"/>
      <c r="N24260" s="14"/>
      <c r="O24260" s="14"/>
      <c r="P24260" s="13"/>
    </row>
    <row r="24261">
      <c r="L24261" s="13"/>
      <c r="M24261" s="14"/>
      <c r="N24261" s="14"/>
      <c r="O24261" s="14"/>
      <c r="P24261" s="13"/>
    </row>
    <row r="24262">
      <c r="L24262" s="13"/>
      <c r="M24262" s="14"/>
      <c r="N24262" s="14"/>
      <c r="O24262" s="14"/>
      <c r="P24262" s="13"/>
    </row>
    <row r="24263">
      <c r="L24263" s="13"/>
      <c r="M24263" s="14"/>
      <c r="N24263" s="14"/>
      <c r="O24263" s="14"/>
      <c r="P24263" s="13"/>
    </row>
    <row r="24264">
      <c r="L24264" s="13"/>
      <c r="M24264" s="14"/>
      <c r="N24264" s="14"/>
      <c r="O24264" s="14"/>
      <c r="P24264" s="13"/>
    </row>
    <row r="24265">
      <c r="L24265" s="13"/>
      <c r="M24265" s="14"/>
      <c r="N24265" s="14"/>
      <c r="O24265" s="14"/>
      <c r="P24265" s="13"/>
    </row>
    <row r="24266">
      <c r="L24266" s="13"/>
      <c r="M24266" s="14"/>
      <c r="N24266" s="14"/>
      <c r="O24266" s="14"/>
      <c r="P24266" s="13"/>
    </row>
    <row r="24267">
      <c r="L24267" s="13"/>
      <c r="M24267" s="14"/>
      <c r="N24267" s="14"/>
      <c r="O24267" s="14"/>
      <c r="P24267" s="13"/>
    </row>
    <row r="24268">
      <c r="L24268" s="13"/>
      <c r="M24268" s="14"/>
      <c r="N24268" s="14"/>
      <c r="O24268" s="14"/>
      <c r="P24268" s="13"/>
    </row>
    <row r="24269">
      <c r="L24269" s="13"/>
      <c r="M24269" s="14"/>
      <c r="N24269" s="14"/>
      <c r="O24269" s="14"/>
      <c r="P24269" s="13"/>
    </row>
    <row r="24270">
      <c r="L24270" s="13"/>
      <c r="M24270" s="14"/>
      <c r="N24270" s="14"/>
      <c r="O24270" s="14"/>
      <c r="P24270" s="13"/>
    </row>
    <row r="24271">
      <c r="L24271" s="13"/>
      <c r="M24271" s="14"/>
      <c r="N24271" s="14"/>
      <c r="O24271" s="14"/>
      <c r="P24271" s="13"/>
    </row>
    <row r="24272">
      <c r="L24272" s="13"/>
      <c r="M24272" s="14"/>
      <c r="N24272" s="14"/>
      <c r="O24272" s="14"/>
      <c r="P24272" s="13"/>
    </row>
    <row r="24273">
      <c r="L24273" s="13"/>
      <c r="M24273" s="14"/>
      <c r="N24273" s="14"/>
      <c r="O24273" s="14"/>
      <c r="P24273" s="13"/>
    </row>
    <row r="24274">
      <c r="L24274" s="13"/>
      <c r="M24274" s="14"/>
      <c r="N24274" s="14"/>
      <c r="O24274" s="14"/>
      <c r="P24274" s="13"/>
    </row>
    <row r="24275">
      <c r="L24275" s="13"/>
      <c r="M24275" s="14"/>
      <c r="N24275" s="14"/>
      <c r="O24275" s="14"/>
      <c r="P24275" s="13"/>
    </row>
    <row r="24276">
      <c r="L24276" s="13"/>
      <c r="M24276" s="14"/>
      <c r="N24276" s="14"/>
      <c r="O24276" s="14"/>
      <c r="P24276" s="13"/>
    </row>
    <row r="24277">
      <c r="L24277" s="13"/>
      <c r="M24277" s="14"/>
      <c r="N24277" s="14"/>
      <c r="O24277" s="14"/>
      <c r="P24277" s="13"/>
    </row>
    <row r="24278">
      <c r="L24278" s="13"/>
      <c r="M24278" s="14"/>
      <c r="N24278" s="14"/>
      <c r="O24278" s="14"/>
      <c r="P24278" s="13"/>
    </row>
    <row r="24279">
      <c r="L24279" s="13"/>
      <c r="M24279" s="14"/>
      <c r="N24279" s="14"/>
      <c r="O24279" s="14"/>
      <c r="P24279" s="13"/>
    </row>
    <row r="24280">
      <c r="L24280" s="13"/>
      <c r="M24280" s="14"/>
      <c r="N24280" s="14"/>
      <c r="O24280" s="14"/>
      <c r="P24280" s="13"/>
    </row>
    <row r="24281">
      <c r="L24281" s="13"/>
      <c r="M24281" s="14"/>
      <c r="N24281" s="14"/>
      <c r="O24281" s="14"/>
      <c r="P24281" s="13"/>
    </row>
    <row r="24282">
      <c r="L24282" s="13"/>
      <c r="M24282" s="14"/>
      <c r="N24282" s="14"/>
      <c r="O24282" s="14"/>
      <c r="P24282" s="13"/>
    </row>
    <row r="24283">
      <c r="L24283" s="13"/>
      <c r="M24283" s="14"/>
      <c r="N24283" s="14"/>
      <c r="O24283" s="14"/>
      <c r="P24283" s="13"/>
    </row>
    <row r="24284">
      <c r="L24284" s="13"/>
      <c r="M24284" s="14"/>
      <c r="N24284" s="14"/>
      <c r="O24284" s="14"/>
      <c r="P24284" s="13"/>
    </row>
    <row r="24285">
      <c r="L24285" s="13"/>
      <c r="M24285" s="14"/>
      <c r="N24285" s="14"/>
      <c r="O24285" s="14"/>
      <c r="P24285" s="13"/>
    </row>
    <row r="24286">
      <c r="L24286" s="13"/>
      <c r="M24286" s="14"/>
      <c r="N24286" s="14"/>
      <c r="O24286" s="14"/>
      <c r="P24286" s="13"/>
    </row>
    <row r="24287">
      <c r="L24287" s="13"/>
      <c r="M24287" s="14"/>
      <c r="N24287" s="14"/>
      <c r="O24287" s="14"/>
      <c r="P24287" s="13"/>
    </row>
    <row r="24288">
      <c r="L24288" s="13"/>
      <c r="M24288" s="14"/>
      <c r="N24288" s="14"/>
      <c r="O24288" s="14"/>
      <c r="P24288" s="13"/>
    </row>
    <row r="24289">
      <c r="L24289" s="13"/>
      <c r="M24289" s="14"/>
      <c r="N24289" s="14"/>
      <c r="O24289" s="14"/>
      <c r="P24289" s="13"/>
    </row>
    <row r="24290">
      <c r="L24290" s="13"/>
      <c r="M24290" s="14"/>
      <c r="N24290" s="14"/>
      <c r="O24290" s="14"/>
      <c r="P24290" s="13"/>
    </row>
    <row r="24291">
      <c r="L24291" s="13"/>
      <c r="M24291" s="14"/>
      <c r="N24291" s="14"/>
      <c r="O24291" s="14"/>
      <c r="P24291" s="13"/>
    </row>
    <row r="24292">
      <c r="L24292" s="13"/>
      <c r="M24292" s="14"/>
      <c r="N24292" s="14"/>
      <c r="O24292" s="14"/>
      <c r="P24292" s="13"/>
    </row>
    <row r="24293">
      <c r="L24293" s="13"/>
      <c r="M24293" s="14"/>
      <c r="N24293" s="14"/>
      <c r="O24293" s="14"/>
      <c r="P24293" s="13"/>
    </row>
    <row r="24294">
      <c r="L24294" s="13"/>
      <c r="M24294" s="14"/>
      <c r="N24294" s="14"/>
      <c r="O24294" s="14"/>
      <c r="P24294" s="13"/>
    </row>
    <row r="24295">
      <c r="L24295" s="13"/>
      <c r="M24295" s="14"/>
      <c r="N24295" s="14"/>
      <c r="O24295" s="14"/>
      <c r="P24295" s="13"/>
    </row>
    <row r="24296">
      <c r="L24296" s="13"/>
      <c r="M24296" s="14"/>
      <c r="N24296" s="14"/>
      <c r="O24296" s="14"/>
      <c r="P24296" s="13"/>
    </row>
    <row r="24297">
      <c r="L24297" s="13"/>
      <c r="M24297" s="14"/>
      <c r="N24297" s="14"/>
      <c r="O24297" s="14"/>
      <c r="P24297" s="13"/>
    </row>
    <row r="24298">
      <c r="L24298" s="13"/>
      <c r="M24298" s="14"/>
      <c r="N24298" s="14"/>
      <c r="O24298" s="14"/>
      <c r="P24298" s="13"/>
    </row>
    <row r="24299">
      <c r="L24299" s="13"/>
      <c r="M24299" s="14"/>
      <c r="N24299" s="14"/>
      <c r="O24299" s="14"/>
      <c r="P24299" s="13"/>
    </row>
    <row r="24300">
      <c r="L24300" s="13"/>
      <c r="M24300" s="14"/>
      <c r="N24300" s="14"/>
      <c r="O24300" s="14"/>
      <c r="P24300" s="13"/>
    </row>
    <row r="24301">
      <c r="L24301" s="13"/>
      <c r="M24301" s="14"/>
      <c r="N24301" s="14"/>
      <c r="O24301" s="14"/>
      <c r="P24301" s="13"/>
    </row>
    <row r="24302">
      <c r="L24302" s="13"/>
      <c r="M24302" s="14"/>
      <c r="N24302" s="14"/>
      <c r="O24302" s="14"/>
      <c r="P24302" s="13"/>
    </row>
    <row r="24303">
      <c r="L24303" s="13"/>
      <c r="M24303" s="14"/>
      <c r="N24303" s="14"/>
      <c r="O24303" s="14"/>
      <c r="P24303" s="13"/>
    </row>
    <row r="24304">
      <c r="L24304" s="13"/>
      <c r="M24304" s="14"/>
      <c r="N24304" s="14"/>
      <c r="O24304" s="14"/>
      <c r="P24304" s="13"/>
    </row>
    <row r="24305">
      <c r="L24305" s="13"/>
      <c r="M24305" s="14"/>
      <c r="N24305" s="14"/>
      <c r="O24305" s="14"/>
      <c r="P24305" s="13"/>
    </row>
    <row r="24306">
      <c r="L24306" s="13"/>
      <c r="M24306" s="14"/>
      <c r="N24306" s="14"/>
      <c r="O24306" s="14"/>
      <c r="P24306" s="13"/>
    </row>
    <row r="24307">
      <c r="L24307" s="13"/>
      <c r="M24307" s="14"/>
      <c r="N24307" s="14"/>
      <c r="O24307" s="14"/>
      <c r="P24307" s="13"/>
    </row>
    <row r="24308">
      <c r="L24308" s="13"/>
      <c r="M24308" s="14"/>
      <c r="N24308" s="14"/>
      <c r="O24308" s="14"/>
      <c r="P24308" s="13"/>
    </row>
    <row r="24309">
      <c r="L24309" s="13"/>
      <c r="M24309" s="14"/>
      <c r="N24309" s="14"/>
      <c r="O24309" s="14"/>
      <c r="P24309" s="13"/>
    </row>
    <row r="24310">
      <c r="L24310" s="13"/>
      <c r="M24310" s="14"/>
      <c r="N24310" s="14"/>
      <c r="O24310" s="14"/>
      <c r="P24310" s="13"/>
    </row>
    <row r="24311">
      <c r="L24311" s="13"/>
      <c r="M24311" s="14"/>
      <c r="N24311" s="14"/>
      <c r="O24311" s="14"/>
      <c r="P24311" s="13"/>
    </row>
    <row r="24312">
      <c r="L24312" s="13"/>
      <c r="M24312" s="14"/>
      <c r="N24312" s="14"/>
      <c r="O24312" s="14"/>
      <c r="P24312" s="13"/>
    </row>
    <row r="24313">
      <c r="L24313" s="13"/>
      <c r="M24313" s="14"/>
      <c r="N24313" s="14"/>
      <c r="O24313" s="14"/>
      <c r="P24313" s="13"/>
    </row>
    <row r="24314">
      <c r="L24314" s="13"/>
      <c r="M24314" s="14"/>
      <c r="N24314" s="14"/>
      <c r="O24314" s="14"/>
      <c r="P24314" s="13"/>
    </row>
    <row r="24315">
      <c r="L24315" s="13"/>
      <c r="M24315" s="14"/>
      <c r="N24315" s="14"/>
      <c r="O24315" s="14"/>
      <c r="P24315" s="13"/>
    </row>
    <row r="24316">
      <c r="L24316" s="13"/>
      <c r="M24316" s="14"/>
      <c r="N24316" s="14"/>
      <c r="O24316" s="14"/>
      <c r="P24316" s="13"/>
    </row>
    <row r="24317">
      <c r="L24317" s="13"/>
      <c r="M24317" s="14"/>
      <c r="N24317" s="14"/>
      <c r="O24317" s="14"/>
      <c r="P24317" s="13"/>
    </row>
    <row r="24318">
      <c r="L24318" s="13"/>
      <c r="M24318" s="14"/>
      <c r="N24318" s="14"/>
      <c r="O24318" s="14"/>
      <c r="P24318" s="13"/>
    </row>
    <row r="24319">
      <c r="L24319" s="13"/>
      <c r="M24319" s="14"/>
      <c r="N24319" s="14"/>
      <c r="O24319" s="14"/>
      <c r="P24319" s="13"/>
    </row>
    <row r="24320">
      <c r="L24320" s="13"/>
      <c r="M24320" s="14"/>
      <c r="N24320" s="14"/>
      <c r="O24320" s="14"/>
      <c r="P24320" s="13"/>
    </row>
    <row r="24321">
      <c r="L24321" s="13"/>
      <c r="M24321" s="14"/>
      <c r="N24321" s="14"/>
      <c r="O24321" s="14"/>
      <c r="P24321" s="13"/>
    </row>
    <row r="24322">
      <c r="L24322" s="13"/>
      <c r="M24322" s="14"/>
      <c r="N24322" s="14"/>
      <c r="O24322" s="14"/>
      <c r="P24322" s="13"/>
    </row>
    <row r="24323">
      <c r="L24323" s="13"/>
      <c r="M24323" s="14"/>
      <c r="N24323" s="14"/>
      <c r="O24323" s="14"/>
      <c r="P24323" s="13"/>
    </row>
    <row r="24324">
      <c r="L24324" s="13"/>
      <c r="M24324" s="14"/>
      <c r="N24324" s="14"/>
      <c r="O24324" s="14"/>
      <c r="P24324" s="13"/>
    </row>
    <row r="24325">
      <c r="L24325" s="13"/>
      <c r="M24325" s="14"/>
      <c r="N24325" s="14"/>
      <c r="O24325" s="14"/>
      <c r="P24325" s="13"/>
    </row>
    <row r="24326">
      <c r="L24326" s="13"/>
      <c r="M24326" s="14"/>
      <c r="N24326" s="14"/>
      <c r="O24326" s="14"/>
      <c r="P24326" s="13"/>
    </row>
    <row r="24327">
      <c r="L24327" s="13"/>
      <c r="M24327" s="14"/>
      <c r="N24327" s="14"/>
      <c r="O24327" s="14"/>
      <c r="P24327" s="13"/>
    </row>
    <row r="24328">
      <c r="L24328" s="13"/>
      <c r="M24328" s="14"/>
      <c r="N24328" s="14"/>
      <c r="O24328" s="14"/>
      <c r="P24328" s="13"/>
    </row>
    <row r="24329">
      <c r="L24329" s="13"/>
      <c r="M24329" s="14"/>
      <c r="N24329" s="14"/>
      <c r="O24329" s="14"/>
      <c r="P24329" s="13"/>
    </row>
    <row r="24330">
      <c r="L24330" s="13"/>
      <c r="M24330" s="14"/>
      <c r="N24330" s="14"/>
      <c r="O24330" s="14"/>
      <c r="P24330" s="13"/>
    </row>
    <row r="24331">
      <c r="L24331" s="13"/>
      <c r="M24331" s="14"/>
      <c r="N24331" s="14"/>
      <c r="O24331" s="14"/>
      <c r="P24331" s="13"/>
    </row>
    <row r="24332">
      <c r="L24332" s="13"/>
      <c r="M24332" s="14"/>
      <c r="N24332" s="14"/>
      <c r="O24332" s="14"/>
      <c r="P24332" s="13"/>
    </row>
    <row r="24333">
      <c r="L24333" s="13"/>
      <c r="M24333" s="14"/>
      <c r="N24333" s="14"/>
      <c r="O24333" s="14"/>
      <c r="P24333" s="13"/>
    </row>
    <row r="24334">
      <c r="L24334" s="13"/>
      <c r="M24334" s="14"/>
      <c r="N24334" s="14"/>
      <c r="O24334" s="14"/>
      <c r="P24334" s="13"/>
    </row>
    <row r="24335">
      <c r="L24335" s="13"/>
      <c r="M24335" s="14"/>
      <c r="N24335" s="14"/>
      <c r="O24335" s="14"/>
      <c r="P24335" s="13"/>
    </row>
    <row r="24336">
      <c r="L24336" s="13"/>
      <c r="M24336" s="14"/>
      <c r="N24336" s="14"/>
      <c r="O24336" s="14"/>
      <c r="P24336" s="13"/>
    </row>
    <row r="24337">
      <c r="L24337" s="13"/>
      <c r="M24337" s="14"/>
      <c r="N24337" s="14"/>
      <c r="O24337" s="14"/>
      <c r="P24337" s="13"/>
    </row>
    <row r="24338">
      <c r="L24338" s="13"/>
      <c r="M24338" s="14"/>
      <c r="N24338" s="14"/>
      <c r="O24338" s="14"/>
      <c r="P24338" s="13"/>
    </row>
    <row r="24339">
      <c r="L24339" s="13"/>
      <c r="M24339" s="14"/>
      <c r="N24339" s="14"/>
      <c r="O24339" s="14"/>
      <c r="P24339" s="13"/>
    </row>
    <row r="24340">
      <c r="L24340" s="13"/>
      <c r="M24340" s="14"/>
      <c r="N24340" s="14"/>
      <c r="O24340" s="14"/>
      <c r="P24340" s="13"/>
    </row>
    <row r="24341">
      <c r="L24341" s="13"/>
      <c r="M24341" s="14"/>
      <c r="N24341" s="14"/>
      <c r="O24341" s="14"/>
      <c r="P24341" s="13"/>
    </row>
    <row r="24342">
      <c r="L24342" s="13"/>
      <c r="M24342" s="14"/>
      <c r="N24342" s="14"/>
      <c r="O24342" s="14"/>
      <c r="P24342" s="13"/>
    </row>
    <row r="24343">
      <c r="L24343" s="13"/>
      <c r="M24343" s="14"/>
      <c r="N24343" s="14"/>
      <c r="O24343" s="14"/>
      <c r="P24343" s="13"/>
    </row>
    <row r="24344">
      <c r="L24344" s="13"/>
      <c r="M24344" s="14"/>
      <c r="N24344" s="14"/>
      <c r="O24344" s="14"/>
      <c r="P24344" s="13"/>
    </row>
    <row r="24345">
      <c r="L24345" s="13"/>
      <c r="M24345" s="14"/>
      <c r="N24345" s="14"/>
      <c r="O24345" s="14"/>
      <c r="P24345" s="13"/>
    </row>
    <row r="24346">
      <c r="L24346" s="13"/>
      <c r="M24346" s="14"/>
      <c r="N24346" s="14"/>
      <c r="O24346" s="14"/>
      <c r="P24346" s="13"/>
    </row>
    <row r="24347">
      <c r="L24347" s="13"/>
      <c r="M24347" s="14"/>
      <c r="N24347" s="14"/>
      <c r="O24347" s="14"/>
      <c r="P24347" s="13"/>
    </row>
    <row r="24348">
      <c r="L24348" s="13"/>
      <c r="M24348" s="14"/>
      <c r="N24348" s="14"/>
      <c r="O24348" s="14"/>
      <c r="P24348" s="13"/>
    </row>
    <row r="24349">
      <c r="L24349" s="13"/>
      <c r="M24349" s="14"/>
      <c r="N24349" s="14"/>
      <c r="O24349" s="14"/>
      <c r="P24349" s="13"/>
    </row>
    <row r="24350">
      <c r="L24350" s="13"/>
      <c r="M24350" s="14"/>
      <c r="N24350" s="14"/>
      <c r="O24350" s="14"/>
      <c r="P24350" s="13"/>
    </row>
    <row r="24351">
      <c r="L24351" s="13"/>
      <c r="M24351" s="14"/>
      <c r="N24351" s="14"/>
      <c r="O24351" s="14"/>
      <c r="P24351" s="13"/>
    </row>
    <row r="24352">
      <c r="L24352" s="13"/>
      <c r="M24352" s="14"/>
      <c r="N24352" s="14"/>
      <c r="O24352" s="14"/>
      <c r="P24352" s="13"/>
    </row>
    <row r="24353">
      <c r="L24353" s="13"/>
      <c r="M24353" s="14"/>
      <c r="N24353" s="14"/>
      <c r="O24353" s="14"/>
      <c r="P24353" s="13"/>
    </row>
    <row r="24354">
      <c r="L24354" s="13"/>
      <c r="M24354" s="14"/>
      <c r="N24354" s="14"/>
      <c r="O24354" s="14"/>
      <c r="P24354" s="13"/>
    </row>
    <row r="24355">
      <c r="L24355" s="13"/>
      <c r="M24355" s="14"/>
      <c r="N24355" s="14"/>
      <c r="O24355" s="14"/>
      <c r="P24355" s="13"/>
    </row>
    <row r="24356">
      <c r="L24356" s="13"/>
      <c r="M24356" s="14"/>
      <c r="N24356" s="14"/>
      <c r="O24356" s="14"/>
      <c r="P24356" s="13"/>
    </row>
    <row r="24357">
      <c r="L24357" s="13"/>
      <c r="M24357" s="14"/>
      <c r="N24357" s="14"/>
      <c r="O24357" s="14"/>
      <c r="P24357" s="13"/>
    </row>
    <row r="24358">
      <c r="L24358" s="13"/>
      <c r="M24358" s="14"/>
      <c r="N24358" s="14"/>
      <c r="O24358" s="14"/>
      <c r="P24358" s="13"/>
    </row>
    <row r="24359">
      <c r="L24359" s="13"/>
      <c r="M24359" s="14"/>
      <c r="N24359" s="14"/>
      <c r="O24359" s="14"/>
      <c r="P24359" s="13"/>
    </row>
    <row r="24360">
      <c r="L24360" s="13"/>
      <c r="M24360" s="14"/>
      <c r="N24360" s="14"/>
      <c r="O24360" s="14"/>
      <c r="P24360" s="13"/>
    </row>
    <row r="24361">
      <c r="L24361" s="13"/>
      <c r="M24361" s="14"/>
      <c r="N24361" s="14"/>
      <c r="O24361" s="14"/>
      <c r="P24361" s="13"/>
    </row>
    <row r="24362">
      <c r="L24362" s="13"/>
      <c r="M24362" s="14"/>
      <c r="N24362" s="14"/>
      <c r="O24362" s="14"/>
      <c r="P24362" s="13"/>
    </row>
    <row r="24363">
      <c r="L24363" s="13"/>
      <c r="M24363" s="14"/>
      <c r="N24363" s="14"/>
      <c r="O24363" s="14"/>
      <c r="P24363" s="13"/>
    </row>
    <row r="24364">
      <c r="L24364" s="13"/>
      <c r="M24364" s="14"/>
      <c r="N24364" s="14"/>
      <c r="O24364" s="14"/>
      <c r="P24364" s="13"/>
    </row>
    <row r="24365">
      <c r="L24365" s="13"/>
      <c r="M24365" s="14"/>
      <c r="N24365" s="14"/>
      <c r="O24365" s="14"/>
      <c r="P24365" s="13"/>
    </row>
    <row r="24366">
      <c r="L24366" s="13"/>
      <c r="M24366" s="14"/>
      <c r="N24366" s="14"/>
      <c r="O24366" s="14"/>
      <c r="P24366" s="13"/>
    </row>
    <row r="24367">
      <c r="L24367" s="13"/>
      <c r="M24367" s="14"/>
      <c r="N24367" s="14"/>
      <c r="O24367" s="14"/>
      <c r="P24367" s="13"/>
    </row>
    <row r="24368">
      <c r="L24368" s="13"/>
      <c r="M24368" s="14"/>
      <c r="N24368" s="14"/>
      <c r="O24368" s="14"/>
      <c r="P24368" s="13"/>
    </row>
    <row r="24369">
      <c r="L24369" s="13"/>
      <c r="M24369" s="14"/>
      <c r="N24369" s="14"/>
      <c r="O24369" s="14"/>
      <c r="P24369" s="13"/>
    </row>
    <row r="24370">
      <c r="L24370" s="13"/>
      <c r="M24370" s="14"/>
      <c r="N24370" s="14"/>
      <c r="O24370" s="14"/>
      <c r="P24370" s="13"/>
    </row>
    <row r="24371">
      <c r="L24371" s="13"/>
      <c r="M24371" s="14"/>
      <c r="N24371" s="14"/>
      <c r="O24371" s="14"/>
      <c r="P24371" s="13"/>
    </row>
    <row r="24372">
      <c r="L24372" s="13"/>
      <c r="M24372" s="14"/>
      <c r="N24372" s="14"/>
      <c r="O24372" s="14"/>
      <c r="P24372" s="13"/>
    </row>
    <row r="24373">
      <c r="L24373" s="13"/>
      <c r="M24373" s="14"/>
      <c r="N24373" s="14"/>
      <c r="O24373" s="14"/>
      <c r="P24373" s="13"/>
    </row>
    <row r="24374">
      <c r="L24374" s="13"/>
      <c r="M24374" s="14"/>
      <c r="N24374" s="14"/>
      <c r="O24374" s="14"/>
      <c r="P24374" s="13"/>
    </row>
    <row r="24375">
      <c r="L24375" s="13"/>
      <c r="M24375" s="14"/>
      <c r="N24375" s="14"/>
      <c r="O24375" s="14"/>
      <c r="P24375" s="13"/>
    </row>
    <row r="24376">
      <c r="L24376" s="13"/>
      <c r="M24376" s="14"/>
      <c r="N24376" s="14"/>
      <c r="O24376" s="14"/>
      <c r="P24376" s="13"/>
    </row>
    <row r="24377">
      <c r="L24377" s="13"/>
      <c r="M24377" s="14"/>
      <c r="N24377" s="14"/>
      <c r="O24377" s="14"/>
      <c r="P24377" s="13"/>
    </row>
    <row r="24378">
      <c r="L24378" s="13"/>
      <c r="M24378" s="14"/>
      <c r="N24378" s="14"/>
      <c r="O24378" s="14"/>
      <c r="P24378" s="13"/>
    </row>
    <row r="24379">
      <c r="L24379" s="13"/>
      <c r="M24379" s="14"/>
      <c r="N24379" s="14"/>
      <c r="O24379" s="14"/>
      <c r="P24379" s="13"/>
    </row>
    <row r="24380">
      <c r="L24380" s="13"/>
      <c r="M24380" s="14"/>
      <c r="N24380" s="14"/>
      <c r="O24380" s="14"/>
      <c r="P24380" s="13"/>
    </row>
    <row r="24381">
      <c r="L24381" s="13"/>
      <c r="M24381" s="14"/>
      <c r="N24381" s="14"/>
      <c r="O24381" s="14"/>
      <c r="P24381" s="13"/>
    </row>
    <row r="24382">
      <c r="L24382" s="13"/>
      <c r="M24382" s="14"/>
      <c r="N24382" s="14"/>
      <c r="O24382" s="14"/>
      <c r="P24382" s="13"/>
    </row>
    <row r="24383">
      <c r="L24383" s="13"/>
      <c r="M24383" s="14"/>
      <c r="N24383" s="14"/>
      <c r="O24383" s="14"/>
      <c r="P24383" s="13"/>
    </row>
    <row r="24384">
      <c r="L24384" s="13"/>
      <c r="M24384" s="14"/>
      <c r="N24384" s="14"/>
      <c r="O24384" s="14"/>
      <c r="P24384" s="13"/>
    </row>
    <row r="24385">
      <c r="L24385" s="13"/>
      <c r="M24385" s="14"/>
      <c r="N24385" s="14"/>
      <c r="O24385" s="14"/>
      <c r="P24385" s="13"/>
    </row>
    <row r="24386">
      <c r="L24386" s="13"/>
      <c r="M24386" s="14"/>
      <c r="N24386" s="14"/>
      <c r="O24386" s="14"/>
      <c r="P24386" s="13"/>
    </row>
    <row r="24387">
      <c r="L24387" s="13"/>
      <c r="M24387" s="14"/>
      <c r="N24387" s="14"/>
      <c r="O24387" s="14"/>
      <c r="P24387" s="13"/>
    </row>
    <row r="24388">
      <c r="L24388" s="13"/>
      <c r="M24388" s="14"/>
      <c r="N24388" s="14"/>
      <c r="O24388" s="14"/>
      <c r="P24388" s="13"/>
    </row>
    <row r="24389">
      <c r="L24389" s="13"/>
      <c r="M24389" s="14"/>
      <c r="N24389" s="14"/>
      <c r="O24389" s="14"/>
      <c r="P24389" s="13"/>
    </row>
    <row r="24390">
      <c r="L24390" s="13"/>
      <c r="M24390" s="14"/>
      <c r="N24390" s="14"/>
      <c r="O24390" s="14"/>
      <c r="P24390" s="13"/>
    </row>
    <row r="24391">
      <c r="L24391" s="13"/>
      <c r="M24391" s="14"/>
      <c r="N24391" s="14"/>
      <c r="O24391" s="14"/>
      <c r="P24391" s="13"/>
    </row>
    <row r="24392">
      <c r="L24392" s="13"/>
      <c r="M24392" s="14"/>
      <c r="N24392" s="14"/>
      <c r="O24392" s="14"/>
      <c r="P24392" s="13"/>
    </row>
    <row r="24393">
      <c r="L24393" s="13"/>
      <c r="M24393" s="14"/>
      <c r="N24393" s="14"/>
      <c r="O24393" s="14"/>
      <c r="P24393" s="13"/>
    </row>
    <row r="24394">
      <c r="L24394" s="13"/>
      <c r="M24394" s="14"/>
      <c r="N24394" s="14"/>
      <c r="O24394" s="14"/>
      <c r="P24394" s="13"/>
    </row>
    <row r="24395">
      <c r="L24395" s="13"/>
      <c r="M24395" s="14"/>
      <c r="N24395" s="14"/>
      <c r="O24395" s="14"/>
      <c r="P24395" s="13"/>
    </row>
    <row r="24396">
      <c r="L24396" s="13"/>
      <c r="M24396" s="14"/>
      <c r="N24396" s="14"/>
      <c r="O24396" s="14"/>
      <c r="P24396" s="13"/>
    </row>
    <row r="24397">
      <c r="L24397" s="13"/>
      <c r="M24397" s="14"/>
      <c r="N24397" s="14"/>
      <c r="O24397" s="14"/>
      <c r="P24397" s="13"/>
    </row>
    <row r="24398">
      <c r="L24398" s="13"/>
      <c r="M24398" s="14"/>
      <c r="N24398" s="14"/>
      <c r="O24398" s="14"/>
      <c r="P24398" s="13"/>
    </row>
    <row r="24399">
      <c r="L24399" s="13"/>
      <c r="M24399" s="14"/>
      <c r="N24399" s="14"/>
      <c r="O24399" s="14"/>
      <c r="P24399" s="13"/>
    </row>
    <row r="24400">
      <c r="L24400" s="13"/>
      <c r="M24400" s="14"/>
      <c r="N24400" s="14"/>
      <c r="O24400" s="14"/>
      <c r="P24400" s="13"/>
    </row>
    <row r="24401">
      <c r="L24401" s="13"/>
      <c r="M24401" s="14"/>
      <c r="N24401" s="14"/>
      <c r="O24401" s="14"/>
      <c r="P24401" s="13"/>
    </row>
    <row r="24402">
      <c r="L24402" s="13"/>
      <c r="M24402" s="14"/>
      <c r="N24402" s="14"/>
      <c r="O24402" s="14"/>
      <c r="P24402" s="13"/>
    </row>
    <row r="24403">
      <c r="L24403" s="13"/>
      <c r="M24403" s="14"/>
      <c r="N24403" s="14"/>
      <c r="O24403" s="14"/>
      <c r="P24403" s="13"/>
    </row>
    <row r="24404">
      <c r="L24404" s="13"/>
      <c r="M24404" s="14"/>
      <c r="N24404" s="14"/>
      <c r="O24404" s="14"/>
      <c r="P24404" s="13"/>
    </row>
    <row r="24405">
      <c r="L24405" s="13"/>
      <c r="M24405" s="14"/>
      <c r="N24405" s="14"/>
      <c r="O24405" s="14"/>
      <c r="P24405" s="13"/>
    </row>
    <row r="24406">
      <c r="L24406" s="13"/>
      <c r="M24406" s="14"/>
      <c r="N24406" s="14"/>
      <c r="O24406" s="14"/>
      <c r="P24406" s="13"/>
    </row>
    <row r="24407">
      <c r="L24407" s="13"/>
      <c r="M24407" s="14"/>
      <c r="N24407" s="14"/>
      <c r="O24407" s="14"/>
      <c r="P24407" s="13"/>
    </row>
    <row r="24408">
      <c r="L24408" s="13"/>
      <c r="M24408" s="14"/>
      <c r="N24408" s="14"/>
      <c r="O24408" s="14"/>
      <c r="P24408" s="13"/>
    </row>
    <row r="24409">
      <c r="L24409" s="13"/>
      <c r="M24409" s="14"/>
      <c r="N24409" s="14"/>
      <c r="O24409" s="14"/>
      <c r="P24409" s="13"/>
    </row>
    <row r="24410">
      <c r="L24410" s="13"/>
      <c r="M24410" s="14"/>
      <c r="N24410" s="14"/>
      <c r="O24410" s="14"/>
      <c r="P24410" s="13"/>
    </row>
    <row r="24411">
      <c r="L24411" s="13"/>
      <c r="M24411" s="14"/>
      <c r="N24411" s="14"/>
      <c r="O24411" s="14"/>
      <c r="P24411" s="13"/>
    </row>
    <row r="24412">
      <c r="L24412" s="13"/>
      <c r="M24412" s="14"/>
      <c r="N24412" s="14"/>
      <c r="O24412" s="14"/>
      <c r="P24412" s="13"/>
    </row>
    <row r="24413">
      <c r="L24413" s="13"/>
      <c r="M24413" s="14"/>
      <c r="N24413" s="14"/>
      <c r="O24413" s="14"/>
      <c r="P24413" s="13"/>
    </row>
    <row r="24414">
      <c r="L24414" s="13"/>
      <c r="M24414" s="14"/>
      <c r="N24414" s="14"/>
      <c r="O24414" s="14"/>
      <c r="P24414" s="13"/>
    </row>
    <row r="24415">
      <c r="L24415" s="13"/>
      <c r="M24415" s="14"/>
      <c r="N24415" s="14"/>
      <c r="O24415" s="14"/>
      <c r="P24415" s="13"/>
    </row>
    <row r="24416">
      <c r="L24416" s="13"/>
      <c r="M24416" s="14"/>
      <c r="N24416" s="14"/>
      <c r="O24416" s="14"/>
      <c r="P24416" s="13"/>
    </row>
    <row r="24417">
      <c r="L24417" s="13"/>
      <c r="M24417" s="14"/>
      <c r="N24417" s="14"/>
      <c r="O24417" s="14"/>
      <c r="P24417" s="13"/>
    </row>
    <row r="24418">
      <c r="L24418" s="13"/>
      <c r="M24418" s="14"/>
      <c r="N24418" s="14"/>
      <c r="O24418" s="14"/>
      <c r="P24418" s="13"/>
    </row>
    <row r="24419">
      <c r="L24419" s="13"/>
      <c r="M24419" s="14"/>
      <c r="N24419" s="14"/>
      <c r="O24419" s="14"/>
      <c r="P24419" s="13"/>
    </row>
    <row r="24420">
      <c r="L24420" s="13"/>
      <c r="M24420" s="14"/>
      <c r="N24420" s="14"/>
      <c r="O24420" s="14"/>
      <c r="P24420" s="13"/>
    </row>
    <row r="24421">
      <c r="L24421" s="13"/>
      <c r="M24421" s="14"/>
      <c r="N24421" s="14"/>
      <c r="O24421" s="14"/>
      <c r="P24421" s="13"/>
    </row>
    <row r="24422">
      <c r="L24422" s="13"/>
      <c r="M24422" s="14"/>
      <c r="N24422" s="14"/>
      <c r="O24422" s="14"/>
      <c r="P24422" s="13"/>
    </row>
    <row r="24423">
      <c r="L24423" s="13"/>
      <c r="M24423" s="14"/>
      <c r="N24423" s="14"/>
      <c r="O24423" s="14"/>
      <c r="P24423" s="13"/>
    </row>
    <row r="24424">
      <c r="L24424" s="13"/>
      <c r="M24424" s="14"/>
      <c r="N24424" s="14"/>
      <c r="O24424" s="14"/>
      <c r="P24424" s="13"/>
    </row>
    <row r="24425">
      <c r="L24425" s="13"/>
      <c r="M24425" s="14"/>
      <c r="N24425" s="14"/>
      <c r="O24425" s="14"/>
      <c r="P24425" s="13"/>
    </row>
    <row r="24426">
      <c r="L24426" s="13"/>
      <c r="M24426" s="14"/>
      <c r="N24426" s="14"/>
      <c r="O24426" s="14"/>
      <c r="P24426" s="13"/>
    </row>
    <row r="24427">
      <c r="L24427" s="13"/>
      <c r="M24427" s="14"/>
      <c r="N24427" s="14"/>
      <c r="O24427" s="14"/>
      <c r="P24427" s="13"/>
    </row>
    <row r="24428">
      <c r="L24428" s="13"/>
      <c r="M24428" s="14"/>
      <c r="N24428" s="14"/>
      <c r="O24428" s="14"/>
      <c r="P24428" s="13"/>
    </row>
    <row r="24429">
      <c r="L24429" s="13"/>
      <c r="M24429" s="14"/>
      <c r="N24429" s="14"/>
      <c r="O24429" s="14"/>
      <c r="P24429" s="13"/>
    </row>
    <row r="24430">
      <c r="L24430" s="13"/>
      <c r="M24430" s="14"/>
      <c r="N24430" s="14"/>
      <c r="O24430" s="14"/>
      <c r="P24430" s="13"/>
    </row>
    <row r="24431">
      <c r="L24431" s="13"/>
      <c r="M24431" s="14"/>
      <c r="N24431" s="14"/>
      <c r="O24431" s="14"/>
      <c r="P24431" s="13"/>
    </row>
    <row r="24432">
      <c r="L24432" s="13"/>
      <c r="M24432" s="14"/>
      <c r="N24432" s="14"/>
      <c r="O24432" s="14"/>
      <c r="P24432" s="13"/>
    </row>
    <row r="24433">
      <c r="L24433" s="13"/>
      <c r="M24433" s="14"/>
      <c r="N24433" s="14"/>
      <c r="O24433" s="14"/>
      <c r="P24433" s="13"/>
    </row>
    <row r="24434">
      <c r="L24434" s="13"/>
      <c r="M24434" s="14"/>
      <c r="N24434" s="14"/>
      <c r="O24434" s="14"/>
      <c r="P24434" s="13"/>
    </row>
    <row r="24435">
      <c r="L24435" s="13"/>
      <c r="M24435" s="14"/>
      <c r="N24435" s="14"/>
      <c r="O24435" s="14"/>
      <c r="P24435" s="13"/>
    </row>
    <row r="24436">
      <c r="L24436" s="13"/>
      <c r="M24436" s="14"/>
      <c r="N24436" s="14"/>
      <c r="O24436" s="14"/>
      <c r="P24436" s="13"/>
    </row>
    <row r="24437">
      <c r="L24437" s="13"/>
      <c r="M24437" s="14"/>
      <c r="N24437" s="14"/>
      <c r="O24437" s="14"/>
      <c r="P24437" s="13"/>
    </row>
    <row r="24438">
      <c r="L24438" s="13"/>
      <c r="M24438" s="14"/>
      <c r="N24438" s="14"/>
      <c r="O24438" s="14"/>
      <c r="P24438" s="13"/>
    </row>
    <row r="24439">
      <c r="L24439" s="13"/>
      <c r="M24439" s="14"/>
      <c r="N24439" s="14"/>
      <c r="O24439" s="14"/>
      <c r="P24439" s="13"/>
    </row>
    <row r="24440">
      <c r="L24440" s="13"/>
      <c r="M24440" s="14"/>
      <c r="N24440" s="14"/>
      <c r="O24440" s="14"/>
      <c r="P24440" s="13"/>
    </row>
    <row r="24441">
      <c r="L24441" s="13"/>
      <c r="M24441" s="14"/>
      <c r="N24441" s="14"/>
      <c r="O24441" s="14"/>
      <c r="P24441" s="13"/>
    </row>
    <row r="24442">
      <c r="L24442" s="13"/>
      <c r="M24442" s="14"/>
      <c r="N24442" s="14"/>
      <c r="O24442" s="14"/>
      <c r="P24442" s="13"/>
    </row>
    <row r="24443">
      <c r="L24443" s="13"/>
      <c r="M24443" s="14"/>
      <c r="N24443" s="14"/>
      <c r="O24443" s="14"/>
      <c r="P24443" s="13"/>
    </row>
    <row r="24444">
      <c r="L24444" s="13"/>
      <c r="M24444" s="14"/>
      <c r="N24444" s="14"/>
      <c r="O24444" s="14"/>
      <c r="P24444" s="13"/>
    </row>
    <row r="24445">
      <c r="L24445" s="13"/>
      <c r="M24445" s="14"/>
      <c r="N24445" s="14"/>
      <c r="O24445" s="14"/>
      <c r="P24445" s="13"/>
    </row>
    <row r="24446">
      <c r="L24446" s="13"/>
      <c r="M24446" s="14"/>
      <c r="N24446" s="14"/>
      <c r="O24446" s="14"/>
      <c r="P24446" s="13"/>
    </row>
    <row r="24447">
      <c r="L24447" s="13"/>
      <c r="M24447" s="14"/>
      <c r="N24447" s="14"/>
      <c r="O24447" s="14"/>
      <c r="P24447" s="13"/>
    </row>
    <row r="24448">
      <c r="L24448" s="13"/>
      <c r="M24448" s="14"/>
      <c r="N24448" s="14"/>
      <c r="O24448" s="14"/>
      <c r="P24448" s="13"/>
    </row>
    <row r="24449">
      <c r="L24449" s="13"/>
      <c r="M24449" s="14"/>
      <c r="N24449" s="14"/>
      <c r="O24449" s="14"/>
      <c r="P24449" s="13"/>
    </row>
    <row r="24450">
      <c r="L24450" s="13"/>
      <c r="M24450" s="14"/>
      <c r="N24450" s="14"/>
      <c r="O24450" s="14"/>
      <c r="P24450" s="13"/>
    </row>
    <row r="24451">
      <c r="L24451" s="13"/>
      <c r="M24451" s="14"/>
      <c r="N24451" s="14"/>
      <c r="O24451" s="14"/>
      <c r="P24451" s="13"/>
    </row>
    <row r="24452">
      <c r="L24452" s="13"/>
      <c r="M24452" s="14"/>
      <c r="N24452" s="14"/>
      <c r="O24452" s="14"/>
      <c r="P24452" s="13"/>
    </row>
    <row r="24453">
      <c r="L24453" s="13"/>
      <c r="M24453" s="14"/>
      <c r="N24453" s="14"/>
      <c r="O24453" s="14"/>
      <c r="P24453" s="13"/>
    </row>
    <row r="24454">
      <c r="L24454" s="13"/>
      <c r="M24454" s="14"/>
      <c r="N24454" s="14"/>
      <c r="O24454" s="14"/>
      <c r="P24454" s="13"/>
    </row>
    <row r="24455">
      <c r="L24455" s="13"/>
      <c r="M24455" s="14"/>
      <c r="N24455" s="14"/>
      <c r="O24455" s="14"/>
      <c r="P24455" s="13"/>
    </row>
    <row r="24456">
      <c r="L24456" s="13"/>
      <c r="M24456" s="14"/>
      <c r="N24456" s="14"/>
      <c r="O24456" s="14"/>
      <c r="P24456" s="13"/>
    </row>
    <row r="24457">
      <c r="L24457" s="13"/>
      <c r="M24457" s="14"/>
      <c r="N24457" s="14"/>
      <c r="O24457" s="14"/>
      <c r="P24457" s="13"/>
    </row>
    <row r="24458">
      <c r="L24458" s="13"/>
      <c r="M24458" s="14"/>
      <c r="N24458" s="14"/>
      <c r="O24458" s="14"/>
      <c r="P24458" s="13"/>
    </row>
    <row r="24459">
      <c r="L24459" s="13"/>
      <c r="M24459" s="14"/>
      <c r="N24459" s="14"/>
      <c r="O24459" s="14"/>
      <c r="P24459" s="13"/>
    </row>
    <row r="24460">
      <c r="L24460" s="13"/>
      <c r="M24460" s="14"/>
      <c r="N24460" s="14"/>
      <c r="O24460" s="14"/>
      <c r="P24460" s="13"/>
    </row>
    <row r="24461">
      <c r="L24461" s="13"/>
      <c r="M24461" s="14"/>
      <c r="N24461" s="14"/>
      <c r="O24461" s="14"/>
      <c r="P24461" s="13"/>
    </row>
    <row r="24462">
      <c r="L24462" s="13"/>
      <c r="M24462" s="14"/>
      <c r="N24462" s="14"/>
      <c r="O24462" s="14"/>
      <c r="P24462" s="13"/>
    </row>
    <row r="24463">
      <c r="L24463" s="13"/>
      <c r="M24463" s="14"/>
      <c r="N24463" s="14"/>
      <c r="O24463" s="14"/>
      <c r="P24463" s="13"/>
    </row>
    <row r="24464">
      <c r="L24464" s="13"/>
      <c r="M24464" s="14"/>
      <c r="N24464" s="14"/>
      <c r="O24464" s="14"/>
      <c r="P24464" s="13"/>
    </row>
    <row r="24465">
      <c r="L24465" s="13"/>
      <c r="M24465" s="14"/>
      <c r="N24465" s="14"/>
      <c r="O24465" s="14"/>
      <c r="P24465" s="13"/>
    </row>
    <row r="24466">
      <c r="L24466" s="13"/>
      <c r="M24466" s="14"/>
      <c r="N24466" s="14"/>
      <c r="O24466" s="14"/>
      <c r="P24466" s="13"/>
    </row>
    <row r="24467">
      <c r="L24467" s="13"/>
      <c r="M24467" s="14"/>
      <c r="N24467" s="14"/>
      <c r="O24467" s="14"/>
      <c r="P24467" s="13"/>
    </row>
    <row r="24468">
      <c r="L24468" s="13"/>
      <c r="M24468" s="14"/>
      <c r="N24468" s="14"/>
      <c r="O24468" s="14"/>
      <c r="P24468" s="13"/>
    </row>
    <row r="24469">
      <c r="L24469" s="13"/>
      <c r="M24469" s="14"/>
      <c r="N24469" s="14"/>
      <c r="O24469" s="14"/>
      <c r="P24469" s="13"/>
    </row>
    <row r="24470">
      <c r="L24470" s="13"/>
      <c r="M24470" s="14"/>
      <c r="N24470" s="14"/>
      <c r="O24470" s="14"/>
      <c r="P24470" s="13"/>
    </row>
    <row r="24471">
      <c r="L24471" s="13"/>
      <c r="M24471" s="14"/>
      <c r="N24471" s="14"/>
      <c r="O24471" s="14"/>
      <c r="P24471" s="13"/>
    </row>
    <row r="24472">
      <c r="L24472" s="13"/>
      <c r="M24472" s="14"/>
      <c r="N24472" s="14"/>
      <c r="O24472" s="14"/>
      <c r="P24472" s="13"/>
    </row>
    <row r="24473">
      <c r="L24473" s="13"/>
      <c r="M24473" s="14"/>
      <c r="N24473" s="14"/>
      <c r="O24473" s="14"/>
      <c r="P24473" s="13"/>
    </row>
    <row r="24474">
      <c r="L24474" s="13"/>
      <c r="M24474" s="14"/>
      <c r="N24474" s="14"/>
      <c r="O24474" s="14"/>
      <c r="P24474" s="13"/>
    </row>
    <row r="24475">
      <c r="L24475" s="13"/>
      <c r="M24475" s="14"/>
      <c r="N24475" s="14"/>
      <c r="O24475" s="14"/>
      <c r="P24475" s="13"/>
    </row>
    <row r="24476">
      <c r="L24476" s="13"/>
      <c r="M24476" s="14"/>
      <c r="N24476" s="14"/>
      <c r="O24476" s="14"/>
      <c r="P24476" s="13"/>
    </row>
    <row r="24477">
      <c r="L24477" s="13"/>
      <c r="M24477" s="14"/>
      <c r="N24477" s="14"/>
      <c r="O24477" s="14"/>
      <c r="P24477" s="13"/>
    </row>
    <row r="24478">
      <c r="L24478" s="13"/>
      <c r="M24478" s="14"/>
      <c r="N24478" s="14"/>
      <c r="O24478" s="14"/>
      <c r="P24478" s="13"/>
    </row>
    <row r="24479">
      <c r="L24479" s="13"/>
      <c r="M24479" s="14"/>
      <c r="N24479" s="14"/>
      <c r="O24479" s="14"/>
      <c r="P24479" s="13"/>
    </row>
    <row r="24480">
      <c r="L24480" s="13"/>
      <c r="M24480" s="14"/>
      <c r="N24480" s="14"/>
      <c r="O24480" s="14"/>
      <c r="P24480" s="13"/>
    </row>
    <row r="24481">
      <c r="L24481" s="13"/>
      <c r="M24481" s="14"/>
      <c r="N24481" s="14"/>
      <c r="O24481" s="14"/>
      <c r="P24481" s="13"/>
    </row>
    <row r="24482">
      <c r="L24482" s="13"/>
      <c r="M24482" s="14"/>
      <c r="N24482" s="14"/>
      <c r="O24482" s="14"/>
      <c r="P24482" s="13"/>
    </row>
    <row r="24483">
      <c r="L24483" s="13"/>
      <c r="M24483" s="14"/>
      <c r="N24483" s="14"/>
      <c r="O24483" s="14"/>
      <c r="P24483" s="13"/>
    </row>
    <row r="24484">
      <c r="L24484" s="13"/>
      <c r="M24484" s="14"/>
      <c r="N24484" s="14"/>
      <c r="O24484" s="14"/>
      <c r="P24484" s="13"/>
    </row>
    <row r="24485">
      <c r="L24485" s="13"/>
      <c r="M24485" s="14"/>
      <c r="N24485" s="14"/>
      <c r="O24485" s="14"/>
      <c r="P24485" s="13"/>
    </row>
    <row r="24486">
      <c r="L24486" s="13"/>
      <c r="M24486" s="14"/>
      <c r="N24486" s="14"/>
      <c r="O24486" s="14"/>
      <c r="P24486" s="13"/>
    </row>
    <row r="24487">
      <c r="L24487" s="13"/>
      <c r="M24487" s="14"/>
      <c r="N24487" s="14"/>
      <c r="O24487" s="14"/>
      <c r="P24487" s="13"/>
    </row>
    <row r="24488">
      <c r="L24488" s="13"/>
      <c r="M24488" s="14"/>
      <c r="N24488" s="14"/>
      <c r="O24488" s="14"/>
      <c r="P24488" s="13"/>
    </row>
    <row r="24489">
      <c r="L24489" s="13"/>
      <c r="M24489" s="14"/>
      <c r="N24489" s="14"/>
      <c r="O24489" s="14"/>
      <c r="P24489" s="13"/>
    </row>
    <row r="24490">
      <c r="L24490" s="13"/>
      <c r="M24490" s="14"/>
      <c r="N24490" s="14"/>
      <c r="O24490" s="14"/>
      <c r="P24490" s="13"/>
    </row>
    <row r="24491">
      <c r="L24491" s="13"/>
      <c r="M24491" s="14"/>
      <c r="N24491" s="14"/>
      <c r="O24491" s="14"/>
      <c r="P24491" s="13"/>
    </row>
    <row r="24492">
      <c r="L24492" s="13"/>
      <c r="M24492" s="14"/>
      <c r="N24492" s="14"/>
      <c r="O24492" s="14"/>
      <c r="P24492" s="13"/>
    </row>
    <row r="24493">
      <c r="L24493" s="13"/>
      <c r="M24493" s="14"/>
      <c r="N24493" s="14"/>
      <c r="O24493" s="14"/>
      <c r="P24493" s="13"/>
    </row>
    <row r="24494">
      <c r="L24494" s="13"/>
      <c r="M24494" s="14"/>
      <c r="N24494" s="14"/>
      <c r="O24494" s="14"/>
      <c r="P24494" s="13"/>
    </row>
    <row r="24495">
      <c r="L24495" s="13"/>
      <c r="M24495" s="14"/>
      <c r="N24495" s="14"/>
      <c r="O24495" s="14"/>
      <c r="P24495" s="13"/>
    </row>
    <row r="24496">
      <c r="L24496" s="13"/>
      <c r="M24496" s="14"/>
      <c r="N24496" s="14"/>
      <c r="O24496" s="14"/>
      <c r="P24496" s="13"/>
    </row>
    <row r="24497">
      <c r="L24497" s="13"/>
      <c r="M24497" s="14"/>
      <c r="N24497" s="14"/>
      <c r="O24497" s="14"/>
      <c r="P24497" s="13"/>
    </row>
    <row r="24498">
      <c r="L24498" s="13"/>
      <c r="M24498" s="14"/>
      <c r="N24498" s="14"/>
      <c r="O24498" s="14"/>
      <c r="P24498" s="13"/>
    </row>
    <row r="24499">
      <c r="L24499" s="13"/>
      <c r="M24499" s="14"/>
      <c r="N24499" s="14"/>
      <c r="O24499" s="14"/>
      <c r="P24499" s="13"/>
    </row>
    <row r="24500">
      <c r="L24500" s="13"/>
      <c r="M24500" s="14"/>
      <c r="N24500" s="14"/>
      <c r="O24500" s="14"/>
      <c r="P24500" s="13"/>
    </row>
    <row r="24501">
      <c r="L24501" s="13"/>
      <c r="M24501" s="14"/>
      <c r="N24501" s="14"/>
      <c r="O24501" s="14"/>
      <c r="P24501" s="13"/>
    </row>
    <row r="24502">
      <c r="L24502" s="13"/>
      <c r="M24502" s="14"/>
      <c r="N24502" s="14"/>
      <c r="O24502" s="14"/>
      <c r="P24502" s="13"/>
    </row>
    <row r="24503">
      <c r="L24503" s="13"/>
      <c r="M24503" s="14"/>
      <c r="N24503" s="14"/>
      <c r="O24503" s="14"/>
      <c r="P24503" s="13"/>
    </row>
    <row r="24504">
      <c r="L24504" s="13"/>
      <c r="M24504" s="14"/>
      <c r="N24504" s="14"/>
      <c r="O24504" s="14"/>
      <c r="P24504" s="13"/>
    </row>
    <row r="24505">
      <c r="L24505" s="13"/>
      <c r="M24505" s="14"/>
      <c r="N24505" s="14"/>
      <c r="O24505" s="14"/>
      <c r="P24505" s="13"/>
    </row>
    <row r="24506">
      <c r="L24506" s="13"/>
      <c r="M24506" s="14"/>
      <c r="N24506" s="14"/>
      <c r="O24506" s="14"/>
      <c r="P24506" s="13"/>
    </row>
    <row r="24507">
      <c r="L24507" s="13"/>
      <c r="M24507" s="14"/>
      <c r="N24507" s="14"/>
      <c r="O24507" s="14"/>
      <c r="P24507" s="13"/>
    </row>
    <row r="24508">
      <c r="L24508" s="13"/>
      <c r="M24508" s="14"/>
      <c r="N24508" s="14"/>
      <c r="O24508" s="14"/>
      <c r="P24508" s="13"/>
    </row>
    <row r="24509">
      <c r="L24509" s="13"/>
      <c r="M24509" s="14"/>
      <c r="N24509" s="14"/>
      <c r="O24509" s="14"/>
      <c r="P24509" s="13"/>
    </row>
    <row r="24510">
      <c r="L24510" s="13"/>
      <c r="M24510" s="14"/>
      <c r="N24510" s="14"/>
      <c r="O24510" s="14"/>
      <c r="P24510" s="13"/>
    </row>
    <row r="24511">
      <c r="L24511" s="13"/>
      <c r="M24511" s="14"/>
      <c r="N24511" s="14"/>
      <c r="O24511" s="14"/>
      <c r="P24511" s="13"/>
    </row>
    <row r="24512">
      <c r="L24512" s="13"/>
      <c r="M24512" s="14"/>
      <c r="N24512" s="14"/>
      <c r="O24512" s="14"/>
      <c r="P24512" s="13"/>
    </row>
    <row r="24513">
      <c r="L24513" s="13"/>
      <c r="M24513" s="14"/>
      <c r="N24513" s="14"/>
      <c r="O24513" s="14"/>
      <c r="P24513" s="13"/>
    </row>
    <row r="24514">
      <c r="L24514" s="13"/>
      <c r="M24514" s="14"/>
      <c r="N24514" s="14"/>
      <c r="O24514" s="14"/>
      <c r="P24514" s="13"/>
    </row>
    <row r="24515">
      <c r="L24515" s="13"/>
      <c r="M24515" s="14"/>
      <c r="N24515" s="14"/>
      <c r="O24515" s="14"/>
      <c r="P24515" s="13"/>
    </row>
    <row r="24516">
      <c r="L24516" s="13"/>
      <c r="M24516" s="14"/>
      <c r="N24516" s="14"/>
      <c r="O24516" s="14"/>
      <c r="P24516" s="13"/>
    </row>
    <row r="24517">
      <c r="L24517" s="13"/>
      <c r="M24517" s="14"/>
      <c r="N24517" s="14"/>
      <c r="O24517" s="14"/>
      <c r="P24517" s="13"/>
    </row>
    <row r="24518">
      <c r="L24518" s="13"/>
      <c r="M24518" s="14"/>
      <c r="N24518" s="14"/>
      <c r="O24518" s="14"/>
      <c r="P24518" s="13"/>
    </row>
    <row r="24519">
      <c r="L24519" s="13"/>
      <c r="M24519" s="14"/>
      <c r="N24519" s="14"/>
      <c r="O24519" s="14"/>
      <c r="P24519" s="13"/>
    </row>
    <row r="24520">
      <c r="L24520" s="13"/>
      <c r="M24520" s="14"/>
      <c r="N24520" s="14"/>
      <c r="O24520" s="14"/>
      <c r="P24520" s="13"/>
    </row>
    <row r="24521">
      <c r="L24521" s="13"/>
      <c r="M24521" s="14"/>
      <c r="N24521" s="14"/>
      <c r="O24521" s="14"/>
      <c r="P24521" s="13"/>
    </row>
    <row r="24522">
      <c r="L24522" s="13"/>
      <c r="M24522" s="14"/>
      <c r="N24522" s="14"/>
      <c r="O24522" s="14"/>
      <c r="P24522" s="13"/>
    </row>
    <row r="24523">
      <c r="L24523" s="13"/>
      <c r="M24523" s="14"/>
      <c r="N24523" s="14"/>
      <c r="O24523" s="14"/>
      <c r="P24523" s="13"/>
    </row>
    <row r="24524">
      <c r="L24524" s="13"/>
      <c r="M24524" s="14"/>
      <c r="N24524" s="14"/>
      <c r="O24524" s="14"/>
      <c r="P24524" s="13"/>
    </row>
    <row r="24525">
      <c r="L24525" s="13"/>
      <c r="M24525" s="14"/>
      <c r="N24525" s="14"/>
      <c r="O24525" s="14"/>
      <c r="P24525" s="13"/>
    </row>
    <row r="24526">
      <c r="L24526" s="13"/>
      <c r="M24526" s="14"/>
      <c r="N24526" s="14"/>
      <c r="O24526" s="14"/>
      <c r="P24526" s="13"/>
    </row>
    <row r="24527">
      <c r="L24527" s="13"/>
      <c r="M24527" s="14"/>
      <c r="N24527" s="14"/>
      <c r="O24527" s="14"/>
      <c r="P24527" s="13"/>
    </row>
    <row r="24528">
      <c r="L24528" s="13"/>
      <c r="M24528" s="14"/>
      <c r="N24528" s="14"/>
      <c r="O24528" s="14"/>
      <c r="P24528" s="13"/>
    </row>
    <row r="24529">
      <c r="L24529" s="13"/>
      <c r="M24529" s="14"/>
      <c r="N24529" s="14"/>
      <c r="O24529" s="14"/>
      <c r="P24529" s="13"/>
    </row>
    <row r="24530">
      <c r="L24530" s="13"/>
      <c r="M24530" s="14"/>
      <c r="N24530" s="14"/>
      <c r="O24530" s="14"/>
      <c r="P24530" s="13"/>
    </row>
    <row r="24531">
      <c r="L24531" s="13"/>
      <c r="M24531" s="14"/>
      <c r="N24531" s="14"/>
      <c r="O24531" s="14"/>
      <c r="P24531" s="13"/>
    </row>
    <row r="24532">
      <c r="L24532" s="13"/>
      <c r="M24532" s="14"/>
      <c r="N24532" s="14"/>
      <c r="O24532" s="14"/>
      <c r="P24532" s="13"/>
    </row>
    <row r="24533">
      <c r="L24533" s="13"/>
      <c r="M24533" s="14"/>
      <c r="N24533" s="14"/>
      <c r="O24533" s="14"/>
      <c r="P24533" s="13"/>
    </row>
    <row r="24534">
      <c r="L24534" s="13"/>
      <c r="M24534" s="14"/>
      <c r="N24534" s="14"/>
      <c r="O24534" s="14"/>
      <c r="P24534" s="13"/>
    </row>
    <row r="24535">
      <c r="L24535" s="13"/>
      <c r="M24535" s="14"/>
      <c r="N24535" s="14"/>
      <c r="O24535" s="14"/>
      <c r="P24535" s="13"/>
    </row>
    <row r="24536">
      <c r="L24536" s="13"/>
      <c r="M24536" s="14"/>
      <c r="N24536" s="14"/>
      <c r="O24536" s="14"/>
      <c r="P24536" s="13"/>
    </row>
    <row r="24537">
      <c r="L24537" s="13"/>
      <c r="M24537" s="14"/>
      <c r="N24537" s="14"/>
      <c r="O24537" s="14"/>
      <c r="P24537" s="13"/>
    </row>
    <row r="24538">
      <c r="L24538" s="13"/>
      <c r="M24538" s="14"/>
      <c r="N24538" s="14"/>
      <c r="O24538" s="14"/>
      <c r="P24538" s="13"/>
    </row>
    <row r="24539">
      <c r="L24539" s="13"/>
      <c r="M24539" s="14"/>
      <c r="N24539" s="14"/>
      <c r="O24539" s="14"/>
      <c r="P24539" s="13"/>
    </row>
    <row r="24540">
      <c r="L24540" s="13"/>
      <c r="M24540" s="14"/>
      <c r="N24540" s="14"/>
      <c r="O24540" s="14"/>
      <c r="P24540" s="13"/>
    </row>
    <row r="24541">
      <c r="L24541" s="13"/>
      <c r="M24541" s="14"/>
      <c r="N24541" s="14"/>
      <c r="O24541" s="14"/>
      <c r="P24541" s="13"/>
    </row>
    <row r="24542">
      <c r="L24542" s="13"/>
      <c r="M24542" s="14"/>
      <c r="N24542" s="14"/>
      <c r="O24542" s="14"/>
      <c r="P24542" s="13"/>
    </row>
    <row r="24543">
      <c r="L24543" s="13"/>
      <c r="M24543" s="14"/>
      <c r="N24543" s="14"/>
      <c r="O24543" s="14"/>
      <c r="P24543" s="13"/>
    </row>
    <row r="24544">
      <c r="L24544" s="13"/>
      <c r="M24544" s="14"/>
      <c r="N24544" s="14"/>
      <c r="O24544" s="14"/>
      <c r="P24544" s="13"/>
    </row>
    <row r="24545">
      <c r="L24545" s="13"/>
      <c r="M24545" s="14"/>
      <c r="N24545" s="14"/>
      <c r="O24545" s="14"/>
      <c r="P24545" s="13"/>
    </row>
    <row r="24546">
      <c r="L24546" s="13"/>
      <c r="M24546" s="14"/>
      <c r="N24546" s="14"/>
      <c r="O24546" s="14"/>
      <c r="P24546" s="13"/>
    </row>
    <row r="24547">
      <c r="L24547" s="13"/>
      <c r="M24547" s="14"/>
      <c r="N24547" s="14"/>
      <c r="O24547" s="14"/>
      <c r="P24547" s="13"/>
    </row>
    <row r="24548">
      <c r="L24548" s="13"/>
      <c r="M24548" s="14"/>
      <c r="N24548" s="14"/>
      <c r="O24548" s="14"/>
      <c r="P24548" s="13"/>
    </row>
    <row r="24549">
      <c r="L24549" s="13"/>
      <c r="M24549" s="14"/>
      <c r="N24549" s="14"/>
      <c r="O24549" s="14"/>
      <c r="P24549" s="13"/>
    </row>
    <row r="24550">
      <c r="L24550" s="13"/>
      <c r="M24550" s="14"/>
      <c r="N24550" s="14"/>
      <c r="O24550" s="14"/>
      <c r="P24550" s="13"/>
    </row>
    <row r="24551">
      <c r="L24551" s="13"/>
      <c r="M24551" s="14"/>
      <c r="N24551" s="14"/>
      <c r="O24551" s="14"/>
      <c r="P24551" s="13"/>
    </row>
    <row r="24552">
      <c r="L24552" s="13"/>
      <c r="M24552" s="14"/>
      <c r="N24552" s="14"/>
      <c r="O24552" s="14"/>
      <c r="P24552" s="13"/>
    </row>
    <row r="24553">
      <c r="L24553" s="13"/>
      <c r="M24553" s="14"/>
      <c r="N24553" s="14"/>
      <c r="O24553" s="14"/>
      <c r="P24553" s="13"/>
    </row>
    <row r="24554">
      <c r="L24554" s="13"/>
      <c r="M24554" s="14"/>
      <c r="N24554" s="14"/>
      <c r="O24554" s="14"/>
      <c r="P24554" s="13"/>
    </row>
    <row r="24555">
      <c r="L24555" s="13"/>
      <c r="M24555" s="14"/>
      <c r="N24555" s="14"/>
      <c r="O24555" s="14"/>
      <c r="P24555" s="13"/>
    </row>
    <row r="24556">
      <c r="L24556" s="13"/>
      <c r="M24556" s="14"/>
      <c r="N24556" s="14"/>
      <c r="O24556" s="14"/>
      <c r="P24556" s="13"/>
    </row>
    <row r="24557">
      <c r="L24557" s="13"/>
      <c r="M24557" s="14"/>
      <c r="N24557" s="14"/>
      <c r="O24557" s="14"/>
      <c r="P24557" s="13"/>
    </row>
    <row r="24558">
      <c r="L24558" s="13"/>
      <c r="M24558" s="14"/>
      <c r="N24558" s="14"/>
      <c r="O24558" s="14"/>
      <c r="P24558" s="13"/>
    </row>
    <row r="24559">
      <c r="L24559" s="13"/>
      <c r="M24559" s="14"/>
      <c r="N24559" s="14"/>
      <c r="O24559" s="14"/>
      <c r="P24559" s="13"/>
    </row>
    <row r="24560">
      <c r="L24560" s="13"/>
      <c r="M24560" s="14"/>
      <c r="N24560" s="14"/>
      <c r="O24560" s="14"/>
      <c r="P24560" s="13"/>
    </row>
    <row r="24561">
      <c r="L24561" s="13"/>
      <c r="M24561" s="14"/>
      <c r="N24561" s="14"/>
      <c r="O24561" s="14"/>
      <c r="P24561" s="13"/>
    </row>
    <row r="24562">
      <c r="L24562" s="13"/>
      <c r="M24562" s="14"/>
      <c r="N24562" s="14"/>
      <c r="O24562" s="14"/>
      <c r="P24562" s="13"/>
    </row>
    <row r="24563">
      <c r="L24563" s="13"/>
      <c r="M24563" s="14"/>
      <c r="N24563" s="14"/>
      <c r="O24563" s="14"/>
      <c r="P24563" s="13"/>
    </row>
    <row r="24564">
      <c r="L24564" s="13"/>
      <c r="M24564" s="14"/>
      <c r="N24564" s="14"/>
      <c r="O24564" s="14"/>
      <c r="P24564" s="13"/>
    </row>
    <row r="24565">
      <c r="L24565" s="13"/>
      <c r="M24565" s="14"/>
      <c r="N24565" s="14"/>
      <c r="O24565" s="14"/>
      <c r="P24565" s="13"/>
    </row>
    <row r="24566">
      <c r="L24566" s="13"/>
      <c r="M24566" s="14"/>
      <c r="N24566" s="14"/>
      <c r="O24566" s="14"/>
      <c r="P24566" s="13"/>
    </row>
    <row r="24567">
      <c r="L24567" s="13"/>
      <c r="M24567" s="14"/>
      <c r="N24567" s="14"/>
      <c r="O24567" s="14"/>
      <c r="P24567" s="13"/>
    </row>
    <row r="24568">
      <c r="L24568" s="13"/>
      <c r="M24568" s="14"/>
      <c r="N24568" s="14"/>
      <c r="O24568" s="14"/>
      <c r="P24568" s="13"/>
    </row>
    <row r="24569">
      <c r="L24569" s="13"/>
      <c r="M24569" s="14"/>
      <c r="N24569" s="14"/>
      <c r="O24569" s="14"/>
      <c r="P24569" s="13"/>
    </row>
    <row r="24570">
      <c r="L24570" s="13"/>
      <c r="M24570" s="14"/>
      <c r="N24570" s="14"/>
      <c r="O24570" s="14"/>
      <c r="P24570" s="13"/>
    </row>
    <row r="24571">
      <c r="L24571" s="13"/>
      <c r="M24571" s="14"/>
      <c r="N24571" s="14"/>
      <c r="O24571" s="14"/>
      <c r="P24571" s="13"/>
    </row>
    <row r="24572">
      <c r="L24572" s="13"/>
      <c r="M24572" s="14"/>
      <c r="N24572" s="14"/>
      <c r="O24572" s="14"/>
      <c r="P24572" s="13"/>
    </row>
    <row r="24573">
      <c r="L24573" s="13"/>
      <c r="M24573" s="14"/>
      <c r="N24573" s="14"/>
      <c r="O24573" s="14"/>
      <c r="P24573" s="13"/>
    </row>
    <row r="24574">
      <c r="L24574" s="13"/>
      <c r="M24574" s="14"/>
      <c r="N24574" s="14"/>
      <c r="O24574" s="14"/>
      <c r="P24574" s="13"/>
    </row>
    <row r="24575">
      <c r="L24575" s="13"/>
      <c r="M24575" s="14"/>
      <c r="N24575" s="14"/>
      <c r="O24575" s="14"/>
      <c r="P24575" s="13"/>
    </row>
    <row r="24576">
      <c r="L24576" s="13"/>
      <c r="M24576" s="14"/>
      <c r="N24576" s="14"/>
      <c r="O24576" s="14"/>
      <c r="P24576" s="13"/>
    </row>
    <row r="24577">
      <c r="L24577" s="13"/>
      <c r="M24577" s="14"/>
      <c r="N24577" s="14"/>
      <c r="O24577" s="14"/>
      <c r="P24577" s="13"/>
    </row>
    <row r="24578">
      <c r="L24578" s="13"/>
      <c r="M24578" s="14"/>
      <c r="N24578" s="14"/>
      <c r="O24578" s="14"/>
      <c r="P24578" s="13"/>
    </row>
    <row r="24579">
      <c r="L24579" s="13"/>
      <c r="M24579" s="14"/>
      <c r="N24579" s="14"/>
      <c r="O24579" s="14"/>
      <c r="P24579" s="13"/>
    </row>
    <row r="24580">
      <c r="L24580" s="13"/>
      <c r="M24580" s="14"/>
      <c r="N24580" s="14"/>
      <c r="O24580" s="14"/>
      <c r="P24580" s="13"/>
    </row>
    <row r="24581">
      <c r="L24581" s="13"/>
      <c r="M24581" s="14"/>
      <c r="N24581" s="14"/>
      <c r="O24581" s="14"/>
      <c r="P24581" s="13"/>
    </row>
    <row r="24582">
      <c r="L24582" s="13"/>
      <c r="M24582" s="14"/>
      <c r="N24582" s="14"/>
      <c r="O24582" s="14"/>
      <c r="P24582" s="13"/>
    </row>
    <row r="24583">
      <c r="L24583" s="13"/>
      <c r="M24583" s="14"/>
      <c r="N24583" s="14"/>
      <c r="O24583" s="14"/>
      <c r="P24583" s="13"/>
    </row>
    <row r="24584">
      <c r="L24584" s="13"/>
      <c r="M24584" s="14"/>
      <c r="N24584" s="14"/>
      <c r="O24584" s="14"/>
      <c r="P24584" s="13"/>
    </row>
    <row r="24585">
      <c r="L24585" s="13"/>
      <c r="M24585" s="14"/>
      <c r="N24585" s="14"/>
      <c r="O24585" s="14"/>
      <c r="P24585" s="13"/>
    </row>
    <row r="24586">
      <c r="L24586" s="13"/>
      <c r="M24586" s="14"/>
      <c r="N24586" s="14"/>
      <c r="O24586" s="14"/>
      <c r="P24586" s="13"/>
    </row>
    <row r="24587">
      <c r="L24587" s="13"/>
      <c r="M24587" s="14"/>
      <c r="N24587" s="14"/>
      <c r="O24587" s="14"/>
      <c r="P24587" s="13"/>
    </row>
    <row r="24588">
      <c r="L24588" s="13"/>
      <c r="M24588" s="14"/>
      <c r="N24588" s="14"/>
      <c r="O24588" s="14"/>
      <c r="P24588" s="13"/>
    </row>
    <row r="24589">
      <c r="L24589" s="13"/>
      <c r="M24589" s="14"/>
      <c r="N24589" s="14"/>
      <c r="O24589" s="14"/>
      <c r="P24589" s="13"/>
    </row>
    <row r="24590">
      <c r="L24590" s="13"/>
      <c r="M24590" s="14"/>
      <c r="N24590" s="14"/>
      <c r="O24590" s="14"/>
      <c r="P24590" s="13"/>
    </row>
    <row r="24591">
      <c r="L24591" s="13"/>
      <c r="M24591" s="14"/>
      <c r="N24591" s="14"/>
      <c r="O24591" s="14"/>
      <c r="P24591" s="13"/>
    </row>
    <row r="24592">
      <c r="L24592" s="13"/>
      <c r="M24592" s="14"/>
      <c r="N24592" s="14"/>
      <c r="O24592" s="14"/>
      <c r="P24592" s="13"/>
    </row>
    <row r="24593">
      <c r="L24593" s="13"/>
      <c r="M24593" s="14"/>
      <c r="N24593" s="14"/>
      <c r="O24593" s="14"/>
      <c r="P24593" s="13"/>
    </row>
    <row r="24594">
      <c r="L24594" s="13"/>
      <c r="M24594" s="14"/>
      <c r="N24594" s="14"/>
      <c r="O24594" s="14"/>
      <c r="P24594" s="13"/>
    </row>
    <row r="24595">
      <c r="L24595" s="13"/>
      <c r="M24595" s="14"/>
      <c r="N24595" s="14"/>
      <c r="O24595" s="14"/>
      <c r="P24595" s="13"/>
    </row>
    <row r="24596">
      <c r="L24596" s="13"/>
      <c r="M24596" s="14"/>
      <c r="N24596" s="14"/>
      <c r="O24596" s="14"/>
      <c r="P24596" s="13"/>
    </row>
    <row r="24597">
      <c r="L24597" s="13"/>
      <c r="M24597" s="14"/>
      <c r="N24597" s="14"/>
      <c r="O24597" s="14"/>
      <c r="P24597" s="13"/>
    </row>
    <row r="24598">
      <c r="L24598" s="13"/>
      <c r="M24598" s="14"/>
      <c r="N24598" s="14"/>
      <c r="O24598" s="14"/>
      <c r="P24598" s="13"/>
    </row>
    <row r="24599">
      <c r="L24599" s="13"/>
      <c r="M24599" s="14"/>
      <c r="N24599" s="14"/>
      <c r="O24599" s="14"/>
      <c r="P24599" s="13"/>
    </row>
    <row r="24600">
      <c r="L24600" s="13"/>
      <c r="M24600" s="14"/>
      <c r="N24600" s="14"/>
      <c r="O24600" s="14"/>
      <c r="P24600" s="13"/>
    </row>
    <row r="24601">
      <c r="L24601" s="13"/>
      <c r="M24601" s="14"/>
      <c r="N24601" s="14"/>
      <c r="O24601" s="14"/>
      <c r="P24601" s="13"/>
    </row>
    <row r="24602">
      <c r="L24602" s="13"/>
      <c r="M24602" s="14"/>
      <c r="N24602" s="14"/>
      <c r="O24602" s="14"/>
      <c r="P24602" s="13"/>
    </row>
    <row r="24603">
      <c r="L24603" s="13"/>
      <c r="M24603" s="14"/>
      <c r="N24603" s="14"/>
      <c r="O24603" s="14"/>
      <c r="P24603" s="13"/>
    </row>
    <row r="24604">
      <c r="L24604" s="13"/>
      <c r="M24604" s="14"/>
      <c r="N24604" s="14"/>
      <c r="O24604" s="14"/>
      <c r="P24604" s="13"/>
    </row>
    <row r="24605">
      <c r="L24605" s="13"/>
      <c r="M24605" s="14"/>
      <c r="N24605" s="14"/>
      <c r="O24605" s="14"/>
      <c r="P24605" s="13"/>
    </row>
    <row r="24606">
      <c r="L24606" s="13"/>
      <c r="M24606" s="14"/>
      <c r="N24606" s="14"/>
      <c r="O24606" s="14"/>
      <c r="P24606" s="13"/>
    </row>
    <row r="24607">
      <c r="L24607" s="13"/>
      <c r="M24607" s="14"/>
      <c r="N24607" s="14"/>
      <c r="O24607" s="14"/>
      <c r="P24607" s="13"/>
    </row>
    <row r="24608">
      <c r="L24608" s="13"/>
      <c r="M24608" s="14"/>
      <c r="N24608" s="14"/>
      <c r="O24608" s="14"/>
      <c r="P24608" s="13"/>
    </row>
    <row r="24609">
      <c r="L24609" s="13"/>
      <c r="M24609" s="14"/>
      <c r="N24609" s="14"/>
      <c r="O24609" s="14"/>
      <c r="P24609" s="13"/>
    </row>
    <row r="24610">
      <c r="L24610" s="13"/>
      <c r="M24610" s="14"/>
      <c r="N24610" s="14"/>
      <c r="O24610" s="14"/>
      <c r="P24610" s="13"/>
    </row>
    <row r="24611">
      <c r="L24611" s="13"/>
      <c r="M24611" s="14"/>
      <c r="N24611" s="14"/>
      <c r="O24611" s="14"/>
      <c r="P24611" s="13"/>
    </row>
    <row r="24612">
      <c r="L24612" s="13"/>
      <c r="M24612" s="14"/>
      <c r="N24612" s="14"/>
      <c r="O24612" s="14"/>
      <c r="P24612" s="13"/>
    </row>
    <row r="24613">
      <c r="L24613" s="13"/>
      <c r="M24613" s="14"/>
      <c r="N24613" s="14"/>
      <c r="O24613" s="14"/>
      <c r="P24613" s="13"/>
    </row>
    <row r="24614">
      <c r="L24614" s="13"/>
      <c r="M24614" s="14"/>
      <c r="N24614" s="14"/>
      <c r="O24614" s="14"/>
      <c r="P24614" s="13"/>
    </row>
    <row r="24615">
      <c r="L24615" s="13"/>
      <c r="M24615" s="14"/>
      <c r="N24615" s="14"/>
      <c r="O24615" s="14"/>
      <c r="P24615" s="13"/>
    </row>
    <row r="24616">
      <c r="L24616" s="13"/>
      <c r="M24616" s="14"/>
      <c r="N24616" s="14"/>
      <c r="O24616" s="14"/>
      <c r="P24616" s="13"/>
    </row>
    <row r="24617">
      <c r="L24617" s="13"/>
      <c r="M24617" s="14"/>
      <c r="N24617" s="14"/>
      <c r="O24617" s="14"/>
      <c r="P24617" s="13"/>
    </row>
    <row r="24618">
      <c r="L24618" s="13"/>
      <c r="M24618" s="14"/>
      <c r="N24618" s="14"/>
      <c r="O24618" s="14"/>
      <c r="P24618" s="13"/>
    </row>
    <row r="24619">
      <c r="L24619" s="13"/>
      <c r="M24619" s="14"/>
      <c r="N24619" s="14"/>
      <c r="O24619" s="14"/>
      <c r="P24619" s="13"/>
    </row>
    <row r="24620">
      <c r="L24620" s="13"/>
      <c r="M24620" s="14"/>
      <c r="N24620" s="14"/>
      <c r="O24620" s="14"/>
      <c r="P24620" s="13"/>
    </row>
    <row r="24621">
      <c r="L24621" s="13"/>
      <c r="M24621" s="14"/>
      <c r="N24621" s="14"/>
      <c r="O24621" s="14"/>
      <c r="P24621" s="13"/>
    </row>
    <row r="24622">
      <c r="L24622" s="13"/>
      <c r="M24622" s="14"/>
      <c r="N24622" s="14"/>
      <c r="O24622" s="14"/>
      <c r="P24622" s="13"/>
    </row>
    <row r="24623">
      <c r="L24623" s="13"/>
      <c r="M24623" s="14"/>
      <c r="N24623" s="14"/>
      <c r="O24623" s="14"/>
      <c r="P24623" s="13"/>
    </row>
    <row r="24624">
      <c r="L24624" s="13"/>
      <c r="M24624" s="14"/>
      <c r="N24624" s="14"/>
      <c r="O24624" s="14"/>
      <c r="P24624" s="13"/>
    </row>
    <row r="24625">
      <c r="L24625" s="13"/>
      <c r="M24625" s="14"/>
      <c r="N24625" s="14"/>
      <c r="O24625" s="14"/>
      <c r="P24625" s="13"/>
    </row>
    <row r="24626">
      <c r="L24626" s="13"/>
      <c r="M24626" s="14"/>
      <c r="N24626" s="14"/>
      <c r="O24626" s="14"/>
      <c r="P24626" s="13"/>
    </row>
    <row r="24627">
      <c r="L24627" s="13"/>
      <c r="M24627" s="14"/>
      <c r="N24627" s="14"/>
      <c r="O24627" s="14"/>
      <c r="P24627" s="13"/>
    </row>
    <row r="24628">
      <c r="L24628" s="13"/>
      <c r="M24628" s="14"/>
      <c r="N24628" s="14"/>
      <c r="O24628" s="14"/>
      <c r="P24628" s="13"/>
    </row>
    <row r="24629">
      <c r="L24629" s="13"/>
      <c r="M24629" s="14"/>
      <c r="N24629" s="14"/>
      <c r="O24629" s="14"/>
      <c r="P24629" s="13"/>
    </row>
    <row r="24630">
      <c r="L24630" s="13"/>
      <c r="M24630" s="14"/>
      <c r="N24630" s="14"/>
      <c r="O24630" s="14"/>
      <c r="P24630" s="13"/>
    </row>
    <row r="24631">
      <c r="L24631" s="13"/>
      <c r="M24631" s="14"/>
      <c r="N24631" s="14"/>
      <c r="O24631" s="14"/>
      <c r="P24631" s="13"/>
    </row>
    <row r="24632">
      <c r="L24632" s="13"/>
      <c r="M24632" s="14"/>
      <c r="N24632" s="14"/>
      <c r="O24632" s="14"/>
      <c r="P24632" s="13"/>
    </row>
    <row r="24633">
      <c r="L24633" s="13"/>
      <c r="M24633" s="14"/>
      <c r="N24633" s="14"/>
      <c r="O24633" s="14"/>
      <c r="P24633" s="13"/>
    </row>
    <row r="24634">
      <c r="L24634" s="13"/>
      <c r="M24634" s="14"/>
      <c r="N24634" s="14"/>
      <c r="O24634" s="14"/>
      <c r="P24634" s="13"/>
    </row>
    <row r="24635">
      <c r="L24635" s="13"/>
      <c r="M24635" s="14"/>
      <c r="N24635" s="14"/>
      <c r="O24635" s="14"/>
      <c r="P24635" s="13"/>
    </row>
    <row r="24636">
      <c r="L24636" s="13"/>
      <c r="M24636" s="14"/>
      <c r="N24636" s="14"/>
      <c r="O24636" s="14"/>
      <c r="P24636" s="13"/>
    </row>
    <row r="24637">
      <c r="L24637" s="13"/>
      <c r="M24637" s="14"/>
      <c r="N24637" s="14"/>
      <c r="O24637" s="14"/>
      <c r="P24637" s="13"/>
    </row>
    <row r="24638">
      <c r="L24638" s="13"/>
      <c r="M24638" s="14"/>
      <c r="N24638" s="14"/>
      <c r="O24638" s="14"/>
      <c r="P24638" s="13"/>
    </row>
    <row r="24639">
      <c r="L24639" s="13"/>
      <c r="M24639" s="14"/>
      <c r="N24639" s="14"/>
      <c r="O24639" s="14"/>
      <c r="P24639" s="13"/>
    </row>
    <row r="24640">
      <c r="L24640" s="13"/>
      <c r="M24640" s="14"/>
      <c r="N24640" s="14"/>
      <c r="O24640" s="14"/>
      <c r="P24640" s="13"/>
    </row>
    <row r="24641">
      <c r="L24641" s="13"/>
      <c r="M24641" s="14"/>
      <c r="N24641" s="14"/>
      <c r="O24641" s="14"/>
      <c r="P24641" s="13"/>
    </row>
    <row r="24642">
      <c r="L24642" s="13"/>
      <c r="M24642" s="14"/>
      <c r="N24642" s="14"/>
      <c r="O24642" s="14"/>
      <c r="P24642" s="13"/>
    </row>
    <row r="24643">
      <c r="L24643" s="13"/>
      <c r="M24643" s="14"/>
      <c r="N24643" s="14"/>
      <c r="O24643" s="14"/>
      <c r="P24643" s="13"/>
    </row>
    <row r="24644">
      <c r="L24644" s="13"/>
      <c r="M24644" s="14"/>
      <c r="N24644" s="14"/>
      <c r="O24644" s="14"/>
      <c r="P24644" s="13"/>
    </row>
    <row r="24645">
      <c r="L24645" s="13"/>
      <c r="M24645" s="14"/>
      <c r="N24645" s="14"/>
      <c r="O24645" s="14"/>
      <c r="P24645" s="13"/>
    </row>
    <row r="24646">
      <c r="L24646" s="13"/>
      <c r="M24646" s="14"/>
      <c r="N24646" s="14"/>
      <c r="O24646" s="14"/>
      <c r="P24646" s="13"/>
    </row>
    <row r="24647">
      <c r="L24647" s="13"/>
      <c r="M24647" s="14"/>
      <c r="N24647" s="14"/>
      <c r="O24647" s="14"/>
      <c r="P24647" s="13"/>
    </row>
    <row r="24648">
      <c r="L24648" s="13"/>
      <c r="M24648" s="14"/>
      <c r="N24648" s="14"/>
      <c r="O24648" s="14"/>
      <c r="P24648" s="13"/>
    </row>
    <row r="24649">
      <c r="L24649" s="13"/>
      <c r="M24649" s="14"/>
      <c r="N24649" s="14"/>
      <c r="O24649" s="14"/>
      <c r="P24649" s="13"/>
    </row>
    <row r="24650">
      <c r="L24650" s="13"/>
      <c r="M24650" s="14"/>
      <c r="N24650" s="14"/>
      <c r="O24650" s="14"/>
      <c r="P24650" s="13"/>
    </row>
    <row r="24651">
      <c r="L24651" s="13"/>
      <c r="M24651" s="14"/>
      <c r="N24651" s="14"/>
      <c r="O24651" s="14"/>
      <c r="P24651" s="13"/>
    </row>
    <row r="24652">
      <c r="L24652" s="13"/>
      <c r="M24652" s="14"/>
      <c r="N24652" s="14"/>
      <c r="O24652" s="14"/>
      <c r="P24652" s="13"/>
    </row>
    <row r="24653">
      <c r="L24653" s="13"/>
      <c r="M24653" s="14"/>
      <c r="N24653" s="14"/>
      <c r="O24653" s="14"/>
      <c r="P24653" s="13"/>
    </row>
    <row r="24654">
      <c r="L24654" s="13"/>
      <c r="M24654" s="14"/>
      <c r="N24654" s="14"/>
      <c r="O24654" s="14"/>
      <c r="P24654" s="13"/>
    </row>
    <row r="24655">
      <c r="L24655" s="13"/>
      <c r="M24655" s="14"/>
      <c r="N24655" s="14"/>
      <c r="O24655" s="14"/>
      <c r="P24655" s="13"/>
    </row>
    <row r="24656">
      <c r="L24656" s="13"/>
      <c r="M24656" s="14"/>
      <c r="N24656" s="14"/>
      <c r="O24656" s="14"/>
      <c r="P24656" s="13"/>
    </row>
    <row r="24657">
      <c r="L24657" s="13"/>
      <c r="M24657" s="14"/>
      <c r="N24657" s="14"/>
      <c r="O24657" s="14"/>
      <c r="P24657" s="13"/>
    </row>
    <row r="24658">
      <c r="L24658" s="13"/>
      <c r="M24658" s="14"/>
      <c r="N24658" s="14"/>
      <c r="O24658" s="14"/>
      <c r="P24658" s="13"/>
    </row>
    <row r="24659">
      <c r="L24659" s="13"/>
      <c r="M24659" s="14"/>
      <c r="N24659" s="14"/>
      <c r="O24659" s="14"/>
      <c r="P24659" s="13"/>
    </row>
    <row r="24660">
      <c r="L24660" s="13"/>
      <c r="M24660" s="14"/>
      <c r="N24660" s="14"/>
      <c r="O24660" s="14"/>
      <c r="P24660" s="13"/>
    </row>
    <row r="24661">
      <c r="L24661" s="13"/>
      <c r="M24661" s="14"/>
      <c r="N24661" s="14"/>
      <c r="O24661" s="14"/>
      <c r="P24661" s="13"/>
    </row>
    <row r="24662">
      <c r="L24662" s="13"/>
      <c r="M24662" s="14"/>
      <c r="N24662" s="14"/>
      <c r="O24662" s="14"/>
      <c r="P24662" s="13"/>
    </row>
    <row r="24663">
      <c r="L24663" s="13"/>
      <c r="M24663" s="14"/>
      <c r="N24663" s="14"/>
      <c r="O24663" s="14"/>
      <c r="P24663" s="13"/>
    </row>
    <row r="24664">
      <c r="L24664" s="13"/>
      <c r="M24664" s="14"/>
      <c r="N24664" s="14"/>
      <c r="O24664" s="14"/>
      <c r="P24664" s="13"/>
    </row>
    <row r="24665">
      <c r="L24665" s="13"/>
      <c r="M24665" s="14"/>
      <c r="N24665" s="14"/>
      <c r="O24665" s="14"/>
      <c r="P24665" s="13"/>
    </row>
    <row r="24666">
      <c r="L24666" s="13"/>
      <c r="M24666" s="14"/>
      <c r="N24666" s="14"/>
      <c r="O24666" s="14"/>
      <c r="P24666" s="13"/>
    </row>
    <row r="24667">
      <c r="L24667" s="13"/>
      <c r="M24667" s="14"/>
      <c r="N24667" s="14"/>
      <c r="O24667" s="14"/>
      <c r="P24667" s="13"/>
    </row>
    <row r="24668">
      <c r="L24668" s="13"/>
      <c r="M24668" s="14"/>
      <c r="N24668" s="14"/>
      <c r="O24668" s="14"/>
      <c r="P24668" s="13"/>
    </row>
    <row r="24669">
      <c r="L24669" s="13"/>
      <c r="M24669" s="14"/>
      <c r="N24669" s="14"/>
      <c r="O24669" s="14"/>
      <c r="P24669" s="13"/>
    </row>
    <row r="24670">
      <c r="L24670" s="13"/>
      <c r="M24670" s="14"/>
      <c r="N24670" s="14"/>
      <c r="O24670" s="14"/>
      <c r="P24670" s="13"/>
    </row>
    <row r="24671">
      <c r="L24671" s="13"/>
      <c r="M24671" s="14"/>
      <c r="N24671" s="14"/>
      <c r="O24671" s="14"/>
      <c r="P24671" s="13"/>
    </row>
    <row r="24672">
      <c r="L24672" s="13"/>
      <c r="M24672" s="14"/>
      <c r="N24672" s="14"/>
      <c r="O24672" s="14"/>
      <c r="P24672" s="13"/>
    </row>
    <row r="24673">
      <c r="L24673" s="13"/>
      <c r="M24673" s="14"/>
      <c r="N24673" s="14"/>
      <c r="O24673" s="14"/>
      <c r="P24673" s="13"/>
    </row>
    <row r="24674">
      <c r="L24674" s="13"/>
      <c r="M24674" s="14"/>
      <c r="N24674" s="14"/>
      <c r="O24674" s="14"/>
      <c r="P24674" s="13"/>
    </row>
    <row r="24675">
      <c r="L24675" s="13"/>
      <c r="M24675" s="14"/>
      <c r="N24675" s="14"/>
      <c r="O24675" s="14"/>
      <c r="P24675" s="13"/>
    </row>
    <row r="24676">
      <c r="L24676" s="13"/>
      <c r="M24676" s="14"/>
      <c r="N24676" s="14"/>
      <c r="O24676" s="14"/>
      <c r="P24676" s="13"/>
    </row>
    <row r="24677">
      <c r="L24677" s="13"/>
      <c r="M24677" s="14"/>
      <c r="N24677" s="14"/>
      <c r="O24677" s="14"/>
      <c r="P24677" s="13"/>
    </row>
    <row r="24678">
      <c r="L24678" s="13"/>
      <c r="M24678" s="14"/>
      <c r="N24678" s="14"/>
      <c r="O24678" s="14"/>
      <c r="P24678" s="13"/>
    </row>
    <row r="24679">
      <c r="L24679" s="13"/>
      <c r="M24679" s="14"/>
      <c r="N24679" s="14"/>
      <c r="O24679" s="14"/>
      <c r="P24679" s="13"/>
    </row>
    <row r="24680">
      <c r="L24680" s="13"/>
      <c r="M24680" s="14"/>
      <c r="N24680" s="14"/>
      <c r="O24680" s="14"/>
      <c r="P24680" s="13"/>
    </row>
    <row r="24681">
      <c r="L24681" s="13"/>
      <c r="M24681" s="14"/>
      <c r="N24681" s="14"/>
      <c r="O24681" s="14"/>
      <c r="P24681" s="13"/>
    </row>
    <row r="24682">
      <c r="L24682" s="13"/>
      <c r="M24682" s="14"/>
      <c r="N24682" s="14"/>
      <c r="O24682" s="14"/>
      <c r="P24682" s="13"/>
    </row>
    <row r="24683">
      <c r="L24683" s="13"/>
      <c r="M24683" s="14"/>
      <c r="N24683" s="14"/>
      <c r="O24683" s="14"/>
      <c r="P24683" s="13"/>
    </row>
    <row r="24684">
      <c r="L24684" s="13"/>
      <c r="M24684" s="14"/>
      <c r="N24684" s="14"/>
      <c r="O24684" s="14"/>
      <c r="P24684" s="13"/>
    </row>
    <row r="24685">
      <c r="L24685" s="13"/>
      <c r="M24685" s="14"/>
      <c r="N24685" s="14"/>
      <c r="O24685" s="14"/>
      <c r="P24685" s="13"/>
    </row>
    <row r="24686">
      <c r="L24686" s="13"/>
      <c r="M24686" s="14"/>
      <c r="N24686" s="14"/>
      <c r="O24686" s="14"/>
      <c r="P24686" s="13"/>
    </row>
    <row r="24687">
      <c r="L24687" s="13"/>
      <c r="M24687" s="14"/>
      <c r="N24687" s="14"/>
      <c r="O24687" s="14"/>
      <c r="P24687" s="13"/>
    </row>
    <row r="24688">
      <c r="L24688" s="13"/>
      <c r="M24688" s="14"/>
      <c r="N24688" s="14"/>
      <c r="O24688" s="14"/>
      <c r="P24688" s="13"/>
    </row>
    <row r="24689">
      <c r="L24689" s="13"/>
      <c r="M24689" s="14"/>
      <c r="N24689" s="14"/>
      <c r="O24689" s="14"/>
      <c r="P24689" s="13"/>
    </row>
    <row r="24690">
      <c r="L24690" s="13"/>
      <c r="M24690" s="14"/>
      <c r="N24690" s="14"/>
      <c r="O24690" s="14"/>
      <c r="P24690" s="13"/>
    </row>
    <row r="24691">
      <c r="L24691" s="13"/>
      <c r="M24691" s="14"/>
      <c r="N24691" s="14"/>
      <c r="O24691" s="14"/>
      <c r="P24691" s="13"/>
    </row>
    <row r="24692">
      <c r="L24692" s="13"/>
      <c r="M24692" s="14"/>
      <c r="N24692" s="14"/>
      <c r="O24692" s="14"/>
      <c r="P24692" s="13"/>
    </row>
    <row r="24693">
      <c r="L24693" s="13"/>
      <c r="M24693" s="14"/>
      <c r="N24693" s="14"/>
      <c r="O24693" s="14"/>
      <c r="P24693" s="13"/>
    </row>
    <row r="24694">
      <c r="L24694" s="13"/>
      <c r="M24694" s="14"/>
      <c r="N24694" s="14"/>
      <c r="O24694" s="14"/>
      <c r="P24694" s="13"/>
    </row>
    <row r="24695">
      <c r="L24695" s="13"/>
      <c r="M24695" s="14"/>
      <c r="N24695" s="14"/>
      <c r="O24695" s="14"/>
      <c r="P24695" s="13"/>
    </row>
    <row r="24696">
      <c r="L24696" s="13"/>
      <c r="M24696" s="14"/>
      <c r="N24696" s="14"/>
      <c r="O24696" s="14"/>
      <c r="P24696" s="13"/>
    </row>
    <row r="24697">
      <c r="L24697" s="13"/>
      <c r="M24697" s="14"/>
      <c r="N24697" s="14"/>
      <c r="O24697" s="14"/>
      <c r="P24697" s="13"/>
    </row>
    <row r="24698">
      <c r="L24698" s="13"/>
      <c r="M24698" s="14"/>
      <c r="N24698" s="14"/>
      <c r="O24698" s="14"/>
      <c r="P24698" s="13"/>
    </row>
    <row r="24699">
      <c r="L24699" s="13"/>
      <c r="M24699" s="14"/>
      <c r="N24699" s="14"/>
      <c r="O24699" s="14"/>
      <c r="P24699" s="13"/>
    </row>
    <row r="24700">
      <c r="L24700" s="13"/>
      <c r="M24700" s="14"/>
      <c r="N24700" s="14"/>
      <c r="O24700" s="14"/>
      <c r="P24700" s="13"/>
    </row>
    <row r="24701">
      <c r="L24701" s="13"/>
      <c r="M24701" s="14"/>
      <c r="N24701" s="14"/>
      <c r="O24701" s="14"/>
      <c r="P24701" s="13"/>
    </row>
    <row r="24702">
      <c r="L24702" s="13"/>
      <c r="M24702" s="14"/>
      <c r="N24702" s="14"/>
      <c r="O24702" s="14"/>
      <c r="P24702" s="13"/>
    </row>
    <row r="24703">
      <c r="L24703" s="13"/>
      <c r="M24703" s="14"/>
      <c r="N24703" s="14"/>
      <c r="O24703" s="14"/>
      <c r="P24703" s="13"/>
    </row>
    <row r="24704">
      <c r="L24704" s="13"/>
      <c r="M24704" s="14"/>
      <c r="N24704" s="14"/>
      <c r="O24704" s="14"/>
      <c r="P24704" s="13"/>
    </row>
    <row r="24705">
      <c r="L24705" s="13"/>
      <c r="M24705" s="14"/>
      <c r="N24705" s="14"/>
      <c r="O24705" s="14"/>
      <c r="P24705" s="13"/>
    </row>
    <row r="24706">
      <c r="L24706" s="13"/>
      <c r="M24706" s="14"/>
      <c r="N24706" s="14"/>
      <c r="O24706" s="14"/>
      <c r="P24706" s="13"/>
    </row>
    <row r="24707">
      <c r="L24707" s="13"/>
      <c r="M24707" s="14"/>
      <c r="N24707" s="14"/>
      <c r="O24707" s="14"/>
      <c r="P24707" s="13"/>
    </row>
    <row r="24708">
      <c r="L24708" s="13"/>
      <c r="M24708" s="14"/>
      <c r="N24708" s="14"/>
      <c r="O24708" s="14"/>
      <c r="P24708" s="13"/>
    </row>
    <row r="24709">
      <c r="L24709" s="13"/>
      <c r="M24709" s="14"/>
      <c r="N24709" s="14"/>
      <c r="O24709" s="14"/>
      <c r="P24709" s="13"/>
    </row>
    <row r="24710">
      <c r="L24710" s="13"/>
      <c r="M24710" s="14"/>
      <c r="N24710" s="14"/>
      <c r="O24710" s="14"/>
      <c r="P24710" s="13"/>
    </row>
    <row r="24711">
      <c r="L24711" s="13"/>
      <c r="M24711" s="14"/>
      <c r="N24711" s="14"/>
      <c r="O24711" s="14"/>
      <c r="P24711" s="13"/>
    </row>
    <row r="24712">
      <c r="L24712" s="13"/>
      <c r="M24712" s="14"/>
      <c r="N24712" s="14"/>
      <c r="O24712" s="14"/>
      <c r="P24712" s="13"/>
    </row>
    <row r="24713">
      <c r="L24713" s="13"/>
      <c r="M24713" s="14"/>
      <c r="N24713" s="14"/>
      <c r="O24713" s="14"/>
      <c r="P24713" s="13"/>
    </row>
    <row r="24714">
      <c r="L24714" s="13"/>
      <c r="M24714" s="14"/>
      <c r="N24714" s="14"/>
      <c r="O24714" s="14"/>
      <c r="P24714" s="13"/>
    </row>
    <row r="24715">
      <c r="L24715" s="13"/>
      <c r="M24715" s="14"/>
      <c r="N24715" s="14"/>
      <c r="O24715" s="14"/>
      <c r="P24715" s="13"/>
    </row>
    <row r="24716">
      <c r="L24716" s="13"/>
      <c r="M24716" s="14"/>
      <c r="N24716" s="14"/>
      <c r="O24716" s="14"/>
      <c r="P24716" s="13"/>
    </row>
    <row r="24717">
      <c r="L24717" s="13"/>
      <c r="M24717" s="14"/>
      <c r="N24717" s="14"/>
      <c r="O24717" s="14"/>
      <c r="P24717" s="13"/>
    </row>
    <row r="24718">
      <c r="L24718" s="13"/>
      <c r="M24718" s="14"/>
      <c r="N24718" s="14"/>
      <c r="O24718" s="14"/>
      <c r="P24718" s="13"/>
    </row>
    <row r="24719">
      <c r="L24719" s="13"/>
      <c r="M24719" s="14"/>
      <c r="N24719" s="14"/>
      <c r="O24719" s="14"/>
      <c r="P24719" s="13"/>
    </row>
    <row r="24720">
      <c r="L24720" s="13"/>
      <c r="M24720" s="14"/>
      <c r="N24720" s="14"/>
      <c r="O24720" s="14"/>
      <c r="P24720" s="13"/>
    </row>
    <row r="24721">
      <c r="L24721" s="13"/>
      <c r="M24721" s="14"/>
      <c r="N24721" s="14"/>
      <c r="O24721" s="14"/>
      <c r="P24721" s="13"/>
    </row>
    <row r="24722">
      <c r="L24722" s="13"/>
      <c r="M24722" s="14"/>
      <c r="N24722" s="14"/>
      <c r="O24722" s="14"/>
      <c r="P24722" s="13"/>
    </row>
    <row r="24723">
      <c r="L24723" s="13"/>
      <c r="M24723" s="14"/>
      <c r="N24723" s="14"/>
      <c r="O24723" s="14"/>
      <c r="P24723" s="13"/>
    </row>
    <row r="24724">
      <c r="L24724" s="13"/>
      <c r="M24724" s="14"/>
      <c r="N24724" s="14"/>
      <c r="O24724" s="14"/>
      <c r="P24724" s="13"/>
    </row>
    <row r="24725">
      <c r="L24725" s="13"/>
      <c r="M24725" s="14"/>
      <c r="N24725" s="14"/>
      <c r="O24725" s="14"/>
      <c r="P24725" s="13"/>
    </row>
    <row r="24726">
      <c r="L24726" s="13"/>
      <c r="M24726" s="14"/>
      <c r="N24726" s="14"/>
      <c r="O24726" s="14"/>
      <c r="P24726" s="13"/>
    </row>
    <row r="24727">
      <c r="L24727" s="13"/>
      <c r="M24727" s="14"/>
      <c r="N24727" s="14"/>
      <c r="O24727" s="14"/>
      <c r="P24727" s="13"/>
    </row>
    <row r="24728">
      <c r="L24728" s="13"/>
      <c r="M24728" s="14"/>
      <c r="N24728" s="14"/>
      <c r="O24728" s="14"/>
      <c r="P24728" s="13"/>
    </row>
    <row r="24729">
      <c r="L24729" s="13"/>
      <c r="M24729" s="14"/>
      <c r="N24729" s="14"/>
      <c r="O24729" s="14"/>
      <c r="P24729" s="13"/>
    </row>
    <row r="24730">
      <c r="L24730" s="13"/>
      <c r="M24730" s="14"/>
      <c r="N24730" s="14"/>
      <c r="O24730" s="14"/>
      <c r="P24730" s="13"/>
    </row>
    <row r="24731">
      <c r="L24731" s="13"/>
      <c r="M24731" s="14"/>
      <c r="N24731" s="14"/>
      <c r="O24731" s="14"/>
      <c r="P24731" s="13"/>
    </row>
    <row r="24732">
      <c r="L24732" s="13"/>
      <c r="M24732" s="14"/>
      <c r="N24732" s="14"/>
      <c r="O24732" s="14"/>
      <c r="P24732" s="13"/>
    </row>
    <row r="24733">
      <c r="L24733" s="13"/>
      <c r="M24733" s="14"/>
      <c r="N24733" s="14"/>
      <c r="O24733" s="14"/>
      <c r="P24733" s="13"/>
    </row>
    <row r="24734">
      <c r="L24734" s="13"/>
      <c r="M24734" s="14"/>
      <c r="N24734" s="14"/>
      <c r="O24734" s="14"/>
      <c r="P24734" s="13"/>
    </row>
    <row r="24735">
      <c r="L24735" s="13"/>
      <c r="M24735" s="14"/>
      <c r="N24735" s="14"/>
      <c r="O24735" s="14"/>
      <c r="P24735" s="13"/>
    </row>
    <row r="24736">
      <c r="L24736" s="13"/>
      <c r="M24736" s="14"/>
      <c r="N24736" s="14"/>
      <c r="O24736" s="14"/>
      <c r="P24736" s="13"/>
    </row>
    <row r="24737">
      <c r="L24737" s="13"/>
      <c r="M24737" s="14"/>
      <c r="N24737" s="14"/>
      <c r="O24737" s="14"/>
      <c r="P24737" s="13"/>
    </row>
    <row r="24738">
      <c r="L24738" s="13"/>
      <c r="M24738" s="14"/>
      <c r="N24738" s="14"/>
      <c r="O24738" s="14"/>
      <c r="P24738" s="13"/>
    </row>
    <row r="24739">
      <c r="L24739" s="13"/>
      <c r="M24739" s="14"/>
      <c r="N24739" s="14"/>
      <c r="O24739" s="14"/>
      <c r="P24739" s="13"/>
    </row>
    <row r="24740">
      <c r="L24740" s="13"/>
      <c r="M24740" s="14"/>
      <c r="N24740" s="14"/>
      <c r="O24740" s="14"/>
      <c r="P24740" s="13"/>
    </row>
    <row r="24741">
      <c r="L24741" s="13"/>
      <c r="M24741" s="14"/>
      <c r="N24741" s="14"/>
      <c r="O24741" s="14"/>
      <c r="P24741" s="13"/>
    </row>
    <row r="24742">
      <c r="L24742" s="13"/>
      <c r="M24742" s="14"/>
      <c r="N24742" s="14"/>
      <c r="O24742" s="14"/>
      <c r="P24742" s="13"/>
    </row>
    <row r="24743">
      <c r="L24743" s="13"/>
      <c r="M24743" s="14"/>
      <c r="N24743" s="14"/>
      <c r="O24743" s="14"/>
      <c r="P24743" s="13"/>
    </row>
    <row r="24744">
      <c r="L24744" s="13"/>
      <c r="M24744" s="14"/>
      <c r="N24744" s="14"/>
      <c r="O24744" s="14"/>
      <c r="P24744" s="13"/>
    </row>
    <row r="24745">
      <c r="L24745" s="13"/>
      <c r="M24745" s="14"/>
      <c r="N24745" s="14"/>
      <c r="O24745" s="14"/>
      <c r="P24745" s="13"/>
    </row>
    <row r="24746">
      <c r="L24746" s="13"/>
      <c r="M24746" s="14"/>
      <c r="N24746" s="14"/>
      <c r="O24746" s="14"/>
      <c r="P24746" s="13"/>
    </row>
    <row r="24747">
      <c r="L24747" s="13"/>
      <c r="M24747" s="14"/>
      <c r="N24747" s="14"/>
      <c r="O24747" s="14"/>
      <c r="P24747" s="13"/>
    </row>
    <row r="24748">
      <c r="L24748" s="13"/>
      <c r="M24748" s="14"/>
      <c r="N24748" s="14"/>
      <c r="O24748" s="14"/>
      <c r="P24748" s="13"/>
    </row>
    <row r="24749">
      <c r="L24749" s="13"/>
      <c r="M24749" s="14"/>
      <c r="N24749" s="14"/>
      <c r="O24749" s="14"/>
      <c r="P24749" s="13"/>
    </row>
    <row r="24750">
      <c r="L24750" s="13"/>
      <c r="M24750" s="14"/>
      <c r="N24750" s="14"/>
      <c r="O24750" s="14"/>
      <c r="P24750" s="13"/>
    </row>
    <row r="24751">
      <c r="L24751" s="13"/>
      <c r="M24751" s="14"/>
      <c r="N24751" s="14"/>
      <c r="O24751" s="14"/>
      <c r="P24751" s="13"/>
    </row>
    <row r="24752">
      <c r="L24752" s="13"/>
      <c r="M24752" s="14"/>
      <c r="N24752" s="14"/>
      <c r="O24752" s="14"/>
      <c r="P24752" s="13"/>
    </row>
    <row r="24753">
      <c r="L24753" s="13"/>
      <c r="M24753" s="14"/>
      <c r="N24753" s="14"/>
      <c r="O24753" s="14"/>
      <c r="P24753" s="13"/>
    </row>
    <row r="24754">
      <c r="L24754" s="13"/>
      <c r="M24754" s="14"/>
      <c r="N24754" s="14"/>
      <c r="O24754" s="14"/>
      <c r="P24754" s="13"/>
    </row>
    <row r="24755">
      <c r="L24755" s="13"/>
      <c r="M24755" s="14"/>
      <c r="N24755" s="14"/>
      <c r="O24755" s="14"/>
      <c r="P24755" s="13"/>
    </row>
    <row r="24756">
      <c r="L24756" s="13"/>
      <c r="M24756" s="14"/>
      <c r="N24756" s="14"/>
      <c r="O24756" s="14"/>
      <c r="P24756" s="13"/>
    </row>
    <row r="24757">
      <c r="L24757" s="13"/>
      <c r="M24757" s="14"/>
      <c r="N24757" s="14"/>
      <c r="O24757" s="14"/>
      <c r="P24757" s="13"/>
    </row>
    <row r="24758">
      <c r="L24758" s="13"/>
      <c r="M24758" s="14"/>
      <c r="N24758" s="14"/>
      <c r="O24758" s="14"/>
      <c r="P24758" s="13"/>
    </row>
    <row r="24759">
      <c r="L24759" s="13"/>
      <c r="M24759" s="14"/>
      <c r="N24759" s="14"/>
      <c r="O24759" s="14"/>
      <c r="P24759" s="13"/>
    </row>
    <row r="24760">
      <c r="L24760" s="13"/>
      <c r="M24760" s="14"/>
      <c r="N24760" s="14"/>
      <c r="O24760" s="14"/>
      <c r="P24760" s="13"/>
    </row>
    <row r="24761">
      <c r="L24761" s="13"/>
      <c r="M24761" s="14"/>
      <c r="N24761" s="14"/>
      <c r="O24761" s="14"/>
      <c r="P24761" s="13"/>
    </row>
    <row r="24762">
      <c r="L24762" s="13"/>
      <c r="M24762" s="14"/>
      <c r="N24762" s="14"/>
      <c r="O24762" s="14"/>
      <c r="P24762" s="13"/>
    </row>
    <row r="24763">
      <c r="L24763" s="13"/>
      <c r="M24763" s="14"/>
      <c r="N24763" s="14"/>
      <c r="O24763" s="14"/>
      <c r="P24763" s="13"/>
    </row>
    <row r="24764">
      <c r="L24764" s="13"/>
      <c r="M24764" s="14"/>
      <c r="N24764" s="14"/>
      <c r="O24764" s="14"/>
      <c r="P24764" s="13"/>
    </row>
    <row r="24765">
      <c r="L24765" s="13"/>
      <c r="M24765" s="14"/>
      <c r="N24765" s="14"/>
      <c r="O24765" s="14"/>
      <c r="P24765" s="13"/>
    </row>
    <row r="24766">
      <c r="L24766" s="13"/>
      <c r="M24766" s="14"/>
      <c r="N24766" s="14"/>
      <c r="O24766" s="14"/>
      <c r="P24766" s="13"/>
    </row>
    <row r="24767">
      <c r="L24767" s="13"/>
      <c r="M24767" s="14"/>
      <c r="N24767" s="14"/>
      <c r="O24767" s="14"/>
      <c r="P24767" s="13"/>
    </row>
    <row r="24768">
      <c r="L24768" s="13"/>
      <c r="M24768" s="14"/>
      <c r="N24768" s="14"/>
      <c r="O24768" s="14"/>
      <c r="P24768" s="13"/>
    </row>
    <row r="24769">
      <c r="L24769" s="13"/>
      <c r="M24769" s="14"/>
      <c r="N24769" s="14"/>
      <c r="O24769" s="14"/>
      <c r="P24769" s="13"/>
    </row>
    <row r="24770">
      <c r="L24770" s="13"/>
      <c r="M24770" s="14"/>
      <c r="N24770" s="14"/>
      <c r="O24770" s="14"/>
      <c r="P24770" s="13"/>
    </row>
    <row r="24771">
      <c r="L24771" s="13"/>
      <c r="M24771" s="14"/>
      <c r="N24771" s="14"/>
      <c r="O24771" s="14"/>
      <c r="P24771" s="13"/>
    </row>
    <row r="24772">
      <c r="L24772" s="13"/>
      <c r="M24772" s="14"/>
      <c r="N24772" s="14"/>
      <c r="O24772" s="14"/>
      <c r="P24772" s="13"/>
    </row>
    <row r="24773">
      <c r="L24773" s="13"/>
      <c r="M24773" s="14"/>
      <c r="N24773" s="14"/>
      <c r="O24773" s="14"/>
      <c r="P24773" s="13"/>
    </row>
    <row r="24774">
      <c r="L24774" s="13"/>
      <c r="M24774" s="14"/>
      <c r="N24774" s="14"/>
      <c r="O24774" s="14"/>
      <c r="P24774" s="13"/>
    </row>
    <row r="24775">
      <c r="L24775" s="13"/>
      <c r="M24775" s="14"/>
      <c r="N24775" s="14"/>
      <c r="O24775" s="14"/>
      <c r="P24775" s="13"/>
    </row>
    <row r="24776">
      <c r="L24776" s="13"/>
      <c r="M24776" s="14"/>
      <c r="N24776" s="14"/>
      <c r="O24776" s="14"/>
      <c r="P24776" s="13"/>
    </row>
    <row r="24777">
      <c r="L24777" s="13"/>
      <c r="M24777" s="14"/>
      <c r="N24777" s="14"/>
      <c r="O24777" s="14"/>
      <c r="P24777" s="13"/>
    </row>
    <row r="24778">
      <c r="L24778" s="13"/>
      <c r="M24778" s="14"/>
      <c r="N24778" s="14"/>
      <c r="O24778" s="14"/>
      <c r="P24778" s="13"/>
    </row>
    <row r="24779">
      <c r="L24779" s="13"/>
      <c r="M24779" s="14"/>
      <c r="N24779" s="14"/>
      <c r="O24779" s="14"/>
      <c r="P24779" s="13"/>
    </row>
    <row r="24780">
      <c r="L24780" s="13"/>
      <c r="M24780" s="14"/>
      <c r="N24780" s="14"/>
      <c r="O24780" s="14"/>
      <c r="P24780" s="13"/>
    </row>
    <row r="24781">
      <c r="L24781" s="13"/>
      <c r="M24781" s="14"/>
      <c r="N24781" s="14"/>
      <c r="O24781" s="14"/>
      <c r="P24781" s="13"/>
    </row>
    <row r="24782">
      <c r="L24782" s="13"/>
      <c r="M24782" s="14"/>
      <c r="N24782" s="14"/>
      <c r="O24782" s="14"/>
      <c r="P24782" s="13"/>
    </row>
    <row r="24783">
      <c r="L24783" s="13"/>
      <c r="M24783" s="14"/>
      <c r="N24783" s="14"/>
      <c r="O24783" s="14"/>
      <c r="P24783" s="13"/>
    </row>
    <row r="24784">
      <c r="L24784" s="13"/>
      <c r="M24784" s="14"/>
      <c r="N24784" s="14"/>
      <c r="O24784" s="14"/>
      <c r="P24784" s="13"/>
    </row>
    <row r="24785">
      <c r="L24785" s="13"/>
      <c r="M24785" s="14"/>
      <c r="N24785" s="14"/>
      <c r="O24785" s="14"/>
      <c r="P24785" s="13"/>
    </row>
    <row r="24786">
      <c r="L24786" s="13"/>
      <c r="M24786" s="14"/>
      <c r="N24786" s="14"/>
      <c r="O24786" s="14"/>
      <c r="P24786" s="13"/>
    </row>
    <row r="24787">
      <c r="L24787" s="13"/>
      <c r="M24787" s="14"/>
      <c r="N24787" s="14"/>
      <c r="O24787" s="14"/>
      <c r="P24787" s="13"/>
    </row>
    <row r="24788">
      <c r="L24788" s="13"/>
      <c r="M24788" s="14"/>
      <c r="N24788" s="14"/>
      <c r="O24788" s="14"/>
      <c r="P24788" s="13"/>
    </row>
    <row r="24789">
      <c r="L24789" s="13"/>
      <c r="M24789" s="14"/>
      <c r="N24789" s="14"/>
      <c r="O24789" s="14"/>
      <c r="P24789" s="13"/>
    </row>
    <row r="24790">
      <c r="L24790" s="13"/>
      <c r="M24790" s="14"/>
      <c r="N24790" s="14"/>
      <c r="O24790" s="14"/>
      <c r="P24790" s="13"/>
    </row>
    <row r="24791">
      <c r="L24791" s="13"/>
      <c r="M24791" s="14"/>
      <c r="N24791" s="14"/>
      <c r="O24791" s="14"/>
      <c r="P24791" s="13"/>
    </row>
    <row r="24792">
      <c r="L24792" s="13"/>
      <c r="M24792" s="14"/>
      <c r="N24792" s="14"/>
      <c r="O24792" s="14"/>
      <c r="P24792" s="13"/>
    </row>
    <row r="24793">
      <c r="L24793" s="13"/>
      <c r="M24793" s="14"/>
      <c r="N24793" s="14"/>
      <c r="O24793" s="14"/>
      <c r="P24793" s="13"/>
    </row>
    <row r="24794">
      <c r="L24794" s="13"/>
      <c r="M24794" s="14"/>
      <c r="N24794" s="14"/>
      <c r="O24794" s="14"/>
      <c r="P24794" s="13"/>
    </row>
    <row r="24795">
      <c r="L24795" s="13"/>
      <c r="M24795" s="14"/>
      <c r="N24795" s="14"/>
      <c r="O24795" s="14"/>
      <c r="P24795" s="13"/>
    </row>
    <row r="24796">
      <c r="L24796" s="13"/>
      <c r="M24796" s="14"/>
      <c r="N24796" s="14"/>
      <c r="O24796" s="14"/>
      <c r="P24796" s="13"/>
    </row>
    <row r="24797">
      <c r="L24797" s="13"/>
      <c r="M24797" s="14"/>
      <c r="N24797" s="14"/>
      <c r="O24797" s="14"/>
      <c r="P24797" s="13"/>
    </row>
    <row r="24798">
      <c r="L24798" s="13"/>
      <c r="M24798" s="14"/>
      <c r="N24798" s="14"/>
      <c r="O24798" s="14"/>
      <c r="P24798" s="13"/>
    </row>
    <row r="24799">
      <c r="L24799" s="13"/>
      <c r="M24799" s="14"/>
      <c r="N24799" s="14"/>
      <c r="O24799" s="14"/>
      <c r="P24799" s="13"/>
    </row>
    <row r="24800">
      <c r="L24800" s="13"/>
      <c r="M24800" s="14"/>
      <c r="N24800" s="14"/>
      <c r="O24800" s="14"/>
      <c r="P24800" s="13"/>
    </row>
    <row r="24801">
      <c r="L24801" s="13"/>
      <c r="M24801" s="14"/>
      <c r="N24801" s="14"/>
      <c r="O24801" s="14"/>
      <c r="P24801" s="13"/>
    </row>
    <row r="24802">
      <c r="L24802" s="13"/>
      <c r="M24802" s="14"/>
      <c r="N24802" s="14"/>
      <c r="O24802" s="14"/>
      <c r="P24802" s="13"/>
    </row>
    <row r="24803">
      <c r="L24803" s="13"/>
      <c r="M24803" s="14"/>
      <c r="N24803" s="14"/>
      <c r="O24803" s="14"/>
      <c r="P24803" s="13"/>
    </row>
    <row r="24804">
      <c r="L24804" s="13"/>
      <c r="M24804" s="14"/>
      <c r="N24804" s="14"/>
      <c r="O24804" s="14"/>
      <c r="P24804" s="13"/>
    </row>
    <row r="24805">
      <c r="L24805" s="13"/>
      <c r="M24805" s="14"/>
      <c r="N24805" s="14"/>
      <c r="O24805" s="14"/>
      <c r="P24805" s="13"/>
    </row>
    <row r="24806">
      <c r="L24806" s="13"/>
      <c r="M24806" s="14"/>
      <c r="N24806" s="14"/>
      <c r="O24806" s="14"/>
      <c r="P24806" s="13"/>
    </row>
    <row r="24807">
      <c r="L24807" s="13"/>
      <c r="M24807" s="14"/>
      <c r="N24807" s="14"/>
      <c r="O24807" s="14"/>
      <c r="P24807" s="13"/>
    </row>
    <row r="24808">
      <c r="L24808" s="13"/>
      <c r="M24808" s="14"/>
      <c r="N24808" s="14"/>
      <c r="O24808" s="14"/>
      <c r="P24808" s="13"/>
    </row>
    <row r="24809">
      <c r="L24809" s="13"/>
      <c r="M24809" s="14"/>
      <c r="N24809" s="14"/>
      <c r="O24809" s="14"/>
      <c r="P24809" s="13"/>
    </row>
    <row r="24810">
      <c r="L24810" s="13"/>
      <c r="M24810" s="14"/>
      <c r="N24810" s="14"/>
      <c r="O24810" s="14"/>
      <c r="P24810" s="13"/>
    </row>
    <row r="24811">
      <c r="L24811" s="13"/>
      <c r="M24811" s="14"/>
      <c r="N24811" s="14"/>
      <c r="O24811" s="14"/>
      <c r="P24811" s="13"/>
    </row>
    <row r="24812">
      <c r="L24812" s="13"/>
      <c r="M24812" s="14"/>
      <c r="N24812" s="14"/>
      <c r="O24812" s="14"/>
      <c r="P24812" s="13"/>
    </row>
    <row r="24813">
      <c r="L24813" s="13"/>
      <c r="M24813" s="14"/>
      <c r="N24813" s="14"/>
      <c r="O24813" s="14"/>
      <c r="P24813" s="13"/>
    </row>
    <row r="24814">
      <c r="L24814" s="13"/>
      <c r="M24814" s="14"/>
      <c r="N24814" s="14"/>
      <c r="O24814" s="14"/>
      <c r="P24814" s="13"/>
    </row>
    <row r="24815">
      <c r="L24815" s="13"/>
      <c r="M24815" s="14"/>
      <c r="N24815" s="14"/>
      <c r="O24815" s="14"/>
      <c r="P24815" s="13"/>
    </row>
    <row r="24816">
      <c r="L24816" s="13"/>
      <c r="M24816" s="14"/>
      <c r="N24816" s="14"/>
      <c r="O24816" s="14"/>
      <c r="P24816" s="13"/>
    </row>
    <row r="24817">
      <c r="L24817" s="13"/>
      <c r="M24817" s="14"/>
      <c r="N24817" s="14"/>
      <c r="O24817" s="14"/>
      <c r="P24817" s="13"/>
    </row>
    <row r="24818">
      <c r="L24818" s="13"/>
      <c r="M24818" s="14"/>
      <c r="N24818" s="14"/>
      <c r="O24818" s="14"/>
      <c r="P24818" s="13"/>
    </row>
    <row r="24819">
      <c r="L24819" s="13"/>
      <c r="M24819" s="14"/>
      <c r="N24819" s="14"/>
      <c r="O24819" s="14"/>
      <c r="P24819" s="13"/>
    </row>
    <row r="24820">
      <c r="L24820" s="13"/>
      <c r="M24820" s="14"/>
      <c r="N24820" s="14"/>
      <c r="O24820" s="14"/>
      <c r="P24820" s="13"/>
    </row>
    <row r="24821">
      <c r="L24821" s="13"/>
      <c r="M24821" s="14"/>
      <c r="N24821" s="14"/>
      <c r="O24821" s="14"/>
      <c r="P24821" s="13"/>
    </row>
    <row r="24822">
      <c r="L24822" s="13"/>
      <c r="M24822" s="14"/>
      <c r="N24822" s="14"/>
      <c r="O24822" s="14"/>
      <c r="P24822" s="13"/>
    </row>
    <row r="24823">
      <c r="L24823" s="13"/>
      <c r="M24823" s="14"/>
      <c r="N24823" s="14"/>
      <c r="O24823" s="14"/>
      <c r="P24823" s="13"/>
    </row>
    <row r="24824">
      <c r="L24824" s="13"/>
      <c r="M24824" s="14"/>
      <c r="N24824" s="14"/>
      <c r="O24824" s="14"/>
      <c r="P24824" s="13"/>
    </row>
    <row r="24825">
      <c r="L24825" s="13"/>
      <c r="M24825" s="14"/>
      <c r="N24825" s="14"/>
      <c r="O24825" s="14"/>
      <c r="P24825" s="13"/>
    </row>
    <row r="24826">
      <c r="L24826" s="13"/>
      <c r="M24826" s="14"/>
      <c r="N24826" s="14"/>
      <c r="O24826" s="14"/>
      <c r="P24826" s="13"/>
    </row>
    <row r="24827">
      <c r="L24827" s="13"/>
      <c r="M24827" s="14"/>
      <c r="N24827" s="14"/>
      <c r="O24827" s="14"/>
      <c r="P24827" s="13"/>
    </row>
    <row r="24828">
      <c r="L24828" s="13"/>
      <c r="M24828" s="14"/>
      <c r="N24828" s="14"/>
      <c r="O24828" s="14"/>
      <c r="P24828" s="13"/>
    </row>
    <row r="24829">
      <c r="L24829" s="13"/>
      <c r="M24829" s="14"/>
      <c r="N24829" s="14"/>
      <c r="O24829" s="14"/>
      <c r="P24829" s="13"/>
    </row>
    <row r="24830">
      <c r="L24830" s="13"/>
      <c r="M24830" s="14"/>
      <c r="N24830" s="14"/>
      <c r="O24830" s="14"/>
      <c r="P24830" s="13"/>
    </row>
    <row r="24831">
      <c r="L24831" s="13"/>
      <c r="M24831" s="14"/>
      <c r="N24831" s="14"/>
      <c r="O24831" s="14"/>
      <c r="P24831" s="13"/>
    </row>
    <row r="24832">
      <c r="L24832" s="13"/>
      <c r="M24832" s="14"/>
      <c r="N24832" s="14"/>
      <c r="O24832" s="14"/>
      <c r="P24832" s="13"/>
    </row>
    <row r="24833">
      <c r="L24833" s="13"/>
      <c r="M24833" s="14"/>
      <c r="N24833" s="14"/>
      <c r="O24833" s="14"/>
      <c r="P24833" s="13"/>
    </row>
    <row r="24834">
      <c r="L24834" s="13"/>
      <c r="M24834" s="14"/>
      <c r="N24834" s="14"/>
      <c r="O24834" s="14"/>
      <c r="P24834" s="13"/>
    </row>
    <row r="24835">
      <c r="L24835" s="13"/>
      <c r="M24835" s="14"/>
      <c r="N24835" s="14"/>
      <c r="O24835" s="14"/>
      <c r="P24835" s="13"/>
    </row>
    <row r="24836">
      <c r="L24836" s="13"/>
      <c r="M24836" s="14"/>
      <c r="N24836" s="14"/>
      <c r="O24836" s="14"/>
      <c r="P24836" s="13"/>
    </row>
    <row r="24837">
      <c r="L24837" s="13"/>
      <c r="M24837" s="14"/>
      <c r="N24837" s="14"/>
      <c r="O24837" s="14"/>
      <c r="P24837" s="13"/>
    </row>
    <row r="24838">
      <c r="L24838" s="13"/>
      <c r="M24838" s="14"/>
      <c r="N24838" s="14"/>
      <c r="O24838" s="14"/>
      <c r="P24838" s="13"/>
    </row>
    <row r="24839">
      <c r="L24839" s="13"/>
      <c r="M24839" s="14"/>
      <c r="N24839" s="14"/>
      <c r="O24839" s="14"/>
      <c r="P24839" s="13"/>
    </row>
    <row r="24840">
      <c r="L24840" s="13"/>
      <c r="M24840" s="14"/>
      <c r="N24840" s="14"/>
      <c r="O24840" s="14"/>
      <c r="P24840" s="13"/>
    </row>
    <row r="24841">
      <c r="L24841" s="13"/>
      <c r="M24841" s="14"/>
      <c r="N24841" s="14"/>
      <c r="O24841" s="14"/>
      <c r="P24841" s="13"/>
    </row>
    <row r="24842">
      <c r="L24842" s="13"/>
      <c r="M24842" s="14"/>
      <c r="N24842" s="14"/>
      <c r="O24842" s="14"/>
      <c r="P24842" s="13"/>
    </row>
    <row r="24843">
      <c r="L24843" s="13"/>
      <c r="M24843" s="14"/>
      <c r="N24843" s="14"/>
      <c r="O24843" s="14"/>
      <c r="P24843" s="13"/>
    </row>
    <row r="24844">
      <c r="L24844" s="13"/>
      <c r="M24844" s="14"/>
      <c r="N24844" s="14"/>
      <c r="O24844" s="14"/>
      <c r="P24844" s="13"/>
    </row>
    <row r="24845">
      <c r="L24845" s="13"/>
      <c r="M24845" s="14"/>
      <c r="N24845" s="14"/>
      <c r="O24845" s="14"/>
      <c r="P24845" s="13"/>
    </row>
    <row r="24846">
      <c r="L24846" s="13"/>
      <c r="M24846" s="14"/>
      <c r="N24846" s="14"/>
      <c r="O24846" s="14"/>
      <c r="P24846" s="13"/>
    </row>
    <row r="24847">
      <c r="L24847" s="13"/>
      <c r="M24847" s="14"/>
      <c r="N24847" s="14"/>
      <c r="O24847" s="14"/>
      <c r="P24847" s="13"/>
    </row>
    <row r="24848">
      <c r="L24848" s="13"/>
      <c r="M24848" s="14"/>
      <c r="N24848" s="14"/>
      <c r="O24848" s="14"/>
      <c r="P24848" s="13"/>
    </row>
    <row r="24849">
      <c r="L24849" s="13"/>
      <c r="M24849" s="14"/>
      <c r="N24849" s="14"/>
      <c r="O24849" s="14"/>
      <c r="P24849" s="13"/>
    </row>
    <row r="24850">
      <c r="L24850" s="13"/>
      <c r="M24850" s="14"/>
      <c r="N24850" s="14"/>
      <c r="O24850" s="14"/>
      <c r="P24850" s="13"/>
    </row>
    <row r="24851">
      <c r="L24851" s="13"/>
      <c r="M24851" s="14"/>
      <c r="N24851" s="14"/>
      <c r="O24851" s="14"/>
      <c r="P24851" s="13"/>
    </row>
    <row r="24852">
      <c r="L24852" s="13"/>
      <c r="M24852" s="14"/>
      <c r="N24852" s="14"/>
      <c r="O24852" s="14"/>
      <c r="P24852" s="13"/>
    </row>
    <row r="24853">
      <c r="L24853" s="13"/>
      <c r="M24853" s="14"/>
      <c r="N24853" s="14"/>
      <c r="O24853" s="14"/>
      <c r="P24853" s="13"/>
    </row>
    <row r="24854">
      <c r="L24854" s="13"/>
      <c r="M24854" s="14"/>
      <c r="N24854" s="14"/>
      <c r="O24854" s="14"/>
      <c r="P24854" s="13"/>
    </row>
    <row r="24855">
      <c r="L24855" s="13"/>
      <c r="M24855" s="14"/>
      <c r="N24855" s="14"/>
      <c r="O24855" s="14"/>
      <c r="P24855" s="13"/>
    </row>
    <row r="24856">
      <c r="L24856" s="13"/>
      <c r="M24856" s="14"/>
      <c r="N24856" s="14"/>
      <c r="O24856" s="14"/>
      <c r="P24856" s="13"/>
    </row>
    <row r="24857">
      <c r="L24857" s="13"/>
      <c r="M24857" s="14"/>
      <c r="N24857" s="14"/>
      <c r="O24857" s="14"/>
      <c r="P24857" s="13"/>
    </row>
    <row r="24858">
      <c r="L24858" s="13"/>
      <c r="M24858" s="14"/>
      <c r="N24858" s="14"/>
      <c r="O24858" s="14"/>
      <c r="P24858" s="13"/>
    </row>
    <row r="24859">
      <c r="L24859" s="13"/>
      <c r="M24859" s="14"/>
      <c r="N24859" s="14"/>
      <c r="O24859" s="14"/>
      <c r="P24859" s="13"/>
    </row>
    <row r="24860">
      <c r="L24860" s="13"/>
      <c r="M24860" s="14"/>
      <c r="N24860" s="14"/>
      <c r="O24860" s="14"/>
      <c r="P24860" s="13"/>
    </row>
    <row r="24861">
      <c r="L24861" s="13"/>
      <c r="M24861" s="14"/>
      <c r="N24861" s="14"/>
      <c r="O24861" s="14"/>
      <c r="P24861" s="13"/>
    </row>
    <row r="24862">
      <c r="L24862" s="13"/>
      <c r="M24862" s="14"/>
      <c r="N24862" s="14"/>
      <c r="O24862" s="14"/>
      <c r="P24862" s="13"/>
    </row>
    <row r="24863">
      <c r="L24863" s="13"/>
      <c r="M24863" s="14"/>
      <c r="N24863" s="14"/>
      <c r="O24863" s="14"/>
      <c r="P24863" s="13"/>
    </row>
    <row r="24864">
      <c r="L24864" s="13"/>
      <c r="M24864" s="14"/>
      <c r="N24864" s="14"/>
      <c r="O24864" s="14"/>
      <c r="P24864" s="13"/>
    </row>
    <row r="24865">
      <c r="L24865" s="13"/>
      <c r="M24865" s="14"/>
      <c r="N24865" s="14"/>
      <c r="O24865" s="14"/>
      <c r="P24865" s="13"/>
    </row>
    <row r="24866">
      <c r="L24866" s="13"/>
      <c r="M24866" s="14"/>
      <c r="N24866" s="14"/>
      <c r="O24866" s="14"/>
      <c r="P24866" s="13"/>
    </row>
    <row r="24867">
      <c r="L24867" s="13"/>
      <c r="M24867" s="14"/>
      <c r="N24867" s="14"/>
      <c r="O24867" s="14"/>
      <c r="P24867" s="13"/>
    </row>
    <row r="24868">
      <c r="L24868" s="13"/>
      <c r="M24868" s="14"/>
      <c r="N24868" s="14"/>
      <c r="O24868" s="14"/>
      <c r="P24868" s="13"/>
    </row>
    <row r="24869">
      <c r="L24869" s="13"/>
      <c r="M24869" s="14"/>
      <c r="N24869" s="14"/>
      <c r="O24869" s="14"/>
      <c r="P24869" s="13"/>
    </row>
    <row r="24870">
      <c r="L24870" s="13"/>
      <c r="M24870" s="14"/>
      <c r="N24870" s="14"/>
      <c r="O24870" s="14"/>
      <c r="P24870" s="13"/>
    </row>
    <row r="24871">
      <c r="L24871" s="13"/>
      <c r="M24871" s="14"/>
      <c r="N24871" s="14"/>
      <c r="O24871" s="14"/>
      <c r="P24871" s="13"/>
    </row>
    <row r="24872">
      <c r="L24872" s="13"/>
      <c r="M24872" s="14"/>
      <c r="N24872" s="14"/>
      <c r="O24872" s="14"/>
      <c r="P24872" s="13"/>
    </row>
    <row r="24873">
      <c r="L24873" s="13"/>
      <c r="M24873" s="14"/>
      <c r="N24873" s="14"/>
      <c r="O24873" s="14"/>
      <c r="P24873" s="13"/>
    </row>
    <row r="24874">
      <c r="L24874" s="13"/>
      <c r="M24874" s="14"/>
      <c r="N24874" s="14"/>
      <c r="O24874" s="14"/>
      <c r="P24874" s="13"/>
    </row>
    <row r="24875">
      <c r="L24875" s="13"/>
      <c r="M24875" s="14"/>
      <c r="N24875" s="14"/>
      <c r="O24875" s="14"/>
      <c r="P24875" s="13"/>
    </row>
    <row r="24876">
      <c r="L24876" s="13"/>
      <c r="M24876" s="14"/>
      <c r="N24876" s="14"/>
      <c r="O24876" s="14"/>
      <c r="P24876" s="13"/>
    </row>
    <row r="24877">
      <c r="L24877" s="13"/>
      <c r="M24877" s="14"/>
      <c r="N24877" s="14"/>
      <c r="O24877" s="14"/>
      <c r="P24877" s="13"/>
    </row>
    <row r="24878">
      <c r="L24878" s="13"/>
      <c r="M24878" s="14"/>
      <c r="N24878" s="14"/>
      <c r="O24878" s="14"/>
      <c r="P24878" s="13"/>
    </row>
    <row r="24879">
      <c r="L24879" s="13"/>
      <c r="M24879" s="14"/>
      <c r="N24879" s="14"/>
      <c r="O24879" s="14"/>
      <c r="P24879" s="13"/>
    </row>
    <row r="24880">
      <c r="L24880" s="13"/>
      <c r="M24880" s="14"/>
      <c r="N24880" s="14"/>
      <c r="O24880" s="14"/>
      <c r="P24880" s="13"/>
    </row>
    <row r="24881">
      <c r="L24881" s="13"/>
      <c r="M24881" s="14"/>
      <c r="N24881" s="14"/>
      <c r="O24881" s="14"/>
      <c r="P24881" s="13"/>
    </row>
    <row r="24882">
      <c r="L24882" s="13"/>
      <c r="M24882" s="14"/>
      <c r="N24882" s="14"/>
      <c r="O24882" s="14"/>
      <c r="P24882" s="13"/>
    </row>
    <row r="24883">
      <c r="L24883" s="13"/>
      <c r="M24883" s="14"/>
      <c r="N24883" s="14"/>
      <c r="O24883" s="14"/>
      <c r="P24883" s="13"/>
    </row>
    <row r="24884">
      <c r="L24884" s="13"/>
      <c r="M24884" s="14"/>
      <c r="N24884" s="14"/>
      <c r="O24884" s="14"/>
      <c r="P24884" s="13"/>
    </row>
    <row r="24885">
      <c r="L24885" s="13"/>
      <c r="M24885" s="14"/>
      <c r="N24885" s="14"/>
      <c r="O24885" s="14"/>
      <c r="P24885" s="13"/>
    </row>
    <row r="24886">
      <c r="L24886" s="13"/>
      <c r="M24886" s="14"/>
      <c r="N24886" s="14"/>
      <c r="O24886" s="14"/>
      <c r="P24886" s="13"/>
    </row>
    <row r="24887">
      <c r="L24887" s="13"/>
      <c r="M24887" s="14"/>
      <c r="N24887" s="14"/>
      <c r="O24887" s="14"/>
      <c r="P24887" s="13"/>
    </row>
    <row r="24888">
      <c r="L24888" s="13"/>
      <c r="M24888" s="14"/>
      <c r="N24888" s="14"/>
      <c r="O24888" s="14"/>
      <c r="P24888" s="13"/>
    </row>
    <row r="24889">
      <c r="L24889" s="13"/>
      <c r="M24889" s="14"/>
      <c r="N24889" s="14"/>
      <c r="O24889" s="14"/>
      <c r="P24889" s="13"/>
    </row>
    <row r="24890">
      <c r="L24890" s="13"/>
      <c r="M24890" s="14"/>
      <c r="N24890" s="14"/>
      <c r="O24890" s="14"/>
      <c r="P24890" s="13"/>
    </row>
    <row r="24891">
      <c r="L24891" s="13"/>
      <c r="M24891" s="14"/>
      <c r="N24891" s="14"/>
      <c r="O24891" s="14"/>
      <c r="P24891" s="13"/>
    </row>
    <row r="24892">
      <c r="L24892" s="13"/>
      <c r="M24892" s="14"/>
      <c r="N24892" s="14"/>
      <c r="O24892" s="14"/>
      <c r="P24892" s="13"/>
    </row>
    <row r="24893">
      <c r="L24893" s="13"/>
      <c r="M24893" s="14"/>
      <c r="N24893" s="14"/>
      <c r="O24893" s="14"/>
      <c r="P24893" s="13"/>
    </row>
    <row r="24894">
      <c r="L24894" s="13"/>
      <c r="M24894" s="14"/>
      <c r="N24894" s="14"/>
      <c r="O24894" s="14"/>
      <c r="P24894" s="13"/>
    </row>
    <row r="24895">
      <c r="L24895" s="13"/>
      <c r="M24895" s="14"/>
      <c r="N24895" s="14"/>
      <c r="O24895" s="14"/>
      <c r="P24895" s="13"/>
    </row>
    <row r="24896">
      <c r="L24896" s="13"/>
      <c r="M24896" s="14"/>
      <c r="N24896" s="14"/>
      <c r="O24896" s="14"/>
      <c r="P24896" s="13"/>
    </row>
    <row r="24897">
      <c r="L24897" s="13"/>
      <c r="M24897" s="14"/>
      <c r="N24897" s="14"/>
      <c r="O24897" s="14"/>
      <c r="P24897" s="13"/>
    </row>
    <row r="24898">
      <c r="L24898" s="13"/>
      <c r="M24898" s="14"/>
      <c r="N24898" s="14"/>
      <c r="O24898" s="14"/>
      <c r="P24898" s="13"/>
    </row>
    <row r="24899">
      <c r="L24899" s="13"/>
      <c r="M24899" s="14"/>
      <c r="N24899" s="14"/>
      <c r="O24899" s="14"/>
      <c r="P24899" s="13"/>
    </row>
    <row r="24900">
      <c r="L24900" s="13"/>
      <c r="M24900" s="14"/>
      <c r="N24900" s="14"/>
      <c r="O24900" s="14"/>
      <c r="P24900" s="13"/>
    </row>
    <row r="24901">
      <c r="L24901" s="13"/>
      <c r="M24901" s="14"/>
      <c r="N24901" s="14"/>
      <c r="O24901" s="14"/>
      <c r="P24901" s="13"/>
    </row>
    <row r="24902">
      <c r="L24902" s="13"/>
      <c r="M24902" s="14"/>
      <c r="N24902" s="14"/>
      <c r="O24902" s="14"/>
      <c r="P24902" s="13"/>
    </row>
    <row r="24903">
      <c r="L24903" s="13"/>
      <c r="M24903" s="14"/>
      <c r="N24903" s="14"/>
      <c r="O24903" s="14"/>
      <c r="P24903" s="13"/>
    </row>
    <row r="24904">
      <c r="L24904" s="13"/>
      <c r="M24904" s="14"/>
      <c r="N24904" s="14"/>
      <c r="O24904" s="14"/>
      <c r="P24904" s="13"/>
    </row>
    <row r="24905">
      <c r="L24905" s="13"/>
      <c r="M24905" s="14"/>
      <c r="N24905" s="14"/>
      <c r="O24905" s="14"/>
      <c r="P24905" s="13"/>
    </row>
    <row r="24906">
      <c r="L24906" s="13"/>
      <c r="M24906" s="14"/>
      <c r="N24906" s="14"/>
      <c r="O24906" s="14"/>
      <c r="P24906" s="13"/>
    </row>
    <row r="24907">
      <c r="L24907" s="13"/>
      <c r="M24907" s="14"/>
      <c r="N24907" s="14"/>
      <c r="O24907" s="14"/>
      <c r="P24907" s="13"/>
    </row>
    <row r="24908">
      <c r="L24908" s="13"/>
      <c r="M24908" s="14"/>
      <c r="N24908" s="14"/>
      <c r="O24908" s="14"/>
      <c r="P24908" s="13"/>
    </row>
    <row r="24909">
      <c r="L24909" s="13"/>
      <c r="M24909" s="14"/>
      <c r="N24909" s="14"/>
      <c r="O24909" s="14"/>
      <c r="P24909" s="13"/>
    </row>
    <row r="24910">
      <c r="L24910" s="13"/>
      <c r="M24910" s="14"/>
      <c r="N24910" s="14"/>
      <c r="O24910" s="14"/>
      <c r="P24910" s="13"/>
    </row>
    <row r="24911">
      <c r="L24911" s="13"/>
      <c r="M24911" s="14"/>
      <c r="N24911" s="14"/>
      <c r="O24911" s="14"/>
      <c r="P24911" s="13"/>
    </row>
    <row r="24912">
      <c r="L24912" s="13"/>
      <c r="M24912" s="14"/>
      <c r="N24912" s="14"/>
      <c r="O24912" s="14"/>
      <c r="P24912" s="13"/>
    </row>
    <row r="24913">
      <c r="L24913" s="13"/>
      <c r="M24913" s="14"/>
      <c r="N24913" s="14"/>
      <c r="O24913" s="14"/>
      <c r="P24913" s="13"/>
    </row>
    <row r="24914">
      <c r="L24914" s="13"/>
      <c r="M24914" s="14"/>
      <c r="N24914" s="14"/>
      <c r="O24914" s="14"/>
      <c r="P24914" s="13"/>
    </row>
    <row r="24915">
      <c r="L24915" s="13"/>
      <c r="M24915" s="14"/>
      <c r="N24915" s="14"/>
      <c r="O24915" s="14"/>
      <c r="P24915" s="13"/>
    </row>
    <row r="24916">
      <c r="L24916" s="13"/>
      <c r="M24916" s="14"/>
      <c r="N24916" s="14"/>
      <c r="O24916" s="14"/>
      <c r="P24916" s="13"/>
    </row>
    <row r="24917">
      <c r="L24917" s="13"/>
      <c r="M24917" s="14"/>
      <c r="N24917" s="14"/>
      <c r="O24917" s="14"/>
      <c r="P24917" s="13"/>
    </row>
    <row r="24918">
      <c r="L24918" s="13"/>
      <c r="M24918" s="14"/>
      <c r="N24918" s="14"/>
      <c r="O24918" s="14"/>
      <c r="P24918" s="13"/>
    </row>
    <row r="24919">
      <c r="L24919" s="13"/>
      <c r="M24919" s="14"/>
      <c r="N24919" s="14"/>
      <c r="O24919" s="14"/>
      <c r="P24919" s="13"/>
    </row>
    <row r="24920">
      <c r="L24920" s="13"/>
      <c r="M24920" s="14"/>
      <c r="N24920" s="14"/>
      <c r="O24920" s="14"/>
      <c r="P24920" s="13"/>
    </row>
    <row r="24921">
      <c r="L24921" s="13"/>
      <c r="M24921" s="14"/>
      <c r="N24921" s="14"/>
      <c r="O24921" s="14"/>
      <c r="P24921" s="13"/>
    </row>
    <row r="24922">
      <c r="L24922" s="13"/>
      <c r="M24922" s="14"/>
      <c r="N24922" s="14"/>
      <c r="O24922" s="14"/>
      <c r="P24922" s="13"/>
    </row>
    <row r="24923">
      <c r="L24923" s="13"/>
      <c r="M24923" s="14"/>
      <c r="N24923" s="14"/>
      <c r="O24923" s="14"/>
      <c r="P24923" s="13"/>
    </row>
    <row r="24924">
      <c r="L24924" s="13"/>
      <c r="M24924" s="14"/>
      <c r="N24924" s="14"/>
      <c r="O24924" s="14"/>
      <c r="P24924" s="13"/>
    </row>
    <row r="24925">
      <c r="L24925" s="13"/>
      <c r="M24925" s="14"/>
      <c r="N24925" s="14"/>
      <c r="O24925" s="14"/>
      <c r="P24925" s="13"/>
    </row>
    <row r="24926">
      <c r="L24926" s="13"/>
      <c r="M24926" s="14"/>
      <c r="N24926" s="14"/>
      <c r="O24926" s="14"/>
      <c r="P24926" s="13"/>
    </row>
    <row r="24927">
      <c r="L24927" s="13"/>
      <c r="M24927" s="14"/>
      <c r="N24927" s="14"/>
      <c r="O24927" s="14"/>
      <c r="P24927" s="13"/>
    </row>
    <row r="24928">
      <c r="L24928" s="13"/>
      <c r="M24928" s="14"/>
      <c r="N24928" s="14"/>
      <c r="O24928" s="14"/>
      <c r="P24928" s="13"/>
    </row>
    <row r="24929">
      <c r="L24929" s="13"/>
      <c r="M24929" s="14"/>
      <c r="N24929" s="14"/>
      <c r="O24929" s="14"/>
      <c r="P24929" s="13"/>
    </row>
    <row r="24930">
      <c r="L24930" s="13"/>
      <c r="M24930" s="14"/>
      <c r="N24930" s="14"/>
      <c r="O24930" s="14"/>
      <c r="P24930" s="13"/>
    </row>
    <row r="24931">
      <c r="L24931" s="13"/>
      <c r="M24931" s="14"/>
      <c r="N24931" s="14"/>
      <c r="O24931" s="14"/>
      <c r="P24931" s="13"/>
    </row>
    <row r="24932">
      <c r="L24932" s="13"/>
      <c r="M24932" s="14"/>
      <c r="N24932" s="14"/>
      <c r="O24932" s="14"/>
      <c r="P24932" s="13"/>
    </row>
    <row r="24933">
      <c r="L24933" s="13"/>
      <c r="M24933" s="14"/>
      <c r="N24933" s="14"/>
      <c r="O24933" s="14"/>
      <c r="P24933" s="13"/>
    </row>
    <row r="24934">
      <c r="L24934" s="13"/>
      <c r="M24934" s="14"/>
      <c r="N24934" s="14"/>
      <c r="O24934" s="14"/>
      <c r="P24934" s="13"/>
    </row>
    <row r="24935">
      <c r="L24935" s="13"/>
      <c r="M24935" s="14"/>
      <c r="N24935" s="14"/>
      <c r="O24935" s="14"/>
      <c r="P24935" s="13"/>
    </row>
    <row r="24936">
      <c r="L24936" s="13"/>
      <c r="M24936" s="14"/>
      <c r="N24936" s="14"/>
      <c r="O24936" s="14"/>
      <c r="P24936" s="13"/>
    </row>
    <row r="24937">
      <c r="L24937" s="13"/>
      <c r="M24937" s="14"/>
      <c r="N24937" s="14"/>
      <c r="O24937" s="14"/>
      <c r="P24937" s="13"/>
    </row>
    <row r="24938">
      <c r="L24938" s="13"/>
      <c r="M24938" s="14"/>
      <c r="N24938" s="14"/>
      <c r="O24938" s="14"/>
      <c r="P24938" s="13"/>
    </row>
    <row r="24939">
      <c r="L24939" s="13"/>
      <c r="M24939" s="14"/>
      <c r="N24939" s="14"/>
      <c r="O24939" s="14"/>
      <c r="P24939" s="13"/>
    </row>
    <row r="24940">
      <c r="L24940" s="13"/>
      <c r="M24940" s="14"/>
      <c r="N24940" s="14"/>
      <c r="O24940" s="14"/>
      <c r="P24940" s="13"/>
    </row>
    <row r="24941">
      <c r="L24941" s="13"/>
      <c r="M24941" s="14"/>
      <c r="N24941" s="14"/>
      <c r="O24941" s="14"/>
      <c r="P24941" s="13"/>
    </row>
    <row r="24942">
      <c r="L24942" s="13"/>
      <c r="M24942" s="14"/>
      <c r="N24942" s="14"/>
      <c r="O24942" s="14"/>
      <c r="P24942" s="13"/>
    </row>
    <row r="24943">
      <c r="L24943" s="13"/>
      <c r="M24943" s="14"/>
      <c r="N24943" s="14"/>
      <c r="O24943" s="14"/>
      <c r="P24943" s="13"/>
    </row>
    <row r="24944">
      <c r="L24944" s="13"/>
      <c r="M24944" s="14"/>
      <c r="N24944" s="14"/>
      <c r="O24944" s="14"/>
      <c r="P24944" s="13"/>
    </row>
    <row r="24945">
      <c r="L24945" s="13"/>
      <c r="M24945" s="14"/>
      <c r="N24945" s="14"/>
      <c r="O24945" s="14"/>
      <c r="P24945" s="13"/>
    </row>
    <row r="24946">
      <c r="L24946" s="13"/>
      <c r="M24946" s="14"/>
      <c r="N24946" s="14"/>
      <c r="O24946" s="14"/>
      <c r="P24946" s="13"/>
    </row>
    <row r="24947">
      <c r="L24947" s="13"/>
      <c r="M24947" s="14"/>
      <c r="N24947" s="14"/>
      <c r="O24947" s="14"/>
      <c r="P24947" s="13"/>
    </row>
    <row r="24948">
      <c r="L24948" s="13"/>
      <c r="M24948" s="14"/>
      <c r="N24948" s="14"/>
      <c r="O24948" s="14"/>
      <c r="P24948" s="13"/>
    </row>
    <row r="24949">
      <c r="L24949" s="13"/>
      <c r="M24949" s="14"/>
      <c r="N24949" s="14"/>
      <c r="O24949" s="14"/>
      <c r="P24949" s="13"/>
    </row>
    <row r="24950">
      <c r="L24950" s="13"/>
      <c r="M24950" s="14"/>
      <c r="N24950" s="14"/>
      <c r="O24950" s="14"/>
      <c r="P24950" s="13"/>
    </row>
    <row r="24951">
      <c r="L24951" s="13"/>
      <c r="M24951" s="14"/>
      <c r="N24951" s="14"/>
      <c r="O24951" s="14"/>
      <c r="P24951" s="13"/>
    </row>
    <row r="24952">
      <c r="L24952" s="13"/>
      <c r="M24952" s="14"/>
      <c r="N24952" s="14"/>
      <c r="O24952" s="14"/>
      <c r="P24952" s="13"/>
    </row>
    <row r="24953">
      <c r="L24953" s="13"/>
      <c r="M24953" s="14"/>
      <c r="N24953" s="14"/>
      <c r="O24953" s="14"/>
      <c r="P24953" s="13"/>
    </row>
    <row r="24954">
      <c r="L24954" s="13"/>
      <c r="M24954" s="14"/>
      <c r="N24954" s="14"/>
      <c r="O24954" s="14"/>
      <c r="P24954" s="13"/>
    </row>
    <row r="24955">
      <c r="L24955" s="13"/>
      <c r="M24955" s="14"/>
      <c r="N24955" s="14"/>
      <c r="O24955" s="14"/>
      <c r="P24955" s="13"/>
    </row>
    <row r="24956">
      <c r="L24956" s="13"/>
      <c r="M24956" s="14"/>
      <c r="N24956" s="14"/>
      <c r="O24956" s="14"/>
      <c r="P24956" s="13"/>
    </row>
    <row r="24957">
      <c r="L24957" s="13"/>
      <c r="M24957" s="14"/>
      <c r="N24957" s="14"/>
      <c r="O24957" s="14"/>
      <c r="P24957" s="13"/>
    </row>
    <row r="24958">
      <c r="L24958" s="13"/>
      <c r="M24958" s="14"/>
      <c r="N24958" s="14"/>
      <c r="O24958" s="14"/>
      <c r="P24958" s="13"/>
    </row>
    <row r="24959">
      <c r="L24959" s="13"/>
      <c r="M24959" s="14"/>
      <c r="N24959" s="14"/>
      <c r="O24959" s="14"/>
      <c r="P24959" s="13"/>
    </row>
    <row r="24960">
      <c r="L24960" s="13"/>
      <c r="M24960" s="14"/>
      <c r="N24960" s="14"/>
      <c r="O24960" s="14"/>
      <c r="P24960" s="13"/>
    </row>
    <row r="24961">
      <c r="L24961" s="13"/>
      <c r="M24961" s="14"/>
      <c r="N24961" s="14"/>
      <c r="O24961" s="14"/>
      <c r="P24961" s="13"/>
    </row>
    <row r="24962">
      <c r="L24962" s="13"/>
      <c r="M24962" s="14"/>
      <c r="N24962" s="14"/>
      <c r="O24962" s="14"/>
      <c r="P24962" s="13"/>
    </row>
    <row r="24963">
      <c r="L24963" s="13"/>
      <c r="M24963" s="14"/>
      <c r="N24963" s="14"/>
      <c r="O24963" s="14"/>
      <c r="P24963" s="13"/>
    </row>
    <row r="24964">
      <c r="L24964" s="13"/>
      <c r="M24964" s="14"/>
      <c r="N24964" s="14"/>
      <c r="O24964" s="14"/>
      <c r="P24964" s="13"/>
    </row>
    <row r="24965">
      <c r="L24965" s="13"/>
      <c r="M24965" s="14"/>
      <c r="N24965" s="14"/>
      <c r="O24965" s="14"/>
      <c r="P24965" s="13"/>
    </row>
    <row r="24966">
      <c r="L24966" s="13"/>
      <c r="M24966" s="14"/>
      <c r="N24966" s="14"/>
      <c r="O24966" s="14"/>
      <c r="P24966" s="13"/>
    </row>
    <row r="24967">
      <c r="L24967" s="13"/>
      <c r="M24967" s="14"/>
      <c r="N24967" s="14"/>
      <c r="O24967" s="14"/>
      <c r="P24967" s="13"/>
    </row>
    <row r="24968">
      <c r="L24968" s="13"/>
      <c r="M24968" s="14"/>
      <c r="N24968" s="14"/>
      <c r="O24968" s="14"/>
      <c r="P24968" s="13"/>
    </row>
    <row r="24969">
      <c r="L24969" s="13"/>
      <c r="M24969" s="14"/>
      <c r="N24969" s="14"/>
      <c r="O24969" s="14"/>
      <c r="P24969" s="13"/>
    </row>
    <row r="24970">
      <c r="L24970" s="13"/>
      <c r="M24970" s="14"/>
      <c r="N24970" s="14"/>
      <c r="O24970" s="14"/>
      <c r="P24970" s="13"/>
    </row>
    <row r="24971">
      <c r="L24971" s="13"/>
      <c r="M24971" s="14"/>
      <c r="N24971" s="14"/>
      <c r="O24971" s="14"/>
      <c r="P24971" s="13"/>
    </row>
    <row r="24972">
      <c r="L24972" s="13"/>
      <c r="M24972" s="14"/>
      <c r="N24972" s="14"/>
      <c r="O24972" s="14"/>
      <c r="P24972" s="13"/>
    </row>
    <row r="24973">
      <c r="L24973" s="13"/>
      <c r="M24973" s="14"/>
      <c r="N24973" s="14"/>
      <c r="O24973" s="14"/>
      <c r="P24973" s="13"/>
    </row>
    <row r="24974">
      <c r="L24974" s="13"/>
      <c r="M24974" s="14"/>
      <c r="N24974" s="14"/>
      <c r="O24974" s="14"/>
      <c r="P24974" s="13"/>
    </row>
    <row r="24975">
      <c r="L24975" s="13"/>
      <c r="M24975" s="14"/>
      <c r="N24975" s="14"/>
      <c r="O24975" s="14"/>
      <c r="P24975" s="13"/>
    </row>
    <row r="24976">
      <c r="L24976" s="13"/>
      <c r="M24976" s="14"/>
      <c r="N24976" s="14"/>
      <c r="O24976" s="14"/>
      <c r="P24976" s="13"/>
    </row>
    <row r="24977">
      <c r="L24977" s="13"/>
      <c r="M24977" s="14"/>
      <c r="N24977" s="14"/>
      <c r="O24977" s="14"/>
      <c r="P24977" s="13"/>
    </row>
    <row r="24978">
      <c r="L24978" s="13"/>
      <c r="M24978" s="14"/>
      <c r="N24978" s="14"/>
      <c r="O24978" s="14"/>
      <c r="P24978" s="13"/>
    </row>
    <row r="24979">
      <c r="L24979" s="13"/>
      <c r="M24979" s="14"/>
      <c r="N24979" s="14"/>
      <c r="O24979" s="14"/>
      <c r="P24979" s="13"/>
    </row>
    <row r="24980">
      <c r="L24980" s="13"/>
      <c r="M24980" s="14"/>
      <c r="N24980" s="14"/>
      <c r="O24980" s="14"/>
      <c r="P24980" s="13"/>
    </row>
    <row r="24981">
      <c r="L24981" s="13"/>
      <c r="M24981" s="14"/>
      <c r="N24981" s="14"/>
      <c r="O24981" s="14"/>
      <c r="P24981" s="13"/>
    </row>
    <row r="24982">
      <c r="L24982" s="13"/>
      <c r="M24982" s="14"/>
      <c r="N24982" s="14"/>
      <c r="O24982" s="14"/>
      <c r="P24982" s="13"/>
    </row>
    <row r="24983">
      <c r="L24983" s="13"/>
      <c r="M24983" s="14"/>
      <c r="N24983" s="14"/>
      <c r="O24983" s="14"/>
      <c r="P24983" s="13"/>
    </row>
    <row r="24984">
      <c r="L24984" s="13"/>
      <c r="M24984" s="14"/>
      <c r="N24984" s="14"/>
      <c r="O24984" s="14"/>
      <c r="P24984" s="13"/>
    </row>
    <row r="24985">
      <c r="L24985" s="13"/>
      <c r="M24985" s="14"/>
      <c r="N24985" s="14"/>
      <c r="O24985" s="14"/>
      <c r="P24985" s="13"/>
    </row>
    <row r="24986">
      <c r="L24986" s="13"/>
      <c r="M24986" s="14"/>
      <c r="N24986" s="14"/>
      <c r="O24986" s="14"/>
      <c r="P24986" s="13"/>
    </row>
    <row r="24987">
      <c r="L24987" s="13"/>
      <c r="M24987" s="14"/>
      <c r="N24987" s="14"/>
      <c r="O24987" s="14"/>
      <c r="P24987" s="13"/>
    </row>
    <row r="24988">
      <c r="L24988" s="13"/>
      <c r="M24988" s="14"/>
      <c r="N24988" s="14"/>
      <c r="O24988" s="14"/>
      <c r="P24988" s="13"/>
    </row>
    <row r="24989">
      <c r="L24989" s="13"/>
      <c r="M24989" s="14"/>
      <c r="N24989" s="14"/>
      <c r="O24989" s="14"/>
      <c r="P24989" s="13"/>
    </row>
    <row r="24990">
      <c r="L24990" s="13"/>
      <c r="M24990" s="14"/>
      <c r="N24990" s="14"/>
      <c r="O24990" s="14"/>
      <c r="P24990" s="13"/>
    </row>
    <row r="24991">
      <c r="L24991" s="13"/>
      <c r="M24991" s="14"/>
      <c r="N24991" s="14"/>
      <c r="O24991" s="14"/>
      <c r="P24991" s="13"/>
    </row>
    <row r="24992">
      <c r="L24992" s="13"/>
      <c r="M24992" s="14"/>
      <c r="N24992" s="14"/>
      <c r="O24992" s="14"/>
      <c r="P24992" s="13"/>
    </row>
    <row r="24993">
      <c r="L24993" s="13"/>
      <c r="M24993" s="14"/>
      <c r="N24993" s="14"/>
      <c r="O24993" s="14"/>
      <c r="P24993" s="13"/>
    </row>
    <row r="24994">
      <c r="L24994" s="13"/>
      <c r="M24994" s="14"/>
      <c r="N24994" s="14"/>
      <c r="O24994" s="14"/>
      <c r="P24994" s="13"/>
    </row>
    <row r="24995">
      <c r="L24995" s="13"/>
      <c r="M24995" s="14"/>
      <c r="N24995" s="14"/>
      <c r="O24995" s="14"/>
      <c r="P24995" s="13"/>
    </row>
    <row r="24996">
      <c r="L24996" s="13"/>
      <c r="M24996" s="14"/>
      <c r="N24996" s="14"/>
      <c r="O24996" s="14"/>
      <c r="P24996" s="13"/>
    </row>
    <row r="24997">
      <c r="L24997" s="13"/>
      <c r="M24997" s="14"/>
      <c r="N24997" s="14"/>
      <c r="O24997" s="14"/>
      <c r="P24997" s="13"/>
    </row>
    <row r="24998">
      <c r="L24998" s="13"/>
      <c r="M24998" s="14"/>
      <c r="N24998" s="14"/>
      <c r="O24998" s="14"/>
      <c r="P24998" s="13"/>
    </row>
    <row r="24999">
      <c r="L24999" s="13"/>
      <c r="M24999" s="14"/>
      <c r="N24999" s="14"/>
      <c r="O24999" s="14"/>
      <c r="P24999" s="13"/>
    </row>
    <row r="25000">
      <c r="L25000" s="13"/>
      <c r="M25000" s="14"/>
      <c r="N25000" s="14"/>
      <c r="O25000" s="14"/>
      <c r="P25000" s="13"/>
    </row>
    <row r="25001">
      <c r="L25001" s="13"/>
      <c r="M25001" s="14"/>
      <c r="N25001" s="14"/>
      <c r="O25001" s="14"/>
      <c r="P25001" s="13"/>
    </row>
    <row r="25002">
      <c r="L25002" s="13"/>
      <c r="M25002" s="14"/>
      <c r="N25002" s="14"/>
      <c r="O25002" s="14"/>
      <c r="P25002" s="13"/>
    </row>
    <row r="25003">
      <c r="L25003" s="13"/>
      <c r="M25003" s="14"/>
      <c r="N25003" s="14"/>
      <c r="O25003" s="14"/>
      <c r="P25003" s="13"/>
    </row>
    <row r="25004">
      <c r="L25004" s="13"/>
      <c r="M25004" s="14"/>
      <c r="N25004" s="14"/>
      <c r="O25004" s="14"/>
      <c r="P25004" s="13"/>
    </row>
    <row r="25005">
      <c r="L25005" s="13"/>
      <c r="M25005" s="14"/>
      <c r="N25005" s="14"/>
      <c r="O25005" s="14"/>
      <c r="P25005" s="13"/>
    </row>
    <row r="25006">
      <c r="L25006" s="13"/>
      <c r="M25006" s="14"/>
      <c r="N25006" s="14"/>
      <c r="O25006" s="14"/>
      <c r="P25006" s="13"/>
    </row>
    <row r="25007">
      <c r="L25007" s="13"/>
      <c r="M25007" s="14"/>
      <c r="N25007" s="14"/>
      <c r="O25007" s="14"/>
      <c r="P25007" s="13"/>
    </row>
    <row r="25008">
      <c r="L25008" s="13"/>
      <c r="M25008" s="14"/>
      <c r="N25008" s="14"/>
      <c r="O25008" s="14"/>
      <c r="P25008" s="13"/>
    </row>
    <row r="25009">
      <c r="L25009" s="13"/>
      <c r="M25009" s="14"/>
      <c r="N25009" s="14"/>
      <c r="O25009" s="14"/>
      <c r="P25009" s="13"/>
    </row>
    <row r="25010">
      <c r="L25010" s="13"/>
      <c r="M25010" s="14"/>
      <c r="N25010" s="14"/>
      <c r="O25010" s="14"/>
      <c r="P25010" s="13"/>
    </row>
    <row r="25011">
      <c r="L25011" s="13"/>
      <c r="M25011" s="14"/>
      <c r="N25011" s="14"/>
      <c r="O25011" s="14"/>
      <c r="P25011" s="13"/>
    </row>
    <row r="25012">
      <c r="L25012" s="13"/>
      <c r="M25012" s="14"/>
      <c r="N25012" s="14"/>
      <c r="O25012" s="14"/>
      <c r="P25012" s="13"/>
    </row>
    <row r="25013">
      <c r="L25013" s="13"/>
      <c r="M25013" s="14"/>
      <c r="N25013" s="14"/>
      <c r="O25013" s="14"/>
      <c r="P25013" s="13"/>
    </row>
    <row r="25014">
      <c r="L25014" s="13"/>
      <c r="M25014" s="14"/>
      <c r="N25014" s="14"/>
      <c r="O25014" s="14"/>
      <c r="P25014" s="13"/>
    </row>
    <row r="25015">
      <c r="L25015" s="13"/>
      <c r="M25015" s="14"/>
      <c r="N25015" s="14"/>
      <c r="O25015" s="14"/>
      <c r="P25015" s="13"/>
    </row>
    <row r="25016">
      <c r="L25016" s="13"/>
      <c r="M25016" s="14"/>
      <c r="N25016" s="14"/>
      <c r="O25016" s="14"/>
      <c r="P25016" s="13"/>
    </row>
    <row r="25017">
      <c r="L25017" s="13"/>
      <c r="M25017" s="14"/>
      <c r="N25017" s="14"/>
      <c r="O25017" s="14"/>
      <c r="P25017" s="13"/>
    </row>
    <row r="25018">
      <c r="L25018" s="13"/>
      <c r="M25018" s="14"/>
      <c r="N25018" s="14"/>
      <c r="O25018" s="14"/>
      <c r="P25018" s="13"/>
    </row>
    <row r="25019">
      <c r="L25019" s="13"/>
      <c r="M25019" s="14"/>
      <c r="N25019" s="14"/>
      <c r="O25019" s="14"/>
      <c r="P25019" s="13"/>
    </row>
    <row r="25020">
      <c r="L25020" s="13"/>
      <c r="M25020" s="14"/>
      <c r="N25020" s="14"/>
      <c r="O25020" s="14"/>
      <c r="P25020" s="13"/>
    </row>
    <row r="25021">
      <c r="L25021" s="13"/>
      <c r="M25021" s="14"/>
      <c r="N25021" s="14"/>
      <c r="O25021" s="14"/>
      <c r="P25021" s="13"/>
    </row>
    <row r="25022">
      <c r="L25022" s="13"/>
      <c r="M25022" s="14"/>
      <c r="N25022" s="14"/>
      <c r="O25022" s="14"/>
      <c r="P25022" s="13"/>
    </row>
    <row r="25023">
      <c r="L25023" s="13"/>
      <c r="M25023" s="14"/>
      <c r="N25023" s="14"/>
      <c r="O25023" s="14"/>
      <c r="P25023" s="13"/>
    </row>
    <row r="25024">
      <c r="L25024" s="13"/>
      <c r="M25024" s="14"/>
      <c r="N25024" s="14"/>
      <c r="O25024" s="14"/>
      <c r="P25024" s="13"/>
    </row>
    <row r="25025">
      <c r="L25025" s="13"/>
      <c r="M25025" s="14"/>
      <c r="N25025" s="14"/>
      <c r="O25025" s="14"/>
      <c r="P25025" s="13"/>
    </row>
    <row r="25026">
      <c r="L25026" s="13"/>
      <c r="M25026" s="14"/>
      <c r="N25026" s="14"/>
      <c r="O25026" s="14"/>
      <c r="P25026" s="13"/>
    </row>
    <row r="25027">
      <c r="L25027" s="13"/>
      <c r="M25027" s="14"/>
      <c r="N25027" s="14"/>
      <c r="O25027" s="14"/>
      <c r="P25027" s="13"/>
    </row>
    <row r="25028">
      <c r="L25028" s="13"/>
      <c r="M25028" s="14"/>
      <c r="N25028" s="14"/>
      <c r="O25028" s="14"/>
      <c r="P25028" s="13"/>
    </row>
    <row r="25029">
      <c r="L25029" s="13"/>
      <c r="M25029" s="14"/>
      <c r="N25029" s="14"/>
      <c r="O25029" s="14"/>
      <c r="P25029" s="13"/>
    </row>
    <row r="25030">
      <c r="L25030" s="13"/>
      <c r="M25030" s="14"/>
      <c r="N25030" s="14"/>
      <c r="O25030" s="14"/>
      <c r="P25030" s="13"/>
    </row>
    <row r="25031">
      <c r="L25031" s="13"/>
      <c r="M25031" s="14"/>
      <c r="N25031" s="14"/>
      <c r="O25031" s="14"/>
      <c r="P25031" s="13"/>
    </row>
    <row r="25032">
      <c r="L25032" s="13"/>
      <c r="M25032" s="14"/>
      <c r="N25032" s="14"/>
      <c r="O25032" s="14"/>
      <c r="P25032" s="13"/>
    </row>
    <row r="25033">
      <c r="L25033" s="13"/>
      <c r="M25033" s="14"/>
      <c r="N25033" s="14"/>
      <c r="O25033" s="14"/>
      <c r="P25033" s="13"/>
    </row>
    <row r="25034">
      <c r="L25034" s="13"/>
      <c r="M25034" s="14"/>
      <c r="N25034" s="14"/>
      <c r="O25034" s="14"/>
      <c r="P25034" s="13"/>
    </row>
    <row r="25035">
      <c r="L25035" s="13"/>
      <c r="M25035" s="14"/>
      <c r="N25035" s="14"/>
      <c r="O25035" s="14"/>
      <c r="P25035" s="13"/>
    </row>
    <row r="25036">
      <c r="L25036" s="13"/>
      <c r="M25036" s="14"/>
      <c r="N25036" s="14"/>
      <c r="O25036" s="14"/>
      <c r="P25036" s="13"/>
    </row>
    <row r="25037">
      <c r="L25037" s="13"/>
      <c r="M25037" s="14"/>
      <c r="N25037" s="14"/>
      <c r="O25037" s="14"/>
      <c r="P25037" s="13"/>
    </row>
    <row r="25038">
      <c r="L25038" s="13"/>
      <c r="M25038" s="14"/>
      <c r="N25038" s="14"/>
      <c r="O25038" s="14"/>
      <c r="P25038" s="13"/>
    </row>
    <row r="25039">
      <c r="L25039" s="13"/>
      <c r="M25039" s="14"/>
      <c r="N25039" s="14"/>
      <c r="O25039" s="14"/>
      <c r="P25039" s="13"/>
    </row>
    <row r="25040">
      <c r="L25040" s="13"/>
      <c r="M25040" s="14"/>
      <c r="N25040" s="14"/>
      <c r="O25040" s="14"/>
      <c r="P25040" s="13"/>
    </row>
    <row r="25041">
      <c r="L25041" s="13"/>
      <c r="M25041" s="14"/>
      <c r="N25041" s="14"/>
      <c r="O25041" s="14"/>
      <c r="P25041" s="13"/>
    </row>
    <row r="25042">
      <c r="L25042" s="13"/>
      <c r="M25042" s="14"/>
      <c r="N25042" s="14"/>
      <c r="O25042" s="14"/>
      <c r="P25042" s="13"/>
    </row>
    <row r="25043">
      <c r="L25043" s="13"/>
      <c r="M25043" s="14"/>
      <c r="N25043" s="14"/>
      <c r="O25043" s="14"/>
      <c r="P25043" s="13"/>
    </row>
    <row r="25044">
      <c r="L25044" s="13"/>
      <c r="M25044" s="14"/>
      <c r="N25044" s="14"/>
      <c r="O25044" s="14"/>
      <c r="P25044" s="13"/>
    </row>
    <row r="25045">
      <c r="L25045" s="13"/>
      <c r="M25045" s="14"/>
      <c r="N25045" s="14"/>
      <c r="O25045" s="14"/>
      <c r="P25045" s="13"/>
    </row>
    <row r="25046">
      <c r="L25046" s="13"/>
      <c r="M25046" s="14"/>
      <c r="N25046" s="14"/>
      <c r="O25046" s="14"/>
      <c r="P25046" s="13"/>
    </row>
    <row r="25047">
      <c r="L25047" s="13"/>
      <c r="M25047" s="14"/>
      <c r="N25047" s="14"/>
      <c r="O25047" s="14"/>
      <c r="P25047" s="13"/>
    </row>
    <row r="25048">
      <c r="L25048" s="13"/>
      <c r="M25048" s="14"/>
      <c r="N25048" s="14"/>
      <c r="O25048" s="14"/>
      <c r="P25048" s="13"/>
    </row>
    <row r="25049">
      <c r="L25049" s="13"/>
      <c r="M25049" s="14"/>
      <c r="N25049" s="14"/>
      <c r="O25049" s="14"/>
      <c r="P25049" s="13"/>
    </row>
    <row r="25050">
      <c r="L25050" s="13"/>
      <c r="M25050" s="14"/>
      <c r="N25050" s="14"/>
      <c r="O25050" s="14"/>
      <c r="P25050" s="13"/>
    </row>
    <row r="25051">
      <c r="L25051" s="13"/>
      <c r="M25051" s="14"/>
      <c r="N25051" s="14"/>
      <c r="O25051" s="14"/>
      <c r="P25051" s="13"/>
    </row>
    <row r="25052">
      <c r="L25052" s="13"/>
      <c r="M25052" s="14"/>
      <c r="N25052" s="14"/>
      <c r="O25052" s="14"/>
      <c r="P25052" s="13"/>
    </row>
    <row r="25053">
      <c r="L25053" s="13"/>
      <c r="M25053" s="14"/>
      <c r="N25053" s="14"/>
      <c r="O25053" s="14"/>
      <c r="P25053" s="13"/>
    </row>
    <row r="25054">
      <c r="L25054" s="13"/>
      <c r="M25054" s="14"/>
      <c r="N25054" s="14"/>
      <c r="O25054" s="14"/>
      <c r="P25054" s="13"/>
    </row>
    <row r="25055">
      <c r="L25055" s="13"/>
      <c r="M25055" s="14"/>
      <c r="N25055" s="14"/>
      <c r="O25055" s="14"/>
      <c r="P25055" s="13"/>
    </row>
    <row r="25056">
      <c r="L25056" s="13"/>
      <c r="M25056" s="14"/>
      <c r="N25056" s="14"/>
      <c r="O25056" s="14"/>
      <c r="P25056" s="13"/>
    </row>
    <row r="25057">
      <c r="L25057" s="13"/>
      <c r="M25057" s="14"/>
      <c r="N25057" s="14"/>
      <c r="O25057" s="14"/>
      <c r="P25057" s="13"/>
    </row>
    <row r="25058">
      <c r="L25058" s="13"/>
      <c r="M25058" s="14"/>
      <c r="N25058" s="14"/>
      <c r="O25058" s="14"/>
      <c r="P25058" s="13"/>
    </row>
    <row r="25059">
      <c r="L25059" s="13"/>
      <c r="M25059" s="14"/>
      <c r="N25059" s="14"/>
      <c r="O25059" s="14"/>
      <c r="P25059" s="13"/>
    </row>
    <row r="25060">
      <c r="L25060" s="13"/>
      <c r="M25060" s="14"/>
      <c r="N25060" s="14"/>
      <c r="O25060" s="14"/>
      <c r="P25060" s="13"/>
    </row>
    <row r="25061">
      <c r="L25061" s="13"/>
      <c r="M25061" s="14"/>
      <c r="N25061" s="14"/>
      <c r="O25061" s="14"/>
      <c r="P25061" s="13"/>
    </row>
    <row r="25062">
      <c r="L25062" s="13"/>
      <c r="M25062" s="14"/>
      <c r="N25062" s="14"/>
      <c r="O25062" s="14"/>
      <c r="P25062" s="13"/>
    </row>
    <row r="25063">
      <c r="L25063" s="13"/>
      <c r="M25063" s="14"/>
      <c r="N25063" s="14"/>
      <c r="O25063" s="14"/>
      <c r="P25063" s="13"/>
    </row>
    <row r="25064">
      <c r="L25064" s="13"/>
      <c r="M25064" s="14"/>
      <c r="N25064" s="14"/>
      <c r="O25064" s="14"/>
      <c r="P25064" s="13"/>
    </row>
    <row r="25065">
      <c r="L25065" s="13"/>
      <c r="M25065" s="14"/>
      <c r="N25065" s="14"/>
      <c r="O25065" s="14"/>
      <c r="P25065" s="13"/>
    </row>
    <row r="25066">
      <c r="L25066" s="13"/>
      <c r="M25066" s="14"/>
      <c r="N25066" s="14"/>
      <c r="O25066" s="14"/>
      <c r="P25066" s="13"/>
    </row>
    <row r="25067">
      <c r="L25067" s="13"/>
      <c r="M25067" s="14"/>
      <c r="N25067" s="14"/>
      <c r="O25067" s="14"/>
      <c r="P25067" s="13"/>
    </row>
    <row r="25068">
      <c r="L25068" s="13"/>
      <c r="M25068" s="14"/>
      <c r="N25068" s="14"/>
      <c r="O25068" s="14"/>
      <c r="P25068" s="13"/>
    </row>
    <row r="25069">
      <c r="L25069" s="13"/>
      <c r="M25069" s="14"/>
      <c r="N25069" s="14"/>
      <c r="O25069" s="14"/>
      <c r="P25069" s="13"/>
    </row>
    <row r="25070">
      <c r="L25070" s="13"/>
      <c r="M25070" s="14"/>
      <c r="N25070" s="14"/>
      <c r="O25070" s="14"/>
      <c r="P25070" s="13"/>
    </row>
    <row r="25071">
      <c r="L25071" s="13"/>
      <c r="M25071" s="14"/>
      <c r="N25071" s="14"/>
      <c r="O25071" s="14"/>
      <c r="P25071" s="13"/>
    </row>
    <row r="25072">
      <c r="L25072" s="13"/>
      <c r="M25072" s="14"/>
      <c r="N25072" s="14"/>
      <c r="O25072" s="14"/>
      <c r="P25072" s="13"/>
    </row>
    <row r="25073">
      <c r="L25073" s="13"/>
      <c r="M25073" s="14"/>
      <c r="N25073" s="14"/>
      <c r="O25073" s="14"/>
      <c r="P25073" s="13"/>
    </row>
    <row r="25074">
      <c r="L25074" s="13"/>
      <c r="M25074" s="14"/>
      <c r="N25074" s="14"/>
      <c r="O25074" s="14"/>
      <c r="P25074" s="13"/>
    </row>
    <row r="25075">
      <c r="L25075" s="13"/>
      <c r="M25075" s="14"/>
      <c r="N25075" s="14"/>
      <c r="O25075" s="14"/>
      <c r="P25075" s="13"/>
    </row>
    <row r="25076">
      <c r="L25076" s="13"/>
      <c r="M25076" s="14"/>
      <c r="N25076" s="14"/>
      <c r="O25076" s="14"/>
      <c r="P25076" s="13"/>
    </row>
    <row r="25077">
      <c r="L25077" s="13"/>
      <c r="M25077" s="14"/>
      <c r="N25077" s="14"/>
      <c r="O25077" s="14"/>
      <c r="P25077" s="13"/>
    </row>
    <row r="25078">
      <c r="L25078" s="13"/>
      <c r="M25078" s="14"/>
      <c r="N25078" s="14"/>
      <c r="O25078" s="14"/>
      <c r="P25078" s="13"/>
    </row>
    <row r="25079">
      <c r="L25079" s="13"/>
      <c r="M25079" s="14"/>
      <c r="N25079" s="14"/>
      <c r="O25079" s="14"/>
      <c r="P25079" s="13"/>
    </row>
    <row r="25080">
      <c r="L25080" s="13"/>
      <c r="M25080" s="14"/>
      <c r="N25080" s="14"/>
      <c r="O25080" s="14"/>
      <c r="P25080" s="13"/>
    </row>
    <row r="25081">
      <c r="L25081" s="13"/>
      <c r="M25081" s="14"/>
      <c r="N25081" s="14"/>
      <c r="O25081" s="14"/>
      <c r="P25081" s="13"/>
    </row>
    <row r="25082">
      <c r="L25082" s="13"/>
      <c r="M25082" s="14"/>
      <c r="N25082" s="14"/>
      <c r="O25082" s="14"/>
      <c r="P25082" s="13"/>
    </row>
    <row r="25083">
      <c r="L25083" s="13"/>
      <c r="M25083" s="14"/>
      <c r="N25083" s="14"/>
      <c r="O25083" s="14"/>
      <c r="P25083" s="13"/>
    </row>
    <row r="25084">
      <c r="L25084" s="13"/>
      <c r="M25084" s="14"/>
      <c r="N25084" s="14"/>
      <c r="O25084" s="14"/>
      <c r="P25084" s="13"/>
    </row>
    <row r="25085">
      <c r="L25085" s="13"/>
      <c r="M25085" s="14"/>
      <c r="N25085" s="14"/>
      <c r="O25085" s="14"/>
      <c r="P25085" s="13"/>
    </row>
    <row r="25086">
      <c r="L25086" s="13"/>
      <c r="M25086" s="14"/>
      <c r="N25086" s="14"/>
      <c r="O25086" s="14"/>
      <c r="P25086" s="13"/>
    </row>
    <row r="25087">
      <c r="L25087" s="13"/>
      <c r="M25087" s="14"/>
      <c r="N25087" s="14"/>
      <c r="O25087" s="14"/>
      <c r="P25087" s="13"/>
    </row>
    <row r="25088">
      <c r="L25088" s="13"/>
      <c r="M25088" s="14"/>
      <c r="N25088" s="14"/>
      <c r="O25088" s="14"/>
      <c r="P25088" s="13"/>
    </row>
    <row r="25089">
      <c r="L25089" s="13"/>
      <c r="M25089" s="14"/>
      <c r="N25089" s="14"/>
      <c r="O25089" s="14"/>
      <c r="P25089" s="13"/>
    </row>
    <row r="25090">
      <c r="L25090" s="13"/>
      <c r="M25090" s="14"/>
      <c r="N25090" s="14"/>
      <c r="O25090" s="14"/>
      <c r="P25090" s="13"/>
    </row>
    <row r="25091">
      <c r="L25091" s="13"/>
      <c r="M25091" s="14"/>
      <c r="N25091" s="14"/>
      <c r="O25091" s="14"/>
      <c r="P25091" s="13"/>
    </row>
    <row r="25092">
      <c r="L25092" s="13"/>
      <c r="M25092" s="14"/>
      <c r="N25092" s="14"/>
      <c r="O25092" s="14"/>
      <c r="P25092" s="13"/>
    </row>
    <row r="25093">
      <c r="L25093" s="13"/>
      <c r="M25093" s="14"/>
      <c r="N25093" s="14"/>
      <c r="O25093" s="14"/>
      <c r="P25093" s="13"/>
    </row>
    <row r="25094">
      <c r="L25094" s="13"/>
      <c r="M25094" s="14"/>
      <c r="N25094" s="14"/>
      <c r="O25094" s="14"/>
      <c r="P25094" s="13"/>
    </row>
    <row r="25095">
      <c r="L25095" s="13"/>
      <c r="M25095" s="14"/>
      <c r="N25095" s="14"/>
      <c r="O25095" s="14"/>
      <c r="P25095" s="13"/>
    </row>
    <row r="25096">
      <c r="L25096" s="13"/>
      <c r="M25096" s="14"/>
      <c r="N25096" s="14"/>
      <c r="O25096" s="14"/>
      <c r="P25096" s="13"/>
    </row>
    <row r="25097">
      <c r="L25097" s="13"/>
      <c r="M25097" s="14"/>
      <c r="N25097" s="14"/>
      <c r="O25097" s="14"/>
      <c r="P25097" s="13"/>
    </row>
    <row r="25098">
      <c r="L25098" s="13"/>
      <c r="M25098" s="14"/>
      <c r="N25098" s="14"/>
      <c r="O25098" s="14"/>
      <c r="P25098" s="13"/>
    </row>
    <row r="25099">
      <c r="L25099" s="13"/>
      <c r="M25099" s="14"/>
      <c r="N25099" s="14"/>
      <c r="O25099" s="14"/>
      <c r="P25099" s="13"/>
    </row>
    <row r="25100">
      <c r="L25100" s="13"/>
      <c r="M25100" s="14"/>
      <c r="N25100" s="14"/>
      <c r="O25100" s="14"/>
      <c r="P25100" s="13"/>
    </row>
    <row r="25101">
      <c r="L25101" s="13"/>
      <c r="M25101" s="14"/>
      <c r="N25101" s="14"/>
      <c r="O25101" s="14"/>
      <c r="P25101" s="13"/>
    </row>
    <row r="25102">
      <c r="L25102" s="13"/>
      <c r="M25102" s="14"/>
      <c r="N25102" s="14"/>
      <c r="O25102" s="14"/>
      <c r="P25102" s="13"/>
    </row>
    <row r="25103">
      <c r="L25103" s="13"/>
      <c r="M25103" s="14"/>
      <c r="N25103" s="14"/>
      <c r="O25103" s="14"/>
      <c r="P25103" s="13"/>
    </row>
    <row r="25104">
      <c r="L25104" s="13"/>
      <c r="M25104" s="14"/>
      <c r="N25104" s="14"/>
      <c r="O25104" s="14"/>
      <c r="P25104" s="13"/>
    </row>
    <row r="25105">
      <c r="L25105" s="13"/>
      <c r="M25105" s="14"/>
      <c r="N25105" s="14"/>
      <c r="O25105" s="14"/>
      <c r="P25105" s="13"/>
    </row>
    <row r="25106">
      <c r="L25106" s="13"/>
      <c r="M25106" s="14"/>
      <c r="N25106" s="14"/>
      <c r="O25106" s="14"/>
      <c r="P25106" s="13"/>
    </row>
    <row r="25107">
      <c r="L25107" s="13"/>
      <c r="M25107" s="14"/>
      <c r="N25107" s="14"/>
      <c r="O25107" s="14"/>
      <c r="P25107" s="13"/>
    </row>
    <row r="25108">
      <c r="L25108" s="13"/>
      <c r="M25108" s="14"/>
      <c r="N25108" s="14"/>
      <c r="O25108" s="14"/>
      <c r="P25108" s="13"/>
    </row>
    <row r="25109">
      <c r="L25109" s="13"/>
      <c r="M25109" s="14"/>
      <c r="N25109" s="14"/>
      <c r="O25109" s="14"/>
      <c r="P25109" s="13"/>
    </row>
    <row r="25110">
      <c r="L25110" s="13"/>
      <c r="M25110" s="14"/>
      <c r="N25110" s="14"/>
      <c r="O25110" s="14"/>
      <c r="P25110" s="13"/>
    </row>
    <row r="25111">
      <c r="L25111" s="13"/>
      <c r="M25111" s="14"/>
      <c r="N25111" s="14"/>
      <c r="O25111" s="14"/>
      <c r="P25111" s="13"/>
    </row>
    <row r="25112">
      <c r="L25112" s="13"/>
      <c r="M25112" s="14"/>
      <c r="N25112" s="14"/>
      <c r="O25112" s="14"/>
      <c r="P25112" s="13"/>
    </row>
    <row r="25113">
      <c r="L25113" s="13"/>
      <c r="M25113" s="14"/>
      <c r="N25113" s="14"/>
      <c r="O25113" s="14"/>
      <c r="P25113" s="13"/>
    </row>
    <row r="25114">
      <c r="L25114" s="13"/>
      <c r="M25114" s="14"/>
      <c r="N25114" s="14"/>
      <c r="O25114" s="14"/>
      <c r="P25114" s="13"/>
    </row>
    <row r="25115">
      <c r="L25115" s="13"/>
      <c r="M25115" s="14"/>
      <c r="N25115" s="14"/>
      <c r="O25115" s="14"/>
      <c r="P25115" s="13"/>
    </row>
    <row r="25116">
      <c r="L25116" s="13"/>
      <c r="M25116" s="14"/>
      <c r="N25116" s="14"/>
      <c r="O25116" s="14"/>
      <c r="P25116" s="13"/>
    </row>
    <row r="25117">
      <c r="L25117" s="13"/>
      <c r="M25117" s="14"/>
      <c r="N25117" s="14"/>
      <c r="O25117" s="14"/>
      <c r="P25117" s="13"/>
    </row>
    <row r="25118">
      <c r="L25118" s="13"/>
      <c r="M25118" s="14"/>
      <c r="N25118" s="14"/>
      <c r="O25118" s="14"/>
      <c r="P25118" s="13"/>
    </row>
    <row r="25119">
      <c r="L25119" s="13"/>
      <c r="M25119" s="14"/>
      <c r="N25119" s="14"/>
      <c r="O25119" s="14"/>
      <c r="P25119" s="13"/>
    </row>
    <row r="25120">
      <c r="L25120" s="13"/>
      <c r="M25120" s="14"/>
      <c r="N25120" s="14"/>
      <c r="O25120" s="14"/>
      <c r="P25120" s="13"/>
    </row>
    <row r="25121">
      <c r="L25121" s="13"/>
      <c r="M25121" s="14"/>
      <c r="N25121" s="14"/>
      <c r="O25121" s="14"/>
      <c r="P25121" s="13"/>
    </row>
    <row r="25122">
      <c r="L25122" s="13"/>
      <c r="M25122" s="14"/>
      <c r="N25122" s="14"/>
      <c r="O25122" s="14"/>
      <c r="P25122" s="13"/>
    </row>
    <row r="25123">
      <c r="L25123" s="13"/>
      <c r="M25123" s="14"/>
      <c r="N25123" s="14"/>
      <c r="O25123" s="14"/>
      <c r="P25123" s="13"/>
    </row>
    <row r="25124">
      <c r="L25124" s="13"/>
      <c r="M25124" s="14"/>
      <c r="N25124" s="14"/>
      <c r="O25124" s="14"/>
      <c r="P25124" s="13"/>
    </row>
    <row r="25125">
      <c r="L25125" s="13"/>
      <c r="M25125" s="14"/>
      <c r="N25125" s="14"/>
      <c r="O25125" s="14"/>
      <c r="P25125" s="13"/>
    </row>
    <row r="25126">
      <c r="L25126" s="13"/>
      <c r="M25126" s="14"/>
      <c r="N25126" s="14"/>
      <c r="O25126" s="14"/>
      <c r="P25126" s="13"/>
    </row>
    <row r="25127">
      <c r="L25127" s="13"/>
      <c r="M25127" s="14"/>
      <c r="N25127" s="14"/>
      <c r="O25127" s="14"/>
      <c r="P25127" s="13"/>
    </row>
    <row r="25128">
      <c r="L25128" s="13"/>
      <c r="M25128" s="14"/>
      <c r="N25128" s="14"/>
      <c r="O25128" s="14"/>
      <c r="P25128" s="13"/>
    </row>
    <row r="25129">
      <c r="L25129" s="13"/>
      <c r="M25129" s="14"/>
      <c r="N25129" s="14"/>
      <c r="O25129" s="14"/>
      <c r="P25129" s="13"/>
    </row>
    <row r="25130">
      <c r="L25130" s="13"/>
      <c r="M25130" s="14"/>
      <c r="N25130" s="14"/>
      <c r="O25130" s="14"/>
      <c r="P25130" s="13"/>
    </row>
    <row r="25131">
      <c r="L25131" s="13"/>
      <c r="M25131" s="14"/>
      <c r="N25131" s="14"/>
      <c r="O25131" s="14"/>
      <c r="P25131" s="13"/>
    </row>
    <row r="25132">
      <c r="L25132" s="13"/>
      <c r="M25132" s="14"/>
      <c r="N25132" s="14"/>
      <c r="O25132" s="14"/>
      <c r="P25132" s="13"/>
    </row>
    <row r="25133">
      <c r="L25133" s="13"/>
      <c r="M25133" s="14"/>
      <c r="N25133" s="14"/>
      <c r="O25133" s="14"/>
      <c r="P25133" s="13"/>
    </row>
    <row r="25134">
      <c r="L25134" s="13"/>
      <c r="M25134" s="14"/>
      <c r="N25134" s="14"/>
      <c r="O25134" s="14"/>
      <c r="P25134" s="13"/>
    </row>
    <row r="25135">
      <c r="L25135" s="13"/>
      <c r="M25135" s="14"/>
      <c r="N25135" s="14"/>
      <c r="O25135" s="14"/>
      <c r="P25135" s="13"/>
    </row>
    <row r="25136">
      <c r="L25136" s="13"/>
      <c r="M25136" s="14"/>
      <c r="N25136" s="14"/>
      <c r="O25136" s="14"/>
      <c r="P25136" s="13"/>
    </row>
    <row r="25137">
      <c r="L25137" s="13"/>
      <c r="M25137" s="14"/>
      <c r="N25137" s="14"/>
      <c r="O25137" s="14"/>
      <c r="P25137" s="13"/>
    </row>
    <row r="25138">
      <c r="L25138" s="13"/>
      <c r="M25138" s="14"/>
      <c r="N25138" s="14"/>
      <c r="O25138" s="14"/>
      <c r="P25138" s="13"/>
    </row>
    <row r="25139">
      <c r="L25139" s="13"/>
      <c r="M25139" s="14"/>
      <c r="N25139" s="14"/>
      <c r="O25139" s="14"/>
      <c r="P25139" s="13"/>
    </row>
    <row r="25140">
      <c r="L25140" s="13"/>
      <c r="M25140" s="14"/>
      <c r="N25140" s="14"/>
      <c r="O25140" s="14"/>
      <c r="P25140" s="13"/>
    </row>
    <row r="25141">
      <c r="L25141" s="13"/>
      <c r="M25141" s="14"/>
      <c r="N25141" s="14"/>
      <c r="O25141" s="14"/>
      <c r="P25141" s="13"/>
    </row>
    <row r="25142">
      <c r="L25142" s="13"/>
      <c r="M25142" s="14"/>
      <c r="N25142" s="14"/>
      <c r="O25142" s="14"/>
      <c r="P25142" s="13"/>
    </row>
    <row r="25143">
      <c r="L25143" s="13"/>
      <c r="M25143" s="14"/>
      <c r="N25143" s="14"/>
      <c r="O25143" s="14"/>
      <c r="P25143" s="13"/>
    </row>
    <row r="25144">
      <c r="L25144" s="13"/>
      <c r="M25144" s="14"/>
      <c r="N25144" s="14"/>
      <c r="O25144" s="14"/>
      <c r="P25144" s="13"/>
    </row>
    <row r="25145">
      <c r="L25145" s="13"/>
      <c r="M25145" s="14"/>
      <c r="N25145" s="14"/>
      <c r="O25145" s="14"/>
      <c r="P25145" s="13"/>
    </row>
    <row r="25146">
      <c r="L25146" s="13"/>
      <c r="M25146" s="14"/>
      <c r="N25146" s="14"/>
      <c r="O25146" s="14"/>
      <c r="P25146" s="13"/>
    </row>
    <row r="25147">
      <c r="L25147" s="13"/>
      <c r="M25147" s="14"/>
      <c r="N25147" s="14"/>
      <c r="O25147" s="14"/>
      <c r="P25147" s="13"/>
    </row>
    <row r="25148">
      <c r="L25148" s="13"/>
      <c r="M25148" s="14"/>
      <c r="N25148" s="14"/>
      <c r="O25148" s="14"/>
      <c r="P25148" s="13"/>
    </row>
    <row r="25149">
      <c r="L25149" s="13"/>
      <c r="M25149" s="14"/>
      <c r="N25149" s="14"/>
      <c r="O25149" s="14"/>
      <c r="P25149" s="13"/>
    </row>
    <row r="25150">
      <c r="L25150" s="13"/>
      <c r="M25150" s="14"/>
      <c r="N25150" s="14"/>
      <c r="O25150" s="14"/>
      <c r="P25150" s="13"/>
    </row>
    <row r="25151">
      <c r="L25151" s="13"/>
      <c r="M25151" s="14"/>
      <c r="N25151" s="14"/>
      <c r="O25151" s="14"/>
      <c r="P25151" s="13"/>
    </row>
    <row r="25152">
      <c r="L25152" s="13"/>
      <c r="M25152" s="14"/>
      <c r="N25152" s="14"/>
      <c r="O25152" s="14"/>
      <c r="P25152" s="13"/>
    </row>
    <row r="25153">
      <c r="L25153" s="13"/>
      <c r="M25153" s="14"/>
      <c r="N25153" s="14"/>
      <c r="O25153" s="14"/>
      <c r="P25153" s="13"/>
    </row>
    <row r="25154">
      <c r="L25154" s="13"/>
      <c r="M25154" s="14"/>
      <c r="N25154" s="14"/>
      <c r="O25154" s="14"/>
      <c r="P25154" s="13"/>
    </row>
    <row r="25155">
      <c r="L25155" s="13"/>
      <c r="M25155" s="14"/>
      <c r="N25155" s="14"/>
      <c r="O25155" s="14"/>
      <c r="P25155" s="13"/>
    </row>
    <row r="25156">
      <c r="L25156" s="13"/>
      <c r="M25156" s="14"/>
      <c r="N25156" s="14"/>
      <c r="O25156" s="14"/>
      <c r="P25156" s="13"/>
    </row>
    <row r="25157">
      <c r="L25157" s="13"/>
      <c r="M25157" s="14"/>
      <c r="N25157" s="14"/>
      <c r="O25157" s="14"/>
      <c r="P25157" s="13"/>
    </row>
    <row r="25158">
      <c r="L25158" s="13"/>
      <c r="M25158" s="14"/>
      <c r="N25158" s="14"/>
      <c r="O25158" s="14"/>
      <c r="P25158" s="13"/>
    </row>
    <row r="25159">
      <c r="L25159" s="13"/>
      <c r="M25159" s="14"/>
      <c r="N25159" s="14"/>
      <c r="O25159" s="14"/>
      <c r="P25159" s="13"/>
    </row>
    <row r="25160">
      <c r="L25160" s="13"/>
      <c r="M25160" s="14"/>
      <c r="N25160" s="14"/>
      <c r="O25160" s="14"/>
      <c r="P25160" s="13"/>
    </row>
    <row r="25161">
      <c r="L25161" s="13"/>
      <c r="M25161" s="14"/>
      <c r="N25161" s="14"/>
      <c r="O25161" s="14"/>
      <c r="P25161" s="13"/>
    </row>
    <row r="25162">
      <c r="L25162" s="13"/>
      <c r="M25162" s="14"/>
      <c r="N25162" s="14"/>
      <c r="O25162" s="14"/>
      <c r="P25162" s="13"/>
    </row>
    <row r="25163">
      <c r="L25163" s="13"/>
      <c r="M25163" s="14"/>
      <c r="N25163" s="14"/>
      <c r="O25163" s="14"/>
      <c r="P25163" s="13"/>
    </row>
    <row r="25164">
      <c r="L25164" s="13"/>
      <c r="M25164" s="14"/>
      <c r="N25164" s="14"/>
      <c r="O25164" s="14"/>
      <c r="P25164" s="13"/>
    </row>
    <row r="25165">
      <c r="L25165" s="13"/>
      <c r="M25165" s="14"/>
      <c r="N25165" s="14"/>
      <c r="O25165" s="14"/>
      <c r="P25165" s="13"/>
    </row>
    <row r="25166">
      <c r="L25166" s="13"/>
      <c r="M25166" s="14"/>
      <c r="N25166" s="14"/>
      <c r="O25166" s="14"/>
      <c r="P25166" s="13"/>
    </row>
    <row r="25167">
      <c r="L25167" s="13"/>
      <c r="M25167" s="14"/>
      <c r="N25167" s="14"/>
      <c r="O25167" s="14"/>
      <c r="P25167" s="13"/>
    </row>
    <row r="25168">
      <c r="L25168" s="13"/>
      <c r="M25168" s="14"/>
      <c r="N25168" s="14"/>
      <c r="O25168" s="14"/>
      <c r="P25168" s="13"/>
    </row>
    <row r="25169">
      <c r="L25169" s="13"/>
      <c r="M25169" s="14"/>
      <c r="N25169" s="14"/>
      <c r="O25169" s="14"/>
      <c r="P25169" s="13"/>
    </row>
    <row r="25170">
      <c r="L25170" s="13"/>
      <c r="M25170" s="14"/>
      <c r="N25170" s="14"/>
      <c r="O25170" s="14"/>
      <c r="P25170" s="13"/>
    </row>
    <row r="25171">
      <c r="L25171" s="13"/>
      <c r="M25171" s="14"/>
      <c r="N25171" s="14"/>
      <c r="O25171" s="14"/>
      <c r="P25171" s="13"/>
    </row>
    <row r="25172">
      <c r="L25172" s="13"/>
      <c r="M25172" s="14"/>
      <c r="N25172" s="14"/>
      <c r="O25172" s="14"/>
      <c r="P25172" s="13"/>
    </row>
    <row r="25173">
      <c r="L25173" s="13"/>
      <c r="M25173" s="14"/>
      <c r="N25173" s="14"/>
      <c r="O25173" s="14"/>
      <c r="P25173" s="13"/>
    </row>
    <row r="25174">
      <c r="L25174" s="13"/>
      <c r="M25174" s="14"/>
      <c r="N25174" s="14"/>
      <c r="O25174" s="14"/>
      <c r="P25174" s="13"/>
    </row>
    <row r="25175">
      <c r="L25175" s="13"/>
      <c r="M25175" s="14"/>
      <c r="N25175" s="14"/>
      <c r="O25175" s="14"/>
      <c r="P25175" s="13"/>
    </row>
    <row r="25176">
      <c r="L25176" s="13"/>
      <c r="M25176" s="14"/>
      <c r="N25176" s="14"/>
      <c r="O25176" s="14"/>
      <c r="P25176" s="13"/>
    </row>
    <row r="25177">
      <c r="L25177" s="13"/>
      <c r="M25177" s="14"/>
      <c r="N25177" s="14"/>
      <c r="O25177" s="14"/>
      <c r="P25177" s="13"/>
    </row>
    <row r="25178">
      <c r="L25178" s="13"/>
      <c r="M25178" s="14"/>
      <c r="N25178" s="14"/>
      <c r="O25178" s="14"/>
      <c r="P25178" s="13"/>
    </row>
    <row r="25179">
      <c r="L25179" s="13"/>
      <c r="M25179" s="14"/>
      <c r="N25179" s="14"/>
      <c r="O25179" s="14"/>
      <c r="P25179" s="13"/>
    </row>
    <row r="25180">
      <c r="L25180" s="13"/>
      <c r="M25180" s="14"/>
      <c r="N25180" s="14"/>
      <c r="O25180" s="14"/>
      <c r="P25180" s="13"/>
    </row>
    <row r="25181">
      <c r="L25181" s="13"/>
      <c r="M25181" s="14"/>
      <c r="N25181" s="14"/>
      <c r="O25181" s="14"/>
      <c r="P25181" s="13"/>
    </row>
    <row r="25182">
      <c r="L25182" s="13"/>
      <c r="M25182" s="14"/>
      <c r="N25182" s="14"/>
      <c r="O25182" s="14"/>
      <c r="P25182" s="13"/>
    </row>
    <row r="25183">
      <c r="L25183" s="13"/>
      <c r="M25183" s="14"/>
      <c r="N25183" s="14"/>
      <c r="O25183" s="14"/>
      <c r="P25183" s="13"/>
    </row>
    <row r="25184">
      <c r="L25184" s="13"/>
      <c r="M25184" s="14"/>
      <c r="N25184" s="14"/>
      <c r="O25184" s="14"/>
      <c r="P25184" s="13"/>
    </row>
    <row r="25185">
      <c r="L25185" s="13"/>
      <c r="M25185" s="14"/>
      <c r="N25185" s="14"/>
      <c r="O25185" s="14"/>
      <c r="P25185" s="13"/>
    </row>
    <row r="25186">
      <c r="L25186" s="13"/>
      <c r="M25186" s="14"/>
      <c r="N25186" s="14"/>
      <c r="O25186" s="14"/>
      <c r="P25186" s="13"/>
    </row>
    <row r="25187">
      <c r="L25187" s="13"/>
      <c r="M25187" s="14"/>
      <c r="N25187" s="14"/>
      <c r="O25187" s="14"/>
      <c r="P25187" s="13"/>
    </row>
    <row r="25188">
      <c r="L25188" s="13"/>
      <c r="M25188" s="14"/>
      <c r="N25188" s="14"/>
      <c r="O25188" s="14"/>
      <c r="P25188" s="13"/>
    </row>
    <row r="25189">
      <c r="L25189" s="13"/>
      <c r="M25189" s="14"/>
      <c r="N25189" s="14"/>
      <c r="O25189" s="14"/>
      <c r="P25189" s="13"/>
    </row>
    <row r="25190">
      <c r="L25190" s="13"/>
      <c r="M25190" s="14"/>
      <c r="N25190" s="14"/>
      <c r="O25190" s="14"/>
      <c r="P25190" s="13"/>
    </row>
    <row r="25191">
      <c r="L25191" s="13"/>
      <c r="M25191" s="14"/>
      <c r="N25191" s="14"/>
      <c r="O25191" s="14"/>
      <c r="P25191" s="13"/>
    </row>
    <row r="25192">
      <c r="L25192" s="13"/>
      <c r="M25192" s="14"/>
      <c r="N25192" s="14"/>
      <c r="O25192" s="14"/>
      <c r="P25192" s="13"/>
    </row>
    <row r="25193">
      <c r="L25193" s="13"/>
      <c r="M25193" s="14"/>
      <c r="N25193" s="14"/>
      <c r="O25193" s="14"/>
      <c r="P25193" s="13"/>
    </row>
    <row r="25194">
      <c r="L25194" s="13"/>
      <c r="M25194" s="14"/>
      <c r="N25194" s="14"/>
      <c r="O25194" s="14"/>
      <c r="P25194" s="13"/>
    </row>
    <row r="25195">
      <c r="L25195" s="13"/>
      <c r="M25195" s="14"/>
      <c r="N25195" s="14"/>
      <c r="O25195" s="14"/>
      <c r="P25195" s="13"/>
    </row>
    <row r="25196">
      <c r="L25196" s="13"/>
      <c r="M25196" s="14"/>
      <c r="N25196" s="14"/>
      <c r="O25196" s="14"/>
      <c r="P25196" s="13"/>
    </row>
    <row r="25197">
      <c r="L25197" s="13"/>
      <c r="M25197" s="14"/>
      <c r="N25197" s="14"/>
      <c r="O25197" s="14"/>
      <c r="P25197" s="13"/>
    </row>
    <row r="25198">
      <c r="L25198" s="13"/>
      <c r="M25198" s="14"/>
      <c r="N25198" s="14"/>
      <c r="O25198" s="14"/>
      <c r="P25198" s="13"/>
    </row>
    <row r="25199">
      <c r="L25199" s="13"/>
      <c r="M25199" s="14"/>
      <c r="N25199" s="14"/>
      <c r="O25199" s="14"/>
      <c r="P25199" s="13"/>
    </row>
    <row r="25200">
      <c r="L25200" s="13"/>
      <c r="M25200" s="14"/>
      <c r="N25200" s="14"/>
      <c r="O25200" s="14"/>
      <c r="P25200" s="13"/>
    </row>
    <row r="25201">
      <c r="L25201" s="13"/>
      <c r="M25201" s="14"/>
      <c r="N25201" s="14"/>
      <c r="O25201" s="14"/>
      <c r="P25201" s="13"/>
    </row>
    <row r="25202">
      <c r="L25202" s="13"/>
      <c r="M25202" s="14"/>
      <c r="N25202" s="14"/>
      <c r="O25202" s="14"/>
      <c r="P25202" s="13"/>
    </row>
    <row r="25203">
      <c r="L25203" s="13"/>
      <c r="M25203" s="14"/>
      <c r="N25203" s="14"/>
      <c r="O25203" s="14"/>
      <c r="P25203" s="13"/>
    </row>
    <row r="25204">
      <c r="L25204" s="13"/>
      <c r="M25204" s="14"/>
      <c r="N25204" s="14"/>
      <c r="O25204" s="14"/>
      <c r="P25204" s="13"/>
    </row>
    <row r="25205">
      <c r="L25205" s="13"/>
      <c r="M25205" s="14"/>
      <c r="N25205" s="14"/>
      <c r="O25205" s="14"/>
      <c r="P25205" s="13"/>
    </row>
    <row r="25206">
      <c r="L25206" s="13"/>
      <c r="M25206" s="14"/>
      <c r="N25206" s="14"/>
      <c r="O25206" s="14"/>
      <c r="P25206" s="13"/>
    </row>
    <row r="25207">
      <c r="L25207" s="13"/>
      <c r="M25207" s="14"/>
      <c r="N25207" s="14"/>
      <c r="O25207" s="14"/>
      <c r="P25207" s="13"/>
    </row>
    <row r="25208">
      <c r="L25208" s="13"/>
      <c r="M25208" s="14"/>
      <c r="N25208" s="14"/>
      <c r="O25208" s="14"/>
      <c r="P25208" s="13"/>
    </row>
    <row r="25209">
      <c r="L25209" s="13"/>
      <c r="M25209" s="14"/>
      <c r="N25209" s="14"/>
      <c r="O25209" s="14"/>
      <c r="P25209" s="13"/>
    </row>
    <row r="25210">
      <c r="L25210" s="13"/>
      <c r="M25210" s="14"/>
      <c r="N25210" s="14"/>
      <c r="O25210" s="14"/>
      <c r="P25210" s="13"/>
    </row>
    <row r="25211">
      <c r="L25211" s="13"/>
      <c r="M25211" s="14"/>
      <c r="N25211" s="14"/>
      <c r="O25211" s="14"/>
      <c r="P25211" s="13"/>
    </row>
    <row r="25212">
      <c r="L25212" s="13"/>
      <c r="M25212" s="14"/>
      <c r="N25212" s="14"/>
      <c r="O25212" s="14"/>
      <c r="P25212" s="13"/>
    </row>
    <row r="25213">
      <c r="L25213" s="13"/>
      <c r="M25213" s="14"/>
      <c r="N25213" s="14"/>
      <c r="O25213" s="14"/>
      <c r="P25213" s="13"/>
    </row>
    <row r="25214">
      <c r="L25214" s="13"/>
      <c r="M25214" s="14"/>
      <c r="N25214" s="14"/>
      <c r="O25214" s="14"/>
      <c r="P25214" s="13"/>
    </row>
    <row r="25215">
      <c r="L25215" s="13"/>
      <c r="M25215" s="14"/>
      <c r="N25215" s="14"/>
      <c r="O25215" s="14"/>
      <c r="P25215" s="13"/>
    </row>
    <row r="25216">
      <c r="L25216" s="13"/>
      <c r="M25216" s="14"/>
      <c r="N25216" s="14"/>
      <c r="O25216" s="14"/>
      <c r="P25216" s="13"/>
    </row>
    <row r="25217">
      <c r="L25217" s="13"/>
      <c r="M25217" s="14"/>
      <c r="N25217" s="14"/>
      <c r="O25217" s="14"/>
      <c r="P25217" s="13"/>
    </row>
    <row r="25218">
      <c r="L25218" s="13"/>
      <c r="M25218" s="14"/>
      <c r="N25218" s="14"/>
      <c r="O25218" s="14"/>
      <c r="P25218" s="13"/>
    </row>
    <row r="25219">
      <c r="L25219" s="13"/>
      <c r="M25219" s="14"/>
      <c r="N25219" s="14"/>
      <c r="O25219" s="14"/>
      <c r="P25219" s="13"/>
    </row>
    <row r="25220">
      <c r="L25220" s="13"/>
      <c r="M25220" s="14"/>
      <c r="N25220" s="14"/>
      <c r="O25220" s="14"/>
      <c r="P25220" s="13"/>
    </row>
    <row r="25221">
      <c r="L25221" s="13"/>
      <c r="M25221" s="14"/>
      <c r="N25221" s="14"/>
      <c r="O25221" s="14"/>
      <c r="P25221" s="13"/>
    </row>
    <row r="25222">
      <c r="L25222" s="13"/>
      <c r="M25222" s="14"/>
      <c r="N25222" s="14"/>
      <c r="O25222" s="14"/>
      <c r="P25222" s="13"/>
    </row>
    <row r="25223">
      <c r="L25223" s="13"/>
      <c r="M25223" s="14"/>
      <c r="N25223" s="14"/>
      <c r="O25223" s="14"/>
      <c r="P25223" s="13"/>
    </row>
    <row r="25224">
      <c r="L25224" s="13"/>
      <c r="M25224" s="14"/>
      <c r="N25224" s="14"/>
      <c r="O25224" s="14"/>
      <c r="P25224" s="13"/>
    </row>
    <row r="25225">
      <c r="L25225" s="13"/>
      <c r="M25225" s="14"/>
      <c r="N25225" s="14"/>
      <c r="O25225" s="14"/>
      <c r="P25225" s="13"/>
    </row>
    <row r="25226">
      <c r="L25226" s="13"/>
      <c r="M25226" s="14"/>
      <c r="N25226" s="14"/>
      <c r="O25226" s="14"/>
      <c r="P25226" s="13"/>
    </row>
    <row r="25227">
      <c r="L25227" s="13"/>
      <c r="M25227" s="14"/>
      <c r="N25227" s="14"/>
      <c r="O25227" s="14"/>
      <c r="P25227" s="13"/>
    </row>
    <row r="25228">
      <c r="L25228" s="13"/>
      <c r="M25228" s="14"/>
      <c r="N25228" s="14"/>
      <c r="O25228" s="14"/>
      <c r="P25228" s="13"/>
    </row>
    <row r="25229">
      <c r="L25229" s="13"/>
      <c r="M25229" s="14"/>
      <c r="N25229" s="14"/>
      <c r="O25229" s="14"/>
      <c r="P25229" s="13"/>
    </row>
    <row r="25230">
      <c r="L25230" s="13"/>
      <c r="M25230" s="14"/>
      <c r="N25230" s="14"/>
      <c r="O25230" s="14"/>
      <c r="P25230" s="13"/>
    </row>
    <row r="25231">
      <c r="L25231" s="13"/>
      <c r="M25231" s="14"/>
      <c r="N25231" s="14"/>
      <c r="O25231" s="14"/>
      <c r="P25231" s="13"/>
    </row>
    <row r="25232">
      <c r="L25232" s="13"/>
      <c r="M25232" s="14"/>
      <c r="N25232" s="14"/>
      <c r="O25232" s="14"/>
      <c r="P25232" s="13"/>
    </row>
    <row r="25233">
      <c r="L25233" s="13"/>
      <c r="M25233" s="14"/>
      <c r="N25233" s="14"/>
      <c r="O25233" s="14"/>
      <c r="P25233" s="13"/>
    </row>
    <row r="25234">
      <c r="L25234" s="13"/>
      <c r="M25234" s="14"/>
      <c r="N25234" s="14"/>
      <c r="O25234" s="14"/>
      <c r="P25234" s="13"/>
    </row>
    <row r="25235">
      <c r="L25235" s="13"/>
      <c r="M25235" s="14"/>
      <c r="N25235" s="14"/>
      <c r="O25235" s="14"/>
      <c r="P25235" s="13"/>
    </row>
    <row r="25236">
      <c r="L25236" s="13"/>
      <c r="M25236" s="14"/>
      <c r="N25236" s="14"/>
      <c r="O25236" s="14"/>
      <c r="P25236" s="13"/>
    </row>
    <row r="25237">
      <c r="L25237" s="13"/>
      <c r="M25237" s="14"/>
      <c r="N25237" s="14"/>
      <c r="O25237" s="14"/>
      <c r="P25237" s="13"/>
    </row>
    <row r="25238">
      <c r="L25238" s="13"/>
      <c r="M25238" s="14"/>
      <c r="N25238" s="14"/>
      <c r="O25238" s="14"/>
      <c r="P25238" s="13"/>
    </row>
    <row r="25239">
      <c r="L25239" s="13"/>
      <c r="M25239" s="14"/>
      <c r="N25239" s="14"/>
      <c r="O25239" s="14"/>
      <c r="P25239" s="13"/>
    </row>
    <row r="25240">
      <c r="L25240" s="13"/>
      <c r="M25240" s="14"/>
      <c r="N25240" s="14"/>
      <c r="O25240" s="14"/>
      <c r="P25240" s="13"/>
    </row>
    <row r="25241">
      <c r="L25241" s="13"/>
      <c r="M25241" s="14"/>
      <c r="N25241" s="14"/>
      <c r="O25241" s="14"/>
      <c r="P25241" s="13"/>
    </row>
    <row r="25242">
      <c r="L25242" s="13"/>
      <c r="M25242" s="14"/>
      <c r="N25242" s="14"/>
      <c r="O25242" s="14"/>
      <c r="P25242" s="13"/>
    </row>
    <row r="25243">
      <c r="L25243" s="13"/>
      <c r="M25243" s="14"/>
      <c r="N25243" s="14"/>
      <c r="O25243" s="14"/>
      <c r="P25243" s="13"/>
    </row>
    <row r="25244">
      <c r="L25244" s="13"/>
      <c r="M25244" s="14"/>
      <c r="N25244" s="14"/>
      <c r="O25244" s="14"/>
      <c r="P25244" s="13"/>
    </row>
    <row r="25245">
      <c r="L25245" s="13"/>
      <c r="M25245" s="14"/>
      <c r="N25245" s="14"/>
      <c r="O25245" s="14"/>
      <c r="P25245" s="13"/>
    </row>
    <row r="25246">
      <c r="L25246" s="13"/>
      <c r="M25246" s="14"/>
      <c r="N25246" s="14"/>
      <c r="O25246" s="14"/>
      <c r="P25246" s="13"/>
    </row>
    <row r="25247">
      <c r="L25247" s="13"/>
      <c r="M25247" s="14"/>
      <c r="N25247" s="14"/>
      <c r="O25247" s="14"/>
      <c r="P25247" s="13"/>
    </row>
    <row r="25248">
      <c r="L25248" s="13"/>
      <c r="M25248" s="14"/>
      <c r="N25248" s="14"/>
      <c r="O25248" s="14"/>
      <c r="P25248" s="13"/>
    </row>
    <row r="25249">
      <c r="L25249" s="13"/>
      <c r="M25249" s="14"/>
      <c r="N25249" s="14"/>
      <c r="O25249" s="14"/>
      <c r="P25249" s="13"/>
    </row>
    <row r="25250">
      <c r="L25250" s="13"/>
      <c r="M25250" s="14"/>
      <c r="N25250" s="14"/>
      <c r="O25250" s="14"/>
      <c r="P25250" s="13"/>
    </row>
    <row r="25251">
      <c r="L25251" s="13"/>
      <c r="M25251" s="14"/>
      <c r="N25251" s="14"/>
      <c r="O25251" s="14"/>
      <c r="P25251" s="13"/>
    </row>
    <row r="25252">
      <c r="L25252" s="13"/>
      <c r="M25252" s="14"/>
      <c r="N25252" s="14"/>
      <c r="O25252" s="14"/>
      <c r="P25252" s="13"/>
    </row>
    <row r="25253">
      <c r="L25253" s="13"/>
      <c r="M25253" s="14"/>
      <c r="N25253" s="14"/>
      <c r="O25253" s="14"/>
      <c r="P25253" s="13"/>
    </row>
    <row r="25254">
      <c r="L25254" s="13"/>
      <c r="M25254" s="14"/>
      <c r="N25254" s="14"/>
      <c r="O25254" s="14"/>
      <c r="P25254" s="13"/>
    </row>
    <row r="25255">
      <c r="L25255" s="13"/>
      <c r="M25255" s="14"/>
      <c r="N25255" s="14"/>
      <c r="O25255" s="14"/>
      <c r="P25255" s="13"/>
    </row>
    <row r="25256">
      <c r="L25256" s="13"/>
      <c r="M25256" s="14"/>
      <c r="N25256" s="14"/>
      <c r="O25256" s="14"/>
      <c r="P25256" s="13"/>
    </row>
    <row r="25257">
      <c r="L25257" s="13"/>
      <c r="M25257" s="14"/>
      <c r="N25257" s="14"/>
      <c r="O25257" s="14"/>
      <c r="P25257" s="13"/>
    </row>
    <row r="25258">
      <c r="L25258" s="13"/>
      <c r="M25258" s="14"/>
      <c r="N25258" s="14"/>
      <c r="O25258" s="14"/>
      <c r="P25258" s="13"/>
    </row>
    <row r="25259">
      <c r="L25259" s="13"/>
      <c r="M25259" s="14"/>
      <c r="N25259" s="14"/>
      <c r="O25259" s="14"/>
      <c r="P25259" s="13"/>
    </row>
    <row r="25260">
      <c r="L25260" s="13"/>
      <c r="M25260" s="14"/>
      <c r="N25260" s="14"/>
      <c r="O25260" s="14"/>
      <c r="P25260" s="13"/>
    </row>
    <row r="25261">
      <c r="L25261" s="13"/>
      <c r="M25261" s="14"/>
      <c r="N25261" s="14"/>
      <c r="O25261" s="14"/>
      <c r="P25261" s="13"/>
    </row>
    <row r="25262">
      <c r="L25262" s="13"/>
      <c r="M25262" s="14"/>
      <c r="N25262" s="14"/>
      <c r="O25262" s="14"/>
      <c r="P25262" s="13"/>
    </row>
    <row r="25263">
      <c r="L25263" s="13"/>
      <c r="M25263" s="14"/>
      <c r="N25263" s="14"/>
      <c r="O25263" s="14"/>
      <c r="P25263" s="13"/>
    </row>
    <row r="25264">
      <c r="L25264" s="13"/>
      <c r="M25264" s="14"/>
      <c r="N25264" s="14"/>
      <c r="O25264" s="14"/>
      <c r="P25264" s="13"/>
    </row>
    <row r="25265">
      <c r="L25265" s="13"/>
      <c r="M25265" s="14"/>
      <c r="N25265" s="14"/>
      <c r="O25265" s="14"/>
      <c r="P25265" s="13"/>
    </row>
    <row r="25266">
      <c r="L25266" s="13"/>
      <c r="M25266" s="14"/>
      <c r="N25266" s="14"/>
      <c r="O25266" s="14"/>
      <c r="P25266" s="13"/>
    </row>
    <row r="25267">
      <c r="L25267" s="13"/>
      <c r="M25267" s="14"/>
      <c r="N25267" s="14"/>
      <c r="O25267" s="14"/>
      <c r="P25267" s="13"/>
    </row>
    <row r="25268">
      <c r="L25268" s="13"/>
      <c r="M25268" s="14"/>
      <c r="N25268" s="14"/>
      <c r="O25268" s="14"/>
      <c r="P25268" s="13"/>
    </row>
    <row r="25269">
      <c r="L25269" s="13"/>
      <c r="M25269" s="14"/>
      <c r="N25269" s="14"/>
      <c r="O25269" s="14"/>
      <c r="P25269" s="13"/>
    </row>
    <row r="25270">
      <c r="L25270" s="13"/>
      <c r="M25270" s="14"/>
      <c r="N25270" s="14"/>
      <c r="O25270" s="14"/>
      <c r="P25270" s="13"/>
    </row>
    <row r="25271">
      <c r="L25271" s="13"/>
      <c r="M25271" s="14"/>
      <c r="N25271" s="14"/>
      <c r="O25271" s="14"/>
      <c r="P25271" s="13"/>
    </row>
    <row r="25272">
      <c r="L25272" s="13"/>
      <c r="M25272" s="14"/>
      <c r="N25272" s="14"/>
      <c r="O25272" s="14"/>
      <c r="P25272" s="13"/>
    </row>
    <row r="25273">
      <c r="L25273" s="13"/>
      <c r="M25273" s="14"/>
      <c r="N25273" s="14"/>
      <c r="O25273" s="14"/>
      <c r="P25273" s="13"/>
    </row>
    <row r="25274">
      <c r="L25274" s="13"/>
      <c r="M25274" s="14"/>
      <c r="N25274" s="14"/>
      <c r="O25274" s="14"/>
      <c r="P25274" s="13"/>
    </row>
    <row r="25275">
      <c r="L25275" s="13"/>
      <c r="M25275" s="14"/>
      <c r="N25275" s="14"/>
      <c r="O25275" s="14"/>
      <c r="P25275" s="13"/>
    </row>
    <row r="25276">
      <c r="L25276" s="13"/>
      <c r="M25276" s="14"/>
      <c r="N25276" s="14"/>
      <c r="O25276" s="14"/>
      <c r="P25276" s="13"/>
    </row>
    <row r="25277">
      <c r="L25277" s="13"/>
      <c r="M25277" s="14"/>
      <c r="N25277" s="14"/>
      <c r="O25277" s="14"/>
      <c r="P25277" s="13"/>
    </row>
    <row r="25278">
      <c r="L25278" s="13"/>
      <c r="M25278" s="14"/>
      <c r="N25278" s="14"/>
      <c r="O25278" s="14"/>
      <c r="P25278" s="13"/>
    </row>
    <row r="25279">
      <c r="L25279" s="13"/>
      <c r="M25279" s="14"/>
      <c r="N25279" s="14"/>
      <c r="O25279" s="14"/>
      <c r="P25279" s="13"/>
    </row>
    <row r="25280">
      <c r="L25280" s="13"/>
      <c r="M25280" s="14"/>
      <c r="N25280" s="14"/>
      <c r="O25280" s="14"/>
      <c r="P25280" s="13"/>
    </row>
    <row r="25281">
      <c r="L25281" s="13"/>
      <c r="M25281" s="14"/>
      <c r="N25281" s="14"/>
      <c r="O25281" s="14"/>
      <c r="P25281" s="13"/>
    </row>
    <row r="25282">
      <c r="L25282" s="13"/>
      <c r="M25282" s="14"/>
      <c r="N25282" s="14"/>
      <c r="O25282" s="14"/>
      <c r="P25282" s="13"/>
    </row>
    <row r="25283">
      <c r="L25283" s="13"/>
      <c r="M25283" s="14"/>
      <c r="N25283" s="14"/>
      <c r="O25283" s="14"/>
      <c r="P25283" s="13"/>
    </row>
    <row r="25284">
      <c r="L25284" s="13"/>
      <c r="M25284" s="14"/>
      <c r="N25284" s="14"/>
      <c r="O25284" s="14"/>
      <c r="P25284" s="13"/>
    </row>
    <row r="25285">
      <c r="L25285" s="13"/>
      <c r="M25285" s="14"/>
      <c r="N25285" s="14"/>
      <c r="O25285" s="14"/>
      <c r="P25285" s="13"/>
    </row>
    <row r="25286">
      <c r="L25286" s="13"/>
      <c r="M25286" s="14"/>
      <c r="N25286" s="14"/>
      <c r="O25286" s="14"/>
      <c r="P25286" s="13"/>
    </row>
    <row r="25287">
      <c r="L25287" s="13"/>
      <c r="M25287" s="14"/>
      <c r="N25287" s="14"/>
      <c r="O25287" s="14"/>
      <c r="P25287" s="13"/>
    </row>
    <row r="25288">
      <c r="L25288" s="13"/>
      <c r="M25288" s="14"/>
      <c r="N25288" s="14"/>
      <c r="O25288" s="14"/>
      <c r="P25288" s="13"/>
    </row>
    <row r="25289">
      <c r="L25289" s="13"/>
      <c r="M25289" s="14"/>
      <c r="N25289" s="14"/>
      <c r="O25289" s="14"/>
      <c r="P25289" s="13"/>
    </row>
    <row r="25290">
      <c r="L25290" s="13"/>
      <c r="M25290" s="14"/>
      <c r="N25290" s="14"/>
      <c r="O25290" s="14"/>
      <c r="P25290" s="13"/>
    </row>
    <row r="25291">
      <c r="L25291" s="13"/>
      <c r="M25291" s="14"/>
      <c r="N25291" s="14"/>
      <c r="O25291" s="14"/>
      <c r="P25291" s="13"/>
    </row>
    <row r="25292">
      <c r="L25292" s="13"/>
      <c r="M25292" s="14"/>
      <c r="N25292" s="14"/>
      <c r="O25292" s="14"/>
      <c r="P25292" s="13"/>
    </row>
    <row r="25293">
      <c r="L25293" s="13"/>
      <c r="M25293" s="14"/>
      <c r="N25293" s="14"/>
      <c r="O25293" s="14"/>
      <c r="P25293" s="13"/>
    </row>
    <row r="25294">
      <c r="L25294" s="13"/>
      <c r="M25294" s="14"/>
      <c r="N25294" s="14"/>
      <c r="O25294" s="14"/>
      <c r="P25294" s="13"/>
    </row>
    <row r="25295">
      <c r="L25295" s="13"/>
      <c r="M25295" s="14"/>
      <c r="N25295" s="14"/>
      <c r="O25295" s="14"/>
      <c r="P25295" s="13"/>
    </row>
    <row r="25296">
      <c r="L25296" s="13"/>
      <c r="M25296" s="14"/>
      <c r="N25296" s="14"/>
      <c r="O25296" s="14"/>
      <c r="P25296" s="13"/>
    </row>
    <row r="25297">
      <c r="L25297" s="13"/>
      <c r="M25297" s="14"/>
      <c r="N25297" s="14"/>
      <c r="O25297" s="14"/>
      <c r="P25297" s="13"/>
    </row>
    <row r="25298">
      <c r="L25298" s="13"/>
      <c r="M25298" s="14"/>
      <c r="N25298" s="14"/>
      <c r="O25298" s="14"/>
      <c r="P25298" s="13"/>
    </row>
    <row r="25299">
      <c r="L25299" s="13"/>
      <c r="M25299" s="14"/>
      <c r="N25299" s="14"/>
      <c r="O25299" s="14"/>
      <c r="P25299" s="13"/>
    </row>
    <row r="25300">
      <c r="L25300" s="13"/>
      <c r="M25300" s="14"/>
      <c r="N25300" s="14"/>
      <c r="O25300" s="14"/>
      <c r="P25300" s="13"/>
    </row>
    <row r="25301">
      <c r="L25301" s="13"/>
      <c r="M25301" s="14"/>
      <c r="N25301" s="14"/>
      <c r="O25301" s="14"/>
      <c r="P25301" s="13"/>
    </row>
    <row r="25302">
      <c r="L25302" s="13"/>
      <c r="M25302" s="14"/>
      <c r="N25302" s="14"/>
      <c r="O25302" s="14"/>
      <c r="P25302" s="13"/>
    </row>
    <row r="25303">
      <c r="L25303" s="13"/>
      <c r="M25303" s="14"/>
      <c r="N25303" s="14"/>
      <c r="O25303" s="14"/>
      <c r="P25303" s="13"/>
    </row>
    <row r="25304">
      <c r="L25304" s="13"/>
      <c r="M25304" s="14"/>
      <c r="N25304" s="14"/>
      <c r="O25304" s="14"/>
      <c r="P25304" s="13"/>
    </row>
    <row r="25305">
      <c r="L25305" s="13"/>
      <c r="M25305" s="14"/>
      <c r="N25305" s="14"/>
      <c r="O25305" s="14"/>
      <c r="P25305" s="13"/>
    </row>
    <row r="25306">
      <c r="L25306" s="13"/>
      <c r="M25306" s="14"/>
      <c r="N25306" s="14"/>
      <c r="O25306" s="14"/>
      <c r="P25306" s="13"/>
    </row>
    <row r="25307">
      <c r="L25307" s="13"/>
      <c r="M25307" s="14"/>
      <c r="N25307" s="14"/>
      <c r="O25307" s="14"/>
      <c r="P25307" s="13"/>
    </row>
    <row r="25308">
      <c r="L25308" s="13"/>
      <c r="M25308" s="14"/>
      <c r="N25308" s="14"/>
      <c r="O25308" s="14"/>
      <c r="P25308" s="13"/>
    </row>
    <row r="25309">
      <c r="L25309" s="13"/>
      <c r="M25309" s="14"/>
      <c r="N25309" s="14"/>
      <c r="O25309" s="14"/>
      <c r="P25309" s="13"/>
    </row>
    <row r="25310">
      <c r="L25310" s="13"/>
      <c r="M25310" s="14"/>
      <c r="N25310" s="14"/>
      <c r="O25310" s="14"/>
      <c r="P25310" s="13"/>
    </row>
    <row r="25311">
      <c r="L25311" s="13"/>
      <c r="M25311" s="14"/>
      <c r="N25311" s="14"/>
      <c r="O25311" s="14"/>
      <c r="P25311" s="13"/>
    </row>
    <row r="25312">
      <c r="L25312" s="13"/>
      <c r="M25312" s="14"/>
      <c r="N25312" s="14"/>
      <c r="O25312" s="14"/>
      <c r="P25312" s="13"/>
    </row>
    <row r="25313">
      <c r="L25313" s="13"/>
      <c r="M25313" s="14"/>
      <c r="N25313" s="14"/>
      <c r="O25313" s="14"/>
      <c r="P25313" s="13"/>
    </row>
    <row r="25314">
      <c r="L25314" s="13"/>
      <c r="M25314" s="14"/>
      <c r="N25314" s="14"/>
      <c r="O25314" s="14"/>
      <c r="P25314" s="13"/>
    </row>
    <row r="25315">
      <c r="L25315" s="13"/>
      <c r="M25315" s="14"/>
      <c r="N25315" s="14"/>
      <c r="O25315" s="14"/>
      <c r="P25315" s="13"/>
    </row>
    <row r="25316">
      <c r="L25316" s="13"/>
      <c r="M25316" s="14"/>
      <c r="N25316" s="14"/>
      <c r="O25316" s="14"/>
      <c r="P25316" s="13"/>
    </row>
    <row r="25317">
      <c r="L25317" s="13"/>
      <c r="M25317" s="14"/>
      <c r="N25317" s="14"/>
      <c r="O25317" s="14"/>
      <c r="P25317" s="13"/>
    </row>
    <row r="25318">
      <c r="L25318" s="13"/>
      <c r="M25318" s="14"/>
      <c r="N25318" s="14"/>
      <c r="O25318" s="14"/>
      <c r="P25318" s="13"/>
    </row>
    <row r="25319">
      <c r="L25319" s="13"/>
      <c r="M25319" s="14"/>
      <c r="N25319" s="14"/>
      <c r="O25319" s="14"/>
      <c r="P25319" s="13"/>
    </row>
    <row r="25320">
      <c r="L25320" s="13"/>
      <c r="M25320" s="14"/>
      <c r="N25320" s="14"/>
      <c r="O25320" s="14"/>
      <c r="P25320" s="13"/>
    </row>
    <row r="25321">
      <c r="L25321" s="13"/>
      <c r="M25321" s="14"/>
      <c r="N25321" s="14"/>
      <c r="O25321" s="14"/>
      <c r="P25321" s="13"/>
    </row>
    <row r="25322">
      <c r="L25322" s="13"/>
      <c r="M25322" s="14"/>
      <c r="N25322" s="14"/>
      <c r="O25322" s="14"/>
      <c r="P25322" s="13"/>
    </row>
    <row r="25323">
      <c r="L25323" s="13"/>
      <c r="M25323" s="14"/>
      <c r="N25323" s="14"/>
      <c r="O25323" s="14"/>
      <c r="P25323" s="13"/>
    </row>
    <row r="25324">
      <c r="L25324" s="13"/>
      <c r="M25324" s="14"/>
      <c r="N25324" s="14"/>
      <c r="O25324" s="14"/>
      <c r="P25324" s="13"/>
    </row>
    <row r="25325">
      <c r="L25325" s="13"/>
      <c r="M25325" s="14"/>
      <c r="N25325" s="14"/>
      <c r="O25325" s="14"/>
      <c r="P25325" s="13"/>
    </row>
    <row r="25326">
      <c r="L25326" s="13"/>
      <c r="M25326" s="14"/>
      <c r="N25326" s="14"/>
      <c r="O25326" s="14"/>
      <c r="P25326" s="13"/>
    </row>
    <row r="25327">
      <c r="L25327" s="13"/>
      <c r="M25327" s="14"/>
      <c r="N25327" s="14"/>
      <c r="O25327" s="14"/>
      <c r="P25327" s="13"/>
    </row>
    <row r="25328">
      <c r="L25328" s="13"/>
      <c r="M25328" s="14"/>
      <c r="N25328" s="14"/>
      <c r="O25328" s="14"/>
      <c r="P25328" s="13"/>
    </row>
    <row r="25329">
      <c r="L25329" s="13"/>
      <c r="M25329" s="14"/>
      <c r="N25329" s="14"/>
      <c r="O25329" s="14"/>
      <c r="P25329" s="13"/>
    </row>
    <row r="25330">
      <c r="L25330" s="13"/>
      <c r="M25330" s="14"/>
      <c r="N25330" s="14"/>
      <c r="O25330" s="14"/>
      <c r="P25330" s="13"/>
    </row>
    <row r="25331">
      <c r="L25331" s="13"/>
      <c r="M25331" s="14"/>
      <c r="N25331" s="14"/>
      <c r="O25331" s="14"/>
      <c r="P25331" s="13"/>
    </row>
    <row r="25332">
      <c r="L25332" s="13"/>
      <c r="M25332" s="14"/>
      <c r="N25332" s="14"/>
      <c r="O25332" s="14"/>
      <c r="P25332" s="13"/>
    </row>
    <row r="25333">
      <c r="L25333" s="13"/>
      <c r="M25333" s="14"/>
      <c r="N25333" s="14"/>
      <c r="O25333" s="14"/>
      <c r="P25333" s="13"/>
    </row>
    <row r="25334">
      <c r="L25334" s="13"/>
      <c r="M25334" s="14"/>
      <c r="N25334" s="14"/>
      <c r="O25334" s="14"/>
      <c r="P25334" s="13"/>
    </row>
    <row r="25335">
      <c r="L25335" s="13"/>
      <c r="M25335" s="14"/>
      <c r="N25335" s="14"/>
      <c r="O25335" s="14"/>
      <c r="P25335" s="13"/>
    </row>
    <row r="25336">
      <c r="L25336" s="13"/>
      <c r="M25336" s="14"/>
      <c r="N25336" s="14"/>
      <c r="O25336" s="14"/>
      <c r="P25336" s="13"/>
    </row>
    <row r="25337">
      <c r="L25337" s="13"/>
      <c r="M25337" s="14"/>
      <c r="N25337" s="14"/>
      <c r="O25337" s="14"/>
      <c r="P25337" s="13"/>
    </row>
    <row r="25338">
      <c r="L25338" s="13"/>
      <c r="M25338" s="14"/>
      <c r="N25338" s="14"/>
      <c r="O25338" s="14"/>
      <c r="P25338" s="13"/>
    </row>
    <row r="25339">
      <c r="L25339" s="13"/>
      <c r="M25339" s="14"/>
      <c r="N25339" s="14"/>
      <c r="O25339" s="14"/>
      <c r="P25339" s="13"/>
    </row>
    <row r="25340">
      <c r="L25340" s="13"/>
      <c r="M25340" s="14"/>
      <c r="N25340" s="14"/>
      <c r="O25340" s="14"/>
      <c r="P25340" s="13"/>
    </row>
    <row r="25341">
      <c r="L25341" s="13"/>
      <c r="M25341" s="14"/>
      <c r="N25341" s="14"/>
      <c r="O25341" s="14"/>
      <c r="P25341" s="13"/>
    </row>
    <row r="25342">
      <c r="L25342" s="13"/>
      <c r="M25342" s="14"/>
      <c r="N25342" s="14"/>
      <c r="O25342" s="14"/>
      <c r="P25342" s="13"/>
    </row>
    <row r="25343">
      <c r="L25343" s="13"/>
      <c r="M25343" s="14"/>
      <c r="N25343" s="14"/>
      <c r="O25343" s="14"/>
      <c r="P25343" s="13"/>
    </row>
    <row r="25344">
      <c r="L25344" s="13"/>
      <c r="M25344" s="14"/>
      <c r="N25344" s="14"/>
      <c r="O25344" s="14"/>
      <c r="P25344" s="13"/>
    </row>
    <row r="25345">
      <c r="L25345" s="13"/>
      <c r="M25345" s="14"/>
      <c r="N25345" s="14"/>
      <c r="O25345" s="14"/>
      <c r="P25345" s="13"/>
    </row>
    <row r="25346">
      <c r="L25346" s="13"/>
      <c r="M25346" s="14"/>
      <c r="N25346" s="14"/>
      <c r="O25346" s="14"/>
      <c r="P25346" s="13"/>
    </row>
    <row r="25347">
      <c r="L25347" s="13"/>
      <c r="M25347" s="14"/>
      <c r="N25347" s="14"/>
      <c r="O25347" s="14"/>
      <c r="P25347" s="13"/>
    </row>
    <row r="25348">
      <c r="L25348" s="13"/>
      <c r="M25348" s="14"/>
      <c r="N25348" s="14"/>
      <c r="O25348" s="14"/>
      <c r="P25348" s="13"/>
    </row>
    <row r="25349">
      <c r="L25349" s="13"/>
      <c r="M25349" s="14"/>
      <c r="N25349" s="14"/>
      <c r="O25349" s="14"/>
      <c r="P25349" s="13"/>
    </row>
    <row r="25350">
      <c r="L25350" s="13"/>
      <c r="M25350" s="14"/>
      <c r="N25350" s="14"/>
      <c r="O25350" s="14"/>
      <c r="P25350" s="13"/>
    </row>
    <row r="25351">
      <c r="L25351" s="13"/>
      <c r="M25351" s="14"/>
      <c r="N25351" s="14"/>
      <c r="O25351" s="14"/>
      <c r="P25351" s="13"/>
    </row>
    <row r="25352">
      <c r="L25352" s="13"/>
      <c r="M25352" s="14"/>
      <c r="N25352" s="14"/>
      <c r="O25352" s="14"/>
      <c r="P25352" s="13"/>
    </row>
    <row r="25353">
      <c r="L25353" s="13"/>
      <c r="M25353" s="14"/>
      <c r="N25353" s="14"/>
      <c r="O25353" s="14"/>
      <c r="P25353" s="13"/>
    </row>
    <row r="25354">
      <c r="L25354" s="13"/>
      <c r="M25354" s="14"/>
      <c r="N25354" s="14"/>
      <c r="O25354" s="14"/>
      <c r="P25354" s="13"/>
    </row>
    <row r="25355">
      <c r="L25355" s="13"/>
      <c r="M25355" s="14"/>
      <c r="N25355" s="14"/>
      <c r="O25355" s="14"/>
      <c r="P25355" s="13"/>
    </row>
    <row r="25356">
      <c r="L25356" s="13"/>
      <c r="M25356" s="14"/>
      <c r="N25356" s="14"/>
      <c r="O25356" s="14"/>
      <c r="P25356" s="13"/>
    </row>
    <row r="25357">
      <c r="L25357" s="13"/>
      <c r="M25357" s="14"/>
      <c r="N25357" s="14"/>
      <c r="O25357" s="14"/>
      <c r="P25357" s="13"/>
    </row>
    <row r="25358">
      <c r="L25358" s="13"/>
      <c r="M25358" s="14"/>
      <c r="N25358" s="14"/>
      <c r="O25358" s="14"/>
      <c r="P25358" s="13"/>
    </row>
    <row r="25359">
      <c r="L25359" s="13"/>
      <c r="M25359" s="14"/>
      <c r="N25359" s="14"/>
      <c r="O25359" s="14"/>
      <c r="P25359" s="13"/>
    </row>
    <row r="25360">
      <c r="L25360" s="13"/>
      <c r="M25360" s="14"/>
      <c r="N25360" s="14"/>
      <c r="O25360" s="14"/>
      <c r="P25360" s="13"/>
    </row>
    <row r="25361">
      <c r="L25361" s="13"/>
      <c r="M25361" s="14"/>
      <c r="N25361" s="14"/>
      <c r="O25361" s="14"/>
      <c r="P25361" s="13"/>
    </row>
    <row r="25362">
      <c r="L25362" s="13"/>
      <c r="M25362" s="14"/>
      <c r="N25362" s="14"/>
      <c r="O25362" s="14"/>
      <c r="P25362" s="13"/>
    </row>
    <row r="25363">
      <c r="L25363" s="13"/>
      <c r="M25363" s="14"/>
      <c r="N25363" s="14"/>
      <c r="O25363" s="14"/>
      <c r="P25363" s="13"/>
    </row>
    <row r="25364">
      <c r="L25364" s="13"/>
      <c r="M25364" s="14"/>
      <c r="N25364" s="14"/>
      <c r="O25364" s="14"/>
      <c r="P25364" s="13"/>
    </row>
    <row r="25365">
      <c r="L25365" s="13"/>
      <c r="M25365" s="14"/>
      <c r="N25365" s="14"/>
      <c r="O25365" s="14"/>
      <c r="P25365" s="13"/>
    </row>
    <row r="25366">
      <c r="L25366" s="13"/>
      <c r="M25366" s="14"/>
      <c r="N25366" s="14"/>
      <c r="O25366" s="14"/>
      <c r="P25366" s="13"/>
    </row>
    <row r="25367">
      <c r="L25367" s="13"/>
      <c r="M25367" s="14"/>
      <c r="N25367" s="14"/>
      <c r="O25367" s="14"/>
      <c r="P25367" s="13"/>
    </row>
    <row r="25368">
      <c r="L25368" s="13"/>
      <c r="M25368" s="14"/>
      <c r="N25368" s="14"/>
      <c r="O25368" s="14"/>
      <c r="P25368" s="13"/>
    </row>
    <row r="25369">
      <c r="L25369" s="13"/>
      <c r="M25369" s="14"/>
      <c r="N25369" s="14"/>
      <c r="O25369" s="14"/>
      <c r="P25369" s="13"/>
    </row>
    <row r="25370">
      <c r="L25370" s="13"/>
      <c r="M25370" s="14"/>
      <c r="N25370" s="14"/>
      <c r="O25370" s="14"/>
      <c r="P25370" s="13"/>
    </row>
    <row r="25371">
      <c r="L25371" s="13"/>
      <c r="M25371" s="14"/>
      <c r="N25371" s="14"/>
      <c r="O25371" s="14"/>
      <c r="P25371" s="13"/>
    </row>
    <row r="25372">
      <c r="L25372" s="13"/>
      <c r="M25372" s="14"/>
      <c r="N25372" s="14"/>
      <c r="O25372" s="14"/>
      <c r="P25372" s="13"/>
    </row>
    <row r="25373">
      <c r="L25373" s="13"/>
      <c r="M25373" s="14"/>
      <c r="N25373" s="14"/>
      <c r="O25373" s="14"/>
      <c r="P25373" s="13"/>
    </row>
    <row r="25374">
      <c r="L25374" s="13"/>
      <c r="M25374" s="14"/>
      <c r="N25374" s="14"/>
      <c r="O25374" s="14"/>
      <c r="P25374" s="13"/>
    </row>
    <row r="25375">
      <c r="L25375" s="13"/>
      <c r="M25375" s="14"/>
      <c r="N25375" s="14"/>
      <c r="O25375" s="14"/>
      <c r="P25375" s="13"/>
    </row>
    <row r="25376">
      <c r="L25376" s="13"/>
      <c r="M25376" s="14"/>
      <c r="N25376" s="14"/>
      <c r="O25376" s="14"/>
      <c r="P25376" s="13"/>
    </row>
    <row r="25377">
      <c r="L25377" s="13"/>
      <c r="M25377" s="14"/>
      <c r="N25377" s="14"/>
      <c r="O25377" s="14"/>
      <c r="P25377" s="13"/>
    </row>
    <row r="25378">
      <c r="L25378" s="13"/>
      <c r="M25378" s="14"/>
      <c r="N25378" s="14"/>
      <c r="O25378" s="14"/>
      <c r="P25378" s="13"/>
    </row>
    <row r="25379">
      <c r="L25379" s="13"/>
      <c r="M25379" s="14"/>
      <c r="N25379" s="14"/>
      <c r="O25379" s="14"/>
      <c r="P25379" s="13"/>
    </row>
    <row r="25380">
      <c r="L25380" s="13"/>
      <c r="M25380" s="14"/>
      <c r="N25380" s="14"/>
      <c r="O25380" s="14"/>
      <c r="P25380" s="13"/>
    </row>
    <row r="25381">
      <c r="L25381" s="13"/>
      <c r="M25381" s="14"/>
      <c r="N25381" s="14"/>
      <c r="O25381" s="14"/>
      <c r="P25381" s="13"/>
    </row>
    <row r="25382">
      <c r="L25382" s="13"/>
      <c r="M25382" s="14"/>
      <c r="N25382" s="14"/>
      <c r="O25382" s="14"/>
      <c r="P25382" s="13"/>
    </row>
    <row r="25383">
      <c r="L25383" s="13"/>
      <c r="M25383" s="14"/>
      <c r="N25383" s="14"/>
      <c r="O25383" s="14"/>
      <c r="P25383" s="13"/>
    </row>
    <row r="25384">
      <c r="L25384" s="13"/>
      <c r="M25384" s="14"/>
      <c r="N25384" s="14"/>
      <c r="O25384" s="14"/>
      <c r="P25384" s="13"/>
    </row>
    <row r="25385">
      <c r="L25385" s="13"/>
      <c r="M25385" s="14"/>
      <c r="N25385" s="14"/>
      <c r="O25385" s="14"/>
      <c r="P25385" s="13"/>
    </row>
    <row r="25386">
      <c r="L25386" s="13"/>
      <c r="M25386" s="14"/>
      <c r="N25386" s="14"/>
      <c r="O25386" s="14"/>
      <c r="P25386" s="13"/>
    </row>
    <row r="25387">
      <c r="L25387" s="13"/>
      <c r="M25387" s="14"/>
      <c r="N25387" s="14"/>
      <c r="O25387" s="14"/>
      <c r="P25387" s="13"/>
    </row>
    <row r="25388">
      <c r="L25388" s="13"/>
      <c r="M25388" s="14"/>
      <c r="N25388" s="14"/>
      <c r="O25388" s="14"/>
      <c r="P25388" s="13"/>
    </row>
    <row r="25389">
      <c r="L25389" s="13"/>
      <c r="M25389" s="14"/>
      <c r="N25389" s="14"/>
      <c r="O25389" s="14"/>
      <c r="P25389" s="13"/>
    </row>
    <row r="25390">
      <c r="L25390" s="13"/>
      <c r="M25390" s="14"/>
      <c r="N25390" s="14"/>
      <c r="O25390" s="14"/>
      <c r="P25390" s="13"/>
    </row>
    <row r="25391">
      <c r="L25391" s="13"/>
      <c r="M25391" s="14"/>
      <c r="N25391" s="14"/>
      <c r="O25391" s="14"/>
      <c r="P25391" s="13"/>
    </row>
    <row r="25392">
      <c r="L25392" s="13"/>
      <c r="M25392" s="14"/>
      <c r="N25392" s="14"/>
      <c r="O25392" s="14"/>
      <c r="P25392" s="13"/>
    </row>
    <row r="25393">
      <c r="L25393" s="13"/>
      <c r="M25393" s="14"/>
      <c r="N25393" s="14"/>
      <c r="O25393" s="14"/>
      <c r="P25393" s="13"/>
    </row>
    <row r="25394">
      <c r="L25394" s="13"/>
      <c r="M25394" s="14"/>
      <c r="N25394" s="14"/>
      <c r="O25394" s="14"/>
      <c r="P25394" s="13"/>
    </row>
    <row r="25395">
      <c r="L25395" s="13"/>
      <c r="M25395" s="14"/>
      <c r="N25395" s="14"/>
      <c r="O25395" s="14"/>
      <c r="P25395" s="13"/>
    </row>
    <row r="25396">
      <c r="L25396" s="13"/>
      <c r="M25396" s="14"/>
      <c r="N25396" s="14"/>
      <c r="O25396" s="14"/>
      <c r="P25396" s="13"/>
    </row>
    <row r="25397">
      <c r="L25397" s="13"/>
      <c r="M25397" s="14"/>
      <c r="N25397" s="14"/>
      <c r="O25397" s="14"/>
      <c r="P25397" s="13"/>
    </row>
    <row r="25398">
      <c r="L25398" s="13"/>
      <c r="M25398" s="14"/>
      <c r="N25398" s="14"/>
      <c r="O25398" s="14"/>
      <c r="P25398" s="13"/>
    </row>
    <row r="25399">
      <c r="L25399" s="13"/>
      <c r="M25399" s="14"/>
      <c r="N25399" s="14"/>
      <c r="O25399" s="14"/>
      <c r="P25399" s="13"/>
    </row>
    <row r="25400">
      <c r="L25400" s="13"/>
      <c r="M25400" s="14"/>
      <c r="N25400" s="14"/>
      <c r="O25400" s="14"/>
      <c r="P25400" s="13"/>
    </row>
    <row r="25401">
      <c r="L25401" s="13"/>
      <c r="M25401" s="14"/>
      <c r="N25401" s="14"/>
      <c r="O25401" s="14"/>
      <c r="P25401" s="13"/>
    </row>
    <row r="25402">
      <c r="L25402" s="13"/>
      <c r="M25402" s="14"/>
      <c r="N25402" s="14"/>
      <c r="O25402" s="14"/>
      <c r="P25402" s="13"/>
    </row>
    <row r="25403">
      <c r="L25403" s="13"/>
      <c r="M25403" s="14"/>
      <c r="N25403" s="14"/>
      <c r="O25403" s="14"/>
      <c r="P25403" s="13"/>
    </row>
    <row r="25404">
      <c r="L25404" s="13"/>
      <c r="M25404" s="14"/>
      <c r="N25404" s="14"/>
      <c r="O25404" s="14"/>
      <c r="P25404" s="13"/>
    </row>
    <row r="25405">
      <c r="L25405" s="13"/>
      <c r="M25405" s="14"/>
      <c r="N25405" s="14"/>
      <c r="O25405" s="14"/>
      <c r="P25405" s="13"/>
    </row>
    <row r="25406">
      <c r="L25406" s="13"/>
      <c r="M25406" s="14"/>
      <c r="N25406" s="14"/>
      <c r="O25406" s="14"/>
      <c r="P25406" s="13"/>
    </row>
    <row r="25407">
      <c r="L25407" s="13"/>
      <c r="M25407" s="14"/>
      <c r="N25407" s="14"/>
      <c r="O25407" s="14"/>
      <c r="P25407" s="13"/>
    </row>
    <row r="25408">
      <c r="L25408" s="13"/>
      <c r="M25408" s="14"/>
      <c r="N25408" s="14"/>
      <c r="O25408" s="14"/>
      <c r="P25408" s="13"/>
    </row>
    <row r="25409">
      <c r="L25409" s="13"/>
      <c r="M25409" s="14"/>
      <c r="N25409" s="14"/>
      <c r="O25409" s="14"/>
      <c r="P25409" s="13"/>
    </row>
    <row r="25410">
      <c r="L25410" s="13"/>
      <c r="M25410" s="14"/>
      <c r="N25410" s="14"/>
      <c r="O25410" s="14"/>
      <c r="P25410" s="13"/>
    </row>
    <row r="25411">
      <c r="L25411" s="13"/>
      <c r="M25411" s="14"/>
      <c r="N25411" s="14"/>
      <c r="O25411" s="14"/>
      <c r="P25411" s="13"/>
    </row>
    <row r="25412">
      <c r="L25412" s="13"/>
      <c r="M25412" s="14"/>
      <c r="N25412" s="14"/>
      <c r="O25412" s="14"/>
      <c r="P25412" s="13"/>
    </row>
    <row r="25413">
      <c r="L25413" s="13"/>
      <c r="M25413" s="14"/>
      <c r="N25413" s="14"/>
      <c r="O25413" s="14"/>
      <c r="P25413" s="13"/>
    </row>
    <row r="25414">
      <c r="L25414" s="13"/>
      <c r="M25414" s="14"/>
      <c r="N25414" s="14"/>
      <c r="O25414" s="14"/>
      <c r="P25414" s="13"/>
    </row>
    <row r="25415">
      <c r="L25415" s="13"/>
      <c r="M25415" s="14"/>
      <c r="N25415" s="14"/>
      <c r="O25415" s="14"/>
      <c r="P25415" s="13"/>
    </row>
    <row r="25416">
      <c r="L25416" s="13"/>
      <c r="M25416" s="14"/>
      <c r="N25416" s="14"/>
      <c r="O25416" s="14"/>
      <c r="P25416" s="13"/>
    </row>
    <row r="25417">
      <c r="L25417" s="13"/>
      <c r="M25417" s="14"/>
      <c r="N25417" s="14"/>
      <c r="O25417" s="14"/>
      <c r="P25417" s="13"/>
    </row>
    <row r="25418">
      <c r="L25418" s="13"/>
      <c r="M25418" s="14"/>
      <c r="N25418" s="14"/>
      <c r="O25418" s="14"/>
      <c r="P25418" s="13"/>
    </row>
    <row r="25419">
      <c r="L25419" s="13"/>
      <c r="M25419" s="14"/>
      <c r="N25419" s="14"/>
      <c r="O25419" s="14"/>
      <c r="P25419" s="13"/>
    </row>
    <row r="25420">
      <c r="L25420" s="13"/>
      <c r="M25420" s="14"/>
      <c r="N25420" s="14"/>
      <c r="O25420" s="14"/>
      <c r="P25420" s="13"/>
    </row>
    <row r="25421">
      <c r="L25421" s="13"/>
      <c r="M25421" s="14"/>
      <c r="N25421" s="14"/>
      <c r="O25421" s="14"/>
      <c r="P25421" s="13"/>
    </row>
    <row r="25422">
      <c r="L25422" s="13"/>
      <c r="M25422" s="14"/>
      <c r="N25422" s="14"/>
      <c r="O25422" s="14"/>
      <c r="P25422" s="13"/>
    </row>
    <row r="25423">
      <c r="L25423" s="13"/>
      <c r="M25423" s="14"/>
      <c r="N25423" s="14"/>
      <c r="O25423" s="14"/>
      <c r="P25423" s="13"/>
    </row>
    <row r="25424">
      <c r="L25424" s="13"/>
      <c r="M25424" s="14"/>
      <c r="N25424" s="14"/>
      <c r="O25424" s="14"/>
      <c r="P25424" s="13"/>
    </row>
    <row r="25425">
      <c r="L25425" s="13"/>
      <c r="M25425" s="14"/>
      <c r="N25425" s="14"/>
      <c r="O25425" s="14"/>
      <c r="P25425" s="13"/>
    </row>
    <row r="25426">
      <c r="L25426" s="13"/>
      <c r="M25426" s="14"/>
      <c r="N25426" s="14"/>
      <c r="O25426" s="14"/>
      <c r="P25426" s="13"/>
    </row>
    <row r="25427">
      <c r="L25427" s="13"/>
      <c r="M25427" s="14"/>
      <c r="N25427" s="14"/>
      <c r="O25427" s="14"/>
      <c r="P25427" s="13"/>
    </row>
    <row r="25428">
      <c r="L25428" s="13"/>
      <c r="M25428" s="14"/>
      <c r="N25428" s="14"/>
      <c r="O25428" s="14"/>
      <c r="P25428" s="13"/>
    </row>
    <row r="25429">
      <c r="L25429" s="13"/>
      <c r="M25429" s="14"/>
      <c r="N25429" s="14"/>
      <c r="O25429" s="14"/>
      <c r="P25429" s="13"/>
    </row>
    <row r="25430">
      <c r="L25430" s="13"/>
      <c r="M25430" s="14"/>
      <c r="N25430" s="14"/>
      <c r="O25430" s="14"/>
      <c r="P25430" s="13"/>
    </row>
    <row r="25431">
      <c r="L25431" s="13"/>
      <c r="M25431" s="14"/>
      <c r="N25431" s="14"/>
      <c r="O25431" s="14"/>
      <c r="P25431" s="13"/>
    </row>
    <row r="25432">
      <c r="L25432" s="13"/>
      <c r="M25432" s="14"/>
      <c r="N25432" s="14"/>
      <c r="O25432" s="14"/>
      <c r="P25432" s="13"/>
    </row>
    <row r="25433">
      <c r="L25433" s="13"/>
      <c r="M25433" s="14"/>
      <c r="N25433" s="14"/>
      <c r="O25433" s="14"/>
      <c r="P25433" s="13"/>
    </row>
    <row r="25434">
      <c r="L25434" s="13"/>
      <c r="M25434" s="14"/>
      <c r="N25434" s="14"/>
      <c r="O25434" s="14"/>
      <c r="P25434" s="13"/>
    </row>
    <row r="25435">
      <c r="L25435" s="13"/>
      <c r="M25435" s="14"/>
      <c r="N25435" s="14"/>
      <c r="O25435" s="14"/>
      <c r="P25435" s="13"/>
    </row>
    <row r="25436">
      <c r="L25436" s="13"/>
      <c r="M25436" s="14"/>
      <c r="N25436" s="14"/>
      <c r="O25436" s="14"/>
      <c r="P25436" s="13"/>
    </row>
    <row r="25437">
      <c r="L25437" s="13"/>
      <c r="M25437" s="14"/>
      <c r="N25437" s="14"/>
      <c r="O25437" s="14"/>
      <c r="P25437" s="13"/>
    </row>
    <row r="25438">
      <c r="L25438" s="13"/>
      <c r="M25438" s="14"/>
      <c r="N25438" s="14"/>
      <c r="O25438" s="14"/>
      <c r="P25438" s="13"/>
    </row>
    <row r="25439">
      <c r="L25439" s="13"/>
      <c r="M25439" s="14"/>
      <c r="N25439" s="14"/>
      <c r="O25439" s="14"/>
      <c r="P25439" s="13"/>
    </row>
    <row r="25440">
      <c r="L25440" s="13"/>
      <c r="M25440" s="14"/>
      <c r="N25440" s="14"/>
      <c r="O25440" s="14"/>
      <c r="P25440" s="13"/>
    </row>
    <row r="25441">
      <c r="L25441" s="13"/>
      <c r="M25441" s="14"/>
      <c r="N25441" s="14"/>
      <c r="O25441" s="14"/>
      <c r="P25441" s="13"/>
    </row>
    <row r="25442">
      <c r="L25442" s="13"/>
      <c r="M25442" s="14"/>
      <c r="N25442" s="14"/>
      <c r="O25442" s="14"/>
      <c r="P25442" s="13"/>
    </row>
    <row r="25443">
      <c r="L25443" s="13"/>
      <c r="M25443" s="14"/>
      <c r="N25443" s="14"/>
      <c r="O25443" s="14"/>
      <c r="P25443" s="13"/>
    </row>
    <row r="25444">
      <c r="L25444" s="13"/>
      <c r="M25444" s="14"/>
      <c r="N25444" s="14"/>
      <c r="O25444" s="14"/>
      <c r="P25444" s="13"/>
    </row>
    <row r="25445">
      <c r="L25445" s="13"/>
      <c r="M25445" s="14"/>
      <c r="N25445" s="14"/>
      <c r="O25445" s="14"/>
      <c r="P25445" s="13"/>
    </row>
    <row r="25446">
      <c r="L25446" s="13"/>
      <c r="M25446" s="14"/>
      <c r="N25446" s="14"/>
      <c r="O25446" s="14"/>
      <c r="P25446" s="13"/>
    </row>
    <row r="25447">
      <c r="L25447" s="13"/>
      <c r="M25447" s="14"/>
      <c r="N25447" s="14"/>
      <c r="O25447" s="14"/>
      <c r="P25447" s="13"/>
    </row>
    <row r="25448">
      <c r="L25448" s="13"/>
      <c r="M25448" s="14"/>
      <c r="N25448" s="14"/>
      <c r="O25448" s="14"/>
      <c r="P25448" s="13"/>
    </row>
    <row r="25449">
      <c r="L25449" s="13"/>
      <c r="M25449" s="14"/>
      <c r="N25449" s="14"/>
      <c r="O25449" s="14"/>
      <c r="P25449" s="13"/>
    </row>
    <row r="25450">
      <c r="L25450" s="13"/>
      <c r="M25450" s="14"/>
      <c r="N25450" s="14"/>
      <c r="O25450" s="14"/>
      <c r="P25450" s="13"/>
    </row>
    <row r="25451">
      <c r="L25451" s="13"/>
      <c r="M25451" s="14"/>
      <c r="N25451" s="14"/>
      <c r="O25451" s="14"/>
      <c r="P25451" s="13"/>
    </row>
    <row r="25452">
      <c r="L25452" s="13"/>
      <c r="M25452" s="14"/>
      <c r="N25452" s="14"/>
      <c r="O25452" s="14"/>
      <c r="P25452" s="13"/>
    </row>
    <row r="25453">
      <c r="L25453" s="13"/>
      <c r="M25453" s="14"/>
      <c r="N25453" s="14"/>
      <c r="O25453" s="14"/>
      <c r="P25453" s="13"/>
    </row>
    <row r="25454">
      <c r="L25454" s="13"/>
      <c r="M25454" s="14"/>
      <c r="N25454" s="14"/>
      <c r="O25454" s="14"/>
      <c r="P25454" s="13"/>
    </row>
    <row r="25455">
      <c r="L25455" s="13"/>
      <c r="M25455" s="14"/>
      <c r="N25455" s="14"/>
      <c r="O25455" s="14"/>
      <c r="P25455" s="13"/>
    </row>
    <row r="25456">
      <c r="L25456" s="13"/>
      <c r="M25456" s="14"/>
      <c r="N25456" s="14"/>
      <c r="O25456" s="14"/>
      <c r="P25456" s="13"/>
    </row>
    <row r="25457">
      <c r="L25457" s="13"/>
      <c r="M25457" s="14"/>
      <c r="N25457" s="14"/>
      <c r="O25457" s="14"/>
      <c r="P25457" s="13"/>
    </row>
    <row r="25458">
      <c r="L25458" s="13"/>
      <c r="M25458" s="14"/>
      <c r="N25458" s="14"/>
      <c r="O25458" s="14"/>
      <c r="P25458" s="13"/>
    </row>
    <row r="25459">
      <c r="L25459" s="13"/>
      <c r="M25459" s="14"/>
      <c r="N25459" s="14"/>
      <c r="O25459" s="14"/>
      <c r="P25459" s="13"/>
    </row>
    <row r="25460">
      <c r="L25460" s="13"/>
      <c r="M25460" s="14"/>
      <c r="N25460" s="14"/>
      <c r="O25460" s="14"/>
      <c r="P25460" s="13"/>
    </row>
    <row r="25461">
      <c r="L25461" s="13"/>
      <c r="M25461" s="14"/>
      <c r="N25461" s="14"/>
      <c r="O25461" s="14"/>
      <c r="P25461" s="13"/>
    </row>
    <row r="25462">
      <c r="L25462" s="13"/>
      <c r="M25462" s="14"/>
      <c r="N25462" s="14"/>
      <c r="O25462" s="14"/>
      <c r="P25462" s="13"/>
    </row>
    <row r="25463">
      <c r="L25463" s="13"/>
      <c r="M25463" s="14"/>
      <c r="N25463" s="14"/>
      <c r="O25463" s="14"/>
      <c r="P25463" s="13"/>
    </row>
    <row r="25464">
      <c r="L25464" s="13"/>
      <c r="M25464" s="14"/>
      <c r="N25464" s="14"/>
      <c r="O25464" s="14"/>
      <c r="P25464" s="13"/>
    </row>
    <row r="25465">
      <c r="L25465" s="13"/>
      <c r="M25465" s="14"/>
      <c r="N25465" s="14"/>
      <c r="O25465" s="14"/>
      <c r="P25465" s="13"/>
    </row>
    <row r="25466">
      <c r="L25466" s="13"/>
      <c r="M25466" s="14"/>
      <c r="N25466" s="14"/>
      <c r="O25466" s="14"/>
      <c r="P25466" s="13"/>
    </row>
    <row r="25467">
      <c r="L25467" s="13"/>
      <c r="M25467" s="14"/>
      <c r="N25467" s="14"/>
      <c r="O25467" s="14"/>
      <c r="P25467" s="13"/>
    </row>
    <row r="25468">
      <c r="L25468" s="13"/>
      <c r="M25468" s="14"/>
      <c r="N25468" s="14"/>
      <c r="O25468" s="14"/>
      <c r="P25468" s="13"/>
    </row>
    <row r="25469">
      <c r="L25469" s="13"/>
      <c r="M25469" s="14"/>
      <c r="N25469" s="14"/>
      <c r="O25469" s="14"/>
      <c r="P25469" s="13"/>
    </row>
    <row r="25470">
      <c r="L25470" s="13"/>
      <c r="M25470" s="14"/>
      <c r="N25470" s="14"/>
      <c r="O25470" s="14"/>
      <c r="P25470" s="13"/>
    </row>
    <row r="25471">
      <c r="L25471" s="13"/>
      <c r="M25471" s="14"/>
      <c r="N25471" s="14"/>
      <c r="O25471" s="14"/>
      <c r="P25471" s="13"/>
    </row>
    <row r="25472">
      <c r="L25472" s="13"/>
      <c r="M25472" s="14"/>
      <c r="N25472" s="14"/>
      <c r="O25472" s="14"/>
      <c r="P25472" s="13"/>
    </row>
    <row r="25473">
      <c r="L25473" s="13"/>
      <c r="M25473" s="14"/>
      <c r="N25473" s="14"/>
      <c r="O25473" s="14"/>
      <c r="P25473" s="13"/>
    </row>
    <row r="25474">
      <c r="L25474" s="13"/>
      <c r="M25474" s="14"/>
      <c r="N25474" s="14"/>
      <c r="O25474" s="14"/>
      <c r="P25474" s="13"/>
    </row>
    <row r="25475">
      <c r="L25475" s="13"/>
      <c r="M25475" s="14"/>
      <c r="N25475" s="14"/>
      <c r="O25475" s="14"/>
      <c r="P25475" s="13"/>
    </row>
    <row r="25476">
      <c r="L25476" s="13"/>
      <c r="M25476" s="14"/>
      <c r="N25476" s="14"/>
      <c r="O25476" s="14"/>
      <c r="P25476" s="13"/>
    </row>
    <row r="25477">
      <c r="L25477" s="13"/>
      <c r="M25477" s="14"/>
      <c r="N25477" s="14"/>
      <c r="O25477" s="14"/>
      <c r="P25477" s="13"/>
    </row>
    <row r="25478">
      <c r="L25478" s="13"/>
      <c r="M25478" s="14"/>
      <c r="N25478" s="14"/>
      <c r="O25478" s="14"/>
      <c r="P25478" s="13"/>
    </row>
    <row r="25479">
      <c r="L25479" s="13"/>
      <c r="M25479" s="14"/>
      <c r="N25479" s="14"/>
      <c r="O25479" s="14"/>
      <c r="P25479" s="13"/>
    </row>
    <row r="25480">
      <c r="L25480" s="13"/>
      <c r="M25480" s="14"/>
      <c r="N25480" s="14"/>
      <c r="O25480" s="14"/>
      <c r="P25480" s="13"/>
    </row>
    <row r="25481">
      <c r="L25481" s="13"/>
      <c r="M25481" s="14"/>
      <c r="N25481" s="14"/>
      <c r="O25481" s="14"/>
      <c r="P25481" s="13"/>
    </row>
    <row r="25482">
      <c r="L25482" s="13"/>
      <c r="M25482" s="14"/>
      <c r="N25482" s="14"/>
      <c r="O25482" s="14"/>
      <c r="P25482" s="13"/>
    </row>
    <row r="25483">
      <c r="L25483" s="13"/>
      <c r="M25483" s="14"/>
      <c r="N25483" s="14"/>
      <c r="O25483" s="14"/>
      <c r="P25483" s="13"/>
    </row>
    <row r="25484">
      <c r="L25484" s="13"/>
      <c r="M25484" s="14"/>
      <c r="N25484" s="14"/>
      <c r="O25484" s="14"/>
      <c r="P25484" s="13"/>
    </row>
    <row r="25485">
      <c r="L25485" s="13"/>
      <c r="M25485" s="14"/>
      <c r="N25485" s="14"/>
      <c r="O25485" s="14"/>
      <c r="P25485" s="13"/>
    </row>
    <row r="25486">
      <c r="L25486" s="13"/>
      <c r="M25486" s="14"/>
      <c r="N25486" s="14"/>
      <c r="O25486" s="14"/>
      <c r="P25486" s="13"/>
    </row>
    <row r="25487">
      <c r="L25487" s="13"/>
      <c r="M25487" s="14"/>
      <c r="N25487" s="14"/>
      <c r="O25487" s="14"/>
      <c r="P25487" s="13"/>
    </row>
    <row r="25488">
      <c r="L25488" s="13"/>
      <c r="M25488" s="14"/>
      <c r="N25488" s="14"/>
      <c r="O25488" s="14"/>
      <c r="P25488" s="13"/>
    </row>
    <row r="25489">
      <c r="L25489" s="13"/>
      <c r="M25489" s="14"/>
      <c r="N25489" s="14"/>
      <c r="O25489" s="14"/>
      <c r="P25489" s="13"/>
    </row>
    <row r="25490">
      <c r="L25490" s="13"/>
      <c r="M25490" s="14"/>
      <c r="N25490" s="14"/>
      <c r="O25490" s="14"/>
      <c r="P25490" s="13"/>
    </row>
    <row r="25491">
      <c r="L25491" s="13"/>
      <c r="M25491" s="14"/>
      <c r="N25491" s="14"/>
      <c r="O25491" s="14"/>
      <c r="P25491" s="13"/>
    </row>
    <row r="25492">
      <c r="L25492" s="13"/>
      <c r="M25492" s="14"/>
      <c r="N25492" s="14"/>
      <c r="O25492" s="14"/>
      <c r="P25492" s="13"/>
    </row>
    <row r="25493">
      <c r="L25493" s="13"/>
      <c r="M25493" s="14"/>
      <c r="N25493" s="14"/>
      <c r="O25493" s="14"/>
      <c r="P25493" s="13"/>
    </row>
    <row r="25494">
      <c r="L25494" s="13"/>
      <c r="M25494" s="14"/>
      <c r="N25494" s="14"/>
      <c r="O25494" s="14"/>
      <c r="P25494" s="13"/>
    </row>
    <row r="25495">
      <c r="L25495" s="13"/>
      <c r="M25495" s="14"/>
      <c r="N25495" s="14"/>
      <c r="O25495" s="14"/>
      <c r="P25495" s="13"/>
    </row>
    <row r="25496">
      <c r="L25496" s="13"/>
      <c r="M25496" s="14"/>
      <c r="N25496" s="14"/>
      <c r="O25496" s="14"/>
      <c r="P25496" s="13"/>
    </row>
    <row r="25497">
      <c r="L25497" s="13"/>
      <c r="M25497" s="14"/>
      <c r="N25497" s="14"/>
      <c r="O25497" s="14"/>
      <c r="P25497" s="13"/>
    </row>
    <row r="25498">
      <c r="L25498" s="13"/>
      <c r="M25498" s="14"/>
      <c r="N25498" s="14"/>
      <c r="O25498" s="14"/>
      <c r="P25498" s="13"/>
    </row>
    <row r="25499">
      <c r="L25499" s="13"/>
      <c r="M25499" s="14"/>
      <c r="N25499" s="14"/>
      <c r="O25499" s="14"/>
      <c r="P25499" s="13"/>
    </row>
    <row r="25500">
      <c r="L25500" s="13"/>
      <c r="M25500" s="14"/>
      <c r="N25500" s="14"/>
      <c r="O25500" s="14"/>
      <c r="P25500" s="13"/>
    </row>
    <row r="25501">
      <c r="L25501" s="13"/>
      <c r="M25501" s="14"/>
      <c r="N25501" s="14"/>
      <c r="O25501" s="14"/>
      <c r="P25501" s="13"/>
    </row>
    <row r="25502">
      <c r="L25502" s="13"/>
      <c r="M25502" s="14"/>
      <c r="N25502" s="14"/>
      <c r="O25502" s="14"/>
      <c r="P25502" s="13"/>
    </row>
    <row r="25503">
      <c r="L25503" s="13"/>
      <c r="M25503" s="14"/>
      <c r="N25503" s="14"/>
      <c r="O25503" s="14"/>
      <c r="P25503" s="13"/>
    </row>
    <row r="25504">
      <c r="L25504" s="13"/>
      <c r="M25504" s="14"/>
      <c r="N25504" s="14"/>
      <c r="O25504" s="14"/>
      <c r="P25504" s="13"/>
    </row>
    <row r="25505">
      <c r="L25505" s="13"/>
      <c r="M25505" s="14"/>
      <c r="N25505" s="14"/>
      <c r="O25505" s="14"/>
      <c r="P25505" s="13"/>
    </row>
    <row r="25506">
      <c r="L25506" s="13"/>
      <c r="M25506" s="14"/>
      <c r="N25506" s="14"/>
      <c r="O25506" s="14"/>
      <c r="P25506" s="13"/>
    </row>
    <row r="25507">
      <c r="L25507" s="13"/>
      <c r="M25507" s="14"/>
      <c r="N25507" s="14"/>
      <c r="O25507" s="14"/>
      <c r="P25507" s="13"/>
    </row>
    <row r="25508">
      <c r="L25508" s="13"/>
      <c r="M25508" s="14"/>
      <c r="N25508" s="14"/>
      <c r="O25508" s="14"/>
      <c r="P25508" s="13"/>
    </row>
    <row r="25509">
      <c r="L25509" s="13"/>
      <c r="M25509" s="14"/>
      <c r="N25509" s="14"/>
      <c r="O25509" s="14"/>
      <c r="P25509" s="13"/>
    </row>
    <row r="25510">
      <c r="L25510" s="13"/>
      <c r="M25510" s="14"/>
      <c r="N25510" s="14"/>
      <c r="O25510" s="14"/>
      <c r="P25510" s="13"/>
    </row>
    <row r="25511">
      <c r="L25511" s="13"/>
      <c r="M25511" s="14"/>
      <c r="N25511" s="14"/>
      <c r="O25511" s="14"/>
      <c r="P25511" s="13"/>
    </row>
    <row r="25512">
      <c r="L25512" s="13"/>
      <c r="M25512" s="14"/>
      <c r="N25512" s="14"/>
      <c r="O25512" s="14"/>
      <c r="P25512" s="13"/>
    </row>
    <row r="25513">
      <c r="L25513" s="13"/>
      <c r="M25513" s="14"/>
      <c r="N25513" s="14"/>
      <c r="O25513" s="14"/>
      <c r="P25513" s="13"/>
    </row>
    <row r="25514">
      <c r="L25514" s="13"/>
      <c r="M25514" s="14"/>
      <c r="N25514" s="14"/>
      <c r="O25514" s="14"/>
      <c r="P25514" s="13"/>
    </row>
    <row r="25515">
      <c r="L25515" s="13"/>
      <c r="M25515" s="14"/>
      <c r="N25515" s="14"/>
      <c r="O25515" s="14"/>
      <c r="P25515" s="13"/>
    </row>
    <row r="25516">
      <c r="L25516" s="13"/>
      <c r="M25516" s="14"/>
      <c r="N25516" s="14"/>
      <c r="O25516" s="14"/>
      <c r="P25516" s="13"/>
    </row>
    <row r="25517">
      <c r="L25517" s="13"/>
      <c r="M25517" s="14"/>
      <c r="N25517" s="14"/>
      <c r="O25517" s="14"/>
      <c r="P25517" s="13"/>
    </row>
    <row r="25518">
      <c r="L25518" s="13"/>
      <c r="M25518" s="14"/>
      <c r="N25518" s="14"/>
      <c r="O25518" s="14"/>
      <c r="P25518" s="13"/>
    </row>
    <row r="25519">
      <c r="L25519" s="13"/>
      <c r="M25519" s="14"/>
      <c r="N25519" s="14"/>
      <c r="O25519" s="14"/>
      <c r="P25519" s="13"/>
    </row>
    <row r="25520">
      <c r="L25520" s="13"/>
      <c r="M25520" s="14"/>
      <c r="N25520" s="14"/>
      <c r="O25520" s="14"/>
      <c r="P25520" s="13"/>
    </row>
    <row r="25521">
      <c r="L25521" s="13"/>
      <c r="M25521" s="14"/>
      <c r="N25521" s="14"/>
      <c r="O25521" s="14"/>
      <c r="P25521" s="13"/>
    </row>
    <row r="25522">
      <c r="L25522" s="13"/>
      <c r="M25522" s="14"/>
      <c r="N25522" s="14"/>
      <c r="O25522" s="14"/>
      <c r="P25522" s="13"/>
    </row>
    <row r="25523">
      <c r="L25523" s="13"/>
      <c r="M25523" s="14"/>
      <c r="N25523" s="14"/>
      <c r="O25523" s="14"/>
      <c r="P25523" s="13"/>
    </row>
    <row r="25524">
      <c r="L25524" s="13"/>
      <c r="M25524" s="14"/>
      <c r="N25524" s="14"/>
      <c r="O25524" s="14"/>
      <c r="P25524" s="13"/>
    </row>
    <row r="25525">
      <c r="L25525" s="13"/>
      <c r="M25525" s="14"/>
      <c r="N25525" s="14"/>
      <c r="O25525" s="14"/>
      <c r="P25525" s="13"/>
    </row>
    <row r="25526">
      <c r="L25526" s="13"/>
      <c r="M25526" s="14"/>
      <c r="N25526" s="14"/>
      <c r="O25526" s="14"/>
      <c r="P25526" s="13"/>
    </row>
    <row r="25527">
      <c r="L25527" s="13"/>
      <c r="M25527" s="14"/>
      <c r="N25527" s="14"/>
      <c r="O25527" s="14"/>
      <c r="P25527" s="13"/>
    </row>
    <row r="25528">
      <c r="L25528" s="13"/>
      <c r="M25528" s="14"/>
      <c r="N25528" s="14"/>
      <c r="O25528" s="14"/>
      <c r="P25528" s="13"/>
    </row>
    <row r="25529">
      <c r="L25529" s="13"/>
      <c r="M25529" s="14"/>
      <c r="N25529" s="14"/>
      <c r="O25529" s="14"/>
      <c r="P25529" s="13"/>
    </row>
    <row r="25530">
      <c r="L25530" s="13"/>
      <c r="M25530" s="14"/>
      <c r="N25530" s="14"/>
      <c r="O25530" s="14"/>
      <c r="P25530" s="13"/>
    </row>
    <row r="25531">
      <c r="L25531" s="13"/>
      <c r="M25531" s="14"/>
      <c r="N25531" s="14"/>
      <c r="O25531" s="14"/>
      <c r="P25531" s="13"/>
    </row>
    <row r="25532">
      <c r="L25532" s="13"/>
      <c r="M25532" s="14"/>
      <c r="N25532" s="14"/>
      <c r="O25532" s="14"/>
      <c r="P25532" s="13"/>
    </row>
    <row r="25533">
      <c r="L25533" s="13"/>
      <c r="M25533" s="14"/>
      <c r="N25533" s="14"/>
      <c r="O25533" s="14"/>
      <c r="P25533" s="13"/>
    </row>
    <row r="25534">
      <c r="L25534" s="13"/>
      <c r="M25534" s="14"/>
      <c r="N25534" s="14"/>
      <c r="O25534" s="14"/>
      <c r="P25534" s="13"/>
    </row>
    <row r="25535">
      <c r="L25535" s="13"/>
      <c r="M25535" s="14"/>
      <c r="N25535" s="14"/>
      <c r="O25535" s="14"/>
      <c r="P25535" s="13"/>
    </row>
    <row r="25536">
      <c r="L25536" s="13"/>
      <c r="M25536" s="14"/>
      <c r="N25536" s="14"/>
      <c r="O25536" s="14"/>
      <c r="P25536" s="13"/>
    </row>
    <row r="25537">
      <c r="L25537" s="13"/>
      <c r="M25537" s="14"/>
      <c r="N25537" s="14"/>
      <c r="O25537" s="14"/>
      <c r="P25537" s="13"/>
    </row>
    <row r="25538">
      <c r="L25538" s="13"/>
      <c r="M25538" s="14"/>
      <c r="N25538" s="14"/>
      <c r="O25538" s="14"/>
      <c r="P25538" s="13"/>
    </row>
    <row r="25539">
      <c r="L25539" s="13"/>
      <c r="M25539" s="14"/>
      <c r="N25539" s="14"/>
      <c r="O25539" s="14"/>
      <c r="P25539" s="13"/>
    </row>
    <row r="25540">
      <c r="L25540" s="13"/>
      <c r="M25540" s="14"/>
      <c r="N25540" s="14"/>
      <c r="O25540" s="14"/>
      <c r="P25540" s="13"/>
    </row>
    <row r="25541">
      <c r="L25541" s="13"/>
      <c r="M25541" s="14"/>
      <c r="N25541" s="14"/>
      <c r="O25541" s="14"/>
      <c r="P25541" s="13"/>
    </row>
    <row r="25542">
      <c r="L25542" s="13"/>
      <c r="M25542" s="14"/>
      <c r="N25542" s="14"/>
      <c r="O25542" s="14"/>
      <c r="P25542" s="13"/>
    </row>
    <row r="25543">
      <c r="L25543" s="13"/>
      <c r="M25543" s="14"/>
      <c r="N25543" s="14"/>
      <c r="O25543" s="14"/>
      <c r="P25543" s="13"/>
    </row>
    <row r="25544">
      <c r="L25544" s="13"/>
      <c r="M25544" s="14"/>
      <c r="N25544" s="14"/>
      <c r="O25544" s="14"/>
      <c r="P25544" s="13"/>
    </row>
    <row r="25545">
      <c r="L25545" s="13"/>
      <c r="M25545" s="14"/>
      <c r="N25545" s="14"/>
      <c r="O25545" s="14"/>
      <c r="P25545" s="13"/>
    </row>
    <row r="25546">
      <c r="L25546" s="13"/>
      <c r="M25546" s="14"/>
      <c r="N25546" s="14"/>
      <c r="O25546" s="14"/>
      <c r="P25546" s="13"/>
    </row>
    <row r="25547">
      <c r="L25547" s="13"/>
      <c r="M25547" s="14"/>
      <c r="N25547" s="14"/>
      <c r="O25547" s="14"/>
      <c r="P25547" s="13"/>
    </row>
    <row r="25548">
      <c r="L25548" s="13"/>
      <c r="M25548" s="14"/>
      <c r="N25548" s="14"/>
      <c r="O25548" s="14"/>
      <c r="P25548" s="13"/>
    </row>
    <row r="25549">
      <c r="L25549" s="13"/>
      <c r="M25549" s="14"/>
      <c r="N25549" s="14"/>
      <c r="O25549" s="14"/>
      <c r="P25549" s="13"/>
    </row>
    <row r="25550">
      <c r="L25550" s="13"/>
      <c r="M25550" s="14"/>
      <c r="N25550" s="14"/>
      <c r="O25550" s="14"/>
      <c r="P25550" s="13"/>
    </row>
    <row r="25551">
      <c r="L25551" s="13"/>
      <c r="M25551" s="14"/>
      <c r="N25551" s="14"/>
      <c r="O25551" s="14"/>
      <c r="P25551" s="13"/>
    </row>
    <row r="25552">
      <c r="L25552" s="13"/>
      <c r="M25552" s="14"/>
      <c r="N25552" s="14"/>
      <c r="O25552" s="14"/>
      <c r="P25552" s="13"/>
    </row>
    <row r="25553">
      <c r="L25553" s="13"/>
      <c r="M25553" s="14"/>
      <c r="N25553" s="14"/>
      <c r="O25553" s="14"/>
      <c r="P25553" s="13"/>
    </row>
    <row r="25554">
      <c r="L25554" s="13"/>
      <c r="M25554" s="14"/>
      <c r="N25554" s="14"/>
      <c r="O25554" s="14"/>
      <c r="P25554" s="13"/>
    </row>
    <row r="25555">
      <c r="L25555" s="13"/>
      <c r="M25555" s="14"/>
      <c r="N25555" s="14"/>
      <c r="O25555" s="14"/>
      <c r="P25555" s="13"/>
    </row>
    <row r="25556">
      <c r="L25556" s="13"/>
      <c r="M25556" s="14"/>
      <c r="N25556" s="14"/>
      <c r="O25556" s="14"/>
      <c r="P25556" s="13"/>
    </row>
    <row r="25557">
      <c r="L25557" s="13"/>
      <c r="M25557" s="14"/>
      <c r="N25557" s="14"/>
      <c r="O25557" s="14"/>
      <c r="P25557" s="13"/>
    </row>
    <row r="25558">
      <c r="L25558" s="13"/>
      <c r="M25558" s="14"/>
      <c r="N25558" s="14"/>
      <c r="O25558" s="14"/>
      <c r="P25558" s="13"/>
    </row>
    <row r="25559">
      <c r="L25559" s="13"/>
      <c r="M25559" s="14"/>
      <c r="N25559" s="14"/>
      <c r="O25559" s="14"/>
      <c r="P25559" s="13"/>
    </row>
    <row r="25560">
      <c r="L25560" s="13"/>
      <c r="M25560" s="14"/>
      <c r="N25560" s="14"/>
      <c r="O25560" s="14"/>
      <c r="P25560" s="13"/>
    </row>
    <row r="25561">
      <c r="L25561" s="13"/>
      <c r="M25561" s="14"/>
      <c r="N25561" s="14"/>
      <c r="O25561" s="14"/>
      <c r="P25561" s="13"/>
    </row>
    <row r="25562">
      <c r="L25562" s="13"/>
      <c r="M25562" s="14"/>
      <c r="N25562" s="14"/>
      <c r="O25562" s="14"/>
      <c r="P25562" s="13"/>
    </row>
    <row r="25563">
      <c r="L25563" s="13"/>
      <c r="M25563" s="14"/>
      <c r="N25563" s="14"/>
      <c r="O25563" s="14"/>
      <c r="P25563" s="13"/>
    </row>
    <row r="25564">
      <c r="L25564" s="13"/>
      <c r="M25564" s="14"/>
      <c r="N25564" s="14"/>
      <c r="O25564" s="14"/>
      <c r="P25564" s="13"/>
    </row>
    <row r="25565">
      <c r="L25565" s="13"/>
      <c r="M25565" s="14"/>
      <c r="N25565" s="14"/>
      <c r="O25565" s="14"/>
      <c r="P25565" s="13"/>
    </row>
    <row r="25566">
      <c r="L25566" s="13"/>
      <c r="M25566" s="14"/>
      <c r="N25566" s="14"/>
      <c r="O25566" s="14"/>
      <c r="P25566" s="13"/>
    </row>
    <row r="25567">
      <c r="L25567" s="13"/>
      <c r="M25567" s="14"/>
      <c r="N25567" s="14"/>
      <c r="O25567" s="14"/>
      <c r="P25567" s="13"/>
    </row>
    <row r="25568">
      <c r="L25568" s="13"/>
      <c r="M25568" s="14"/>
      <c r="N25568" s="14"/>
      <c r="O25568" s="14"/>
      <c r="P25568" s="13"/>
    </row>
    <row r="25569">
      <c r="L25569" s="13"/>
      <c r="M25569" s="14"/>
      <c r="N25569" s="14"/>
      <c r="O25569" s="14"/>
      <c r="P25569" s="13"/>
    </row>
    <row r="25570">
      <c r="L25570" s="13"/>
      <c r="M25570" s="14"/>
      <c r="N25570" s="14"/>
      <c r="O25570" s="14"/>
      <c r="P25570" s="13"/>
    </row>
    <row r="25571">
      <c r="L25571" s="13"/>
      <c r="M25571" s="14"/>
      <c r="N25571" s="14"/>
      <c r="O25571" s="14"/>
      <c r="P25571" s="13"/>
    </row>
    <row r="25572">
      <c r="L25572" s="13"/>
      <c r="M25572" s="14"/>
      <c r="N25572" s="14"/>
      <c r="O25572" s="14"/>
      <c r="P25572" s="13"/>
    </row>
    <row r="25573">
      <c r="L25573" s="13"/>
      <c r="M25573" s="14"/>
      <c r="N25573" s="14"/>
      <c r="O25573" s="14"/>
      <c r="P25573" s="13"/>
    </row>
    <row r="25574">
      <c r="L25574" s="13"/>
      <c r="M25574" s="14"/>
      <c r="N25574" s="14"/>
      <c r="O25574" s="14"/>
      <c r="P25574" s="13"/>
    </row>
    <row r="25575">
      <c r="L25575" s="13"/>
      <c r="M25575" s="14"/>
      <c r="N25575" s="14"/>
      <c r="O25575" s="14"/>
      <c r="P25575" s="13"/>
    </row>
    <row r="25576">
      <c r="L25576" s="13"/>
      <c r="M25576" s="14"/>
      <c r="N25576" s="14"/>
      <c r="O25576" s="14"/>
      <c r="P25576" s="13"/>
    </row>
    <row r="25577">
      <c r="L25577" s="13"/>
      <c r="M25577" s="14"/>
      <c r="N25577" s="14"/>
      <c r="O25577" s="14"/>
      <c r="P25577" s="13"/>
    </row>
    <row r="25578">
      <c r="L25578" s="13"/>
      <c r="M25578" s="14"/>
      <c r="N25578" s="14"/>
      <c r="O25578" s="14"/>
      <c r="P25578" s="13"/>
    </row>
    <row r="25579">
      <c r="L25579" s="13"/>
      <c r="M25579" s="14"/>
      <c r="N25579" s="14"/>
      <c r="O25579" s="14"/>
      <c r="P25579" s="13"/>
    </row>
    <row r="25580">
      <c r="L25580" s="13"/>
      <c r="M25580" s="14"/>
      <c r="N25580" s="14"/>
      <c r="O25580" s="14"/>
      <c r="P25580" s="13"/>
    </row>
    <row r="25581">
      <c r="L25581" s="13"/>
      <c r="M25581" s="14"/>
      <c r="N25581" s="14"/>
      <c r="O25581" s="14"/>
      <c r="P25581" s="13"/>
    </row>
    <row r="25582">
      <c r="L25582" s="13"/>
      <c r="M25582" s="14"/>
      <c r="N25582" s="14"/>
      <c r="O25582" s="14"/>
      <c r="P25582" s="13"/>
    </row>
    <row r="25583">
      <c r="L25583" s="13"/>
      <c r="M25583" s="14"/>
      <c r="N25583" s="14"/>
      <c r="O25583" s="14"/>
      <c r="P25583" s="13"/>
    </row>
    <row r="25584">
      <c r="L25584" s="13"/>
      <c r="M25584" s="14"/>
      <c r="N25584" s="14"/>
      <c r="O25584" s="14"/>
      <c r="P25584" s="13"/>
    </row>
    <row r="25585">
      <c r="L25585" s="13"/>
      <c r="M25585" s="14"/>
      <c r="N25585" s="14"/>
      <c r="O25585" s="14"/>
      <c r="P25585" s="13"/>
    </row>
    <row r="25586">
      <c r="L25586" s="13"/>
      <c r="M25586" s="14"/>
      <c r="N25586" s="14"/>
      <c r="O25586" s="14"/>
      <c r="P25586" s="13"/>
    </row>
    <row r="25587">
      <c r="L25587" s="13"/>
      <c r="M25587" s="14"/>
      <c r="N25587" s="14"/>
      <c r="O25587" s="14"/>
      <c r="P25587" s="13"/>
    </row>
    <row r="25588">
      <c r="L25588" s="13"/>
      <c r="M25588" s="14"/>
      <c r="N25588" s="14"/>
      <c r="O25588" s="14"/>
      <c r="P25588" s="13"/>
    </row>
    <row r="25589">
      <c r="L25589" s="13"/>
      <c r="M25589" s="14"/>
      <c r="N25589" s="14"/>
      <c r="O25589" s="14"/>
      <c r="P25589" s="13"/>
    </row>
    <row r="25590">
      <c r="L25590" s="13"/>
      <c r="M25590" s="14"/>
      <c r="N25590" s="14"/>
      <c r="O25590" s="14"/>
      <c r="P25590" s="13"/>
    </row>
    <row r="25591">
      <c r="L25591" s="13"/>
      <c r="M25591" s="14"/>
      <c r="N25591" s="14"/>
      <c r="O25591" s="14"/>
      <c r="P25591" s="13"/>
    </row>
    <row r="25592">
      <c r="L25592" s="13"/>
      <c r="M25592" s="14"/>
      <c r="N25592" s="14"/>
      <c r="O25592" s="14"/>
      <c r="P25592" s="13"/>
    </row>
    <row r="25593">
      <c r="L25593" s="13"/>
      <c r="M25593" s="14"/>
      <c r="N25593" s="14"/>
      <c r="O25593" s="14"/>
      <c r="P25593" s="13"/>
    </row>
    <row r="25594">
      <c r="L25594" s="13"/>
      <c r="M25594" s="14"/>
      <c r="N25594" s="14"/>
      <c r="O25594" s="14"/>
      <c r="P25594" s="13"/>
    </row>
    <row r="25595">
      <c r="L25595" s="13"/>
      <c r="M25595" s="14"/>
      <c r="N25595" s="14"/>
      <c r="O25595" s="14"/>
      <c r="P25595" s="13"/>
    </row>
    <row r="25596">
      <c r="L25596" s="13"/>
      <c r="M25596" s="14"/>
      <c r="N25596" s="14"/>
      <c r="O25596" s="14"/>
      <c r="P25596" s="13"/>
    </row>
    <row r="25597">
      <c r="L25597" s="13"/>
      <c r="M25597" s="14"/>
      <c r="N25597" s="14"/>
      <c r="O25597" s="14"/>
      <c r="P25597" s="13"/>
    </row>
    <row r="25598">
      <c r="L25598" s="13"/>
      <c r="M25598" s="14"/>
      <c r="N25598" s="14"/>
      <c r="O25598" s="14"/>
      <c r="P25598" s="13"/>
    </row>
    <row r="25599">
      <c r="L25599" s="13"/>
      <c r="M25599" s="14"/>
      <c r="N25599" s="14"/>
      <c r="O25599" s="14"/>
      <c r="P25599" s="13"/>
    </row>
    <row r="25600">
      <c r="L25600" s="13"/>
      <c r="M25600" s="14"/>
      <c r="N25600" s="14"/>
      <c r="O25600" s="14"/>
      <c r="P25600" s="13"/>
    </row>
    <row r="25601">
      <c r="L25601" s="13"/>
      <c r="M25601" s="14"/>
      <c r="N25601" s="14"/>
      <c r="O25601" s="14"/>
      <c r="P25601" s="13"/>
    </row>
    <row r="25602">
      <c r="L25602" s="13"/>
      <c r="M25602" s="14"/>
      <c r="N25602" s="14"/>
      <c r="O25602" s="14"/>
      <c r="P25602" s="13"/>
    </row>
    <row r="25603">
      <c r="L25603" s="13"/>
      <c r="M25603" s="14"/>
      <c r="N25603" s="14"/>
      <c r="O25603" s="14"/>
      <c r="P25603" s="13"/>
    </row>
    <row r="25604">
      <c r="L25604" s="13"/>
      <c r="M25604" s="14"/>
      <c r="N25604" s="14"/>
      <c r="O25604" s="14"/>
      <c r="P25604" s="13"/>
    </row>
    <row r="25605">
      <c r="L25605" s="13"/>
      <c r="M25605" s="14"/>
      <c r="N25605" s="14"/>
      <c r="O25605" s="14"/>
      <c r="P25605" s="13"/>
    </row>
    <row r="25606">
      <c r="L25606" s="13"/>
      <c r="M25606" s="14"/>
      <c r="N25606" s="14"/>
      <c r="O25606" s="14"/>
      <c r="P25606" s="13"/>
    </row>
    <row r="25607">
      <c r="L25607" s="13"/>
      <c r="M25607" s="14"/>
      <c r="N25607" s="14"/>
      <c r="O25607" s="14"/>
      <c r="P25607" s="13"/>
    </row>
    <row r="25608">
      <c r="L25608" s="13"/>
      <c r="M25608" s="14"/>
      <c r="N25608" s="14"/>
      <c r="O25608" s="14"/>
      <c r="P25608" s="13"/>
    </row>
    <row r="25609">
      <c r="L25609" s="13"/>
      <c r="M25609" s="14"/>
      <c r="N25609" s="14"/>
      <c r="O25609" s="14"/>
      <c r="P25609" s="13"/>
    </row>
    <row r="25610">
      <c r="L25610" s="13"/>
      <c r="M25610" s="14"/>
      <c r="N25610" s="14"/>
      <c r="O25610" s="14"/>
      <c r="P25610" s="13"/>
    </row>
    <row r="25611">
      <c r="L25611" s="13"/>
      <c r="M25611" s="14"/>
      <c r="N25611" s="14"/>
      <c r="O25611" s="14"/>
      <c r="P25611" s="13"/>
    </row>
    <row r="25612">
      <c r="L25612" s="13"/>
      <c r="M25612" s="14"/>
      <c r="N25612" s="14"/>
      <c r="O25612" s="14"/>
      <c r="P25612" s="13"/>
    </row>
    <row r="25613">
      <c r="L25613" s="13"/>
      <c r="M25613" s="14"/>
      <c r="N25613" s="14"/>
      <c r="O25613" s="14"/>
      <c r="P25613" s="13"/>
    </row>
    <row r="25614">
      <c r="L25614" s="13"/>
      <c r="M25614" s="14"/>
      <c r="N25614" s="14"/>
      <c r="O25614" s="14"/>
      <c r="P25614" s="13"/>
    </row>
    <row r="25615">
      <c r="L25615" s="13"/>
      <c r="M25615" s="14"/>
      <c r="N25615" s="14"/>
      <c r="O25615" s="14"/>
      <c r="P25615" s="13"/>
    </row>
    <row r="25616">
      <c r="L25616" s="13"/>
      <c r="M25616" s="14"/>
      <c r="N25616" s="14"/>
      <c r="O25616" s="14"/>
      <c r="P25616" s="13"/>
    </row>
    <row r="25617">
      <c r="L25617" s="13"/>
      <c r="M25617" s="14"/>
      <c r="N25617" s="14"/>
      <c r="O25617" s="14"/>
      <c r="P25617" s="13"/>
    </row>
    <row r="25618">
      <c r="L25618" s="13"/>
      <c r="M25618" s="14"/>
      <c r="N25618" s="14"/>
      <c r="O25618" s="14"/>
      <c r="P25618" s="13"/>
    </row>
    <row r="25619">
      <c r="L25619" s="13"/>
      <c r="M25619" s="14"/>
      <c r="N25619" s="14"/>
      <c r="O25619" s="14"/>
      <c r="P25619" s="13"/>
    </row>
    <row r="25620">
      <c r="L25620" s="13"/>
      <c r="M25620" s="14"/>
      <c r="N25620" s="14"/>
      <c r="O25620" s="14"/>
      <c r="P25620" s="13"/>
    </row>
    <row r="25621">
      <c r="L25621" s="13"/>
      <c r="M25621" s="14"/>
      <c r="N25621" s="14"/>
      <c r="O25621" s="14"/>
      <c r="P25621" s="13"/>
    </row>
    <row r="25622">
      <c r="L25622" s="13"/>
      <c r="M25622" s="14"/>
      <c r="N25622" s="14"/>
      <c r="O25622" s="14"/>
      <c r="P25622" s="13"/>
    </row>
    <row r="25623">
      <c r="L25623" s="13"/>
      <c r="M25623" s="14"/>
      <c r="N25623" s="14"/>
      <c r="O25623" s="14"/>
      <c r="P25623" s="13"/>
    </row>
    <row r="25624">
      <c r="L25624" s="13"/>
      <c r="M25624" s="14"/>
      <c r="N25624" s="14"/>
      <c r="O25624" s="14"/>
      <c r="P25624" s="13"/>
    </row>
    <row r="25625">
      <c r="L25625" s="13"/>
      <c r="M25625" s="14"/>
      <c r="N25625" s="14"/>
      <c r="O25625" s="14"/>
      <c r="P25625" s="13"/>
    </row>
    <row r="25626">
      <c r="L25626" s="13"/>
      <c r="M25626" s="14"/>
      <c r="N25626" s="14"/>
      <c r="O25626" s="14"/>
      <c r="P25626" s="13"/>
    </row>
    <row r="25627">
      <c r="L25627" s="13"/>
      <c r="M25627" s="14"/>
      <c r="N25627" s="14"/>
      <c r="O25627" s="14"/>
      <c r="P25627" s="13"/>
    </row>
    <row r="25628">
      <c r="L25628" s="13"/>
      <c r="M25628" s="14"/>
      <c r="N25628" s="14"/>
      <c r="O25628" s="14"/>
      <c r="P25628" s="13"/>
    </row>
    <row r="25629">
      <c r="L25629" s="13"/>
      <c r="M25629" s="14"/>
      <c r="N25629" s="14"/>
      <c r="O25629" s="14"/>
      <c r="P25629" s="13"/>
    </row>
    <row r="25630">
      <c r="L25630" s="13"/>
      <c r="M25630" s="14"/>
      <c r="N25630" s="14"/>
      <c r="O25630" s="14"/>
      <c r="P25630" s="13"/>
    </row>
    <row r="25631">
      <c r="L25631" s="13"/>
      <c r="M25631" s="14"/>
      <c r="N25631" s="14"/>
      <c r="O25631" s="14"/>
      <c r="P25631" s="13"/>
    </row>
    <row r="25632">
      <c r="L25632" s="13"/>
      <c r="M25632" s="14"/>
      <c r="N25632" s="14"/>
      <c r="O25632" s="14"/>
      <c r="P25632" s="13"/>
    </row>
    <row r="25633">
      <c r="L25633" s="13"/>
      <c r="M25633" s="14"/>
      <c r="N25633" s="14"/>
      <c r="O25633" s="14"/>
      <c r="P25633" s="13"/>
    </row>
    <row r="25634">
      <c r="L25634" s="13"/>
      <c r="M25634" s="14"/>
      <c r="N25634" s="14"/>
      <c r="O25634" s="14"/>
      <c r="P25634" s="13"/>
    </row>
    <row r="25635">
      <c r="L25635" s="13"/>
      <c r="M25635" s="14"/>
      <c r="N25635" s="14"/>
      <c r="O25635" s="14"/>
      <c r="P25635" s="13"/>
    </row>
    <row r="25636">
      <c r="L25636" s="13"/>
      <c r="M25636" s="14"/>
      <c r="N25636" s="14"/>
      <c r="O25636" s="14"/>
      <c r="P25636" s="13"/>
    </row>
    <row r="25637">
      <c r="L25637" s="13"/>
      <c r="M25637" s="14"/>
      <c r="N25637" s="14"/>
      <c r="O25637" s="14"/>
      <c r="P25637" s="13"/>
    </row>
    <row r="25638">
      <c r="L25638" s="13"/>
      <c r="M25638" s="14"/>
      <c r="N25638" s="14"/>
      <c r="O25638" s="14"/>
      <c r="P25638" s="13"/>
    </row>
    <row r="25639">
      <c r="L25639" s="13"/>
      <c r="M25639" s="14"/>
      <c r="N25639" s="14"/>
      <c r="O25639" s="14"/>
      <c r="P25639" s="13"/>
    </row>
    <row r="25640">
      <c r="L25640" s="13"/>
      <c r="M25640" s="14"/>
      <c r="N25640" s="14"/>
      <c r="O25640" s="14"/>
      <c r="P25640" s="13"/>
    </row>
    <row r="25641">
      <c r="L25641" s="13"/>
      <c r="M25641" s="14"/>
      <c r="N25641" s="14"/>
      <c r="O25641" s="14"/>
      <c r="P25641" s="13"/>
    </row>
    <row r="25642">
      <c r="L25642" s="13"/>
      <c r="M25642" s="14"/>
      <c r="N25642" s="14"/>
      <c r="O25642" s="14"/>
      <c r="P25642" s="13"/>
    </row>
    <row r="25643">
      <c r="L25643" s="13"/>
      <c r="M25643" s="14"/>
      <c r="N25643" s="14"/>
      <c r="O25643" s="14"/>
      <c r="P25643" s="13"/>
    </row>
    <row r="25644">
      <c r="L25644" s="13"/>
      <c r="M25644" s="14"/>
      <c r="N25644" s="14"/>
      <c r="O25644" s="14"/>
      <c r="P25644" s="13"/>
    </row>
    <row r="25645">
      <c r="L25645" s="13"/>
      <c r="M25645" s="14"/>
      <c r="N25645" s="14"/>
      <c r="O25645" s="14"/>
      <c r="P25645" s="13"/>
    </row>
    <row r="25646">
      <c r="L25646" s="13"/>
      <c r="M25646" s="14"/>
      <c r="N25646" s="14"/>
      <c r="O25646" s="14"/>
      <c r="P25646" s="13"/>
    </row>
    <row r="25647">
      <c r="L25647" s="13"/>
      <c r="M25647" s="14"/>
      <c r="N25647" s="14"/>
      <c r="O25647" s="14"/>
      <c r="P25647" s="13"/>
    </row>
    <row r="25648">
      <c r="L25648" s="13"/>
      <c r="M25648" s="14"/>
      <c r="N25648" s="14"/>
      <c r="O25648" s="14"/>
      <c r="P25648" s="13"/>
    </row>
    <row r="25649">
      <c r="L25649" s="13"/>
      <c r="M25649" s="14"/>
      <c r="N25649" s="14"/>
      <c r="O25649" s="14"/>
      <c r="P25649" s="13"/>
    </row>
    <row r="25650">
      <c r="L25650" s="13"/>
      <c r="M25650" s="14"/>
      <c r="N25650" s="14"/>
      <c r="O25650" s="14"/>
      <c r="P25650" s="13"/>
    </row>
    <row r="25651">
      <c r="L25651" s="13"/>
      <c r="M25651" s="14"/>
      <c r="N25651" s="14"/>
      <c r="O25651" s="14"/>
      <c r="P25651" s="13"/>
    </row>
    <row r="25652">
      <c r="L25652" s="13"/>
      <c r="M25652" s="14"/>
      <c r="N25652" s="14"/>
      <c r="O25652" s="14"/>
      <c r="P25652" s="13"/>
    </row>
    <row r="25653">
      <c r="L25653" s="13"/>
      <c r="M25653" s="14"/>
      <c r="N25653" s="14"/>
      <c r="O25653" s="14"/>
      <c r="P25653" s="13"/>
    </row>
    <row r="25654">
      <c r="L25654" s="13"/>
      <c r="M25654" s="14"/>
      <c r="N25654" s="14"/>
      <c r="O25654" s="14"/>
      <c r="P25654" s="13"/>
    </row>
    <row r="25655">
      <c r="L25655" s="13"/>
      <c r="M25655" s="14"/>
      <c r="N25655" s="14"/>
      <c r="O25655" s="14"/>
      <c r="P25655" s="13"/>
    </row>
    <row r="25656">
      <c r="L25656" s="13"/>
      <c r="M25656" s="14"/>
      <c r="N25656" s="14"/>
      <c r="O25656" s="14"/>
      <c r="P25656" s="13"/>
    </row>
    <row r="25657">
      <c r="L25657" s="13"/>
      <c r="M25657" s="14"/>
      <c r="N25657" s="14"/>
      <c r="O25657" s="14"/>
      <c r="P25657" s="13"/>
    </row>
    <row r="25658">
      <c r="L25658" s="13"/>
      <c r="M25658" s="14"/>
      <c r="N25658" s="14"/>
      <c r="O25658" s="14"/>
      <c r="P25658" s="13"/>
    </row>
    <row r="25659">
      <c r="L25659" s="13"/>
      <c r="M25659" s="14"/>
      <c r="N25659" s="14"/>
      <c r="O25659" s="14"/>
      <c r="P25659" s="13"/>
    </row>
    <row r="25660">
      <c r="L25660" s="13"/>
      <c r="M25660" s="14"/>
      <c r="N25660" s="14"/>
      <c r="O25660" s="14"/>
      <c r="P25660" s="13"/>
    </row>
    <row r="25661">
      <c r="L25661" s="13"/>
      <c r="M25661" s="14"/>
      <c r="N25661" s="14"/>
      <c r="O25661" s="14"/>
      <c r="P25661" s="13"/>
    </row>
    <row r="25662">
      <c r="L25662" s="13"/>
      <c r="M25662" s="14"/>
      <c r="N25662" s="14"/>
      <c r="O25662" s="14"/>
      <c r="P25662" s="13"/>
    </row>
    <row r="25663">
      <c r="L25663" s="13"/>
      <c r="M25663" s="14"/>
      <c r="N25663" s="14"/>
      <c r="O25663" s="14"/>
      <c r="P25663" s="13"/>
    </row>
    <row r="25664">
      <c r="L25664" s="13"/>
      <c r="M25664" s="14"/>
      <c r="N25664" s="14"/>
      <c r="O25664" s="14"/>
      <c r="P25664" s="13"/>
    </row>
    <row r="25665">
      <c r="L25665" s="13"/>
      <c r="M25665" s="14"/>
      <c r="N25665" s="14"/>
      <c r="O25665" s="14"/>
      <c r="P25665" s="13"/>
    </row>
    <row r="25666">
      <c r="L25666" s="13"/>
      <c r="M25666" s="14"/>
      <c r="N25666" s="14"/>
      <c r="O25666" s="14"/>
      <c r="P25666" s="13"/>
    </row>
    <row r="25667">
      <c r="L25667" s="13"/>
      <c r="M25667" s="14"/>
      <c r="N25667" s="14"/>
      <c r="O25667" s="14"/>
      <c r="P25667" s="13"/>
    </row>
    <row r="25668">
      <c r="L25668" s="13"/>
      <c r="M25668" s="14"/>
      <c r="N25668" s="14"/>
      <c r="O25668" s="14"/>
      <c r="P25668" s="13"/>
    </row>
    <row r="25669">
      <c r="L25669" s="13"/>
      <c r="M25669" s="14"/>
      <c r="N25669" s="14"/>
      <c r="O25669" s="14"/>
      <c r="P25669" s="13"/>
    </row>
    <row r="25670">
      <c r="L25670" s="13"/>
      <c r="M25670" s="14"/>
      <c r="N25670" s="14"/>
      <c r="O25670" s="14"/>
      <c r="P25670" s="13"/>
    </row>
    <row r="25671">
      <c r="L25671" s="13"/>
      <c r="M25671" s="14"/>
      <c r="N25671" s="14"/>
      <c r="O25671" s="14"/>
      <c r="P25671" s="13"/>
    </row>
    <row r="25672">
      <c r="L25672" s="13"/>
      <c r="M25672" s="14"/>
      <c r="N25672" s="14"/>
      <c r="O25672" s="14"/>
      <c r="P25672" s="13"/>
    </row>
    <row r="25673">
      <c r="L25673" s="13"/>
      <c r="M25673" s="14"/>
      <c r="N25673" s="14"/>
      <c r="O25673" s="14"/>
      <c r="P25673" s="13"/>
    </row>
    <row r="25674">
      <c r="L25674" s="13"/>
      <c r="M25674" s="14"/>
      <c r="N25674" s="14"/>
      <c r="O25674" s="14"/>
      <c r="P25674" s="13"/>
    </row>
    <row r="25675">
      <c r="L25675" s="13"/>
      <c r="M25675" s="14"/>
      <c r="N25675" s="14"/>
      <c r="O25675" s="14"/>
      <c r="P25675" s="13"/>
    </row>
    <row r="25676">
      <c r="L25676" s="13"/>
      <c r="M25676" s="14"/>
      <c r="N25676" s="14"/>
      <c r="O25676" s="14"/>
      <c r="P25676" s="13"/>
    </row>
    <row r="25677">
      <c r="L25677" s="13"/>
      <c r="M25677" s="14"/>
      <c r="N25677" s="14"/>
      <c r="O25677" s="14"/>
      <c r="P25677" s="13"/>
    </row>
    <row r="25678">
      <c r="L25678" s="13"/>
      <c r="M25678" s="14"/>
      <c r="N25678" s="14"/>
      <c r="O25678" s="14"/>
      <c r="P25678" s="13"/>
    </row>
    <row r="25679">
      <c r="L25679" s="13"/>
      <c r="M25679" s="14"/>
      <c r="N25679" s="14"/>
      <c r="O25679" s="14"/>
      <c r="P25679" s="13"/>
    </row>
    <row r="25680">
      <c r="L25680" s="13"/>
      <c r="M25680" s="14"/>
      <c r="N25680" s="14"/>
      <c r="O25680" s="14"/>
      <c r="P25680" s="13"/>
    </row>
    <row r="25681">
      <c r="L25681" s="13"/>
      <c r="M25681" s="14"/>
      <c r="N25681" s="14"/>
      <c r="O25681" s="14"/>
      <c r="P25681" s="13"/>
    </row>
    <row r="25682">
      <c r="L25682" s="13"/>
      <c r="M25682" s="14"/>
      <c r="N25682" s="14"/>
      <c r="O25682" s="14"/>
      <c r="P25682" s="13"/>
    </row>
    <row r="25683">
      <c r="L25683" s="13"/>
      <c r="M25683" s="14"/>
      <c r="N25683" s="14"/>
      <c r="O25683" s="14"/>
      <c r="P25683" s="13"/>
    </row>
    <row r="25684">
      <c r="L25684" s="13"/>
      <c r="M25684" s="14"/>
      <c r="N25684" s="14"/>
      <c r="O25684" s="14"/>
      <c r="P25684" s="13"/>
    </row>
    <row r="25685">
      <c r="L25685" s="13"/>
      <c r="M25685" s="14"/>
      <c r="N25685" s="14"/>
      <c r="O25685" s="14"/>
      <c r="P25685" s="13"/>
    </row>
    <row r="25686">
      <c r="L25686" s="13"/>
      <c r="M25686" s="14"/>
      <c r="N25686" s="14"/>
      <c r="O25686" s="14"/>
      <c r="P25686" s="13"/>
    </row>
    <row r="25687">
      <c r="L25687" s="13"/>
      <c r="M25687" s="14"/>
      <c r="N25687" s="14"/>
      <c r="O25687" s="14"/>
      <c r="P25687" s="13"/>
    </row>
    <row r="25688">
      <c r="L25688" s="13"/>
      <c r="M25688" s="14"/>
      <c r="N25688" s="14"/>
      <c r="O25688" s="14"/>
      <c r="P25688" s="13"/>
    </row>
    <row r="25689">
      <c r="L25689" s="13"/>
      <c r="M25689" s="14"/>
      <c r="N25689" s="14"/>
      <c r="O25689" s="14"/>
      <c r="P25689" s="13"/>
    </row>
    <row r="25690">
      <c r="L25690" s="13"/>
      <c r="M25690" s="14"/>
      <c r="N25690" s="14"/>
      <c r="O25690" s="14"/>
      <c r="P25690" s="13"/>
    </row>
    <row r="25691">
      <c r="L25691" s="13"/>
      <c r="M25691" s="14"/>
      <c r="N25691" s="14"/>
      <c r="O25691" s="14"/>
      <c r="P25691" s="13"/>
    </row>
    <row r="25692">
      <c r="L25692" s="13"/>
      <c r="M25692" s="14"/>
      <c r="N25692" s="14"/>
      <c r="O25692" s="14"/>
      <c r="P25692" s="13"/>
    </row>
    <row r="25693">
      <c r="L25693" s="13"/>
      <c r="M25693" s="14"/>
      <c r="N25693" s="14"/>
      <c r="O25693" s="14"/>
      <c r="P25693" s="13"/>
    </row>
    <row r="25694">
      <c r="L25694" s="13"/>
      <c r="M25694" s="14"/>
      <c r="N25694" s="14"/>
      <c r="O25694" s="14"/>
      <c r="P25694" s="13"/>
    </row>
    <row r="25695">
      <c r="L25695" s="13"/>
      <c r="M25695" s="14"/>
      <c r="N25695" s="14"/>
      <c r="O25695" s="14"/>
      <c r="P25695" s="13"/>
    </row>
    <row r="25696">
      <c r="L25696" s="13"/>
      <c r="M25696" s="14"/>
      <c r="N25696" s="14"/>
      <c r="O25696" s="14"/>
      <c r="P25696" s="13"/>
    </row>
    <row r="25697">
      <c r="L25697" s="13"/>
      <c r="M25697" s="14"/>
      <c r="N25697" s="14"/>
      <c r="O25697" s="14"/>
      <c r="P25697" s="13"/>
    </row>
    <row r="25698">
      <c r="L25698" s="13"/>
      <c r="M25698" s="14"/>
      <c r="N25698" s="14"/>
      <c r="O25698" s="14"/>
      <c r="P25698" s="13"/>
    </row>
    <row r="25699">
      <c r="L25699" s="13"/>
      <c r="M25699" s="14"/>
      <c r="N25699" s="14"/>
      <c r="O25699" s="14"/>
      <c r="P25699" s="13"/>
    </row>
    <row r="25700">
      <c r="L25700" s="13"/>
      <c r="M25700" s="14"/>
      <c r="N25700" s="14"/>
      <c r="O25700" s="14"/>
      <c r="P25700" s="13"/>
    </row>
    <row r="25701">
      <c r="L25701" s="13"/>
      <c r="M25701" s="14"/>
      <c r="N25701" s="14"/>
      <c r="O25701" s="14"/>
      <c r="P25701" s="13"/>
    </row>
    <row r="25702">
      <c r="L25702" s="13"/>
      <c r="M25702" s="14"/>
      <c r="N25702" s="14"/>
      <c r="O25702" s="14"/>
      <c r="P25702" s="13"/>
    </row>
    <row r="25703">
      <c r="L25703" s="13"/>
      <c r="M25703" s="14"/>
      <c r="N25703" s="14"/>
      <c r="O25703" s="14"/>
      <c r="P25703" s="13"/>
    </row>
    <row r="25704">
      <c r="L25704" s="13"/>
      <c r="M25704" s="14"/>
      <c r="N25704" s="14"/>
      <c r="O25704" s="14"/>
      <c r="P25704" s="13"/>
    </row>
    <row r="25705">
      <c r="L25705" s="13"/>
      <c r="M25705" s="14"/>
      <c r="N25705" s="14"/>
      <c r="O25705" s="14"/>
      <c r="P25705" s="13"/>
    </row>
    <row r="25706">
      <c r="L25706" s="13"/>
      <c r="M25706" s="14"/>
      <c r="N25706" s="14"/>
      <c r="O25706" s="14"/>
      <c r="P25706" s="13"/>
    </row>
    <row r="25707">
      <c r="L25707" s="13"/>
      <c r="M25707" s="14"/>
      <c r="N25707" s="14"/>
      <c r="O25707" s="14"/>
      <c r="P25707" s="13"/>
    </row>
    <row r="25708">
      <c r="L25708" s="13"/>
      <c r="M25708" s="14"/>
      <c r="N25708" s="14"/>
      <c r="O25708" s="14"/>
      <c r="P25708" s="13"/>
    </row>
    <row r="25709">
      <c r="L25709" s="13"/>
      <c r="M25709" s="14"/>
      <c r="N25709" s="14"/>
      <c r="O25709" s="14"/>
      <c r="P25709" s="13"/>
    </row>
    <row r="25710">
      <c r="L25710" s="13"/>
      <c r="M25710" s="14"/>
      <c r="N25710" s="14"/>
      <c r="O25710" s="14"/>
      <c r="P25710" s="13"/>
    </row>
    <row r="25711">
      <c r="L25711" s="13"/>
      <c r="M25711" s="14"/>
      <c r="N25711" s="14"/>
      <c r="O25711" s="14"/>
      <c r="P25711" s="13"/>
    </row>
    <row r="25712">
      <c r="L25712" s="13"/>
      <c r="M25712" s="14"/>
      <c r="N25712" s="14"/>
      <c r="O25712" s="14"/>
      <c r="P25712" s="13"/>
    </row>
    <row r="25713">
      <c r="L25713" s="13"/>
      <c r="M25713" s="14"/>
      <c r="N25713" s="14"/>
      <c r="O25713" s="14"/>
      <c r="P25713" s="13"/>
    </row>
    <row r="25714">
      <c r="L25714" s="13"/>
      <c r="M25714" s="14"/>
      <c r="N25714" s="14"/>
      <c r="O25714" s="14"/>
      <c r="P25714" s="13"/>
    </row>
    <row r="25715">
      <c r="L25715" s="13"/>
      <c r="M25715" s="14"/>
      <c r="N25715" s="14"/>
      <c r="O25715" s="14"/>
      <c r="P25715" s="13"/>
    </row>
    <row r="25716">
      <c r="L25716" s="13"/>
      <c r="M25716" s="14"/>
      <c r="N25716" s="14"/>
      <c r="O25716" s="14"/>
      <c r="P25716" s="13"/>
    </row>
    <row r="25717">
      <c r="L25717" s="13"/>
      <c r="M25717" s="14"/>
      <c r="N25717" s="14"/>
      <c r="O25717" s="14"/>
      <c r="P25717" s="13"/>
    </row>
    <row r="25718">
      <c r="L25718" s="13"/>
      <c r="M25718" s="14"/>
      <c r="N25718" s="14"/>
      <c r="O25718" s="14"/>
      <c r="P25718" s="13"/>
    </row>
    <row r="25719">
      <c r="L25719" s="13"/>
      <c r="M25719" s="14"/>
      <c r="N25719" s="14"/>
      <c r="O25719" s="14"/>
      <c r="P25719" s="13"/>
    </row>
    <row r="25720">
      <c r="L25720" s="13"/>
      <c r="M25720" s="14"/>
      <c r="N25720" s="14"/>
      <c r="O25720" s="14"/>
      <c r="P25720" s="13"/>
    </row>
    <row r="25721">
      <c r="L25721" s="13"/>
      <c r="M25721" s="14"/>
      <c r="N25721" s="14"/>
      <c r="O25721" s="14"/>
      <c r="P25721" s="13"/>
    </row>
    <row r="25722">
      <c r="L25722" s="13"/>
      <c r="M25722" s="14"/>
      <c r="N25722" s="14"/>
      <c r="O25722" s="14"/>
      <c r="P25722" s="13"/>
    </row>
    <row r="25723">
      <c r="L25723" s="13"/>
      <c r="M25723" s="14"/>
      <c r="N25723" s="14"/>
      <c r="O25723" s="14"/>
      <c r="P25723" s="13"/>
    </row>
    <row r="25724">
      <c r="L25724" s="13"/>
      <c r="M25724" s="14"/>
      <c r="N25724" s="14"/>
      <c r="O25724" s="14"/>
      <c r="P25724" s="13"/>
    </row>
    <row r="25725">
      <c r="L25725" s="13"/>
      <c r="M25725" s="14"/>
      <c r="N25725" s="14"/>
      <c r="O25725" s="14"/>
      <c r="P25725" s="13"/>
    </row>
    <row r="25726">
      <c r="L25726" s="13"/>
      <c r="M25726" s="14"/>
      <c r="N25726" s="14"/>
      <c r="O25726" s="14"/>
      <c r="P25726" s="13"/>
    </row>
    <row r="25727">
      <c r="L25727" s="13"/>
      <c r="M25727" s="14"/>
      <c r="N25727" s="14"/>
      <c r="O25727" s="14"/>
      <c r="P25727" s="13"/>
    </row>
    <row r="25728">
      <c r="L25728" s="13"/>
      <c r="M25728" s="14"/>
      <c r="N25728" s="14"/>
      <c r="O25728" s="14"/>
      <c r="P25728" s="13"/>
    </row>
    <row r="25729">
      <c r="L25729" s="13"/>
      <c r="M25729" s="14"/>
      <c r="N25729" s="14"/>
      <c r="O25729" s="14"/>
      <c r="P25729" s="13"/>
    </row>
    <row r="25730">
      <c r="L25730" s="13"/>
      <c r="M25730" s="14"/>
      <c r="N25730" s="14"/>
      <c r="O25730" s="14"/>
      <c r="P25730" s="13"/>
    </row>
    <row r="25731">
      <c r="L25731" s="13"/>
      <c r="M25731" s="14"/>
      <c r="N25731" s="14"/>
      <c r="O25731" s="14"/>
      <c r="P25731" s="13"/>
    </row>
    <row r="25732">
      <c r="L25732" s="13"/>
      <c r="M25732" s="14"/>
      <c r="N25732" s="14"/>
      <c r="O25732" s="14"/>
      <c r="P25732" s="13"/>
    </row>
    <row r="25733">
      <c r="L25733" s="13"/>
      <c r="M25733" s="14"/>
      <c r="N25733" s="14"/>
      <c r="O25733" s="14"/>
      <c r="P25733" s="13"/>
    </row>
    <row r="25734">
      <c r="L25734" s="13"/>
      <c r="M25734" s="14"/>
      <c r="N25734" s="14"/>
      <c r="O25734" s="14"/>
      <c r="P25734" s="13"/>
    </row>
    <row r="25735">
      <c r="L25735" s="13"/>
      <c r="M25735" s="14"/>
      <c r="N25735" s="14"/>
      <c r="O25735" s="14"/>
      <c r="P25735" s="13"/>
    </row>
    <row r="25736">
      <c r="L25736" s="13"/>
      <c r="M25736" s="14"/>
      <c r="N25736" s="14"/>
      <c r="O25736" s="14"/>
      <c r="P25736" s="13"/>
    </row>
    <row r="25737">
      <c r="L25737" s="13"/>
      <c r="M25737" s="14"/>
      <c r="N25737" s="14"/>
      <c r="O25737" s="14"/>
      <c r="P25737" s="13"/>
    </row>
    <row r="25738">
      <c r="L25738" s="13"/>
      <c r="M25738" s="14"/>
      <c r="N25738" s="14"/>
      <c r="O25738" s="14"/>
      <c r="P25738" s="13"/>
    </row>
    <row r="25739">
      <c r="L25739" s="13"/>
      <c r="M25739" s="14"/>
      <c r="N25739" s="14"/>
      <c r="O25739" s="14"/>
      <c r="P25739" s="13"/>
    </row>
    <row r="25740">
      <c r="L25740" s="13"/>
      <c r="M25740" s="14"/>
      <c r="N25740" s="14"/>
      <c r="O25740" s="14"/>
      <c r="P25740" s="13"/>
    </row>
    <row r="25741">
      <c r="L25741" s="13"/>
      <c r="M25741" s="14"/>
      <c r="N25741" s="14"/>
      <c r="O25741" s="14"/>
      <c r="P25741" s="13"/>
    </row>
    <row r="25742">
      <c r="L25742" s="13"/>
      <c r="M25742" s="14"/>
      <c r="N25742" s="14"/>
      <c r="O25742" s="14"/>
      <c r="P25742" s="13"/>
    </row>
    <row r="25743">
      <c r="L25743" s="13"/>
      <c r="M25743" s="14"/>
      <c r="N25743" s="14"/>
      <c r="O25743" s="14"/>
      <c r="P25743" s="13"/>
    </row>
    <row r="25744">
      <c r="L25744" s="13"/>
      <c r="M25744" s="14"/>
      <c r="N25744" s="14"/>
      <c r="O25744" s="14"/>
      <c r="P25744" s="13"/>
    </row>
    <row r="25745">
      <c r="L25745" s="13"/>
      <c r="M25745" s="14"/>
      <c r="N25745" s="14"/>
      <c r="O25745" s="14"/>
      <c r="P25745" s="13"/>
    </row>
    <row r="25746">
      <c r="L25746" s="13"/>
      <c r="M25746" s="14"/>
      <c r="N25746" s="14"/>
      <c r="O25746" s="14"/>
      <c r="P25746" s="13"/>
    </row>
    <row r="25747">
      <c r="L25747" s="13"/>
      <c r="M25747" s="14"/>
      <c r="N25747" s="14"/>
      <c r="O25747" s="14"/>
      <c r="P25747" s="13"/>
    </row>
    <row r="25748">
      <c r="L25748" s="13"/>
      <c r="M25748" s="14"/>
      <c r="N25748" s="14"/>
      <c r="O25748" s="14"/>
      <c r="P25748" s="13"/>
    </row>
    <row r="25749">
      <c r="L25749" s="13"/>
      <c r="M25749" s="14"/>
      <c r="N25749" s="14"/>
      <c r="O25749" s="14"/>
      <c r="P25749" s="13"/>
    </row>
    <row r="25750">
      <c r="L25750" s="13"/>
      <c r="M25750" s="14"/>
      <c r="N25750" s="14"/>
      <c r="O25750" s="14"/>
      <c r="P25750" s="13"/>
    </row>
    <row r="25751">
      <c r="L25751" s="13"/>
      <c r="M25751" s="14"/>
      <c r="N25751" s="14"/>
      <c r="O25751" s="14"/>
      <c r="P25751" s="13"/>
    </row>
    <row r="25752">
      <c r="L25752" s="13"/>
      <c r="M25752" s="14"/>
      <c r="N25752" s="14"/>
      <c r="O25752" s="14"/>
      <c r="P25752" s="13"/>
    </row>
    <row r="25753">
      <c r="L25753" s="13"/>
      <c r="M25753" s="14"/>
      <c r="N25753" s="14"/>
      <c r="O25753" s="14"/>
      <c r="P25753" s="13"/>
    </row>
    <row r="25754">
      <c r="L25754" s="13"/>
      <c r="M25754" s="14"/>
      <c r="N25754" s="14"/>
      <c r="O25754" s="14"/>
      <c r="P25754" s="13"/>
    </row>
    <row r="25755">
      <c r="L25755" s="13"/>
      <c r="M25755" s="14"/>
      <c r="N25755" s="14"/>
      <c r="O25755" s="14"/>
      <c r="P25755" s="13"/>
    </row>
    <row r="25756">
      <c r="L25756" s="13"/>
      <c r="M25756" s="14"/>
      <c r="N25756" s="14"/>
      <c r="O25756" s="14"/>
      <c r="P25756" s="13"/>
    </row>
    <row r="25757">
      <c r="L25757" s="13"/>
      <c r="M25757" s="14"/>
      <c r="N25757" s="14"/>
      <c r="O25757" s="14"/>
      <c r="P25757" s="13"/>
    </row>
    <row r="25758">
      <c r="L25758" s="13"/>
      <c r="M25758" s="14"/>
      <c r="N25758" s="14"/>
      <c r="O25758" s="14"/>
      <c r="P25758" s="13"/>
    </row>
    <row r="25759">
      <c r="L25759" s="13"/>
      <c r="M25759" s="14"/>
      <c r="N25759" s="14"/>
      <c r="O25759" s="14"/>
      <c r="P25759" s="13"/>
    </row>
    <row r="25760">
      <c r="L25760" s="13"/>
      <c r="M25760" s="14"/>
      <c r="N25760" s="14"/>
      <c r="O25760" s="14"/>
      <c r="P25760" s="13"/>
    </row>
    <row r="25761">
      <c r="L25761" s="13"/>
      <c r="M25761" s="14"/>
      <c r="N25761" s="14"/>
      <c r="O25761" s="14"/>
      <c r="P25761" s="13"/>
    </row>
    <row r="25762">
      <c r="L25762" s="13"/>
      <c r="M25762" s="14"/>
      <c r="N25762" s="14"/>
      <c r="O25762" s="14"/>
      <c r="P25762" s="13"/>
    </row>
    <row r="25763">
      <c r="L25763" s="13"/>
      <c r="M25763" s="14"/>
      <c r="N25763" s="14"/>
      <c r="O25763" s="14"/>
      <c r="P25763" s="13"/>
    </row>
    <row r="25764">
      <c r="L25764" s="13"/>
      <c r="M25764" s="14"/>
      <c r="N25764" s="14"/>
      <c r="O25764" s="14"/>
      <c r="P25764" s="13"/>
    </row>
    <row r="25765">
      <c r="L25765" s="13"/>
      <c r="M25765" s="14"/>
      <c r="N25765" s="14"/>
      <c r="O25765" s="14"/>
      <c r="P25765" s="13"/>
    </row>
    <row r="25766">
      <c r="L25766" s="13"/>
      <c r="M25766" s="14"/>
      <c r="N25766" s="14"/>
      <c r="O25766" s="14"/>
      <c r="P25766" s="13"/>
    </row>
    <row r="25767">
      <c r="L25767" s="13"/>
      <c r="M25767" s="14"/>
      <c r="N25767" s="14"/>
      <c r="O25767" s="14"/>
      <c r="P25767" s="13"/>
    </row>
    <row r="25768">
      <c r="L25768" s="13"/>
      <c r="M25768" s="14"/>
      <c r="N25768" s="14"/>
      <c r="O25768" s="14"/>
      <c r="P25768" s="13"/>
    </row>
    <row r="25769">
      <c r="L25769" s="13"/>
      <c r="M25769" s="14"/>
      <c r="N25769" s="14"/>
      <c r="O25769" s="14"/>
      <c r="P25769" s="13"/>
    </row>
    <row r="25770">
      <c r="L25770" s="13"/>
      <c r="M25770" s="14"/>
      <c r="N25770" s="14"/>
      <c r="O25770" s="14"/>
      <c r="P25770" s="13"/>
    </row>
    <row r="25771">
      <c r="L25771" s="13"/>
      <c r="M25771" s="14"/>
      <c r="N25771" s="14"/>
      <c r="O25771" s="14"/>
      <c r="P25771" s="13"/>
    </row>
    <row r="25772">
      <c r="L25772" s="13"/>
      <c r="M25772" s="14"/>
      <c r="N25772" s="14"/>
      <c r="O25772" s="14"/>
      <c r="P25772" s="13"/>
    </row>
    <row r="25773">
      <c r="L25773" s="13"/>
      <c r="M25773" s="14"/>
      <c r="N25773" s="14"/>
      <c r="O25773" s="14"/>
      <c r="P25773" s="13"/>
    </row>
    <row r="25774">
      <c r="L25774" s="13"/>
      <c r="M25774" s="14"/>
      <c r="N25774" s="14"/>
      <c r="O25774" s="14"/>
      <c r="P25774" s="13"/>
    </row>
    <row r="25775">
      <c r="L25775" s="13"/>
      <c r="M25775" s="14"/>
      <c r="N25775" s="14"/>
      <c r="O25775" s="14"/>
      <c r="P25775" s="13"/>
    </row>
    <row r="25776">
      <c r="L25776" s="13"/>
      <c r="M25776" s="14"/>
      <c r="N25776" s="14"/>
      <c r="O25776" s="14"/>
      <c r="P25776" s="13"/>
    </row>
    <row r="25777">
      <c r="L25777" s="13"/>
      <c r="M25777" s="14"/>
      <c r="N25777" s="14"/>
      <c r="O25777" s="14"/>
      <c r="P25777" s="13"/>
    </row>
    <row r="25778">
      <c r="L25778" s="13"/>
      <c r="M25778" s="14"/>
      <c r="N25778" s="14"/>
      <c r="O25778" s="14"/>
      <c r="P25778" s="13"/>
    </row>
    <row r="25779">
      <c r="L25779" s="13"/>
      <c r="M25779" s="14"/>
      <c r="N25779" s="14"/>
      <c r="O25779" s="14"/>
      <c r="P25779" s="13"/>
    </row>
    <row r="25780">
      <c r="L25780" s="13"/>
      <c r="M25780" s="14"/>
      <c r="N25780" s="14"/>
      <c r="O25780" s="14"/>
      <c r="P25780" s="13"/>
    </row>
    <row r="25781">
      <c r="L25781" s="13"/>
      <c r="M25781" s="14"/>
      <c r="N25781" s="14"/>
      <c r="O25781" s="14"/>
      <c r="P25781" s="13"/>
    </row>
    <row r="25782">
      <c r="L25782" s="13"/>
      <c r="M25782" s="14"/>
      <c r="N25782" s="14"/>
      <c r="O25782" s="14"/>
      <c r="P25782" s="13"/>
    </row>
    <row r="25783">
      <c r="L25783" s="13"/>
      <c r="M25783" s="14"/>
      <c r="N25783" s="14"/>
      <c r="O25783" s="14"/>
      <c r="P25783" s="13"/>
    </row>
    <row r="25784">
      <c r="L25784" s="13"/>
      <c r="M25784" s="14"/>
      <c r="N25784" s="14"/>
      <c r="O25784" s="14"/>
      <c r="P25784" s="13"/>
    </row>
    <row r="25785">
      <c r="L25785" s="13"/>
      <c r="M25785" s="14"/>
      <c r="N25785" s="14"/>
      <c r="O25785" s="14"/>
      <c r="P25785" s="13"/>
    </row>
    <row r="25786">
      <c r="L25786" s="13"/>
      <c r="M25786" s="14"/>
      <c r="N25786" s="14"/>
      <c r="O25786" s="14"/>
      <c r="P25786" s="13"/>
    </row>
    <row r="25787">
      <c r="L25787" s="13"/>
      <c r="M25787" s="14"/>
      <c r="N25787" s="14"/>
      <c r="O25787" s="14"/>
      <c r="P25787" s="13"/>
    </row>
    <row r="25788">
      <c r="L25788" s="13"/>
      <c r="M25788" s="14"/>
      <c r="N25788" s="14"/>
      <c r="O25788" s="14"/>
      <c r="P25788" s="13"/>
    </row>
    <row r="25789">
      <c r="L25789" s="13"/>
      <c r="M25789" s="14"/>
      <c r="N25789" s="14"/>
      <c r="O25789" s="14"/>
      <c r="P25789" s="13"/>
    </row>
    <row r="25790">
      <c r="L25790" s="13"/>
      <c r="M25790" s="14"/>
      <c r="N25790" s="14"/>
      <c r="O25790" s="14"/>
      <c r="P25790" s="13"/>
    </row>
    <row r="25791">
      <c r="L25791" s="13"/>
      <c r="M25791" s="14"/>
      <c r="N25791" s="14"/>
      <c r="O25791" s="14"/>
      <c r="P25791" s="13"/>
    </row>
    <row r="25792">
      <c r="L25792" s="13"/>
      <c r="M25792" s="14"/>
      <c r="N25792" s="14"/>
      <c r="O25792" s="14"/>
      <c r="P25792" s="13"/>
    </row>
    <row r="25793">
      <c r="L25793" s="13"/>
      <c r="M25793" s="14"/>
      <c r="N25793" s="14"/>
      <c r="O25793" s="14"/>
      <c r="P25793" s="13"/>
    </row>
    <row r="25794">
      <c r="L25794" s="13"/>
      <c r="M25794" s="14"/>
      <c r="N25794" s="14"/>
      <c r="O25794" s="14"/>
      <c r="P25794" s="13"/>
    </row>
    <row r="25795">
      <c r="L25795" s="13"/>
      <c r="M25795" s="14"/>
      <c r="N25795" s="14"/>
      <c r="O25795" s="14"/>
      <c r="P25795" s="13"/>
    </row>
    <row r="25796">
      <c r="L25796" s="13"/>
      <c r="M25796" s="14"/>
      <c r="N25796" s="14"/>
      <c r="O25796" s="14"/>
      <c r="P25796" s="13"/>
    </row>
    <row r="25797">
      <c r="L25797" s="13"/>
      <c r="M25797" s="14"/>
      <c r="N25797" s="14"/>
      <c r="O25797" s="14"/>
      <c r="P25797" s="13"/>
    </row>
    <row r="25798">
      <c r="L25798" s="13"/>
      <c r="M25798" s="14"/>
      <c r="N25798" s="14"/>
      <c r="O25798" s="14"/>
      <c r="P25798" s="13"/>
    </row>
    <row r="25799">
      <c r="L25799" s="13"/>
      <c r="M25799" s="14"/>
      <c r="N25799" s="14"/>
      <c r="O25799" s="14"/>
      <c r="P25799" s="13"/>
    </row>
    <row r="25800">
      <c r="L25800" s="13"/>
      <c r="M25800" s="14"/>
      <c r="N25800" s="14"/>
      <c r="O25800" s="14"/>
      <c r="P25800" s="13"/>
    </row>
    <row r="25801">
      <c r="L25801" s="13"/>
      <c r="M25801" s="14"/>
      <c r="N25801" s="14"/>
      <c r="O25801" s="14"/>
      <c r="P25801" s="13"/>
    </row>
    <row r="25802">
      <c r="L25802" s="13"/>
      <c r="M25802" s="14"/>
      <c r="N25802" s="14"/>
      <c r="O25802" s="14"/>
      <c r="P25802" s="13"/>
    </row>
    <row r="25803">
      <c r="L25803" s="13"/>
      <c r="M25803" s="14"/>
      <c r="N25803" s="14"/>
      <c r="O25803" s="14"/>
      <c r="P25803" s="13"/>
    </row>
    <row r="25804">
      <c r="L25804" s="13"/>
      <c r="M25804" s="14"/>
      <c r="N25804" s="14"/>
      <c r="O25804" s="14"/>
      <c r="P25804" s="13"/>
    </row>
    <row r="25805">
      <c r="L25805" s="13"/>
      <c r="M25805" s="14"/>
      <c r="N25805" s="14"/>
      <c r="O25805" s="14"/>
      <c r="P25805" s="13"/>
    </row>
    <row r="25806">
      <c r="L25806" s="13"/>
      <c r="M25806" s="14"/>
      <c r="N25806" s="14"/>
      <c r="O25806" s="14"/>
      <c r="P25806" s="13"/>
    </row>
    <row r="25807">
      <c r="L25807" s="13"/>
      <c r="M25807" s="14"/>
      <c r="N25807" s="14"/>
      <c r="O25807" s="14"/>
      <c r="P25807" s="13"/>
    </row>
    <row r="25808">
      <c r="L25808" s="13"/>
      <c r="M25808" s="14"/>
      <c r="N25808" s="14"/>
      <c r="O25808" s="14"/>
      <c r="P25808" s="13"/>
    </row>
    <row r="25809">
      <c r="L25809" s="13"/>
      <c r="M25809" s="14"/>
      <c r="N25809" s="14"/>
      <c r="O25809" s="14"/>
      <c r="P25809" s="13"/>
    </row>
    <row r="25810">
      <c r="L25810" s="13"/>
      <c r="M25810" s="14"/>
      <c r="N25810" s="14"/>
      <c r="O25810" s="14"/>
      <c r="P25810" s="13"/>
    </row>
    <row r="25811">
      <c r="L25811" s="13"/>
      <c r="M25811" s="14"/>
      <c r="N25811" s="14"/>
      <c r="O25811" s="14"/>
      <c r="P25811" s="13"/>
    </row>
    <row r="25812">
      <c r="L25812" s="13"/>
      <c r="M25812" s="14"/>
      <c r="N25812" s="14"/>
      <c r="O25812" s="14"/>
      <c r="P25812" s="13"/>
    </row>
    <row r="25813">
      <c r="L25813" s="13"/>
      <c r="M25813" s="14"/>
      <c r="N25813" s="14"/>
      <c r="O25813" s="14"/>
      <c r="P25813" s="13"/>
    </row>
    <row r="25814">
      <c r="L25814" s="13"/>
      <c r="M25814" s="14"/>
      <c r="N25814" s="14"/>
      <c r="O25814" s="14"/>
      <c r="P25814" s="13"/>
    </row>
    <row r="25815">
      <c r="L25815" s="13"/>
      <c r="M25815" s="14"/>
      <c r="N25815" s="14"/>
      <c r="O25815" s="14"/>
      <c r="P25815" s="13"/>
    </row>
    <row r="25816">
      <c r="L25816" s="13"/>
      <c r="M25816" s="14"/>
      <c r="N25816" s="14"/>
      <c r="O25816" s="14"/>
      <c r="P25816" s="13"/>
    </row>
    <row r="25817">
      <c r="L25817" s="13"/>
      <c r="M25817" s="14"/>
      <c r="N25817" s="14"/>
      <c r="O25817" s="14"/>
      <c r="P25817" s="13"/>
    </row>
    <row r="25818">
      <c r="L25818" s="13"/>
      <c r="M25818" s="14"/>
      <c r="N25818" s="14"/>
      <c r="O25818" s="14"/>
      <c r="P25818" s="13"/>
    </row>
    <row r="25819">
      <c r="L25819" s="13"/>
      <c r="M25819" s="14"/>
      <c r="N25819" s="14"/>
      <c r="O25819" s="14"/>
      <c r="P25819" s="13"/>
    </row>
    <row r="25820">
      <c r="L25820" s="13"/>
      <c r="M25820" s="14"/>
      <c r="N25820" s="14"/>
      <c r="O25820" s="14"/>
      <c r="P25820" s="13"/>
    </row>
    <row r="25821">
      <c r="L25821" s="13"/>
      <c r="M25821" s="14"/>
      <c r="N25821" s="14"/>
      <c r="O25821" s="14"/>
      <c r="P25821" s="13"/>
    </row>
    <row r="25822">
      <c r="L25822" s="13"/>
      <c r="M25822" s="14"/>
      <c r="N25822" s="14"/>
      <c r="O25822" s="14"/>
      <c r="P25822" s="13"/>
    </row>
    <row r="25823">
      <c r="L25823" s="13"/>
      <c r="M25823" s="14"/>
      <c r="N25823" s="14"/>
      <c r="O25823" s="14"/>
      <c r="P25823" s="13"/>
    </row>
    <row r="25824">
      <c r="L25824" s="13"/>
      <c r="M25824" s="14"/>
      <c r="N25824" s="14"/>
      <c r="O25824" s="14"/>
      <c r="P25824" s="13"/>
    </row>
    <row r="25825">
      <c r="L25825" s="13"/>
      <c r="M25825" s="14"/>
      <c r="N25825" s="14"/>
      <c r="O25825" s="14"/>
      <c r="P25825" s="13"/>
    </row>
    <row r="25826">
      <c r="L25826" s="13"/>
      <c r="M25826" s="14"/>
      <c r="N25826" s="14"/>
      <c r="O25826" s="14"/>
      <c r="P25826" s="13"/>
    </row>
    <row r="25827">
      <c r="L25827" s="13"/>
      <c r="M25827" s="14"/>
      <c r="N25827" s="14"/>
      <c r="O25827" s="14"/>
      <c r="P25827" s="13"/>
    </row>
    <row r="25828">
      <c r="L25828" s="13"/>
      <c r="M25828" s="14"/>
      <c r="N25828" s="14"/>
      <c r="O25828" s="14"/>
      <c r="P25828" s="13"/>
    </row>
    <row r="25829">
      <c r="L25829" s="13"/>
      <c r="M25829" s="14"/>
      <c r="N25829" s="14"/>
      <c r="O25829" s="14"/>
      <c r="P25829" s="13"/>
    </row>
    <row r="25830">
      <c r="L25830" s="13"/>
      <c r="M25830" s="14"/>
      <c r="N25830" s="14"/>
      <c r="O25830" s="14"/>
      <c r="P25830" s="13"/>
    </row>
    <row r="25831">
      <c r="L25831" s="13"/>
      <c r="M25831" s="14"/>
      <c r="N25831" s="14"/>
      <c r="O25831" s="14"/>
      <c r="P25831" s="13"/>
    </row>
    <row r="25832">
      <c r="L25832" s="13"/>
      <c r="M25832" s="14"/>
      <c r="N25832" s="14"/>
      <c r="O25832" s="14"/>
      <c r="P25832" s="13"/>
    </row>
    <row r="25833">
      <c r="L25833" s="13"/>
      <c r="M25833" s="14"/>
      <c r="N25833" s="14"/>
      <c r="O25833" s="14"/>
      <c r="P25833" s="13"/>
    </row>
    <row r="25834">
      <c r="L25834" s="13"/>
      <c r="M25834" s="14"/>
      <c r="N25834" s="14"/>
      <c r="O25834" s="14"/>
      <c r="P25834" s="13"/>
    </row>
    <row r="25835">
      <c r="L25835" s="13"/>
      <c r="M25835" s="14"/>
      <c r="N25835" s="14"/>
      <c r="O25835" s="14"/>
      <c r="P25835" s="13"/>
    </row>
    <row r="25836">
      <c r="L25836" s="13"/>
      <c r="M25836" s="14"/>
      <c r="N25836" s="14"/>
      <c r="O25836" s="14"/>
      <c r="P25836" s="13"/>
    </row>
    <row r="25837">
      <c r="L25837" s="13"/>
      <c r="M25837" s="14"/>
      <c r="N25837" s="14"/>
      <c r="O25837" s="14"/>
      <c r="P25837" s="13"/>
    </row>
    <row r="25838">
      <c r="L25838" s="13"/>
      <c r="M25838" s="14"/>
      <c r="N25838" s="14"/>
      <c r="O25838" s="14"/>
      <c r="P25838" s="13"/>
    </row>
    <row r="25839">
      <c r="L25839" s="13"/>
      <c r="M25839" s="14"/>
      <c r="N25839" s="14"/>
      <c r="O25839" s="14"/>
      <c r="P25839" s="13"/>
    </row>
    <row r="25840">
      <c r="L25840" s="13"/>
      <c r="M25840" s="14"/>
      <c r="N25840" s="14"/>
      <c r="O25840" s="14"/>
      <c r="P25840" s="13"/>
    </row>
    <row r="25841">
      <c r="L25841" s="13"/>
      <c r="M25841" s="14"/>
      <c r="N25841" s="14"/>
      <c r="O25841" s="14"/>
      <c r="P25841" s="13"/>
    </row>
    <row r="25842">
      <c r="L25842" s="13"/>
      <c r="M25842" s="14"/>
      <c r="N25842" s="14"/>
      <c r="O25842" s="14"/>
      <c r="P25842" s="13"/>
    </row>
    <row r="25843">
      <c r="L25843" s="13"/>
      <c r="M25843" s="14"/>
      <c r="N25843" s="14"/>
      <c r="O25843" s="14"/>
      <c r="P25843" s="13"/>
    </row>
    <row r="25844">
      <c r="L25844" s="13"/>
      <c r="M25844" s="14"/>
      <c r="N25844" s="14"/>
      <c r="O25844" s="14"/>
      <c r="P25844" s="13"/>
    </row>
    <row r="25845">
      <c r="L25845" s="13"/>
      <c r="M25845" s="14"/>
      <c r="N25845" s="14"/>
      <c r="O25845" s="14"/>
      <c r="P25845" s="13"/>
    </row>
    <row r="25846">
      <c r="L25846" s="13"/>
      <c r="M25846" s="14"/>
      <c r="N25846" s="14"/>
      <c r="O25846" s="14"/>
      <c r="P25846" s="13"/>
    </row>
    <row r="25847">
      <c r="L25847" s="13"/>
      <c r="M25847" s="14"/>
      <c r="N25847" s="14"/>
      <c r="O25847" s="14"/>
      <c r="P25847" s="13"/>
    </row>
    <row r="25848">
      <c r="L25848" s="13"/>
      <c r="M25848" s="14"/>
      <c r="N25848" s="14"/>
      <c r="O25848" s="14"/>
      <c r="P25848" s="13"/>
    </row>
    <row r="25849">
      <c r="L25849" s="13"/>
      <c r="M25849" s="14"/>
      <c r="N25849" s="14"/>
      <c r="O25849" s="14"/>
      <c r="P25849" s="13"/>
    </row>
    <row r="25850">
      <c r="L25850" s="13"/>
      <c r="M25850" s="14"/>
      <c r="N25850" s="14"/>
      <c r="O25850" s="14"/>
      <c r="P25850" s="13"/>
    </row>
    <row r="25851">
      <c r="L25851" s="13"/>
      <c r="M25851" s="14"/>
      <c r="N25851" s="14"/>
      <c r="O25851" s="14"/>
      <c r="P25851" s="13"/>
    </row>
    <row r="25852">
      <c r="L25852" s="13"/>
      <c r="M25852" s="14"/>
      <c r="N25852" s="14"/>
      <c r="O25852" s="14"/>
      <c r="P25852" s="13"/>
    </row>
    <row r="25853">
      <c r="L25853" s="13"/>
      <c r="M25853" s="14"/>
      <c r="N25853" s="14"/>
      <c r="O25853" s="14"/>
      <c r="P25853" s="13"/>
    </row>
    <row r="25854">
      <c r="L25854" s="13"/>
      <c r="M25854" s="14"/>
      <c r="N25854" s="14"/>
      <c r="O25854" s="14"/>
      <c r="P25854" s="13"/>
    </row>
    <row r="25855">
      <c r="L25855" s="13"/>
      <c r="M25855" s="14"/>
      <c r="N25855" s="14"/>
      <c r="O25855" s="14"/>
      <c r="P25855" s="13"/>
    </row>
    <row r="25856">
      <c r="L25856" s="13"/>
      <c r="M25856" s="14"/>
      <c r="N25856" s="14"/>
      <c r="O25856" s="14"/>
      <c r="P25856" s="13"/>
    </row>
    <row r="25857">
      <c r="L25857" s="13"/>
      <c r="M25857" s="14"/>
      <c r="N25857" s="14"/>
      <c r="O25857" s="14"/>
      <c r="P25857" s="13"/>
    </row>
    <row r="25858">
      <c r="L25858" s="13"/>
      <c r="M25858" s="14"/>
      <c r="N25858" s="14"/>
      <c r="O25858" s="14"/>
      <c r="P25858" s="13"/>
    </row>
    <row r="25859">
      <c r="L25859" s="13"/>
      <c r="M25859" s="14"/>
      <c r="N25859" s="14"/>
      <c r="O25859" s="14"/>
      <c r="P25859" s="13"/>
    </row>
    <row r="25860">
      <c r="L25860" s="13"/>
      <c r="M25860" s="14"/>
      <c r="N25860" s="14"/>
      <c r="O25860" s="14"/>
      <c r="P25860" s="13"/>
    </row>
    <row r="25861">
      <c r="L25861" s="13"/>
      <c r="M25861" s="14"/>
      <c r="N25861" s="14"/>
      <c r="O25861" s="14"/>
      <c r="P25861" s="13"/>
    </row>
    <row r="25862">
      <c r="L25862" s="13"/>
      <c r="M25862" s="14"/>
      <c r="N25862" s="14"/>
      <c r="O25862" s="14"/>
      <c r="P25862" s="13"/>
    </row>
    <row r="25863">
      <c r="L25863" s="13"/>
      <c r="M25863" s="14"/>
      <c r="N25863" s="14"/>
      <c r="O25863" s="14"/>
      <c r="P25863" s="13"/>
    </row>
    <row r="25864">
      <c r="L25864" s="13"/>
      <c r="M25864" s="14"/>
      <c r="N25864" s="14"/>
      <c r="O25864" s="14"/>
      <c r="P25864" s="13"/>
    </row>
    <row r="25865">
      <c r="L25865" s="13"/>
      <c r="M25865" s="14"/>
      <c r="N25865" s="14"/>
      <c r="O25865" s="14"/>
      <c r="P25865" s="13"/>
    </row>
    <row r="25866">
      <c r="L25866" s="13"/>
      <c r="M25866" s="14"/>
      <c r="N25866" s="14"/>
      <c r="O25866" s="14"/>
      <c r="P25866" s="13"/>
    </row>
    <row r="25867">
      <c r="L25867" s="13"/>
      <c r="M25867" s="14"/>
      <c r="N25867" s="14"/>
      <c r="O25867" s="14"/>
      <c r="P25867" s="13"/>
    </row>
    <row r="25868">
      <c r="L25868" s="13"/>
      <c r="M25868" s="14"/>
      <c r="N25868" s="14"/>
      <c r="O25868" s="14"/>
      <c r="P25868" s="13"/>
    </row>
    <row r="25869">
      <c r="L25869" s="13"/>
      <c r="M25869" s="14"/>
      <c r="N25869" s="14"/>
      <c r="O25869" s="14"/>
      <c r="P25869" s="13"/>
    </row>
    <row r="25870">
      <c r="L25870" s="13"/>
      <c r="M25870" s="14"/>
      <c r="N25870" s="14"/>
      <c r="O25870" s="14"/>
      <c r="P25870" s="13"/>
    </row>
    <row r="25871">
      <c r="L25871" s="13"/>
      <c r="M25871" s="14"/>
      <c r="N25871" s="14"/>
      <c r="O25871" s="14"/>
      <c r="P25871" s="13"/>
    </row>
    <row r="25872">
      <c r="L25872" s="13"/>
      <c r="M25872" s="14"/>
      <c r="N25872" s="14"/>
      <c r="O25872" s="14"/>
      <c r="P25872" s="13"/>
    </row>
    <row r="25873">
      <c r="L25873" s="13"/>
      <c r="M25873" s="14"/>
      <c r="N25873" s="14"/>
      <c r="O25873" s="14"/>
      <c r="P25873" s="13"/>
    </row>
    <row r="25874">
      <c r="L25874" s="13"/>
      <c r="M25874" s="14"/>
      <c r="N25874" s="14"/>
      <c r="O25874" s="14"/>
      <c r="P25874" s="13"/>
    </row>
    <row r="25875">
      <c r="L25875" s="13"/>
      <c r="M25875" s="14"/>
      <c r="N25875" s="14"/>
      <c r="O25875" s="14"/>
      <c r="P25875" s="13"/>
    </row>
    <row r="25876">
      <c r="L25876" s="13"/>
      <c r="M25876" s="14"/>
      <c r="N25876" s="14"/>
      <c r="O25876" s="14"/>
      <c r="P25876" s="13"/>
    </row>
    <row r="25877">
      <c r="L25877" s="13"/>
      <c r="M25877" s="14"/>
      <c r="N25877" s="14"/>
      <c r="O25877" s="14"/>
      <c r="P25877" s="13"/>
    </row>
    <row r="25878">
      <c r="L25878" s="13"/>
      <c r="M25878" s="14"/>
      <c r="N25878" s="14"/>
      <c r="O25878" s="14"/>
      <c r="P25878" s="13"/>
    </row>
    <row r="25879">
      <c r="L25879" s="13"/>
      <c r="M25879" s="14"/>
      <c r="N25879" s="14"/>
      <c r="O25879" s="14"/>
      <c r="P25879" s="13"/>
    </row>
    <row r="25880">
      <c r="L25880" s="13"/>
      <c r="M25880" s="14"/>
      <c r="N25880" s="14"/>
      <c r="O25880" s="14"/>
      <c r="P25880" s="13"/>
    </row>
    <row r="25881">
      <c r="L25881" s="13"/>
      <c r="M25881" s="14"/>
      <c r="N25881" s="14"/>
      <c r="O25881" s="14"/>
      <c r="P25881" s="13"/>
    </row>
    <row r="25882">
      <c r="L25882" s="13"/>
      <c r="M25882" s="14"/>
      <c r="N25882" s="14"/>
      <c r="O25882" s="14"/>
      <c r="P25882" s="13"/>
    </row>
    <row r="25883">
      <c r="L25883" s="13"/>
      <c r="M25883" s="14"/>
      <c r="N25883" s="14"/>
      <c r="O25883" s="14"/>
      <c r="P25883" s="13"/>
    </row>
    <row r="25884">
      <c r="L25884" s="13"/>
      <c r="M25884" s="14"/>
      <c r="N25884" s="14"/>
      <c r="O25884" s="14"/>
      <c r="P25884" s="13"/>
    </row>
    <row r="25885">
      <c r="L25885" s="13"/>
      <c r="M25885" s="14"/>
      <c r="N25885" s="14"/>
      <c r="O25885" s="14"/>
      <c r="P25885" s="13"/>
    </row>
    <row r="25886">
      <c r="L25886" s="13"/>
      <c r="M25886" s="14"/>
      <c r="N25886" s="14"/>
      <c r="O25886" s="14"/>
      <c r="P25886" s="13"/>
    </row>
    <row r="25887">
      <c r="L25887" s="13"/>
      <c r="M25887" s="14"/>
      <c r="N25887" s="14"/>
      <c r="O25887" s="14"/>
      <c r="P25887" s="13"/>
    </row>
    <row r="25888">
      <c r="L25888" s="13"/>
      <c r="M25888" s="14"/>
      <c r="N25888" s="14"/>
      <c r="O25888" s="14"/>
      <c r="P25888" s="13"/>
    </row>
    <row r="25889">
      <c r="L25889" s="13"/>
      <c r="M25889" s="14"/>
      <c r="N25889" s="14"/>
      <c r="O25889" s="14"/>
      <c r="P25889" s="13"/>
    </row>
    <row r="25890">
      <c r="L25890" s="13"/>
      <c r="M25890" s="14"/>
      <c r="N25890" s="14"/>
      <c r="O25890" s="14"/>
      <c r="P25890" s="13"/>
    </row>
    <row r="25891">
      <c r="L25891" s="13"/>
      <c r="M25891" s="14"/>
      <c r="N25891" s="14"/>
      <c r="O25891" s="14"/>
      <c r="P25891" s="13"/>
    </row>
    <row r="25892">
      <c r="L25892" s="13"/>
      <c r="M25892" s="14"/>
      <c r="N25892" s="14"/>
      <c r="O25892" s="14"/>
      <c r="P25892" s="13"/>
    </row>
    <row r="25893">
      <c r="L25893" s="13"/>
      <c r="M25893" s="14"/>
      <c r="N25893" s="14"/>
      <c r="O25893" s="14"/>
      <c r="P25893" s="13"/>
    </row>
    <row r="25894">
      <c r="L25894" s="13"/>
      <c r="M25894" s="14"/>
      <c r="N25894" s="14"/>
      <c r="O25894" s="14"/>
      <c r="P25894" s="13"/>
    </row>
    <row r="25895">
      <c r="L25895" s="13"/>
      <c r="M25895" s="14"/>
      <c r="N25895" s="14"/>
      <c r="O25895" s="14"/>
      <c r="P25895" s="13"/>
    </row>
    <row r="25896">
      <c r="L25896" s="13"/>
      <c r="M25896" s="14"/>
      <c r="N25896" s="14"/>
      <c r="O25896" s="14"/>
      <c r="P25896" s="13"/>
    </row>
    <row r="25897">
      <c r="L25897" s="13"/>
      <c r="M25897" s="14"/>
      <c r="N25897" s="14"/>
      <c r="O25897" s="14"/>
      <c r="P25897" s="13"/>
    </row>
    <row r="25898">
      <c r="L25898" s="13"/>
      <c r="M25898" s="14"/>
      <c r="N25898" s="14"/>
      <c r="O25898" s="14"/>
      <c r="P25898" s="13"/>
    </row>
    <row r="25899">
      <c r="L25899" s="13"/>
      <c r="M25899" s="14"/>
      <c r="N25899" s="14"/>
      <c r="O25899" s="14"/>
      <c r="P25899" s="13"/>
    </row>
    <row r="25900">
      <c r="L25900" s="13"/>
      <c r="M25900" s="14"/>
      <c r="N25900" s="14"/>
      <c r="O25900" s="14"/>
      <c r="P25900" s="13"/>
    </row>
    <row r="25901">
      <c r="L25901" s="13"/>
      <c r="M25901" s="14"/>
      <c r="N25901" s="14"/>
      <c r="O25901" s="14"/>
      <c r="P25901" s="13"/>
    </row>
    <row r="25902">
      <c r="L25902" s="13"/>
      <c r="M25902" s="14"/>
      <c r="N25902" s="14"/>
      <c r="O25902" s="14"/>
      <c r="P25902" s="13"/>
    </row>
    <row r="25903">
      <c r="L25903" s="13"/>
      <c r="M25903" s="14"/>
      <c r="N25903" s="14"/>
      <c r="O25903" s="14"/>
      <c r="P25903" s="13"/>
    </row>
    <row r="25904">
      <c r="L25904" s="13"/>
      <c r="M25904" s="14"/>
      <c r="N25904" s="14"/>
      <c r="O25904" s="14"/>
      <c r="P25904" s="13"/>
    </row>
    <row r="25905">
      <c r="L25905" s="13"/>
      <c r="M25905" s="14"/>
      <c r="N25905" s="14"/>
      <c r="O25905" s="14"/>
      <c r="P25905" s="13"/>
    </row>
    <row r="25906">
      <c r="L25906" s="13"/>
      <c r="M25906" s="14"/>
      <c r="N25906" s="14"/>
      <c r="O25906" s="14"/>
      <c r="P25906" s="13"/>
    </row>
    <row r="25907">
      <c r="L25907" s="13"/>
      <c r="M25907" s="14"/>
      <c r="N25907" s="14"/>
      <c r="O25907" s="14"/>
      <c r="P25907" s="13"/>
    </row>
    <row r="25908">
      <c r="L25908" s="13"/>
      <c r="M25908" s="14"/>
      <c r="N25908" s="14"/>
      <c r="O25908" s="14"/>
      <c r="P25908" s="13"/>
    </row>
    <row r="25909">
      <c r="L25909" s="13"/>
      <c r="M25909" s="14"/>
      <c r="N25909" s="14"/>
      <c r="O25909" s="14"/>
      <c r="P25909" s="13"/>
    </row>
    <row r="25910">
      <c r="L25910" s="13"/>
      <c r="M25910" s="14"/>
      <c r="N25910" s="14"/>
      <c r="O25910" s="14"/>
      <c r="P25910" s="13"/>
    </row>
    <row r="25911">
      <c r="L25911" s="13"/>
      <c r="M25911" s="14"/>
      <c r="N25911" s="14"/>
      <c r="O25911" s="14"/>
      <c r="P25911" s="13"/>
    </row>
    <row r="25912">
      <c r="L25912" s="13"/>
      <c r="M25912" s="14"/>
      <c r="N25912" s="14"/>
      <c r="O25912" s="14"/>
      <c r="P25912" s="13"/>
    </row>
    <row r="25913">
      <c r="L25913" s="13"/>
      <c r="M25913" s="14"/>
      <c r="N25913" s="14"/>
      <c r="O25913" s="14"/>
      <c r="P25913" s="13"/>
    </row>
    <row r="25914">
      <c r="L25914" s="13"/>
      <c r="M25914" s="14"/>
      <c r="N25914" s="14"/>
      <c r="O25914" s="14"/>
      <c r="P25914" s="13"/>
    </row>
    <row r="25915">
      <c r="L25915" s="13"/>
      <c r="M25915" s="14"/>
      <c r="N25915" s="14"/>
      <c r="O25915" s="14"/>
      <c r="P25915" s="13"/>
    </row>
    <row r="25916">
      <c r="L25916" s="13"/>
      <c r="M25916" s="14"/>
      <c r="N25916" s="14"/>
      <c r="O25916" s="14"/>
      <c r="P25916" s="13"/>
    </row>
    <row r="25917">
      <c r="L25917" s="13"/>
      <c r="M25917" s="14"/>
      <c r="N25917" s="14"/>
      <c r="O25917" s="14"/>
      <c r="P25917" s="13"/>
    </row>
    <row r="25918">
      <c r="L25918" s="13"/>
      <c r="M25918" s="14"/>
      <c r="N25918" s="14"/>
      <c r="O25918" s="14"/>
      <c r="P25918" s="13"/>
    </row>
    <row r="25919">
      <c r="L25919" s="13"/>
      <c r="M25919" s="14"/>
      <c r="N25919" s="14"/>
      <c r="O25919" s="14"/>
      <c r="P25919" s="13"/>
    </row>
    <row r="25920">
      <c r="L25920" s="13"/>
      <c r="M25920" s="14"/>
      <c r="N25920" s="14"/>
      <c r="O25920" s="14"/>
      <c r="P25920" s="13"/>
    </row>
    <row r="25921">
      <c r="L25921" s="13"/>
      <c r="M25921" s="14"/>
      <c r="N25921" s="14"/>
      <c r="O25921" s="14"/>
      <c r="P25921" s="13"/>
    </row>
    <row r="25922">
      <c r="L25922" s="13"/>
      <c r="M25922" s="14"/>
      <c r="N25922" s="14"/>
      <c r="O25922" s="14"/>
      <c r="P25922" s="13"/>
    </row>
    <row r="25923">
      <c r="L25923" s="13"/>
      <c r="M25923" s="14"/>
      <c r="N25923" s="14"/>
      <c r="O25923" s="14"/>
      <c r="P25923" s="13"/>
    </row>
    <row r="25924">
      <c r="L25924" s="13"/>
      <c r="M25924" s="14"/>
      <c r="N25924" s="14"/>
      <c r="O25924" s="14"/>
      <c r="P25924" s="13"/>
    </row>
    <row r="25925">
      <c r="L25925" s="13"/>
      <c r="M25925" s="14"/>
      <c r="N25925" s="14"/>
      <c r="O25925" s="14"/>
      <c r="P25925" s="13"/>
    </row>
    <row r="25926">
      <c r="L25926" s="13"/>
      <c r="M25926" s="14"/>
      <c r="N25926" s="14"/>
      <c r="O25926" s="14"/>
      <c r="P25926" s="13"/>
    </row>
    <row r="25927">
      <c r="L25927" s="13"/>
      <c r="M25927" s="14"/>
      <c r="N25927" s="14"/>
      <c r="O25927" s="14"/>
      <c r="P25927" s="13"/>
    </row>
    <row r="25928">
      <c r="L25928" s="13"/>
      <c r="M25928" s="14"/>
      <c r="N25928" s="14"/>
      <c r="O25928" s="14"/>
      <c r="P25928" s="13"/>
    </row>
    <row r="25929">
      <c r="L25929" s="13"/>
      <c r="M25929" s="14"/>
      <c r="N25929" s="14"/>
      <c r="O25929" s="14"/>
      <c r="P25929" s="13"/>
    </row>
    <row r="25930">
      <c r="L25930" s="13"/>
      <c r="M25930" s="14"/>
      <c r="N25930" s="14"/>
      <c r="O25930" s="14"/>
      <c r="P25930" s="13"/>
    </row>
    <row r="25931">
      <c r="L25931" s="13"/>
      <c r="M25931" s="14"/>
      <c r="N25931" s="14"/>
      <c r="O25931" s="14"/>
      <c r="P25931" s="13"/>
    </row>
    <row r="25932">
      <c r="L25932" s="13"/>
      <c r="M25932" s="14"/>
      <c r="N25932" s="14"/>
      <c r="O25932" s="14"/>
      <c r="P25932" s="13"/>
    </row>
    <row r="25933">
      <c r="L25933" s="13"/>
      <c r="M25933" s="14"/>
      <c r="N25933" s="14"/>
      <c r="O25933" s="14"/>
      <c r="P25933" s="13"/>
    </row>
    <row r="25934">
      <c r="L25934" s="13"/>
      <c r="M25934" s="14"/>
      <c r="N25934" s="14"/>
      <c r="O25934" s="14"/>
      <c r="P25934" s="13"/>
    </row>
    <row r="25935">
      <c r="L25935" s="13"/>
      <c r="M25935" s="14"/>
      <c r="N25935" s="14"/>
      <c r="O25935" s="14"/>
      <c r="P25935" s="13"/>
    </row>
    <row r="25936">
      <c r="L25936" s="13"/>
      <c r="M25936" s="14"/>
      <c r="N25936" s="14"/>
      <c r="O25936" s="14"/>
      <c r="P25936" s="13"/>
    </row>
    <row r="25937">
      <c r="L25937" s="13"/>
      <c r="M25937" s="14"/>
      <c r="N25937" s="14"/>
      <c r="O25937" s="14"/>
      <c r="P25937" s="13"/>
    </row>
    <row r="25938">
      <c r="L25938" s="13"/>
      <c r="M25938" s="14"/>
      <c r="N25938" s="14"/>
      <c r="O25938" s="14"/>
      <c r="P25938" s="13"/>
    </row>
    <row r="25939">
      <c r="L25939" s="13"/>
      <c r="M25939" s="14"/>
      <c r="N25939" s="14"/>
      <c r="O25939" s="14"/>
      <c r="P25939" s="13"/>
    </row>
    <row r="25940">
      <c r="L25940" s="13"/>
      <c r="M25940" s="14"/>
      <c r="N25940" s="14"/>
      <c r="O25940" s="14"/>
      <c r="P25940" s="13"/>
    </row>
    <row r="25941">
      <c r="L25941" s="13"/>
      <c r="M25941" s="14"/>
      <c r="N25941" s="14"/>
      <c r="O25941" s="14"/>
      <c r="P25941" s="13"/>
    </row>
    <row r="25942">
      <c r="L25942" s="13"/>
      <c r="M25942" s="14"/>
      <c r="N25942" s="14"/>
      <c r="O25942" s="14"/>
      <c r="P25942" s="13"/>
    </row>
    <row r="25943">
      <c r="L25943" s="13"/>
      <c r="M25943" s="14"/>
      <c r="N25943" s="14"/>
      <c r="O25943" s="14"/>
      <c r="P25943" s="13"/>
    </row>
    <row r="25944">
      <c r="L25944" s="13"/>
      <c r="M25944" s="14"/>
      <c r="N25944" s="14"/>
      <c r="O25944" s="14"/>
      <c r="P25944" s="13"/>
    </row>
    <row r="25945">
      <c r="L25945" s="13"/>
      <c r="M25945" s="14"/>
      <c r="N25945" s="14"/>
      <c r="O25945" s="14"/>
      <c r="P25945" s="13"/>
    </row>
    <row r="25946">
      <c r="L25946" s="13"/>
      <c r="M25946" s="14"/>
      <c r="N25946" s="14"/>
      <c r="O25946" s="14"/>
      <c r="P25946" s="13"/>
    </row>
    <row r="25947">
      <c r="L25947" s="13"/>
      <c r="M25947" s="14"/>
      <c r="N25947" s="14"/>
      <c r="O25947" s="14"/>
      <c r="P25947" s="13"/>
    </row>
    <row r="25948">
      <c r="L25948" s="13"/>
      <c r="M25948" s="14"/>
      <c r="N25948" s="14"/>
      <c r="O25948" s="14"/>
      <c r="P25948" s="13"/>
    </row>
    <row r="25949">
      <c r="L25949" s="13"/>
      <c r="M25949" s="14"/>
      <c r="N25949" s="14"/>
      <c r="O25949" s="14"/>
      <c r="P25949" s="13"/>
    </row>
    <row r="25950">
      <c r="L25950" s="13"/>
      <c r="M25950" s="14"/>
      <c r="N25950" s="14"/>
      <c r="O25950" s="14"/>
      <c r="P25950" s="13"/>
    </row>
    <row r="25951">
      <c r="L25951" s="13"/>
      <c r="M25951" s="14"/>
      <c r="N25951" s="14"/>
      <c r="O25951" s="14"/>
      <c r="P25951" s="13"/>
    </row>
    <row r="25952">
      <c r="L25952" s="13"/>
      <c r="M25952" s="14"/>
      <c r="N25952" s="14"/>
      <c r="O25952" s="14"/>
      <c r="P25952" s="13"/>
    </row>
    <row r="25953">
      <c r="L25953" s="13"/>
      <c r="M25953" s="14"/>
      <c r="N25953" s="14"/>
      <c r="O25953" s="14"/>
      <c r="P25953" s="13"/>
    </row>
    <row r="25954">
      <c r="L25954" s="13"/>
      <c r="M25954" s="14"/>
      <c r="N25954" s="14"/>
      <c r="O25954" s="14"/>
      <c r="P25954" s="13"/>
    </row>
    <row r="25955">
      <c r="L25955" s="13"/>
      <c r="M25955" s="14"/>
      <c r="N25955" s="14"/>
      <c r="O25955" s="14"/>
      <c r="P25955" s="13"/>
    </row>
    <row r="25956">
      <c r="L25956" s="13"/>
      <c r="M25956" s="14"/>
      <c r="N25956" s="14"/>
      <c r="O25956" s="14"/>
      <c r="P25956" s="13"/>
    </row>
    <row r="25957">
      <c r="L25957" s="13"/>
      <c r="M25957" s="14"/>
      <c r="N25957" s="14"/>
      <c r="O25957" s="14"/>
      <c r="P25957" s="13"/>
    </row>
    <row r="25958">
      <c r="L25958" s="13"/>
      <c r="M25958" s="14"/>
      <c r="N25958" s="14"/>
      <c r="O25958" s="14"/>
      <c r="P25958" s="13"/>
    </row>
    <row r="25959">
      <c r="L25959" s="13"/>
      <c r="M25959" s="14"/>
      <c r="N25959" s="14"/>
      <c r="O25959" s="14"/>
      <c r="P25959" s="13"/>
    </row>
    <row r="25960">
      <c r="L25960" s="13"/>
      <c r="M25960" s="14"/>
      <c r="N25960" s="14"/>
      <c r="O25960" s="14"/>
      <c r="P25960" s="13"/>
    </row>
    <row r="25961">
      <c r="L25961" s="13"/>
      <c r="M25961" s="14"/>
      <c r="N25961" s="14"/>
      <c r="O25961" s="14"/>
      <c r="P25961" s="13"/>
    </row>
    <row r="25962">
      <c r="L25962" s="13"/>
      <c r="M25962" s="14"/>
      <c r="N25962" s="14"/>
      <c r="O25962" s="14"/>
      <c r="P25962" s="13"/>
    </row>
    <row r="25963">
      <c r="L25963" s="13"/>
      <c r="M25963" s="14"/>
      <c r="N25963" s="14"/>
      <c r="O25963" s="14"/>
      <c r="P25963" s="13"/>
    </row>
    <row r="25964">
      <c r="L25964" s="13"/>
      <c r="M25964" s="14"/>
      <c r="N25964" s="14"/>
      <c r="O25964" s="14"/>
      <c r="P25964" s="13"/>
    </row>
    <row r="25965">
      <c r="L25965" s="13"/>
      <c r="M25965" s="14"/>
      <c r="N25965" s="14"/>
      <c r="O25965" s="14"/>
      <c r="P25965" s="13"/>
    </row>
    <row r="25966">
      <c r="L25966" s="13"/>
      <c r="M25966" s="14"/>
      <c r="N25966" s="14"/>
      <c r="O25966" s="14"/>
      <c r="P25966" s="13"/>
    </row>
    <row r="25967">
      <c r="L25967" s="13"/>
      <c r="M25967" s="14"/>
      <c r="N25967" s="14"/>
      <c r="O25967" s="14"/>
      <c r="P25967" s="13"/>
    </row>
    <row r="25968">
      <c r="L25968" s="13"/>
      <c r="M25968" s="14"/>
      <c r="N25968" s="14"/>
      <c r="O25968" s="14"/>
      <c r="P25968" s="13"/>
    </row>
    <row r="25969">
      <c r="L25969" s="13"/>
      <c r="M25969" s="14"/>
      <c r="N25969" s="14"/>
      <c r="O25969" s="14"/>
      <c r="P25969" s="13"/>
    </row>
    <row r="25970">
      <c r="L25970" s="13"/>
      <c r="M25970" s="14"/>
      <c r="N25970" s="14"/>
      <c r="O25970" s="14"/>
      <c r="P25970" s="13"/>
    </row>
    <row r="25971">
      <c r="L25971" s="13"/>
      <c r="M25971" s="14"/>
      <c r="N25971" s="14"/>
      <c r="O25971" s="14"/>
      <c r="P25971" s="13"/>
    </row>
    <row r="25972">
      <c r="L25972" s="13"/>
      <c r="M25972" s="14"/>
      <c r="N25972" s="14"/>
      <c r="O25972" s="14"/>
      <c r="P25972" s="13"/>
    </row>
    <row r="25973">
      <c r="L25973" s="13"/>
      <c r="M25973" s="14"/>
      <c r="N25973" s="14"/>
      <c r="O25973" s="14"/>
      <c r="P25973" s="13"/>
    </row>
    <row r="25974">
      <c r="L25974" s="13"/>
      <c r="M25974" s="14"/>
      <c r="N25974" s="14"/>
      <c r="O25974" s="14"/>
      <c r="P25974" s="13"/>
    </row>
    <row r="25975">
      <c r="L25975" s="13"/>
      <c r="M25975" s="14"/>
      <c r="N25975" s="14"/>
      <c r="O25975" s="14"/>
      <c r="P25975" s="13"/>
    </row>
    <row r="25976">
      <c r="L25976" s="13"/>
      <c r="M25976" s="14"/>
      <c r="N25976" s="14"/>
      <c r="O25976" s="14"/>
      <c r="P25976" s="13"/>
    </row>
    <row r="25977">
      <c r="L25977" s="13"/>
      <c r="M25977" s="14"/>
      <c r="N25977" s="14"/>
      <c r="O25977" s="14"/>
      <c r="P25977" s="13"/>
    </row>
    <row r="25978">
      <c r="L25978" s="13"/>
      <c r="M25978" s="14"/>
      <c r="N25978" s="14"/>
      <c r="O25978" s="14"/>
      <c r="P25978" s="13"/>
    </row>
    <row r="25979">
      <c r="L25979" s="13"/>
      <c r="M25979" s="14"/>
      <c r="N25979" s="14"/>
      <c r="O25979" s="14"/>
      <c r="P25979" s="13"/>
    </row>
    <row r="25980">
      <c r="L25980" s="13"/>
      <c r="M25980" s="14"/>
      <c r="N25980" s="14"/>
      <c r="O25980" s="14"/>
      <c r="P25980" s="13"/>
    </row>
    <row r="25981">
      <c r="L25981" s="13"/>
      <c r="M25981" s="14"/>
      <c r="N25981" s="14"/>
      <c r="O25981" s="14"/>
      <c r="P25981" s="13"/>
    </row>
    <row r="25982">
      <c r="L25982" s="13"/>
      <c r="M25982" s="14"/>
      <c r="N25982" s="14"/>
      <c r="O25982" s="14"/>
      <c r="P25982" s="13"/>
    </row>
    <row r="25983">
      <c r="L25983" s="13"/>
      <c r="M25983" s="14"/>
      <c r="N25983" s="14"/>
      <c r="O25983" s="14"/>
      <c r="P25983" s="13"/>
    </row>
    <row r="25984">
      <c r="L25984" s="13"/>
      <c r="M25984" s="14"/>
      <c r="N25984" s="14"/>
      <c r="O25984" s="14"/>
      <c r="P25984" s="13"/>
    </row>
    <row r="25985">
      <c r="L25985" s="13"/>
      <c r="M25985" s="14"/>
      <c r="N25985" s="14"/>
      <c r="O25985" s="14"/>
      <c r="P25985" s="13"/>
    </row>
    <row r="25986">
      <c r="L25986" s="13"/>
      <c r="M25986" s="14"/>
      <c r="N25986" s="14"/>
      <c r="O25986" s="14"/>
      <c r="P25986" s="13"/>
    </row>
    <row r="25987">
      <c r="L25987" s="13"/>
      <c r="M25987" s="14"/>
      <c r="N25987" s="14"/>
      <c r="O25987" s="14"/>
      <c r="P25987" s="13"/>
    </row>
    <row r="25988">
      <c r="L25988" s="13"/>
      <c r="M25988" s="14"/>
      <c r="N25988" s="14"/>
      <c r="O25988" s="14"/>
      <c r="P25988" s="13"/>
    </row>
    <row r="25989">
      <c r="L25989" s="13"/>
      <c r="M25989" s="14"/>
      <c r="N25989" s="14"/>
      <c r="O25989" s="14"/>
      <c r="P25989" s="13"/>
    </row>
    <row r="25990">
      <c r="L25990" s="13"/>
      <c r="M25990" s="14"/>
      <c r="N25990" s="14"/>
      <c r="O25990" s="14"/>
      <c r="P25990" s="13"/>
    </row>
    <row r="25991">
      <c r="L25991" s="13"/>
      <c r="M25991" s="14"/>
      <c r="N25991" s="14"/>
      <c r="O25991" s="14"/>
      <c r="P25991" s="13"/>
    </row>
    <row r="25992">
      <c r="L25992" s="13"/>
      <c r="M25992" s="14"/>
      <c r="N25992" s="14"/>
      <c r="O25992" s="14"/>
      <c r="P25992" s="13"/>
    </row>
    <row r="25993">
      <c r="L25993" s="13"/>
      <c r="M25993" s="14"/>
      <c r="N25993" s="14"/>
      <c r="O25993" s="14"/>
      <c r="P25993" s="13"/>
    </row>
    <row r="25994">
      <c r="L25994" s="13"/>
      <c r="M25994" s="14"/>
      <c r="N25994" s="14"/>
      <c r="O25994" s="14"/>
      <c r="P25994" s="13"/>
    </row>
    <row r="25995">
      <c r="L25995" s="13"/>
      <c r="M25995" s="14"/>
      <c r="N25995" s="14"/>
      <c r="O25995" s="14"/>
      <c r="P25995" s="13"/>
    </row>
    <row r="25996">
      <c r="L25996" s="13"/>
      <c r="M25996" s="14"/>
      <c r="N25996" s="14"/>
      <c r="O25996" s="14"/>
      <c r="P25996" s="13"/>
    </row>
    <row r="25997">
      <c r="L25997" s="13"/>
      <c r="M25997" s="14"/>
      <c r="N25997" s="14"/>
      <c r="O25997" s="14"/>
      <c r="P25997" s="13"/>
    </row>
    <row r="25998">
      <c r="L25998" s="13"/>
      <c r="M25998" s="14"/>
      <c r="N25998" s="14"/>
      <c r="O25998" s="14"/>
      <c r="P25998" s="13"/>
    </row>
    <row r="25999">
      <c r="L25999" s="13"/>
      <c r="M25999" s="14"/>
      <c r="N25999" s="14"/>
      <c r="O25999" s="14"/>
      <c r="P25999" s="13"/>
    </row>
    <row r="26000">
      <c r="L26000" s="13"/>
      <c r="M26000" s="14"/>
      <c r="N26000" s="14"/>
      <c r="O26000" s="14"/>
      <c r="P26000" s="13"/>
    </row>
    <row r="26001">
      <c r="L26001" s="13"/>
      <c r="M26001" s="14"/>
      <c r="N26001" s="14"/>
      <c r="O26001" s="14"/>
      <c r="P26001" s="13"/>
    </row>
    <row r="26002">
      <c r="L26002" s="13"/>
      <c r="M26002" s="14"/>
      <c r="N26002" s="14"/>
      <c r="O26002" s="14"/>
      <c r="P26002" s="13"/>
    </row>
    <row r="26003">
      <c r="L26003" s="13"/>
      <c r="M26003" s="14"/>
      <c r="N26003" s="14"/>
      <c r="O26003" s="14"/>
      <c r="P26003" s="13"/>
    </row>
    <row r="26004">
      <c r="L26004" s="13"/>
      <c r="M26004" s="14"/>
      <c r="N26004" s="14"/>
      <c r="O26004" s="14"/>
      <c r="P26004" s="13"/>
    </row>
    <row r="26005">
      <c r="L26005" s="13"/>
      <c r="M26005" s="14"/>
      <c r="N26005" s="14"/>
      <c r="O26005" s="14"/>
      <c r="P26005" s="13"/>
    </row>
    <row r="26006">
      <c r="L26006" s="13"/>
      <c r="M26006" s="14"/>
      <c r="N26006" s="14"/>
      <c r="O26006" s="14"/>
      <c r="P26006" s="13"/>
    </row>
    <row r="26007">
      <c r="L26007" s="13"/>
      <c r="M26007" s="14"/>
      <c r="N26007" s="14"/>
      <c r="O26007" s="14"/>
      <c r="P26007" s="13"/>
    </row>
    <row r="26008">
      <c r="L26008" s="13"/>
      <c r="M26008" s="14"/>
      <c r="N26008" s="14"/>
      <c r="O26008" s="14"/>
      <c r="P26008" s="13"/>
    </row>
    <row r="26009">
      <c r="L26009" s="13"/>
      <c r="M26009" s="14"/>
      <c r="N26009" s="14"/>
      <c r="O26009" s="14"/>
      <c r="P26009" s="13"/>
    </row>
    <row r="26010">
      <c r="L26010" s="13"/>
      <c r="M26010" s="14"/>
      <c r="N26010" s="14"/>
      <c r="O26010" s="14"/>
      <c r="P26010" s="13"/>
    </row>
    <row r="26011">
      <c r="L26011" s="13"/>
      <c r="M26011" s="14"/>
      <c r="N26011" s="14"/>
      <c r="O26011" s="14"/>
      <c r="P26011" s="13"/>
    </row>
    <row r="26012">
      <c r="L26012" s="13"/>
      <c r="M26012" s="14"/>
      <c r="N26012" s="14"/>
      <c r="O26012" s="14"/>
      <c r="P26012" s="13"/>
    </row>
    <row r="26013">
      <c r="L26013" s="13"/>
      <c r="M26013" s="14"/>
      <c r="N26013" s="14"/>
      <c r="O26013" s="14"/>
      <c r="P26013" s="13"/>
    </row>
    <row r="26014">
      <c r="L26014" s="13"/>
      <c r="M26014" s="14"/>
      <c r="N26014" s="14"/>
      <c r="O26014" s="14"/>
      <c r="P26014" s="13"/>
    </row>
    <row r="26015">
      <c r="L26015" s="13"/>
      <c r="M26015" s="14"/>
      <c r="N26015" s="14"/>
      <c r="O26015" s="14"/>
      <c r="P26015" s="13"/>
    </row>
    <row r="26016">
      <c r="L26016" s="13"/>
      <c r="M26016" s="14"/>
      <c r="N26016" s="14"/>
      <c r="O26016" s="14"/>
      <c r="P26016" s="13"/>
    </row>
    <row r="26017">
      <c r="L26017" s="13"/>
      <c r="M26017" s="14"/>
      <c r="N26017" s="14"/>
      <c r="O26017" s="14"/>
      <c r="P26017" s="13"/>
    </row>
    <row r="26018">
      <c r="L26018" s="13"/>
      <c r="M26018" s="14"/>
      <c r="N26018" s="14"/>
      <c r="O26018" s="14"/>
      <c r="P26018" s="13"/>
    </row>
    <row r="26019">
      <c r="L26019" s="13"/>
      <c r="M26019" s="14"/>
      <c r="N26019" s="14"/>
      <c r="O26019" s="14"/>
      <c r="P26019" s="13"/>
    </row>
    <row r="26020">
      <c r="L26020" s="13"/>
      <c r="M26020" s="14"/>
      <c r="N26020" s="14"/>
      <c r="O26020" s="14"/>
      <c r="P26020" s="13"/>
    </row>
    <row r="26021">
      <c r="L26021" s="13"/>
      <c r="M26021" s="14"/>
      <c r="N26021" s="14"/>
      <c r="O26021" s="14"/>
      <c r="P26021" s="13"/>
    </row>
    <row r="26022">
      <c r="L26022" s="13"/>
      <c r="M26022" s="14"/>
      <c r="N26022" s="14"/>
      <c r="O26022" s="14"/>
      <c r="P26022" s="13"/>
    </row>
    <row r="26023">
      <c r="L26023" s="13"/>
      <c r="M26023" s="14"/>
      <c r="N26023" s="14"/>
      <c r="O26023" s="14"/>
      <c r="P26023" s="13"/>
    </row>
    <row r="26024">
      <c r="L26024" s="13"/>
      <c r="M26024" s="14"/>
      <c r="N26024" s="14"/>
      <c r="O26024" s="14"/>
      <c r="P26024" s="13"/>
    </row>
    <row r="26025">
      <c r="L26025" s="13"/>
      <c r="M26025" s="14"/>
      <c r="N26025" s="14"/>
      <c r="O26025" s="14"/>
      <c r="P26025" s="13"/>
    </row>
    <row r="26026">
      <c r="L26026" s="13"/>
      <c r="M26026" s="14"/>
      <c r="N26026" s="14"/>
      <c r="O26026" s="14"/>
      <c r="P26026" s="13"/>
    </row>
    <row r="26027">
      <c r="L26027" s="13"/>
      <c r="M26027" s="14"/>
      <c r="N26027" s="14"/>
      <c r="O26027" s="14"/>
      <c r="P26027" s="13"/>
    </row>
    <row r="26028">
      <c r="L26028" s="13"/>
      <c r="M26028" s="14"/>
      <c r="N26028" s="14"/>
      <c r="O26028" s="14"/>
      <c r="P26028" s="13"/>
    </row>
    <row r="26029">
      <c r="L26029" s="13"/>
      <c r="M26029" s="14"/>
      <c r="N26029" s="14"/>
      <c r="O26029" s="14"/>
      <c r="P26029" s="13"/>
    </row>
    <row r="26030">
      <c r="L26030" s="13"/>
      <c r="M26030" s="14"/>
      <c r="N26030" s="14"/>
      <c r="O26030" s="14"/>
      <c r="P26030" s="13"/>
    </row>
    <row r="26031">
      <c r="L26031" s="13"/>
      <c r="M26031" s="14"/>
      <c r="N26031" s="14"/>
      <c r="O26031" s="14"/>
      <c r="P26031" s="13"/>
    </row>
    <row r="26032">
      <c r="L26032" s="13"/>
      <c r="M26032" s="14"/>
      <c r="N26032" s="14"/>
      <c r="O26032" s="14"/>
      <c r="P26032" s="13"/>
    </row>
    <row r="26033">
      <c r="L26033" s="13"/>
      <c r="M26033" s="14"/>
      <c r="N26033" s="14"/>
      <c r="O26033" s="14"/>
      <c r="P26033" s="13"/>
    </row>
    <row r="26034">
      <c r="L26034" s="13"/>
      <c r="M26034" s="14"/>
      <c r="N26034" s="14"/>
      <c r="O26034" s="14"/>
      <c r="P26034" s="13"/>
    </row>
    <row r="26035">
      <c r="L26035" s="13"/>
      <c r="M26035" s="14"/>
      <c r="N26035" s="14"/>
      <c r="O26035" s="14"/>
      <c r="P26035" s="13"/>
    </row>
    <row r="26036">
      <c r="L26036" s="13"/>
      <c r="M26036" s="14"/>
      <c r="N26036" s="14"/>
      <c r="O26036" s="14"/>
      <c r="P26036" s="13"/>
    </row>
    <row r="26037">
      <c r="L26037" s="13"/>
      <c r="M26037" s="14"/>
      <c r="N26037" s="14"/>
      <c r="O26037" s="14"/>
      <c r="P26037" s="13"/>
    </row>
    <row r="26038">
      <c r="L26038" s="13"/>
      <c r="M26038" s="14"/>
      <c r="N26038" s="14"/>
      <c r="O26038" s="14"/>
      <c r="P26038" s="13"/>
    </row>
    <row r="26039">
      <c r="L26039" s="13"/>
      <c r="M26039" s="14"/>
      <c r="N26039" s="14"/>
      <c r="O26039" s="14"/>
      <c r="P26039" s="13"/>
    </row>
    <row r="26040">
      <c r="L26040" s="13"/>
      <c r="M26040" s="14"/>
      <c r="N26040" s="14"/>
      <c r="O26040" s="14"/>
      <c r="P26040" s="13"/>
    </row>
    <row r="26041">
      <c r="L26041" s="13"/>
      <c r="M26041" s="14"/>
      <c r="N26041" s="14"/>
      <c r="O26041" s="14"/>
      <c r="P26041" s="13"/>
    </row>
    <row r="26042">
      <c r="L26042" s="13"/>
      <c r="M26042" s="14"/>
      <c r="N26042" s="14"/>
      <c r="O26042" s="14"/>
      <c r="P26042" s="13"/>
    </row>
    <row r="26043">
      <c r="L26043" s="13"/>
      <c r="M26043" s="14"/>
      <c r="N26043" s="14"/>
      <c r="O26043" s="14"/>
      <c r="P26043" s="13"/>
    </row>
    <row r="26044">
      <c r="L26044" s="13"/>
      <c r="M26044" s="14"/>
      <c r="N26044" s="14"/>
      <c r="O26044" s="14"/>
      <c r="P26044" s="13"/>
    </row>
    <row r="26045">
      <c r="L26045" s="13"/>
      <c r="M26045" s="14"/>
      <c r="N26045" s="14"/>
      <c r="O26045" s="14"/>
      <c r="P26045" s="13"/>
    </row>
    <row r="26046">
      <c r="L26046" s="13"/>
      <c r="M26046" s="14"/>
      <c r="N26046" s="14"/>
      <c r="O26046" s="14"/>
      <c r="P26046" s="13"/>
    </row>
    <row r="26047">
      <c r="L26047" s="13"/>
      <c r="M26047" s="14"/>
      <c r="N26047" s="14"/>
      <c r="O26047" s="14"/>
      <c r="P26047" s="13"/>
    </row>
    <row r="26048">
      <c r="L26048" s="13"/>
      <c r="M26048" s="14"/>
      <c r="N26048" s="14"/>
      <c r="O26048" s="14"/>
      <c r="P26048" s="13"/>
    </row>
    <row r="26049">
      <c r="L26049" s="13"/>
      <c r="M26049" s="14"/>
      <c r="N26049" s="14"/>
      <c r="O26049" s="14"/>
      <c r="P26049" s="13"/>
    </row>
    <row r="26050">
      <c r="L26050" s="13"/>
      <c r="M26050" s="14"/>
      <c r="N26050" s="14"/>
      <c r="O26050" s="14"/>
      <c r="P26050" s="13"/>
    </row>
    <row r="26051">
      <c r="L26051" s="13"/>
      <c r="M26051" s="14"/>
      <c r="N26051" s="14"/>
      <c r="O26051" s="14"/>
      <c r="P26051" s="13"/>
    </row>
    <row r="26052">
      <c r="L26052" s="13"/>
      <c r="M26052" s="14"/>
      <c r="N26052" s="14"/>
      <c r="O26052" s="14"/>
      <c r="P26052" s="13"/>
    </row>
    <row r="26053">
      <c r="L26053" s="13"/>
      <c r="M26053" s="14"/>
      <c r="N26053" s="14"/>
      <c r="O26053" s="14"/>
      <c r="P26053" s="13"/>
    </row>
    <row r="26054">
      <c r="L26054" s="13"/>
      <c r="M26054" s="14"/>
      <c r="N26054" s="14"/>
      <c r="O26054" s="14"/>
      <c r="P26054" s="13"/>
    </row>
    <row r="26055">
      <c r="L26055" s="13"/>
      <c r="M26055" s="14"/>
      <c r="N26055" s="14"/>
      <c r="O26055" s="14"/>
      <c r="P26055" s="13"/>
    </row>
    <row r="26056">
      <c r="L26056" s="13"/>
      <c r="M26056" s="14"/>
      <c r="N26056" s="14"/>
      <c r="O26056" s="14"/>
      <c r="P26056" s="13"/>
    </row>
    <row r="26057">
      <c r="L26057" s="13"/>
      <c r="M26057" s="14"/>
      <c r="N26057" s="14"/>
      <c r="O26057" s="14"/>
      <c r="P26057" s="13"/>
    </row>
    <row r="26058">
      <c r="L26058" s="13"/>
      <c r="M26058" s="14"/>
      <c r="N26058" s="14"/>
      <c r="O26058" s="14"/>
      <c r="P26058" s="13"/>
    </row>
    <row r="26059">
      <c r="L26059" s="13"/>
      <c r="M26059" s="14"/>
      <c r="N26059" s="14"/>
      <c r="O26059" s="14"/>
      <c r="P26059" s="13"/>
    </row>
    <row r="26060">
      <c r="L26060" s="13"/>
      <c r="M26060" s="14"/>
      <c r="N26060" s="14"/>
      <c r="O26060" s="14"/>
      <c r="P26060" s="13"/>
    </row>
    <row r="26061">
      <c r="L26061" s="13"/>
      <c r="M26061" s="14"/>
      <c r="N26061" s="14"/>
      <c r="O26061" s="14"/>
      <c r="P26061" s="13"/>
    </row>
    <row r="26062">
      <c r="L26062" s="13"/>
      <c r="M26062" s="14"/>
      <c r="N26062" s="14"/>
      <c r="O26062" s="14"/>
      <c r="P26062" s="13"/>
    </row>
    <row r="26063">
      <c r="L26063" s="13"/>
      <c r="M26063" s="14"/>
      <c r="N26063" s="14"/>
      <c r="O26063" s="14"/>
      <c r="P26063" s="13"/>
    </row>
    <row r="26064">
      <c r="L26064" s="13"/>
      <c r="M26064" s="14"/>
      <c r="N26064" s="14"/>
      <c r="O26064" s="14"/>
      <c r="P26064" s="13"/>
    </row>
    <row r="26065">
      <c r="L26065" s="13"/>
      <c r="M26065" s="14"/>
      <c r="N26065" s="14"/>
      <c r="O26065" s="14"/>
      <c r="P26065" s="13"/>
    </row>
    <row r="26066">
      <c r="L26066" s="13"/>
      <c r="M26066" s="14"/>
      <c r="N26066" s="14"/>
      <c r="O26066" s="14"/>
      <c r="P26066" s="13"/>
    </row>
    <row r="26067">
      <c r="L26067" s="13"/>
      <c r="M26067" s="14"/>
      <c r="N26067" s="14"/>
      <c r="O26067" s="14"/>
      <c r="P26067" s="13"/>
    </row>
    <row r="26068">
      <c r="L26068" s="13"/>
      <c r="M26068" s="14"/>
      <c r="N26068" s="14"/>
      <c r="O26068" s="14"/>
      <c r="P26068" s="13"/>
    </row>
    <row r="26069">
      <c r="L26069" s="13"/>
      <c r="M26069" s="14"/>
      <c r="N26069" s="14"/>
      <c r="O26069" s="14"/>
      <c r="P26069" s="13"/>
    </row>
    <row r="26070">
      <c r="L26070" s="13"/>
      <c r="M26070" s="14"/>
      <c r="N26070" s="14"/>
      <c r="O26070" s="14"/>
      <c r="P26070" s="13"/>
    </row>
    <row r="26071">
      <c r="L26071" s="13"/>
      <c r="M26071" s="14"/>
      <c r="N26071" s="14"/>
      <c r="O26071" s="14"/>
      <c r="P26071" s="13"/>
    </row>
    <row r="26072">
      <c r="L26072" s="13"/>
      <c r="M26072" s="14"/>
      <c r="N26072" s="14"/>
      <c r="O26072" s="14"/>
      <c r="P26072" s="13"/>
    </row>
    <row r="26073">
      <c r="L26073" s="13"/>
      <c r="M26073" s="14"/>
      <c r="N26073" s="14"/>
      <c r="O26073" s="14"/>
      <c r="P26073" s="13"/>
    </row>
    <row r="26074">
      <c r="L26074" s="13"/>
      <c r="M26074" s="14"/>
      <c r="N26074" s="14"/>
      <c r="O26074" s="14"/>
      <c r="P26074" s="13"/>
    </row>
    <row r="26075">
      <c r="L26075" s="13"/>
      <c r="M26075" s="14"/>
      <c r="N26075" s="14"/>
      <c r="O26075" s="14"/>
      <c r="P26075" s="13"/>
    </row>
    <row r="26076">
      <c r="L26076" s="13"/>
      <c r="M26076" s="14"/>
      <c r="N26076" s="14"/>
      <c r="O26076" s="14"/>
      <c r="P26076" s="13"/>
    </row>
    <row r="26077">
      <c r="L26077" s="13"/>
      <c r="M26077" s="14"/>
      <c r="N26077" s="14"/>
      <c r="O26077" s="14"/>
      <c r="P26077" s="13"/>
    </row>
    <row r="26078">
      <c r="L26078" s="13"/>
      <c r="M26078" s="14"/>
      <c r="N26078" s="14"/>
      <c r="O26078" s="14"/>
      <c r="P26078" s="13"/>
    </row>
    <row r="26079">
      <c r="L26079" s="13"/>
      <c r="M26079" s="14"/>
      <c r="N26079" s="14"/>
      <c r="O26079" s="14"/>
      <c r="P26079" s="13"/>
    </row>
    <row r="26080">
      <c r="L26080" s="13"/>
      <c r="M26080" s="14"/>
      <c r="N26080" s="14"/>
      <c r="O26080" s="14"/>
      <c r="P26080" s="13"/>
    </row>
    <row r="26081">
      <c r="L26081" s="13"/>
      <c r="M26081" s="14"/>
      <c r="N26081" s="14"/>
      <c r="O26081" s="14"/>
      <c r="P26081" s="13"/>
    </row>
    <row r="26082">
      <c r="L26082" s="13"/>
      <c r="M26082" s="14"/>
      <c r="N26082" s="14"/>
      <c r="O26082" s="14"/>
      <c r="P26082" s="13"/>
    </row>
    <row r="26083">
      <c r="L26083" s="13"/>
      <c r="M26083" s="14"/>
      <c r="N26083" s="14"/>
      <c r="O26083" s="14"/>
      <c r="P26083" s="13"/>
    </row>
    <row r="26084">
      <c r="L26084" s="13"/>
      <c r="M26084" s="14"/>
      <c r="N26084" s="14"/>
      <c r="O26084" s="14"/>
      <c r="P26084" s="13"/>
    </row>
    <row r="26085">
      <c r="L26085" s="13"/>
      <c r="M26085" s="14"/>
      <c r="N26085" s="14"/>
      <c r="O26085" s="14"/>
      <c r="P26085" s="13"/>
    </row>
    <row r="26086">
      <c r="L26086" s="13"/>
      <c r="M26086" s="14"/>
      <c r="N26086" s="14"/>
      <c r="O26086" s="14"/>
      <c r="P26086" s="13"/>
    </row>
    <row r="26087">
      <c r="L26087" s="13"/>
      <c r="M26087" s="14"/>
      <c r="N26087" s="14"/>
      <c r="O26087" s="14"/>
      <c r="P26087" s="13"/>
    </row>
    <row r="26088">
      <c r="L26088" s="13"/>
      <c r="M26088" s="14"/>
      <c r="N26088" s="14"/>
      <c r="O26088" s="14"/>
      <c r="P26088" s="13"/>
    </row>
    <row r="26089">
      <c r="L26089" s="13"/>
      <c r="M26089" s="14"/>
      <c r="N26089" s="14"/>
      <c r="O26089" s="14"/>
      <c r="P26089" s="13"/>
    </row>
    <row r="26090">
      <c r="L26090" s="13"/>
      <c r="M26090" s="14"/>
      <c r="N26090" s="14"/>
      <c r="O26090" s="14"/>
      <c r="P26090" s="13"/>
    </row>
    <row r="26091">
      <c r="L26091" s="13"/>
      <c r="M26091" s="14"/>
      <c r="N26091" s="14"/>
      <c r="O26091" s="14"/>
      <c r="P26091" s="13"/>
    </row>
    <row r="26092">
      <c r="L26092" s="13"/>
      <c r="M26092" s="14"/>
      <c r="N26092" s="14"/>
      <c r="O26092" s="14"/>
      <c r="P26092" s="13"/>
    </row>
    <row r="26093">
      <c r="L26093" s="13"/>
      <c r="M26093" s="14"/>
      <c r="N26093" s="14"/>
      <c r="O26093" s="14"/>
      <c r="P26093" s="13"/>
    </row>
    <row r="26094">
      <c r="L26094" s="13"/>
      <c r="M26094" s="14"/>
      <c r="N26094" s="14"/>
      <c r="O26094" s="14"/>
      <c r="P26094" s="13"/>
    </row>
    <row r="26095">
      <c r="L26095" s="13"/>
      <c r="M26095" s="14"/>
      <c r="N26095" s="14"/>
      <c r="O26095" s="14"/>
      <c r="P26095" s="13"/>
    </row>
    <row r="26096">
      <c r="L26096" s="13"/>
      <c r="M26096" s="14"/>
      <c r="N26096" s="14"/>
      <c r="O26096" s="14"/>
      <c r="P26096" s="13"/>
    </row>
    <row r="26097">
      <c r="L26097" s="13"/>
      <c r="M26097" s="14"/>
      <c r="N26097" s="14"/>
      <c r="O26097" s="14"/>
      <c r="P26097" s="13"/>
    </row>
    <row r="26098">
      <c r="L26098" s="13"/>
      <c r="M26098" s="14"/>
      <c r="N26098" s="14"/>
      <c r="O26098" s="14"/>
      <c r="P26098" s="13"/>
    </row>
    <row r="26099">
      <c r="L26099" s="13"/>
      <c r="M26099" s="14"/>
      <c r="N26099" s="14"/>
      <c r="O26099" s="14"/>
      <c r="P26099" s="13"/>
    </row>
    <row r="26100">
      <c r="L26100" s="13"/>
      <c r="M26100" s="14"/>
      <c r="N26100" s="14"/>
      <c r="O26100" s="14"/>
      <c r="P26100" s="13"/>
    </row>
    <row r="26101">
      <c r="L26101" s="13"/>
      <c r="M26101" s="14"/>
      <c r="N26101" s="14"/>
      <c r="O26101" s="14"/>
      <c r="P26101" s="13"/>
    </row>
    <row r="26102">
      <c r="L26102" s="13"/>
      <c r="M26102" s="14"/>
      <c r="N26102" s="14"/>
      <c r="O26102" s="14"/>
      <c r="P26102" s="13"/>
    </row>
    <row r="26103">
      <c r="L26103" s="13"/>
      <c r="M26103" s="14"/>
      <c r="N26103" s="14"/>
      <c r="O26103" s="14"/>
      <c r="P26103" s="13"/>
    </row>
    <row r="26104">
      <c r="L26104" s="13"/>
      <c r="M26104" s="14"/>
      <c r="N26104" s="14"/>
      <c r="O26104" s="14"/>
      <c r="P26104" s="13"/>
    </row>
    <row r="26105">
      <c r="L26105" s="13"/>
      <c r="M26105" s="14"/>
      <c r="N26105" s="14"/>
      <c r="O26105" s="14"/>
      <c r="P26105" s="13"/>
    </row>
    <row r="26106">
      <c r="L26106" s="13"/>
      <c r="M26106" s="14"/>
      <c r="N26106" s="14"/>
      <c r="O26106" s="14"/>
      <c r="P26106" s="13"/>
    </row>
    <row r="26107">
      <c r="L26107" s="13"/>
      <c r="M26107" s="14"/>
      <c r="N26107" s="14"/>
      <c r="O26107" s="14"/>
      <c r="P26107" s="13"/>
    </row>
    <row r="26108">
      <c r="L26108" s="13"/>
      <c r="M26108" s="14"/>
      <c r="N26108" s="14"/>
      <c r="O26108" s="14"/>
      <c r="P26108" s="13"/>
    </row>
    <row r="26109">
      <c r="L26109" s="13"/>
      <c r="M26109" s="14"/>
      <c r="N26109" s="14"/>
      <c r="O26109" s="14"/>
      <c r="P26109" s="13"/>
    </row>
    <row r="26110">
      <c r="L26110" s="13"/>
      <c r="M26110" s="14"/>
      <c r="N26110" s="14"/>
      <c r="O26110" s="14"/>
      <c r="P26110" s="13"/>
    </row>
    <row r="26111">
      <c r="L26111" s="13"/>
      <c r="M26111" s="14"/>
      <c r="N26111" s="14"/>
      <c r="O26111" s="14"/>
      <c r="P26111" s="13"/>
    </row>
    <row r="26112">
      <c r="L26112" s="13"/>
      <c r="M26112" s="14"/>
      <c r="N26112" s="14"/>
      <c r="O26112" s="14"/>
      <c r="P26112" s="13"/>
    </row>
    <row r="26113">
      <c r="L26113" s="13"/>
      <c r="M26113" s="14"/>
      <c r="N26113" s="14"/>
      <c r="O26113" s="14"/>
      <c r="P26113" s="13"/>
    </row>
    <row r="26114">
      <c r="L26114" s="13"/>
      <c r="M26114" s="14"/>
      <c r="N26114" s="14"/>
      <c r="O26114" s="14"/>
      <c r="P26114" s="13"/>
    </row>
    <row r="26115">
      <c r="L26115" s="13"/>
      <c r="M26115" s="14"/>
      <c r="N26115" s="14"/>
      <c r="O26115" s="14"/>
      <c r="P26115" s="13"/>
    </row>
    <row r="26116">
      <c r="L26116" s="13"/>
      <c r="M26116" s="14"/>
      <c r="N26116" s="14"/>
      <c r="O26116" s="14"/>
      <c r="P26116" s="13"/>
    </row>
    <row r="26117">
      <c r="L26117" s="13"/>
      <c r="M26117" s="14"/>
      <c r="N26117" s="14"/>
      <c r="O26117" s="14"/>
      <c r="P26117" s="13"/>
    </row>
    <row r="26118">
      <c r="L26118" s="13"/>
      <c r="M26118" s="14"/>
      <c r="N26118" s="14"/>
      <c r="O26118" s="14"/>
      <c r="P26118" s="13"/>
    </row>
    <row r="26119">
      <c r="L26119" s="13"/>
      <c r="M26119" s="14"/>
      <c r="N26119" s="14"/>
      <c r="O26119" s="14"/>
      <c r="P26119" s="13"/>
    </row>
    <row r="26120">
      <c r="L26120" s="13"/>
      <c r="M26120" s="14"/>
      <c r="N26120" s="14"/>
      <c r="O26120" s="14"/>
      <c r="P26120" s="13"/>
    </row>
    <row r="26121">
      <c r="L26121" s="13"/>
      <c r="M26121" s="14"/>
      <c r="N26121" s="14"/>
      <c r="O26121" s="14"/>
      <c r="P26121" s="13"/>
    </row>
    <row r="26122">
      <c r="L26122" s="13"/>
      <c r="M26122" s="14"/>
      <c r="N26122" s="14"/>
      <c r="O26122" s="14"/>
      <c r="P26122" s="13"/>
    </row>
    <row r="26123">
      <c r="L26123" s="13"/>
      <c r="M26123" s="14"/>
      <c r="N26123" s="14"/>
      <c r="O26123" s="14"/>
      <c r="P26123" s="13"/>
    </row>
    <row r="26124">
      <c r="L26124" s="13"/>
      <c r="M26124" s="14"/>
      <c r="N26124" s="14"/>
      <c r="O26124" s="14"/>
      <c r="P26124" s="13"/>
    </row>
    <row r="26125">
      <c r="L26125" s="13"/>
      <c r="M26125" s="14"/>
      <c r="N26125" s="14"/>
      <c r="O26125" s="14"/>
      <c r="P26125" s="13"/>
    </row>
    <row r="26126">
      <c r="L26126" s="13"/>
      <c r="M26126" s="14"/>
      <c r="N26126" s="14"/>
      <c r="O26126" s="14"/>
      <c r="P26126" s="13"/>
    </row>
    <row r="26127">
      <c r="L26127" s="13"/>
      <c r="M26127" s="14"/>
      <c r="N26127" s="14"/>
      <c r="O26127" s="14"/>
      <c r="P26127" s="13"/>
    </row>
    <row r="26128">
      <c r="L26128" s="13"/>
      <c r="M26128" s="14"/>
      <c r="N26128" s="14"/>
      <c r="O26128" s="14"/>
      <c r="P26128" s="13"/>
    </row>
    <row r="26129">
      <c r="L26129" s="13"/>
      <c r="M26129" s="14"/>
      <c r="N26129" s="14"/>
      <c r="O26129" s="14"/>
      <c r="P26129" s="13"/>
    </row>
    <row r="26130">
      <c r="L26130" s="13"/>
      <c r="M26130" s="14"/>
      <c r="N26130" s="14"/>
      <c r="O26130" s="14"/>
      <c r="P26130" s="13"/>
    </row>
    <row r="26131">
      <c r="L26131" s="13"/>
      <c r="M26131" s="14"/>
      <c r="N26131" s="14"/>
      <c r="O26131" s="14"/>
      <c r="P26131" s="13"/>
    </row>
    <row r="26132">
      <c r="L26132" s="13"/>
      <c r="M26132" s="14"/>
      <c r="N26132" s="14"/>
      <c r="O26132" s="14"/>
      <c r="P26132" s="13"/>
    </row>
    <row r="26133">
      <c r="L26133" s="13"/>
      <c r="M26133" s="14"/>
      <c r="N26133" s="14"/>
      <c r="O26133" s="14"/>
      <c r="P26133" s="13"/>
    </row>
    <row r="26134">
      <c r="L26134" s="13"/>
      <c r="M26134" s="14"/>
      <c r="N26134" s="14"/>
      <c r="O26134" s="14"/>
      <c r="P26134" s="13"/>
    </row>
    <row r="26135">
      <c r="L26135" s="13"/>
      <c r="M26135" s="14"/>
      <c r="N26135" s="14"/>
      <c r="O26135" s="14"/>
      <c r="P26135" s="13"/>
    </row>
    <row r="26136">
      <c r="L26136" s="13"/>
      <c r="M26136" s="14"/>
      <c r="N26136" s="14"/>
      <c r="O26136" s="14"/>
      <c r="P26136" s="13"/>
    </row>
    <row r="26137">
      <c r="L26137" s="13"/>
      <c r="M26137" s="14"/>
      <c r="N26137" s="14"/>
      <c r="O26137" s="14"/>
      <c r="P26137" s="13"/>
    </row>
    <row r="26138">
      <c r="L26138" s="13"/>
      <c r="M26138" s="14"/>
      <c r="N26138" s="14"/>
      <c r="O26138" s="14"/>
      <c r="P26138" s="13"/>
    </row>
    <row r="26139">
      <c r="L26139" s="13"/>
      <c r="M26139" s="14"/>
      <c r="N26139" s="14"/>
      <c r="O26139" s="14"/>
      <c r="P26139" s="13"/>
    </row>
    <row r="26140">
      <c r="L26140" s="13"/>
      <c r="M26140" s="14"/>
      <c r="N26140" s="14"/>
      <c r="O26140" s="14"/>
      <c r="P26140" s="13"/>
    </row>
    <row r="26141">
      <c r="L26141" s="13"/>
      <c r="M26141" s="14"/>
      <c r="N26141" s="14"/>
      <c r="O26141" s="14"/>
      <c r="P26141" s="13"/>
    </row>
    <row r="26142">
      <c r="L26142" s="13"/>
      <c r="M26142" s="14"/>
      <c r="N26142" s="14"/>
      <c r="O26142" s="14"/>
      <c r="P26142" s="13"/>
    </row>
    <row r="26143">
      <c r="L26143" s="13"/>
      <c r="M26143" s="14"/>
      <c r="N26143" s="14"/>
      <c r="O26143" s="14"/>
      <c r="P26143" s="13"/>
    </row>
    <row r="26144">
      <c r="L26144" s="13"/>
      <c r="M26144" s="14"/>
      <c r="N26144" s="14"/>
      <c r="O26144" s="14"/>
      <c r="P26144" s="13"/>
    </row>
    <row r="26145">
      <c r="L26145" s="13"/>
      <c r="M26145" s="14"/>
      <c r="N26145" s="14"/>
      <c r="O26145" s="14"/>
      <c r="P26145" s="13"/>
    </row>
    <row r="26146">
      <c r="L26146" s="13"/>
      <c r="M26146" s="14"/>
      <c r="N26146" s="14"/>
      <c r="O26146" s="14"/>
      <c r="P26146" s="13"/>
    </row>
    <row r="26147">
      <c r="L26147" s="13"/>
      <c r="M26147" s="14"/>
      <c r="N26147" s="14"/>
      <c r="O26147" s="14"/>
      <c r="P26147" s="13"/>
    </row>
    <row r="26148">
      <c r="L26148" s="13"/>
      <c r="M26148" s="14"/>
      <c r="N26148" s="14"/>
      <c r="O26148" s="14"/>
      <c r="P26148" s="13"/>
    </row>
    <row r="26149">
      <c r="L26149" s="13"/>
      <c r="M26149" s="14"/>
      <c r="N26149" s="14"/>
      <c r="O26149" s="14"/>
      <c r="P26149" s="13"/>
    </row>
    <row r="26150">
      <c r="L26150" s="13"/>
      <c r="M26150" s="14"/>
      <c r="N26150" s="14"/>
      <c r="O26150" s="14"/>
      <c r="P26150" s="13"/>
    </row>
    <row r="26151">
      <c r="L26151" s="13"/>
      <c r="M26151" s="14"/>
      <c r="N26151" s="14"/>
      <c r="O26151" s="14"/>
      <c r="P26151" s="13"/>
    </row>
    <row r="26152">
      <c r="L26152" s="13"/>
      <c r="M26152" s="14"/>
      <c r="N26152" s="14"/>
      <c r="O26152" s="14"/>
      <c r="P26152" s="13"/>
    </row>
    <row r="26153">
      <c r="L26153" s="13"/>
      <c r="M26153" s="14"/>
      <c r="N26153" s="14"/>
      <c r="O26153" s="14"/>
      <c r="P26153" s="13"/>
    </row>
    <row r="26154">
      <c r="L26154" s="13"/>
      <c r="M26154" s="14"/>
      <c r="N26154" s="14"/>
      <c r="O26154" s="14"/>
      <c r="P26154" s="13"/>
    </row>
    <row r="26155">
      <c r="L26155" s="13"/>
      <c r="M26155" s="14"/>
      <c r="N26155" s="14"/>
      <c r="O26155" s="14"/>
      <c r="P26155" s="13"/>
    </row>
    <row r="26156">
      <c r="L26156" s="13"/>
      <c r="M26156" s="14"/>
      <c r="N26156" s="14"/>
      <c r="O26156" s="14"/>
      <c r="P26156" s="13"/>
    </row>
    <row r="26157">
      <c r="L26157" s="13"/>
      <c r="M26157" s="14"/>
      <c r="N26157" s="14"/>
      <c r="O26157" s="14"/>
      <c r="P26157" s="13"/>
    </row>
    <row r="26158">
      <c r="L26158" s="13"/>
      <c r="M26158" s="14"/>
      <c r="N26158" s="14"/>
      <c r="O26158" s="14"/>
      <c r="P26158" s="13"/>
    </row>
    <row r="26159">
      <c r="L26159" s="13"/>
      <c r="M26159" s="14"/>
      <c r="N26159" s="14"/>
      <c r="O26159" s="14"/>
      <c r="P26159" s="13"/>
    </row>
    <row r="26160">
      <c r="L26160" s="13"/>
      <c r="M26160" s="14"/>
      <c r="N26160" s="14"/>
      <c r="O26160" s="14"/>
      <c r="P26160" s="13"/>
    </row>
    <row r="26161">
      <c r="L26161" s="13"/>
      <c r="M26161" s="14"/>
      <c r="N26161" s="14"/>
      <c r="O26161" s="14"/>
      <c r="P26161" s="13"/>
    </row>
    <row r="26162">
      <c r="L26162" s="13"/>
      <c r="M26162" s="14"/>
      <c r="N26162" s="14"/>
      <c r="O26162" s="14"/>
      <c r="P26162" s="13"/>
    </row>
    <row r="26163">
      <c r="L26163" s="13"/>
      <c r="M26163" s="14"/>
      <c r="N26163" s="14"/>
      <c r="O26163" s="14"/>
      <c r="P26163" s="13"/>
    </row>
    <row r="26164">
      <c r="L26164" s="13"/>
      <c r="M26164" s="14"/>
      <c r="N26164" s="14"/>
      <c r="O26164" s="14"/>
      <c r="P26164" s="13"/>
    </row>
    <row r="26165">
      <c r="L26165" s="13"/>
      <c r="M26165" s="14"/>
      <c r="N26165" s="14"/>
      <c r="O26165" s="14"/>
      <c r="P26165" s="13"/>
    </row>
    <row r="26166">
      <c r="L26166" s="13"/>
      <c r="M26166" s="14"/>
      <c r="N26166" s="14"/>
      <c r="O26166" s="14"/>
      <c r="P26166" s="13"/>
    </row>
    <row r="26167">
      <c r="L26167" s="13"/>
      <c r="M26167" s="14"/>
      <c r="N26167" s="14"/>
      <c r="O26167" s="14"/>
      <c r="P26167" s="13"/>
    </row>
    <row r="26168">
      <c r="L26168" s="13"/>
      <c r="M26168" s="14"/>
      <c r="N26168" s="14"/>
      <c r="O26168" s="14"/>
      <c r="P26168" s="13"/>
    </row>
    <row r="26169">
      <c r="L26169" s="13"/>
      <c r="M26169" s="14"/>
      <c r="N26169" s="14"/>
      <c r="O26169" s="14"/>
      <c r="P26169" s="13"/>
    </row>
    <row r="26170">
      <c r="L26170" s="13"/>
      <c r="M26170" s="14"/>
      <c r="N26170" s="14"/>
      <c r="O26170" s="14"/>
      <c r="P26170" s="13"/>
    </row>
    <row r="26171">
      <c r="L26171" s="13"/>
      <c r="M26171" s="14"/>
      <c r="N26171" s="14"/>
      <c r="O26171" s="14"/>
      <c r="P26171" s="13"/>
    </row>
    <row r="26172">
      <c r="L26172" s="13"/>
      <c r="M26172" s="14"/>
      <c r="N26172" s="14"/>
      <c r="O26172" s="14"/>
      <c r="P26172" s="13"/>
    </row>
    <row r="26173">
      <c r="L26173" s="13"/>
      <c r="M26173" s="14"/>
      <c r="N26173" s="14"/>
      <c r="O26173" s="14"/>
      <c r="P26173" s="13"/>
    </row>
    <row r="26174">
      <c r="L26174" s="13"/>
      <c r="M26174" s="14"/>
      <c r="N26174" s="14"/>
      <c r="O26174" s="14"/>
      <c r="P26174" s="13"/>
    </row>
    <row r="26175">
      <c r="L26175" s="13"/>
      <c r="M26175" s="14"/>
      <c r="N26175" s="14"/>
      <c r="O26175" s="14"/>
      <c r="P26175" s="13"/>
    </row>
    <row r="26176">
      <c r="L26176" s="13"/>
      <c r="M26176" s="14"/>
      <c r="N26176" s="14"/>
      <c r="O26176" s="14"/>
      <c r="P26176" s="13"/>
    </row>
    <row r="26177">
      <c r="L26177" s="13"/>
      <c r="M26177" s="14"/>
      <c r="N26177" s="14"/>
      <c r="O26177" s="14"/>
      <c r="P26177" s="13"/>
    </row>
    <row r="26178">
      <c r="L26178" s="13"/>
      <c r="M26178" s="14"/>
      <c r="N26178" s="14"/>
      <c r="O26178" s="14"/>
      <c r="P26178" s="13"/>
    </row>
    <row r="26179">
      <c r="L26179" s="13"/>
      <c r="M26179" s="14"/>
      <c r="N26179" s="14"/>
      <c r="O26179" s="14"/>
      <c r="P26179" s="13"/>
    </row>
    <row r="26180">
      <c r="L26180" s="13"/>
      <c r="M26180" s="14"/>
      <c r="N26180" s="14"/>
      <c r="O26180" s="14"/>
      <c r="P26180" s="13"/>
    </row>
    <row r="26181">
      <c r="L26181" s="13"/>
      <c r="M26181" s="14"/>
      <c r="N26181" s="14"/>
      <c r="O26181" s="14"/>
      <c r="P26181" s="13"/>
    </row>
    <row r="26182">
      <c r="L26182" s="13"/>
      <c r="M26182" s="14"/>
      <c r="N26182" s="14"/>
      <c r="O26182" s="14"/>
      <c r="P26182" s="13"/>
    </row>
    <row r="26183">
      <c r="L26183" s="13"/>
      <c r="M26183" s="14"/>
      <c r="N26183" s="14"/>
      <c r="O26183" s="14"/>
      <c r="P26183" s="13"/>
    </row>
    <row r="26184">
      <c r="L26184" s="13"/>
      <c r="M26184" s="14"/>
      <c r="N26184" s="14"/>
      <c r="O26184" s="14"/>
      <c r="P26184" s="13"/>
    </row>
    <row r="26185">
      <c r="L26185" s="13"/>
      <c r="M26185" s="14"/>
      <c r="N26185" s="14"/>
      <c r="O26185" s="14"/>
      <c r="P26185" s="13"/>
    </row>
    <row r="26186">
      <c r="L26186" s="13"/>
      <c r="M26186" s="14"/>
      <c r="N26186" s="14"/>
      <c r="O26186" s="14"/>
      <c r="P26186" s="13"/>
    </row>
    <row r="26187">
      <c r="L26187" s="13"/>
      <c r="M26187" s="14"/>
      <c r="N26187" s="14"/>
      <c r="O26187" s="14"/>
      <c r="P26187" s="13"/>
    </row>
    <row r="26188">
      <c r="L26188" s="13"/>
      <c r="M26188" s="14"/>
      <c r="N26188" s="14"/>
      <c r="O26188" s="14"/>
      <c r="P26188" s="13"/>
    </row>
    <row r="26189">
      <c r="L26189" s="13"/>
      <c r="M26189" s="14"/>
      <c r="N26189" s="14"/>
      <c r="O26189" s="14"/>
      <c r="P26189" s="13"/>
    </row>
    <row r="26190">
      <c r="L26190" s="13"/>
      <c r="M26190" s="14"/>
      <c r="N26190" s="14"/>
      <c r="O26190" s="14"/>
      <c r="P26190" s="13"/>
    </row>
    <row r="26191">
      <c r="L26191" s="13"/>
      <c r="M26191" s="14"/>
      <c r="N26191" s="14"/>
      <c r="O26191" s="14"/>
      <c r="P26191" s="13"/>
    </row>
    <row r="26192">
      <c r="L26192" s="13"/>
      <c r="M26192" s="14"/>
      <c r="N26192" s="14"/>
      <c r="O26192" s="14"/>
      <c r="P26192" s="13"/>
    </row>
    <row r="26193">
      <c r="L26193" s="13"/>
      <c r="M26193" s="14"/>
      <c r="N26193" s="14"/>
      <c r="O26193" s="14"/>
      <c r="P26193" s="13"/>
    </row>
    <row r="26194">
      <c r="L26194" s="13"/>
      <c r="M26194" s="14"/>
      <c r="N26194" s="14"/>
      <c r="O26194" s="14"/>
      <c r="P26194" s="13"/>
    </row>
    <row r="26195">
      <c r="L26195" s="13"/>
      <c r="M26195" s="14"/>
      <c r="N26195" s="14"/>
      <c r="O26195" s="14"/>
      <c r="P26195" s="13"/>
    </row>
    <row r="26196">
      <c r="L26196" s="13"/>
      <c r="M26196" s="14"/>
      <c r="N26196" s="14"/>
      <c r="O26196" s="14"/>
      <c r="P26196" s="13"/>
    </row>
    <row r="26197">
      <c r="L26197" s="13"/>
      <c r="M26197" s="14"/>
      <c r="N26197" s="14"/>
      <c r="O26197" s="14"/>
      <c r="P26197" s="13"/>
    </row>
    <row r="26198">
      <c r="L26198" s="13"/>
      <c r="M26198" s="14"/>
      <c r="N26198" s="14"/>
      <c r="O26198" s="14"/>
      <c r="P26198" s="13"/>
    </row>
    <row r="26199">
      <c r="L26199" s="13"/>
      <c r="M26199" s="14"/>
      <c r="N26199" s="14"/>
      <c r="O26199" s="14"/>
      <c r="P26199" s="13"/>
    </row>
    <row r="26200">
      <c r="L26200" s="13"/>
      <c r="M26200" s="14"/>
      <c r="N26200" s="14"/>
      <c r="O26200" s="14"/>
      <c r="P26200" s="13"/>
    </row>
    <row r="26201">
      <c r="L26201" s="13"/>
      <c r="M26201" s="14"/>
      <c r="N26201" s="14"/>
      <c r="O26201" s="14"/>
      <c r="P26201" s="13"/>
    </row>
    <row r="26202">
      <c r="L26202" s="13"/>
      <c r="M26202" s="14"/>
      <c r="N26202" s="14"/>
      <c r="O26202" s="14"/>
      <c r="P26202" s="13"/>
    </row>
    <row r="26203">
      <c r="L26203" s="13"/>
      <c r="M26203" s="14"/>
      <c r="N26203" s="14"/>
      <c r="O26203" s="14"/>
      <c r="P26203" s="13"/>
    </row>
    <row r="26204">
      <c r="L26204" s="13"/>
      <c r="M26204" s="14"/>
      <c r="N26204" s="14"/>
      <c r="O26204" s="14"/>
      <c r="P26204" s="13"/>
    </row>
    <row r="26205">
      <c r="L26205" s="13"/>
      <c r="M26205" s="14"/>
      <c r="N26205" s="14"/>
      <c r="O26205" s="14"/>
      <c r="P26205" s="13"/>
    </row>
    <row r="26206">
      <c r="L26206" s="13"/>
      <c r="M26206" s="14"/>
      <c r="N26206" s="14"/>
      <c r="O26206" s="14"/>
      <c r="P26206" s="13"/>
    </row>
    <row r="26207">
      <c r="L26207" s="13"/>
      <c r="M26207" s="14"/>
      <c r="N26207" s="14"/>
      <c r="O26207" s="14"/>
      <c r="P26207" s="13"/>
    </row>
    <row r="26208">
      <c r="L26208" s="13"/>
      <c r="M26208" s="14"/>
      <c r="N26208" s="14"/>
      <c r="O26208" s="14"/>
      <c r="P26208" s="13"/>
    </row>
    <row r="26209">
      <c r="L26209" s="13"/>
      <c r="M26209" s="14"/>
      <c r="N26209" s="14"/>
      <c r="O26209" s="14"/>
      <c r="P26209" s="13"/>
    </row>
    <row r="26210">
      <c r="L26210" s="13"/>
      <c r="M26210" s="14"/>
      <c r="N26210" s="14"/>
      <c r="O26210" s="14"/>
      <c r="P26210" s="13"/>
    </row>
    <row r="26211">
      <c r="L26211" s="13"/>
      <c r="M26211" s="14"/>
      <c r="N26211" s="14"/>
      <c r="O26211" s="14"/>
      <c r="P26211" s="13"/>
    </row>
    <row r="26212">
      <c r="L26212" s="13"/>
      <c r="M26212" s="14"/>
      <c r="N26212" s="14"/>
      <c r="O26212" s="14"/>
      <c r="P26212" s="13"/>
    </row>
    <row r="26213">
      <c r="L26213" s="13"/>
      <c r="M26213" s="14"/>
      <c r="N26213" s="14"/>
      <c r="O26213" s="14"/>
      <c r="P26213" s="13"/>
    </row>
    <row r="26214">
      <c r="L26214" s="13"/>
      <c r="M26214" s="14"/>
      <c r="N26214" s="14"/>
      <c r="O26214" s="14"/>
      <c r="P26214" s="13"/>
    </row>
    <row r="26215">
      <c r="L26215" s="13"/>
      <c r="M26215" s="14"/>
      <c r="N26215" s="14"/>
      <c r="O26215" s="14"/>
      <c r="P26215" s="13"/>
    </row>
    <row r="26216">
      <c r="L26216" s="13"/>
      <c r="M26216" s="14"/>
      <c r="N26216" s="14"/>
      <c r="O26216" s="14"/>
      <c r="P26216" s="13"/>
    </row>
    <row r="26217">
      <c r="L26217" s="13"/>
      <c r="M26217" s="14"/>
      <c r="N26217" s="14"/>
      <c r="O26217" s="14"/>
      <c r="P26217" s="13"/>
    </row>
    <row r="26218">
      <c r="L26218" s="13"/>
      <c r="M26218" s="14"/>
      <c r="N26218" s="14"/>
      <c r="O26218" s="14"/>
      <c r="P26218" s="13"/>
    </row>
    <row r="26219">
      <c r="L26219" s="13"/>
      <c r="M26219" s="14"/>
      <c r="N26219" s="14"/>
      <c r="O26219" s="14"/>
      <c r="P26219" s="13"/>
    </row>
    <row r="26220">
      <c r="L26220" s="13"/>
      <c r="M26220" s="14"/>
      <c r="N26220" s="14"/>
      <c r="O26220" s="14"/>
      <c r="P26220" s="13"/>
    </row>
    <row r="26221">
      <c r="L26221" s="13"/>
      <c r="M26221" s="14"/>
      <c r="N26221" s="14"/>
      <c r="O26221" s="14"/>
      <c r="P26221" s="13"/>
    </row>
    <row r="26222">
      <c r="L26222" s="13"/>
      <c r="M26222" s="14"/>
      <c r="N26222" s="14"/>
      <c r="O26222" s="14"/>
      <c r="P26222" s="13"/>
    </row>
    <row r="26223">
      <c r="L26223" s="13"/>
      <c r="M26223" s="14"/>
      <c r="N26223" s="14"/>
      <c r="O26223" s="14"/>
      <c r="P26223" s="13"/>
    </row>
    <row r="26224">
      <c r="L26224" s="13"/>
      <c r="M26224" s="14"/>
      <c r="N26224" s="14"/>
      <c r="O26224" s="14"/>
      <c r="P26224" s="13"/>
    </row>
    <row r="26225">
      <c r="L26225" s="13"/>
      <c r="M26225" s="14"/>
      <c r="N26225" s="14"/>
      <c r="O26225" s="14"/>
      <c r="P26225" s="13"/>
    </row>
    <row r="26226">
      <c r="L26226" s="13"/>
      <c r="M26226" s="14"/>
      <c r="N26226" s="14"/>
      <c r="O26226" s="14"/>
      <c r="P26226" s="13"/>
    </row>
    <row r="26227">
      <c r="L26227" s="13"/>
      <c r="M26227" s="14"/>
      <c r="N26227" s="14"/>
      <c r="O26227" s="14"/>
      <c r="P26227" s="13"/>
    </row>
    <row r="26228">
      <c r="L26228" s="13"/>
      <c r="M26228" s="14"/>
      <c r="N26228" s="14"/>
      <c r="O26228" s="14"/>
      <c r="P26228" s="13"/>
    </row>
    <row r="26229">
      <c r="L26229" s="13"/>
      <c r="M26229" s="14"/>
      <c r="N26229" s="14"/>
      <c r="O26229" s="14"/>
      <c r="P26229" s="13"/>
    </row>
    <row r="26230">
      <c r="L26230" s="13"/>
      <c r="M26230" s="14"/>
      <c r="N26230" s="14"/>
      <c r="O26230" s="14"/>
      <c r="P26230" s="13"/>
    </row>
    <row r="26231">
      <c r="L26231" s="13"/>
      <c r="M26231" s="14"/>
      <c r="N26231" s="14"/>
      <c r="O26231" s="14"/>
      <c r="P26231" s="13"/>
    </row>
    <row r="26232">
      <c r="L26232" s="13"/>
      <c r="M26232" s="14"/>
      <c r="N26232" s="14"/>
      <c r="O26232" s="14"/>
      <c r="P26232" s="13"/>
    </row>
    <row r="26233">
      <c r="L26233" s="13"/>
      <c r="M26233" s="14"/>
      <c r="N26233" s="14"/>
      <c r="O26233" s="14"/>
      <c r="P26233" s="13"/>
    </row>
    <row r="26234">
      <c r="L26234" s="13"/>
      <c r="M26234" s="14"/>
      <c r="N26234" s="14"/>
      <c r="O26234" s="14"/>
      <c r="P26234" s="13"/>
    </row>
    <row r="26235">
      <c r="L26235" s="13"/>
      <c r="M26235" s="14"/>
      <c r="N26235" s="14"/>
      <c r="O26235" s="14"/>
      <c r="P26235" s="13"/>
    </row>
    <row r="26236">
      <c r="L26236" s="13"/>
      <c r="M26236" s="14"/>
      <c r="N26236" s="14"/>
      <c r="O26236" s="14"/>
      <c r="P26236" s="13"/>
    </row>
    <row r="26237">
      <c r="L26237" s="13"/>
      <c r="M26237" s="14"/>
      <c r="N26237" s="14"/>
      <c r="O26237" s="14"/>
      <c r="P26237" s="13"/>
    </row>
    <row r="26238">
      <c r="L26238" s="13"/>
      <c r="M26238" s="14"/>
      <c r="N26238" s="14"/>
      <c r="O26238" s="14"/>
      <c r="P26238" s="13"/>
    </row>
    <row r="26239">
      <c r="L26239" s="13"/>
      <c r="M26239" s="14"/>
      <c r="N26239" s="14"/>
      <c r="O26239" s="14"/>
      <c r="P26239" s="13"/>
    </row>
    <row r="26240">
      <c r="L26240" s="13"/>
      <c r="M26240" s="14"/>
      <c r="N26240" s="14"/>
      <c r="O26240" s="14"/>
      <c r="P26240" s="13"/>
    </row>
    <row r="26241">
      <c r="L26241" s="13"/>
      <c r="M26241" s="14"/>
      <c r="N26241" s="14"/>
      <c r="O26241" s="14"/>
      <c r="P26241" s="13"/>
    </row>
    <row r="26242">
      <c r="L26242" s="13"/>
      <c r="M26242" s="14"/>
      <c r="N26242" s="14"/>
      <c r="O26242" s="14"/>
      <c r="P26242" s="13"/>
    </row>
    <row r="26243">
      <c r="L26243" s="13"/>
      <c r="M26243" s="14"/>
      <c r="N26243" s="14"/>
      <c r="O26243" s="14"/>
      <c r="P26243" s="13"/>
    </row>
    <row r="26244">
      <c r="L26244" s="13"/>
      <c r="M26244" s="14"/>
      <c r="N26244" s="14"/>
      <c r="O26244" s="14"/>
      <c r="P26244" s="13"/>
    </row>
    <row r="26245">
      <c r="L26245" s="13"/>
      <c r="M26245" s="14"/>
      <c r="N26245" s="14"/>
      <c r="O26245" s="14"/>
      <c r="P26245" s="13"/>
    </row>
    <row r="26246">
      <c r="L26246" s="13"/>
      <c r="M26246" s="14"/>
      <c r="N26246" s="14"/>
      <c r="O26246" s="14"/>
      <c r="P26246" s="13"/>
    </row>
    <row r="26247">
      <c r="L26247" s="13"/>
      <c r="M26247" s="14"/>
      <c r="N26247" s="14"/>
      <c r="O26247" s="14"/>
      <c r="P26247" s="13"/>
    </row>
    <row r="26248">
      <c r="L26248" s="13"/>
      <c r="M26248" s="14"/>
      <c r="N26248" s="14"/>
      <c r="O26248" s="14"/>
      <c r="P26248" s="13"/>
    </row>
    <row r="26249">
      <c r="L26249" s="13"/>
      <c r="M26249" s="14"/>
      <c r="N26249" s="14"/>
      <c r="O26249" s="14"/>
      <c r="P26249" s="13"/>
    </row>
    <row r="26250">
      <c r="L26250" s="13"/>
      <c r="M26250" s="14"/>
      <c r="N26250" s="14"/>
      <c r="O26250" s="14"/>
      <c r="P26250" s="13"/>
    </row>
    <row r="26251">
      <c r="L26251" s="13"/>
      <c r="M26251" s="14"/>
      <c r="N26251" s="14"/>
      <c r="O26251" s="14"/>
      <c r="P26251" s="13"/>
    </row>
    <row r="26252">
      <c r="L26252" s="13"/>
      <c r="M26252" s="14"/>
      <c r="N26252" s="14"/>
      <c r="O26252" s="14"/>
      <c r="P26252" s="13"/>
    </row>
    <row r="26253">
      <c r="L26253" s="13"/>
      <c r="M26253" s="14"/>
      <c r="N26253" s="14"/>
      <c r="O26253" s="14"/>
      <c r="P26253" s="13"/>
    </row>
    <row r="26254">
      <c r="L26254" s="13"/>
      <c r="M26254" s="14"/>
      <c r="N26254" s="14"/>
      <c r="O26254" s="14"/>
      <c r="P26254" s="13"/>
    </row>
    <row r="26255">
      <c r="L26255" s="13"/>
      <c r="M26255" s="14"/>
      <c r="N26255" s="14"/>
      <c r="O26255" s="14"/>
      <c r="P26255" s="13"/>
    </row>
    <row r="26256">
      <c r="L26256" s="13"/>
      <c r="M26256" s="14"/>
      <c r="N26256" s="14"/>
      <c r="O26256" s="14"/>
      <c r="P26256" s="13"/>
    </row>
    <row r="26257">
      <c r="L26257" s="13"/>
      <c r="M26257" s="14"/>
      <c r="N26257" s="14"/>
      <c r="O26257" s="14"/>
      <c r="P26257" s="13"/>
    </row>
    <row r="26258">
      <c r="L26258" s="13"/>
      <c r="M26258" s="14"/>
      <c r="N26258" s="14"/>
      <c r="O26258" s="14"/>
      <c r="P26258" s="13"/>
    </row>
    <row r="26259">
      <c r="L26259" s="13"/>
      <c r="M26259" s="14"/>
      <c r="N26259" s="14"/>
      <c r="O26259" s="14"/>
      <c r="P26259" s="13"/>
    </row>
    <row r="26260">
      <c r="L26260" s="13"/>
      <c r="M26260" s="14"/>
      <c r="N26260" s="14"/>
      <c r="O26260" s="14"/>
      <c r="P26260" s="13"/>
    </row>
    <row r="26261">
      <c r="L26261" s="13"/>
      <c r="M26261" s="14"/>
      <c r="N26261" s="14"/>
      <c r="O26261" s="14"/>
      <c r="P26261" s="13"/>
    </row>
    <row r="26262">
      <c r="L26262" s="13"/>
      <c r="M26262" s="14"/>
      <c r="N26262" s="14"/>
      <c r="O26262" s="14"/>
      <c r="P26262" s="13"/>
    </row>
    <row r="26263">
      <c r="L26263" s="13"/>
      <c r="M26263" s="14"/>
      <c r="N26263" s="14"/>
      <c r="O26263" s="14"/>
      <c r="P26263" s="13"/>
    </row>
    <row r="26264">
      <c r="L26264" s="13"/>
      <c r="M26264" s="14"/>
      <c r="N26264" s="14"/>
      <c r="O26264" s="14"/>
      <c r="P26264" s="13"/>
    </row>
    <row r="26265">
      <c r="L26265" s="13"/>
      <c r="M26265" s="14"/>
      <c r="N26265" s="14"/>
      <c r="O26265" s="14"/>
      <c r="P26265" s="13"/>
    </row>
    <row r="26266">
      <c r="L26266" s="13"/>
      <c r="M26266" s="14"/>
      <c r="N26266" s="14"/>
      <c r="O26266" s="14"/>
      <c r="P26266" s="13"/>
    </row>
    <row r="26267">
      <c r="L26267" s="13"/>
      <c r="M26267" s="14"/>
      <c r="N26267" s="14"/>
      <c r="O26267" s="14"/>
      <c r="P26267" s="13"/>
    </row>
    <row r="26268">
      <c r="L26268" s="13"/>
      <c r="M26268" s="14"/>
      <c r="N26268" s="14"/>
      <c r="O26268" s="14"/>
      <c r="P26268" s="13"/>
    </row>
    <row r="26269">
      <c r="L26269" s="13"/>
      <c r="M26269" s="14"/>
      <c r="N26269" s="14"/>
      <c r="O26269" s="14"/>
      <c r="P26269" s="13"/>
    </row>
    <row r="26270">
      <c r="L26270" s="13"/>
      <c r="M26270" s="14"/>
      <c r="N26270" s="14"/>
      <c r="O26270" s="14"/>
      <c r="P26270" s="13"/>
    </row>
    <row r="26271">
      <c r="L26271" s="13"/>
      <c r="M26271" s="14"/>
      <c r="N26271" s="14"/>
      <c r="O26271" s="14"/>
      <c r="P26271" s="13"/>
    </row>
    <row r="26272">
      <c r="L26272" s="13"/>
      <c r="M26272" s="14"/>
      <c r="N26272" s="14"/>
      <c r="O26272" s="14"/>
      <c r="P26272" s="13"/>
    </row>
    <row r="26273">
      <c r="L26273" s="13"/>
      <c r="M26273" s="14"/>
      <c r="N26273" s="14"/>
      <c r="O26273" s="14"/>
      <c r="P26273" s="13"/>
    </row>
    <row r="26274">
      <c r="L26274" s="13"/>
      <c r="M26274" s="14"/>
      <c r="N26274" s="14"/>
      <c r="O26274" s="14"/>
      <c r="P26274" s="13"/>
    </row>
    <row r="26275">
      <c r="L26275" s="13"/>
      <c r="M26275" s="14"/>
      <c r="N26275" s="14"/>
      <c r="O26275" s="14"/>
      <c r="P26275" s="13"/>
    </row>
    <row r="26276">
      <c r="L26276" s="13"/>
      <c r="M26276" s="14"/>
      <c r="N26276" s="14"/>
      <c r="O26276" s="14"/>
      <c r="P26276" s="13"/>
    </row>
    <row r="26277">
      <c r="L26277" s="13"/>
      <c r="M26277" s="14"/>
      <c r="N26277" s="14"/>
      <c r="O26277" s="14"/>
      <c r="P26277" s="13"/>
    </row>
    <row r="26278">
      <c r="L26278" s="13"/>
      <c r="M26278" s="14"/>
      <c r="N26278" s="14"/>
      <c r="O26278" s="14"/>
      <c r="P26278" s="13"/>
    </row>
    <row r="26279">
      <c r="L26279" s="13"/>
      <c r="M26279" s="14"/>
      <c r="N26279" s="14"/>
      <c r="O26279" s="14"/>
      <c r="P26279" s="13"/>
    </row>
    <row r="26280">
      <c r="L26280" s="13"/>
      <c r="M26280" s="14"/>
      <c r="N26280" s="14"/>
      <c r="O26280" s="14"/>
      <c r="P26280" s="13"/>
    </row>
    <row r="26281">
      <c r="L26281" s="13"/>
      <c r="M26281" s="14"/>
      <c r="N26281" s="14"/>
      <c r="O26281" s="14"/>
      <c r="P26281" s="13"/>
    </row>
    <row r="26282">
      <c r="L26282" s="13"/>
      <c r="M26282" s="14"/>
      <c r="N26282" s="14"/>
      <c r="O26282" s="14"/>
      <c r="P26282" s="13"/>
    </row>
    <row r="26283">
      <c r="L26283" s="13"/>
      <c r="M26283" s="14"/>
      <c r="N26283" s="14"/>
      <c r="O26283" s="14"/>
      <c r="P26283" s="13"/>
    </row>
    <row r="26284">
      <c r="L26284" s="13"/>
      <c r="M26284" s="14"/>
      <c r="N26284" s="14"/>
      <c r="O26284" s="14"/>
      <c r="P26284" s="13"/>
    </row>
    <row r="26285">
      <c r="L26285" s="13"/>
      <c r="M26285" s="14"/>
      <c r="N26285" s="14"/>
      <c r="O26285" s="14"/>
      <c r="P26285" s="13"/>
    </row>
    <row r="26286">
      <c r="L26286" s="13"/>
      <c r="M26286" s="14"/>
      <c r="N26286" s="14"/>
      <c r="O26286" s="14"/>
      <c r="P26286" s="13"/>
    </row>
    <row r="26287">
      <c r="L26287" s="13"/>
      <c r="M26287" s="14"/>
      <c r="N26287" s="14"/>
      <c r="O26287" s="14"/>
      <c r="P26287" s="13"/>
    </row>
    <row r="26288">
      <c r="L26288" s="13"/>
      <c r="M26288" s="14"/>
      <c r="N26288" s="14"/>
      <c r="O26288" s="14"/>
      <c r="P26288" s="13"/>
    </row>
    <row r="26289">
      <c r="L26289" s="13"/>
      <c r="M26289" s="14"/>
      <c r="N26289" s="14"/>
      <c r="O26289" s="14"/>
      <c r="P26289" s="13"/>
    </row>
    <row r="26290">
      <c r="L26290" s="13"/>
      <c r="M26290" s="14"/>
      <c r="N26290" s="14"/>
      <c r="O26290" s="14"/>
      <c r="P26290" s="13"/>
    </row>
    <row r="26291">
      <c r="L26291" s="13"/>
      <c r="M26291" s="14"/>
      <c r="N26291" s="14"/>
      <c r="O26291" s="14"/>
      <c r="P26291" s="13"/>
    </row>
    <row r="26292">
      <c r="L26292" s="13"/>
      <c r="M26292" s="14"/>
      <c r="N26292" s="14"/>
      <c r="O26292" s="14"/>
      <c r="P26292" s="13"/>
    </row>
    <row r="26293">
      <c r="L26293" s="13"/>
      <c r="M26293" s="14"/>
      <c r="N26293" s="14"/>
      <c r="O26293" s="14"/>
      <c r="P26293" s="13"/>
    </row>
    <row r="26294">
      <c r="L26294" s="13"/>
      <c r="M26294" s="14"/>
      <c r="N26294" s="14"/>
      <c r="O26294" s="14"/>
      <c r="P26294" s="13"/>
    </row>
    <row r="26295">
      <c r="L26295" s="13"/>
      <c r="M26295" s="14"/>
      <c r="N26295" s="14"/>
      <c r="O26295" s="14"/>
      <c r="P26295" s="13"/>
    </row>
    <row r="26296">
      <c r="L26296" s="13"/>
      <c r="M26296" s="14"/>
      <c r="N26296" s="14"/>
      <c r="O26296" s="14"/>
      <c r="P26296" s="13"/>
    </row>
    <row r="26297">
      <c r="L26297" s="13"/>
      <c r="M26297" s="14"/>
      <c r="N26297" s="14"/>
      <c r="O26297" s="14"/>
      <c r="P26297" s="13"/>
    </row>
    <row r="26298">
      <c r="L26298" s="13"/>
      <c r="M26298" s="14"/>
      <c r="N26298" s="14"/>
      <c r="O26298" s="14"/>
      <c r="P26298" s="13"/>
    </row>
    <row r="26299">
      <c r="L26299" s="13"/>
      <c r="M26299" s="14"/>
      <c r="N26299" s="14"/>
      <c r="O26299" s="14"/>
      <c r="P26299" s="13"/>
    </row>
    <row r="26300">
      <c r="L26300" s="13"/>
      <c r="M26300" s="14"/>
      <c r="N26300" s="14"/>
      <c r="O26300" s="14"/>
      <c r="P26300" s="13"/>
    </row>
    <row r="26301">
      <c r="L26301" s="13"/>
      <c r="M26301" s="14"/>
      <c r="N26301" s="14"/>
      <c r="O26301" s="14"/>
      <c r="P26301" s="13"/>
    </row>
    <row r="26302">
      <c r="L26302" s="13"/>
      <c r="M26302" s="14"/>
      <c r="N26302" s="14"/>
      <c r="O26302" s="14"/>
      <c r="P26302" s="13"/>
    </row>
    <row r="26303">
      <c r="L26303" s="13"/>
      <c r="M26303" s="14"/>
      <c r="N26303" s="14"/>
      <c r="O26303" s="14"/>
      <c r="P26303" s="13"/>
    </row>
    <row r="26304">
      <c r="L26304" s="13"/>
      <c r="M26304" s="14"/>
      <c r="N26304" s="14"/>
      <c r="O26304" s="14"/>
      <c r="P26304" s="13"/>
    </row>
    <row r="26305">
      <c r="L26305" s="13"/>
      <c r="M26305" s="14"/>
      <c r="N26305" s="14"/>
      <c r="O26305" s="14"/>
      <c r="P26305" s="13"/>
    </row>
    <row r="26306">
      <c r="L26306" s="13"/>
      <c r="M26306" s="14"/>
      <c r="N26306" s="14"/>
      <c r="O26306" s="14"/>
      <c r="P26306" s="13"/>
    </row>
    <row r="26307">
      <c r="L26307" s="13"/>
      <c r="M26307" s="14"/>
      <c r="N26307" s="14"/>
      <c r="O26307" s="14"/>
      <c r="P26307" s="13"/>
    </row>
    <row r="26308">
      <c r="L26308" s="13"/>
      <c r="M26308" s="14"/>
      <c r="N26308" s="14"/>
      <c r="O26308" s="14"/>
      <c r="P26308" s="13"/>
    </row>
    <row r="26309">
      <c r="L26309" s="13"/>
      <c r="M26309" s="14"/>
      <c r="N26309" s="14"/>
      <c r="O26309" s="14"/>
      <c r="P26309" s="13"/>
    </row>
    <row r="26310">
      <c r="L26310" s="13"/>
      <c r="M26310" s="14"/>
      <c r="N26310" s="14"/>
      <c r="O26310" s="14"/>
      <c r="P26310" s="13"/>
    </row>
    <row r="26311">
      <c r="L26311" s="13"/>
      <c r="M26311" s="14"/>
      <c r="N26311" s="14"/>
      <c r="O26311" s="14"/>
      <c r="P26311" s="13"/>
    </row>
    <row r="26312">
      <c r="L26312" s="13"/>
      <c r="M26312" s="14"/>
      <c r="N26312" s="14"/>
      <c r="O26312" s="14"/>
      <c r="P26312" s="13"/>
    </row>
    <row r="26313">
      <c r="L26313" s="13"/>
      <c r="M26313" s="14"/>
      <c r="N26313" s="14"/>
      <c r="O26313" s="14"/>
      <c r="P26313" s="13"/>
    </row>
    <row r="26314">
      <c r="L26314" s="13"/>
      <c r="M26314" s="14"/>
      <c r="N26314" s="14"/>
      <c r="O26314" s="14"/>
      <c r="P26314" s="13"/>
    </row>
    <row r="26315">
      <c r="L26315" s="13"/>
      <c r="M26315" s="14"/>
      <c r="N26315" s="14"/>
      <c r="O26315" s="14"/>
      <c r="P26315" s="13"/>
    </row>
    <row r="26316">
      <c r="L26316" s="13"/>
      <c r="M26316" s="14"/>
      <c r="N26316" s="14"/>
      <c r="O26316" s="14"/>
      <c r="P26316" s="13"/>
    </row>
    <row r="26317">
      <c r="L26317" s="13"/>
      <c r="M26317" s="14"/>
      <c r="N26317" s="14"/>
      <c r="O26317" s="14"/>
      <c r="P26317" s="13"/>
    </row>
    <row r="26318">
      <c r="L26318" s="13"/>
      <c r="M26318" s="14"/>
      <c r="N26318" s="14"/>
      <c r="O26318" s="14"/>
      <c r="P26318" s="13"/>
    </row>
    <row r="26319">
      <c r="L26319" s="13"/>
      <c r="M26319" s="14"/>
      <c r="N26319" s="14"/>
      <c r="O26319" s="14"/>
      <c r="P26319" s="13"/>
    </row>
    <row r="26320">
      <c r="L26320" s="13"/>
      <c r="M26320" s="14"/>
      <c r="N26320" s="14"/>
      <c r="O26320" s="14"/>
      <c r="P26320" s="13"/>
    </row>
    <row r="26321">
      <c r="L26321" s="13"/>
      <c r="M26321" s="14"/>
      <c r="N26321" s="14"/>
      <c r="O26321" s="14"/>
      <c r="P26321" s="13"/>
    </row>
    <row r="26322">
      <c r="L26322" s="13"/>
      <c r="M26322" s="14"/>
      <c r="N26322" s="14"/>
      <c r="O26322" s="14"/>
      <c r="P26322" s="13"/>
    </row>
    <row r="26323">
      <c r="L26323" s="13"/>
      <c r="M26323" s="14"/>
      <c r="N26323" s="14"/>
      <c r="O26323" s="14"/>
      <c r="P26323" s="13"/>
    </row>
    <row r="26324">
      <c r="L26324" s="13"/>
      <c r="M26324" s="14"/>
      <c r="N26324" s="14"/>
      <c r="O26324" s="14"/>
      <c r="P26324" s="13"/>
    </row>
    <row r="26325">
      <c r="L26325" s="13"/>
      <c r="M26325" s="14"/>
      <c r="N26325" s="14"/>
      <c r="O26325" s="14"/>
      <c r="P26325" s="13"/>
    </row>
    <row r="26326">
      <c r="L26326" s="13"/>
      <c r="M26326" s="14"/>
      <c r="N26326" s="14"/>
      <c r="O26326" s="14"/>
      <c r="P26326" s="13"/>
    </row>
    <row r="26327">
      <c r="L26327" s="13"/>
      <c r="M26327" s="14"/>
      <c r="N26327" s="14"/>
      <c r="O26327" s="14"/>
      <c r="P26327" s="13"/>
    </row>
    <row r="26328">
      <c r="L26328" s="13"/>
      <c r="M26328" s="14"/>
      <c r="N26328" s="14"/>
      <c r="O26328" s="14"/>
      <c r="P26328" s="13"/>
    </row>
    <row r="26329">
      <c r="L26329" s="13"/>
      <c r="M26329" s="14"/>
      <c r="N26329" s="14"/>
      <c r="O26329" s="14"/>
      <c r="P26329" s="13"/>
    </row>
    <row r="26330">
      <c r="L26330" s="13"/>
      <c r="M26330" s="14"/>
      <c r="N26330" s="14"/>
      <c r="O26330" s="14"/>
      <c r="P26330" s="13"/>
    </row>
    <row r="26331">
      <c r="L26331" s="13"/>
      <c r="M26331" s="14"/>
      <c r="N26331" s="14"/>
      <c r="O26331" s="14"/>
      <c r="P26331" s="13"/>
    </row>
    <row r="26332">
      <c r="L26332" s="13"/>
      <c r="M26332" s="14"/>
      <c r="N26332" s="14"/>
      <c r="O26332" s="14"/>
      <c r="P26332" s="13"/>
    </row>
    <row r="26333">
      <c r="L26333" s="13"/>
      <c r="M26333" s="14"/>
      <c r="N26333" s="14"/>
      <c r="O26333" s="14"/>
      <c r="P26333" s="13"/>
    </row>
    <row r="26334">
      <c r="L26334" s="13"/>
      <c r="M26334" s="14"/>
      <c r="N26334" s="14"/>
      <c r="O26334" s="14"/>
      <c r="P26334" s="13"/>
    </row>
    <row r="26335">
      <c r="L26335" s="13"/>
      <c r="M26335" s="14"/>
      <c r="N26335" s="14"/>
      <c r="O26335" s="14"/>
      <c r="P26335" s="13"/>
    </row>
    <row r="26336">
      <c r="L26336" s="13"/>
      <c r="M26336" s="14"/>
      <c r="N26336" s="14"/>
      <c r="O26336" s="14"/>
      <c r="P26336" s="13"/>
    </row>
    <row r="26337">
      <c r="L26337" s="13"/>
      <c r="M26337" s="14"/>
      <c r="N26337" s="14"/>
      <c r="O26337" s="14"/>
      <c r="P26337" s="13"/>
    </row>
    <row r="26338">
      <c r="L26338" s="13"/>
      <c r="M26338" s="14"/>
      <c r="N26338" s="14"/>
      <c r="O26338" s="14"/>
      <c r="P26338" s="13"/>
    </row>
    <row r="26339">
      <c r="L26339" s="13"/>
      <c r="M26339" s="14"/>
      <c r="N26339" s="14"/>
      <c r="O26339" s="14"/>
      <c r="P26339" s="13"/>
    </row>
    <row r="26340">
      <c r="L26340" s="13"/>
      <c r="M26340" s="14"/>
      <c r="N26340" s="14"/>
      <c r="O26340" s="14"/>
      <c r="P26340" s="13"/>
    </row>
    <row r="26341">
      <c r="L26341" s="13"/>
      <c r="M26341" s="14"/>
      <c r="N26341" s="14"/>
      <c r="O26341" s="14"/>
      <c r="P26341" s="13"/>
    </row>
    <row r="26342">
      <c r="L26342" s="13"/>
      <c r="M26342" s="14"/>
      <c r="N26342" s="14"/>
      <c r="O26342" s="14"/>
      <c r="P26342" s="13"/>
    </row>
    <row r="26343">
      <c r="L26343" s="13"/>
      <c r="M26343" s="14"/>
      <c r="N26343" s="14"/>
      <c r="O26343" s="14"/>
      <c r="P26343" s="13"/>
    </row>
    <row r="26344">
      <c r="L26344" s="13"/>
      <c r="M26344" s="14"/>
      <c r="N26344" s="14"/>
      <c r="O26344" s="14"/>
      <c r="P26344" s="13"/>
    </row>
    <row r="26345">
      <c r="L26345" s="13"/>
      <c r="M26345" s="14"/>
      <c r="N26345" s="14"/>
      <c r="O26345" s="14"/>
      <c r="P26345" s="13"/>
    </row>
    <row r="26346">
      <c r="L26346" s="13"/>
      <c r="M26346" s="14"/>
      <c r="N26346" s="14"/>
      <c r="O26346" s="14"/>
      <c r="P26346" s="13"/>
    </row>
    <row r="26347">
      <c r="L26347" s="13"/>
      <c r="M26347" s="14"/>
      <c r="N26347" s="14"/>
      <c r="O26347" s="14"/>
      <c r="P26347" s="13"/>
    </row>
    <row r="26348">
      <c r="L26348" s="13"/>
      <c r="M26348" s="14"/>
      <c r="N26348" s="14"/>
      <c r="O26348" s="14"/>
      <c r="P26348" s="13"/>
    </row>
    <row r="26349">
      <c r="L26349" s="13"/>
      <c r="M26349" s="14"/>
      <c r="N26349" s="14"/>
      <c r="O26349" s="14"/>
      <c r="P26349" s="13"/>
    </row>
    <row r="26350">
      <c r="L26350" s="13"/>
      <c r="M26350" s="14"/>
      <c r="N26350" s="14"/>
      <c r="O26350" s="14"/>
      <c r="P26350" s="13"/>
    </row>
    <row r="26351">
      <c r="L26351" s="13"/>
      <c r="M26351" s="14"/>
      <c r="N26351" s="14"/>
      <c r="O26351" s="14"/>
      <c r="P26351" s="13"/>
    </row>
    <row r="26352">
      <c r="L26352" s="13"/>
      <c r="M26352" s="14"/>
      <c r="N26352" s="14"/>
      <c r="O26352" s="14"/>
      <c r="P26352" s="13"/>
    </row>
    <row r="26353">
      <c r="L26353" s="13"/>
      <c r="M26353" s="14"/>
      <c r="N26353" s="14"/>
      <c r="O26353" s="14"/>
      <c r="P26353" s="13"/>
    </row>
    <row r="26354">
      <c r="L26354" s="13"/>
      <c r="M26354" s="14"/>
      <c r="N26354" s="14"/>
      <c r="O26354" s="14"/>
      <c r="P26354" s="13"/>
    </row>
    <row r="26355">
      <c r="L26355" s="13"/>
      <c r="M26355" s="14"/>
      <c r="N26355" s="14"/>
      <c r="O26355" s="14"/>
      <c r="P26355" s="13"/>
    </row>
    <row r="26356">
      <c r="L26356" s="13"/>
      <c r="M26356" s="14"/>
      <c r="N26356" s="14"/>
      <c r="O26356" s="14"/>
      <c r="P26356" s="13"/>
    </row>
    <row r="26357">
      <c r="L26357" s="13"/>
      <c r="M26357" s="14"/>
      <c r="N26357" s="14"/>
      <c r="O26357" s="14"/>
      <c r="P26357" s="13"/>
    </row>
    <row r="26358">
      <c r="L26358" s="13"/>
      <c r="M26358" s="14"/>
      <c r="N26358" s="14"/>
      <c r="O26358" s="14"/>
      <c r="P26358" s="13"/>
    </row>
    <row r="26359">
      <c r="L26359" s="13"/>
      <c r="M26359" s="14"/>
      <c r="N26359" s="14"/>
      <c r="O26359" s="14"/>
      <c r="P26359" s="13"/>
    </row>
    <row r="26360">
      <c r="L26360" s="13"/>
      <c r="M26360" s="14"/>
      <c r="N26360" s="14"/>
      <c r="O26360" s="14"/>
      <c r="P26360" s="13"/>
    </row>
    <row r="26361">
      <c r="L26361" s="13"/>
      <c r="M26361" s="14"/>
      <c r="N26361" s="14"/>
      <c r="O26361" s="14"/>
      <c r="P26361" s="13"/>
    </row>
    <row r="26362">
      <c r="L26362" s="13"/>
      <c r="M26362" s="14"/>
      <c r="N26362" s="14"/>
      <c r="O26362" s="14"/>
      <c r="P26362" s="13"/>
    </row>
    <row r="26363">
      <c r="L26363" s="13"/>
      <c r="M26363" s="14"/>
      <c r="N26363" s="14"/>
      <c r="O26363" s="14"/>
      <c r="P26363" s="13"/>
    </row>
    <row r="26364">
      <c r="L26364" s="13"/>
      <c r="M26364" s="14"/>
      <c r="N26364" s="14"/>
      <c r="O26364" s="14"/>
      <c r="P26364" s="13"/>
    </row>
    <row r="26365">
      <c r="L26365" s="13"/>
      <c r="M26365" s="14"/>
      <c r="N26365" s="14"/>
      <c r="O26365" s="14"/>
      <c r="P26365" s="13"/>
    </row>
    <row r="26366">
      <c r="L26366" s="13"/>
      <c r="M26366" s="14"/>
      <c r="N26366" s="14"/>
      <c r="O26366" s="14"/>
      <c r="P26366" s="13"/>
    </row>
    <row r="26367">
      <c r="L26367" s="13"/>
      <c r="M26367" s="14"/>
      <c r="N26367" s="14"/>
      <c r="O26367" s="14"/>
      <c r="P26367" s="13"/>
    </row>
    <row r="26368">
      <c r="L26368" s="13"/>
      <c r="M26368" s="14"/>
      <c r="N26368" s="14"/>
      <c r="O26368" s="14"/>
      <c r="P26368" s="13"/>
    </row>
    <row r="26369">
      <c r="L26369" s="13"/>
      <c r="M26369" s="14"/>
      <c r="N26369" s="14"/>
      <c r="O26369" s="14"/>
      <c r="P26369" s="13"/>
    </row>
    <row r="26370">
      <c r="L26370" s="13"/>
      <c r="M26370" s="14"/>
      <c r="N26370" s="14"/>
      <c r="O26370" s="14"/>
      <c r="P26370" s="13"/>
    </row>
    <row r="26371">
      <c r="L26371" s="13"/>
      <c r="M26371" s="14"/>
      <c r="N26371" s="14"/>
      <c r="O26371" s="14"/>
      <c r="P26371" s="13"/>
    </row>
    <row r="26372">
      <c r="L26372" s="13"/>
      <c r="M26372" s="14"/>
      <c r="N26372" s="14"/>
      <c r="O26372" s="14"/>
      <c r="P26372" s="13"/>
    </row>
    <row r="26373">
      <c r="L26373" s="13"/>
      <c r="M26373" s="14"/>
      <c r="N26373" s="14"/>
      <c r="O26373" s="14"/>
      <c r="P26373" s="13"/>
    </row>
    <row r="26374">
      <c r="L26374" s="13"/>
      <c r="M26374" s="14"/>
      <c r="N26374" s="14"/>
      <c r="O26374" s="14"/>
      <c r="P26374" s="13"/>
    </row>
    <row r="26375">
      <c r="L26375" s="13"/>
      <c r="M26375" s="14"/>
      <c r="N26375" s="14"/>
      <c r="O26375" s="14"/>
      <c r="P26375" s="13"/>
    </row>
    <row r="26376">
      <c r="L26376" s="13"/>
      <c r="M26376" s="14"/>
      <c r="N26376" s="14"/>
      <c r="O26376" s="14"/>
      <c r="P26376" s="13"/>
    </row>
    <row r="26377">
      <c r="L26377" s="13"/>
      <c r="M26377" s="14"/>
      <c r="N26377" s="14"/>
      <c r="O26377" s="14"/>
      <c r="P26377" s="13"/>
    </row>
    <row r="26378">
      <c r="L26378" s="13"/>
      <c r="M26378" s="14"/>
      <c r="N26378" s="14"/>
      <c r="O26378" s="14"/>
      <c r="P26378" s="13"/>
    </row>
    <row r="26379">
      <c r="L26379" s="13"/>
      <c r="M26379" s="14"/>
      <c r="N26379" s="14"/>
      <c r="O26379" s="14"/>
      <c r="P26379" s="13"/>
    </row>
    <row r="26380">
      <c r="L26380" s="13"/>
      <c r="M26380" s="14"/>
      <c r="N26380" s="14"/>
      <c r="O26380" s="14"/>
      <c r="P26380" s="13"/>
    </row>
    <row r="26381">
      <c r="L26381" s="13"/>
      <c r="M26381" s="14"/>
      <c r="N26381" s="14"/>
      <c r="O26381" s="14"/>
      <c r="P26381" s="13"/>
    </row>
    <row r="26382">
      <c r="L26382" s="13"/>
      <c r="M26382" s="14"/>
      <c r="N26382" s="14"/>
      <c r="O26382" s="14"/>
      <c r="P26382" s="13"/>
    </row>
    <row r="26383">
      <c r="L26383" s="13"/>
      <c r="M26383" s="14"/>
      <c r="N26383" s="14"/>
      <c r="O26383" s="14"/>
      <c r="P26383" s="13"/>
    </row>
    <row r="26384">
      <c r="L26384" s="13"/>
      <c r="M26384" s="14"/>
      <c r="N26384" s="14"/>
      <c r="O26384" s="14"/>
      <c r="P26384" s="13"/>
    </row>
    <row r="26385">
      <c r="L26385" s="13"/>
      <c r="M26385" s="14"/>
      <c r="N26385" s="14"/>
      <c r="O26385" s="14"/>
      <c r="P26385" s="13"/>
    </row>
    <row r="26386">
      <c r="L26386" s="13"/>
      <c r="M26386" s="14"/>
      <c r="N26386" s="14"/>
      <c r="O26386" s="14"/>
      <c r="P26386" s="13"/>
    </row>
    <row r="26387">
      <c r="L26387" s="13"/>
      <c r="M26387" s="14"/>
      <c r="N26387" s="14"/>
      <c r="O26387" s="14"/>
      <c r="P26387" s="13"/>
    </row>
    <row r="26388">
      <c r="L26388" s="13"/>
      <c r="M26388" s="14"/>
      <c r="N26388" s="14"/>
      <c r="O26388" s="14"/>
      <c r="P26388" s="13"/>
    </row>
    <row r="26389">
      <c r="L26389" s="13"/>
      <c r="M26389" s="14"/>
      <c r="N26389" s="14"/>
      <c r="O26389" s="14"/>
      <c r="P26389" s="13"/>
    </row>
    <row r="26390">
      <c r="L26390" s="13"/>
      <c r="M26390" s="14"/>
      <c r="N26390" s="14"/>
      <c r="O26390" s="14"/>
      <c r="P26390" s="13"/>
    </row>
    <row r="26391">
      <c r="L26391" s="13"/>
      <c r="M26391" s="14"/>
      <c r="N26391" s="14"/>
      <c r="O26391" s="14"/>
      <c r="P26391" s="13"/>
    </row>
    <row r="26392">
      <c r="L26392" s="13"/>
      <c r="M26392" s="14"/>
      <c r="N26392" s="14"/>
      <c r="O26392" s="14"/>
      <c r="P26392" s="13"/>
    </row>
    <row r="26393">
      <c r="L26393" s="13"/>
      <c r="M26393" s="14"/>
      <c r="N26393" s="14"/>
      <c r="O26393" s="14"/>
      <c r="P26393" s="13"/>
    </row>
    <row r="26394">
      <c r="L26394" s="13"/>
      <c r="M26394" s="14"/>
      <c r="N26394" s="14"/>
      <c r="O26394" s="14"/>
      <c r="P26394" s="13"/>
    </row>
    <row r="26395">
      <c r="L26395" s="13"/>
      <c r="M26395" s="14"/>
      <c r="N26395" s="14"/>
      <c r="O26395" s="14"/>
      <c r="P26395" s="13"/>
    </row>
    <row r="26396">
      <c r="L26396" s="13"/>
      <c r="M26396" s="14"/>
      <c r="N26396" s="14"/>
      <c r="O26396" s="14"/>
      <c r="P26396" s="13"/>
    </row>
    <row r="26397">
      <c r="L26397" s="13"/>
      <c r="M26397" s="14"/>
      <c r="N26397" s="14"/>
      <c r="O26397" s="14"/>
      <c r="P26397" s="13"/>
    </row>
    <row r="26398">
      <c r="L26398" s="13"/>
      <c r="M26398" s="14"/>
      <c r="N26398" s="14"/>
      <c r="O26398" s="14"/>
      <c r="P26398" s="13"/>
    </row>
    <row r="26399">
      <c r="L26399" s="13"/>
      <c r="M26399" s="14"/>
      <c r="N26399" s="14"/>
      <c r="O26399" s="14"/>
      <c r="P26399" s="13"/>
    </row>
    <row r="26400">
      <c r="L26400" s="13"/>
      <c r="M26400" s="14"/>
      <c r="N26400" s="14"/>
      <c r="O26400" s="14"/>
      <c r="P26400" s="13"/>
    </row>
    <row r="26401">
      <c r="L26401" s="13"/>
      <c r="M26401" s="14"/>
      <c r="N26401" s="14"/>
      <c r="O26401" s="14"/>
      <c r="P26401" s="13"/>
    </row>
    <row r="26402">
      <c r="L26402" s="13"/>
      <c r="M26402" s="14"/>
      <c r="N26402" s="14"/>
      <c r="O26402" s="14"/>
      <c r="P26402" s="13"/>
    </row>
    <row r="26403">
      <c r="L26403" s="13"/>
      <c r="M26403" s="14"/>
      <c r="N26403" s="14"/>
      <c r="O26403" s="14"/>
      <c r="P26403" s="13"/>
    </row>
    <row r="26404">
      <c r="L26404" s="13"/>
      <c r="M26404" s="14"/>
      <c r="N26404" s="14"/>
      <c r="O26404" s="14"/>
      <c r="P26404" s="13"/>
    </row>
    <row r="26405">
      <c r="L26405" s="13"/>
      <c r="M26405" s="14"/>
      <c r="N26405" s="14"/>
      <c r="O26405" s="14"/>
      <c r="P26405" s="13"/>
    </row>
    <row r="26406">
      <c r="L26406" s="13"/>
      <c r="M26406" s="14"/>
      <c r="N26406" s="14"/>
      <c r="O26406" s="14"/>
      <c r="P26406" s="13"/>
    </row>
    <row r="26407">
      <c r="L26407" s="13"/>
      <c r="M26407" s="14"/>
      <c r="N26407" s="14"/>
      <c r="O26407" s="14"/>
      <c r="P26407" s="13"/>
    </row>
    <row r="26408">
      <c r="L26408" s="13"/>
      <c r="M26408" s="14"/>
      <c r="N26408" s="14"/>
      <c r="O26408" s="14"/>
      <c r="P26408" s="13"/>
    </row>
    <row r="26409">
      <c r="L26409" s="13"/>
      <c r="M26409" s="14"/>
      <c r="N26409" s="14"/>
      <c r="O26409" s="14"/>
      <c r="P26409" s="13"/>
    </row>
    <row r="26410">
      <c r="L26410" s="13"/>
      <c r="M26410" s="14"/>
      <c r="N26410" s="14"/>
      <c r="O26410" s="14"/>
      <c r="P26410" s="13"/>
    </row>
    <row r="26411">
      <c r="L26411" s="13"/>
      <c r="M26411" s="14"/>
      <c r="N26411" s="14"/>
      <c r="O26411" s="14"/>
      <c r="P26411" s="13"/>
    </row>
    <row r="26412">
      <c r="L26412" s="13"/>
      <c r="M26412" s="14"/>
      <c r="N26412" s="14"/>
      <c r="O26412" s="14"/>
      <c r="P26412" s="13"/>
    </row>
    <row r="26413">
      <c r="L26413" s="13"/>
      <c r="M26413" s="14"/>
      <c r="N26413" s="14"/>
      <c r="O26413" s="14"/>
      <c r="P26413" s="13"/>
    </row>
    <row r="26414">
      <c r="L26414" s="13"/>
      <c r="M26414" s="14"/>
      <c r="N26414" s="14"/>
      <c r="O26414" s="14"/>
      <c r="P26414" s="13"/>
    </row>
    <row r="26415">
      <c r="L26415" s="13"/>
      <c r="M26415" s="14"/>
      <c r="N26415" s="14"/>
      <c r="O26415" s="14"/>
      <c r="P26415" s="13"/>
    </row>
    <row r="26416">
      <c r="L26416" s="13"/>
      <c r="M26416" s="14"/>
      <c r="N26416" s="14"/>
      <c r="O26416" s="14"/>
      <c r="P26416" s="13"/>
    </row>
    <row r="26417">
      <c r="L26417" s="13"/>
      <c r="M26417" s="14"/>
      <c r="N26417" s="14"/>
      <c r="O26417" s="14"/>
      <c r="P26417" s="13"/>
    </row>
    <row r="26418">
      <c r="L26418" s="13"/>
      <c r="M26418" s="14"/>
      <c r="N26418" s="14"/>
      <c r="O26418" s="14"/>
      <c r="P26418" s="13"/>
    </row>
    <row r="26419">
      <c r="L26419" s="13"/>
      <c r="M26419" s="14"/>
      <c r="N26419" s="14"/>
      <c r="O26419" s="14"/>
      <c r="P26419" s="13"/>
    </row>
    <row r="26420">
      <c r="L26420" s="13"/>
      <c r="M26420" s="14"/>
      <c r="N26420" s="14"/>
      <c r="O26420" s="14"/>
      <c r="P26420" s="13"/>
    </row>
    <row r="26421">
      <c r="L26421" s="13"/>
      <c r="M26421" s="14"/>
      <c r="N26421" s="14"/>
      <c r="O26421" s="14"/>
      <c r="P26421" s="13"/>
    </row>
    <row r="26422">
      <c r="L26422" s="13"/>
      <c r="M26422" s="14"/>
      <c r="N26422" s="14"/>
      <c r="O26422" s="14"/>
      <c r="P26422" s="13"/>
    </row>
    <row r="26423">
      <c r="L26423" s="13"/>
      <c r="M26423" s="14"/>
      <c r="N26423" s="14"/>
      <c r="O26423" s="14"/>
      <c r="P26423" s="13"/>
    </row>
    <row r="26424">
      <c r="L26424" s="13"/>
      <c r="M26424" s="14"/>
      <c r="N26424" s="14"/>
      <c r="O26424" s="14"/>
      <c r="P26424" s="13"/>
    </row>
    <row r="26425">
      <c r="L26425" s="13"/>
      <c r="M26425" s="14"/>
      <c r="N26425" s="14"/>
      <c r="O26425" s="14"/>
      <c r="P26425" s="13"/>
    </row>
    <row r="26426">
      <c r="L26426" s="13"/>
      <c r="M26426" s="14"/>
      <c r="N26426" s="14"/>
      <c r="O26426" s="14"/>
      <c r="P26426" s="13"/>
    </row>
    <row r="26427">
      <c r="L26427" s="13"/>
      <c r="M26427" s="14"/>
      <c r="N26427" s="14"/>
      <c r="O26427" s="14"/>
      <c r="P26427" s="13"/>
    </row>
    <row r="26428">
      <c r="L26428" s="13"/>
      <c r="M26428" s="14"/>
      <c r="N26428" s="14"/>
      <c r="O26428" s="14"/>
      <c r="P26428" s="13"/>
    </row>
    <row r="26429">
      <c r="L26429" s="13"/>
      <c r="M26429" s="14"/>
      <c r="N26429" s="14"/>
      <c r="O26429" s="14"/>
      <c r="P26429" s="13"/>
    </row>
    <row r="26430">
      <c r="L26430" s="13"/>
      <c r="M26430" s="14"/>
      <c r="N26430" s="14"/>
      <c r="O26430" s="14"/>
      <c r="P26430" s="13"/>
    </row>
    <row r="26431">
      <c r="L26431" s="13"/>
      <c r="M26431" s="14"/>
      <c r="N26431" s="14"/>
      <c r="O26431" s="14"/>
      <c r="P26431" s="13"/>
    </row>
    <row r="26432">
      <c r="L26432" s="13"/>
      <c r="M26432" s="14"/>
      <c r="N26432" s="14"/>
      <c r="O26432" s="14"/>
      <c r="P26432" s="13"/>
    </row>
    <row r="26433">
      <c r="L26433" s="13"/>
      <c r="M26433" s="14"/>
      <c r="N26433" s="14"/>
      <c r="O26433" s="14"/>
      <c r="P26433" s="13"/>
    </row>
    <row r="26434">
      <c r="L26434" s="13"/>
      <c r="M26434" s="14"/>
      <c r="N26434" s="14"/>
      <c r="O26434" s="14"/>
      <c r="P26434" s="13"/>
    </row>
    <row r="26435">
      <c r="L26435" s="13"/>
      <c r="M26435" s="14"/>
      <c r="N26435" s="14"/>
      <c r="O26435" s="14"/>
      <c r="P26435" s="13"/>
    </row>
    <row r="26436">
      <c r="L26436" s="13"/>
      <c r="M26436" s="14"/>
      <c r="N26436" s="14"/>
      <c r="O26436" s="14"/>
      <c r="P26436" s="13"/>
    </row>
    <row r="26437">
      <c r="L26437" s="13"/>
      <c r="M26437" s="14"/>
      <c r="N26437" s="14"/>
      <c r="O26437" s="14"/>
      <c r="P26437" s="13"/>
    </row>
    <row r="26438">
      <c r="L26438" s="13"/>
      <c r="M26438" s="14"/>
      <c r="N26438" s="14"/>
      <c r="O26438" s="14"/>
      <c r="P26438" s="13"/>
    </row>
    <row r="26439">
      <c r="L26439" s="13"/>
      <c r="M26439" s="14"/>
      <c r="N26439" s="14"/>
      <c r="O26439" s="14"/>
      <c r="P26439" s="13"/>
    </row>
    <row r="26440">
      <c r="L26440" s="13"/>
      <c r="M26440" s="14"/>
      <c r="N26440" s="14"/>
      <c r="O26440" s="14"/>
      <c r="P26440" s="13"/>
    </row>
    <row r="26441">
      <c r="L26441" s="13"/>
      <c r="M26441" s="14"/>
      <c r="N26441" s="14"/>
      <c r="O26441" s="14"/>
      <c r="P26441" s="13"/>
    </row>
    <row r="26442">
      <c r="L26442" s="13"/>
      <c r="M26442" s="14"/>
      <c r="N26442" s="14"/>
      <c r="O26442" s="14"/>
      <c r="P26442" s="13"/>
    </row>
    <row r="26443">
      <c r="L26443" s="13"/>
      <c r="M26443" s="14"/>
      <c r="N26443" s="14"/>
      <c r="O26443" s="14"/>
      <c r="P26443" s="13"/>
    </row>
    <row r="26444">
      <c r="L26444" s="13"/>
      <c r="M26444" s="14"/>
      <c r="N26444" s="14"/>
      <c r="O26444" s="14"/>
      <c r="P26444" s="13"/>
    </row>
    <row r="26445">
      <c r="L26445" s="13"/>
      <c r="M26445" s="14"/>
      <c r="N26445" s="14"/>
      <c r="O26445" s="14"/>
      <c r="P26445" s="13"/>
    </row>
    <row r="26446">
      <c r="L26446" s="13"/>
      <c r="M26446" s="14"/>
      <c r="N26446" s="14"/>
      <c r="O26446" s="14"/>
      <c r="P26446" s="13"/>
    </row>
    <row r="26447">
      <c r="L26447" s="13"/>
      <c r="M26447" s="14"/>
      <c r="N26447" s="14"/>
      <c r="O26447" s="14"/>
      <c r="P26447" s="13"/>
    </row>
    <row r="26448">
      <c r="L26448" s="13"/>
      <c r="M26448" s="14"/>
      <c r="N26448" s="14"/>
      <c r="O26448" s="14"/>
      <c r="P26448" s="13"/>
    </row>
    <row r="26449">
      <c r="L26449" s="13"/>
      <c r="M26449" s="14"/>
      <c r="N26449" s="14"/>
      <c r="O26449" s="14"/>
      <c r="P26449" s="13"/>
    </row>
    <row r="26450">
      <c r="L26450" s="13"/>
      <c r="M26450" s="14"/>
      <c r="N26450" s="14"/>
      <c r="O26450" s="14"/>
      <c r="P26450" s="13"/>
    </row>
    <row r="26451">
      <c r="L26451" s="13"/>
      <c r="M26451" s="14"/>
      <c r="N26451" s="14"/>
      <c r="O26451" s="14"/>
      <c r="P26451" s="13"/>
    </row>
    <row r="26452">
      <c r="L26452" s="13"/>
      <c r="M26452" s="14"/>
      <c r="N26452" s="14"/>
      <c r="O26452" s="14"/>
      <c r="P26452" s="13"/>
    </row>
    <row r="26453">
      <c r="L26453" s="13"/>
      <c r="M26453" s="14"/>
      <c r="N26453" s="14"/>
      <c r="O26453" s="14"/>
      <c r="P26453" s="13"/>
    </row>
    <row r="26454">
      <c r="L26454" s="13"/>
      <c r="M26454" s="14"/>
      <c r="N26454" s="14"/>
      <c r="O26454" s="14"/>
      <c r="P26454" s="13"/>
    </row>
    <row r="26455">
      <c r="L26455" s="13"/>
      <c r="M26455" s="14"/>
      <c r="N26455" s="14"/>
      <c r="O26455" s="14"/>
      <c r="P26455" s="13"/>
    </row>
    <row r="26456">
      <c r="L26456" s="13"/>
      <c r="M26456" s="14"/>
      <c r="N26456" s="14"/>
      <c r="O26456" s="14"/>
      <c r="P26456" s="13"/>
    </row>
    <row r="26457">
      <c r="L26457" s="13"/>
      <c r="M26457" s="14"/>
      <c r="N26457" s="14"/>
      <c r="O26457" s="14"/>
      <c r="P26457" s="13"/>
    </row>
    <row r="26458">
      <c r="L26458" s="13"/>
      <c r="M26458" s="14"/>
      <c r="N26458" s="14"/>
      <c r="O26458" s="14"/>
      <c r="P26458" s="13"/>
    </row>
    <row r="26459">
      <c r="L26459" s="13"/>
      <c r="M26459" s="14"/>
      <c r="N26459" s="14"/>
      <c r="O26459" s="14"/>
      <c r="P26459" s="13"/>
    </row>
    <row r="26460">
      <c r="L26460" s="13"/>
      <c r="M26460" s="14"/>
      <c r="N26460" s="14"/>
      <c r="O26460" s="14"/>
      <c r="P26460" s="13"/>
    </row>
    <row r="26461">
      <c r="L26461" s="13"/>
      <c r="M26461" s="14"/>
      <c r="N26461" s="14"/>
      <c r="O26461" s="14"/>
      <c r="P26461" s="13"/>
    </row>
    <row r="26462">
      <c r="L26462" s="13"/>
      <c r="M26462" s="14"/>
      <c r="N26462" s="14"/>
      <c r="O26462" s="14"/>
      <c r="P26462" s="13"/>
    </row>
    <row r="26463">
      <c r="L26463" s="13"/>
      <c r="M26463" s="14"/>
      <c r="N26463" s="14"/>
      <c r="O26463" s="14"/>
      <c r="P26463" s="13"/>
    </row>
    <row r="26464">
      <c r="L26464" s="13"/>
      <c r="M26464" s="14"/>
      <c r="N26464" s="14"/>
      <c r="O26464" s="14"/>
      <c r="P26464" s="13"/>
    </row>
    <row r="26465">
      <c r="L26465" s="13"/>
      <c r="M26465" s="14"/>
      <c r="N26465" s="14"/>
      <c r="O26465" s="14"/>
      <c r="P26465" s="13"/>
    </row>
    <row r="26466">
      <c r="L26466" s="13"/>
      <c r="M26466" s="14"/>
      <c r="N26466" s="14"/>
      <c r="O26466" s="14"/>
      <c r="P26466" s="13"/>
    </row>
    <row r="26467">
      <c r="L26467" s="13"/>
      <c r="M26467" s="14"/>
      <c r="N26467" s="14"/>
      <c r="O26467" s="14"/>
      <c r="P26467" s="13"/>
    </row>
    <row r="26468">
      <c r="L26468" s="13"/>
      <c r="M26468" s="14"/>
      <c r="N26468" s="14"/>
      <c r="O26468" s="14"/>
      <c r="P26468" s="13"/>
    </row>
    <row r="26469">
      <c r="L26469" s="13"/>
      <c r="M26469" s="14"/>
      <c r="N26469" s="14"/>
      <c r="O26469" s="14"/>
      <c r="P26469" s="13"/>
    </row>
    <row r="26470">
      <c r="L26470" s="13"/>
      <c r="M26470" s="14"/>
      <c r="N26470" s="14"/>
      <c r="O26470" s="14"/>
      <c r="P26470" s="13"/>
    </row>
    <row r="26471">
      <c r="L26471" s="13"/>
      <c r="M26471" s="14"/>
      <c r="N26471" s="14"/>
      <c r="O26471" s="14"/>
      <c r="P26471" s="13"/>
    </row>
    <row r="26472">
      <c r="L26472" s="13"/>
      <c r="M26472" s="14"/>
      <c r="N26472" s="14"/>
      <c r="O26472" s="14"/>
      <c r="P26472" s="13"/>
    </row>
    <row r="26473">
      <c r="L26473" s="13"/>
      <c r="M26473" s="14"/>
      <c r="N26473" s="14"/>
      <c r="O26473" s="14"/>
      <c r="P26473" s="13"/>
    </row>
    <row r="26474">
      <c r="L26474" s="13"/>
      <c r="M26474" s="14"/>
      <c r="N26474" s="14"/>
      <c r="O26474" s="14"/>
      <c r="P26474" s="13"/>
    </row>
    <row r="26475">
      <c r="L26475" s="13"/>
      <c r="M26475" s="14"/>
      <c r="N26475" s="14"/>
      <c r="O26475" s="14"/>
      <c r="P26475" s="13"/>
    </row>
    <row r="26476">
      <c r="L26476" s="13"/>
      <c r="M26476" s="14"/>
      <c r="N26476" s="14"/>
      <c r="O26476" s="14"/>
      <c r="P26476" s="13"/>
    </row>
    <row r="26477">
      <c r="L26477" s="13"/>
      <c r="M26477" s="14"/>
      <c r="N26477" s="14"/>
      <c r="O26477" s="14"/>
      <c r="P26477" s="13"/>
    </row>
    <row r="26478">
      <c r="L26478" s="13"/>
      <c r="M26478" s="14"/>
      <c r="N26478" s="14"/>
      <c r="O26478" s="14"/>
      <c r="P26478" s="13"/>
    </row>
    <row r="26479">
      <c r="L26479" s="13"/>
      <c r="M26479" s="14"/>
      <c r="N26479" s="14"/>
      <c r="O26479" s="14"/>
      <c r="P26479" s="13"/>
    </row>
    <row r="26480">
      <c r="L26480" s="13"/>
      <c r="M26480" s="14"/>
      <c r="N26480" s="14"/>
      <c r="O26480" s="14"/>
      <c r="P26480" s="13"/>
    </row>
    <row r="26481">
      <c r="L26481" s="13"/>
      <c r="M26481" s="14"/>
      <c r="N26481" s="14"/>
      <c r="O26481" s="14"/>
      <c r="P26481" s="13"/>
    </row>
    <row r="26482">
      <c r="L26482" s="13"/>
      <c r="M26482" s="14"/>
      <c r="N26482" s="14"/>
      <c r="O26482" s="14"/>
      <c r="P26482" s="13"/>
    </row>
    <row r="26483">
      <c r="L26483" s="13"/>
      <c r="M26483" s="14"/>
      <c r="N26483" s="14"/>
      <c r="O26483" s="14"/>
      <c r="P26483" s="13"/>
    </row>
    <row r="26484">
      <c r="L26484" s="13"/>
      <c r="M26484" s="14"/>
      <c r="N26484" s="14"/>
      <c r="O26484" s="14"/>
      <c r="P26484" s="13"/>
    </row>
    <row r="26485">
      <c r="L26485" s="13"/>
      <c r="M26485" s="14"/>
      <c r="N26485" s="14"/>
      <c r="O26485" s="14"/>
      <c r="P26485" s="13"/>
    </row>
    <row r="26486">
      <c r="L26486" s="13"/>
      <c r="M26486" s="14"/>
      <c r="N26486" s="14"/>
      <c r="O26486" s="14"/>
      <c r="P26486" s="13"/>
    </row>
    <row r="26487">
      <c r="L26487" s="13"/>
      <c r="M26487" s="14"/>
      <c r="N26487" s="14"/>
      <c r="O26487" s="14"/>
      <c r="P26487" s="13"/>
    </row>
    <row r="26488">
      <c r="L26488" s="13"/>
      <c r="M26488" s="14"/>
      <c r="N26488" s="14"/>
      <c r="O26488" s="14"/>
      <c r="P26488" s="13"/>
    </row>
    <row r="26489">
      <c r="L26489" s="13"/>
      <c r="M26489" s="14"/>
      <c r="N26489" s="14"/>
      <c r="O26489" s="14"/>
      <c r="P26489" s="13"/>
    </row>
    <row r="26490">
      <c r="L26490" s="13"/>
      <c r="M26490" s="14"/>
      <c r="N26490" s="14"/>
      <c r="O26490" s="14"/>
      <c r="P26490" s="13"/>
    </row>
    <row r="26491">
      <c r="L26491" s="13"/>
      <c r="M26491" s="14"/>
      <c r="N26491" s="14"/>
      <c r="O26491" s="14"/>
      <c r="P26491" s="13"/>
    </row>
    <row r="26492">
      <c r="L26492" s="13"/>
      <c r="M26492" s="14"/>
      <c r="N26492" s="14"/>
      <c r="O26492" s="14"/>
      <c r="P26492" s="13"/>
    </row>
    <row r="26493">
      <c r="L26493" s="13"/>
      <c r="M26493" s="14"/>
      <c r="N26493" s="14"/>
      <c r="O26493" s="14"/>
      <c r="P26493" s="13"/>
    </row>
    <row r="26494">
      <c r="L26494" s="13"/>
      <c r="M26494" s="14"/>
      <c r="N26494" s="14"/>
      <c r="O26494" s="14"/>
      <c r="P26494" s="13"/>
    </row>
    <row r="26495">
      <c r="L26495" s="13"/>
      <c r="M26495" s="14"/>
      <c r="N26495" s="14"/>
      <c r="O26495" s="14"/>
      <c r="P26495" s="13"/>
    </row>
    <row r="26496">
      <c r="L26496" s="13"/>
      <c r="M26496" s="14"/>
      <c r="N26496" s="14"/>
      <c r="O26496" s="14"/>
      <c r="P26496" s="13"/>
    </row>
    <row r="26497">
      <c r="L26497" s="13"/>
      <c r="M26497" s="14"/>
      <c r="N26497" s="14"/>
      <c r="O26497" s="14"/>
      <c r="P26497" s="13"/>
    </row>
    <row r="26498">
      <c r="L26498" s="13"/>
      <c r="M26498" s="14"/>
      <c r="N26498" s="14"/>
      <c r="O26498" s="14"/>
      <c r="P26498" s="13"/>
    </row>
    <row r="26499">
      <c r="L26499" s="13"/>
      <c r="M26499" s="14"/>
      <c r="N26499" s="14"/>
      <c r="O26499" s="14"/>
      <c r="P26499" s="13"/>
    </row>
    <row r="26500">
      <c r="L26500" s="13"/>
      <c r="M26500" s="14"/>
      <c r="N26500" s="14"/>
      <c r="O26500" s="14"/>
      <c r="P26500" s="13"/>
    </row>
    <row r="26501">
      <c r="L26501" s="13"/>
      <c r="M26501" s="14"/>
      <c r="N26501" s="14"/>
      <c r="O26501" s="14"/>
      <c r="P26501" s="13"/>
    </row>
    <row r="26502">
      <c r="L26502" s="13"/>
      <c r="M26502" s="14"/>
      <c r="N26502" s="14"/>
      <c r="O26502" s="14"/>
      <c r="P26502" s="13"/>
    </row>
    <row r="26503">
      <c r="L26503" s="13"/>
      <c r="M26503" s="14"/>
      <c r="N26503" s="14"/>
      <c r="O26503" s="14"/>
      <c r="P26503" s="13"/>
    </row>
    <row r="26504">
      <c r="L26504" s="13"/>
      <c r="M26504" s="14"/>
      <c r="N26504" s="14"/>
      <c r="O26504" s="14"/>
      <c r="P26504" s="13"/>
    </row>
    <row r="26505">
      <c r="L26505" s="13"/>
      <c r="M26505" s="14"/>
      <c r="N26505" s="14"/>
      <c r="O26505" s="14"/>
      <c r="P26505" s="13"/>
    </row>
    <row r="26506">
      <c r="L26506" s="13"/>
      <c r="M26506" s="14"/>
      <c r="N26506" s="14"/>
      <c r="O26506" s="14"/>
      <c r="P26506" s="13"/>
    </row>
    <row r="26507">
      <c r="L26507" s="13"/>
      <c r="M26507" s="14"/>
      <c r="N26507" s="14"/>
      <c r="O26507" s="14"/>
      <c r="P26507" s="13"/>
    </row>
    <row r="26508">
      <c r="L26508" s="13"/>
      <c r="M26508" s="14"/>
      <c r="N26508" s="14"/>
      <c r="O26508" s="14"/>
      <c r="P26508" s="13"/>
    </row>
    <row r="26509">
      <c r="L26509" s="13"/>
      <c r="M26509" s="14"/>
      <c r="N26509" s="14"/>
      <c r="O26509" s="14"/>
      <c r="P26509" s="13"/>
    </row>
    <row r="26510">
      <c r="L26510" s="13"/>
      <c r="M26510" s="14"/>
      <c r="N26510" s="14"/>
      <c r="O26510" s="14"/>
      <c r="P26510" s="13"/>
    </row>
    <row r="26511">
      <c r="L26511" s="13"/>
      <c r="M26511" s="14"/>
      <c r="N26511" s="14"/>
      <c r="O26511" s="14"/>
      <c r="P26511" s="13"/>
    </row>
    <row r="26512">
      <c r="L26512" s="13"/>
      <c r="M26512" s="14"/>
      <c r="N26512" s="14"/>
      <c r="O26512" s="14"/>
      <c r="P26512" s="13"/>
    </row>
    <row r="26513">
      <c r="L26513" s="13"/>
      <c r="M26513" s="14"/>
      <c r="N26513" s="14"/>
      <c r="O26513" s="14"/>
      <c r="P26513" s="13"/>
    </row>
    <row r="26514">
      <c r="L26514" s="13"/>
      <c r="M26514" s="14"/>
      <c r="N26514" s="14"/>
      <c r="O26514" s="14"/>
      <c r="P26514" s="13"/>
    </row>
    <row r="26515">
      <c r="L26515" s="13"/>
      <c r="M26515" s="14"/>
      <c r="N26515" s="14"/>
      <c r="O26515" s="14"/>
      <c r="P26515" s="13"/>
    </row>
    <row r="26516">
      <c r="L26516" s="13"/>
      <c r="M26516" s="14"/>
      <c r="N26516" s="14"/>
      <c r="O26516" s="14"/>
      <c r="P26516" s="13"/>
    </row>
    <row r="26517">
      <c r="L26517" s="13"/>
      <c r="M26517" s="14"/>
      <c r="N26517" s="14"/>
      <c r="O26517" s="14"/>
      <c r="P26517" s="13"/>
    </row>
    <row r="26518">
      <c r="L26518" s="13"/>
      <c r="M26518" s="14"/>
      <c r="N26518" s="14"/>
      <c r="O26518" s="14"/>
      <c r="P26518" s="13"/>
    </row>
    <row r="26519">
      <c r="L26519" s="13"/>
      <c r="M26519" s="14"/>
      <c r="N26519" s="14"/>
      <c r="O26519" s="14"/>
      <c r="P26519" s="13"/>
    </row>
    <row r="26520">
      <c r="L26520" s="13"/>
      <c r="M26520" s="14"/>
      <c r="N26520" s="14"/>
      <c r="O26520" s="14"/>
      <c r="P26520" s="13"/>
    </row>
    <row r="26521">
      <c r="L26521" s="13"/>
      <c r="M26521" s="14"/>
      <c r="N26521" s="14"/>
      <c r="O26521" s="14"/>
      <c r="P26521" s="13"/>
    </row>
    <row r="26522">
      <c r="L26522" s="13"/>
      <c r="M26522" s="14"/>
      <c r="N26522" s="14"/>
      <c r="O26522" s="14"/>
      <c r="P26522" s="13"/>
    </row>
    <row r="26523">
      <c r="L26523" s="13"/>
      <c r="M26523" s="14"/>
      <c r="N26523" s="14"/>
      <c r="O26523" s="14"/>
      <c r="P26523" s="13"/>
    </row>
    <row r="26524">
      <c r="L26524" s="13"/>
      <c r="M26524" s="14"/>
      <c r="N26524" s="14"/>
      <c r="O26524" s="14"/>
      <c r="P26524" s="13"/>
    </row>
    <row r="26525">
      <c r="L26525" s="13"/>
      <c r="M26525" s="14"/>
      <c r="N26525" s="14"/>
      <c r="O26525" s="14"/>
      <c r="P26525" s="13"/>
    </row>
    <row r="26526">
      <c r="L26526" s="13"/>
      <c r="M26526" s="14"/>
      <c r="N26526" s="14"/>
      <c r="O26526" s="14"/>
      <c r="P26526" s="13"/>
    </row>
    <row r="26527">
      <c r="L26527" s="13"/>
      <c r="M26527" s="14"/>
      <c r="N26527" s="14"/>
      <c r="O26527" s="14"/>
      <c r="P26527" s="13"/>
    </row>
    <row r="26528">
      <c r="L26528" s="13"/>
      <c r="M26528" s="14"/>
      <c r="N26528" s="14"/>
      <c r="O26528" s="14"/>
      <c r="P26528" s="13"/>
    </row>
    <row r="26529">
      <c r="L26529" s="13"/>
      <c r="M26529" s="14"/>
      <c r="N26529" s="14"/>
      <c r="O26529" s="14"/>
      <c r="P26529" s="13"/>
    </row>
    <row r="26530">
      <c r="L26530" s="13"/>
      <c r="M26530" s="14"/>
      <c r="N26530" s="14"/>
      <c r="O26530" s="14"/>
      <c r="P26530" s="13"/>
    </row>
    <row r="26531">
      <c r="L26531" s="13"/>
      <c r="M26531" s="14"/>
      <c r="N26531" s="14"/>
      <c r="O26531" s="14"/>
      <c r="P26531" s="13"/>
    </row>
    <row r="26532">
      <c r="L26532" s="13"/>
      <c r="M26532" s="14"/>
      <c r="N26532" s="14"/>
      <c r="O26532" s="14"/>
      <c r="P26532" s="13"/>
    </row>
    <row r="26533">
      <c r="L26533" s="13"/>
      <c r="M26533" s="14"/>
      <c r="N26533" s="14"/>
      <c r="O26533" s="14"/>
      <c r="P26533" s="13"/>
    </row>
    <row r="26534">
      <c r="L26534" s="13"/>
      <c r="M26534" s="14"/>
      <c r="N26534" s="14"/>
      <c r="O26534" s="14"/>
      <c r="P26534" s="13"/>
    </row>
    <row r="26535">
      <c r="L26535" s="13"/>
      <c r="M26535" s="14"/>
      <c r="N26535" s="14"/>
      <c r="O26535" s="14"/>
      <c r="P26535" s="13"/>
    </row>
    <row r="26536">
      <c r="L26536" s="13"/>
      <c r="M26536" s="14"/>
      <c r="N26536" s="14"/>
      <c r="O26536" s="14"/>
      <c r="P26536" s="13"/>
    </row>
    <row r="26537">
      <c r="L26537" s="13"/>
      <c r="M26537" s="14"/>
      <c r="N26537" s="14"/>
      <c r="O26537" s="14"/>
      <c r="P26537" s="13"/>
    </row>
    <row r="26538">
      <c r="L26538" s="13"/>
      <c r="M26538" s="14"/>
      <c r="N26538" s="14"/>
      <c r="O26538" s="14"/>
      <c r="P26538" s="13"/>
    </row>
    <row r="26539">
      <c r="L26539" s="13"/>
      <c r="M26539" s="14"/>
      <c r="N26539" s="14"/>
      <c r="O26539" s="14"/>
      <c r="P26539" s="13"/>
    </row>
    <row r="26540">
      <c r="L26540" s="13"/>
      <c r="M26540" s="14"/>
      <c r="N26540" s="14"/>
      <c r="O26540" s="14"/>
      <c r="P26540" s="13"/>
    </row>
    <row r="26541">
      <c r="L26541" s="13"/>
      <c r="M26541" s="14"/>
      <c r="N26541" s="14"/>
      <c r="O26541" s="14"/>
      <c r="P26541" s="13"/>
    </row>
    <row r="26542">
      <c r="L26542" s="13"/>
      <c r="M26542" s="14"/>
      <c r="N26542" s="14"/>
      <c r="O26542" s="14"/>
      <c r="P26542" s="13"/>
    </row>
    <row r="26543">
      <c r="L26543" s="13"/>
      <c r="M26543" s="14"/>
      <c r="N26543" s="14"/>
      <c r="O26543" s="14"/>
      <c r="P26543" s="13"/>
    </row>
    <row r="26544">
      <c r="L26544" s="13"/>
      <c r="M26544" s="14"/>
      <c r="N26544" s="14"/>
      <c r="O26544" s="14"/>
      <c r="P26544" s="13"/>
    </row>
    <row r="26545">
      <c r="L26545" s="13"/>
      <c r="M26545" s="14"/>
      <c r="N26545" s="14"/>
      <c r="O26545" s="14"/>
      <c r="P26545" s="13"/>
    </row>
    <row r="26546">
      <c r="L26546" s="13"/>
      <c r="M26546" s="14"/>
      <c r="N26546" s="14"/>
      <c r="O26546" s="14"/>
      <c r="P26546" s="13"/>
    </row>
    <row r="26547">
      <c r="L26547" s="13"/>
      <c r="M26547" s="14"/>
      <c r="N26547" s="14"/>
      <c r="O26547" s="14"/>
      <c r="P26547" s="13"/>
    </row>
    <row r="26548">
      <c r="L26548" s="13"/>
      <c r="M26548" s="14"/>
      <c r="N26548" s="14"/>
      <c r="O26548" s="14"/>
      <c r="P26548" s="13"/>
    </row>
    <row r="26549">
      <c r="L26549" s="13"/>
      <c r="M26549" s="14"/>
      <c r="N26549" s="14"/>
      <c r="O26549" s="14"/>
      <c r="P26549" s="13"/>
    </row>
    <row r="26550">
      <c r="L26550" s="13"/>
      <c r="M26550" s="14"/>
      <c r="N26550" s="14"/>
      <c r="O26550" s="14"/>
      <c r="P26550" s="13"/>
    </row>
    <row r="26551">
      <c r="L26551" s="13"/>
      <c r="M26551" s="14"/>
      <c r="N26551" s="14"/>
      <c r="O26551" s="14"/>
      <c r="P26551" s="13"/>
    </row>
    <row r="26552">
      <c r="L26552" s="13"/>
      <c r="M26552" s="14"/>
      <c r="N26552" s="14"/>
      <c r="O26552" s="14"/>
      <c r="P26552" s="13"/>
    </row>
    <row r="26553">
      <c r="L26553" s="13"/>
      <c r="M26553" s="14"/>
      <c r="N26553" s="14"/>
      <c r="O26553" s="14"/>
      <c r="P26553" s="13"/>
    </row>
    <row r="26554">
      <c r="L26554" s="13"/>
      <c r="M26554" s="14"/>
      <c r="N26554" s="14"/>
      <c r="O26554" s="14"/>
      <c r="P26554" s="13"/>
    </row>
    <row r="26555">
      <c r="L26555" s="13"/>
      <c r="M26555" s="14"/>
      <c r="N26555" s="14"/>
      <c r="O26555" s="14"/>
      <c r="P26555" s="13"/>
    </row>
    <row r="26556">
      <c r="L26556" s="13"/>
      <c r="M26556" s="14"/>
      <c r="N26556" s="14"/>
      <c r="O26556" s="14"/>
      <c r="P26556" s="13"/>
    </row>
    <row r="26557">
      <c r="L26557" s="13"/>
      <c r="M26557" s="14"/>
      <c r="N26557" s="14"/>
      <c r="O26557" s="14"/>
      <c r="P26557" s="13"/>
    </row>
    <row r="26558">
      <c r="L26558" s="13"/>
      <c r="M26558" s="14"/>
      <c r="N26558" s="14"/>
      <c r="O26558" s="14"/>
      <c r="P26558" s="13"/>
    </row>
    <row r="26559">
      <c r="L26559" s="13"/>
      <c r="M26559" s="14"/>
      <c r="N26559" s="14"/>
      <c r="O26559" s="14"/>
      <c r="P26559" s="13"/>
    </row>
    <row r="26560">
      <c r="L26560" s="13"/>
      <c r="M26560" s="14"/>
      <c r="N26560" s="14"/>
      <c r="O26560" s="14"/>
      <c r="P26560" s="13"/>
    </row>
    <row r="26561">
      <c r="L26561" s="13"/>
      <c r="M26561" s="14"/>
      <c r="N26561" s="14"/>
      <c r="O26561" s="14"/>
      <c r="P26561" s="13"/>
    </row>
    <row r="26562">
      <c r="L26562" s="13"/>
      <c r="M26562" s="14"/>
      <c r="N26562" s="14"/>
      <c r="O26562" s="14"/>
      <c r="P26562" s="13"/>
    </row>
    <row r="26563">
      <c r="L26563" s="13"/>
      <c r="M26563" s="14"/>
      <c r="N26563" s="14"/>
      <c r="O26563" s="14"/>
      <c r="P26563" s="13"/>
    </row>
    <row r="26564">
      <c r="L26564" s="13"/>
      <c r="M26564" s="14"/>
      <c r="N26564" s="14"/>
      <c r="O26564" s="14"/>
      <c r="P26564" s="13"/>
    </row>
    <row r="26565">
      <c r="L26565" s="13"/>
      <c r="M26565" s="14"/>
      <c r="N26565" s="14"/>
      <c r="O26565" s="14"/>
      <c r="P26565" s="13"/>
    </row>
    <row r="26566">
      <c r="L26566" s="13"/>
      <c r="M26566" s="14"/>
      <c r="N26566" s="14"/>
      <c r="O26566" s="14"/>
      <c r="P26566" s="13"/>
    </row>
    <row r="26567">
      <c r="L26567" s="13"/>
      <c r="M26567" s="14"/>
      <c r="N26567" s="14"/>
      <c r="O26567" s="14"/>
      <c r="P26567" s="13"/>
    </row>
    <row r="26568">
      <c r="L26568" s="13"/>
      <c r="M26568" s="14"/>
      <c r="N26568" s="14"/>
      <c r="O26568" s="14"/>
      <c r="P26568" s="13"/>
    </row>
    <row r="26569">
      <c r="L26569" s="13"/>
      <c r="M26569" s="14"/>
      <c r="N26569" s="14"/>
      <c r="O26569" s="14"/>
      <c r="P26569" s="13"/>
    </row>
    <row r="26570">
      <c r="L26570" s="13"/>
      <c r="M26570" s="14"/>
      <c r="N26570" s="14"/>
      <c r="O26570" s="14"/>
      <c r="P26570" s="13"/>
    </row>
    <row r="26571">
      <c r="L26571" s="13"/>
      <c r="M26571" s="14"/>
      <c r="N26571" s="14"/>
      <c r="O26571" s="14"/>
      <c r="P26571" s="13"/>
    </row>
    <row r="26572">
      <c r="L26572" s="13"/>
      <c r="M26572" s="14"/>
      <c r="N26572" s="14"/>
      <c r="O26572" s="14"/>
      <c r="P26572" s="13"/>
    </row>
    <row r="26573">
      <c r="L26573" s="13"/>
      <c r="M26573" s="14"/>
      <c r="N26573" s="14"/>
      <c r="O26573" s="14"/>
      <c r="P26573" s="13"/>
    </row>
    <row r="26574">
      <c r="L26574" s="13"/>
      <c r="M26574" s="14"/>
      <c r="N26574" s="14"/>
      <c r="O26574" s="14"/>
      <c r="P26574" s="13"/>
    </row>
    <row r="26575">
      <c r="L26575" s="13"/>
      <c r="M26575" s="14"/>
      <c r="N26575" s="14"/>
      <c r="O26575" s="14"/>
      <c r="P26575" s="13"/>
    </row>
    <row r="26576">
      <c r="L26576" s="13"/>
      <c r="M26576" s="14"/>
      <c r="N26576" s="14"/>
      <c r="O26576" s="14"/>
      <c r="P26576" s="13"/>
    </row>
    <row r="26577">
      <c r="L26577" s="13"/>
      <c r="M26577" s="14"/>
      <c r="N26577" s="14"/>
      <c r="O26577" s="14"/>
      <c r="P26577" s="13"/>
    </row>
    <row r="26578">
      <c r="L26578" s="13"/>
      <c r="M26578" s="14"/>
      <c r="N26578" s="14"/>
      <c r="O26578" s="14"/>
      <c r="P26578" s="13"/>
    </row>
    <row r="26579">
      <c r="L26579" s="13"/>
      <c r="M26579" s="14"/>
      <c r="N26579" s="14"/>
      <c r="O26579" s="14"/>
      <c r="P26579" s="13"/>
    </row>
    <row r="26580">
      <c r="L26580" s="13"/>
      <c r="M26580" s="14"/>
      <c r="N26580" s="14"/>
      <c r="O26580" s="14"/>
      <c r="P26580" s="13"/>
    </row>
    <row r="26581">
      <c r="L26581" s="13"/>
      <c r="M26581" s="14"/>
      <c r="N26581" s="14"/>
      <c r="O26581" s="14"/>
      <c r="P26581" s="13"/>
    </row>
    <row r="26582">
      <c r="L26582" s="13"/>
      <c r="M26582" s="14"/>
      <c r="N26582" s="14"/>
      <c r="O26582" s="14"/>
      <c r="P26582" s="13"/>
    </row>
    <row r="26583">
      <c r="L26583" s="13"/>
      <c r="M26583" s="14"/>
      <c r="N26583" s="14"/>
      <c r="O26583" s="14"/>
      <c r="P26583" s="13"/>
    </row>
    <row r="26584">
      <c r="L26584" s="13"/>
      <c r="M26584" s="14"/>
      <c r="N26584" s="14"/>
      <c r="O26584" s="14"/>
      <c r="P26584" s="13"/>
    </row>
    <row r="26585">
      <c r="L26585" s="13"/>
      <c r="M26585" s="14"/>
      <c r="N26585" s="14"/>
      <c r="O26585" s="14"/>
      <c r="P26585" s="13"/>
    </row>
    <row r="26586">
      <c r="L26586" s="13"/>
      <c r="M26586" s="14"/>
      <c r="N26586" s="14"/>
      <c r="O26586" s="14"/>
      <c r="P26586" s="13"/>
    </row>
    <row r="26587">
      <c r="L26587" s="13"/>
      <c r="M26587" s="14"/>
      <c r="N26587" s="14"/>
      <c r="O26587" s="14"/>
      <c r="P26587" s="13"/>
    </row>
    <row r="26588">
      <c r="L26588" s="13"/>
      <c r="M26588" s="14"/>
      <c r="N26588" s="14"/>
      <c r="O26588" s="14"/>
      <c r="P26588" s="13"/>
    </row>
    <row r="26589">
      <c r="L26589" s="13"/>
      <c r="M26589" s="14"/>
      <c r="N26589" s="14"/>
      <c r="O26589" s="14"/>
      <c r="P26589" s="13"/>
    </row>
    <row r="26590">
      <c r="L26590" s="13"/>
      <c r="M26590" s="14"/>
      <c r="N26590" s="14"/>
      <c r="O26590" s="14"/>
      <c r="P26590" s="13"/>
    </row>
    <row r="26591">
      <c r="L26591" s="13"/>
      <c r="M26591" s="14"/>
      <c r="N26591" s="14"/>
      <c r="O26591" s="14"/>
      <c r="P26591" s="13"/>
    </row>
    <row r="26592">
      <c r="L26592" s="13"/>
      <c r="M26592" s="14"/>
      <c r="N26592" s="14"/>
      <c r="O26592" s="14"/>
      <c r="P26592" s="13"/>
    </row>
    <row r="26593">
      <c r="L26593" s="13"/>
      <c r="M26593" s="14"/>
      <c r="N26593" s="14"/>
      <c r="O26593" s="14"/>
      <c r="P26593" s="13"/>
    </row>
    <row r="26594">
      <c r="L26594" s="13"/>
      <c r="M26594" s="14"/>
      <c r="N26594" s="14"/>
      <c r="O26594" s="14"/>
      <c r="P26594" s="13"/>
    </row>
    <row r="26595">
      <c r="L26595" s="13"/>
      <c r="M26595" s="14"/>
      <c r="N26595" s="14"/>
      <c r="O26595" s="14"/>
      <c r="P26595" s="13"/>
    </row>
    <row r="26596">
      <c r="L26596" s="13"/>
      <c r="M26596" s="14"/>
      <c r="N26596" s="14"/>
      <c r="O26596" s="14"/>
      <c r="P26596" s="13"/>
    </row>
    <row r="26597">
      <c r="L26597" s="13"/>
      <c r="M26597" s="14"/>
      <c r="N26597" s="14"/>
      <c r="O26597" s="14"/>
      <c r="P26597" s="13"/>
    </row>
    <row r="26598">
      <c r="L26598" s="13"/>
      <c r="M26598" s="14"/>
      <c r="N26598" s="14"/>
      <c r="O26598" s="14"/>
      <c r="P26598" s="13"/>
    </row>
    <row r="26599">
      <c r="L26599" s="13"/>
      <c r="M26599" s="14"/>
      <c r="N26599" s="14"/>
      <c r="O26599" s="14"/>
      <c r="P26599" s="13"/>
    </row>
    <row r="26600">
      <c r="L26600" s="13"/>
      <c r="M26600" s="14"/>
      <c r="N26600" s="14"/>
      <c r="O26600" s="14"/>
      <c r="P26600" s="13"/>
    </row>
    <row r="26601">
      <c r="L26601" s="13"/>
      <c r="M26601" s="14"/>
      <c r="N26601" s="14"/>
      <c r="O26601" s="14"/>
      <c r="P26601" s="13"/>
    </row>
    <row r="26602">
      <c r="L26602" s="13"/>
      <c r="M26602" s="14"/>
      <c r="N26602" s="14"/>
      <c r="O26602" s="14"/>
      <c r="P26602" s="13"/>
    </row>
    <row r="26603">
      <c r="L26603" s="13"/>
      <c r="M26603" s="14"/>
      <c r="N26603" s="14"/>
      <c r="O26603" s="14"/>
      <c r="P26603" s="13"/>
    </row>
    <row r="26604">
      <c r="L26604" s="13"/>
      <c r="M26604" s="14"/>
      <c r="N26604" s="14"/>
      <c r="O26604" s="14"/>
      <c r="P26604" s="13"/>
    </row>
    <row r="26605">
      <c r="L26605" s="13"/>
      <c r="M26605" s="14"/>
      <c r="N26605" s="14"/>
      <c r="O26605" s="14"/>
      <c r="P26605" s="13"/>
    </row>
    <row r="26606">
      <c r="L26606" s="13"/>
      <c r="M26606" s="14"/>
      <c r="N26606" s="14"/>
      <c r="O26606" s="14"/>
      <c r="P26606" s="13"/>
    </row>
    <row r="26607">
      <c r="L26607" s="13"/>
      <c r="M26607" s="14"/>
      <c r="N26607" s="14"/>
      <c r="O26607" s="14"/>
      <c r="P26607" s="13"/>
    </row>
    <row r="26608">
      <c r="L26608" s="13"/>
      <c r="M26608" s="14"/>
      <c r="N26608" s="14"/>
      <c r="O26608" s="14"/>
      <c r="P26608" s="13"/>
    </row>
    <row r="26609">
      <c r="L26609" s="13"/>
      <c r="M26609" s="14"/>
      <c r="N26609" s="14"/>
      <c r="O26609" s="14"/>
      <c r="P26609" s="13"/>
    </row>
    <row r="26610">
      <c r="L26610" s="13"/>
      <c r="M26610" s="14"/>
      <c r="N26610" s="14"/>
      <c r="O26610" s="14"/>
      <c r="P26610" s="13"/>
    </row>
    <row r="26611">
      <c r="L26611" s="13"/>
      <c r="M26611" s="14"/>
      <c r="N26611" s="14"/>
      <c r="O26611" s="14"/>
      <c r="P26611" s="13"/>
    </row>
    <row r="26612">
      <c r="L26612" s="13"/>
      <c r="M26612" s="14"/>
      <c r="N26612" s="14"/>
      <c r="O26612" s="14"/>
      <c r="P26612" s="13"/>
    </row>
    <row r="26613">
      <c r="L26613" s="13"/>
      <c r="M26613" s="14"/>
      <c r="N26613" s="14"/>
      <c r="O26613" s="14"/>
      <c r="P26613" s="13"/>
    </row>
    <row r="26614">
      <c r="L26614" s="13"/>
      <c r="M26614" s="14"/>
      <c r="N26614" s="14"/>
      <c r="O26614" s="14"/>
      <c r="P26614" s="13"/>
    </row>
    <row r="26615">
      <c r="L26615" s="13"/>
      <c r="M26615" s="14"/>
      <c r="N26615" s="14"/>
      <c r="O26615" s="14"/>
      <c r="P26615" s="13"/>
    </row>
    <row r="26616">
      <c r="L26616" s="13"/>
      <c r="M26616" s="14"/>
      <c r="N26616" s="14"/>
      <c r="O26616" s="14"/>
      <c r="P26616" s="13"/>
    </row>
    <row r="26617">
      <c r="L26617" s="13"/>
      <c r="M26617" s="14"/>
      <c r="N26617" s="14"/>
      <c r="O26617" s="14"/>
      <c r="P26617" s="13"/>
    </row>
    <row r="26618">
      <c r="L26618" s="13"/>
      <c r="M26618" s="14"/>
      <c r="N26618" s="14"/>
      <c r="O26618" s="14"/>
      <c r="P26618" s="13"/>
    </row>
    <row r="26619">
      <c r="L26619" s="13"/>
      <c r="M26619" s="14"/>
      <c r="N26619" s="14"/>
      <c r="O26619" s="14"/>
      <c r="P26619" s="13"/>
    </row>
    <row r="26620">
      <c r="L26620" s="13"/>
      <c r="M26620" s="14"/>
      <c r="N26620" s="14"/>
      <c r="O26620" s="14"/>
      <c r="P26620" s="13"/>
    </row>
    <row r="26621">
      <c r="L26621" s="13"/>
      <c r="M26621" s="14"/>
      <c r="N26621" s="14"/>
      <c r="O26621" s="14"/>
      <c r="P26621" s="13"/>
    </row>
    <row r="26622">
      <c r="L26622" s="13"/>
      <c r="M26622" s="14"/>
      <c r="N26622" s="14"/>
      <c r="O26622" s="14"/>
      <c r="P26622" s="13"/>
    </row>
    <row r="26623">
      <c r="L26623" s="13"/>
      <c r="M26623" s="14"/>
      <c r="N26623" s="14"/>
      <c r="O26623" s="14"/>
      <c r="P26623" s="13"/>
    </row>
    <row r="26624">
      <c r="L26624" s="13"/>
      <c r="M26624" s="14"/>
      <c r="N26624" s="14"/>
      <c r="O26624" s="14"/>
      <c r="P26624" s="13"/>
    </row>
    <row r="26625">
      <c r="L26625" s="13"/>
      <c r="M26625" s="14"/>
      <c r="N26625" s="14"/>
      <c r="O26625" s="14"/>
      <c r="P26625" s="13"/>
    </row>
    <row r="26626">
      <c r="L26626" s="13"/>
      <c r="M26626" s="14"/>
      <c r="N26626" s="14"/>
      <c r="O26626" s="14"/>
      <c r="P26626" s="13"/>
    </row>
    <row r="26627">
      <c r="L26627" s="13"/>
      <c r="M26627" s="14"/>
      <c r="N26627" s="14"/>
      <c r="O26627" s="14"/>
      <c r="P26627" s="13"/>
    </row>
    <row r="26628">
      <c r="L26628" s="13"/>
      <c r="M26628" s="14"/>
      <c r="N26628" s="14"/>
      <c r="O26628" s="14"/>
      <c r="P26628" s="13"/>
    </row>
    <row r="26629">
      <c r="L26629" s="13"/>
      <c r="M26629" s="14"/>
      <c r="N26629" s="14"/>
      <c r="O26629" s="14"/>
      <c r="P26629" s="13"/>
    </row>
    <row r="26630">
      <c r="L26630" s="13"/>
      <c r="M26630" s="14"/>
      <c r="N26630" s="14"/>
      <c r="O26630" s="14"/>
      <c r="P26630" s="13"/>
    </row>
    <row r="26631">
      <c r="L26631" s="13"/>
      <c r="M26631" s="14"/>
      <c r="N26631" s="14"/>
      <c r="O26631" s="14"/>
      <c r="P26631" s="13"/>
    </row>
    <row r="26632">
      <c r="L26632" s="13"/>
      <c r="M26632" s="14"/>
      <c r="N26632" s="14"/>
      <c r="O26632" s="14"/>
      <c r="P26632" s="13"/>
    </row>
    <row r="26633">
      <c r="L26633" s="13"/>
      <c r="M26633" s="14"/>
      <c r="N26633" s="14"/>
      <c r="O26633" s="14"/>
      <c r="P26633" s="13"/>
    </row>
    <row r="26634">
      <c r="L26634" s="13"/>
      <c r="M26634" s="14"/>
      <c r="N26634" s="14"/>
      <c r="O26634" s="14"/>
      <c r="P26634" s="13"/>
    </row>
    <row r="26635">
      <c r="L26635" s="13"/>
      <c r="M26635" s="14"/>
      <c r="N26635" s="14"/>
      <c r="O26635" s="14"/>
      <c r="P26635" s="13"/>
    </row>
    <row r="26636">
      <c r="L26636" s="13"/>
      <c r="M26636" s="14"/>
      <c r="N26636" s="14"/>
      <c r="O26636" s="14"/>
      <c r="P26636" s="13"/>
    </row>
    <row r="26637">
      <c r="L26637" s="13"/>
      <c r="M26637" s="14"/>
      <c r="N26637" s="14"/>
      <c r="O26637" s="14"/>
      <c r="P26637" s="13"/>
    </row>
    <row r="26638">
      <c r="L26638" s="13"/>
      <c r="M26638" s="14"/>
      <c r="N26638" s="14"/>
      <c r="O26638" s="14"/>
      <c r="P26638" s="13"/>
    </row>
    <row r="26639">
      <c r="L26639" s="13"/>
      <c r="M26639" s="14"/>
      <c r="N26639" s="14"/>
      <c r="O26639" s="14"/>
      <c r="P26639" s="13"/>
    </row>
    <row r="26640">
      <c r="L26640" s="13"/>
      <c r="M26640" s="14"/>
      <c r="N26640" s="14"/>
      <c r="O26640" s="14"/>
      <c r="P26640" s="13"/>
    </row>
    <row r="26641">
      <c r="L26641" s="13"/>
      <c r="M26641" s="14"/>
      <c r="N26641" s="14"/>
      <c r="O26641" s="14"/>
      <c r="P26641" s="13"/>
    </row>
    <row r="26642">
      <c r="L26642" s="13"/>
      <c r="M26642" s="14"/>
      <c r="N26642" s="14"/>
      <c r="O26642" s="14"/>
      <c r="P26642" s="13"/>
    </row>
    <row r="26643">
      <c r="L26643" s="13"/>
      <c r="M26643" s="14"/>
      <c r="N26643" s="14"/>
      <c r="O26643" s="14"/>
      <c r="P26643" s="13"/>
    </row>
    <row r="26644">
      <c r="L26644" s="13"/>
      <c r="M26644" s="14"/>
      <c r="N26644" s="14"/>
      <c r="O26644" s="14"/>
      <c r="P26644" s="13"/>
    </row>
    <row r="26645">
      <c r="L26645" s="13"/>
      <c r="M26645" s="14"/>
      <c r="N26645" s="14"/>
      <c r="O26645" s="14"/>
      <c r="P26645" s="13"/>
    </row>
    <row r="26646">
      <c r="L26646" s="13"/>
      <c r="M26646" s="14"/>
      <c r="N26646" s="14"/>
      <c r="O26646" s="14"/>
      <c r="P26646" s="13"/>
    </row>
    <row r="26647">
      <c r="L26647" s="13"/>
      <c r="M26647" s="14"/>
      <c r="N26647" s="14"/>
      <c r="O26647" s="14"/>
      <c r="P26647" s="13"/>
    </row>
    <row r="26648">
      <c r="L26648" s="13"/>
      <c r="M26648" s="14"/>
      <c r="N26648" s="14"/>
      <c r="O26648" s="14"/>
      <c r="P26648" s="13"/>
    </row>
    <row r="26649">
      <c r="L26649" s="13"/>
      <c r="M26649" s="14"/>
      <c r="N26649" s="14"/>
      <c r="O26649" s="14"/>
      <c r="P26649" s="13"/>
    </row>
    <row r="26650">
      <c r="L26650" s="13"/>
      <c r="M26650" s="14"/>
      <c r="N26650" s="14"/>
      <c r="O26650" s="14"/>
      <c r="P26650" s="13"/>
    </row>
    <row r="26651">
      <c r="L26651" s="13"/>
      <c r="M26651" s="14"/>
      <c r="N26651" s="14"/>
      <c r="O26651" s="14"/>
      <c r="P26651" s="13"/>
    </row>
    <row r="26652">
      <c r="L26652" s="13"/>
      <c r="M26652" s="14"/>
      <c r="N26652" s="14"/>
      <c r="O26652" s="14"/>
      <c r="P26652" s="13"/>
    </row>
    <row r="26653">
      <c r="L26653" s="13"/>
      <c r="M26653" s="14"/>
      <c r="N26653" s="14"/>
      <c r="O26653" s="14"/>
      <c r="P26653" s="13"/>
    </row>
    <row r="26654">
      <c r="L26654" s="13"/>
      <c r="M26654" s="14"/>
      <c r="N26654" s="14"/>
      <c r="O26654" s="14"/>
      <c r="P26654" s="13"/>
    </row>
    <row r="26655">
      <c r="L26655" s="13"/>
      <c r="M26655" s="14"/>
      <c r="N26655" s="14"/>
      <c r="O26655" s="14"/>
      <c r="P26655" s="13"/>
    </row>
    <row r="26656">
      <c r="L26656" s="13"/>
      <c r="M26656" s="14"/>
      <c r="N26656" s="14"/>
      <c r="O26656" s="14"/>
      <c r="P26656" s="13"/>
    </row>
    <row r="26657">
      <c r="L26657" s="13"/>
      <c r="M26657" s="14"/>
      <c r="N26657" s="14"/>
      <c r="O26657" s="14"/>
      <c r="P26657" s="13"/>
    </row>
    <row r="26658">
      <c r="L26658" s="13"/>
      <c r="M26658" s="14"/>
      <c r="N26658" s="14"/>
      <c r="O26658" s="14"/>
      <c r="P26658" s="13"/>
    </row>
    <row r="26659">
      <c r="L26659" s="13"/>
      <c r="M26659" s="14"/>
      <c r="N26659" s="14"/>
      <c r="O26659" s="14"/>
      <c r="P26659" s="13"/>
    </row>
    <row r="26660">
      <c r="L26660" s="13"/>
      <c r="M26660" s="14"/>
      <c r="N26660" s="14"/>
      <c r="O26660" s="14"/>
      <c r="P26660" s="13"/>
    </row>
    <row r="26661">
      <c r="L26661" s="13"/>
      <c r="M26661" s="14"/>
      <c r="N26661" s="14"/>
      <c r="O26661" s="14"/>
      <c r="P26661" s="13"/>
    </row>
    <row r="26662">
      <c r="L26662" s="13"/>
      <c r="M26662" s="14"/>
      <c r="N26662" s="14"/>
      <c r="O26662" s="14"/>
      <c r="P26662" s="13"/>
    </row>
    <row r="26663">
      <c r="L26663" s="13"/>
      <c r="M26663" s="14"/>
      <c r="N26663" s="14"/>
      <c r="O26663" s="14"/>
      <c r="P26663" s="13"/>
    </row>
    <row r="26664">
      <c r="L26664" s="13"/>
      <c r="M26664" s="14"/>
      <c r="N26664" s="14"/>
      <c r="O26664" s="14"/>
      <c r="P26664" s="13"/>
    </row>
    <row r="26665">
      <c r="L26665" s="13"/>
      <c r="M26665" s="14"/>
      <c r="N26665" s="14"/>
      <c r="O26665" s="14"/>
      <c r="P26665" s="13"/>
    </row>
    <row r="26666">
      <c r="L26666" s="13"/>
      <c r="M26666" s="14"/>
      <c r="N26666" s="14"/>
      <c r="O26666" s="14"/>
      <c r="P26666" s="13"/>
    </row>
    <row r="26667">
      <c r="L26667" s="13"/>
      <c r="M26667" s="14"/>
      <c r="N26667" s="14"/>
      <c r="O26667" s="14"/>
      <c r="P26667" s="13"/>
    </row>
    <row r="26668">
      <c r="L26668" s="13"/>
      <c r="M26668" s="14"/>
      <c r="N26668" s="14"/>
      <c r="O26668" s="14"/>
      <c r="P26668" s="13"/>
    </row>
    <row r="26669">
      <c r="L26669" s="13"/>
      <c r="M26669" s="14"/>
      <c r="N26669" s="14"/>
      <c r="O26669" s="14"/>
      <c r="P26669" s="13"/>
    </row>
    <row r="26670">
      <c r="L26670" s="13"/>
      <c r="M26670" s="14"/>
      <c r="N26670" s="14"/>
      <c r="O26670" s="14"/>
      <c r="P26670" s="13"/>
    </row>
    <row r="26671">
      <c r="L26671" s="13"/>
      <c r="M26671" s="14"/>
      <c r="N26671" s="14"/>
      <c r="O26671" s="14"/>
      <c r="P26671" s="13"/>
    </row>
    <row r="26672">
      <c r="L26672" s="13"/>
      <c r="M26672" s="14"/>
      <c r="N26672" s="14"/>
      <c r="O26672" s="14"/>
      <c r="P26672" s="13"/>
    </row>
    <row r="26673">
      <c r="L26673" s="13"/>
      <c r="M26673" s="14"/>
      <c r="N26673" s="14"/>
      <c r="O26673" s="14"/>
      <c r="P26673" s="13"/>
    </row>
    <row r="26674">
      <c r="L26674" s="13"/>
      <c r="M26674" s="14"/>
      <c r="N26674" s="14"/>
      <c r="O26674" s="14"/>
      <c r="P26674" s="13"/>
    </row>
    <row r="26675">
      <c r="L26675" s="13"/>
      <c r="M26675" s="14"/>
      <c r="N26675" s="14"/>
      <c r="O26675" s="14"/>
      <c r="P26675" s="13"/>
    </row>
    <row r="26676">
      <c r="L26676" s="13"/>
      <c r="M26676" s="14"/>
      <c r="N26676" s="14"/>
      <c r="O26676" s="14"/>
      <c r="P26676" s="13"/>
    </row>
    <row r="26677">
      <c r="L26677" s="13"/>
      <c r="M26677" s="14"/>
      <c r="N26677" s="14"/>
      <c r="O26677" s="14"/>
      <c r="P26677" s="13"/>
    </row>
    <row r="26678">
      <c r="L26678" s="13"/>
      <c r="M26678" s="14"/>
      <c r="N26678" s="14"/>
      <c r="O26678" s="14"/>
      <c r="P26678" s="13"/>
    </row>
    <row r="26679">
      <c r="L26679" s="13"/>
      <c r="M26679" s="14"/>
      <c r="N26679" s="14"/>
      <c r="O26679" s="14"/>
      <c r="P26679" s="13"/>
    </row>
    <row r="26680">
      <c r="L26680" s="13"/>
      <c r="M26680" s="14"/>
      <c r="N26680" s="14"/>
      <c r="O26680" s="14"/>
      <c r="P26680" s="13"/>
    </row>
    <row r="26681">
      <c r="L26681" s="13"/>
      <c r="M26681" s="14"/>
      <c r="N26681" s="14"/>
      <c r="O26681" s="14"/>
      <c r="P26681" s="13"/>
    </row>
    <row r="26682">
      <c r="L26682" s="13"/>
      <c r="M26682" s="14"/>
      <c r="N26682" s="14"/>
      <c r="O26682" s="14"/>
      <c r="P26682" s="13"/>
    </row>
    <row r="26683">
      <c r="L26683" s="13"/>
      <c r="M26683" s="14"/>
      <c r="N26683" s="14"/>
      <c r="O26683" s="14"/>
      <c r="P26683" s="13"/>
    </row>
    <row r="26684">
      <c r="L26684" s="13"/>
      <c r="M26684" s="14"/>
      <c r="N26684" s="14"/>
      <c r="O26684" s="14"/>
      <c r="P26684" s="13"/>
    </row>
    <row r="26685">
      <c r="L26685" s="13"/>
      <c r="M26685" s="14"/>
      <c r="N26685" s="14"/>
      <c r="O26685" s="14"/>
      <c r="P26685" s="13"/>
    </row>
    <row r="26686">
      <c r="L26686" s="13"/>
      <c r="M26686" s="14"/>
      <c r="N26686" s="14"/>
      <c r="O26686" s="14"/>
      <c r="P26686" s="13"/>
    </row>
    <row r="26687">
      <c r="L26687" s="13"/>
      <c r="M26687" s="14"/>
      <c r="N26687" s="14"/>
      <c r="O26687" s="14"/>
      <c r="P26687" s="13"/>
    </row>
    <row r="26688">
      <c r="L26688" s="13"/>
      <c r="M26688" s="14"/>
      <c r="N26688" s="14"/>
      <c r="O26688" s="14"/>
      <c r="P26688" s="13"/>
    </row>
    <row r="26689">
      <c r="L26689" s="13"/>
      <c r="M26689" s="14"/>
      <c r="N26689" s="14"/>
      <c r="O26689" s="14"/>
      <c r="P26689" s="13"/>
    </row>
    <row r="26690">
      <c r="L26690" s="13"/>
      <c r="M26690" s="14"/>
      <c r="N26690" s="14"/>
      <c r="O26690" s="14"/>
      <c r="P26690" s="13"/>
    </row>
    <row r="26691">
      <c r="L26691" s="13"/>
      <c r="M26691" s="14"/>
      <c r="N26691" s="14"/>
      <c r="O26691" s="14"/>
      <c r="P26691" s="13"/>
    </row>
    <row r="26692">
      <c r="L26692" s="13"/>
      <c r="M26692" s="14"/>
      <c r="N26692" s="14"/>
      <c r="O26692" s="14"/>
      <c r="P26692" s="13"/>
    </row>
    <row r="26693">
      <c r="L26693" s="13"/>
      <c r="M26693" s="14"/>
      <c r="N26693" s="14"/>
      <c r="O26693" s="14"/>
      <c r="P26693" s="13"/>
    </row>
    <row r="26694">
      <c r="L26694" s="13"/>
      <c r="M26694" s="14"/>
      <c r="N26694" s="14"/>
      <c r="O26694" s="14"/>
      <c r="P26694" s="13"/>
    </row>
    <row r="26695">
      <c r="L26695" s="13"/>
      <c r="M26695" s="14"/>
      <c r="N26695" s="14"/>
      <c r="O26695" s="14"/>
      <c r="P26695" s="13"/>
    </row>
    <row r="26696">
      <c r="L26696" s="13"/>
      <c r="M26696" s="14"/>
      <c r="N26696" s="14"/>
      <c r="O26696" s="14"/>
      <c r="P26696" s="13"/>
    </row>
    <row r="26697">
      <c r="L26697" s="13"/>
      <c r="M26697" s="14"/>
      <c r="N26697" s="14"/>
      <c r="O26697" s="14"/>
      <c r="P26697" s="13"/>
    </row>
    <row r="26698">
      <c r="L26698" s="13"/>
      <c r="M26698" s="14"/>
      <c r="N26698" s="14"/>
      <c r="O26698" s="14"/>
      <c r="P26698" s="13"/>
    </row>
    <row r="26699">
      <c r="L26699" s="13"/>
      <c r="M26699" s="14"/>
      <c r="N26699" s="14"/>
      <c r="O26699" s="14"/>
      <c r="P26699" s="13"/>
    </row>
    <row r="26700">
      <c r="L26700" s="13"/>
      <c r="M26700" s="14"/>
      <c r="N26700" s="14"/>
      <c r="O26700" s="14"/>
      <c r="P26700" s="13"/>
    </row>
    <row r="26701">
      <c r="L26701" s="13"/>
      <c r="M26701" s="14"/>
      <c r="N26701" s="14"/>
      <c r="O26701" s="14"/>
      <c r="P26701" s="13"/>
    </row>
    <row r="26702">
      <c r="L26702" s="13"/>
      <c r="M26702" s="14"/>
      <c r="N26702" s="14"/>
      <c r="O26702" s="14"/>
      <c r="P26702" s="13"/>
    </row>
    <row r="26703">
      <c r="L26703" s="13"/>
      <c r="M26703" s="14"/>
      <c r="N26703" s="14"/>
      <c r="O26703" s="14"/>
      <c r="P26703" s="13"/>
    </row>
    <row r="26704">
      <c r="L26704" s="13"/>
      <c r="M26704" s="14"/>
      <c r="N26704" s="14"/>
      <c r="O26704" s="14"/>
      <c r="P26704" s="13"/>
    </row>
    <row r="26705">
      <c r="L26705" s="13"/>
      <c r="M26705" s="14"/>
      <c r="N26705" s="14"/>
      <c r="O26705" s="14"/>
      <c r="P26705" s="13"/>
    </row>
    <row r="26706">
      <c r="L26706" s="13"/>
      <c r="M26706" s="14"/>
      <c r="N26706" s="14"/>
      <c r="O26706" s="14"/>
      <c r="P26706" s="13"/>
    </row>
    <row r="26707">
      <c r="L26707" s="13"/>
      <c r="M26707" s="14"/>
      <c r="N26707" s="14"/>
      <c r="O26707" s="14"/>
      <c r="P26707" s="13"/>
    </row>
    <row r="26708">
      <c r="L26708" s="13"/>
      <c r="M26708" s="14"/>
      <c r="N26708" s="14"/>
      <c r="O26708" s="14"/>
      <c r="P26708" s="13"/>
    </row>
    <row r="26709">
      <c r="L26709" s="13"/>
      <c r="M26709" s="14"/>
      <c r="N26709" s="14"/>
      <c r="O26709" s="14"/>
      <c r="P26709" s="13"/>
    </row>
    <row r="26710">
      <c r="L26710" s="13"/>
      <c r="M26710" s="14"/>
      <c r="N26710" s="14"/>
      <c r="O26710" s="14"/>
      <c r="P26710" s="13"/>
    </row>
    <row r="26711">
      <c r="L26711" s="13"/>
      <c r="M26711" s="14"/>
      <c r="N26711" s="14"/>
      <c r="O26711" s="14"/>
      <c r="P26711" s="13"/>
    </row>
    <row r="26712">
      <c r="L26712" s="13"/>
      <c r="M26712" s="14"/>
      <c r="N26712" s="14"/>
      <c r="O26712" s="14"/>
      <c r="P26712" s="13"/>
    </row>
    <row r="26713">
      <c r="L26713" s="13"/>
      <c r="M26713" s="14"/>
      <c r="N26713" s="14"/>
      <c r="O26713" s="14"/>
      <c r="P26713" s="13"/>
    </row>
    <row r="26714">
      <c r="L26714" s="13"/>
      <c r="M26714" s="14"/>
      <c r="N26714" s="14"/>
      <c r="O26714" s="14"/>
      <c r="P26714" s="13"/>
    </row>
    <row r="26715">
      <c r="L26715" s="13"/>
      <c r="M26715" s="14"/>
      <c r="N26715" s="14"/>
      <c r="O26715" s="14"/>
      <c r="P26715" s="13"/>
    </row>
    <row r="26716">
      <c r="L26716" s="13"/>
      <c r="M26716" s="14"/>
      <c r="N26716" s="14"/>
      <c r="O26716" s="14"/>
      <c r="P26716" s="13"/>
    </row>
    <row r="26717">
      <c r="L26717" s="13"/>
      <c r="M26717" s="14"/>
      <c r="N26717" s="14"/>
      <c r="O26717" s="14"/>
      <c r="P26717" s="13"/>
    </row>
    <row r="26718">
      <c r="L26718" s="13"/>
      <c r="M26718" s="14"/>
      <c r="N26718" s="14"/>
      <c r="O26718" s="14"/>
      <c r="P26718" s="13"/>
    </row>
    <row r="26719">
      <c r="L26719" s="13"/>
      <c r="M26719" s="14"/>
      <c r="N26719" s="14"/>
      <c r="O26719" s="14"/>
      <c r="P26719" s="13"/>
    </row>
    <row r="26720">
      <c r="L26720" s="13"/>
      <c r="M26720" s="14"/>
      <c r="N26720" s="14"/>
      <c r="O26720" s="14"/>
      <c r="P26720" s="13"/>
    </row>
    <row r="26721">
      <c r="L26721" s="13"/>
      <c r="M26721" s="14"/>
      <c r="N26721" s="14"/>
      <c r="O26721" s="14"/>
      <c r="P26721" s="13"/>
    </row>
    <row r="26722">
      <c r="L26722" s="13"/>
      <c r="M26722" s="14"/>
      <c r="N26722" s="14"/>
      <c r="O26722" s="14"/>
      <c r="P26722" s="13"/>
    </row>
    <row r="26723">
      <c r="L26723" s="13"/>
      <c r="M26723" s="14"/>
      <c r="N26723" s="14"/>
      <c r="O26723" s="14"/>
      <c r="P26723" s="13"/>
    </row>
    <row r="26724">
      <c r="L26724" s="13"/>
      <c r="M26724" s="14"/>
      <c r="N26724" s="14"/>
      <c r="O26724" s="14"/>
      <c r="P26724" s="13"/>
    </row>
    <row r="26725">
      <c r="L26725" s="13"/>
      <c r="M26725" s="14"/>
      <c r="N26725" s="14"/>
      <c r="O26725" s="14"/>
      <c r="P26725" s="13"/>
    </row>
    <row r="26726">
      <c r="L26726" s="13"/>
      <c r="M26726" s="14"/>
      <c r="N26726" s="14"/>
      <c r="O26726" s="14"/>
      <c r="P26726" s="13"/>
    </row>
    <row r="26727">
      <c r="L26727" s="13"/>
      <c r="M26727" s="14"/>
      <c r="N26727" s="14"/>
      <c r="O26727" s="14"/>
      <c r="P26727" s="13"/>
    </row>
    <row r="26728">
      <c r="L26728" s="13"/>
      <c r="M26728" s="14"/>
      <c r="N26728" s="14"/>
      <c r="O26728" s="14"/>
      <c r="P26728" s="13"/>
    </row>
    <row r="26729">
      <c r="L26729" s="13"/>
      <c r="M26729" s="14"/>
      <c r="N26729" s="14"/>
      <c r="O26729" s="14"/>
      <c r="P26729" s="13"/>
    </row>
    <row r="26730">
      <c r="L26730" s="13"/>
      <c r="M26730" s="14"/>
      <c r="N26730" s="14"/>
      <c r="O26730" s="14"/>
      <c r="P26730" s="13"/>
    </row>
    <row r="26731">
      <c r="L26731" s="13"/>
      <c r="M26731" s="14"/>
      <c r="N26731" s="14"/>
      <c r="O26731" s="14"/>
      <c r="P26731" s="13"/>
    </row>
    <row r="26732">
      <c r="L26732" s="13"/>
      <c r="M26732" s="14"/>
      <c r="N26732" s="14"/>
      <c r="O26732" s="14"/>
      <c r="P26732" s="13"/>
    </row>
    <row r="26733">
      <c r="L26733" s="13"/>
      <c r="M26733" s="14"/>
      <c r="N26733" s="14"/>
      <c r="O26733" s="14"/>
      <c r="P26733" s="13"/>
    </row>
    <row r="26734">
      <c r="L26734" s="13"/>
      <c r="M26734" s="14"/>
      <c r="N26734" s="14"/>
      <c r="O26734" s="14"/>
      <c r="P26734" s="13"/>
    </row>
    <row r="26735">
      <c r="L26735" s="13"/>
      <c r="M26735" s="14"/>
      <c r="N26735" s="14"/>
      <c r="O26735" s="14"/>
      <c r="P26735" s="13"/>
    </row>
    <row r="26736">
      <c r="L26736" s="13"/>
      <c r="M26736" s="14"/>
      <c r="N26736" s="14"/>
      <c r="O26736" s="14"/>
      <c r="P26736" s="13"/>
    </row>
    <row r="26737">
      <c r="L26737" s="13"/>
      <c r="M26737" s="14"/>
      <c r="N26737" s="14"/>
      <c r="O26737" s="14"/>
      <c r="P26737" s="13"/>
    </row>
    <row r="26738">
      <c r="L26738" s="13"/>
      <c r="M26738" s="14"/>
      <c r="N26738" s="14"/>
      <c r="O26738" s="14"/>
      <c r="P26738" s="13"/>
    </row>
    <row r="26739">
      <c r="L26739" s="13"/>
      <c r="M26739" s="14"/>
      <c r="N26739" s="14"/>
      <c r="O26739" s="14"/>
      <c r="P26739" s="13"/>
    </row>
    <row r="26740">
      <c r="L26740" s="13"/>
      <c r="M26740" s="14"/>
      <c r="N26740" s="14"/>
      <c r="O26740" s="14"/>
      <c r="P26740" s="13"/>
    </row>
    <row r="26741">
      <c r="L26741" s="13"/>
      <c r="M26741" s="14"/>
      <c r="N26741" s="14"/>
      <c r="O26741" s="14"/>
      <c r="P26741" s="13"/>
    </row>
    <row r="26742">
      <c r="L26742" s="13"/>
      <c r="M26742" s="14"/>
      <c r="N26742" s="14"/>
      <c r="O26742" s="14"/>
      <c r="P26742" s="13"/>
    </row>
    <row r="26743">
      <c r="L26743" s="13"/>
      <c r="M26743" s="14"/>
      <c r="N26743" s="14"/>
      <c r="O26743" s="14"/>
      <c r="P26743" s="13"/>
    </row>
    <row r="26744">
      <c r="L26744" s="13"/>
      <c r="M26744" s="14"/>
      <c r="N26744" s="14"/>
      <c r="O26744" s="14"/>
      <c r="P26744" s="13"/>
    </row>
    <row r="26745">
      <c r="L26745" s="13"/>
      <c r="M26745" s="14"/>
      <c r="N26745" s="14"/>
      <c r="O26745" s="14"/>
      <c r="P26745" s="13"/>
    </row>
    <row r="26746">
      <c r="L26746" s="13"/>
      <c r="M26746" s="14"/>
      <c r="N26746" s="14"/>
      <c r="O26746" s="14"/>
      <c r="P26746" s="13"/>
    </row>
    <row r="26747">
      <c r="L26747" s="13"/>
      <c r="M26747" s="14"/>
      <c r="N26747" s="14"/>
      <c r="O26747" s="14"/>
      <c r="P26747" s="13"/>
    </row>
    <row r="26748">
      <c r="L26748" s="13"/>
      <c r="M26748" s="14"/>
      <c r="N26748" s="14"/>
      <c r="O26748" s="14"/>
      <c r="P26748" s="13"/>
    </row>
    <row r="26749">
      <c r="L26749" s="13"/>
      <c r="M26749" s="14"/>
      <c r="N26749" s="14"/>
      <c r="O26749" s="14"/>
      <c r="P26749" s="13"/>
    </row>
    <row r="26750">
      <c r="L26750" s="13"/>
      <c r="M26750" s="14"/>
      <c r="N26750" s="14"/>
      <c r="O26750" s="14"/>
      <c r="P26750" s="13"/>
    </row>
    <row r="26751">
      <c r="L26751" s="13"/>
      <c r="M26751" s="14"/>
      <c r="N26751" s="14"/>
      <c r="O26751" s="14"/>
      <c r="P26751" s="13"/>
    </row>
    <row r="26752">
      <c r="L26752" s="13"/>
      <c r="M26752" s="14"/>
      <c r="N26752" s="14"/>
      <c r="O26752" s="14"/>
      <c r="P26752" s="13"/>
    </row>
    <row r="26753">
      <c r="L26753" s="13"/>
      <c r="M26753" s="14"/>
      <c r="N26753" s="14"/>
      <c r="O26753" s="14"/>
      <c r="P26753" s="13"/>
    </row>
    <row r="26754">
      <c r="L26754" s="13"/>
      <c r="M26754" s="14"/>
      <c r="N26754" s="14"/>
      <c r="O26754" s="14"/>
      <c r="P26754" s="13"/>
    </row>
    <row r="26755">
      <c r="L26755" s="13"/>
      <c r="M26755" s="14"/>
      <c r="N26755" s="14"/>
      <c r="O26755" s="14"/>
      <c r="P26755" s="13"/>
    </row>
    <row r="26756">
      <c r="L26756" s="13"/>
      <c r="M26756" s="14"/>
      <c r="N26756" s="14"/>
      <c r="O26756" s="14"/>
      <c r="P26756" s="13"/>
    </row>
    <row r="26757">
      <c r="L26757" s="13"/>
      <c r="M26757" s="14"/>
      <c r="N26757" s="14"/>
      <c r="O26757" s="14"/>
      <c r="P26757" s="13"/>
    </row>
    <row r="26758">
      <c r="L26758" s="13"/>
      <c r="M26758" s="14"/>
      <c r="N26758" s="14"/>
      <c r="O26758" s="14"/>
      <c r="P26758" s="13"/>
    </row>
    <row r="26759">
      <c r="L26759" s="13"/>
      <c r="M26759" s="14"/>
      <c r="N26759" s="14"/>
      <c r="O26759" s="14"/>
      <c r="P26759" s="13"/>
    </row>
    <row r="26760">
      <c r="L26760" s="13"/>
      <c r="M26760" s="14"/>
      <c r="N26760" s="14"/>
      <c r="O26760" s="14"/>
      <c r="P26760" s="13"/>
    </row>
    <row r="26761">
      <c r="L26761" s="13"/>
      <c r="M26761" s="14"/>
      <c r="N26761" s="14"/>
      <c r="O26761" s="14"/>
      <c r="P26761" s="13"/>
    </row>
    <row r="26762">
      <c r="L26762" s="13"/>
      <c r="M26762" s="14"/>
      <c r="N26762" s="14"/>
      <c r="O26762" s="14"/>
      <c r="P26762" s="13"/>
    </row>
    <row r="26763">
      <c r="L26763" s="13"/>
      <c r="M26763" s="14"/>
      <c r="N26763" s="14"/>
      <c r="O26763" s="14"/>
      <c r="P26763" s="13"/>
    </row>
    <row r="26764">
      <c r="L26764" s="13"/>
      <c r="M26764" s="14"/>
      <c r="N26764" s="14"/>
      <c r="O26764" s="14"/>
      <c r="P26764" s="13"/>
    </row>
    <row r="26765">
      <c r="L26765" s="13"/>
      <c r="M26765" s="14"/>
      <c r="N26765" s="14"/>
      <c r="O26765" s="14"/>
      <c r="P26765" s="13"/>
    </row>
    <row r="26766">
      <c r="L26766" s="13"/>
      <c r="M26766" s="14"/>
      <c r="N26766" s="14"/>
      <c r="O26766" s="14"/>
      <c r="P26766" s="13"/>
    </row>
    <row r="26767">
      <c r="L26767" s="13"/>
      <c r="M26767" s="14"/>
      <c r="N26767" s="14"/>
      <c r="O26767" s="14"/>
      <c r="P26767" s="13"/>
    </row>
    <row r="26768">
      <c r="L26768" s="13"/>
      <c r="M26768" s="14"/>
      <c r="N26768" s="14"/>
      <c r="O26768" s="14"/>
      <c r="P26768" s="13"/>
    </row>
    <row r="26769">
      <c r="L26769" s="13"/>
      <c r="M26769" s="14"/>
      <c r="N26769" s="14"/>
      <c r="O26769" s="14"/>
      <c r="P26769" s="13"/>
    </row>
    <row r="26770">
      <c r="L26770" s="13"/>
      <c r="M26770" s="14"/>
      <c r="N26770" s="14"/>
      <c r="O26770" s="14"/>
      <c r="P26770" s="13"/>
    </row>
    <row r="26771">
      <c r="L26771" s="13"/>
      <c r="M26771" s="14"/>
      <c r="N26771" s="14"/>
      <c r="O26771" s="14"/>
      <c r="P26771" s="13"/>
    </row>
    <row r="26772">
      <c r="L26772" s="13"/>
      <c r="M26772" s="14"/>
      <c r="N26772" s="14"/>
      <c r="O26772" s="14"/>
      <c r="P26772" s="13"/>
    </row>
    <row r="26773">
      <c r="L26773" s="13"/>
      <c r="M26773" s="14"/>
      <c r="N26773" s="14"/>
      <c r="O26773" s="14"/>
      <c r="P26773" s="13"/>
    </row>
    <row r="26774">
      <c r="L26774" s="13"/>
      <c r="M26774" s="14"/>
      <c r="N26774" s="14"/>
      <c r="O26774" s="14"/>
      <c r="P26774" s="13"/>
    </row>
    <row r="26775">
      <c r="L26775" s="13"/>
      <c r="M26775" s="14"/>
      <c r="N26775" s="14"/>
      <c r="O26775" s="14"/>
      <c r="P26775" s="13"/>
    </row>
    <row r="26776">
      <c r="L26776" s="13"/>
      <c r="M26776" s="14"/>
      <c r="N26776" s="14"/>
      <c r="O26776" s="14"/>
      <c r="P26776" s="13"/>
    </row>
    <row r="26777">
      <c r="L26777" s="13"/>
      <c r="M26777" s="14"/>
      <c r="N26777" s="14"/>
      <c r="O26777" s="14"/>
      <c r="P26777" s="13"/>
    </row>
    <row r="26778">
      <c r="L26778" s="13"/>
      <c r="M26778" s="14"/>
      <c r="N26778" s="14"/>
      <c r="O26778" s="14"/>
      <c r="P26778" s="13"/>
    </row>
    <row r="26779">
      <c r="L26779" s="13"/>
      <c r="M26779" s="14"/>
      <c r="N26779" s="14"/>
      <c r="O26779" s="14"/>
      <c r="P26779" s="13"/>
    </row>
    <row r="26780">
      <c r="L26780" s="13"/>
      <c r="M26780" s="14"/>
      <c r="N26780" s="14"/>
      <c r="O26780" s="14"/>
      <c r="P26780" s="13"/>
    </row>
    <row r="26781">
      <c r="L26781" s="13"/>
      <c r="M26781" s="14"/>
      <c r="N26781" s="14"/>
      <c r="O26781" s="14"/>
      <c r="P26781" s="13"/>
    </row>
    <row r="26782">
      <c r="L26782" s="13"/>
      <c r="M26782" s="14"/>
      <c r="N26782" s="14"/>
      <c r="O26782" s="14"/>
      <c r="P26782" s="13"/>
    </row>
    <row r="26783">
      <c r="L26783" s="13"/>
      <c r="M26783" s="14"/>
      <c r="N26783" s="14"/>
      <c r="O26783" s="14"/>
      <c r="P26783" s="13"/>
    </row>
    <row r="26784">
      <c r="L26784" s="13"/>
      <c r="M26784" s="14"/>
      <c r="N26784" s="14"/>
      <c r="O26784" s="14"/>
      <c r="P26784" s="13"/>
    </row>
    <row r="26785">
      <c r="L26785" s="13"/>
      <c r="M26785" s="14"/>
      <c r="N26785" s="14"/>
      <c r="O26785" s="14"/>
      <c r="P26785" s="13"/>
    </row>
    <row r="26786">
      <c r="L26786" s="13"/>
      <c r="M26786" s="14"/>
      <c r="N26786" s="14"/>
      <c r="O26786" s="14"/>
      <c r="P26786" s="13"/>
    </row>
    <row r="26787">
      <c r="L26787" s="13"/>
      <c r="M26787" s="14"/>
      <c r="N26787" s="14"/>
      <c r="O26787" s="14"/>
      <c r="P26787" s="13"/>
    </row>
    <row r="26788">
      <c r="L26788" s="13"/>
      <c r="M26788" s="14"/>
      <c r="N26788" s="14"/>
      <c r="O26788" s="14"/>
      <c r="P26788" s="13"/>
    </row>
    <row r="26789">
      <c r="L26789" s="13"/>
      <c r="M26789" s="14"/>
      <c r="N26789" s="14"/>
      <c r="O26789" s="14"/>
      <c r="P26789" s="13"/>
    </row>
    <row r="26790">
      <c r="L26790" s="13"/>
      <c r="M26790" s="14"/>
      <c r="N26790" s="14"/>
      <c r="O26790" s="14"/>
      <c r="P26790" s="13"/>
    </row>
    <row r="26791">
      <c r="L26791" s="13"/>
      <c r="M26791" s="14"/>
      <c r="N26791" s="14"/>
      <c r="O26791" s="14"/>
      <c r="P26791" s="13"/>
    </row>
    <row r="26792">
      <c r="L26792" s="13"/>
      <c r="M26792" s="14"/>
      <c r="N26792" s="14"/>
      <c r="O26792" s="14"/>
      <c r="P26792" s="13"/>
    </row>
    <row r="26793">
      <c r="L26793" s="13"/>
      <c r="M26793" s="14"/>
      <c r="N26793" s="14"/>
      <c r="O26793" s="14"/>
      <c r="P26793" s="13"/>
    </row>
    <row r="26794">
      <c r="L26794" s="13"/>
      <c r="M26794" s="14"/>
      <c r="N26794" s="14"/>
      <c r="O26794" s="14"/>
      <c r="P26794" s="13"/>
    </row>
    <row r="26795">
      <c r="L26795" s="13"/>
      <c r="M26795" s="14"/>
      <c r="N26795" s="14"/>
      <c r="O26795" s="14"/>
      <c r="P26795" s="13"/>
    </row>
    <row r="26796">
      <c r="L26796" s="13"/>
      <c r="M26796" s="14"/>
      <c r="N26796" s="14"/>
      <c r="O26796" s="14"/>
      <c r="P26796" s="13"/>
    </row>
    <row r="26797">
      <c r="L26797" s="13"/>
      <c r="M26797" s="14"/>
      <c r="N26797" s="14"/>
      <c r="O26797" s="14"/>
      <c r="P26797" s="13"/>
    </row>
    <row r="26798">
      <c r="L26798" s="13"/>
      <c r="M26798" s="14"/>
      <c r="N26798" s="14"/>
      <c r="O26798" s="14"/>
      <c r="P26798" s="13"/>
    </row>
    <row r="26799">
      <c r="L26799" s="13"/>
      <c r="M26799" s="14"/>
      <c r="N26799" s="14"/>
      <c r="O26799" s="14"/>
      <c r="P26799" s="13"/>
    </row>
    <row r="26800">
      <c r="L26800" s="13"/>
      <c r="M26800" s="14"/>
      <c r="N26800" s="14"/>
      <c r="O26800" s="14"/>
      <c r="P26800" s="13"/>
    </row>
    <row r="26801">
      <c r="L26801" s="13"/>
      <c r="M26801" s="14"/>
      <c r="N26801" s="14"/>
      <c r="O26801" s="14"/>
      <c r="P26801" s="13"/>
    </row>
    <row r="26802">
      <c r="L26802" s="13"/>
      <c r="M26802" s="14"/>
      <c r="N26802" s="14"/>
      <c r="O26802" s="14"/>
      <c r="P26802" s="13"/>
    </row>
    <row r="26803">
      <c r="L26803" s="13"/>
      <c r="M26803" s="14"/>
      <c r="N26803" s="14"/>
      <c r="O26803" s="14"/>
      <c r="P26803" s="13"/>
    </row>
    <row r="26804">
      <c r="L26804" s="13"/>
      <c r="M26804" s="14"/>
      <c r="N26804" s="14"/>
      <c r="O26804" s="14"/>
      <c r="P26804" s="13"/>
    </row>
    <row r="26805">
      <c r="L26805" s="13"/>
      <c r="M26805" s="14"/>
      <c r="N26805" s="14"/>
      <c r="O26805" s="14"/>
      <c r="P26805" s="13"/>
    </row>
    <row r="26806">
      <c r="L26806" s="13"/>
      <c r="M26806" s="14"/>
      <c r="N26806" s="14"/>
      <c r="O26806" s="14"/>
      <c r="P26806" s="13"/>
    </row>
    <row r="26807">
      <c r="L26807" s="13"/>
      <c r="M26807" s="14"/>
      <c r="N26807" s="14"/>
      <c r="O26807" s="14"/>
      <c r="P26807" s="13"/>
    </row>
    <row r="26808">
      <c r="L26808" s="13"/>
      <c r="M26808" s="14"/>
      <c r="N26808" s="14"/>
      <c r="O26808" s="14"/>
      <c r="P26808" s="13"/>
    </row>
    <row r="26809">
      <c r="L26809" s="13"/>
      <c r="M26809" s="14"/>
      <c r="N26809" s="14"/>
      <c r="O26809" s="14"/>
      <c r="P26809" s="13"/>
    </row>
    <row r="26810">
      <c r="L26810" s="13"/>
      <c r="M26810" s="14"/>
      <c r="N26810" s="14"/>
      <c r="O26810" s="14"/>
      <c r="P26810" s="13"/>
    </row>
    <row r="26811">
      <c r="L26811" s="13"/>
      <c r="M26811" s="14"/>
      <c r="N26811" s="14"/>
      <c r="O26811" s="14"/>
      <c r="P26811" s="13"/>
    </row>
    <row r="26812">
      <c r="L26812" s="13"/>
      <c r="M26812" s="14"/>
      <c r="N26812" s="14"/>
      <c r="O26812" s="14"/>
      <c r="P26812" s="13"/>
    </row>
    <row r="26813">
      <c r="L26813" s="13"/>
      <c r="M26813" s="14"/>
      <c r="N26813" s="14"/>
      <c r="O26813" s="14"/>
      <c r="P26813" s="13"/>
    </row>
    <row r="26814">
      <c r="L26814" s="13"/>
      <c r="M26814" s="14"/>
      <c r="N26814" s="14"/>
      <c r="O26814" s="14"/>
      <c r="P26814" s="13"/>
    </row>
    <row r="26815">
      <c r="L26815" s="13"/>
      <c r="M26815" s="14"/>
      <c r="N26815" s="14"/>
      <c r="O26815" s="14"/>
      <c r="P26815" s="13"/>
    </row>
    <row r="26816">
      <c r="L26816" s="13"/>
      <c r="M26816" s="14"/>
      <c r="N26816" s="14"/>
      <c r="O26816" s="14"/>
      <c r="P26816" s="13"/>
    </row>
    <row r="26817">
      <c r="L26817" s="13"/>
      <c r="M26817" s="14"/>
      <c r="N26817" s="14"/>
      <c r="O26817" s="14"/>
      <c r="P26817" s="13"/>
    </row>
    <row r="26818">
      <c r="L26818" s="13"/>
      <c r="M26818" s="14"/>
      <c r="N26818" s="14"/>
      <c r="O26818" s="14"/>
      <c r="P26818" s="13"/>
    </row>
    <row r="26819">
      <c r="L26819" s="13"/>
      <c r="M26819" s="14"/>
      <c r="N26819" s="14"/>
      <c r="O26819" s="14"/>
      <c r="P26819" s="13"/>
    </row>
    <row r="26820">
      <c r="L26820" s="13"/>
      <c r="M26820" s="14"/>
      <c r="N26820" s="14"/>
      <c r="O26820" s="14"/>
      <c r="P26820" s="13"/>
    </row>
    <row r="26821">
      <c r="L26821" s="13"/>
      <c r="M26821" s="14"/>
      <c r="N26821" s="14"/>
      <c r="O26821" s="14"/>
      <c r="P26821" s="13"/>
    </row>
    <row r="26822">
      <c r="L26822" s="13"/>
      <c r="M26822" s="14"/>
      <c r="N26822" s="14"/>
      <c r="O26822" s="14"/>
      <c r="P26822" s="13"/>
    </row>
    <row r="26823">
      <c r="L26823" s="13"/>
      <c r="M26823" s="14"/>
      <c r="N26823" s="14"/>
      <c r="O26823" s="14"/>
      <c r="P26823" s="13"/>
    </row>
    <row r="26824">
      <c r="L26824" s="13"/>
      <c r="M26824" s="14"/>
      <c r="N26824" s="14"/>
      <c r="O26824" s="14"/>
      <c r="P26824" s="13"/>
    </row>
    <row r="26825">
      <c r="L26825" s="13"/>
      <c r="M26825" s="14"/>
      <c r="N26825" s="14"/>
      <c r="O26825" s="14"/>
      <c r="P26825" s="13"/>
    </row>
    <row r="26826">
      <c r="L26826" s="13"/>
      <c r="M26826" s="14"/>
      <c r="N26826" s="14"/>
      <c r="O26826" s="14"/>
      <c r="P26826" s="13"/>
    </row>
    <row r="26827">
      <c r="L26827" s="13"/>
      <c r="M26827" s="14"/>
      <c r="N26827" s="14"/>
      <c r="O26827" s="14"/>
      <c r="P26827" s="13"/>
    </row>
    <row r="26828">
      <c r="L26828" s="13"/>
      <c r="M26828" s="14"/>
      <c r="N26828" s="14"/>
      <c r="O26828" s="14"/>
      <c r="P26828" s="13"/>
    </row>
    <row r="26829">
      <c r="L26829" s="13"/>
      <c r="M26829" s="14"/>
      <c r="N26829" s="14"/>
      <c r="O26829" s="14"/>
      <c r="P26829" s="13"/>
    </row>
    <row r="26830">
      <c r="L26830" s="13"/>
      <c r="M26830" s="14"/>
      <c r="N26830" s="14"/>
      <c r="O26830" s="14"/>
      <c r="P26830" s="13"/>
    </row>
    <row r="26831">
      <c r="L26831" s="13"/>
      <c r="M26831" s="14"/>
      <c r="N26831" s="14"/>
      <c r="O26831" s="14"/>
      <c r="P26831" s="13"/>
    </row>
    <row r="26832">
      <c r="L26832" s="13"/>
      <c r="M26832" s="14"/>
      <c r="N26832" s="14"/>
      <c r="O26832" s="14"/>
      <c r="P26832" s="13"/>
    </row>
    <row r="26833">
      <c r="L26833" s="13"/>
      <c r="M26833" s="14"/>
      <c r="N26833" s="14"/>
      <c r="O26833" s="14"/>
      <c r="P26833" s="13"/>
    </row>
    <row r="26834">
      <c r="L26834" s="13"/>
      <c r="M26834" s="14"/>
      <c r="N26834" s="14"/>
      <c r="O26834" s="14"/>
      <c r="P26834" s="13"/>
    </row>
    <row r="26835">
      <c r="L26835" s="13"/>
      <c r="M26835" s="14"/>
      <c r="N26835" s="14"/>
      <c r="O26835" s="14"/>
      <c r="P26835" s="13"/>
    </row>
    <row r="26836">
      <c r="L26836" s="13"/>
      <c r="M26836" s="14"/>
      <c r="N26836" s="14"/>
      <c r="O26836" s="14"/>
      <c r="P26836" s="13"/>
    </row>
    <row r="26837">
      <c r="L26837" s="13"/>
      <c r="M26837" s="14"/>
      <c r="N26837" s="14"/>
      <c r="O26837" s="14"/>
      <c r="P26837" s="13"/>
    </row>
    <row r="26838">
      <c r="L26838" s="13"/>
      <c r="M26838" s="14"/>
      <c r="N26838" s="14"/>
      <c r="O26838" s="14"/>
      <c r="P26838" s="13"/>
    </row>
    <row r="26839">
      <c r="L26839" s="13"/>
      <c r="M26839" s="14"/>
      <c r="N26839" s="14"/>
      <c r="O26839" s="14"/>
      <c r="P26839" s="13"/>
    </row>
    <row r="26840">
      <c r="L26840" s="13"/>
      <c r="M26840" s="14"/>
      <c r="N26840" s="14"/>
      <c r="O26840" s="14"/>
      <c r="P26840" s="13"/>
    </row>
    <row r="26841">
      <c r="L26841" s="13"/>
      <c r="M26841" s="14"/>
      <c r="N26841" s="14"/>
      <c r="O26841" s="14"/>
      <c r="P26841" s="13"/>
    </row>
    <row r="26842">
      <c r="L26842" s="13"/>
      <c r="M26842" s="14"/>
      <c r="N26842" s="14"/>
      <c r="O26842" s="14"/>
      <c r="P26842" s="13"/>
    </row>
    <row r="26843">
      <c r="L26843" s="13"/>
      <c r="M26843" s="14"/>
      <c r="N26843" s="14"/>
      <c r="O26843" s="14"/>
      <c r="P26843" s="13"/>
    </row>
    <row r="26844">
      <c r="L26844" s="13"/>
      <c r="M26844" s="14"/>
      <c r="N26844" s="14"/>
      <c r="O26844" s="14"/>
      <c r="P26844" s="13"/>
    </row>
    <row r="26845">
      <c r="L26845" s="13"/>
      <c r="M26845" s="14"/>
      <c r="N26845" s="14"/>
      <c r="O26845" s="14"/>
      <c r="P26845" s="13"/>
    </row>
    <row r="26846">
      <c r="L26846" s="13"/>
      <c r="M26846" s="14"/>
      <c r="N26846" s="14"/>
      <c r="O26846" s="14"/>
      <c r="P26846" s="13"/>
    </row>
    <row r="26847">
      <c r="L26847" s="13"/>
      <c r="M26847" s="14"/>
      <c r="N26847" s="14"/>
      <c r="O26847" s="14"/>
      <c r="P26847" s="13"/>
    </row>
    <row r="26848">
      <c r="L26848" s="13"/>
      <c r="M26848" s="14"/>
      <c r="N26848" s="14"/>
      <c r="O26848" s="14"/>
      <c r="P26848" s="13"/>
    </row>
    <row r="26849">
      <c r="L26849" s="13"/>
      <c r="M26849" s="14"/>
      <c r="N26849" s="14"/>
      <c r="O26849" s="14"/>
      <c r="P26849" s="13"/>
    </row>
    <row r="26850">
      <c r="L26850" s="13"/>
      <c r="M26850" s="14"/>
      <c r="N26850" s="14"/>
      <c r="O26850" s="14"/>
      <c r="P26850" s="13"/>
    </row>
    <row r="26851">
      <c r="L26851" s="13"/>
      <c r="M26851" s="14"/>
      <c r="N26851" s="14"/>
      <c r="O26851" s="14"/>
      <c r="P26851" s="13"/>
    </row>
    <row r="26852">
      <c r="L26852" s="13"/>
      <c r="M26852" s="14"/>
      <c r="N26852" s="14"/>
      <c r="O26852" s="14"/>
      <c r="P26852" s="13"/>
    </row>
    <row r="26853">
      <c r="L26853" s="13"/>
      <c r="M26853" s="14"/>
      <c r="N26853" s="14"/>
      <c r="O26853" s="14"/>
      <c r="P26853" s="13"/>
    </row>
    <row r="26854">
      <c r="L26854" s="13"/>
      <c r="M26854" s="14"/>
      <c r="N26854" s="14"/>
      <c r="O26854" s="14"/>
      <c r="P26854" s="13"/>
    </row>
    <row r="26855">
      <c r="L26855" s="13"/>
      <c r="M26855" s="14"/>
      <c r="N26855" s="14"/>
      <c r="O26855" s="14"/>
      <c r="P26855" s="13"/>
    </row>
    <row r="26856">
      <c r="L26856" s="13"/>
      <c r="M26856" s="14"/>
      <c r="N26856" s="14"/>
      <c r="O26856" s="14"/>
      <c r="P26856" s="13"/>
    </row>
    <row r="26857">
      <c r="L26857" s="13"/>
      <c r="M26857" s="14"/>
      <c r="N26857" s="14"/>
      <c r="O26857" s="14"/>
      <c r="P26857" s="13"/>
    </row>
    <row r="26858">
      <c r="L26858" s="13"/>
      <c r="M26858" s="14"/>
      <c r="N26858" s="14"/>
      <c r="O26858" s="14"/>
      <c r="P26858" s="13"/>
    </row>
    <row r="26859">
      <c r="L26859" s="13"/>
      <c r="M26859" s="14"/>
      <c r="N26859" s="14"/>
      <c r="O26859" s="14"/>
      <c r="P26859" s="13"/>
    </row>
    <row r="26860">
      <c r="L26860" s="13"/>
      <c r="M26860" s="14"/>
      <c r="N26860" s="14"/>
      <c r="O26860" s="14"/>
      <c r="P26860" s="13"/>
    </row>
    <row r="26861">
      <c r="L26861" s="13"/>
      <c r="M26861" s="14"/>
      <c r="N26861" s="14"/>
      <c r="O26861" s="14"/>
      <c r="P26861" s="13"/>
    </row>
    <row r="26862">
      <c r="L26862" s="13"/>
      <c r="M26862" s="14"/>
      <c r="N26862" s="14"/>
      <c r="O26862" s="14"/>
      <c r="P26862" s="13"/>
    </row>
    <row r="26863">
      <c r="L26863" s="13"/>
      <c r="M26863" s="14"/>
      <c r="N26863" s="14"/>
      <c r="O26863" s="14"/>
      <c r="P26863" s="13"/>
    </row>
    <row r="26864">
      <c r="L26864" s="13"/>
      <c r="M26864" s="14"/>
      <c r="N26864" s="14"/>
      <c r="O26864" s="14"/>
      <c r="P26864" s="13"/>
    </row>
    <row r="26865">
      <c r="L26865" s="13"/>
      <c r="M26865" s="14"/>
      <c r="N26865" s="14"/>
      <c r="O26865" s="14"/>
      <c r="P26865" s="13"/>
    </row>
    <row r="26866">
      <c r="L26866" s="13"/>
      <c r="M26866" s="14"/>
      <c r="N26866" s="14"/>
      <c r="O26866" s="14"/>
      <c r="P26866" s="13"/>
    </row>
    <row r="26867">
      <c r="L26867" s="13"/>
      <c r="M26867" s="14"/>
      <c r="N26867" s="14"/>
      <c r="O26867" s="14"/>
      <c r="P26867" s="13"/>
    </row>
    <row r="26868">
      <c r="L26868" s="13"/>
      <c r="M26868" s="14"/>
      <c r="N26868" s="14"/>
      <c r="O26868" s="14"/>
      <c r="P26868" s="13"/>
    </row>
    <row r="26869">
      <c r="L26869" s="13"/>
      <c r="M26869" s="14"/>
      <c r="N26869" s="14"/>
      <c r="O26869" s="14"/>
      <c r="P26869" s="13"/>
    </row>
    <row r="26870">
      <c r="L26870" s="13"/>
      <c r="M26870" s="14"/>
      <c r="N26870" s="14"/>
      <c r="O26870" s="14"/>
      <c r="P26870" s="13"/>
    </row>
    <row r="26871">
      <c r="L26871" s="13"/>
      <c r="M26871" s="14"/>
      <c r="N26871" s="14"/>
      <c r="O26871" s="14"/>
      <c r="P26871" s="13"/>
    </row>
    <row r="26872">
      <c r="L26872" s="13"/>
      <c r="M26872" s="14"/>
      <c r="N26872" s="14"/>
      <c r="O26872" s="14"/>
      <c r="P26872" s="13"/>
    </row>
    <row r="26873">
      <c r="L26873" s="13"/>
      <c r="M26873" s="14"/>
      <c r="N26873" s="14"/>
      <c r="O26873" s="14"/>
      <c r="P26873" s="13"/>
    </row>
    <row r="26874">
      <c r="L26874" s="13"/>
      <c r="M26874" s="14"/>
      <c r="N26874" s="14"/>
      <c r="O26874" s="14"/>
      <c r="P26874" s="13"/>
    </row>
    <row r="26875">
      <c r="L26875" s="13"/>
      <c r="M26875" s="14"/>
      <c r="N26875" s="14"/>
      <c r="O26875" s="14"/>
      <c r="P26875" s="13"/>
    </row>
    <row r="26876">
      <c r="L26876" s="13"/>
      <c r="M26876" s="14"/>
      <c r="N26876" s="14"/>
      <c r="O26876" s="14"/>
      <c r="P26876" s="13"/>
    </row>
    <row r="26877">
      <c r="L26877" s="13"/>
      <c r="M26877" s="14"/>
      <c r="N26877" s="14"/>
      <c r="O26877" s="14"/>
      <c r="P26877" s="13"/>
    </row>
    <row r="26878">
      <c r="L26878" s="13"/>
      <c r="M26878" s="14"/>
      <c r="N26878" s="14"/>
      <c r="O26878" s="14"/>
      <c r="P26878" s="13"/>
    </row>
    <row r="26879">
      <c r="L26879" s="13"/>
      <c r="M26879" s="14"/>
      <c r="N26879" s="14"/>
      <c r="O26879" s="14"/>
      <c r="P26879" s="13"/>
    </row>
    <row r="26880">
      <c r="L26880" s="13"/>
      <c r="M26880" s="14"/>
      <c r="N26880" s="14"/>
      <c r="O26880" s="14"/>
      <c r="P26880" s="13"/>
    </row>
    <row r="26881">
      <c r="L26881" s="13"/>
      <c r="M26881" s="14"/>
      <c r="N26881" s="14"/>
      <c r="O26881" s="14"/>
      <c r="P26881" s="13"/>
    </row>
    <row r="26882">
      <c r="L26882" s="13"/>
      <c r="M26882" s="14"/>
      <c r="N26882" s="14"/>
      <c r="O26882" s="14"/>
      <c r="P26882" s="13"/>
    </row>
    <row r="26883">
      <c r="L26883" s="13"/>
      <c r="M26883" s="14"/>
      <c r="N26883" s="14"/>
      <c r="O26883" s="14"/>
      <c r="P26883" s="13"/>
    </row>
    <row r="26884">
      <c r="L26884" s="13"/>
      <c r="M26884" s="14"/>
      <c r="N26884" s="14"/>
      <c r="O26884" s="14"/>
      <c r="P26884" s="13"/>
    </row>
    <row r="26885">
      <c r="L26885" s="13"/>
      <c r="M26885" s="14"/>
      <c r="N26885" s="14"/>
      <c r="O26885" s="14"/>
      <c r="P26885" s="13"/>
    </row>
    <row r="26886">
      <c r="L26886" s="13"/>
      <c r="M26886" s="14"/>
      <c r="N26886" s="14"/>
      <c r="O26886" s="14"/>
      <c r="P26886" s="13"/>
    </row>
    <row r="26887">
      <c r="L26887" s="13"/>
      <c r="M26887" s="14"/>
      <c r="N26887" s="14"/>
      <c r="O26887" s="14"/>
      <c r="P26887" s="13"/>
    </row>
    <row r="26888">
      <c r="L26888" s="13"/>
      <c r="M26888" s="14"/>
      <c r="N26888" s="14"/>
      <c r="O26888" s="14"/>
      <c r="P26888" s="13"/>
    </row>
    <row r="26889">
      <c r="L26889" s="13"/>
      <c r="M26889" s="14"/>
      <c r="N26889" s="14"/>
      <c r="O26889" s="14"/>
      <c r="P26889" s="13"/>
    </row>
    <row r="26890">
      <c r="L26890" s="13"/>
      <c r="M26890" s="14"/>
      <c r="N26890" s="14"/>
      <c r="O26890" s="14"/>
      <c r="P26890" s="13"/>
    </row>
    <row r="26891">
      <c r="L26891" s="13"/>
      <c r="M26891" s="14"/>
      <c r="N26891" s="14"/>
      <c r="O26891" s="14"/>
      <c r="P26891" s="13"/>
    </row>
    <row r="26892">
      <c r="L26892" s="13"/>
      <c r="M26892" s="14"/>
      <c r="N26892" s="14"/>
      <c r="O26892" s="14"/>
      <c r="P26892" s="13"/>
    </row>
    <row r="26893">
      <c r="L26893" s="13"/>
      <c r="M26893" s="14"/>
      <c r="N26893" s="14"/>
      <c r="O26893" s="14"/>
      <c r="P26893" s="13"/>
    </row>
    <row r="26894">
      <c r="L26894" s="13"/>
      <c r="M26894" s="14"/>
      <c r="N26894" s="14"/>
      <c r="O26894" s="14"/>
      <c r="P26894" s="13"/>
    </row>
    <row r="26895">
      <c r="L26895" s="13"/>
      <c r="M26895" s="14"/>
      <c r="N26895" s="14"/>
      <c r="O26895" s="14"/>
      <c r="P26895" s="13"/>
    </row>
    <row r="26896">
      <c r="L26896" s="13"/>
      <c r="M26896" s="14"/>
      <c r="N26896" s="14"/>
      <c r="O26896" s="14"/>
      <c r="P26896" s="13"/>
    </row>
    <row r="26897">
      <c r="L26897" s="13"/>
      <c r="M26897" s="14"/>
      <c r="N26897" s="14"/>
      <c r="O26897" s="14"/>
      <c r="P26897" s="13"/>
    </row>
    <row r="26898">
      <c r="L26898" s="13"/>
      <c r="M26898" s="14"/>
      <c r="N26898" s="14"/>
      <c r="O26898" s="14"/>
      <c r="P26898" s="13"/>
    </row>
    <row r="26899">
      <c r="L26899" s="13"/>
      <c r="M26899" s="14"/>
      <c r="N26899" s="14"/>
      <c r="O26899" s="14"/>
      <c r="P26899" s="13"/>
    </row>
    <row r="26900">
      <c r="L26900" s="13"/>
      <c r="M26900" s="14"/>
      <c r="N26900" s="14"/>
      <c r="O26900" s="14"/>
      <c r="P26900" s="13"/>
    </row>
    <row r="26901">
      <c r="L26901" s="13"/>
      <c r="M26901" s="14"/>
      <c r="N26901" s="14"/>
      <c r="O26901" s="14"/>
      <c r="P26901" s="13"/>
    </row>
    <row r="26902">
      <c r="L26902" s="13"/>
      <c r="M26902" s="14"/>
      <c r="N26902" s="14"/>
      <c r="O26902" s="14"/>
      <c r="P26902" s="13"/>
    </row>
    <row r="26903">
      <c r="L26903" s="13"/>
      <c r="M26903" s="14"/>
      <c r="N26903" s="14"/>
      <c r="O26903" s="14"/>
      <c r="P26903" s="13"/>
    </row>
    <row r="26904">
      <c r="L26904" s="13"/>
      <c r="M26904" s="14"/>
      <c r="N26904" s="14"/>
      <c r="O26904" s="14"/>
      <c r="P26904" s="13"/>
    </row>
    <row r="26905">
      <c r="L26905" s="13"/>
      <c r="M26905" s="14"/>
      <c r="N26905" s="14"/>
      <c r="O26905" s="14"/>
      <c r="P26905" s="13"/>
    </row>
    <row r="26906">
      <c r="L26906" s="13"/>
      <c r="M26906" s="14"/>
      <c r="N26906" s="14"/>
      <c r="O26906" s="14"/>
      <c r="P26906" s="13"/>
    </row>
    <row r="26907">
      <c r="L26907" s="13"/>
      <c r="M26907" s="14"/>
      <c r="N26907" s="14"/>
      <c r="O26907" s="14"/>
      <c r="P26907" s="13"/>
    </row>
    <row r="26908">
      <c r="L26908" s="13"/>
      <c r="M26908" s="14"/>
      <c r="N26908" s="14"/>
      <c r="O26908" s="14"/>
      <c r="P26908" s="13"/>
    </row>
    <row r="26909">
      <c r="L26909" s="13"/>
      <c r="M26909" s="14"/>
      <c r="N26909" s="14"/>
      <c r="O26909" s="14"/>
      <c r="P26909" s="13"/>
    </row>
    <row r="26910">
      <c r="L26910" s="13"/>
      <c r="M26910" s="14"/>
      <c r="N26910" s="14"/>
      <c r="O26910" s="14"/>
      <c r="P26910" s="13"/>
    </row>
    <row r="26911">
      <c r="L26911" s="13"/>
      <c r="M26911" s="14"/>
      <c r="N26911" s="14"/>
      <c r="O26911" s="14"/>
      <c r="P26911" s="13"/>
    </row>
    <row r="26912">
      <c r="L26912" s="13"/>
      <c r="M26912" s="14"/>
      <c r="N26912" s="14"/>
      <c r="O26912" s="14"/>
      <c r="P26912" s="13"/>
    </row>
    <row r="26913">
      <c r="L26913" s="13"/>
      <c r="M26913" s="14"/>
      <c r="N26913" s="14"/>
      <c r="O26913" s="14"/>
      <c r="P26913" s="13"/>
    </row>
    <row r="26914">
      <c r="L26914" s="13"/>
      <c r="M26914" s="14"/>
      <c r="N26914" s="14"/>
      <c r="O26914" s="14"/>
      <c r="P26914" s="13"/>
    </row>
    <row r="26915">
      <c r="L26915" s="13"/>
      <c r="M26915" s="14"/>
      <c r="N26915" s="14"/>
      <c r="O26915" s="14"/>
      <c r="P26915" s="13"/>
    </row>
    <row r="26916">
      <c r="L26916" s="13"/>
      <c r="M26916" s="14"/>
      <c r="N26916" s="14"/>
      <c r="O26916" s="14"/>
      <c r="P26916" s="13"/>
    </row>
    <row r="26917">
      <c r="L26917" s="13"/>
      <c r="M26917" s="14"/>
      <c r="N26917" s="14"/>
      <c r="O26917" s="14"/>
      <c r="P26917" s="13"/>
    </row>
    <row r="26918">
      <c r="L26918" s="13"/>
      <c r="M26918" s="14"/>
      <c r="N26918" s="14"/>
      <c r="O26918" s="14"/>
      <c r="P26918" s="13"/>
    </row>
    <row r="26919">
      <c r="L26919" s="13"/>
      <c r="M26919" s="14"/>
      <c r="N26919" s="14"/>
      <c r="O26919" s="14"/>
      <c r="P26919" s="13"/>
    </row>
    <row r="26920">
      <c r="L26920" s="13"/>
      <c r="M26920" s="14"/>
      <c r="N26920" s="14"/>
      <c r="O26920" s="14"/>
      <c r="P26920" s="13"/>
    </row>
    <row r="26921">
      <c r="L26921" s="13"/>
      <c r="M26921" s="14"/>
      <c r="N26921" s="14"/>
      <c r="O26921" s="14"/>
      <c r="P26921" s="13"/>
    </row>
    <row r="26922">
      <c r="L26922" s="13"/>
      <c r="M26922" s="14"/>
      <c r="N26922" s="14"/>
      <c r="O26922" s="14"/>
      <c r="P26922" s="13"/>
    </row>
    <row r="26923">
      <c r="L26923" s="13"/>
      <c r="M26923" s="14"/>
      <c r="N26923" s="14"/>
      <c r="O26923" s="14"/>
      <c r="P26923" s="13"/>
    </row>
    <row r="26924">
      <c r="L26924" s="13"/>
      <c r="M26924" s="14"/>
      <c r="N26924" s="14"/>
      <c r="O26924" s="14"/>
      <c r="P26924" s="13"/>
    </row>
    <row r="26925">
      <c r="L26925" s="13"/>
      <c r="M26925" s="14"/>
      <c r="N26925" s="14"/>
      <c r="O26925" s="14"/>
      <c r="P26925" s="13"/>
    </row>
    <row r="26926">
      <c r="L26926" s="13"/>
      <c r="M26926" s="14"/>
      <c r="N26926" s="14"/>
      <c r="O26926" s="14"/>
      <c r="P26926" s="13"/>
    </row>
    <row r="26927">
      <c r="L26927" s="13"/>
      <c r="M26927" s="14"/>
      <c r="N26927" s="14"/>
      <c r="O26927" s="14"/>
      <c r="P26927" s="13"/>
    </row>
    <row r="26928">
      <c r="L26928" s="13"/>
      <c r="M26928" s="14"/>
      <c r="N26928" s="14"/>
      <c r="O26928" s="14"/>
      <c r="P26928" s="13"/>
    </row>
    <row r="26929">
      <c r="L26929" s="13"/>
      <c r="M26929" s="14"/>
      <c r="N26929" s="14"/>
      <c r="O26929" s="14"/>
      <c r="P26929" s="13"/>
    </row>
    <row r="26930">
      <c r="L26930" s="13"/>
      <c r="M26930" s="14"/>
      <c r="N26930" s="14"/>
      <c r="O26930" s="14"/>
      <c r="P26930" s="13"/>
    </row>
    <row r="26931">
      <c r="L26931" s="13"/>
      <c r="M26931" s="14"/>
      <c r="N26931" s="14"/>
      <c r="O26931" s="14"/>
      <c r="P26931" s="13"/>
    </row>
    <row r="26932">
      <c r="L26932" s="13"/>
      <c r="M26932" s="14"/>
      <c r="N26932" s="14"/>
      <c r="O26932" s="14"/>
      <c r="P26932" s="13"/>
    </row>
    <row r="26933">
      <c r="L26933" s="13"/>
      <c r="M26933" s="14"/>
      <c r="N26933" s="14"/>
      <c r="O26933" s="14"/>
      <c r="P26933" s="13"/>
    </row>
    <row r="26934">
      <c r="L26934" s="13"/>
      <c r="M26934" s="14"/>
      <c r="N26934" s="14"/>
      <c r="O26934" s="14"/>
      <c r="P26934" s="13"/>
    </row>
    <row r="26935">
      <c r="L26935" s="13"/>
      <c r="M26935" s="14"/>
      <c r="N26935" s="14"/>
      <c r="O26935" s="14"/>
      <c r="P26935" s="13"/>
    </row>
    <row r="26936">
      <c r="L26936" s="13"/>
      <c r="M26936" s="14"/>
      <c r="N26936" s="14"/>
      <c r="O26936" s="14"/>
      <c r="P26936" s="13"/>
    </row>
    <row r="26937">
      <c r="L26937" s="13"/>
      <c r="M26937" s="14"/>
      <c r="N26937" s="14"/>
      <c r="O26937" s="14"/>
      <c r="P26937" s="13"/>
    </row>
    <row r="26938">
      <c r="L26938" s="13"/>
      <c r="M26938" s="14"/>
      <c r="N26938" s="14"/>
      <c r="O26938" s="14"/>
      <c r="P26938" s="13"/>
    </row>
    <row r="26939">
      <c r="L26939" s="13"/>
      <c r="M26939" s="14"/>
      <c r="N26939" s="14"/>
      <c r="O26939" s="14"/>
      <c r="P26939" s="13"/>
    </row>
    <row r="26940">
      <c r="L26940" s="13"/>
      <c r="M26940" s="14"/>
      <c r="N26940" s="14"/>
      <c r="O26940" s="14"/>
      <c r="P26940" s="13"/>
    </row>
    <row r="26941">
      <c r="L26941" s="13"/>
      <c r="M26941" s="14"/>
      <c r="N26941" s="14"/>
      <c r="O26941" s="14"/>
      <c r="P26941" s="13"/>
    </row>
    <row r="26942">
      <c r="L26942" s="13"/>
      <c r="M26942" s="14"/>
      <c r="N26942" s="14"/>
      <c r="O26942" s="14"/>
      <c r="P26942" s="13"/>
    </row>
    <row r="26943">
      <c r="L26943" s="13"/>
      <c r="M26943" s="14"/>
      <c r="N26943" s="14"/>
      <c r="O26943" s="14"/>
      <c r="P26943" s="13"/>
    </row>
    <row r="26944">
      <c r="L26944" s="13"/>
      <c r="M26944" s="14"/>
      <c r="N26944" s="14"/>
      <c r="O26944" s="14"/>
      <c r="P26944" s="13"/>
    </row>
    <row r="26945">
      <c r="L26945" s="13"/>
      <c r="M26945" s="14"/>
      <c r="N26945" s="14"/>
      <c r="O26945" s="14"/>
      <c r="P26945" s="13"/>
    </row>
    <row r="26946">
      <c r="L26946" s="13"/>
      <c r="M26946" s="14"/>
      <c r="N26946" s="14"/>
      <c r="O26946" s="14"/>
      <c r="P26946" s="13"/>
    </row>
    <row r="26947">
      <c r="L26947" s="13"/>
      <c r="M26947" s="14"/>
      <c r="N26947" s="14"/>
      <c r="O26947" s="14"/>
      <c r="P26947" s="13"/>
    </row>
    <row r="26948">
      <c r="L26948" s="13"/>
      <c r="M26948" s="14"/>
      <c r="N26948" s="14"/>
      <c r="O26948" s="14"/>
      <c r="P26948" s="13"/>
    </row>
    <row r="26949">
      <c r="L26949" s="13"/>
      <c r="M26949" s="14"/>
      <c r="N26949" s="14"/>
      <c r="O26949" s="14"/>
      <c r="P26949" s="13"/>
    </row>
    <row r="26950">
      <c r="L26950" s="13"/>
      <c r="M26950" s="14"/>
      <c r="N26950" s="14"/>
      <c r="O26950" s="14"/>
      <c r="P26950" s="13"/>
    </row>
    <row r="26951">
      <c r="L26951" s="13"/>
      <c r="M26951" s="14"/>
      <c r="N26951" s="14"/>
      <c r="O26951" s="14"/>
      <c r="P26951" s="13"/>
    </row>
    <row r="26952">
      <c r="L26952" s="13"/>
      <c r="M26952" s="14"/>
      <c r="N26952" s="14"/>
      <c r="O26952" s="14"/>
      <c r="P26952" s="13"/>
    </row>
    <row r="26953">
      <c r="L26953" s="13"/>
      <c r="M26953" s="14"/>
      <c r="N26953" s="14"/>
      <c r="O26953" s="14"/>
      <c r="P26953" s="13"/>
    </row>
    <row r="26954">
      <c r="L26954" s="13"/>
      <c r="M26954" s="14"/>
      <c r="N26954" s="14"/>
      <c r="O26954" s="14"/>
      <c r="P26954" s="13"/>
    </row>
    <row r="26955">
      <c r="L26955" s="13"/>
      <c r="M26955" s="14"/>
      <c r="N26955" s="14"/>
      <c r="O26955" s="14"/>
      <c r="P26955" s="13"/>
    </row>
    <row r="26956">
      <c r="L26956" s="13"/>
      <c r="M26956" s="14"/>
      <c r="N26956" s="14"/>
      <c r="O26956" s="14"/>
      <c r="P26956" s="13"/>
    </row>
    <row r="26957">
      <c r="L26957" s="13"/>
      <c r="M26957" s="14"/>
      <c r="N26957" s="14"/>
      <c r="O26957" s="14"/>
      <c r="P26957" s="13"/>
    </row>
    <row r="26958">
      <c r="L26958" s="13"/>
      <c r="M26958" s="14"/>
      <c r="N26958" s="14"/>
      <c r="O26958" s="14"/>
      <c r="P26958" s="13"/>
    </row>
    <row r="26959">
      <c r="L26959" s="13"/>
      <c r="M26959" s="14"/>
      <c r="N26959" s="14"/>
      <c r="O26959" s="14"/>
      <c r="P26959" s="13"/>
    </row>
    <row r="26960">
      <c r="L26960" s="13"/>
      <c r="M26960" s="14"/>
      <c r="N26960" s="14"/>
      <c r="O26960" s="14"/>
      <c r="P26960" s="13"/>
    </row>
    <row r="26961">
      <c r="L26961" s="13"/>
      <c r="M26961" s="14"/>
      <c r="N26961" s="14"/>
      <c r="O26961" s="14"/>
      <c r="P26961" s="13"/>
    </row>
    <row r="26962">
      <c r="L26962" s="13"/>
      <c r="M26962" s="14"/>
      <c r="N26962" s="14"/>
      <c r="O26962" s="14"/>
      <c r="P26962" s="13"/>
    </row>
    <row r="26963">
      <c r="L26963" s="13"/>
      <c r="M26963" s="14"/>
      <c r="N26963" s="14"/>
      <c r="O26963" s="14"/>
      <c r="P26963" s="13"/>
    </row>
    <row r="26964">
      <c r="L26964" s="13"/>
      <c r="M26964" s="14"/>
      <c r="N26964" s="14"/>
      <c r="O26964" s="14"/>
      <c r="P26964" s="13"/>
    </row>
    <row r="26965">
      <c r="L26965" s="13"/>
      <c r="M26965" s="14"/>
      <c r="N26965" s="14"/>
      <c r="O26965" s="14"/>
      <c r="P26965" s="13"/>
    </row>
    <row r="26966">
      <c r="L26966" s="13"/>
      <c r="M26966" s="14"/>
      <c r="N26966" s="14"/>
      <c r="O26966" s="14"/>
      <c r="P26966" s="13"/>
    </row>
    <row r="26967">
      <c r="L26967" s="13"/>
      <c r="M26967" s="14"/>
      <c r="N26967" s="14"/>
      <c r="O26967" s="14"/>
      <c r="P26967" s="13"/>
    </row>
    <row r="26968">
      <c r="L26968" s="13"/>
      <c r="M26968" s="14"/>
      <c r="N26968" s="14"/>
      <c r="O26968" s="14"/>
      <c r="P26968" s="13"/>
    </row>
    <row r="26969">
      <c r="L26969" s="13"/>
      <c r="M26969" s="14"/>
      <c r="N26969" s="14"/>
      <c r="O26969" s="14"/>
      <c r="P26969" s="13"/>
    </row>
    <row r="26970">
      <c r="L26970" s="13"/>
      <c r="M26970" s="14"/>
      <c r="N26970" s="14"/>
      <c r="O26970" s="14"/>
      <c r="P26970" s="13"/>
    </row>
    <row r="26971">
      <c r="L26971" s="13"/>
      <c r="M26971" s="14"/>
      <c r="N26971" s="14"/>
      <c r="O26971" s="14"/>
      <c r="P26971" s="13"/>
    </row>
    <row r="26972">
      <c r="L26972" s="13"/>
      <c r="M26972" s="14"/>
      <c r="N26972" s="14"/>
      <c r="O26972" s="14"/>
      <c r="P26972" s="13"/>
    </row>
    <row r="26973">
      <c r="L26973" s="13"/>
      <c r="M26973" s="14"/>
      <c r="N26973" s="14"/>
      <c r="O26973" s="14"/>
      <c r="P26973" s="13"/>
    </row>
    <row r="26974">
      <c r="L26974" s="13"/>
      <c r="M26974" s="14"/>
      <c r="N26974" s="14"/>
      <c r="O26974" s="14"/>
      <c r="P26974" s="13"/>
    </row>
    <row r="26975">
      <c r="L26975" s="13"/>
      <c r="M26975" s="14"/>
      <c r="N26975" s="14"/>
      <c r="O26975" s="14"/>
      <c r="P26975" s="13"/>
    </row>
    <row r="26976">
      <c r="L26976" s="13"/>
      <c r="M26976" s="14"/>
      <c r="N26976" s="14"/>
      <c r="O26976" s="14"/>
      <c r="P26976" s="13"/>
    </row>
    <row r="26977">
      <c r="L26977" s="13"/>
      <c r="M26977" s="14"/>
      <c r="N26977" s="14"/>
      <c r="O26977" s="14"/>
      <c r="P26977" s="13"/>
    </row>
    <row r="26978">
      <c r="L26978" s="13"/>
      <c r="M26978" s="14"/>
      <c r="N26978" s="14"/>
      <c r="O26978" s="14"/>
      <c r="P26978" s="13"/>
    </row>
    <row r="26979">
      <c r="L26979" s="13"/>
      <c r="M26979" s="14"/>
      <c r="N26979" s="14"/>
      <c r="O26979" s="14"/>
      <c r="P26979" s="13"/>
    </row>
    <row r="26980">
      <c r="L26980" s="13"/>
      <c r="M26980" s="14"/>
      <c r="N26980" s="14"/>
      <c r="O26980" s="14"/>
      <c r="P26980" s="13"/>
    </row>
    <row r="26981">
      <c r="L26981" s="13"/>
      <c r="M26981" s="14"/>
      <c r="N26981" s="14"/>
      <c r="O26981" s="14"/>
      <c r="P26981" s="13"/>
    </row>
    <row r="26982">
      <c r="L26982" s="13"/>
      <c r="M26982" s="14"/>
      <c r="N26982" s="14"/>
      <c r="O26982" s="14"/>
      <c r="P26982" s="13"/>
    </row>
    <row r="26983">
      <c r="L26983" s="13"/>
      <c r="M26983" s="14"/>
      <c r="N26983" s="14"/>
      <c r="O26983" s="14"/>
      <c r="P26983" s="13"/>
    </row>
    <row r="26984">
      <c r="L26984" s="13"/>
      <c r="M26984" s="14"/>
      <c r="N26984" s="14"/>
      <c r="O26984" s="14"/>
      <c r="P26984" s="13"/>
    </row>
    <row r="26985">
      <c r="L26985" s="13"/>
      <c r="M26985" s="14"/>
      <c r="N26985" s="14"/>
      <c r="O26985" s="14"/>
      <c r="P26985" s="13"/>
    </row>
    <row r="26986">
      <c r="L26986" s="13"/>
      <c r="M26986" s="14"/>
      <c r="N26986" s="14"/>
      <c r="O26986" s="14"/>
      <c r="P26986" s="13"/>
    </row>
    <row r="26987">
      <c r="L26987" s="13"/>
      <c r="M26987" s="14"/>
      <c r="N26987" s="14"/>
      <c r="O26987" s="14"/>
      <c r="P26987" s="13"/>
    </row>
    <row r="26988">
      <c r="L26988" s="13"/>
      <c r="M26988" s="14"/>
      <c r="N26988" s="14"/>
      <c r="O26988" s="14"/>
      <c r="P26988" s="13"/>
    </row>
    <row r="26989">
      <c r="L26989" s="13"/>
      <c r="M26989" s="14"/>
      <c r="N26989" s="14"/>
      <c r="O26989" s="14"/>
      <c r="P26989" s="13"/>
    </row>
    <row r="26990">
      <c r="L26990" s="13"/>
      <c r="M26990" s="14"/>
      <c r="N26990" s="14"/>
      <c r="O26990" s="14"/>
      <c r="P26990" s="13"/>
    </row>
    <row r="26991">
      <c r="L26991" s="13"/>
      <c r="M26991" s="14"/>
      <c r="N26991" s="14"/>
      <c r="O26991" s="14"/>
      <c r="P26991" s="13"/>
    </row>
    <row r="26992">
      <c r="L26992" s="13"/>
      <c r="M26992" s="14"/>
      <c r="N26992" s="14"/>
      <c r="O26992" s="14"/>
      <c r="P26992" s="13"/>
    </row>
    <row r="26993">
      <c r="L26993" s="13"/>
      <c r="M26993" s="14"/>
      <c r="N26993" s="14"/>
      <c r="O26993" s="14"/>
      <c r="P26993" s="13"/>
    </row>
    <row r="26994">
      <c r="L26994" s="13"/>
      <c r="M26994" s="14"/>
      <c r="N26994" s="14"/>
      <c r="O26994" s="14"/>
      <c r="P26994" s="13"/>
    </row>
    <row r="26995">
      <c r="L26995" s="13"/>
      <c r="M26995" s="14"/>
      <c r="N26995" s="14"/>
      <c r="O26995" s="14"/>
      <c r="P26995" s="13"/>
    </row>
    <row r="26996">
      <c r="L26996" s="13"/>
      <c r="M26996" s="14"/>
      <c r="N26996" s="14"/>
      <c r="O26996" s="14"/>
      <c r="P26996" s="13"/>
    </row>
    <row r="26997">
      <c r="L26997" s="13"/>
      <c r="M26997" s="14"/>
      <c r="N26997" s="14"/>
      <c r="O26997" s="14"/>
      <c r="P26997" s="13"/>
    </row>
    <row r="26998">
      <c r="L26998" s="13"/>
      <c r="M26998" s="14"/>
      <c r="N26998" s="14"/>
      <c r="O26998" s="14"/>
      <c r="P26998" s="13"/>
    </row>
    <row r="26999">
      <c r="L26999" s="13"/>
      <c r="M26999" s="14"/>
      <c r="N26999" s="14"/>
      <c r="O26999" s="14"/>
      <c r="P26999" s="13"/>
    </row>
    <row r="27000">
      <c r="L27000" s="13"/>
      <c r="M27000" s="14"/>
      <c r="N27000" s="14"/>
      <c r="O27000" s="14"/>
      <c r="P27000" s="13"/>
    </row>
    <row r="27001">
      <c r="L27001" s="13"/>
      <c r="M27001" s="14"/>
      <c r="N27001" s="14"/>
      <c r="O27001" s="14"/>
      <c r="P27001" s="13"/>
    </row>
    <row r="27002">
      <c r="L27002" s="13"/>
      <c r="M27002" s="14"/>
      <c r="N27002" s="14"/>
      <c r="O27002" s="14"/>
      <c r="P27002" s="13"/>
    </row>
    <row r="27003">
      <c r="L27003" s="13"/>
      <c r="M27003" s="14"/>
      <c r="N27003" s="14"/>
      <c r="O27003" s="14"/>
      <c r="P27003" s="13"/>
    </row>
    <row r="27004">
      <c r="L27004" s="13"/>
      <c r="M27004" s="14"/>
      <c r="N27004" s="14"/>
      <c r="O27004" s="14"/>
      <c r="P27004" s="13"/>
    </row>
    <row r="27005">
      <c r="L27005" s="13"/>
      <c r="M27005" s="14"/>
      <c r="N27005" s="14"/>
      <c r="O27005" s="14"/>
      <c r="P27005" s="13"/>
    </row>
    <row r="27006">
      <c r="L27006" s="13"/>
      <c r="M27006" s="14"/>
      <c r="N27006" s="14"/>
      <c r="O27006" s="14"/>
      <c r="P27006" s="13"/>
    </row>
    <row r="27007">
      <c r="L27007" s="13"/>
      <c r="M27007" s="14"/>
      <c r="N27007" s="14"/>
      <c r="O27007" s="14"/>
      <c r="P27007" s="13"/>
    </row>
    <row r="27008">
      <c r="L27008" s="13"/>
      <c r="M27008" s="14"/>
      <c r="N27008" s="14"/>
      <c r="O27008" s="14"/>
      <c r="P27008" s="13"/>
    </row>
    <row r="27009">
      <c r="L27009" s="13"/>
      <c r="M27009" s="14"/>
      <c r="N27009" s="14"/>
      <c r="O27009" s="14"/>
      <c r="P27009" s="13"/>
    </row>
    <row r="27010">
      <c r="L27010" s="13"/>
      <c r="M27010" s="14"/>
      <c r="N27010" s="14"/>
      <c r="O27010" s="14"/>
      <c r="P27010" s="13"/>
    </row>
    <row r="27011">
      <c r="L27011" s="13"/>
      <c r="M27011" s="14"/>
      <c r="N27011" s="14"/>
      <c r="O27011" s="14"/>
      <c r="P27011" s="13"/>
    </row>
    <row r="27012">
      <c r="L27012" s="13"/>
      <c r="M27012" s="14"/>
      <c r="N27012" s="14"/>
      <c r="O27012" s="14"/>
      <c r="P27012" s="13"/>
    </row>
    <row r="27013">
      <c r="L27013" s="13"/>
      <c r="M27013" s="14"/>
      <c r="N27013" s="14"/>
      <c r="O27013" s="14"/>
      <c r="P27013" s="13"/>
    </row>
    <row r="27014">
      <c r="L27014" s="13"/>
      <c r="M27014" s="14"/>
      <c r="N27014" s="14"/>
      <c r="O27014" s="14"/>
      <c r="P27014" s="13"/>
    </row>
    <row r="27015">
      <c r="L27015" s="13"/>
      <c r="M27015" s="14"/>
      <c r="N27015" s="14"/>
      <c r="O27015" s="14"/>
      <c r="P27015" s="13"/>
    </row>
    <row r="27016">
      <c r="L27016" s="13"/>
      <c r="M27016" s="14"/>
      <c r="N27016" s="14"/>
      <c r="O27016" s="14"/>
      <c r="P27016" s="13"/>
    </row>
    <row r="27017">
      <c r="L27017" s="13"/>
      <c r="M27017" s="14"/>
      <c r="N27017" s="14"/>
      <c r="O27017" s="14"/>
      <c r="P27017" s="13"/>
    </row>
    <row r="27018">
      <c r="L27018" s="13"/>
      <c r="M27018" s="14"/>
      <c r="N27018" s="14"/>
      <c r="O27018" s="14"/>
      <c r="P27018" s="13"/>
    </row>
    <row r="27019">
      <c r="L27019" s="13"/>
      <c r="M27019" s="14"/>
      <c r="N27019" s="14"/>
      <c r="O27019" s="14"/>
      <c r="P27019" s="13"/>
    </row>
    <row r="27020">
      <c r="L27020" s="13"/>
      <c r="M27020" s="14"/>
      <c r="N27020" s="14"/>
      <c r="O27020" s="14"/>
      <c r="P27020" s="13"/>
    </row>
    <row r="27021">
      <c r="L27021" s="13"/>
      <c r="M27021" s="14"/>
      <c r="N27021" s="14"/>
      <c r="O27021" s="14"/>
      <c r="P27021" s="13"/>
    </row>
    <row r="27022">
      <c r="L27022" s="13"/>
      <c r="M27022" s="14"/>
      <c r="N27022" s="14"/>
      <c r="O27022" s="14"/>
      <c r="P27022" s="13"/>
    </row>
    <row r="27023">
      <c r="L27023" s="13"/>
      <c r="M27023" s="14"/>
      <c r="N27023" s="14"/>
      <c r="O27023" s="14"/>
      <c r="P27023" s="13"/>
    </row>
    <row r="27024">
      <c r="L27024" s="13"/>
      <c r="M27024" s="14"/>
      <c r="N27024" s="14"/>
      <c r="O27024" s="14"/>
      <c r="P27024" s="13"/>
    </row>
    <row r="27025">
      <c r="L27025" s="13"/>
      <c r="M27025" s="14"/>
      <c r="N27025" s="14"/>
      <c r="O27025" s="14"/>
      <c r="P27025" s="13"/>
    </row>
    <row r="27026">
      <c r="L27026" s="13"/>
      <c r="M27026" s="14"/>
      <c r="N27026" s="14"/>
      <c r="O27026" s="14"/>
      <c r="P27026" s="13"/>
    </row>
    <row r="27027">
      <c r="L27027" s="13"/>
      <c r="M27027" s="14"/>
      <c r="N27027" s="14"/>
      <c r="O27027" s="14"/>
      <c r="P27027" s="13"/>
    </row>
    <row r="27028">
      <c r="L27028" s="13"/>
      <c r="M27028" s="14"/>
      <c r="N27028" s="14"/>
      <c r="O27028" s="14"/>
      <c r="P27028" s="13"/>
    </row>
    <row r="27029">
      <c r="L27029" s="13"/>
      <c r="M27029" s="14"/>
      <c r="N27029" s="14"/>
      <c r="O27029" s="14"/>
      <c r="P27029" s="13"/>
    </row>
    <row r="27030">
      <c r="L27030" s="13"/>
      <c r="M27030" s="14"/>
      <c r="N27030" s="14"/>
      <c r="O27030" s="14"/>
      <c r="P27030" s="13"/>
    </row>
    <row r="27031">
      <c r="L27031" s="13"/>
      <c r="M27031" s="14"/>
      <c r="N27031" s="14"/>
      <c r="O27031" s="14"/>
      <c r="P27031" s="13"/>
    </row>
    <row r="27032">
      <c r="L27032" s="13"/>
      <c r="M27032" s="14"/>
      <c r="N27032" s="14"/>
      <c r="O27032" s="14"/>
      <c r="P27032" s="13"/>
    </row>
    <row r="27033">
      <c r="L27033" s="13"/>
      <c r="M27033" s="14"/>
      <c r="N27033" s="14"/>
      <c r="O27033" s="14"/>
      <c r="P27033" s="13"/>
    </row>
    <row r="27034">
      <c r="L27034" s="13"/>
      <c r="M27034" s="14"/>
      <c r="N27034" s="14"/>
      <c r="O27034" s="14"/>
      <c r="P27034" s="13"/>
    </row>
    <row r="27035">
      <c r="L27035" s="13"/>
      <c r="M27035" s="14"/>
      <c r="N27035" s="14"/>
      <c r="O27035" s="14"/>
      <c r="P27035" s="13"/>
    </row>
    <row r="27036">
      <c r="L27036" s="13"/>
      <c r="M27036" s="14"/>
      <c r="N27036" s="14"/>
      <c r="O27036" s="14"/>
      <c r="P27036" s="13"/>
    </row>
    <row r="27037">
      <c r="L27037" s="13"/>
      <c r="M27037" s="14"/>
      <c r="N27037" s="14"/>
      <c r="O27037" s="14"/>
      <c r="P27037" s="13"/>
    </row>
    <row r="27038">
      <c r="L27038" s="13"/>
      <c r="M27038" s="14"/>
      <c r="N27038" s="14"/>
      <c r="O27038" s="14"/>
      <c r="P27038" s="13"/>
    </row>
    <row r="27039">
      <c r="L27039" s="13"/>
      <c r="M27039" s="14"/>
      <c r="N27039" s="14"/>
      <c r="O27039" s="14"/>
      <c r="P27039" s="13"/>
    </row>
    <row r="27040">
      <c r="L27040" s="13"/>
      <c r="M27040" s="14"/>
      <c r="N27040" s="14"/>
      <c r="O27040" s="14"/>
      <c r="P27040" s="13"/>
    </row>
    <row r="27041">
      <c r="L27041" s="13"/>
      <c r="M27041" s="14"/>
      <c r="N27041" s="14"/>
      <c r="O27041" s="14"/>
      <c r="P27041" s="13"/>
    </row>
    <row r="27042">
      <c r="L27042" s="13"/>
      <c r="M27042" s="14"/>
      <c r="N27042" s="14"/>
      <c r="O27042" s="14"/>
      <c r="P27042" s="13"/>
    </row>
    <row r="27043">
      <c r="L27043" s="13"/>
      <c r="M27043" s="14"/>
      <c r="N27043" s="14"/>
      <c r="O27043" s="14"/>
      <c r="P27043" s="13"/>
    </row>
    <row r="27044">
      <c r="L27044" s="13"/>
      <c r="M27044" s="14"/>
      <c r="N27044" s="14"/>
      <c r="O27044" s="14"/>
      <c r="P27044" s="13"/>
    </row>
    <row r="27045">
      <c r="L27045" s="13"/>
      <c r="M27045" s="14"/>
      <c r="N27045" s="14"/>
      <c r="O27045" s="14"/>
      <c r="P27045" s="13"/>
    </row>
    <row r="27046">
      <c r="L27046" s="13"/>
      <c r="M27046" s="14"/>
      <c r="N27046" s="14"/>
      <c r="O27046" s="14"/>
      <c r="P27046" s="13"/>
    </row>
    <row r="27047">
      <c r="L27047" s="13"/>
      <c r="M27047" s="14"/>
      <c r="N27047" s="14"/>
      <c r="O27047" s="14"/>
      <c r="P27047" s="13"/>
    </row>
    <row r="27048">
      <c r="L27048" s="13"/>
      <c r="M27048" s="14"/>
      <c r="N27048" s="14"/>
      <c r="O27048" s="14"/>
      <c r="P27048" s="13"/>
    </row>
    <row r="27049">
      <c r="L27049" s="13"/>
      <c r="M27049" s="14"/>
      <c r="N27049" s="14"/>
      <c r="O27049" s="14"/>
      <c r="P27049" s="13"/>
    </row>
    <row r="27050">
      <c r="L27050" s="13"/>
      <c r="M27050" s="14"/>
      <c r="N27050" s="14"/>
      <c r="O27050" s="14"/>
      <c r="P27050" s="13"/>
    </row>
    <row r="27051">
      <c r="L27051" s="13"/>
      <c r="M27051" s="14"/>
      <c r="N27051" s="14"/>
      <c r="O27051" s="14"/>
      <c r="P27051" s="13"/>
    </row>
    <row r="27052">
      <c r="L27052" s="13"/>
      <c r="M27052" s="14"/>
      <c r="N27052" s="14"/>
      <c r="O27052" s="14"/>
      <c r="P27052" s="13"/>
    </row>
    <row r="27053">
      <c r="L27053" s="13"/>
      <c r="M27053" s="14"/>
      <c r="N27053" s="14"/>
      <c r="O27053" s="14"/>
      <c r="P27053" s="13"/>
    </row>
    <row r="27054">
      <c r="L27054" s="13"/>
      <c r="M27054" s="14"/>
      <c r="N27054" s="14"/>
      <c r="O27054" s="14"/>
      <c r="P27054" s="13"/>
    </row>
    <row r="27055">
      <c r="L27055" s="13"/>
      <c r="M27055" s="14"/>
      <c r="N27055" s="14"/>
      <c r="O27055" s="14"/>
      <c r="P27055" s="13"/>
    </row>
    <row r="27056">
      <c r="L27056" s="13"/>
      <c r="M27056" s="14"/>
      <c r="N27056" s="14"/>
      <c r="O27056" s="14"/>
      <c r="P27056" s="13"/>
    </row>
    <row r="27057">
      <c r="L27057" s="13"/>
      <c r="M27057" s="14"/>
      <c r="N27057" s="14"/>
      <c r="O27057" s="14"/>
      <c r="P27057" s="13"/>
    </row>
    <row r="27058">
      <c r="L27058" s="13"/>
      <c r="M27058" s="14"/>
      <c r="N27058" s="14"/>
      <c r="O27058" s="14"/>
      <c r="P27058" s="13"/>
    </row>
    <row r="27059">
      <c r="L27059" s="13"/>
      <c r="M27059" s="14"/>
      <c r="N27059" s="14"/>
      <c r="O27059" s="14"/>
      <c r="P27059" s="13"/>
    </row>
    <row r="27060">
      <c r="L27060" s="13"/>
      <c r="M27060" s="14"/>
      <c r="N27060" s="14"/>
      <c r="O27060" s="14"/>
      <c r="P27060" s="13"/>
    </row>
    <row r="27061">
      <c r="L27061" s="13"/>
      <c r="M27061" s="14"/>
      <c r="N27061" s="14"/>
      <c r="O27061" s="14"/>
      <c r="P27061" s="13"/>
    </row>
    <row r="27062">
      <c r="L27062" s="13"/>
      <c r="M27062" s="14"/>
      <c r="N27062" s="14"/>
      <c r="O27062" s="14"/>
      <c r="P27062" s="13"/>
    </row>
    <row r="27063">
      <c r="L27063" s="13"/>
      <c r="M27063" s="14"/>
      <c r="N27063" s="14"/>
      <c r="O27063" s="14"/>
      <c r="P27063" s="13"/>
    </row>
    <row r="27064">
      <c r="L27064" s="13"/>
      <c r="M27064" s="14"/>
      <c r="N27064" s="14"/>
      <c r="O27064" s="14"/>
      <c r="P27064" s="13"/>
    </row>
    <row r="27065">
      <c r="L27065" s="13"/>
      <c r="M27065" s="14"/>
      <c r="N27065" s="14"/>
      <c r="O27065" s="14"/>
      <c r="P27065" s="13"/>
    </row>
    <row r="27066">
      <c r="L27066" s="13"/>
      <c r="M27066" s="14"/>
      <c r="N27066" s="14"/>
      <c r="O27066" s="14"/>
      <c r="P27066" s="13"/>
    </row>
    <row r="27067">
      <c r="L27067" s="13"/>
      <c r="M27067" s="14"/>
      <c r="N27067" s="14"/>
      <c r="O27067" s="14"/>
      <c r="P27067" s="13"/>
    </row>
    <row r="27068">
      <c r="L27068" s="13"/>
      <c r="M27068" s="14"/>
      <c r="N27068" s="14"/>
      <c r="O27068" s="14"/>
      <c r="P27068" s="13"/>
    </row>
    <row r="27069">
      <c r="L27069" s="13"/>
      <c r="M27069" s="14"/>
      <c r="N27069" s="14"/>
      <c r="O27069" s="14"/>
      <c r="P27069" s="13"/>
    </row>
    <row r="27070">
      <c r="L27070" s="13"/>
      <c r="M27070" s="14"/>
      <c r="N27070" s="14"/>
      <c r="O27070" s="14"/>
      <c r="P27070" s="13"/>
    </row>
    <row r="27071">
      <c r="L27071" s="13"/>
      <c r="M27071" s="14"/>
      <c r="N27071" s="14"/>
      <c r="O27071" s="14"/>
      <c r="P27071" s="13"/>
    </row>
    <row r="27072">
      <c r="L27072" s="13"/>
      <c r="M27072" s="14"/>
      <c r="N27072" s="14"/>
      <c r="O27072" s="14"/>
      <c r="P27072" s="13"/>
    </row>
    <row r="27073">
      <c r="L27073" s="13"/>
      <c r="M27073" s="14"/>
      <c r="N27073" s="14"/>
      <c r="O27073" s="14"/>
      <c r="P27073" s="13"/>
    </row>
    <row r="27074">
      <c r="L27074" s="13"/>
      <c r="M27074" s="14"/>
      <c r="N27074" s="14"/>
      <c r="O27074" s="14"/>
      <c r="P27074" s="13"/>
    </row>
    <row r="27075">
      <c r="L27075" s="13"/>
      <c r="M27075" s="14"/>
      <c r="N27075" s="14"/>
      <c r="O27075" s="14"/>
      <c r="P27075" s="13"/>
    </row>
    <row r="27076">
      <c r="L27076" s="13"/>
      <c r="M27076" s="14"/>
      <c r="N27076" s="14"/>
      <c r="O27076" s="14"/>
      <c r="P27076" s="13"/>
    </row>
    <row r="27077">
      <c r="L27077" s="13"/>
      <c r="M27077" s="14"/>
      <c r="N27077" s="14"/>
      <c r="O27077" s="14"/>
      <c r="P27077" s="13"/>
    </row>
    <row r="27078">
      <c r="L27078" s="13"/>
      <c r="M27078" s="14"/>
      <c r="N27078" s="14"/>
      <c r="O27078" s="14"/>
      <c r="P27078" s="13"/>
    </row>
    <row r="27079">
      <c r="L27079" s="13"/>
      <c r="M27079" s="14"/>
      <c r="N27079" s="14"/>
      <c r="O27079" s="14"/>
      <c r="P27079" s="13"/>
    </row>
    <row r="27080">
      <c r="L27080" s="13"/>
      <c r="M27080" s="14"/>
      <c r="N27080" s="14"/>
      <c r="O27080" s="14"/>
      <c r="P27080" s="13"/>
    </row>
    <row r="27081">
      <c r="L27081" s="13"/>
      <c r="M27081" s="14"/>
      <c r="N27081" s="14"/>
      <c r="O27081" s="14"/>
      <c r="P27081" s="13"/>
    </row>
    <row r="27082">
      <c r="L27082" s="13"/>
      <c r="M27082" s="14"/>
      <c r="N27082" s="14"/>
      <c r="O27082" s="14"/>
      <c r="P27082" s="13"/>
    </row>
    <row r="27083">
      <c r="L27083" s="13"/>
      <c r="M27083" s="14"/>
      <c r="N27083" s="14"/>
      <c r="O27083" s="14"/>
      <c r="P27083" s="13"/>
    </row>
    <row r="27084">
      <c r="L27084" s="13"/>
      <c r="M27084" s="14"/>
      <c r="N27084" s="14"/>
      <c r="O27084" s="14"/>
      <c r="P27084" s="13"/>
    </row>
    <row r="27085">
      <c r="L27085" s="13"/>
      <c r="M27085" s="14"/>
      <c r="N27085" s="14"/>
      <c r="O27085" s="14"/>
      <c r="P27085" s="13"/>
    </row>
    <row r="27086">
      <c r="L27086" s="13"/>
      <c r="M27086" s="14"/>
      <c r="N27086" s="14"/>
      <c r="O27086" s="14"/>
      <c r="P27086" s="13"/>
    </row>
    <row r="27087">
      <c r="L27087" s="13"/>
      <c r="M27087" s="14"/>
      <c r="N27087" s="14"/>
      <c r="O27087" s="14"/>
      <c r="P27087" s="13"/>
    </row>
    <row r="27088">
      <c r="L27088" s="13"/>
      <c r="M27088" s="14"/>
      <c r="N27088" s="14"/>
      <c r="O27088" s="14"/>
      <c r="P27088" s="13"/>
    </row>
    <row r="27089">
      <c r="L27089" s="13"/>
      <c r="M27089" s="14"/>
      <c r="N27089" s="14"/>
      <c r="O27089" s="14"/>
      <c r="P27089" s="13"/>
    </row>
    <row r="27090">
      <c r="L27090" s="13"/>
      <c r="M27090" s="14"/>
      <c r="N27090" s="14"/>
      <c r="O27090" s="14"/>
      <c r="P27090" s="13"/>
    </row>
    <row r="27091">
      <c r="L27091" s="13"/>
      <c r="M27091" s="14"/>
      <c r="N27091" s="14"/>
      <c r="O27091" s="14"/>
      <c r="P27091" s="13"/>
    </row>
    <row r="27092">
      <c r="L27092" s="13"/>
      <c r="M27092" s="14"/>
      <c r="N27092" s="14"/>
      <c r="O27092" s="14"/>
      <c r="P27092" s="13"/>
    </row>
    <row r="27093">
      <c r="L27093" s="13"/>
      <c r="M27093" s="14"/>
      <c r="N27093" s="14"/>
      <c r="O27093" s="14"/>
      <c r="P27093" s="13"/>
    </row>
    <row r="27094">
      <c r="L27094" s="13"/>
      <c r="M27094" s="14"/>
      <c r="N27094" s="14"/>
      <c r="O27094" s="14"/>
      <c r="P27094" s="13"/>
    </row>
    <row r="27095">
      <c r="L27095" s="13"/>
      <c r="M27095" s="14"/>
      <c r="N27095" s="14"/>
      <c r="O27095" s="14"/>
      <c r="P27095" s="13"/>
    </row>
    <row r="27096">
      <c r="L27096" s="13"/>
      <c r="M27096" s="14"/>
      <c r="N27096" s="14"/>
      <c r="O27096" s="14"/>
      <c r="P27096" s="13"/>
    </row>
    <row r="27097">
      <c r="L27097" s="13"/>
      <c r="M27097" s="14"/>
      <c r="N27097" s="14"/>
      <c r="O27097" s="14"/>
      <c r="P27097" s="13"/>
    </row>
    <row r="27098">
      <c r="L27098" s="13"/>
      <c r="M27098" s="14"/>
      <c r="N27098" s="14"/>
      <c r="O27098" s="14"/>
      <c r="P27098" s="13"/>
    </row>
    <row r="27099">
      <c r="L27099" s="13"/>
      <c r="M27099" s="14"/>
      <c r="N27099" s="14"/>
      <c r="O27099" s="14"/>
      <c r="P27099" s="13"/>
    </row>
    <row r="27100">
      <c r="L27100" s="13"/>
      <c r="M27100" s="14"/>
      <c r="N27100" s="14"/>
      <c r="O27100" s="14"/>
      <c r="P27100" s="13"/>
    </row>
    <row r="27101">
      <c r="L27101" s="13"/>
      <c r="M27101" s="14"/>
      <c r="N27101" s="14"/>
      <c r="O27101" s="14"/>
      <c r="P27101" s="13"/>
    </row>
    <row r="27102">
      <c r="L27102" s="13"/>
      <c r="M27102" s="14"/>
      <c r="N27102" s="14"/>
      <c r="O27102" s="14"/>
      <c r="P27102" s="13"/>
    </row>
    <row r="27103">
      <c r="L27103" s="13"/>
      <c r="M27103" s="14"/>
      <c r="N27103" s="14"/>
      <c r="O27103" s="14"/>
      <c r="P27103" s="13"/>
    </row>
    <row r="27104">
      <c r="L27104" s="13"/>
      <c r="M27104" s="14"/>
      <c r="N27104" s="14"/>
      <c r="O27104" s="14"/>
      <c r="P27104" s="13"/>
    </row>
    <row r="27105">
      <c r="L27105" s="13"/>
      <c r="M27105" s="14"/>
      <c r="N27105" s="14"/>
      <c r="O27105" s="14"/>
      <c r="P27105" s="13"/>
    </row>
    <row r="27106">
      <c r="L27106" s="13"/>
      <c r="M27106" s="14"/>
      <c r="N27106" s="14"/>
      <c r="O27106" s="14"/>
      <c r="P27106" s="13"/>
    </row>
    <row r="27107">
      <c r="L27107" s="13"/>
      <c r="M27107" s="14"/>
      <c r="N27107" s="14"/>
      <c r="O27107" s="14"/>
      <c r="P27107" s="13"/>
    </row>
    <row r="27108">
      <c r="L27108" s="13"/>
      <c r="M27108" s="14"/>
      <c r="N27108" s="14"/>
      <c r="O27108" s="14"/>
      <c r="P27108" s="13"/>
    </row>
    <row r="27109">
      <c r="L27109" s="13"/>
      <c r="M27109" s="14"/>
      <c r="N27109" s="14"/>
      <c r="O27109" s="14"/>
      <c r="P27109" s="13"/>
    </row>
    <row r="27110">
      <c r="L27110" s="13"/>
      <c r="M27110" s="14"/>
      <c r="N27110" s="14"/>
      <c r="O27110" s="14"/>
      <c r="P27110" s="13"/>
    </row>
    <row r="27111">
      <c r="L27111" s="13"/>
      <c r="M27111" s="14"/>
      <c r="N27111" s="14"/>
      <c r="O27111" s="14"/>
      <c r="P27111" s="13"/>
    </row>
    <row r="27112">
      <c r="L27112" s="13"/>
      <c r="M27112" s="14"/>
      <c r="N27112" s="14"/>
      <c r="O27112" s="14"/>
      <c r="P27112" s="13"/>
    </row>
    <row r="27113">
      <c r="L27113" s="13"/>
      <c r="M27113" s="14"/>
      <c r="N27113" s="14"/>
      <c r="O27113" s="14"/>
      <c r="P27113" s="13"/>
    </row>
    <row r="27114">
      <c r="L27114" s="13"/>
      <c r="M27114" s="14"/>
      <c r="N27114" s="14"/>
      <c r="O27114" s="14"/>
      <c r="P27114" s="13"/>
    </row>
    <row r="27115">
      <c r="L27115" s="13"/>
      <c r="M27115" s="14"/>
      <c r="N27115" s="14"/>
      <c r="O27115" s="14"/>
      <c r="P27115" s="13"/>
    </row>
    <row r="27116">
      <c r="L27116" s="13"/>
      <c r="M27116" s="14"/>
      <c r="N27116" s="14"/>
      <c r="O27116" s="14"/>
      <c r="P27116" s="13"/>
    </row>
    <row r="27117">
      <c r="L27117" s="13"/>
      <c r="M27117" s="14"/>
      <c r="N27117" s="14"/>
      <c r="O27117" s="14"/>
      <c r="P27117" s="13"/>
    </row>
    <row r="27118">
      <c r="L27118" s="13"/>
      <c r="M27118" s="14"/>
      <c r="N27118" s="14"/>
      <c r="O27118" s="14"/>
      <c r="P27118" s="13"/>
    </row>
    <row r="27119">
      <c r="L27119" s="13"/>
      <c r="M27119" s="14"/>
      <c r="N27119" s="14"/>
      <c r="O27119" s="14"/>
      <c r="P27119" s="13"/>
    </row>
    <row r="27120">
      <c r="L27120" s="13"/>
      <c r="M27120" s="14"/>
      <c r="N27120" s="14"/>
      <c r="O27120" s="14"/>
      <c r="P27120" s="13"/>
    </row>
    <row r="27121">
      <c r="L27121" s="13"/>
      <c r="M27121" s="14"/>
      <c r="N27121" s="14"/>
      <c r="O27121" s="14"/>
      <c r="P27121" s="13"/>
    </row>
    <row r="27122">
      <c r="L27122" s="13"/>
      <c r="M27122" s="14"/>
      <c r="N27122" s="14"/>
      <c r="O27122" s="14"/>
      <c r="P27122" s="13"/>
    </row>
    <row r="27123">
      <c r="L27123" s="13"/>
      <c r="M27123" s="14"/>
      <c r="N27123" s="14"/>
      <c r="O27123" s="14"/>
      <c r="P27123" s="13"/>
    </row>
    <row r="27124">
      <c r="L27124" s="13"/>
      <c r="M27124" s="14"/>
      <c r="N27124" s="14"/>
      <c r="O27124" s="14"/>
      <c r="P27124" s="13"/>
    </row>
    <row r="27125">
      <c r="L27125" s="13"/>
      <c r="M27125" s="14"/>
      <c r="N27125" s="14"/>
      <c r="O27125" s="14"/>
      <c r="P27125" s="13"/>
    </row>
    <row r="27126">
      <c r="L27126" s="13"/>
      <c r="M27126" s="14"/>
      <c r="N27126" s="14"/>
      <c r="O27126" s="14"/>
      <c r="P27126" s="13"/>
    </row>
    <row r="27127">
      <c r="L27127" s="13"/>
      <c r="M27127" s="14"/>
      <c r="N27127" s="14"/>
      <c r="O27127" s="14"/>
      <c r="P27127" s="13"/>
    </row>
    <row r="27128">
      <c r="L27128" s="13"/>
      <c r="M27128" s="14"/>
      <c r="N27128" s="14"/>
      <c r="O27128" s="14"/>
      <c r="P27128" s="13"/>
    </row>
    <row r="27129">
      <c r="L27129" s="13"/>
      <c r="M27129" s="14"/>
      <c r="N27129" s="14"/>
      <c r="O27129" s="14"/>
      <c r="P27129" s="13"/>
    </row>
    <row r="27130">
      <c r="L27130" s="13"/>
      <c r="M27130" s="14"/>
      <c r="N27130" s="14"/>
      <c r="O27130" s="14"/>
      <c r="P27130" s="13"/>
    </row>
    <row r="27131">
      <c r="L27131" s="13"/>
      <c r="M27131" s="14"/>
      <c r="N27131" s="14"/>
      <c r="O27131" s="14"/>
      <c r="P27131" s="13"/>
    </row>
    <row r="27132">
      <c r="L27132" s="13"/>
      <c r="M27132" s="14"/>
      <c r="N27132" s="14"/>
      <c r="O27132" s="14"/>
      <c r="P27132" s="13"/>
    </row>
    <row r="27133">
      <c r="L27133" s="13"/>
      <c r="M27133" s="14"/>
      <c r="N27133" s="14"/>
      <c r="O27133" s="14"/>
      <c r="P27133" s="13"/>
    </row>
    <row r="27134">
      <c r="L27134" s="13"/>
      <c r="M27134" s="14"/>
      <c r="N27134" s="14"/>
      <c r="O27134" s="14"/>
      <c r="P27134" s="13"/>
    </row>
    <row r="27135">
      <c r="L27135" s="13"/>
      <c r="M27135" s="14"/>
      <c r="N27135" s="14"/>
      <c r="O27135" s="14"/>
      <c r="P27135" s="13"/>
    </row>
    <row r="27136">
      <c r="L27136" s="13"/>
      <c r="M27136" s="14"/>
      <c r="N27136" s="14"/>
      <c r="O27136" s="14"/>
      <c r="P27136" s="13"/>
    </row>
    <row r="27137">
      <c r="L27137" s="13"/>
      <c r="M27137" s="14"/>
      <c r="N27137" s="14"/>
      <c r="O27137" s="14"/>
      <c r="P27137" s="13"/>
    </row>
    <row r="27138">
      <c r="L27138" s="13"/>
      <c r="M27138" s="14"/>
      <c r="N27138" s="14"/>
      <c r="O27138" s="14"/>
      <c r="P27138" s="13"/>
    </row>
    <row r="27139">
      <c r="L27139" s="13"/>
      <c r="M27139" s="14"/>
      <c r="N27139" s="14"/>
      <c r="O27139" s="14"/>
      <c r="P27139" s="13"/>
    </row>
    <row r="27140">
      <c r="L27140" s="13"/>
      <c r="M27140" s="14"/>
      <c r="N27140" s="14"/>
      <c r="O27140" s="14"/>
      <c r="P27140" s="13"/>
    </row>
    <row r="27141">
      <c r="L27141" s="13"/>
      <c r="M27141" s="14"/>
      <c r="N27141" s="14"/>
      <c r="O27141" s="14"/>
      <c r="P27141" s="13"/>
    </row>
    <row r="27142">
      <c r="L27142" s="13"/>
      <c r="M27142" s="14"/>
      <c r="N27142" s="14"/>
      <c r="O27142" s="14"/>
      <c r="P27142" s="13"/>
    </row>
    <row r="27143">
      <c r="L27143" s="13"/>
      <c r="M27143" s="14"/>
      <c r="N27143" s="14"/>
      <c r="O27143" s="14"/>
      <c r="P27143" s="13"/>
    </row>
    <row r="27144">
      <c r="L27144" s="13"/>
      <c r="M27144" s="14"/>
      <c r="N27144" s="14"/>
      <c r="O27144" s="14"/>
      <c r="P27144" s="13"/>
    </row>
    <row r="27145">
      <c r="L27145" s="13"/>
      <c r="M27145" s="14"/>
      <c r="N27145" s="14"/>
      <c r="O27145" s="14"/>
      <c r="P27145" s="13"/>
    </row>
    <row r="27146">
      <c r="L27146" s="13"/>
      <c r="M27146" s="14"/>
      <c r="N27146" s="14"/>
      <c r="O27146" s="14"/>
      <c r="P27146" s="13"/>
    </row>
    <row r="27147">
      <c r="L27147" s="13"/>
      <c r="M27147" s="14"/>
      <c r="N27147" s="14"/>
      <c r="O27147" s="14"/>
      <c r="P27147" s="13"/>
    </row>
    <row r="27148">
      <c r="L27148" s="13"/>
      <c r="M27148" s="14"/>
      <c r="N27148" s="14"/>
      <c r="O27148" s="14"/>
      <c r="P27148" s="13"/>
    </row>
    <row r="27149">
      <c r="L27149" s="13"/>
      <c r="M27149" s="14"/>
      <c r="N27149" s="14"/>
      <c r="O27149" s="14"/>
      <c r="P27149" s="13"/>
    </row>
    <row r="27150">
      <c r="L27150" s="13"/>
      <c r="M27150" s="14"/>
      <c r="N27150" s="14"/>
      <c r="O27150" s="14"/>
      <c r="P27150" s="13"/>
    </row>
    <row r="27151">
      <c r="L27151" s="13"/>
      <c r="M27151" s="14"/>
      <c r="N27151" s="14"/>
      <c r="O27151" s="14"/>
      <c r="P27151" s="13"/>
    </row>
    <row r="27152">
      <c r="L27152" s="13"/>
      <c r="M27152" s="14"/>
      <c r="N27152" s="14"/>
      <c r="O27152" s="14"/>
      <c r="P27152" s="13"/>
    </row>
    <row r="27153">
      <c r="L27153" s="13"/>
      <c r="M27153" s="14"/>
      <c r="N27153" s="14"/>
      <c r="O27153" s="14"/>
      <c r="P27153" s="13"/>
    </row>
    <row r="27154">
      <c r="L27154" s="13"/>
      <c r="M27154" s="14"/>
      <c r="N27154" s="14"/>
      <c r="O27154" s="14"/>
      <c r="P27154" s="13"/>
    </row>
    <row r="27155">
      <c r="L27155" s="13"/>
      <c r="M27155" s="14"/>
      <c r="N27155" s="14"/>
      <c r="O27155" s="14"/>
      <c r="P27155" s="13"/>
    </row>
    <row r="27156">
      <c r="L27156" s="13"/>
      <c r="M27156" s="14"/>
      <c r="N27156" s="14"/>
      <c r="O27156" s="14"/>
      <c r="P27156" s="13"/>
    </row>
    <row r="27157">
      <c r="L27157" s="13"/>
      <c r="M27157" s="14"/>
      <c r="N27157" s="14"/>
      <c r="O27157" s="14"/>
      <c r="P27157" s="13"/>
    </row>
    <row r="27158">
      <c r="L27158" s="13"/>
      <c r="M27158" s="14"/>
      <c r="N27158" s="14"/>
      <c r="O27158" s="14"/>
      <c r="P27158" s="13"/>
    </row>
    <row r="27159">
      <c r="L27159" s="13"/>
      <c r="M27159" s="14"/>
      <c r="N27159" s="14"/>
      <c r="O27159" s="14"/>
      <c r="P27159" s="13"/>
    </row>
    <row r="27160">
      <c r="L27160" s="13"/>
      <c r="M27160" s="14"/>
      <c r="N27160" s="14"/>
      <c r="O27160" s="14"/>
      <c r="P27160" s="13"/>
    </row>
    <row r="27161">
      <c r="L27161" s="13"/>
      <c r="M27161" s="14"/>
      <c r="N27161" s="14"/>
      <c r="O27161" s="14"/>
      <c r="P27161" s="13"/>
    </row>
    <row r="27162">
      <c r="L27162" s="13"/>
      <c r="M27162" s="14"/>
      <c r="N27162" s="14"/>
      <c r="O27162" s="14"/>
      <c r="P27162" s="13"/>
    </row>
    <row r="27163">
      <c r="L27163" s="13"/>
      <c r="M27163" s="14"/>
      <c r="N27163" s="14"/>
      <c r="O27163" s="14"/>
      <c r="P27163" s="13"/>
    </row>
    <row r="27164">
      <c r="L27164" s="13"/>
      <c r="M27164" s="14"/>
      <c r="N27164" s="14"/>
      <c r="O27164" s="14"/>
      <c r="P27164" s="13"/>
    </row>
    <row r="27165">
      <c r="L27165" s="13"/>
      <c r="M27165" s="14"/>
      <c r="N27165" s="14"/>
      <c r="O27165" s="14"/>
      <c r="P27165" s="13"/>
    </row>
    <row r="27166">
      <c r="L27166" s="13"/>
      <c r="M27166" s="14"/>
      <c r="N27166" s="14"/>
      <c r="O27166" s="14"/>
      <c r="P27166" s="13"/>
    </row>
    <row r="27167">
      <c r="L27167" s="13"/>
      <c r="M27167" s="14"/>
      <c r="N27167" s="14"/>
      <c r="O27167" s="14"/>
      <c r="P27167" s="13"/>
    </row>
    <row r="27168">
      <c r="L27168" s="13"/>
      <c r="M27168" s="14"/>
      <c r="N27168" s="14"/>
      <c r="O27168" s="14"/>
      <c r="P27168" s="13"/>
    </row>
    <row r="27169">
      <c r="L27169" s="13"/>
      <c r="M27169" s="14"/>
      <c r="N27169" s="14"/>
      <c r="O27169" s="14"/>
      <c r="P27169" s="13"/>
    </row>
    <row r="27170">
      <c r="L27170" s="13"/>
      <c r="M27170" s="14"/>
      <c r="N27170" s="14"/>
      <c r="O27170" s="14"/>
      <c r="P27170" s="13"/>
    </row>
    <row r="27171">
      <c r="L27171" s="13"/>
      <c r="M27171" s="14"/>
      <c r="N27171" s="14"/>
      <c r="O27171" s="14"/>
      <c r="P27171" s="13"/>
    </row>
    <row r="27172">
      <c r="L27172" s="13"/>
      <c r="M27172" s="14"/>
      <c r="N27172" s="14"/>
      <c r="O27172" s="14"/>
      <c r="P27172" s="13"/>
    </row>
    <row r="27173">
      <c r="L27173" s="13"/>
      <c r="M27173" s="14"/>
      <c r="N27173" s="14"/>
      <c r="O27173" s="14"/>
      <c r="P27173" s="13"/>
    </row>
    <row r="27174">
      <c r="L27174" s="13"/>
      <c r="M27174" s="14"/>
      <c r="N27174" s="14"/>
      <c r="O27174" s="14"/>
      <c r="P27174" s="13"/>
    </row>
    <row r="27175">
      <c r="L27175" s="13"/>
      <c r="M27175" s="14"/>
      <c r="N27175" s="14"/>
      <c r="O27175" s="14"/>
      <c r="P27175" s="13"/>
    </row>
    <row r="27176">
      <c r="L27176" s="13"/>
      <c r="M27176" s="14"/>
      <c r="N27176" s="14"/>
      <c r="O27176" s="14"/>
      <c r="P27176" s="13"/>
    </row>
    <row r="27177">
      <c r="L27177" s="13"/>
      <c r="M27177" s="14"/>
      <c r="N27177" s="14"/>
      <c r="O27177" s="14"/>
      <c r="P27177" s="13"/>
    </row>
    <row r="27178">
      <c r="L27178" s="13"/>
      <c r="M27178" s="14"/>
      <c r="N27178" s="14"/>
      <c r="O27178" s="14"/>
      <c r="P27178" s="13"/>
    </row>
    <row r="27179">
      <c r="L27179" s="13"/>
      <c r="M27179" s="14"/>
      <c r="N27179" s="14"/>
      <c r="O27179" s="14"/>
      <c r="P27179" s="13"/>
    </row>
    <row r="27180">
      <c r="L27180" s="13"/>
      <c r="M27180" s="14"/>
      <c r="N27180" s="14"/>
      <c r="O27180" s="14"/>
      <c r="P27180" s="13"/>
    </row>
    <row r="27181">
      <c r="L27181" s="13"/>
      <c r="M27181" s="14"/>
      <c r="N27181" s="14"/>
      <c r="O27181" s="14"/>
      <c r="P27181" s="13"/>
    </row>
    <row r="27182">
      <c r="L27182" s="13"/>
      <c r="M27182" s="14"/>
      <c r="N27182" s="14"/>
      <c r="O27182" s="14"/>
      <c r="P27182" s="13"/>
    </row>
    <row r="27183">
      <c r="L27183" s="13"/>
      <c r="M27183" s="14"/>
      <c r="N27183" s="14"/>
      <c r="O27183" s="14"/>
      <c r="P27183" s="13"/>
    </row>
    <row r="27184">
      <c r="L27184" s="13"/>
      <c r="M27184" s="14"/>
      <c r="N27184" s="14"/>
      <c r="O27184" s="14"/>
      <c r="P27184" s="13"/>
    </row>
    <row r="27185">
      <c r="L27185" s="13"/>
      <c r="M27185" s="14"/>
      <c r="N27185" s="14"/>
      <c r="O27185" s="14"/>
      <c r="P27185" s="13"/>
    </row>
    <row r="27186">
      <c r="L27186" s="13"/>
      <c r="M27186" s="14"/>
      <c r="N27186" s="14"/>
      <c r="O27186" s="14"/>
      <c r="P27186" s="13"/>
    </row>
    <row r="27187">
      <c r="L27187" s="13"/>
      <c r="M27187" s="14"/>
      <c r="N27187" s="14"/>
      <c r="O27187" s="14"/>
      <c r="P27187" s="13"/>
    </row>
    <row r="27188">
      <c r="L27188" s="13"/>
      <c r="M27188" s="14"/>
      <c r="N27188" s="14"/>
      <c r="O27188" s="14"/>
      <c r="P27188" s="13"/>
    </row>
    <row r="27189">
      <c r="L27189" s="13"/>
      <c r="M27189" s="14"/>
      <c r="N27189" s="14"/>
      <c r="O27189" s="14"/>
      <c r="P27189" s="13"/>
    </row>
    <row r="27190">
      <c r="L27190" s="13"/>
      <c r="M27190" s="14"/>
      <c r="N27190" s="14"/>
      <c r="O27190" s="14"/>
      <c r="P27190" s="13"/>
    </row>
    <row r="27191">
      <c r="L27191" s="13"/>
      <c r="M27191" s="14"/>
      <c r="N27191" s="14"/>
      <c r="O27191" s="14"/>
      <c r="P27191" s="13"/>
    </row>
    <row r="27192">
      <c r="L27192" s="13"/>
      <c r="M27192" s="14"/>
      <c r="N27192" s="14"/>
      <c r="O27192" s="14"/>
      <c r="P27192" s="13"/>
    </row>
    <row r="27193">
      <c r="L27193" s="13"/>
      <c r="M27193" s="14"/>
      <c r="N27193" s="14"/>
      <c r="O27193" s="14"/>
      <c r="P27193" s="13"/>
    </row>
    <row r="27194">
      <c r="L27194" s="13"/>
      <c r="M27194" s="14"/>
      <c r="N27194" s="14"/>
      <c r="O27194" s="14"/>
      <c r="P27194" s="13"/>
    </row>
    <row r="27195">
      <c r="L27195" s="13"/>
      <c r="M27195" s="14"/>
      <c r="N27195" s="14"/>
      <c r="O27195" s="14"/>
      <c r="P27195" s="13"/>
    </row>
    <row r="27196">
      <c r="L27196" s="13"/>
      <c r="M27196" s="14"/>
      <c r="N27196" s="14"/>
      <c r="O27196" s="14"/>
      <c r="P27196" s="13"/>
    </row>
    <row r="27197">
      <c r="L27197" s="13"/>
      <c r="M27197" s="14"/>
      <c r="N27197" s="14"/>
      <c r="O27197" s="14"/>
      <c r="P27197" s="13"/>
    </row>
    <row r="27198">
      <c r="L27198" s="13"/>
      <c r="M27198" s="14"/>
      <c r="N27198" s="14"/>
      <c r="O27198" s="14"/>
      <c r="P27198" s="13"/>
    </row>
    <row r="27199">
      <c r="L27199" s="13"/>
      <c r="M27199" s="14"/>
      <c r="N27199" s="14"/>
      <c r="O27199" s="14"/>
      <c r="P27199" s="13"/>
    </row>
    <row r="27200">
      <c r="L27200" s="13"/>
      <c r="M27200" s="14"/>
      <c r="N27200" s="14"/>
      <c r="O27200" s="14"/>
      <c r="P27200" s="13"/>
    </row>
    <row r="27201">
      <c r="L27201" s="13"/>
      <c r="M27201" s="14"/>
      <c r="N27201" s="14"/>
      <c r="O27201" s="14"/>
      <c r="P27201" s="13"/>
    </row>
    <row r="27202">
      <c r="L27202" s="13"/>
      <c r="M27202" s="14"/>
      <c r="N27202" s="14"/>
      <c r="O27202" s="14"/>
      <c r="P27202" s="13"/>
    </row>
    <row r="27203">
      <c r="L27203" s="13"/>
      <c r="M27203" s="14"/>
      <c r="N27203" s="14"/>
      <c r="O27203" s="14"/>
      <c r="P27203" s="13"/>
    </row>
    <row r="27204">
      <c r="L27204" s="13"/>
      <c r="M27204" s="14"/>
      <c r="N27204" s="14"/>
      <c r="O27204" s="14"/>
      <c r="P27204" s="13"/>
    </row>
    <row r="27205">
      <c r="L27205" s="13"/>
      <c r="M27205" s="14"/>
      <c r="N27205" s="14"/>
      <c r="O27205" s="14"/>
      <c r="P27205" s="13"/>
    </row>
    <row r="27206">
      <c r="L27206" s="13"/>
      <c r="M27206" s="14"/>
      <c r="N27206" s="14"/>
      <c r="O27206" s="14"/>
      <c r="P27206" s="13"/>
    </row>
    <row r="27207">
      <c r="L27207" s="13"/>
      <c r="M27207" s="14"/>
      <c r="N27207" s="14"/>
      <c r="O27207" s="14"/>
      <c r="P27207" s="13"/>
    </row>
    <row r="27208">
      <c r="L27208" s="13"/>
      <c r="M27208" s="14"/>
      <c r="N27208" s="14"/>
      <c r="O27208" s="14"/>
      <c r="P27208" s="13"/>
    </row>
    <row r="27209">
      <c r="L27209" s="13"/>
      <c r="M27209" s="14"/>
      <c r="N27209" s="14"/>
      <c r="O27209" s="14"/>
      <c r="P27209" s="13"/>
    </row>
    <row r="27210">
      <c r="L27210" s="13"/>
      <c r="M27210" s="14"/>
      <c r="N27210" s="14"/>
      <c r="O27210" s="14"/>
      <c r="P27210" s="13"/>
    </row>
    <row r="27211">
      <c r="L27211" s="13"/>
      <c r="M27211" s="14"/>
      <c r="N27211" s="14"/>
      <c r="O27211" s="14"/>
      <c r="P27211" s="13"/>
    </row>
    <row r="27212">
      <c r="L27212" s="13"/>
      <c r="M27212" s="14"/>
      <c r="N27212" s="14"/>
      <c r="O27212" s="14"/>
      <c r="P27212" s="13"/>
    </row>
    <row r="27213">
      <c r="L27213" s="13"/>
      <c r="M27213" s="14"/>
      <c r="N27213" s="14"/>
      <c r="O27213" s="14"/>
      <c r="P27213" s="13"/>
    </row>
    <row r="27214">
      <c r="L27214" s="13"/>
      <c r="M27214" s="14"/>
      <c r="N27214" s="14"/>
      <c r="O27214" s="14"/>
      <c r="P27214" s="13"/>
    </row>
    <row r="27215">
      <c r="L27215" s="13"/>
      <c r="M27215" s="14"/>
      <c r="N27215" s="14"/>
      <c r="O27215" s="14"/>
      <c r="P27215" s="13"/>
    </row>
    <row r="27216">
      <c r="L27216" s="13"/>
      <c r="M27216" s="14"/>
      <c r="N27216" s="14"/>
      <c r="O27216" s="14"/>
      <c r="P27216" s="13"/>
    </row>
    <row r="27217">
      <c r="L27217" s="13"/>
      <c r="M27217" s="14"/>
      <c r="N27217" s="14"/>
      <c r="O27217" s="14"/>
      <c r="P27217" s="13"/>
    </row>
    <row r="27218">
      <c r="L27218" s="13"/>
      <c r="M27218" s="14"/>
      <c r="N27218" s="14"/>
      <c r="O27218" s="14"/>
      <c r="P27218" s="13"/>
    </row>
    <row r="27219">
      <c r="L27219" s="13"/>
      <c r="M27219" s="14"/>
      <c r="N27219" s="14"/>
      <c r="O27219" s="14"/>
      <c r="P27219" s="13"/>
    </row>
    <row r="27220">
      <c r="L27220" s="13"/>
      <c r="M27220" s="14"/>
      <c r="N27220" s="14"/>
      <c r="O27220" s="14"/>
      <c r="P27220" s="13"/>
    </row>
    <row r="27221">
      <c r="L27221" s="13"/>
      <c r="M27221" s="14"/>
      <c r="N27221" s="14"/>
      <c r="O27221" s="14"/>
      <c r="P27221" s="13"/>
    </row>
    <row r="27222">
      <c r="L27222" s="13"/>
      <c r="M27222" s="14"/>
      <c r="N27222" s="14"/>
      <c r="O27222" s="14"/>
      <c r="P27222" s="13"/>
    </row>
    <row r="27223">
      <c r="L27223" s="13"/>
      <c r="M27223" s="14"/>
      <c r="N27223" s="14"/>
      <c r="O27223" s="14"/>
      <c r="P27223" s="13"/>
    </row>
    <row r="27224">
      <c r="L27224" s="13"/>
      <c r="M27224" s="14"/>
      <c r="N27224" s="14"/>
      <c r="O27224" s="14"/>
      <c r="P27224" s="13"/>
    </row>
    <row r="27225">
      <c r="L27225" s="13"/>
      <c r="M27225" s="14"/>
      <c r="N27225" s="14"/>
      <c r="O27225" s="14"/>
      <c r="P27225" s="13"/>
    </row>
    <row r="27226">
      <c r="L27226" s="13"/>
      <c r="M27226" s="14"/>
      <c r="N27226" s="14"/>
      <c r="O27226" s="14"/>
      <c r="P27226" s="13"/>
    </row>
    <row r="27227">
      <c r="L27227" s="13"/>
      <c r="M27227" s="14"/>
      <c r="N27227" s="14"/>
      <c r="O27227" s="14"/>
      <c r="P27227" s="13"/>
    </row>
    <row r="27228">
      <c r="L27228" s="13"/>
      <c r="M27228" s="14"/>
      <c r="N27228" s="14"/>
      <c r="O27228" s="14"/>
      <c r="P27228" s="13"/>
    </row>
    <row r="27229">
      <c r="L27229" s="13"/>
      <c r="M27229" s="14"/>
      <c r="N27229" s="14"/>
      <c r="O27229" s="14"/>
      <c r="P27229" s="13"/>
    </row>
    <row r="27230">
      <c r="L27230" s="13"/>
      <c r="M27230" s="14"/>
      <c r="N27230" s="14"/>
      <c r="O27230" s="14"/>
      <c r="P27230" s="13"/>
    </row>
    <row r="27231">
      <c r="L27231" s="13"/>
      <c r="M27231" s="14"/>
      <c r="N27231" s="14"/>
      <c r="O27231" s="14"/>
      <c r="P27231" s="13"/>
    </row>
    <row r="27232">
      <c r="L27232" s="13"/>
      <c r="M27232" s="14"/>
      <c r="N27232" s="14"/>
      <c r="O27232" s="14"/>
      <c r="P27232" s="13"/>
    </row>
    <row r="27233">
      <c r="L27233" s="13"/>
      <c r="M27233" s="14"/>
      <c r="N27233" s="14"/>
      <c r="O27233" s="14"/>
      <c r="P27233" s="13"/>
    </row>
    <row r="27234">
      <c r="L27234" s="13"/>
      <c r="M27234" s="14"/>
      <c r="N27234" s="14"/>
      <c r="O27234" s="14"/>
      <c r="P27234" s="13"/>
    </row>
    <row r="27235">
      <c r="L27235" s="13"/>
      <c r="M27235" s="14"/>
      <c r="N27235" s="14"/>
      <c r="O27235" s="14"/>
      <c r="P27235" s="13"/>
    </row>
    <row r="27236">
      <c r="L27236" s="13"/>
      <c r="M27236" s="14"/>
      <c r="N27236" s="14"/>
      <c r="O27236" s="14"/>
      <c r="P27236" s="13"/>
    </row>
    <row r="27237">
      <c r="L27237" s="13"/>
      <c r="M27237" s="14"/>
      <c r="N27237" s="14"/>
      <c r="O27237" s="14"/>
      <c r="P27237" s="13"/>
    </row>
    <row r="27238">
      <c r="L27238" s="13"/>
      <c r="M27238" s="14"/>
      <c r="N27238" s="14"/>
      <c r="O27238" s="14"/>
      <c r="P27238" s="13"/>
    </row>
    <row r="27239">
      <c r="L27239" s="13"/>
      <c r="M27239" s="14"/>
      <c r="N27239" s="14"/>
      <c r="O27239" s="14"/>
      <c r="P27239" s="13"/>
    </row>
    <row r="27240">
      <c r="L27240" s="13"/>
      <c r="M27240" s="14"/>
      <c r="N27240" s="14"/>
      <c r="O27240" s="14"/>
      <c r="P27240" s="13"/>
    </row>
    <row r="27241">
      <c r="L27241" s="13"/>
      <c r="M27241" s="14"/>
      <c r="N27241" s="14"/>
      <c r="O27241" s="14"/>
      <c r="P27241" s="13"/>
    </row>
    <row r="27242">
      <c r="L27242" s="13"/>
      <c r="M27242" s="14"/>
      <c r="N27242" s="14"/>
      <c r="O27242" s="14"/>
      <c r="P27242" s="13"/>
    </row>
    <row r="27243">
      <c r="L27243" s="13"/>
      <c r="M27243" s="14"/>
      <c r="N27243" s="14"/>
      <c r="O27243" s="14"/>
      <c r="P27243" s="13"/>
    </row>
    <row r="27244">
      <c r="L27244" s="13"/>
      <c r="M27244" s="14"/>
      <c r="N27244" s="14"/>
      <c r="O27244" s="14"/>
      <c r="P27244" s="13"/>
    </row>
    <row r="27245">
      <c r="L27245" s="13"/>
      <c r="M27245" s="14"/>
      <c r="N27245" s="14"/>
      <c r="O27245" s="14"/>
      <c r="P27245" s="13"/>
    </row>
    <row r="27246">
      <c r="L27246" s="13"/>
      <c r="M27246" s="14"/>
      <c r="N27246" s="14"/>
      <c r="O27246" s="14"/>
      <c r="P27246" s="13"/>
    </row>
    <row r="27247">
      <c r="L27247" s="13"/>
      <c r="M27247" s="14"/>
      <c r="N27247" s="14"/>
      <c r="O27247" s="14"/>
      <c r="P27247" s="13"/>
    </row>
    <row r="27248">
      <c r="L27248" s="13"/>
      <c r="M27248" s="14"/>
      <c r="N27248" s="14"/>
      <c r="O27248" s="14"/>
      <c r="P27248" s="13"/>
    </row>
    <row r="27249">
      <c r="L27249" s="13"/>
      <c r="M27249" s="14"/>
      <c r="N27249" s="14"/>
      <c r="O27249" s="14"/>
      <c r="P27249" s="13"/>
    </row>
    <row r="27250">
      <c r="L27250" s="13"/>
      <c r="M27250" s="14"/>
      <c r="N27250" s="14"/>
      <c r="O27250" s="14"/>
      <c r="P27250" s="13"/>
    </row>
    <row r="27251">
      <c r="L27251" s="13"/>
      <c r="M27251" s="14"/>
      <c r="N27251" s="14"/>
      <c r="O27251" s="14"/>
      <c r="P27251" s="13"/>
    </row>
    <row r="27252">
      <c r="L27252" s="13"/>
      <c r="M27252" s="14"/>
      <c r="N27252" s="14"/>
      <c r="O27252" s="14"/>
      <c r="P27252" s="13"/>
    </row>
    <row r="27253">
      <c r="L27253" s="13"/>
      <c r="M27253" s="14"/>
      <c r="N27253" s="14"/>
      <c r="O27253" s="14"/>
      <c r="P27253" s="13"/>
    </row>
    <row r="27254">
      <c r="L27254" s="13"/>
      <c r="M27254" s="14"/>
      <c r="N27254" s="14"/>
      <c r="O27254" s="14"/>
      <c r="P27254" s="13"/>
    </row>
    <row r="27255">
      <c r="L27255" s="13"/>
      <c r="M27255" s="14"/>
      <c r="N27255" s="14"/>
      <c r="O27255" s="14"/>
      <c r="P27255" s="13"/>
    </row>
    <row r="27256">
      <c r="L27256" s="13"/>
      <c r="M27256" s="14"/>
      <c r="N27256" s="14"/>
      <c r="O27256" s="14"/>
      <c r="P27256" s="13"/>
    </row>
    <row r="27257">
      <c r="L27257" s="13"/>
      <c r="M27257" s="14"/>
      <c r="N27257" s="14"/>
      <c r="O27257" s="14"/>
      <c r="P27257" s="13"/>
    </row>
    <row r="27258">
      <c r="L27258" s="13"/>
      <c r="M27258" s="14"/>
      <c r="N27258" s="14"/>
      <c r="O27258" s="14"/>
      <c r="P27258" s="13"/>
    </row>
    <row r="27259">
      <c r="L27259" s="13"/>
      <c r="M27259" s="14"/>
      <c r="N27259" s="14"/>
      <c r="O27259" s="14"/>
      <c r="P27259" s="13"/>
    </row>
    <row r="27260">
      <c r="L27260" s="13"/>
      <c r="M27260" s="14"/>
      <c r="N27260" s="14"/>
      <c r="O27260" s="14"/>
      <c r="P27260" s="13"/>
    </row>
    <row r="27261">
      <c r="L27261" s="13"/>
      <c r="M27261" s="14"/>
      <c r="N27261" s="14"/>
      <c r="O27261" s="14"/>
      <c r="P27261" s="13"/>
    </row>
    <row r="27262">
      <c r="L27262" s="13"/>
      <c r="M27262" s="14"/>
      <c r="N27262" s="14"/>
      <c r="O27262" s="14"/>
      <c r="P27262" s="13"/>
    </row>
    <row r="27263">
      <c r="L27263" s="13"/>
      <c r="M27263" s="14"/>
      <c r="N27263" s="14"/>
      <c r="O27263" s="14"/>
      <c r="P27263" s="13"/>
    </row>
    <row r="27264">
      <c r="L27264" s="13"/>
      <c r="M27264" s="14"/>
      <c r="N27264" s="14"/>
      <c r="O27264" s="14"/>
      <c r="P27264" s="13"/>
    </row>
    <row r="27265">
      <c r="L27265" s="13"/>
      <c r="M27265" s="14"/>
      <c r="N27265" s="14"/>
      <c r="O27265" s="14"/>
      <c r="P27265" s="13"/>
    </row>
    <row r="27266">
      <c r="L27266" s="13"/>
      <c r="M27266" s="14"/>
      <c r="N27266" s="14"/>
      <c r="O27266" s="14"/>
      <c r="P27266" s="13"/>
    </row>
    <row r="27267">
      <c r="L27267" s="13"/>
      <c r="M27267" s="14"/>
      <c r="N27267" s="14"/>
      <c r="O27267" s="14"/>
      <c r="P27267" s="13"/>
    </row>
    <row r="27268">
      <c r="L27268" s="13"/>
      <c r="M27268" s="14"/>
      <c r="N27268" s="14"/>
      <c r="O27268" s="14"/>
      <c r="P27268" s="13"/>
    </row>
    <row r="27269">
      <c r="L27269" s="13"/>
      <c r="M27269" s="14"/>
      <c r="N27269" s="14"/>
      <c r="O27269" s="14"/>
      <c r="P27269" s="13"/>
    </row>
    <row r="27270">
      <c r="L27270" s="13"/>
      <c r="M27270" s="14"/>
      <c r="N27270" s="14"/>
      <c r="O27270" s="14"/>
      <c r="P27270" s="13"/>
    </row>
    <row r="27271">
      <c r="L27271" s="13"/>
      <c r="M27271" s="14"/>
      <c r="N27271" s="14"/>
      <c r="O27271" s="14"/>
      <c r="P27271" s="13"/>
    </row>
    <row r="27272">
      <c r="L27272" s="13"/>
      <c r="M27272" s="14"/>
      <c r="N27272" s="14"/>
      <c r="O27272" s="14"/>
      <c r="P27272" s="13"/>
    </row>
    <row r="27273">
      <c r="L27273" s="13"/>
      <c r="M27273" s="14"/>
      <c r="N27273" s="14"/>
      <c r="O27273" s="14"/>
      <c r="P27273" s="13"/>
    </row>
    <row r="27274">
      <c r="L27274" s="13"/>
      <c r="M27274" s="14"/>
      <c r="N27274" s="14"/>
      <c r="O27274" s="14"/>
      <c r="P27274" s="13"/>
    </row>
    <row r="27275">
      <c r="L27275" s="13"/>
      <c r="M27275" s="14"/>
      <c r="N27275" s="14"/>
      <c r="O27275" s="14"/>
      <c r="P27275" s="13"/>
    </row>
    <row r="27276">
      <c r="L27276" s="13"/>
      <c r="M27276" s="14"/>
      <c r="N27276" s="14"/>
      <c r="O27276" s="14"/>
      <c r="P27276" s="13"/>
    </row>
    <row r="27277">
      <c r="L27277" s="13"/>
      <c r="M27277" s="14"/>
      <c r="N27277" s="14"/>
      <c r="O27277" s="14"/>
      <c r="P27277" s="13"/>
    </row>
    <row r="27278">
      <c r="L27278" s="13"/>
      <c r="M27278" s="14"/>
      <c r="N27278" s="14"/>
      <c r="O27278" s="14"/>
      <c r="P27278" s="13"/>
    </row>
    <row r="27279">
      <c r="L27279" s="13"/>
      <c r="M27279" s="14"/>
      <c r="N27279" s="14"/>
      <c r="O27279" s="14"/>
      <c r="P27279" s="13"/>
    </row>
    <row r="27280">
      <c r="L27280" s="13"/>
      <c r="M27280" s="14"/>
      <c r="N27280" s="14"/>
      <c r="O27280" s="14"/>
      <c r="P27280" s="13"/>
    </row>
    <row r="27281">
      <c r="L27281" s="13"/>
      <c r="M27281" s="14"/>
      <c r="N27281" s="14"/>
      <c r="O27281" s="14"/>
      <c r="P27281" s="13"/>
    </row>
    <row r="27282">
      <c r="L27282" s="13"/>
      <c r="M27282" s="14"/>
      <c r="N27282" s="14"/>
      <c r="O27282" s="14"/>
      <c r="P27282" s="13"/>
    </row>
    <row r="27283">
      <c r="L27283" s="13"/>
      <c r="M27283" s="14"/>
      <c r="N27283" s="14"/>
      <c r="O27283" s="14"/>
      <c r="P27283" s="13"/>
    </row>
    <row r="27284">
      <c r="L27284" s="13"/>
      <c r="M27284" s="14"/>
      <c r="N27284" s="14"/>
      <c r="O27284" s="14"/>
      <c r="P27284" s="13"/>
    </row>
    <row r="27285">
      <c r="L27285" s="13"/>
      <c r="M27285" s="14"/>
      <c r="N27285" s="14"/>
      <c r="O27285" s="14"/>
      <c r="P27285" s="13"/>
    </row>
    <row r="27286">
      <c r="L27286" s="13"/>
      <c r="M27286" s="14"/>
      <c r="N27286" s="14"/>
      <c r="O27286" s="14"/>
      <c r="P27286" s="13"/>
    </row>
    <row r="27287">
      <c r="L27287" s="13"/>
      <c r="M27287" s="14"/>
      <c r="N27287" s="14"/>
      <c r="O27287" s="14"/>
      <c r="P27287" s="13"/>
    </row>
    <row r="27288">
      <c r="L27288" s="13"/>
      <c r="M27288" s="14"/>
      <c r="N27288" s="14"/>
      <c r="O27288" s="14"/>
      <c r="P27288" s="13"/>
    </row>
    <row r="27289">
      <c r="L27289" s="13"/>
      <c r="M27289" s="14"/>
      <c r="N27289" s="14"/>
      <c r="O27289" s="14"/>
      <c r="P27289" s="13"/>
    </row>
    <row r="27290">
      <c r="L27290" s="13"/>
      <c r="M27290" s="14"/>
      <c r="N27290" s="14"/>
      <c r="O27290" s="14"/>
      <c r="P27290" s="13"/>
    </row>
    <row r="27291">
      <c r="L27291" s="13"/>
      <c r="M27291" s="14"/>
      <c r="N27291" s="14"/>
      <c r="O27291" s="14"/>
      <c r="P27291" s="13"/>
    </row>
    <row r="27292">
      <c r="L27292" s="13"/>
      <c r="M27292" s="14"/>
      <c r="N27292" s="14"/>
      <c r="O27292" s="14"/>
      <c r="P27292" s="13"/>
    </row>
    <row r="27293">
      <c r="L27293" s="13"/>
      <c r="M27293" s="14"/>
      <c r="N27293" s="14"/>
      <c r="O27293" s="14"/>
      <c r="P27293" s="13"/>
    </row>
    <row r="27294">
      <c r="L27294" s="13"/>
      <c r="M27294" s="14"/>
      <c r="N27294" s="14"/>
      <c r="O27294" s="14"/>
      <c r="P27294" s="13"/>
    </row>
    <row r="27295">
      <c r="L27295" s="13"/>
      <c r="M27295" s="14"/>
      <c r="N27295" s="14"/>
      <c r="O27295" s="14"/>
      <c r="P27295" s="13"/>
    </row>
    <row r="27296">
      <c r="L27296" s="13"/>
      <c r="M27296" s="14"/>
      <c r="N27296" s="14"/>
      <c r="O27296" s="14"/>
      <c r="P27296" s="13"/>
    </row>
    <row r="27297">
      <c r="L27297" s="13"/>
      <c r="M27297" s="14"/>
      <c r="N27297" s="14"/>
      <c r="O27297" s="14"/>
      <c r="P27297" s="13"/>
    </row>
    <row r="27298">
      <c r="L27298" s="13"/>
      <c r="M27298" s="14"/>
      <c r="N27298" s="14"/>
      <c r="O27298" s="14"/>
      <c r="P27298" s="13"/>
    </row>
    <row r="27299">
      <c r="L27299" s="13"/>
      <c r="M27299" s="14"/>
      <c r="N27299" s="14"/>
      <c r="O27299" s="14"/>
      <c r="P27299" s="13"/>
    </row>
    <row r="27300">
      <c r="L27300" s="13"/>
      <c r="M27300" s="14"/>
      <c r="N27300" s="14"/>
      <c r="O27300" s="14"/>
      <c r="P27300" s="13"/>
    </row>
    <row r="27301">
      <c r="L27301" s="13"/>
      <c r="M27301" s="14"/>
      <c r="N27301" s="14"/>
      <c r="O27301" s="14"/>
      <c r="P27301" s="13"/>
    </row>
    <row r="27302">
      <c r="L27302" s="13"/>
      <c r="M27302" s="14"/>
      <c r="N27302" s="14"/>
      <c r="O27302" s="14"/>
      <c r="P27302" s="13"/>
    </row>
    <row r="27303">
      <c r="L27303" s="13"/>
      <c r="M27303" s="14"/>
      <c r="N27303" s="14"/>
      <c r="O27303" s="14"/>
      <c r="P27303" s="13"/>
    </row>
    <row r="27304">
      <c r="L27304" s="13"/>
      <c r="M27304" s="14"/>
      <c r="N27304" s="14"/>
      <c r="O27304" s="14"/>
      <c r="P27304" s="13"/>
    </row>
    <row r="27305">
      <c r="L27305" s="13"/>
      <c r="M27305" s="14"/>
      <c r="N27305" s="14"/>
      <c r="O27305" s="14"/>
      <c r="P27305" s="13"/>
    </row>
    <row r="27306">
      <c r="L27306" s="13"/>
      <c r="M27306" s="14"/>
      <c r="N27306" s="14"/>
      <c r="O27306" s="14"/>
      <c r="P27306" s="13"/>
    </row>
    <row r="27307">
      <c r="L27307" s="13"/>
      <c r="M27307" s="14"/>
      <c r="N27307" s="14"/>
      <c r="O27307" s="14"/>
      <c r="P27307" s="13"/>
    </row>
    <row r="27308">
      <c r="L27308" s="13"/>
      <c r="M27308" s="14"/>
      <c r="N27308" s="14"/>
      <c r="O27308" s="14"/>
      <c r="P27308" s="13"/>
    </row>
    <row r="27309">
      <c r="L27309" s="13"/>
      <c r="M27309" s="14"/>
      <c r="N27309" s="14"/>
      <c r="O27309" s="14"/>
      <c r="P27309" s="13"/>
    </row>
    <row r="27310">
      <c r="L27310" s="13"/>
      <c r="M27310" s="14"/>
      <c r="N27310" s="14"/>
      <c r="O27310" s="14"/>
      <c r="P27310" s="13"/>
    </row>
    <row r="27311">
      <c r="L27311" s="13"/>
      <c r="M27311" s="14"/>
      <c r="N27311" s="14"/>
      <c r="O27311" s="14"/>
      <c r="P27311" s="13"/>
    </row>
    <row r="27312">
      <c r="L27312" s="13"/>
      <c r="M27312" s="14"/>
      <c r="N27312" s="14"/>
      <c r="O27312" s="14"/>
      <c r="P27312" s="13"/>
    </row>
    <row r="27313">
      <c r="L27313" s="13"/>
      <c r="M27313" s="14"/>
      <c r="N27313" s="14"/>
      <c r="O27313" s="14"/>
      <c r="P27313" s="13"/>
    </row>
    <row r="27314">
      <c r="L27314" s="13"/>
      <c r="M27314" s="14"/>
      <c r="N27314" s="14"/>
      <c r="O27314" s="14"/>
      <c r="P27314" s="13"/>
    </row>
    <row r="27315">
      <c r="L27315" s="13"/>
      <c r="M27315" s="14"/>
      <c r="N27315" s="14"/>
      <c r="O27315" s="14"/>
      <c r="P27315" s="13"/>
    </row>
    <row r="27316">
      <c r="L27316" s="13"/>
      <c r="M27316" s="14"/>
      <c r="N27316" s="14"/>
      <c r="O27316" s="14"/>
      <c r="P27316" s="13"/>
    </row>
    <row r="27317">
      <c r="L27317" s="13"/>
      <c r="M27317" s="14"/>
      <c r="N27317" s="14"/>
      <c r="O27317" s="14"/>
      <c r="P27317" s="13"/>
    </row>
    <row r="27318">
      <c r="L27318" s="13"/>
      <c r="M27318" s="14"/>
      <c r="N27318" s="14"/>
      <c r="O27318" s="14"/>
      <c r="P27318" s="13"/>
    </row>
    <row r="27319">
      <c r="L27319" s="13"/>
      <c r="M27319" s="14"/>
      <c r="N27319" s="14"/>
      <c r="O27319" s="14"/>
      <c r="P27319" s="13"/>
    </row>
    <row r="27320">
      <c r="L27320" s="13"/>
      <c r="M27320" s="14"/>
      <c r="N27320" s="14"/>
      <c r="O27320" s="14"/>
      <c r="P27320" s="13"/>
    </row>
    <row r="27321">
      <c r="L27321" s="13"/>
      <c r="M27321" s="14"/>
      <c r="N27321" s="14"/>
      <c r="O27321" s="14"/>
      <c r="P27321" s="13"/>
    </row>
    <row r="27322">
      <c r="L27322" s="13"/>
      <c r="M27322" s="14"/>
      <c r="N27322" s="14"/>
      <c r="O27322" s="14"/>
      <c r="P27322" s="13"/>
    </row>
    <row r="27323">
      <c r="L27323" s="13"/>
      <c r="M27323" s="14"/>
      <c r="N27323" s="14"/>
      <c r="O27323" s="14"/>
      <c r="P27323" s="13"/>
    </row>
    <row r="27324">
      <c r="L27324" s="13"/>
      <c r="M27324" s="14"/>
      <c r="N27324" s="14"/>
      <c r="O27324" s="14"/>
      <c r="P27324" s="13"/>
    </row>
    <row r="27325">
      <c r="L27325" s="13"/>
      <c r="M27325" s="14"/>
      <c r="N27325" s="14"/>
      <c r="O27325" s="14"/>
      <c r="P27325" s="13"/>
    </row>
    <row r="27326">
      <c r="L27326" s="13"/>
      <c r="M27326" s="14"/>
      <c r="N27326" s="14"/>
      <c r="O27326" s="14"/>
      <c r="P27326" s="13"/>
    </row>
    <row r="27327">
      <c r="L27327" s="13"/>
      <c r="M27327" s="14"/>
      <c r="N27327" s="14"/>
      <c r="O27327" s="14"/>
      <c r="P27327" s="13"/>
    </row>
    <row r="27328">
      <c r="L27328" s="13"/>
      <c r="M27328" s="14"/>
      <c r="N27328" s="14"/>
      <c r="O27328" s="14"/>
      <c r="P27328" s="13"/>
    </row>
    <row r="27329">
      <c r="L27329" s="13"/>
      <c r="M27329" s="14"/>
      <c r="N27329" s="14"/>
      <c r="O27329" s="14"/>
      <c r="P27329" s="13"/>
    </row>
    <row r="27330">
      <c r="L27330" s="13"/>
      <c r="M27330" s="14"/>
      <c r="N27330" s="14"/>
      <c r="O27330" s="14"/>
      <c r="P27330" s="13"/>
    </row>
    <row r="27331">
      <c r="L27331" s="13"/>
      <c r="M27331" s="14"/>
      <c r="N27331" s="14"/>
      <c r="O27331" s="14"/>
      <c r="P27331" s="13"/>
    </row>
    <row r="27332">
      <c r="L27332" s="13"/>
      <c r="M27332" s="14"/>
      <c r="N27332" s="14"/>
      <c r="O27332" s="14"/>
      <c r="P27332" s="13"/>
    </row>
    <row r="27333">
      <c r="L27333" s="13"/>
      <c r="M27333" s="14"/>
      <c r="N27333" s="14"/>
      <c r="O27333" s="14"/>
      <c r="P27333" s="13"/>
    </row>
    <row r="27334">
      <c r="L27334" s="13"/>
      <c r="M27334" s="14"/>
      <c r="N27334" s="14"/>
      <c r="O27334" s="14"/>
      <c r="P27334" s="13"/>
    </row>
    <row r="27335">
      <c r="L27335" s="13"/>
      <c r="M27335" s="14"/>
      <c r="N27335" s="14"/>
      <c r="O27335" s="14"/>
      <c r="P27335" s="13"/>
    </row>
    <row r="27336">
      <c r="L27336" s="13"/>
      <c r="M27336" s="14"/>
      <c r="N27336" s="14"/>
      <c r="O27336" s="14"/>
      <c r="P27336" s="13"/>
    </row>
    <row r="27337">
      <c r="L27337" s="13"/>
      <c r="M27337" s="14"/>
      <c r="N27337" s="14"/>
      <c r="O27337" s="14"/>
      <c r="P27337" s="13"/>
    </row>
    <row r="27338">
      <c r="L27338" s="13"/>
      <c r="M27338" s="14"/>
      <c r="N27338" s="14"/>
      <c r="O27338" s="14"/>
      <c r="P27338" s="13"/>
    </row>
    <row r="27339">
      <c r="L27339" s="13"/>
      <c r="M27339" s="14"/>
      <c r="N27339" s="14"/>
      <c r="O27339" s="14"/>
      <c r="P27339" s="13"/>
    </row>
    <row r="27340">
      <c r="L27340" s="13"/>
      <c r="M27340" s="14"/>
      <c r="N27340" s="14"/>
      <c r="O27340" s="14"/>
      <c r="P27340" s="13"/>
    </row>
    <row r="27341">
      <c r="L27341" s="13"/>
      <c r="M27341" s="14"/>
      <c r="N27341" s="14"/>
      <c r="O27341" s="14"/>
      <c r="P27341" s="13"/>
    </row>
    <row r="27342">
      <c r="L27342" s="13"/>
      <c r="M27342" s="14"/>
      <c r="N27342" s="14"/>
      <c r="O27342" s="14"/>
      <c r="P27342" s="13"/>
    </row>
    <row r="27343">
      <c r="L27343" s="13"/>
      <c r="M27343" s="14"/>
      <c r="N27343" s="14"/>
      <c r="O27343" s="14"/>
      <c r="P27343" s="13"/>
    </row>
    <row r="27344">
      <c r="L27344" s="13"/>
      <c r="M27344" s="14"/>
      <c r="N27344" s="14"/>
      <c r="O27344" s="14"/>
      <c r="P27344" s="13"/>
    </row>
    <row r="27345">
      <c r="L27345" s="13"/>
      <c r="M27345" s="14"/>
      <c r="N27345" s="14"/>
      <c r="O27345" s="14"/>
      <c r="P27345" s="13"/>
    </row>
    <row r="27346">
      <c r="L27346" s="13"/>
      <c r="M27346" s="14"/>
      <c r="N27346" s="14"/>
      <c r="O27346" s="14"/>
      <c r="P27346" s="13"/>
    </row>
    <row r="27347">
      <c r="L27347" s="13"/>
      <c r="M27347" s="14"/>
      <c r="N27347" s="14"/>
      <c r="O27347" s="14"/>
      <c r="P27347" s="13"/>
    </row>
    <row r="27348">
      <c r="L27348" s="13"/>
      <c r="M27348" s="14"/>
      <c r="N27348" s="14"/>
      <c r="O27348" s="14"/>
      <c r="P27348" s="13"/>
    </row>
    <row r="27349">
      <c r="L27349" s="13"/>
      <c r="M27349" s="14"/>
      <c r="N27349" s="14"/>
      <c r="O27349" s="14"/>
      <c r="P27349" s="13"/>
    </row>
    <row r="27350">
      <c r="L27350" s="13"/>
      <c r="M27350" s="14"/>
      <c r="N27350" s="14"/>
      <c r="O27350" s="14"/>
      <c r="P27350" s="13"/>
    </row>
    <row r="27351">
      <c r="L27351" s="13"/>
      <c r="M27351" s="14"/>
      <c r="N27351" s="14"/>
      <c r="O27351" s="14"/>
      <c r="P27351" s="13"/>
    </row>
    <row r="27352">
      <c r="L27352" s="13"/>
      <c r="M27352" s="14"/>
      <c r="N27352" s="14"/>
      <c r="O27352" s="14"/>
      <c r="P27352" s="13"/>
    </row>
    <row r="27353">
      <c r="L27353" s="13"/>
      <c r="M27353" s="14"/>
      <c r="N27353" s="14"/>
      <c r="O27353" s="14"/>
      <c r="P27353" s="13"/>
    </row>
    <row r="27354">
      <c r="L27354" s="13"/>
      <c r="M27354" s="14"/>
      <c r="N27354" s="14"/>
      <c r="O27354" s="14"/>
      <c r="P27354" s="13"/>
    </row>
    <row r="27355">
      <c r="L27355" s="13"/>
      <c r="M27355" s="14"/>
      <c r="N27355" s="14"/>
      <c r="O27355" s="14"/>
      <c r="P27355" s="13"/>
    </row>
    <row r="27356">
      <c r="L27356" s="13"/>
      <c r="M27356" s="14"/>
      <c r="N27356" s="14"/>
      <c r="O27356" s="14"/>
      <c r="P27356" s="13"/>
    </row>
    <row r="27357">
      <c r="L27357" s="13"/>
      <c r="M27357" s="14"/>
      <c r="N27357" s="14"/>
      <c r="O27357" s="14"/>
      <c r="P27357" s="13"/>
    </row>
    <row r="27358">
      <c r="L27358" s="13"/>
      <c r="M27358" s="14"/>
      <c r="N27358" s="14"/>
      <c r="O27358" s="14"/>
      <c r="P27358" s="13"/>
    </row>
    <row r="27359">
      <c r="L27359" s="13"/>
      <c r="M27359" s="14"/>
      <c r="N27359" s="14"/>
      <c r="O27359" s="14"/>
      <c r="P27359" s="13"/>
    </row>
    <row r="27360">
      <c r="L27360" s="13"/>
      <c r="M27360" s="14"/>
      <c r="N27360" s="14"/>
      <c r="O27360" s="14"/>
      <c r="P27360" s="13"/>
    </row>
    <row r="27361">
      <c r="L27361" s="13"/>
      <c r="M27361" s="14"/>
      <c r="N27361" s="14"/>
      <c r="O27361" s="14"/>
      <c r="P27361" s="13"/>
    </row>
    <row r="27362">
      <c r="L27362" s="13"/>
      <c r="M27362" s="14"/>
      <c r="N27362" s="14"/>
      <c r="O27362" s="14"/>
      <c r="P27362" s="13"/>
    </row>
    <row r="27363">
      <c r="L27363" s="13"/>
      <c r="M27363" s="14"/>
      <c r="N27363" s="14"/>
      <c r="O27363" s="14"/>
      <c r="P27363" s="13"/>
    </row>
    <row r="27364">
      <c r="L27364" s="13"/>
      <c r="M27364" s="14"/>
      <c r="N27364" s="14"/>
      <c r="O27364" s="14"/>
      <c r="P27364" s="13"/>
    </row>
    <row r="27365">
      <c r="L27365" s="13"/>
      <c r="M27365" s="14"/>
      <c r="N27365" s="14"/>
      <c r="O27365" s="14"/>
      <c r="P27365" s="13"/>
    </row>
    <row r="27366">
      <c r="L27366" s="13"/>
      <c r="M27366" s="14"/>
      <c r="N27366" s="14"/>
      <c r="O27366" s="14"/>
      <c r="P27366" s="13"/>
    </row>
    <row r="27367">
      <c r="L27367" s="13"/>
      <c r="M27367" s="14"/>
      <c r="N27367" s="14"/>
      <c r="O27367" s="14"/>
      <c r="P27367" s="13"/>
    </row>
    <row r="27368">
      <c r="L27368" s="13"/>
      <c r="M27368" s="14"/>
      <c r="N27368" s="14"/>
      <c r="O27368" s="14"/>
      <c r="P27368" s="13"/>
    </row>
    <row r="27369">
      <c r="L27369" s="13"/>
      <c r="M27369" s="14"/>
      <c r="N27369" s="14"/>
      <c r="O27369" s="14"/>
      <c r="P27369" s="13"/>
    </row>
    <row r="27370">
      <c r="L27370" s="13"/>
      <c r="M27370" s="14"/>
      <c r="N27370" s="14"/>
      <c r="O27370" s="14"/>
      <c r="P27370" s="13"/>
    </row>
    <row r="27371">
      <c r="L27371" s="13"/>
      <c r="M27371" s="14"/>
      <c r="N27371" s="14"/>
      <c r="O27371" s="14"/>
      <c r="P27371" s="13"/>
    </row>
    <row r="27372">
      <c r="L27372" s="13"/>
      <c r="M27372" s="14"/>
      <c r="N27372" s="14"/>
      <c r="O27372" s="14"/>
      <c r="P27372" s="13"/>
    </row>
    <row r="27373">
      <c r="L27373" s="13"/>
      <c r="M27373" s="14"/>
      <c r="N27373" s="14"/>
      <c r="O27373" s="14"/>
      <c r="P27373" s="13"/>
    </row>
    <row r="27374">
      <c r="L27374" s="13"/>
      <c r="M27374" s="14"/>
      <c r="N27374" s="14"/>
      <c r="O27374" s="14"/>
      <c r="P27374" s="13"/>
    </row>
    <row r="27375">
      <c r="L27375" s="13"/>
      <c r="M27375" s="14"/>
      <c r="N27375" s="14"/>
      <c r="O27375" s="14"/>
      <c r="P27375" s="13"/>
    </row>
    <row r="27376">
      <c r="L27376" s="13"/>
      <c r="M27376" s="14"/>
      <c r="N27376" s="14"/>
      <c r="O27376" s="14"/>
      <c r="P27376" s="13"/>
    </row>
    <row r="27377">
      <c r="L27377" s="13"/>
      <c r="M27377" s="14"/>
      <c r="N27377" s="14"/>
      <c r="O27377" s="14"/>
      <c r="P27377" s="13"/>
    </row>
    <row r="27378">
      <c r="L27378" s="13"/>
      <c r="M27378" s="14"/>
      <c r="N27378" s="14"/>
      <c r="O27378" s="14"/>
      <c r="P27378" s="13"/>
    </row>
    <row r="27379">
      <c r="L27379" s="13"/>
      <c r="M27379" s="14"/>
      <c r="N27379" s="14"/>
      <c r="O27379" s="14"/>
      <c r="P27379" s="13"/>
    </row>
    <row r="27380">
      <c r="L27380" s="13"/>
      <c r="M27380" s="14"/>
      <c r="N27380" s="14"/>
      <c r="O27380" s="14"/>
      <c r="P27380" s="13"/>
    </row>
    <row r="27381">
      <c r="L27381" s="13"/>
      <c r="M27381" s="14"/>
      <c r="N27381" s="14"/>
      <c r="O27381" s="14"/>
      <c r="P27381" s="13"/>
    </row>
    <row r="27382">
      <c r="L27382" s="13"/>
      <c r="M27382" s="14"/>
      <c r="N27382" s="14"/>
      <c r="O27382" s="14"/>
      <c r="P27382" s="13"/>
    </row>
    <row r="27383">
      <c r="L27383" s="13"/>
      <c r="M27383" s="14"/>
      <c r="N27383" s="14"/>
      <c r="O27383" s="14"/>
      <c r="P27383" s="13"/>
    </row>
    <row r="27384">
      <c r="L27384" s="13"/>
      <c r="M27384" s="14"/>
      <c r="N27384" s="14"/>
      <c r="O27384" s="14"/>
      <c r="P27384" s="13"/>
    </row>
    <row r="27385">
      <c r="L27385" s="13"/>
      <c r="M27385" s="14"/>
      <c r="N27385" s="14"/>
      <c r="O27385" s="14"/>
      <c r="P27385" s="13"/>
    </row>
    <row r="27386">
      <c r="L27386" s="13"/>
      <c r="M27386" s="14"/>
      <c r="N27386" s="14"/>
      <c r="O27386" s="14"/>
      <c r="P27386" s="13"/>
    </row>
    <row r="27387">
      <c r="L27387" s="13"/>
      <c r="M27387" s="14"/>
      <c r="N27387" s="14"/>
      <c r="O27387" s="14"/>
      <c r="P27387" s="13"/>
    </row>
    <row r="27388">
      <c r="L27388" s="13"/>
      <c r="M27388" s="14"/>
      <c r="N27388" s="14"/>
      <c r="O27388" s="14"/>
      <c r="P27388" s="13"/>
    </row>
    <row r="27389">
      <c r="L27389" s="13"/>
      <c r="M27389" s="14"/>
      <c r="N27389" s="14"/>
      <c r="O27389" s="14"/>
      <c r="P27389" s="13"/>
    </row>
    <row r="27390">
      <c r="L27390" s="13"/>
      <c r="M27390" s="14"/>
      <c r="N27390" s="14"/>
      <c r="O27390" s="14"/>
      <c r="P27390" s="13"/>
    </row>
    <row r="27391">
      <c r="L27391" s="13"/>
      <c r="M27391" s="14"/>
      <c r="N27391" s="14"/>
      <c r="O27391" s="14"/>
      <c r="P27391" s="13"/>
    </row>
    <row r="27392">
      <c r="L27392" s="13"/>
      <c r="M27392" s="14"/>
      <c r="N27392" s="14"/>
      <c r="O27392" s="14"/>
      <c r="P27392" s="13"/>
    </row>
    <row r="27393">
      <c r="L27393" s="13"/>
      <c r="M27393" s="14"/>
      <c r="N27393" s="14"/>
      <c r="O27393" s="14"/>
      <c r="P27393" s="13"/>
    </row>
    <row r="27394">
      <c r="L27394" s="13"/>
      <c r="M27394" s="14"/>
      <c r="N27394" s="14"/>
      <c r="O27394" s="14"/>
      <c r="P27394" s="13"/>
    </row>
    <row r="27395">
      <c r="L27395" s="13"/>
      <c r="M27395" s="14"/>
      <c r="N27395" s="14"/>
      <c r="O27395" s="14"/>
      <c r="P27395" s="13"/>
    </row>
    <row r="27396">
      <c r="L27396" s="13"/>
      <c r="M27396" s="14"/>
      <c r="N27396" s="14"/>
      <c r="O27396" s="14"/>
      <c r="P27396" s="13"/>
    </row>
    <row r="27397">
      <c r="L27397" s="13"/>
      <c r="M27397" s="14"/>
      <c r="N27397" s="14"/>
      <c r="O27397" s="14"/>
      <c r="P27397" s="13"/>
    </row>
    <row r="27398">
      <c r="L27398" s="13"/>
      <c r="M27398" s="14"/>
      <c r="N27398" s="14"/>
      <c r="O27398" s="14"/>
      <c r="P27398" s="13"/>
    </row>
    <row r="27399">
      <c r="L27399" s="13"/>
      <c r="M27399" s="14"/>
      <c r="N27399" s="14"/>
      <c r="O27399" s="14"/>
      <c r="P27399" s="13"/>
    </row>
    <row r="27400">
      <c r="L27400" s="13"/>
      <c r="M27400" s="14"/>
      <c r="N27400" s="14"/>
      <c r="O27400" s="14"/>
      <c r="P27400" s="13"/>
    </row>
    <row r="27401">
      <c r="L27401" s="13"/>
      <c r="M27401" s="14"/>
      <c r="N27401" s="14"/>
      <c r="O27401" s="14"/>
      <c r="P27401" s="13"/>
    </row>
    <row r="27402">
      <c r="L27402" s="13"/>
      <c r="M27402" s="14"/>
      <c r="N27402" s="14"/>
      <c r="O27402" s="14"/>
      <c r="P27402" s="13"/>
    </row>
    <row r="27403">
      <c r="L27403" s="13"/>
      <c r="M27403" s="14"/>
      <c r="N27403" s="14"/>
      <c r="O27403" s="14"/>
      <c r="P27403" s="13"/>
    </row>
    <row r="27404">
      <c r="L27404" s="13"/>
      <c r="M27404" s="14"/>
      <c r="N27404" s="14"/>
      <c r="O27404" s="14"/>
      <c r="P27404" s="13"/>
    </row>
    <row r="27405">
      <c r="L27405" s="13"/>
      <c r="M27405" s="14"/>
      <c r="N27405" s="14"/>
      <c r="O27405" s="14"/>
      <c r="P27405" s="13"/>
    </row>
    <row r="27406">
      <c r="L27406" s="13"/>
      <c r="M27406" s="14"/>
      <c r="N27406" s="14"/>
      <c r="O27406" s="14"/>
      <c r="P27406" s="13"/>
    </row>
    <row r="27407">
      <c r="L27407" s="13"/>
      <c r="M27407" s="14"/>
      <c r="N27407" s="14"/>
      <c r="O27407" s="14"/>
      <c r="P27407" s="13"/>
    </row>
    <row r="27408">
      <c r="L27408" s="13"/>
      <c r="M27408" s="14"/>
      <c r="N27408" s="14"/>
      <c r="O27408" s="14"/>
      <c r="P27408" s="13"/>
    </row>
    <row r="27409">
      <c r="L27409" s="13"/>
      <c r="M27409" s="14"/>
      <c r="N27409" s="14"/>
      <c r="O27409" s="14"/>
      <c r="P27409" s="13"/>
    </row>
    <row r="27410">
      <c r="L27410" s="13"/>
      <c r="M27410" s="14"/>
      <c r="N27410" s="14"/>
      <c r="O27410" s="14"/>
      <c r="P27410" s="13"/>
    </row>
    <row r="27411">
      <c r="L27411" s="13"/>
      <c r="M27411" s="14"/>
      <c r="N27411" s="14"/>
      <c r="O27411" s="14"/>
      <c r="P27411" s="13"/>
    </row>
    <row r="27412">
      <c r="L27412" s="13"/>
      <c r="M27412" s="14"/>
      <c r="N27412" s="14"/>
      <c r="O27412" s="14"/>
      <c r="P27412" s="13"/>
    </row>
    <row r="27413">
      <c r="L27413" s="13"/>
      <c r="M27413" s="14"/>
      <c r="N27413" s="14"/>
      <c r="O27413" s="14"/>
      <c r="P27413" s="13"/>
    </row>
    <row r="27414">
      <c r="L27414" s="13"/>
      <c r="M27414" s="14"/>
      <c r="N27414" s="14"/>
      <c r="O27414" s="14"/>
      <c r="P27414" s="13"/>
    </row>
    <row r="27415">
      <c r="L27415" s="13"/>
      <c r="M27415" s="14"/>
      <c r="N27415" s="14"/>
      <c r="O27415" s="14"/>
      <c r="P27415" s="13"/>
    </row>
    <row r="27416">
      <c r="L27416" s="13"/>
      <c r="M27416" s="14"/>
      <c r="N27416" s="14"/>
      <c r="O27416" s="14"/>
      <c r="P27416" s="13"/>
    </row>
    <row r="27417">
      <c r="L27417" s="13"/>
      <c r="M27417" s="14"/>
      <c r="N27417" s="14"/>
      <c r="O27417" s="14"/>
      <c r="P27417" s="13"/>
    </row>
    <row r="27418">
      <c r="L27418" s="13"/>
      <c r="M27418" s="14"/>
      <c r="N27418" s="14"/>
      <c r="O27418" s="14"/>
      <c r="P27418" s="13"/>
    </row>
    <row r="27419">
      <c r="L27419" s="13"/>
      <c r="M27419" s="14"/>
      <c r="N27419" s="14"/>
      <c r="O27419" s="14"/>
      <c r="P27419" s="13"/>
    </row>
    <row r="27420">
      <c r="L27420" s="13"/>
      <c r="M27420" s="14"/>
      <c r="N27420" s="14"/>
      <c r="O27420" s="14"/>
      <c r="P27420" s="13"/>
    </row>
    <row r="27421">
      <c r="L27421" s="13"/>
      <c r="M27421" s="14"/>
      <c r="N27421" s="14"/>
      <c r="O27421" s="14"/>
      <c r="P27421" s="13"/>
    </row>
    <row r="27422">
      <c r="L27422" s="13"/>
      <c r="M27422" s="14"/>
      <c r="N27422" s="14"/>
      <c r="O27422" s="14"/>
      <c r="P27422" s="13"/>
    </row>
    <row r="27423">
      <c r="L27423" s="13"/>
      <c r="M27423" s="14"/>
      <c r="N27423" s="14"/>
      <c r="O27423" s="14"/>
      <c r="P27423" s="13"/>
    </row>
    <row r="27424">
      <c r="L27424" s="13"/>
      <c r="M27424" s="14"/>
      <c r="N27424" s="14"/>
      <c r="O27424" s="14"/>
      <c r="P27424" s="13"/>
    </row>
    <row r="27425">
      <c r="L27425" s="13"/>
      <c r="M27425" s="14"/>
      <c r="N27425" s="14"/>
      <c r="O27425" s="14"/>
      <c r="P27425" s="13"/>
    </row>
    <row r="27426">
      <c r="L27426" s="13"/>
      <c r="M27426" s="14"/>
      <c r="N27426" s="14"/>
      <c r="O27426" s="14"/>
      <c r="P27426" s="13"/>
    </row>
    <row r="27427">
      <c r="L27427" s="13"/>
      <c r="M27427" s="14"/>
      <c r="N27427" s="14"/>
      <c r="O27427" s="14"/>
      <c r="P27427" s="13"/>
    </row>
    <row r="27428">
      <c r="L27428" s="13"/>
      <c r="M27428" s="14"/>
      <c r="N27428" s="14"/>
      <c r="O27428" s="14"/>
      <c r="P27428" s="13"/>
    </row>
    <row r="27429">
      <c r="L27429" s="13"/>
      <c r="M27429" s="14"/>
      <c r="N27429" s="14"/>
      <c r="O27429" s="14"/>
      <c r="P27429" s="13"/>
    </row>
    <row r="27430">
      <c r="L27430" s="13"/>
      <c r="M27430" s="14"/>
      <c r="N27430" s="14"/>
      <c r="O27430" s="14"/>
      <c r="P27430" s="13"/>
    </row>
    <row r="27431">
      <c r="L27431" s="13"/>
      <c r="M27431" s="14"/>
      <c r="N27431" s="14"/>
      <c r="O27431" s="14"/>
      <c r="P27431" s="13"/>
    </row>
    <row r="27432">
      <c r="L27432" s="13"/>
      <c r="M27432" s="14"/>
      <c r="N27432" s="14"/>
      <c r="O27432" s="14"/>
      <c r="P27432" s="13"/>
    </row>
    <row r="27433">
      <c r="L27433" s="13"/>
      <c r="M27433" s="14"/>
      <c r="N27433" s="14"/>
      <c r="O27433" s="14"/>
      <c r="P27433" s="13"/>
    </row>
    <row r="27434">
      <c r="L27434" s="13"/>
      <c r="M27434" s="14"/>
      <c r="N27434" s="14"/>
      <c r="O27434" s="14"/>
      <c r="P27434" s="13"/>
    </row>
    <row r="27435">
      <c r="L27435" s="13"/>
      <c r="M27435" s="14"/>
      <c r="N27435" s="14"/>
      <c r="O27435" s="14"/>
      <c r="P27435" s="13"/>
    </row>
    <row r="27436">
      <c r="L27436" s="13"/>
      <c r="M27436" s="14"/>
      <c r="N27436" s="14"/>
      <c r="O27436" s="14"/>
      <c r="P27436" s="13"/>
    </row>
    <row r="27437">
      <c r="L27437" s="13"/>
      <c r="M27437" s="14"/>
      <c r="N27437" s="14"/>
      <c r="O27437" s="14"/>
      <c r="P27437" s="13"/>
    </row>
    <row r="27438">
      <c r="L27438" s="13"/>
      <c r="M27438" s="14"/>
      <c r="N27438" s="14"/>
      <c r="O27438" s="14"/>
      <c r="P27438" s="13"/>
    </row>
    <row r="27439">
      <c r="L27439" s="13"/>
      <c r="M27439" s="14"/>
      <c r="N27439" s="14"/>
      <c r="O27439" s="14"/>
      <c r="P27439" s="13"/>
    </row>
    <row r="27440">
      <c r="L27440" s="13"/>
      <c r="M27440" s="14"/>
      <c r="N27440" s="14"/>
      <c r="O27440" s="14"/>
      <c r="P27440" s="13"/>
    </row>
    <row r="27441">
      <c r="L27441" s="13"/>
      <c r="M27441" s="14"/>
      <c r="N27441" s="14"/>
      <c r="O27441" s="14"/>
      <c r="P27441" s="13"/>
    </row>
    <row r="27442">
      <c r="L27442" s="13"/>
      <c r="M27442" s="14"/>
      <c r="N27442" s="14"/>
      <c r="O27442" s="14"/>
      <c r="P27442" s="13"/>
    </row>
    <row r="27443">
      <c r="L27443" s="13"/>
      <c r="M27443" s="14"/>
      <c r="N27443" s="14"/>
      <c r="O27443" s="14"/>
      <c r="P27443" s="13"/>
    </row>
    <row r="27444">
      <c r="L27444" s="13"/>
      <c r="M27444" s="14"/>
      <c r="N27444" s="14"/>
      <c r="O27444" s="14"/>
      <c r="P27444" s="13"/>
    </row>
    <row r="27445">
      <c r="L27445" s="13"/>
      <c r="M27445" s="14"/>
      <c r="N27445" s="14"/>
      <c r="O27445" s="14"/>
      <c r="P27445" s="13"/>
    </row>
    <row r="27446">
      <c r="L27446" s="13"/>
      <c r="M27446" s="14"/>
      <c r="N27446" s="14"/>
      <c r="O27446" s="14"/>
      <c r="P27446" s="13"/>
    </row>
    <row r="27447">
      <c r="L27447" s="13"/>
      <c r="M27447" s="14"/>
      <c r="N27447" s="14"/>
      <c r="O27447" s="14"/>
      <c r="P27447" s="13"/>
    </row>
    <row r="27448">
      <c r="L27448" s="13"/>
      <c r="M27448" s="14"/>
      <c r="N27448" s="14"/>
      <c r="O27448" s="14"/>
      <c r="P27448" s="13"/>
    </row>
    <row r="27449">
      <c r="L27449" s="13"/>
      <c r="M27449" s="14"/>
      <c r="N27449" s="14"/>
      <c r="O27449" s="14"/>
      <c r="P27449" s="13"/>
    </row>
    <row r="27450">
      <c r="L27450" s="13"/>
      <c r="M27450" s="14"/>
      <c r="N27450" s="14"/>
      <c r="O27450" s="14"/>
      <c r="P27450" s="13"/>
    </row>
    <row r="27451">
      <c r="L27451" s="13"/>
      <c r="M27451" s="14"/>
      <c r="N27451" s="14"/>
      <c r="O27451" s="14"/>
      <c r="P27451" s="13"/>
    </row>
    <row r="27452">
      <c r="L27452" s="13"/>
      <c r="M27452" s="14"/>
      <c r="N27452" s="14"/>
      <c r="O27452" s="14"/>
      <c r="P27452" s="13"/>
    </row>
    <row r="27453">
      <c r="L27453" s="13"/>
      <c r="M27453" s="14"/>
      <c r="N27453" s="14"/>
      <c r="O27453" s="14"/>
      <c r="P27453" s="13"/>
    </row>
    <row r="27454">
      <c r="L27454" s="13"/>
      <c r="M27454" s="14"/>
      <c r="N27454" s="14"/>
      <c r="O27454" s="14"/>
      <c r="P27454" s="13"/>
    </row>
    <row r="27455">
      <c r="L27455" s="13"/>
      <c r="M27455" s="14"/>
      <c r="N27455" s="14"/>
      <c r="O27455" s="14"/>
      <c r="P27455" s="13"/>
    </row>
    <row r="27456">
      <c r="L27456" s="13"/>
      <c r="M27456" s="14"/>
      <c r="N27456" s="14"/>
      <c r="O27456" s="14"/>
      <c r="P27456" s="13"/>
    </row>
    <row r="27457">
      <c r="L27457" s="13"/>
      <c r="M27457" s="14"/>
      <c r="N27457" s="14"/>
      <c r="O27457" s="14"/>
      <c r="P27457" s="13"/>
    </row>
    <row r="27458">
      <c r="L27458" s="13"/>
      <c r="M27458" s="14"/>
      <c r="N27458" s="14"/>
      <c r="O27458" s="14"/>
      <c r="P27458" s="13"/>
    </row>
    <row r="27459">
      <c r="L27459" s="13"/>
      <c r="M27459" s="14"/>
      <c r="N27459" s="14"/>
      <c r="O27459" s="14"/>
      <c r="P27459" s="13"/>
    </row>
    <row r="27460">
      <c r="L27460" s="13"/>
      <c r="M27460" s="14"/>
      <c r="N27460" s="14"/>
      <c r="O27460" s="14"/>
      <c r="P27460" s="13"/>
    </row>
    <row r="27461">
      <c r="L27461" s="13"/>
      <c r="M27461" s="14"/>
      <c r="N27461" s="14"/>
      <c r="O27461" s="14"/>
      <c r="P27461" s="13"/>
    </row>
    <row r="27462">
      <c r="L27462" s="13"/>
      <c r="M27462" s="14"/>
      <c r="N27462" s="14"/>
      <c r="O27462" s="14"/>
      <c r="P27462" s="13"/>
    </row>
    <row r="27463">
      <c r="L27463" s="13"/>
      <c r="M27463" s="14"/>
      <c r="N27463" s="14"/>
      <c r="O27463" s="14"/>
      <c r="P27463" s="13"/>
    </row>
    <row r="27464">
      <c r="L27464" s="13"/>
      <c r="M27464" s="14"/>
      <c r="N27464" s="14"/>
      <c r="O27464" s="14"/>
      <c r="P27464" s="13"/>
    </row>
    <row r="27465">
      <c r="L27465" s="13"/>
      <c r="M27465" s="14"/>
      <c r="N27465" s="14"/>
      <c r="O27465" s="14"/>
      <c r="P27465" s="13"/>
    </row>
    <row r="27466">
      <c r="L27466" s="13"/>
      <c r="M27466" s="14"/>
      <c r="N27466" s="14"/>
      <c r="O27466" s="14"/>
      <c r="P27466" s="13"/>
    </row>
    <row r="27467">
      <c r="L27467" s="13"/>
      <c r="M27467" s="14"/>
      <c r="N27467" s="14"/>
      <c r="O27467" s="14"/>
      <c r="P27467" s="13"/>
    </row>
    <row r="27468">
      <c r="L27468" s="13"/>
      <c r="M27468" s="14"/>
      <c r="N27468" s="14"/>
      <c r="O27468" s="14"/>
      <c r="P27468" s="13"/>
    </row>
    <row r="27469">
      <c r="L27469" s="13"/>
      <c r="M27469" s="14"/>
      <c r="N27469" s="14"/>
      <c r="O27469" s="14"/>
      <c r="P27469" s="13"/>
    </row>
    <row r="27470">
      <c r="L27470" s="13"/>
      <c r="M27470" s="14"/>
      <c r="N27470" s="14"/>
      <c r="O27470" s="14"/>
      <c r="P27470" s="13"/>
    </row>
    <row r="27471">
      <c r="L27471" s="13"/>
      <c r="M27471" s="14"/>
      <c r="N27471" s="14"/>
      <c r="O27471" s="14"/>
      <c r="P27471" s="13"/>
    </row>
    <row r="27472">
      <c r="L27472" s="13"/>
      <c r="M27472" s="14"/>
      <c r="N27472" s="14"/>
      <c r="O27472" s="14"/>
      <c r="P27472" s="13"/>
    </row>
    <row r="27473">
      <c r="L27473" s="13"/>
      <c r="M27473" s="14"/>
      <c r="N27473" s="14"/>
      <c r="O27473" s="14"/>
      <c r="P27473" s="13"/>
    </row>
    <row r="27474">
      <c r="L27474" s="13"/>
      <c r="M27474" s="14"/>
      <c r="N27474" s="14"/>
      <c r="O27474" s="14"/>
      <c r="P27474" s="13"/>
    </row>
    <row r="27475">
      <c r="L27475" s="13"/>
      <c r="M27475" s="14"/>
      <c r="N27475" s="14"/>
      <c r="O27475" s="14"/>
      <c r="P27475" s="13"/>
    </row>
    <row r="27476">
      <c r="L27476" s="13"/>
      <c r="M27476" s="14"/>
      <c r="N27476" s="14"/>
      <c r="O27476" s="14"/>
      <c r="P27476" s="13"/>
    </row>
    <row r="27477">
      <c r="L27477" s="13"/>
      <c r="M27477" s="14"/>
      <c r="N27477" s="14"/>
      <c r="O27477" s="14"/>
      <c r="P27477" s="13"/>
    </row>
    <row r="27478">
      <c r="L27478" s="13"/>
      <c r="M27478" s="14"/>
      <c r="N27478" s="14"/>
      <c r="O27478" s="14"/>
      <c r="P27478" s="13"/>
    </row>
    <row r="27479">
      <c r="L27479" s="13"/>
      <c r="M27479" s="14"/>
      <c r="N27479" s="14"/>
      <c r="O27479" s="14"/>
      <c r="P27479" s="13"/>
    </row>
    <row r="27480">
      <c r="L27480" s="13"/>
      <c r="M27480" s="14"/>
      <c r="N27480" s="14"/>
      <c r="O27480" s="14"/>
      <c r="P27480" s="13"/>
    </row>
    <row r="27481">
      <c r="L27481" s="13"/>
      <c r="M27481" s="14"/>
      <c r="N27481" s="14"/>
      <c r="O27481" s="14"/>
      <c r="P27481" s="13"/>
    </row>
    <row r="27482">
      <c r="L27482" s="13"/>
      <c r="M27482" s="14"/>
      <c r="N27482" s="14"/>
      <c r="O27482" s="14"/>
      <c r="P27482" s="13"/>
    </row>
    <row r="27483">
      <c r="L27483" s="13"/>
      <c r="M27483" s="14"/>
      <c r="N27483" s="14"/>
      <c r="O27483" s="14"/>
      <c r="P27483" s="13"/>
    </row>
    <row r="27484">
      <c r="L27484" s="13"/>
      <c r="M27484" s="14"/>
      <c r="N27484" s="14"/>
      <c r="O27484" s="14"/>
      <c r="P27484" s="13"/>
    </row>
    <row r="27485">
      <c r="L27485" s="13"/>
      <c r="M27485" s="14"/>
      <c r="N27485" s="14"/>
      <c r="O27485" s="14"/>
      <c r="P27485" s="13"/>
    </row>
    <row r="27486">
      <c r="L27486" s="13"/>
      <c r="M27486" s="14"/>
      <c r="N27486" s="14"/>
      <c r="O27486" s="14"/>
      <c r="P27486" s="13"/>
    </row>
    <row r="27487">
      <c r="L27487" s="13"/>
      <c r="M27487" s="14"/>
      <c r="N27487" s="14"/>
      <c r="O27487" s="14"/>
      <c r="P27487" s="13"/>
    </row>
    <row r="27488">
      <c r="L27488" s="13"/>
      <c r="M27488" s="14"/>
      <c r="N27488" s="14"/>
      <c r="O27488" s="14"/>
      <c r="P27488" s="13"/>
    </row>
    <row r="27489">
      <c r="L27489" s="13"/>
      <c r="M27489" s="14"/>
      <c r="N27489" s="14"/>
      <c r="O27489" s="14"/>
      <c r="P27489" s="13"/>
    </row>
    <row r="27490">
      <c r="L27490" s="13"/>
      <c r="M27490" s="14"/>
      <c r="N27490" s="14"/>
      <c r="O27490" s="14"/>
      <c r="P27490" s="13"/>
    </row>
    <row r="27491">
      <c r="L27491" s="13"/>
      <c r="M27491" s="14"/>
      <c r="N27491" s="14"/>
      <c r="O27491" s="14"/>
      <c r="P27491" s="13"/>
    </row>
    <row r="27492">
      <c r="L27492" s="13"/>
      <c r="M27492" s="14"/>
      <c r="N27492" s="14"/>
      <c r="O27492" s="14"/>
      <c r="P27492" s="13"/>
    </row>
    <row r="27493">
      <c r="L27493" s="13"/>
      <c r="M27493" s="14"/>
      <c r="N27493" s="14"/>
      <c r="O27493" s="14"/>
      <c r="P27493" s="13"/>
    </row>
    <row r="27494">
      <c r="L27494" s="13"/>
      <c r="M27494" s="14"/>
      <c r="N27494" s="14"/>
      <c r="O27494" s="14"/>
      <c r="P27494" s="13"/>
    </row>
    <row r="27495">
      <c r="L27495" s="13"/>
      <c r="M27495" s="14"/>
      <c r="N27495" s="14"/>
      <c r="O27495" s="14"/>
      <c r="P27495" s="13"/>
    </row>
    <row r="27496">
      <c r="L27496" s="13"/>
      <c r="M27496" s="14"/>
      <c r="N27496" s="14"/>
      <c r="O27496" s="14"/>
      <c r="P27496" s="13"/>
    </row>
    <row r="27497">
      <c r="L27497" s="13"/>
      <c r="M27497" s="14"/>
      <c r="N27497" s="14"/>
      <c r="O27497" s="14"/>
      <c r="P27497" s="13"/>
    </row>
    <row r="27498">
      <c r="L27498" s="13"/>
      <c r="M27498" s="14"/>
      <c r="N27498" s="14"/>
      <c r="O27498" s="14"/>
      <c r="P27498" s="13"/>
    </row>
    <row r="27499">
      <c r="L27499" s="13"/>
      <c r="M27499" s="14"/>
      <c r="N27499" s="14"/>
      <c r="O27499" s="14"/>
      <c r="P27499" s="13"/>
    </row>
    <row r="27500">
      <c r="L27500" s="13"/>
      <c r="M27500" s="14"/>
      <c r="N27500" s="14"/>
      <c r="O27500" s="14"/>
      <c r="P27500" s="13"/>
    </row>
    <row r="27501">
      <c r="L27501" s="13"/>
      <c r="M27501" s="14"/>
      <c r="N27501" s="14"/>
      <c r="O27501" s="14"/>
      <c r="P27501" s="13"/>
    </row>
    <row r="27502">
      <c r="L27502" s="13"/>
      <c r="M27502" s="14"/>
      <c r="N27502" s="14"/>
      <c r="O27502" s="14"/>
      <c r="P27502" s="13"/>
    </row>
    <row r="27503">
      <c r="L27503" s="13"/>
      <c r="M27503" s="14"/>
      <c r="N27503" s="14"/>
      <c r="O27503" s="14"/>
      <c r="P27503" s="13"/>
    </row>
    <row r="27504">
      <c r="L27504" s="13"/>
      <c r="M27504" s="14"/>
      <c r="N27504" s="14"/>
      <c r="O27504" s="14"/>
      <c r="P27504" s="13"/>
    </row>
    <row r="27505">
      <c r="L27505" s="13"/>
      <c r="M27505" s="14"/>
      <c r="N27505" s="14"/>
      <c r="O27505" s="14"/>
      <c r="P27505" s="13"/>
    </row>
    <row r="27506">
      <c r="L27506" s="13"/>
      <c r="M27506" s="14"/>
      <c r="N27506" s="14"/>
      <c r="O27506" s="14"/>
      <c r="P27506" s="13"/>
    </row>
    <row r="27507">
      <c r="L27507" s="13"/>
      <c r="M27507" s="14"/>
      <c r="N27507" s="14"/>
      <c r="O27507" s="14"/>
      <c r="P27507" s="13"/>
    </row>
    <row r="27508">
      <c r="L27508" s="13"/>
      <c r="M27508" s="14"/>
      <c r="N27508" s="14"/>
      <c r="O27508" s="14"/>
      <c r="P27508" s="13"/>
    </row>
    <row r="27509">
      <c r="L27509" s="13"/>
      <c r="M27509" s="14"/>
      <c r="N27509" s="14"/>
      <c r="O27509" s="14"/>
      <c r="P27509" s="13"/>
    </row>
    <row r="27510">
      <c r="L27510" s="13"/>
      <c r="M27510" s="14"/>
      <c r="N27510" s="14"/>
      <c r="O27510" s="14"/>
      <c r="P27510" s="13"/>
    </row>
    <row r="27511">
      <c r="L27511" s="13"/>
      <c r="M27511" s="14"/>
      <c r="N27511" s="14"/>
      <c r="O27511" s="14"/>
      <c r="P27511" s="13"/>
    </row>
    <row r="27512">
      <c r="L27512" s="13"/>
      <c r="M27512" s="14"/>
      <c r="N27512" s="14"/>
      <c r="O27512" s="14"/>
      <c r="P27512" s="13"/>
    </row>
    <row r="27513">
      <c r="L27513" s="13"/>
      <c r="M27513" s="14"/>
      <c r="N27513" s="14"/>
      <c r="O27513" s="14"/>
      <c r="P27513" s="13"/>
    </row>
    <row r="27514">
      <c r="L27514" s="13"/>
      <c r="M27514" s="14"/>
      <c r="N27514" s="14"/>
      <c r="O27514" s="14"/>
      <c r="P27514" s="13"/>
    </row>
    <row r="27515">
      <c r="L27515" s="13"/>
      <c r="M27515" s="14"/>
      <c r="N27515" s="14"/>
      <c r="O27515" s="14"/>
      <c r="P27515" s="13"/>
    </row>
    <row r="27516">
      <c r="L27516" s="13"/>
      <c r="M27516" s="14"/>
      <c r="N27516" s="14"/>
      <c r="O27516" s="14"/>
      <c r="P27516" s="13"/>
    </row>
    <row r="27517">
      <c r="L27517" s="13"/>
      <c r="M27517" s="14"/>
      <c r="N27517" s="14"/>
      <c r="O27517" s="14"/>
      <c r="P27517" s="13"/>
    </row>
    <row r="27518">
      <c r="L27518" s="13"/>
      <c r="M27518" s="14"/>
      <c r="N27518" s="14"/>
      <c r="O27518" s="14"/>
      <c r="P27518" s="13"/>
    </row>
    <row r="27519">
      <c r="L27519" s="13"/>
      <c r="M27519" s="14"/>
      <c r="N27519" s="14"/>
      <c r="O27519" s="14"/>
      <c r="P27519" s="13"/>
    </row>
    <row r="27520">
      <c r="L27520" s="13"/>
      <c r="M27520" s="14"/>
      <c r="N27520" s="14"/>
      <c r="O27520" s="14"/>
      <c r="P27520" s="13"/>
    </row>
    <row r="27521">
      <c r="L27521" s="13"/>
      <c r="M27521" s="14"/>
      <c r="N27521" s="14"/>
      <c r="O27521" s="14"/>
      <c r="P27521" s="13"/>
    </row>
    <row r="27522">
      <c r="L27522" s="13"/>
      <c r="M27522" s="14"/>
      <c r="N27522" s="14"/>
      <c r="O27522" s="14"/>
      <c r="P27522" s="13"/>
    </row>
    <row r="27523">
      <c r="L27523" s="13"/>
      <c r="M27523" s="14"/>
      <c r="N27523" s="14"/>
      <c r="O27523" s="14"/>
      <c r="P27523" s="13"/>
    </row>
    <row r="27524">
      <c r="L27524" s="13"/>
      <c r="M27524" s="14"/>
      <c r="N27524" s="14"/>
      <c r="O27524" s="14"/>
      <c r="P27524" s="13"/>
    </row>
    <row r="27525">
      <c r="L27525" s="13"/>
      <c r="M27525" s="14"/>
      <c r="N27525" s="14"/>
      <c r="O27525" s="14"/>
      <c r="P27525" s="13"/>
    </row>
    <row r="27526">
      <c r="L27526" s="13"/>
      <c r="M27526" s="14"/>
      <c r="N27526" s="14"/>
      <c r="O27526" s="14"/>
      <c r="P27526" s="13"/>
    </row>
    <row r="27527">
      <c r="L27527" s="13"/>
      <c r="M27527" s="14"/>
      <c r="N27527" s="14"/>
      <c r="O27527" s="14"/>
      <c r="P27527" s="13"/>
    </row>
    <row r="27528">
      <c r="L27528" s="13"/>
      <c r="M27528" s="14"/>
      <c r="N27528" s="14"/>
      <c r="O27528" s="14"/>
      <c r="P27528" s="13"/>
    </row>
    <row r="27529">
      <c r="L27529" s="13"/>
      <c r="M27529" s="14"/>
      <c r="N27529" s="14"/>
      <c r="O27529" s="14"/>
      <c r="P27529" s="13"/>
    </row>
    <row r="27530">
      <c r="L27530" s="13"/>
      <c r="M27530" s="14"/>
      <c r="N27530" s="14"/>
      <c r="O27530" s="14"/>
      <c r="P27530" s="13"/>
    </row>
    <row r="27531">
      <c r="L27531" s="13"/>
      <c r="M27531" s="14"/>
      <c r="N27531" s="14"/>
      <c r="O27531" s="14"/>
      <c r="P27531" s="13"/>
    </row>
    <row r="27532">
      <c r="L27532" s="13"/>
      <c r="M27532" s="14"/>
      <c r="N27532" s="14"/>
      <c r="O27532" s="14"/>
      <c r="P27532" s="13"/>
    </row>
    <row r="27533">
      <c r="L27533" s="13"/>
      <c r="M27533" s="14"/>
      <c r="N27533" s="14"/>
      <c r="O27533" s="14"/>
      <c r="P27533" s="13"/>
    </row>
    <row r="27534">
      <c r="L27534" s="13"/>
      <c r="M27534" s="14"/>
      <c r="N27534" s="14"/>
      <c r="O27534" s="14"/>
      <c r="P27534" s="13"/>
    </row>
    <row r="27535">
      <c r="L27535" s="13"/>
      <c r="M27535" s="14"/>
      <c r="N27535" s="14"/>
      <c r="O27535" s="14"/>
      <c r="P27535" s="13"/>
    </row>
    <row r="27536">
      <c r="L27536" s="13"/>
      <c r="M27536" s="14"/>
      <c r="N27536" s="14"/>
      <c r="O27536" s="14"/>
      <c r="P27536" s="13"/>
    </row>
    <row r="27537">
      <c r="L27537" s="13"/>
      <c r="M27537" s="14"/>
      <c r="N27537" s="14"/>
      <c r="O27537" s="14"/>
      <c r="P27537" s="13"/>
    </row>
    <row r="27538">
      <c r="L27538" s="13"/>
      <c r="M27538" s="14"/>
      <c r="N27538" s="14"/>
      <c r="O27538" s="14"/>
      <c r="P27538" s="13"/>
    </row>
    <row r="27539">
      <c r="L27539" s="13"/>
      <c r="M27539" s="14"/>
      <c r="N27539" s="14"/>
      <c r="O27539" s="14"/>
      <c r="P27539" s="13"/>
    </row>
    <row r="27540">
      <c r="L27540" s="13"/>
      <c r="M27540" s="14"/>
      <c r="N27540" s="14"/>
      <c r="O27540" s="14"/>
      <c r="P27540" s="13"/>
    </row>
    <row r="27541">
      <c r="L27541" s="13"/>
      <c r="M27541" s="14"/>
      <c r="N27541" s="14"/>
      <c r="O27541" s="14"/>
      <c r="P27541" s="13"/>
    </row>
    <row r="27542">
      <c r="L27542" s="13"/>
      <c r="M27542" s="14"/>
      <c r="N27542" s="14"/>
      <c r="O27542" s="14"/>
      <c r="P27542" s="13"/>
    </row>
    <row r="27543">
      <c r="L27543" s="13"/>
      <c r="M27543" s="14"/>
      <c r="N27543" s="14"/>
      <c r="O27543" s="14"/>
      <c r="P27543" s="13"/>
    </row>
    <row r="27544">
      <c r="L27544" s="13"/>
      <c r="M27544" s="14"/>
      <c r="N27544" s="14"/>
      <c r="O27544" s="14"/>
      <c r="P27544" s="13"/>
    </row>
    <row r="27545">
      <c r="L27545" s="13"/>
      <c r="M27545" s="14"/>
      <c r="N27545" s="14"/>
      <c r="O27545" s="14"/>
      <c r="P27545" s="13"/>
    </row>
    <row r="27546">
      <c r="L27546" s="13"/>
      <c r="M27546" s="14"/>
      <c r="N27546" s="14"/>
      <c r="O27546" s="14"/>
      <c r="P27546" s="13"/>
    </row>
    <row r="27547">
      <c r="L27547" s="13"/>
      <c r="M27547" s="14"/>
      <c r="N27547" s="14"/>
      <c r="O27547" s="14"/>
      <c r="P27547" s="13"/>
    </row>
    <row r="27548">
      <c r="L27548" s="13"/>
      <c r="M27548" s="14"/>
      <c r="N27548" s="14"/>
      <c r="O27548" s="14"/>
      <c r="P27548" s="13"/>
    </row>
    <row r="27549">
      <c r="L27549" s="13"/>
      <c r="M27549" s="14"/>
      <c r="N27549" s="14"/>
      <c r="O27549" s="14"/>
      <c r="P27549" s="13"/>
    </row>
    <row r="27550">
      <c r="L27550" s="13"/>
      <c r="M27550" s="14"/>
      <c r="N27550" s="14"/>
      <c r="O27550" s="14"/>
      <c r="P27550" s="13"/>
    </row>
    <row r="27551">
      <c r="L27551" s="13"/>
      <c r="M27551" s="14"/>
      <c r="N27551" s="14"/>
      <c r="O27551" s="14"/>
      <c r="P27551" s="13"/>
    </row>
    <row r="27552">
      <c r="L27552" s="13"/>
      <c r="M27552" s="14"/>
      <c r="N27552" s="14"/>
      <c r="O27552" s="14"/>
      <c r="P27552" s="13"/>
    </row>
    <row r="27553">
      <c r="L27553" s="13"/>
      <c r="M27553" s="14"/>
      <c r="N27553" s="14"/>
      <c r="O27553" s="14"/>
      <c r="P27553" s="13"/>
    </row>
    <row r="27554">
      <c r="L27554" s="13"/>
      <c r="M27554" s="14"/>
      <c r="N27554" s="14"/>
      <c r="O27554" s="14"/>
      <c r="P27554" s="13"/>
    </row>
    <row r="27555">
      <c r="L27555" s="13"/>
      <c r="M27555" s="14"/>
      <c r="N27555" s="14"/>
      <c r="O27555" s="14"/>
      <c r="P27555" s="13"/>
    </row>
    <row r="27556">
      <c r="L27556" s="13"/>
      <c r="M27556" s="14"/>
      <c r="N27556" s="14"/>
      <c r="O27556" s="14"/>
      <c r="P27556" s="13"/>
    </row>
    <row r="27557">
      <c r="L27557" s="13"/>
      <c r="M27557" s="14"/>
      <c r="N27557" s="14"/>
      <c r="O27557" s="14"/>
      <c r="P27557" s="13"/>
    </row>
    <row r="27558">
      <c r="L27558" s="13"/>
      <c r="M27558" s="14"/>
      <c r="N27558" s="14"/>
      <c r="O27558" s="14"/>
      <c r="P27558" s="13"/>
    </row>
    <row r="27559">
      <c r="L27559" s="13"/>
      <c r="M27559" s="14"/>
      <c r="N27559" s="14"/>
      <c r="O27559" s="14"/>
      <c r="P27559" s="13"/>
    </row>
    <row r="27560">
      <c r="L27560" s="13"/>
      <c r="M27560" s="14"/>
      <c r="N27560" s="14"/>
      <c r="O27560" s="14"/>
      <c r="P27560" s="13"/>
    </row>
    <row r="27561">
      <c r="L27561" s="13"/>
      <c r="M27561" s="14"/>
      <c r="N27561" s="14"/>
      <c r="O27561" s="14"/>
      <c r="P27561" s="13"/>
    </row>
    <row r="27562">
      <c r="L27562" s="13"/>
      <c r="M27562" s="14"/>
      <c r="N27562" s="14"/>
      <c r="O27562" s="14"/>
      <c r="P27562" s="13"/>
    </row>
    <row r="27563">
      <c r="L27563" s="13"/>
      <c r="M27563" s="14"/>
      <c r="N27563" s="14"/>
      <c r="O27563" s="14"/>
      <c r="P27563" s="13"/>
    </row>
    <row r="27564">
      <c r="L27564" s="13"/>
      <c r="M27564" s="14"/>
      <c r="N27564" s="14"/>
      <c r="O27564" s="14"/>
      <c r="P27564" s="13"/>
    </row>
    <row r="27565">
      <c r="L27565" s="13"/>
      <c r="M27565" s="14"/>
      <c r="N27565" s="14"/>
      <c r="O27565" s="14"/>
      <c r="P27565" s="13"/>
    </row>
    <row r="27566">
      <c r="L27566" s="13"/>
      <c r="M27566" s="14"/>
      <c r="N27566" s="14"/>
      <c r="O27566" s="14"/>
      <c r="P27566" s="13"/>
    </row>
    <row r="27567">
      <c r="L27567" s="13"/>
      <c r="M27567" s="14"/>
      <c r="N27567" s="14"/>
      <c r="O27567" s="14"/>
      <c r="P27567" s="13"/>
    </row>
    <row r="27568">
      <c r="L27568" s="13"/>
      <c r="M27568" s="14"/>
      <c r="N27568" s="14"/>
      <c r="O27568" s="14"/>
      <c r="P27568" s="13"/>
    </row>
    <row r="27569">
      <c r="L27569" s="13"/>
      <c r="M27569" s="14"/>
      <c r="N27569" s="14"/>
      <c r="O27569" s="14"/>
      <c r="P27569" s="13"/>
    </row>
    <row r="27570">
      <c r="L27570" s="13"/>
      <c r="M27570" s="14"/>
      <c r="N27570" s="14"/>
      <c r="O27570" s="14"/>
      <c r="P27570" s="13"/>
    </row>
    <row r="27571">
      <c r="L27571" s="13"/>
      <c r="M27571" s="14"/>
      <c r="N27571" s="14"/>
      <c r="O27571" s="14"/>
      <c r="P27571" s="13"/>
    </row>
    <row r="27572">
      <c r="L27572" s="13"/>
      <c r="M27572" s="14"/>
      <c r="N27572" s="14"/>
      <c r="O27572" s="14"/>
      <c r="P27572" s="13"/>
    </row>
    <row r="27573">
      <c r="L27573" s="13"/>
      <c r="M27573" s="14"/>
      <c r="N27573" s="14"/>
      <c r="O27573" s="14"/>
      <c r="P27573" s="13"/>
    </row>
    <row r="27574">
      <c r="L27574" s="13"/>
      <c r="M27574" s="14"/>
      <c r="N27574" s="14"/>
      <c r="O27574" s="14"/>
      <c r="P27574" s="13"/>
    </row>
    <row r="27575">
      <c r="L27575" s="13"/>
      <c r="M27575" s="14"/>
      <c r="N27575" s="14"/>
      <c r="O27575" s="14"/>
      <c r="P27575" s="13"/>
    </row>
    <row r="27576">
      <c r="L27576" s="13"/>
      <c r="M27576" s="14"/>
      <c r="N27576" s="14"/>
      <c r="O27576" s="14"/>
      <c r="P27576" s="13"/>
    </row>
    <row r="27577">
      <c r="L27577" s="13"/>
      <c r="M27577" s="14"/>
      <c r="N27577" s="14"/>
      <c r="O27577" s="14"/>
      <c r="P27577" s="13"/>
    </row>
    <row r="27578">
      <c r="L27578" s="13"/>
      <c r="M27578" s="14"/>
      <c r="N27578" s="14"/>
      <c r="O27578" s="14"/>
      <c r="P27578" s="13"/>
    </row>
    <row r="27579">
      <c r="L27579" s="13"/>
      <c r="M27579" s="14"/>
      <c r="N27579" s="14"/>
      <c r="O27579" s="14"/>
      <c r="P27579" s="13"/>
    </row>
    <row r="27580">
      <c r="L27580" s="13"/>
      <c r="M27580" s="14"/>
      <c r="N27580" s="14"/>
      <c r="O27580" s="14"/>
      <c r="P27580" s="13"/>
    </row>
    <row r="27581">
      <c r="L27581" s="13"/>
      <c r="M27581" s="14"/>
      <c r="N27581" s="14"/>
      <c r="O27581" s="14"/>
      <c r="P27581" s="13"/>
    </row>
    <row r="27582">
      <c r="L27582" s="13"/>
      <c r="M27582" s="14"/>
      <c r="N27582" s="14"/>
      <c r="O27582" s="14"/>
      <c r="P27582" s="13"/>
    </row>
    <row r="27583">
      <c r="L27583" s="13"/>
      <c r="M27583" s="14"/>
      <c r="N27583" s="14"/>
      <c r="O27583" s="14"/>
      <c r="P27583" s="13"/>
    </row>
    <row r="27584">
      <c r="L27584" s="13"/>
      <c r="M27584" s="14"/>
      <c r="N27584" s="14"/>
      <c r="O27584" s="14"/>
      <c r="P27584" s="13"/>
    </row>
    <row r="27585">
      <c r="L27585" s="13"/>
      <c r="M27585" s="14"/>
      <c r="N27585" s="14"/>
      <c r="O27585" s="14"/>
      <c r="P27585" s="13"/>
    </row>
    <row r="27586">
      <c r="L27586" s="13"/>
      <c r="M27586" s="14"/>
      <c r="N27586" s="14"/>
      <c r="O27586" s="14"/>
      <c r="P27586" s="13"/>
    </row>
    <row r="27587">
      <c r="L27587" s="13"/>
      <c r="M27587" s="14"/>
      <c r="N27587" s="14"/>
      <c r="O27587" s="14"/>
      <c r="P27587" s="13"/>
    </row>
    <row r="27588">
      <c r="L27588" s="13"/>
      <c r="M27588" s="14"/>
      <c r="N27588" s="14"/>
      <c r="O27588" s="14"/>
      <c r="P27588" s="13"/>
    </row>
    <row r="27589">
      <c r="L27589" s="13"/>
      <c r="M27589" s="14"/>
      <c r="N27589" s="14"/>
      <c r="O27589" s="14"/>
      <c r="P27589" s="13"/>
    </row>
    <row r="27590">
      <c r="L27590" s="13"/>
      <c r="M27590" s="14"/>
      <c r="N27590" s="14"/>
      <c r="O27590" s="14"/>
      <c r="P27590" s="13"/>
    </row>
    <row r="27591">
      <c r="L27591" s="13"/>
      <c r="M27591" s="14"/>
      <c r="N27591" s="14"/>
      <c r="O27591" s="14"/>
      <c r="P27591" s="13"/>
    </row>
    <row r="27592">
      <c r="L27592" s="13"/>
      <c r="M27592" s="14"/>
      <c r="N27592" s="14"/>
      <c r="O27592" s="14"/>
      <c r="P27592" s="13"/>
    </row>
    <row r="27593">
      <c r="L27593" s="13"/>
      <c r="M27593" s="14"/>
      <c r="N27593" s="14"/>
      <c r="O27593" s="14"/>
      <c r="P27593" s="13"/>
    </row>
    <row r="27594">
      <c r="L27594" s="13"/>
      <c r="M27594" s="14"/>
      <c r="N27594" s="14"/>
      <c r="O27594" s="14"/>
      <c r="P27594" s="13"/>
    </row>
    <row r="27595">
      <c r="L27595" s="13"/>
      <c r="M27595" s="14"/>
      <c r="N27595" s="14"/>
      <c r="O27595" s="14"/>
      <c r="P27595" s="13"/>
    </row>
    <row r="27596">
      <c r="L27596" s="13"/>
      <c r="M27596" s="14"/>
      <c r="N27596" s="14"/>
      <c r="O27596" s="14"/>
      <c r="P27596" s="13"/>
    </row>
    <row r="27597">
      <c r="L27597" s="13"/>
      <c r="M27597" s="14"/>
      <c r="N27597" s="14"/>
      <c r="O27597" s="14"/>
      <c r="P27597" s="13"/>
    </row>
    <row r="27598">
      <c r="L27598" s="13"/>
      <c r="M27598" s="14"/>
      <c r="N27598" s="14"/>
      <c r="O27598" s="14"/>
      <c r="P27598" s="13"/>
    </row>
    <row r="27599">
      <c r="L27599" s="13"/>
      <c r="M27599" s="14"/>
      <c r="N27599" s="14"/>
      <c r="O27599" s="14"/>
      <c r="P27599" s="13"/>
    </row>
    <row r="27600">
      <c r="L27600" s="13"/>
      <c r="M27600" s="14"/>
      <c r="N27600" s="14"/>
      <c r="O27600" s="14"/>
      <c r="P27600" s="13"/>
    </row>
    <row r="27601">
      <c r="L27601" s="13"/>
      <c r="M27601" s="14"/>
      <c r="N27601" s="14"/>
      <c r="O27601" s="14"/>
      <c r="P27601" s="13"/>
    </row>
    <row r="27602">
      <c r="L27602" s="13"/>
      <c r="M27602" s="14"/>
      <c r="N27602" s="14"/>
      <c r="O27602" s="14"/>
      <c r="P27602" s="13"/>
    </row>
    <row r="27603">
      <c r="L27603" s="13"/>
      <c r="M27603" s="14"/>
      <c r="N27603" s="14"/>
      <c r="O27603" s="14"/>
      <c r="P27603" s="13"/>
    </row>
    <row r="27604">
      <c r="L27604" s="13"/>
      <c r="M27604" s="14"/>
      <c r="N27604" s="14"/>
      <c r="O27604" s="14"/>
      <c r="P27604" s="13"/>
    </row>
    <row r="27605">
      <c r="L27605" s="13"/>
      <c r="M27605" s="14"/>
      <c r="N27605" s="14"/>
      <c r="O27605" s="14"/>
      <c r="P27605" s="13"/>
    </row>
    <row r="27606">
      <c r="L27606" s="13"/>
      <c r="M27606" s="14"/>
      <c r="N27606" s="14"/>
      <c r="O27606" s="14"/>
      <c r="P27606" s="13"/>
    </row>
    <row r="27607">
      <c r="L27607" s="13"/>
      <c r="M27607" s="14"/>
      <c r="N27607" s="14"/>
      <c r="O27607" s="14"/>
      <c r="P27607" s="13"/>
    </row>
    <row r="27608">
      <c r="L27608" s="13"/>
      <c r="M27608" s="14"/>
      <c r="N27608" s="14"/>
      <c r="O27608" s="14"/>
      <c r="P27608" s="13"/>
    </row>
    <row r="27609">
      <c r="L27609" s="13"/>
      <c r="M27609" s="14"/>
      <c r="N27609" s="14"/>
      <c r="O27609" s="14"/>
      <c r="P27609" s="13"/>
    </row>
    <row r="27610">
      <c r="L27610" s="13"/>
      <c r="M27610" s="14"/>
      <c r="N27610" s="14"/>
      <c r="O27610" s="14"/>
      <c r="P27610" s="13"/>
    </row>
    <row r="27611">
      <c r="L27611" s="13"/>
      <c r="M27611" s="14"/>
      <c r="N27611" s="14"/>
      <c r="O27611" s="14"/>
      <c r="P27611" s="13"/>
    </row>
    <row r="27612">
      <c r="L27612" s="13"/>
      <c r="M27612" s="14"/>
      <c r="N27612" s="14"/>
      <c r="O27612" s="14"/>
      <c r="P27612" s="13"/>
    </row>
    <row r="27613">
      <c r="L27613" s="13"/>
      <c r="M27613" s="14"/>
      <c r="N27613" s="14"/>
      <c r="O27613" s="14"/>
      <c r="P27613" s="13"/>
    </row>
    <row r="27614">
      <c r="L27614" s="13"/>
      <c r="M27614" s="14"/>
      <c r="N27614" s="14"/>
      <c r="O27614" s="14"/>
      <c r="P27614" s="13"/>
    </row>
    <row r="27615">
      <c r="L27615" s="13"/>
      <c r="M27615" s="14"/>
      <c r="N27615" s="14"/>
      <c r="O27615" s="14"/>
      <c r="P27615" s="13"/>
    </row>
    <row r="27616">
      <c r="L27616" s="13"/>
      <c r="M27616" s="14"/>
      <c r="N27616" s="14"/>
      <c r="O27616" s="14"/>
      <c r="P27616" s="13"/>
    </row>
    <row r="27617">
      <c r="L27617" s="13"/>
      <c r="M27617" s="14"/>
      <c r="N27617" s="14"/>
      <c r="O27617" s="14"/>
      <c r="P27617" s="13"/>
    </row>
    <row r="27618">
      <c r="L27618" s="13"/>
      <c r="M27618" s="14"/>
      <c r="N27618" s="14"/>
      <c r="O27618" s="14"/>
      <c r="P27618" s="13"/>
    </row>
    <row r="27619">
      <c r="L27619" s="13"/>
      <c r="M27619" s="14"/>
      <c r="N27619" s="14"/>
      <c r="O27619" s="14"/>
      <c r="P27619" s="13"/>
    </row>
    <row r="27620">
      <c r="L27620" s="13"/>
      <c r="M27620" s="14"/>
      <c r="N27620" s="14"/>
      <c r="O27620" s="14"/>
      <c r="P27620" s="13"/>
    </row>
    <row r="27621">
      <c r="L27621" s="13"/>
      <c r="M27621" s="14"/>
      <c r="N27621" s="14"/>
      <c r="O27621" s="14"/>
      <c r="P27621" s="13"/>
    </row>
    <row r="27622">
      <c r="L27622" s="13"/>
      <c r="M27622" s="14"/>
      <c r="N27622" s="14"/>
      <c r="O27622" s="14"/>
      <c r="P27622" s="13"/>
    </row>
    <row r="27623">
      <c r="L27623" s="13"/>
      <c r="M27623" s="14"/>
      <c r="N27623" s="14"/>
      <c r="O27623" s="14"/>
      <c r="P27623" s="13"/>
    </row>
    <row r="27624">
      <c r="L27624" s="13"/>
      <c r="M27624" s="14"/>
      <c r="N27624" s="14"/>
      <c r="O27624" s="14"/>
      <c r="P27624" s="13"/>
    </row>
    <row r="27625">
      <c r="L27625" s="13"/>
      <c r="M27625" s="14"/>
      <c r="N27625" s="14"/>
      <c r="O27625" s="14"/>
      <c r="P27625" s="13"/>
    </row>
    <row r="27626">
      <c r="L27626" s="13"/>
      <c r="M27626" s="14"/>
      <c r="N27626" s="14"/>
      <c r="O27626" s="14"/>
      <c r="P27626" s="13"/>
    </row>
    <row r="27627">
      <c r="L27627" s="13"/>
      <c r="M27627" s="14"/>
      <c r="N27627" s="14"/>
      <c r="O27627" s="14"/>
      <c r="P27627" s="13"/>
    </row>
    <row r="27628">
      <c r="L27628" s="13"/>
      <c r="M27628" s="14"/>
      <c r="N27628" s="14"/>
      <c r="O27628" s="14"/>
      <c r="P27628" s="13"/>
    </row>
    <row r="27629">
      <c r="L27629" s="13"/>
      <c r="M27629" s="14"/>
      <c r="N27629" s="14"/>
      <c r="O27629" s="14"/>
      <c r="P27629" s="13"/>
    </row>
    <row r="27630">
      <c r="L27630" s="13"/>
      <c r="M27630" s="14"/>
      <c r="N27630" s="14"/>
      <c r="O27630" s="14"/>
      <c r="P27630" s="13"/>
    </row>
    <row r="27631">
      <c r="L27631" s="13"/>
      <c r="M27631" s="14"/>
      <c r="N27631" s="14"/>
      <c r="O27631" s="14"/>
      <c r="P27631" s="13"/>
    </row>
    <row r="27632">
      <c r="L27632" s="13"/>
      <c r="M27632" s="14"/>
      <c r="N27632" s="14"/>
      <c r="O27632" s="14"/>
      <c r="P27632" s="13"/>
    </row>
    <row r="27633">
      <c r="L27633" s="13"/>
      <c r="M27633" s="14"/>
      <c r="N27633" s="14"/>
      <c r="O27633" s="14"/>
      <c r="P27633" s="13"/>
    </row>
    <row r="27634">
      <c r="L27634" s="13"/>
      <c r="M27634" s="14"/>
      <c r="N27634" s="14"/>
      <c r="O27634" s="14"/>
      <c r="P27634" s="13"/>
    </row>
    <row r="27635">
      <c r="L27635" s="13"/>
      <c r="M27635" s="14"/>
      <c r="N27635" s="14"/>
      <c r="O27635" s="14"/>
      <c r="P27635" s="13"/>
    </row>
    <row r="27636">
      <c r="L27636" s="13"/>
      <c r="M27636" s="14"/>
      <c r="N27636" s="14"/>
      <c r="O27636" s="14"/>
      <c r="P27636" s="13"/>
    </row>
    <row r="27637">
      <c r="L27637" s="13"/>
      <c r="M27637" s="14"/>
      <c r="N27637" s="14"/>
      <c r="O27637" s="14"/>
      <c r="P27637" s="13"/>
    </row>
    <row r="27638">
      <c r="L27638" s="13"/>
      <c r="M27638" s="14"/>
      <c r="N27638" s="14"/>
      <c r="O27638" s="14"/>
      <c r="P27638" s="13"/>
    </row>
    <row r="27639">
      <c r="L27639" s="13"/>
      <c r="M27639" s="14"/>
      <c r="N27639" s="14"/>
      <c r="O27639" s="14"/>
      <c r="P27639" s="13"/>
    </row>
    <row r="27640">
      <c r="L27640" s="13"/>
      <c r="M27640" s="14"/>
      <c r="N27640" s="14"/>
      <c r="O27640" s="14"/>
      <c r="P27640" s="13"/>
    </row>
    <row r="27641">
      <c r="L27641" s="13"/>
      <c r="M27641" s="14"/>
      <c r="N27641" s="14"/>
      <c r="O27641" s="14"/>
      <c r="P27641" s="13"/>
    </row>
    <row r="27642">
      <c r="L27642" s="13"/>
      <c r="M27642" s="14"/>
      <c r="N27642" s="14"/>
      <c r="O27642" s="14"/>
      <c r="P27642" s="13"/>
    </row>
    <row r="27643">
      <c r="L27643" s="13"/>
      <c r="M27643" s="14"/>
      <c r="N27643" s="14"/>
      <c r="O27643" s="14"/>
      <c r="P27643" s="13"/>
    </row>
    <row r="27644">
      <c r="L27644" s="13"/>
      <c r="M27644" s="14"/>
      <c r="N27644" s="14"/>
      <c r="O27644" s="14"/>
      <c r="P27644" s="13"/>
    </row>
    <row r="27645">
      <c r="L27645" s="13"/>
      <c r="M27645" s="14"/>
      <c r="N27645" s="14"/>
      <c r="O27645" s="14"/>
      <c r="P27645" s="13"/>
    </row>
    <row r="27646">
      <c r="L27646" s="13"/>
      <c r="M27646" s="14"/>
      <c r="N27646" s="14"/>
      <c r="O27646" s="14"/>
      <c r="P27646" s="13"/>
    </row>
    <row r="27647">
      <c r="L27647" s="13"/>
      <c r="M27647" s="14"/>
      <c r="N27647" s="14"/>
      <c r="O27647" s="14"/>
      <c r="P27647" s="13"/>
    </row>
    <row r="27648">
      <c r="L27648" s="13"/>
      <c r="M27648" s="14"/>
      <c r="N27648" s="14"/>
      <c r="O27648" s="14"/>
      <c r="P27648" s="13"/>
    </row>
    <row r="27649">
      <c r="L27649" s="13"/>
      <c r="M27649" s="14"/>
      <c r="N27649" s="14"/>
      <c r="O27649" s="14"/>
      <c r="P27649" s="13"/>
    </row>
    <row r="27650">
      <c r="L27650" s="13"/>
      <c r="M27650" s="14"/>
      <c r="N27650" s="14"/>
      <c r="O27650" s="14"/>
      <c r="P27650" s="13"/>
    </row>
    <row r="27651">
      <c r="L27651" s="13"/>
      <c r="M27651" s="14"/>
      <c r="N27651" s="14"/>
      <c r="O27651" s="14"/>
      <c r="P27651" s="13"/>
    </row>
    <row r="27652">
      <c r="L27652" s="13"/>
      <c r="M27652" s="14"/>
      <c r="N27652" s="14"/>
      <c r="O27652" s="14"/>
      <c r="P27652" s="13"/>
    </row>
    <row r="27653">
      <c r="L27653" s="13"/>
      <c r="M27653" s="14"/>
      <c r="N27653" s="14"/>
      <c r="O27653" s="14"/>
      <c r="P27653" s="13"/>
    </row>
    <row r="27654">
      <c r="L27654" s="13"/>
      <c r="M27654" s="14"/>
      <c r="N27654" s="14"/>
      <c r="O27654" s="14"/>
      <c r="P27654" s="13"/>
    </row>
    <row r="27655">
      <c r="L27655" s="13"/>
      <c r="M27655" s="14"/>
      <c r="N27655" s="14"/>
      <c r="O27655" s="14"/>
      <c r="P27655" s="13"/>
    </row>
    <row r="27656">
      <c r="L27656" s="13"/>
      <c r="M27656" s="14"/>
      <c r="N27656" s="14"/>
      <c r="O27656" s="14"/>
      <c r="P27656" s="13"/>
    </row>
    <row r="27657">
      <c r="L27657" s="13"/>
      <c r="M27657" s="14"/>
      <c r="N27657" s="14"/>
      <c r="O27657" s="14"/>
      <c r="P27657" s="13"/>
    </row>
    <row r="27658">
      <c r="L27658" s="13"/>
      <c r="M27658" s="14"/>
      <c r="N27658" s="14"/>
      <c r="O27658" s="14"/>
      <c r="P27658" s="13"/>
    </row>
    <row r="27659">
      <c r="L27659" s="13"/>
      <c r="M27659" s="14"/>
      <c r="N27659" s="14"/>
      <c r="O27659" s="14"/>
      <c r="P27659" s="13"/>
    </row>
    <row r="27660">
      <c r="L27660" s="13"/>
      <c r="M27660" s="14"/>
      <c r="N27660" s="14"/>
      <c r="O27660" s="14"/>
      <c r="P27660" s="13"/>
    </row>
    <row r="27661">
      <c r="L27661" s="13"/>
      <c r="M27661" s="14"/>
      <c r="N27661" s="14"/>
      <c r="O27661" s="14"/>
      <c r="P27661" s="13"/>
    </row>
    <row r="27662">
      <c r="L27662" s="13"/>
      <c r="M27662" s="14"/>
      <c r="N27662" s="14"/>
      <c r="O27662" s="14"/>
      <c r="P27662" s="13"/>
    </row>
    <row r="27663">
      <c r="L27663" s="13"/>
      <c r="M27663" s="14"/>
      <c r="N27663" s="14"/>
      <c r="O27663" s="14"/>
      <c r="P27663" s="13"/>
    </row>
    <row r="27664">
      <c r="L27664" s="13"/>
      <c r="M27664" s="14"/>
      <c r="N27664" s="14"/>
      <c r="O27664" s="14"/>
      <c r="P27664" s="13"/>
    </row>
    <row r="27665">
      <c r="L27665" s="13"/>
      <c r="M27665" s="14"/>
      <c r="N27665" s="14"/>
      <c r="O27665" s="14"/>
      <c r="P27665" s="13"/>
    </row>
    <row r="27666">
      <c r="L27666" s="13"/>
      <c r="M27666" s="14"/>
      <c r="N27666" s="14"/>
      <c r="O27666" s="14"/>
      <c r="P27666" s="13"/>
    </row>
    <row r="27667">
      <c r="L27667" s="13"/>
      <c r="M27667" s="14"/>
      <c r="N27667" s="14"/>
      <c r="O27667" s="14"/>
      <c r="P27667" s="13"/>
    </row>
    <row r="27668">
      <c r="L27668" s="13"/>
      <c r="M27668" s="14"/>
      <c r="N27668" s="14"/>
      <c r="O27668" s="14"/>
      <c r="P27668" s="13"/>
    </row>
    <row r="27669">
      <c r="L27669" s="13"/>
      <c r="M27669" s="14"/>
      <c r="N27669" s="14"/>
      <c r="O27669" s="14"/>
      <c r="P27669" s="13"/>
    </row>
    <row r="27670">
      <c r="L27670" s="13"/>
      <c r="M27670" s="14"/>
      <c r="N27670" s="14"/>
      <c r="O27670" s="14"/>
      <c r="P27670" s="13"/>
    </row>
    <row r="27671">
      <c r="L27671" s="13"/>
      <c r="M27671" s="14"/>
      <c r="N27671" s="14"/>
      <c r="O27671" s="14"/>
      <c r="P27671" s="13"/>
    </row>
    <row r="27672">
      <c r="L27672" s="13"/>
      <c r="M27672" s="14"/>
      <c r="N27672" s="14"/>
      <c r="O27672" s="14"/>
      <c r="P27672" s="13"/>
    </row>
    <row r="27673">
      <c r="L27673" s="13"/>
      <c r="M27673" s="14"/>
      <c r="N27673" s="14"/>
      <c r="O27673" s="14"/>
      <c r="P27673" s="13"/>
    </row>
    <row r="27674">
      <c r="L27674" s="13"/>
      <c r="M27674" s="14"/>
      <c r="N27674" s="14"/>
      <c r="O27674" s="14"/>
      <c r="P27674" s="13"/>
    </row>
    <row r="27675">
      <c r="L27675" s="13"/>
      <c r="M27675" s="14"/>
      <c r="N27675" s="14"/>
      <c r="O27675" s="14"/>
      <c r="P27675" s="13"/>
    </row>
    <row r="27676">
      <c r="L27676" s="13"/>
      <c r="M27676" s="14"/>
      <c r="N27676" s="14"/>
      <c r="O27676" s="14"/>
      <c r="P27676" s="13"/>
    </row>
    <row r="27677">
      <c r="L27677" s="13"/>
      <c r="M27677" s="14"/>
      <c r="N27677" s="14"/>
      <c r="O27677" s="14"/>
      <c r="P27677" s="13"/>
    </row>
    <row r="27678">
      <c r="L27678" s="13"/>
      <c r="M27678" s="14"/>
      <c r="N27678" s="14"/>
      <c r="O27678" s="14"/>
      <c r="P27678" s="13"/>
    </row>
    <row r="27679">
      <c r="L27679" s="13"/>
      <c r="M27679" s="14"/>
      <c r="N27679" s="14"/>
      <c r="O27679" s="14"/>
      <c r="P27679" s="13"/>
    </row>
    <row r="27680">
      <c r="L27680" s="13"/>
      <c r="M27680" s="14"/>
      <c r="N27680" s="14"/>
      <c r="O27680" s="14"/>
      <c r="P27680" s="13"/>
    </row>
    <row r="27681">
      <c r="L27681" s="13"/>
      <c r="M27681" s="14"/>
      <c r="N27681" s="14"/>
      <c r="O27681" s="14"/>
      <c r="P27681" s="13"/>
    </row>
    <row r="27682">
      <c r="L27682" s="13"/>
      <c r="M27682" s="14"/>
      <c r="N27682" s="14"/>
      <c r="O27682" s="14"/>
      <c r="P27682" s="13"/>
    </row>
    <row r="27683">
      <c r="L27683" s="13"/>
      <c r="M27683" s="14"/>
      <c r="N27683" s="14"/>
      <c r="O27683" s="14"/>
      <c r="P27683" s="13"/>
    </row>
    <row r="27684">
      <c r="L27684" s="13"/>
      <c r="M27684" s="14"/>
      <c r="N27684" s="14"/>
      <c r="O27684" s="14"/>
      <c r="P27684" s="13"/>
    </row>
    <row r="27685">
      <c r="L27685" s="13"/>
      <c r="M27685" s="14"/>
      <c r="N27685" s="14"/>
      <c r="O27685" s="14"/>
      <c r="P27685" s="13"/>
    </row>
    <row r="27686">
      <c r="L27686" s="13"/>
      <c r="M27686" s="14"/>
      <c r="N27686" s="14"/>
      <c r="O27686" s="14"/>
      <c r="P27686" s="13"/>
    </row>
    <row r="27687">
      <c r="L27687" s="13"/>
      <c r="M27687" s="14"/>
      <c r="N27687" s="14"/>
      <c r="O27687" s="14"/>
      <c r="P27687" s="13"/>
    </row>
    <row r="27688">
      <c r="L27688" s="13"/>
      <c r="M27688" s="14"/>
      <c r="N27688" s="14"/>
      <c r="O27688" s="14"/>
      <c r="P27688" s="13"/>
    </row>
    <row r="27689">
      <c r="L27689" s="13"/>
      <c r="M27689" s="14"/>
      <c r="N27689" s="14"/>
      <c r="O27689" s="14"/>
      <c r="P27689" s="13"/>
    </row>
    <row r="27690">
      <c r="L27690" s="13"/>
      <c r="M27690" s="14"/>
      <c r="N27690" s="14"/>
      <c r="O27690" s="14"/>
      <c r="P27690" s="13"/>
    </row>
    <row r="27691">
      <c r="L27691" s="13"/>
      <c r="M27691" s="14"/>
      <c r="N27691" s="14"/>
      <c r="O27691" s="14"/>
      <c r="P27691" s="13"/>
    </row>
    <row r="27692">
      <c r="L27692" s="13"/>
      <c r="M27692" s="14"/>
      <c r="N27692" s="14"/>
      <c r="O27692" s="14"/>
      <c r="P27692" s="13"/>
    </row>
    <row r="27693">
      <c r="L27693" s="13"/>
      <c r="M27693" s="14"/>
      <c r="N27693" s="14"/>
      <c r="O27693" s="14"/>
      <c r="P27693" s="13"/>
    </row>
    <row r="27694">
      <c r="L27694" s="13"/>
      <c r="M27694" s="14"/>
      <c r="N27694" s="14"/>
      <c r="O27694" s="14"/>
      <c r="P27694" s="13"/>
    </row>
    <row r="27695">
      <c r="L27695" s="13"/>
      <c r="M27695" s="14"/>
      <c r="N27695" s="14"/>
      <c r="O27695" s="14"/>
      <c r="P27695" s="13"/>
    </row>
    <row r="27696">
      <c r="L27696" s="13"/>
      <c r="M27696" s="14"/>
      <c r="N27696" s="14"/>
      <c r="O27696" s="14"/>
      <c r="P27696" s="13"/>
    </row>
    <row r="27697">
      <c r="L27697" s="13"/>
      <c r="M27697" s="14"/>
      <c r="N27697" s="14"/>
      <c r="O27697" s="14"/>
      <c r="P27697" s="13"/>
    </row>
    <row r="27698">
      <c r="L27698" s="13"/>
      <c r="M27698" s="14"/>
      <c r="N27698" s="14"/>
      <c r="O27698" s="14"/>
      <c r="P27698" s="13"/>
    </row>
    <row r="27699">
      <c r="L27699" s="13"/>
      <c r="M27699" s="14"/>
      <c r="N27699" s="14"/>
      <c r="O27699" s="14"/>
      <c r="P27699" s="13"/>
    </row>
    <row r="27700">
      <c r="L27700" s="13"/>
      <c r="M27700" s="14"/>
      <c r="N27700" s="14"/>
      <c r="O27700" s="14"/>
      <c r="P27700" s="13"/>
    </row>
    <row r="27701">
      <c r="L27701" s="13"/>
      <c r="M27701" s="14"/>
      <c r="N27701" s="14"/>
      <c r="O27701" s="14"/>
      <c r="P27701" s="13"/>
    </row>
    <row r="27702">
      <c r="L27702" s="13"/>
      <c r="M27702" s="14"/>
      <c r="N27702" s="14"/>
      <c r="O27702" s="14"/>
      <c r="P27702" s="13"/>
    </row>
    <row r="27703">
      <c r="L27703" s="13"/>
      <c r="M27703" s="14"/>
      <c r="N27703" s="14"/>
      <c r="O27703" s="14"/>
      <c r="P27703" s="13"/>
    </row>
    <row r="27704">
      <c r="L27704" s="13"/>
      <c r="M27704" s="14"/>
      <c r="N27704" s="14"/>
      <c r="O27704" s="14"/>
      <c r="P27704" s="13"/>
    </row>
    <row r="27705">
      <c r="L27705" s="13"/>
      <c r="M27705" s="14"/>
      <c r="N27705" s="14"/>
      <c r="O27705" s="14"/>
      <c r="P27705" s="13"/>
    </row>
    <row r="27706">
      <c r="L27706" s="13"/>
      <c r="M27706" s="14"/>
      <c r="N27706" s="14"/>
      <c r="O27706" s="14"/>
      <c r="P27706" s="13"/>
    </row>
    <row r="27707">
      <c r="L27707" s="13"/>
      <c r="M27707" s="14"/>
      <c r="N27707" s="14"/>
      <c r="O27707" s="14"/>
      <c r="P27707" s="13"/>
    </row>
    <row r="27708">
      <c r="L27708" s="13"/>
      <c r="M27708" s="14"/>
      <c r="N27708" s="14"/>
      <c r="O27708" s="14"/>
      <c r="P27708" s="13"/>
    </row>
    <row r="27709">
      <c r="L27709" s="13"/>
      <c r="M27709" s="14"/>
      <c r="N27709" s="14"/>
      <c r="O27709" s="14"/>
      <c r="P27709" s="13"/>
    </row>
    <row r="27710">
      <c r="L27710" s="13"/>
      <c r="M27710" s="14"/>
      <c r="N27710" s="14"/>
      <c r="O27710" s="14"/>
      <c r="P27710" s="13"/>
    </row>
    <row r="27711">
      <c r="L27711" s="13"/>
      <c r="M27711" s="14"/>
      <c r="N27711" s="14"/>
      <c r="O27711" s="14"/>
      <c r="P27711" s="13"/>
    </row>
    <row r="27712">
      <c r="L27712" s="13"/>
      <c r="M27712" s="14"/>
      <c r="N27712" s="14"/>
      <c r="O27712" s="14"/>
      <c r="P27712" s="13"/>
    </row>
    <row r="27713">
      <c r="L27713" s="13"/>
      <c r="M27713" s="14"/>
      <c r="N27713" s="14"/>
      <c r="O27713" s="14"/>
      <c r="P27713" s="13"/>
    </row>
    <row r="27714">
      <c r="L27714" s="13"/>
      <c r="M27714" s="14"/>
      <c r="N27714" s="14"/>
      <c r="O27714" s="14"/>
      <c r="P27714" s="13"/>
    </row>
    <row r="27715">
      <c r="L27715" s="13"/>
      <c r="M27715" s="14"/>
      <c r="N27715" s="14"/>
      <c r="O27715" s="14"/>
      <c r="P27715" s="13"/>
    </row>
    <row r="27716">
      <c r="L27716" s="13"/>
      <c r="M27716" s="14"/>
      <c r="N27716" s="14"/>
      <c r="O27716" s="14"/>
      <c r="P27716" s="13"/>
    </row>
    <row r="27717">
      <c r="L27717" s="13"/>
      <c r="M27717" s="14"/>
      <c r="N27717" s="14"/>
      <c r="O27717" s="14"/>
      <c r="P27717" s="13"/>
    </row>
    <row r="27718">
      <c r="L27718" s="13"/>
      <c r="M27718" s="14"/>
      <c r="N27718" s="14"/>
      <c r="O27718" s="14"/>
      <c r="P27718" s="13"/>
    </row>
    <row r="27719">
      <c r="L27719" s="13"/>
      <c r="M27719" s="14"/>
      <c r="N27719" s="14"/>
      <c r="O27719" s="14"/>
      <c r="P27719" s="13"/>
    </row>
    <row r="27720">
      <c r="L27720" s="13"/>
      <c r="M27720" s="14"/>
      <c r="N27720" s="14"/>
      <c r="O27720" s="14"/>
      <c r="P27720" s="13"/>
    </row>
    <row r="27721">
      <c r="L27721" s="13"/>
      <c r="M27721" s="14"/>
      <c r="N27721" s="14"/>
      <c r="O27721" s="14"/>
      <c r="P27721" s="13"/>
    </row>
    <row r="27722">
      <c r="L27722" s="13"/>
      <c r="M27722" s="14"/>
      <c r="N27722" s="14"/>
      <c r="O27722" s="14"/>
      <c r="P27722" s="13"/>
    </row>
    <row r="27723">
      <c r="L27723" s="13"/>
      <c r="M27723" s="14"/>
      <c r="N27723" s="14"/>
      <c r="O27723" s="14"/>
      <c r="P27723" s="13"/>
    </row>
    <row r="27724">
      <c r="L27724" s="13"/>
      <c r="M27724" s="14"/>
      <c r="N27724" s="14"/>
      <c r="O27724" s="14"/>
      <c r="P27724" s="13"/>
    </row>
    <row r="27725">
      <c r="L27725" s="13"/>
      <c r="M27725" s="14"/>
      <c r="N27725" s="14"/>
      <c r="O27725" s="14"/>
      <c r="P27725" s="13"/>
    </row>
    <row r="27726">
      <c r="L27726" s="13"/>
      <c r="M27726" s="14"/>
      <c r="N27726" s="14"/>
      <c r="O27726" s="14"/>
      <c r="P27726" s="13"/>
    </row>
    <row r="27727">
      <c r="L27727" s="13"/>
      <c r="M27727" s="14"/>
      <c r="N27727" s="14"/>
      <c r="O27727" s="14"/>
      <c r="P27727" s="13"/>
    </row>
    <row r="27728">
      <c r="L27728" s="13"/>
      <c r="M27728" s="14"/>
      <c r="N27728" s="14"/>
      <c r="O27728" s="14"/>
      <c r="P27728" s="13"/>
    </row>
    <row r="27729">
      <c r="L27729" s="13"/>
      <c r="M27729" s="14"/>
      <c r="N27729" s="14"/>
      <c r="O27729" s="14"/>
      <c r="P27729" s="13"/>
    </row>
    <row r="27730">
      <c r="L27730" s="13"/>
      <c r="M27730" s="14"/>
      <c r="N27730" s="14"/>
      <c r="O27730" s="14"/>
      <c r="P27730" s="13"/>
    </row>
    <row r="27731">
      <c r="L27731" s="13"/>
      <c r="M27731" s="14"/>
      <c r="N27731" s="14"/>
      <c r="O27731" s="14"/>
      <c r="P27731" s="13"/>
    </row>
    <row r="27732">
      <c r="L27732" s="13"/>
      <c r="M27732" s="14"/>
      <c r="N27732" s="14"/>
      <c r="O27732" s="14"/>
      <c r="P27732" s="13"/>
    </row>
    <row r="27733">
      <c r="L27733" s="13"/>
      <c r="M27733" s="14"/>
      <c r="N27733" s="14"/>
      <c r="O27733" s="14"/>
      <c r="P27733" s="13"/>
    </row>
    <row r="27734">
      <c r="L27734" s="13"/>
      <c r="M27734" s="14"/>
      <c r="N27734" s="14"/>
      <c r="O27734" s="14"/>
      <c r="P27734" s="13"/>
    </row>
    <row r="27735">
      <c r="L27735" s="13"/>
      <c r="M27735" s="14"/>
      <c r="N27735" s="14"/>
      <c r="O27735" s="14"/>
      <c r="P27735" s="13"/>
    </row>
    <row r="27736">
      <c r="L27736" s="13"/>
      <c r="M27736" s="14"/>
      <c r="N27736" s="14"/>
      <c r="O27736" s="14"/>
      <c r="P27736" s="13"/>
    </row>
    <row r="27737">
      <c r="L27737" s="13"/>
      <c r="M27737" s="14"/>
      <c r="N27737" s="14"/>
      <c r="O27737" s="14"/>
      <c r="P27737" s="13"/>
    </row>
    <row r="27738">
      <c r="L27738" s="13"/>
      <c r="M27738" s="14"/>
      <c r="N27738" s="14"/>
      <c r="O27738" s="14"/>
      <c r="P27738" s="13"/>
    </row>
    <row r="27739">
      <c r="L27739" s="13"/>
      <c r="M27739" s="14"/>
      <c r="N27739" s="14"/>
      <c r="O27739" s="14"/>
      <c r="P27739" s="13"/>
    </row>
    <row r="27740">
      <c r="L27740" s="13"/>
      <c r="M27740" s="14"/>
      <c r="N27740" s="14"/>
      <c r="O27740" s="14"/>
      <c r="P27740" s="13"/>
    </row>
    <row r="27741">
      <c r="L27741" s="13"/>
      <c r="M27741" s="14"/>
      <c r="N27741" s="14"/>
      <c r="O27741" s="14"/>
      <c r="P27741" s="13"/>
    </row>
    <row r="27742">
      <c r="L27742" s="13"/>
      <c r="M27742" s="14"/>
      <c r="N27742" s="14"/>
      <c r="O27742" s="14"/>
      <c r="P27742" s="13"/>
    </row>
    <row r="27743">
      <c r="L27743" s="13"/>
      <c r="M27743" s="14"/>
      <c r="N27743" s="14"/>
      <c r="O27743" s="14"/>
      <c r="P27743" s="13"/>
    </row>
    <row r="27744">
      <c r="L27744" s="13"/>
      <c r="M27744" s="14"/>
      <c r="N27744" s="14"/>
      <c r="O27744" s="14"/>
      <c r="P27744" s="13"/>
    </row>
    <row r="27745">
      <c r="L27745" s="13"/>
      <c r="M27745" s="14"/>
      <c r="N27745" s="14"/>
      <c r="O27745" s="14"/>
      <c r="P27745" s="13"/>
    </row>
    <row r="27746">
      <c r="L27746" s="13"/>
      <c r="M27746" s="14"/>
      <c r="N27746" s="14"/>
      <c r="O27746" s="14"/>
      <c r="P27746" s="13"/>
    </row>
    <row r="27747">
      <c r="L27747" s="13"/>
      <c r="M27747" s="14"/>
      <c r="N27747" s="14"/>
      <c r="O27747" s="14"/>
      <c r="P27747" s="13"/>
    </row>
    <row r="27748">
      <c r="L27748" s="13"/>
      <c r="M27748" s="14"/>
      <c r="N27748" s="14"/>
      <c r="O27748" s="14"/>
      <c r="P27748" s="13"/>
    </row>
    <row r="27749">
      <c r="L27749" s="13"/>
      <c r="M27749" s="14"/>
      <c r="N27749" s="14"/>
      <c r="O27749" s="14"/>
      <c r="P27749" s="13"/>
    </row>
    <row r="27750">
      <c r="L27750" s="13"/>
      <c r="M27750" s="14"/>
      <c r="N27750" s="14"/>
      <c r="O27750" s="14"/>
      <c r="P27750" s="13"/>
    </row>
    <row r="27751">
      <c r="L27751" s="13"/>
      <c r="M27751" s="14"/>
      <c r="N27751" s="14"/>
      <c r="O27751" s="14"/>
      <c r="P27751" s="13"/>
    </row>
    <row r="27752">
      <c r="L27752" s="13"/>
      <c r="M27752" s="14"/>
      <c r="N27752" s="14"/>
      <c r="O27752" s="14"/>
      <c r="P27752" s="13"/>
    </row>
    <row r="27753">
      <c r="L27753" s="13"/>
      <c r="M27753" s="14"/>
      <c r="N27753" s="14"/>
      <c r="O27753" s="14"/>
      <c r="P27753" s="13"/>
    </row>
    <row r="27754">
      <c r="L27754" s="13"/>
      <c r="M27754" s="14"/>
      <c r="N27754" s="14"/>
      <c r="O27754" s="14"/>
      <c r="P27754" s="13"/>
    </row>
    <row r="27755">
      <c r="L27755" s="13"/>
      <c r="M27755" s="14"/>
      <c r="N27755" s="14"/>
      <c r="O27755" s="14"/>
      <c r="P27755" s="13"/>
    </row>
    <row r="27756">
      <c r="L27756" s="13"/>
      <c r="M27756" s="14"/>
      <c r="N27756" s="14"/>
      <c r="O27756" s="14"/>
      <c r="P27756" s="13"/>
    </row>
    <row r="27757">
      <c r="L27757" s="13"/>
      <c r="M27757" s="14"/>
      <c r="N27757" s="14"/>
      <c r="O27757" s="14"/>
      <c r="P27757" s="13"/>
    </row>
    <row r="27758">
      <c r="L27758" s="13"/>
      <c r="M27758" s="14"/>
      <c r="N27758" s="14"/>
      <c r="O27758" s="14"/>
      <c r="P27758" s="13"/>
    </row>
    <row r="27759">
      <c r="L27759" s="13"/>
      <c r="M27759" s="14"/>
      <c r="N27759" s="14"/>
      <c r="O27759" s="14"/>
      <c r="P27759" s="13"/>
    </row>
    <row r="27760">
      <c r="L27760" s="13"/>
      <c r="M27760" s="14"/>
      <c r="N27760" s="14"/>
      <c r="O27760" s="14"/>
      <c r="P27760" s="13"/>
    </row>
    <row r="27761">
      <c r="L27761" s="13"/>
      <c r="M27761" s="14"/>
      <c r="N27761" s="14"/>
      <c r="O27761" s="14"/>
      <c r="P27761" s="13"/>
    </row>
    <row r="27762">
      <c r="L27762" s="13"/>
      <c r="M27762" s="14"/>
      <c r="N27762" s="14"/>
      <c r="O27762" s="14"/>
      <c r="P27762" s="13"/>
    </row>
    <row r="27763">
      <c r="L27763" s="13"/>
      <c r="M27763" s="14"/>
      <c r="N27763" s="14"/>
      <c r="O27763" s="14"/>
      <c r="P27763" s="13"/>
    </row>
    <row r="27764">
      <c r="L27764" s="13"/>
      <c r="M27764" s="14"/>
      <c r="N27764" s="14"/>
      <c r="O27764" s="14"/>
      <c r="P27764" s="13"/>
    </row>
    <row r="27765">
      <c r="L27765" s="13"/>
      <c r="M27765" s="14"/>
      <c r="N27765" s="14"/>
      <c r="O27765" s="14"/>
      <c r="P27765" s="13"/>
    </row>
    <row r="27766">
      <c r="L27766" s="13"/>
      <c r="M27766" s="14"/>
      <c r="N27766" s="14"/>
      <c r="O27766" s="14"/>
      <c r="P27766" s="13"/>
    </row>
    <row r="27767">
      <c r="L27767" s="13"/>
      <c r="M27767" s="14"/>
      <c r="N27767" s="14"/>
      <c r="O27767" s="14"/>
      <c r="P27767" s="13"/>
    </row>
    <row r="27768">
      <c r="L27768" s="13"/>
      <c r="M27768" s="14"/>
      <c r="N27768" s="14"/>
      <c r="O27768" s="14"/>
      <c r="P27768" s="13"/>
    </row>
    <row r="27769">
      <c r="L27769" s="13"/>
      <c r="M27769" s="14"/>
      <c r="N27769" s="14"/>
      <c r="O27769" s="14"/>
      <c r="P27769" s="13"/>
    </row>
    <row r="27770">
      <c r="L27770" s="13"/>
      <c r="M27770" s="14"/>
      <c r="N27770" s="14"/>
      <c r="O27770" s="14"/>
      <c r="P27770" s="13"/>
    </row>
    <row r="27771">
      <c r="L27771" s="13"/>
      <c r="M27771" s="14"/>
      <c r="N27771" s="14"/>
      <c r="O27771" s="14"/>
      <c r="P27771" s="13"/>
    </row>
    <row r="27772">
      <c r="L27772" s="13"/>
      <c r="M27772" s="14"/>
      <c r="N27772" s="14"/>
      <c r="O27772" s="14"/>
      <c r="P27772" s="13"/>
    </row>
    <row r="27773">
      <c r="L27773" s="13"/>
      <c r="M27773" s="14"/>
      <c r="N27773" s="14"/>
      <c r="O27773" s="14"/>
      <c r="P27773" s="13"/>
    </row>
    <row r="27774">
      <c r="L27774" s="13"/>
      <c r="M27774" s="14"/>
      <c r="N27774" s="14"/>
      <c r="O27774" s="14"/>
      <c r="P27774" s="13"/>
    </row>
    <row r="27775">
      <c r="L27775" s="13"/>
      <c r="M27775" s="14"/>
      <c r="N27775" s="14"/>
      <c r="O27775" s="14"/>
      <c r="P27775" s="13"/>
    </row>
    <row r="27776">
      <c r="L27776" s="13"/>
      <c r="M27776" s="14"/>
      <c r="N27776" s="14"/>
      <c r="O27776" s="14"/>
      <c r="P27776" s="13"/>
    </row>
    <row r="27777">
      <c r="L27777" s="13"/>
      <c r="M27777" s="14"/>
      <c r="N27777" s="14"/>
      <c r="O27777" s="14"/>
      <c r="P27777" s="13"/>
    </row>
    <row r="27778">
      <c r="L27778" s="13"/>
      <c r="M27778" s="14"/>
      <c r="N27778" s="14"/>
      <c r="O27778" s="14"/>
      <c r="P27778" s="13"/>
    </row>
    <row r="27779">
      <c r="L27779" s="13"/>
      <c r="M27779" s="14"/>
      <c r="N27779" s="14"/>
      <c r="O27779" s="14"/>
      <c r="P27779" s="13"/>
    </row>
    <row r="27780">
      <c r="L27780" s="13"/>
      <c r="M27780" s="14"/>
      <c r="N27780" s="14"/>
      <c r="O27780" s="14"/>
      <c r="P27780" s="13"/>
    </row>
    <row r="27781">
      <c r="L27781" s="13"/>
      <c r="M27781" s="14"/>
      <c r="N27781" s="14"/>
      <c r="O27781" s="14"/>
      <c r="P27781" s="13"/>
    </row>
    <row r="27782">
      <c r="L27782" s="13"/>
      <c r="M27782" s="14"/>
      <c r="N27782" s="14"/>
      <c r="O27782" s="14"/>
      <c r="P27782" s="13"/>
    </row>
    <row r="27783">
      <c r="L27783" s="13"/>
      <c r="M27783" s="14"/>
      <c r="N27783" s="14"/>
      <c r="O27783" s="14"/>
      <c r="P27783" s="13"/>
    </row>
    <row r="27784">
      <c r="L27784" s="13"/>
      <c r="M27784" s="14"/>
      <c r="N27784" s="14"/>
      <c r="O27784" s="14"/>
      <c r="P27784" s="13"/>
    </row>
    <row r="27785">
      <c r="L27785" s="13"/>
      <c r="M27785" s="14"/>
      <c r="N27785" s="14"/>
      <c r="O27785" s="14"/>
      <c r="P27785" s="13"/>
    </row>
    <row r="27786">
      <c r="L27786" s="13"/>
      <c r="M27786" s="14"/>
      <c r="N27786" s="14"/>
      <c r="O27786" s="14"/>
      <c r="P27786" s="13"/>
    </row>
    <row r="27787">
      <c r="L27787" s="13"/>
      <c r="M27787" s="14"/>
      <c r="N27787" s="14"/>
      <c r="O27787" s="14"/>
      <c r="P27787" s="13"/>
    </row>
    <row r="27788">
      <c r="L27788" s="13"/>
      <c r="M27788" s="14"/>
      <c r="N27788" s="14"/>
      <c r="O27788" s="14"/>
      <c r="P27788" s="13"/>
    </row>
    <row r="27789">
      <c r="L27789" s="13"/>
      <c r="M27789" s="14"/>
      <c r="N27789" s="14"/>
      <c r="O27789" s="14"/>
      <c r="P27789" s="13"/>
    </row>
    <row r="27790">
      <c r="L27790" s="13"/>
      <c r="M27790" s="14"/>
      <c r="N27790" s="14"/>
      <c r="O27790" s="14"/>
      <c r="P27790" s="13"/>
    </row>
    <row r="27791">
      <c r="L27791" s="13"/>
      <c r="M27791" s="14"/>
      <c r="N27791" s="14"/>
      <c r="O27791" s="14"/>
      <c r="P27791" s="13"/>
    </row>
    <row r="27792">
      <c r="L27792" s="13"/>
      <c r="M27792" s="14"/>
      <c r="N27792" s="14"/>
      <c r="O27792" s="14"/>
      <c r="P27792" s="13"/>
    </row>
    <row r="27793">
      <c r="L27793" s="13"/>
      <c r="M27793" s="14"/>
      <c r="N27793" s="14"/>
      <c r="O27793" s="14"/>
      <c r="P27793" s="13"/>
    </row>
    <row r="27794">
      <c r="L27794" s="13"/>
      <c r="M27794" s="14"/>
      <c r="N27794" s="14"/>
      <c r="O27794" s="14"/>
      <c r="P27794" s="13"/>
    </row>
    <row r="27795">
      <c r="L27795" s="13"/>
      <c r="M27795" s="14"/>
      <c r="N27795" s="14"/>
      <c r="O27795" s="14"/>
      <c r="P27795" s="13"/>
    </row>
    <row r="27796">
      <c r="L27796" s="13"/>
      <c r="M27796" s="14"/>
      <c r="N27796" s="14"/>
      <c r="O27796" s="14"/>
      <c r="P27796" s="13"/>
    </row>
    <row r="27797">
      <c r="L27797" s="13"/>
      <c r="M27797" s="14"/>
      <c r="N27797" s="14"/>
      <c r="O27797" s="14"/>
      <c r="P27797" s="13"/>
    </row>
    <row r="27798">
      <c r="L27798" s="13"/>
      <c r="M27798" s="14"/>
      <c r="N27798" s="14"/>
      <c r="O27798" s="14"/>
      <c r="P27798" s="13"/>
    </row>
    <row r="27799">
      <c r="L27799" s="13"/>
      <c r="M27799" s="14"/>
      <c r="N27799" s="14"/>
      <c r="O27799" s="14"/>
      <c r="P27799" s="13"/>
    </row>
    <row r="27800">
      <c r="L27800" s="13"/>
      <c r="M27800" s="14"/>
      <c r="N27800" s="14"/>
      <c r="O27800" s="14"/>
      <c r="P27800" s="13"/>
    </row>
    <row r="27801">
      <c r="L27801" s="13"/>
      <c r="M27801" s="14"/>
      <c r="N27801" s="14"/>
      <c r="O27801" s="14"/>
      <c r="P27801" s="13"/>
    </row>
    <row r="27802">
      <c r="L27802" s="13"/>
      <c r="M27802" s="14"/>
      <c r="N27802" s="14"/>
      <c r="O27802" s="14"/>
      <c r="P27802" s="13"/>
    </row>
    <row r="27803">
      <c r="L27803" s="13"/>
      <c r="M27803" s="14"/>
      <c r="N27803" s="14"/>
      <c r="O27803" s="14"/>
      <c r="P27803" s="13"/>
    </row>
    <row r="27804">
      <c r="L27804" s="13"/>
      <c r="M27804" s="14"/>
      <c r="N27804" s="14"/>
      <c r="O27804" s="14"/>
      <c r="P27804" s="13"/>
    </row>
    <row r="27805">
      <c r="L27805" s="13"/>
      <c r="M27805" s="14"/>
      <c r="N27805" s="14"/>
      <c r="O27805" s="14"/>
      <c r="P27805" s="13"/>
    </row>
    <row r="27806">
      <c r="L27806" s="13"/>
      <c r="M27806" s="14"/>
      <c r="N27806" s="14"/>
      <c r="O27806" s="14"/>
      <c r="P27806" s="13"/>
    </row>
    <row r="27807">
      <c r="L27807" s="13"/>
      <c r="M27807" s="14"/>
      <c r="N27807" s="14"/>
      <c r="O27807" s="14"/>
      <c r="P27807" s="13"/>
    </row>
    <row r="27808">
      <c r="L27808" s="13"/>
      <c r="M27808" s="14"/>
      <c r="N27808" s="14"/>
      <c r="O27808" s="14"/>
      <c r="P27808" s="13"/>
    </row>
    <row r="27809">
      <c r="L27809" s="13"/>
      <c r="M27809" s="14"/>
      <c r="N27809" s="14"/>
      <c r="O27809" s="14"/>
      <c r="P27809" s="13"/>
    </row>
    <row r="27810">
      <c r="L27810" s="13"/>
      <c r="M27810" s="14"/>
      <c r="N27810" s="14"/>
      <c r="O27810" s="14"/>
      <c r="P27810" s="13"/>
    </row>
    <row r="27811">
      <c r="L27811" s="13"/>
      <c r="M27811" s="14"/>
      <c r="N27811" s="14"/>
      <c r="O27811" s="14"/>
      <c r="P27811" s="13"/>
    </row>
    <row r="27812">
      <c r="L27812" s="13"/>
      <c r="M27812" s="14"/>
      <c r="N27812" s="14"/>
      <c r="O27812" s="14"/>
      <c r="P27812" s="13"/>
    </row>
    <row r="27813">
      <c r="L27813" s="13"/>
      <c r="M27813" s="14"/>
      <c r="N27813" s="14"/>
      <c r="O27813" s="14"/>
      <c r="P27813" s="13"/>
    </row>
    <row r="27814">
      <c r="L27814" s="13"/>
      <c r="M27814" s="14"/>
      <c r="N27814" s="14"/>
      <c r="O27814" s="14"/>
      <c r="P27814" s="13"/>
    </row>
    <row r="27815">
      <c r="L27815" s="13"/>
      <c r="M27815" s="14"/>
      <c r="N27815" s="14"/>
      <c r="O27815" s="14"/>
      <c r="P27815" s="13"/>
    </row>
    <row r="27816">
      <c r="L27816" s="13"/>
      <c r="M27816" s="14"/>
      <c r="N27816" s="14"/>
      <c r="O27816" s="14"/>
      <c r="P27816" s="13"/>
    </row>
    <row r="27817">
      <c r="L27817" s="13"/>
      <c r="M27817" s="14"/>
      <c r="N27817" s="14"/>
      <c r="O27817" s="14"/>
      <c r="P27817" s="13"/>
    </row>
    <row r="27818">
      <c r="L27818" s="13"/>
      <c r="M27818" s="14"/>
      <c r="N27818" s="14"/>
      <c r="O27818" s="14"/>
      <c r="P27818" s="13"/>
    </row>
    <row r="27819">
      <c r="L27819" s="13"/>
      <c r="M27819" s="14"/>
      <c r="N27819" s="14"/>
      <c r="O27819" s="14"/>
      <c r="P27819" s="13"/>
    </row>
    <row r="27820">
      <c r="L27820" s="13"/>
      <c r="M27820" s="14"/>
      <c r="N27820" s="14"/>
      <c r="O27820" s="14"/>
      <c r="P27820" s="13"/>
    </row>
    <row r="27821">
      <c r="L27821" s="13"/>
      <c r="M27821" s="14"/>
      <c r="N27821" s="14"/>
      <c r="O27821" s="14"/>
      <c r="P27821" s="13"/>
    </row>
    <row r="27822">
      <c r="L27822" s="13"/>
      <c r="M27822" s="14"/>
      <c r="N27822" s="14"/>
      <c r="O27822" s="14"/>
      <c r="P27822" s="13"/>
    </row>
    <row r="27823">
      <c r="L27823" s="13"/>
      <c r="M27823" s="14"/>
      <c r="N27823" s="14"/>
      <c r="O27823" s="14"/>
      <c r="P27823" s="13"/>
    </row>
    <row r="27824">
      <c r="L27824" s="13"/>
      <c r="M27824" s="14"/>
      <c r="N27824" s="14"/>
      <c r="O27824" s="14"/>
      <c r="P27824" s="13"/>
    </row>
    <row r="27825">
      <c r="L27825" s="13"/>
      <c r="M27825" s="14"/>
      <c r="N27825" s="14"/>
      <c r="O27825" s="14"/>
      <c r="P27825" s="13"/>
    </row>
    <row r="27826">
      <c r="L27826" s="13"/>
      <c r="M27826" s="14"/>
      <c r="N27826" s="14"/>
      <c r="O27826" s="14"/>
      <c r="P27826" s="13"/>
    </row>
    <row r="27827">
      <c r="L27827" s="13"/>
      <c r="M27827" s="14"/>
      <c r="N27827" s="14"/>
      <c r="O27827" s="14"/>
      <c r="P27827" s="13"/>
    </row>
    <row r="27828">
      <c r="L27828" s="13"/>
      <c r="M27828" s="14"/>
      <c r="N27828" s="14"/>
      <c r="O27828" s="14"/>
      <c r="P27828" s="13"/>
    </row>
    <row r="27829">
      <c r="L27829" s="13"/>
      <c r="M27829" s="14"/>
      <c r="N27829" s="14"/>
      <c r="O27829" s="14"/>
      <c r="P27829" s="13"/>
    </row>
    <row r="27830">
      <c r="L27830" s="13"/>
      <c r="M27830" s="14"/>
      <c r="N27830" s="14"/>
      <c r="O27830" s="14"/>
      <c r="P27830" s="13"/>
    </row>
    <row r="27831">
      <c r="L27831" s="13"/>
      <c r="M27831" s="14"/>
      <c r="N27831" s="14"/>
      <c r="O27831" s="14"/>
      <c r="P27831" s="13"/>
    </row>
    <row r="27832">
      <c r="L27832" s="13"/>
      <c r="M27832" s="14"/>
      <c r="N27832" s="14"/>
      <c r="O27832" s="14"/>
      <c r="P27832" s="13"/>
    </row>
    <row r="27833">
      <c r="L27833" s="13"/>
      <c r="M27833" s="14"/>
      <c r="N27833" s="14"/>
      <c r="O27833" s="14"/>
      <c r="P27833" s="13"/>
    </row>
    <row r="27834">
      <c r="L27834" s="13"/>
      <c r="M27834" s="14"/>
      <c r="N27834" s="14"/>
      <c r="O27834" s="14"/>
      <c r="P27834" s="13"/>
    </row>
    <row r="27835">
      <c r="L27835" s="13"/>
      <c r="M27835" s="14"/>
      <c r="N27835" s="14"/>
      <c r="O27835" s="14"/>
      <c r="P27835" s="13"/>
    </row>
    <row r="27836">
      <c r="L27836" s="13"/>
      <c r="M27836" s="14"/>
      <c r="N27836" s="14"/>
      <c r="O27836" s="14"/>
      <c r="P27836" s="13"/>
    </row>
    <row r="27837">
      <c r="L27837" s="13"/>
      <c r="M27837" s="14"/>
      <c r="N27837" s="14"/>
      <c r="O27837" s="14"/>
      <c r="P27837" s="13"/>
    </row>
    <row r="27838">
      <c r="L27838" s="13"/>
      <c r="M27838" s="14"/>
      <c r="N27838" s="14"/>
      <c r="O27838" s="14"/>
      <c r="P27838" s="13"/>
    </row>
    <row r="27839">
      <c r="L27839" s="13"/>
      <c r="M27839" s="14"/>
      <c r="N27839" s="14"/>
      <c r="O27839" s="14"/>
      <c r="P27839" s="13"/>
    </row>
    <row r="27840">
      <c r="L27840" s="13"/>
      <c r="M27840" s="14"/>
      <c r="N27840" s="14"/>
      <c r="O27840" s="14"/>
      <c r="P27840" s="13"/>
    </row>
    <row r="27841">
      <c r="L27841" s="13"/>
      <c r="M27841" s="14"/>
      <c r="N27841" s="14"/>
      <c r="O27841" s="14"/>
      <c r="P27841" s="13"/>
    </row>
    <row r="27842">
      <c r="L27842" s="13"/>
      <c r="M27842" s="14"/>
      <c r="N27842" s="14"/>
      <c r="O27842" s="14"/>
      <c r="P27842" s="13"/>
    </row>
    <row r="27843">
      <c r="L27843" s="13"/>
      <c r="M27843" s="14"/>
      <c r="N27843" s="14"/>
      <c r="O27843" s="14"/>
      <c r="P27843" s="13"/>
    </row>
    <row r="27844">
      <c r="L27844" s="13"/>
      <c r="M27844" s="14"/>
      <c r="N27844" s="14"/>
      <c r="O27844" s="14"/>
      <c r="P27844" s="13"/>
    </row>
    <row r="27845">
      <c r="L27845" s="13"/>
      <c r="M27845" s="14"/>
      <c r="N27845" s="14"/>
      <c r="O27845" s="14"/>
      <c r="P27845" s="13"/>
    </row>
    <row r="27846">
      <c r="L27846" s="13"/>
      <c r="M27846" s="14"/>
      <c r="N27846" s="14"/>
      <c r="O27846" s="14"/>
      <c r="P27846" s="13"/>
    </row>
    <row r="27847">
      <c r="L27847" s="13"/>
      <c r="M27847" s="14"/>
      <c r="N27847" s="14"/>
      <c r="O27847" s="14"/>
      <c r="P27847" s="13"/>
    </row>
    <row r="27848">
      <c r="L27848" s="13"/>
      <c r="M27848" s="14"/>
      <c r="N27848" s="14"/>
      <c r="O27848" s="14"/>
      <c r="P27848" s="13"/>
    </row>
    <row r="27849">
      <c r="L27849" s="13"/>
      <c r="M27849" s="14"/>
      <c r="N27849" s="14"/>
      <c r="O27849" s="14"/>
      <c r="P27849" s="13"/>
    </row>
    <row r="27850">
      <c r="L27850" s="13"/>
      <c r="M27850" s="14"/>
      <c r="N27850" s="14"/>
      <c r="O27850" s="14"/>
      <c r="P27850" s="13"/>
    </row>
    <row r="27851">
      <c r="L27851" s="13"/>
      <c r="M27851" s="14"/>
      <c r="N27851" s="14"/>
      <c r="O27851" s="14"/>
      <c r="P27851" s="13"/>
    </row>
    <row r="27852">
      <c r="L27852" s="13"/>
      <c r="M27852" s="14"/>
      <c r="N27852" s="14"/>
      <c r="O27852" s="14"/>
      <c r="P27852" s="13"/>
    </row>
    <row r="27853">
      <c r="L27853" s="13"/>
      <c r="M27853" s="14"/>
      <c r="N27853" s="14"/>
      <c r="O27853" s="14"/>
      <c r="P27853" s="13"/>
    </row>
    <row r="27854">
      <c r="L27854" s="13"/>
      <c r="M27854" s="14"/>
      <c r="N27854" s="14"/>
      <c r="O27854" s="14"/>
      <c r="P27854" s="13"/>
    </row>
    <row r="27855">
      <c r="L27855" s="13"/>
      <c r="M27855" s="14"/>
      <c r="N27855" s="14"/>
      <c r="O27855" s="14"/>
      <c r="P27855" s="13"/>
    </row>
    <row r="27856">
      <c r="L27856" s="13"/>
      <c r="M27856" s="14"/>
      <c r="N27856" s="14"/>
      <c r="O27856" s="14"/>
      <c r="P27856" s="13"/>
    </row>
    <row r="27857">
      <c r="L27857" s="13"/>
      <c r="M27857" s="14"/>
      <c r="N27857" s="14"/>
      <c r="O27857" s="14"/>
      <c r="P27857" s="13"/>
    </row>
    <row r="27858">
      <c r="L27858" s="13"/>
      <c r="M27858" s="14"/>
      <c r="N27858" s="14"/>
      <c r="O27858" s="14"/>
      <c r="P27858" s="13"/>
    </row>
    <row r="27859">
      <c r="L27859" s="13"/>
      <c r="M27859" s="14"/>
      <c r="N27859" s="14"/>
      <c r="O27859" s="14"/>
      <c r="P27859" s="13"/>
    </row>
    <row r="27860">
      <c r="L27860" s="13"/>
      <c r="M27860" s="14"/>
      <c r="N27860" s="14"/>
      <c r="O27860" s="14"/>
      <c r="P27860" s="13"/>
    </row>
    <row r="27861">
      <c r="L27861" s="13"/>
      <c r="M27861" s="14"/>
      <c r="N27861" s="14"/>
      <c r="O27861" s="14"/>
      <c r="P27861" s="13"/>
    </row>
    <row r="27862">
      <c r="L27862" s="13"/>
      <c r="M27862" s="14"/>
      <c r="N27862" s="14"/>
      <c r="O27862" s="14"/>
      <c r="P27862" s="13"/>
    </row>
    <row r="27863">
      <c r="L27863" s="13"/>
      <c r="M27863" s="14"/>
      <c r="N27863" s="14"/>
      <c r="O27863" s="14"/>
      <c r="P27863" s="13"/>
    </row>
    <row r="27864">
      <c r="L27864" s="13"/>
      <c r="M27864" s="14"/>
      <c r="N27864" s="14"/>
      <c r="O27864" s="14"/>
      <c r="P27864" s="13"/>
    </row>
    <row r="27865">
      <c r="L27865" s="13"/>
      <c r="M27865" s="14"/>
      <c r="N27865" s="14"/>
      <c r="O27865" s="14"/>
      <c r="P27865" s="13"/>
    </row>
    <row r="27866">
      <c r="L27866" s="13"/>
      <c r="M27866" s="14"/>
      <c r="N27866" s="14"/>
      <c r="O27866" s="14"/>
      <c r="P27866" s="13"/>
    </row>
    <row r="27867">
      <c r="L27867" s="13"/>
      <c r="M27867" s="14"/>
      <c r="N27867" s="14"/>
      <c r="O27867" s="14"/>
      <c r="P27867" s="13"/>
    </row>
    <row r="27868">
      <c r="L27868" s="13"/>
      <c r="M27868" s="14"/>
      <c r="N27868" s="14"/>
      <c r="O27868" s="14"/>
      <c r="P27868" s="13"/>
    </row>
    <row r="27869">
      <c r="L27869" s="13"/>
      <c r="M27869" s="14"/>
      <c r="N27869" s="14"/>
      <c r="O27869" s="14"/>
      <c r="P27869" s="13"/>
    </row>
    <row r="27870">
      <c r="L27870" s="13"/>
      <c r="M27870" s="14"/>
      <c r="N27870" s="14"/>
      <c r="O27870" s="14"/>
      <c r="P27870" s="13"/>
    </row>
    <row r="27871">
      <c r="L27871" s="13"/>
      <c r="M27871" s="14"/>
      <c r="N27871" s="14"/>
      <c r="O27871" s="14"/>
      <c r="P27871" s="13"/>
    </row>
    <row r="27872">
      <c r="L27872" s="13"/>
      <c r="M27872" s="14"/>
      <c r="N27872" s="14"/>
      <c r="O27872" s="14"/>
      <c r="P27872" s="13"/>
    </row>
    <row r="27873">
      <c r="L27873" s="13"/>
      <c r="M27873" s="14"/>
      <c r="N27873" s="14"/>
      <c r="O27873" s="14"/>
      <c r="P27873" s="13"/>
    </row>
    <row r="27874">
      <c r="L27874" s="13"/>
      <c r="M27874" s="14"/>
      <c r="N27874" s="14"/>
      <c r="O27874" s="14"/>
      <c r="P27874" s="13"/>
    </row>
    <row r="27875">
      <c r="L27875" s="13"/>
      <c r="M27875" s="14"/>
      <c r="N27875" s="14"/>
      <c r="O27875" s="14"/>
      <c r="P27875" s="13"/>
    </row>
    <row r="27876">
      <c r="L27876" s="13"/>
      <c r="M27876" s="14"/>
      <c r="N27876" s="14"/>
      <c r="O27876" s="14"/>
      <c r="P27876" s="13"/>
    </row>
    <row r="27877">
      <c r="L27877" s="13"/>
      <c r="M27877" s="14"/>
      <c r="N27877" s="14"/>
      <c r="O27877" s="14"/>
      <c r="P27877" s="13"/>
    </row>
    <row r="27878">
      <c r="L27878" s="13"/>
      <c r="M27878" s="14"/>
      <c r="N27878" s="14"/>
      <c r="O27878" s="14"/>
      <c r="P27878" s="13"/>
    </row>
    <row r="27879">
      <c r="L27879" s="13"/>
      <c r="M27879" s="14"/>
      <c r="N27879" s="14"/>
      <c r="O27879" s="14"/>
      <c r="P27879" s="13"/>
    </row>
    <row r="27880">
      <c r="L27880" s="13"/>
      <c r="M27880" s="14"/>
      <c r="N27880" s="14"/>
      <c r="O27880" s="14"/>
      <c r="P27880" s="13"/>
    </row>
    <row r="27881">
      <c r="L27881" s="13"/>
      <c r="M27881" s="14"/>
      <c r="N27881" s="14"/>
      <c r="O27881" s="14"/>
      <c r="P27881" s="13"/>
    </row>
    <row r="27882">
      <c r="L27882" s="13"/>
      <c r="M27882" s="14"/>
      <c r="N27882" s="14"/>
      <c r="O27882" s="14"/>
      <c r="P27882" s="13"/>
    </row>
    <row r="27883">
      <c r="L27883" s="13"/>
      <c r="M27883" s="14"/>
      <c r="N27883" s="14"/>
      <c r="O27883" s="14"/>
      <c r="P27883" s="13"/>
    </row>
    <row r="27884">
      <c r="L27884" s="13"/>
      <c r="M27884" s="14"/>
      <c r="N27884" s="14"/>
      <c r="O27884" s="14"/>
      <c r="P27884" s="13"/>
    </row>
    <row r="27885">
      <c r="L27885" s="13"/>
      <c r="M27885" s="14"/>
      <c r="N27885" s="14"/>
      <c r="O27885" s="14"/>
      <c r="P27885" s="13"/>
    </row>
    <row r="27886">
      <c r="L27886" s="13"/>
      <c r="M27886" s="14"/>
      <c r="N27886" s="14"/>
      <c r="O27886" s="14"/>
      <c r="P27886" s="13"/>
    </row>
    <row r="27887">
      <c r="L27887" s="13"/>
      <c r="M27887" s="14"/>
      <c r="N27887" s="14"/>
      <c r="O27887" s="14"/>
      <c r="P27887" s="13"/>
    </row>
    <row r="27888">
      <c r="L27888" s="13"/>
      <c r="M27888" s="14"/>
      <c r="N27888" s="14"/>
      <c r="O27888" s="14"/>
      <c r="P27888" s="13"/>
    </row>
    <row r="27889">
      <c r="L27889" s="13"/>
      <c r="M27889" s="14"/>
      <c r="N27889" s="14"/>
      <c r="O27889" s="14"/>
      <c r="P27889" s="13"/>
    </row>
    <row r="27890">
      <c r="L27890" s="13"/>
      <c r="M27890" s="14"/>
      <c r="N27890" s="14"/>
      <c r="O27890" s="14"/>
      <c r="P27890" s="13"/>
    </row>
    <row r="27891">
      <c r="L27891" s="13"/>
      <c r="M27891" s="14"/>
      <c r="N27891" s="14"/>
      <c r="O27891" s="14"/>
      <c r="P27891" s="13"/>
    </row>
    <row r="27892">
      <c r="L27892" s="13"/>
      <c r="M27892" s="14"/>
      <c r="N27892" s="14"/>
      <c r="O27892" s="14"/>
      <c r="P27892" s="13"/>
    </row>
    <row r="27893">
      <c r="L27893" s="13"/>
      <c r="M27893" s="14"/>
      <c r="N27893" s="14"/>
      <c r="O27893" s="14"/>
      <c r="P27893" s="13"/>
    </row>
    <row r="27894">
      <c r="L27894" s="13"/>
      <c r="M27894" s="14"/>
      <c r="N27894" s="14"/>
      <c r="O27894" s="14"/>
      <c r="P27894" s="13"/>
    </row>
    <row r="27895">
      <c r="L27895" s="13"/>
      <c r="M27895" s="14"/>
      <c r="N27895" s="14"/>
      <c r="O27895" s="14"/>
      <c r="P27895" s="13"/>
    </row>
    <row r="27896">
      <c r="L27896" s="13"/>
      <c r="M27896" s="14"/>
      <c r="N27896" s="14"/>
      <c r="O27896" s="14"/>
      <c r="P27896" s="13"/>
    </row>
    <row r="27897">
      <c r="L27897" s="13"/>
      <c r="M27897" s="14"/>
      <c r="N27897" s="14"/>
      <c r="O27897" s="14"/>
      <c r="P27897" s="13"/>
    </row>
    <row r="27898">
      <c r="L27898" s="13"/>
      <c r="M27898" s="14"/>
      <c r="N27898" s="14"/>
      <c r="O27898" s="14"/>
      <c r="P27898" s="13"/>
    </row>
    <row r="27899">
      <c r="L27899" s="13"/>
      <c r="M27899" s="14"/>
      <c r="N27899" s="14"/>
      <c r="O27899" s="14"/>
      <c r="P27899" s="13"/>
    </row>
    <row r="27900">
      <c r="L27900" s="13"/>
      <c r="M27900" s="14"/>
      <c r="N27900" s="14"/>
      <c r="O27900" s="14"/>
      <c r="P27900" s="13"/>
    </row>
    <row r="27901">
      <c r="L27901" s="13"/>
      <c r="M27901" s="14"/>
      <c r="N27901" s="14"/>
      <c r="O27901" s="14"/>
      <c r="P27901" s="13"/>
    </row>
    <row r="27902">
      <c r="L27902" s="13"/>
      <c r="M27902" s="14"/>
      <c r="N27902" s="14"/>
      <c r="O27902" s="14"/>
      <c r="P27902" s="13"/>
    </row>
    <row r="27903">
      <c r="L27903" s="13"/>
      <c r="M27903" s="14"/>
      <c r="N27903" s="14"/>
      <c r="O27903" s="14"/>
      <c r="P27903" s="13"/>
    </row>
    <row r="27904">
      <c r="L27904" s="13"/>
      <c r="M27904" s="14"/>
      <c r="N27904" s="14"/>
      <c r="O27904" s="14"/>
      <c r="P27904" s="13"/>
    </row>
    <row r="27905">
      <c r="L27905" s="13"/>
      <c r="M27905" s="14"/>
      <c r="N27905" s="14"/>
      <c r="O27905" s="14"/>
      <c r="P27905" s="13"/>
    </row>
    <row r="27906">
      <c r="L27906" s="13"/>
      <c r="M27906" s="14"/>
      <c r="N27906" s="14"/>
      <c r="O27906" s="14"/>
      <c r="P27906" s="13"/>
    </row>
    <row r="27907">
      <c r="L27907" s="13"/>
      <c r="M27907" s="14"/>
      <c r="N27907" s="14"/>
      <c r="O27907" s="14"/>
      <c r="P27907" s="13"/>
    </row>
    <row r="27908">
      <c r="L27908" s="13"/>
      <c r="M27908" s="14"/>
      <c r="N27908" s="14"/>
      <c r="O27908" s="14"/>
      <c r="P27908" s="13"/>
    </row>
    <row r="27909">
      <c r="L27909" s="13"/>
      <c r="M27909" s="14"/>
      <c r="N27909" s="14"/>
      <c r="O27909" s="14"/>
      <c r="P27909" s="13"/>
    </row>
    <row r="27910">
      <c r="L27910" s="13"/>
      <c r="M27910" s="14"/>
      <c r="N27910" s="14"/>
      <c r="O27910" s="14"/>
      <c r="P27910" s="13"/>
    </row>
    <row r="27911">
      <c r="L27911" s="13"/>
      <c r="M27911" s="14"/>
      <c r="N27911" s="14"/>
      <c r="O27911" s="14"/>
      <c r="P27911" s="13"/>
    </row>
    <row r="27912">
      <c r="L27912" s="13"/>
      <c r="M27912" s="14"/>
      <c r="N27912" s="14"/>
      <c r="O27912" s="14"/>
      <c r="P27912" s="13"/>
    </row>
    <row r="27913">
      <c r="L27913" s="13"/>
      <c r="M27913" s="14"/>
      <c r="N27913" s="14"/>
      <c r="O27913" s="14"/>
      <c r="P27913" s="13"/>
    </row>
    <row r="27914">
      <c r="L27914" s="13"/>
      <c r="M27914" s="14"/>
      <c r="N27914" s="14"/>
      <c r="O27914" s="14"/>
      <c r="P27914" s="13"/>
    </row>
    <row r="27915">
      <c r="L27915" s="13"/>
      <c r="M27915" s="14"/>
      <c r="N27915" s="14"/>
      <c r="O27915" s="14"/>
      <c r="P27915" s="13"/>
    </row>
    <row r="27916">
      <c r="L27916" s="13"/>
      <c r="M27916" s="14"/>
      <c r="N27916" s="14"/>
      <c r="O27916" s="14"/>
      <c r="P27916" s="13"/>
    </row>
    <row r="27917">
      <c r="L27917" s="13"/>
      <c r="M27917" s="14"/>
      <c r="N27917" s="14"/>
      <c r="O27917" s="14"/>
      <c r="P27917" s="13"/>
    </row>
    <row r="27918">
      <c r="L27918" s="13"/>
      <c r="M27918" s="14"/>
      <c r="N27918" s="14"/>
      <c r="O27918" s="14"/>
      <c r="P27918" s="13"/>
    </row>
    <row r="27919">
      <c r="L27919" s="13"/>
      <c r="M27919" s="14"/>
      <c r="N27919" s="14"/>
      <c r="O27919" s="14"/>
      <c r="P27919" s="13"/>
    </row>
    <row r="27920">
      <c r="L27920" s="13"/>
      <c r="M27920" s="14"/>
      <c r="N27920" s="14"/>
      <c r="O27920" s="14"/>
      <c r="P27920" s="13"/>
    </row>
    <row r="27921">
      <c r="L27921" s="13"/>
      <c r="M27921" s="14"/>
      <c r="N27921" s="14"/>
      <c r="O27921" s="14"/>
      <c r="P27921" s="13"/>
    </row>
    <row r="27922">
      <c r="L27922" s="13"/>
      <c r="M27922" s="14"/>
      <c r="N27922" s="14"/>
      <c r="O27922" s="14"/>
      <c r="P27922" s="13"/>
    </row>
    <row r="27923">
      <c r="L27923" s="13"/>
      <c r="M27923" s="14"/>
      <c r="N27923" s="14"/>
      <c r="O27923" s="14"/>
      <c r="P27923" s="13"/>
    </row>
    <row r="27924">
      <c r="L27924" s="13"/>
      <c r="M27924" s="14"/>
      <c r="N27924" s="14"/>
      <c r="O27924" s="14"/>
      <c r="P27924" s="13"/>
    </row>
    <row r="27925">
      <c r="L27925" s="13"/>
      <c r="M27925" s="14"/>
      <c r="N27925" s="14"/>
      <c r="O27925" s="14"/>
      <c r="P27925" s="13"/>
    </row>
    <row r="27926">
      <c r="L27926" s="13"/>
      <c r="M27926" s="14"/>
      <c r="N27926" s="14"/>
      <c r="O27926" s="14"/>
      <c r="P27926" s="13"/>
    </row>
    <row r="27927">
      <c r="L27927" s="13"/>
      <c r="M27927" s="14"/>
      <c r="N27927" s="14"/>
      <c r="O27927" s="14"/>
      <c r="P27927" s="13"/>
    </row>
    <row r="27928">
      <c r="L27928" s="13"/>
      <c r="M27928" s="14"/>
      <c r="N27928" s="14"/>
      <c r="O27928" s="14"/>
      <c r="P27928" s="13"/>
    </row>
    <row r="27929">
      <c r="L27929" s="13"/>
      <c r="M27929" s="14"/>
      <c r="N27929" s="14"/>
      <c r="O27929" s="14"/>
      <c r="P27929" s="13"/>
    </row>
    <row r="27930">
      <c r="L27930" s="13"/>
      <c r="M27930" s="14"/>
      <c r="N27930" s="14"/>
      <c r="O27930" s="14"/>
      <c r="P27930" s="13"/>
    </row>
    <row r="27931">
      <c r="L27931" s="13"/>
      <c r="M27931" s="14"/>
      <c r="N27931" s="14"/>
      <c r="O27931" s="14"/>
      <c r="P27931" s="13"/>
    </row>
    <row r="27932">
      <c r="L27932" s="13"/>
      <c r="M27932" s="14"/>
      <c r="N27932" s="14"/>
      <c r="O27932" s="14"/>
      <c r="P27932" s="13"/>
    </row>
    <row r="27933">
      <c r="L27933" s="13"/>
      <c r="M27933" s="14"/>
      <c r="N27933" s="14"/>
      <c r="O27933" s="14"/>
      <c r="P27933" s="13"/>
    </row>
    <row r="27934">
      <c r="L27934" s="13"/>
      <c r="M27934" s="14"/>
      <c r="N27934" s="14"/>
      <c r="O27934" s="14"/>
      <c r="P27934" s="13"/>
    </row>
    <row r="27935">
      <c r="L27935" s="13"/>
      <c r="M27935" s="14"/>
      <c r="N27935" s="14"/>
      <c r="O27935" s="14"/>
      <c r="P27935" s="13"/>
    </row>
    <row r="27936">
      <c r="L27936" s="13"/>
      <c r="M27936" s="14"/>
      <c r="N27936" s="14"/>
      <c r="O27936" s="14"/>
      <c r="P27936" s="13"/>
    </row>
    <row r="27937">
      <c r="L27937" s="13"/>
      <c r="M27937" s="14"/>
      <c r="N27937" s="14"/>
      <c r="O27937" s="14"/>
      <c r="P27937" s="13"/>
    </row>
    <row r="27938">
      <c r="L27938" s="13"/>
      <c r="M27938" s="14"/>
      <c r="N27938" s="14"/>
      <c r="O27938" s="14"/>
      <c r="P27938" s="13"/>
    </row>
    <row r="27939">
      <c r="L27939" s="13"/>
      <c r="M27939" s="14"/>
      <c r="N27939" s="14"/>
      <c r="O27939" s="14"/>
      <c r="P27939" s="13"/>
    </row>
    <row r="27940">
      <c r="L27940" s="13"/>
      <c r="M27940" s="14"/>
      <c r="N27940" s="14"/>
      <c r="O27940" s="14"/>
      <c r="P27940" s="13"/>
    </row>
    <row r="27941">
      <c r="L27941" s="13"/>
      <c r="M27941" s="14"/>
      <c r="N27941" s="14"/>
      <c r="O27941" s="14"/>
      <c r="P27941" s="13"/>
    </row>
    <row r="27942">
      <c r="L27942" s="13"/>
      <c r="M27942" s="14"/>
      <c r="N27942" s="14"/>
      <c r="O27942" s="14"/>
      <c r="P27942" s="13"/>
    </row>
    <row r="27943">
      <c r="L27943" s="13"/>
      <c r="M27943" s="14"/>
      <c r="N27943" s="14"/>
      <c r="O27943" s="14"/>
      <c r="P27943" s="13"/>
    </row>
    <row r="27944">
      <c r="L27944" s="13"/>
      <c r="M27944" s="14"/>
      <c r="N27944" s="14"/>
      <c r="O27944" s="14"/>
      <c r="P27944" s="13"/>
    </row>
    <row r="27945">
      <c r="L27945" s="13"/>
      <c r="M27945" s="14"/>
      <c r="N27945" s="14"/>
      <c r="O27945" s="14"/>
      <c r="P27945" s="13"/>
    </row>
    <row r="27946">
      <c r="L27946" s="13"/>
      <c r="M27946" s="14"/>
      <c r="N27946" s="14"/>
      <c r="O27946" s="14"/>
      <c r="P27946" s="13"/>
    </row>
    <row r="27947">
      <c r="L27947" s="13"/>
      <c r="M27947" s="14"/>
      <c r="N27947" s="14"/>
      <c r="O27947" s="14"/>
      <c r="P27947" s="13"/>
    </row>
    <row r="27948">
      <c r="L27948" s="13"/>
      <c r="M27948" s="14"/>
      <c r="N27948" s="14"/>
      <c r="O27948" s="14"/>
      <c r="P27948" s="13"/>
    </row>
    <row r="27949">
      <c r="L27949" s="13"/>
      <c r="M27949" s="14"/>
      <c r="N27949" s="14"/>
      <c r="O27949" s="14"/>
      <c r="P27949" s="13"/>
    </row>
    <row r="27950">
      <c r="L27950" s="13"/>
      <c r="M27950" s="14"/>
      <c r="N27950" s="14"/>
      <c r="O27950" s="14"/>
      <c r="P27950" s="13"/>
    </row>
    <row r="27951">
      <c r="L27951" s="13"/>
      <c r="M27951" s="14"/>
      <c r="N27951" s="14"/>
      <c r="O27951" s="14"/>
      <c r="P27951" s="13"/>
    </row>
    <row r="27952">
      <c r="L27952" s="13"/>
      <c r="M27952" s="14"/>
      <c r="N27952" s="14"/>
      <c r="O27952" s="14"/>
      <c r="P27952" s="13"/>
    </row>
    <row r="27953">
      <c r="L27953" s="13"/>
      <c r="M27953" s="14"/>
      <c r="N27953" s="14"/>
      <c r="O27953" s="14"/>
      <c r="P27953" s="13"/>
    </row>
    <row r="27954">
      <c r="L27954" s="13"/>
      <c r="M27954" s="14"/>
      <c r="N27954" s="14"/>
      <c r="O27954" s="14"/>
      <c r="P27954" s="13"/>
    </row>
    <row r="27955">
      <c r="L27955" s="13"/>
      <c r="M27955" s="14"/>
      <c r="N27955" s="14"/>
      <c r="O27955" s="14"/>
      <c r="P27955" s="13"/>
    </row>
    <row r="27956">
      <c r="L27956" s="13"/>
      <c r="M27956" s="14"/>
      <c r="N27956" s="14"/>
      <c r="O27956" s="14"/>
      <c r="P27956" s="13"/>
    </row>
    <row r="27957">
      <c r="L27957" s="13"/>
      <c r="M27957" s="14"/>
      <c r="N27957" s="14"/>
      <c r="O27957" s="14"/>
      <c r="P27957" s="13"/>
    </row>
    <row r="27958">
      <c r="L27958" s="13"/>
      <c r="M27958" s="14"/>
      <c r="N27958" s="14"/>
      <c r="O27958" s="14"/>
      <c r="P27958" s="13"/>
    </row>
    <row r="27959">
      <c r="L27959" s="13"/>
      <c r="M27959" s="14"/>
      <c r="N27959" s="14"/>
      <c r="O27959" s="14"/>
      <c r="P27959" s="13"/>
    </row>
    <row r="27960">
      <c r="L27960" s="13"/>
      <c r="M27960" s="14"/>
      <c r="N27960" s="14"/>
      <c r="O27960" s="14"/>
      <c r="P27960" s="13"/>
    </row>
    <row r="27961">
      <c r="L27961" s="13"/>
      <c r="M27961" s="14"/>
      <c r="N27961" s="14"/>
      <c r="O27961" s="14"/>
      <c r="P27961" s="13"/>
    </row>
    <row r="27962">
      <c r="L27962" s="13"/>
      <c r="M27962" s="14"/>
      <c r="N27962" s="14"/>
      <c r="O27962" s="14"/>
      <c r="P27962" s="13"/>
    </row>
    <row r="27963">
      <c r="L27963" s="13"/>
      <c r="M27963" s="14"/>
      <c r="N27963" s="14"/>
      <c r="O27963" s="14"/>
      <c r="P27963" s="13"/>
    </row>
    <row r="27964">
      <c r="L27964" s="13"/>
      <c r="M27964" s="14"/>
      <c r="N27964" s="14"/>
      <c r="O27964" s="14"/>
      <c r="P27964" s="13"/>
    </row>
    <row r="27965">
      <c r="L27965" s="13"/>
      <c r="M27965" s="14"/>
      <c r="N27965" s="14"/>
      <c r="O27965" s="14"/>
      <c r="P27965" s="13"/>
    </row>
    <row r="27966">
      <c r="L27966" s="13"/>
      <c r="M27966" s="14"/>
      <c r="N27966" s="14"/>
      <c r="O27966" s="14"/>
      <c r="P27966" s="13"/>
    </row>
    <row r="27967">
      <c r="L27967" s="13"/>
      <c r="M27967" s="14"/>
      <c r="N27967" s="14"/>
      <c r="O27967" s="14"/>
      <c r="P27967" s="13"/>
    </row>
    <row r="27968">
      <c r="L27968" s="13"/>
      <c r="M27968" s="14"/>
      <c r="N27968" s="14"/>
      <c r="O27968" s="14"/>
      <c r="P27968" s="13"/>
    </row>
    <row r="27969">
      <c r="L27969" s="13"/>
      <c r="M27969" s="14"/>
      <c r="N27969" s="14"/>
      <c r="O27969" s="14"/>
      <c r="P27969" s="13"/>
    </row>
    <row r="27970">
      <c r="L27970" s="13"/>
      <c r="M27970" s="14"/>
      <c r="N27970" s="14"/>
      <c r="O27970" s="14"/>
      <c r="P27970" s="13"/>
    </row>
    <row r="27971">
      <c r="L27971" s="13"/>
      <c r="M27971" s="14"/>
      <c r="N27971" s="14"/>
      <c r="O27971" s="14"/>
      <c r="P27971" s="13"/>
    </row>
    <row r="27972">
      <c r="L27972" s="13"/>
      <c r="M27972" s="14"/>
      <c r="N27972" s="14"/>
      <c r="O27972" s="14"/>
      <c r="P27972" s="13"/>
    </row>
    <row r="27973">
      <c r="L27973" s="13"/>
      <c r="M27973" s="14"/>
      <c r="N27973" s="14"/>
      <c r="O27973" s="14"/>
      <c r="P27973" s="13"/>
    </row>
    <row r="27974">
      <c r="L27974" s="13"/>
      <c r="M27974" s="14"/>
      <c r="N27974" s="14"/>
      <c r="O27974" s="14"/>
      <c r="P27974" s="13"/>
    </row>
    <row r="27975">
      <c r="L27975" s="13"/>
      <c r="M27975" s="14"/>
      <c r="N27975" s="14"/>
      <c r="O27975" s="14"/>
      <c r="P27975" s="13"/>
    </row>
    <row r="27976">
      <c r="L27976" s="13"/>
      <c r="M27976" s="14"/>
      <c r="N27976" s="14"/>
      <c r="O27976" s="14"/>
      <c r="P27976" s="13"/>
    </row>
    <row r="27977">
      <c r="L27977" s="13"/>
      <c r="M27977" s="14"/>
      <c r="N27977" s="14"/>
      <c r="O27977" s="14"/>
      <c r="P27977" s="13"/>
    </row>
    <row r="27978">
      <c r="L27978" s="13"/>
      <c r="M27978" s="14"/>
      <c r="N27978" s="14"/>
      <c r="O27978" s="14"/>
      <c r="P27978" s="13"/>
    </row>
    <row r="27979">
      <c r="L27979" s="13"/>
      <c r="M27979" s="14"/>
      <c r="N27979" s="14"/>
      <c r="O27979" s="14"/>
      <c r="P27979" s="13"/>
    </row>
    <row r="27980">
      <c r="L27980" s="13"/>
      <c r="M27980" s="14"/>
      <c r="N27980" s="14"/>
      <c r="O27980" s="14"/>
      <c r="P27980" s="13"/>
    </row>
    <row r="27981">
      <c r="L27981" s="13"/>
      <c r="M27981" s="14"/>
      <c r="N27981" s="14"/>
      <c r="O27981" s="14"/>
      <c r="P27981" s="13"/>
    </row>
    <row r="27982">
      <c r="L27982" s="13"/>
      <c r="M27982" s="14"/>
      <c r="N27982" s="14"/>
      <c r="O27982" s="14"/>
      <c r="P27982" s="13"/>
    </row>
    <row r="27983">
      <c r="L27983" s="13"/>
      <c r="M27983" s="14"/>
      <c r="N27983" s="14"/>
      <c r="O27983" s="14"/>
      <c r="P27983" s="13"/>
    </row>
    <row r="27984">
      <c r="L27984" s="13"/>
      <c r="M27984" s="14"/>
      <c r="N27984" s="14"/>
      <c r="O27984" s="14"/>
      <c r="P27984" s="13"/>
    </row>
    <row r="27985">
      <c r="L27985" s="13"/>
      <c r="M27985" s="14"/>
      <c r="N27985" s="14"/>
      <c r="O27985" s="14"/>
      <c r="P27985" s="13"/>
    </row>
    <row r="27986">
      <c r="L27986" s="13"/>
      <c r="M27986" s="14"/>
      <c r="N27986" s="14"/>
      <c r="O27986" s="14"/>
      <c r="P27986" s="13"/>
    </row>
    <row r="27987">
      <c r="L27987" s="13"/>
      <c r="M27987" s="14"/>
      <c r="N27987" s="14"/>
      <c r="O27987" s="14"/>
      <c r="P27987" s="13"/>
    </row>
    <row r="27988">
      <c r="L27988" s="13"/>
      <c r="M27988" s="14"/>
      <c r="N27988" s="14"/>
      <c r="O27988" s="14"/>
      <c r="P27988" s="13"/>
    </row>
    <row r="27989">
      <c r="L27989" s="13"/>
      <c r="M27989" s="14"/>
      <c r="N27989" s="14"/>
      <c r="O27989" s="14"/>
      <c r="P27989" s="13"/>
    </row>
    <row r="27990">
      <c r="L27990" s="13"/>
      <c r="M27990" s="14"/>
      <c r="N27990" s="14"/>
      <c r="O27990" s="14"/>
      <c r="P27990" s="13"/>
    </row>
    <row r="27991">
      <c r="L27991" s="13"/>
      <c r="M27991" s="14"/>
      <c r="N27991" s="14"/>
      <c r="O27991" s="14"/>
      <c r="P27991" s="13"/>
    </row>
    <row r="27992">
      <c r="L27992" s="13"/>
      <c r="M27992" s="14"/>
      <c r="N27992" s="14"/>
      <c r="O27992" s="14"/>
      <c r="P27992" s="13"/>
    </row>
    <row r="27993">
      <c r="L27993" s="13"/>
      <c r="M27993" s="14"/>
      <c r="N27993" s="14"/>
      <c r="O27993" s="14"/>
      <c r="P27993" s="13"/>
    </row>
    <row r="27994">
      <c r="L27994" s="13"/>
      <c r="M27994" s="14"/>
      <c r="N27994" s="14"/>
      <c r="O27994" s="14"/>
      <c r="P27994" s="13"/>
    </row>
    <row r="27995">
      <c r="L27995" s="13"/>
      <c r="M27995" s="14"/>
      <c r="N27995" s="14"/>
      <c r="O27995" s="14"/>
      <c r="P27995" s="13"/>
    </row>
    <row r="27996">
      <c r="L27996" s="13"/>
      <c r="M27996" s="14"/>
      <c r="N27996" s="14"/>
      <c r="O27996" s="14"/>
      <c r="P27996" s="13"/>
    </row>
    <row r="27997">
      <c r="L27997" s="13"/>
      <c r="M27997" s="14"/>
      <c r="N27997" s="14"/>
      <c r="O27997" s="14"/>
      <c r="P27997" s="13"/>
    </row>
    <row r="27998">
      <c r="L27998" s="13"/>
      <c r="M27998" s="14"/>
      <c r="N27998" s="14"/>
      <c r="O27998" s="14"/>
      <c r="P27998" s="13"/>
    </row>
    <row r="27999">
      <c r="L27999" s="13"/>
      <c r="M27999" s="14"/>
      <c r="N27999" s="14"/>
      <c r="O27999" s="14"/>
      <c r="P27999" s="13"/>
    </row>
    <row r="28000">
      <c r="L28000" s="13"/>
      <c r="M28000" s="14"/>
      <c r="N28000" s="14"/>
      <c r="O28000" s="14"/>
      <c r="P28000" s="13"/>
    </row>
    <row r="28001">
      <c r="L28001" s="13"/>
      <c r="M28001" s="14"/>
      <c r="N28001" s="14"/>
      <c r="O28001" s="14"/>
      <c r="P28001" s="13"/>
    </row>
    <row r="28002">
      <c r="L28002" s="13"/>
      <c r="M28002" s="14"/>
      <c r="N28002" s="14"/>
      <c r="O28002" s="14"/>
      <c r="P28002" s="13"/>
    </row>
    <row r="28003">
      <c r="L28003" s="13"/>
      <c r="M28003" s="14"/>
      <c r="N28003" s="14"/>
      <c r="O28003" s="14"/>
      <c r="P28003" s="13"/>
    </row>
    <row r="28004">
      <c r="L28004" s="13"/>
      <c r="M28004" s="14"/>
      <c r="N28004" s="14"/>
      <c r="O28004" s="14"/>
      <c r="P28004" s="13"/>
    </row>
    <row r="28005">
      <c r="L28005" s="13"/>
      <c r="M28005" s="14"/>
      <c r="N28005" s="14"/>
      <c r="O28005" s="14"/>
      <c r="P28005" s="13"/>
    </row>
    <row r="28006">
      <c r="L28006" s="13"/>
      <c r="M28006" s="14"/>
      <c r="N28006" s="14"/>
      <c r="O28006" s="14"/>
      <c r="P28006" s="13"/>
    </row>
    <row r="28007">
      <c r="L28007" s="13"/>
      <c r="M28007" s="14"/>
      <c r="N28007" s="14"/>
      <c r="O28007" s="14"/>
      <c r="P28007" s="13"/>
    </row>
    <row r="28008">
      <c r="L28008" s="13"/>
      <c r="M28008" s="14"/>
      <c r="N28008" s="14"/>
      <c r="O28008" s="14"/>
      <c r="P28008" s="13"/>
    </row>
    <row r="28009">
      <c r="L28009" s="13"/>
      <c r="M28009" s="14"/>
      <c r="N28009" s="14"/>
      <c r="O28009" s="14"/>
      <c r="P28009" s="13"/>
    </row>
    <row r="28010">
      <c r="L28010" s="13"/>
      <c r="M28010" s="14"/>
      <c r="N28010" s="14"/>
      <c r="O28010" s="14"/>
      <c r="P28010" s="13"/>
    </row>
    <row r="28011">
      <c r="L28011" s="13"/>
      <c r="M28011" s="14"/>
      <c r="N28011" s="14"/>
      <c r="O28011" s="14"/>
      <c r="P28011" s="13"/>
    </row>
    <row r="28012">
      <c r="L28012" s="13"/>
      <c r="M28012" s="14"/>
      <c r="N28012" s="14"/>
      <c r="O28012" s="14"/>
      <c r="P28012" s="13"/>
    </row>
    <row r="28013">
      <c r="L28013" s="13"/>
      <c r="M28013" s="14"/>
      <c r="N28013" s="14"/>
      <c r="O28013" s="14"/>
      <c r="P28013" s="13"/>
    </row>
    <row r="28014">
      <c r="L28014" s="13"/>
      <c r="M28014" s="14"/>
      <c r="N28014" s="14"/>
      <c r="O28014" s="14"/>
      <c r="P28014" s="13"/>
    </row>
    <row r="28015">
      <c r="L28015" s="13"/>
      <c r="M28015" s="14"/>
      <c r="N28015" s="14"/>
      <c r="O28015" s="14"/>
      <c r="P28015" s="13"/>
    </row>
    <row r="28016">
      <c r="L28016" s="13"/>
      <c r="M28016" s="14"/>
      <c r="N28016" s="14"/>
      <c r="O28016" s="14"/>
      <c r="P28016" s="13"/>
    </row>
    <row r="28017">
      <c r="L28017" s="13"/>
      <c r="M28017" s="14"/>
      <c r="N28017" s="14"/>
      <c r="O28017" s="14"/>
      <c r="P28017" s="13"/>
    </row>
    <row r="28018">
      <c r="L28018" s="13"/>
      <c r="M28018" s="14"/>
      <c r="N28018" s="14"/>
      <c r="O28018" s="14"/>
      <c r="P28018" s="13"/>
    </row>
    <row r="28019">
      <c r="L28019" s="13"/>
      <c r="M28019" s="14"/>
      <c r="N28019" s="14"/>
      <c r="O28019" s="14"/>
      <c r="P28019" s="13"/>
    </row>
    <row r="28020">
      <c r="L28020" s="13"/>
      <c r="M28020" s="14"/>
      <c r="N28020" s="14"/>
      <c r="O28020" s="14"/>
      <c r="P28020" s="13"/>
    </row>
    <row r="28021">
      <c r="L28021" s="13"/>
      <c r="M28021" s="14"/>
      <c r="N28021" s="14"/>
      <c r="O28021" s="14"/>
      <c r="P28021" s="13"/>
    </row>
    <row r="28022">
      <c r="L28022" s="13"/>
      <c r="M28022" s="14"/>
      <c r="N28022" s="14"/>
      <c r="O28022" s="14"/>
      <c r="P28022" s="13"/>
    </row>
    <row r="28023">
      <c r="L28023" s="13"/>
      <c r="M28023" s="14"/>
      <c r="N28023" s="14"/>
      <c r="O28023" s="14"/>
      <c r="P28023" s="13"/>
    </row>
    <row r="28024">
      <c r="L28024" s="13"/>
      <c r="M28024" s="14"/>
      <c r="N28024" s="14"/>
      <c r="O28024" s="14"/>
      <c r="P28024" s="13"/>
    </row>
    <row r="28025">
      <c r="L28025" s="13"/>
      <c r="M28025" s="14"/>
      <c r="N28025" s="14"/>
      <c r="O28025" s="14"/>
      <c r="P28025" s="13"/>
    </row>
    <row r="28026">
      <c r="L28026" s="13"/>
      <c r="M28026" s="14"/>
      <c r="N28026" s="14"/>
      <c r="O28026" s="14"/>
      <c r="P28026" s="13"/>
    </row>
    <row r="28027">
      <c r="L28027" s="13"/>
      <c r="M28027" s="14"/>
      <c r="N28027" s="14"/>
      <c r="O28027" s="14"/>
      <c r="P28027" s="13"/>
    </row>
    <row r="28028">
      <c r="L28028" s="13"/>
      <c r="M28028" s="14"/>
      <c r="N28028" s="14"/>
      <c r="O28028" s="14"/>
      <c r="P28028" s="13"/>
    </row>
    <row r="28029">
      <c r="L28029" s="13"/>
      <c r="M28029" s="14"/>
      <c r="N28029" s="14"/>
      <c r="O28029" s="14"/>
      <c r="P28029" s="13"/>
    </row>
    <row r="28030">
      <c r="L28030" s="13"/>
      <c r="M28030" s="14"/>
      <c r="N28030" s="14"/>
      <c r="O28030" s="14"/>
      <c r="P28030" s="13"/>
    </row>
    <row r="28031">
      <c r="L28031" s="13"/>
      <c r="M28031" s="14"/>
      <c r="N28031" s="14"/>
      <c r="O28031" s="14"/>
      <c r="P28031" s="13"/>
    </row>
    <row r="28032">
      <c r="L28032" s="13"/>
      <c r="M28032" s="14"/>
      <c r="N28032" s="14"/>
      <c r="O28032" s="14"/>
      <c r="P28032" s="13"/>
    </row>
    <row r="28033">
      <c r="L28033" s="13"/>
      <c r="M28033" s="14"/>
      <c r="N28033" s="14"/>
      <c r="O28033" s="14"/>
      <c r="P28033" s="13"/>
    </row>
    <row r="28034">
      <c r="L28034" s="13"/>
      <c r="M28034" s="14"/>
      <c r="N28034" s="14"/>
      <c r="O28034" s="14"/>
      <c r="P28034" s="13"/>
    </row>
    <row r="28035">
      <c r="L28035" s="13"/>
      <c r="M28035" s="14"/>
      <c r="N28035" s="14"/>
      <c r="O28035" s="14"/>
      <c r="P28035" s="13"/>
    </row>
    <row r="28036">
      <c r="L28036" s="13"/>
      <c r="M28036" s="14"/>
      <c r="N28036" s="14"/>
      <c r="O28036" s="14"/>
      <c r="P28036" s="13"/>
    </row>
    <row r="28037">
      <c r="L28037" s="13"/>
      <c r="M28037" s="14"/>
      <c r="N28037" s="14"/>
      <c r="O28037" s="14"/>
      <c r="P28037" s="13"/>
    </row>
    <row r="28038">
      <c r="L28038" s="13"/>
      <c r="M28038" s="14"/>
      <c r="N28038" s="14"/>
      <c r="O28038" s="14"/>
      <c r="P28038" s="13"/>
    </row>
    <row r="28039">
      <c r="L28039" s="13"/>
      <c r="M28039" s="14"/>
      <c r="N28039" s="14"/>
      <c r="O28039" s="14"/>
      <c r="P28039" s="13"/>
    </row>
    <row r="28040">
      <c r="L28040" s="13"/>
      <c r="M28040" s="14"/>
      <c r="N28040" s="14"/>
      <c r="O28040" s="14"/>
      <c r="P28040" s="13"/>
    </row>
    <row r="28041">
      <c r="L28041" s="13"/>
      <c r="M28041" s="14"/>
      <c r="N28041" s="14"/>
      <c r="O28041" s="14"/>
      <c r="P28041" s="13"/>
    </row>
    <row r="28042">
      <c r="L28042" s="13"/>
      <c r="M28042" s="14"/>
      <c r="N28042" s="14"/>
      <c r="O28042" s="14"/>
      <c r="P28042" s="13"/>
    </row>
    <row r="28043">
      <c r="L28043" s="13"/>
      <c r="M28043" s="14"/>
      <c r="N28043" s="14"/>
      <c r="O28043" s="14"/>
      <c r="P28043" s="13"/>
    </row>
    <row r="28044">
      <c r="L28044" s="13"/>
      <c r="M28044" s="14"/>
      <c r="N28044" s="14"/>
      <c r="O28044" s="14"/>
      <c r="P28044" s="13"/>
    </row>
    <row r="28045">
      <c r="L28045" s="13"/>
      <c r="M28045" s="14"/>
      <c r="N28045" s="14"/>
      <c r="O28045" s="14"/>
      <c r="P28045" s="13"/>
    </row>
    <row r="28046">
      <c r="L28046" s="13"/>
      <c r="M28046" s="14"/>
      <c r="N28046" s="14"/>
      <c r="O28046" s="14"/>
      <c r="P28046" s="13"/>
    </row>
    <row r="28047">
      <c r="L28047" s="13"/>
      <c r="M28047" s="14"/>
      <c r="N28047" s="14"/>
      <c r="O28047" s="14"/>
      <c r="P28047" s="13"/>
    </row>
    <row r="28048">
      <c r="L28048" s="13"/>
      <c r="M28048" s="14"/>
      <c r="N28048" s="14"/>
      <c r="O28048" s="14"/>
      <c r="P28048" s="13"/>
    </row>
    <row r="28049">
      <c r="L28049" s="13"/>
      <c r="M28049" s="14"/>
      <c r="N28049" s="14"/>
      <c r="O28049" s="14"/>
      <c r="P28049" s="13"/>
    </row>
    <row r="28050">
      <c r="L28050" s="13"/>
      <c r="M28050" s="14"/>
      <c r="N28050" s="14"/>
      <c r="O28050" s="14"/>
      <c r="P28050" s="13"/>
    </row>
    <row r="28051">
      <c r="L28051" s="13"/>
      <c r="M28051" s="14"/>
      <c r="N28051" s="14"/>
      <c r="O28051" s="14"/>
      <c r="P28051" s="13"/>
    </row>
    <row r="28052">
      <c r="L28052" s="13"/>
      <c r="M28052" s="14"/>
      <c r="N28052" s="14"/>
      <c r="O28052" s="14"/>
      <c r="P28052" s="13"/>
    </row>
    <row r="28053">
      <c r="L28053" s="13"/>
      <c r="M28053" s="14"/>
      <c r="N28053" s="14"/>
      <c r="O28053" s="14"/>
      <c r="P28053" s="13"/>
    </row>
    <row r="28054">
      <c r="L28054" s="13"/>
      <c r="M28054" s="14"/>
      <c r="N28054" s="14"/>
      <c r="O28054" s="14"/>
      <c r="P28054" s="13"/>
    </row>
    <row r="28055">
      <c r="L28055" s="13"/>
      <c r="M28055" s="14"/>
      <c r="N28055" s="14"/>
      <c r="O28055" s="14"/>
      <c r="P28055" s="13"/>
    </row>
    <row r="28056">
      <c r="L28056" s="13"/>
      <c r="M28056" s="14"/>
      <c r="N28056" s="14"/>
      <c r="O28056" s="14"/>
      <c r="P28056" s="13"/>
    </row>
    <row r="28057">
      <c r="L28057" s="13"/>
      <c r="M28057" s="14"/>
      <c r="N28057" s="14"/>
      <c r="O28057" s="14"/>
      <c r="P28057" s="13"/>
    </row>
    <row r="28058">
      <c r="L28058" s="13"/>
      <c r="M28058" s="14"/>
      <c r="N28058" s="14"/>
      <c r="O28058" s="14"/>
      <c r="P28058" s="13"/>
    </row>
    <row r="28059">
      <c r="L28059" s="13"/>
      <c r="M28059" s="14"/>
      <c r="N28059" s="14"/>
      <c r="O28059" s="14"/>
      <c r="P28059" s="13"/>
    </row>
    <row r="28060">
      <c r="L28060" s="13"/>
      <c r="M28060" s="14"/>
      <c r="N28060" s="14"/>
      <c r="O28060" s="14"/>
      <c r="P28060" s="13"/>
    </row>
    <row r="28061">
      <c r="L28061" s="13"/>
      <c r="M28061" s="14"/>
      <c r="N28061" s="14"/>
      <c r="O28061" s="14"/>
      <c r="P28061" s="13"/>
    </row>
    <row r="28062">
      <c r="L28062" s="13"/>
      <c r="M28062" s="14"/>
      <c r="N28062" s="14"/>
      <c r="O28062" s="14"/>
      <c r="P28062" s="13"/>
    </row>
    <row r="28063">
      <c r="L28063" s="13"/>
      <c r="M28063" s="14"/>
      <c r="N28063" s="14"/>
      <c r="O28063" s="14"/>
      <c r="P28063" s="13"/>
    </row>
    <row r="28064">
      <c r="L28064" s="13"/>
      <c r="M28064" s="14"/>
      <c r="N28064" s="14"/>
      <c r="O28064" s="14"/>
      <c r="P28064" s="13"/>
    </row>
    <row r="28065">
      <c r="L28065" s="13"/>
      <c r="M28065" s="14"/>
      <c r="N28065" s="14"/>
      <c r="O28065" s="14"/>
      <c r="P28065" s="13"/>
    </row>
    <row r="28066">
      <c r="L28066" s="13"/>
      <c r="M28066" s="14"/>
      <c r="N28066" s="14"/>
      <c r="O28066" s="14"/>
      <c r="P28066" s="13"/>
    </row>
    <row r="28067">
      <c r="L28067" s="13"/>
      <c r="M28067" s="14"/>
      <c r="N28067" s="14"/>
      <c r="O28067" s="14"/>
      <c r="P28067" s="13"/>
    </row>
    <row r="28068">
      <c r="L28068" s="13"/>
      <c r="M28068" s="14"/>
      <c r="N28068" s="14"/>
      <c r="O28068" s="14"/>
      <c r="P28068" s="13"/>
    </row>
    <row r="28069">
      <c r="L28069" s="13"/>
      <c r="M28069" s="14"/>
      <c r="N28069" s="14"/>
      <c r="O28069" s="14"/>
      <c r="P28069" s="13"/>
    </row>
    <row r="28070">
      <c r="L28070" s="13"/>
      <c r="M28070" s="14"/>
      <c r="N28070" s="14"/>
      <c r="O28070" s="14"/>
      <c r="P28070" s="13"/>
    </row>
    <row r="28071">
      <c r="L28071" s="13"/>
      <c r="M28071" s="14"/>
      <c r="N28071" s="14"/>
      <c r="O28071" s="14"/>
      <c r="P28071" s="13"/>
    </row>
    <row r="28072">
      <c r="L28072" s="13"/>
      <c r="M28072" s="14"/>
      <c r="N28072" s="14"/>
      <c r="O28072" s="14"/>
      <c r="P28072" s="13"/>
    </row>
    <row r="28073">
      <c r="L28073" s="13"/>
      <c r="M28073" s="14"/>
      <c r="N28073" s="14"/>
      <c r="O28073" s="14"/>
      <c r="P28073" s="13"/>
    </row>
    <row r="28074">
      <c r="L28074" s="13"/>
      <c r="M28074" s="14"/>
      <c r="N28074" s="14"/>
      <c r="O28074" s="14"/>
      <c r="P28074" s="13"/>
    </row>
    <row r="28075">
      <c r="L28075" s="13"/>
      <c r="M28075" s="14"/>
      <c r="N28075" s="14"/>
      <c r="O28075" s="14"/>
      <c r="P28075" s="13"/>
    </row>
    <row r="28076">
      <c r="L28076" s="13"/>
      <c r="M28076" s="14"/>
      <c r="N28076" s="14"/>
      <c r="O28076" s="14"/>
      <c r="P28076" s="13"/>
    </row>
    <row r="28077">
      <c r="L28077" s="13"/>
      <c r="M28077" s="14"/>
      <c r="N28077" s="14"/>
      <c r="O28077" s="14"/>
      <c r="P28077" s="13"/>
    </row>
    <row r="28078">
      <c r="L28078" s="13"/>
      <c r="M28078" s="14"/>
      <c r="N28078" s="14"/>
      <c r="O28078" s="14"/>
      <c r="P28078" s="13"/>
    </row>
    <row r="28079">
      <c r="L28079" s="13"/>
      <c r="M28079" s="14"/>
      <c r="N28079" s="14"/>
      <c r="O28079" s="14"/>
      <c r="P28079" s="13"/>
    </row>
    <row r="28080">
      <c r="L28080" s="13"/>
      <c r="M28080" s="14"/>
      <c r="N28080" s="14"/>
      <c r="O28080" s="14"/>
      <c r="P28080" s="13"/>
    </row>
    <row r="28081">
      <c r="L28081" s="13"/>
      <c r="M28081" s="14"/>
      <c r="N28081" s="14"/>
      <c r="O28081" s="14"/>
      <c r="P28081" s="13"/>
    </row>
    <row r="28082">
      <c r="L28082" s="13"/>
      <c r="M28082" s="14"/>
      <c r="N28082" s="14"/>
      <c r="O28082" s="14"/>
      <c r="P28082" s="13"/>
    </row>
    <row r="28083">
      <c r="L28083" s="13"/>
      <c r="M28083" s="14"/>
      <c r="N28083" s="14"/>
      <c r="O28083" s="14"/>
      <c r="P28083" s="13"/>
    </row>
    <row r="28084">
      <c r="L28084" s="13"/>
      <c r="M28084" s="14"/>
      <c r="N28084" s="14"/>
      <c r="O28084" s="14"/>
      <c r="P28084" s="13"/>
    </row>
    <row r="28085">
      <c r="L28085" s="13"/>
      <c r="M28085" s="14"/>
      <c r="N28085" s="14"/>
      <c r="O28085" s="14"/>
      <c r="P28085" s="13"/>
    </row>
    <row r="28086">
      <c r="L28086" s="13"/>
      <c r="M28086" s="14"/>
      <c r="N28086" s="14"/>
      <c r="O28086" s="14"/>
      <c r="P28086" s="13"/>
    </row>
    <row r="28087">
      <c r="L28087" s="13"/>
      <c r="M28087" s="14"/>
      <c r="N28087" s="14"/>
      <c r="O28087" s="14"/>
      <c r="P28087" s="13"/>
    </row>
    <row r="28088">
      <c r="L28088" s="13"/>
      <c r="M28088" s="14"/>
      <c r="N28088" s="14"/>
      <c r="O28088" s="14"/>
      <c r="P28088" s="13"/>
    </row>
    <row r="28089">
      <c r="L28089" s="13"/>
      <c r="M28089" s="14"/>
      <c r="N28089" s="14"/>
      <c r="O28089" s="14"/>
      <c r="P28089" s="13"/>
    </row>
    <row r="28090">
      <c r="L28090" s="13"/>
      <c r="M28090" s="14"/>
      <c r="N28090" s="14"/>
      <c r="O28090" s="14"/>
      <c r="P28090" s="13"/>
    </row>
    <row r="28091">
      <c r="L28091" s="13"/>
      <c r="M28091" s="14"/>
      <c r="N28091" s="14"/>
      <c r="O28091" s="14"/>
      <c r="P28091" s="13"/>
    </row>
    <row r="28092">
      <c r="L28092" s="13"/>
      <c r="M28092" s="14"/>
      <c r="N28092" s="14"/>
      <c r="O28092" s="14"/>
      <c r="P28092" s="13"/>
    </row>
    <row r="28093">
      <c r="L28093" s="13"/>
      <c r="M28093" s="14"/>
      <c r="N28093" s="14"/>
      <c r="O28093" s="14"/>
      <c r="P28093" s="13"/>
    </row>
    <row r="28094">
      <c r="L28094" s="13"/>
      <c r="M28094" s="14"/>
      <c r="N28094" s="14"/>
      <c r="O28094" s="14"/>
      <c r="P28094" s="13"/>
    </row>
    <row r="28095">
      <c r="L28095" s="13"/>
      <c r="M28095" s="14"/>
      <c r="N28095" s="14"/>
      <c r="O28095" s="14"/>
      <c r="P28095" s="13"/>
    </row>
    <row r="28096">
      <c r="L28096" s="13"/>
      <c r="M28096" s="14"/>
      <c r="N28096" s="14"/>
      <c r="O28096" s="14"/>
      <c r="P28096" s="13"/>
    </row>
    <row r="28097">
      <c r="L28097" s="13"/>
      <c r="M28097" s="14"/>
      <c r="N28097" s="14"/>
      <c r="O28097" s="14"/>
      <c r="P28097" s="13"/>
    </row>
    <row r="28098">
      <c r="L28098" s="13"/>
      <c r="M28098" s="14"/>
      <c r="N28098" s="14"/>
      <c r="O28098" s="14"/>
      <c r="P28098" s="13"/>
    </row>
    <row r="28099">
      <c r="L28099" s="13"/>
      <c r="M28099" s="14"/>
      <c r="N28099" s="14"/>
      <c r="O28099" s="14"/>
      <c r="P28099" s="13"/>
    </row>
    <row r="28100">
      <c r="L28100" s="13"/>
      <c r="M28100" s="14"/>
      <c r="N28100" s="14"/>
      <c r="O28100" s="14"/>
      <c r="P28100" s="13"/>
    </row>
    <row r="28101">
      <c r="L28101" s="13"/>
      <c r="M28101" s="14"/>
      <c r="N28101" s="14"/>
      <c r="O28101" s="14"/>
      <c r="P28101" s="13"/>
    </row>
    <row r="28102">
      <c r="L28102" s="13"/>
      <c r="M28102" s="14"/>
      <c r="N28102" s="14"/>
      <c r="O28102" s="14"/>
      <c r="P28102" s="13"/>
    </row>
    <row r="28103">
      <c r="L28103" s="13"/>
      <c r="M28103" s="14"/>
      <c r="N28103" s="14"/>
      <c r="O28103" s="14"/>
      <c r="P28103" s="13"/>
    </row>
    <row r="28104">
      <c r="L28104" s="13"/>
      <c r="M28104" s="14"/>
      <c r="N28104" s="14"/>
      <c r="O28104" s="14"/>
      <c r="P28104" s="13"/>
    </row>
    <row r="28105">
      <c r="L28105" s="13"/>
      <c r="M28105" s="14"/>
      <c r="N28105" s="14"/>
      <c r="O28105" s="14"/>
      <c r="P28105" s="13"/>
    </row>
    <row r="28106">
      <c r="L28106" s="13"/>
      <c r="M28106" s="14"/>
      <c r="N28106" s="14"/>
      <c r="O28106" s="14"/>
      <c r="P28106" s="13"/>
    </row>
    <row r="28107">
      <c r="L28107" s="13"/>
      <c r="M28107" s="14"/>
      <c r="N28107" s="14"/>
      <c r="O28107" s="14"/>
      <c r="P28107" s="13"/>
    </row>
    <row r="28108">
      <c r="L28108" s="13"/>
      <c r="M28108" s="14"/>
      <c r="N28108" s="14"/>
      <c r="O28108" s="14"/>
      <c r="P28108" s="13"/>
    </row>
    <row r="28109">
      <c r="L28109" s="13"/>
      <c r="M28109" s="14"/>
      <c r="N28109" s="14"/>
      <c r="O28109" s="14"/>
      <c r="P28109" s="13"/>
    </row>
    <row r="28110">
      <c r="L28110" s="13"/>
      <c r="M28110" s="14"/>
      <c r="N28110" s="14"/>
      <c r="O28110" s="14"/>
      <c r="P28110" s="13"/>
    </row>
    <row r="28111">
      <c r="L28111" s="13"/>
      <c r="M28111" s="14"/>
      <c r="N28111" s="14"/>
      <c r="O28111" s="14"/>
      <c r="P28111" s="13"/>
    </row>
    <row r="28112">
      <c r="L28112" s="13"/>
      <c r="M28112" s="14"/>
      <c r="N28112" s="14"/>
      <c r="O28112" s="14"/>
      <c r="P28112" s="13"/>
    </row>
    <row r="28113">
      <c r="L28113" s="13"/>
      <c r="M28113" s="14"/>
      <c r="N28113" s="14"/>
      <c r="O28113" s="14"/>
      <c r="P28113" s="13"/>
    </row>
    <row r="28114">
      <c r="L28114" s="13"/>
      <c r="M28114" s="14"/>
      <c r="N28114" s="14"/>
      <c r="O28114" s="14"/>
      <c r="P28114" s="13"/>
    </row>
    <row r="28115">
      <c r="L28115" s="13"/>
      <c r="M28115" s="14"/>
      <c r="N28115" s="14"/>
      <c r="O28115" s="14"/>
      <c r="P28115" s="13"/>
    </row>
    <row r="28116">
      <c r="L28116" s="13"/>
      <c r="M28116" s="14"/>
      <c r="N28116" s="14"/>
      <c r="O28116" s="14"/>
      <c r="P28116" s="13"/>
    </row>
    <row r="28117">
      <c r="L28117" s="13"/>
      <c r="M28117" s="14"/>
      <c r="N28117" s="14"/>
      <c r="O28117" s="14"/>
      <c r="P28117" s="13"/>
    </row>
    <row r="28118">
      <c r="L28118" s="13"/>
      <c r="M28118" s="14"/>
      <c r="N28118" s="14"/>
      <c r="O28118" s="14"/>
      <c r="P28118" s="13"/>
    </row>
    <row r="28119">
      <c r="L28119" s="13"/>
      <c r="M28119" s="14"/>
      <c r="N28119" s="14"/>
      <c r="O28119" s="14"/>
      <c r="P28119" s="13"/>
    </row>
    <row r="28120">
      <c r="L28120" s="13"/>
      <c r="M28120" s="14"/>
      <c r="N28120" s="14"/>
      <c r="O28120" s="14"/>
      <c r="P28120" s="13"/>
    </row>
    <row r="28121">
      <c r="L28121" s="13"/>
      <c r="M28121" s="14"/>
      <c r="N28121" s="14"/>
      <c r="O28121" s="14"/>
      <c r="P28121" s="13"/>
    </row>
    <row r="28122">
      <c r="L28122" s="13"/>
      <c r="M28122" s="14"/>
      <c r="N28122" s="14"/>
      <c r="O28122" s="14"/>
      <c r="P28122" s="13"/>
    </row>
    <row r="28123">
      <c r="L28123" s="13"/>
      <c r="M28123" s="14"/>
      <c r="N28123" s="14"/>
      <c r="O28123" s="14"/>
      <c r="P28123" s="13"/>
    </row>
    <row r="28124">
      <c r="L28124" s="13"/>
      <c r="M28124" s="14"/>
      <c r="N28124" s="14"/>
      <c r="O28124" s="14"/>
      <c r="P28124" s="13"/>
    </row>
    <row r="28125">
      <c r="L28125" s="13"/>
      <c r="M28125" s="14"/>
      <c r="N28125" s="14"/>
      <c r="O28125" s="14"/>
      <c r="P28125" s="13"/>
    </row>
    <row r="28126">
      <c r="L28126" s="13"/>
      <c r="M28126" s="14"/>
      <c r="N28126" s="14"/>
      <c r="O28126" s="14"/>
      <c r="P28126" s="13"/>
    </row>
    <row r="28127">
      <c r="L28127" s="13"/>
      <c r="M28127" s="14"/>
      <c r="N28127" s="14"/>
      <c r="O28127" s="14"/>
      <c r="P28127" s="13"/>
    </row>
    <row r="28128">
      <c r="L28128" s="13"/>
      <c r="M28128" s="14"/>
      <c r="N28128" s="14"/>
      <c r="O28128" s="14"/>
      <c r="P28128" s="13"/>
    </row>
    <row r="28129">
      <c r="L28129" s="13"/>
      <c r="M28129" s="14"/>
      <c r="N28129" s="14"/>
      <c r="O28129" s="14"/>
      <c r="P28129" s="13"/>
    </row>
    <row r="28130">
      <c r="L28130" s="13"/>
      <c r="M28130" s="14"/>
      <c r="N28130" s="14"/>
      <c r="O28130" s="14"/>
      <c r="P28130" s="13"/>
    </row>
    <row r="28131">
      <c r="L28131" s="13"/>
      <c r="M28131" s="14"/>
      <c r="N28131" s="14"/>
      <c r="O28131" s="14"/>
      <c r="P28131" s="13"/>
    </row>
    <row r="28132">
      <c r="L28132" s="13"/>
      <c r="M28132" s="14"/>
      <c r="N28132" s="14"/>
      <c r="O28132" s="14"/>
      <c r="P28132" s="13"/>
    </row>
    <row r="28133">
      <c r="L28133" s="13"/>
      <c r="M28133" s="14"/>
      <c r="N28133" s="14"/>
      <c r="O28133" s="14"/>
      <c r="P28133" s="13"/>
    </row>
    <row r="28134">
      <c r="L28134" s="13"/>
      <c r="M28134" s="14"/>
      <c r="N28134" s="14"/>
      <c r="O28134" s="14"/>
      <c r="P28134" s="13"/>
    </row>
    <row r="28135">
      <c r="L28135" s="13"/>
      <c r="M28135" s="14"/>
      <c r="N28135" s="14"/>
      <c r="O28135" s="14"/>
      <c r="P28135" s="13"/>
    </row>
    <row r="28136">
      <c r="L28136" s="13"/>
      <c r="M28136" s="14"/>
      <c r="N28136" s="14"/>
      <c r="O28136" s="14"/>
      <c r="P28136" s="13"/>
    </row>
    <row r="28137">
      <c r="L28137" s="13"/>
      <c r="M28137" s="14"/>
      <c r="N28137" s="14"/>
      <c r="O28137" s="14"/>
      <c r="P28137" s="13"/>
    </row>
    <row r="28138">
      <c r="L28138" s="13"/>
      <c r="M28138" s="14"/>
      <c r="N28138" s="14"/>
      <c r="O28138" s="14"/>
      <c r="P28138" s="13"/>
    </row>
    <row r="28139">
      <c r="L28139" s="13"/>
      <c r="M28139" s="14"/>
      <c r="N28139" s="14"/>
      <c r="O28139" s="14"/>
      <c r="P28139" s="13"/>
    </row>
    <row r="28140">
      <c r="L28140" s="13"/>
      <c r="M28140" s="14"/>
      <c r="N28140" s="14"/>
      <c r="O28140" s="14"/>
      <c r="P28140" s="13"/>
    </row>
    <row r="28141">
      <c r="L28141" s="13"/>
      <c r="M28141" s="14"/>
      <c r="N28141" s="14"/>
      <c r="O28141" s="14"/>
      <c r="P28141" s="13"/>
    </row>
    <row r="28142">
      <c r="L28142" s="13"/>
      <c r="M28142" s="14"/>
      <c r="N28142" s="14"/>
      <c r="O28142" s="14"/>
      <c r="P28142" s="13"/>
    </row>
    <row r="28143">
      <c r="L28143" s="13"/>
      <c r="M28143" s="14"/>
      <c r="N28143" s="14"/>
      <c r="O28143" s="14"/>
      <c r="P28143" s="13"/>
    </row>
    <row r="28144">
      <c r="L28144" s="13"/>
      <c r="M28144" s="14"/>
      <c r="N28144" s="14"/>
      <c r="O28144" s="14"/>
      <c r="P28144" s="13"/>
    </row>
    <row r="28145">
      <c r="L28145" s="13"/>
      <c r="M28145" s="14"/>
      <c r="N28145" s="14"/>
      <c r="O28145" s="14"/>
      <c r="P28145" s="13"/>
    </row>
    <row r="28146">
      <c r="L28146" s="13"/>
      <c r="M28146" s="14"/>
      <c r="N28146" s="14"/>
      <c r="O28146" s="14"/>
      <c r="P28146" s="13"/>
    </row>
    <row r="28147">
      <c r="L28147" s="13"/>
      <c r="M28147" s="14"/>
      <c r="N28147" s="14"/>
      <c r="O28147" s="14"/>
      <c r="P28147" s="13"/>
    </row>
    <row r="28148">
      <c r="L28148" s="13"/>
      <c r="M28148" s="14"/>
      <c r="N28148" s="14"/>
      <c r="O28148" s="14"/>
      <c r="P28148" s="13"/>
    </row>
    <row r="28149">
      <c r="L28149" s="13"/>
      <c r="M28149" s="14"/>
      <c r="N28149" s="14"/>
      <c r="O28149" s="14"/>
      <c r="P28149" s="13"/>
    </row>
    <row r="28150">
      <c r="L28150" s="13"/>
      <c r="M28150" s="14"/>
      <c r="N28150" s="14"/>
      <c r="O28150" s="14"/>
      <c r="P28150" s="13"/>
    </row>
    <row r="28151">
      <c r="L28151" s="13"/>
      <c r="M28151" s="14"/>
      <c r="N28151" s="14"/>
      <c r="O28151" s="14"/>
      <c r="P28151" s="13"/>
    </row>
    <row r="28152">
      <c r="L28152" s="13"/>
      <c r="M28152" s="14"/>
      <c r="N28152" s="14"/>
      <c r="O28152" s="14"/>
      <c r="P28152" s="13"/>
    </row>
    <row r="28153">
      <c r="L28153" s="13"/>
      <c r="M28153" s="14"/>
      <c r="N28153" s="14"/>
      <c r="O28153" s="14"/>
      <c r="P28153" s="13"/>
    </row>
    <row r="28154">
      <c r="L28154" s="13"/>
      <c r="M28154" s="14"/>
      <c r="N28154" s="14"/>
      <c r="O28154" s="14"/>
      <c r="P28154" s="13"/>
    </row>
    <row r="28155">
      <c r="L28155" s="13"/>
      <c r="M28155" s="14"/>
      <c r="N28155" s="14"/>
      <c r="O28155" s="14"/>
      <c r="P28155" s="13"/>
    </row>
    <row r="28156">
      <c r="L28156" s="13"/>
      <c r="M28156" s="14"/>
      <c r="N28156" s="14"/>
      <c r="O28156" s="14"/>
      <c r="P28156" s="13"/>
    </row>
    <row r="28157">
      <c r="L28157" s="13"/>
      <c r="M28157" s="14"/>
      <c r="N28157" s="14"/>
      <c r="O28157" s="14"/>
      <c r="P28157" s="13"/>
    </row>
    <row r="28158">
      <c r="L28158" s="13"/>
      <c r="M28158" s="14"/>
      <c r="N28158" s="14"/>
      <c r="O28158" s="14"/>
      <c r="P28158" s="13"/>
    </row>
    <row r="28159">
      <c r="L28159" s="13"/>
      <c r="M28159" s="14"/>
      <c r="N28159" s="14"/>
      <c r="O28159" s="14"/>
      <c r="P28159" s="13"/>
    </row>
    <row r="28160">
      <c r="L28160" s="13"/>
      <c r="M28160" s="14"/>
      <c r="N28160" s="14"/>
      <c r="O28160" s="14"/>
      <c r="P28160" s="13"/>
    </row>
    <row r="28161">
      <c r="L28161" s="13"/>
      <c r="M28161" s="14"/>
      <c r="N28161" s="14"/>
      <c r="O28161" s="14"/>
      <c r="P28161" s="13"/>
    </row>
    <row r="28162">
      <c r="L28162" s="13"/>
      <c r="M28162" s="14"/>
      <c r="N28162" s="14"/>
      <c r="O28162" s="14"/>
      <c r="P28162" s="13"/>
    </row>
    <row r="28163">
      <c r="L28163" s="13"/>
      <c r="M28163" s="14"/>
      <c r="N28163" s="14"/>
      <c r="O28163" s="14"/>
      <c r="P28163" s="13"/>
    </row>
    <row r="28164">
      <c r="L28164" s="13"/>
      <c r="M28164" s="14"/>
      <c r="N28164" s="14"/>
      <c r="O28164" s="14"/>
      <c r="P28164" s="13"/>
    </row>
    <row r="28165">
      <c r="L28165" s="13"/>
      <c r="M28165" s="14"/>
      <c r="N28165" s="14"/>
      <c r="O28165" s="14"/>
      <c r="P28165" s="13"/>
    </row>
    <row r="28166">
      <c r="L28166" s="13"/>
      <c r="M28166" s="14"/>
      <c r="N28166" s="14"/>
      <c r="O28166" s="14"/>
      <c r="P28166" s="13"/>
    </row>
    <row r="28167">
      <c r="L28167" s="13"/>
      <c r="M28167" s="14"/>
      <c r="N28167" s="14"/>
      <c r="O28167" s="14"/>
      <c r="P28167" s="13"/>
    </row>
    <row r="28168">
      <c r="L28168" s="13"/>
      <c r="M28168" s="14"/>
      <c r="N28168" s="14"/>
      <c r="O28168" s="14"/>
      <c r="P28168" s="13"/>
    </row>
    <row r="28169">
      <c r="L28169" s="13"/>
      <c r="M28169" s="14"/>
      <c r="N28169" s="14"/>
      <c r="O28169" s="14"/>
      <c r="P28169" s="13"/>
    </row>
    <row r="28170">
      <c r="L28170" s="13"/>
      <c r="M28170" s="14"/>
      <c r="N28170" s="14"/>
      <c r="O28170" s="14"/>
      <c r="P28170" s="13"/>
    </row>
    <row r="28171">
      <c r="L28171" s="13"/>
      <c r="M28171" s="14"/>
      <c r="N28171" s="14"/>
      <c r="O28171" s="14"/>
      <c r="P28171" s="13"/>
    </row>
    <row r="28172">
      <c r="L28172" s="13"/>
      <c r="M28172" s="14"/>
      <c r="N28172" s="14"/>
      <c r="O28172" s="14"/>
      <c r="P28172" s="13"/>
    </row>
    <row r="28173">
      <c r="L28173" s="13"/>
      <c r="M28173" s="14"/>
      <c r="N28173" s="14"/>
      <c r="O28173" s="14"/>
      <c r="P28173" s="13"/>
    </row>
    <row r="28174">
      <c r="L28174" s="13"/>
      <c r="M28174" s="14"/>
      <c r="N28174" s="14"/>
      <c r="O28174" s="14"/>
      <c r="P28174" s="13"/>
    </row>
    <row r="28175">
      <c r="L28175" s="13"/>
      <c r="M28175" s="14"/>
      <c r="N28175" s="14"/>
      <c r="O28175" s="14"/>
      <c r="P28175" s="13"/>
    </row>
    <row r="28176">
      <c r="L28176" s="13"/>
      <c r="M28176" s="14"/>
      <c r="N28176" s="14"/>
      <c r="O28176" s="14"/>
      <c r="P28176" s="13"/>
    </row>
    <row r="28177">
      <c r="L28177" s="13"/>
      <c r="M28177" s="14"/>
      <c r="N28177" s="14"/>
      <c r="O28177" s="14"/>
      <c r="P28177" s="13"/>
    </row>
    <row r="28178">
      <c r="L28178" s="13"/>
      <c r="M28178" s="14"/>
      <c r="N28178" s="14"/>
      <c r="O28178" s="14"/>
      <c r="P28178" s="13"/>
    </row>
    <row r="28179">
      <c r="L28179" s="13"/>
      <c r="M28179" s="14"/>
      <c r="N28179" s="14"/>
      <c r="O28179" s="14"/>
      <c r="P28179" s="13"/>
    </row>
    <row r="28180">
      <c r="L28180" s="13"/>
      <c r="M28180" s="14"/>
      <c r="N28180" s="14"/>
      <c r="O28180" s="14"/>
      <c r="P28180" s="13"/>
    </row>
    <row r="28181">
      <c r="L28181" s="13"/>
      <c r="M28181" s="14"/>
      <c r="N28181" s="14"/>
      <c r="O28181" s="14"/>
      <c r="P28181" s="13"/>
    </row>
    <row r="28182">
      <c r="L28182" s="13"/>
      <c r="M28182" s="14"/>
      <c r="N28182" s="14"/>
      <c r="O28182" s="14"/>
      <c r="P28182" s="13"/>
    </row>
    <row r="28183">
      <c r="L28183" s="13"/>
      <c r="M28183" s="14"/>
      <c r="N28183" s="14"/>
      <c r="O28183" s="14"/>
      <c r="P28183" s="13"/>
    </row>
    <row r="28184">
      <c r="L28184" s="13"/>
      <c r="M28184" s="14"/>
      <c r="N28184" s="14"/>
      <c r="O28184" s="14"/>
      <c r="P28184" s="13"/>
    </row>
    <row r="28185">
      <c r="L28185" s="13"/>
      <c r="M28185" s="14"/>
      <c r="N28185" s="14"/>
      <c r="O28185" s="14"/>
      <c r="P28185" s="13"/>
    </row>
    <row r="28186">
      <c r="L28186" s="13"/>
      <c r="M28186" s="14"/>
      <c r="N28186" s="14"/>
      <c r="O28186" s="14"/>
      <c r="P28186" s="13"/>
    </row>
    <row r="28187">
      <c r="L28187" s="13"/>
      <c r="M28187" s="14"/>
      <c r="N28187" s="14"/>
      <c r="O28187" s="14"/>
      <c r="P28187" s="13"/>
    </row>
    <row r="28188">
      <c r="L28188" s="13"/>
      <c r="M28188" s="14"/>
      <c r="N28188" s="14"/>
      <c r="O28188" s="14"/>
      <c r="P28188" s="13"/>
    </row>
    <row r="28189">
      <c r="L28189" s="13"/>
      <c r="M28189" s="14"/>
      <c r="N28189" s="14"/>
      <c r="O28189" s="14"/>
      <c r="P28189" s="13"/>
    </row>
    <row r="28190">
      <c r="L28190" s="13"/>
      <c r="M28190" s="14"/>
      <c r="N28190" s="14"/>
      <c r="O28190" s="14"/>
      <c r="P28190" s="13"/>
    </row>
    <row r="28191">
      <c r="L28191" s="13"/>
      <c r="M28191" s="14"/>
      <c r="N28191" s="14"/>
      <c r="O28191" s="14"/>
      <c r="P28191" s="13"/>
    </row>
    <row r="28192">
      <c r="L28192" s="13"/>
      <c r="M28192" s="14"/>
      <c r="N28192" s="14"/>
      <c r="O28192" s="14"/>
      <c r="P28192" s="13"/>
    </row>
    <row r="28193">
      <c r="L28193" s="13"/>
      <c r="M28193" s="14"/>
      <c r="N28193" s="14"/>
      <c r="O28193" s="14"/>
      <c r="P28193" s="13"/>
    </row>
    <row r="28194">
      <c r="L28194" s="13"/>
      <c r="M28194" s="14"/>
      <c r="N28194" s="14"/>
      <c r="O28194" s="14"/>
      <c r="P28194" s="13"/>
    </row>
    <row r="28195">
      <c r="L28195" s="13"/>
      <c r="M28195" s="14"/>
      <c r="N28195" s="14"/>
      <c r="O28195" s="14"/>
      <c r="P28195" s="13"/>
    </row>
    <row r="28196">
      <c r="L28196" s="13"/>
      <c r="M28196" s="14"/>
      <c r="N28196" s="14"/>
      <c r="O28196" s="14"/>
      <c r="P28196" s="13"/>
    </row>
    <row r="28197">
      <c r="L28197" s="13"/>
      <c r="M28197" s="14"/>
      <c r="N28197" s="14"/>
      <c r="O28197" s="14"/>
      <c r="P28197" s="13"/>
    </row>
    <row r="28198">
      <c r="L28198" s="13"/>
      <c r="M28198" s="14"/>
      <c r="N28198" s="14"/>
      <c r="O28198" s="14"/>
      <c r="P28198" s="13"/>
    </row>
    <row r="28199">
      <c r="L28199" s="13"/>
      <c r="M28199" s="14"/>
      <c r="N28199" s="14"/>
      <c r="O28199" s="14"/>
      <c r="P28199" s="13"/>
    </row>
    <row r="28200">
      <c r="L28200" s="13"/>
      <c r="M28200" s="14"/>
      <c r="N28200" s="14"/>
      <c r="O28200" s="14"/>
      <c r="P28200" s="13"/>
    </row>
    <row r="28201">
      <c r="L28201" s="13"/>
      <c r="M28201" s="14"/>
      <c r="N28201" s="14"/>
      <c r="O28201" s="14"/>
      <c r="P28201" s="13"/>
    </row>
    <row r="28202">
      <c r="L28202" s="13"/>
      <c r="M28202" s="14"/>
      <c r="N28202" s="14"/>
      <c r="O28202" s="14"/>
      <c r="P28202" s="13"/>
    </row>
    <row r="28203">
      <c r="L28203" s="13"/>
      <c r="M28203" s="14"/>
      <c r="N28203" s="14"/>
      <c r="O28203" s="14"/>
      <c r="P28203" s="13"/>
    </row>
    <row r="28204">
      <c r="L28204" s="13"/>
      <c r="M28204" s="14"/>
      <c r="N28204" s="14"/>
      <c r="O28204" s="14"/>
      <c r="P28204" s="13"/>
    </row>
    <row r="28205">
      <c r="L28205" s="13"/>
      <c r="M28205" s="14"/>
      <c r="N28205" s="14"/>
      <c r="O28205" s="14"/>
      <c r="P28205" s="13"/>
    </row>
    <row r="28206">
      <c r="L28206" s="13"/>
      <c r="M28206" s="14"/>
      <c r="N28206" s="14"/>
      <c r="O28206" s="14"/>
      <c r="P28206" s="13"/>
    </row>
    <row r="28207">
      <c r="L28207" s="13"/>
      <c r="M28207" s="14"/>
      <c r="N28207" s="14"/>
      <c r="O28207" s="14"/>
      <c r="P28207" s="13"/>
    </row>
    <row r="28208">
      <c r="L28208" s="13"/>
      <c r="M28208" s="14"/>
      <c r="N28208" s="14"/>
      <c r="O28208" s="14"/>
      <c r="P28208" s="13"/>
    </row>
    <row r="28209">
      <c r="L28209" s="13"/>
      <c r="M28209" s="14"/>
      <c r="N28209" s="14"/>
      <c r="O28209" s="14"/>
      <c r="P28209" s="13"/>
    </row>
    <row r="28210">
      <c r="L28210" s="13"/>
      <c r="M28210" s="14"/>
      <c r="N28210" s="14"/>
      <c r="O28210" s="14"/>
      <c r="P28210" s="13"/>
    </row>
    <row r="28211">
      <c r="L28211" s="13"/>
      <c r="M28211" s="14"/>
      <c r="N28211" s="14"/>
      <c r="O28211" s="14"/>
      <c r="P28211" s="13"/>
    </row>
    <row r="28212">
      <c r="L28212" s="13"/>
      <c r="M28212" s="14"/>
      <c r="N28212" s="14"/>
      <c r="O28212" s="14"/>
      <c r="P28212" s="13"/>
    </row>
    <row r="28213">
      <c r="L28213" s="13"/>
      <c r="M28213" s="14"/>
      <c r="N28213" s="14"/>
      <c r="O28213" s="14"/>
      <c r="P28213" s="13"/>
    </row>
    <row r="28214">
      <c r="L28214" s="13"/>
      <c r="M28214" s="14"/>
      <c r="N28214" s="14"/>
      <c r="O28214" s="14"/>
      <c r="P28214" s="13"/>
    </row>
    <row r="28215">
      <c r="L28215" s="13"/>
      <c r="M28215" s="14"/>
      <c r="N28215" s="14"/>
      <c r="O28215" s="14"/>
      <c r="P28215" s="13"/>
    </row>
    <row r="28216">
      <c r="L28216" s="13"/>
      <c r="M28216" s="14"/>
      <c r="N28216" s="14"/>
      <c r="O28216" s="14"/>
      <c r="P28216" s="13"/>
    </row>
    <row r="28217">
      <c r="L28217" s="13"/>
      <c r="M28217" s="14"/>
      <c r="N28217" s="14"/>
      <c r="O28217" s="14"/>
      <c r="P28217" s="13"/>
    </row>
    <row r="28218">
      <c r="L28218" s="13"/>
      <c r="M28218" s="14"/>
      <c r="N28218" s="14"/>
      <c r="O28218" s="14"/>
      <c r="P28218" s="13"/>
    </row>
    <row r="28219">
      <c r="L28219" s="13"/>
      <c r="M28219" s="14"/>
      <c r="N28219" s="14"/>
      <c r="O28219" s="14"/>
      <c r="P28219" s="13"/>
    </row>
    <row r="28220">
      <c r="L28220" s="13"/>
      <c r="M28220" s="14"/>
      <c r="N28220" s="14"/>
      <c r="O28220" s="14"/>
      <c r="P28220" s="13"/>
    </row>
    <row r="28221">
      <c r="L28221" s="13"/>
      <c r="M28221" s="14"/>
      <c r="N28221" s="14"/>
      <c r="O28221" s="14"/>
      <c r="P28221" s="13"/>
    </row>
    <row r="28222">
      <c r="L28222" s="13"/>
      <c r="M28222" s="14"/>
      <c r="N28222" s="14"/>
      <c r="O28222" s="14"/>
      <c r="P28222" s="13"/>
    </row>
    <row r="28223">
      <c r="L28223" s="13"/>
      <c r="M28223" s="14"/>
      <c r="N28223" s="14"/>
      <c r="O28223" s="14"/>
      <c r="P28223" s="13"/>
    </row>
    <row r="28224">
      <c r="L28224" s="13"/>
      <c r="M28224" s="14"/>
      <c r="N28224" s="14"/>
      <c r="O28224" s="14"/>
      <c r="P28224" s="13"/>
    </row>
    <row r="28225">
      <c r="L28225" s="13"/>
      <c r="M28225" s="14"/>
      <c r="N28225" s="14"/>
      <c r="O28225" s="14"/>
      <c r="P28225" s="13"/>
    </row>
    <row r="28226">
      <c r="L28226" s="13"/>
      <c r="M28226" s="14"/>
      <c r="N28226" s="14"/>
      <c r="O28226" s="14"/>
      <c r="P28226" s="13"/>
    </row>
    <row r="28227">
      <c r="L28227" s="13"/>
      <c r="M28227" s="14"/>
      <c r="N28227" s="14"/>
      <c r="O28227" s="14"/>
      <c r="P28227" s="13"/>
    </row>
    <row r="28228">
      <c r="L28228" s="13"/>
      <c r="M28228" s="14"/>
      <c r="N28228" s="14"/>
      <c r="O28228" s="14"/>
      <c r="P28228" s="13"/>
    </row>
    <row r="28229">
      <c r="L28229" s="13"/>
      <c r="M28229" s="14"/>
      <c r="N28229" s="14"/>
      <c r="O28229" s="14"/>
      <c r="P28229" s="13"/>
    </row>
    <row r="28230">
      <c r="L28230" s="13"/>
      <c r="M28230" s="14"/>
      <c r="N28230" s="14"/>
      <c r="O28230" s="14"/>
      <c r="P28230" s="13"/>
    </row>
    <row r="28231">
      <c r="L28231" s="13"/>
      <c r="M28231" s="14"/>
      <c r="N28231" s="14"/>
      <c r="O28231" s="14"/>
      <c r="P28231" s="13"/>
    </row>
    <row r="28232">
      <c r="L28232" s="13"/>
      <c r="M28232" s="14"/>
      <c r="N28232" s="14"/>
      <c r="O28232" s="14"/>
      <c r="P28232" s="13"/>
    </row>
    <row r="28233">
      <c r="L28233" s="13"/>
      <c r="M28233" s="14"/>
      <c r="N28233" s="14"/>
      <c r="O28233" s="14"/>
      <c r="P28233" s="13"/>
    </row>
    <row r="28234">
      <c r="L28234" s="13"/>
      <c r="M28234" s="14"/>
      <c r="N28234" s="14"/>
      <c r="O28234" s="14"/>
      <c r="P28234" s="13"/>
    </row>
    <row r="28235">
      <c r="L28235" s="13"/>
      <c r="M28235" s="14"/>
      <c r="N28235" s="14"/>
      <c r="O28235" s="14"/>
      <c r="P28235" s="13"/>
    </row>
    <row r="28236">
      <c r="L28236" s="13"/>
      <c r="M28236" s="14"/>
      <c r="N28236" s="14"/>
      <c r="O28236" s="14"/>
      <c r="P28236" s="13"/>
    </row>
    <row r="28237">
      <c r="L28237" s="13"/>
      <c r="M28237" s="14"/>
      <c r="N28237" s="14"/>
      <c r="O28237" s="14"/>
      <c r="P28237" s="13"/>
    </row>
    <row r="28238">
      <c r="L28238" s="13"/>
      <c r="M28238" s="14"/>
      <c r="N28238" s="14"/>
      <c r="O28238" s="14"/>
      <c r="P28238" s="13"/>
    </row>
    <row r="28239">
      <c r="L28239" s="13"/>
      <c r="M28239" s="14"/>
      <c r="N28239" s="14"/>
      <c r="O28239" s="14"/>
      <c r="P28239" s="13"/>
    </row>
    <row r="28240">
      <c r="L28240" s="13"/>
      <c r="M28240" s="14"/>
      <c r="N28240" s="14"/>
      <c r="O28240" s="14"/>
      <c r="P28240" s="13"/>
    </row>
    <row r="28241">
      <c r="L28241" s="13"/>
      <c r="M28241" s="14"/>
      <c r="N28241" s="14"/>
      <c r="O28241" s="14"/>
      <c r="P28241" s="13"/>
    </row>
    <row r="28242">
      <c r="L28242" s="13"/>
      <c r="M28242" s="14"/>
      <c r="N28242" s="14"/>
      <c r="O28242" s="14"/>
      <c r="P28242" s="13"/>
    </row>
    <row r="28243">
      <c r="L28243" s="13"/>
      <c r="M28243" s="14"/>
      <c r="N28243" s="14"/>
      <c r="O28243" s="14"/>
      <c r="P28243" s="13"/>
    </row>
    <row r="28244">
      <c r="L28244" s="13"/>
      <c r="M28244" s="14"/>
      <c r="N28244" s="14"/>
      <c r="O28244" s="14"/>
      <c r="P28244" s="13"/>
    </row>
    <row r="28245">
      <c r="L28245" s="13"/>
      <c r="M28245" s="14"/>
      <c r="N28245" s="14"/>
      <c r="O28245" s="14"/>
      <c r="P28245" s="13"/>
    </row>
    <row r="28246">
      <c r="L28246" s="13"/>
      <c r="M28246" s="14"/>
      <c r="N28246" s="14"/>
      <c r="O28246" s="14"/>
      <c r="P28246" s="13"/>
    </row>
    <row r="28247">
      <c r="L28247" s="13"/>
      <c r="M28247" s="14"/>
      <c r="N28247" s="14"/>
      <c r="O28247" s="14"/>
      <c r="P28247" s="13"/>
    </row>
    <row r="28248">
      <c r="L28248" s="13"/>
      <c r="M28248" s="14"/>
      <c r="N28248" s="14"/>
      <c r="O28248" s="14"/>
      <c r="P28248" s="13"/>
    </row>
    <row r="28249">
      <c r="L28249" s="13"/>
      <c r="M28249" s="14"/>
      <c r="N28249" s="14"/>
      <c r="O28249" s="14"/>
      <c r="P28249" s="13"/>
    </row>
    <row r="28250">
      <c r="L28250" s="13"/>
      <c r="M28250" s="14"/>
      <c r="N28250" s="14"/>
      <c r="O28250" s="14"/>
      <c r="P28250" s="13"/>
    </row>
    <row r="28251">
      <c r="L28251" s="13"/>
      <c r="M28251" s="14"/>
      <c r="N28251" s="14"/>
      <c r="O28251" s="14"/>
      <c r="P28251" s="13"/>
    </row>
    <row r="28252">
      <c r="L28252" s="13"/>
      <c r="M28252" s="14"/>
      <c r="N28252" s="14"/>
      <c r="O28252" s="14"/>
      <c r="P28252" s="13"/>
    </row>
    <row r="28253">
      <c r="L28253" s="13"/>
      <c r="M28253" s="14"/>
      <c r="N28253" s="14"/>
      <c r="O28253" s="14"/>
      <c r="P28253" s="13"/>
    </row>
    <row r="28254">
      <c r="L28254" s="13"/>
      <c r="M28254" s="14"/>
      <c r="N28254" s="14"/>
      <c r="O28254" s="14"/>
      <c r="P28254" s="13"/>
    </row>
    <row r="28255">
      <c r="L28255" s="13"/>
      <c r="M28255" s="14"/>
      <c r="N28255" s="14"/>
      <c r="O28255" s="14"/>
      <c r="P28255" s="13"/>
    </row>
    <row r="28256">
      <c r="L28256" s="13"/>
      <c r="M28256" s="14"/>
      <c r="N28256" s="14"/>
      <c r="O28256" s="14"/>
      <c r="P28256" s="13"/>
    </row>
    <row r="28257">
      <c r="L28257" s="13"/>
      <c r="M28257" s="14"/>
      <c r="N28257" s="14"/>
      <c r="O28257" s="14"/>
      <c r="P28257" s="13"/>
    </row>
    <row r="28258">
      <c r="L28258" s="13"/>
      <c r="M28258" s="14"/>
      <c r="N28258" s="14"/>
      <c r="O28258" s="14"/>
      <c r="P28258" s="13"/>
    </row>
    <row r="28259">
      <c r="L28259" s="13"/>
      <c r="M28259" s="14"/>
      <c r="N28259" s="14"/>
      <c r="O28259" s="14"/>
      <c r="P28259" s="13"/>
    </row>
    <row r="28260">
      <c r="L28260" s="13"/>
      <c r="M28260" s="14"/>
      <c r="N28260" s="14"/>
      <c r="O28260" s="14"/>
      <c r="P28260" s="13"/>
    </row>
    <row r="28261">
      <c r="L28261" s="13"/>
      <c r="M28261" s="14"/>
      <c r="N28261" s="14"/>
      <c r="O28261" s="14"/>
      <c r="P28261" s="13"/>
    </row>
    <row r="28262">
      <c r="L28262" s="13"/>
      <c r="M28262" s="14"/>
      <c r="N28262" s="14"/>
      <c r="O28262" s="14"/>
      <c r="P28262" s="13"/>
    </row>
    <row r="28263">
      <c r="L28263" s="13"/>
      <c r="M28263" s="14"/>
      <c r="N28263" s="14"/>
      <c r="O28263" s="14"/>
      <c r="P28263" s="13"/>
    </row>
    <row r="28264">
      <c r="L28264" s="13"/>
      <c r="M28264" s="14"/>
      <c r="N28264" s="14"/>
      <c r="O28264" s="14"/>
      <c r="P28264" s="13"/>
    </row>
    <row r="28265">
      <c r="L28265" s="13"/>
      <c r="M28265" s="14"/>
      <c r="N28265" s="14"/>
      <c r="O28265" s="14"/>
      <c r="P28265" s="13"/>
    </row>
    <row r="28266">
      <c r="L28266" s="13"/>
      <c r="M28266" s="14"/>
      <c r="N28266" s="14"/>
      <c r="O28266" s="14"/>
      <c r="P28266" s="13"/>
    </row>
    <row r="28267">
      <c r="L28267" s="13"/>
      <c r="M28267" s="14"/>
      <c r="N28267" s="14"/>
      <c r="O28267" s="14"/>
      <c r="P28267" s="13"/>
    </row>
    <row r="28268">
      <c r="L28268" s="13"/>
      <c r="M28268" s="14"/>
      <c r="N28268" s="14"/>
      <c r="O28268" s="14"/>
      <c r="P28268" s="13"/>
    </row>
    <row r="28269">
      <c r="L28269" s="13"/>
      <c r="M28269" s="14"/>
      <c r="N28269" s="14"/>
      <c r="O28269" s="14"/>
      <c r="P28269" s="13"/>
    </row>
    <row r="28270">
      <c r="L28270" s="13"/>
      <c r="M28270" s="14"/>
      <c r="N28270" s="14"/>
      <c r="O28270" s="14"/>
      <c r="P28270" s="13"/>
    </row>
    <row r="28271">
      <c r="L28271" s="13"/>
      <c r="M28271" s="14"/>
      <c r="N28271" s="14"/>
      <c r="O28271" s="14"/>
      <c r="P28271" s="13"/>
    </row>
    <row r="28272">
      <c r="L28272" s="13"/>
      <c r="M28272" s="14"/>
      <c r="N28272" s="14"/>
      <c r="O28272" s="14"/>
      <c r="P28272" s="13"/>
    </row>
    <row r="28273">
      <c r="L28273" s="13"/>
      <c r="M28273" s="14"/>
      <c r="N28273" s="14"/>
      <c r="O28273" s="14"/>
      <c r="P28273" s="13"/>
    </row>
    <row r="28274">
      <c r="L28274" s="13"/>
      <c r="M28274" s="14"/>
      <c r="N28274" s="14"/>
      <c r="O28274" s="14"/>
      <c r="P28274" s="13"/>
    </row>
    <row r="28275">
      <c r="L28275" s="13"/>
      <c r="M28275" s="14"/>
      <c r="N28275" s="14"/>
      <c r="O28275" s="14"/>
      <c r="P28275" s="13"/>
    </row>
    <row r="28276">
      <c r="L28276" s="13"/>
      <c r="M28276" s="14"/>
      <c r="N28276" s="14"/>
      <c r="O28276" s="14"/>
      <c r="P28276" s="13"/>
    </row>
    <row r="28277">
      <c r="L28277" s="13"/>
      <c r="M28277" s="14"/>
      <c r="N28277" s="14"/>
      <c r="O28277" s="14"/>
      <c r="P28277" s="13"/>
    </row>
    <row r="28278">
      <c r="L28278" s="13"/>
      <c r="M28278" s="14"/>
      <c r="N28278" s="14"/>
      <c r="O28278" s="14"/>
      <c r="P28278" s="13"/>
    </row>
    <row r="28279">
      <c r="L28279" s="13"/>
      <c r="M28279" s="14"/>
      <c r="N28279" s="14"/>
      <c r="O28279" s="14"/>
      <c r="P28279" s="13"/>
    </row>
    <row r="28280">
      <c r="L28280" s="13"/>
      <c r="M28280" s="14"/>
      <c r="N28280" s="14"/>
      <c r="O28280" s="14"/>
      <c r="P28280" s="13"/>
    </row>
    <row r="28281">
      <c r="L28281" s="13"/>
      <c r="M28281" s="14"/>
      <c r="N28281" s="14"/>
      <c r="O28281" s="14"/>
      <c r="P28281" s="13"/>
    </row>
    <row r="28282">
      <c r="L28282" s="13"/>
      <c r="M28282" s="14"/>
      <c r="N28282" s="14"/>
      <c r="O28282" s="14"/>
      <c r="P28282" s="13"/>
    </row>
    <row r="28283">
      <c r="L28283" s="13"/>
      <c r="M28283" s="14"/>
      <c r="N28283" s="14"/>
      <c r="O28283" s="14"/>
      <c r="P28283" s="13"/>
    </row>
    <row r="28284">
      <c r="L28284" s="13"/>
      <c r="M28284" s="14"/>
      <c r="N28284" s="14"/>
      <c r="O28284" s="14"/>
      <c r="P28284" s="13"/>
    </row>
    <row r="28285">
      <c r="L28285" s="13"/>
      <c r="M28285" s="14"/>
      <c r="N28285" s="14"/>
      <c r="O28285" s="14"/>
      <c r="P28285" s="13"/>
    </row>
    <row r="28286">
      <c r="L28286" s="13"/>
      <c r="M28286" s="14"/>
      <c r="N28286" s="14"/>
      <c r="O28286" s="14"/>
      <c r="P28286" s="13"/>
    </row>
    <row r="28287">
      <c r="L28287" s="13"/>
      <c r="M28287" s="14"/>
      <c r="N28287" s="14"/>
      <c r="O28287" s="14"/>
      <c r="P28287" s="13"/>
    </row>
    <row r="28288">
      <c r="L28288" s="13"/>
      <c r="M28288" s="14"/>
      <c r="N28288" s="14"/>
      <c r="O28288" s="14"/>
      <c r="P28288" s="13"/>
    </row>
    <row r="28289">
      <c r="L28289" s="13"/>
      <c r="M28289" s="14"/>
      <c r="N28289" s="14"/>
      <c r="O28289" s="14"/>
      <c r="P28289" s="13"/>
    </row>
    <row r="28290">
      <c r="L28290" s="13"/>
      <c r="M28290" s="14"/>
      <c r="N28290" s="14"/>
      <c r="O28290" s="14"/>
      <c r="P28290" s="13"/>
    </row>
    <row r="28291">
      <c r="L28291" s="13"/>
      <c r="M28291" s="14"/>
      <c r="N28291" s="14"/>
      <c r="O28291" s="14"/>
      <c r="P28291" s="13"/>
    </row>
    <row r="28292">
      <c r="L28292" s="13"/>
      <c r="M28292" s="14"/>
      <c r="N28292" s="14"/>
      <c r="O28292" s="14"/>
      <c r="P28292" s="13"/>
    </row>
    <row r="28293">
      <c r="L28293" s="13"/>
      <c r="M28293" s="14"/>
      <c r="N28293" s="14"/>
      <c r="O28293" s="14"/>
      <c r="P28293" s="13"/>
    </row>
    <row r="28294">
      <c r="L28294" s="13"/>
      <c r="M28294" s="14"/>
      <c r="N28294" s="14"/>
      <c r="O28294" s="14"/>
      <c r="P28294" s="13"/>
    </row>
    <row r="28295">
      <c r="L28295" s="13"/>
      <c r="M28295" s="14"/>
      <c r="N28295" s="14"/>
      <c r="O28295" s="14"/>
      <c r="P28295" s="13"/>
    </row>
    <row r="28296">
      <c r="L28296" s="13"/>
      <c r="M28296" s="14"/>
      <c r="N28296" s="14"/>
      <c r="O28296" s="14"/>
      <c r="P28296" s="13"/>
    </row>
    <row r="28297">
      <c r="L28297" s="13"/>
      <c r="M28297" s="14"/>
      <c r="N28297" s="14"/>
      <c r="O28297" s="14"/>
      <c r="P28297" s="13"/>
    </row>
    <row r="28298">
      <c r="L28298" s="13"/>
      <c r="M28298" s="14"/>
      <c r="N28298" s="14"/>
      <c r="O28298" s="14"/>
      <c r="P28298" s="13"/>
    </row>
    <row r="28299">
      <c r="L28299" s="13"/>
      <c r="M28299" s="14"/>
      <c r="N28299" s="14"/>
      <c r="O28299" s="14"/>
      <c r="P28299" s="13"/>
    </row>
    <row r="28300">
      <c r="L28300" s="13"/>
      <c r="M28300" s="14"/>
      <c r="N28300" s="14"/>
      <c r="O28300" s="14"/>
      <c r="P28300" s="13"/>
    </row>
    <row r="28301">
      <c r="L28301" s="13"/>
      <c r="M28301" s="14"/>
      <c r="N28301" s="14"/>
      <c r="O28301" s="14"/>
      <c r="P28301" s="13"/>
    </row>
    <row r="28302">
      <c r="L28302" s="13"/>
      <c r="M28302" s="14"/>
      <c r="N28302" s="14"/>
      <c r="O28302" s="14"/>
      <c r="P28302" s="13"/>
    </row>
    <row r="28303">
      <c r="L28303" s="13"/>
      <c r="M28303" s="14"/>
      <c r="N28303" s="14"/>
      <c r="O28303" s="14"/>
      <c r="P28303" s="13"/>
    </row>
    <row r="28304">
      <c r="L28304" s="13"/>
      <c r="M28304" s="14"/>
      <c r="N28304" s="14"/>
      <c r="O28304" s="14"/>
      <c r="P28304" s="13"/>
    </row>
    <row r="28305">
      <c r="L28305" s="13"/>
      <c r="M28305" s="14"/>
      <c r="N28305" s="14"/>
      <c r="O28305" s="14"/>
      <c r="P28305" s="13"/>
    </row>
    <row r="28306">
      <c r="L28306" s="13"/>
      <c r="M28306" s="14"/>
      <c r="N28306" s="14"/>
      <c r="O28306" s="14"/>
      <c r="P28306" s="13"/>
    </row>
    <row r="28307">
      <c r="L28307" s="13"/>
      <c r="M28307" s="14"/>
      <c r="N28307" s="14"/>
      <c r="O28307" s="14"/>
      <c r="P28307" s="13"/>
    </row>
    <row r="28308">
      <c r="L28308" s="13"/>
      <c r="M28308" s="14"/>
      <c r="N28308" s="14"/>
      <c r="O28308" s="14"/>
      <c r="P28308" s="13"/>
    </row>
    <row r="28309">
      <c r="L28309" s="13"/>
      <c r="M28309" s="14"/>
      <c r="N28309" s="14"/>
      <c r="O28309" s="14"/>
      <c r="P28309" s="13"/>
    </row>
    <row r="28310">
      <c r="L28310" s="13"/>
      <c r="M28310" s="14"/>
      <c r="N28310" s="14"/>
      <c r="O28310" s="14"/>
      <c r="P28310" s="13"/>
    </row>
    <row r="28311">
      <c r="L28311" s="13"/>
      <c r="M28311" s="14"/>
      <c r="N28311" s="14"/>
      <c r="O28311" s="14"/>
      <c r="P28311" s="13"/>
    </row>
    <row r="28312">
      <c r="L28312" s="13"/>
      <c r="M28312" s="14"/>
      <c r="N28312" s="14"/>
      <c r="O28312" s="14"/>
      <c r="P28312" s="13"/>
    </row>
    <row r="28313">
      <c r="L28313" s="13"/>
      <c r="M28313" s="14"/>
      <c r="N28313" s="14"/>
      <c r="O28313" s="14"/>
      <c r="P28313" s="13"/>
    </row>
    <row r="28314">
      <c r="L28314" s="13"/>
      <c r="M28314" s="14"/>
      <c r="N28314" s="14"/>
      <c r="O28314" s="14"/>
      <c r="P28314" s="13"/>
    </row>
    <row r="28315">
      <c r="L28315" s="13"/>
      <c r="M28315" s="14"/>
      <c r="N28315" s="14"/>
      <c r="O28315" s="14"/>
      <c r="P28315" s="13"/>
    </row>
    <row r="28316">
      <c r="L28316" s="13"/>
      <c r="M28316" s="14"/>
      <c r="N28316" s="14"/>
      <c r="O28316" s="14"/>
      <c r="P28316" s="13"/>
    </row>
    <row r="28317">
      <c r="L28317" s="13"/>
      <c r="M28317" s="14"/>
      <c r="N28317" s="14"/>
      <c r="O28317" s="14"/>
      <c r="P28317" s="13"/>
    </row>
    <row r="28318">
      <c r="L28318" s="13"/>
      <c r="M28318" s="14"/>
      <c r="N28318" s="14"/>
      <c r="O28318" s="14"/>
      <c r="P28318" s="13"/>
    </row>
    <row r="28319">
      <c r="L28319" s="13"/>
      <c r="M28319" s="14"/>
      <c r="N28319" s="14"/>
      <c r="O28319" s="14"/>
      <c r="P28319" s="13"/>
    </row>
    <row r="28320">
      <c r="L28320" s="13"/>
      <c r="M28320" s="14"/>
      <c r="N28320" s="14"/>
      <c r="O28320" s="14"/>
      <c r="P28320" s="13"/>
    </row>
    <row r="28321">
      <c r="L28321" s="13"/>
      <c r="M28321" s="14"/>
      <c r="N28321" s="14"/>
      <c r="O28321" s="14"/>
      <c r="P28321" s="13"/>
    </row>
    <row r="28322">
      <c r="L28322" s="13"/>
      <c r="M28322" s="14"/>
      <c r="N28322" s="14"/>
      <c r="O28322" s="14"/>
      <c r="P28322" s="13"/>
    </row>
    <row r="28323">
      <c r="L28323" s="13"/>
      <c r="M28323" s="14"/>
      <c r="N28323" s="14"/>
      <c r="O28323" s="14"/>
      <c r="P28323" s="13"/>
    </row>
    <row r="28324">
      <c r="L28324" s="13"/>
      <c r="M28324" s="14"/>
      <c r="N28324" s="14"/>
      <c r="O28324" s="14"/>
      <c r="P28324" s="13"/>
    </row>
    <row r="28325">
      <c r="L28325" s="13"/>
      <c r="M28325" s="14"/>
      <c r="N28325" s="14"/>
      <c r="O28325" s="14"/>
      <c r="P28325" s="13"/>
    </row>
    <row r="28326">
      <c r="L28326" s="13"/>
      <c r="M28326" s="14"/>
      <c r="N28326" s="14"/>
      <c r="O28326" s="14"/>
      <c r="P28326" s="13"/>
    </row>
    <row r="28327">
      <c r="L28327" s="13"/>
      <c r="M28327" s="14"/>
      <c r="N28327" s="14"/>
      <c r="O28327" s="14"/>
      <c r="P28327" s="13"/>
    </row>
    <row r="28328">
      <c r="L28328" s="13"/>
      <c r="M28328" s="14"/>
      <c r="N28328" s="14"/>
      <c r="O28328" s="14"/>
      <c r="P28328" s="13"/>
    </row>
    <row r="28329">
      <c r="L28329" s="13"/>
      <c r="M28329" s="14"/>
      <c r="N28329" s="14"/>
      <c r="O28329" s="14"/>
      <c r="P28329" s="13"/>
    </row>
    <row r="28330">
      <c r="L28330" s="13"/>
      <c r="M28330" s="14"/>
      <c r="N28330" s="14"/>
      <c r="O28330" s="14"/>
      <c r="P28330" s="13"/>
    </row>
    <row r="28331">
      <c r="L28331" s="13"/>
      <c r="M28331" s="14"/>
      <c r="N28331" s="14"/>
      <c r="O28331" s="14"/>
      <c r="P28331" s="13"/>
    </row>
    <row r="28332">
      <c r="L28332" s="13"/>
      <c r="M28332" s="14"/>
      <c r="N28332" s="14"/>
      <c r="O28332" s="14"/>
      <c r="P28332" s="13"/>
    </row>
    <row r="28333">
      <c r="L28333" s="13"/>
      <c r="M28333" s="14"/>
      <c r="N28333" s="14"/>
      <c r="O28333" s="14"/>
      <c r="P28333" s="13"/>
    </row>
    <row r="28334">
      <c r="L28334" s="13"/>
      <c r="M28334" s="14"/>
      <c r="N28334" s="14"/>
      <c r="O28334" s="14"/>
      <c r="P28334" s="13"/>
    </row>
    <row r="28335">
      <c r="L28335" s="13"/>
      <c r="M28335" s="14"/>
      <c r="N28335" s="14"/>
      <c r="O28335" s="14"/>
      <c r="P28335" s="13"/>
    </row>
    <row r="28336">
      <c r="L28336" s="13"/>
      <c r="M28336" s="14"/>
      <c r="N28336" s="14"/>
      <c r="O28336" s="14"/>
      <c r="P28336" s="13"/>
    </row>
    <row r="28337">
      <c r="L28337" s="13"/>
      <c r="M28337" s="14"/>
      <c r="N28337" s="14"/>
      <c r="O28337" s="14"/>
      <c r="P28337" s="13"/>
    </row>
    <row r="28338">
      <c r="L28338" s="13"/>
      <c r="M28338" s="14"/>
      <c r="N28338" s="14"/>
      <c r="O28338" s="14"/>
      <c r="P28338" s="13"/>
    </row>
    <row r="28339">
      <c r="L28339" s="13"/>
      <c r="M28339" s="14"/>
      <c r="N28339" s="14"/>
      <c r="O28339" s="14"/>
      <c r="P28339" s="13"/>
    </row>
    <row r="28340">
      <c r="L28340" s="13"/>
      <c r="M28340" s="14"/>
      <c r="N28340" s="14"/>
      <c r="O28340" s="14"/>
      <c r="P28340" s="13"/>
    </row>
    <row r="28341">
      <c r="L28341" s="13"/>
      <c r="M28341" s="14"/>
      <c r="N28341" s="14"/>
      <c r="O28341" s="14"/>
      <c r="P28341" s="13"/>
    </row>
    <row r="28342">
      <c r="L28342" s="13"/>
      <c r="M28342" s="14"/>
      <c r="N28342" s="14"/>
      <c r="O28342" s="14"/>
      <c r="P28342" s="13"/>
    </row>
    <row r="28343">
      <c r="L28343" s="13"/>
      <c r="M28343" s="14"/>
      <c r="N28343" s="14"/>
      <c r="O28343" s="14"/>
      <c r="P28343" s="13"/>
    </row>
    <row r="28344">
      <c r="L28344" s="13"/>
      <c r="M28344" s="14"/>
      <c r="N28344" s="14"/>
      <c r="O28344" s="14"/>
      <c r="P28344" s="13"/>
    </row>
    <row r="28345">
      <c r="L28345" s="13"/>
      <c r="M28345" s="14"/>
      <c r="N28345" s="14"/>
      <c r="O28345" s="14"/>
      <c r="P28345" s="13"/>
    </row>
    <row r="28346">
      <c r="L28346" s="13"/>
      <c r="M28346" s="14"/>
      <c r="N28346" s="14"/>
      <c r="O28346" s="14"/>
      <c r="P28346" s="13"/>
    </row>
    <row r="28347">
      <c r="L28347" s="13"/>
      <c r="M28347" s="14"/>
      <c r="N28347" s="14"/>
      <c r="O28347" s="14"/>
      <c r="P28347" s="13"/>
    </row>
    <row r="28348">
      <c r="L28348" s="13"/>
      <c r="M28348" s="14"/>
      <c r="N28348" s="14"/>
      <c r="O28348" s="14"/>
      <c r="P28348" s="13"/>
    </row>
    <row r="28349">
      <c r="L28349" s="13"/>
      <c r="M28349" s="14"/>
      <c r="N28349" s="14"/>
      <c r="O28349" s="14"/>
      <c r="P28349" s="13"/>
    </row>
    <row r="28350">
      <c r="L28350" s="13"/>
      <c r="M28350" s="14"/>
      <c r="N28350" s="14"/>
      <c r="O28350" s="14"/>
      <c r="P28350" s="13"/>
    </row>
    <row r="28351">
      <c r="L28351" s="13"/>
      <c r="M28351" s="14"/>
      <c r="N28351" s="14"/>
      <c r="O28351" s="14"/>
      <c r="P28351" s="13"/>
    </row>
    <row r="28352">
      <c r="L28352" s="13"/>
      <c r="M28352" s="14"/>
      <c r="N28352" s="14"/>
      <c r="O28352" s="14"/>
      <c r="P28352" s="13"/>
    </row>
    <row r="28353">
      <c r="L28353" s="13"/>
      <c r="M28353" s="14"/>
      <c r="N28353" s="14"/>
      <c r="O28353" s="14"/>
      <c r="P28353" s="13"/>
    </row>
    <row r="28354">
      <c r="L28354" s="13"/>
      <c r="M28354" s="14"/>
      <c r="N28354" s="14"/>
      <c r="O28354" s="14"/>
      <c r="P28354" s="13"/>
    </row>
    <row r="28355">
      <c r="L28355" s="13"/>
      <c r="M28355" s="14"/>
      <c r="N28355" s="14"/>
      <c r="O28355" s="14"/>
      <c r="P28355" s="13"/>
    </row>
    <row r="28356">
      <c r="L28356" s="13"/>
      <c r="M28356" s="14"/>
      <c r="N28356" s="14"/>
      <c r="O28356" s="14"/>
      <c r="P28356" s="13"/>
    </row>
    <row r="28357">
      <c r="L28357" s="13"/>
      <c r="M28357" s="14"/>
      <c r="N28357" s="14"/>
      <c r="O28357" s="14"/>
      <c r="P28357" s="13"/>
    </row>
    <row r="28358">
      <c r="L28358" s="13"/>
      <c r="M28358" s="14"/>
      <c r="N28358" s="14"/>
      <c r="O28358" s="14"/>
      <c r="P28358" s="13"/>
    </row>
    <row r="28359">
      <c r="L28359" s="13"/>
      <c r="M28359" s="14"/>
      <c r="N28359" s="14"/>
      <c r="O28359" s="14"/>
      <c r="P28359" s="13"/>
    </row>
    <row r="28360">
      <c r="L28360" s="13"/>
      <c r="M28360" s="14"/>
      <c r="N28360" s="14"/>
      <c r="O28360" s="14"/>
      <c r="P28360" s="13"/>
    </row>
    <row r="28361">
      <c r="L28361" s="13"/>
      <c r="M28361" s="14"/>
      <c r="N28361" s="14"/>
      <c r="O28361" s="14"/>
      <c r="P28361" s="13"/>
    </row>
    <row r="28362">
      <c r="L28362" s="13"/>
      <c r="M28362" s="14"/>
      <c r="N28362" s="14"/>
      <c r="O28362" s="14"/>
      <c r="P28362" s="13"/>
    </row>
    <row r="28363">
      <c r="L28363" s="13"/>
      <c r="M28363" s="14"/>
      <c r="N28363" s="14"/>
      <c r="O28363" s="14"/>
      <c r="P28363" s="13"/>
    </row>
    <row r="28364">
      <c r="L28364" s="13"/>
      <c r="M28364" s="14"/>
      <c r="N28364" s="14"/>
      <c r="O28364" s="14"/>
      <c r="P28364" s="13"/>
    </row>
    <row r="28365">
      <c r="L28365" s="13"/>
      <c r="M28365" s="14"/>
      <c r="N28365" s="14"/>
      <c r="O28365" s="14"/>
      <c r="P28365" s="13"/>
    </row>
    <row r="28366">
      <c r="L28366" s="13"/>
      <c r="M28366" s="14"/>
      <c r="N28366" s="14"/>
      <c r="O28366" s="14"/>
      <c r="P28366" s="13"/>
    </row>
    <row r="28367">
      <c r="L28367" s="13"/>
      <c r="M28367" s="14"/>
      <c r="N28367" s="14"/>
      <c r="O28367" s="14"/>
      <c r="P28367" s="13"/>
    </row>
    <row r="28368">
      <c r="L28368" s="13"/>
      <c r="M28368" s="14"/>
      <c r="N28368" s="14"/>
      <c r="O28368" s="14"/>
      <c r="P28368" s="13"/>
    </row>
    <row r="28369">
      <c r="L28369" s="13"/>
      <c r="M28369" s="14"/>
      <c r="N28369" s="14"/>
      <c r="O28369" s="14"/>
      <c r="P28369" s="13"/>
    </row>
    <row r="28370">
      <c r="L28370" s="13"/>
      <c r="M28370" s="14"/>
      <c r="N28370" s="14"/>
      <c r="O28370" s="14"/>
      <c r="P28370" s="13"/>
    </row>
    <row r="28371">
      <c r="L28371" s="13"/>
      <c r="M28371" s="14"/>
      <c r="N28371" s="14"/>
      <c r="O28371" s="14"/>
      <c r="P28371" s="13"/>
    </row>
    <row r="28372">
      <c r="L28372" s="13"/>
      <c r="M28372" s="14"/>
      <c r="N28372" s="14"/>
      <c r="O28372" s="14"/>
      <c r="P28372" s="13"/>
    </row>
    <row r="28373">
      <c r="L28373" s="13"/>
      <c r="M28373" s="14"/>
      <c r="N28373" s="14"/>
      <c r="O28373" s="14"/>
      <c r="P28373" s="13"/>
    </row>
    <row r="28374">
      <c r="L28374" s="13"/>
      <c r="M28374" s="14"/>
      <c r="N28374" s="14"/>
      <c r="O28374" s="14"/>
      <c r="P28374" s="13"/>
    </row>
    <row r="28375">
      <c r="L28375" s="13"/>
      <c r="M28375" s="14"/>
      <c r="N28375" s="14"/>
      <c r="O28375" s="14"/>
      <c r="P28375" s="13"/>
    </row>
    <row r="28376">
      <c r="L28376" s="13"/>
      <c r="M28376" s="14"/>
      <c r="N28376" s="14"/>
      <c r="O28376" s="14"/>
      <c r="P28376" s="13"/>
    </row>
    <row r="28377">
      <c r="L28377" s="13"/>
      <c r="M28377" s="14"/>
      <c r="N28377" s="14"/>
      <c r="O28377" s="14"/>
      <c r="P28377" s="13"/>
    </row>
    <row r="28378">
      <c r="L28378" s="13"/>
      <c r="M28378" s="14"/>
      <c r="N28378" s="14"/>
      <c r="O28378" s="14"/>
      <c r="P28378" s="13"/>
    </row>
    <row r="28379">
      <c r="L28379" s="13"/>
      <c r="M28379" s="14"/>
      <c r="N28379" s="14"/>
      <c r="O28379" s="14"/>
      <c r="P28379" s="13"/>
    </row>
    <row r="28380">
      <c r="L28380" s="13"/>
      <c r="M28380" s="14"/>
      <c r="N28380" s="14"/>
      <c r="O28380" s="14"/>
      <c r="P28380" s="13"/>
    </row>
    <row r="28381">
      <c r="L28381" s="13"/>
      <c r="M28381" s="14"/>
      <c r="N28381" s="14"/>
      <c r="O28381" s="14"/>
      <c r="P28381" s="13"/>
    </row>
    <row r="28382">
      <c r="L28382" s="13"/>
      <c r="M28382" s="14"/>
      <c r="N28382" s="14"/>
      <c r="O28382" s="14"/>
      <c r="P28382" s="13"/>
    </row>
    <row r="28383">
      <c r="L28383" s="13"/>
      <c r="M28383" s="14"/>
      <c r="N28383" s="14"/>
      <c r="O28383" s="14"/>
      <c r="P28383" s="13"/>
    </row>
    <row r="28384">
      <c r="L28384" s="13"/>
      <c r="M28384" s="14"/>
      <c r="N28384" s="14"/>
      <c r="O28384" s="14"/>
      <c r="P28384" s="13"/>
    </row>
    <row r="28385">
      <c r="L28385" s="13"/>
      <c r="M28385" s="14"/>
      <c r="N28385" s="14"/>
      <c r="O28385" s="14"/>
      <c r="P28385" s="13"/>
    </row>
    <row r="28386">
      <c r="L28386" s="13"/>
      <c r="M28386" s="14"/>
      <c r="N28386" s="14"/>
      <c r="O28386" s="14"/>
      <c r="P28386" s="13"/>
    </row>
    <row r="28387">
      <c r="L28387" s="13"/>
      <c r="M28387" s="14"/>
      <c r="N28387" s="14"/>
      <c r="O28387" s="14"/>
      <c r="P28387" s="13"/>
    </row>
    <row r="28388">
      <c r="L28388" s="13"/>
      <c r="M28388" s="14"/>
      <c r="N28388" s="14"/>
      <c r="O28388" s="14"/>
      <c r="P28388" s="13"/>
    </row>
    <row r="28389">
      <c r="L28389" s="13"/>
      <c r="M28389" s="14"/>
      <c r="N28389" s="14"/>
      <c r="O28389" s="14"/>
      <c r="P28389" s="13"/>
    </row>
    <row r="28390">
      <c r="L28390" s="13"/>
      <c r="M28390" s="14"/>
      <c r="N28390" s="14"/>
      <c r="O28390" s="14"/>
      <c r="P28390" s="13"/>
    </row>
    <row r="28391">
      <c r="L28391" s="13"/>
      <c r="M28391" s="14"/>
      <c r="N28391" s="14"/>
      <c r="O28391" s="14"/>
      <c r="P28391" s="13"/>
    </row>
    <row r="28392">
      <c r="L28392" s="13"/>
      <c r="M28392" s="14"/>
      <c r="N28392" s="14"/>
      <c r="O28392" s="14"/>
      <c r="P28392" s="13"/>
    </row>
    <row r="28393">
      <c r="L28393" s="13"/>
      <c r="M28393" s="14"/>
      <c r="N28393" s="14"/>
      <c r="O28393" s="14"/>
      <c r="P28393" s="13"/>
    </row>
    <row r="28394">
      <c r="L28394" s="13"/>
      <c r="M28394" s="14"/>
      <c r="N28394" s="14"/>
      <c r="O28394" s="14"/>
      <c r="P28394" s="13"/>
    </row>
    <row r="28395">
      <c r="L28395" s="13"/>
      <c r="M28395" s="14"/>
      <c r="N28395" s="14"/>
      <c r="O28395" s="14"/>
      <c r="P28395" s="13"/>
    </row>
    <row r="28396">
      <c r="L28396" s="13"/>
      <c r="M28396" s="14"/>
      <c r="N28396" s="14"/>
      <c r="O28396" s="14"/>
      <c r="P28396" s="13"/>
    </row>
    <row r="28397">
      <c r="L28397" s="13"/>
      <c r="M28397" s="14"/>
      <c r="N28397" s="14"/>
      <c r="O28397" s="14"/>
      <c r="P28397" s="13"/>
    </row>
    <row r="28398">
      <c r="L28398" s="13"/>
      <c r="M28398" s="14"/>
      <c r="N28398" s="14"/>
      <c r="O28398" s="14"/>
      <c r="P28398" s="13"/>
    </row>
    <row r="28399">
      <c r="L28399" s="13"/>
      <c r="M28399" s="14"/>
      <c r="N28399" s="14"/>
      <c r="O28399" s="14"/>
      <c r="P28399" s="13"/>
    </row>
    <row r="28400">
      <c r="L28400" s="13"/>
      <c r="M28400" s="14"/>
      <c r="N28400" s="14"/>
      <c r="O28400" s="14"/>
      <c r="P28400" s="13"/>
    </row>
    <row r="28401">
      <c r="L28401" s="13"/>
      <c r="M28401" s="14"/>
      <c r="N28401" s="14"/>
      <c r="O28401" s="14"/>
      <c r="P28401" s="13"/>
    </row>
    <row r="28402">
      <c r="L28402" s="13"/>
      <c r="M28402" s="14"/>
      <c r="N28402" s="14"/>
      <c r="O28402" s="14"/>
      <c r="P28402" s="13"/>
    </row>
    <row r="28403">
      <c r="L28403" s="13"/>
      <c r="M28403" s="14"/>
      <c r="N28403" s="14"/>
      <c r="O28403" s="14"/>
      <c r="P28403" s="13"/>
    </row>
    <row r="28404">
      <c r="L28404" s="13"/>
      <c r="M28404" s="14"/>
      <c r="N28404" s="14"/>
      <c r="O28404" s="14"/>
      <c r="P28404" s="13"/>
    </row>
    <row r="28405">
      <c r="L28405" s="13"/>
      <c r="M28405" s="14"/>
      <c r="N28405" s="14"/>
      <c r="O28405" s="14"/>
      <c r="P28405" s="13"/>
    </row>
    <row r="28406">
      <c r="L28406" s="13"/>
      <c r="M28406" s="14"/>
      <c r="N28406" s="14"/>
      <c r="O28406" s="14"/>
      <c r="P28406" s="13"/>
    </row>
    <row r="28407">
      <c r="L28407" s="13"/>
      <c r="M28407" s="14"/>
      <c r="N28407" s="14"/>
      <c r="O28407" s="14"/>
      <c r="P28407" s="13"/>
    </row>
    <row r="28408">
      <c r="L28408" s="13"/>
      <c r="M28408" s="14"/>
      <c r="N28408" s="14"/>
      <c r="O28408" s="14"/>
      <c r="P28408" s="13"/>
    </row>
    <row r="28409">
      <c r="L28409" s="13"/>
      <c r="M28409" s="14"/>
      <c r="N28409" s="14"/>
      <c r="O28409" s="14"/>
      <c r="P28409" s="13"/>
    </row>
    <row r="28410">
      <c r="L28410" s="13"/>
      <c r="M28410" s="14"/>
      <c r="N28410" s="14"/>
      <c r="O28410" s="14"/>
      <c r="P28410" s="13"/>
    </row>
    <row r="28411">
      <c r="L28411" s="13"/>
      <c r="M28411" s="14"/>
      <c r="N28411" s="14"/>
      <c r="O28411" s="14"/>
      <c r="P28411" s="13"/>
    </row>
    <row r="28412">
      <c r="L28412" s="13"/>
      <c r="M28412" s="14"/>
      <c r="N28412" s="14"/>
      <c r="O28412" s="14"/>
      <c r="P28412" s="13"/>
    </row>
    <row r="28413">
      <c r="L28413" s="13"/>
      <c r="M28413" s="14"/>
      <c r="N28413" s="14"/>
      <c r="O28413" s="14"/>
      <c r="P28413" s="13"/>
    </row>
    <row r="28414">
      <c r="L28414" s="13"/>
      <c r="M28414" s="14"/>
      <c r="N28414" s="14"/>
      <c r="O28414" s="14"/>
      <c r="P28414" s="13"/>
    </row>
    <row r="28415">
      <c r="L28415" s="13"/>
      <c r="M28415" s="14"/>
      <c r="N28415" s="14"/>
      <c r="O28415" s="14"/>
      <c r="P28415" s="13"/>
    </row>
    <row r="28416">
      <c r="L28416" s="13"/>
      <c r="M28416" s="14"/>
      <c r="N28416" s="14"/>
      <c r="O28416" s="14"/>
      <c r="P28416" s="13"/>
    </row>
    <row r="28417">
      <c r="L28417" s="13"/>
      <c r="M28417" s="14"/>
      <c r="N28417" s="14"/>
      <c r="O28417" s="14"/>
      <c r="P28417" s="13"/>
    </row>
    <row r="28418">
      <c r="L28418" s="13"/>
      <c r="M28418" s="14"/>
      <c r="N28418" s="14"/>
      <c r="O28418" s="14"/>
      <c r="P28418" s="13"/>
    </row>
    <row r="28419">
      <c r="L28419" s="13"/>
      <c r="M28419" s="14"/>
      <c r="N28419" s="14"/>
      <c r="O28419" s="14"/>
      <c r="P28419" s="13"/>
    </row>
    <row r="28420">
      <c r="L28420" s="13"/>
      <c r="M28420" s="14"/>
      <c r="N28420" s="14"/>
      <c r="O28420" s="14"/>
      <c r="P28420" s="13"/>
    </row>
    <row r="28421">
      <c r="L28421" s="13"/>
      <c r="M28421" s="14"/>
      <c r="N28421" s="14"/>
      <c r="O28421" s="14"/>
      <c r="P28421" s="13"/>
    </row>
    <row r="28422">
      <c r="L28422" s="13"/>
      <c r="M28422" s="14"/>
      <c r="N28422" s="14"/>
      <c r="O28422" s="14"/>
      <c r="P28422" s="13"/>
    </row>
    <row r="28423">
      <c r="L28423" s="13"/>
      <c r="M28423" s="14"/>
      <c r="N28423" s="14"/>
      <c r="O28423" s="14"/>
      <c r="P28423" s="13"/>
    </row>
    <row r="28424">
      <c r="L28424" s="13"/>
      <c r="M28424" s="14"/>
      <c r="N28424" s="14"/>
      <c r="O28424" s="14"/>
      <c r="P28424" s="13"/>
    </row>
    <row r="28425">
      <c r="L28425" s="13"/>
      <c r="M28425" s="14"/>
      <c r="N28425" s="14"/>
      <c r="O28425" s="14"/>
      <c r="P28425" s="13"/>
    </row>
    <row r="28426">
      <c r="L28426" s="13"/>
      <c r="M28426" s="14"/>
      <c r="N28426" s="14"/>
      <c r="O28426" s="14"/>
      <c r="P28426" s="13"/>
    </row>
    <row r="28427">
      <c r="L28427" s="13"/>
      <c r="M28427" s="14"/>
      <c r="N28427" s="14"/>
      <c r="O28427" s="14"/>
      <c r="P28427" s="13"/>
    </row>
    <row r="28428">
      <c r="L28428" s="13"/>
      <c r="M28428" s="14"/>
      <c r="N28428" s="14"/>
      <c r="O28428" s="14"/>
      <c r="P28428" s="13"/>
    </row>
    <row r="28429">
      <c r="L28429" s="13"/>
      <c r="M28429" s="14"/>
      <c r="N28429" s="14"/>
      <c r="O28429" s="14"/>
      <c r="P28429" s="13"/>
    </row>
    <row r="28430">
      <c r="L28430" s="13"/>
      <c r="M28430" s="14"/>
      <c r="N28430" s="14"/>
      <c r="O28430" s="14"/>
      <c r="P28430" s="13"/>
    </row>
    <row r="28431">
      <c r="L28431" s="13"/>
      <c r="M28431" s="14"/>
      <c r="N28431" s="14"/>
      <c r="O28431" s="14"/>
      <c r="P28431" s="13"/>
    </row>
    <row r="28432">
      <c r="L28432" s="13"/>
      <c r="M28432" s="14"/>
      <c r="N28432" s="14"/>
      <c r="O28432" s="14"/>
      <c r="P28432" s="13"/>
    </row>
    <row r="28433">
      <c r="L28433" s="13"/>
      <c r="M28433" s="14"/>
      <c r="N28433" s="14"/>
      <c r="O28433" s="14"/>
      <c r="P28433" s="13"/>
    </row>
    <row r="28434">
      <c r="L28434" s="13"/>
      <c r="M28434" s="14"/>
      <c r="N28434" s="14"/>
      <c r="O28434" s="14"/>
      <c r="P28434" s="13"/>
    </row>
    <row r="28435">
      <c r="L28435" s="13"/>
      <c r="M28435" s="14"/>
      <c r="N28435" s="14"/>
      <c r="O28435" s="14"/>
      <c r="P28435" s="13"/>
    </row>
    <row r="28436">
      <c r="L28436" s="13"/>
      <c r="M28436" s="14"/>
      <c r="N28436" s="14"/>
      <c r="O28436" s="14"/>
      <c r="P28436" s="13"/>
    </row>
    <row r="28437">
      <c r="L28437" s="13"/>
      <c r="M28437" s="14"/>
      <c r="N28437" s="14"/>
      <c r="O28437" s="14"/>
      <c r="P28437" s="13"/>
    </row>
    <row r="28438">
      <c r="L28438" s="13"/>
      <c r="M28438" s="14"/>
      <c r="N28438" s="14"/>
      <c r="O28438" s="14"/>
      <c r="P28438" s="13"/>
    </row>
    <row r="28439">
      <c r="L28439" s="13"/>
      <c r="M28439" s="14"/>
      <c r="N28439" s="14"/>
      <c r="O28439" s="14"/>
      <c r="P28439" s="13"/>
    </row>
    <row r="28440">
      <c r="L28440" s="13"/>
      <c r="M28440" s="14"/>
      <c r="N28440" s="14"/>
      <c r="O28440" s="14"/>
      <c r="P28440" s="13"/>
    </row>
    <row r="28441">
      <c r="L28441" s="13"/>
      <c r="M28441" s="14"/>
      <c r="N28441" s="14"/>
      <c r="O28441" s="14"/>
      <c r="P28441" s="13"/>
    </row>
    <row r="28442">
      <c r="L28442" s="13"/>
      <c r="M28442" s="14"/>
      <c r="N28442" s="14"/>
      <c r="O28442" s="14"/>
      <c r="P28442" s="13"/>
    </row>
    <row r="28443">
      <c r="L28443" s="13"/>
      <c r="M28443" s="14"/>
      <c r="N28443" s="14"/>
      <c r="O28443" s="14"/>
      <c r="P28443" s="13"/>
    </row>
    <row r="28444">
      <c r="L28444" s="13"/>
      <c r="M28444" s="14"/>
      <c r="N28444" s="14"/>
      <c r="O28444" s="14"/>
      <c r="P28444" s="13"/>
    </row>
    <row r="28445">
      <c r="L28445" s="13"/>
      <c r="M28445" s="14"/>
      <c r="N28445" s="14"/>
      <c r="O28445" s="14"/>
      <c r="P28445" s="13"/>
    </row>
    <row r="28446">
      <c r="L28446" s="13"/>
      <c r="M28446" s="14"/>
      <c r="N28446" s="14"/>
      <c r="O28446" s="14"/>
      <c r="P28446" s="13"/>
    </row>
    <row r="28447">
      <c r="L28447" s="13"/>
      <c r="M28447" s="14"/>
      <c r="N28447" s="14"/>
      <c r="O28447" s="14"/>
      <c r="P28447" s="13"/>
    </row>
    <row r="28448">
      <c r="L28448" s="13"/>
      <c r="M28448" s="14"/>
      <c r="N28448" s="14"/>
      <c r="O28448" s="14"/>
      <c r="P28448" s="13"/>
    </row>
    <row r="28449">
      <c r="L28449" s="13"/>
      <c r="M28449" s="14"/>
      <c r="N28449" s="14"/>
      <c r="O28449" s="14"/>
      <c r="P28449" s="13"/>
    </row>
    <row r="28450">
      <c r="L28450" s="13"/>
      <c r="M28450" s="14"/>
      <c r="N28450" s="14"/>
      <c r="O28450" s="14"/>
      <c r="P28450" s="13"/>
    </row>
    <row r="28451">
      <c r="L28451" s="13"/>
      <c r="M28451" s="14"/>
      <c r="N28451" s="14"/>
      <c r="O28451" s="14"/>
      <c r="P28451" s="13"/>
    </row>
    <row r="28452">
      <c r="L28452" s="13"/>
      <c r="M28452" s="14"/>
      <c r="N28452" s="14"/>
      <c r="O28452" s="14"/>
      <c r="P28452" s="13"/>
    </row>
    <row r="28453">
      <c r="L28453" s="13"/>
      <c r="M28453" s="14"/>
      <c r="N28453" s="14"/>
      <c r="O28453" s="14"/>
      <c r="P28453" s="13"/>
    </row>
    <row r="28454">
      <c r="L28454" s="13"/>
      <c r="M28454" s="14"/>
      <c r="N28454" s="14"/>
      <c r="O28454" s="14"/>
      <c r="P28454" s="13"/>
    </row>
    <row r="28455">
      <c r="L28455" s="13"/>
      <c r="M28455" s="14"/>
      <c r="N28455" s="14"/>
      <c r="O28455" s="14"/>
      <c r="P28455" s="13"/>
    </row>
    <row r="28456">
      <c r="L28456" s="13"/>
      <c r="M28456" s="14"/>
      <c r="N28456" s="14"/>
      <c r="O28456" s="14"/>
      <c r="P28456" s="13"/>
    </row>
    <row r="28457">
      <c r="L28457" s="13"/>
      <c r="M28457" s="14"/>
      <c r="N28457" s="14"/>
      <c r="O28457" s="14"/>
      <c r="P28457" s="13"/>
    </row>
    <row r="28458">
      <c r="L28458" s="13"/>
      <c r="M28458" s="14"/>
      <c r="N28458" s="14"/>
      <c r="O28458" s="14"/>
      <c r="P28458" s="13"/>
    </row>
    <row r="28459">
      <c r="L28459" s="13"/>
      <c r="M28459" s="14"/>
      <c r="N28459" s="14"/>
      <c r="O28459" s="14"/>
      <c r="P28459" s="13"/>
    </row>
    <row r="28460">
      <c r="L28460" s="13"/>
      <c r="M28460" s="14"/>
      <c r="N28460" s="14"/>
      <c r="O28460" s="14"/>
      <c r="P28460" s="13"/>
    </row>
    <row r="28461">
      <c r="L28461" s="13"/>
      <c r="M28461" s="14"/>
      <c r="N28461" s="14"/>
      <c r="O28461" s="14"/>
      <c r="P28461" s="13"/>
    </row>
    <row r="28462">
      <c r="L28462" s="13"/>
      <c r="M28462" s="14"/>
      <c r="N28462" s="14"/>
      <c r="O28462" s="14"/>
      <c r="P28462" s="13"/>
    </row>
    <row r="28463">
      <c r="L28463" s="13"/>
      <c r="M28463" s="14"/>
      <c r="N28463" s="14"/>
      <c r="O28463" s="14"/>
      <c r="P28463" s="13"/>
    </row>
    <row r="28464">
      <c r="L28464" s="13"/>
      <c r="M28464" s="14"/>
      <c r="N28464" s="14"/>
      <c r="O28464" s="14"/>
      <c r="P28464" s="13"/>
    </row>
    <row r="28465">
      <c r="L28465" s="13"/>
      <c r="M28465" s="14"/>
      <c r="N28465" s="14"/>
      <c r="O28465" s="14"/>
      <c r="P28465" s="13"/>
    </row>
    <row r="28466">
      <c r="L28466" s="13"/>
      <c r="M28466" s="14"/>
      <c r="N28466" s="14"/>
      <c r="O28466" s="14"/>
      <c r="P28466" s="13"/>
    </row>
    <row r="28467">
      <c r="L28467" s="13"/>
      <c r="M28467" s="14"/>
      <c r="N28467" s="14"/>
      <c r="O28467" s="14"/>
      <c r="P28467" s="13"/>
    </row>
    <row r="28468">
      <c r="L28468" s="13"/>
      <c r="M28468" s="14"/>
      <c r="N28468" s="14"/>
      <c r="O28468" s="14"/>
      <c r="P28468" s="13"/>
    </row>
    <row r="28469">
      <c r="L28469" s="13"/>
      <c r="M28469" s="14"/>
      <c r="N28469" s="14"/>
      <c r="O28469" s="14"/>
      <c r="P28469" s="13"/>
    </row>
    <row r="28470">
      <c r="L28470" s="13"/>
      <c r="M28470" s="14"/>
      <c r="N28470" s="14"/>
      <c r="O28470" s="14"/>
      <c r="P28470" s="13"/>
    </row>
    <row r="28471">
      <c r="L28471" s="13"/>
      <c r="M28471" s="14"/>
      <c r="N28471" s="14"/>
      <c r="O28471" s="14"/>
      <c r="P28471" s="13"/>
    </row>
    <row r="28472">
      <c r="L28472" s="13"/>
      <c r="M28472" s="14"/>
      <c r="N28472" s="14"/>
      <c r="O28472" s="14"/>
      <c r="P28472" s="13"/>
    </row>
    <row r="28473">
      <c r="L28473" s="13"/>
      <c r="M28473" s="14"/>
      <c r="N28473" s="14"/>
      <c r="O28473" s="14"/>
      <c r="P28473" s="13"/>
    </row>
    <row r="28474">
      <c r="L28474" s="13"/>
      <c r="M28474" s="14"/>
      <c r="N28474" s="14"/>
      <c r="O28474" s="14"/>
      <c r="P28474" s="13"/>
    </row>
    <row r="28475">
      <c r="L28475" s="13"/>
      <c r="M28475" s="14"/>
      <c r="N28475" s="14"/>
      <c r="O28475" s="14"/>
      <c r="P28475" s="13"/>
    </row>
    <row r="28476">
      <c r="L28476" s="13"/>
      <c r="M28476" s="14"/>
      <c r="N28476" s="14"/>
      <c r="O28476" s="14"/>
      <c r="P28476" s="13"/>
    </row>
    <row r="28477">
      <c r="L28477" s="13"/>
      <c r="M28477" s="14"/>
      <c r="N28477" s="14"/>
      <c r="O28477" s="14"/>
      <c r="P28477" s="13"/>
    </row>
    <row r="28478">
      <c r="L28478" s="13"/>
      <c r="M28478" s="14"/>
      <c r="N28478" s="14"/>
      <c r="O28478" s="14"/>
      <c r="P28478" s="13"/>
    </row>
    <row r="28479">
      <c r="L28479" s="13"/>
      <c r="M28479" s="14"/>
      <c r="N28479" s="14"/>
      <c r="O28479" s="14"/>
      <c r="P28479" s="13"/>
    </row>
    <row r="28480">
      <c r="L28480" s="13"/>
      <c r="M28480" s="14"/>
      <c r="N28480" s="14"/>
      <c r="O28480" s="14"/>
      <c r="P28480" s="13"/>
    </row>
    <row r="28481">
      <c r="L28481" s="13"/>
      <c r="M28481" s="14"/>
      <c r="N28481" s="14"/>
      <c r="O28481" s="14"/>
      <c r="P28481" s="13"/>
    </row>
    <row r="28482">
      <c r="L28482" s="13"/>
      <c r="M28482" s="14"/>
      <c r="N28482" s="14"/>
      <c r="O28482" s="14"/>
      <c r="P28482" s="13"/>
    </row>
    <row r="28483">
      <c r="L28483" s="13"/>
      <c r="M28483" s="14"/>
      <c r="N28483" s="14"/>
      <c r="O28483" s="14"/>
      <c r="P28483" s="13"/>
    </row>
    <row r="28484">
      <c r="L28484" s="13"/>
      <c r="M28484" s="14"/>
      <c r="N28484" s="14"/>
      <c r="O28484" s="14"/>
      <c r="P28484" s="13"/>
    </row>
    <row r="28485">
      <c r="L28485" s="13"/>
      <c r="M28485" s="14"/>
      <c r="N28485" s="14"/>
      <c r="O28485" s="14"/>
      <c r="P28485" s="13"/>
    </row>
    <row r="28486">
      <c r="L28486" s="13"/>
      <c r="M28486" s="14"/>
      <c r="N28486" s="14"/>
      <c r="O28486" s="14"/>
      <c r="P28486" s="13"/>
    </row>
    <row r="28487">
      <c r="L28487" s="13"/>
      <c r="M28487" s="14"/>
      <c r="N28487" s="14"/>
      <c r="O28487" s="14"/>
      <c r="P28487" s="13"/>
    </row>
    <row r="28488">
      <c r="L28488" s="13"/>
      <c r="M28488" s="14"/>
      <c r="N28488" s="14"/>
      <c r="O28488" s="14"/>
      <c r="P28488" s="13"/>
    </row>
    <row r="28489">
      <c r="L28489" s="13"/>
      <c r="M28489" s="14"/>
      <c r="N28489" s="14"/>
      <c r="O28489" s="14"/>
      <c r="P28489" s="13"/>
    </row>
    <row r="28490">
      <c r="L28490" s="13"/>
      <c r="M28490" s="14"/>
      <c r="N28490" s="14"/>
      <c r="O28490" s="14"/>
      <c r="P28490" s="13"/>
    </row>
    <row r="28491">
      <c r="L28491" s="13"/>
      <c r="M28491" s="14"/>
      <c r="N28491" s="14"/>
      <c r="O28491" s="14"/>
      <c r="P28491" s="13"/>
    </row>
    <row r="28492">
      <c r="L28492" s="13"/>
      <c r="M28492" s="14"/>
      <c r="N28492" s="14"/>
      <c r="O28492" s="14"/>
      <c r="P28492" s="13"/>
    </row>
    <row r="28493">
      <c r="L28493" s="13"/>
      <c r="M28493" s="14"/>
      <c r="N28493" s="14"/>
      <c r="O28493" s="14"/>
      <c r="P28493" s="13"/>
    </row>
    <row r="28494">
      <c r="L28494" s="13"/>
      <c r="M28494" s="14"/>
      <c r="N28494" s="14"/>
      <c r="O28494" s="14"/>
      <c r="P28494" s="13"/>
    </row>
    <row r="28495">
      <c r="L28495" s="13"/>
      <c r="M28495" s="14"/>
      <c r="N28495" s="14"/>
      <c r="O28495" s="14"/>
      <c r="P28495" s="13"/>
    </row>
    <row r="28496">
      <c r="L28496" s="13"/>
      <c r="M28496" s="14"/>
      <c r="N28496" s="14"/>
      <c r="O28496" s="14"/>
      <c r="P28496" s="13"/>
    </row>
    <row r="28497">
      <c r="L28497" s="13"/>
      <c r="M28497" s="14"/>
      <c r="N28497" s="14"/>
      <c r="O28497" s="14"/>
      <c r="P28497" s="13"/>
    </row>
    <row r="28498">
      <c r="L28498" s="13"/>
      <c r="M28498" s="14"/>
      <c r="N28498" s="14"/>
      <c r="O28498" s="14"/>
      <c r="P28498" s="13"/>
    </row>
    <row r="28499">
      <c r="L28499" s="13"/>
      <c r="M28499" s="14"/>
      <c r="N28499" s="14"/>
      <c r="O28499" s="14"/>
      <c r="P28499" s="13"/>
    </row>
    <row r="28500">
      <c r="L28500" s="13"/>
      <c r="M28500" s="14"/>
      <c r="N28500" s="14"/>
      <c r="O28500" s="14"/>
      <c r="P28500" s="13"/>
    </row>
    <row r="28501">
      <c r="L28501" s="13"/>
      <c r="M28501" s="14"/>
      <c r="N28501" s="14"/>
      <c r="O28501" s="14"/>
      <c r="P28501" s="13"/>
    </row>
    <row r="28502">
      <c r="L28502" s="13"/>
      <c r="M28502" s="14"/>
      <c r="N28502" s="14"/>
      <c r="O28502" s="14"/>
      <c r="P28502" s="13"/>
    </row>
    <row r="28503">
      <c r="L28503" s="13"/>
      <c r="M28503" s="14"/>
      <c r="N28503" s="14"/>
      <c r="O28503" s="14"/>
      <c r="P28503" s="13"/>
    </row>
    <row r="28504">
      <c r="L28504" s="13"/>
      <c r="M28504" s="14"/>
      <c r="N28504" s="14"/>
      <c r="O28504" s="14"/>
      <c r="P28504" s="13"/>
    </row>
    <row r="28505">
      <c r="L28505" s="13"/>
      <c r="M28505" s="14"/>
      <c r="N28505" s="14"/>
      <c r="O28505" s="14"/>
      <c r="P28505" s="13"/>
    </row>
    <row r="28506">
      <c r="L28506" s="13"/>
      <c r="M28506" s="14"/>
      <c r="N28506" s="14"/>
      <c r="O28506" s="14"/>
      <c r="P28506" s="13"/>
    </row>
    <row r="28507">
      <c r="L28507" s="13"/>
      <c r="M28507" s="14"/>
      <c r="N28507" s="14"/>
      <c r="O28507" s="14"/>
      <c r="P28507" s="13"/>
    </row>
    <row r="28508">
      <c r="L28508" s="13"/>
      <c r="M28508" s="14"/>
      <c r="N28508" s="14"/>
      <c r="O28508" s="14"/>
      <c r="P28508" s="13"/>
    </row>
    <row r="28509">
      <c r="L28509" s="13"/>
      <c r="M28509" s="14"/>
      <c r="N28509" s="14"/>
      <c r="O28509" s="14"/>
      <c r="P28509" s="13"/>
    </row>
    <row r="28510">
      <c r="L28510" s="13"/>
      <c r="M28510" s="14"/>
      <c r="N28510" s="14"/>
      <c r="O28510" s="14"/>
      <c r="P28510" s="13"/>
    </row>
    <row r="28511">
      <c r="L28511" s="13"/>
      <c r="M28511" s="14"/>
      <c r="N28511" s="14"/>
      <c r="O28511" s="14"/>
      <c r="P28511" s="13"/>
    </row>
    <row r="28512">
      <c r="L28512" s="13"/>
      <c r="M28512" s="14"/>
      <c r="N28512" s="14"/>
      <c r="O28512" s="14"/>
      <c r="P28512" s="13"/>
    </row>
    <row r="28513">
      <c r="L28513" s="13"/>
      <c r="M28513" s="14"/>
      <c r="N28513" s="14"/>
      <c r="O28513" s="14"/>
      <c r="P28513" s="13"/>
    </row>
    <row r="28514">
      <c r="L28514" s="13"/>
      <c r="M28514" s="14"/>
      <c r="N28514" s="14"/>
      <c r="O28514" s="14"/>
      <c r="P28514" s="13"/>
    </row>
    <row r="28515">
      <c r="L28515" s="13"/>
      <c r="M28515" s="14"/>
      <c r="N28515" s="14"/>
      <c r="O28515" s="14"/>
      <c r="P28515" s="13"/>
    </row>
    <row r="28516">
      <c r="L28516" s="13"/>
      <c r="M28516" s="14"/>
      <c r="N28516" s="14"/>
      <c r="O28516" s="14"/>
      <c r="P28516" s="13"/>
    </row>
    <row r="28517">
      <c r="L28517" s="13"/>
      <c r="M28517" s="14"/>
      <c r="N28517" s="14"/>
      <c r="O28517" s="14"/>
      <c r="P28517" s="13"/>
    </row>
    <row r="28518">
      <c r="L28518" s="13"/>
      <c r="M28518" s="14"/>
      <c r="N28518" s="14"/>
      <c r="O28518" s="14"/>
      <c r="P28518" s="13"/>
    </row>
    <row r="28519">
      <c r="L28519" s="13"/>
      <c r="M28519" s="14"/>
      <c r="N28519" s="14"/>
      <c r="O28519" s="14"/>
      <c r="P28519" s="13"/>
    </row>
    <row r="28520">
      <c r="L28520" s="13"/>
      <c r="M28520" s="14"/>
      <c r="N28520" s="14"/>
      <c r="O28520" s="14"/>
      <c r="P28520" s="13"/>
    </row>
    <row r="28521">
      <c r="L28521" s="13"/>
      <c r="M28521" s="14"/>
      <c r="N28521" s="14"/>
      <c r="O28521" s="14"/>
      <c r="P28521" s="13"/>
    </row>
    <row r="28522">
      <c r="L28522" s="13"/>
      <c r="M28522" s="14"/>
      <c r="N28522" s="14"/>
      <c r="O28522" s="14"/>
      <c r="P28522" s="13"/>
    </row>
    <row r="28523">
      <c r="L28523" s="13"/>
      <c r="M28523" s="14"/>
      <c r="N28523" s="14"/>
      <c r="O28523" s="14"/>
      <c r="P28523" s="13"/>
    </row>
    <row r="28524">
      <c r="L28524" s="13"/>
      <c r="M28524" s="14"/>
      <c r="N28524" s="14"/>
      <c r="O28524" s="14"/>
      <c r="P28524" s="13"/>
    </row>
    <row r="28525">
      <c r="L28525" s="13"/>
      <c r="M28525" s="14"/>
      <c r="N28525" s="14"/>
      <c r="O28525" s="14"/>
      <c r="P28525" s="13"/>
    </row>
    <row r="28526">
      <c r="L28526" s="13"/>
      <c r="M28526" s="14"/>
      <c r="N28526" s="14"/>
      <c r="O28526" s="14"/>
      <c r="P28526" s="13"/>
    </row>
    <row r="28527">
      <c r="L28527" s="13"/>
      <c r="M28527" s="14"/>
      <c r="N28527" s="14"/>
      <c r="O28527" s="14"/>
      <c r="P28527" s="13"/>
    </row>
    <row r="28528">
      <c r="L28528" s="13"/>
      <c r="M28528" s="14"/>
      <c r="N28528" s="14"/>
      <c r="O28528" s="14"/>
      <c r="P28528" s="13"/>
    </row>
    <row r="28529">
      <c r="L28529" s="13"/>
      <c r="M28529" s="14"/>
      <c r="N28529" s="14"/>
      <c r="O28529" s="14"/>
      <c r="P28529" s="13"/>
    </row>
    <row r="28530">
      <c r="L28530" s="13"/>
      <c r="M28530" s="14"/>
      <c r="N28530" s="14"/>
      <c r="O28530" s="14"/>
      <c r="P28530" s="13"/>
    </row>
    <row r="28531">
      <c r="L28531" s="13"/>
      <c r="M28531" s="14"/>
      <c r="N28531" s="14"/>
      <c r="O28531" s="14"/>
      <c r="P28531" s="13"/>
    </row>
    <row r="28532">
      <c r="L28532" s="13"/>
      <c r="M28532" s="14"/>
      <c r="N28532" s="14"/>
      <c r="O28532" s="14"/>
      <c r="P28532" s="13"/>
    </row>
    <row r="28533">
      <c r="L28533" s="13"/>
      <c r="M28533" s="14"/>
      <c r="N28533" s="14"/>
      <c r="O28533" s="14"/>
      <c r="P28533" s="13"/>
    </row>
    <row r="28534">
      <c r="L28534" s="13"/>
      <c r="M28534" s="14"/>
      <c r="N28534" s="14"/>
      <c r="O28534" s="14"/>
      <c r="P28534" s="13"/>
    </row>
    <row r="28535">
      <c r="L28535" s="13"/>
      <c r="M28535" s="14"/>
      <c r="N28535" s="14"/>
      <c r="O28535" s="14"/>
      <c r="P28535" s="13"/>
    </row>
    <row r="28536">
      <c r="L28536" s="13"/>
      <c r="M28536" s="14"/>
      <c r="N28536" s="14"/>
      <c r="O28536" s="14"/>
      <c r="P28536" s="13"/>
    </row>
    <row r="28537">
      <c r="L28537" s="13"/>
      <c r="M28537" s="14"/>
      <c r="N28537" s="14"/>
      <c r="O28537" s="14"/>
      <c r="P28537" s="13"/>
    </row>
    <row r="28538">
      <c r="L28538" s="13"/>
      <c r="M28538" s="14"/>
      <c r="N28538" s="14"/>
      <c r="O28538" s="14"/>
      <c r="P28538" s="13"/>
    </row>
    <row r="28539">
      <c r="L28539" s="13"/>
      <c r="M28539" s="14"/>
      <c r="N28539" s="14"/>
      <c r="O28539" s="14"/>
      <c r="P28539" s="13"/>
    </row>
    <row r="28540">
      <c r="L28540" s="13"/>
      <c r="M28540" s="14"/>
      <c r="N28540" s="14"/>
      <c r="O28540" s="14"/>
      <c r="P28540" s="13"/>
    </row>
    <row r="28541">
      <c r="L28541" s="13"/>
      <c r="M28541" s="14"/>
      <c r="N28541" s="14"/>
      <c r="O28541" s="14"/>
      <c r="P28541" s="13"/>
    </row>
    <row r="28542">
      <c r="L28542" s="13"/>
      <c r="M28542" s="14"/>
      <c r="N28542" s="14"/>
      <c r="O28542" s="14"/>
      <c r="P28542" s="13"/>
    </row>
    <row r="28543">
      <c r="L28543" s="13"/>
      <c r="M28543" s="14"/>
      <c r="N28543" s="14"/>
      <c r="O28543" s="14"/>
      <c r="P28543" s="13"/>
    </row>
    <row r="28544">
      <c r="L28544" s="13"/>
      <c r="M28544" s="14"/>
      <c r="N28544" s="14"/>
      <c r="O28544" s="14"/>
      <c r="P28544" s="13"/>
    </row>
    <row r="28545">
      <c r="L28545" s="13"/>
      <c r="M28545" s="14"/>
      <c r="N28545" s="14"/>
      <c r="O28545" s="14"/>
      <c r="P28545" s="13"/>
    </row>
    <row r="28546">
      <c r="L28546" s="13"/>
      <c r="M28546" s="14"/>
      <c r="N28546" s="14"/>
      <c r="O28546" s="14"/>
      <c r="P28546" s="13"/>
    </row>
    <row r="28547">
      <c r="L28547" s="13"/>
      <c r="M28547" s="14"/>
      <c r="N28547" s="14"/>
      <c r="O28547" s="14"/>
      <c r="P28547" s="13"/>
    </row>
    <row r="28548">
      <c r="L28548" s="13"/>
      <c r="M28548" s="14"/>
      <c r="N28548" s="14"/>
      <c r="O28548" s="14"/>
      <c r="P28548" s="13"/>
    </row>
    <row r="28549">
      <c r="L28549" s="13"/>
      <c r="M28549" s="14"/>
      <c r="N28549" s="14"/>
      <c r="O28549" s="14"/>
      <c r="P28549" s="13"/>
    </row>
    <row r="28550">
      <c r="L28550" s="13"/>
      <c r="M28550" s="14"/>
      <c r="N28550" s="14"/>
      <c r="O28550" s="14"/>
      <c r="P28550" s="13"/>
    </row>
    <row r="28551">
      <c r="L28551" s="13"/>
      <c r="M28551" s="14"/>
      <c r="N28551" s="14"/>
      <c r="O28551" s="14"/>
      <c r="P28551" s="13"/>
    </row>
    <row r="28552">
      <c r="L28552" s="13"/>
      <c r="M28552" s="14"/>
      <c r="N28552" s="14"/>
      <c r="O28552" s="14"/>
      <c r="P28552" s="13"/>
    </row>
    <row r="28553">
      <c r="L28553" s="13"/>
      <c r="M28553" s="14"/>
      <c r="N28553" s="14"/>
      <c r="O28553" s="14"/>
      <c r="P28553" s="13"/>
    </row>
    <row r="28554">
      <c r="L28554" s="13"/>
      <c r="M28554" s="14"/>
      <c r="N28554" s="14"/>
      <c r="O28554" s="14"/>
      <c r="P28554" s="13"/>
    </row>
    <row r="28555">
      <c r="L28555" s="13"/>
      <c r="M28555" s="14"/>
      <c r="N28555" s="14"/>
      <c r="O28555" s="14"/>
      <c r="P28555" s="13"/>
    </row>
    <row r="28556">
      <c r="L28556" s="13"/>
      <c r="M28556" s="14"/>
      <c r="N28556" s="14"/>
      <c r="O28556" s="14"/>
      <c r="P28556" s="13"/>
    </row>
    <row r="28557">
      <c r="L28557" s="13"/>
      <c r="M28557" s="14"/>
      <c r="N28557" s="14"/>
      <c r="O28557" s="14"/>
      <c r="P28557" s="13"/>
    </row>
    <row r="28558">
      <c r="L28558" s="13"/>
      <c r="M28558" s="14"/>
      <c r="N28558" s="14"/>
      <c r="O28558" s="14"/>
      <c r="P28558" s="13"/>
    </row>
    <row r="28559">
      <c r="L28559" s="13"/>
      <c r="M28559" s="14"/>
      <c r="N28559" s="14"/>
      <c r="O28559" s="14"/>
      <c r="P28559" s="13"/>
    </row>
    <row r="28560">
      <c r="L28560" s="13"/>
      <c r="M28560" s="14"/>
      <c r="N28560" s="14"/>
      <c r="O28560" s="14"/>
      <c r="P28560" s="13"/>
    </row>
    <row r="28561">
      <c r="L28561" s="13"/>
      <c r="M28561" s="14"/>
      <c r="N28561" s="14"/>
      <c r="O28561" s="14"/>
      <c r="P28561" s="13"/>
    </row>
    <row r="28562">
      <c r="L28562" s="13"/>
      <c r="M28562" s="14"/>
      <c r="N28562" s="14"/>
      <c r="O28562" s="14"/>
      <c r="P28562" s="13"/>
    </row>
    <row r="28563">
      <c r="L28563" s="13"/>
      <c r="M28563" s="14"/>
      <c r="N28563" s="14"/>
      <c r="O28563" s="14"/>
      <c r="P28563" s="13"/>
    </row>
    <row r="28564">
      <c r="L28564" s="13"/>
      <c r="M28564" s="14"/>
      <c r="N28564" s="14"/>
      <c r="O28564" s="14"/>
      <c r="P28564" s="13"/>
    </row>
    <row r="28565">
      <c r="L28565" s="13"/>
      <c r="M28565" s="14"/>
      <c r="N28565" s="14"/>
      <c r="O28565" s="14"/>
      <c r="P28565" s="13"/>
    </row>
    <row r="28566">
      <c r="L28566" s="13"/>
      <c r="M28566" s="14"/>
      <c r="N28566" s="14"/>
      <c r="O28566" s="14"/>
      <c r="P28566" s="13"/>
    </row>
    <row r="28567">
      <c r="L28567" s="13"/>
      <c r="M28567" s="14"/>
      <c r="N28567" s="14"/>
      <c r="O28567" s="14"/>
      <c r="P28567" s="13"/>
    </row>
    <row r="28568">
      <c r="L28568" s="13"/>
      <c r="M28568" s="14"/>
      <c r="N28568" s="14"/>
      <c r="O28568" s="14"/>
      <c r="P28568" s="13"/>
    </row>
    <row r="28569">
      <c r="L28569" s="13"/>
      <c r="M28569" s="14"/>
      <c r="N28569" s="14"/>
      <c r="O28569" s="14"/>
      <c r="P28569" s="13"/>
    </row>
    <row r="28570">
      <c r="L28570" s="13"/>
      <c r="M28570" s="14"/>
      <c r="N28570" s="14"/>
      <c r="O28570" s="14"/>
      <c r="P28570" s="13"/>
    </row>
    <row r="28571">
      <c r="L28571" s="13"/>
      <c r="M28571" s="14"/>
      <c r="N28571" s="14"/>
      <c r="O28571" s="14"/>
      <c r="P28571" s="13"/>
    </row>
    <row r="28572">
      <c r="L28572" s="13"/>
      <c r="M28572" s="14"/>
      <c r="N28572" s="14"/>
      <c r="O28572" s="14"/>
      <c r="P28572" s="13"/>
    </row>
    <row r="28573">
      <c r="L28573" s="13"/>
      <c r="M28573" s="14"/>
      <c r="N28573" s="14"/>
      <c r="O28573" s="14"/>
      <c r="P28573" s="13"/>
    </row>
    <row r="28574">
      <c r="L28574" s="13"/>
      <c r="M28574" s="14"/>
      <c r="N28574" s="14"/>
      <c r="O28574" s="14"/>
      <c r="P28574" s="13"/>
    </row>
    <row r="28575">
      <c r="L28575" s="13"/>
      <c r="M28575" s="14"/>
      <c r="N28575" s="14"/>
      <c r="O28575" s="14"/>
      <c r="P28575" s="13"/>
    </row>
    <row r="28576">
      <c r="L28576" s="13"/>
      <c r="M28576" s="14"/>
      <c r="N28576" s="14"/>
      <c r="O28576" s="14"/>
      <c r="P28576" s="13"/>
    </row>
    <row r="28577">
      <c r="L28577" s="13"/>
      <c r="M28577" s="14"/>
      <c r="N28577" s="14"/>
      <c r="O28577" s="14"/>
      <c r="P28577" s="13"/>
    </row>
    <row r="28578">
      <c r="L28578" s="13"/>
      <c r="M28578" s="14"/>
      <c r="N28578" s="14"/>
      <c r="O28578" s="14"/>
      <c r="P28578" s="13"/>
    </row>
    <row r="28579">
      <c r="L28579" s="13"/>
      <c r="M28579" s="14"/>
      <c r="N28579" s="14"/>
      <c r="O28579" s="14"/>
      <c r="P28579" s="13"/>
    </row>
    <row r="28580">
      <c r="L28580" s="13"/>
      <c r="M28580" s="14"/>
      <c r="N28580" s="14"/>
      <c r="O28580" s="14"/>
      <c r="P28580" s="13"/>
    </row>
    <row r="28581">
      <c r="L28581" s="13"/>
      <c r="M28581" s="14"/>
      <c r="N28581" s="14"/>
      <c r="O28581" s="14"/>
      <c r="P28581" s="13"/>
    </row>
    <row r="28582">
      <c r="L28582" s="13"/>
      <c r="M28582" s="14"/>
      <c r="N28582" s="14"/>
      <c r="O28582" s="14"/>
      <c r="P28582" s="13"/>
    </row>
    <row r="28583">
      <c r="L28583" s="13"/>
      <c r="M28583" s="14"/>
      <c r="N28583" s="14"/>
      <c r="O28583" s="14"/>
      <c r="P28583" s="13"/>
    </row>
    <row r="28584">
      <c r="L28584" s="13"/>
      <c r="M28584" s="14"/>
      <c r="N28584" s="14"/>
      <c r="O28584" s="14"/>
      <c r="P28584" s="13"/>
    </row>
    <row r="28585">
      <c r="L28585" s="13"/>
      <c r="M28585" s="14"/>
      <c r="N28585" s="14"/>
      <c r="O28585" s="14"/>
      <c r="P28585" s="13"/>
    </row>
    <row r="28586">
      <c r="L28586" s="13"/>
      <c r="M28586" s="14"/>
      <c r="N28586" s="14"/>
      <c r="O28586" s="14"/>
      <c r="P28586" s="13"/>
    </row>
    <row r="28587">
      <c r="L28587" s="13"/>
      <c r="M28587" s="14"/>
      <c r="N28587" s="14"/>
      <c r="O28587" s="14"/>
      <c r="P28587" s="13"/>
    </row>
    <row r="28588">
      <c r="L28588" s="13"/>
      <c r="M28588" s="14"/>
      <c r="N28588" s="14"/>
      <c r="O28588" s="14"/>
      <c r="P28588" s="13"/>
    </row>
    <row r="28589">
      <c r="L28589" s="13"/>
      <c r="M28589" s="14"/>
      <c r="N28589" s="14"/>
      <c r="O28589" s="14"/>
      <c r="P28589" s="13"/>
    </row>
    <row r="28590">
      <c r="L28590" s="13"/>
      <c r="M28590" s="14"/>
      <c r="N28590" s="14"/>
      <c r="O28590" s="14"/>
      <c r="P28590" s="13"/>
    </row>
    <row r="28591">
      <c r="L28591" s="13"/>
      <c r="M28591" s="14"/>
      <c r="N28591" s="14"/>
      <c r="O28591" s="14"/>
      <c r="P28591" s="13"/>
    </row>
    <row r="28592">
      <c r="L28592" s="13"/>
      <c r="M28592" s="14"/>
      <c r="N28592" s="14"/>
      <c r="O28592" s="14"/>
      <c r="P28592" s="13"/>
    </row>
    <row r="28593">
      <c r="L28593" s="13"/>
      <c r="M28593" s="14"/>
      <c r="N28593" s="14"/>
      <c r="O28593" s="14"/>
      <c r="P28593" s="13"/>
    </row>
    <row r="28594">
      <c r="L28594" s="13"/>
      <c r="M28594" s="14"/>
      <c r="N28594" s="14"/>
      <c r="O28594" s="14"/>
      <c r="P28594" s="13"/>
    </row>
    <row r="28595">
      <c r="L28595" s="13"/>
      <c r="M28595" s="14"/>
      <c r="N28595" s="14"/>
      <c r="O28595" s="14"/>
      <c r="P28595" s="13"/>
    </row>
    <row r="28596">
      <c r="L28596" s="13"/>
      <c r="M28596" s="14"/>
      <c r="N28596" s="14"/>
      <c r="O28596" s="14"/>
      <c r="P28596" s="13"/>
    </row>
    <row r="28597">
      <c r="L28597" s="13"/>
      <c r="M28597" s="14"/>
      <c r="N28597" s="14"/>
      <c r="O28597" s="14"/>
      <c r="P28597" s="13"/>
    </row>
    <row r="28598">
      <c r="L28598" s="13"/>
      <c r="M28598" s="14"/>
      <c r="N28598" s="14"/>
      <c r="O28598" s="14"/>
      <c r="P28598" s="13"/>
    </row>
    <row r="28599">
      <c r="L28599" s="13"/>
      <c r="M28599" s="14"/>
      <c r="N28599" s="14"/>
      <c r="O28599" s="14"/>
      <c r="P28599" s="13"/>
    </row>
    <row r="28600">
      <c r="L28600" s="13"/>
      <c r="M28600" s="14"/>
      <c r="N28600" s="14"/>
      <c r="O28600" s="14"/>
      <c r="P28600" s="13"/>
    </row>
    <row r="28601">
      <c r="L28601" s="13"/>
      <c r="M28601" s="14"/>
      <c r="N28601" s="14"/>
      <c r="O28601" s="14"/>
      <c r="P28601" s="13"/>
    </row>
    <row r="28602">
      <c r="L28602" s="13"/>
      <c r="M28602" s="14"/>
      <c r="N28602" s="14"/>
      <c r="O28602" s="14"/>
      <c r="P28602" s="13"/>
    </row>
    <row r="28603">
      <c r="L28603" s="13"/>
      <c r="M28603" s="14"/>
      <c r="N28603" s="14"/>
      <c r="O28603" s="14"/>
      <c r="P28603" s="13"/>
    </row>
    <row r="28604">
      <c r="L28604" s="13"/>
      <c r="M28604" s="14"/>
      <c r="N28604" s="14"/>
      <c r="O28604" s="14"/>
      <c r="P28604" s="13"/>
    </row>
    <row r="28605">
      <c r="L28605" s="13"/>
      <c r="M28605" s="14"/>
      <c r="N28605" s="14"/>
      <c r="O28605" s="14"/>
      <c r="P28605" s="13"/>
    </row>
    <row r="28606">
      <c r="L28606" s="13"/>
      <c r="M28606" s="14"/>
      <c r="N28606" s="14"/>
      <c r="O28606" s="14"/>
      <c r="P28606" s="13"/>
    </row>
    <row r="28607">
      <c r="L28607" s="13"/>
      <c r="M28607" s="14"/>
      <c r="N28607" s="14"/>
      <c r="O28607" s="14"/>
      <c r="P28607" s="13"/>
    </row>
    <row r="28608">
      <c r="L28608" s="13"/>
      <c r="M28608" s="14"/>
      <c r="N28608" s="14"/>
      <c r="O28608" s="14"/>
      <c r="P28608" s="13"/>
    </row>
    <row r="28609">
      <c r="L28609" s="13"/>
      <c r="M28609" s="14"/>
      <c r="N28609" s="14"/>
      <c r="O28609" s="14"/>
      <c r="P28609" s="13"/>
    </row>
    <row r="28610">
      <c r="L28610" s="13"/>
      <c r="M28610" s="14"/>
      <c r="N28610" s="14"/>
      <c r="O28610" s="14"/>
      <c r="P28610" s="13"/>
    </row>
    <row r="28611">
      <c r="L28611" s="13"/>
      <c r="M28611" s="14"/>
      <c r="N28611" s="14"/>
      <c r="O28611" s="14"/>
      <c r="P28611" s="13"/>
    </row>
    <row r="28612">
      <c r="L28612" s="13"/>
      <c r="M28612" s="14"/>
      <c r="N28612" s="14"/>
      <c r="O28612" s="14"/>
      <c r="P28612" s="13"/>
    </row>
    <row r="28613">
      <c r="L28613" s="13"/>
      <c r="M28613" s="14"/>
      <c r="N28613" s="14"/>
      <c r="O28613" s="14"/>
      <c r="P28613" s="13"/>
    </row>
    <row r="28614">
      <c r="L28614" s="13"/>
      <c r="M28614" s="14"/>
      <c r="N28614" s="14"/>
      <c r="O28614" s="14"/>
      <c r="P28614" s="13"/>
    </row>
    <row r="28615">
      <c r="L28615" s="13"/>
      <c r="M28615" s="14"/>
      <c r="N28615" s="14"/>
      <c r="O28615" s="14"/>
      <c r="P28615" s="13"/>
    </row>
    <row r="28616">
      <c r="L28616" s="13"/>
      <c r="M28616" s="14"/>
      <c r="N28616" s="14"/>
      <c r="O28616" s="14"/>
      <c r="P28616" s="13"/>
    </row>
    <row r="28617">
      <c r="L28617" s="13"/>
      <c r="M28617" s="14"/>
      <c r="N28617" s="14"/>
      <c r="O28617" s="14"/>
      <c r="P28617" s="13"/>
    </row>
    <row r="28618">
      <c r="L28618" s="13"/>
      <c r="M28618" s="14"/>
      <c r="N28618" s="14"/>
      <c r="O28618" s="14"/>
      <c r="P28618" s="13"/>
    </row>
    <row r="28619">
      <c r="L28619" s="13"/>
      <c r="M28619" s="14"/>
      <c r="N28619" s="14"/>
      <c r="O28619" s="14"/>
      <c r="P28619" s="13"/>
    </row>
    <row r="28620">
      <c r="L28620" s="13"/>
      <c r="M28620" s="14"/>
      <c r="N28620" s="14"/>
      <c r="O28620" s="14"/>
      <c r="P28620" s="13"/>
    </row>
    <row r="28621">
      <c r="L28621" s="13"/>
      <c r="M28621" s="14"/>
      <c r="N28621" s="14"/>
      <c r="O28621" s="14"/>
      <c r="P28621" s="13"/>
    </row>
    <row r="28622">
      <c r="L28622" s="13"/>
      <c r="M28622" s="14"/>
      <c r="N28622" s="14"/>
      <c r="O28622" s="14"/>
      <c r="P28622" s="13"/>
    </row>
    <row r="28623">
      <c r="L28623" s="13"/>
      <c r="M28623" s="14"/>
      <c r="N28623" s="14"/>
      <c r="O28623" s="14"/>
      <c r="P28623" s="13"/>
    </row>
    <row r="28624">
      <c r="L28624" s="13"/>
      <c r="M28624" s="14"/>
      <c r="N28624" s="14"/>
      <c r="O28624" s="14"/>
      <c r="P28624" s="13"/>
    </row>
    <row r="28625">
      <c r="L28625" s="13"/>
      <c r="M28625" s="14"/>
      <c r="N28625" s="14"/>
      <c r="O28625" s="14"/>
      <c r="P28625" s="13"/>
    </row>
    <row r="28626">
      <c r="L28626" s="13"/>
      <c r="M28626" s="14"/>
      <c r="N28626" s="14"/>
      <c r="O28626" s="14"/>
      <c r="P28626" s="13"/>
    </row>
    <row r="28627">
      <c r="L28627" s="13"/>
      <c r="M28627" s="14"/>
      <c r="N28627" s="14"/>
      <c r="O28627" s="14"/>
      <c r="P28627" s="13"/>
    </row>
    <row r="28628">
      <c r="L28628" s="13"/>
      <c r="M28628" s="14"/>
      <c r="N28628" s="14"/>
      <c r="O28628" s="14"/>
      <c r="P28628" s="13"/>
    </row>
    <row r="28629">
      <c r="L28629" s="13"/>
      <c r="M28629" s="14"/>
      <c r="N28629" s="14"/>
      <c r="O28629" s="14"/>
      <c r="P28629" s="13"/>
    </row>
    <row r="28630">
      <c r="L28630" s="13"/>
      <c r="M28630" s="14"/>
      <c r="N28630" s="14"/>
      <c r="O28630" s="14"/>
      <c r="P28630" s="13"/>
    </row>
    <row r="28631">
      <c r="L28631" s="13"/>
      <c r="M28631" s="14"/>
      <c r="N28631" s="14"/>
      <c r="O28631" s="14"/>
      <c r="P28631" s="13"/>
    </row>
    <row r="28632">
      <c r="L28632" s="13"/>
      <c r="M28632" s="14"/>
      <c r="N28632" s="14"/>
      <c r="O28632" s="14"/>
      <c r="P28632" s="13"/>
    </row>
    <row r="28633">
      <c r="L28633" s="13"/>
      <c r="M28633" s="14"/>
      <c r="N28633" s="14"/>
      <c r="O28633" s="14"/>
      <c r="P28633" s="13"/>
    </row>
    <row r="28634">
      <c r="L28634" s="13"/>
      <c r="M28634" s="14"/>
      <c r="N28634" s="14"/>
      <c r="O28634" s="14"/>
      <c r="P28634" s="13"/>
    </row>
    <row r="28635">
      <c r="L28635" s="13"/>
      <c r="M28635" s="14"/>
      <c r="N28635" s="14"/>
      <c r="O28635" s="14"/>
      <c r="P28635" s="13"/>
    </row>
    <row r="28636">
      <c r="L28636" s="13"/>
      <c r="M28636" s="14"/>
      <c r="N28636" s="14"/>
      <c r="O28636" s="14"/>
      <c r="P28636" s="13"/>
    </row>
    <row r="28637">
      <c r="L28637" s="13"/>
      <c r="M28637" s="14"/>
      <c r="N28637" s="14"/>
      <c r="O28637" s="14"/>
      <c r="P28637" s="13"/>
    </row>
    <row r="28638">
      <c r="L28638" s="13"/>
      <c r="M28638" s="14"/>
      <c r="N28638" s="14"/>
      <c r="O28638" s="14"/>
      <c r="P28638" s="13"/>
    </row>
    <row r="28639">
      <c r="L28639" s="13"/>
      <c r="M28639" s="14"/>
      <c r="N28639" s="14"/>
      <c r="O28639" s="14"/>
      <c r="P28639" s="13"/>
    </row>
    <row r="28640">
      <c r="L28640" s="13"/>
      <c r="M28640" s="14"/>
      <c r="N28640" s="14"/>
      <c r="O28640" s="14"/>
      <c r="P28640" s="13"/>
    </row>
    <row r="28641">
      <c r="L28641" s="13"/>
      <c r="M28641" s="14"/>
      <c r="N28641" s="14"/>
      <c r="O28641" s="14"/>
      <c r="P28641" s="13"/>
    </row>
    <row r="28642">
      <c r="L28642" s="13"/>
      <c r="M28642" s="14"/>
      <c r="N28642" s="14"/>
      <c r="O28642" s="14"/>
      <c r="P28642" s="13"/>
    </row>
    <row r="28643">
      <c r="L28643" s="13"/>
      <c r="M28643" s="14"/>
      <c r="N28643" s="14"/>
      <c r="O28643" s="14"/>
      <c r="P28643" s="13"/>
    </row>
    <row r="28644">
      <c r="L28644" s="13"/>
      <c r="M28644" s="14"/>
      <c r="N28644" s="14"/>
      <c r="O28644" s="14"/>
      <c r="P28644" s="13"/>
    </row>
    <row r="28645">
      <c r="L28645" s="13"/>
      <c r="M28645" s="14"/>
      <c r="N28645" s="14"/>
      <c r="O28645" s="14"/>
      <c r="P28645" s="13"/>
    </row>
    <row r="28646">
      <c r="L28646" s="13"/>
      <c r="M28646" s="14"/>
      <c r="N28646" s="14"/>
      <c r="O28646" s="14"/>
      <c r="P28646" s="13"/>
    </row>
    <row r="28647">
      <c r="L28647" s="13"/>
      <c r="M28647" s="14"/>
      <c r="N28647" s="14"/>
      <c r="O28647" s="14"/>
      <c r="P28647" s="13"/>
    </row>
    <row r="28648">
      <c r="L28648" s="13"/>
      <c r="M28648" s="14"/>
      <c r="N28648" s="14"/>
      <c r="O28648" s="14"/>
      <c r="P28648" s="13"/>
    </row>
    <row r="28649">
      <c r="L28649" s="13"/>
      <c r="M28649" s="14"/>
      <c r="N28649" s="14"/>
      <c r="O28649" s="14"/>
      <c r="P28649" s="13"/>
    </row>
    <row r="28650">
      <c r="L28650" s="13"/>
      <c r="M28650" s="14"/>
      <c r="N28650" s="14"/>
      <c r="O28650" s="14"/>
      <c r="P28650" s="13"/>
    </row>
    <row r="28651">
      <c r="L28651" s="13"/>
      <c r="M28651" s="14"/>
      <c r="N28651" s="14"/>
      <c r="O28651" s="14"/>
      <c r="P28651" s="13"/>
    </row>
    <row r="28652">
      <c r="L28652" s="13"/>
      <c r="M28652" s="14"/>
      <c r="N28652" s="14"/>
      <c r="O28652" s="14"/>
      <c r="P28652" s="13"/>
    </row>
    <row r="28653">
      <c r="L28653" s="13"/>
      <c r="M28653" s="14"/>
      <c r="N28653" s="14"/>
      <c r="O28653" s="14"/>
      <c r="P28653" s="13"/>
    </row>
    <row r="28654">
      <c r="L28654" s="13"/>
      <c r="M28654" s="14"/>
      <c r="N28654" s="14"/>
      <c r="O28654" s="14"/>
      <c r="P28654" s="13"/>
    </row>
    <row r="28655">
      <c r="L28655" s="13"/>
      <c r="M28655" s="14"/>
      <c r="N28655" s="14"/>
      <c r="O28655" s="14"/>
      <c r="P28655" s="13"/>
    </row>
    <row r="28656">
      <c r="L28656" s="13"/>
      <c r="M28656" s="14"/>
      <c r="N28656" s="14"/>
      <c r="O28656" s="14"/>
      <c r="P28656" s="13"/>
    </row>
    <row r="28657">
      <c r="L28657" s="13"/>
      <c r="M28657" s="14"/>
      <c r="N28657" s="14"/>
      <c r="O28657" s="14"/>
      <c r="P28657" s="13"/>
    </row>
    <row r="28658">
      <c r="L28658" s="13"/>
      <c r="M28658" s="14"/>
      <c r="N28658" s="14"/>
      <c r="O28658" s="14"/>
      <c r="P28658" s="13"/>
    </row>
    <row r="28659">
      <c r="L28659" s="13"/>
      <c r="M28659" s="14"/>
      <c r="N28659" s="14"/>
      <c r="O28659" s="14"/>
      <c r="P28659" s="13"/>
    </row>
    <row r="28660">
      <c r="L28660" s="13"/>
      <c r="M28660" s="14"/>
      <c r="N28660" s="14"/>
      <c r="O28660" s="14"/>
      <c r="P28660" s="13"/>
    </row>
    <row r="28661">
      <c r="L28661" s="13"/>
      <c r="M28661" s="14"/>
      <c r="N28661" s="14"/>
      <c r="O28661" s="14"/>
      <c r="P28661" s="13"/>
    </row>
    <row r="28662">
      <c r="L28662" s="13"/>
      <c r="M28662" s="14"/>
      <c r="N28662" s="14"/>
      <c r="O28662" s="14"/>
      <c r="P28662" s="13"/>
    </row>
    <row r="28663">
      <c r="L28663" s="13"/>
      <c r="M28663" s="14"/>
      <c r="N28663" s="14"/>
      <c r="O28663" s="14"/>
      <c r="P28663" s="13"/>
    </row>
    <row r="28664">
      <c r="L28664" s="13"/>
      <c r="M28664" s="14"/>
      <c r="N28664" s="14"/>
      <c r="O28664" s="14"/>
      <c r="P28664" s="13"/>
    </row>
    <row r="28665">
      <c r="L28665" s="13"/>
      <c r="M28665" s="14"/>
      <c r="N28665" s="14"/>
      <c r="O28665" s="14"/>
      <c r="P28665" s="13"/>
    </row>
    <row r="28666">
      <c r="L28666" s="13"/>
      <c r="M28666" s="14"/>
      <c r="N28666" s="14"/>
      <c r="O28666" s="14"/>
      <c r="P28666" s="13"/>
    </row>
    <row r="28667">
      <c r="L28667" s="13"/>
      <c r="M28667" s="14"/>
      <c r="N28667" s="14"/>
      <c r="O28667" s="14"/>
      <c r="P28667" s="13"/>
    </row>
    <row r="28668">
      <c r="L28668" s="13"/>
      <c r="M28668" s="14"/>
      <c r="N28668" s="14"/>
      <c r="O28668" s="14"/>
      <c r="P28668" s="13"/>
    </row>
    <row r="28669">
      <c r="L28669" s="13"/>
      <c r="M28669" s="14"/>
      <c r="N28669" s="14"/>
      <c r="O28669" s="14"/>
      <c r="P28669" s="13"/>
    </row>
    <row r="28670">
      <c r="L28670" s="13"/>
      <c r="M28670" s="14"/>
      <c r="N28670" s="14"/>
      <c r="O28670" s="14"/>
      <c r="P28670" s="13"/>
    </row>
    <row r="28671">
      <c r="L28671" s="13"/>
      <c r="M28671" s="14"/>
      <c r="N28671" s="14"/>
      <c r="O28671" s="14"/>
      <c r="P28671" s="13"/>
    </row>
    <row r="28672">
      <c r="L28672" s="13"/>
      <c r="M28672" s="14"/>
      <c r="N28672" s="14"/>
      <c r="O28672" s="14"/>
      <c r="P28672" s="13"/>
    </row>
    <row r="28673">
      <c r="L28673" s="13"/>
      <c r="M28673" s="14"/>
      <c r="N28673" s="14"/>
      <c r="O28673" s="14"/>
      <c r="P28673" s="13"/>
    </row>
    <row r="28674">
      <c r="L28674" s="13"/>
      <c r="M28674" s="14"/>
      <c r="N28674" s="14"/>
      <c r="O28674" s="14"/>
      <c r="P28674" s="13"/>
    </row>
    <row r="28675">
      <c r="L28675" s="13"/>
      <c r="M28675" s="14"/>
      <c r="N28675" s="14"/>
      <c r="O28675" s="14"/>
      <c r="P28675" s="13"/>
    </row>
    <row r="28676">
      <c r="L28676" s="13"/>
      <c r="M28676" s="14"/>
      <c r="N28676" s="14"/>
      <c r="O28676" s="14"/>
      <c r="P28676" s="13"/>
    </row>
    <row r="28677">
      <c r="L28677" s="13"/>
      <c r="M28677" s="14"/>
      <c r="N28677" s="14"/>
      <c r="O28677" s="14"/>
      <c r="P28677" s="13"/>
    </row>
    <row r="28678">
      <c r="L28678" s="13"/>
      <c r="M28678" s="14"/>
      <c r="N28678" s="14"/>
      <c r="O28678" s="14"/>
      <c r="P28678" s="13"/>
    </row>
    <row r="28679">
      <c r="L28679" s="13"/>
      <c r="M28679" s="14"/>
      <c r="N28679" s="14"/>
      <c r="O28679" s="14"/>
      <c r="P28679" s="13"/>
    </row>
    <row r="28680">
      <c r="L28680" s="13"/>
      <c r="M28680" s="14"/>
      <c r="N28680" s="14"/>
      <c r="O28680" s="14"/>
      <c r="P28680" s="13"/>
    </row>
    <row r="28681">
      <c r="L28681" s="13"/>
      <c r="M28681" s="14"/>
      <c r="N28681" s="14"/>
      <c r="O28681" s="14"/>
      <c r="P28681" s="13"/>
    </row>
    <row r="28682">
      <c r="L28682" s="13"/>
      <c r="M28682" s="14"/>
      <c r="N28682" s="14"/>
      <c r="O28682" s="14"/>
      <c r="P28682" s="13"/>
    </row>
    <row r="28683">
      <c r="L28683" s="13"/>
      <c r="M28683" s="14"/>
      <c r="N28683" s="14"/>
      <c r="O28683" s="14"/>
      <c r="P28683" s="13"/>
    </row>
    <row r="28684">
      <c r="L28684" s="13"/>
      <c r="M28684" s="14"/>
      <c r="N28684" s="14"/>
      <c r="O28684" s="14"/>
      <c r="P28684" s="13"/>
    </row>
    <row r="28685">
      <c r="L28685" s="13"/>
      <c r="M28685" s="14"/>
      <c r="N28685" s="14"/>
      <c r="O28685" s="14"/>
      <c r="P28685" s="13"/>
    </row>
    <row r="28686">
      <c r="L28686" s="13"/>
      <c r="M28686" s="14"/>
      <c r="N28686" s="14"/>
      <c r="O28686" s="14"/>
      <c r="P28686" s="13"/>
    </row>
    <row r="28687">
      <c r="L28687" s="13"/>
      <c r="M28687" s="14"/>
      <c r="N28687" s="14"/>
      <c r="O28687" s="14"/>
      <c r="P28687" s="13"/>
    </row>
    <row r="28688">
      <c r="L28688" s="13"/>
      <c r="M28688" s="14"/>
      <c r="N28688" s="14"/>
      <c r="O28688" s="14"/>
      <c r="P28688" s="13"/>
    </row>
    <row r="28689">
      <c r="L28689" s="13"/>
      <c r="M28689" s="14"/>
      <c r="N28689" s="14"/>
      <c r="O28689" s="14"/>
      <c r="P28689" s="13"/>
    </row>
    <row r="28690">
      <c r="L28690" s="13"/>
      <c r="M28690" s="14"/>
      <c r="N28690" s="14"/>
      <c r="O28690" s="14"/>
      <c r="P28690" s="13"/>
    </row>
    <row r="28691">
      <c r="L28691" s="13"/>
      <c r="M28691" s="14"/>
      <c r="N28691" s="14"/>
      <c r="O28691" s="14"/>
      <c r="P28691" s="13"/>
    </row>
    <row r="28692">
      <c r="L28692" s="13"/>
      <c r="M28692" s="14"/>
      <c r="N28692" s="14"/>
      <c r="O28692" s="14"/>
      <c r="P28692" s="13"/>
    </row>
    <row r="28693">
      <c r="L28693" s="13"/>
      <c r="M28693" s="14"/>
      <c r="N28693" s="14"/>
      <c r="O28693" s="14"/>
      <c r="P28693" s="13"/>
    </row>
    <row r="28694">
      <c r="L28694" s="13"/>
      <c r="M28694" s="14"/>
      <c r="N28694" s="14"/>
      <c r="O28694" s="14"/>
      <c r="P28694" s="13"/>
    </row>
    <row r="28695">
      <c r="L28695" s="13"/>
      <c r="M28695" s="14"/>
      <c r="N28695" s="14"/>
      <c r="O28695" s="14"/>
      <c r="P28695" s="13"/>
    </row>
    <row r="28696">
      <c r="L28696" s="13"/>
      <c r="M28696" s="14"/>
      <c r="N28696" s="14"/>
      <c r="O28696" s="14"/>
      <c r="P28696" s="13"/>
    </row>
    <row r="28697">
      <c r="L28697" s="13"/>
      <c r="M28697" s="14"/>
      <c r="N28697" s="14"/>
      <c r="O28697" s="14"/>
      <c r="P28697" s="13"/>
    </row>
    <row r="28698">
      <c r="L28698" s="13"/>
      <c r="M28698" s="14"/>
      <c r="N28698" s="14"/>
      <c r="O28698" s="14"/>
      <c r="P28698" s="13"/>
    </row>
    <row r="28699">
      <c r="L28699" s="13"/>
      <c r="M28699" s="14"/>
      <c r="N28699" s="14"/>
      <c r="O28699" s="14"/>
      <c r="P28699" s="13"/>
    </row>
    <row r="28700">
      <c r="L28700" s="13"/>
      <c r="M28700" s="14"/>
      <c r="N28700" s="14"/>
      <c r="O28700" s="14"/>
      <c r="P28700" s="13"/>
    </row>
    <row r="28701">
      <c r="L28701" s="13"/>
      <c r="M28701" s="14"/>
      <c r="N28701" s="14"/>
      <c r="O28701" s="14"/>
      <c r="P28701" s="13"/>
    </row>
    <row r="28702">
      <c r="L28702" s="13"/>
      <c r="M28702" s="14"/>
      <c r="N28702" s="14"/>
      <c r="O28702" s="14"/>
      <c r="P28702" s="13"/>
    </row>
    <row r="28703">
      <c r="L28703" s="13"/>
      <c r="M28703" s="14"/>
      <c r="N28703" s="14"/>
      <c r="O28703" s="14"/>
      <c r="P28703" s="13"/>
    </row>
    <row r="28704">
      <c r="L28704" s="13"/>
      <c r="M28704" s="14"/>
      <c r="N28704" s="14"/>
      <c r="O28704" s="14"/>
      <c r="P28704" s="13"/>
    </row>
    <row r="28705">
      <c r="L28705" s="13"/>
      <c r="M28705" s="14"/>
      <c r="N28705" s="14"/>
      <c r="O28705" s="14"/>
      <c r="P28705" s="13"/>
    </row>
    <row r="28706">
      <c r="L28706" s="13"/>
      <c r="M28706" s="14"/>
      <c r="N28706" s="14"/>
      <c r="O28706" s="14"/>
      <c r="P28706" s="13"/>
    </row>
    <row r="28707">
      <c r="L28707" s="13"/>
      <c r="M28707" s="14"/>
      <c r="N28707" s="14"/>
      <c r="O28707" s="14"/>
      <c r="P28707" s="13"/>
    </row>
    <row r="28708">
      <c r="L28708" s="13"/>
      <c r="M28708" s="14"/>
      <c r="N28708" s="14"/>
      <c r="O28708" s="14"/>
      <c r="P28708" s="13"/>
    </row>
    <row r="28709">
      <c r="L28709" s="13"/>
      <c r="M28709" s="14"/>
      <c r="N28709" s="14"/>
      <c r="O28709" s="14"/>
      <c r="P28709" s="13"/>
    </row>
    <row r="28710">
      <c r="L28710" s="13"/>
      <c r="M28710" s="14"/>
      <c r="N28710" s="14"/>
      <c r="O28710" s="14"/>
      <c r="P28710" s="13"/>
    </row>
    <row r="28711">
      <c r="L28711" s="13"/>
      <c r="M28711" s="14"/>
      <c r="N28711" s="14"/>
      <c r="O28711" s="14"/>
      <c r="P28711" s="13"/>
    </row>
    <row r="28712">
      <c r="L28712" s="13"/>
      <c r="M28712" s="14"/>
      <c r="N28712" s="14"/>
      <c r="O28712" s="14"/>
      <c r="P28712" s="13"/>
    </row>
    <row r="28713">
      <c r="L28713" s="13"/>
      <c r="M28713" s="14"/>
      <c r="N28713" s="14"/>
      <c r="O28713" s="14"/>
      <c r="P28713" s="13"/>
    </row>
    <row r="28714">
      <c r="L28714" s="13"/>
      <c r="M28714" s="14"/>
      <c r="N28714" s="14"/>
      <c r="O28714" s="14"/>
      <c r="P28714" s="13"/>
    </row>
    <row r="28715">
      <c r="L28715" s="13"/>
      <c r="M28715" s="14"/>
      <c r="N28715" s="14"/>
      <c r="O28715" s="14"/>
      <c r="P28715" s="13"/>
    </row>
    <row r="28716">
      <c r="L28716" s="13"/>
      <c r="M28716" s="14"/>
      <c r="N28716" s="14"/>
      <c r="O28716" s="14"/>
      <c r="P28716" s="13"/>
    </row>
    <row r="28717">
      <c r="L28717" s="13"/>
      <c r="M28717" s="14"/>
      <c r="N28717" s="14"/>
      <c r="O28717" s="14"/>
      <c r="P28717" s="13"/>
    </row>
    <row r="28718">
      <c r="L28718" s="13"/>
      <c r="M28718" s="14"/>
      <c r="N28718" s="14"/>
      <c r="O28718" s="14"/>
      <c r="P28718" s="13"/>
    </row>
    <row r="28719">
      <c r="L28719" s="13"/>
      <c r="M28719" s="14"/>
      <c r="N28719" s="14"/>
      <c r="O28719" s="14"/>
      <c r="P28719" s="13"/>
    </row>
    <row r="28720">
      <c r="L28720" s="13"/>
      <c r="M28720" s="14"/>
      <c r="N28720" s="14"/>
      <c r="O28720" s="14"/>
      <c r="P28720" s="13"/>
    </row>
    <row r="28721">
      <c r="L28721" s="13"/>
      <c r="M28721" s="14"/>
      <c r="N28721" s="14"/>
      <c r="O28721" s="14"/>
      <c r="P28721" s="13"/>
    </row>
    <row r="28722">
      <c r="L28722" s="13"/>
      <c r="M28722" s="14"/>
      <c r="N28722" s="14"/>
      <c r="O28722" s="14"/>
      <c r="P28722" s="13"/>
    </row>
    <row r="28723">
      <c r="L28723" s="13"/>
      <c r="M28723" s="14"/>
      <c r="N28723" s="14"/>
      <c r="O28723" s="14"/>
      <c r="P28723" s="13"/>
    </row>
    <row r="28724">
      <c r="L28724" s="13"/>
      <c r="M28724" s="14"/>
      <c r="N28724" s="14"/>
      <c r="O28724" s="14"/>
      <c r="P28724" s="13"/>
    </row>
    <row r="28725">
      <c r="L28725" s="13"/>
      <c r="M28725" s="14"/>
      <c r="N28725" s="14"/>
      <c r="O28725" s="14"/>
      <c r="P28725" s="13"/>
    </row>
    <row r="28726">
      <c r="L28726" s="13"/>
      <c r="M28726" s="14"/>
      <c r="N28726" s="14"/>
      <c r="O28726" s="14"/>
      <c r="P28726" s="13"/>
    </row>
    <row r="28727">
      <c r="L28727" s="13"/>
      <c r="M28727" s="14"/>
      <c r="N28727" s="14"/>
      <c r="O28727" s="14"/>
      <c r="P28727" s="13"/>
    </row>
    <row r="28728">
      <c r="L28728" s="13"/>
      <c r="M28728" s="14"/>
      <c r="N28728" s="14"/>
      <c r="O28728" s="14"/>
      <c r="P28728" s="13"/>
    </row>
    <row r="28729">
      <c r="L28729" s="13"/>
      <c r="M28729" s="14"/>
      <c r="N28729" s="14"/>
      <c r="O28729" s="14"/>
      <c r="P28729" s="13"/>
    </row>
    <row r="28730">
      <c r="L28730" s="13"/>
      <c r="M28730" s="14"/>
      <c r="N28730" s="14"/>
      <c r="O28730" s="14"/>
      <c r="P28730" s="13"/>
    </row>
    <row r="28731">
      <c r="L28731" s="13"/>
      <c r="M28731" s="14"/>
      <c r="N28731" s="14"/>
      <c r="O28731" s="14"/>
      <c r="P28731" s="13"/>
    </row>
    <row r="28732">
      <c r="L28732" s="13"/>
      <c r="M28732" s="14"/>
      <c r="N28732" s="14"/>
      <c r="O28732" s="14"/>
      <c r="P28732" s="13"/>
    </row>
    <row r="28733">
      <c r="L28733" s="13"/>
      <c r="M28733" s="14"/>
      <c r="N28733" s="14"/>
      <c r="O28733" s="14"/>
      <c r="P28733" s="13"/>
    </row>
    <row r="28734">
      <c r="L28734" s="13"/>
      <c r="M28734" s="14"/>
      <c r="N28734" s="14"/>
      <c r="O28734" s="14"/>
      <c r="P28734" s="13"/>
    </row>
    <row r="28735">
      <c r="L28735" s="13"/>
      <c r="M28735" s="14"/>
      <c r="N28735" s="14"/>
      <c r="O28735" s="14"/>
      <c r="P28735" s="13"/>
    </row>
    <row r="28736">
      <c r="L28736" s="13"/>
      <c r="M28736" s="14"/>
      <c r="N28736" s="14"/>
      <c r="O28736" s="14"/>
      <c r="P28736" s="13"/>
    </row>
    <row r="28737">
      <c r="L28737" s="13"/>
      <c r="M28737" s="14"/>
      <c r="N28737" s="14"/>
      <c r="O28737" s="14"/>
      <c r="P28737" s="13"/>
    </row>
    <row r="28738">
      <c r="L28738" s="13"/>
      <c r="M28738" s="14"/>
      <c r="N28738" s="14"/>
      <c r="O28738" s="14"/>
      <c r="P28738" s="13"/>
    </row>
    <row r="28739">
      <c r="L28739" s="13"/>
      <c r="M28739" s="14"/>
      <c r="N28739" s="14"/>
      <c r="O28739" s="14"/>
      <c r="P28739" s="13"/>
    </row>
    <row r="28740">
      <c r="L28740" s="13"/>
      <c r="M28740" s="14"/>
      <c r="N28740" s="14"/>
      <c r="O28740" s="14"/>
      <c r="P28740" s="13"/>
    </row>
    <row r="28741">
      <c r="L28741" s="13"/>
      <c r="M28741" s="14"/>
      <c r="N28741" s="14"/>
      <c r="O28741" s="14"/>
      <c r="P28741" s="13"/>
    </row>
    <row r="28742">
      <c r="L28742" s="13"/>
      <c r="M28742" s="14"/>
      <c r="N28742" s="14"/>
      <c r="O28742" s="14"/>
      <c r="P28742" s="13"/>
    </row>
    <row r="28743">
      <c r="L28743" s="13"/>
      <c r="M28743" s="14"/>
      <c r="N28743" s="14"/>
      <c r="O28743" s="14"/>
      <c r="P28743" s="13"/>
    </row>
    <row r="28744">
      <c r="L28744" s="13"/>
      <c r="M28744" s="14"/>
      <c r="N28744" s="14"/>
      <c r="O28744" s="14"/>
      <c r="P28744" s="13"/>
    </row>
    <row r="28745">
      <c r="L28745" s="13"/>
      <c r="M28745" s="14"/>
      <c r="N28745" s="14"/>
      <c r="O28745" s="14"/>
      <c r="P28745" s="13"/>
    </row>
    <row r="28746">
      <c r="L28746" s="13"/>
      <c r="M28746" s="14"/>
      <c r="N28746" s="14"/>
      <c r="O28746" s="14"/>
      <c r="P28746" s="13"/>
    </row>
    <row r="28747">
      <c r="L28747" s="13"/>
      <c r="M28747" s="14"/>
      <c r="N28747" s="14"/>
      <c r="O28747" s="14"/>
      <c r="P28747" s="13"/>
    </row>
    <row r="28748">
      <c r="L28748" s="13"/>
      <c r="M28748" s="14"/>
      <c r="N28748" s="14"/>
      <c r="O28748" s="14"/>
      <c r="P28748" s="13"/>
    </row>
    <row r="28749">
      <c r="L28749" s="13"/>
      <c r="M28749" s="14"/>
      <c r="N28749" s="14"/>
      <c r="O28749" s="14"/>
      <c r="P28749" s="13"/>
    </row>
    <row r="28750">
      <c r="L28750" s="13"/>
      <c r="M28750" s="14"/>
      <c r="N28750" s="14"/>
      <c r="O28750" s="14"/>
      <c r="P28750" s="13"/>
    </row>
    <row r="28751">
      <c r="L28751" s="13"/>
      <c r="M28751" s="14"/>
      <c r="N28751" s="14"/>
      <c r="O28751" s="14"/>
      <c r="P28751" s="13"/>
    </row>
    <row r="28752">
      <c r="L28752" s="13"/>
      <c r="M28752" s="14"/>
      <c r="N28752" s="14"/>
      <c r="O28752" s="14"/>
      <c r="P28752" s="13"/>
    </row>
    <row r="28753">
      <c r="L28753" s="13"/>
      <c r="M28753" s="14"/>
      <c r="N28753" s="14"/>
      <c r="O28753" s="14"/>
      <c r="P28753" s="13"/>
    </row>
    <row r="28754">
      <c r="L28754" s="13"/>
      <c r="M28754" s="14"/>
      <c r="N28754" s="14"/>
      <c r="O28754" s="14"/>
      <c r="P28754" s="13"/>
    </row>
    <row r="28755">
      <c r="L28755" s="13"/>
      <c r="M28755" s="14"/>
      <c r="N28755" s="14"/>
      <c r="O28755" s="14"/>
      <c r="P28755" s="13"/>
    </row>
    <row r="28756">
      <c r="L28756" s="13"/>
      <c r="M28756" s="14"/>
      <c r="N28756" s="14"/>
      <c r="O28756" s="14"/>
      <c r="P28756" s="13"/>
    </row>
    <row r="28757">
      <c r="L28757" s="13"/>
      <c r="M28757" s="14"/>
      <c r="N28757" s="14"/>
      <c r="O28757" s="14"/>
      <c r="P28757" s="13"/>
    </row>
    <row r="28758">
      <c r="L28758" s="13"/>
      <c r="M28758" s="14"/>
      <c r="N28758" s="14"/>
      <c r="O28758" s="14"/>
      <c r="P28758" s="13"/>
    </row>
    <row r="28759">
      <c r="L28759" s="13"/>
      <c r="M28759" s="14"/>
      <c r="N28759" s="14"/>
      <c r="O28759" s="14"/>
      <c r="P28759" s="13"/>
    </row>
    <row r="28760">
      <c r="L28760" s="13"/>
      <c r="M28760" s="14"/>
      <c r="N28760" s="14"/>
      <c r="O28760" s="14"/>
      <c r="P28760" s="13"/>
    </row>
    <row r="28761">
      <c r="L28761" s="13"/>
      <c r="M28761" s="14"/>
      <c r="N28761" s="14"/>
      <c r="O28761" s="14"/>
      <c r="P28761" s="13"/>
    </row>
    <row r="28762">
      <c r="L28762" s="13"/>
      <c r="M28762" s="14"/>
      <c r="N28762" s="14"/>
      <c r="O28762" s="14"/>
      <c r="P28762" s="13"/>
    </row>
    <row r="28763">
      <c r="L28763" s="13"/>
      <c r="M28763" s="14"/>
      <c r="N28763" s="14"/>
      <c r="O28763" s="14"/>
      <c r="P28763" s="13"/>
    </row>
    <row r="28764">
      <c r="L28764" s="13"/>
      <c r="M28764" s="14"/>
      <c r="N28764" s="14"/>
      <c r="O28764" s="14"/>
      <c r="P28764" s="13"/>
    </row>
    <row r="28765">
      <c r="L28765" s="13"/>
      <c r="M28765" s="14"/>
      <c r="N28765" s="14"/>
      <c r="O28765" s="14"/>
      <c r="P28765" s="13"/>
    </row>
    <row r="28766">
      <c r="L28766" s="13"/>
      <c r="M28766" s="14"/>
      <c r="N28766" s="14"/>
      <c r="O28766" s="14"/>
      <c r="P28766" s="13"/>
    </row>
    <row r="28767">
      <c r="L28767" s="13"/>
      <c r="M28767" s="14"/>
      <c r="N28767" s="14"/>
      <c r="O28767" s="14"/>
      <c r="P28767" s="13"/>
    </row>
    <row r="28768">
      <c r="L28768" s="13"/>
      <c r="M28768" s="14"/>
      <c r="N28768" s="14"/>
      <c r="O28768" s="14"/>
      <c r="P28768" s="13"/>
    </row>
    <row r="28769">
      <c r="L28769" s="13"/>
      <c r="M28769" s="14"/>
      <c r="N28769" s="14"/>
      <c r="O28769" s="14"/>
      <c r="P28769" s="13"/>
    </row>
    <row r="28770">
      <c r="L28770" s="13"/>
      <c r="M28770" s="14"/>
      <c r="N28770" s="14"/>
      <c r="O28770" s="14"/>
      <c r="P28770" s="13"/>
    </row>
    <row r="28771">
      <c r="L28771" s="13"/>
      <c r="M28771" s="14"/>
      <c r="N28771" s="14"/>
      <c r="O28771" s="14"/>
      <c r="P28771" s="13"/>
    </row>
    <row r="28772">
      <c r="L28772" s="13"/>
      <c r="M28772" s="14"/>
      <c r="N28772" s="14"/>
      <c r="O28772" s="14"/>
      <c r="P28772" s="13"/>
    </row>
    <row r="28773">
      <c r="L28773" s="13"/>
      <c r="M28773" s="14"/>
      <c r="N28773" s="14"/>
      <c r="O28773" s="14"/>
      <c r="P28773" s="13"/>
    </row>
    <row r="28774">
      <c r="L28774" s="13"/>
      <c r="M28774" s="14"/>
      <c r="N28774" s="14"/>
      <c r="O28774" s="14"/>
      <c r="P28774" s="13"/>
    </row>
    <row r="28775">
      <c r="L28775" s="13"/>
      <c r="M28775" s="14"/>
      <c r="N28775" s="14"/>
      <c r="O28775" s="14"/>
      <c r="P28775" s="13"/>
    </row>
    <row r="28776">
      <c r="L28776" s="13"/>
      <c r="M28776" s="14"/>
      <c r="N28776" s="14"/>
      <c r="O28776" s="14"/>
      <c r="P28776" s="13"/>
    </row>
    <row r="28777">
      <c r="L28777" s="13"/>
      <c r="M28777" s="14"/>
      <c r="N28777" s="14"/>
      <c r="O28777" s="14"/>
      <c r="P28777" s="13"/>
    </row>
    <row r="28778">
      <c r="L28778" s="13"/>
      <c r="M28778" s="14"/>
      <c r="N28778" s="14"/>
      <c r="O28778" s="14"/>
      <c r="P28778" s="13"/>
    </row>
    <row r="28779">
      <c r="L28779" s="13"/>
      <c r="M28779" s="14"/>
      <c r="N28779" s="14"/>
      <c r="O28779" s="14"/>
      <c r="P28779" s="13"/>
    </row>
    <row r="28780">
      <c r="L28780" s="13"/>
      <c r="M28780" s="14"/>
      <c r="N28780" s="14"/>
      <c r="O28780" s="14"/>
      <c r="P28780" s="13"/>
    </row>
    <row r="28781">
      <c r="L28781" s="13"/>
      <c r="M28781" s="14"/>
      <c r="N28781" s="14"/>
      <c r="O28781" s="14"/>
      <c r="P28781" s="13"/>
    </row>
    <row r="28782">
      <c r="L28782" s="13"/>
      <c r="M28782" s="14"/>
      <c r="N28782" s="14"/>
      <c r="O28782" s="14"/>
      <c r="P28782" s="13"/>
    </row>
    <row r="28783">
      <c r="L28783" s="13"/>
      <c r="M28783" s="14"/>
      <c r="N28783" s="14"/>
      <c r="O28783" s="14"/>
      <c r="P28783" s="13"/>
    </row>
    <row r="28784">
      <c r="L28784" s="13"/>
      <c r="M28784" s="14"/>
      <c r="N28784" s="14"/>
      <c r="O28784" s="14"/>
      <c r="P28784" s="13"/>
    </row>
    <row r="28785">
      <c r="L28785" s="13"/>
      <c r="M28785" s="14"/>
      <c r="N28785" s="14"/>
      <c r="O28785" s="14"/>
      <c r="P28785" s="13"/>
    </row>
    <row r="28786">
      <c r="L28786" s="13"/>
      <c r="M28786" s="14"/>
      <c r="N28786" s="14"/>
      <c r="O28786" s="14"/>
      <c r="P28786" s="13"/>
    </row>
    <row r="28787">
      <c r="L28787" s="13"/>
      <c r="M28787" s="14"/>
      <c r="N28787" s="14"/>
      <c r="O28787" s="14"/>
      <c r="P28787" s="13"/>
    </row>
    <row r="28788">
      <c r="L28788" s="13"/>
      <c r="M28788" s="14"/>
      <c r="N28788" s="14"/>
      <c r="O28788" s="14"/>
      <c r="P28788" s="13"/>
    </row>
    <row r="28789">
      <c r="L28789" s="13"/>
      <c r="M28789" s="14"/>
      <c r="N28789" s="14"/>
      <c r="O28789" s="14"/>
      <c r="P28789" s="13"/>
    </row>
    <row r="28790">
      <c r="L28790" s="13"/>
      <c r="M28790" s="14"/>
      <c r="N28790" s="14"/>
      <c r="O28790" s="14"/>
      <c r="P28790" s="13"/>
    </row>
    <row r="28791">
      <c r="L28791" s="13"/>
      <c r="M28791" s="14"/>
      <c r="N28791" s="14"/>
      <c r="O28791" s="14"/>
      <c r="P28791" s="13"/>
    </row>
    <row r="28792">
      <c r="L28792" s="13"/>
      <c r="M28792" s="14"/>
      <c r="N28792" s="14"/>
      <c r="O28792" s="14"/>
      <c r="P28792" s="13"/>
    </row>
    <row r="28793">
      <c r="L28793" s="13"/>
      <c r="M28793" s="14"/>
      <c r="N28793" s="14"/>
      <c r="O28793" s="14"/>
      <c r="P28793" s="13"/>
    </row>
    <row r="28794">
      <c r="L28794" s="13"/>
      <c r="M28794" s="14"/>
      <c r="N28794" s="14"/>
      <c r="O28794" s="14"/>
      <c r="P28794" s="13"/>
    </row>
    <row r="28795">
      <c r="L28795" s="13"/>
      <c r="M28795" s="14"/>
      <c r="N28795" s="14"/>
      <c r="O28795" s="14"/>
      <c r="P28795" s="13"/>
    </row>
    <row r="28796">
      <c r="L28796" s="13"/>
      <c r="M28796" s="14"/>
      <c r="N28796" s="14"/>
      <c r="O28796" s="14"/>
      <c r="P28796" s="13"/>
    </row>
    <row r="28797">
      <c r="L28797" s="13"/>
      <c r="M28797" s="14"/>
      <c r="N28797" s="14"/>
      <c r="O28797" s="14"/>
      <c r="P28797" s="13"/>
    </row>
    <row r="28798">
      <c r="L28798" s="13"/>
      <c r="M28798" s="14"/>
      <c r="N28798" s="14"/>
      <c r="O28798" s="14"/>
      <c r="P28798" s="13"/>
    </row>
    <row r="28799">
      <c r="L28799" s="13"/>
      <c r="M28799" s="14"/>
      <c r="N28799" s="14"/>
      <c r="O28799" s="14"/>
      <c r="P28799" s="13"/>
    </row>
    <row r="28800">
      <c r="L28800" s="13"/>
      <c r="M28800" s="14"/>
      <c r="N28800" s="14"/>
      <c r="O28800" s="14"/>
      <c r="P28800" s="13"/>
    </row>
    <row r="28801">
      <c r="L28801" s="13"/>
      <c r="M28801" s="14"/>
      <c r="N28801" s="14"/>
      <c r="O28801" s="14"/>
      <c r="P28801" s="13"/>
    </row>
    <row r="28802">
      <c r="L28802" s="13"/>
      <c r="M28802" s="14"/>
      <c r="N28802" s="14"/>
      <c r="O28802" s="14"/>
      <c r="P28802" s="13"/>
    </row>
    <row r="28803">
      <c r="L28803" s="13"/>
      <c r="M28803" s="14"/>
      <c r="N28803" s="14"/>
      <c r="O28803" s="14"/>
      <c r="P28803" s="13"/>
    </row>
    <row r="28804">
      <c r="L28804" s="13"/>
      <c r="M28804" s="14"/>
      <c r="N28804" s="14"/>
      <c r="O28804" s="14"/>
      <c r="P28804" s="13"/>
    </row>
    <row r="28805">
      <c r="L28805" s="13"/>
      <c r="M28805" s="14"/>
      <c r="N28805" s="14"/>
      <c r="O28805" s="14"/>
      <c r="P28805" s="13"/>
    </row>
    <row r="28806">
      <c r="L28806" s="13"/>
      <c r="M28806" s="14"/>
      <c r="N28806" s="14"/>
      <c r="O28806" s="14"/>
      <c r="P28806" s="13"/>
    </row>
    <row r="28807">
      <c r="L28807" s="13"/>
      <c r="M28807" s="14"/>
      <c r="N28807" s="14"/>
      <c r="O28807" s="14"/>
      <c r="P28807" s="13"/>
    </row>
    <row r="28808">
      <c r="L28808" s="13"/>
      <c r="M28808" s="14"/>
      <c r="N28808" s="14"/>
      <c r="O28808" s="14"/>
      <c r="P28808" s="13"/>
    </row>
    <row r="28809">
      <c r="L28809" s="13"/>
      <c r="M28809" s="14"/>
      <c r="N28809" s="14"/>
      <c r="O28809" s="14"/>
      <c r="P28809" s="13"/>
    </row>
    <row r="28810">
      <c r="L28810" s="13"/>
      <c r="M28810" s="14"/>
      <c r="N28810" s="14"/>
      <c r="O28810" s="14"/>
      <c r="P28810" s="13"/>
    </row>
    <row r="28811">
      <c r="L28811" s="13"/>
      <c r="M28811" s="14"/>
      <c r="N28811" s="14"/>
      <c r="O28811" s="14"/>
      <c r="P28811" s="13"/>
    </row>
    <row r="28812">
      <c r="L28812" s="13"/>
      <c r="M28812" s="14"/>
      <c r="N28812" s="14"/>
      <c r="O28812" s="14"/>
      <c r="P28812" s="13"/>
    </row>
    <row r="28813">
      <c r="L28813" s="13"/>
      <c r="M28813" s="14"/>
      <c r="N28813" s="14"/>
      <c r="O28813" s="14"/>
      <c r="P28813" s="13"/>
    </row>
    <row r="28814">
      <c r="L28814" s="13"/>
      <c r="M28814" s="14"/>
      <c r="N28814" s="14"/>
      <c r="O28814" s="14"/>
      <c r="P28814" s="13"/>
    </row>
    <row r="28815">
      <c r="L28815" s="13"/>
      <c r="M28815" s="14"/>
      <c r="N28815" s="14"/>
      <c r="O28815" s="14"/>
      <c r="P28815" s="13"/>
    </row>
    <row r="28816">
      <c r="L28816" s="13"/>
      <c r="M28816" s="14"/>
      <c r="N28816" s="14"/>
      <c r="O28816" s="14"/>
      <c r="P28816" s="13"/>
    </row>
    <row r="28817">
      <c r="L28817" s="13"/>
      <c r="M28817" s="14"/>
      <c r="N28817" s="14"/>
      <c r="O28817" s="14"/>
      <c r="P28817" s="13"/>
    </row>
    <row r="28818">
      <c r="L28818" s="13"/>
      <c r="M28818" s="14"/>
      <c r="N28818" s="14"/>
      <c r="O28818" s="14"/>
      <c r="P28818" s="13"/>
    </row>
    <row r="28819">
      <c r="L28819" s="13"/>
      <c r="M28819" s="14"/>
      <c r="N28819" s="14"/>
      <c r="O28819" s="14"/>
      <c r="P28819" s="13"/>
    </row>
    <row r="28820">
      <c r="L28820" s="13"/>
      <c r="M28820" s="14"/>
      <c r="N28820" s="14"/>
      <c r="O28820" s="14"/>
      <c r="P28820" s="13"/>
    </row>
    <row r="28821">
      <c r="L28821" s="13"/>
      <c r="M28821" s="14"/>
      <c r="N28821" s="14"/>
      <c r="O28821" s="14"/>
      <c r="P28821" s="13"/>
    </row>
    <row r="28822">
      <c r="L28822" s="13"/>
      <c r="M28822" s="14"/>
      <c r="N28822" s="14"/>
      <c r="O28822" s="14"/>
      <c r="P28822" s="13"/>
    </row>
    <row r="28823">
      <c r="L28823" s="13"/>
      <c r="M28823" s="14"/>
      <c r="N28823" s="14"/>
      <c r="O28823" s="14"/>
      <c r="P28823" s="13"/>
    </row>
    <row r="28824">
      <c r="L28824" s="13"/>
      <c r="M28824" s="14"/>
      <c r="N28824" s="14"/>
      <c r="O28824" s="14"/>
      <c r="P28824" s="13"/>
    </row>
    <row r="28825">
      <c r="L28825" s="13"/>
      <c r="M28825" s="14"/>
      <c r="N28825" s="14"/>
      <c r="O28825" s="14"/>
      <c r="P28825" s="13"/>
    </row>
    <row r="28826">
      <c r="L28826" s="13"/>
      <c r="M28826" s="14"/>
      <c r="N28826" s="14"/>
      <c r="O28826" s="14"/>
      <c r="P28826" s="13"/>
    </row>
    <row r="28827">
      <c r="L28827" s="13"/>
      <c r="M28827" s="14"/>
      <c r="N28827" s="14"/>
      <c r="O28827" s="14"/>
      <c r="P28827" s="13"/>
    </row>
    <row r="28828">
      <c r="L28828" s="13"/>
      <c r="M28828" s="14"/>
      <c r="N28828" s="14"/>
      <c r="O28828" s="14"/>
      <c r="P28828" s="13"/>
    </row>
    <row r="28829">
      <c r="L28829" s="13"/>
      <c r="M28829" s="14"/>
      <c r="N28829" s="14"/>
      <c r="O28829" s="14"/>
      <c r="P28829" s="13"/>
    </row>
    <row r="28830">
      <c r="L28830" s="13"/>
      <c r="M28830" s="14"/>
      <c r="N28830" s="14"/>
      <c r="O28830" s="14"/>
      <c r="P28830" s="13"/>
    </row>
    <row r="28831">
      <c r="L28831" s="13"/>
      <c r="M28831" s="14"/>
      <c r="N28831" s="14"/>
      <c r="O28831" s="14"/>
      <c r="P28831" s="13"/>
    </row>
    <row r="28832">
      <c r="L28832" s="13"/>
      <c r="M28832" s="14"/>
      <c r="N28832" s="14"/>
      <c r="O28832" s="14"/>
      <c r="P28832" s="13"/>
    </row>
    <row r="28833">
      <c r="L28833" s="13"/>
      <c r="M28833" s="14"/>
      <c r="N28833" s="14"/>
      <c r="O28833" s="14"/>
      <c r="P28833" s="13"/>
    </row>
    <row r="28834">
      <c r="L28834" s="13"/>
      <c r="M28834" s="14"/>
      <c r="N28834" s="14"/>
      <c r="O28834" s="14"/>
      <c r="P28834" s="13"/>
    </row>
    <row r="28835">
      <c r="L28835" s="13"/>
      <c r="M28835" s="14"/>
      <c r="N28835" s="14"/>
      <c r="O28835" s="14"/>
      <c r="P28835" s="13"/>
    </row>
    <row r="28836">
      <c r="L28836" s="13"/>
      <c r="M28836" s="14"/>
      <c r="N28836" s="14"/>
      <c r="O28836" s="14"/>
      <c r="P28836" s="13"/>
    </row>
    <row r="28837">
      <c r="L28837" s="13"/>
      <c r="M28837" s="14"/>
      <c r="N28837" s="14"/>
      <c r="O28837" s="14"/>
      <c r="P28837" s="13"/>
    </row>
    <row r="28838">
      <c r="L28838" s="13"/>
      <c r="M28838" s="14"/>
      <c r="N28838" s="14"/>
      <c r="O28838" s="14"/>
      <c r="P28838" s="13"/>
    </row>
    <row r="28839">
      <c r="L28839" s="13"/>
      <c r="M28839" s="14"/>
      <c r="N28839" s="14"/>
      <c r="O28839" s="14"/>
      <c r="P28839" s="13"/>
    </row>
    <row r="28840">
      <c r="L28840" s="13"/>
      <c r="M28840" s="14"/>
      <c r="N28840" s="14"/>
      <c r="O28840" s="14"/>
      <c r="P28840" s="13"/>
    </row>
    <row r="28841">
      <c r="L28841" s="13"/>
      <c r="M28841" s="14"/>
      <c r="N28841" s="14"/>
      <c r="O28841" s="14"/>
      <c r="P28841" s="13"/>
    </row>
    <row r="28842">
      <c r="L28842" s="13"/>
      <c r="M28842" s="14"/>
      <c r="N28842" s="14"/>
      <c r="O28842" s="14"/>
      <c r="P28842" s="13"/>
    </row>
    <row r="28843">
      <c r="L28843" s="13"/>
      <c r="M28843" s="14"/>
      <c r="N28843" s="14"/>
      <c r="O28843" s="14"/>
      <c r="P28843" s="13"/>
    </row>
    <row r="28844">
      <c r="L28844" s="13"/>
      <c r="M28844" s="14"/>
      <c r="N28844" s="14"/>
      <c r="O28844" s="14"/>
      <c r="P28844" s="13"/>
    </row>
    <row r="28845">
      <c r="L28845" s="13"/>
      <c r="M28845" s="14"/>
      <c r="N28845" s="14"/>
      <c r="O28845" s="14"/>
      <c r="P28845" s="13"/>
    </row>
    <row r="28846">
      <c r="L28846" s="13"/>
      <c r="M28846" s="14"/>
      <c r="N28846" s="14"/>
      <c r="O28846" s="14"/>
      <c r="P28846" s="13"/>
    </row>
    <row r="28847">
      <c r="L28847" s="13"/>
      <c r="M28847" s="14"/>
      <c r="N28847" s="14"/>
      <c r="O28847" s="14"/>
      <c r="P28847" s="13"/>
    </row>
    <row r="28848">
      <c r="L28848" s="13"/>
      <c r="M28848" s="14"/>
      <c r="N28848" s="14"/>
      <c r="O28848" s="14"/>
      <c r="P28848" s="13"/>
    </row>
    <row r="28849">
      <c r="L28849" s="13"/>
      <c r="M28849" s="14"/>
      <c r="N28849" s="14"/>
      <c r="O28849" s="14"/>
      <c r="P28849" s="13"/>
    </row>
    <row r="28850">
      <c r="L28850" s="13"/>
      <c r="M28850" s="14"/>
      <c r="N28850" s="14"/>
      <c r="O28850" s="14"/>
      <c r="P28850" s="13"/>
    </row>
    <row r="28851">
      <c r="L28851" s="13"/>
      <c r="M28851" s="14"/>
      <c r="N28851" s="14"/>
      <c r="O28851" s="14"/>
      <c r="P28851" s="13"/>
    </row>
    <row r="28852">
      <c r="L28852" s="13"/>
      <c r="M28852" s="14"/>
      <c r="N28852" s="14"/>
      <c r="O28852" s="14"/>
      <c r="P28852" s="13"/>
    </row>
    <row r="28853">
      <c r="L28853" s="13"/>
      <c r="M28853" s="14"/>
      <c r="N28853" s="14"/>
      <c r="O28853" s="14"/>
      <c r="P28853" s="13"/>
    </row>
    <row r="28854">
      <c r="L28854" s="13"/>
      <c r="M28854" s="14"/>
      <c r="N28854" s="14"/>
      <c r="O28854" s="14"/>
      <c r="P28854" s="13"/>
    </row>
    <row r="28855">
      <c r="L28855" s="13"/>
      <c r="M28855" s="14"/>
      <c r="N28855" s="14"/>
      <c r="O28855" s="14"/>
      <c r="P28855" s="13"/>
    </row>
    <row r="28856">
      <c r="L28856" s="13"/>
      <c r="M28856" s="14"/>
      <c r="N28856" s="14"/>
      <c r="O28856" s="14"/>
      <c r="P28856" s="13"/>
    </row>
    <row r="28857">
      <c r="L28857" s="13"/>
      <c r="M28857" s="14"/>
      <c r="N28857" s="14"/>
      <c r="O28857" s="14"/>
      <c r="P28857" s="13"/>
    </row>
    <row r="28858">
      <c r="L28858" s="13"/>
      <c r="M28858" s="14"/>
      <c r="N28858" s="14"/>
      <c r="O28858" s="14"/>
      <c r="P28858" s="13"/>
    </row>
    <row r="28859">
      <c r="L28859" s="13"/>
      <c r="M28859" s="14"/>
      <c r="N28859" s="14"/>
      <c r="O28859" s="14"/>
      <c r="P28859" s="13"/>
    </row>
    <row r="28860">
      <c r="L28860" s="13"/>
      <c r="M28860" s="14"/>
      <c r="N28860" s="14"/>
      <c r="O28860" s="14"/>
      <c r="P28860" s="13"/>
    </row>
    <row r="28861">
      <c r="L28861" s="13"/>
      <c r="M28861" s="14"/>
      <c r="N28861" s="14"/>
      <c r="O28861" s="14"/>
      <c r="P28861" s="13"/>
    </row>
    <row r="28862">
      <c r="L28862" s="13"/>
      <c r="M28862" s="14"/>
      <c r="N28862" s="14"/>
      <c r="O28862" s="14"/>
      <c r="P28862" s="13"/>
    </row>
    <row r="28863">
      <c r="L28863" s="13"/>
      <c r="M28863" s="14"/>
      <c r="N28863" s="14"/>
      <c r="O28863" s="14"/>
      <c r="P28863" s="13"/>
    </row>
    <row r="28864">
      <c r="L28864" s="13"/>
      <c r="M28864" s="14"/>
      <c r="N28864" s="14"/>
      <c r="O28864" s="14"/>
      <c r="P28864" s="13"/>
    </row>
    <row r="28865">
      <c r="L28865" s="13"/>
      <c r="M28865" s="14"/>
      <c r="N28865" s="14"/>
      <c r="O28865" s="14"/>
      <c r="P28865" s="13"/>
    </row>
    <row r="28866">
      <c r="L28866" s="13"/>
      <c r="M28866" s="14"/>
      <c r="N28866" s="14"/>
      <c r="O28866" s="14"/>
      <c r="P28866" s="13"/>
    </row>
    <row r="28867">
      <c r="L28867" s="13"/>
      <c r="M28867" s="14"/>
      <c r="N28867" s="14"/>
      <c r="O28867" s="14"/>
      <c r="P28867" s="13"/>
    </row>
    <row r="28868">
      <c r="L28868" s="13"/>
      <c r="M28868" s="14"/>
      <c r="N28868" s="14"/>
      <c r="O28868" s="14"/>
      <c r="P28868" s="13"/>
    </row>
    <row r="28869">
      <c r="L28869" s="13"/>
      <c r="M28869" s="14"/>
      <c r="N28869" s="14"/>
      <c r="O28869" s="14"/>
      <c r="P28869" s="13"/>
    </row>
    <row r="28870">
      <c r="L28870" s="13"/>
      <c r="M28870" s="14"/>
      <c r="N28870" s="14"/>
      <c r="O28870" s="14"/>
      <c r="P28870" s="13"/>
    </row>
    <row r="28871">
      <c r="L28871" s="13"/>
      <c r="M28871" s="14"/>
      <c r="N28871" s="14"/>
      <c r="O28871" s="14"/>
      <c r="P28871" s="13"/>
    </row>
    <row r="28872">
      <c r="L28872" s="13"/>
      <c r="M28872" s="14"/>
      <c r="N28872" s="14"/>
      <c r="O28872" s="14"/>
      <c r="P28872" s="13"/>
    </row>
    <row r="28873">
      <c r="L28873" s="13"/>
      <c r="M28873" s="14"/>
      <c r="N28873" s="14"/>
      <c r="O28873" s="14"/>
      <c r="P28873" s="13"/>
    </row>
    <row r="28874">
      <c r="L28874" s="13"/>
      <c r="M28874" s="14"/>
      <c r="N28874" s="14"/>
      <c r="O28874" s="14"/>
      <c r="P28874" s="13"/>
    </row>
    <row r="28875">
      <c r="L28875" s="13"/>
      <c r="M28875" s="14"/>
      <c r="N28875" s="14"/>
      <c r="O28875" s="14"/>
      <c r="P28875" s="13"/>
    </row>
    <row r="28876">
      <c r="L28876" s="13"/>
      <c r="M28876" s="14"/>
      <c r="N28876" s="14"/>
      <c r="O28876" s="14"/>
      <c r="P28876" s="13"/>
    </row>
    <row r="28877">
      <c r="L28877" s="13"/>
      <c r="M28877" s="14"/>
      <c r="N28877" s="14"/>
      <c r="O28877" s="14"/>
      <c r="P28877" s="13"/>
    </row>
    <row r="28878">
      <c r="L28878" s="13"/>
      <c r="M28878" s="14"/>
      <c r="N28878" s="14"/>
      <c r="O28878" s="14"/>
      <c r="P28878" s="13"/>
    </row>
    <row r="28879">
      <c r="L28879" s="13"/>
      <c r="M28879" s="14"/>
      <c r="N28879" s="14"/>
      <c r="O28879" s="14"/>
      <c r="P28879" s="13"/>
    </row>
    <row r="28880">
      <c r="L28880" s="13"/>
      <c r="M28880" s="14"/>
      <c r="N28880" s="14"/>
      <c r="O28880" s="14"/>
      <c r="P28880" s="13"/>
    </row>
    <row r="28881">
      <c r="L28881" s="13"/>
      <c r="M28881" s="14"/>
      <c r="N28881" s="14"/>
      <c r="O28881" s="14"/>
      <c r="P28881" s="13"/>
    </row>
    <row r="28882">
      <c r="L28882" s="13"/>
      <c r="M28882" s="14"/>
      <c r="N28882" s="14"/>
      <c r="O28882" s="14"/>
      <c r="P28882" s="13"/>
    </row>
    <row r="28883">
      <c r="L28883" s="13"/>
      <c r="M28883" s="14"/>
      <c r="N28883" s="14"/>
      <c r="O28883" s="14"/>
      <c r="P28883" s="13"/>
    </row>
    <row r="28884">
      <c r="L28884" s="13"/>
      <c r="M28884" s="14"/>
      <c r="N28884" s="14"/>
      <c r="O28884" s="14"/>
      <c r="P28884" s="13"/>
    </row>
    <row r="28885">
      <c r="L28885" s="13"/>
      <c r="M28885" s="14"/>
      <c r="N28885" s="14"/>
      <c r="O28885" s="14"/>
      <c r="P28885" s="13"/>
    </row>
    <row r="28886">
      <c r="L28886" s="13"/>
      <c r="M28886" s="14"/>
      <c r="N28886" s="14"/>
      <c r="O28886" s="14"/>
      <c r="P28886" s="13"/>
    </row>
    <row r="28887">
      <c r="L28887" s="13"/>
      <c r="M28887" s="14"/>
      <c r="N28887" s="14"/>
      <c r="O28887" s="14"/>
      <c r="P28887" s="13"/>
    </row>
    <row r="28888">
      <c r="L28888" s="13"/>
      <c r="M28888" s="14"/>
      <c r="N28888" s="14"/>
      <c r="O28888" s="14"/>
      <c r="P28888" s="13"/>
    </row>
    <row r="28889">
      <c r="L28889" s="13"/>
      <c r="M28889" s="14"/>
      <c r="N28889" s="14"/>
      <c r="O28889" s="14"/>
      <c r="P28889" s="13"/>
    </row>
    <row r="28890">
      <c r="L28890" s="13"/>
      <c r="M28890" s="14"/>
      <c r="N28890" s="14"/>
      <c r="O28890" s="14"/>
      <c r="P28890" s="13"/>
    </row>
    <row r="28891">
      <c r="L28891" s="13"/>
      <c r="M28891" s="14"/>
      <c r="N28891" s="14"/>
      <c r="O28891" s="14"/>
      <c r="P28891" s="13"/>
    </row>
    <row r="28892">
      <c r="L28892" s="13"/>
      <c r="M28892" s="14"/>
      <c r="N28892" s="14"/>
      <c r="O28892" s="14"/>
      <c r="P28892" s="13"/>
    </row>
    <row r="28893">
      <c r="L28893" s="13"/>
      <c r="M28893" s="14"/>
      <c r="N28893" s="14"/>
      <c r="O28893" s="14"/>
      <c r="P28893" s="13"/>
    </row>
    <row r="28894">
      <c r="L28894" s="13"/>
      <c r="M28894" s="14"/>
      <c r="N28894" s="14"/>
      <c r="O28894" s="14"/>
      <c r="P28894" s="13"/>
    </row>
    <row r="28895">
      <c r="L28895" s="13"/>
      <c r="M28895" s="14"/>
      <c r="N28895" s="14"/>
      <c r="O28895" s="14"/>
      <c r="P28895" s="13"/>
    </row>
    <row r="28896">
      <c r="L28896" s="13"/>
      <c r="M28896" s="14"/>
      <c r="N28896" s="14"/>
      <c r="O28896" s="14"/>
      <c r="P28896" s="13"/>
    </row>
    <row r="28897">
      <c r="L28897" s="13"/>
      <c r="M28897" s="14"/>
      <c r="N28897" s="14"/>
      <c r="O28897" s="14"/>
      <c r="P28897" s="13"/>
    </row>
    <row r="28898">
      <c r="L28898" s="13"/>
      <c r="M28898" s="14"/>
      <c r="N28898" s="14"/>
      <c r="O28898" s="14"/>
      <c r="P28898" s="13"/>
    </row>
    <row r="28899">
      <c r="L28899" s="13"/>
      <c r="M28899" s="14"/>
      <c r="N28899" s="14"/>
      <c r="O28899" s="14"/>
      <c r="P28899" s="13"/>
    </row>
    <row r="28900">
      <c r="L28900" s="13"/>
      <c r="M28900" s="14"/>
      <c r="N28900" s="14"/>
      <c r="O28900" s="14"/>
      <c r="P28900" s="13"/>
    </row>
    <row r="28901">
      <c r="L28901" s="13"/>
      <c r="M28901" s="14"/>
      <c r="N28901" s="14"/>
      <c r="O28901" s="14"/>
      <c r="P28901" s="13"/>
    </row>
    <row r="28902">
      <c r="L28902" s="13"/>
      <c r="M28902" s="14"/>
      <c r="N28902" s="14"/>
      <c r="O28902" s="14"/>
      <c r="P28902" s="13"/>
    </row>
    <row r="28903">
      <c r="L28903" s="13"/>
      <c r="M28903" s="14"/>
      <c r="N28903" s="14"/>
      <c r="O28903" s="14"/>
      <c r="P28903" s="13"/>
    </row>
    <row r="28904">
      <c r="L28904" s="13"/>
      <c r="M28904" s="14"/>
      <c r="N28904" s="14"/>
      <c r="O28904" s="14"/>
      <c r="P28904" s="13"/>
    </row>
    <row r="28905">
      <c r="L28905" s="13"/>
      <c r="M28905" s="14"/>
      <c r="N28905" s="14"/>
      <c r="O28905" s="14"/>
      <c r="P28905" s="13"/>
    </row>
    <row r="28906">
      <c r="L28906" s="13"/>
      <c r="M28906" s="14"/>
      <c r="N28906" s="14"/>
      <c r="O28906" s="14"/>
      <c r="P28906" s="13"/>
    </row>
    <row r="28907">
      <c r="L28907" s="13"/>
      <c r="M28907" s="14"/>
      <c r="N28907" s="14"/>
      <c r="O28907" s="14"/>
      <c r="P28907" s="13"/>
    </row>
    <row r="28908">
      <c r="L28908" s="13"/>
      <c r="M28908" s="14"/>
      <c r="N28908" s="14"/>
      <c r="O28908" s="14"/>
      <c r="P28908" s="13"/>
    </row>
    <row r="28909">
      <c r="L28909" s="13"/>
      <c r="M28909" s="14"/>
      <c r="N28909" s="14"/>
      <c r="O28909" s="14"/>
      <c r="P28909" s="13"/>
    </row>
    <row r="28910">
      <c r="L28910" s="13"/>
      <c r="M28910" s="14"/>
      <c r="N28910" s="14"/>
      <c r="O28910" s="14"/>
      <c r="P28910" s="13"/>
    </row>
    <row r="28911">
      <c r="L28911" s="13"/>
      <c r="M28911" s="14"/>
      <c r="N28911" s="14"/>
      <c r="O28911" s="14"/>
      <c r="P28911" s="13"/>
    </row>
    <row r="28912">
      <c r="L28912" s="13"/>
      <c r="M28912" s="14"/>
      <c r="N28912" s="14"/>
      <c r="O28912" s="14"/>
      <c r="P28912" s="13"/>
    </row>
    <row r="28913">
      <c r="L28913" s="13"/>
      <c r="M28913" s="14"/>
      <c r="N28913" s="14"/>
      <c r="O28913" s="14"/>
      <c r="P28913" s="13"/>
    </row>
    <row r="28914">
      <c r="L28914" s="13"/>
      <c r="M28914" s="14"/>
      <c r="N28914" s="14"/>
      <c r="O28914" s="14"/>
      <c r="P28914" s="13"/>
    </row>
    <row r="28915">
      <c r="L28915" s="13"/>
      <c r="M28915" s="14"/>
      <c r="N28915" s="14"/>
      <c r="O28915" s="14"/>
      <c r="P28915" s="13"/>
    </row>
    <row r="28916">
      <c r="L28916" s="13"/>
      <c r="M28916" s="14"/>
      <c r="N28916" s="14"/>
      <c r="O28916" s="14"/>
      <c r="P28916" s="13"/>
    </row>
    <row r="28917">
      <c r="L28917" s="13"/>
      <c r="M28917" s="14"/>
      <c r="N28917" s="14"/>
      <c r="O28917" s="14"/>
      <c r="P28917" s="13"/>
    </row>
    <row r="28918">
      <c r="L28918" s="13"/>
      <c r="M28918" s="14"/>
      <c r="N28918" s="14"/>
      <c r="O28918" s="14"/>
      <c r="P28918" s="13"/>
    </row>
    <row r="28919">
      <c r="L28919" s="13"/>
      <c r="M28919" s="14"/>
      <c r="N28919" s="14"/>
      <c r="O28919" s="14"/>
      <c r="P28919" s="13"/>
    </row>
    <row r="28920">
      <c r="L28920" s="13"/>
      <c r="M28920" s="14"/>
      <c r="N28920" s="14"/>
      <c r="O28920" s="14"/>
      <c r="P28920" s="13"/>
    </row>
    <row r="28921">
      <c r="L28921" s="13"/>
      <c r="M28921" s="14"/>
      <c r="N28921" s="14"/>
      <c r="O28921" s="14"/>
      <c r="P28921" s="13"/>
    </row>
    <row r="28922">
      <c r="L28922" s="13"/>
      <c r="M28922" s="14"/>
      <c r="N28922" s="14"/>
      <c r="O28922" s="14"/>
      <c r="P28922" s="13"/>
    </row>
    <row r="28923">
      <c r="L28923" s="13"/>
      <c r="M28923" s="14"/>
      <c r="N28923" s="14"/>
      <c r="O28923" s="14"/>
      <c r="P28923" s="13"/>
    </row>
    <row r="28924">
      <c r="L28924" s="13"/>
      <c r="M28924" s="14"/>
      <c r="N28924" s="14"/>
      <c r="O28924" s="14"/>
      <c r="P28924" s="13"/>
    </row>
    <row r="28925">
      <c r="L28925" s="13"/>
      <c r="M28925" s="14"/>
      <c r="N28925" s="14"/>
      <c r="O28925" s="14"/>
      <c r="P28925" s="13"/>
    </row>
    <row r="28926">
      <c r="L28926" s="13"/>
      <c r="M28926" s="14"/>
      <c r="N28926" s="14"/>
      <c r="O28926" s="14"/>
      <c r="P28926" s="13"/>
    </row>
    <row r="28927">
      <c r="L28927" s="13"/>
      <c r="M28927" s="14"/>
      <c r="N28927" s="14"/>
      <c r="O28927" s="14"/>
      <c r="P28927" s="13"/>
    </row>
    <row r="28928">
      <c r="L28928" s="13"/>
      <c r="M28928" s="14"/>
      <c r="N28928" s="14"/>
      <c r="O28928" s="14"/>
      <c r="P28928" s="13"/>
    </row>
    <row r="28929">
      <c r="L28929" s="13"/>
      <c r="M28929" s="14"/>
      <c r="N28929" s="14"/>
      <c r="O28929" s="14"/>
      <c r="P28929" s="13"/>
    </row>
    <row r="28930">
      <c r="L28930" s="13"/>
      <c r="M28930" s="14"/>
      <c r="N28930" s="14"/>
      <c r="O28930" s="14"/>
      <c r="P28930" s="13"/>
    </row>
    <row r="28931">
      <c r="L28931" s="13"/>
      <c r="M28931" s="14"/>
      <c r="N28931" s="14"/>
      <c r="O28931" s="14"/>
      <c r="P28931" s="13"/>
    </row>
    <row r="28932">
      <c r="L28932" s="13"/>
      <c r="M28932" s="14"/>
      <c r="N28932" s="14"/>
      <c r="O28932" s="14"/>
      <c r="P28932" s="13"/>
    </row>
    <row r="28933">
      <c r="L28933" s="13"/>
      <c r="M28933" s="14"/>
      <c r="N28933" s="14"/>
      <c r="O28933" s="14"/>
      <c r="P28933" s="13"/>
    </row>
    <row r="28934">
      <c r="L28934" s="13"/>
      <c r="M28934" s="14"/>
      <c r="N28934" s="14"/>
      <c r="O28934" s="14"/>
      <c r="P28934" s="13"/>
    </row>
    <row r="28935">
      <c r="L28935" s="13"/>
      <c r="M28935" s="14"/>
      <c r="N28935" s="14"/>
      <c r="O28935" s="14"/>
      <c r="P28935" s="13"/>
    </row>
    <row r="28936">
      <c r="L28936" s="13"/>
      <c r="M28936" s="14"/>
      <c r="N28936" s="14"/>
      <c r="O28936" s="14"/>
      <c r="P28936" s="13"/>
    </row>
    <row r="28937">
      <c r="L28937" s="13"/>
      <c r="M28937" s="14"/>
      <c r="N28937" s="14"/>
      <c r="O28937" s="14"/>
      <c r="P28937" s="13"/>
    </row>
    <row r="28938">
      <c r="L28938" s="13"/>
      <c r="M28938" s="14"/>
      <c r="N28938" s="14"/>
      <c r="O28938" s="14"/>
      <c r="P28938" s="13"/>
    </row>
    <row r="28939">
      <c r="L28939" s="13"/>
      <c r="M28939" s="14"/>
      <c r="N28939" s="14"/>
      <c r="O28939" s="14"/>
      <c r="P28939" s="13"/>
    </row>
    <row r="28940">
      <c r="L28940" s="13"/>
      <c r="M28940" s="14"/>
      <c r="N28940" s="14"/>
      <c r="O28940" s="14"/>
      <c r="P28940" s="13"/>
    </row>
    <row r="28941">
      <c r="L28941" s="13"/>
      <c r="M28941" s="14"/>
      <c r="N28941" s="14"/>
      <c r="O28941" s="14"/>
      <c r="P28941" s="13"/>
    </row>
    <row r="28942">
      <c r="L28942" s="13"/>
      <c r="M28942" s="14"/>
      <c r="N28942" s="14"/>
      <c r="O28942" s="14"/>
      <c r="P28942" s="13"/>
    </row>
    <row r="28943">
      <c r="L28943" s="13"/>
      <c r="M28943" s="14"/>
      <c r="N28943" s="14"/>
      <c r="O28943" s="14"/>
      <c r="P28943" s="13"/>
    </row>
    <row r="28944">
      <c r="L28944" s="13"/>
      <c r="M28944" s="14"/>
      <c r="N28944" s="14"/>
      <c r="O28944" s="14"/>
      <c r="P28944" s="13"/>
    </row>
    <row r="28945">
      <c r="L28945" s="13"/>
      <c r="M28945" s="14"/>
      <c r="N28945" s="14"/>
      <c r="O28945" s="14"/>
      <c r="P28945" s="13"/>
    </row>
    <row r="28946">
      <c r="L28946" s="13"/>
      <c r="M28946" s="14"/>
      <c r="N28946" s="14"/>
      <c r="O28946" s="14"/>
      <c r="P28946" s="13"/>
    </row>
    <row r="28947">
      <c r="L28947" s="13"/>
      <c r="M28947" s="14"/>
      <c r="N28947" s="14"/>
      <c r="O28947" s="14"/>
      <c r="P28947" s="13"/>
    </row>
    <row r="28948">
      <c r="L28948" s="13"/>
      <c r="M28948" s="14"/>
      <c r="N28948" s="14"/>
      <c r="O28948" s="14"/>
      <c r="P28948" s="13"/>
    </row>
    <row r="28949">
      <c r="L28949" s="13"/>
      <c r="M28949" s="14"/>
      <c r="N28949" s="14"/>
      <c r="O28949" s="14"/>
      <c r="P28949" s="13"/>
    </row>
    <row r="28950">
      <c r="L28950" s="13"/>
      <c r="M28950" s="14"/>
      <c r="N28950" s="14"/>
      <c r="O28950" s="14"/>
      <c r="P28950" s="13"/>
    </row>
    <row r="28951">
      <c r="L28951" s="13"/>
      <c r="M28951" s="14"/>
      <c r="N28951" s="14"/>
      <c r="O28951" s="14"/>
      <c r="P28951" s="13"/>
    </row>
    <row r="28952">
      <c r="L28952" s="13"/>
      <c r="M28952" s="14"/>
      <c r="N28952" s="14"/>
      <c r="O28952" s="14"/>
      <c r="P28952" s="13"/>
    </row>
    <row r="28953">
      <c r="L28953" s="13"/>
      <c r="M28953" s="14"/>
      <c r="N28953" s="14"/>
      <c r="O28953" s="14"/>
      <c r="P28953" s="13"/>
    </row>
    <row r="28954">
      <c r="L28954" s="13"/>
      <c r="M28954" s="14"/>
      <c r="N28954" s="14"/>
      <c r="O28954" s="14"/>
      <c r="P28954" s="13"/>
    </row>
    <row r="28955">
      <c r="L28955" s="13"/>
      <c r="M28955" s="14"/>
      <c r="N28955" s="14"/>
      <c r="O28955" s="14"/>
      <c r="P28955" s="13"/>
    </row>
    <row r="28956">
      <c r="L28956" s="13"/>
      <c r="M28956" s="14"/>
      <c r="N28956" s="14"/>
      <c r="O28956" s="14"/>
      <c r="P28956" s="13"/>
    </row>
    <row r="28957">
      <c r="L28957" s="13"/>
      <c r="M28957" s="14"/>
      <c r="N28957" s="14"/>
      <c r="O28957" s="14"/>
      <c r="P28957" s="13"/>
    </row>
    <row r="28958">
      <c r="L28958" s="13"/>
      <c r="M28958" s="14"/>
      <c r="N28958" s="14"/>
      <c r="O28958" s="14"/>
      <c r="P28958" s="13"/>
    </row>
    <row r="28959">
      <c r="L28959" s="13"/>
      <c r="M28959" s="14"/>
      <c r="N28959" s="14"/>
      <c r="O28959" s="14"/>
      <c r="P28959" s="13"/>
    </row>
    <row r="28960">
      <c r="L28960" s="13"/>
      <c r="M28960" s="14"/>
      <c r="N28960" s="14"/>
      <c r="O28960" s="14"/>
      <c r="P28960" s="13"/>
    </row>
    <row r="28961">
      <c r="L28961" s="13"/>
      <c r="M28961" s="14"/>
      <c r="N28961" s="14"/>
      <c r="O28961" s="14"/>
      <c r="P28961" s="13"/>
    </row>
    <row r="28962">
      <c r="L28962" s="13"/>
      <c r="M28962" s="14"/>
      <c r="N28962" s="14"/>
      <c r="O28962" s="14"/>
      <c r="P28962" s="13"/>
    </row>
    <row r="28963">
      <c r="L28963" s="13"/>
      <c r="M28963" s="14"/>
      <c r="N28963" s="14"/>
      <c r="O28963" s="14"/>
      <c r="P28963" s="13"/>
    </row>
    <row r="28964">
      <c r="L28964" s="13"/>
      <c r="M28964" s="14"/>
      <c r="N28964" s="14"/>
      <c r="O28964" s="14"/>
      <c r="P28964" s="13"/>
    </row>
    <row r="28965">
      <c r="L28965" s="13"/>
      <c r="M28965" s="14"/>
      <c r="N28965" s="14"/>
      <c r="O28965" s="14"/>
      <c r="P28965" s="13"/>
    </row>
    <row r="28966">
      <c r="L28966" s="13"/>
      <c r="M28966" s="14"/>
      <c r="N28966" s="14"/>
      <c r="O28966" s="14"/>
      <c r="P28966" s="13"/>
    </row>
    <row r="28967">
      <c r="L28967" s="13"/>
      <c r="M28967" s="14"/>
      <c r="N28967" s="14"/>
      <c r="O28967" s="14"/>
      <c r="P28967" s="13"/>
    </row>
    <row r="28968">
      <c r="L28968" s="13"/>
      <c r="M28968" s="14"/>
      <c r="N28968" s="14"/>
      <c r="O28968" s="14"/>
      <c r="P28968" s="13"/>
    </row>
    <row r="28969">
      <c r="L28969" s="13"/>
      <c r="M28969" s="14"/>
      <c r="N28969" s="14"/>
      <c r="O28969" s="14"/>
      <c r="P28969" s="13"/>
    </row>
    <row r="28970">
      <c r="L28970" s="13"/>
      <c r="M28970" s="14"/>
      <c r="N28970" s="14"/>
      <c r="O28970" s="14"/>
      <c r="P28970" s="13"/>
    </row>
    <row r="28971">
      <c r="L28971" s="13"/>
      <c r="M28971" s="14"/>
      <c r="N28971" s="14"/>
      <c r="O28971" s="14"/>
      <c r="P28971" s="13"/>
    </row>
    <row r="28972">
      <c r="L28972" s="13"/>
      <c r="M28972" s="14"/>
      <c r="N28972" s="14"/>
      <c r="O28972" s="14"/>
      <c r="P28972" s="13"/>
    </row>
    <row r="28973">
      <c r="L28973" s="13"/>
      <c r="M28973" s="14"/>
      <c r="N28973" s="14"/>
      <c r="O28973" s="14"/>
      <c r="P28973" s="13"/>
    </row>
    <row r="28974">
      <c r="L28974" s="13"/>
      <c r="M28974" s="14"/>
      <c r="N28974" s="14"/>
      <c r="O28974" s="14"/>
      <c r="P28974" s="13"/>
    </row>
    <row r="28975">
      <c r="L28975" s="13"/>
      <c r="M28975" s="14"/>
      <c r="N28975" s="14"/>
      <c r="O28975" s="14"/>
      <c r="P28975" s="13"/>
    </row>
    <row r="28976">
      <c r="L28976" s="13"/>
      <c r="M28976" s="14"/>
      <c r="N28976" s="14"/>
      <c r="O28976" s="14"/>
      <c r="P28976" s="13"/>
    </row>
    <row r="28977">
      <c r="L28977" s="13"/>
      <c r="M28977" s="14"/>
      <c r="N28977" s="14"/>
      <c r="O28977" s="14"/>
      <c r="P28977" s="13"/>
    </row>
    <row r="28978">
      <c r="L28978" s="13"/>
      <c r="M28978" s="14"/>
      <c r="N28978" s="14"/>
      <c r="O28978" s="14"/>
      <c r="P28978" s="13"/>
    </row>
    <row r="28979">
      <c r="L28979" s="13"/>
      <c r="M28979" s="14"/>
      <c r="N28979" s="14"/>
      <c r="O28979" s="14"/>
      <c r="P28979" s="13"/>
    </row>
    <row r="28980">
      <c r="L28980" s="13"/>
      <c r="M28980" s="14"/>
      <c r="N28980" s="14"/>
      <c r="O28980" s="14"/>
      <c r="P28980" s="13"/>
    </row>
    <row r="28981">
      <c r="L28981" s="13"/>
      <c r="M28981" s="14"/>
      <c r="N28981" s="14"/>
      <c r="O28981" s="14"/>
      <c r="P28981" s="13"/>
    </row>
    <row r="28982">
      <c r="L28982" s="13"/>
      <c r="M28982" s="14"/>
      <c r="N28982" s="14"/>
      <c r="O28982" s="14"/>
      <c r="P28982" s="13"/>
    </row>
    <row r="28983">
      <c r="L28983" s="13"/>
      <c r="M28983" s="14"/>
      <c r="N28983" s="14"/>
      <c r="O28983" s="14"/>
      <c r="P28983" s="13"/>
    </row>
    <row r="28984">
      <c r="L28984" s="13"/>
      <c r="M28984" s="14"/>
      <c r="N28984" s="14"/>
      <c r="O28984" s="14"/>
      <c r="P28984" s="13"/>
    </row>
    <row r="28985">
      <c r="L28985" s="13"/>
      <c r="M28985" s="14"/>
      <c r="N28985" s="14"/>
      <c r="O28985" s="14"/>
      <c r="P28985" s="13"/>
    </row>
    <row r="28986">
      <c r="L28986" s="13"/>
      <c r="M28986" s="14"/>
      <c r="N28986" s="14"/>
      <c r="O28986" s="14"/>
      <c r="P28986" s="13"/>
    </row>
    <row r="28987">
      <c r="L28987" s="13"/>
      <c r="M28987" s="14"/>
      <c r="N28987" s="14"/>
      <c r="O28987" s="14"/>
      <c r="P28987" s="13"/>
    </row>
    <row r="28988">
      <c r="L28988" s="13"/>
      <c r="M28988" s="14"/>
      <c r="N28988" s="14"/>
      <c r="O28988" s="14"/>
      <c r="P28988" s="13"/>
    </row>
    <row r="28989">
      <c r="L28989" s="13"/>
      <c r="M28989" s="14"/>
      <c r="N28989" s="14"/>
      <c r="O28989" s="14"/>
      <c r="P28989" s="13"/>
    </row>
    <row r="28990">
      <c r="L28990" s="13"/>
      <c r="M28990" s="14"/>
      <c r="N28990" s="14"/>
      <c r="O28990" s="14"/>
      <c r="P28990" s="13"/>
    </row>
    <row r="28991">
      <c r="L28991" s="13"/>
      <c r="M28991" s="14"/>
      <c r="N28991" s="14"/>
      <c r="O28991" s="14"/>
      <c r="P28991" s="13"/>
    </row>
    <row r="28992">
      <c r="L28992" s="13"/>
      <c r="M28992" s="14"/>
      <c r="N28992" s="14"/>
      <c r="O28992" s="14"/>
      <c r="P28992" s="13"/>
    </row>
    <row r="28993">
      <c r="L28993" s="13"/>
      <c r="M28993" s="14"/>
      <c r="N28993" s="14"/>
      <c r="O28993" s="14"/>
      <c r="P28993" s="13"/>
    </row>
    <row r="28994">
      <c r="L28994" s="13"/>
      <c r="M28994" s="14"/>
      <c r="N28994" s="14"/>
      <c r="O28994" s="14"/>
      <c r="P28994" s="13"/>
    </row>
    <row r="28995">
      <c r="L28995" s="13"/>
      <c r="M28995" s="14"/>
      <c r="N28995" s="14"/>
      <c r="O28995" s="14"/>
      <c r="P28995" s="13"/>
    </row>
    <row r="28996">
      <c r="L28996" s="13"/>
      <c r="M28996" s="14"/>
      <c r="N28996" s="14"/>
      <c r="O28996" s="14"/>
      <c r="P28996" s="13"/>
    </row>
    <row r="28997">
      <c r="L28997" s="13"/>
      <c r="M28997" s="14"/>
      <c r="N28997" s="14"/>
      <c r="O28997" s="14"/>
      <c r="P28997" s="13"/>
    </row>
    <row r="28998">
      <c r="L28998" s="13"/>
      <c r="M28998" s="14"/>
      <c r="N28998" s="14"/>
      <c r="O28998" s="14"/>
      <c r="P28998" s="13"/>
    </row>
    <row r="28999">
      <c r="L28999" s="13"/>
      <c r="M28999" s="14"/>
      <c r="N28999" s="14"/>
      <c r="O28999" s="14"/>
      <c r="P28999" s="13"/>
    </row>
    <row r="29000">
      <c r="L29000" s="13"/>
      <c r="M29000" s="14"/>
      <c r="N29000" s="14"/>
      <c r="O29000" s="14"/>
      <c r="P29000" s="13"/>
    </row>
    <row r="29001">
      <c r="L29001" s="13"/>
      <c r="M29001" s="14"/>
      <c r="N29001" s="14"/>
      <c r="O29001" s="14"/>
      <c r="P29001" s="13"/>
    </row>
    <row r="29002">
      <c r="L29002" s="13"/>
      <c r="M29002" s="14"/>
      <c r="N29002" s="14"/>
      <c r="O29002" s="14"/>
      <c r="P29002" s="13"/>
    </row>
    <row r="29003">
      <c r="L29003" s="13"/>
      <c r="M29003" s="14"/>
      <c r="N29003" s="14"/>
      <c r="O29003" s="14"/>
      <c r="P29003" s="13"/>
    </row>
    <row r="29004">
      <c r="L29004" s="13"/>
      <c r="M29004" s="14"/>
      <c r="N29004" s="14"/>
      <c r="O29004" s="14"/>
      <c r="P29004" s="13"/>
    </row>
    <row r="29005">
      <c r="L29005" s="13"/>
      <c r="M29005" s="14"/>
      <c r="N29005" s="14"/>
      <c r="O29005" s="14"/>
      <c r="P29005" s="13"/>
    </row>
    <row r="29006">
      <c r="L29006" s="13"/>
      <c r="M29006" s="14"/>
      <c r="N29006" s="14"/>
      <c r="O29006" s="14"/>
      <c r="P29006" s="13"/>
    </row>
    <row r="29007">
      <c r="L29007" s="13"/>
      <c r="M29007" s="14"/>
      <c r="N29007" s="14"/>
      <c r="O29007" s="14"/>
      <c r="P29007" s="13"/>
    </row>
    <row r="29008">
      <c r="L29008" s="13"/>
      <c r="M29008" s="14"/>
      <c r="N29008" s="14"/>
      <c r="O29008" s="14"/>
      <c r="P29008" s="13"/>
    </row>
    <row r="29009">
      <c r="L29009" s="13"/>
      <c r="M29009" s="14"/>
      <c r="N29009" s="14"/>
      <c r="O29009" s="14"/>
      <c r="P29009" s="13"/>
    </row>
    <row r="29010">
      <c r="L29010" s="13"/>
      <c r="M29010" s="14"/>
      <c r="N29010" s="14"/>
      <c r="O29010" s="14"/>
      <c r="P29010" s="13"/>
    </row>
    <row r="29011">
      <c r="L29011" s="13"/>
      <c r="M29011" s="14"/>
      <c r="N29011" s="14"/>
      <c r="O29011" s="14"/>
      <c r="P29011" s="13"/>
    </row>
    <row r="29012">
      <c r="L29012" s="13"/>
      <c r="M29012" s="14"/>
      <c r="N29012" s="14"/>
      <c r="O29012" s="14"/>
      <c r="P29012" s="13"/>
    </row>
    <row r="29013">
      <c r="L29013" s="13"/>
      <c r="M29013" s="14"/>
      <c r="N29013" s="14"/>
      <c r="O29013" s="14"/>
      <c r="P29013" s="13"/>
    </row>
    <row r="29014">
      <c r="L29014" s="13"/>
      <c r="M29014" s="14"/>
      <c r="N29014" s="14"/>
      <c r="O29014" s="14"/>
      <c r="P29014" s="13"/>
    </row>
    <row r="29015">
      <c r="L29015" s="13"/>
      <c r="M29015" s="14"/>
      <c r="N29015" s="14"/>
      <c r="O29015" s="14"/>
      <c r="P29015" s="13"/>
    </row>
    <row r="29016">
      <c r="L29016" s="13"/>
      <c r="M29016" s="14"/>
      <c r="N29016" s="14"/>
      <c r="O29016" s="14"/>
      <c r="P29016" s="13"/>
    </row>
    <row r="29017">
      <c r="L29017" s="13"/>
      <c r="M29017" s="14"/>
      <c r="N29017" s="14"/>
      <c r="O29017" s="14"/>
      <c r="P29017" s="13"/>
    </row>
    <row r="29018">
      <c r="L29018" s="13"/>
      <c r="M29018" s="14"/>
      <c r="N29018" s="14"/>
      <c r="O29018" s="14"/>
      <c r="P29018" s="13"/>
    </row>
    <row r="29019">
      <c r="L29019" s="13"/>
      <c r="M29019" s="14"/>
      <c r="N29019" s="14"/>
      <c r="O29019" s="14"/>
      <c r="P29019" s="13"/>
    </row>
    <row r="29020">
      <c r="L29020" s="13"/>
      <c r="M29020" s="14"/>
      <c r="N29020" s="14"/>
      <c r="O29020" s="14"/>
      <c r="P29020" s="13"/>
    </row>
    <row r="29021">
      <c r="L29021" s="13"/>
      <c r="M29021" s="14"/>
      <c r="N29021" s="14"/>
      <c r="O29021" s="14"/>
      <c r="P29021" s="13"/>
    </row>
    <row r="29022">
      <c r="L29022" s="13"/>
      <c r="M29022" s="14"/>
      <c r="N29022" s="14"/>
      <c r="O29022" s="14"/>
      <c r="P29022" s="13"/>
    </row>
    <row r="29023">
      <c r="L29023" s="13"/>
      <c r="M29023" s="14"/>
      <c r="N29023" s="14"/>
      <c r="O29023" s="14"/>
      <c r="P29023" s="13"/>
    </row>
    <row r="29024">
      <c r="L29024" s="13"/>
      <c r="M29024" s="14"/>
      <c r="N29024" s="14"/>
      <c r="O29024" s="14"/>
      <c r="P29024" s="13"/>
    </row>
    <row r="29025">
      <c r="L29025" s="13"/>
      <c r="M29025" s="14"/>
      <c r="N29025" s="14"/>
      <c r="O29025" s="14"/>
      <c r="P29025" s="13"/>
    </row>
    <row r="29026">
      <c r="L29026" s="13"/>
      <c r="M29026" s="14"/>
      <c r="N29026" s="14"/>
      <c r="O29026" s="14"/>
      <c r="P29026" s="13"/>
    </row>
    <row r="29027">
      <c r="L29027" s="13"/>
      <c r="M29027" s="14"/>
      <c r="N29027" s="14"/>
      <c r="O29027" s="14"/>
      <c r="P29027" s="13"/>
    </row>
    <row r="29028">
      <c r="L29028" s="13"/>
      <c r="M29028" s="14"/>
      <c r="N29028" s="14"/>
      <c r="O29028" s="14"/>
      <c r="P29028" s="13"/>
    </row>
    <row r="29029">
      <c r="L29029" s="13"/>
      <c r="M29029" s="14"/>
      <c r="N29029" s="14"/>
      <c r="O29029" s="14"/>
      <c r="P29029" s="13"/>
    </row>
    <row r="29030">
      <c r="L29030" s="13"/>
      <c r="M29030" s="14"/>
      <c r="N29030" s="14"/>
      <c r="O29030" s="14"/>
      <c r="P29030" s="13"/>
    </row>
    <row r="29031">
      <c r="L29031" s="13"/>
      <c r="M29031" s="14"/>
      <c r="N29031" s="14"/>
      <c r="O29031" s="14"/>
      <c r="P29031" s="13"/>
    </row>
    <row r="29032">
      <c r="L29032" s="13"/>
      <c r="M29032" s="14"/>
      <c r="N29032" s="14"/>
      <c r="O29032" s="14"/>
      <c r="P29032" s="13"/>
    </row>
    <row r="29033">
      <c r="L29033" s="13"/>
      <c r="M29033" s="14"/>
      <c r="N29033" s="14"/>
      <c r="O29033" s="14"/>
      <c r="P29033" s="13"/>
    </row>
    <row r="29034">
      <c r="L29034" s="13"/>
      <c r="M29034" s="14"/>
      <c r="N29034" s="14"/>
      <c r="O29034" s="14"/>
      <c r="P29034" s="13"/>
    </row>
    <row r="29035">
      <c r="L29035" s="13"/>
      <c r="M29035" s="14"/>
      <c r="N29035" s="14"/>
      <c r="O29035" s="14"/>
      <c r="P29035" s="13"/>
    </row>
    <row r="29036">
      <c r="L29036" s="13"/>
      <c r="M29036" s="14"/>
      <c r="N29036" s="14"/>
      <c r="O29036" s="14"/>
      <c r="P29036" s="13"/>
    </row>
    <row r="29037">
      <c r="L29037" s="13"/>
      <c r="M29037" s="14"/>
      <c r="N29037" s="14"/>
      <c r="O29037" s="14"/>
      <c r="P29037" s="13"/>
    </row>
    <row r="29038">
      <c r="L29038" s="13"/>
      <c r="M29038" s="14"/>
      <c r="N29038" s="14"/>
      <c r="O29038" s="14"/>
      <c r="P29038" s="13"/>
    </row>
    <row r="29039">
      <c r="L29039" s="13"/>
      <c r="M29039" s="14"/>
      <c r="N29039" s="14"/>
      <c r="O29039" s="14"/>
      <c r="P29039" s="13"/>
    </row>
    <row r="29040">
      <c r="L29040" s="13"/>
      <c r="M29040" s="14"/>
      <c r="N29040" s="14"/>
      <c r="O29040" s="14"/>
      <c r="P29040" s="13"/>
    </row>
    <row r="29041">
      <c r="L29041" s="13"/>
      <c r="M29041" s="14"/>
      <c r="N29041" s="14"/>
      <c r="O29041" s="14"/>
      <c r="P29041" s="13"/>
    </row>
    <row r="29042">
      <c r="L29042" s="13"/>
      <c r="M29042" s="14"/>
      <c r="N29042" s="14"/>
      <c r="O29042" s="14"/>
      <c r="P29042" s="13"/>
    </row>
    <row r="29043">
      <c r="L29043" s="13"/>
      <c r="M29043" s="14"/>
      <c r="N29043" s="14"/>
      <c r="O29043" s="14"/>
      <c r="P29043" s="13"/>
    </row>
    <row r="29044">
      <c r="L29044" s="13"/>
      <c r="M29044" s="14"/>
      <c r="N29044" s="14"/>
      <c r="O29044" s="14"/>
      <c r="P29044" s="13"/>
    </row>
    <row r="29045">
      <c r="L29045" s="13"/>
      <c r="M29045" s="14"/>
      <c r="N29045" s="14"/>
      <c r="O29045" s="14"/>
      <c r="P29045" s="13"/>
    </row>
    <row r="29046">
      <c r="L29046" s="13"/>
      <c r="M29046" s="14"/>
      <c r="N29046" s="14"/>
      <c r="O29046" s="14"/>
      <c r="P29046" s="13"/>
    </row>
    <row r="29047">
      <c r="L29047" s="13"/>
      <c r="M29047" s="14"/>
      <c r="N29047" s="14"/>
      <c r="O29047" s="14"/>
      <c r="P29047" s="13"/>
    </row>
    <row r="29048">
      <c r="L29048" s="13"/>
      <c r="M29048" s="14"/>
      <c r="N29048" s="14"/>
      <c r="O29048" s="14"/>
      <c r="P29048" s="13"/>
    </row>
    <row r="29049">
      <c r="L29049" s="13"/>
      <c r="M29049" s="14"/>
      <c r="N29049" s="14"/>
      <c r="O29049" s="14"/>
      <c r="P29049" s="13"/>
    </row>
    <row r="29050">
      <c r="L29050" s="13"/>
      <c r="M29050" s="14"/>
      <c r="N29050" s="14"/>
      <c r="O29050" s="14"/>
      <c r="P29050" s="13"/>
    </row>
    <row r="29051">
      <c r="L29051" s="13"/>
      <c r="M29051" s="14"/>
      <c r="N29051" s="14"/>
      <c r="O29051" s="14"/>
      <c r="P29051" s="13"/>
    </row>
    <row r="29052">
      <c r="L29052" s="13"/>
      <c r="M29052" s="14"/>
      <c r="N29052" s="14"/>
      <c r="O29052" s="14"/>
      <c r="P29052" s="13"/>
    </row>
    <row r="29053">
      <c r="L29053" s="13"/>
      <c r="M29053" s="14"/>
      <c r="N29053" s="14"/>
      <c r="O29053" s="14"/>
      <c r="P29053" s="13"/>
    </row>
    <row r="29054">
      <c r="L29054" s="13"/>
      <c r="M29054" s="14"/>
      <c r="N29054" s="14"/>
      <c r="O29054" s="14"/>
      <c r="P29054" s="13"/>
    </row>
    <row r="29055">
      <c r="L29055" s="13"/>
      <c r="M29055" s="14"/>
      <c r="N29055" s="14"/>
      <c r="O29055" s="14"/>
      <c r="P29055" s="13"/>
    </row>
    <row r="29056">
      <c r="L29056" s="13"/>
      <c r="M29056" s="14"/>
      <c r="N29056" s="14"/>
      <c r="O29056" s="14"/>
      <c r="P29056" s="13"/>
    </row>
    <row r="29057">
      <c r="L29057" s="13"/>
      <c r="M29057" s="14"/>
      <c r="N29057" s="14"/>
      <c r="O29057" s="14"/>
      <c r="P29057" s="13"/>
    </row>
    <row r="29058">
      <c r="L29058" s="13"/>
      <c r="M29058" s="14"/>
      <c r="N29058" s="14"/>
      <c r="O29058" s="14"/>
      <c r="P29058" s="13"/>
    </row>
    <row r="29059">
      <c r="L29059" s="13"/>
      <c r="M29059" s="14"/>
      <c r="N29059" s="14"/>
      <c r="O29059" s="14"/>
      <c r="P29059" s="13"/>
    </row>
    <row r="29060">
      <c r="L29060" s="13"/>
      <c r="M29060" s="14"/>
      <c r="N29060" s="14"/>
      <c r="O29060" s="14"/>
      <c r="P29060" s="13"/>
    </row>
    <row r="29061">
      <c r="L29061" s="13"/>
      <c r="M29061" s="14"/>
      <c r="N29061" s="14"/>
      <c r="O29061" s="14"/>
      <c r="P29061" s="13"/>
    </row>
    <row r="29062">
      <c r="L29062" s="13"/>
      <c r="M29062" s="14"/>
      <c r="N29062" s="14"/>
      <c r="O29062" s="14"/>
      <c r="P29062" s="13"/>
    </row>
    <row r="29063">
      <c r="L29063" s="13"/>
      <c r="M29063" s="14"/>
      <c r="N29063" s="14"/>
      <c r="O29063" s="14"/>
      <c r="P29063" s="13"/>
    </row>
    <row r="29064">
      <c r="L29064" s="13"/>
      <c r="M29064" s="14"/>
      <c r="N29064" s="14"/>
      <c r="O29064" s="14"/>
      <c r="P29064" s="13"/>
    </row>
    <row r="29065">
      <c r="L29065" s="13"/>
      <c r="M29065" s="14"/>
      <c r="N29065" s="14"/>
      <c r="O29065" s="14"/>
      <c r="P29065" s="13"/>
    </row>
    <row r="29066">
      <c r="L29066" s="13"/>
      <c r="M29066" s="14"/>
      <c r="N29066" s="14"/>
      <c r="O29066" s="14"/>
      <c r="P29066" s="13"/>
    </row>
    <row r="29067">
      <c r="L29067" s="13"/>
      <c r="M29067" s="14"/>
      <c r="N29067" s="14"/>
      <c r="O29067" s="14"/>
      <c r="P29067" s="13"/>
    </row>
    <row r="29068">
      <c r="L29068" s="13"/>
      <c r="M29068" s="14"/>
      <c r="N29068" s="14"/>
      <c r="O29068" s="14"/>
      <c r="P29068" s="13"/>
    </row>
    <row r="29069">
      <c r="L29069" s="13"/>
      <c r="M29069" s="14"/>
      <c r="N29069" s="14"/>
      <c r="O29069" s="14"/>
      <c r="P29069" s="13"/>
    </row>
    <row r="29070">
      <c r="L29070" s="13"/>
      <c r="M29070" s="14"/>
      <c r="N29070" s="14"/>
      <c r="O29070" s="14"/>
      <c r="P29070" s="13"/>
    </row>
    <row r="29071">
      <c r="L29071" s="13"/>
      <c r="M29071" s="14"/>
      <c r="N29071" s="14"/>
      <c r="O29071" s="14"/>
      <c r="P29071" s="13"/>
    </row>
    <row r="29072">
      <c r="L29072" s="13"/>
      <c r="M29072" s="14"/>
      <c r="N29072" s="14"/>
      <c r="O29072" s="14"/>
      <c r="P29072" s="13"/>
    </row>
    <row r="29073">
      <c r="L29073" s="13"/>
      <c r="M29073" s="14"/>
      <c r="N29073" s="14"/>
      <c r="O29073" s="14"/>
      <c r="P29073" s="13"/>
    </row>
    <row r="29074">
      <c r="L29074" s="13"/>
      <c r="M29074" s="14"/>
      <c r="N29074" s="14"/>
      <c r="O29074" s="14"/>
      <c r="P29074" s="13"/>
    </row>
    <row r="29075">
      <c r="L29075" s="13"/>
      <c r="M29075" s="14"/>
      <c r="N29075" s="14"/>
      <c r="O29075" s="14"/>
      <c r="P29075" s="13"/>
    </row>
    <row r="29076">
      <c r="L29076" s="13"/>
      <c r="M29076" s="14"/>
      <c r="N29076" s="14"/>
      <c r="O29076" s="14"/>
      <c r="P29076" s="13"/>
    </row>
    <row r="29077">
      <c r="L29077" s="13"/>
      <c r="M29077" s="14"/>
      <c r="N29077" s="14"/>
      <c r="O29077" s="14"/>
      <c r="P29077" s="13"/>
    </row>
    <row r="29078">
      <c r="L29078" s="13"/>
      <c r="M29078" s="14"/>
      <c r="N29078" s="14"/>
      <c r="O29078" s="14"/>
      <c r="P29078" s="13"/>
    </row>
    <row r="29079">
      <c r="L29079" s="13"/>
      <c r="M29079" s="14"/>
      <c r="N29079" s="14"/>
      <c r="O29079" s="14"/>
      <c r="P29079" s="13"/>
    </row>
    <row r="29080">
      <c r="L29080" s="13"/>
      <c r="M29080" s="14"/>
      <c r="N29080" s="14"/>
      <c r="O29080" s="14"/>
      <c r="P29080" s="13"/>
    </row>
    <row r="29081">
      <c r="L29081" s="13"/>
      <c r="M29081" s="14"/>
      <c r="N29081" s="14"/>
      <c r="O29081" s="14"/>
      <c r="P29081" s="13"/>
    </row>
    <row r="29082">
      <c r="L29082" s="13"/>
      <c r="M29082" s="14"/>
      <c r="N29082" s="14"/>
      <c r="O29082" s="14"/>
      <c r="P29082" s="13"/>
    </row>
    <row r="29083">
      <c r="L29083" s="13"/>
      <c r="M29083" s="14"/>
      <c r="N29083" s="14"/>
      <c r="O29083" s="14"/>
      <c r="P29083" s="13"/>
    </row>
    <row r="29084">
      <c r="L29084" s="13"/>
      <c r="M29084" s="14"/>
      <c r="N29084" s="14"/>
      <c r="O29084" s="14"/>
      <c r="P29084" s="13"/>
    </row>
    <row r="29085">
      <c r="L29085" s="13"/>
      <c r="M29085" s="14"/>
      <c r="N29085" s="14"/>
      <c r="O29085" s="14"/>
      <c r="P29085" s="13"/>
    </row>
    <row r="29086">
      <c r="L29086" s="13"/>
      <c r="M29086" s="14"/>
      <c r="N29086" s="14"/>
      <c r="O29086" s="14"/>
      <c r="P29086" s="13"/>
    </row>
    <row r="29087">
      <c r="L29087" s="13"/>
      <c r="M29087" s="14"/>
      <c r="N29087" s="14"/>
      <c r="O29087" s="14"/>
      <c r="P29087" s="13"/>
    </row>
    <row r="29088">
      <c r="L29088" s="13"/>
      <c r="M29088" s="14"/>
      <c r="N29088" s="14"/>
      <c r="O29088" s="14"/>
      <c r="P29088" s="13"/>
    </row>
    <row r="29089">
      <c r="L29089" s="13"/>
      <c r="M29089" s="14"/>
      <c r="N29089" s="14"/>
      <c r="O29089" s="14"/>
      <c r="P29089" s="13"/>
    </row>
    <row r="29090">
      <c r="L29090" s="13"/>
      <c r="M29090" s="14"/>
      <c r="N29090" s="14"/>
      <c r="O29090" s="14"/>
      <c r="P29090" s="13"/>
    </row>
    <row r="29091">
      <c r="L29091" s="13"/>
      <c r="M29091" s="14"/>
      <c r="N29091" s="14"/>
      <c r="O29091" s="14"/>
      <c r="P29091" s="13"/>
    </row>
    <row r="29092">
      <c r="L29092" s="13"/>
      <c r="M29092" s="14"/>
      <c r="N29092" s="14"/>
      <c r="O29092" s="14"/>
      <c r="P29092" s="13"/>
    </row>
    <row r="29093">
      <c r="L29093" s="13"/>
      <c r="M29093" s="14"/>
      <c r="N29093" s="14"/>
      <c r="O29093" s="14"/>
      <c r="P29093" s="13"/>
    </row>
    <row r="29094">
      <c r="L29094" s="13"/>
      <c r="M29094" s="14"/>
      <c r="N29094" s="14"/>
      <c r="O29094" s="14"/>
      <c r="P29094" s="13"/>
    </row>
    <row r="29095">
      <c r="L29095" s="13"/>
      <c r="M29095" s="14"/>
      <c r="N29095" s="14"/>
      <c r="O29095" s="14"/>
      <c r="P29095" s="13"/>
    </row>
    <row r="29096">
      <c r="L29096" s="13"/>
      <c r="M29096" s="14"/>
      <c r="N29096" s="14"/>
      <c r="O29096" s="14"/>
      <c r="P29096" s="13"/>
    </row>
    <row r="29097">
      <c r="L29097" s="13"/>
      <c r="M29097" s="14"/>
      <c r="N29097" s="14"/>
      <c r="O29097" s="14"/>
      <c r="P29097" s="13"/>
    </row>
    <row r="29098">
      <c r="L29098" s="13"/>
      <c r="M29098" s="14"/>
      <c r="N29098" s="14"/>
      <c r="O29098" s="14"/>
      <c r="P29098" s="13"/>
    </row>
    <row r="29099">
      <c r="L29099" s="13"/>
      <c r="M29099" s="14"/>
      <c r="N29099" s="14"/>
      <c r="O29099" s="14"/>
      <c r="P29099" s="13"/>
    </row>
    <row r="29100">
      <c r="L29100" s="13"/>
      <c r="M29100" s="14"/>
      <c r="N29100" s="14"/>
      <c r="O29100" s="14"/>
      <c r="P29100" s="13"/>
    </row>
    <row r="29101">
      <c r="L29101" s="13"/>
      <c r="M29101" s="14"/>
      <c r="N29101" s="14"/>
      <c r="O29101" s="14"/>
      <c r="P29101" s="13"/>
    </row>
    <row r="29102">
      <c r="L29102" s="13"/>
      <c r="M29102" s="14"/>
      <c r="N29102" s="14"/>
      <c r="O29102" s="14"/>
      <c r="P29102" s="13"/>
    </row>
    <row r="29103">
      <c r="L29103" s="13"/>
      <c r="M29103" s="14"/>
      <c r="N29103" s="14"/>
      <c r="O29103" s="14"/>
      <c r="P29103" s="13"/>
    </row>
    <row r="29104">
      <c r="L29104" s="13"/>
      <c r="M29104" s="14"/>
      <c r="N29104" s="14"/>
      <c r="O29104" s="14"/>
      <c r="P29104" s="13"/>
    </row>
    <row r="29105">
      <c r="L29105" s="13"/>
      <c r="M29105" s="14"/>
      <c r="N29105" s="14"/>
      <c r="O29105" s="14"/>
      <c r="P29105" s="13"/>
    </row>
    <row r="29106">
      <c r="L29106" s="13"/>
      <c r="M29106" s="14"/>
      <c r="N29106" s="14"/>
      <c r="O29106" s="14"/>
      <c r="P29106" s="13"/>
    </row>
    <row r="29107">
      <c r="L29107" s="13"/>
      <c r="M29107" s="14"/>
      <c r="N29107" s="14"/>
      <c r="O29107" s="14"/>
      <c r="P29107" s="13"/>
    </row>
    <row r="29108">
      <c r="L29108" s="13"/>
      <c r="M29108" s="14"/>
      <c r="N29108" s="14"/>
      <c r="O29108" s="14"/>
      <c r="P29108" s="13"/>
    </row>
    <row r="29109">
      <c r="L29109" s="13"/>
      <c r="M29109" s="14"/>
      <c r="N29109" s="14"/>
      <c r="O29109" s="14"/>
      <c r="P29109" s="13"/>
    </row>
    <row r="29110">
      <c r="L29110" s="13"/>
      <c r="M29110" s="14"/>
      <c r="N29110" s="14"/>
      <c r="O29110" s="14"/>
      <c r="P29110" s="13"/>
    </row>
    <row r="29111">
      <c r="L29111" s="13"/>
      <c r="M29111" s="14"/>
      <c r="N29111" s="14"/>
      <c r="O29111" s="14"/>
      <c r="P29111" s="13"/>
    </row>
    <row r="29112">
      <c r="L29112" s="13"/>
      <c r="M29112" s="14"/>
      <c r="N29112" s="14"/>
      <c r="O29112" s="14"/>
      <c r="P29112" s="13"/>
    </row>
    <row r="29113">
      <c r="L29113" s="13"/>
      <c r="M29113" s="14"/>
      <c r="N29113" s="14"/>
      <c r="O29113" s="14"/>
      <c r="P29113" s="13"/>
    </row>
    <row r="29114">
      <c r="L29114" s="13"/>
      <c r="M29114" s="14"/>
      <c r="N29114" s="14"/>
      <c r="O29114" s="14"/>
      <c r="P29114" s="13"/>
    </row>
    <row r="29115">
      <c r="L29115" s="13"/>
      <c r="M29115" s="14"/>
      <c r="N29115" s="14"/>
      <c r="O29115" s="14"/>
      <c r="P29115" s="13"/>
    </row>
    <row r="29116">
      <c r="L29116" s="13"/>
      <c r="M29116" s="14"/>
      <c r="N29116" s="14"/>
      <c r="O29116" s="14"/>
      <c r="P29116" s="13"/>
    </row>
    <row r="29117">
      <c r="L29117" s="13"/>
      <c r="M29117" s="14"/>
      <c r="N29117" s="14"/>
      <c r="O29117" s="14"/>
      <c r="P29117" s="13"/>
    </row>
    <row r="29118">
      <c r="L29118" s="13"/>
      <c r="M29118" s="14"/>
      <c r="N29118" s="14"/>
      <c r="O29118" s="14"/>
      <c r="P29118" s="13"/>
    </row>
    <row r="29119">
      <c r="L29119" s="13"/>
      <c r="M29119" s="14"/>
      <c r="N29119" s="14"/>
      <c r="O29119" s="14"/>
      <c r="P29119" s="13"/>
    </row>
    <row r="29120">
      <c r="L29120" s="13"/>
      <c r="M29120" s="14"/>
      <c r="N29120" s="14"/>
      <c r="O29120" s="14"/>
      <c r="P29120" s="13"/>
    </row>
    <row r="29121">
      <c r="L29121" s="13"/>
      <c r="M29121" s="14"/>
      <c r="N29121" s="14"/>
      <c r="O29121" s="14"/>
      <c r="P29121" s="13"/>
    </row>
    <row r="29122">
      <c r="L29122" s="13"/>
      <c r="M29122" s="14"/>
      <c r="N29122" s="14"/>
      <c r="O29122" s="14"/>
      <c r="P29122" s="13"/>
    </row>
    <row r="29123">
      <c r="L29123" s="13"/>
      <c r="M29123" s="14"/>
      <c r="N29123" s="14"/>
      <c r="O29123" s="14"/>
      <c r="P29123" s="13"/>
    </row>
    <row r="29124">
      <c r="L29124" s="13"/>
      <c r="M29124" s="14"/>
      <c r="N29124" s="14"/>
      <c r="O29124" s="14"/>
      <c r="P29124" s="13"/>
    </row>
    <row r="29125">
      <c r="L29125" s="13"/>
      <c r="M29125" s="14"/>
      <c r="N29125" s="14"/>
      <c r="O29125" s="14"/>
      <c r="P29125" s="13"/>
    </row>
    <row r="29126">
      <c r="L29126" s="13"/>
      <c r="M29126" s="14"/>
      <c r="N29126" s="14"/>
      <c r="O29126" s="14"/>
      <c r="P29126" s="13"/>
    </row>
    <row r="29127">
      <c r="L29127" s="13"/>
      <c r="M29127" s="14"/>
      <c r="N29127" s="14"/>
      <c r="O29127" s="14"/>
      <c r="P29127" s="13"/>
    </row>
    <row r="29128">
      <c r="L29128" s="13"/>
      <c r="M29128" s="14"/>
      <c r="N29128" s="14"/>
      <c r="O29128" s="14"/>
      <c r="P29128" s="13"/>
    </row>
    <row r="29129">
      <c r="L29129" s="13"/>
      <c r="M29129" s="14"/>
      <c r="N29129" s="14"/>
      <c r="O29129" s="14"/>
      <c r="P29129" s="13"/>
    </row>
    <row r="29130">
      <c r="L29130" s="13"/>
      <c r="M29130" s="14"/>
      <c r="N29130" s="14"/>
      <c r="O29130" s="14"/>
      <c r="P29130" s="13"/>
    </row>
    <row r="29131">
      <c r="L29131" s="13"/>
      <c r="M29131" s="14"/>
      <c r="N29131" s="14"/>
      <c r="O29131" s="14"/>
      <c r="P29131" s="13"/>
    </row>
    <row r="29132">
      <c r="L29132" s="13"/>
      <c r="M29132" s="14"/>
      <c r="N29132" s="14"/>
      <c r="O29132" s="14"/>
      <c r="P29132" s="13"/>
    </row>
    <row r="29133">
      <c r="L29133" s="13"/>
      <c r="M29133" s="14"/>
      <c r="N29133" s="14"/>
      <c r="O29133" s="14"/>
      <c r="P29133" s="13"/>
    </row>
    <row r="29134">
      <c r="L29134" s="13"/>
      <c r="M29134" s="14"/>
      <c r="N29134" s="14"/>
      <c r="O29134" s="14"/>
      <c r="P29134" s="13"/>
    </row>
    <row r="29135">
      <c r="L29135" s="13"/>
      <c r="M29135" s="14"/>
      <c r="N29135" s="14"/>
      <c r="O29135" s="14"/>
      <c r="P29135" s="13"/>
    </row>
    <row r="29136">
      <c r="L29136" s="13"/>
      <c r="M29136" s="14"/>
      <c r="N29136" s="14"/>
      <c r="O29136" s="14"/>
      <c r="P29136" s="13"/>
    </row>
    <row r="29137">
      <c r="L29137" s="13"/>
      <c r="M29137" s="14"/>
      <c r="N29137" s="14"/>
      <c r="O29137" s="14"/>
      <c r="P29137" s="13"/>
    </row>
    <row r="29138">
      <c r="L29138" s="13"/>
      <c r="M29138" s="14"/>
      <c r="N29138" s="14"/>
      <c r="O29138" s="14"/>
      <c r="P29138" s="13"/>
    </row>
    <row r="29139">
      <c r="L29139" s="13"/>
      <c r="M29139" s="14"/>
      <c r="N29139" s="14"/>
      <c r="O29139" s="14"/>
      <c r="P29139" s="13"/>
    </row>
    <row r="29140">
      <c r="L29140" s="13"/>
      <c r="M29140" s="14"/>
      <c r="N29140" s="14"/>
      <c r="O29140" s="14"/>
      <c r="P29140" s="13"/>
    </row>
    <row r="29141">
      <c r="L29141" s="13"/>
      <c r="M29141" s="14"/>
      <c r="N29141" s="14"/>
      <c r="O29141" s="14"/>
      <c r="P29141" s="13"/>
    </row>
    <row r="29142">
      <c r="L29142" s="13"/>
      <c r="M29142" s="14"/>
      <c r="N29142" s="14"/>
      <c r="O29142" s="14"/>
      <c r="P29142" s="13"/>
    </row>
    <row r="29143">
      <c r="L29143" s="13"/>
      <c r="M29143" s="14"/>
      <c r="N29143" s="14"/>
      <c r="O29143" s="14"/>
      <c r="P29143" s="13"/>
    </row>
    <row r="29144">
      <c r="L29144" s="13"/>
      <c r="M29144" s="14"/>
      <c r="N29144" s="14"/>
      <c r="O29144" s="14"/>
      <c r="P29144" s="13"/>
    </row>
    <row r="29145">
      <c r="L29145" s="13"/>
      <c r="M29145" s="14"/>
      <c r="N29145" s="14"/>
      <c r="O29145" s="14"/>
      <c r="P29145" s="13"/>
    </row>
    <row r="29146">
      <c r="L29146" s="13"/>
      <c r="M29146" s="14"/>
      <c r="N29146" s="14"/>
      <c r="O29146" s="14"/>
      <c r="P29146" s="13"/>
    </row>
    <row r="29147">
      <c r="L29147" s="13"/>
      <c r="M29147" s="14"/>
      <c r="N29147" s="14"/>
      <c r="O29147" s="14"/>
      <c r="P29147" s="13"/>
    </row>
    <row r="29148">
      <c r="L29148" s="13"/>
      <c r="M29148" s="14"/>
      <c r="N29148" s="14"/>
      <c r="O29148" s="14"/>
      <c r="P29148" s="13"/>
    </row>
    <row r="29149">
      <c r="L29149" s="13"/>
      <c r="M29149" s="14"/>
      <c r="N29149" s="14"/>
      <c r="O29149" s="14"/>
      <c r="P29149" s="13"/>
    </row>
    <row r="29150">
      <c r="L29150" s="13"/>
      <c r="M29150" s="14"/>
      <c r="N29150" s="14"/>
      <c r="O29150" s="14"/>
      <c r="P29150" s="13"/>
    </row>
    <row r="29151">
      <c r="L29151" s="13"/>
      <c r="M29151" s="14"/>
      <c r="N29151" s="14"/>
      <c r="O29151" s="14"/>
      <c r="P29151" s="13"/>
    </row>
    <row r="29152">
      <c r="L29152" s="13"/>
      <c r="M29152" s="14"/>
      <c r="N29152" s="14"/>
      <c r="O29152" s="14"/>
      <c r="P29152" s="13"/>
    </row>
    <row r="29153">
      <c r="L29153" s="13"/>
      <c r="M29153" s="14"/>
      <c r="N29153" s="14"/>
      <c r="O29153" s="14"/>
      <c r="P29153" s="13"/>
    </row>
    <row r="29154">
      <c r="L29154" s="13"/>
      <c r="M29154" s="14"/>
      <c r="N29154" s="14"/>
      <c r="O29154" s="14"/>
      <c r="P29154" s="13"/>
    </row>
    <row r="29155">
      <c r="L29155" s="13"/>
      <c r="M29155" s="14"/>
      <c r="N29155" s="14"/>
      <c r="O29155" s="14"/>
      <c r="P29155" s="13"/>
    </row>
    <row r="29156">
      <c r="L29156" s="13"/>
      <c r="M29156" s="14"/>
      <c r="N29156" s="14"/>
      <c r="O29156" s="14"/>
      <c r="P29156" s="13"/>
    </row>
    <row r="29157">
      <c r="L29157" s="13"/>
      <c r="M29157" s="14"/>
      <c r="N29157" s="14"/>
      <c r="O29157" s="14"/>
      <c r="P29157" s="13"/>
    </row>
    <row r="29158">
      <c r="L29158" s="13"/>
      <c r="M29158" s="14"/>
      <c r="N29158" s="14"/>
      <c r="O29158" s="14"/>
      <c r="P29158" s="13"/>
    </row>
    <row r="29159">
      <c r="L29159" s="13"/>
      <c r="M29159" s="14"/>
      <c r="N29159" s="14"/>
      <c r="O29159" s="14"/>
      <c r="P29159" s="13"/>
    </row>
    <row r="29160">
      <c r="L29160" s="13"/>
      <c r="M29160" s="14"/>
      <c r="N29160" s="14"/>
      <c r="O29160" s="14"/>
      <c r="P29160" s="13"/>
    </row>
    <row r="29161">
      <c r="L29161" s="13"/>
      <c r="M29161" s="14"/>
      <c r="N29161" s="14"/>
      <c r="O29161" s="14"/>
      <c r="P29161" s="13"/>
    </row>
    <row r="29162">
      <c r="L29162" s="13"/>
      <c r="M29162" s="14"/>
      <c r="N29162" s="14"/>
      <c r="O29162" s="14"/>
      <c r="P29162" s="13"/>
    </row>
    <row r="29163">
      <c r="L29163" s="13"/>
      <c r="M29163" s="14"/>
      <c r="N29163" s="14"/>
      <c r="O29163" s="14"/>
      <c r="P29163" s="13"/>
    </row>
    <row r="29164">
      <c r="L29164" s="13"/>
      <c r="M29164" s="14"/>
      <c r="N29164" s="14"/>
      <c r="O29164" s="14"/>
      <c r="P29164" s="13"/>
    </row>
    <row r="29165">
      <c r="L29165" s="13"/>
      <c r="M29165" s="14"/>
      <c r="N29165" s="14"/>
      <c r="O29165" s="14"/>
      <c r="P29165" s="13"/>
    </row>
    <row r="29166">
      <c r="L29166" s="13"/>
      <c r="M29166" s="14"/>
      <c r="N29166" s="14"/>
      <c r="O29166" s="14"/>
      <c r="P29166" s="13"/>
    </row>
    <row r="29167">
      <c r="L29167" s="13"/>
      <c r="M29167" s="14"/>
      <c r="N29167" s="14"/>
      <c r="O29167" s="14"/>
      <c r="P29167" s="13"/>
    </row>
    <row r="29168">
      <c r="L29168" s="13"/>
      <c r="M29168" s="14"/>
      <c r="N29168" s="14"/>
      <c r="O29168" s="14"/>
      <c r="P29168" s="13"/>
    </row>
    <row r="29169">
      <c r="L29169" s="13"/>
      <c r="M29169" s="14"/>
      <c r="N29169" s="14"/>
      <c r="O29169" s="14"/>
      <c r="P29169" s="13"/>
    </row>
    <row r="29170">
      <c r="L29170" s="13"/>
      <c r="M29170" s="14"/>
      <c r="N29170" s="14"/>
      <c r="O29170" s="14"/>
      <c r="P29170" s="13"/>
    </row>
    <row r="29171">
      <c r="L29171" s="13"/>
      <c r="M29171" s="14"/>
      <c r="N29171" s="14"/>
      <c r="O29171" s="14"/>
      <c r="P29171" s="13"/>
    </row>
    <row r="29172">
      <c r="L29172" s="13"/>
      <c r="M29172" s="14"/>
      <c r="N29172" s="14"/>
      <c r="O29172" s="14"/>
      <c r="P29172" s="13"/>
    </row>
    <row r="29173">
      <c r="L29173" s="13"/>
      <c r="M29173" s="14"/>
      <c r="N29173" s="14"/>
      <c r="O29173" s="14"/>
      <c r="P29173" s="13"/>
    </row>
    <row r="29174">
      <c r="L29174" s="13"/>
      <c r="M29174" s="14"/>
      <c r="N29174" s="14"/>
      <c r="O29174" s="14"/>
      <c r="P29174" s="13"/>
    </row>
    <row r="29175">
      <c r="L29175" s="13"/>
      <c r="M29175" s="14"/>
      <c r="N29175" s="14"/>
      <c r="O29175" s="14"/>
      <c r="P29175" s="13"/>
    </row>
    <row r="29176">
      <c r="L29176" s="13"/>
      <c r="M29176" s="14"/>
      <c r="N29176" s="14"/>
      <c r="O29176" s="14"/>
      <c r="P29176" s="13"/>
    </row>
    <row r="29177">
      <c r="L29177" s="13"/>
      <c r="M29177" s="14"/>
      <c r="N29177" s="14"/>
      <c r="O29177" s="14"/>
      <c r="P29177" s="13"/>
    </row>
    <row r="29178">
      <c r="L29178" s="13"/>
      <c r="M29178" s="14"/>
      <c r="N29178" s="14"/>
      <c r="O29178" s="14"/>
      <c r="P29178" s="13"/>
    </row>
    <row r="29179">
      <c r="L29179" s="13"/>
      <c r="M29179" s="14"/>
      <c r="N29179" s="14"/>
      <c r="O29179" s="14"/>
      <c r="P29179" s="13"/>
    </row>
    <row r="29180">
      <c r="L29180" s="13"/>
      <c r="M29180" s="14"/>
      <c r="N29180" s="14"/>
      <c r="O29180" s="14"/>
      <c r="P29180" s="13"/>
    </row>
    <row r="29181">
      <c r="L29181" s="13"/>
      <c r="M29181" s="14"/>
      <c r="N29181" s="14"/>
      <c r="O29181" s="14"/>
      <c r="P29181" s="13"/>
    </row>
    <row r="29182">
      <c r="L29182" s="13"/>
      <c r="M29182" s="14"/>
      <c r="N29182" s="14"/>
      <c r="O29182" s="14"/>
      <c r="P29182" s="13"/>
    </row>
    <row r="29183">
      <c r="L29183" s="13"/>
      <c r="M29183" s="14"/>
      <c r="N29183" s="14"/>
      <c r="O29183" s="14"/>
      <c r="P29183" s="13"/>
    </row>
    <row r="29184">
      <c r="L29184" s="13"/>
      <c r="M29184" s="14"/>
      <c r="N29184" s="14"/>
      <c r="O29184" s="14"/>
      <c r="P29184" s="13"/>
    </row>
    <row r="29185">
      <c r="L29185" s="13"/>
      <c r="M29185" s="14"/>
      <c r="N29185" s="14"/>
      <c r="O29185" s="14"/>
      <c r="P29185" s="13"/>
    </row>
    <row r="29186">
      <c r="L29186" s="13"/>
      <c r="M29186" s="14"/>
      <c r="N29186" s="14"/>
      <c r="O29186" s="14"/>
      <c r="P29186" s="13"/>
    </row>
    <row r="29187">
      <c r="L29187" s="13"/>
      <c r="M29187" s="14"/>
      <c r="N29187" s="14"/>
      <c r="O29187" s="14"/>
      <c r="P29187" s="13"/>
    </row>
    <row r="29188">
      <c r="L29188" s="13"/>
      <c r="M29188" s="14"/>
      <c r="N29188" s="14"/>
      <c r="O29188" s="14"/>
      <c r="P29188" s="13"/>
    </row>
    <row r="29189">
      <c r="L29189" s="13"/>
      <c r="M29189" s="14"/>
      <c r="N29189" s="14"/>
      <c r="O29189" s="14"/>
      <c r="P29189" s="13"/>
    </row>
    <row r="29190">
      <c r="L29190" s="13"/>
      <c r="M29190" s="14"/>
      <c r="N29190" s="14"/>
      <c r="O29190" s="14"/>
      <c r="P29190" s="13"/>
    </row>
    <row r="29191">
      <c r="L29191" s="13"/>
      <c r="M29191" s="14"/>
      <c r="N29191" s="14"/>
      <c r="O29191" s="14"/>
      <c r="P29191" s="13"/>
    </row>
    <row r="29192">
      <c r="L29192" s="13"/>
      <c r="M29192" s="14"/>
      <c r="N29192" s="14"/>
      <c r="O29192" s="14"/>
      <c r="P29192" s="13"/>
    </row>
    <row r="29193">
      <c r="L29193" s="13"/>
      <c r="M29193" s="14"/>
      <c r="N29193" s="14"/>
      <c r="O29193" s="14"/>
      <c r="P29193" s="13"/>
    </row>
    <row r="29194">
      <c r="L29194" s="13"/>
      <c r="M29194" s="14"/>
      <c r="N29194" s="14"/>
      <c r="O29194" s="14"/>
      <c r="P29194" s="13"/>
    </row>
    <row r="29195">
      <c r="L29195" s="13"/>
      <c r="M29195" s="14"/>
      <c r="N29195" s="14"/>
      <c r="O29195" s="14"/>
      <c r="P29195" s="13"/>
    </row>
    <row r="29196">
      <c r="L29196" s="13"/>
      <c r="M29196" s="14"/>
      <c r="N29196" s="14"/>
      <c r="O29196" s="14"/>
      <c r="P29196" s="13"/>
    </row>
    <row r="29197">
      <c r="L29197" s="13"/>
      <c r="M29197" s="14"/>
      <c r="N29197" s="14"/>
      <c r="O29197" s="14"/>
      <c r="P29197" s="13"/>
    </row>
    <row r="29198">
      <c r="L29198" s="13"/>
      <c r="M29198" s="14"/>
      <c r="N29198" s="14"/>
      <c r="O29198" s="14"/>
      <c r="P29198" s="13"/>
    </row>
    <row r="29199">
      <c r="L29199" s="13"/>
      <c r="M29199" s="14"/>
      <c r="N29199" s="14"/>
      <c r="O29199" s="14"/>
      <c r="P29199" s="13"/>
    </row>
    <row r="29200">
      <c r="L29200" s="13"/>
      <c r="M29200" s="14"/>
      <c r="N29200" s="14"/>
      <c r="O29200" s="14"/>
      <c r="P29200" s="13"/>
    </row>
    <row r="29201">
      <c r="L29201" s="13"/>
      <c r="M29201" s="14"/>
      <c r="N29201" s="14"/>
      <c r="O29201" s="14"/>
      <c r="P29201" s="13"/>
    </row>
    <row r="29202">
      <c r="L29202" s="13"/>
      <c r="M29202" s="14"/>
      <c r="N29202" s="14"/>
      <c r="O29202" s="14"/>
      <c r="P29202" s="13"/>
    </row>
    <row r="29203">
      <c r="L29203" s="13"/>
      <c r="M29203" s="14"/>
      <c r="N29203" s="14"/>
      <c r="O29203" s="14"/>
      <c r="P29203" s="13"/>
    </row>
    <row r="29204">
      <c r="L29204" s="13"/>
      <c r="M29204" s="14"/>
      <c r="N29204" s="14"/>
      <c r="O29204" s="14"/>
      <c r="P29204" s="13"/>
    </row>
    <row r="29205">
      <c r="L29205" s="13"/>
      <c r="M29205" s="14"/>
      <c r="N29205" s="14"/>
      <c r="O29205" s="14"/>
      <c r="P29205" s="13"/>
    </row>
    <row r="29206">
      <c r="L29206" s="13"/>
      <c r="M29206" s="14"/>
      <c r="N29206" s="14"/>
      <c r="O29206" s="14"/>
      <c r="P29206" s="13"/>
    </row>
    <row r="29207">
      <c r="L29207" s="13"/>
      <c r="M29207" s="14"/>
      <c r="N29207" s="14"/>
      <c r="O29207" s="14"/>
      <c r="P29207" s="13"/>
    </row>
    <row r="29208">
      <c r="L29208" s="13"/>
      <c r="M29208" s="14"/>
      <c r="N29208" s="14"/>
      <c r="O29208" s="14"/>
      <c r="P29208" s="13"/>
    </row>
    <row r="29209">
      <c r="L29209" s="13"/>
      <c r="M29209" s="14"/>
      <c r="N29209" s="14"/>
      <c r="O29209" s="14"/>
      <c r="P29209" s="13"/>
    </row>
    <row r="29210">
      <c r="L29210" s="13"/>
      <c r="M29210" s="14"/>
      <c r="N29210" s="14"/>
      <c r="O29210" s="14"/>
      <c r="P29210" s="13"/>
    </row>
    <row r="29211">
      <c r="L29211" s="13"/>
      <c r="M29211" s="14"/>
      <c r="N29211" s="14"/>
      <c r="O29211" s="14"/>
      <c r="P29211" s="13"/>
    </row>
    <row r="29212">
      <c r="L29212" s="13"/>
      <c r="M29212" s="14"/>
      <c r="N29212" s="14"/>
      <c r="O29212" s="14"/>
      <c r="P29212" s="13"/>
    </row>
    <row r="29213">
      <c r="L29213" s="13"/>
      <c r="M29213" s="14"/>
      <c r="N29213" s="14"/>
      <c r="O29213" s="14"/>
      <c r="P29213" s="13"/>
    </row>
    <row r="29214">
      <c r="L29214" s="13"/>
      <c r="M29214" s="14"/>
      <c r="N29214" s="14"/>
      <c r="O29214" s="14"/>
      <c r="P29214" s="13"/>
    </row>
    <row r="29215">
      <c r="L29215" s="13"/>
      <c r="M29215" s="14"/>
      <c r="N29215" s="14"/>
      <c r="O29215" s="14"/>
      <c r="P29215" s="13"/>
    </row>
    <row r="29216">
      <c r="L29216" s="13"/>
      <c r="M29216" s="14"/>
      <c r="N29216" s="14"/>
      <c r="O29216" s="14"/>
      <c r="P29216" s="13"/>
    </row>
    <row r="29217">
      <c r="L29217" s="13"/>
      <c r="M29217" s="14"/>
      <c r="N29217" s="14"/>
      <c r="O29217" s="14"/>
      <c r="P29217" s="13"/>
    </row>
    <row r="29218">
      <c r="L29218" s="13"/>
      <c r="M29218" s="14"/>
      <c r="N29218" s="14"/>
      <c r="O29218" s="14"/>
      <c r="P29218" s="13"/>
    </row>
    <row r="29219">
      <c r="L29219" s="13"/>
      <c r="M29219" s="14"/>
      <c r="N29219" s="14"/>
      <c r="O29219" s="14"/>
      <c r="P29219" s="13"/>
    </row>
    <row r="29220">
      <c r="L29220" s="13"/>
      <c r="M29220" s="14"/>
      <c r="N29220" s="14"/>
      <c r="O29220" s="14"/>
      <c r="P29220" s="13"/>
    </row>
    <row r="29221">
      <c r="L29221" s="13"/>
      <c r="M29221" s="14"/>
      <c r="N29221" s="14"/>
      <c r="O29221" s="14"/>
      <c r="P29221" s="13"/>
    </row>
    <row r="29222">
      <c r="L29222" s="13"/>
      <c r="M29222" s="14"/>
      <c r="N29222" s="14"/>
      <c r="O29222" s="14"/>
      <c r="P29222" s="13"/>
    </row>
    <row r="29223">
      <c r="L29223" s="13"/>
      <c r="M29223" s="14"/>
      <c r="N29223" s="14"/>
      <c r="O29223" s="14"/>
      <c r="P29223" s="13"/>
    </row>
    <row r="29224">
      <c r="L29224" s="13"/>
      <c r="M29224" s="14"/>
      <c r="N29224" s="14"/>
      <c r="O29224" s="14"/>
      <c r="P29224" s="13"/>
    </row>
    <row r="29225">
      <c r="L29225" s="13"/>
      <c r="M29225" s="14"/>
      <c r="N29225" s="14"/>
      <c r="O29225" s="14"/>
      <c r="P29225" s="13"/>
    </row>
    <row r="29226">
      <c r="L29226" s="13"/>
      <c r="M29226" s="14"/>
      <c r="N29226" s="14"/>
      <c r="O29226" s="14"/>
      <c r="P29226" s="13"/>
    </row>
    <row r="29227">
      <c r="L29227" s="13"/>
      <c r="M29227" s="14"/>
      <c r="N29227" s="14"/>
      <c r="O29227" s="14"/>
      <c r="P29227" s="13"/>
    </row>
    <row r="29228">
      <c r="L29228" s="13"/>
      <c r="M29228" s="14"/>
      <c r="N29228" s="14"/>
      <c r="O29228" s="14"/>
      <c r="P29228" s="13"/>
    </row>
    <row r="29229">
      <c r="L29229" s="13"/>
      <c r="M29229" s="14"/>
      <c r="N29229" s="14"/>
      <c r="O29229" s="14"/>
      <c r="P29229" s="13"/>
    </row>
    <row r="29230">
      <c r="L29230" s="13"/>
      <c r="M29230" s="14"/>
      <c r="N29230" s="14"/>
      <c r="O29230" s="14"/>
      <c r="P29230" s="13"/>
    </row>
    <row r="29231">
      <c r="L29231" s="13"/>
      <c r="M29231" s="14"/>
      <c r="N29231" s="14"/>
      <c r="O29231" s="14"/>
      <c r="P29231" s="13"/>
    </row>
    <row r="29232">
      <c r="L29232" s="13"/>
      <c r="M29232" s="14"/>
      <c r="N29232" s="14"/>
      <c r="O29232" s="14"/>
      <c r="P29232" s="13"/>
    </row>
    <row r="29233">
      <c r="L29233" s="13"/>
      <c r="M29233" s="14"/>
      <c r="N29233" s="14"/>
      <c r="O29233" s="14"/>
      <c r="P29233" s="13"/>
    </row>
    <row r="29234">
      <c r="L29234" s="13"/>
      <c r="M29234" s="14"/>
      <c r="N29234" s="14"/>
      <c r="O29234" s="14"/>
      <c r="P29234" s="13"/>
    </row>
    <row r="29235">
      <c r="L29235" s="13"/>
      <c r="M29235" s="14"/>
      <c r="N29235" s="14"/>
      <c r="O29235" s="14"/>
      <c r="P29235" s="13"/>
    </row>
    <row r="29236">
      <c r="L29236" s="13"/>
      <c r="M29236" s="14"/>
      <c r="N29236" s="14"/>
      <c r="O29236" s="14"/>
      <c r="P29236" s="13"/>
    </row>
    <row r="29237">
      <c r="L29237" s="13"/>
      <c r="M29237" s="14"/>
      <c r="N29237" s="14"/>
      <c r="O29237" s="14"/>
      <c r="P29237" s="13"/>
    </row>
    <row r="29238">
      <c r="L29238" s="13"/>
      <c r="M29238" s="14"/>
      <c r="N29238" s="14"/>
      <c r="O29238" s="14"/>
      <c r="P29238" s="13"/>
    </row>
    <row r="29239">
      <c r="L29239" s="13"/>
      <c r="M29239" s="14"/>
      <c r="N29239" s="14"/>
      <c r="O29239" s="14"/>
      <c r="P29239" s="13"/>
    </row>
    <row r="29240">
      <c r="L29240" s="13"/>
      <c r="M29240" s="14"/>
      <c r="N29240" s="14"/>
      <c r="O29240" s="14"/>
      <c r="P29240" s="13"/>
    </row>
    <row r="29241">
      <c r="L29241" s="13"/>
      <c r="M29241" s="14"/>
      <c r="N29241" s="14"/>
      <c r="O29241" s="14"/>
      <c r="P29241" s="13"/>
    </row>
    <row r="29242">
      <c r="L29242" s="13"/>
      <c r="M29242" s="14"/>
      <c r="N29242" s="14"/>
      <c r="O29242" s="14"/>
      <c r="P29242" s="13"/>
    </row>
    <row r="29243">
      <c r="L29243" s="13"/>
      <c r="M29243" s="14"/>
      <c r="N29243" s="14"/>
      <c r="O29243" s="14"/>
      <c r="P29243" s="13"/>
    </row>
    <row r="29244">
      <c r="L29244" s="13"/>
      <c r="M29244" s="14"/>
      <c r="N29244" s="14"/>
      <c r="O29244" s="14"/>
      <c r="P29244" s="13"/>
    </row>
    <row r="29245">
      <c r="L29245" s="13"/>
      <c r="M29245" s="14"/>
      <c r="N29245" s="14"/>
      <c r="O29245" s="14"/>
      <c r="P29245" s="13"/>
    </row>
    <row r="29246">
      <c r="L29246" s="13"/>
      <c r="M29246" s="14"/>
      <c r="N29246" s="14"/>
      <c r="O29246" s="14"/>
      <c r="P29246" s="13"/>
    </row>
    <row r="29247">
      <c r="L29247" s="13"/>
      <c r="M29247" s="14"/>
      <c r="N29247" s="14"/>
      <c r="O29247" s="14"/>
      <c r="P29247" s="13"/>
    </row>
    <row r="29248">
      <c r="L29248" s="13"/>
      <c r="M29248" s="14"/>
      <c r="N29248" s="14"/>
      <c r="O29248" s="14"/>
      <c r="P29248" s="13"/>
    </row>
    <row r="29249">
      <c r="L29249" s="13"/>
      <c r="M29249" s="14"/>
      <c r="N29249" s="14"/>
      <c r="O29249" s="14"/>
      <c r="P29249" s="13"/>
    </row>
    <row r="29250">
      <c r="L29250" s="13"/>
      <c r="M29250" s="14"/>
      <c r="N29250" s="14"/>
      <c r="O29250" s="14"/>
      <c r="P29250" s="13"/>
    </row>
    <row r="29251">
      <c r="L29251" s="13"/>
      <c r="M29251" s="14"/>
      <c r="N29251" s="14"/>
      <c r="O29251" s="14"/>
      <c r="P29251" s="13"/>
    </row>
    <row r="29252">
      <c r="L29252" s="13"/>
      <c r="M29252" s="14"/>
      <c r="N29252" s="14"/>
      <c r="O29252" s="14"/>
      <c r="P29252" s="13"/>
    </row>
    <row r="29253">
      <c r="L29253" s="13"/>
      <c r="M29253" s="14"/>
      <c r="N29253" s="14"/>
      <c r="O29253" s="14"/>
      <c r="P29253" s="13"/>
    </row>
    <row r="29254">
      <c r="L29254" s="13"/>
      <c r="M29254" s="14"/>
      <c r="N29254" s="14"/>
      <c r="O29254" s="14"/>
      <c r="P29254" s="13"/>
    </row>
    <row r="29255">
      <c r="L29255" s="13"/>
      <c r="M29255" s="14"/>
      <c r="N29255" s="14"/>
      <c r="O29255" s="14"/>
      <c r="P29255" s="13"/>
    </row>
    <row r="29256">
      <c r="L29256" s="13"/>
      <c r="M29256" s="14"/>
      <c r="N29256" s="14"/>
      <c r="O29256" s="14"/>
      <c r="P29256" s="13"/>
    </row>
    <row r="29257">
      <c r="L29257" s="13"/>
      <c r="M29257" s="14"/>
      <c r="N29257" s="14"/>
      <c r="O29257" s="14"/>
      <c r="P29257" s="13"/>
    </row>
    <row r="29258">
      <c r="L29258" s="13"/>
      <c r="M29258" s="14"/>
      <c r="N29258" s="14"/>
      <c r="O29258" s="14"/>
      <c r="P29258" s="13"/>
    </row>
    <row r="29259">
      <c r="L29259" s="13"/>
      <c r="M29259" s="14"/>
      <c r="N29259" s="14"/>
      <c r="O29259" s="14"/>
      <c r="P29259" s="13"/>
    </row>
    <row r="29260">
      <c r="L29260" s="13"/>
      <c r="M29260" s="14"/>
      <c r="N29260" s="14"/>
      <c r="O29260" s="14"/>
      <c r="P29260" s="13"/>
    </row>
    <row r="29261">
      <c r="L29261" s="13"/>
      <c r="M29261" s="14"/>
      <c r="N29261" s="14"/>
      <c r="O29261" s="14"/>
      <c r="P29261" s="13"/>
    </row>
    <row r="29262">
      <c r="L29262" s="13"/>
      <c r="M29262" s="14"/>
      <c r="N29262" s="14"/>
      <c r="O29262" s="14"/>
      <c r="P29262" s="13"/>
    </row>
    <row r="29263">
      <c r="L29263" s="13"/>
      <c r="M29263" s="14"/>
      <c r="N29263" s="14"/>
      <c r="O29263" s="14"/>
      <c r="P29263" s="13"/>
    </row>
    <row r="29264">
      <c r="L29264" s="13"/>
      <c r="M29264" s="14"/>
      <c r="N29264" s="14"/>
      <c r="O29264" s="14"/>
      <c r="P29264" s="13"/>
    </row>
    <row r="29265">
      <c r="L29265" s="13"/>
      <c r="M29265" s="14"/>
      <c r="N29265" s="14"/>
      <c r="O29265" s="14"/>
      <c r="P29265" s="13"/>
    </row>
    <row r="29266">
      <c r="L29266" s="13"/>
      <c r="M29266" s="14"/>
      <c r="N29266" s="14"/>
      <c r="O29266" s="14"/>
      <c r="P29266" s="13"/>
    </row>
    <row r="29267">
      <c r="L29267" s="13"/>
      <c r="M29267" s="14"/>
      <c r="N29267" s="14"/>
      <c r="O29267" s="14"/>
      <c r="P29267" s="13"/>
    </row>
    <row r="29268">
      <c r="L29268" s="13"/>
      <c r="M29268" s="14"/>
      <c r="N29268" s="14"/>
      <c r="O29268" s="14"/>
      <c r="P29268" s="13"/>
    </row>
    <row r="29269">
      <c r="L29269" s="13"/>
      <c r="M29269" s="14"/>
      <c r="N29269" s="14"/>
      <c r="O29269" s="14"/>
      <c r="P29269" s="13"/>
    </row>
    <row r="29270">
      <c r="L29270" s="13"/>
      <c r="M29270" s="14"/>
      <c r="N29270" s="14"/>
      <c r="O29270" s="14"/>
      <c r="P29270" s="13"/>
    </row>
    <row r="29271">
      <c r="L29271" s="13"/>
      <c r="M29271" s="14"/>
      <c r="N29271" s="14"/>
      <c r="O29271" s="14"/>
      <c r="P29271" s="13"/>
    </row>
    <row r="29272">
      <c r="L29272" s="13"/>
      <c r="M29272" s="14"/>
      <c r="N29272" s="14"/>
      <c r="O29272" s="14"/>
      <c r="P29272" s="13"/>
    </row>
    <row r="29273">
      <c r="L29273" s="13"/>
      <c r="M29273" s="14"/>
      <c r="N29273" s="14"/>
      <c r="O29273" s="14"/>
      <c r="P29273" s="13"/>
    </row>
    <row r="29274">
      <c r="L29274" s="13"/>
      <c r="M29274" s="14"/>
      <c r="N29274" s="14"/>
      <c r="O29274" s="14"/>
      <c r="P29274" s="13"/>
    </row>
    <row r="29275">
      <c r="L29275" s="13"/>
      <c r="M29275" s="14"/>
      <c r="N29275" s="14"/>
      <c r="O29275" s="14"/>
      <c r="P29275" s="13"/>
    </row>
    <row r="29276">
      <c r="L29276" s="13"/>
      <c r="M29276" s="14"/>
      <c r="N29276" s="14"/>
      <c r="O29276" s="14"/>
      <c r="P29276" s="13"/>
    </row>
    <row r="29277">
      <c r="L29277" s="13"/>
      <c r="M29277" s="14"/>
      <c r="N29277" s="14"/>
      <c r="O29277" s="14"/>
      <c r="P29277" s="13"/>
    </row>
    <row r="29278">
      <c r="L29278" s="13"/>
      <c r="M29278" s="14"/>
      <c r="N29278" s="14"/>
      <c r="O29278" s="14"/>
      <c r="P29278" s="13"/>
    </row>
    <row r="29279">
      <c r="L29279" s="13"/>
      <c r="M29279" s="14"/>
      <c r="N29279" s="14"/>
      <c r="O29279" s="14"/>
      <c r="P29279" s="13"/>
    </row>
    <row r="29280">
      <c r="L29280" s="13"/>
      <c r="M29280" s="14"/>
      <c r="N29280" s="14"/>
      <c r="O29280" s="14"/>
      <c r="P29280" s="13"/>
    </row>
    <row r="29281">
      <c r="L29281" s="13"/>
      <c r="M29281" s="14"/>
      <c r="N29281" s="14"/>
      <c r="O29281" s="14"/>
      <c r="P29281" s="13"/>
    </row>
    <row r="29282">
      <c r="L29282" s="13"/>
      <c r="M29282" s="14"/>
      <c r="N29282" s="14"/>
      <c r="O29282" s="14"/>
      <c r="P29282" s="13"/>
    </row>
    <row r="29283">
      <c r="L29283" s="13"/>
      <c r="M29283" s="14"/>
      <c r="N29283" s="14"/>
      <c r="O29283" s="14"/>
      <c r="P29283" s="13"/>
    </row>
    <row r="29284">
      <c r="L29284" s="13"/>
      <c r="M29284" s="14"/>
      <c r="N29284" s="14"/>
      <c r="O29284" s="14"/>
      <c r="P29284" s="13"/>
    </row>
    <row r="29285">
      <c r="L29285" s="13"/>
      <c r="M29285" s="14"/>
      <c r="N29285" s="14"/>
      <c r="O29285" s="14"/>
      <c r="P29285" s="13"/>
    </row>
    <row r="29286">
      <c r="L29286" s="13"/>
      <c r="M29286" s="14"/>
      <c r="N29286" s="14"/>
      <c r="O29286" s="14"/>
      <c r="P29286" s="13"/>
    </row>
    <row r="29287">
      <c r="L29287" s="13"/>
      <c r="M29287" s="14"/>
      <c r="N29287" s="14"/>
      <c r="O29287" s="14"/>
      <c r="P29287" s="13"/>
    </row>
    <row r="29288">
      <c r="L29288" s="13"/>
      <c r="M29288" s="14"/>
      <c r="N29288" s="14"/>
      <c r="O29288" s="14"/>
      <c r="P29288" s="13"/>
    </row>
    <row r="29289">
      <c r="L29289" s="13"/>
      <c r="M29289" s="14"/>
      <c r="N29289" s="14"/>
      <c r="O29289" s="14"/>
      <c r="P29289" s="13"/>
    </row>
    <row r="29290">
      <c r="L29290" s="13"/>
      <c r="M29290" s="14"/>
      <c r="N29290" s="14"/>
      <c r="O29290" s="14"/>
      <c r="P29290" s="13"/>
    </row>
    <row r="29291">
      <c r="L29291" s="13"/>
      <c r="M29291" s="14"/>
      <c r="N29291" s="14"/>
      <c r="O29291" s="14"/>
      <c r="P29291" s="13"/>
    </row>
    <row r="29292">
      <c r="L29292" s="13"/>
      <c r="M29292" s="14"/>
      <c r="N29292" s="14"/>
      <c r="O29292" s="14"/>
      <c r="P29292" s="13"/>
    </row>
    <row r="29293">
      <c r="L29293" s="13"/>
      <c r="M29293" s="14"/>
      <c r="N29293" s="14"/>
      <c r="O29293" s="14"/>
      <c r="P29293" s="13"/>
    </row>
    <row r="29294">
      <c r="L29294" s="13"/>
      <c r="M29294" s="14"/>
      <c r="N29294" s="14"/>
      <c r="O29294" s="14"/>
      <c r="P29294" s="13"/>
    </row>
    <row r="29295">
      <c r="L29295" s="13"/>
      <c r="M29295" s="14"/>
      <c r="N29295" s="14"/>
      <c r="O29295" s="14"/>
      <c r="P29295" s="13"/>
    </row>
    <row r="29296">
      <c r="L29296" s="13"/>
      <c r="M29296" s="14"/>
      <c r="N29296" s="14"/>
      <c r="O29296" s="14"/>
      <c r="P29296" s="13"/>
    </row>
    <row r="29297">
      <c r="L29297" s="13"/>
      <c r="M29297" s="14"/>
      <c r="N29297" s="14"/>
      <c r="O29297" s="14"/>
      <c r="P29297" s="13"/>
    </row>
    <row r="29298">
      <c r="L29298" s="13"/>
      <c r="M29298" s="14"/>
      <c r="N29298" s="14"/>
      <c r="O29298" s="14"/>
      <c r="P29298" s="13"/>
    </row>
    <row r="29299">
      <c r="L29299" s="13"/>
      <c r="M29299" s="14"/>
      <c r="N29299" s="14"/>
      <c r="O29299" s="14"/>
      <c r="P29299" s="13"/>
    </row>
    <row r="29300">
      <c r="L29300" s="13"/>
      <c r="M29300" s="14"/>
      <c r="N29300" s="14"/>
      <c r="O29300" s="14"/>
      <c r="P29300" s="13"/>
    </row>
    <row r="29301">
      <c r="L29301" s="13"/>
      <c r="M29301" s="14"/>
      <c r="N29301" s="14"/>
      <c r="O29301" s="14"/>
      <c r="P29301" s="13"/>
    </row>
    <row r="29302">
      <c r="L29302" s="13"/>
      <c r="M29302" s="14"/>
      <c r="N29302" s="14"/>
      <c r="O29302" s="14"/>
      <c r="P29302" s="13"/>
    </row>
    <row r="29303">
      <c r="L29303" s="13"/>
      <c r="M29303" s="14"/>
      <c r="N29303" s="14"/>
      <c r="O29303" s="14"/>
      <c r="P29303" s="13"/>
    </row>
    <row r="29304">
      <c r="L29304" s="13"/>
      <c r="M29304" s="14"/>
      <c r="N29304" s="14"/>
      <c r="O29304" s="14"/>
      <c r="P29304" s="13"/>
    </row>
    <row r="29305">
      <c r="L29305" s="13"/>
      <c r="M29305" s="14"/>
      <c r="N29305" s="14"/>
      <c r="O29305" s="14"/>
      <c r="P29305" s="13"/>
    </row>
    <row r="29306">
      <c r="L29306" s="13"/>
      <c r="M29306" s="14"/>
      <c r="N29306" s="14"/>
      <c r="O29306" s="14"/>
      <c r="P29306" s="13"/>
    </row>
    <row r="29307">
      <c r="L29307" s="13"/>
      <c r="M29307" s="14"/>
      <c r="N29307" s="14"/>
      <c r="O29307" s="14"/>
      <c r="P29307" s="13"/>
    </row>
    <row r="29308">
      <c r="L29308" s="13"/>
      <c r="M29308" s="14"/>
      <c r="N29308" s="14"/>
      <c r="O29308" s="14"/>
      <c r="P29308" s="13"/>
    </row>
    <row r="29309">
      <c r="L29309" s="13"/>
      <c r="M29309" s="14"/>
      <c r="N29309" s="14"/>
      <c r="O29309" s="14"/>
      <c r="P29309" s="13"/>
    </row>
    <row r="29310">
      <c r="L29310" s="13"/>
      <c r="M29310" s="14"/>
      <c r="N29310" s="14"/>
      <c r="O29310" s="14"/>
      <c r="P29310" s="13"/>
    </row>
    <row r="29311">
      <c r="L29311" s="13"/>
      <c r="M29311" s="14"/>
      <c r="N29311" s="14"/>
      <c r="O29311" s="14"/>
      <c r="P29311" s="13"/>
    </row>
    <row r="29312">
      <c r="L29312" s="13"/>
      <c r="M29312" s="14"/>
      <c r="N29312" s="14"/>
      <c r="O29312" s="14"/>
      <c r="P29312" s="13"/>
    </row>
    <row r="29313">
      <c r="L29313" s="13"/>
      <c r="M29313" s="14"/>
      <c r="N29313" s="14"/>
      <c r="O29313" s="14"/>
      <c r="P29313" s="13"/>
    </row>
    <row r="29314">
      <c r="L29314" s="13"/>
      <c r="M29314" s="14"/>
      <c r="N29314" s="14"/>
      <c r="O29314" s="14"/>
      <c r="P29314" s="13"/>
    </row>
    <row r="29315">
      <c r="L29315" s="13"/>
      <c r="M29315" s="14"/>
      <c r="N29315" s="14"/>
      <c r="O29315" s="14"/>
      <c r="P29315" s="13"/>
    </row>
    <row r="29316">
      <c r="L29316" s="13"/>
      <c r="M29316" s="14"/>
      <c r="N29316" s="14"/>
      <c r="O29316" s="14"/>
      <c r="P29316" s="13"/>
    </row>
    <row r="29317">
      <c r="L29317" s="13"/>
      <c r="M29317" s="14"/>
      <c r="N29317" s="14"/>
      <c r="O29317" s="14"/>
      <c r="P29317" s="13"/>
    </row>
    <row r="29318">
      <c r="L29318" s="13"/>
      <c r="M29318" s="14"/>
      <c r="N29318" s="14"/>
      <c r="O29318" s="14"/>
      <c r="P29318" s="13"/>
    </row>
    <row r="29319">
      <c r="L29319" s="13"/>
      <c r="M29319" s="14"/>
      <c r="N29319" s="14"/>
      <c r="O29319" s="14"/>
      <c r="P29319" s="13"/>
    </row>
    <row r="29320">
      <c r="L29320" s="13"/>
      <c r="M29320" s="14"/>
      <c r="N29320" s="14"/>
      <c r="O29320" s="14"/>
      <c r="P29320" s="13"/>
    </row>
    <row r="29321">
      <c r="L29321" s="13"/>
      <c r="M29321" s="14"/>
      <c r="N29321" s="14"/>
      <c r="O29321" s="14"/>
      <c r="P29321" s="13"/>
    </row>
    <row r="29322">
      <c r="L29322" s="13"/>
      <c r="M29322" s="14"/>
      <c r="N29322" s="14"/>
      <c r="O29322" s="14"/>
      <c r="P29322" s="13"/>
    </row>
    <row r="29323">
      <c r="L29323" s="13"/>
      <c r="M29323" s="14"/>
      <c r="N29323" s="14"/>
      <c r="O29323" s="14"/>
      <c r="P29323" s="13"/>
    </row>
    <row r="29324">
      <c r="L29324" s="13"/>
      <c r="M29324" s="14"/>
      <c r="N29324" s="14"/>
      <c r="O29324" s="14"/>
      <c r="P29324" s="13"/>
    </row>
    <row r="29325">
      <c r="L29325" s="13"/>
      <c r="M29325" s="14"/>
      <c r="N29325" s="14"/>
      <c r="O29325" s="14"/>
      <c r="P29325" s="13"/>
    </row>
    <row r="29326">
      <c r="L29326" s="13"/>
      <c r="M29326" s="14"/>
      <c r="N29326" s="14"/>
      <c r="O29326" s="14"/>
      <c r="P29326" s="13"/>
    </row>
    <row r="29327">
      <c r="L29327" s="13"/>
      <c r="M29327" s="14"/>
      <c r="N29327" s="14"/>
      <c r="O29327" s="14"/>
      <c r="P29327" s="13"/>
    </row>
    <row r="29328">
      <c r="L29328" s="13"/>
      <c r="M29328" s="14"/>
      <c r="N29328" s="14"/>
      <c r="O29328" s="14"/>
      <c r="P29328" s="13"/>
    </row>
    <row r="29329">
      <c r="L29329" s="13"/>
      <c r="M29329" s="14"/>
      <c r="N29329" s="14"/>
      <c r="O29329" s="14"/>
      <c r="P29329" s="13"/>
    </row>
    <row r="29330">
      <c r="L29330" s="13"/>
      <c r="M29330" s="14"/>
      <c r="N29330" s="14"/>
      <c r="O29330" s="14"/>
      <c r="P29330" s="13"/>
    </row>
    <row r="29331">
      <c r="L29331" s="13"/>
      <c r="M29331" s="14"/>
      <c r="N29331" s="14"/>
      <c r="O29331" s="14"/>
      <c r="P29331" s="13"/>
    </row>
    <row r="29332">
      <c r="L29332" s="13"/>
      <c r="M29332" s="14"/>
      <c r="N29332" s="14"/>
      <c r="O29332" s="14"/>
      <c r="P29332" s="13"/>
    </row>
    <row r="29333">
      <c r="L29333" s="13"/>
      <c r="M29333" s="14"/>
      <c r="N29333" s="14"/>
      <c r="O29333" s="14"/>
      <c r="P29333" s="13"/>
    </row>
    <row r="29334">
      <c r="L29334" s="13"/>
      <c r="M29334" s="14"/>
      <c r="N29334" s="14"/>
      <c r="O29334" s="14"/>
      <c r="P29334" s="13"/>
    </row>
    <row r="29335">
      <c r="L29335" s="13"/>
      <c r="M29335" s="14"/>
      <c r="N29335" s="14"/>
      <c r="O29335" s="14"/>
      <c r="P29335" s="13"/>
    </row>
    <row r="29336">
      <c r="L29336" s="13"/>
      <c r="M29336" s="14"/>
      <c r="N29336" s="14"/>
      <c r="O29336" s="14"/>
      <c r="P29336" s="13"/>
    </row>
    <row r="29337">
      <c r="L29337" s="13"/>
      <c r="M29337" s="14"/>
      <c r="N29337" s="14"/>
      <c r="O29337" s="14"/>
      <c r="P29337" s="13"/>
    </row>
    <row r="29338">
      <c r="L29338" s="13"/>
      <c r="M29338" s="14"/>
      <c r="N29338" s="14"/>
      <c r="O29338" s="14"/>
      <c r="P29338" s="13"/>
    </row>
    <row r="29339">
      <c r="L29339" s="13"/>
      <c r="M29339" s="14"/>
      <c r="N29339" s="14"/>
      <c r="O29339" s="14"/>
      <c r="P29339" s="13"/>
    </row>
    <row r="29340">
      <c r="L29340" s="13"/>
      <c r="M29340" s="14"/>
      <c r="N29340" s="14"/>
      <c r="O29340" s="14"/>
      <c r="P29340" s="13"/>
    </row>
    <row r="29341">
      <c r="L29341" s="13"/>
      <c r="M29341" s="14"/>
      <c r="N29341" s="14"/>
      <c r="O29341" s="14"/>
      <c r="P29341" s="13"/>
    </row>
    <row r="29342">
      <c r="L29342" s="13"/>
      <c r="M29342" s="14"/>
      <c r="N29342" s="14"/>
      <c r="O29342" s="14"/>
      <c r="P29342" s="13"/>
    </row>
    <row r="29343">
      <c r="L29343" s="13"/>
      <c r="M29343" s="14"/>
      <c r="N29343" s="14"/>
      <c r="O29343" s="14"/>
      <c r="P29343" s="13"/>
    </row>
    <row r="29344">
      <c r="L29344" s="13"/>
      <c r="M29344" s="14"/>
      <c r="N29344" s="14"/>
      <c r="O29344" s="14"/>
      <c r="P29344" s="13"/>
    </row>
    <row r="29345">
      <c r="L29345" s="13"/>
      <c r="M29345" s="14"/>
      <c r="N29345" s="14"/>
      <c r="O29345" s="14"/>
      <c r="P29345" s="13"/>
    </row>
    <row r="29346">
      <c r="L29346" s="13"/>
      <c r="M29346" s="14"/>
      <c r="N29346" s="14"/>
      <c r="O29346" s="14"/>
      <c r="P29346" s="13"/>
    </row>
    <row r="29347">
      <c r="L29347" s="13"/>
      <c r="M29347" s="14"/>
      <c r="N29347" s="14"/>
      <c r="O29347" s="14"/>
      <c r="P29347" s="13"/>
    </row>
    <row r="29348">
      <c r="L29348" s="13"/>
      <c r="M29348" s="14"/>
      <c r="N29348" s="14"/>
      <c r="O29348" s="14"/>
      <c r="P29348" s="13"/>
    </row>
    <row r="29349">
      <c r="L29349" s="13"/>
      <c r="M29349" s="14"/>
      <c r="N29349" s="14"/>
      <c r="O29349" s="14"/>
      <c r="P29349" s="13"/>
    </row>
    <row r="29350">
      <c r="L29350" s="13"/>
      <c r="M29350" s="14"/>
      <c r="N29350" s="14"/>
      <c r="O29350" s="14"/>
      <c r="P29350" s="13"/>
    </row>
    <row r="29351">
      <c r="L29351" s="13"/>
      <c r="M29351" s="14"/>
      <c r="N29351" s="14"/>
      <c r="O29351" s="14"/>
      <c r="P29351" s="13"/>
    </row>
    <row r="29352">
      <c r="L29352" s="13"/>
      <c r="M29352" s="14"/>
      <c r="N29352" s="14"/>
      <c r="O29352" s="14"/>
      <c r="P29352" s="13"/>
    </row>
    <row r="29353">
      <c r="L29353" s="13"/>
      <c r="M29353" s="14"/>
      <c r="N29353" s="14"/>
      <c r="O29353" s="14"/>
      <c r="P29353" s="13"/>
    </row>
    <row r="29354">
      <c r="L29354" s="13"/>
      <c r="M29354" s="14"/>
      <c r="N29354" s="14"/>
      <c r="O29354" s="14"/>
      <c r="P29354" s="13"/>
    </row>
    <row r="29355">
      <c r="L29355" s="13"/>
      <c r="M29355" s="14"/>
      <c r="N29355" s="14"/>
      <c r="O29355" s="14"/>
      <c r="P29355" s="13"/>
    </row>
    <row r="29356">
      <c r="L29356" s="13"/>
      <c r="M29356" s="14"/>
      <c r="N29356" s="14"/>
      <c r="O29356" s="14"/>
      <c r="P29356" s="13"/>
    </row>
    <row r="29357">
      <c r="L29357" s="13"/>
      <c r="M29357" s="14"/>
      <c r="N29357" s="14"/>
      <c r="O29357" s="14"/>
      <c r="P29357" s="13"/>
    </row>
    <row r="29358">
      <c r="L29358" s="13"/>
      <c r="M29358" s="14"/>
      <c r="N29358" s="14"/>
      <c r="O29358" s="14"/>
      <c r="P29358" s="13"/>
    </row>
    <row r="29359">
      <c r="L29359" s="13"/>
      <c r="M29359" s="14"/>
      <c r="N29359" s="14"/>
      <c r="O29359" s="14"/>
      <c r="P29359" s="13"/>
    </row>
    <row r="29360">
      <c r="L29360" s="13"/>
      <c r="M29360" s="14"/>
      <c r="N29360" s="14"/>
      <c r="O29360" s="14"/>
      <c r="P29360" s="13"/>
    </row>
    <row r="29361">
      <c r="L29361" s="13"/>
      <c r="M29361" s="14"/>
      <c r="N29361" s="14"/>
      <c r="O29361" s="14"/>
      <c r="P29361" s="13"/>
    </row>
    <row r="29362">
      <c r="L29362" s="13"/>
      <c r="M29362" s="14"/>
      <c r="N29362" s="14"/>
      <c r="O29362" s="14"/>
      <c r="P29362" s="13"/>
    </row>
    <row r="29363">
      <c r="L29363" s="13"/>
      <c r="M29363" s="14"/>
      <c r="N29363" s="14"/>
      <c r="O29363" s="14"/>
      <c r="P29363" s="13"/>
    </row>
    <row r="29364">
      <c r="L29364" s="13"/>
      <c r="M29364" s="14"/>
      <c r="N29364" s="14"/>
      <c r="O29364" s="14"/>
      <c r="P29364" s="13"/>
    </row>
    <row r="29365">
      <c r="L29365" s="13"/>
      <c r="M29365" s="14"/>
      <c r="N29365" s="14"/>
      <c r="O29365" s="14"/>
      <c r="P29365" s="13"/>
    </row>
    <row r="29366">
      <c r="L29366" s="13"/>
      <c r="M29366" s="14"/>
      <c r="N29366" s="14"/>
      <c r="O29366" s="14"/>
      <c r="P29366" s="13"/>
    </row>
    <row r="29367">
      <c r="L29367" s="13"/>
      <c r="M29367" s="14"/>
      <c r="N29367" s="14"/>
      <c r="O29367" s="14"/>
      <c r="P29367" s="13"/>
    </row>
    <row r="29368">
      <c r="L29368" s="13"/>
      <c r="M29368" s="14"/>
      <c r="N29368" s="14"/>
      <c r="O29368" s="14"/>
      <c r="P29368" s="13"/>
    </row>
    <row r="29369">
      <c r="L29369" s="13"/>
      <c r="M29369" s="14"/>
      <c r="N29369" s="14"/>
      <c r="O29369" s="14"/>
      <c r="P29369" s="13"/>
    </row>
    <row r="29370">
      <c r="L29370" s="13"/>
      <c r="M29370" s="14"/>
      <c r="N29370" s="14"/>
      <c r="O29370" s="14"/>
      <c r="P29370" s="13"/>
    </row>
    <row r="29371">
      <c r="L29371" s="13"/>
      <c r="M29371" s="14"/>
      <c r="N29371" s="14"/>
      <c r="O29371" s="14"/>
      <c r="P29371" s="13"/>
    </row>
    <row r="29372">
      <c r="L29372" s="13"/>
      <c r="M29372" s="14"/>
      <c r="N29372" s="14"/>
      <c r="O29372" s="14"/>
      <c r="P29372" s="13"/>
    </row>
    <row r="29373">
      <c r="L29373" s="13"/>
      <c r="M29373" s="14"/>
      <c r="N29373" s="14"/>
      <c r="O29373" s="14"/>
      <c r="P29373" s="13"/>
    </row>
    <row r="29374">
      <c r="L29374" s="13"/>
      <c r="M29374" s="14"/>
      <c r="N29374" s="14"/>
      <c r="O29374" s="14"/>
      <c r="P29374" s="13"/>
    </row>
    <row r="29375">
      <c r="L29375" s="13"/>
      <c r="M29375" s="14"/>
      <c r="N29375" s="14"/>
      <c r="O29375" s="14"/>
      <c r="P29375" s="13"/>
    </row>
    <row r="29376">
      <c r="L29376" s="13"/>
      <c r="M29376" s="14"/>
      <c r="N29376" s="14"/>
      <c r="O29376" s="14"/>
      <c r="P29376" s="13"/>
    </row>
    <row r="29377">
      <c r="L29377" s="13"/>
      <c r="M29377" s="14"/>
      <c r="N29377" s="14"/>
      <c r="O29377" s="14"/>
      <c r="P29377" s="13"/>
    </row>
    <row r="29378">
      <c r="L29378" s="13"/>
      <c r="M29378" s="14"/>
      <c r="N29378" s="14"/>
      <c r="O29378" s="14"/>
      <c r="P29378" s="13"/>
    </row>
    <row r="29379">
      <c r="L29379" s="13"/>
      <c r="M29379" s="14"/>
      <c r="N29379" s="14"/>
      <c r="O29379" s="14"/>
      <c r="P29379" s="13"/>
    </row>
    <row r="29380">
      <c r="L29380" s="13"/>
      <c r="M29380" s="14"/>
      <c r="N29380" s="14"/>
      <c r="O29380" s="14"/>
      <c r="P29380" s="13"/>
    </row>
    <row r="29381">
      <c r="L29381" s="13"/>
      <c r="M29381" s="14"/>
      <c r="N29381" s="14"/>
      <c r="O29381" s="14"/>
      <c r="P29381" s="13"/>
    </row>
    <row r="29382">
      <c r="L29382" s="13"/>
      <c r="M29382" s="14"/>
      <c r="N29382" s="14"/>
      <c r="O29382" s="14"/>
      <c r="P29382" s="13"/>
    </row>
    <row r="29383">
      <c r="L29383" s="13"/>
      <c r="M29383" s="14"/>
      <c r="N29383" s="14"/>
      <c r="O29383" s="14"/>
      <c r="P29383" s="13"/>
    </row>
    <row r="29384">
      <c r="L29384" s="13"/>
      <c r="M29384" s="14"/>
      <c r="N29384" s="14"/>
      <c r="O29384" s="14"/>
      <c r="P29384" s="13"/>
    </row>
    <row r="29385">
      <c r="L29385" s="13"/>
      <c r="M29385" s="14"/>
      <c r="N29385" s="14"/>
      <c r="O29385" s="14"/>
      <c r="P29385" s="13"/>
    </row>
    <row r="29386">
      <c r="L29386" s="13"/>
      <c r="M29386" s="14"/>
      <c r="N29386" s="14"/>
      <c r="O29386" s="14"/>
      <c r="P29386" s="13"/>
    </row>
    <row r="29387">
      <c r="L29387" s="13"/>
      <c r="M29387" s="14"/>
      <c r="N29387" s="14"/>
      <c r="O29387" s="14"/>
      <c r="P29387" s="13"/>
    </row>
    <row r="29388">
      <c r="L29388" s="13"/>
      <c r="M29388" s="14"/>
      <c r="N29388" s="14"/>
      <c r="O29388" s="14"/>
      <c r="P29388" s="13"/>
    </row>
    <row r="29389">
      <c r="L29389" s="13"/>
      <c r="M29389" s="14"/>
      <c r="N29389" s="14"/>
      <c r="O29389" s="14"/>
      <c r="P29389" s="13"/>
    </row>
    <row r="29390">
      <c r="L29390" s="13"/>
      <c r="M29390" s="14"/>
      <c r="N29390" s="14"/>
      <c r="O29390" s="14"/>
      <c r="P29390" s="13"/>
    </row>
    <row r="29391">
      <c r="L29391" s="13"/>
      <c r="M29391" s="14"/>
      <c r="N29391" s="14"/>
      <c r="O29391" s="14"/>
      <c r="P29391" s="13"/>
    </row>
    <row r="29392">
      <c r="L29392" s="13"/>
      <c r="M29392" s="14"/>
      <c r="N29392" s="14"/>
      <c r="O29392" s="14"/>
      <c r="P29392" s="13"/>
    </row>
    <row r="29393">
      <c r="L29393" s="13"/>
      <c r="M29393" s="14"/>
      <c r="N29393" s="14"/>
      <c r="O29393" s="14"/>
      <c r="P29393" s="13"/>
    </row>
    <row r="29394">
      <c r="L29394" s="13"/>
      <c r="M29394" s="14"/>
      <c r="N29394" s="14"/>
      <c r="O29394" s="14"/>
      <c r="P29394" s="13"/>
    </row>
    <row r="29395">
      <c r="L29395" s="13"/>
      <c r="M29395" s="14"/>
      <c r="N29395" s="14"/>
      <c r="O29395" s="14"/>
      <c r="P29395" s="13"/>
    </row>
    <row r="29396">
      <c r="L29396" s="13"/>
      <c r="M29396" s="14"/>
      <c r="N29396" s="14"/>
      <c r="O29396" s="14"/>
      <c r="P29396" s="13"/>
    </row>
    <row r="29397">
      <c r="L29397" s="13"/>
      <c r="M29397" s="14"/>
      <c r="N29397" s="14"/>
      <c r="O29397" s="14"/>
      <c r="P29397" s="13"/>
    </row>
    <row r="29398">
      <c r="L29398" s="13"/>
      <c r="M29398" s="14"/>
      <c r="N29398" s="14"/>
      <c r="O29398" s="14"/>
      <c r="P29398" s="13"/>
    </row>
    <row r="29399">
      <c r="L29399" s="13"/>
      <c r="M29399" s="14"/>
      <c r="N29399" s="14"/>
      <c r="O29399" s="14"/>
      <c r="P29399" s="13"/>
    </row>
    <row r="29400">
      <c r="L29400" s="13"/>
      <c r="M29400" s="14"/>
      <c r="N29400" s="14"/>
      <c r="O29400" s="14"/>
      <c r="P29400" s="13"/>
    </row>
    <row r="29401">
      <c r="L29401" s="13"/>
      <c r="M29401" s="14"/>
      <c r="N29401" s="14"/>
      <c r="O29401" s="14"/>
      <c r="P29401" s="13"/>
    </row>
    <row r="29402">
      <c r="L29402" s="13"/>
      <c r="M29402" s="14"/>
      <c r="N29402" s="14"/>
      <c r="O29402" s="14"/>
      <c r="P29402" s="13"/>
    </row>
    <row r="29403">
      <c r="L29403" s="13"/>
      <c r="M29403" s="14"/>
      <c r="N29403" s="14"/>
      <c r="O29403" s="14"/>
      <c r="P29403" s="13"/>
    </row>
    <row r="29404">
      <c r="L29404" s="13"/>
      <c r="M29404" s="14"/>
      <c r="N29404" s="14"/>
      <c r="O29404" s="14"/>
      <c r="P29404" s="13"/>
    </row>
    <row r="29405">
      <c r="L29405" s="13"/>
      <c r="M29405" s="14"/>
      <c r="N29405" s="14"/>
      <c r="O29405" s="14"/>
      <c r="P29405" s="13"/>
    </row>
    <row r="29406">
      <c r="L29406" s="13"/>
      <c r="M29406" s="14"/>
      <c r="N29406" s="14"/>
      <c r="O29406" s="14"/>
      <c r="P29406" s="13"/>
    </row>
    <row r="29407">
      <c r="L29407" s="13"/>
      <c r="M29407" s="14"/>
      <c r="N29407" s="14"/>
      <c r="O29407" s="14"/>
      <c r="P29407" s="13"/>
    </row>
    <row r="29408">
      <c r="L29408" s="13"/>
      <c r="M29408" s="14"/>
      <c r="N29408" s="14"/>
      <c r="O29408" s="14"/>
      <c r="P29408" s="13"/>
    </row>
    <row r="29409">
      <c r="L29409" s="13"/>
      <c r="M29409" s="14"/>
      <c r="N29409" s="14"/>
      <c r="O29409" s="14"/>
      <c r="P29409" s="13"/>
    </row>
    <row r="29410">
      <c r="L29410" s="13"/>
      <c r="M29410" s="14"/>
      <c r="N29410" s="14"/>
      <c r="O29410" s="14"/>
      <c r="P29410" s="13"/>
    </row>
    <row r="29411">
      <c r="L29411" s="13"/>
      <c r="M29411" s="14"/>
      <c r="N29411" s="14"/>
      <c r="O29411" s="14"/>
      <c r="P29411" s="13"/>
    </row>
    <row r="29412">
      <c r="L29412" s="13"/>
      <c r="M29412" s="14"/>
      <c r="N29412" s="14"/>
      <c r="O29412" s="14"/>
      <c r="P29412" s="13"/>
    </row>
    <row r="29413">
      <c r="L29413" s="13"/>
      <c r="M29413" s="14"/>
      <c r="N29413" s="14"/>
      <c r="O29413" s="14"/>
      <c r="P29413" s="13"/>
    </row>
    <row r="29414">
      <c r="L29414" s="13"/>
      <c r="M29414" s="14"/>
      <c r="N29414" s="14"/>
      <c r="O29414" s="14"/>
      <c r="P29414" s="13"/>
    </row>
    <row r="29415">
      <c r="L29415" s="13"/>
      <c r="M29415" s="14"/>
      <c r="N29415" s="14"/>
      <c r="O29415" s="14"/>
      <c r="P29415" s="13"/>
    </row>
    <row r="29416">
      <c r="L29416" s="13"/>
      <c r="M29416" s="14"/>
      <c r="N29416" s="14"/>
      <c r="O29416" s="14"/>
      <c r="P29416" s="13"/>
    </row>
    <row r="29417">
      <c r="L29417" s="13"/>
      <c r="M29417" s="14"/>
      <c r="N29417" s="14"/>
      <c r="O29417" s="14"/>
      <c r="P29417" s="13"/>
    </row>
    <row r="29418">
      <c r="L29418" s="13"/>
      <c r="M29418" s="14"/>
      <c r="N29418" s="14"/>
      <c r="O29418" s="14"/>
      <c r="P29418" s="13"/>
    </row>
    <row r="29419">
      <c r="L29419" s="13"/>
      <c r="M29419" s="14"/>
      <c r="N29419" s="14"/>
      <c r="O29419" s="14"/>
      <c r="P29419" s="13"/>
    </row>
    <row r="29420">
      <c r="L29420" s="13"/>
      <c r="M29420" s="14"/>
      <c r="N29420" s="14"/>
      <c r="O29420" s="14"/>
      <c r="P29420" s="13"/>
    </row>
    <row r="29421">
      <c r="L29421" s="13"/>
      <c r="M29421" s="14"/>
      <c r="N29421" s="14"/>
      <c r="O29421" s="14"/>
      <c r="P29421" s="13"/>
    </row>
    <row r="29422">
      <c r="L29422" s="13"/>
      <c r="M29422" s="14"/>
      <c r="N29422" s="14"/>
      <c r="O29422" s="14"/>
      <c r="P29422" s="13"/>
    </row>
    <row r="29423">
      <c r="L29423" s="13"/>
      <c r="M29423" s="14"/>
      <c r="N29423" s="14"/>
      <c r="O29423" s="14"/>
      <c r="P29423" s="13"/>
    </row>
    <row r="29424">
      <c r="L29424" s="13"/>
      <c r="M29424" s="14"/>
      <c r="N29424" s="14"/>
      <c r="O29424" s="14"/>
      <c r="P29424" s="13"/>
    </row>
    <row r="29425">
      <c r="L29425" s="13"/>
      <c r="M29425" s="14"/>
      <c r="N29425" s="14"/>
      <c r="O29425" s="14"/>
      <c r="P29425" s="13"/>
    </row>
    <row r="29426">
      <c r="L29426" s="13"/>
      <c r="M29426" s="14"/>
      <c r="N29426" s="14"/>
      <c r="O29426" s="14"/>
      <c r="P29426" s="13"/>
    </row>
    <row r="29427">
      <c r="L29427" s="13"/>
      <c r="M29427" s="14"/>
      <c r="N29427" s="14"/>
      <c r="O29427" s="14"/>
      <c r="P29427" s="13"/>
    </row>
    <row r="29428">
      <c r="L29428" s="13"/>
      <c r="M29428" s="14"/>
      <c r="N29428" s="14"/>
      <c r="O29428" s="14"/>
      <c r="P29428" s="13"/>
    </row>
    <row r="29429">
      <c r="L29429" s="13"/>
      <c r="M29429" s="14"/>
      <c r="N29429" s="14"/>
      <c r="O29429" s="14"/>
      <c r="P29429" s="13"/>
    </row>
    <row r="29430">
      <c r="L29430" s="13"/>
      <c r="M29430" s="14"/>
      <c r="N29430" s="14"/>
      <c r="O29430" s="14"/>
      <c r="P29430" s="13"/>
    </row>
    <row r="29431">
      <c r="L29431" s="13"/>
      <c r="M29431" s="14"/>
      <c r="N29431" s="14"/>
      <c r="O29431" s="14"/>
      <c r="P29431" s="13"/>
    </row>
    <row r="29432">
      <c r="L29432" s="13"/>
      <c r="M29432" s="14"/>
      <c r="N29432" s="14"/>
      <c r="O29432" s="14"/>
      <c r="P29432" s="13"/>
    </row>
    <row r="29433">
      <c r="L29433" s="13"/>
      <c r="M29433" s="14"/>
      <c r="N29433" s="14"/>
      <c r="O29433" s="14"/>
      <c r="P29433" s="13"/>
    </row>
    <row r="29434">
      <c r="L29434" s="13"/>
      <c r="M29434" s="14"/>
      <c r="N29434" s="14"/>
      <c r="O29434" s="14"/>
      <c r="P29434" s="13"/>
    </row>
    <row r="29435">
      <c r="L29435" s="13"/>
      <c r="M29435" s="14"/>
      <c r="N29435" s="14"/>
      <c r="O29435" s="14"/>
      <c r="P29435" s="13"/>
    </row>
    <row r="29436">
      <c r="L29436" s="13"/>
      <c r="M29436" s="14"/>
      <c r="N29436" s="14"/>
      <c r="O29436" s="14"/>
      <c r="P29436" s="13"/>
    </row>
    <row r="29437">
      <c r="L29437" s="13"/>
      <c r="M29437" s="14"/>
      <c r="N29437" s="14"/>
      <c r="O29437" s="14"/>
      <c r="P29437" s="13"/>
    </row>
    <row r="29438">
      <c r="L29438" s="13"/>
      <c r="M29438" s="14"/>
      <c r="N29438" s="14"/>
      <c r="O29438" s="14"/>
      <c r="P29438" s="13"/>
    </row>
    <row r="29439">
      <c r="L29439" s="13"/>
      <c r="M29439" s="14"/>
      <c r="N29439" s="14"/>
      <c r="O29439" s="14"/>
      <c r="P29439" s="13"/>
    </row>
    <row r="29440">
      <c r="L29440" s="13"/>
      <c r="M29440" s="14"/>
      <c r="N29440" s="14"/>
      <c r="O29440" s="14"/>
      <c r="P29440" s="13"/>
    </row>
    <row r="29441">
      <c r="L29441" s="13"/>
      <c r="M29441" s="14"/>
      <c r="N29441" s="14"/>
      <c r="O29441" s="14"/>
      <c r="P29441" s="13"/>
    </row>
    <row r="29442">
      <c r="L29442" s="13"/>
      <c r="M29442" s="14"/>
      <c r="N29442" s="14"/>
      <c r="O29442" s="14"/>
      <c r="P29442" s="13"/>
    </row>
    <row r="29443">
      <c r="L29443" s="13"/>
      <c r="M29443" s="14"/>
      <c r="N29443" s="14"/>
      <c r="O29443" s="14"/>
      <c r="P29443" s="13"/>
    </row>
    <row r="29444">
      <c r="L29444" s="13"/>
      <c r="M29444" s="14"/>
      <c r="N29444" s="14"/>
      <c r="O29444" s="14"/>
      <c r="P29444" s="13"/>
    </row>
    <row r="29445">
      <c r="L29445" s="13"/>
      <c r="M29445" s="14"/>
      <c r="N29445" s="14"/>
      <c r="O29445" s="14"/>
      <c r="P29445" s="13"/>
    </row>
    <row r="29446">
      <c r="L29446" s="13"/>
      <c r="M29446" s="14"/>
      <c r="N29446" s="14"/>
      <c r="O29446" s="14"/>
      <c r="P29446" s="13"/>
    </row>
    <row r="29447">
      <c r="L29447" s="13"/>
      <c r="M29447" s="14"/>
      <c r="N29447" s="14"/>
      <c r="O29447" s="14"/>
      <c r="P29447" s="13"/>
    </row>
    <row r="29448">
      <c r="L29448" s="13"/>
      <c r="M29448" s="14"/>
      <c r="N29448" s="14"/>
      <c r="O29448" s="14"/>
      <c r="P29448" s="13"/>
    </row>
    <row r="29449">
      <c r="L29449" s="13"/>
      <c r="M29449" s="14"/>
      <c r="N29449" s="14"/>
      <c r="O29449" s="14"/>
      <c r="P29449" s="13"/>
    </row>
    <row r="29450">
      <c r="L29450" s="13"/>
      <c r="M29450" s="14"/>
      <c r="N29450" s="14"/>
      <c r="O29450" s="14"/>
      <c r="P29450" s="13"/>
    </row>
    <row r="29451">
      <c r="L29451" s="13"/>
      <c r="M29451" s="14"/>
      <c r="N29451" s="14"/>
      <c r="O29451" s="14"/>
      <c r="P29451" s="13"/>
    </row>
    <row r="29452">
      <c r="L29452" s="13"/>
      <c r="M29452" s="14"/>
      <c r="N29452" s="14"/>
      <c r="O29452" s="14"/>
      <c r="P29452" s="13"/>
    </row>
    <row r="29453">
      <c r="L29453" s="13"/>
      <c r="M29453" s="14"/>
      <c r="N29453" s="14"/>
      <c r="O29453" s="14"/>
      <c r="P29453" s="13"/>
    </row>
    <row r="29454">
      <c r="L29454" s="13"/>
      <c r="M29454" s="14"/>
      <c r="N29454" s="14"/>
      <c r="O29454" s="14"/>
      <c r="P29454" s="13"/>
    </row>
    <row r="29455">
      <c r="L29455" s="13"/>
      <c r="M29455" s="14"/>
      <c r="N29455" s="14"/>
      <c r="O29455" s="14"/>
      <c r="P29455" s="13"/>
    </row>
    <row r="29456">
      <c r="L29456" s="13"/>
      <c r="M29456" s="14"/>
      <c r="N29456" s="14"/>
      <c r="O29456" s="14"/>
      <c r="P29456" s="13"/>
    </row>
    <row r="29457">
      <c r="L29457" s="13"/>
      <c r="M29457" s="14"/>
      <c r="N29457" s="14"/>
      <c r="O29457" s="14"/>
      <c r="P29457" s="13"/>
    </row>
    <row r="29458">
      <c r="L29458" s="13"/>
      <c r="M29458" s="14"/>
      <c r="N29458" s="14"/>
      <c r="O29458" s="14"/>
      <c r="P29458" s="13"/>
    </row>
    <row r="29459">
      <c r="L29459" s="13"/>
      <c r="M29459" s="14"/>
      <c r="N29459" s="14"/>
      <c r="O29459" s="14"/>
      <c r="P29459" s="13"/>
    </row>
    <row r="29460">
      <c r="L29460" s="13"/>
      <c r="M29460" s="14"/>
      <c r="N29460" s="14"/>
      <c r="O29460" s="14"/>
      <c r="P29460" s="13"/>
    </row>
    <row r="29461">
      <c r="L29461" s="13"/>
      <c r="M29461" s="14"/>
      <c r="N29461" s="14"/>
      <c r="O29461" s="14"/>
      <c r="P29461" s="13"/>
    </row>
    <row r="29462">
      <c r="L29462" s="13"/>
      <c r="M29462" s="14"/>
      <c r="N29462" s="14"/>
      <c r="O29462" s="14"/>
      <c r="P29462" s="13"/>
    </row>
    <row r="29463">
      <c r="L29463" s="13"/>
      <c r="M29463" s="14"/>
      <c r="N29463" s="14"/>
      <c r="O29463" s="14"/>
      <c r="P29463" s="13"/>
    </row>
    <row r="29464">
      <c r="L29464" s="13"/>
      <c r="M29464" s="14"/>
      <c r="N29464" s="14"/>
      <c r="O29464" s="14"/>
      <c r="P29464" s="13"/>
    </row>
    <row r="29465">
      <c r="L29465" s="13"/>
      <c r="M29465" s="14"/>
      <c r="N29465" s="14"/>
      <c r="O29465" s="14"/>
      <c r="P29465" s="13"/>
    </row>
    <row r="29466">
      <c r="L29466" s="13"/>
      <c r="M29466" s="14"/>
      <c r="N29466" s="14"/>
      <c r="O29466" s="14"/>
      <c r="P29466" s="13"/>
    </row>
    <row r="29467">
      <c r="L29467" s="13"/>
      <c r="M29467" s="14"/>
      <c r="N29467" s="14"/>
      <c r="O29467" s="14"/>
      <c r="P29467" s="13"/>
    </row>
    <row r="29468">
      <c r="L29468" s="13"/>
      <c r="M29468" s="14"/>
      <c r="N29468" s="14"/>
      <c r="O29468" s="14"/>
      <c r="P29468" s="13"/>
    </row>
    <row r="29469">
      <c r="L29469" s="13"/>
      <c r="M29469" s="14"/>
      <c r="N29469" s="14"/>
      <c r="O29469" s="14"/>
      <c r="P29469" s="13"/>
    </row>
    <row r="29470">
      <c r="L29470" s="13"/>
      <c r="M29470" s="14"/>
      <c r="N29470" s="14"/>
      <c r="O29470" s="14"/>
      <c r="P29470" s="13"/>
    </row>
    <row r="29471">
      <c r="L29471" s="13"/>
      <c r="M29471" s="14"/>
      <c r="N29471" s="14"/>
      <c r="O29471" s="14"/>
      <c r="P29471" s="13"/>
    </row>
    <row r="29472">
      <c r="L29472" s="13"/>
      <c r="M29472" s="14"/>
      <c r="N29472" s="14"/>
      <c r="O29472" s="14"/>
      <c r="P29472" s="13"/>
    </row>
    <row r="29473">
      <c r="L29473" s="13"/>
      <c r="M29473" s="14"/>
      <c r="N29473" s="14"/>
      <c r="O29473" s="14"/>
      <c r="P29473" s="13"/>
    </row>
    <row r="29474">
      <c r="L29474" s="13"/>
      <c r="M29474" s="14"/>
      <c r="N29474" s="14"/>
      <c r="O29474" s="14"/>
      <c r="P29474" s="13"/>
    </row>
    <row r="29475">
      <c r="L29475" s="13"/>
      <c r="M29475" s="14"/>
      <c r="N29475" s="14"/>
      <c r="O29475" s="14"/>
      <c r="P29475" s="13"/>
    </row>
    <row r="29476">
      <c r="L29476" s="13"/>
      <c r="M29476" s="14"/>
      <c r="N29476" s="14"/>
      <c r="O29476" s="14"/>
      <c r="P29476" s="13"/>
    </row>
    <row r="29477">
      <c r="L29477" s="13"/>
      <c r="M29477" s="14"/>
      <c r="N29477" s="14"/>
      <c r="O29477" s="14"/>
      <c r="P29477" s="13"/>
    </row>
    <row r="29478">
      <c r="L29478" s="13"/>
      <c r="M29478" s="14"/>
      <c r="N29478" s="14"/>
      <c r="O29478" s="14"/>
      <c r="P29478" s="13"/>
    </row>
    <row r="29479">
      <c r="L29479" s="13"/>
      <c r="M29479" s="14"/>
      <c r="N29479" s="14"/>
      <c r="O29479" s="14"/>
      <c r="P29479" s="13"/>
    </row>
    <row r="29480">
      <c r="L29480" s="13"/>
      <c r="M29480" s="14"/>
      <c r="N29480" s="14"/>
      <c r="O29480" s="14"/>
      <c r="P29480" s="13"/>
    </row>
    <row r="29481">
      <c r="L29481" s="13"/>
      <c r="M29481" s="14"/>
      <c r="N29481" s="14"/>
      <c r="O29481" s="14"/>
      <c r="P29481" s="13"/>
    </row>
    <row r="29482">
      <c r="L29482" s="13"/>
      <c r="M29482" s="14"/>
      <c r="N29482" s="14"/>
      <c r="O29482" s="14"/>
      <c r="P29482" s="13"/>
    </row>
    <row r="29483">
      <c r="L29483" s="13"/>
      <c r="M29483" s="14"/>
      <c r="N29483" s="14"/>
      <c r="O29483" s="14"/>
      <c r="P29483" s="13"/>
    </row>
    <row r="29484">
      <c r="L29484" s="13"/>
      <c r="M29484" s="14"/>
      <c r="N29484" s="14"/>
      <c r="O29484" s="14"/>
      <c r="P29484" s="13"/>
    </row>
    <row r="29485">
      <c r="L29485" s="13"/>
      <c r="M29485" s="14"/>
      <c r="N29485" s="14"/>
      <c r="O29485" s="14"/>
      <c r="P29485" s="13"/>
    </row>
    <row r="29486">
      <c r="L29486" s="13"/>
      <c r="M29486" s="14"/>
      <c r="N29486" s="14"/>
      <c r="O29486" s="14"/>
      <c r="P29486" s="13"/>
    </row>
    <row r="29487">
      <c r="L29487" s="13"/>
      <c r="M29487" s="14"/>
      <c r="N29487" s="14"/>
      <c r="O29487" s="14"/>
      <c r="P29487" s="13"/>
    </row>
    <row r="29488">
      <c r="L29488" s="13"/>
      <c r="M29488" s="14"/>
      <c r="N29488" s="14"/>
      <c r="O29488" s="14"/>
      <c r="P29488" s="13"/>
    </row>
    <row r="29489">
      <c r="L29489" s="13"/>
      <c r="M29489" s="14"/>
      <c r="N29489" s="14"/>
      <c r="O29489" s="14"/>
      <c r="P29489" s="13"/>
    </row>
    <row r="29490">
      <c r="L29490" s="13"/>
      <c r="M29490" s="14"/>
      <c r="N29490" s="14"/>
      <c r="O29490" s="14"/>
      <c r="P29490" s="13"/>
    </row>
    <row r="29491">
      <c r="L29491" s="13"/>
      <c r="M29491" s="14"/>
      <c r="N29491" s="14"/>
      <c r="O29491" s="14"/>
      <c r="P29491" s="13"/>
    </row>
    <row r="29492">
      <c r="L29492" s="13"/>
      <c r="M29492" s="14"/>
      <c r="N29492" s="14"/>
      <c r="O29492" s="14"/>
      <c r="P29492" s="13"/>
    </row>
    <row r="29493">
      <c r="L29493" s="13"/>
      <c r="M29493" s="14"/>
      <c r="N29493" s="14"/>
      <c r="O29493" s="14"/>
      <c r="P29493" s="13"/>
    </row>
    <row r="29494">
      <c r="L29494" s="13"/>
      <c r="M29494" s="14"/>
      <c r="N29494" s="14"/>
      <c r="O29494" s="14"/>
      <c r="P29494" s="13"/>
    </row>
    <row r="29495">
      <c r="L29495" s="13"/>
      <c r="M29495" s="14"/>
      <c r="N29495" s="14"/>
      <c r="O29495" s="14"/>
      <c r="P29495" s="13"/>
    </row>
    <row r="29496">
      <c r="L29496" s="13"/>
      <c r="M29496" s="14"/>
      <c r="N29496" s="14"/>
      <c r="O29496" s="14"/>
      <c r="P29496" s="13"/>
    </row>
    <row r="29497">
      <c r="L29497" s="13"/>
      <c r="M29497" s="14"/>
      <c r="N29497" s="14"/>
      <c r="O29497" s="14"/>
      <c r="P29497" s="13"/>
    </row>
    <row r="29498">
      <c r="L29498" s="13"/>
      <c r="M29498" s="14"/>
      <c r="N29498" s="14"/>
      <c r="O29498" s="14"/>
      <c r="P29498" s="13"/>
    </row>
    <row r="29499">
      <c r="L29499" s="13"/>
      <c r="M29499" s="14"/>
      <c r="N29499" s="14"/>
      <c r="O29499" s="14"/>
      <c r="P29499" s="13"/>
    </row>
    <row r="29500">
      <c r="L29500" s="13"/>
      <c r="M29500" s="14"/>
      <c r="N29500" s="14"/>
      <c r="O29500" s="14"/>
      <c r="P29500" s="13"/>
    </row>
    <row r="29501">
      <c r="L29501" s="13"/>
      <c r="M29501" s="14"/>
      <c r="N29501" s="14"/>
      <c r="O29501" s="14"/>
      <c r="P29501" s="13"/>
    </row>
    <row r="29502">
      <c r="L29502" s="13"/>
      <c r="M29502" s="14"/>
      <c r="N29502" s="14"/>
      <c r="O29502" s="14"/>
      <c r="P29502" s="13"/>
    </row>
    <row r="29503">
      <c r="L29503" s="13"/>
      <c r="M29503" s="14"/>
      <c r="N29503" s="14"/>
      <c r="O29503" s="14"/>
      <c r="P29503" s="13"/>
    </row>
    <row r="29504">
      <c r="L29504" s="13"/>
      <c r="M29504" s="14"/>
      <c r="N29504" s="14"/>
      <c r="O29504" s="14"/>
      <c r="P29504" s="13"/>
    </row>
    <row r="29505">
      <c r="L29505" s="13"/>
      <c r="M29505" s="14"/>
      <c r="N29505" s="14"/>
      <c r="O29505" s="14"/>
      <c r="P29505" s="13"/>
    </row>
    <row r="29506">
      <c r="L29506" s="13"/>
      <c r="M29506" s="14"/>
      <c r="N29506" s="14"/>
      <c r="O29506" s="14"/>
      <c r="P29506" s="13"/>
    </row>
    <row r="29507">
      <c r="L29507" s="13"/>
      <c r="M29507" s="14"/>
      <c r="N29507" s="14"/>
      <c r="O29507" s="14"/>
      <c r="P29507" s="13"/>
    </row>
    <row r="29508">
      <c r="L29508" s="13"/>
      <c r="M29508" s="14"/>
      <c r="N29508" s="14"/>
      <c r="O29508" s="14"/>
      <c r="P29508" s="13"/>
    </row>
    <row r="29509">
      <c r="L29509" s="13"/>
      <c r="M29509" s="14"/>
      <c r="N29509" s="14"/>
      <c r="O29509" s="14"/>
      <c r="P29509" s="13"/>
    </row>
    <row r="29510">
      <c r="L29510" s="13"/>
      <c r="M29510" s="14"/>
      <c r="N29510" s="14"/>
      <c r="O29510" s="14"/>
      <c r="P29510" s="13"/>
    </row>
    <row r="29511">
      <c r="L29511" s="13"/>
      <c r="M29511" s="14"/>
      <c r="N29511" s="14"/>
      <c r="O29511" s="14"/>
      <c r="P29511" s="13"/>
    </row>
    <row r="29512">
      <c r="L29512" s="13"/>
      <c r="M29512" s="14"/>
      <c r="N29512" s="14"/>
      <c r="O29512" s="14"/>
      <c r="P29512" s="13"/>
    </row>
    <row r="29513">
      <c r="L29513" s="13"/>
      <c r="M29513" s="14"/>
      <c r="N29513" s="14"/>
      <c r="O29513" s="14"/>
      <c r="P29513" s="13"/>
    </row>
    <row r="29514">
      <c r="L29514" s="13"/>
      <c r="M29514" s="14"/>
      <c r="N29514" s="14"/>
      <c r="O29514" s="14"/>
      <c r="P29514" s="13"/>
    </row>
    <row r="29515">
      <c r="L29515" s="13"/>
      <c r="M29515" s="14"/>
      <c r="N29515" s="14"/>
      <c r="O29515" s="14"/>
      <c r="P29515" s="13"/>
    </row>
    <row r="29516">
      <c r="L29516" s="13"/>
      <c r="M29516" s="14"/>
      <c r="N29516" s="14"/>
      <c r="O29516" s="14"/>
      <c r="P29516" s="13"/>
    </row>
    <row r="29517">
      <c r="L29517" s="13"/>
      <c r="M29517" s="14"/>
      <c r="N29517" s="14"/>
      <c r="O29517" s="14"/>
      <c r="P29517" s="13"/>
    </row>
    <row r="29518">
      <c r="L29518" s="13"/>
      <c r="M29518" s="14"/>
      <c r="N29518" s="14"/>
      <c r="O29518" s="14"/>
      <c r="P29518" s="13"/>
    </row>
    <row r="29519">
      <c r="L29519" s="13"/>
      <c r="M29519" s="14"/>
      <c r="N29519" s="14"/>
      <c r="O29519" s="14"/>
      <c r="P29519" s="13"/>
    </row>
    <row r="29520">
      <c r="L29520" s="13"/>
      <c r="M29520" s="14"/>
      <c r="N29520" s="14"/>
      <c r="O29520" s="14"/>
      <c r="P29520" s="13"/>
    </row>
    <row r="29521">
      <c r="L29521" s="13"/>
      <c r="M29521" s="14"/>
      <c r="N29521" s="14"/>
      <c r="O29521" s="14"/>
      <c r="P29521" s="13"/>
    </row>
    <row r="29522">
      <c r="L29522" s="13"/>
      <c r="M29522" s="14"/>
      <c r="N29522" s="14"/>
      <c r="O29522" s="14"/>
      <c r="P29522" s="13"/>
    </row>
    <row r="29523">
      <c r="L29523" s="13"/>
      <c r="M29523" s="14"/>
      <c r="N29523" s="14"/>
      <c r="O29523" s="14"/>
      <c r="P29523" s="13"/>
    </row>
    <row r="29524">
      <c r="L29524" s="13"/>
      <c r="M29524" s="14"/>
      <c r="N29524" s="14"/>
      <c r="O29524" s="14"/>
      <c r="P29524" s="13"/>
    </row>
    <row r="29525">
      <c r="L29525" s="13"/>
      <c r="M29525" s="14"/>
      <c r="N29525" s="14"/>
      <c r="O29525" s="14"/>
      <c r="P29525" s="13"/>
    </row>
    <row r="29526">
      <c r="L29526" s="13"/>
      <c r="M29526" s="14"/>
      <c r="N29526" s="14"/>
      <c r="O29526" s="14"/>
      <c r="P29526" s="13"/>
    </row>
    <row r="29527">
      <c r="L29527" s="13"/>
      <c r="M29527" s="14"/>
      <c r="N29527" s="14"/>
      <c r="O29527" s="14"/>
      <c r="P29527" s="13"/>
    </row>
    <row r="29528">
      <c r="L29528" s="13"/>
      <c r="M29528" s="14"/>
      <c r="N29528" s="14"/>
      <c r="O29528" s="14"/>
      <c r="P29528" s="13"/>
    </row>
    <row r="29529">
      <c r="L29529" s="13"/>
      <c r="M29529" s="14"/>
      <c r="N29529" s="14"/>
      <c r="O29529" s="14"/>
      <c r="P29529" s="13"/>
    </row>
    <row r="29530">
      <c r="L29530" s="13"/>
      <c r="M29530" s="14"/>
      <c r="N29530" s="14"/>
      <c r="O29530" s="14"/>
      <c r="P29530" s="13"/>
    </row>
    <row r="29531">
      <c r="L29531" s="13"/>
      <c r="M29531" s="14"/>
      <c r="N29531" s="14"/>
      <c r="O29531" s="14"/>
      <c r="P29531" s="13"/>
    </row>
    <row r="29532">
      <c r="L29532" s="13"/>
      <c r="M29532" s="14"/>
      <c r="N29532" s="14"/>
      <c r="O29532" s="14"/>
      <c r="P29532" s="13"/>
    </row>
    <row r="29533">
      <c r="L29533" s="13"/>
      <c r="M29533" s="14"/>
      <c r="N29533" s="14"/>
      <c r="O29533" s="14"/>
      <c r="P29533" s="13"/>
    </row>
    <row r="29534">
      <c r="L29534" s="13"/>
      <c r="M29534" s="14"/>
      <c r="N29534" s="14"/>
      <c r="O29534" s="14"/>
      <c r="P29534" s="13"/>
    </row>
    <row r="29535">
      <c r="L29535" s="13"/>
      <c r="M29535" s="14"/>
      <c r="N29535" s="14"/>
      <c r="O29535" s="14"/>
      <c r="P29535" s="13"/>
    </row>
    <row r="29536">
      <c r="L29536" s="13"/>
      <c r="M29536" s="14"/>
      <c r="N29536" s="14"/>
      <c r="O29536" s="14"/>
      <c r="P29536" s="13"/>
    </row>
    <row r="29537">
      <c r="L29537" s="13"/>
      <c r="M29537" s="14"/>
      <c r="N29537" s="14"/>
      <c r="O29537" s="14"/>
      <c r="P29537" s="13"/>
    </row>
    <row r="29538">
      <c r="L29538" s="13"/>
      <c r="M29538" s="14"/>
      <c r="N29538" s="14"/>
      <c r="O29538" s="14"/>
      <c r="P29538" s="13"/>
    </row>
    <row r="29539">
      <c r="L29539" s="13"/>
      <c r="M29539" s="14"/>
      <c r="N29539" s="14"/>
      <c r="O29539" s="14"/>
      <c r="P29539" s="13"/>
    </row>
    <row r="29540">
      <c r="L29540" s="13"/>
      <c r="M29540" s="14"/>
      <c r="N29540" s="14"/>
      <c r="O29540" s="14"/>
      <c r="P29540" s="13"/>
    </row>
    <row r="29541">
      <c r="L29541" s="13"/>
      <c r="M29541" s="14"/>
      <c r="N29541" s="14"/>
      <c r="O29541" s="14"/>
      <c r="P29541" s="13"/>
    </row>
    <row r="29542">
      <c r="L29542" s="13"/>
      <c r="M29542" s="14"/>
      <c r="N29542" s="14"/>
      <c r="O29542" s="14"/>
      <c r="P29542" s="13"/>
    </row>
    <row r="29543">
      <c r="L29543" s="13"/>
      <c r="M29543" s="14"/>
      <c r="N29543" s="14"/>
      <c r="O29543" s="14"/>
      <c r="P29543" s="13"/>
    </row>
    <row r="29544">
      <c r="L29544" s="13"/>
      <c r="M29544" s="14"/>
      <c r="N29544" s="14"/>
      <c r="O29544" s="14"/>
      <c r="P29544" s="13"/>
    </row>
    <row r="29545">
      <c r="L29545" s="13"/>
      <c r="M29545" s="14"/>
      <c r="N29545" s="14"/>
      <c r="O29545" s="14"/>
      <c r="P29545" s="13"/>
    </row>
    <row r="29546">
      <c r="L29546" s="13"/>
      <c r="M29546" s="14"/>
      <c r="N29546" s="14"/>
      <c r="O29546" s="14"/>
      <c r="P29546" s="13"/>
    </row>
    <row r="29547">
      <c r="L29547" s="13"/>
      <c r="M29547" s="14"/>
      <c r="N29547" s="14"/>
      <c r="O29547" s="14"/>
      <c r="P29547" s="13"/>
    </row>
    <row r="29548">
      <c r="L29548" s="13"/>
      <c r="M29548" s="14"/>
      <c r="N29548" s="14"/>
      <c r="O29548" s="14"/>
      <c r="P29548" s="13"/>
    </row>
    <row r="29549">
      <c r="L29549" s="13"/>
      <c r="M29549" s="14"/>
      <c r="N29549" s="14"/>
      <c r="O29549" s="14"/>
      <c r="P29549" s="13"/>
    </row>
    <row r="29550">
      <c r="L29550" s="13"/>
      <c r="M29550" s="14"/>
      <c r="N29550" s="14"/>
      <c r="O29550" s="14"/>
      <c r="P29550" s="13"/>
    </row>
    <row r="29551">
      <c r="L29551" s="13"/>
      <c r="M29551" s="14"/>
      <c r="N29551" s="14"/>
      <c r="O29551" s="14"/>
      <c r="P29551" s="13"/>
    </row>
    <row r="29552">
      <c r="L29552" s="13"/>
      <c r="M29552" s="14"/>
      <c r="N29552" s="14"/>
      <c r="O29552" s="14"/>
      <c r="P29552" s="13"/>
    </row>
    <row r="29553">
      <c r="L29553" s="13"/>
      <c r="M29553" s="14"/>
      <c r="N29553" s="14"/>
      <c r="O29553" s="14"/>
      <c r="P29553" s="13"/>
    </row>
    <row r="29554">
      <c r="L29554" s="13"/>
      <c r="M29554" s="14"/>
      <c r="N29554" s="14"/>
      <c r="O29554" s="14"/>
      <c r="P29554" s="13"/>
    </row>
    <row r="29555">
      <c r="L29555" s="13"/>
      <c r="M29555" s="14"/>
      <c r="N29555" s="14"/>
      <c r="O29555" s="14"/>
      <c r="P29555" s="13"/>
    </row>
    <row r="29556">
      <c r="L29556" s="13"/>
      <c r="M29556" s="14"/>
      <c r="N29556" s="14"/>
      <c r="O29556" s="14"/>
      <c r="P29556" s="13"/>
    </row>
    <row r="29557">
      <c r="L29557" s="13"/>
      <c r="M29557" s="14"/>
      <c r="N29557" s="14"/>
      <c r="O29557" s="14"/>
      <c r="P29557" s="13"/>
    </row>
    <row r="29558">
      <c r="L29558" s="13"/>
      <c r="M29558" s="14"/>
      <c r="N29558" s="14"/>
      <c r="O29558" s="14"/>
      <c r="P29558" s="13"/>
    </row>
    <row r="29559">
      <c r="L29559" s="13"/>
      <c r="M29559" s="14"/>
      <c r="N29559" s="14"/>
      <c r="O29559" s="14"/>
      <c r="P29559" s="13"/>
    </row>
    <row r="29560">
      <c r="L29560" s="13"/>
      <c r="M29560" s="14"/>
      <c r="N29560" s="14"/>
      <c r="O29560" s="14"/>
      <c r="P29560" s="13"/>
    </row>
    <row r="29561">
      <c r="L29561" s="13"/>
      <c r="M29561" s="14"/>
      <c r="N29561" s="14"/>
      <c r="O29561" s="14"/>
      <c r="P29561" s="13"/>
    </row>
    <row r="29562">
      <c r="L29562" s="13"/>
      <c r="M29562" s="14"/>
      <c r="N29562" s="14"/>
      <c r="O29562" s="14"/>
      <c r="P29562" s="13"/>
    </row>
    <row r="29563">
      <c r="L29563" s="13"/>
      <c r="M29563" s="14"/>
      <c r="N29563" s="14"/>
      <c r="O29563" s="14"/>
      <c r="P29563" s="13"/>
    </row>
    <row r="29564">
      <c r="L29564" s="13"/>
      <c r="M29564" s="14"/>
      <c r="N29564" s="14"/>
      <c r="O29564" s="14"/>
      <c r="P29564" s="13"/>
    </row>
    <row r="29565">
      <c r="L29565" s="13"/>
      <c r="M29565" s="14"/>
      <c r="N29565" s="14"/>
      <c r="O29565" s="14"/>
      <c r="P29565" s="13"/>
    </row>
    <row r="29566">
      <c r="L29566" s="13"/>
      <c r="M29566" s="14"/>
      <c r="N29566" s="14"/>
      <c r="O29566" s="14"/>
      <c r="P29566" s="13"/>
    </row>
    <row r="29567">
      <c r="L29567" s="13"/>
      <c r="M29567" s="14"/>
      <c r="N29567" s="14"/>
      <c r="O29567" s="14"/>
      <c r="P29567" s="13"/>
    </row>
    <row r="29568">
      <c r="L29568" s="13"/>
      <c r="M29568" s="14"/>
      <c r="N29568" s="14"/>
      <c r="O29568" s="14"/>
      <c r="P29568" s="13"/>
    </row>
    <row r="29569">
      <c r="L29569" s="13"/>
      <c r="M29569" s="14"/>
      <c r="N29569" s="14"/>
      <c r="O29569" s="14"/>
      <c r="P29569" s="13"/>
    </row>
    <row r="29570">
      <c r="L29570" s="13"/>
      <c r="M29570" s="14"/>
      <c r="N29570" s="14"/>
      <c r="O29570" s="14"/>
      <c r="P29570" s="13"/>
    </row>
    <row r="29571">
      <c r="L29571" s="13"/>
      <c r="M29571" s="14"/>
      <c r="N29571" s="14"/>
      <c r="O29571" s="14"/>
      <c r="P29571" s="13"/>
    </row>
    <row r="29572">
      <c r="L29572" s="13"/>
      <c r="M29572" s="14"/>
      <c r="N29572" s="14"/>
      <c r="O29572" s="14"/>
      <c r="P29572" s="13"/>
    </row>
    <row r="29573">
      <c r="L29573" s="13"/>
      <c r="M29573" s="14"/>
      <c r="N29573" s="14"/>
      <c r="O29573" s="14"/>
      <c r="P29573" s="13"/>
    </row>
    <row r="29574">
      <c r="L29574" s="13"/>
      <c r="M29574" s="14"/>
      <c r="N29574" s="14"/>
      <c r="O29574" s="14"/>
      <c r="P29574" s="13"/>
    </row>
    <row r="29575">
      <c r="L29575" s="13"/>
      <c r="M29575" s="14"/>
      <c r="N29575" s="14"/>
      <c r="O29575" s="14"/>
      <c r="P29575" s="13"/>
    </row>
    <row r="29576">
      <c r="L29576" s="13"/>
      <c r="M29576" s="14"/>
      <c r="N29576" s="14"/>
      <c r="O29576" s="14"/>
      <c r="P29576" s="13"/>
    </row>
    <row r="29577">
      <c r="L29577" s="13"/>
      <c r="M29577" s="14"/>
      <c r="N29577" s="14"/>
      <c r="O29577" s="14"/>
      <c r="P29577" s="13"/>
    </row>
    <row r="29578">
      <c r="L29578" s="13"/>
      <c r="M29578" s="14"/>
      <c r="N29578" s="14"/>
      <c r="O29578" s="14"/>
      <c r="P29578" s="13"/>
    </row>
    <row r="29579">
      <c r="L29579" s="13"/>
      <c r="M29579" s="14"/>
      <c r="N29579" s="14"/>
      <c r="O29579" s="14"/>
      <c r="P29579" s="13"/>
    </row>
    <row r="29580">
      <c r="L29580" s="13"/>
      <c r="M29580" s="14"/>
      <c r="N29580" s="14"/>
      <c r="O29580" s="14"/>
      <c r="P29580" s="13"/>
    </row>
    <row r="29581">
      <c r="L29581" s="13"/>
      <c r="M29581" s="14"/>
      <c r="N29581" s="14"/>
      <c r="O29581" s="14"/>
      <c r="P29581" s="13"/>
    </row>
    <row r="29582">
      <c r="L29582" s="13"/>
      <c r="M29582" s="14"/>
      <c r="N29582" s="14"/>
      <c r="O29582" s="14"/>
      <c r="P29582" s="13"/>
    </row>
    <row r="29583">
      <c r="L29583" s="13"/>
      <c r="M29583" s="14"/>
      <c r="N29583" s="14"/>
      <c r="O29583" s="14"/>
      <c r="P29583" s="13"/>
    </row>
    <row r="29584">
      <c r="L29584" s="13"/>
      <c r="M29584" s="14"/>
      <c r="N29584" s="14"/>
      <c r="O29584" s="14"/>
      <c r="P29584" s="13"/>
    </row>
    <row r="29585">
      <c r="L29585" s="13"/>
      <c r="M29585" s="14"/>
      <c r="N29585" s="14"/>
      <c r="O29585" s="14"/>
      <c r="P29585" s="13"/>
    </row>
    <row r="29586">
      <c r="L29586" s="13"/>
      <c r="M29586" s="14"/>
      <c r="N29586" s="14"/>
      <c r="O29586" s="14"/>
      <c r="P29586" s="13"/>
    </row>
    <row r="29587">
      <c r="L29587" s="13"/>
      <c r="M29587" s="14"/>
      <c r="N29587" s="14"/>
      <c r="O29587" s="14"/>
      <c r="P29587" s="13"/>
    </row>
    <row r="29588">
      <c r="L29588" s="13"/>
      <c r="M29588" s="14"/>
      <c r="N29588" s="14"/>
      <c r="O29588" s="14"/>
      <c r="P29588" s="13"/>
    </row>
    <row r="29589">
      <c r="L29589" s="13"/>
      <c r="M29589" s="14"/>
      <c r="N29589" s="14"/>
      <c r="O29589" s="14"/>
      <c r="P29589" s="13"/>
    </row>
    <row r="29590">
      <c r="L29590" s="13"/>
      <c r="M29590" s="14"/>
      <c r="N29590" s="14"/>
      <c r="O29590" s="14"/>
      <c r="P29590" s="13"/>
    </row>
    <row r="29591">
      <c r="L29591" s="13"/>
      <c r="M29591" s="14"/>
      <c r="N29591" s="14"/>
      <c r="O29591" s="14"/>
      <c r="P29591" s="13"/>
    </row>
    <row r="29592">
      <c r="L29592" s="13"/>
      <c r="M29592" s="14"/>
      <c r="N29592" s="14"/>
      <c r="O29592" s="14"/>
      <c r="P29592" s="13"/>
    </row>
    <row r="29593">
      <c r="L29593" s="13"/>
      <c r="M29593" s="14"/>
      <c r="N29593" s="14"/>
      <c r="O29593" s="14"/>
      <c r="P29593" s="13"/>
    </row>
    <row r="29594">
      <c r="L29594" s="13"/>
      <c r="M29594" s="14"/>
      <c r="N29594" s="14"/>
      <c r="O29594" s="14"/>
      <c r="P29594" s="13"/>
    </row>
    <row r="29595">
      <c r="L29595" s="13"/>
      <c r="M29595" s="14"/>
      <c r="N29595" s="14"/>
      <c r="O29595" s="14"/>
      <c r="P29595" s="13"/>
    </row>
    <row r="29596">
      <c r="L29596" s="13"/>
      <c r="M29596" s="14"/>
      <c r="N29596" s="14"/>
      <c r="O29596" s="14"/>
      <c r="P29596" s="13"/>
    </row>
    <row r="29597">
      <c r="L29597" s="13"/>
      <c r="M29597" s="14"/>
      <c r="N29597" s="14"/>
      <c r="O29597" s="14"/>
      <c r="P29597" s="13"/>
    </row>
    <row r="29598">
      <c r="L29598" s="13"/>
      <c r="M29598" s="14"/>
      <c r="N29598" s="14"/>
      <c r="O29598" s="14"/>
      <c r="P29598" s="13"/>
    </row>
    <row r="29599">
      <c r="L29599" s="13"/>
      <c r="M29599" s="14"/>
      <c r="N29599" s="14"/>
      <c r="O29599" s="14"/>
      <c r="P29599" s="13"/>
    </row>
    <row r="29600">
      <c r="L29600" s="13"/>
      <c r="M29600" s="14"/>
      <c r="N29600" s="14"/>
      <c r="O29600" s="14"/>
      <c r="P29600" s="13"/>
    </row>
    <row r="29601">
      <c r="L29601" s="13"/>
      <c r="M29601" s="14"/>
      <c r="N29601" s="14"/>
      <c r="O29601" s="14"/>
      <c r="P29601" s="13"/>
    </row>
    <row r="29602">
      <c r="L29602" s="13"/>
      <c r="M29602" s="14"/>
      <c r="N29602" s="14"/>
      <c r="O29602" s="14"/>
      <c r="P29602" s="13"/>
    </row>
    <row r="29603">
      <c r="L29603" s="13"/>
      <c r="M29603" s="14"/>
      <c r="N29603" s="14"/>
      <c r="O29603" s="14"/>
      <c r="P29603" s="13"/>
    </row>
    <row r="29604">
      <c r="L29604" s="13"/>
      <c r="M29604" s="14"/>
      <c r="N29604" s="14"/>
      <c r="O29604" s="14"/>
      <c r="P29604" s="13"/>
    </row>
    <row r="29605">
      <c r="L29605" s="13"/>
      <c r="M29605" s="14"/>
      <c r="N29605" s="14"/>
      <c r="O29605" s="14"/>
      <c r="P29605" s="13"/>
    </row>
    <row r="29606">
      <c r="L29606" s="13"/>
      <c r="M29606" s="14"/>
      <c r="N29606" s="14"/>
      <c r="O29606" s="14"/>
      <c r="P29606" s="13"/>
    </row>
    <row r="29607">
      <c r="L29607" s="13"/>
      <c r="M29607" s="14"/>
      <c r="N29607" s="14"/>
      <c r="O29607" s="14"/>
      <c r="P29607" s="13"/>
    </row>
    <row r="29608">
      <c r="L29608" s="13"/>
      <c r="M29608" s="14"/>
      <c r="N29608" s="14"/>
      <c r="O29608" s="14"/>
      <c r="P29608" s="13"/>
    </row>
    <row r="29609">
      <c r="L29609" s="13"/>
      <c r="M29609" s="14"/>
      <c r="N29609" s="14"/>
      <c r="O29609" s="14"/>
      <c r="P29609" s="13"/>
    </row>
    <row r="29610">
      <c r="L29610" s="13"/>
      <c r="M29610" s="14"/>
      <c r="N29610" s="14"/>
      <c r="O29610" s="14"/>
      <c r="P29610" s="13"/>
    </row>
    <row r="29611">
      <c r="L29611" s="13"/>
      <c r="M29611" s="14"/>
      <c r="N29611" s="14"/>
      <c r="O29611" s="14"/>
      <c r="P29611" s="13"/>
    </row>
    <row r="29612">
      <c r="L29612" s="13"/>
      <c r="M29612" s="14"/>
      <c r="N29612" s="14"/>
      <c r="O29612" s="14"/>
      <c r="P29612" s="13"/>
    </row>
    <row r="29613">
      <c r="L29613" s="13"/>
      <c r="M29613" s="14"/>
      <c r="N29613" s="14"/>
      <c r="O29613" s="14"/>
      <c r="P29613" s="13"/>
    </row>
    <row r="29614">
      <c r="L29614" s="13"/>
      <c r="M29614" s="14"/>
      <c r="N29614" s="14"/>
      <c r="O29614" s="14"/>
      <c r="P29614" s="13"/>
    </row>
    <row r="29615">
      <c r="L29615" s="13"/>
      <c r="M29615" s="14"/>
      <c r="N29615" s="14"/>
      <c r="O29615" s="14"/>
      <c r="P29615" s="13"/>
    </row>
    <row r="29616">
      <c r="L29616" s="13"/>
      <c r="M29616" s="14"/>
      <c r="N29616" s="14"/>
      <c r="O29616" s="14"/>
      <c r="P29616" s="13"/>
    </row>
    <row r="29617">
      <c r="L29617" s="13"/>
      <c r="M29617" s="14"/>
      <c r="N29617" s="14"/>
      <c r="O29617" s="14"/>
      <c r="P29617" s="13"/>
    </row>
    <row r="29618">
      <c r="L29618" s="13"/>
      <c r="M29618" s="14"/>
      <c r="N29618" s="14"/>
      <c r="O29618" s="14"/>
      <c r="P29618" s="13"/>
    </row>
    <row r="29619">
      <c r="L29619" s="13"/>
      <c r="M29619" s="14"/>
      <c r="N29619" s="14"/>
      <c r="O29619" s="14"/>
      <c r="P29619" s="13"/>
    </row>
    <row r="29620">
      <c r="L29620" s="13"/>
      <c r="M29620" s="14"/>
      <c r="N29620" s="14"/>
      <c r="O29620" s="14"/>
      <c r="P29620" s="13"/>
    </row>
    <row r="29621">
      <c r="L29621" s="13"/>
      <c r="M29621" s="14"/>
      <c r="N29621" s="14"/>
      <c r="O29621" s="14"/>
      <c r="P29621" s="13"/>
    </row>
    <row r="29622">
      <c r="L29622" s="13"/>
      <c r="M29622" s="14"/>
      <c r="N29622" s="14"/>
      <c r="O29622" s="14"/>
      <c r="P29622" s="13"/>
    </row>
    <row r="29623">
      <c r="L29623" s="13"/>
      <c r="M29623" s="14"/>
      <c r="N29623" s="14"/>
      <c r="O29623" s="14"/>
      <c r="P29623" s="13"/>
    </row>
    <row r="29624">
      <c r="L29624" s="13"/>
      <c r="M29624" s="14"/>
      <c r="N29624" s="14"/>
      <c r="O29624" s="14"/>
      <c r="P29624" s="13"/>
    </row>
    <row r="29625">
      <c r="L29625" s="13"/>
      <c r="M29625" s="14"/>
      <c r="N29625" s="14"/>
      <c r="O29625" s="14"/>
      <c r="P29625" s="13"/>
    </row>
    <row r="29626">
      <c r="L29626" s="13"/>
      <c r="M29626" s="14"/>
      <c r="N29626" s="14"/>
      <c r="O29626" s="14"/>
      <c r="P29626" s="13"/>
    </row>
    <row r="29627">
      <c r="L29627" s="13"/>
      <c r="M29627" s="14"/>
      <c r="N29627" s="14"/>
      <c r="O29627" s="14"/>
      <c r="P29627" s="13"/>
    </row>
    <row r="29628">
      <c r="L29628" s="13"/>
      <c r="M29628" s="14"/>
      <c r="N29628" s="14"/>
      <c r="O29628" s="14"/>
      <c r="P29628" s="13"/>
    </row>
    <row r="29629">
      <c r="L29629" s="13"/>
      <c r="M29629" s="14"/>
      <c r="N29629" s="14"/>
      <c r="O29629" s="14"/>
      <c r="P29629" s="13"/>
    </row>
    <row r="29630">
      <c r="L29630" s="13"/>
      <c r="M29630" s="14"/>
      <c r="N29630" s="14"/>
      <c r="O29630" s="14"/>
      <c r="P29630" s="13"/>
    </row>
    <row r="29631">
      <c r="L29631" s="13"/>
      <c r="M29631" s="14"/>
      <c r="N29631" s="14"/>
      <c r="O29631" s="14"/>
      <c r="P29631" s="13"/>
    </row>
    <row r="29632">
      <c r="L29632" s="13"/>
      <c r="M29632" s="14"/>
      <c r="N29632" s="14"/>
      <c r="O29632" s="14"/>
      <c r="P29632" s="13"/>
    </row>
    <row r="29633">
      <c r="L29633" s="13"/>
      <c r="M29633" s="14"/>
      <c r="N29633" s="14"/>
      <c r="O29633" s="14"/>
      <c r="P29633" s="13"/>
    </row>
    <row r="29634">
      <c r="L29634" s="13"/>
      <c r="M29634" s="14"/>
      <c r="N29634" s="14"/>
      <c r="O29634" s="14"/>
      <c r="P29634" s="13"/>
    </row>
    <row r="29635">
      <c r="L29635" s="13"/>
      <c r="M29635" s="14"/>
      <c r="N29635" s="14"/>
      <c r="O29635" s="14"/>
      <c r="P29635" s="13"/>
    </row>
    <row r="29636">
      <c r="L29636" s="13"/>
      <c r="M29636" s="14"/>
      <c r="N29636" s="14"/>
      <c r="O29636" s="14"/>
      <c r="P29636" s="13"/>
    </row>
    <row r="29637">
      <c r="L29637" s="13"/>
      <c r="M29637" s="14"/>
      <c r="N29637" s="14"/>
      <c r="O29637" s="14"/>
      <c r="P29637" s="13"/>
    </row>
    <row r="29638">
      <c r="L29638" s="13"/>
      <c r="M29638" s="14"/>
      <c r="N29638" s="14"/>
      <c r="O29638" s="14"/>
      <c r="P29638" s="13"/>
    </row>
    <row r="29639">
      <c r="L29639" s="13"/>
      <c r="M29639" s="14"/>
      <c r="N29639" s="14"/>
      <c r="O29639" s="14"/>
      <c r="P29639" s="13"/>
    </row>
    <row r="29640">
      <c r="L29640" s="13"/>
      <c r="M29640" s="14"/>
      <c r="N29640" s="14"/>
      <c r="O29640" s="14"/>
      <c r="P29640" s="13"/>
    </row>
    <row r="29641">
      <c r="L29641" s="13"/>
      <c r="M29641" s="14"/>
      <c r="N29641" s="14"/>
      <c r="O29641" s="14"/>
      <c r="P29641" s="13"/>
    </row>
    <row r="29642">
      <c r="L29642" s="13"/>
      <c r="M29642" s="14"/>
      <c r="N29642" s="14"/>
      <c r="O29642" s="14"/>
      <c r="P29642" s="13"/>
    </row>
    <row r="29643">
      <c r="L29643" s="13"/>
      <c r="M29643" s="14"/>
      <c r="N29643" s="14"/>
      <c r="O29643" s="14"/>
      <c r="P29643" s="13"/>
    </row>
    <row r="29644">
      <c r="L29644" s="13"/>
      <c r="M29644" s="14"/>
      <c r="N29644" s="14"/>
      <c r="O29644" s="14"/>
      <c r="P29644" s="13"/>
    </row>
    <row r="29645">
      <c r="L29645" s="13"/>
      <c r="M29645" s="14"/>
      <c r="N29645" s="14"/>
      <c r="O29645" s="14"/>
      <c r="P29645" s="13"/>
    </row>
    <row r="29646">
      <c r="L29646" s="13"/>
      <c r="M29646" s="14"/>
      <c r="N29646" s="14"/>
      <c r="O29646" s="14"/>
      <c r="P29646" s="13"/>
    </row>
    <row r="29647">
      <c r="L29647" s="13"/>
      <c r="M29647" s="14"/>
      <c r="N29647" s="14"/>
      <c r="O29647" s="14"/>
      <c r="P29647" s="13"/>
    </row>
    <row r="29648">
      <c r="L29648" s="13"/>
      <c r="M29648" s="14"/>
      <c r="N29648" s="14"/>
      <c r="O29648" s="14"/>
      <c r="P29648" s="13"/>
    </row>
    <row r="29649">
      <c r="L29649" s="13"/>
      <c r="M29649" s="14"/>
      <c r="N29649" s="14"/>
      <c r="O29649" s="14"/>
      <c r="P29649" s="13"/>
    </row>
    <row r="29650">
      <c r="L29650" s="13"/>
      <c r="M29650" s="14"/>
      <c r="N29650" s="14"/>
      <c r="O29650" s="14"/>
      <c r="P29650" s="13"/>
    </row>
    <row r="29651">
      <c r="L29651" s="13"/>
      <c r="M29651" s="14"/>
      <c r="N29651" s="14"/>
      <c r="O29651" s="14"/>
      <c r="P29651" s="13"/>
    </row>
    <row r="29652">
      <c r="L29652" s="13"/>
      <c r="M29652" s="14"/>
      <c r="N29652" s="14"/>
      <c r="O29652" s="14"/>
      <c r="P29652" s="13"/>
    </row>
    <row r="29653">
      <c r="L29653" s="13"/>
      <c r="M29653" s="14"/>
      <c r="N29653" s="14"/>
      <c r="O29653" s="14"/>
      <c r="P29653" s="13"/>
    </row>
    <row r="29654">
      <c r="L29654" s="13"/>
      <c r="M29654" s="14"/>
      <c r="N29654" s="14"/>
      <c r="O29654" s="14"/>
      <c r="P29654" s="13"/>
    </row>
    <row r="29655">
      <c r="L29655" s="13"/>
      <c r="M29655" s="14"/>
      <c r="N29655" s="14"/>
      <c r="O29655" s="14"/>
      <c r="P29655" s="13"/>
    </row>
    <row r="29656">
      <c r="L29656" s="13"/>
      <c r="M29656" s="14"/>
      <c r="N29656" s="14"/>
      <c r="O29656" s="14"/>
      <c r="P29656" s="13"/>
    </row>
    <row r="29657">
      <c r="L29657" s="13"/>
      <c r="M29657" s="14"/>
      <c r="N29657" s="14"/>
      <c r="O29657" s="14"/>
      <c r="P29657" s="13"/>
    </row>
    <row r="29658">
      <c r="L29658" s="13"/>
      <c r="M29658" s="14"/>
      <c r="N29658" s="14"/>
      <c r="O29658" s="14"/>
      <c r="P29658" s="13"/>
    </row>
    <row r="29659">
      <c r="L29659" s="13"/>
      <c r="M29659" s="14"/>
      <c r="N29659" s="14"/>
      <c r="O29659" s="14"/>
      <c r="P29659" s="13"/>
    </row>
    <row r="29660">
      <c r="L29660" s="13"/>
      <c r="M29660" s="14"/>
      <c r="N29660" s="14"/>
      <c r="O29660" s="14"/>
      <c r="P29660" s="13"/>
    </row>
    <row r="29661">
      <c r="L29661" s="13"/>
      <c r="M29661" s="14"/>
      <c r="N29661" s="14"/>
      <c r="O29661" s="14"/>
      <c r="P29661" s="13"/>
    </row>
    <row r="29662">
      <c r="L29662" s="13"/>
      <c r="M29662" s="14"/>
      <c r="N29662" s="14"/>
      <c r="O29662" s="14"/>
      <c r="P29662" s="13"/>
    </row>
    <row r="29663">
      <c r="L29663" s="13"/>
      <c r="M29663" s="14"/>
      <c r="N29663" s="14"/>
      <c r="O29663" s="14"/>
      <c r="P29663" s="13"/>
    </row>
    <row r="29664">
      <c r="L29664" s="13"/>
      <c r="M29664" s="14"/>
      <c r="N29664" s="14"/>
      <c r="O29664" s="14"/>
      <c r="P29664" s="13"/>
    </row>
    <row r="29665">
      <c r="L29665" s="13"/>
      <c r="M29665" s="14"/>
      <c r="N29665" s="14"/>
      <c r="O29665" s="14"/>
      <c r="P29665" s="13"/>
    </row>
    <row r="29666">
      <c r="L29666" s="13"/>
      <c r="M29666" s="14"/>
      <c r="N29666" s="14"/>
      <c r="O29666" s="14"/>
      <c r="P29666" s="13"/>
    </row>
    <row r="29667">
      <c r="L29667" s="13"/>
      <c r="M29667" s="14"/>
      <c r="N29667" s="14"/>
      <c r="O29667" s="14"/>
      <c r="P29667" s="13"/>
    </row>
    <row r="29668">
      <c r="L29668" s="13"/>
      <c r="M29668" s="14"/>
      <c r="N29668" s="14"/>
      <c r="O29668" s="14"/>
      <c r="P29668" s="13"/>
    </row>
    <row r="29669">
      <c r="L29669" s="13"/>
      <c r="M29669" s="14"/>
      <c r="N29669" s="14"/>
      <c r="O29669" s="14"/>
      <c r="P29669" s="13"/>
    </row>
    <row r="29670">
      <c r="L29670" s="13"/>
      <c r="M29670" s="14"/>
      <c r="N29670" s="14"/>
      <c r="O29670" s="14"/>
      <c r="P29670" s="13"/>
    </row>
    <row r="29671">
      <c r="L29671" s="13"/>
      <c r="M29671" s="14"/>
      <c r="N29671" s="14"/>
      <c r="O29671" s="14"/>
      <c r="P29671" s="13"/>
    </row>
    <row r="29672">
      <c r="L29672" s="13"/>
      <c r="M29672" s="14"/>
      <c r="N29672" s="14"/>
      <c r="O29672" s="14"/>
      <c r="P29672" s="13"/>
    </row>
    <row r="29673">
      <c r="L29673" s="13"/>
      <c r="M29673" s="14"/>
      <c r="N29673" s="14"/>
      <c r="O29673" s="14"/>
      <c r="P29673" s="13"/>
    </row>
    <row r="29674">
      <c r="L29674" s="13"/>
      <c r="M29674" s="14"/>
      <c r="N29674" s="14"/>
      <c r="O29674" s="14"/>
      <c r="P29674" s="13"/>
    </row>
    <row r="29675">
      <c r="L29675" s="13"/>
      <c r="M29675" s="14"/>
      <c r="N29675" s="14"/>
      <c r="O29675" s="14"/>
      <c r="P29675" s="13"/>
    </row>
    <row r="29676">
      <c r="L29676" s="13"/>
      <c r="M29676" s="14"/>
      <c r="N29676" s="14"/>
      <c r="O29676" s="14"/>
      <c r="P29676" s="13"/>
    </row>
    <row r="29677">
      <c r="L29677" s="13"/>
      <c r="M29677" s="14"/>
      <c r="N29677" s="14"/>
      <c r="O29677" s="14"/>
      <c r="P29677" s="13"/>
    </row>
    <row r="29678">
      <c r="L29678" s="13"/>
      <c r="M29678" s="14"/>
      <c r="N29678" s="14"/>
      <c r="O29678" s="14"/>
      <c r="P29678" s="13"/>
    </row>
    <row r="29679">
      <c r="L29679" s="13"/>
      <c r="M29679" s="14"/>
      <c r="N29679" s="14"/>
      <c r="O29679" s="14"/>
      <c r="P29679" s="13"/>
    </row>
    <row r="29680">
      <c r="L29680" s="13"/>
      <c r="M29680" s="14"/>
      <c r="N29680" s="14"/>
      <c r="O29680" s="14"/>
      <c r="P29680" s="13"/>
    </row>
    <row r="29681">
      <c r="L29681" s="13"/>
      <c r="M29681" s="14"/>
      <c r="N29681" s="14"/>
      <c r="O29681" s="14"/>
      <c r="P29681" s="13"/>
    </row>
    <row r="29682">
      <c r="L29682" s="13"/>
      <c r="M29682" s="14"/>
      <c r="N29682" s="14"/>
      <c r="O29682" s="14"/>
      <c r="P29682" s="13"/>
    </row>
    <row r="29683">
      <c r="L29683" s="13"/>
      <c r="M29683" s="14"/>
      <c r="N29683" s="14"/>
      <c r="O29683" s="14"/>
      <c r="P29683" s="13"/>
    </row>
    <row r="29684">
      <c r="L29684" s="13"/>
      <c r="M29684" s="14"/>
      <c r="N29684" s="14"/>
      <c r="O29684" s="14"/>
      <c r="P29684" s="13"/>
    </row>
    <row r="29685">
      <c r="L29685" s="13"/>
      <c r="M29685" s="14"/>
      <c r="N29685" s="14"/>
      <c r="O29685" s="14"/>
      <c r="P29685" s="13"/>
    </row>
    <row r="29686">
      <c r="L29686" s="13"/>
      <c r="M29686" s="14"/>
      <c r="N29686" s="14"/>
      <c r="O29686" s="14"/>
      <c r="P29686" s="13"/>
    </row>
    <row r="29687">
      <c r="L29687" s="13"/>
      <c r="M29687" s="14"/>
      <c r="N29687" s="14"/>
      <c r="O29687" s="14"/>
      <c r="P29687" s="13"/>
    </row>
    <row r="29688">
      <c r="L29688" s="13"/>
      <c r="M29688" s="14"/>
      <c r="N29688" s="14"/>
      <c r="O29688" s="14"/>
      <c r="P29688" s="13"/>
    </row>
    <row r="29689">
      <c r="L29689" s="13"/>
      <c r="M29689" s="14"/>
      <c r="N29689" s="14"/>
      <c r="O29689" s="14"/>
      <c r="P29689" s="13"/>
    </row>
    <row r="29690">
      <c r="L29690" s="13"/>
      <c r="M29690" s="14"/>
      <c r="N29690" s="14"/>
      <c r="O29690" s="14"/>
      <c r="P29690" s="13"/>
    </row>
    <row r="29691">
      <c r="L29691" s="13"/>
      <c r="M29691" s="14"/>
      <c r="N29691" s="14"/>
      <c r="O29691" s="14"/>
      <c r="P29691" s="13"/>
    </row>
    <row r="29692">
      <c r="L29692" s="13"/>
      <c r="M29692" s="14"/>
      <c r="N29692" s="14"/>
      <c r="O29692" s="14"/>
      <c r="P29692" s="13"/>
    </row>
    <row r="29693">
      <c r="L29693" s="13"/>
      <c r="M29693" s="14"/>
      <c r="N29693" s="14"/>
      <c r="O29693" s="14"/>
      <c r="P29693" s="13"/>
    </row>
    <row r="29694">
      <c r="L29694" s="13"/>
      <c r="M29694" s="14"/>
      <c r="N29694" s="14"/>
      <c r="O29694" s="14"/>
      <c r="P29694" s="13"/>
    </row>
    <row r="29695">
      <c r="L29695" s="13"/>
      <c r="M29695" s="14"/>
      <c r="N29695" s="14"/>
      <c r="O29695" s="14"/>
      <c r="P29695" s="13"/>
    </row>
    <row r="29696">
      <c r="L29696" s="13"/>
      <c r="M29696" s="14"/>
      <c r="N29696" s="14"/>
      <c r="O29696" s="14"/>
      <c r="P29696" s="13"/>
    </row>
    <row r="29697">
      <c r="L29697" s="13"/>
      <c r="M29697" s="14"/>
      <c r="N29697" s="14"/>
      <c r="O29697" s="14"/>
      <c r="P29697" s="13"/>
    </row>
    <row r="29698">
      <c r="L29698" s="13"/>
      <c r="M29698" s="14"/>
      <c r="N29698" s="14"/>
      <c r="O29698" s="14"/>
      <c r="P29698" s="13"/>
    </row>
    <row r="29699">
      <c r="L29699" s="13"/>
      <c r="M29699" s="14"/>
      <c r="N29699" s="14"/>
      <c r="O29699" s="14"/>
      <c r="P29699" s="13"/>
    </row>
    <row r="29700">
      <c r="L29700" s="13"/>
      <c r="M29700" s="14"/>
      <c r="N29700" s="14"/>
      <c r="O29700" s="14"/>
      <c r="P29700" s="13"/>
    </row>
    <row r="29701">
      <c r="L29701" s="13"/>
      <c r="M29701" s="14"/>
      <c r="N29701" s="14"/>
      <c r="O29701" s="14"/>
      <c r="P29701" s="13"/>
    </row>
    <row r="29702">
      <c r="L29702" s="13"/>
      <c r="M29702" s="14"/>
      <c r="N29702" s="14"/>
      <c r="O29702" s="14"/>
      <c r="P29702" s="13"/>
    </row>
    <row r="29703">
      <c r="L29703" s="13"/>
      <c r="M29703" s="14"/>
      <c r="N29703" s="14"/>
      <c r="O29703" s="14"/>
      <c r="P29703" s="13"/>
    </row>
    <row r="29704">
      <c r="L29704" s="13"/>
      <c r="M29704" s="14"/>
      <c r="N29704" s="14"/>
      <c r="O29704" s="14"/>
      <c r="P29704" s="13"/>
    </row>
    <row r="29705">
      <c r="L29705" s="13"/>
      <c r="M29705" s="14"/>
      <c r="N29705" s="14"/>
      <c r="O29705" s="14"/>
      <c r="P29705" s="13"/>
    </row>
    <row r="29706">
      <c r="L29706" s="13"/>
      <c r="M29706" s="14"/>
      <c r="N29706" s="14"/>
      <c r="O29706" s="14"/>
      <c r="P29706" s="13"/>
    </row>
    <row r="29707">
      <c r="L29707" s="13"/>
      <c r="M29707" s="14"/>
      <c r="N29707" s="14"/>
      <c r="O29707" s="14"/>
      <c r="P29707" s="13"/>
    </row>
    <row r="29708">
      <c r="L29708" s="13"/>
      <c r="M29708" s="14"/>
      <c r="N29708" s="14"/>
      <c r="O29708" s="14"/>
      <c r="P29708" s="13"/>
    </row>
    <row r="29709">
      <c r="L29709" s="13"/>
      <c r="M29709" s="14"/>
      <c r="N29709" s="14"/>
      <c r="O29709" s="14"/>
      <c r="P29709" s="13"/>
    </row>
    <row r="29710">
      <c r="L29710" s="13"/>
      <c r="M29710" s="14"/>
      <c r="N29710" s="14"/>
      <c r="O29710" s="14"/>
      <c r="P29710" s="13"/>
    </row>
    <row r="29711">
      <c r="L29711" s="13"/>
      <c r="M29711" s="14"/>
      <c r="N29711" s="14"/>
      <c r="O29711" s="14"/>
      <c r="P29711" s="13"/>
    </row>
    <row r="29712">
      <c r="L29712" s="13"/>
      <c r="M29712" s="14"/>
      <c r="N29712" s="14"/>
      <c r="O29712" s="14"/>
      <c r="P29712" s="13"/>
    </row>
    <row r="29713">
      <c r="L29713" s="13"/>
      <c r="M29713" s="14"/>
      <c r="N29713" s="14"/>
      <c r="O29713" s="14"/>
      <c r="P29713" s="13"/>
    </row>
    <row r="29714">
      <c r="L29714" s="13"/>
      <c r="M29714" s="14"/>
      <c r="N29714" s="14"/>
      <c r="O29714" s="14"/>
      <c r="P29714" s="13"/>
    </row>
    <row r="29715">
      <c r="L29715" s="13"/>
      <c r="M29715" s="14"/>
      <c r="N29715" s="14"/>
      <c r="O29715" s="14"/>
      <c r="P29715" s="13"/>
    </row>
    <row r="29716">
      <c r="L29716" s="13"/>
      <c r="M29716" s="14"/>
      <c r="N29716" s="14"/>
      <c r="O29716" s="14"/>
      <c r="P29716" s="13"/>
    </row>
    <row r="29717">
      <c r="L29717" s="13"/>
      <c r="M29717" s="14"/>
      <c r="N29717" s="14"/>
      <c r="O29717" s="14"/>
      <c r="P29717" s="13"/>
    </row>
    <row r="29718">
      <c r="L29718" s="13"/>
      <c r="M29718" s="14"/>
      <c r="N29718" s="14"/>
      <c r="O29718" s="14"/>
      <c r="P29718" s="13"/>
    </row>
    <row r="29719">
      <c r="L29719" s="13"/>
      <c r="M29719" s="14"/>
      <c r="N29719" s="14"/>
      <c r="O29719" s="14"/>
      <c r="P29719" s="13"/>
    </row>
    <row r="29720">
      <c r="L29720" s="13"/>
      <c r="M29720" s="14"/>
      <c r="N29720" s="14"/>
      <c r="O29720" s="14"/>
      <c r="P29720" s="13"/>
    </row>
    <row r="29721">
      <c r="L29721" s="13"/>
      <c r="M29721" s="14"/>
      <c r="N29721" s="14"/>
      <c r="O29721" s="14"/>
      <c r="P29721" s="13"/>
    </row>
    <row r="29722">
      <c r="L29722" s="13"/>
      <c r="M29722" s="14"/>
      <c r="N29722" s="14"/>
      <c r="O29722" s="14"/>
      <c r="P29722" s="13"/>
    </row>
    <row r="29723">
      <c r="L29723" s="13"/>
      <c r="M29723" s="14"/>
      <c r="N29723" s="14"/>
      <c r="O29723" s="14"/>
      <c r="P29723" s="13"/>
    </row>
    <row r="29724">
      <c r="L29724" s="13"/>
      <c r="M29724" s="14"/>
      <c r="N29724" s="14"/>
      <c r="O29724" s="14"/>
      <c r="P29724" s="13"/>
    </row>
    <row r="29725">
      <c r="L29725" s="13"/>
      <c r="M29725" s="14"/>
      <c r="N29725" s="14"/>
      <c r="O29725" s="14"/>
      <c r="P29725" s="13"/>
    </row>
    <row r="29726">
      <c r="L29726" s="13"/>
      <c r="M29726" s="14"/>
      <c r="N29726" s="14"/>
      <c r="O29726" s="14"/>
      <c r="P29726" s="13"/>
    </row>
    <row r="29727">
      <c r="L29727" s="13"/>
      <c r="M29727" s="14"/>
      <c r="N29727" s="14"/>
      <c r="O29727" s="14"/>
      <c r="P29727" s="13"/>
    </row>
    <row r="29728">
      <c r="L29728" s="13"/>
      <c r="M29728" s="14"/>
      <c r="N29728" s="14"/>
      <c r="O29728" s="14"/>
      <c r="P29728" s="13"/>
    </row>
    <row r="29729">
      <c r="L29729" s="13"/>
      <c r="M29729" s="14"/>
      <c r="N29729" s="14"/>
      <c r="O29729" s="14"/>
      <c r="P29729" s="13"/>
    </row>
    <row r="29730">
      <c r="L29730" s="13"/>
      <c r="M29730" s="14"/>
      <c r="N29730" s="14"/>
      <c r="O29730" s="14"/>
      <c r="P29730" s="13"/>
    </row>
    <row r="29731">
      <c r="L29731" s="13"/>
      <c r="M29731" s="14"/>
      <c r="N29731" s="14"/>
      <c r="O29731" s="14"/>
      <c r="P29731" s="13"/>
    </row>
    <row r="29732">
      <c r="L29732" s="13"/>
      <c r="M29732" s="14"/>
      <c r="N29732" s="14"/>
      <c r="O29732" s="14"/>
      <c r="P29732" s="13"/>
    </row>
    <row r="29733">
      <c r="L29733" s="13"/>
      <c r="M29733" s="14"/>
      <c r="N29733" s="14"/>
      <c r="O29733" s="14"/>
      <c r="P29733" s="13"/>
    </row>
    <row r="29734">
      <c r="L29734" s="13"/>
      <c r="M29734" s="14"/>
      <c r="N29734" s="14"/>
      <c r="O29734" s="14"/>
      <c r="P29734" s="13"/>
    </row>
    <row r="29735">
      <c r="L29735" s="13"/>
      <c r="M29735" s="14"/>
      <c r="N29735" s="14"/>
      <c r="O29735" s="14"/>
      <c r="P29735" s="13"/>
    </row>
    <row r="29736">
      <c r="L29736" s="13"/>
      <c r="M29736" s="14"/>
      <c r="N29736" s="14"/>
      <c r="O29736" s="14"/>
      <c r="P29736" s="13"/>
    </row>
    <row r="29737">
      <c r="L29737" s="13"/>
      <c r="M29737" s="14"/>
      <c r="N29737" s="14"/>
      <c r="O29737" s="14"/>
      <c r="P29737" s="13"/>
    </row>
    <row r="29738">
      <c r="L29738" s="13"/>
      <c r="M29738" s="14"/>
      <c r="N29738" s="14"/>
      <c r="O29738" s="14"/>
      <c r="P29738" s="13"/>
    </row>
    <row r="29739">
      <c r="L29739" s="13"/>
      <c r="M29739" s="14"/>
      <c r="N29739" s="14"/>
      <c r="O29739" s="14"/>
      <c r="P29739" s="13"/>
    </row>
    <row r="29740">
      <c r="L29740" s="13"/>
      <c r="M29740" s="14"/>
      <c r="N29740" s="14"/>
      <c r="O29740" s="14"/>
      <c r="P29740" s="13"/>
    </row>
    <row r="29741">
      <c r="L29741" s="13"/>
      <c r="M29741" s="14"/>
      <c r="N29741" s="14"/>
      <c r="O29741" s="14"/>
      <c r="P29741" s="13"/>
    </row>
    <row r="29742">
      <c r="L29742" s="13"/>
      <c r="M29742" s="14"/>
      <c r="N29742" s="14"/>
      <c r="O29742" s="14"/>
      <c r="P29742" s="13"/>
    </row>
    <row r="29743">
      <c r="L29743" s="13"/>
      <c r="M29743" s="14"/>
      <c r="N29743" s="14"/>
      <c r="O29743" s="14"/>
      <c r="P29743" s="13"/>
    </row>
    <row r="29744">
      <c r="L29744" s="13"/>
      <c r="M29744" s="14"/>
      <c r="N29744" s="14"/>
      <c r="O29744" s="14"/>
      <c r="P29744" s="13"/>
    </row>
    <row r="29745">
      <c r="L29745" s="13"/>
      <c r="M29745" s="14"/>
      <c r="N29745" s="14"/>
      <c r="O29745" s="14"/>
      <c r="P29745" s="13"/>
    </row>
    <row r="29746">
      <c r="L29746" s="13"/>
      <c r="M29746" s="14"/>
      <c r="N29746" s="14"/>
      <c r="O29746" s="14"/>
      <c r="P29746" s="13"/>
    </row>
    <row r="29747">
      <c r="L29747" s="13"/>
      <c r="M29747" s="14"/>
      <c r="N29747" s="14"/>
      <c r="O29747" s="14"/>
      <c r="P29747" s="13"/>
    </row>
    <row r="29748">
      <c r="L29748" s="13"/>
      <c r="M29748" s="14"/>
      <c r="N29748" s="14"/>
      <c r="O29748" s="14"/>
      <c r="P29748" s="13"/>
    </row>
    <row r="29749">
      <c r="L29749" s="13"/>
      <c r="M29749" s="14"/>
      <c r="N29749" s="14"/>
      <c r="O29749" s="14"/>
      <c r="P29749" s="13"/>
    </row>
    <row r="29750">
      <c r="L29750" s="13"/>
      <c r="M29750" s="14"/>
      <c r="N29750" s="14"/>
      <c r="O29750" s="14"/>
      <c r="P29750" s="13"/>
    </row>
    <row r="29751">
      <c r="L29751" s="13"/>
      <c r="M29751" s="14"/>
      <c r="N29751" s="14"/>
      <c r="O29751" s="14"/>
      <c r="P29751" s="13"/>
    </row>
    <row r="29752">
      <c r="L29752" s="13"/>
      <c r="M29752" s="14"/>
      <c r="N29752" s="14"/>
      <c r="O29752" s="14"/>
      <c r="P29752" s="13"/>
    </row>
    <row r="29753">
      <c r="L29753" s="13"/>
      <c r="M29753" s="14"/>
      <c r="N29753" s="14"/>
      <c r="O29753" s="14"/>
      <c r="P29753" s="13"/>
    </row>
    <row r="29754">
      <c r="L29754" s="13"/>
      <c r="M29754" s="14"/>
      <c r="N29754" s="14"/>
      <c r="O29754" s="14"/>
      <c r="P29754" s="13"/>
    </row>
    <row r="29755">
      <c r="L29755" s="13"/>
      <c r="M29755" s="14"/>
      <c r="N29755" s="14"/>
      <c r="O29755" s="14"/>
      <c r="P29755" s="13"/>
    </row>
    <row r="29756">
      <c r="L29756" s="13"/>
      <c r="M29756" s="14"/>
      <c r="N29756" s="14"/>
      <c r="O29756" s="14"/>
      <c r="P29756" s="13"/>
    </row>
    <row r="29757">
      <c r="L29757" s="13"/>
      <c r="M29757" s="14"/>
      <c r="N29757" s="14"/>
      <c r="O29757" s="14"/>
      <c r="P29757" s="13"/>
    </row>
    <row r="29758">
      <c r="L29758" s="13"/>
      <c r="M29758" s="14"/>
      <c r="N29758" s="14"/>
      <c r="O29758" s="14"/>
      <c r="P29758" s="13"/>
    </row>
    <row r="29759">
      <c r="L29759" s="13"/>
      <c r="M29759" s="14"/>
      <c r="N29759" s="14"/>
      <c r="O29759" s="14"/>
      <c r="P29759" s="13"/>
    </row>
    <row r="29760">
      <c r="L29760" s="13"/>
      <c r="M29760" s="14"/>
      <c r="N29760" s="14"/>
      <c r="O29760" s="14"/>
      <c r="P29760" s="13"/>
    </row>
    <row r="29761">
      <c r="L29761" s="13"/>
      <c r="M29761" s="14"/>
      <c r="N29761" s="14"/>
      <c r="O29761" s="14"/>
      <c r="P29761" s="13"/>
    </row>
    <row r="29762">
      <c r="L29762" s="13"/>
      <c r="M29762" s="14"/>
      <c r="N29762" s="14"/>
      <c r="O29762" s="14"/>
      <c r="P29762" s="13"/>
    </row>
    <row r="29763">
      <c r="L29763" s="13"/>
      <c r="M29763" s="14"/>
      <c r="N29763" s="14"/>
      <c r="O29763" s="14"/>
      <c r="P29763" s="13"/>
    </row>
    <row r="29764">
      <c r="L29764" s="13"/>
      <c r="M29764" s="14"/>
      <c r="N29764" s="14"/>
      <c r="O29764" s="14"/>
      <c r="P29764" s="13"/>
    </row>
    <row r="29765">
      <c r="L29765" s="13"/>
      <c r="M29765" s="14"/>
      <c r="N29765" s="14"/>
      <c r="O29765" s="14"/>
      <c r="P29765" s="13"/>
    </row>
    <row r="29766">
      <c r="L29766" s="13"/>
      <c r="M29766" s="14"/>
      <c r="N29766" s="14"/>
      <c r="O29766" s="14"/>
      <c r="P29766" s="13"/>
    </row>
    <row r="29767">
      <c r="L29767" s="13"/>
      <c r="M29767" s="14"/>
      <c r="N29767" s="14"/>
      <c r="O29767" s="14"/>
      <c r="P29767" s="13"/>
    </row>
    <row r="29768">
      <c r="L29768" s="13"/>
      <c r="M29768" s="14"/>
      <c r="N29768" s="14"/>
      <c r="O29768" s="14"/>
      <c r="P29768" s="13"/>
    </row>
    <row r="29769">
      <c r="L29769" s="13"/>
      <c r="M29769" s="14"/>
      <c r="N29769" s="14"/>
      <c r="O29769" s="14"/>
      <c r="P29769" s="13"/>
    </row>
    <row r="29770">
      <c r="L29770" s="13"/>
      <c r="M29770" s="14"/>
      <c r="N29770" s="14"/>
      <c r="O29770" s="14"/>
      <c r="P29770" s="13"/>
    </row>
    <row r="29771">
      <c r="L29771" s="13"/>
      <c r="M29771" s="14"/>
      <c r="N29771" s="14"/>
      <c r="O29771" s="14"/>
      <c r="P29771" s="13"/>
    </row>
    <row r="29772">
      <c r="L29772" s="13"/>
      <c r="M29772" s="14"/>
      <c r="N29772" s="14"/>
      <c r="O29772" s="14"/>
      <c r="P29772" s="13"/>
    </row>
    <row r="29773">
      <c r="L29773" s="13"/>
      <c r="M29773" s="14"/>
      <c r="N29773" s="14"/>
      <c r="O29773" s="14"/>
      <c r="P29773" s="13"/>
    </row>
    <row r="29774">
      <c r="L29774" s="13"/>
      <c r="M29774" s="14"/>
      <c r="N29774" s="14"/>
      <c r="O29774" s="14"/>
      <c r="P29774" s="13"/>
    </row>
    <row r="29775">
      <c r="L29775" s="13"/>
      <c r="M29775" s="14"/>
      <c r="N29775" s="14"/>
      <c r="O29775" s="14"/>
      <c r="P29775" s="13"/>
    </row>
    <row r="29776">
      <c r="L29776" s="13"/>
      <c r="M29776" s="14"/>
      <c r="N29776" s="14"/>
      <c r="O29776" s="14"/>
      <c r="P29776" s="13"/>
    </row>
    <row r="29777">
      <c r="L29777" s="13"/>
      <c r="M29777" s="14"/>
      <c r="N29777" s="14"/>
      <c r="O29777" s="14"/>
      <c r="P29777" s="13"/>
    </row>
    <row r="29778">
      <c r="L29778" s="13"/>
      <c r="M29778" s="14"/>
      <c r="N29778" s="14"/>
      <c r="O29778" s="14"/>
      <c r="P29778" s="13"/>
    </row>
    <row r="29779">
      <c r="L29779" s="13"/>
      <c r="M29779" s="14"/>
      <c r="N29779" s="14"/>
      <c r="O29779" s="14"/>
      <c r="P29779" s="13"/>
    </row>
    <row r="29780">
      <c r="L29780" s="13"/>
      <c r="M29780" s="14"/>
      <c r="N29780" s="14"/>
      <c r="O29780" s="14"/>
      <c r="P29780" s="13"/>
    </row>
    <row r="29781">
      <c r="L29781" s="13"/>
      <c r="M29781" s="14"/>
      <c r="N29781" s="14"/>
      <c r="O29781" s="14"/>
      <c r="P29781" s="13"/>
    </row>
    <row r="29782">
      <c r="L29782" s="13"/>
      <c r="M29782" s="14"/>
      <c r="N29782" s="14"/>
      <c r="O29782" s="14"/>
      <c r="P29782" s="13"/>
    </row>
    <row r="29783">
      <c r="L29783" s="13"/>
      <c r="M29783" s="14"/>
      <c r="N29783" s="14"/>
      <c r="O29783" s="14"/>
      <c r="P29783" s="13"/>
    </row>
    <row r="29784">
      <c r="L29784" s="13"/>
      <c r="M29784" s="14"/>
      <c r="N29784" s="14"/>
      <c r="O29784" s="14"/>
      <c r="P29784" s="13"/>
    </row>
    <row r="29785">
      <c r="L29785" s="13"/>
      <c r="M29785" s="14"/>
      <c r="N29785" s="14"/>
      <c r="O29785" s="14"/>
      <c r="P29785" s="13"/>
    </row>
    <row r="29786">
      <c r="L29786" s="13"/>
      <c r="M29786" s="14"/>
      <c r="N29786" s="14"/>
      <c r="O29786" s="14"/>
      <c r="P29786" s="13"/>
    </row>
    <row r="29787">
      <c r="L29787" s="13"/>
      <c r="M29787" s="14"/>
      <c r="N29787" s="14"/>
      <c r="O29787" s="14"/>
      <c r="P29787" s="13"/>
    </row>
    <row r="29788">
      <c r="L29788" s="13"/>
      <c r="M29788" s="14"/>
      <c r="N29788" s="14"/>
      <c r="O29788" s="14"/>
      <c r="P29788" s="13"/>
    </row>
    <row r="29789">
      <c r="L29789" s="13"/>
      <c r="M29789" s="14"/>
      <c r="N29789" s="14"/>
      <c r="O29789" s="14"/>
      <c r="P29789" s="13"/>
    </row>
    <row r="29790">
      <c r="L29790" s="13"/>
      <c r="M29790" s="14"/>
      <c r="N29790" s="14"/>
      <c r="O29790" s="14"/>
      <c r="P29790" s="13"/>
    </row>
    <row r="29791">
      <c r="L29791" s="13"/>
      <c r="M29791" s="14"/>
      <c r="N29791" s="14"/>
      <c r="O29791" s="14"/>
      <c r="P29791" s="13"/>
    </row>
    <row r="29792">
      <c r="L29792" s="13"/>
      <c r="M29792" s="14"/>
      <c r="N29792" s="14"/>
      <c r="O29792" s="14"/>
      <c r="P29792" s="13"/>
    </row>
    <row r="29793">
      <c r="L29793" s="13"/>
      <c r="M29793" s="14"/>
      <c r="N29793" s="14"/>
      <c r="O29793" s="14"/>
      <c r="P29793" s="13"/>
    </row>
    <row r="29794">
      <c r="L29794" s="13"/>
      <c r="M29794" s="14"/>
      <c r="N29794" s="14"/>
      <c r="O29794" s="14"/>
      <c r="P29794" s="13"/>
    </row>
    <row r="29795">
      <c r="L29795" s="13"/>
      <c r="M29795" s="14"/>
      <c r="N29795" s="14"/>
      <c r="O29795" s="14"/>
      <c r="P29795" s="13"/>
    </row>
    <row r="29796">
      <c r="L29796" s="13"/>
      <c r="M29796" s="14"/>
      <c r="N29796" s="14"/>
      <c r="O29796" s="14"/>
      <c r="P29796" s="13"/>
    </row>
    <row r="29797">
      <c r="L29797" s="13"/>
      <c r="M29797" s="14"/>
      <c r="N29797" s="14"/>
      <c r="O29797" s="14"/>
      <c r="P29797" s="13"/>
    </row>
    <row r="29798">
      <c r="L29798" s="13"/>
      <c r="M29798" s="14"/>
      <c r="N29798" s="14"/>
      <c r="O29798" s="14"/>
      <c r="P29798" s="13"/>
    </row>
    <row r="29799">
      <c r="L29799" s="13"/>
      <c r="M29799" s="14"/>
      <c r="N29799" s="14"/>
      <c r="O29799" s="14"/>
      <c r="P29799" s="13"/>
    </row>
    <row r="29800">
      <c r="L29800" s="13"/>
      <c r="M29800" s="14"/>
      <c r="N29800" s="14"/>
      <c r="O29800" s="14"/>
      <c r="P29800" s="13"/>
    </row>
    <row r="29801">
      <c r="L29801" s="13"/>
      <c r="M29801" s="14"/>
      <c r="N29801" s="14"/>
      <c r="O29801" s="14"/>
      <c r="P29801" s="13"/>
    </row>
    <row r="29802">
      <c r="L29802" s="13"/>
      <c r="M29802" s="14"/>
      <c r="N29802" s="14"/>
      <c r="O29802" s="14"/>
      <c r="P29802" s="13"/>
    </row>
    <row r="29803">
      <c r="L29803" s="13"/>
      <c r="M29803" s="14"/>
      <c r="N29803" s="14"/>
      <c r="O29803" s="14"/>
      <c r="P29803" s="13"/>
    </row>
    <row r="29804">
      <c r="L29804" s="13"/>
      <c r="M29804" s="14"/>
      <c r="N29804" s="14"/>
      <c r="O29804" s="14"/>
      <c r="P29804" s="13"/>
    </row>
    <row r="29805">
      <c r="L29805" s="13"/>
      <c r="M29805" s="14"/>
      <c r="N29805" s="14"/>
      <c r="O29805" s="14"/>
      <c r="P29805" s="13"/>
    </row>
    <row r="29806">
      <c r="L29806" s="13"/>
      <c r="M29806" s="14"/>
      <c r="N29806" s="14"/>
      <c r="O29806" s="14"/>
      <c r="P29806" s="13"/>
    </row>
    <row r="29807">
      <c r="L29807" s="13"/>
      <c r="M29807" s="14"/>
      <c r="N29807" s="14"/>
      <c r="O29807" s="14"/>
      <c r="P29807" s="13"/>
    </row>
    <row r="29808">
      <c r="L29808" s="13"/>
      <c r="M29808" s="14"/>
      <c r="N29808" s="14"/>
      <c r="O29808" s="14"/>
      <c r="P29808" s="13"/>
    </row>
    <row r="29809">
      <c r="L29809" s="13"/>
      <c r="M29809" s="14"/>
      <c r="N29809" s="14"/>
      <c r="O29809" s="14"/>
      <c r="P29809" s="13"/>
    </row>
    <row r="29810">
      <c r="L29810" s="13"/>
      <c r="M29810" s="14"/>
      <c r="N29810" s="14"/>
      <c r="O29810" s="14"/>
      <c r="P29810" s="13"/>
    </row>
    <row r="29811">
      <c r="L29811" s="13"/>
      <c r="M29811" s="14"/>
      <c r="N29811" s="14"/>
      <c r="O29811" s="14"/>
      <c r="P29811" s="13"/>
    </row>
    <row r="29812">
      <c r="L29812" s="13"/>
      <c r="M29812" s="14"/>
      <c r="N29812" s="14"/>
      <c r="O29812" s="14"/>
      <c r="P29812" s="13"/>
    </row>
    <row r="29813">
      <c r="L29813" s="13"/>
      <c r="M29813" s="14"/>
      <c r="N29813" s="14"/>
      <c r="O29813" s="14"/>
      <c r="P29813" s="13"/>
    </row>
    <row r="29814">
      <c r="L29814" s="13"/>
      <c r="M29814" s="14"/>
      <c r="N29814" s="14"/>
      <c r="O29814" s="14"/>
      <c r="P29814" s="13"/>
    </row>
    <row r="29815">
      <c r="L29815" s="13"/>
      <c r="M29815" s="14"/>
      <c r="N29815" s="14"/>
      <c r="O29815" s="14"/>
      <c r="P29815" s="13"/>
    </row>
    <row r="29816">
      <c r="L29816" s="13"/>
      <c r="M29816" s="14"/>
      <c r="N29816" s="14"/>
      <c r="O29816" s="14"/>
      <c r="P29816" s="13"/>
    </row>
    <row r="29817">
      <c r="L29817" s="13"/>
      <c r="M29817" s="14"/>
      <c r="N29817" s="14"/>
      <c r="O29817" s="14"/>
      <c r="P29817" s="13"/>
    </row>
    <row r="29818">
      <c r="L29818" s="13"/>
      <c r="M29818" s="14"/>
      <c r="N29818" s="14"/>
      <c r="O29818" s="14"/>
      <c r="P29818" s="13"/>
    </row>
    <row r="29819">
      <c r="L29819" s="13"/>
      <c r="M29819" s="14"/>
      <c r="N29819" s="14"/>
      <c r="O29819" s="14"/>
      <c r="P29819" s="13"/>
    </row>
    <row r="29820">
      <c r="L29820" s="13"/>
      <c r="M29820" s="14"/>
      <c r="N29820" s="14"/>
      <c r="O29820" s="14"/>
      <c r="P29820" s="13"/>
    </row>
    <row r="29821">
      <c r="L29821" s="13"/>
      <c r="M29821" s="14"/>
      <c r="N29821" s="14"/>
      <c r="O29821" s="14"/>
      <c r="P29821" s="13"/>
    </row>
    <row r="29822">
      <c r="L29822" s="13"/>
      <c r="M29822" s="14"/>
      <c r="N29822" s="14"/>
      <c r="O29822" s="14"/>
      <c r="P29822" s="13"/>
    </row>
    <row r="29823">
      <c r="L29823" s="13"/>
      <c r="M29823" s="14"/>
      <c r="N29823" s="14"/>
      <c r="O29823" s="14"/>
      <c r="P29823" s="13"/>
    </row>
    <row r="29824">
      <c r="L29824" s="13"/>
      <c r="M29824" s="14"/>
      <c r="N29824" s="14"/>
      <c r="O29824" s="14"/>
      <c r="P29824" s="13"/>
    </row>
    <row r="29825">
      <c r="L29825" s="13"/>
      <c r="M29825" s="14"/>
      <c r="N29825" s="14"/>
      <c r="O29825" s="14"/>
      <c r="P29825" s="13"/>
    </row>
    <row r="29826">
      <c r="L29826" s="13"/>
      <c r="M29826" s="14"/>
      <c r="N29826" s="14"/>
      <c r="O29826" s="14"/>
      <c r="P29826" s="13"/>
    </row>
    <row r="29827">
      <c r="L29827" s="13"/>
      <c r="M29827" s="14"/>
      <c r="N29827" s="14"/>
      <c r="O29827" s="14"/>
      <c r="P29827" s="13"/>
    </row>
    <row r="29828">
      <c r="L29828" s="13"/>
      <c r="M29828" s="14"/>
      <c r="N29828" s="14"/>
      <c r="O29828" s="14"/>
      <c r="P29828" s="13"/>
    </row>
    <row r="29829">
      <c r="L29829" s="13"/>
      <c r="M29829" s="14"/>
      <c r="N29829" s="14"/>
      <c r="O29829" s="14"/>
      <c r="P29829" s="13"/>
    </row>
    <row r="29830">
      <c r="L29830" s="13"/>
      <c r="M29830" s="14"/>
      <c r="N29830" s="14"/>
      <c r="O29830" s="14"/>
      <c r="P29830" s="13"/>
    </row>
    <row r="29831">
      <c r="L29831" s="13"/>
      <c r="M29831" s="14"/>
      <c r="N29831" s="14"/>
      <c r="O29831" s="14"/>
      <c r="P29831" s="13"/>
    </row>
    <row r="29832">
      <c r="L29832" s="13"/>
      <c r="M29832" s="14"/>
      <c r="N29832" s="14"/>
      <c r="O29832" s="14"/>
      <c r="P29832" s="13"/>
    </row>
    <row r="29833">
      <c r="L29833" s="13"/>
      <c r="M29833" s="14"/>
      <c r="N29833" s="14"/>
      <c r="O29833" s="14"/>
      <c r="P29833" s="13"/>
    </row>
    <row r="29834">
      <c r="L29834" s="13"/>
      <c r="M29834" s="14"/>
      <c r="N29834" s="14"/>
      <c r="O29834" s="14"/>
      <c r="P29834" s="13"/>
    </row>
    <row r="29835">
      <c r="L29835" s="13"/>
      <c r="M29835" s="14"/>
      <c r="N29835" s="14"/>
      <c r="O29835" s="14"/>
      <c r="P29835" s="13"/>
    </row>
    <row r="29836">
      <c r="L29836" s="13"/>
      <c r="M29836" s="14"/>
      <c r="N29836" s="14"/>
      <c r="O29836" s="14"/>
      <c r="P29836" s="13"/>
    </row>
    <row r="29837">
      <c r="L29837" s="13"/>
      <c r="M29837" s="14"/>
      <c r="N29837" s="14"/>
      <c r="O29837" s="14"/>
      <c r="P29837" s="13"/>
    </row>
    <row r="29838">
      <c r="L29838" s="13"/>
      <c r="M29838" s="14"/>
      <c r="N29838" s="14"/>
      <c r="O29838" s="14"/>
      <c r="P29838" s="13"/>
    </row>
    <row r="29839">
      <c r="L29839" s="13"/>
      <c r="M29839" s="14"/>
      <c r="N29839" s="14"/>
      <c r="O29839" s="14"/>
      <c r="P29839" s="13"/>
    </row>
    <row r="29840">
      <c r="L29840" s="13"/>
      <c r="M29840" s="14"/>
      <c r="N29840" s="14"/>
      <c r="O29840" s="14"/>
      <c r="P29840" s="13"/>
    </row>
    <row r="29841">
      <c r="L29841" s="13"/>
      <c r="M29841" s="14"/>
      <c r="N29841" s="14"/>
      <c r="O29841" s="14"/>
      <c r="P29841" s="13"/>
    </row>
    <row r="29842">
      <c r="L29842" s="13"/>
      <c r="M29842" s="14"/>
      <c r="N29842" s="14"/>
      <c r="O29842" s="14"/>
      <c r="P29842" s="13"/>
    </row>
    <row r="29843">
      <c r="L29843" s="13"/>
      <c r="M29843" s="14"/>
      <c r="N29843" s="14"/>
      <c r="O29843" s="14"/>
      <c r="P29843" s="13"/>
    </row>
    <row r="29844">
      <c r="L29844" s="13"/>
      <c r="M29844" s="14"/>
      <c r="N29844" s="14"/>
      <c r="O29844" s="14"/>
      <c r="P29844" s="13"/>
    </row>
    <row r="29845">
      <c r="L29845" s="13"/>
      <c r="M29845" s="14"/>
      <c r="N29845" s="14"/>
      <c r="O29845" s="14"/>
      <c r="P29845" s="13"/>
    </row>
    <row r="29846">
      <c r="L29846" s="13"/>
      <c r="M29846" s="14"/>
      <c r="N29846" s="14"/>
      <c r="O29846" s="14"/>
      <c r="P29846" s="13"/>
    </row>
    <row r="29847">
      <c r="L29847" s="13"/>
      <c r="M29847" s="14"/>
      <c r="N29847" s="14"/>
      <c r="O29847" s="14"/>
      <c r="P29847" s="13"/>
    </row>
    <row r="29848">
      <c r="L29848" s="13"/>
      <c r="M29848" s="14"/>
      <c r="N29848" s="14"/>
      <c r="O29848" s="14"/>
      <c r="P29848" s="13"/>
    </row>
    <row r="29849">
      <c r="L29849" s="13"/>
      <c r="M29849" s="14"/>
      <c r="N29849" s="14"/>
      <c r="O29849" s="14"/>
      <c r="P29849" s="13"/>
    </row>
    <row r="29850">
      <c r="L29850" s="13"/>
      <c r="M29850" s="14"/>
      <c r="N29850" s="14"/>
      <c r="O29850" s="14"/>
      <c r="P29850" s="13"/>
    </row>
    <row r="29851">
      <c r="L29851" s="13"/>
      <c r="M29851" s="14"/>
      <c r="N29851" s="14"/>
      <c r="O29851" s="14"/>
      <c r="P29851" s="13"/>
    </row>
    <row r="29852">
      <c r="L29852" s="13"/>
      <c r="M29852" s="14"/>
      <c r="N29852" s="14"/>
      <c r="O29852" s="14"/>
      <c r="P29852" s="13"/>
    </row>
    <row r="29853">
      <c r="L29853" s="13"/>
      <c r="M29853" s="14"/>
      <c r="N29853" s="14"/>
      <c r="O29853" s="14"/>
      <c r="P29853" s="13"/>
    </row>
    <row r="29854">
      <c r="L29854" s="13"/>
      <c r="M29854" s="14"/>
      <c r="N29854" s="14"/>
      <c r="O29854" s="14"/>
      <c r="P29854" s="13"/>
    </row>
    <row r="29855">
      <c r="L29855" s="13"/>
      <c r="M29855" s="14"/>
      <c r="N29855" s="14"/>
      <c r="O29855" s="14"/>
      <c r="P29855" s="13"/>
    </row>
    <row r="29856">
      <c r="L29856" s="13"/>
      <c r="M29856" s="14"/>
      <c r="N29856" s="14"/>
      <c r="O29856" s="14"/>
      <c r="P29856" s="13"/>
    </row>
    <row r="29857">
      <c r="L29857" s="13"/>
      <c r="M29857" s="14"/>
      <c r="N29857" s="14"/>
      <c r="O29857" s="14"/>
      <c r="P29857" s="13"/>
    </row>
    <row r="29858">
      <c r="L29858" s="13"/>
      <c r="M29858" s="14"/>
      <c r="N29858" s="14"/>
      <c r="O29858" s="14"/>
      <c r="P29858" s="13"/>
    </row>
    <row r="29859">
      <c r="L29859" s="13"/>
      <c r="M29859" s="14"/>
      <c r="N29859" s="14"/>
      <c r="O29859" s="14"/>
      <c r="P29859" s="13"/>
    </row>
    <row r="29860">
      <c r="L29860" s="13"/>
      <c r="M29860" s="14"/>
      <c r="N29860" s="14"/>
      <c r="O29860" s="14"/>
      <c r="P29860" s="13"/>
    </row>
    <row r="29861">
      <c r="L29861" s="13"/>
      <c r="M29861" s="14"/>
      <c r="N29861" s="14"/>
      <c r="O29861" s="14"/>
      <c r="P29861" s="13"/>
    </row>
    <row r="29862">
      <c r="L29862" s="13"/>
      <c r="M29862" s="14"/>
      <c r="N29862" s="14"/>
      <c r="O29862" s="14"/>
      <c r="P29862" s="13"/>
    </row>
    <row r="29863">
      <c r="L29863" s="13"/>
      <c r="M29863" s="14"/>
      <c r="N29863" s="14"/>
      <c r="O29863" s="14"/>
      <c r="P29863" s="13"/>
    </row>
    <row r="29864">
      <c r="L29864" s="13"/>
      <c r="M29864" s="14"/>
      <c r="N29864" s="14"/>
      <c r="O29864" s="14"/>
      <c r="P29864" s="13"/>
    </row>
    <row r="29865">
      <c r="L29865" s="13"/>
      <c r="M29865" s="14"/>
      <c r="N29865" s="14"/>
      <c r="O29865" s="14"/>
      <c r="P29865" s="13"/>
    </row>
    <row r="29866">
      <c r="L29866" s="13"/>
      <c r="M29866" s="14"/>
      <c r="N29866" s="14"/>
      <c r="O29866" s="14"/>
      <c r="P29866" s="13"/>
    </row>
    <row r="29867">
      <c r="L29867" s="13"/>
      <c r="M29867" s="14"/>
      <c r="N29867" s="14"/>
      <c r="O29867" s="14"/>
      <c r="P29867" s="13"/>
    </row>
    <row r="29868">
      <c r="L29868" s="13"/>
      <c r="M29868" s="14"/>
      <c r="N29868" s="14"/>
      <c r="O29868" s="14"/>
      <c r="P29868" s="13"/>
    </row>
    <row r="29869">
      <c r="L29869" s="13"/>
      <c r="M29869" s="14"/>
      <c r="N29869" s="14"/>
      <c r="O29869" s="14"/>
      <c r="P29869" s="13"/>
    </row>
    <row r="29870">
      <c r="L29870" s="13"/>
      <c r="M29870" s="14"/>
      <c r="N29870" s="14"/>
      <c r="O29870" s="14"/>
      <c r="P29870" s="13"/>
    </row>
    <row r="29871">
      <c r="L29871" s="13"/>
      <c r="M29871" s="14"/>
      <c r="N29871" s="14"/>
      <c r="O29871" s="14"/>
      <c r="P29871" s="13"/>
    </row>
    <row r="29872">
      <c r="L29872" s="13"/>
      <c r="M29872" s="14"/>
      <c r="N29872" s="14"/>
      <c r="O29872" s="14"/>
      <c r="P29872" s="13"/>
    </row>
    <row r="29873">
      <c r="L29873" s="13"/>
      <c r="M29873" s="14"/>
      <c r="N29873" s="14"/>
      <c r="O29873" s="14"/>
      <c r="P29873" s="13"/>
    </row>
    <row r="29874">
      <c r="L29874" s="13"/>
      <c r="M29874" s="14"/>
      <c r="N29874" s="14"/>
      <c r="O29874" s="14"/>
      <c r="P29874" s="13"/>
    </row>
    <row r="29875">
      <c r="L29875" s="13"/>
      <c r="M29875" s="14"/>
      <c r="N29875" s="14"/>
      <c r="O29875" s="14"/>
      <c r="P29875" s="13"/>
    </row>
    <row r="29876">
      <c r="L29876" s="13"/>
      <c r="M29876" s="14"/>
      <c r="N29876" s="14"/>
      <c r="O29876" s="14"/>
      <c r="P29876" s="13"/>
    </row>
    <row r="29877">
      <c r="L29877" s="13"/>
      <c r="M29877" s="14"/>
      <c r="N29877" s="14"/>
      <c r="O29877" s="14"/>
      <c r="P29877" s="13"/>
    </row>
    <row r="29878">
      <c r="L29878" s="13"/>
      <c r="M29878" s="14"/>
      <c r="N29878" s="14"/>
      <c r="O29878" s="14"/>
      <c r="P29878" s="13"/>
    </row>
    <row r="29879">
      <c r="L29879" s="13"/>
      <c r="M29879" s="14"/>
      <c r="N29879" s="14"/>
      <c r="O29879" s="14"/>
      <c r="P29879" s="13"/>
    </row>
    <row r="29880">
      <c r="L29880" s="13"/>
      <c r="M29880" s="14"/>
      <c r="N29880" s="14"/>
      <c r="O29880" s="14"/>
      <c r="P29880" s="13"/>
    </row>
    <row r="29881">
      <c r="L29881" s="13"/>
      <c r="M29881" s="14"/>
      <c r="N29881" s="14"/>
      <c r="O29881" s="14"/>
      <c r="P29881" s="13"/>
    </row>
    <row r="29882">
      <c r="L29882" s="13"/>
      <c r="M29882" s="14"/>
      <c r="N29882" s="14"/>
      <c r="O29882" s="14"/>
      <c r="P29882" s="13"/>
    </row>
    <row r="29883">
      <c r="L29883" s="13"/>
      <c r="M29883" s="14"/>
      <c r="N29883" s="14"/>
      <c r="O29883" s="14"/>
      <c r="P29883" s="13"/>
    </row>
    <row r="29884">
      <c r="L29884" s="13"/>
      <c r="M29884" s="14"/>
      <c r="N29884" s="14"/>
      <c r="O29884" s="14"/>
      <c r="P29884" s="13"/>
    </row>
    <row r="29885">
      <c r="L29885" s="13"/>
      <c r="M29885" s="14"/>
      <c r="N29885" s="14"/>
      <c r="O29885" s="14"/>
      <c r="P29885" s="13"/>
    </row>
    <row r="29886">
      <c r="L29886" s="13"/>
      <c r="M29886" s="14"/>
      <c r="N29886" s="14"/>
      <c r="O29886" s="14"/>
      <c r="P29886" s="13"/>
    </row>
    <row r="29887">
      <c r="L29887" s="13"/>
      <c r="M29887" s="14"/>
      <c r="N29887" s="14"/>
      <c r="O29887" s="14"/>
      <c r="P29887" s="13"/>
    </row>
    <row r="29888">
      <c r="L29888" s="13"/>
      <c r="M29888" s="14"/>
      <c r="N29888" s="14"/>
      <c r="O29888" s="14"/>
      <c r="P29888" s="13"/>
    </row>
    <row r="29889">
      <c r="L29889" s="13"/>
      <c r="M29889" s="14"/>
      <c r="N29889" s="14"/>
      <c r="O29889" s="14"/>
      <c r="P29889" s="13"/>
    </row>
    <row r="29890">
      <c r="L29890" s="13"/>
      <c r="M29890" s="14"/>
      <c r="N29890" s="14"/>
      <c r="O29890" s="14"/>
      <c r="P29890" s="13"/>
    </row>
    <row r="29891">
      <c r="L29891" s="13"/>
      <c r="M29891" s="14"/>
      <c r="N29891" s="14"/>
      <c r="O29891" s="14"/>
      <c r="P29891" s="13"/>
    </row>
    <row r="29892">
      <c r="L29892" s="13"/>
      <c r="M29892" s="14"/>
      <c r="N29892" s="14"/>
      <c r="O29892" s="14"/>
      <c r="P29892" s="13"/>
    </row>
    <row r="29893">
      <c r="L29893" s="13"/>
      <c r="M29893" s="14"/>
      <c r="N29893" s="14"/>
      <c r="O29893" s="14"/>
      <c r="P29893" s="13"/>
    </row>
    <row r="29894">
      <c r="L29894" s="13"/>
      <c r="M29894" s="14"/>
      <c r="N29894" s="14"/>
      <c r="O29894" s="14"/>
      <c r="P29894" s="13"/>
    </row>
    <row r="29895">
      <c r="L29895" s="13"/>
      <c r="M29895" s="14"/>
      <c r="N29895" s="14"/>
      <c r="O29895" s="14"/>
      <c r="P29895" s="13"/>
    </row>
    <row r="29896">
      <c r="L29896" s="13"/>
      <c r="M29896" s="14"/>
      <c r="N29896" s="14"/>
      <c r="O29896" s="14"/>
      <c r="P29896" s="13"/>
    </row>
    <row r="29897">
      <c r="L29897" s="13"/>
      <c r="M29897" s="14"/>
      <c r="N29897" s="14"/>
      <c r="O29897" s="14"/>
      <c r="P29897" s="13"/>
    </row>
    <row r="29898">
      <c r="L29898" s="13"/>
      <c r="M29898" s="14"/>
      <c r="N29898" s="14"/>
      <c r="O29898" s="14"/>
      <c r="P29898" s="13"/>
    </row>
    <row r="29899">
      <c r="L29899" s="13"/>
      <c r="M29899" s="14"/>
      <c r="N29899" s="14"/>
      <c r="O29899" s="14"/>
      <c r="P29899" s="13"/>
    </row>
    <row r="29900">
      <c r="L29900" s="13"/>
      <c r="M29900" s="14"/>
      <c r="N29900" s="14"/>
      <c r="O29900" s="14"/>
      <c r="P29900" s="13"/>
    </row>
    <row r="29901">
      <c r="L29901" s="13"/>
      <c r="M29901" s="14"/>
      <c r="N29901" s="14"/>
      <c r="O29901" s="14"/>
      <c r="P29901" s="13"/>
    </row>
    <row r="29902">
      <c r="L29902" s="13"/>
      <c r="M29902" s="14"/>
      <c r="N29902" s="14"/>
      <c r="O29902" s="14"/>
      <c r="P29902" s="13"/>
    </row>
    <row r="29903">
      <c r="L29903" s="13"/>
      <c r="M29903" s="14"/>
      <c r="N29903" s="14"/>
      <c r="O29903" s="14"/>
      <c r="P29903" s="13"/>
    </row>
    <row r="29904">
      <c r="L29904" s="13"/>
      <c r="M29904" s="14"/>
      <c r="N29904" s="14"/>
      <c r="O29904" s="14"/>
      <c r="P29904" s="13"/>
    </row>
    <row r="29905">
      <c r="L29905" s="13"/>
      <c r="M29905" s="14"/>
      <c r="N29905" s="14"/>
      <c r="O29905" s="14"/>
      <c r="P29905" s="13"/>
    </row>
    <row r="29906">
      <c r="L29906" s="13"/>
      <c r="M29906" s="14"/>
      <c r="N29906" s="14"/>
      <c r="O29906" s="14"/>
      <c r="P29906" s="13"/>
    </row>
    <row r="29907">
      <c r="L29907" s="13"/>
      <c r="M29907" s="14"/>
      <c r="N29907" s="14"/>
      <c r="O29907" s="14"/>
      <c r="P29907" s="13"/>
    </row>
    <row r="29908">
      <c r="L29908" s="13"/>
      <c r="M29908" s="14"/>
      <c r="N29908" s="14"/>
      <c r="O29908" s="14"/>
      <c r="P29908" s="13"/>
    </row>
    <row r="29909">
      <c r="L29909" s="13"/>
      <c r="M29909" s="14"/>
      <c r="N29909" s="14"/>
      <c r="O29909" s="14"/>
      <c r="P29909" s="13"/>
    </row>
    <row r="29910">
      <c r="L29910" s="13"/>
      <c r="M29910" s="14"/>
      <c r="N29910" s="14"/>
      <c r="O29910" s="14"/>
      <c r="P29910" s="13"/>
    </row>
    <row r="29911">
      <c r="L29911" s="13"/>
      <c r="M29911" s="14"/>
      <c r="N29911" s="14"/>
      <c r="O29911" s="14"/>
      <c r="P29911" s="13"/>
    </row>
    <row r="29912">
      <c r="L29912" s="13"/>
      <c r="M29912" s="14"/>
      <c r="N29912" s="14"/>
      <c r="O29912" s="14"/>
      <c r="P29912" s="13"/>
    </row>
    <row r="29913">
      <c r="L29913" s="13"/>
      <c r="M29913" s="14"/>
      <c r="N29913" s="14"/>
      <c r="O29913" s="14"/>
      <c r="P29913" s="13"/>
    </row>
    <row r="29914">
      <c r="L29914" s="13"/>
      <c r="M29914" s="14"/>
      <c r="N29914" s="14"/>
      <c r="O29914" s="14"/>
      <c r="P29914" s="13"/>
    </row>
    <row r="29915">
      <c r="L29915" s="13"/>
      <c r="M29915" s="14"/>
      <c r="N29915" s="14"/>
      <c r="O29915" s="14"/>
      <c r="P29915" s="13"/>
    </row>
    <row r="29916">
      <c r="L29916" s="13"/>
      <c r="M29916" s="14"/>
      <c r="N29916" s="14"/>
      <c r="O29916" s="14"/>
      <c r="P29916" s="13"/>
    </row>
    <row r="29917">
      <c r="L29917" s="13"/>
      <c r="M29917" s="14"/>
      <c r="N29917" s="14"/>
      <c r="O29917" s="14"/>
      <c r="P29917" s="13"/>
    </row>
    <row r="29918">
      <c r="L29918" s="13"/>
      <c r="M29918" s="14"/>
      <c r="N29918" s="14"/>
      <c r="O29918" s="14"/>
      <c r="P29918" s="13"/>
    </row>
    <row r="29919">
      <c r="L29919" s="13"/>
      <c r="M29919" s="14"/>
      <c r="N29919" s="14"/>
      <c r="O29919" s="14"/>
      <c r="P29919" s="13"/>
    </row>
    <row r="29920">
      <c r="L29920" s="13"/>
      <c r="M29920" s="14"/>
      <c r="N29920" s="14"/>
      <c r="O29920" s="14"/>
      <c r="P29920" s="13"/>
    </row>
    <row r="29921">
      <c r="L29921" s="13"/>
      <c r="M29921" s="14"/>
      <c r="N29921" s="14"/>
      <c r="O29921" s="14"/>
      <c r="P29921" s="13"/>
    </row>
    <row r="29922">
      <c r="L29922" s="13"/>
      <c r="M29922" s="14"/>
      <c r="N29922" s="14"/>
      <c r="O29922" s="14"/>
      <c r="P29922" s="13"/>
    </row>
    <row r="29923">
      <c r="L29923" s="13"/>
      <c r="M29923" s="14"/>
      <c r="N29923" s="14"/>
      <c r="O29923" s="14"/>
      <c r="P29923" s="13"/>
    </row>
    <row r="29924">
      <c r="L29924" s="13"/>
      <c r="M29924" s="14"/>
      <c r="N29924" s="14"/>
      <c r="O29924" s="14"/>
      <c r="P29924" s="13"/>
    </row>
    <row r="29925">
      <c r="L29925" s="13"/>
      <c r="M29925" s="14"/>
      <c r="N29925" s="14"/>
      <c r="O29925" s="14"/>
      <c r="P29925" s="13"/>
    </row>
    <row r="29926">
      <c r="L29926" s="13"/>
      <c r="M29926" s="14"/>
      <c r="N29926" s="14"/>
      <c r="O29926" s="14"/>
      <c r="P29926" s="13"/>
    </row>
    <row r="29927">
      <c r="L29927" s="13"/>
      <c r="M29927" s="14"/>
      <c r="N29927" s="14"/>
      <c r="O29927" s="14"/>
      <c r="P29927" s="13"/>
    </row>
    <row r="29928">
      <c r="L29928" s="13"/>
      <c r="M29928" s="14"/>
      <c r="N29928" s="14"/>
      <c r="O29928" s="14"/>
      <c r="P29928" s="13"/>
    </row>
    <row r="29929">
      <c r="L29929" s="13"/>
      <c r="M29929" s="14"/>
      <c r="N29929" s="14"/>
      <c r="O29929" s="14"/>
      <c r="P29929" s="13"/>
    </row>
    <row r="29930">
      <c r="L29930" s="13"/>
      <c r="M29930" s="14"/>
      <c r="N29930" s="14"/>
      <c r="O29930" s="14"/>
      <c r="P29930" s="13"/>
    </row>
    <row r="29931">
      <c r="L29931" s="13"/>
      <c r="M29931" s="14"/>
      <c r="N29931" s="14"/>
      <c r="O29931" s="14"/>
      <c r="P29931" s="13"/>
    </row>
    <row r="29932">
      <c r="L29932" s="13"/>
      <c r="M29932" s="14"/>
      <c r="N29932" s="14"/>
      <c r="O29932" s="14"/>
      <c r="P29932" s="13"/>
    </row>
    <row r="29933">
      <c r="L29933" s="13"/>
      <c r="M29933" s="14"/>
      <c r="N29933" s="14"/>
      <c r="O29933" s="14"/>
      <c r="P29933" s="13"/>
    </row>
    <row r="29934">
      <c r="L29934" s="13"/>
      <c r="M29934" s="14"/>
      <c r="N29934" s="14"/>
      <c r="O29934" s="14"/>
      <c r="P29934" s="13"/>
    </row>
    <row r="29935">
      <c r="L29935" s="13"/>
      <c r="M29935" s="14"/>
      <c r="N29935" s="14"/>
      <c r="O29935" s="14"/>
      <c r="P29935" s="13"/>
    </row>
    <row r="29936">
      <c r="L29936" s="13"/>
      <c r="M29936" s="14"/>
      <c r="N29936" s="14"/>
      <c r="O29936" s="14"/>
      <c r="P29936" s="13"/>
    </row>
    <row r="29937">
      <c r="L29937" s="13"/>
      <c r="M29937" s="14"/>
      <c r="N29937" s="14"/>
      <c r="O29937" s="14"/>
      <c r="P29937" s="13"/>
    </row>
    <row r="29938">
      <c r="L29938" s="13"/>
      <c r="M29938" s="14"/>
      <c r="N29938" s="14"/>
      <c r="O29938" s="14"/>
      <c r="P29938" s="13"/>
    </row>
    <row r="29939">
      <c r="L29939" s="13"/>
      <c r="M29939" s="14"/>
      <c r="N29939" s="14"/>
      <c r="O29939" s="14"/>
      <c r="P29939" s="13"/>
    </row>
    <row r="29940">
      <c r="L29940" s="13"/>
      <c r="M29940" s="14"/>
      <c r="N29940" s="14"/>
      <c r="O29940" s="14"/>
      <c r="P29940" s="13"/>
    </row>
    <row r="29941">
      <c r="L29941" s="13"/>
      <c r="M29941" s="14"/>
      <c r="N29941" s="14"/>
      <c r="O29941" s="14"/>
      <c r="P29941" s="13"/>
    </row>
    <row r="29942">
      <c r="L29942" s="13"/>
      <c r="M29942" s="14"/>
      <c r="N29942" s="14"/>
      <c r="O29942" s="14"/>
      <c r="P29942" s="13"/>
    </row>
    <row r="29943">
      <c r="L29943" s="13"/>
      <c r="M29943" s="14"/>
      <c r="N29943" s="14"/>
      <c r="O29943" s="14"/>
      <c r="P29943" s="13"/>
    </row>
    <row r="29944">
      <c r="L29944" s="13"/>
      <c r="M29944" s="14"/>
      <c r="N29944" s="14"/>
      <c r="O29944" s="14"/>
      <c r="P29944" s="13"/>
    </row>
    <row r="29945">
      <c r="L29945" s="13"/>
      <c r="M29945" s="14"/>
      <c r="N29945" s="14"/>
      <c r="O29945" s="14"/>
      <c r="P29945" s="13"/>
    </row>
    <row r="29946">
      <c r="L29946" s="13"/>
      <c r="M29946" s="14"/>
      <c r="N29946" s="14"/>
      <c r="O29946" s="14"/>
      <c r="P29946" s="13"/>
    </row>
    <row r="29947">
      <c r="L29947" s="13"/>
      <c r="M29947" s="14"/>
      <c r="N29947" s="14"/>
      <c r="O29947" s="14"/>
      <c r="P29947" s="13"/>
    </row>
    <row r="29948">
      <c r="L29948" s="13"/>
      <c r="M29948" s="14"/>
      <c r="N29948" s="14"/>
      <c r="O29948" s="14"/>
      <c r="P29948" s="13"/>
    </row>
    <row r="29949">
      <c r="L29949" s="13"/>
      <c r="M29949" s="14"/>
      <c r="N29949" s="14"/>
      <c r="O29949" s="14"/>
      <c r="P29949" s="13"/>
    </row>
    <row r="29950">
      <c r="L29950" s="13"/>
      <c r="M29950" s="14"/>
      <c r="N29950" s="14"/>
      <c r="O29950" s="14"/>
      <c r="P29950" s="13"/>
    </row>
    <row r="29951">
      <c r="L29951" s="13"/>
      <c r="M29951" s="14"/>
      <c r="N29951" s="14"/>
      <c r="O29951" s="14"/>
      <c r="P29951" s="13"/>
    </row>
    <row r="29952">
      <c r="L29952" s="13"/>
      <c r="M29952" s="14"/>
      <c r="N29952" s="14"/>
      <c r="O29952" s="14"/>
      <c r="P29952" s="13"/>
    </row>
    <row r="29953">
      <c r="L29953" s="13"/>
      <c r="M29953" s="14"/>
      <c r="N29953" s="14"/>
      <c r="O29953" s="14"/>
      <c r="P29953" s="13"/>
    </row>
    <row r="29954">
      <c r="L29954" s="13"/>
      <c r="M29954" s="14"/>
      <c r="N29954" s="14"/>
      <c r="O29954" s="14"/>
      <c r="P29954" s="13"/>
    </row>
    <row r="29955">
      <c r="L29955" s="13"/>
      <c r="M29955" s="14"/>
      <c r="N29955" s="14"/>
      <c r="O29955" s="14"/>
      <c r="P29955" s="13"/>
    </row>
    <row r="29956">
      <c r="L29956" s="13"/>
      <c r="M29956" s="14"/>
      <c r="N29956" s="14"/>
      <c r="O29956" s="14"/>
      <c r="P29956" s="13"/>
    </row>
    <row r="29957">
      <c r="L29957" s="13"/>
      <c r="M29957" s="14"/>
      <c r="N29957" s="14"/>
      <c r="O29957" s="14"/>
      <c r="P29957" s="13"/>
    </row>
    <row r="29958">
      <c r="L29958" s="13"/>
      <c r="M29958" s="14"/>
      <c r="N29958" s="14"/>
      <c r="O29958" s="14"/>
      <c r="P29958" s="13"/>
    </row>
    <row r="29959">
      <c r="L29959" s="13"/>
      <c r="M29959" s="14"/>
      <c r="N29959" s="14"/>
      <c r="O29959" s="14"/>
      <c r="P29959" s="13"/>
    </row>
    <row r="29960">
      <c r="L29960" s="13"/>
      <c r="M29960" s="14"/>
      <c r="N29960" s="14"/>
      <c r="O29960" s="14"/>
      <c r="P29960" s="13"/>
    </row>
    <row r="29961">
      <c r="L29961" s="13"/>
      <c r="M29961" s="14"/>
      <c r="N29961" s="14"/>
      <c r="O29961" s="14"/>
      <c r="P29961" s="13"/>
    </row>
    <row r="29962">
      <c r="L29962" s="13"/>
      <c r="M29962" s="14"/>
      <c r="N29962" s="14"/>
      <c r="O29962" s="14"/>
      <c r="P29962" s="13"/>
    </row>
    <row r="29963">
      <c r="L29963" s="13"/>
      <c r="M29963" s="14"/>
      <c r="N29963" s="14"/>
      <c r="O29963" s="14"/>
      <c r="P29963" s="13"/>
    </row>
    <row r="29964">
      <c r="L29964" s="13"/>
      <c r="M29964" s="14"/>
      <c r="N29964" s="14"/>
      <c r="O29964" s="14"/>
      <c r="P29964" s="13"/>
    </row>
    <row r="29965">
      <c r="L29965" s="13"/>
      <c r="M29965" s="14"/>
      <c r="N29965" s="14"/>
      <c r="O29965" s="14"/>
      <c r="P29965" s="13"/>
    </row>
    <row r="29966">
      <c r="L29966" s="13"/>
      <c r="M29966" s="14"/>
      <c r="N29966" s="14"/>
      <c r="O29966" s="14"/>
      <c r="P29966" s="13"/>
    </row>
    <row r="29967">
      <c r="L29967" s="13"/>
      <c r="M29967" s="14"/>
      <c r="N29967" s="14"/>
      <c r="O29967" s="14"/>
      <c r="P29967" s="13"/>
    </row>
    <row r="29968">
      <c r="L29968" s="13"/>
      <c r="M29968" s="14"/>
      <c r="N29968" s="14"/>
      <c r="O29968" s="14"/>
      <c r="P29968" s="13"/>
    </row>
    <row r="29969">
      <c r="L29969" s="13"/>
      <c r="M29969" s="14"/>
      <c r="N29969" s="14"/>
      <c r="O29969" s="14"/>
      <c r="P29969" s="13"/>
    </row>
    <row r="29970">
      <c r="L29970" s="13"/>
      <c r="M29970" s="14"/>
      <c r="N29970" s="14"/>
      <c r="O29970" s="14"/>
      <c r="P29970" s="13"/>
    </row>
    <row r="29971">
      <c r="L29971" s="13"/>
      <c r="M29971" s="14"/>
      <c r="N29971" s="14"/>
      <c r="O29971" s="14"/>
      <c r="P29971" s="13"/>
    </row>
    <row r="29972">
      <c r="L29972" s="13"/>
      <c r="M29972" s="14"/>
      <c r="N29972" s="14"/>
      <c r="O29972" s="14"/>
      <c r="P29972" s="13"/>
    </row>
    <row r="29973">
      <c r="L29973" s="13"/>
      <c r="M29973" s="14"/>
      <c r="N29973" s="14"/>
      <c r="O29973" s="14"/>
      <c r="P29973" s="13"/>
    </row>
    <row r="29974">
      <c r="L29974" s="13"/>
      <c r="M29974" s="14"/>
      <c r="N29974" s="14"/>
      <c r="O29974" s="14"/>
      <c r="P29974" s="13"/>
    </row>
    <row r="29975">
      <c r="L29975" s="13"/>
      <c r="M29975" s="14"/>
      <c r="N29975" s="14"/>
      <c r="O29975" s="14"/>
      <c r="P29975" s="13"/>
    </row>
    <row r="29976">
      <c r="L29976" s="13"/>
      <c r="M29976" s="14"/>
      <c r="N29976" s="14"/>
      <c r="O29976" s="14"/>
      <c r="P29976" s="13"/>
    </row>
    <row r="29977">
      <c r="L29977" s="13"/>
      <c r="M29977" s="14"/>
      <c r="N29977" s="14"/>
      <c r="O29977" s="14"/>
      <c r="P29977" s="13"/>
    </row>
    <row r="29978">
      <c r="L29978" s="13"/>
      <c r="M29978" s="14"/>
      <c r="N29978" s="14"/>
      <c r="O29978" s="14"/>
      <c r="P29978" s="13"/>
    </row>
    <row r="29979">
      <c r="L29979" s="13"/>
      <c r="M29979" s="14"/>
      <c r="N29979" s="14"/>
      <c r="O29979" s="14"/>
      <c r="P29979" s="13"/>
    </row>
    <row r="29980">
      <c r="L29980" s="13"/>
      <c r="M29980" s="14"/>
      <c r="N29980" s="14"/>
      <c r="O29980" s="14"/>
      <c r="P29980" s="13"/>
    </row>
    <row r="29981">
      <c r="L29981" s="13"/>
      <c r="M29981" s="14"/>
      <c r="N29981" s="14"/>
      <c r="O29981" s="14"/>
      <c r="P29981" s="13"/>
    </row>
    <row r="29982">
      <c r="L29982" s="13"/>
      <c r="M29982" s="14"/>
      <c r="N29982" s="14"/>
      <c r="O29982" s="14"/>
      <c r="P29982" s="13"/>
    </row>
    <row r="29983">
      <c r="L29983" s="13"/>
      <c r="M29983" s="14"/>
      <c r="N29983" s="14"/>
      <c r="O29983" s="14"/>
      <c r="P29983" s="13"/>
    </row>
    <row r="29984">
      <c r="L29984" s="13"/>
      <c r="M29984" s="14"/>
      <c r="N29984" s="14"/>
      <c r="O29984" s="14"/>
      <c r="P29984" s="13"/>
    </row>
    <row r="29985">
      <c r="L29985" s="13"/>
      <c r="M29985" s="14"/>
      <c r="N29985" s="14"/>
      <c r="O29985" s="14"/>
      <c r="P29985" s="13"/>
    </row>
    <row r="29986">
      <c r="L29986" s="13"/>
      <c r="M29986" s="14"/>
      <c r="N29986" s="14"/>
      <c r="O29986" s="14"/>
      <c r="P29986" s="13"/>
    </row>
    <row r="29987">
      <c r="L29987" s="13"/>
      <c r="M29987" s="14"/>
      <c r="N29987" s="14"/>
      <c r="O29987" s="14"/>
      <c r="P29987" s="13"/>
    </row>
    <row r="29988">
      <c r="L29988" s="13"/>
      <c r="M29988" s="14"/>
      <c r="N29988" s="14"/>
      <c r="O29988" s="14"/>
      <c r="P29988" s="13"/>
    </row>
    <row r="29989">
      <c r="L29989" s="13"/>
      <c r="M29989" s="14"/>
      <c r="N29989" s="14"/>
      <c r="O29989" s="14"/>
      <c r="P29989" s="13"/>
    </row>
    <row r="29990">
      <c r="L29990" s="13"/>
      <c r="M29990" s="14"/>
      <c r="N29990" s="14"/>
      <c r="O29990" s="14"/>
      <c r="P29990" s="13"/>
    </row>
    <row r="29991">
      <c r="L29991" s="13"/>
      <c r="M29991" s="14"/>
      <c r="N29991" s="14"/>
      <c r="O29991" s="14"/>
      <c r="P29991" s="13"/>
    </row>
    <row r="29992">
      <c r="L29992" s="13"/>
      <c r="M29992" s="14"/>
      <c r="N29992" s="14"/>
      <c r="O29992" s="14"/>
      <c r="P29992" s="13"/>
    </row>
    <row r="29993">
      <c r="L29993" s="13"/>
      <c r="M29993" s="14"/>
      <c r="N29993" s="14"/>
      <c r="O29993" s="14"/>
      <c r="P29993" s="13"/>
    </row>
    <row r="29994">
      <c r="L29994" s="13"/>
      <c r="M29994" s="14"/>
      <c r="N29994" s="14"/>
      <c r="O29994" s="14"/>
      <c r="P29994" s="13"/>
    </row>
    <row r="29995">
      <c r="L29995" s="13"/>
      <c r="M29995" s="14"/>
      <c r="N29995" s="14"/>
      <c r="O29995" s="14"/>
      <c r="P29995" s="13"/>
    </row>
    <row r="29996">
      <c r="L29996" s="13"/>
      <c r="M29996" s="14"/>
      <c r="N29996" s="14"/>
      <c r="O29996" s="14"/>
      <c r="P29996" s="13"/>
    </row>
    <row r="29997">
      <c r="L29997" s="13"/>
      <c r="M29997" s="14"/>
      <c r="N29997" s="14"/>
      <c r="O29997" s="14"/>
      <c r="P29997" s="13"/>
    </row>
    <row r="29998">
      <c r="L29998" s="13"/>
      <c r="M29998" s="14"/>
      <c r="N29998" s="14"/>
      <c r="O29998" s="14"/>
      <c r="P29998" s="13"/>
    </row>
    <row r="29999">
      <c r="L29999" s="13"/>
      <c r="M29999" s="14"/>
      <c r="N29999" s="14"/>
      <c r="O29999" s="14"/>
      <c r="P29999" s="13"/>
    </row>
    <row r="30000">
      <c r="L30000" s="13"/>
      <c r="M30000" s="14"/>
      <c r="N30000" s="14"/>
      <c r="O30000" s="14"/>
      <c r="P30000" s="13"/>
    </row>
    <row r="30001">
      <c r="L30001" s="13"/>
      <c r="M30001" s="14"/>
      <c r="N30001" s="14"/>
      <c r="O30001" s="14"/>
      <c r="P30001" s="13"/>
    </row>
    <row r="30002">
      <c r="L30002" s="13"/>
      <c r="M30002" s="14"/>
      <c r="N30002" s="14"/>
      <c r="O30002" s="14"/>
      <c r="P30002" s="13"/>
    </row>
    <row r="30003">
      <c r="L30003" s="13"/>
      <c r="M30003" s="14"/>
      <c r="N30003" s="14"/>
      <c r="O30003" s="14"/>
      <c r="P30003" s="13"/>
    </row>
    <row r="30004">
      <c r="L30004" s="13"/>
      <c r="M30004" s="14"/>
      <c r="N30004" s="14"/>
      <c r="O30004" s="14"/>
      <c r="P30004" s="13"/>
    </row>
    <row r="30005">
      <c r="L30005" s="13"/>
      <c r="M30005" s="14"/>
      <c r="N30005" s="14"/>
      <c r="O30005" s="14"/>
      <c r="P30005" s="13"/>
    </row>
    <row r="30006">
      <c r="L30006" s="13"/>
      <c r="M30006" s="14"/>
      <c r="N30006" s="14"/>
      <c r="O30006" s="14"/>
      <c r="P30006" s="13"/>
    </row>
    <row r="30007">
      <c r="L30007" s="13"/>
      <c r="M30007" s="14"/>
      <c r="N30007" s="14"/>
      <c r="O30007" s="14"/>
      <c r="P30007" s="13"/>
    </row>
    <row r="30008">
      <c r="L30008" s="13"/>
      <c r="M30008" s="14"/>
      <c r="N30008" s="14"/>
      <c r="O30008" s="14"/>
      <c r="P30008" s="13"/>
    </row>
    <row r="30009">
      <c r="L30009" s="13"/>
      <c r="M30009" s="14"/>
      <c r="N30009" s="14"/>
      <c r="O30009" s="14"/>
      <c r="P30009" s="13"/>
    </row>
    <row r="30010">
      <c r="L30010" s="13"/>
      <c r="M30010" s="14"/>
      <c r="N30010" s="14"/>
      <c r="O30010" s="14"/>
      <c r="P30010" s="13"/>
    </row>
    <row r="30011">
      <c r="L30011" s="13"/>
      <c r="M30011" s="14"/>
      <c r="N30011" s="14"/>
      <c r="O30011" s="14"/>
      <c r="P30011" s="13"/>
    </row>
    <row r="30012">
      <c r="L30012" s="13"/>
      <c r="M30012" s="14"/>
      <c r="N30012" s="14"/>
      <c r="O30012" s="14"/>
      <c r="P30012" s="13"/>
    </row>
    <row r="30013">
      <c r="L30013" s="13"/>
      <c r="M30013" s="14"/>
      <c r="N30013" s="14"/>
      <c r="O30013" s="14"/>
      <c r="P30013" s="13"/>
    </row>
    <row r="30014">
      <c r="L30014" s="13"/>
      <c r="M30014" s="14"/>
      <c r="N30014" s="14"/>
      <c r="O30014" s="14"/>
      <c r="P30014" s="13"/>
    </row>
    <row r="30015">
      <c r="L30015" s="13"/>
      <c r="M30015" s="14"/>
      <c r="N30015" s="14"/>
      <c r="O30015" s="14"/>
      <c r="P30015" s="13"/>
    </row>
    <row r="30016">
      <c r="L30016" s="13"/>
      <c r="M30016" s="14"/>
      <c r="N30016" s="14"/>
      <c r="O30016" s="14"/>
      <c r="P30016" s="13"/>
    </row>
    <row r="30017">
      <c r="L30017" s="13"/>
      <c r="M30017" s="14"/>
      <c r="N30017" s="14"/>
      <c r="O30017" s="14"/>
      <c r="P30017" s="13"/>
    </row>
    <row r="30018">
      <c r="L30018" s="13"/>
      <c r="M30018" s="14"/>
      <c r="N30018" s="14"/>
      <c r="O30018" s="14"/>
      <c r="P30018" s="13"/>
    </row>
    <row r="30019">
      <c r="L30019" s="13"/>
      <c r="M30019" s="14"/>
      <c r="N30019" s="14"/>
      <c r="O30019" s="14"/>
      <c r="P30019" s="13"/>
    </row>
    <row r="30020">
      <c r="L30020" s="13"/>
      <c r="M30020" s="14"/>
      <c r="N30020" s="14"/>
      <c r="O30020" s="14"/>
      <c r="P30020" s="13"/>
    </row>
    <row r="30021">
      <c r="L30021" s="13"/>
      <c r="M30021" s="14"/>
      <c r="N30021" s="14"/>
      <c r="O30021" s="14"/>
      <c r="P30021" s="13"/>
    </row>
    <row r="30022">
      <c r="L30022" s="13"/>
      <c r="M30022" s="14"/>
      <c r="N30022" s="14"/>
      <c r="O30022" s="14"/>
      <c r="P30022" s="13"/>
    </row>
    <row r="30023">
      <c r="L30023" s="13"/>
      <c r="M30023" s="14"/>
      <c r="N30023" s="14"/>
      <c r="O30023" s="14"/>
      <c r="P30023" s="13"/>
    </row>
    <row r="30024">
      <c r="L30024" s="13"/>
      <c r="M30024" s="14"/>
      <c r="N30024" s="14"/>
      <c r="O30024" s="14"/>
      <c r="P30024" s="13"/>
    </row>
    <row r="30025">
      <c r="L30025" s="13"/>
      <c r="M30025" s="14"/>
      <c r="N30025" s="14"/>
      <c r="O30025" s="14"/>
      <c r="P30025" s="13"/>
    </row>
    <row r="30026">
      <c r="L30026" s="13"/>
      <c r="M30026" s="14"/>
      <c r="N30026" s="14"/>
      <c r="O30026" s="14"/>
      <c r="P30026" s="13"/>
    </row>
    <row r="30027">
      <c r="L30027" s="13"/>
      <c r="M30027" s="14"/>
      <c r="N30027" s="14"/>
      <c r="O30027" s="14"/>
      <c r="P30027" s="13"/>
    </row>
    <row r="30028">
      <c r="L30028" s="13"/>
      <c r="M30028" s="14"/>
      <c r="N30028" s="14"/>
      <c r="O30028" s="14"/>
      <c r="P30028" s="13"/>
    </row>
    <row r="30029">
      <c r="L30029" s="13"/>
      <c r="M30029" s="14"/>
      <c r="N30029" s="14"/>
      <c r="O30029" s="14"/>
      <c r="P30029" s="13"/>
    </row>
    <row r="30030">
      <c r="L30030" s="13"/>
      <c r="M30030" s="14"/>
      <c r="N30030" s="14"/>
      <c r="O30030" s="14"/>
      <c r="P30030" s="13"/>
    </row>
    <row r="30031">
      <c r="L30031" s="13"/>
      <c r="M30031" s="14"/>
      <c r="N30031" s="14"/>
      <c r="O30031" s="14"/>
      <c r="P30031" s="13"/>
    </row>
    <row r="30032">
      <c r="L30032" s="13"/>
      <c r="M30032" s="14"/>
      <c r="N30032" s="14"/>
      <c r="O30032" s="14"/>
      <c r="P30032" s="13"/>
    </row>
    <row r="30033">
      <c r="L30033" s="13"/>
      <c r="M30033" s="14"/>
      <c r="N30033" s="14"/>
      <c r="O30033" s="14"/>
      <c r="P30033" s="13"/>
    </row>
    <row r="30034">
      <c r="L30034" s="13"/>
      <c r="M30034" s="14"/>
      <c r="N30034" s="14"/>
      <c r="O30034" s="14"/>
      <c r="P30034" s="13"/>
    </row>
    <row r="30035">
      <c r="L30035" s="13"/>
      <c r="M30035" s="14"/>
      <c r="N30035" s="14"/>
      <c r="O30035" s="14"/>
      <c r="P30035" s="13"/>
    </row>
    <row r="30036">
      <c r="L30036" s="13"/>
      <c r="M30036" s="14"/>
      <c r="N30036" s="14"/>
      <c r="O30036" s="14"/>
      <c r="P30036" s="13"/>
    </row>
    <row r="30037">
      <c r="L30037" s="13"/>
      <c r="M30037" s="14"/>
      <c r="N30037" s="14"/>
      <c r="O30037" s="14"/>
      <c r="P30037" s="13"/>
    </row>
    <row r="30038">
      <c r="L30038" s="13"/>
      <c r="M30038" s="14"/>
      <c r="N30038" s="14"/>
      <c r="O30038" s="14"/>
      <c r="P30038" s="13"/>
    </row>
    <row r="30039">
      <c r="L30039" s="13"/>
      <c r="M30039" s="14"/>
      <c r="N30039" s="14"/>
      <c r="O30039" s="14"/>
      <c r="P30039" s="13"/>
    </row>
    <row r="30040">
      <c r="L30040" s="13"/>
      <c r="M30040" s="14"/>
      <c r="N30040" s="14"/>
      <c r="O30040" s="14"/>
      <c r="P30040" s="13"/>
    </row>
    <row r="30041">
      <c r="L30041" s="13"/>
      <c r="M30041" s="14"/>
      <c r="N30041" s="14"/>
      <c r="O30041" s="14"/>
      <c r="P30041" s="13"/>
    </row>
    <row r="30042">
      <c r="L30042" s="13"/>
      <c r="M30042" s="14"/>
      <c r="N30042" s="14"/>
      <c r="O30042" s="14"/>
      <c r="P30042" s="13"/>
    </row>
    <row r="30043">
      <c r="L30043" s="13"/>
      <c r="M30043" s="14"/>
      <c r="N30043" s="14"/>
      <c r="O30043" s="14"/>
      <c r="P30043" s="13"/>
    </row>
    <row r="30044">
      <c r="L30044" s="13"/>
      <c r="M30044" s="14"/>
      <c r="N30044" s="14"/>
      <c r="O30044" s="14"/>
      <c r="P30044" s="13"/>
    </row>
    <row r="30045">
      <c r="L30045" s="13"/>
      <c r="M30045" s="14"/>
      <c r="N30045" s="14"/>
      <c r="O30045" s="14"/>
      <c r="P30045" s="13"/>
    </row>
    <row r="30046">
      <c r="L30046" s="13"/>
      <c r="M30046" s="14"/>
      <c r="N30046" s="14"/>
      <c r="O30046" s="14"/>
      <c r="P30046" s="13"/>
    </row>
    <row r="30047">
      <c r="L30047" s="13"/>
      <c r="M30047" s="14"/>
      <c r="N30047" s="14"/>
      <c r="O30047" s="14"/>
      <c r="P30047" s="13"/>
    </row>
    <row r="30048">
      <c r="L30048" s="13"/>
      <c r="M30048" s="14"/>
      <c r="N30048" s="14"/>
      <c r="O30048" s="14"/>
      <c r="P30048" s="13"/>
    </row>
    <row r="30049">
      <c r="L30049" s="13"/>
      <c r="M30049" s="14"/>
      <c r="N30049" s="14"/>
      <c r="O30049" s="14"/>
      <c r="P30049" s="13"/>
    </row>
    <row r="30050">
      <c r="L30050" s="13"/>
      <c r="M30050" s="14"/>
      <c r="N30050" s="14"/>
      <c r="O30050" s="14"/>
      <c r="P30050" s="13"/>
    </row>
    <row r="30051">
      <c r="L30051" s="13"/>
      <c r="M30051" s="14"/>
      <c r="N30051" s="14"/>
      <c r="O30051" s="14"/>
      <c r="P30051" s="13"/>
    </row>
    <row r="30052">
      <c r="L30052" s="13"/>
      <c r="M30052" s="14"/>
      <c r="N30052" s="14"/>
      <c r="O30052" s="14"/>
      <c r="P30052" s="13"/>
    </row>
    <row r="30053">
      <c r="L30053" s="13"/>
      <c r="M30053" s="14"/>
      <c r="N30053" s="14"/>
      <c r="O30053" s="14"/>
      <c r="P30053" s="13"/>
    </row>
    <row r="30054">
      <c r="L30054" s="13"/>
      <c r="M30054" s="14"/>
      <c r="N30054" s="14"/>
      <c r="O30054" s="14"/>
      <c r="P30054" s="13"/>
    </row>
    <row r="30055">
      <c r="L30055" s="13"/>
      <c r="M30055" s="14"/>
      <c r="N30055" s="14"/>
      <c r="O30055" s="14"/>
      <c r="P30055" s="13"/>
    </row>
    <row r="30056">
      <c r="L30056" s="13"/>
      <c r="M30056" s="14"/>
      <c r="N30056" s="14"/>
      <c r="O30056" s="14"/>
      <c r="P30056" s="13"/>
    </row>
    <row r="30057">
      <c r="L30057" s="13"/>
      <c r="M30057" s="14"/>
      <c r="N30057" s="14"/>
      <c r="O30057" s="14"/>
      <c r="P30057" s="13"/>
    </row>
    <row r="30058">
      <c r="L30058" s="13"/>
      <c r="M30058" s="14"/>
      <c r="N30058" s="14"/>
      <c r="O30058" s="14"/>
      <c r="P30058" s="13"/>
    </row>
    <row r="30059">
      <c r="L30059" s="13"/>
      <c r="M30059" s="14"/>
      <c r="N30059" s="14"/>
      <c r="O30059" s="14"/>
      <c r="P30059" s="13"/>
    </row>
    <row r="30060">
      <c r="L30060" s="13"/>
      <c r="M30060" s="14"/>
      <c r="N30060" s="14"/>
      <c r="O30060" s="14"/>
      <c r="P30060" s="13"/>
    </row>
    <row r="30061">
      <c r="L30061" s="13"/>
      <c r="M30061" s="14"/>
      <c r="N30061" s="14"/>
      <c r="O30061" s="14"/>
      <c r="P30061" s="13"/>
    </row>
    <row r="30062">
      <c r="L30062" s="13"/>
      <c r="M30062" s="14"/>
      <c r="N30062" s="14"/>
      <c r="O30062" s="14"/>
      <c r="P30062" s="13"/>
    </row>
    <row r="30063">
      <c r="L30063" s="13"/>
      <c r="M30063" s="14"/>
      <c r="N30063" s="14"/>
      <c r="O30063" s="14"/>
      <c r="P30063" s="13"/>
    </row>
    <row r="30064">
      <c r="L30064" s="13"/>
      <c r="M30064" s="14"/>
      <c r="N30064" s="14"/>
      <c r="O30064" s="14"/>
      <c r="P30064" s="13"/>
    </row>
    <row r="30065">
      <c r="L30065" s="13"/>
      <c r="M30065" s="14"/>
      <c r="N30065" s="14"/>
      <c r="O30065" s="14"/>
      <c r="P30065" s="13"/>
    </row>
    <row r="30066">
      <c r="L30066" s="13"/>
      <c r="M30066" s="14"/>
      <c r="N30066" s="14"/>
      <c r="O30066" s="14"/>
      <c r="P30066" s="13"/>
    </row>
    <row r="30067">
      <c r="L30067" s="13"/>
      <c r="M30067" s="14"/>
      <c r="N30067" s="14"/>
      <c r="O30067" s="14"/>
      <c r="P30067" s="13"/>
    </row>
    <row r="30068">
      <c r="L30068" s="13"/>
      <c r="M30068" s="14"/>
      <c r="N30068" s="14"/>
      <c r="O30068" s="14"/>
      <c r="P30068" s="13"/>
    </row>
    <row r="30069">
      <c r="L30069" s="13"/>
      <c r="M30069" s="14"/>
      <c r="N30069" s="14"/>
      <c r="O30069" s="14"/>
      <c r="P30069" s="13"/>
    </row>
    <row r="30070">
      <c r="L30070" s="13"/>
      <c r="M30070" s="14"/>
      <c r="N30070" s="14"/>
      <c r="O30070" s="14"/>
      <c r="P30070" s="13"/>
    </row>
    <row r="30071">
      <c r="L30071" s="13"/>
      <c r="M30071" s="14"/>
      <c r="N30071" s="14"/>
      <c r="O30071" s="14"/>
      <c r="P30071" s="13"/>
    </row>
    <row r="30072">
      <c r="L30072" s="13"/>
      <c r="M30072" s="14"/>
      <c r="N30072" s="14"/>
      <c r="O30072" s="14"/>
      <c r="P30072" s="13"/>
    </row>
    <row r="30073">
      <c r="L30073" s="13"/>
      <c r="M30073" s="14"/>
      <c r="N30073" s="14"/>
      <c r="O30073" s="14"/>
      <c r="P30073" s="13"/>
    </row>
    <row r="30074">
      <c r="L30074" s="13"/>
      <c r="M30074" s="14"/>
      <c r="N30074" s="14"/>
      <c r="O30074" s="14"/>
      <c r="P30074" s="13"/>
    </row>
    <row r="30075">
      <c r="L30075" s="13"/>
      <c r="M30075" s="14"/>
      <c r="N30075" s="14"/>
      <c r="O30075" s="14"/>
      <c r="P30075" s="13"/>
    </row>
    <row r="30076">
      <c r="L30076" s="13"/>
      <c r="M30076" s="14"/>
      <c r="N30076" s="14"/>
      <c r="O30076" s="14"/>
      <c r="P30076" s="13"/>
    </row>
    <row r="30077">
      <c r="L30077" s="13"/>
      <c r="M30077" s="14"/>
      <c r="N30077" s="14"/>
      <c r="O30077" s="14"/>
      <c r="P30077" s="13"/>
    </row>
    <row r="30078">
      <c r="L30078" s="13"/>
      <c r="M30078" s="14"/>
      <c r="N30078" s="14"/>
      <c r="O30078" s="14"/>
      <c r="P30078" s="13"/>
    </row>
    <row r="30079">
      <c r="L30079" s="13"/>
      <c r="M30079" s="14"/>
      <c r="N30079" s="14"/>
      <c r="O30079" s="14"/>
      <c r="P30079" s="13"/>
    </row>
    <row r="30080">
      <c r="L30080" s="13"/>
      <c r="M30080" s="14"/>
      <c r="N30080" s="14"/>
      <c r="O30080" s="14"/>
      <c r="P30080" s="13"/>
    </row>
    <row r="30081">
      <c r="L30081" s="13"/>
      <c r="M30081" s="14"/>
      <c r="N30081" s="14"/>
      <c r="O30081" s="14"/>
      <c r="P30081" s="13"/>
    </row>
    <row r="30082">
      <c r="L30082" s="13"/>
      <c r="M30082" s="14"/>
      <c r="N30082" s="14"/>
      <c r="O30082" s="14"/>
      <c r="P30082" s="13"/>
    </row>
    <row r="30083">
      <c r="L30083" s="13"/>
      <c r="M30083" s="14"/>
      <c r="N30083" s="14"/>
      <c r="O30083" s="14"/>
      <c r="P30083" s="13"/>
    </row>
    <row r="30084">
      <c r="L30084" s="13"/>
      <c r="M30084" s="14"/>
      <c r="N30084" s="14"/>
      <c r="O30084" s="14"/>
      <c r="P30084" s="13"/>
    </row>
    <row r="30085">
      <c r="L30085" s="13"/>
      <c r="M30085" s="14"/>
      <c r="N30085" s="14"/>
      <c r="O30085" s="14"/>
      <c r="P30085" s="13"/>
    </row>
    <row r="30086">
      <c r="L30086" s="13"/>
      <c r="M30086" s="14"/>
      <c r="N30086" s="14"/>
      <c r="O30086" s="14"/>
      <c r="P30086" s="13"/>
    </row>
    <row r="30087">
      <c r="L30087" s="13"/>
      <c r="M30087" s="14"/>
      <c r="N30087" s="14"/>
      <c r="O30087" s="14"/>
      <c r="P30087" s="13"/>
    </row>
    <row r="30088">
      <c r="L30088" s="13"/>
      <c r="M30088" s="14"/>
      <c r="N30088" s="14"/>
      <c r="O30088" s="14"/>
      <c r="P30088" s="13"/>
    </row>
    <row r="30089">
      <c r="L30089" s="13"/>
      <c r="M30089" s="14"/>
      <c r="N30089" s="14"/>
      <c r="O30089" s="14"/>
      <c r="P30089" s="13"/>
    </row>
    <row r="30090">
      <c r="L30090" s="13"/>
      <c r="M30090" s="14"/>
      <c r="N30090" s="14"/>
      <c r="O30090" s="14"/>
      <c r="P30090" s="13"/>
    </row>
    <row r="30091">
      <c r="L30091" s="13"/>
      <c r="M30091" s="14"/>
      <c r="N30091" s="14"/>
      <c r="O30091" s="14"/>
      <c r="P30091" s="13"/>
    </row>
    <row r="30092">
      <c r="L30092" s="13"/>
      <c r="M30092" s="14"/>
      <c r="N30092" s="14"/>
      <c r="O30092" s="14"/>
      <c r="P30092" s="13"/>
    </row>
    <row r="30093">
      <c r="L30093" s="13"/>
      <c r="M30093" s="14"/>
      <c r="N30093" s="14"/>
      <c r="O30093" s="14"/>
      <c r="P30093" s="13"/>
    </row>
    <row r="30094">
      <c r="L30094" s="13"/>
      <c r="M30094" s="14"/>
      <c r="N30094" s="14"/>
      <c r="O30094" s="14"/>
      <c r="P30094" s="13"/>
    </row>
    <row r="30095">
      <c r="L30095" s="13"/>
      <c r="M30095" s="14"/>
      <c r="N30095" s="14"/>
      <c r="O30095" s="14"/>
      <c r="P30095" s="13"/>
    </row>
    <row r="30096">
      <c r="L30096" s="13"/>
      <c r="M30096" s="14"/>
      <c r="N30096" s="14"/>
      <c r="O30096" s="14"/>
      <c r="P30096" s="13"/>
    </row>
    <row r="30097">
      <c r="L30097" s="13"/>
      <c r="M30097" s="14"/>
      <c r="N30097" s="14"/>
      <c r="O30097" s="14"/>
      <c r="P30097" s="13"/>
    </row>
    <row r="30098">
      <c r="L30098" s="13"/>
      <c r="M30098" s="14"/>
      <c r="N30098" s="14"/>
      <c r="O30098" s="14"/>
      <c r="P30098" s="13"/>
    </row>
    <row r="30099">
      <c r="L30099" s="13"/>
      <c r="M30099" s="14"/>
      <c r="N30099" s="14"/>
      <c r="O30099" s="14"/>
      <c r="P30099" s="13"/>
    </row>
    <row r="30100">
      <c r="L30100" s="13"/>
      <c r="M30100" s="14"/>
      <c r="N30100" s="14"/>
      <c r="O30100" s="14"/>
      <c r="P30100" s="13"/>
    </row>
    <row r="30101">
      <c r="L30101" s="13"/>
      <c r="M30101" s="14"/>
      <c r="N30101" s="14"/>
      <c r="O30101" s="14"/>
      <c r="P30101" s="13"/>
    </row>
    <row r="30102">
      <c r="L30102" s="13"/>
      <c r="M30102" s="14"/>
      <c r="N30102" s="14"/>
      <c r="O30102" s="14"/>
      <c r="P30102" s="13"/>
    </row>
    <row r="30103">
      <c r="L30103" s="13"/>
      <c r="M30103" s="14"/>
      <c r="N30103" s="14"/>
      <c r="O30103" s="14"/>
      <c r="P30103" s="13"/>
    </row>
    <row r="30104">
      <c r="L30104" s="13"/>
      <c r="M30104" s="14"/>
      <c r="N30104" s="14"/>
      <c r="O30104" s="14"/>
      <c r="P30104" s="13"/>
    </row>
    <row r="30105">
      <c r="L30105" s="13"/>
      <c r="M30105" s="14"/>
      <c r="N30105" s="14"/>
      <c r="O30105" s="14"/>
      <c r="P30105" s="13"/>
    </row>
    <row r="30106">
      <c r="L30106" s="13"/>
      <c r="M30106" s="14"/>
      <c r="N30106" s="14"/>
      <c r="O30106" s="14"/>
      <c r="P30106" s="13"/>
    </row>
    <row r="30107">
      <c r="L30107" s="13"/>
      <c r="M30107" s="14"/>
      <c r="N30107" s="14"/>
      <c r="O30107" s="14"/>
      <c r="P30107" s="13"/>
    </row>
    <row r="30108">
      <c r="L30108" s="13"/>
      <c r="M30108" s="14"/>
      <c r="N30108" s="14"/>
      <c r="O30108" s="14"/>
      <c r="P30108" s="13"/>
    </row>
    <row r="30109">
      <c r="L30109" s="13"/>
      <c r="M30109" s="14"/>
      <c r="N30109" s="14"/>
      <c r="O30109" s="14"/>
      <c r="P30109" s="13"/>
    </row>
    <row r="30110">
      <c r="L30110" s="13"/>
      <c r="M30110" s="14"/>
      <c r="N30110" s="14"/>
      <c r="O30110" s="14"/>
      <c r="P30110" s="13"/>
    </row>
    <row r="30111">
      <c r="L30111" s="13"/>
      <c r="M30111" s="14"/>
      <c r="N30111" s="14"/>
      <c r="O30111" s="14"/>
      <c r="P30111" s="13"/>
    </row>
    <row r="30112">
      <c r="L30112" s="13"/>
      <c r="M30112" s="14"/>
      <c r="N30112" s="14"/>
      <c r="O30112" s="14"/>
      <c r="P30112" s="13"/>
    </row>
    <row r="30113">
      <c r="L30113" s="13"/>
      <c r="M30113" s="14"/>
      <c r="N30113" s="14"/>
      <c r="O30113" s="14"/>
      <c r="P30113" s="13"/>
    </row>
    <row r="30114">
      <c r="L30114" s="13"/>
      <c r="M30114" s="14"/>
      <c r="N30114" s="14"/>
      <c r="O30114" s="14"/>
      <c r="P30114" s="13"/>
    </row>
    <row r="30115">
      <c r="L30115" s="13"/>
      <c r="M30115" s="14"/>
      <c r="N30115" s="14"/>
      <c r="O30115" s="14"/>
      <c r="P30115" s="13"/>
    </row>
    <row r="30116">
      <c r="L30116" s="13"/>
      <c r="M30116" s="14"/>
      <c r="N30116" s="14"/>
      <c r="O30116" s="14"/>
      <c r="P30116" s="13"/>
    </row>
    <row r="30117">
      <c r="L30117" s="13"/>
      <c r="M30117" s="14"/>
      <c r="N30117" s="14"/>
      <c r="O30117" s="14"/>
      <c r="P30117" s="13"/>
    </row>
    <row r="30118">
      <c r="L30118" s="13"/>
      <c r="M30118" s="14"/>
      <c r="N30118" s="14"/>
      <c r="O30118" s="14"/>
      <c r="P30118" s="13"/>
    </row>
    <row r="30119">
      <c r="L30119" s="13"/>
      <c r="M30119" s="14"/>
      <c r="N30119" s="14"/>
      <c r="O30119" s="14"/>
      <c r="P30119" s="13"/>
    </row>
    <row r="30120">
      <c r="L30120" s="13"/>
      <c r="M30120" s="14"/>
      <c r="N30120" s="14"/>
      <c r="O30120" s="14"/>
      <c r="P30120" s="13"/>
    </row>
    <row r="30121">
      <c r="L30121" s="13"/>
      <c r="M30121" s="14"/>
      <c r="N30121" s="14"/>
      <c r="O30121" s="14"/>
      <c r="P30121" s="13"/>
    </row>
    <row r="30122">
      <c r="L30122" s="13"/>
      <c r="M30122" s="14"/>
      <c r="N30122" s="14"/>
      <c r="O30122" s="14"/>
      <c r="P30122" s="13"/>
    </row>
    <row r="30123">
      <c r="L30123" s="13"/>
      <c r="M30123" s="14"/>
      <c r="N30123" s="14"/>
      <c r="O30123" s="14"/>
      <c r="P30123" s="13"/>
    </row>
    <row r="30124">
      <c r="L30124" s="13"/>
      <c r="M30124" s="14"/>
      <c r="N30124" s="14"/>
      <c r="O30124" s="14"/>
      <c r="P30124" s="13"/>
    </row>
    <row r="30125">
      <c r="L30125" s="13"/>
      <c r="M30125" s="14"/>
      <c r="N30125" s="14"/>
      <c r="O30125" s="14"/>
      <c r="P30125" s="13"/>
    </row>
    <row r="30126">
      <c r="L30126" s="13"/>
      <c r="M30126" s="14"/>
      <c r="N30126" s="14"/>
      <c r="O30126" s="14"/>
      <c r="P30126" s="13"/>
    </row>
    <row r="30127">
      <c r="L30127" s="13"/>
      <c r="M30127" s="14"/>
      <c r="N30127" s="14"/>
      <c r="O30127" s="14"/>
      <c r="P30127" s="13"/>
    </row>
    <row r="30128">
      <c r="L30128" s="13"/>
      <c r="M30128" s="14"/>
      <c r="N30128" s="14"/>
      <c r="O30128" s="14"/>
      <c r="P30128" s="13"/>
    </row>
    <row r="30129">
      <c r="L30129" s="13"/>
      <c r="M30129" s="14"/>
      <c r="N30129" s="14"/>
      <c r="O30129" s="14"/>
      <c r="P30129" s="13"/>
    </row>
    <row r="30130">
      <c r="L30130" s="13"/>
      <c r="M30130" s="14"/>
      <c r="N30130" s="14"/>
      <c r="O30130" s="14"/>
      <c r="P30130" s="13"/>
    </row>
    <row r="30131">
      <c r="L30131" s="13"/>
      <c r="M30131" s="14"/>
      <c r="N30131" s="14"/>
      <c r="O30131" s="14"/>
      <c r="P30131" s="13"/>
    </row>
    <row r="30132">
      <c r="L30132" s="13"/>
      <c r="M30132" s="14"/>
      <c r="N30132" s="14"/>
      <c r="O30132" s="14"/>
      <c r="P30132" s="13"/>
    </row>
    <row r="30133">
      <c r="L30133" s="13"/>
      <c r="M30133" s="14"/>
      <c r="N30133" s="14"/>
      <c r="O30133" s="14"/>
      <c r="P30133" s="13"/>
    </row>
    <row r="30134">
      <c r="L30134" s="13"/>
      <c r="M30134" s="14"/>
      <c r="N30134" s="14"/>
      <c r="O30134" s="14"/>
      <c r="P30134" s="13"/>
    </row>
    <row r="30135">
      <c r="L30135" s="13"/>
      <c r="M30135" s="14"/>
      <c r="N30135" s="14"/>
      <c r="O30135" s="14"/>
      <c r="P30135" s="13"/>
    </row>
    <row r="30136">
      <c r="L30136" s="13"/>
      <c r="M30136" s="14"/>
      <c r="N30136" s="14"/>
      <c r="O30136" s="14"/>
      <c r="P30136" s="13"/>
    </row>
    <row r="30137">
      <c r="L30137" s="13"/>
      <c r="M30137" s="14"/>
      <c r="N30137" s="14"/>
      <c r="O30137" s="14"/>
      <c r="P30137" s="13"/>
    </row>
    <row r="30138">
      <c r="L30138" s="13"/>
      <c r="M30138" s="14"/>
      <c r="N30138" s="14"/>
      <c r="O30138" s="14"/>
      <c r="P30138" s="13"/>
    </row>
    <row r="30139">
      <c r="L30139" s="13"/>
      <c r="M30139" s="14"/>
      <c r="N30139" s="14"/>
      <c r="O30139" s="14"/>
      <c r="P30139" s="13"/>
    </row>
    <row r="30140">
      <c r="L30140" s="13"/>
      <c r="M30140" s="14"/>
      <c r="N30140" s="14"/>
      <c r="O30140" s="14"/>
      <c r="P30140" s="13"/>
    </row>
    <row r="30141">
      <c r="L30141" s="13"/>
      <c r="M30141" s="14"/>
      <c r="N30141" s="14"/>
      <c r="O30141" s="14"/>
      <c r="P30141" s="13"/>
    </row>
    <row r="30142">
      <c r="L30142" s="13"/>
      <c r="M30142" s="14"/>
      <c r="N30142" s="14"/>
      <c r="O30142" s="14"/>
      <c r="P30142" s="13"/>
    </row>
    <row r="30143">
      <c r="L30143" s="13"/>
      <c r="M30143" s="14"/>
      <c r="N30143" s="14"/>
      <c r="O30143" s="14"/>
      <c r="P30143" s="13"/>
    </row>
    <row r="30144">
      <c r="L30144" s="13"/>
      <c r="M30144" s="14"/>
      <c r="N30144" s="14"/>
      <c r="O30144" s="14"/>
      <c r="P30144" s="13"/>
    </row>
    <row r="30145">
      <c r="L30145" s="13"/>
      <c r="M30145" s="14"/>
      <c r="N30145" s="14"/>
      <c r="O30145" s="14"/>
      <c r="P30145" s="13"/>
    </row>
    <row r="30146">
      <c r="L30146" s="13"/>
      <c r="M30146" s="14"/>
      <c r="N30146" s="14"/>
      <c r="O30146" s="14"/>
      <c r="P30146" s="13"/>
    </row>
    <row r="30147">
      <c r="L30147" s="13"/>
      <c r="M30147" s="14"/>
      <c r="N30147" s="14"/>
      <c r="O30147" s="14"/>
      <c r="P30147" s="13"/>
    </row>
    <row r="30148">
      <c r="L30148" s="13"/>
      <c r="M30148" s="14"/>
      <c r="N30148" s="14"/>
      <c r="O30148" s="14"/>
      <c r="P30148" s="13"/>
    </row>
    <row r="30149">
      <c r="L30149" s="13"/>
      <c r="M30149" s="14"/>
      <c r="N30149" s="14"/>
      <c r="O30149" s="14"/>
      <c r="P30149" s="13"/>
    </row>
    <row r="30150">
      <c r="L30150" s="13"/>
      <c r="M30150" s="14"/>
      <c r="N30150" s="14"/>
      <c r="O30150" s="14"/>
      <c r="P30150" s="13"/>
    </row>
    <row r="30151">
      <c r="L30151" s="13"/>
      <c r="M30151" s="14"/>
      <c r="N30151" s="14"/>
      <c r="O30151" s="14"/>
      <c r="P30151" s="13"/>
    </row>
    <row r="30152">
      <c r="L30152" s="13"/>
      <c r="M30152" s="14"/>
      <c r="N30152" s="14"/>
      <c r="O30152" s="14"/>
      <c r="P30152" s="13"/>
    </row>
    <row r="30153">
      <c r="L30153" s="13"/>
      <c r="M30153" s="14"/>
      <c r="N30153" s="14"/>
      <c r="O30153" s="14"/>
      <c r="P30153" s="13"/>
    </row>
    <row r="30154">
      <c r="L30154" s="13"/>
      <c r="M30154" s="14"/>
      <c r="N30154" s="14"/>
      <c r="O30154" s="14"/>
      <c r="P30154" s="13"/>
    </row>
    <row r="30155">
      <c r="L30155" s="13"/>
      <c r="M30155" s="14"/>
      <c r="N30155" s="14"/>
      <c r="O30155" s="14"/>
      <c r="P30155" s="13"/>
    </row>
    <row r="30156">
      <c r="L30156" s="13"/>
      <c r="M30156" s="14"/>
      <c r="N30156" s="14"/>
      <c r="O30156" s="14"/>
      <c r="P30156" s="13"/>
    </row>
    <row r="30157">
      <c r="L30157" s="13"/>
      <c r="M30157" s="14"/>
      <c r="N30157" s="14"/>
      <c r="O30157" s="14"/>
      <c r="P30157" s="13"/>
    </row>
    <row r="30158">
      <c r="L30158" s="13"/>
      <c r="M30158" s="14"/>
      <c r="N30158" s="14"/>
      <c r="O30158" s="14"/>
      <c r="P30158" s="13"/>
    </row>
    <row r="30159">
      <c r="L30159" s="13"/>
      <c r="M30159" s="14"/>
      <c r="N30159" s="14"/>
      <c r="O30159" s="14"/>
      <c r="P30159" s="13"/>
    </row>
    <row r="30160">
      <c r="L30160" s="13"/>
      <c r="M30160" s="14"/>
      <c r="N30160" s="14"/>
      <c r="O30160" s="14"/>
      <c r="P30160" s="13"/>
    </row>
    <row r="30161">
      <c r="L30161" s="13"/>
      <c r="M30161" s="14"/>
      <c r="N30161" s="14"/>
      <c r="O30161" s="14"/>
      <c r="P30161" s="13"/>
    </row>
    <row r="30162">
      <c r="L30162" s="13"/>
      <c r="M30162" s="14"/>
      <c r="N30162" s="14"/>
      <c r="O30162" s="14"/>
      <c r="P30162" s="13"/>
    </row>
    <row r="30163">
      <c r="L30163" s="13"/>
      <c r="M30163" s="14"/>
      <c r="N30163" s="14"/>
      <c r="O30163" s="14"/>
      <c r="P30163" s="13"/>
    </row>
    <row r="30164">
      <c r="L30164" s="13"/>
      <c r="M30164" s="14"/>
      <c r="N30164" s="14"/>
      <c r="O30164" s="14"/>
      <c r="P30164" s="13"/>
    </row>
    <row r="30165">
      <c r="L30165" s="13"/>
      <c r="M30165" s="14"/>
      <c r="N30165" s="14"/>
      <c r="O30165" s="14"/>
      <c r="P30165" s="13"/>
    </row>
    <row r="30166">
      <c r="L30166" s="13"/>
      <c r="M30166" s="14"/>
      <c r="N30166" s="14"/>
      <c r="O30166" s="14"/>
      <c r="P30166" s="13"/>
    </row>
    <row r="30167">
      <c r="L30167" s="13"/>
      <c r="M30167" s="14"/>
      <c r="N30167" s="14"/>
      <c r="O30167" s="14"/>
      <c r="P30167" s="13"/>
    </row>
    <row r="30168">
      <c r="L30168" s="13"/>
      <c r="M30168" s="14"/>
      <c r="N30168" s="14"/>
      <c r="O30168" s="14"/>
      <c r="P30168" s="13"/>
    </row>
    <row r="30169">
      <c r="L30169" s="13"/>
      <c r="M30169" s="14"/>
      <c r="N30169" s="14"/>
      <c r="O30169" s="14"/>
      <c r="P30169" s="13"/>
    </row>
    <row r="30170">
      <c r="L30170" s="13"/>
      <c r="M30170" s="14"/>
      <c r="N30170" s="14"/>
      <c r="O30170" s="14"/>
      <c r="P30170" s="13"/>
    </row>
    <row r="30171">
      <c r="L30171" s="13"/>
      <c r="M30171" s="14"/>
      <c r="N30171" s="14"/>
      <c r="O30171" s="14"/>
      <c r="P30171" s="13"/>
    </row>
    <row r="30172">
      <c r="L30172" s="13"/>
      <c r="M30172" s="14"/>
      <c r="N30172" s="14"/>
      <c r="O30172" s="14"/>
      <c r="P30172" s="13"/>
    </row>
    <row r="30173">
      <c r="L30173" s="13"/>
      <c r="M30173" s="14"/>
      <c r="N30173" s="14"/>
      <c r="O30173" s="14"/>
      <c r="P30173" s="13"/>
    </row>
    <row r="30174">
      <c r="L30174" s="13"/>
      <c r="M30174" s="14"/>
      <c r="N30174" s="14"/>
      <c r="O30174" s="14"/>
      <c r="P30174" s="13"/>
    </row>
    <row r="30175">
      <c r="L30175" s="13"/>
      <c r="M30175" s="14"/>
      <c r="N30175" s="14"/>
      <c r="O30175" s="14"/>
      <c r="P30175" s="13"/>
    </row>
    <row r="30176">
      <c r="L30176" s="13"/>
      <c r="M30176" s="14"/>
      <c r="N30176" s="14"/>
      <c r="O30176" s="14"/>
      <c r="P30176" s="13"/>
    </row>
    <row r="30177">
      <c r="L30177" s="13"/>
      <c r="M30177" s="14"/>
      <c r="N30177" s="14"/>
      <c r="O30177" s="14"/>
      <c r="P30177" s="13"/>
    </row>
    <row r="30178">
      <c r="L30178" s="13"/>
      <c r="M30178" s="14"/>
      <c r="N30178" s="14"/>
      <c r="O30178" s="14"/>
      <c r="P30178" s="13"/>
    </row>
    <row r="30179">
      <c r="L30179" s="13"/>
      <c r="M30179" s="14"/>
      <c r="N30179" s="14"/>
      <c r="O30179" s="14"/>
      <c r="P30179" s="13"/>
    </row>
    <row r="30180">
      <c r="L30180" s="13"/>
      <c r="M30180" s="14"/>
      <c r="N30180" s="14"/>
      <c r="O30180" s="14"/>
      <c r="P30180" s="13"/>
    </row>
    <row r="30181">
      <c r="L30181" s="13"/>
      <c r="M30181" s="14"/>
      <c r="N30181" s="14"/>
      <c r="O30181" s="14"/>
      <c r="P30181" s="13"/>
    </row>
    <row r="30182">
      <c r="L30182" s="13"/>
      <c r="M30182" s="14"/>
      <c r="N30182" s="14"/>
      <c r="O30182" s="14"/>
      <c r="P30182" s="13"/>
    </row>
    <row r="30183">
      <c r="L30183" s="13"/>
      <c r="M30183" s="14"/>
      <c r="N30183" s="14"/>
      <c r="O30183" s="14"/>
      <c r="P30183" s="13"/>
    </row>
    <row r="30184">
      <c r="L30184" s="13"/>
      <c r="M30184" s="14"/>
      <c r="N30184" s="14"/>
      <c r="O30184" s="14"/>
      <c r="P30184" s="13"/>
    </row>
    <row r="30185">
      <c r="L30185" s="13"/>
      <c r="M30185" s="14"/>
      <c r="N30185" s="14"/>
      <c r="O30185" s="14"/>
      <c r="P30185" s="13"/>
    </row>
    <row r="30186">
      <c r="L30186" s="13"/>
      <c r="M30186" s="14"/>
      <c r="N30186" s="14"/>
      <c r="O30186" s="14"/>
      <c r="P30186" s="13"/>
    </row>
    <row r="30187">
      <c r="L30187" s="13"/>
      <c r="M30187" s="14"/>
      <c r="N30187" s="14"/>
      <c r="O30187" s="14"/>
      <c r="P30187" s="13"/>
    </row>
    <row r="30188">
      <c r="L30188" s="13"/>
      <c r="M30188" s="14"/>
      <c r="N30188" s="14"/>
      <c r="O30188" s="14"/>
      <c r="P30188" s="13"/>
    </row>
    <row r="30189">
      <c r="L30189" s="13"/>
      <c r="M30189" s="14"/>
      <c r="N30189" s="14"/>
      <c r="O30189" s="14"/>
      <c r="P30189" s="13"/>
    </row>
    <row r="30190">
      <c r="L30190" s="13"/>
      <c r="M30190" s="14"/>
      <c r="N30190" s="14"/>
      <c r="O30190" s="14"/>
      <c r="P30190" s="13"/>
    </row>
    <row r="30191">
      <c r="L30191" s="13"/>
      <c r="M30191" s="14"/>
      <c r="N30191" s="14"/>
      <c r="O30191" s="14"/>
      <c r="P30191" s="13"/>
    </row>
    <row r="30192">
      <c r="L30192" s="13"/>
      <c r="M30192" s="14"/>
      <c r="N30192" s="14"/>
      <c r="O30192" s="14"/>
      <c r="P30192" s="13"/>
    </row>
    <row r="30193">
      <c r="L30193" s="13"/>
      <c r="M30193" s="14"/>
      <c r="N30193" s="14"/>
      <c r="O30193" s="14"/>
      <c r="P30193" s="13"/>
    </row>
    <row r="30194">
      <c r="L30194" s="13"/>
      <c r="M30194" s="14"/>
      <c r="N30194" s="14"/>
      <c r="O30194" s="14"/>
      <c r="P30194" s="13"/>
    </row>
    <row r="30195">
      <c r="L30195" s="13"/>
      <c r="M30195" s="14"/>
      <c r="N30195" s="14"/>
      <c r="O30195" s="14"/>
      <c r="P30195" s="13"/>
    </row>
    <row r="30196">
      <c r="L30196" s="13"/>
      <c r="M30196" s="14"/>
      <c r="N30196" s="14"/>
      <c r="O30196" s="14"/>
      <c r="P30196" s="13"/>
    </row>
    <row r="30197">
      <c r="L30197" s="13"/>
      <c r="M30197" s="14"/>
      <c r="N30197" s="14"/>
      <c r="O30197" s="14"/>
      <c r="P30197" s="13"/>
    </row>
    <row r="30198">
      <c r="L30198" s="13"/>
      <c r="M30198" s="14"/>
      <c r="N30198" s="14"/>
      <c r="O30198" s="14"/>
      <c r="P30198" s="13"/>
    </row>
    <row r="30199">
      <c r="L30199" s="13"/>
      <c r="M30199" s="14"/>
      <c r="N30199" s="14"/>
      <c r="O30199" s="14"/>
      <c r="P30199" s="13"/>
    </row>
    <row r="30200">
      <c r="L30200" s="13"/>
      <c r="M30200" s="14"/>
      <c r="N30200" s="14"/>
      <c r="O30200" s="14"/>
      <c r="P30200" s="13"/>
    </row>
    <row r="30201">
      <c r="L30201" s="13"/>
      <c r="M30201" s="14"/>
      <c r="N30201" s="14"/>
      <c r="O30201" s="14"/>
      <c r="P30201" s="13"/>
    </row>
    <row r="30202">
      <c r="L30202" s="13"/>
      <c r="M30202" s="14"/>
      <c r="N30202" s="14"/>
      <c r="O30202" s="14"/>
      <c r="P30202" s="13"/>
    </row>
    <row r="30203">
      <c r="L30203" s="13"/>
      <c r="M30203" s="14"/>
      <c r="N30203" s="14"/>
      <c r="O30203" s="14"/>
      <c r="P30203" s="13"/>
    </row>
    <row r="30204">
      <c r="L30204" s="13"/>
      <c r="M30204" s="14"/>
      <c r="N30204" s="14"/>
      <c r="O30204" s="14"/>
      <c r="P30204" s="13"/>
    </row>
    <row r="30205">
      <c r="L30205" s="13"/>
      <c r="M30205" s="14"/>
      <c r="N30205" s="14"/>
      <c r="O30205" s="14"/>
      <c r="P30205" s="13"/>
    </row>
    <row r="30206">
      <c r="L30206" s="13"/>
      <c r="M30206" s="14"/>
      <c r="N30206" s="14"/>
      <c r="O30206" s="14"/>
      <c r="P30206" s="13"/>
    </row>
    <row r="30207">
      <c r="L30207" s="13"/>
      <c r="M30207" s="14"/>
      <c r="N30207" s="14"/>
      <c r="O30207" s="14"/>
      <c r="P30207" s="13"/>
    </row>
    <row r="30208">
      <c r="L30208" s="13"/>
      <c r="M30208" s="14"/>
      <c r="N30208" s="14"/>
      <c r="O30208" s="14"/>
      <c r="P30208" s="13"/>
    </row>
    <row r="30209">
      <c r="L30209" s="13"/>
      <c r="M30209" s="14"/>
      <c r="N30209" s="14"/>
      <c r="O30209" s="14"/>
      <c r="P30209" s="13"/>
    </row>
    <row r="30210">
      <c r="L30210" s="13"/>
      <c r="M30210" s="14"/>
      <c r="N30210" s="14"/>
      <c r="O30210" s="14"/>
      <c r="P30210" s="13"/>
    </row>
    <row r="30211">
      <c r="L30211" s="13"/>
      <c r="M30211" s="14"/>
      <c r="N30211" s="14"/>
      <c r="O30211" s="14"/>
      <c r="P30211" s="13"/>
    </row>
    <row r="30212">
      <c r="L30212" s="13"/>
      <c r="M30212" s="14"/>
      <c r="N30212" s="14"/>
      <c r="O30212" s="14"/>
      <c r="P30212" s="13"/>
    </row>
    <row r="30213">
      <c r="L30213" s="13"/>
      <c r="M30213" s="14"/>
      <c r="N30213" s="14"/>
      <c r="O30213" s="14"/>
      <c r="P30213" s="13"/>
    </row>
    <row r="30214">
      <c r="L30214" s="13"/>
      <c r="M30214" s="14"/>
      <c r="N30214" s="14"/>
      <c r="O30214" s="14"/>
      <c r="P30214" s="13"/>
    </row>
    <row r="30215">
      <c r="L30215" s="13"/>
      <c r="M30215" s="14"/>
      <c r="N30215" s="14"/>
      <c r="O30215" s="14"/>
      <c r="P30215" s="13"/>
    </row>
    <row r="30216">
      <c r="L30216" s="13"/>
      <c r="M30216" s="14"/>
      <c r="N30216" s="14"/>
      <c r="O30216" s="14"/>
      <c r="P30216" s="13"/>
    </row>
    <row r="30217">
      <c r="L30217" s="13"/>
      <c r="M30217" s="14"/>
      <c r="N30217" s="14"/>
      <c r="O30217" s="14"/>
      <c r="P30217" s="13"/>
    </row>
    <row r="30218">
      <c r="L30218" s="13"/>
      <c r="M30218" s="14"/>
      <c r="N30218" s="14"/>
      <c r="O30218" s="14"/>
      <c r="P30218" s="13"/>
    </row>
    <row r="30219">
      <c r="L30219" s="13"/>
      <c r="M30219" s="14"/>
      <c r="N30219" s="14"/>
      <c r="O30219" s="14"/>
      <c r="P30219" s="13"/>
    </row>
    <row r="30220">
      <c r="L30220" s="13"/>
      <c r="M30220" s="14"/>
      <c r="N30220" s="14"/>
      <c r="O30220" s="14"/>
      <c r="P30220" s="13"/>
    </row>
    <row r="30221">
      <c r="L30221" s="13"/>
      <c r="M30221" s="14"/>
      <c r="N30221" s="14"/>
      <c r="O30221" s="14"/>
      <c r="P30221" s="13"/>
    </row>
    <row r="30222">
      <c r="L30222" s="13"/>
      <c r="M30222" s="14"/>
      <c r="N30222" s="14"/>
      <c r="O30222" s="14"/>
      <c r="P30222" s="13"/>
    </row>
    <row r="30223">
      <c r="L30223" s="13"/>
      <c r="M30223" s="14"/>
      <c r="N30223" s="14"/>
      <c r="O30223" s="14"/>
      <c r="P30223" s="13"/>
    </row>
    <row r="30224">
      <c r="L30224" s="13"/>
      <c r="M30224" s="14"/>
      <c r="N30224" s="14"/>
      <c r="O30224" s="14"/>
      <c r="P30224" s="13"/>
    </row>
    <row r="30225">
      <c r="L30225" s="13"/>
      <c r="M30225" s="14"/>
      <c r="N30225" s="14"/>
      <c r="O30225" s="14"/>
      <c r="P30225" s="13"/>
    </row>
    <row r="30226">
      <c r="L30226" s="13"/>
      <c r="M30226" s="14"/>
      <c r="N30226" s="14"/>
      <c r="O30226" s="14"/>
      <c r="P30226" s="13"/>
    </row>
    <row r="30227">
      <c r="L30227" s="13"/>
      <c r="M30227" s="14"/>
      <c r="N30227" s="14"/>
      <c r="O30227" s="14"/>
      <c r="P30227" s="13"/>
    </row>
    <row r="30228">
      <c r="L30228" s="13"/>
      <c r="M30228" s="14"/>
      <c r="N30228" s="14"/>
      <c r="O30228" s="14"/>
      <c r="P30228" s="13"/>
    </row>
    <row r="30229">
      <c r="L30229" s="13"/>
      <c r="M30229" s="14"/>
      <c r="N30229" s="14"/>
      <c r="O30229" s="14"/>
      <c r="P30229" s="13"/>
    </row>
    <row r="30230">
      <c r="L30230" s="13"/>
      <c r="M30230" s="14"/>
      <c r="N30230" s="14"/>
      <c r="O30230" s="14"/>
      <c r="P30230" s="13"/>
    </row>
    <row r="30231">
      <c r="L30231" s="13"/>
      <c r="M30231" s="14"/>
      <c r="N30231" s="14"/>
      <c r="O30231" s="14"/>
      <c r="P30231" s="13"/>
    </row>
    <row r="30232">
      <c r="L30232" s="13"/>
      <c r="M30232" s="14"/>
      <c r="N30232" s="14"/>
      <c r="O30232" s="14"/>
      <c r="P30232" s="13"/>
    </row>
    <row r="30233">
      <c r="L30233" s="13"/>
      <c r="M30233" s="14"/>
      <c r="N30233" s="14"/>
      <c r="O30233" s="14"/>
      <c r="P30233" s="13"/>
    </row>
    <row r="30234">
      <c r="L30234" s="13"/>
      <c r="M30234" s="14"/>
      <c r="N30234" s="14"/>
      <c r="O30234" s="14"/>
      <c r="P30234" s="13"/>
    </row>
    <row r="30235">
      <c r="L30235" s="13"/>
      <c r="M30235" s="14"/>
      <c r="N30235" s="14"/>
      <c r="O30235" s="14"/>
      <c r="P30235" s="13"/>
    </row>
    <row r="30236">
      <c r="L30236" s="13"/>
      <c r="M30236" s="14"/>
      <c r="N30236" s="14"/>
      <c r="O30236" s="14"/>
      <c r="P30236" s="13"/>
    </row>
    <row r="30237">
      <c r="L30237" s="13"/>
      <c r="M30237" s="14"/>
      <c r="N30237" s="14"/>
      <c r="O30237" s="14"/>
      <c r="P30237" s="13"/>
    </row>
    <row r="30238">
      <c r="L30238" s="13"/>
      <c r="M30238" s="14"/>
      <c r="N30238" s="14"/>
      <c r="O30238" s="14"/>
      <c r="P30238" s="13"/>
    </row>
    <row r="30239">
      <c r="L30239" s="13"/>
      <c r="M30239" s="14"/>
      <c r="N30239" s="14"/>
      <c r="O30239" s="14"/>
      <c r="P30239" s="13"/>
    </row>
    <row r="30240">
      <c r="L30240" s="13"/>
      <c r="M30240" s="14"/>
      <c r="N30240" s="14"/>
      <c r="O30240" s="14"/>
      <c r="P30240" s="13"/>
    </row>
    <row r="30241">
      <c r="L30241" s="13"/>
      <c r="M30241" s="14"/>
      <c r="N30241" s="14"/>
      <c r="O30241" s="14"/>
      <c r="P30241" s="13"/>
    </row>
    <row r="30242">
      <c r="L30242" s="13"/>
      <c r="M30242" s="14"/>
      <c r="N30242" s="14"/>
      <c r="O30242" s="14"/>
      <c r="P30242" s="13"/>
    </row>
    <row r="30243">
      <c r="L30243" s="13"/>
      <c r="M30243" s="14"/>
      <c r="N30243" s="14"/>
      <c r="O30243" s="14"/>
      <c r="P30243" s="13"/>
    </row>
    <row r="30244">
      <c r="L30244" s="13"/>
      <c r="M30244" s="14"/>
      <c r="N30244" s="14"/>
      <c r="O30244" s="14"/>
      <c r="P30244" s="13"/>
    </row>
    <row r="30245">
      <c r="L30245" s="13"/>
      <c r="M30245" s="14"/>
      <c r="N30245" s="14"/>
      <c r="O30245" s="14"/>
      <c r="P30245" s="13"/>
    </row>
    <row r="30246">
      <c r="L30246" s="13"/>
      <c r="M30246" s="14"/>
      <c r="N30246" s="14"/>
      <c r="O30246" s="14"/>
      <c r="P30246" s="13"/>
    </row>
    <row r="30247">
      <c r="L30247" s="13"/>
      <c r="M30247" s="14"/>
      <c r="N30247" s="14"/>
      <c r="O30247" s="14"/>
      <c r="P30247" s="13"/>
    </row>
    <row r="30248">
      <c r="L30248" s="13"/>
      <c r="M30248" s="14"/>
      <c r="N30248" s="14"/>
      <c r="O30248" s="14"/>
      <c r="P30248" s="13"/>
    </row>
    <row r="30249">
      <c r="L30249" s="13"/>
      <c r="M30249" s="14"/>
      <c r="N30249" s="14"/>
      <c r="O30249" s="14"/>
      <c r="P30249" s="13"/>
    </row>
    <row r="30250">
      <c r="L30250" s="13"/>
      <c r="M30250" s="14"/>
      <c r="N30250" s="14"/>
      <c r="O30250" s="14"/>
      <c r="P30250" s="13"/>
    </row>
    <row r="30251">
      <c r="L30251" s="13"/>
      <c r="M30251" s="14"/>
      <c r="N30251" s="14"/>
      <c r="O30251" s="14"/>
      <c r="P30251" s="13"/>
    </row>
    <row r="30252">
      <c r="L30252" s="13"/>
      <c r="M30252" s="14"/>
      <c r="N30252" s="14"/>
      <c r="O30252" s="14"/>
      <c r="P30252" s="13"/>
    </row>
    <row r="30253">
      <c r="L30253" s="13"/>
      <c r="M30253" s="14"/>
      <c r="N30253" s="14"/>
      <c r="O30253" s="14"/>
      <c r="P30253" s="13"/>
    </row>
    <row r="30254">
      <c r="L30254" s="13"/>
      <c r="M30254" s="14"/>
      <c r="N30254" s="14"/>
      <c r="O30254" s="14"/>
      <c r="P30254" s="13"/>
    </row>
    <row r="30255">
      <c r="L30255" s="13"/>
      <c r="M30255" s="14"/>
      <c r="N30255" s="14"/>
      <c r="O30255" s="14"/>
      <c r="P30255" s="13"/>
    </row>
    <row r="30256">
      <c r="L30256" s="13"/>
      <c r="M30256" s="14"/>
      <c r="N30256" s="14"/>
      <c r="O30256" s="14"/>
      <c r="P30256" s="13"/>
    </row>
    <row r="30257">
      <c r="L30257" s="13"/>
      <c r="M30257" s="14"/>
      <c r="N30257" s="14"/>
      <c r="O30257" s="14"/>
      <c r="P30257" s="13"/>
    </row>
    <row r="30258">
      <c r="L30258" s="13"/>
      <c r="M30258" s="14"/>
      <c r="N30258" s="14"/>
      <c r="O30258" s="14"/>
      <c r="P30258" s="13"/>
    </row>
    <row r="30259">
      <c r="L30259" s="13"/>
      <c r="M30259" s="14"/>
      <c r="N30259" s="14"/>
      <c r="O30259" s="14"/>
      <c r="P30259" s="13"/>
    </row>
    <row r="30260">
      <c r="L30260" s="13"/>
      <c r="M30260" s="14"/>
      <c r="N30260" s="14"/>
      <c r="O30260" s="14"/>
      <c r="P30260" s="13"/>
    </row>
    <row r="30261">
      <c r="L30261" s="13"/>
      <c r="M30261" s="14"/>
      <c r="N30261" s="14"/>
      <c r="O30261" s="14"/>
      <c r="P30261" s="13"/>
    </row>
    <row r="30262">
      <c r="L30262" s="13"/>
      <c r="M30262" s="14"/>
      <c r="N30262" s="14"/>
      <c r="O30262" s="14"/>
      <c r="P30262" s="13"/>
    </row>
    <row r="30263">
      <c r="L30263" s="13"/>
      <c r="M30263" s="14"/>
      <c r="N30263" s="14"/>
      <c r="O30263" s="14"/>
      <c r="P30263" s="13"/>
    </row>
    <row r="30264">
      <c r="L30264" s="13"/>
      <c r="M30264" s="14"/>
      <c r="N30264" s="14"/>
      <c r="O30264" s="14"/>
      <c r="P30264" s="13"/>
    </row>
    <row r="30265">
      <c r="L30265" s="13"/>
      <c r="M30265" s="14"/>
      <c r="N30265" s="14"/>
      <c r="O30265" s="14"/>
      <c r="P30265" s="13"/>
    </row>
    <row r="30266">
      <c r="L30266" s="13"/>
      <c r="M30266" s="14"/>
      <c r="N30266" s="14"/>
      <c r="O30266" s="14"/>
      <c r="P30266" s="13"/>
    </row>
    <row r="30267">
      <c r="L30267" s="13"/>
      <c r="M30267" s="14"/>
      <c r="N30267" s="14"/>
      <c r="O30267" s="14"/>
      <c r="P30267" s="13"/>
    </row>
    <row r="30268">
      <c r="L30268" s="13"/>
      <c r="M30268" s="14"/>
      <c r="N30268" s="14"/>
      <c r="O30268" s="14"/>
      <c r="P30268" s="13"/>
    </row>
    <row r="30269">
      <c r="L30269" s="13"/>
      <c r="M30269" s="14"/>
      <c r="N30269" s="14"/>
      <c r="O30269" s="14"/>
      <c r="P30269" s="13"/>
    </row>
    <row r="30270">
      <c r="L30270" s="13"/>
      <c r="M30270" s="14"/>
      <c r="N30270" s="14"/>
      <c r="O30270" s="14"/>
      <c r="P30270" s="13"/>
    </row>
    <row r="30271">
      <c r="L30271" s="13"/>
      <c r="M30271" s="14"/>
      <c r="N30271" s="14"/>
      <c r="O30271" s="14"/>
      <c r="P30271" s="13"/>
    </row>
    <row r="30272">
      <c r="L30272" s="13"/>
      <c r="M30272" s="14"/>
      <c r="N30272" s="14"/>
      <c r="O30272" s="14"/>
      <c r="P30272" s="13"/>
    </row>
    <row r="30273">
      <c r="L30273" s="13"/>
      <c r="M30273" s="14"/>
      <c r="N30273" s="14"/>
      <c r="O30273" s="14"/>
      <c r="P30273" s="13"/>
    </row>
    <row r="30274">
      <c r="L30274" s="13"/>
      <c r="M30274" s="14"/>
      <c r="N30274" s="14"/>
      <c r="O30274" s="14"/>
      <c r="P30274" s="13"/>
    </row>
    <row r="30275">
      <c r="L30275" s="13"/>
      <c r="M30275" s="14"/>
      <c r="N30275" s="14"/>
      <c r="O30275" s="14"/>
      <c r="P30275" s="13"/>
    </row>
    <row r="30276">
      <c r="L30276" s="13"/>
      <c r="M30276" s="14"/>
      <c r="N30276" s="14"/>
      <c r="O30276" s="14"/>
      <c r="P30276" s="13"/>
    </row>
    <row r="30277">
      <c r="L30277" s="13"/>
      <c r="M30277" s="14"/>
      <c r="N30277" s="14"/>
      <c r="O30277" s="14"/>
      <c r="P30277" s="13"/>
    </row>
    <row r="30278">
      <c r="L30278" s="13"/>
      <c r="M30278" s="14"/>
      <c r="N30278" s="14"/>
      <c r="O30278" s="14"/>
      <c r="P30278" s="13"/>
    </row>
    <row r="30279">
      <c r="L30279" s="13"/>
      <c r="M30279" s="14"/>
      <c r="N30279" s="14"/>
      <c r="O30279" s="14"/>
      <c r="P30279" s="13"/>
    </row>
    <row r="30280">
      <c r="L30280" s="13"/>
      <c r="M30280" s="14"/>
      <c r="N30280" s="14"/>
      <c r="O30280" s="14"/>
      <c r="P30280" s="13"/>
    </row>
    <row r="30281">
      <c r="L30281" s="13"/>
      <c r="M30281" s="14"/>
      <c r="N30281" s="14"/>
      <c r="O30281" s="14"/>
      <c r="P30281" s="13"/>
    </row>
    <row r="30282">
      <c r="L30282" s="13"/>
      <c r="M30282" s="14"/>
      <c r="N30282" s="14"/>
      <c r="O30282" s="14"/>
      <c r="P30282" s="13"/>
    </row>
    <row r="30283">
      <c r="L30283" s="13"/>
      <c r="M30283" s="14"/>
      <c r="N30283" s="14"/>
      <c r="O30283" s="14"/>
      <c r="P30283" s="13"/>
    </row>
    <row r="30284">
      <c r="L30284" s="13"/>
      <c r="M30284" s="14"/>
      <c r="N30284" s="14"/>
      <c r="O30284" s="14"/>
      <c r="P30284" s="13"/>
    </row>
    <row r="30285">
      <c r="L30285" s="13"/>
      <c r="M30285" s="14"/>
      <c r="N30285" s="14"/>
      <c r="O30285" s="14"/>
      <c r="P30285" s="13"/>
    </row>
    <row r="30286">
      <c r="L30286" s="13"/>
      <c r="M30286" s="14"/>
      <c r="N30286" s="14"/>
      <c r="O30286" s="14"/>
      <c r="P30286" s="13"/>
    </row>
    <row r="30287">
      <c r="L30287" s="13"/>
      <c r="M30287" s="14"/>
      <c r="N30287" s="14"/>
      <c r="O30287" s="14"/>
      <c r="P30287" s="13"/>
    </row>
    <row r="30288">
      <c r="L30288" s="13"/>
      <c r="M30288" s="14"/>
      <c r="N30288" s="14"/>
      <c r="O30288" s="14"/>
      <c r="P30288" s="13"/>
    </row>
    <row r="30289">
      <c r="L30289" s="13"/>
      <c r="M30289" s="14"/>
      <c r="N30289" s="14"/>
      <c r="O30289" s="14"/>
      <c r="P30289" s="13"/>
    </row>
    <row r="30290">
      <c r="L30290" s="13"/>
      <c r="M30290" s="14"/>
      <c r="N30290" s="14"/>
      <c r="O30290" s="14"/>
      <c r="P30290" s="13"/>
    </row>
    <row r="30291">
      <c r="L30291" s="13"/>
      <c r="M30291" s="14"/>
      <c r="N30291" s="14"/>
      <c r="O30291" s="14"/>
      <c r="P30291" s="13"/>
    </row>
    <row r="30292">
      <c r="L30292" s="13"/>
      <c r="M30292" s="14"/>
      <c r="N30292" s="14"/>
      <c r="O30292" s="14"/>
      <c r="P30292" s="13"/>
    </row>
    <row r="30293">
      <c r="L30293" s="13"/>
      <c r="M30293" s="14"/>
      <c r="N30293" s="14"/>
      <c r="O30293" s="14"/>
      <c r="P30293" s="13"/>
    </row>
    <row r="30294">
      <c r="L30294" s="13"/>
      <c r="M30294" s="14"/>
      <c r="N30294" s="14"/>
      <c r="O30294" s="14"/>
      <c r="P30294" s="13"/>
    </row>
    <row r="30295">
      <c r="L30295" s="13"/>
      <c r="M30295" s="14"/>
      <c r="N30295" s="14"/>
      <c r="O30295" s="14"/>
      <c r="P30295" s="13"/>
    </row>
    <row r="30296">
      <c r="L30296" s="13"/>
      <c r="M30296" s="14"/>
      <c r="N30296" s="14"/>
      <c r="O30296" s="14"/>
      <c r="P30296" s="13"/>
    </row>
    <row r="30297">
      <c r="L30297" s="13"/>
      <c r="M30297" s="14"/>
      <c r="N30297" s="14"/>
      <c r="O30297" s="14"/>
      <c r="P30297" s="13"/>
    </row>
    <row r="30298">
      <c r="L30298" s="13"/>
      <c r="M30298" s="14"/>
      <c r="N30298" s="14"/>
      <c r="O30298" s="14"/>
      <c r="P30298" s="13"/>
    </row>
    <row r="30299">
      <c r="L30299" s="13"/>
      <c r="M30299" s="14"/>
      <c r="N30299" s="14"/>
      <c r="O30299" s="14"/>
      <c r="P30299" s="13"/>
    </row>
    <row r="30300">
      <c r="L30300" s="13"/>
      <c r="M30300" s="14"/>
      <c r="N30300" s="14"/>
      <c r="O30300" s="14"/>
      <c r="P30300" s="13"/>
    </row>
    <row r="30301">
      <c r="L30301" s="13"/>
      <c r="M30301" s="14"/>
      <c r="N30301" s="14"/>
      <c r="O30301" s="14"/>
      <c r="P30301" s="13"/>
    </row>
    <row r="30302">
      <c r="L30302" s="13"/>
      <c r="M30302" s="14"/>
      <c r="N30302" s="14"/>
      <c r="O30302" s="14"/>
      <c r="P30302" s="13"/>
    </row>
    <row r="30303">
      <c r="L30303" s="13"/>
      <c r="M30303" s="14"/>
      <c r="N30303" s="14"/>
      <c r="O30303" s="14"/>
      <c r="P30303" s="13"/>
    </row>
    <row r="30304">
      <c r="L30304" s="13"/>
      <c r="M30304" s="14"/>
      <c r="N30304" s="14"/>
      <c r="O30304" s="14"/>
      <c r="P30304" s="13"/>
    </row>
    <row r="30305">
      <c r="L30305" s="13"/>
      <c r="M30305" s="14"/>
      <c r="N30305" s="14"/>
      <c r="O30305" s="14"/>
      <c r="P30305" s="13"/>
    </row>
    <row r="30306">
      <c r="L30306" s="13"/>
      <c r="M30306" s="14"/>
      <c r="N30306" s="14"/>
      <c r="O30306" s="14"/>
      <c r="P30306" s="13"/>
    </row>
    <row r="30307">
      <c r="L30307" s="13"/>
      <c r="M30307" s="14"/>
      <c r="N30307" s="14"/>
      <c r="O30307" s="14"/>
      <c r="P30307" s="13"/>
    </row>
    <row r="30308">
      <c r="L30308" s="13"/>
      <c r="M30308" s="14"/>
      <c r="N30308" s="14"/>
      <c r="O30308" s="14"/>
      <c r="P30308" s="13"/>
    </row>
    <row r="30309">
      <c r="L30309" s="13"/>
      <c r="M30309" s="14"/>
      <c r="N30309" s="14"/>
      <c r="O30309" s="14"/>
      <c r="P30309" s="13"/>
    </row>
    <row r="30310">
      <c r="L30310" s="13"/>
      <c r="M30310" s="14"/>
      <c r="N30310" s="14"/>
      <c r="O30310" s="14"/>
      <c r="P30310" s="13"/>
    </row>
    <row r="30311">
      <c r="L30311" s="13"/>
      <c r="M30311" s="14"/>
      <c r="N30311" s="14"/>
      <c r="O30311" s="14"/>
      <c r="P30311" s="13"/>
    </row>
    <row r="30312">
      <c r="L30312" s="13"/>
      <c r="M30312" s="14"/>
      <c r="N30312" s="14"/>
      <c r="O30312" s="14"/>
      <c r="P30312" s="13"/>
    </row>
    <row r="30313">
      <c r="L30313" s="13"/>
      <c r="M30313" s="14"/>
      <c r="N30313" s="14"/>
      <c r="O30313" s="14"/>
      <c r="P30313" s="13"/>
    </row>
    <row r="30314">
      <c r="L30314" s="13"/>
      <c r="M30314" s="14"/>
      <c r="N30314" s="14"/>
      <c r="O30314" s="14"/>
      <c r="P30314" s="13"/>
    </row>
    <row r="30315">
      <c r="L30315" s="13"/>
      <c r="M30315" s="14"/>
      <c r="N30315" s="14"/>
      <c r="O30315" s="14"/>
      <c r="P30315" s="13"/>
    </row>
    <row r="30316">
      <c r="L30316" s="13"/>
      <c r="M30316" s="14"/>
      <c r="N30316" s="14"/>
      <c r="O30316" s="14"/>
      <c r="P30316" s="13"/>
    </row>
    <row r="30317">
      <c r="L30317" s="13"/>
      <c r="M30317" s="14"/>
      <c r="N30317" s="14"/>
      <c r="O30317" s="14"/>
      <c r="P30317" s="13"/>
    </row>
    <row r="30318">
      <c r="L30318" s="13"/>
      <c r="M30318" s="14"/>
      <c r="N30318" s="14"/>
      <c r="O30318" s="14"/>
      <c r="P30318" s="13"/>
    </row>
    <row r="30319">
      <c r="L30319" s="13"/>
      <c r="M30319" s="14"/>
      <c r="N30319" s="14"/>
      <c r="O30319" s="14"/>
      <c r="P30319" s="13"/>
    </row>
    <row r="30320">
      <c r="L30320" s="13"/>
      <c r="M30320" s="14"/>
      <c r="N30320" s="14"/>
      <c r="O30320" s="14"/>
      <c r="P30320" s="13"/>
    </row>
    <row r="30321">
      <c r="L30321" s="13"/>
      <c r="M30321" s="14"/>
      <c r="N30321" s="14"/>
      <c r="O30321" s="14"/>
      <c r="P30321" s="13"/>
    </row>
    <row r="30322">
      <c r="L30322" s="13"/>
      <c r="M30322" s="14"/>
      <c r="N30322" s="14"/>
      <c r="O30322" s="14"/>
      <c r="P30322" s="13"/>
    </row>
    <row r="30323">
      <c r="L30323" s="13"/>
      <c r="M30323" s="14"/>
      <c r="N30323" s="14"/>
      <c r="O30323" s="14"/>
      <c r="P30323" s="13"/>
    </row>
    <row r="30324">
      <c r="L30324" s="13"/>
      <c r="M30324" s="14"/>
      <c r="N30324" s="14"/>
      <c r="O30324" s="14"/>
      <c r="P30324" s="13"/>
    </row>
    <row r="30325">
      <c r="L30325" s="13"/>
      <c r="M30325" s="14"/>
      <c r="N30325" s="14"/>
      <c r="O30325" s="14"/>
      <c r="P30325" s="13"/>
    </row>
    <row r="30326">
      <c r="L30326" s="13"/>
      <c r="M30326" s="14"/>
      <c r="N30326" s="14"/>
      <c r="O30326" s="14"/>
      <c r="P30326" s="13"/>
    </row>
    <row r="30327">
      <c r="L30327" s="13"/>
      <c r="M30327" s="14"/>
      <c r="N30327" s="14"/>
      <c r="O30327" s="14"/>
      <c r="P30327" s="13"/>
    </row>
    <row r="30328">
      <c r="L30328" s="13"/>
      <c r="M30328" s="14"/>
      <c r="N30328" s="14"/>
      <c r="O30328" s="14"/>
      <c r="P30328" s="13"/>
    </row>
    <row r="30329">
      <c r="L30329" s="13"/>
      <c r="M30329" s="14"/>
      <c r="N30329" s="14"/>
      <c r="O30329" s="14"/>
      <c r="P30329" s="13"/>
    </row>
    <row r="30330">
      <c r="L30330" s="13"/>
      <c r="M30330" s="14"/>
      <c r="N30330" s="14"/>
      <c r="O30330" s="14"/>
      <c r="P30330" s="13"/>
    </row>
    <row r="30331">
      <c r="L30331" s="13"/>
      <c r="M30331" s="14"/>
      <c r="N30331" s="14"/>
      <c r="O30331" s="14"/>
      <c r="P30331" s="13"/>
    </row>
    <row r="30332">
      <c r="L30332" s="13"/>
      <c r="M30332" s="14"/>
      <c r="N30332" s="14"/>
      <c r="O30332" s="14"/>
      <c r="P30332" s="13"/>
    </row>
    <row r="30333">
      <c r="L30333" s="13"/>
      <c r="M30333" s="14"/>
      <c r="N30333" s="14"/>
      <c r="O30333" s="14"/>
      <c r="P30333" s="13"/>
    </row>
    <row r="30334">
      <c r="L30334" s="13"/>
      <c r="M30334" s="14"/>
      <c r="N30334" s="14"/>
      <c r="O30334" s="14"/>
      <c r="P30334" s="13"/>
    </row>
    <row r="30335">
      <c r="L30335" s="13"/>
      <c r="M30335" s="14"/>
      <c r="N30335" s="14"/>
      <c r="O30335" s="14"/>
      <c r="P30335" s="13"/>
    </row>
    <row r="30336">
      <c r="L30336" s="13"/>
      <c r="M30336" s="14"/>
      <c r="N30336" s="14"/>
      <c r="O30336" s="14"/>
      <c r="P30336" s="13"/>
    </row>
    <row r="30337">
      <c r="L30337" s="13"/>
      <c r="M30337" s="14"/>
      <c r="N30337" s="14"/>
      <c r="O30337" s="14"/>
      <c r="P30337" s="13"/>
    </row>
    <row r="30338">
      <c r="L30338" s="13"/>
      <c r="M30338" s="14"/>
      <c r="N30338" s="14"/>
      <c r="O30338" s="14"/>
      <c r="P30338" s="13"/>
    </row>
    <row r="30339">
      <c r="L30339" s="13"/>
      <c r="M30339" s="14"/>
      <c r="N30339" s="14"/>
      <c r="O30339" s="14"/>
      <c r="P30339" s="13"/>
    </row>
    <row r="30340">
      <c r="L30340" s="13"/>
      <c r="M30340" s="14"/>
      <c r="N30340" s="14"/>
      <c r="O30340" s="14"/>
      <c r="P30340" s="13"/>
    </row>
    <row r="30341">
      <c r="L30341" s="13"/>
      <c r="M30341" s="14"/>
      <c r="N30341" s="14"/>
      <c r="O30341" s="14"/>
      <c r="P30341" s="13"/>
    </row>
    <row r="30342">
      <c r="L30342" s="13"/>
      <c r="M30342" s="14"/>
      <c r="N30342" s="14"/>
      <c r="O30342" s="14"/>
      <c r="P30342" s="13"/>
    </row>
    <row r="30343">
      <c r="L30343" s="13"/>
      <c r="M30343" s="14"/>
      <c r="N30343" s="14"/>
      <c r="O30343" s="14"/>
      <c r="P30343" s="13"/>
    </row>
    <row r="30344">
      <c r="L30344" s="13"/>
      <c r="M30344" s="14"/>
      <c r="N30344" s="14"/>
      <c r="O30344" s="14"/>
      <c r="P30344" s="13"/>
    </row>
    <row r="30345">
      <c r="L30345" s="13"/>
      <c r="M30345" s="14"/>
      <c r="N30345" s="14"/>
      <c r="O30345" s="14"/>
      <c r="P30345" s="13"/>
    </row>
    <row r="30346">
      <c r="L30346" s="13"/>
      <c r="M30346" s="14"/>
      <c r="N30346" s="14"/>
      <c r="O30346" s="14"/>
      <c r="P30346" s="13"/>
    </row>
    <row r="30347">
      <c r="L30347" s="13"/>
      <c r="M30347" s="14"/>
      <c r="N30347" s="14"/>
      <c r="O30347" s="14"/>
      <c r="P30347" s="13"/>
    </row>
    <row r="30348">
      <c r="L30348" s="13"/>
      <c r="M30348" s="14"/>
      <c r="N30348" s="14"/>
      <c r="O30348" s="14"/>
      <c r="P30348" s="13"/>
    </row>
    <row r="30349">
      <c r="L30349" s="13"/>
      <c r="M30349" s="14"/>
      <c r="N30349" s="14"/>
      <c r="O30349" s="14"/>
      <c r="P30349" s="13"/>
    </row>
    <row r="30350">
      <c r="L30350" s="13"/>
      <c r="M30350" s="14"/>
      <c r="N30350" s="14"/>
      <c r="O30350" s="14"/>
      <c r="P30350" s="13"/>
    </row>
    <row r="30351">
      <c r="L30351" s="13"/>
      <c r="M30351" s="14"/>
      <c r="N30351" s="14"/>
      <c r="O30351" s="14"/>
      <c r="P30351" s="13"/>
    </row>
    <row r="30352">
      <c r="L30352" s="13"/>
      <c r="M30352" s="14"/>
      <c r="N30352" s="14"/>
      <c r="O30352" s="14"/>
      <c r="P30352" s="13"/>
    </row>
    <row r="30353">
      <c r="L30353" s="13"/>
      <c r="M30353" s="14"/>
      <c r="N30353" s="14"/>
      <c r="O30353" s="14"/>
      <c r="P30353" s="13"/>
    </row>
    <row r="30354">
      <c r="L30354" s="13"/>
      <c r="M30354" s="14"/>
      <c r="N30354" s="14"/>
      <c r="O30354" s="14"/>
      <c r="P30354" s="13"/>
    </row>
    <row r="30355">
      <c r="L30355" s="13"/>
      <c r="M30355" s="14"/>
      <c r="N30355" s="14"/>
      <c r="O30355" s="14"/>
      <c r="P30355" s="13"/>
    </row>
    <row r="30356">
      <c r="L30356" s="13"/>
      <c r="M30356" s="14"/>
      <c r="N30356" s="14"/>
      <c r="O30356" s="14"/>
      <c r="P30356" s="13"/>
    </row>
    <row r="30357">
      <c r="L30357" s="13"/>
      <c r="M30357" s="14"/>
      <c r="N30357" s="14"/>
      <c r="O30357" s="14"/>
      <c r="P30357" s="13"/>
    </row>
    <row r="30358">
      <c r="L30358" s="13"/>
      <c r="M30358" s="14"/>
      <c r="N30358" s="14"/>
      <c r="O30358" s="14"/>
      <c r="P30358" s="13"/>
    </row>
    <row r="30359">
      <c r="L30359" s="13"/>
      <c r="M30359" s="14"/>
      <c r="N30359" s="14"/>
      <c r="O30359" s="14"/>
      <c r="P30359" s="13"/>
    </row>
    <row r="30360">
      <c r="L30360" s="13"/>
      <c r="M30360" s="14"/>
      <c r="N30360" s="14"/>
      <c r="O30360" s="14"/>
      <c r="P30360" s="13"/>
    </row>
    <row r="30361">
      <c r="L30361" s="13"/>
      <c r="M30361" s="14"/>
      <c r="N30361" s="14"/>
      <c r="O30361" s="14"/>
      <c r="P30361" s="13"/>
    </row>
    <row r="30362">
      <c r="L30362" s="13"/>
      <c r="M30362" s="14"/>
      <c r="N30362" s="14"/>
      <c r="O30362" s="14"/>
      <c r="P30362" s="13"/>
    </row>
    <row r="30363">
      <c r="L30363" s="13"/>
      <c r="M30363" s="14"/>
      <c r="N30363" s="14"/>
      <c r="O30363" s="14"/>
      <c r="P30363" s="13"/>
    </row>
    <row r="30364">
      <c r="L30364" s="13"/>
      <c r="M30364" s="14"/>
      <c r="N30364" s="14"/>
      <c r="O30364" s="14"/>
      <c r="P30364" s="13"/>
    </row>
    <row r="30365">
      <c r="L30365" s="13"/>
      <c r="M30365" s="14"/>
      <c r="N30365" s="14"/>
      <c r="O30365" s="14"/>
      <c r="P30365" s="13"/>
    </row>
    <row r="30366">
      <c r="L30366" s="13"/>
      <c r="M30366" s="14"/>
      <c r="N30366" s="14"/>
      <c r="O30366" s="14"/>
      <c r="P30366" s="13"/>
    </row>
    <row r="30367">
      <c r="L30367" s="13"/>
      <c r="M30367" s="14"/>
      <c r="N30367" s="14"/>
      <c r="O30367" s="14"/>
      <c r="P30367" s="13"/>
    </row>
    <row r="30368">
      <c r="L30368" s="13"/>
      <c r="M30368" s="14"/>
      <c r="N30368" s="14"/>
      <c r="O30368" s="14"/>
      <c r="P30368" s="13"/>
    </row>
    <row r="30369">
      <c r="L30369" s="13"/>
      <c r="M30369" s="14"/>
      <c r="N30369" s="14"/>
      <c r="O30369" s="14"/>
      <c r="P30369" s="13"/>
    </row>
    <row r="30370">
      <c r="L30370" s="13"/>
      <c r="M30370" s="14"/>
      <c r="N30370" s="14"/>
      <c r="O30370" s="14"/>
      <c r="P30370" s="13"/>
    </row>
    <row r="30371">
      <c r="L30371" s="13"/>
      <c r="M30371" s="14"/>
      <c r="N30371" s="14"/>
      <c r="O30371" s="14"/>
      <c r="P30371" s="13"/>
    </row>
    <row r="30372">
      <c r="L30372" s="13"/>
      <c r="M30372" s="14"/>
      <c r="N30372" s="14"/>
      <c r="O30372" s="14"/>
      <c r="P30372" s="13"/>
    </row>
    <row r="30373">
      <c r="L30373" s="13"/>
      <c r="M30373" s="14"/>
      <c r="N30373" s="14"/>
      <c r="O30373" s="14"/>
      <c r="P30373" s="13"/>
    </row>
    <row r="30374">
      <c r="L30374" s="13"/>
      <c r="M30374" s="14"/>
      <c r="N30374" s="14"/>
      <c r="O30374" s="14"/>
      <c r="P30374" s="13"/>
    </row>
    <row r="30375">
      <c r="L30375" s="13"/>
      <c r="M30375" s="14"/>
      <c r="N30375" s="14"/>
      <c r="O30375" s="14"/>
      <c r="P30375" s="13"/>
    </row>
    <row r="30376">
      <c r="L30376" s="13"/>
      <c r="M30376" s="14"/>
      <c r="N30376" s="14"/>
      <c r="O30376" s="14"/>
      <c r="P30376" s="13"/>
    </row>
    <row r="30377">
      <c r="L30377" s="13"/>
      <c r="M30377" s="14"/>
      <c r="N30377" s="14"/>
      <c r="O30377" s="14"/>
      <c r="P30377" s="13"/>
    </row>
    <row r="30378">
      <c r="L30378" s="13"/>
      <c r="M30378" s="14"/>
      <c r="N30378" s="14"/>
      <c r="O30378" s="14"/>
      <c r="P30378" s="13"/>
    </row>
    <row r="30379">
      <c r="L30379" s="13"/>
      <c r="M30379" s="14"/>
      <c r="N30379" s="14"/>
      <c r="O30379" s="14"/>
      <c r="P30379" s="13"/>
    </row>
    <row r="30380">
      <c r="L30380" s="13"/>
      <c r="M30380" s="14"/>
      <c r="N30380" s="14"/>
      <c r="O30380" s="14"/>
      <c r="P30380" s="13"/>
    </row>
    <row r="30381">
      <c r="L30381" s="13"/>
      <c r="M30381" s="14"/>
      <c r="N30381" s="14"/>
      <c r="O30381" s="14"/>
      <c r="P30381" s="13"/>
    </row>
    <row r="30382">
      <c r="L30382" s="13"/>
      <c r="M30382" s="14"/>
      <c r="N30382" s="14"/>
      <c r="O30382" s="14"/>
      <c r="P30382" s="13"/>
    </row>
    <row r="30383">
      <c r="L30383" s="13"/>
      <c r="M30383" s="14"/>
      <c r="N30383" s="14"/>
      <c r="O30383" s="14"/>
      <c r="P30383" s="13"/>
    </row>
    <row r="30384">
      <c r="L30384" s="13"/>
      <c r="M30384" s="14"/>
      <c r="N30384" s="14"/>
      <c r="O30384" s="14"/>
      <c r="P30384" s="13"/>
    </row>
    <row r="30385">
      <c r="L30385" s="13"/>
      <c r="M30385" s="14"/>
      <c r="N30385" s="14"/>
      <c r="O30385" s="14"/>
      <c r="P30385" s="13"/>
    </row>
    <row r="30386">
      <c r="L30386" s="13"/>
      <c r="M30386" s="14"/>
      <c r="N30386" s="14"/>
      <c r="O30386" s="14"/>
      <c r="P30386" s="13"/>
    </row>
    <row r="30387">
      <c r="L30387" s="13"/>
      <c r="M30387" s="14"/>
      <c r="N30387" s="14"/>
      <c r="O30387" s="14"/>
      <c r="P30387" s="13"/>
    </row>
    <row r="30388">
      <c r="L30388" s="13"/>
      <c r="M30388" s="14"/>
      <c r="N30388" s="14"/>
      <c r="O30388" s="14"/>
      <c r="P30388" s="13"/>
    </row>
    <row r="30389">
      <c r="L30389" s="13"/>
      <c r="M30389" s="14"/>
      <c r="N30389" s="14"/>
      <c r="O30389" s="14"/>
      <c r="P30389" s="13"/>
    </row>
    <row r="30390">
      <c r="L30390" s="13"/>
      <c r="M30390" s="14"/>
      <c r="N30390" s="14"/>
      <c r="O30390" s="14"/>
      <c r="P30390" s="13"/>
    </row>
    <row r="30391">
      <c r="L30391" s="13"/>
      <c r="M30391" s="14"/>
      <c r="N30391" s="14"/>
      <c r="O30391" s="14"/>
      <c r="P30391" s="13"/>
    </row>
    <row r="30392">
      <c r="L30392" s="13"/>
      <c r="M30392" s="14"/>
      <c r="N30392" s="14"/>
      <c r="O30392" s="14"/>
      <c r="P30392" s="13"/>
    </row>
    <row r="30393">
      <c r="L30393" s="13"/>
      <c r="M30393" s="14"/>
      <c r="N30393" s="14"/>
      <c r="O30393" s="14"/>
      <c r="P30393" s="13"/>
    </row>
    <row r="30394">
      <c r="L30394" s="13"/>
      <c r="M30394" s="14"/>
      <c r="N30394" s="14"/>
      <c r="O30394" s="14"/>
      <c r="P30394" s="13"/>
    </row>
    <row r="30395">
      <c r="L30395" s="13"/>
      <c r="M30395" s="14"/>
      <c r="N30395" s="14"/>
      <c r="O30395" s="14"/>
      <c r="P30395" s="13"/>
    </row>
    <row r="30396">
      <c r="L30396" s="13"/>
      <c r="M30396" s="14"/>
      <c r="N30396" s="14"/>
      <c r="O30396" s="14"/>
      <c r="P30396" s="13"/>
    </row>
    <row r="30397">
      <c r="L30397" s="13"/>
      <c r="M30397" s="14"/>
      <c r="N30397" s="14"/>
      <c r="O30397" s="14"/>
      <c r="P30397" s="13"/>
    </row>
    <row r="30398">
      <c r="L30398" s="13"/>
      <c r="M30398" s="14"/>
      <c r="N30398" s="14"/>
      <c r="O30398" s="14"/>
      <c r="P30398" s="13"/>
    </row>
    <row r="30399">
      <c r="L30399" s="13"/>
      <c r="M30399" s="14"/>
      <c r="N30399" s="14"/>
      <c r="O30399" s="14"/>
      <c r="P30399" s="13"/>
    </row>
    <row r="30400">
      <c r="L30400" s="13"/>
      <c r="M30400" s="14"/>
      <c r="N30400" s="14"/>
      <c r="O30400" s="14"/>
      <c r="P30400" s="13"/>
    </row>
    <row r="30401">
      <c r="L30401" s="13"/>
      <c r="M30401" s="14"/>
      <c r="N30401" s="14"/>
      <c r="O30401" s="14"/>
      <c r="P30401" s="13"/>
    </row>
    <row r="30402">
      <c r="L30402" s="13"/>
      <c r="M30402" s="14"/>
      <c r="N30402" s="14"/>
      <c r="O30402" s="14"/>
      <c r="P30402" s="13"/>
    </row>
    <row r="30403">
      <c r="L30403" s="13"/>
      <c r="M30403" s="14"/>
      <c r="N30403" s="14"/>
      <c r="O30403" s="14"/>
      <c r="P30403" s="13"/>
    </row>
    <row r="30404">
      <c r="L30404" s="13"/>
      <c r="M30404" s="14"/>
      <c r="N30404" s="14"/>
      <c r="O30404" s="14"/>
      <c r="P30404" s="13"/>
    </row>
    <row r="30405">
      <c r="L30405" s="13"/>
      <c r="M30405" s="14"/>
      <c r="N30405" s="14"/>
      <c r="O30405" s="14"/>
      <c r="P30405" s="13"/>
    </row>
    <row r="30406">
      <c r="L30406" s="13"/>
      <c r="M30406" s="14"/>
      <c r="N30406" s="14"/>
      <c r="O30406" s="14"/>
      <c r="P30406" s="13"/>
    </row>
    <row r="30407">
      <c r="L30407" s="13"/>
      <c r="M30407" s="14"/>
      <c r="N30407" s="14"/>
      <c r="O30407" s="14"/>
      <c r="P30407" s="13"/>
    </row>
    <row r="30408">
      <c r="L30408" s="13"/>
      <c r="M30408" s="14"/>
      <c r="N30408" s="14"/>
      <c r="O30408" s="14"/>
      <c r="P30408" s="13"/>
    </row>
    <row r="30409">
      <c r="L30409" s="13"/>
      <c r="M30409" s="14"/>
      <c r="N30409" s="14"/>
      <c r="O30409" s="14"/>
      <c r="P30409" s="13"/>
    </row>
    <row r="30410">
      <c r="L30410" s="13"/>
      <c r="M30410" s="14"/>
      <c r="N30410" s="14"/>
      <c r="O30410" s="14"/>
      <c r="P30410" s="13"/>
    </row>
    <row r="30411">
      <c r="L30411" s="13"/>
      <c r="M30411" s="14"/>
      <c r="N30411" s="14"/>
      <c r="O30411" s="14"/>
      <c r="P30411" s="13"/>
    </row>
    <row r="30412">
      <c r="L30412" s="13"/>
      <c r="M30412" s="14"/>
      <c r="N30412" s="14"/>
      <c r="O30412" s="14"/>
      <c r="P30412" s="13"/>
    </row>
    <row r="30413">
      <c r="L30413" s="13"/>
      <c r="M30413" s="14"/>
      <c r="N30413" s="14"/>
      <c r="O30413" s="14"/>
      <c r="P30413" s="13"/>
    </row>
    <row r="30414">
      <c r="L30414" s="13"/>
      <c r="M30414" s="14"/>
      <c r="N30414" s="14"/>
      <c r="O30414" s="14"/>
      <c r="P30414" s="13"/>
    </row>
    <row r="30415">
      <c r="L30415" s="13"/>
      <c r="M30415" s="14"/>
      <c r="N30415" s="14"/>
      <c r="O30415" s="14"/>
      <c r="P30415" s="13"/>
    </row>
    <row r="30416">
      <c r="L30416" s="13"/>
      <c r="M30416" s="14"/>
      <c r="N30416" s="14"/>
      <c r="O30416" s="14"/>
      <c r="P30416" s="13"/>
    </row>
    <row r="30417">
      <c r="L30417" s="13"/>
      <c r="M30417" s="14"/>
      <c r="N30417" s="14"/>
      <c r="O30417" s="14"/>
      <c r="P30417" s="13"/>
    </row>
    <row r="30418">
      <c r="L30418" s="13"/>
      <c r="M30418" s="14"/>
      <c r="N30418" s="14"/>
      <c r="O30418" s="14"/>
      <c r="P30418" s="13"/>
    </row>
    <row r="30419">
      <c r="L30419" s="13"/>
      <c r="M30419" s="14"/>
      <c r="N30419" s="14"/>
      <c r="O30419" s="14"/>
      <c r="P30419" s="13"/>
    </row>
    <row r="30420">
      <c r="L30420" s="13"/>
      <c r="M30420" s="14"/>
      <c r="N30420" s="14"/>
      <c r="O30420" s="14"/>
      <c r="P30420" s="13"/>
    </row>
    <row r="30421">
      <c r="L30421" s="13"/>
      <c r="M30421" s="14"/>
      <c r="N30421" s="14"/>
      <c r="O30421" s="14"/>
      <c r="P30421" s="13"/>
    </row>
    <row r="30422">
      <c r="L30422" s="13"/>
      <c r="M30422" s="14"/>
      <c r="N30422" s="14"/>
      <c r="O30422" s="14"/>
      <c r="P30422" s="13"/>
    </row>
    <row r="30423">
      <c r="L30423" s="13"/>
      <c r="M30423" s="14"/>
      <c r="N30423" s="14"/>
      <c r="O30423" s="14"/>
      <c r="P30423" s="13"/>
    </row>
    <row r="30424">
      <c r="L30424" s="13"/>
      <c r="M30424" s="14"/>
      <c r="N30424" s="14"/>
      <c r="O30424" s="14"/>
      <c r="P30424" s="13"/>
    </row>
    <row r="30425">
      <c r="L30425" s="13"/>
      <c r="M30425" s="14"/>
      <c r="N30425" s="14"/>
      <c r="O30425" s="14"/>
      <c r="P30425" s="13"/>
    </row>
    <row r="30426">
      <c r="L30426" s="13"/>
      <c r="M30426" s="14"/>
      <c r="N30426" s="14"/>
      <c r="O30426" s="14"/>
      <c r="P30426" s="13"/>
    </row>
    <row r="30427">
      <c r="L30427" s="13"/>
      <c r="M30427" s="14"/>
      <c r="N30427" s="14"/>
      <c r="O30427" s="14"/>
      <c r="P30427" s="13"/>
    </row>
    <row r="30428">
      <c r="L30428" s="13"/>
      <c r="M30428" s="14"/>
      <c r="N30428" s="14"/>
      <c r="O30428" s="14"/>
      <c r="P30428" s="13"/>
    </row>
    <row r="30429">
      <c r="L30429" s="13"/>
      <c r="M30429" s="14"/>
      <c r="N30429" s="14"/>
      <c r="O30429" s="14"/>
      <c r="P30429" s="13"/>
    </row>
    <row r="30430">
      <c r="L30430" s="13"/>
      <c r="M30430" s="14"/>
      <c r="N30430" s="14"/>
      <c r="O30430" s="14"/>
      <c r="P30430" s="13"/>
    </row>
    <row r="30431">
      <c r="L30431" s="13"/>
      <c r="M30431" s="14"/>
      <c r="N30431" s="14"/>
      <c r="O30431" s="14"/>
      <c r="P30431" s="13"/>
    </row>
    <row r="30432">
      <c r="L30432" s="13"/>
      <c r="M30432" s="14"/>
      <c r="N30432" s="14"/>
      <c r="O30432" s="14"/>
      <c r="P30432" s="13"/>
    </row>
    <row r="30433">
      <c r="L30433" s="13"/>
      <c r="M30433" s="14"/>
      <c r="N30433" s="14"/>
      <c r="O30433" s="14"/>
      <c r="P30433" s="13"/>
    </row>
    <row r="30434">
      <c r="L30434" s="13"/>
      <c r="M30434" s="14"/>
      <c r="N30434" s="14"/>
      <c r="O30434" s="14"/>
      <c r="P30434" s="13"/>
    </row>
    <row r="30435">
      <c r="L30435" s="13"/>
      <c r="M30435" s="14"/>
      <c r="N30435" s="14"/>
      <c r="O30435" s="14"/>
      <c r="P30435" s="13"/>
    </row>
    <row r="30436">
      <c r="L30436" s="13"/>
      <c r="M30436" s="14"/>
      <c r="N30436" s="14"/>
      <c r="O30436" s="14"/>
      <c r="P30436" s="13"/>
    </row>
    <row r="30437">
      <c r="L30437" s="13"/>
      <c r="M30437" s="14"/>
      <c r="N30437" s="14"/>
      <c r="O30437" s="14"/>
      <c r="P30437" s="13"/>
    </row>
    <row r="30438">
      <c r="L30438" s="13"/>
      <c r="M30438" s="14"/>
      <c r="N30438" s="14"/>
      <c r="O30438" s="14"/>
      <c r="P30438" s="13"/>
    </row>
    <row r="30439">
      <c r="L30439" s="13"/>
      <c r="M30439" s="14"/>
      <c r="N30439" s="14"/>
      <c r="O30439" s="14"/>
      <c r="P30439" s="13"/>
    </row>
    <row r="30440">
      <c r="L30440" s="13"/>
      <c r="M30440" s="14"/>
      <c r="N30440" s="14"/>
      <c r="O30440" s="14"/>
      <c r="P30440" s="13"/>
    </row>
    <row r="30441">
      <c r="L30441" s="13"/>
      <c r="M30441" s="14"/>
      <c r="N30441" s="14"/>
      <c r="O30441" s="14"/>
      <c r="P30441" s="13"/>
    </row>
    <row r="30442">
      <c r="L30442" s="13"/>
      <c r="M30442" s="14"/>
      <c r="N30442" s="14"/>
      <c r="O30442" s="14"/>
      <c r="P30442" s="13"/>
    </row>
    <row r="30443">
      <c r="L30443" s="13"/>
      <c r="M30443" s="14"/>
      <c r="N30443" s="14"/>
      <c r="O30443" s="14"/>
      <c r="P30443" s="13"/>
    </row>
    <row r="30444">
      <c r="L30444" s="13"/>
      <c r="M30444" s="14"/>
      <c r="N30444" s="14"/>
      <c r="O30444" s="14"/>
      <c r="P30444" s="13"/>
    </row>
    <row r="30445">
      <c r="L30445" s="13"/>
      <c r="M30445" s="14"/>
      <c r="N30445" s="14"/>
      <c r="O30445" s="14"/>
      <c r="P30445" s="13"/>
    </row>
    <row r="30446">
      <c r="L30446" s="13"/>
      <c r="M30446" s="14"/>
      <c r="N30446" s="14"/>
      <c r="O30446" s="14"/>
      <c r="P30446" s="13"/>
    </row>
    <row r="30447">
      <c r="L30447" s="13"/>
      <c r="M30447" s="14"/>
      <c r="N30447" s="14"/>
      <c r="O30447" s="14"/>
      <c r="P30447" s="13"/>
    </row>
    <row r="30448">
      <c r="L30448" s="13"/>
      <c r="M30448" s="14"/>
      <c r="N30448" s="14"/>
      <c r="O30448" s="14"/>
      <c r="P30448" s="13"/>
    </row>
    <row r="30449">
      <c r="L30449" s="13"/>
      <c r="M30449" s="14"/>
      <c r="N30449" s="14"/>
      <c r="O30449" s="14"/>
      <c r="P30449" s="13"/>
    </row>
    <row r="30450">
      <c r="L30450" s="13"/>
      <c r="M30450" s="14"/>
      <c r="N30450" s="14"/>
      <c r="O30450" s="14"/>
      <c r="P30450" s="13"/>
    </row>
    <row r="30451">
      <c r="L30451" s="13"/>
      <c r="M30451" s="14"/>
      <c r="N30451" s="14"/>
      <c r="O30451" s="14"/>
      <c r="P30451" s="13"/>
    </row>
    <row r="30452">
      <c r="L30452" s="13"/>
      <c r="M30452" s="14"/>
      <c r="N30452" s="14"/>
      <c r="O30452" s="14"/>
      <c r="P30452" s="13"/>
    </row>
    <row r="30453">
      <c r="L30453" s="13"/>
      <c r="M30453" s="14"/>
      <c r="N30453" s="14"/>
      <c r="O30453" s="14"/>
      <c r="P30453" s="13"/>
    </row>
    <row r="30454">
      <c r="L30454" s="13"/>
      <c r="M30454" s="14"/>
      <c r="N30454" s="14"/>
      <c r="O30454" s="14"/>
      <c r="P30454" s="13"/>
    </row>
    <row r="30455">
      <c r="L30455" s="13"/>
      <c r="M30455" s="14"/>
      <c r="N30455" s="14"/>
      <c r="O30455" s="14"/>
      <c r="P30455" s="13"/>
    </row>
    <row r="30456">
      <c r="L30456" s="13"/>
      <c r="M30456" s="14"/>
      <c r="N30456" s="14"/>
      <c r="O30456" s="14"/>
      <c r="P30456" s="13"/>
    </row>
    <row r="30457">
      <c r="L30457" s="13"/>
      <c r="M30457" s="14"/>
      <c r="N30457" s="14"/>
      <c r="O30457" s="14"/>
      <c r="P30457" s="13"/>
    </row>
    <row r="30458">
      <c r="L30458" s="13"/>
      <c r="M30458" s="14"/>
      <c r="N30458" s="14"/>
      <c r="O30458" s="14"/>
      <c r="P30458" s="13"/>
    </row>
    <row r="30459">
      <c r="L30459" s="13"/>
      <c r="M30459" s="14"/>
      <c r="N30459" s="14"/>
      <c r="O30459" s="14"/>
      <c r="P30459" s="13"/>
    </row>
    <row r="30460">
      <c r="L30460" s="13"/>
      <c r="M30460" s="14"/>
      <c r="N30460" s="14"/>
      <c r="O30460" s="14"/>
      <c r="P30460" s="13"/>
    </row>
    <row r="30461">
      <c r="L30461" s="13"/>
      <c r="M30461" s="14"/>
      <c r="N30461" s="14"/>
      <c r="O30461" s="14"/>
      <c r="P30461" s="13"/>
    </row>
    <row r="30462">
      <c r="L30462" s="13"/>
      <c r="M30462" s="14"/>
      <c r="N30462" s="14"/>
      <c r="O30462" s="14"/>
      <c r="P30462" s="13"/>
    </row>
    <row r="30463">
      <c r="L30463" s="13"/>
      <c r="M30463" s="14"/>
      <c r="N30463" s="14"/>
      <c r="O30463" s="14"/>
      <c r="P30463" s="13"/>
    </row>
    <row r="30464">
      <c r="L30464" s="13"/>
      <c r="M30464" s="14"/>
      <c r="N30464" s="14"/>
      <c r="O30464" s="14"/>
      <c r="P30464" s="13"/>
    </row>
    <row r="30465">
      <c r="L30465" s="13"/>
      <c r="M30465" s="14"/>
      <c r="N30465" s="14"/>
      <c r="O30465" s="14"/>
      <c r="P30465" s="13"/>
    </row>
    <row r="30466">
      <c r="L30466" s="13"/>
      <c r="M30466" s="14"/>
      <c r="N30466" s="14"/>
      <c r="O30466" s="14"/>
      <c r="P30466" s="13"/>
    </row>
    <row r="30467">
      <c r="L30467" s="13"/>
      <c r="M30467" s="14"/>
      <c r="N30467" s="14"/>
      <c r="O30467" s="14"/>
      <c r="P30467" s="13"/>
    </row>
    <row r="30468">
      <c r="L30468" s="13"/>
      <c r="M30468" s="14"/>
      <c r="N30468" s="14"/>
      <c r="O30468" s="14"/>
      <c r="P30468" s="13"/>
    </row>
    <row r="30469">
      <c r="L30469" s="13"/>
      <c r="M30469" s="14"/>
      <c r="N30469" s="14"/>
      <c r="O30469" s="14"/>
      <c r="P30469" s="13"/>
    </row>
    <row r="30470">
      <c r="L30470" s="13"/>
      <c r="M30470" s="14"/>
      <c r="N30470" s="14"/>
      <c r="O30470" s="14"/>
      <c r="P30470" s="13"/>
    </row>
    <row r="30471">
      <c r="L30471" s="13"/>
      <c r="M30471" s="14"/>
      <c r="N30471" s="14"/>
      <c r="O30471" s="14"/>
      <c r="P30471" s="13"/>
    </row>
    <row r="30472">
      <c r="L30472" s="13"/>
      <c r="M30472" s="14"/>
      <c r="N30472" s="14"/>
      <c r="O30472" s="14"/>
      <c r="P30472" s="13"/>
    </row>
    <row r="30473">
      <c r="L30473" s="13"/>
      <c r="M30473" s="14"/>
      <c r="N30473" s="14"/>
      <c r="O30473" s="14"/>
      <c r="P30473" s="13"/>
    </row>
    <row r="30474">
      <c r="L30474" s="13"/>
      <c r="M30474" s="14"/>
      <c r="N30474" s="14"/>
      <c r="O30474" s="14"/>
      <c r="P30474" s="13"/>
    </row>
    <row r="30475">
      <c r="L30475" s="13"/>
      <c r="M30475" s="14"/>
      <c r="N30475" s="14"/>
      <c r="O30475" s="14"/>
      <c r="P30475" s="13"/>
    </row>
    <row r="30476">
      <c r="L30476" s="13"/>
      <c r="M30476" s="14"/>
      <c r="N30476" s="14"/>
      <c r="O30476" s="14"/>
      <c r="P30476" s="13"/>
    </row>
    <row r="30477">
      <c r="L30477" s="13"/>
      <c r="M30477" s="14"/>
      <c r="N30477" s="14"/>
      <c r="O30477" s="14"/>
      <c r="P30477" s="13"/>
    </row>
    <row r="30478">
      <c r="L30478" s="13"/>
      <c r="M30478" s="14"/>
      <c r="N30478" s="14"/>
      <c r="O30478" s="14"/>
      <c r="P30478" s="13"/>
    </row>
    <row r="30479">
      <c r="L30479" s="13"/>
      <c r="M30479" s="14"/>
      <c r="N30479" s="14"/>
      <c r="O30479" s="14"/>
      <c r="P30479" s="13"/>
    </row>
    <row r="30480">
      <c r="L30480" s="13"/>
      <c r="M30480" s="14"/>
      <c r="N30480" s="14"/>
      <c r="O30480" s="14"/>
      <c r="P30480" s="13"/>
    </row>
    <row r="30481">
      <c r="L30481" s="13"/>
      <c r="M30481" s="14"/>
      <c r="N30481" s="14"/>
      <c r="O30481" s="14"/>
      <c r="P30481" s="13"/>
    </row>
    <row r="30482">
      <c r="L30482" s="13"/>
      <c r="M30482" s="14"/>
      <c r="N30482" s="14"/>
      <c r="O30482" s="14"/>
      <c r="P30482" s="13"/>
    </row>
    <row r="30483">
      <c r="L30483" s="13"/>
      <c r="M30483" s="14"/>
      <c r="N30483" s="14"/>
      <c r="O30483" s="14"/>
      <c r="P30483" s="13"/>
    </row>
    <row r="30484">
      <c r="L30484" s="13"/>
      <c r="M30484" s="14"/>
      <c r="N30484" s="14"/>
      <c r="O30484" s="14"/>
      <c r="P30484" s="13"/>
    </row>
    <row r="30485">
      <c r="L30485" s="13"/>
      <c r="M30485" s="14"/>
      <c r="N30485" s="14"/>
      <c r="O30485" s="14"/>
      <c r="P30485" s="13"/>
    </row>
    <row r="30486">
      <c r="L30486" s="13"/>
      <c r="M30486" s="14"/>
      <c r="N30486" s="14"/>
      <c r="O30486" s="14"/>
      <c r="P30486" s="13"/>
    </row>
    <row r="30487">
      <c r="L30487" s="13"/>
      <c r="M30487" s="14"/>
      <c r="N30487" s="14"/>
      <c r="O30487" s="14"/>
      <c r="P30487" s="13"/>
    </row>
    <row r="30488">
      <c r="L30488" s="13"/>
      <c r="M30488" s="14"/>
      <c r="N30488" s="14"/>
      <c r="O30488" s="14"/>
      <c r="P30488" s="13"/>
    </row>
    <row r="30489">
      <c r="L30489" s="13"/>
      <c r="M30489" s="14"/>
      <c r="N30489" s="14"/>
      <c r="O30489" s="14"/>
      <c r="P30489" s="13"/>
    </row>
    <row r="30490">
      <c r="L30490" s="13"/>
      <c r="M30490" s="14"/>
      <c r="N30490" s="14"/>
      <c r="O30490" s="14"/>
      <c r="P30490" s="13"/>
    </row>
    <row r="30491">
      <c r="L30491" s="13"/>
      <c r="M30491" s="14"/>
      <c r="N30491" s="14"/>
      <c r="O30491" s="14"/>
      <c r="P30491" s="13"/>
    </row>
    <row r="30492">
      <c r="L30492" s="13"/>
      <c r="M30492" s="14"/>
      <c r="N30492" s="14"/>
      <c r="O30492" s="14"/>
      <c r="P30492" s="13"/>
    </row>
    <row r="30493">
      <c r="L30493" s="13"/>
      <c r="M30493" s="14"/>
      <c r="N30493" s="14"/>
      <c r="O30493" s="14"/>
      <c r="P30493" s="13"/>
    </row>
    <row r="30494">
      <c r="L30494" s="13"/>
      <c r="M30494" s="14"/>
      <c r="N30494" s="14"/>
      <c r="O30494" s="14"/>
      <c r="P30494" s="13"/>
    </row>
    <row r="30495">
      <c r="L30495" s="13"/>
      <c r="M30495" s="14"/>
      <c r="N30495" s="14"/>
      <c r="O30495" s="14"/>
      <c r="P30495" s="13"/>
    </row>
    <row r="30496">
      <c r="L30496" s="13"/>
      <c r="M30496" s="14"/>
      <c r="N30496" s="14"/>
      <c r="O30496" s="14"/>
      <c r="P30496" s="13"/>
    </row>
    <row r="30497">
      <c r="L30497" s="13"/>
      <c r="M30497" s="14"/>
      <c r="N30497" s="14"/>
      <c r="O30497" s="14"/>
      <c r="P30497" s="13"/>
    </row>
    <row r="30498">
      <c r="L30498" s="13"/>
      <c r="M30498" s="14"/>
      <c r="N30498" s="14"/>
      <c r="O30498" s="14"/>
      <c r="P30498" s="13"/>
    </row>
    <row r="30499">
      <c r="L30499" s="13"/>
      <c r="M30499" s="14"/>
      <c r="N30499" s="14"/>
      <c r="O30499" s="14"/>
      <c r="P30499" s="13"/>
    </row>
    <row r="30500">
      <c r="L30500" s="13"/>
      <c r="M30500" s="14"/>
      <c r="N30500" s="14"/>
      <c r="O30500" s="14"/>
      <c r="P30500" s="13"/>
    </row>
    <row r="30501">
      <c r="L30501" s="13"/>
      <c r="M30501" s="14"/>
      <c r="N30501" s="14"/>
      <c r="O30501" s="14"/>
      <c r="P30501" s="13"/>
    </row>
    <row r="30502">
      <c r="L30502" s="13"/>
      <c r="M30502" s="14"/>
      <c r="N30502" s="14"/>
      <c r="O30502" s="14"/>
      <c r="P30502" s="13"/>
    </row>
    <row r="30503">
      <c r="L30503" s="13"/>
      <c r="M30503" s="14"/>
      <c r="N30503" s="14"/>
      <c r="O30503" s="14"/>
      <c r="P30503" s="13"/>
    </row>
    <row r="30504">
      <c r="L30504" s="13"/>
      <c r="M30504" s="14"/>
      <c r="N30504" s="14"/>
      <c r="O30504" s="14"/>
      <c r="P30504" s="13"/>
    </row>
    <row r="30505">
      <c r="L30505" s="13"/>
      <c r="M30505" s="14"/>
      <c r="N30505" s="14"/>
      <c r="O30505" s="14"/>
      <c r="P30505" s="13"/>
    </row>
    <row r="30506">
      <c r="L30506" s="13"/>
      <c r="M30506" s="14"/>
      <c r="N30506" s="14"/>
      <c r="O30506" s="14"/>
      <c r="P30506" s="13"/>
    </row>
    <row r="30507">
      <c r="L30507" s="13"/>
      <c r="M30507" s="14"/>
      <c r="N30507" s="14"/>
      <c r="O30507" s="14"/>
      <c r="P30507" s="13"/>
    </row>
    <row r="30508">
      <c r="L30508" s="13"/>
      <c r="M30508" s="14"/>
      <c r="N30508" s="14"/>
      <c r="O30508" s="14"/>
      <c r="P30508" s="13"/>
    </row>
    <row r="30509">
      <c r="L30509" s="13"/>
      <c r="M30509" s="14"/>
      <c r="N30509" s="14"/>
      <c r="O30509" s="14"/>
      <c r="P30509" s="13"/>
    </row>
    <row r="30510">
      <c r="L30510" s="13"/>
      <c r="M30510" s="14"/>
      <c r="N30510" s="14"/>
      <c r="O30510" s="14"/>
      <c r="P30510" s="13"/>
    </row>
    <row r="30511">
      <c r="L30511" s="13"/>
      <c r="M30511" s="14"/>
      <c r="N30511" s="14"/>
      <c r="O30511" s="14"/>
      <c r="P30511" s="13"/>
    </row>
    <row r="30512">
      <c r="L30512" s="13"/>
      <c r="M30512" s="14"/>
      <c r="N30512" s="14"/>
      <c r="O30512" s="14"/>
      <c r="P30512" s="13"/>
    </row>
    <row r="30513">
      <c r="L30513" s="13"/>
      <c r="M30513" s="14"/>
      <c r="N30513" s="14"/>
      <c r="O30513" s="14"/>
      <c r="P30513" s="13"/>
    </row>
    <row r="30514">
      <c r="L30514" s="13"/>
      <c r="M30514" s="14"/>
      <c r="N30514" s="14"/>
      <c r="O30514" s="14"/>
      <c r="P30514" s="13"/>
    </row>
    <row r="30515">
      <c r="L30515" s="13"/>
      <c r="M30515" s="14"/>
      <c r="N30515" s="14"/>
      <c r="O30515" s="14"/>
      <c r="P30515" s="13"/>
    </row>
    <row r="30516">
      <c r="L30516" s="13"/>
      <c r="M30516" s="14"/>
      <c r="N30516" s="14"/>
      <c r="O30516" s="14"/>
      <c r="P30516" s="13"/>
    </row>
    <row r="30517">
      <c r="L30517" s="13"/>
      <c r="M30517" s="14"/>
      <c r="N30517" s="14"/>
      <c r="O30517" s="14"/>
      <c r="P30517" s="13"/>
    </row>
    <row r="30518">
      <c r="L30518" s="13"/>
      <c r="M30518" s="14"/>
      <c r="N30518" s="14"/>
      <c r="O30518" s="14"/>
      <c r="P30518" s="13"/>
    </row>
    <row r="30519">
      <c r="L30519" s="13"/>
      <c r="M30519" s="14"/>
      <c r="N30519" s="14"/>
      <c r="O30519" s="14"/>
      <c r="P30519" s="13"/>
    </row>
    <row r="30520">
      <c r="L30520" s="13"/>
      <c r="M30520" s="14"/>
      <c r="N30520" s="14"/>
      <c r="O30520" s="14"/>
      <c r="P30520" s="13"/>
    </row>
    <row r="30521">
      <c r="L30521" s="13"/>
      <c r="M30521" s="14"/>
      <c r="N30521" s="14"/>
      <c r="O30521" s="14"/>
      <c r="P30521" s="13"/>
    </row>
    <row r="30522">
      <c r="L30522" s="13"/>
      <c r="M30522" s="14"/>
      <c r="N30522" s="14"/>
      <c r="O30522" s="14"/>
      <c r="P30522" s="13"/>
    </row>
    <row r="30523">
      <c r="L30523" s="13"/>
      <c r="M30523" s="14"/>
      <c r="N30523" s="14"/>
      <c r="O30523" s="14"/>
      <c r="P30523" s="13"/>
    </row>
    <row r="30524">
      <c r="L30524" s="13"/>
      <c r="M30524" s="14"/>
      <c r="N30524" s="14"/>
      <c r="O30524" s="14"/>
      <c r="P30524" s="13"/>
    </row>
    <row r="30525">
      <c r="L30525" s="13"/>
      <c r="M30525" s="14"/>
      <c r="N30525" s="14"/>
      <c r="O30525" s="14"/>
      <c r="P30525" s="13"/>
    </row>
    <row r="30526">
      <c r="L30526" s="13"/>
      <c r="M30526" s="14"/>
      <c r="N30526" s="14"/>
      <c r="O30526" s="14"/>
      <c r="P30526" s="13"/>
    </row>
    <row r="30527">
      <c r="L30527" s="13"/>
      <c r="M30527" s="14"/>
      <c r="N30527" s="14"/>
      <c r="O30527" s="14"/>
      <c r="P30527" s="13"/>
    </row>
    <row r="30528">
      <c r="L30528" s="13"/>
      <c r="M30528" s="14"/>
      <c r="N30528" s="14"/>
      <c r="O30528" s="14"/>
      <c r="P30528" s="13"/>
    </row>
    <row r="30529">
      <c r="L30529" s="13"/>
      <c r="M30529" s="14"/>
      <c r="N30529" s="14"/>
      <c r="O30529" s="14"/>
      <c r="P30529" s="13"/>
    </row>
    <row r="30530">
      <c r="L30530" s="13"/>
      <c r="M30530" s="14"/>
      <c r="N30530" s="14"/>
      <c r="O30530" s="14"/>
      <c r="P30530" s="13"/>
    </row>
    <row r="30531">
      <c r="L30531" s="13"/>
      <c r="M30531" s="14"/>
      <c r="N30531" s="14"/>
      <c r="O30531" s="14"/>
      <c r="P30531" s="13"/>
    </row>
    <row r="30532">
      <c r="L30532" s="13"/>
      <c r="M30532" s="14"/>
      <c r="N30532" s="14"/>
      <c r="O30532" s="14"/>
      <c r="P30532" s="13"/>
    </row>
    <row r="30533">
      <c r="L30533" s="13"/>
      <c r="M30533" s="14"/>
      <c r="N30533" s="14"/>
      <c r="O30533" s="14"/>
      <c r="P30533" s="13"/>
    </row>
    <row r="30534">
      <c r="L30534" s="13"/>
      <c r="M30534" s="14"/>
      <c r="N30534" s="14"/>
      <c r="O30534" s="14"/>
      <c r="P30534" s="13"/>
    </row>
    <row r="30535">
      <c r="L30535" s="13"/>
      <c r="M30535" s="14"/>
      <c r="N30535" s="14"/>
      <c r="O30535" s="14"/>
      <c r="P30535" s="13"/>
    </row>
    <row r="30536">
      <c r="L30536" s="13"/>
      <c r="M30536" s="14"/>
      <c r="N30536" s="14"/>
      <c r="O30536" s="14"/>
      <c r="P30536" s="13"/>
    </row>
    <row r="30537">
      <c r="L30537" s="13"/>
      <c r="M30537" s="14"/>
      <c r="N30537" s="14"/>
      <c r="O30537" s="14"/>
      <c r="P30537" s="13"/>
    </row>
    <row r="30538">
      <c r="L30538" s="13"/>
      <c r="M30538" s="14"/>
      <c r="N30538" s="14"/>
      <c r="O30538" s="14"/>
      <c r="P30538" s="13"/>
    </row>
    <row r="30539">
      <c r="L30539" s="13"/>
      <c r="M30539" s="14"/>
      <c r="N30539" s="14"/>
      <c r="O30539" s="14"/>
      <c r="P30539" s="13"/>
    </row>
    <row r="30540">
      <c r="L30540" s="13"/>
      <c r="M30540" s="14"/>
      <c r="N30540" s="14"/>
      <c r="O30540" s="14"/>
      <c r="P30540" s="13"/>
    </row>
    <row r="30541">
      <c r="L30541" s="13"/>
      <c r="M30541" s="14"/>
      <c r="N30541" s="14"/>
      <c r="O30541" s="14"/>
      <c r="P30541" s="13"/>
    </row>
    <row r="30542">
      <c r="L30542" s="13"/>
      <c r="M30542" s="14"/>
      <c r="N30542" s="14"/>
      <c r="O30542" s="14"/>
      <c r="P30542" s="13"/>
    </row>
    <row r="30543">
      <c r="L30543" s="13"/>
      <c r="M30543" s="14"/>
      <c r="N30543" s="14"/>
      <c r="O30543" s="14"/>
      <c r="P30543" s="13"/>
    </row>
    <row r="30544">
      <c r="L30544" s="13"/>
      <c r="M30544" s="14"/>
      <c r="N30544" s="14"/>
      <c r="O30544" s="14"/>
      <c r="P30544" s="13"/>
    </row>
    <row r="30545">
      <c r="L30545" s="13"/>
      <c r="M30545" s="14"/>
      <c r="N30545" s="14"/>
      <c r="O30545" s="14"/>
      <c r="P30545" s="13"/>
    </row>
    <row r="30546">
      <c r="L30546" s="13"/>
      <c r="M30546" s="14"/>
      <c r="N30546" s="14"/>
      <c r="O30546" s="14"/>
      <c r="P30546" s="13"/>
    </row>
    <row r="30547">
      <c r="L30547" s="13"/>
      <c r="M30547" s="14"/>
      <c r="N30547" s="14"/>
      <c r="O30547" s="14"/>
      <c r="P30547" s="13"/>
    </row>
    <row r="30548">
      <c r="L30548" s="13"/>
      <c r="M30548" s="14"/>
      <c r="N30548" s="14"/>
      <c r="O30548" s="14"/>
      <c r="P30548" s="13"/>
    </row>
    <row r="30549">
      <c r="L30549" s="13"/>
      <c r="M30549" s="14"/>
      <c r="N30549" s="14"/>
      <c r="O30549" s="14"/>
      <c r="P30549" s="13"/>
    </row>
    <row r="30550">
      <c r="L30550" s="13"/>
      <c r="M30550" s="14"/>
      <c r="N30550" s="14"/>
      <c r="O30550" s="14"/>
      <c r="P30550" s="13"/>
    </row>
    <row r="30551">
      <c r="L30551" s="13"/>
      <c r="M30551" s="14"/>
      <c r="N30551" s="14"/>
      <c r="O30551" s="14"/>
      <c r="P30551" s="13"/>
    </row>
    <row r="30552">
      <c r="L30552" s="13"/>
      <c r="M30552" s="14"/>
      <c r="N30552" s="14"/>
      <c r="O30552" s="14"/>
      <c r="P30552" s="13"/>
    </row>
    <row r="30553">
      <c r="L30553" s="13"/>
      <c r="M30553" s="14"/>
      <c r="N30553" s="14"/>
      <c r="O30553" s="14"/>
      <c r="P30553" s="13"/>
    </row>
    <row r="30554">
      <c r="L30554" s="13"/>
      <c r="M30554" s="14"/>
      <c r="N30554" s="14"/>
      <c r="O30554" s="14"/>
      <c r="P30554" s="13"/>
    </row>
    <row r="30555">
      <c r="L30555" s="13"/>
      <c r="M30555" s="14"/>
      <c r="N30555" s="14"/>
      <c r="O30555" s="14"/>
      <c r="P30555" s="13"/>
    </row>
    <row r="30556">
      <c r="L30556" s="13"/>
      <c r="M30556" s="14"/>
      <c r="N30556" s="14"/>
      <c r="O30556" s="14"/>
      <c r="P30556" s="13"/>
    </row>
    <row r="30557">
      <c r="L30557" s="13"/>
      <c r="M30557" s="14"/>
      <c r="N30557" s="14"/>
      <c r="O30557" s="14"/>
      <c r="P30557" s="13"/>
    </row>
    <row r="30558">
      <c r="L30558" s="13"/>
      <c r="M30558" s="14"/>
      <c r="N30558" s="14"/>
      <c r="O30558" s="14"/>
      <c r="P30558" s="13"/>
    </row>
    <row r="30559">
      <c r="L30559" s="13"/>
      <c r="M30559" s="14"/>
      <c r="N30559" s="14"/>
      <c r="O30559" s="14"/>
      <c r="P30559" s="13"/>
    </row>
    <row r="30560">
      <c r="L30560" s="13"/>
      <c r="M30560" s="14"/>
      <c r="N30560" s="14"/>
      <c r="O30560" s="14"/>
      <c r="P30560" s="13"/>
    </row>
    <row r="30561">
      <c r="L30561" s="13"/>
      <c r="M30561" s="14"/>
      <c r="N30561" s="14"/>
      <c r="O30561" s="14"/>
      <c r="P30561" s="13"/>
    </row>
    <row r="30562">
      <c r="L30562" s="13"/>
      <c r="M30562" s="14"/>
      <c r="N30562" s="14"/>
      <c r="O30562" s="14"/>
      <c r="P30562" s="13"/>
    </row>
    <row r="30563">
      <c r="L30563" s="13"/>
      <c r="M30563" s="14"/>
      <c r="N30563" s="14"/>
      <c r="O30563" s="14"/>
      <c r="P30563" s="13"/>
    </row>
    <row r="30564">
      <c r="L30564" s="13"/>
      <c r="M30564" s="14"/>
      <c r="N30564" s="14"/>
      <c r="O30564" s="14"/>
      <c r="P30564" s="13"/>
    </row>
    <row r="30565">
      <c r="L30565" s="13"/>
      <c r="M30565" s="14"/>
      <c r="N30565" s="14"/>
      <c r="O30565" s="14"/>
      <c r="P30565" s="13"/>
    </row>
    <row r="30566">
      <c r="L30566" s="13"/>
      <c r="M30566" s="14"/>
      <c r="N30566" s="14"/>
      <c r="O30566" s="14"/>
      <c r="P30566" s="13"/>
    </row>
    <row r="30567">
      <c r="L30567" s="13"/>
      <c r="M30567" s="14"/>
      <c r="N30567" s="14"/>
      <c r="O30567" s="14"/>
      <c r="P30567" s="13"/>
    </row>
    <row r="30568">
      <c r="L30568" s="13"/>
      <c r="M30568" s="14"/>
      <c r="N30568" s="14"/>
      <c r="O30568" s="14"/>
      <c r="P30568" s="13"/>
    </row>
    <row r="30569">
      <c r="L30569" s="13"/>
      <c r="M30569" s="14"/>
      <c r="N30569" s="14"/>
      <c r="O30569" s="14"/>
      <c r="P30569" s="13"/>
    </row>
    <row r="30570">
      <c r="L30570" s="13"/>
      <c r="M30570" s="14"/>
      <c r="N30570" s="14"/>
      <c r="O30570" s="14"/>
      <c r="P30570" s="13"/>
    </row>
    <row r="30571">
      <c r="L30571" s="13"/>
      <c r="M30571" s="14"/>
      <c r="N30571" s="14"/>
      <c r="O30571" s="14"/>
      <c r="P30571" s="13"/>
    </row>
    <row r="30572">
      <c r="L30572" s="13"/>
      <c r="M30572" s="14"/>
      <c r="N30572" s="14"/>
      <c r="O30572" s="14"/>
      <c r="P30572" s="13"/>
    </row>
    <row r="30573">
      <c r="L30573" s="13"/>
      <c r="M30573" s="14"/>
      <c r="N30573" s="14"/>
      <c r="O30573" s="14"/>
      <c r="P30573" s="13"/>
    </row>
    <row r="30574">
      <c r="L30574" s="13"/>
      <c r="M30574" s="14"/>
      <c r="N30574" s="14"/>
      <c r="O30574" s="14"/>
      <c r="P30574" s="13"/>
    </row>
    <row r="30575">
      <c r="L30575" s="13"/>
      <c r="M30575" s="14"/>
      <c r="N30575" s="14"/>
      <c r="O30575" s="14"/>
      <c r="P30575" s="13"/>
    </row>
    <row r="30576">
      <c r="L30576" s="13"/>
      <c r="M30576" s="14"/>
      <c r="N30576" s="14"/>
      <c r="O30576" s="14"/>
      <c r="P30576" s="13"/>
    </row>
    <row r="30577">
      <c r="L30577" s="13"/>
      <c r="M30577" s="14"/>
      <c r="N30577" s="14"/>
      <c r="O30577" s="14"/>
      <c r="P30577" s="13"/>
    </row>
    <row r="30578">
      <c r="L30578" s="13"/>
      <c r="M30578" s="14"/>
      <c r="N30578" s="14"/>
      <c r="O30578" s="14"/>
      <c r="P30578" s="13"/>
    </row>
    <row r="30579">
      <c r="L30579" s="13"/>
      <c r="M30579" s="14"/>
      <c r="N30579" s="14"/>
      <c r="O30579" s="14"/>
      <c r="P30579" s="13"/>
    </row>
    <row r="30580">
      <c r="L30580" s="13"/>
      <c r="M30580" s="14"/>
      <c r="N30580" s="14"/>
      <c r="O30580" s="14"/>
      <c r="P30580" s="13"/>
    </row>
    <row r="30581">
      <c r="L30581" s="13"/>
      <c r="M30581" s="14"/>
      <c r="N30581" s="14"/>
      <c r="O30581" s="14"/>
      <c r="P30581" s="13"/>
    </row>
    <row r="30582">
      <c r="L30582" s="13"/>
      <c r="M30582" s="14"/>
      <c r="N30582" s="14"/>
      <c r="O30582" s="14"/>
      <c r="P30582" s="13"/>
    </row>
    <row r="30583">
      <c r="L30583" s="13"/>
      <c r="M30583" s="14"/>
      <c r="N30583" s="14"/>
      <c r="O30583" s="14"/>
      <c r="P30583" s="13"/>
    </row>
    <row r="30584">
      <c r="L30584" s="13"/>
      <c r="M30584" s="14"/>
      <c r="N30584" s="14"/>
      <c r="O30584" s="14"/>
      <c r="P30584" s="13"/>
    </row>
    <row r="30585">
      <c r="L30585" s="13"/>
      <c r="M30585" s="14"/>
      <c r="N30585" s="14"/>
      <c r="O30585" s="14"/>
      <c r="P30585" s="13"/>
    </row>
    <row r="30586">
      <c r="L30586" s="13"/>
      <c r="M30586" s="14"/>
      <c r="N30586" s="14"/>
      <c r="O30586" s="14"/>
      <c r="P30586" s="13"/>
    </row>
    <row r="30587">
      <c r="L30587" s="13"/>
      <c r="M30587" s="14"/>
      <c r="N30587" s="14"/>
      <c r="O30587" s="14"/>
      <c r="P30587" s="13"/>
    </row>
    <row r="30588">
      <c r="L30588" s="13"/>
      <c r="M30588" s="14"/>
      <c r="N30588" s="14"/>
      <c r="O30588" s="14"/>
      <c r="P30588" s="13"/>
    </row>
    <row r="30589">
      <c r="L30589" s="13"/>
      <c r="M30589" s="14"/>
      <c r="N30589" s="14"/>
      <c r="O30589" s="14"/>
      <c r="P30589" s="13"/>
    </row>
    <row r="30590">
      <c r="L30590" s="13"/>
      <c r="M30590" s="14"/>
      <c r="N30590" s="14"/>
      <c r="O30590" s="14"/>
      <c r="P30590" s="13"/>
    </row>
    <row r="30591">
      <c r="L30591" s="13"/>
      <c r="M30591" s="14"/>
      <c r="N30591" s="14"/>
      <c r="O30591" s="14"/>
      <c r="P30591" s="13"/>
    </row>
    <row r="30592">
      <c r="L30592" s="13"/>
      <c r="M30592" s="14"/>
      <c r="N30592" s="14"/>
      <c r="O30592" s="14"/>
      <c r="P30592" s="13"/>
    </row>
    <row r="30593">
      <c r="L30593" s="13"/>
      <c r="M30593" s="14"/>
      <c r="N30593" s="14"/>
      <c r="O30593" s="14"/>
      <c r="P30593" s="13"/>
    </row>
    <row r="30594">
      <c r="L30594" s="13"/>
      <c r="M30594" s="14"/>
      <c r="N30594" s="14"/>
      <c r="O30594" s="14"/>
      <c r="P30594" s="13"/>
    </row>
    <row r="30595">
      <c r="L30595" s="13"/>
      <c r="M30595" s="14"/>
      <c r="N30595" s="14"/>
      <c r="O30595" s="14"/>
      <c r="P30595" s="13"/>
    </row>
    <row r="30596">
      <c r="L30596" s="13"/>
      <c r="M30596" s="14"/>
      <c r="N30596" s="14"/>
      <c r="O30596" s="14"/>
      <c r="P30596" s="13"/>
    </row>
    <row r="30597">
      <c r="L30597" s="13"/>
      <c r="M30597" s="14"/>
      <c r="N30597" s="14"/>
      <c r="O30597" s="14"/>
      <c r="P30597" s="13"/>
    </row>
    <row r="30598">
      <c r="L30598" s="13"/>
      <c r="M30598" s="14"/>
      <c r="N30598" s="14"/>
      <c r="O30598" s="14"/>
      <c r="P30598" s="13"/>
    </row>
    <row r="30599">
      <c r="L30599" s="13"/>
      <c r="M30599" s="14"/>
      <c r="N30599" s="14"/>
      <c r="O30599" s="14"/>
      <c r="P30599" s="13"/>
    </row>
    <row r="30600">
      <c r="L30600" s="13"/>
      <c r="M30600" s="14"/>
      <c r="N30600" s="14"/>
      <c r="O30600" s="14"/>
      <c r="P30600" s="13"/>
    </row>
    <row r="30601">
      <c r="L30601" s="13"/>
      <c r="M30601" s="14"/>
      <c r="N30601" s="14"/>
      <c r="O30601" s="14"/>
      <c r="P30601" s="13"/>
    </row>
    <row r="30602">
      <c r="L30602" s="13"/>
      <c r="M30602" s="14"/>
      <c r="N30602" s="14"/>
      <c r="O30602" s="14"/>
      <c r="P30602" s="13"/>
    </row>
    <row r="30603">
      <c r="L30603" s="13"/>
      <c r="M30603" s="14"/>
      <c r="N30603" s="14"/>
      <c r="O30603" s="14"/>
      <c r="P30603" s="13"/>
    </row>
    <row r="30604">
      <c r="L30604" s="13"/>
      <c r="M30604" s="14"/>
      <c r="N30604" s="14"/>
      <c r="O30604" s="14"/>
      <c r="P30604" s="13"/>
    </row>
    <row r="30605">
      <c r="L30605" s="13"/>
      <c r="M30605" s="14"/>
      <c r="N30605" s="14"/>
      <c r="O30605" s="14"/>
      <c r="P30605" s="13"/>
    </row>
    <row r="30606">
      <c r="L30606" s="13"/>
      <c r="M30606" s="14"/>
      <c r="N30606" s="14"/>
      <c r="O30606" s="14"/>
      <c r="P30606" s="13"/>
    </row>
    <row r="30607">
      <c r="L30607" s="13"/>
      <c r="M30607" s="14"/>
      <c r="N30607" s="14"/>
      <c r="O30607" s="14"/>
      <c r="P30607" s="13"/>
    </row>
    <row r="30608">
      <c r="L30608" s="13"/>
      <c r="M30608" s="14"/>
      <c r="N30608" s="14"/>
      <c r="O30608" s="14"/>
      <c r="P30608" s="13"/>
    </row>
    <row r="30609">
      <c r="L30609" s="13"/>
      <c r="M30609" s="14"/>
      <c r="N30609" s="14"/>
      <c r="O30609" s="14"/>
      <c r="P30609" s="13"/>
    </row>
    <row r="30610">
      <c r="L30610" s="13"/>
      <c r="M30610" s="14"/>
      <c r="N30610" s="14"/>
      <c r="O30610" s="14"/>
      <c r="P30610" s="13"/>
    </row>
    <row r="30611">
      <c r="L30611" s="13"/>
      <c r="M30611" s="14"/>
      <c r="N30611" s="14"/>
      <c r="O30611" s="14"/>
      <c r="P30611" s="13"/>
    </row>
    <row r="30612">
      <c r="L30612" s="13"/>
      <c r="M30612" s="14"/>
      <c r="N30612" s="14"/>
      <c r="O30612" s="14"/>
      <c r="P30612" s="13"/>
    </row>
    <row r="30613">
      <c r="L30613" s="13"/>
      <c r="M30613" s="14"/>
      <c r="N30613" s="14"/>
      <c r="O30613" s="14"/>
      <c r="P30613" s="13"/>
    </row>
    <row r="30614">
      <c r="L30614" s="13"/>
      <c r="M30614" s="14"/>
      <c r="N30614" s="14"/>
      <c r="O30614" s="14"/>
      <c r="P30614" s="13"/>
    </row>
    <row r="30615">
      <c r="L30615" s="13"/>
      <c r="M30615" s="14"/>
      <c r="N30615" s="14"/>
      <c r="O30615" s="14"/>
      <c r="P30615" s="13"/>
    </row>
    <row r="30616">
      <c r="L30616" s="13"/>
      <c r="M30616" s="14"/>
      <c r="N30616" s="14"/>
      <c r="O30616" s="14"/>
      <c r="P30616" s="13"/>
    </row>
    <row r="30617">
      <c r="L30617" s="13"/>
      <c r="M30617" s="14"/>
      <c r="N30617" s="14"/>
      <c r="O30617" s="14"/>
      <c r="P30617" s="13"/>
    </row>
    <row r="30618">
      <c r="L30618" s="13"/>
      <c r="M30618" s="14"/>
      <c r="N30618" s="14"/>
      <c r="O30618" s="14"/>
      <c r="P30618" s="13"/>
    </row>
    <row r="30619">
      <c r="L30619" s="13"/>
      <c r="M30619" s="14"/>
      <c r="N30619" s="14"/>
      <c r="O30619" s="14"/>
      <c r="P30619" s="13"/>
    </row>
    <row r="30620">
      <c r="L30620" s="13"/>
      <c r="M30620" s="14"/>
      <c r="N30620" s="14"/>
      <c r="O30620" s="14"/>
      <c r="P30620" s="13"/>
    </row>
    <row r="30621">
      <c r="L30621" s="13"/>
      <c r="M30621" s="14"/>
      <c r="N30621" s="14"/>
      <c r="O30621" s="14"/>
      <c r="P30621" s="13"/>
    </row>
    <row r="30622">
      <c r="L30622" s="13"/>
      <c r="M30622" s="14"/>
      <c r="N30622" s="14"/>
      <c r="O30622" s="14"/>
      <c r="P30622" s="13"/>
    </row>
    <row r="30623">
      <c r="L30623" s="13"/>
      <c r="M30623" s="14"/>
      <c r="N30623" s="14"/>
      <c r="O30623" s="14"/>
      <c r="P30623" s="13"/>
    </row>
    <row r="30624">
      <c r="L30624" s="13"/>
      <c r="M30624" s="14"/>
      <c r="N30624" s="14"/>
      <c r="O30624" s="14"/>
      <c r="P30624" s="13"/>
    </row>
    <row r="30625">
      <c r="L30625" s="13"/>
      <c r="M30625" s="14"/>
      <c r="N30625" s="14"/>
      <c r="O30625" s="14"/>
      <c r="P30625" s="13"/>
    </row>
    <row r="30626">
      <c r="L30626" s="13"/>
      <c r="M30626" s="14"/>
      <c r="N30626" s="14"/>
      <c r="O30626" s="14"/>
      <c r="P30626" s="13"/>
    </row>
    <row r="30627">
      <c r="L30627" s="13"/>
      <c r="M30627" s="14"/>
      <c r="N30627" s="14"/>
      <c r="O30627" s="14"/>
      <c r="P30627" s="13"/>
    </row>
    <row r="30628">
      <c r="L30628" s="13"/>
      <c r="M30628" s="14"/>
      <c r="N30628" s="14"/>
      <c r="O30628" s="14"/>
      <c r="P30628" s="13"/>
    </row>
    <row r="30629">
      <c r="L30629" s="13"/>
      <c r="M30629" s="14"/>
      <c r="N30629" s="14"/>
      <c r="O30629" s="14"/>
      <c r="P30629" s="13"/>
    </row>
    <row r="30630">
      <c r="L30630" s="13"/>
      <c r="M30630" s="14"/>
      <c r="N30630" s="14"/>
      <c r="O30630" s="14"/>
      <c r="P30630" s="13"/>
    </row>
    <row r="30631">
      <c r="L30631" s="13"/>
      <c r="M30631" s="14"/>
      <c r="N30631" s="14"/>
      <c r="O30631" s="14"/>
      <c r="P30631" s="13"/>
    </row>
    <row r="30632">
      <c r="L30632" s="13"/>
      <c r="M30632" s="14"/>
      <c r="N30632" s="14"/>
      <c r="O30632" s="14"/>
      <c r="P30632" s="13"/>
    </row>
    <row r="30633">
      <c r="L30633" s="13"/>
      <c r="M30633" s="14"/>
      <c r="N30633" s="14"/>
      <c r="O30633" s="14"/>
      <c r="P30633" s="13"/>
    </row>
    <row r="30634">
      <c r="L30634" s="13"/>
      <c r="M30634" s="14"/>
      <c r="N30634" s="14"/>
      <c r="O30634" s="14"/>
      <c r="P30634" s="13"/>
    </row>
    <row r="30635">
      <c r="L30635" s="13"/>
      <c r="M30635" s="14"/>
      <c r="N30635" s="14"/>
      <c r="O30635" s="14"/>
      <c r="P30635" s="13"/>
    </row>
    <row r="30636">
      <c r="L30636" s="13"/>
      <c r="M30636" s="14"/>
      <c r="N30636" s="14"/>
      <c r="O30636" s="14"/>
      <c r="P30636" s="13"/>
    </row>
    <row r="30637">
      <c r="L30637" s="13"/>
      <c r="M30637" s="14"/>
      <c r="N30637" s="14"/>
      <c r="O30637" s="14"/>
      <c r="P30637" s="13"/>
    </row>
    <row r="30638">
      <c r="L30638" s="13"/>
      <c r="M30638" s="14"/>
      <c r="N30638" s="14"/>
      <c r="O30638" s="14"/>
      <c r="P30638" s="13"/>
    </row>
    <row r="30639">
      <c r="L30639" s="13"/>
      <c r="M30639" s="14"/>
      <c r="N30639" s="14"/>
      <c r="O30639" s="14"/>
      <c r="P30639" s="13"/>
    </row>
    <row r="30640">
      <c r="L30640" s="13"/>
      <c r="M30640" s="14"/>
      <c r="N30640" s="14"/>
      <c r="O30640" s="14"/>
      <c r="P30640" s="13"/>
    </row>
    <row r="30641">
      <c r="L30641" s="13"/>
      <c r="M30641" s="14"/>
      <c r="N30641" s="14"/>
      <c r="O30641" s="14"/>
      <c r="P30641" s="13"/>
    </row>
    <row r="30642">
      <c r="L30642" s="13"/>
      <c r="M30642" s="14"/>
      <c r="N30642" s="14"/>
      <c r="O30642" s="14"/>
      <c r="P30642" s="13"/>
    </row>
    <row r="30643">
      <c r="L30643" s="13"/>
      <c r="M30643" s="14"/>
      <c r="N30643" s="14"/>
      <c r="O30643" s="14"/>
      <c r="P30643" s="13"/>
    </row>
    <row r="30644">
      <c r="L30644" s="13"/>
      <c r="M30644" s="14"/>
      <c r="N30644" s="14"/>
      <c r="O30644" s="14"/>
      <c r="P30644" s="13"/>
    </row>
    <row r="30645">
      <c r="L30645" s="13"/>
      <c r="M30645" s="14"/>
      <c r="N30645" s="14"/>
      <c r="O30645" s="14"/>
      <c r="P30645" s="13"/>
    </row>
    <row r="30646">
      <c r="L30646" s="13"/>
      <c r="M30646" s="14"/>
      <c r="N30646" s="14"/>
      <c r="O30646" s="14"/>
      <c r="P30646" s="13"/>
    </row>
    <row r="30647">
      <c r="L30647" s="13"/>
      <c r="M30647" s="14"/>
      <c r="N30647" s="14"/>
      <c r="O30647" s="14"/>
      <c r="P30647" s="13"/>
    </row>
    <row r="30648">
      <c r="L30648" s="13"/>
      <c r="M30648" s="14"/>
      <c r="N30648" s="14"/>
      <c r="O30648" s="14"/>
      <c r="P30648" s="13"/>
    </row>
    <row r="30649">
      <c r="L30649" s="13"/>
      <c r="M30649" s="14"/>
      <c r="N30649" s="14"/>
      <c r="O30649" s="14"/>
      <c r="P30649" s="13"/>
    </row>
    <row r="30650">
      <c r="L30650" s="13"/>
      <c r="M30650" s="14"/>
      <c r="N30650" s="14"/>
      <c r="O30650" s="14"/>
      <c r="P30650" s="13"/>
    </row>
    <row r="30651">
      <c r="L30651" s="13"/>
      <c r="M30651" s="14"/>
      <c r="N30651" s="14"/>
      <c r="O30651" s="14"/>
      <c r="P30651" s="13"/>
    </row>
    <row r="30652">
      <c r="L30652" s="13"/>
      <c r="M30652" s="14"/>
      <c r="N30652" s="14"/>
      <c r="O30652" s="14"/>
      <c r="P30652" s="13"/>
    </row>
    <row r="30653">
      <c r="L30653" s="13"/>
      <c r="M30653" s="14"/>
      <c r="N30653" s="14"/>
      <c r="O30653" s="14"/>
      <c r="P30653" s="13"/>
    </row>
    <row r="30654">
      <c r="L30654" s="13"/>
      <c r="M30654" s="14"/>
      <c r="N30654" s="14"/>
      <c r="O30654" s="14"/>
      <c r="P30654" s="13"/>
    </row>
    <row r="30655">
      <c r="L30655" s="13"/>
      <c r="M30655" s="14"/>
      <c r="N30655" s="14"/>
      <c r="O30655" s="14"/>
      <c r="P30655" s="13"/>
    </row>
    <row r="30656">
      <c r="L30656" s="13"/>
      <c r="M30656" s="14"/>
      <c r="N30656" s="14"/>
      <c r="O30656" s="14"/>
      <c r="P30656" s="13"/>
    </row>
    <row r="30657">
      <c r="L30657" s="13"/>
      <c r="M30657" s="14"/>
      <c r="N30657" s="14"/>
      <c r="O30657" s="14"/>
      <c r="P30657" s="13"/>
    </row>
    <row r="30658">
      <c r="L30658" s="13"/>
      <c r="M30658" s="14"/>
      <c r="N30658" s="14"/>
      <c r="O30658" s="14"/>
      <c r="P30658" s="13"/>
    </row>
    <row r="30659">
      <c r="L30659" s="13"/>
      <c r="M30659" s="14"/>
      <c r="N30659" s="14"/>
      <c r="O30659" s="14"/>
      <c r="P30659" s="13"/>
    </row>
    <row r="30660">
      <c r="L30660" s="13"/>
      <c r="M30660" s="14"/>
      <c r="N30660" s="14"/>
      <c r="O30660" s="14"/>
      <c r="P30660" s="13"/>
    </row>
    <row r="30661">
      <c r="L30661" s="13"/>
      <c r="M30661" s="14"/>
      <c r="N30661" s="14"/>
      <c r="O30661" s="14"/>
      <c r="P30661" s="13"/>
    </row>
    <row r="30662">
      <c r="L30662" s="13"/>
      <c r="M30662" s="14"/>
      <c r="N30662" s="14"/>
      <c r="O30662" s="14"/>
      <c r="P30662" s="13"/>
    </row>
    <row r="30663">
      <c r="L30663" s="13"/>
      <c r="M30663" s="14"/>
      <c r="N30663" s="14"/>
      <c r="O30663" s="14"/>
      <c r="P30663" s="13"/>
    </row>
    <row r="30664">
      <c r="L30664" s="13"/>
      <c r="M30664" s="14"/>
      <c r="N30664" s="14"/>
      <c r="O30664" s="14"/>
      <c r="P30664" s="13"/>
    </row>
    <row r="30665">
      <c r="L30665" s="13"/>
      <c r="M30665" s="14"/>
      <c r="N30665" s="14"/>
      <c r="O30665" s="14"/>
      <c r="P30665" s="13"/>
    </row>
    <row r="30666">
      <c r="L30666" s="13"/>
      <c r="M30666" s="14"/>
      <c r="N30666" s="14"/>
      <c r="O30666" s="14"/>
      <c r="P30666" s="13"/>
    </row>
    <row r="30667">
      <c r="L30667" s="13"/>
      <c r="M30667" s="14"/>
      <c r="N30667" s="14"/>
      <c r="O30667" s="14"/>
      <c r="P30667" s="13"/>
    </row>
    <row r="30668">
      <c r="L30668" s="13"/>
      <c r="M30668" s="14"/>
      <c r="N30668" s="14"/>
      <c r="O30668" s="14"/>
      <c r="P30668" s="13"/>
    </row>
    <row r="30669">
      <c r="L30669" s="13"/>
      <c r="M30669" s="14"/>
      <c r="N30669" s="14"/>
      <c r="O30669" s="14"/>
      <c r="P30669" s="13"/>
    </row>
    <row r="30670">
      <c r="L30670" s="13"/>
      <c r="M30670" s="14"/>
      <c r="N30670" s="14"/>
      <c r="O30670" s="14"/>
      <c r="P30670" s="13"/>
    </row>
    <row r="30671">
      <c r="L30671" s="13"/>
      <c r="M30671" s="14"/>
      <c r="N30671" s="14"/>
      <c r="O30671" s="14"/>
      <c r="P30671" s="13"/>
    </row>
    <row r="30672">
      <c r="L30672" s="13"/>
      <c r="M30672" s="14"/>
      <c r="N30672" s="14"/>
      <c r="O30672" s="14"/>
      <c r="P30672" s="13"/>
    </row>
    <row r="30673">
      <c r="L30673" s="13"/>
      <c r="M30673" s="14"/>
      <c r="N30673" s="14"/>
      <c r="O30673" s="14"/>
      <c r="P30673" s="13"/>
    </row>
    <row r="30674">
      <c r="L30674" s="13"/>
      <c r="M30674" s="14"/>
      <c r="N30674" s="14"/>
      <c r="O30674" s="14"/>
      <c r="P30674" s="13"/>
    </row>
    <row r="30675">
      <c r="L30675" s="13"/>
      <c r="M30675" s="14"/>
      <c r="N30675" s="14"/>
      <c r="O30675" s="14"/>
      <c r="P30675" s="13"/>
    </row>
    <row r="30676">
      <c r="L30676" s="13"/>
      <c r="M30676" s="14"/>
      <c r="N30676" s="14"/>
      <c r="O30676" s="14"/>
      <c r="P30676" s="13"/>
    </row>
    <row r="30677">
      <c r="L30677" s="13"/>
      <c r="M30677" s="14"/>
      <c r="N30677" s="14"/>
      <c r="O30677" s="14"/>
      <c r="P30677" s="13"/>
    </row>
    <row r="30678">
      <c r="L30678" s="13"/>
      <c r="M30678" s="14"/>
      <c r="N30678" s="14"/>
      <c r="O30678" s="14"/>
      <c r="P30678" s="13"/>
    </row>
    <row r="30679">
      <c r="L30679" s="13"/>
      <c r="M30679" s="14"/>
      <c r="N30679" s="14"/>
      <c r="O30679" s="14"/>
      <c r="P30679" s="13"/>
    </row>
    <row r="30680">
      <c r="L30680" s="13"/>
      <c r="M30680" s="14"/>
      <c r="N30680" s="14"/>
      <c r="O30680" s="14"/>
      <c r="P30680" s="13"/>
    </row>
    <row r="30681">
      <c r="L30681" s="13"/>
      <c r="M30681" s="14"/>
      <c r="N30681" s="14"/>
      <c r="O30681" s="14"/>
      <c r="P30681" s="13"/>
    </row>
    <row r="30682">
      <c r="L30682" s="13"/>
      <c r="M30682" s="14"/>
      <c r="N30682" s="14"/>
      <c r="O30682" s="14"/>
      <c r="P30682" s="13"/>
    </row>
    <row r="30683">
      <c r="L30683" s="13"/>
      <c r="M30683" s="14"/>
      <c r="N30683" s="14"/>
      <c r="O30683" s="14"/>
      <c r="P30683" s="13"/>
    </row>
    <row r="30684">
      <c r="L30684" s="13"/>
      <c r="M30684" s="14"/>
      <c r="N30684" s="14"/>
      <c r="O30684" s="14"/>
      <c r="P30684" s="13"/>
    </row>
    <row r="30685">
      <c r="L30685" s="13"/>
      <c r="M30685" s="14"/>
      <c r="N30685" s="14"/>
      <c r="O30685" s="14"/>
      <c r="P30685" s="13"/>
    </row>
    <row r="30686">
      <c r="L30686" s="13"/>
      <c r="M30686" s="14"/>
      <c r="N30686" s="14"/>
      <c r="O30686" s="14"/>
      <c r="P30686" s="13"/>
    </row>
    <row r="30687">
      <c r="L30687" s="13"/>
      <c r="M30687" s="14"/>
      <c r="N30687" s="14"/>
      <c r="O30687" s="14"/>
      <c r="P30687" s="13"/>
    </row>
    <row r="30688">
      <c r="L30688" s="13"/>
      <c r="M30688" s="14"/>
      <c r="N30688" s="14"/>
      <c r="O30688" s="14"/>
      <c r="P30688" s="13"/>
    </row>
    <row r="30689">
      <c r="L30689" s="13"/>
      <c r="M30689" s="14"/>
      <c r="N30689" s="14"/>
      <c r="O30689" s="14"/>
      <c r="P30689" s="13"/>
    </row>
    <row r="30690">
      <c r="L30690" s="13"/>
      <c r="M30690" s="14"/>
      <c r="N30690" s="14"/>
      <c r="O30690" s="14"/>
      <c r="P30690" s="13"/>
    </row>
    <row r="30691">
      <c r="L30691" s="13"/>
      <c r="M30691" s="14"/>
      <c r="N30691" s="14"/>
      <c r="O30691" s="14"/>
      <c r="P30691" s="13"/>
    </row>
    <row r="30692">
      <c r="L30692" s="13"/>
      <c r="M30692" s="14"/>
      <c r="N30692" s="14"/>
      <c r="O30692" s="14"/>
      <c r="P30692" s="13"/>
    </row>
    <row r="30693">
      <c r="L30693" s="13"/>
      <c r="M30693" s="14"/>
      <c r="N30693" s="14"/>
      <c r="O30693" s="14"/>
      <c r="P30693" s="13"/>
    </row>
    <row r="30694">
      <c r="L30694" s="13"/>
      <c r="M30694" s="14"/>
      <c r="N30694" s="14"/>
      <c r="O30694" s="14"/>
      <c r="P30694" s="13"/>
    </row>
    <row r="30695">
      <c r="L30695" s="13"/>
      <c r="M30695" s="14"/>
      <c r="N30695" s="14"/>
      <c r="O30695" s="14"/>
      <c r="P30695" s="13"/>
    </row>
    <row r="30696">
      <c r="L30696" s="13"/>
      <c r="M30696" s="14"/>
      <c r="N30696" s="14"/>
      <c r="O30696" s="14"/>
      <c r="P30696" s="13"/>
    </row>
    <row r="30697">
      <c r="L30697" s="13"/>
      <c r="M30697" s="14"/>
      <c r="N30697" s="14"/>
      <c r="O30697" s="14"/>
      <c r="P30697" s="13"/>
    </row>
    <row r="30698">
      <c r="L30698" s="13"/>
      <c r="M30698" s="14"/>
      <c r="N30698" s="14"/>
      <c r="O30698" s="14"/>
      <c r="P30698" s="13"/>
    </row>
    <row r="30699">
      <c r="L30699" s="13"/>
      <c r="M30699" s="14"/>
      <c r="N30699" s="14"/>
      <c r="O30699" s="14"/>
      <c r="P30699" s="13"/>
    </row>
    <row r="30700">
      <c r="L30700" s="13"/>
      <c r="M30700" s="14"/>
      <c r="N30700" s="14"/>
      <c r="O30700" s="14"/>
      <c r="P30700" s="13"/>
    </row>
    <row r="30701">
      <c r="L30701" s="13"/>
      <c r="M30701" s="14"/>
      <c r="N30701" s="14"/>
      <c r="O30701" s="14"/>
      <c r="P30701" s="13"/>
    </row>
    <row r="30702">
      <c r="L30702" s="13"/>
      <c r="M30702" s="14"/>
      <c r="N30702" s="14"/>
      <c r="O30702" s="14"/>
      <c r="P30702" s="13"/>
    </row>
    <row r="30703">
      <c r="L30703" s="13"/>
      <c r="M30703" s="14"/>
      <c r="N30703" s="14"/>
      <c r="O30703" s="14"/>
      <c r="P30703" s="13"/>
    </row>
    <row r="30704">
      <c r="L30704" s="13"/>
      <c r="M30704" s="14"/>
      <c r="N30704" s="14"/>
      <c r="O30704" s="14"/>
      <c r="P30704" s="13"/>
    </row>
    <row r="30705">
      <c r="L30705" s="13"/>
      <c r="M30705" s="14"/>
      <c r="N30705" s="14"/>
      <c r="O30705" s="14"/>
      <c r="P30705" s="13"/>
    </row>
    <row r="30706">
      <c r="L30706" s="13"/>
      <c r="M30706" s="14"/>
      <c r="N30706" s="14"/>
      <c r="O30706" s="14"/>
      <c r="P30706" s="13"/>
    </row>
    <row r="30707">
      <c r="L30707" s="13"/>
      <c r="M30707" s="14"/>
      <c r="N30707" s="14"/>
      <c r="O30707" s="14"/>
      <c r="P30707" s="13"/>
    </row>
    <row r="30708">
      <c r="L30708" s="13"/>
      <c r="M30708" s="14"/>
      <c r="N30708" s="14"/>
      <c r="O30708" s="14"/>
      <c r="P30708" s="13"/>
    </row>
    <row r="30709">
      <c r="L30709" s="13"/>
      <c r="M30709" s="14"/>
      <c r="N30709" s="14"/>
      <c r="O30709" s="14"/>
      <c r="P30709" s="13"/>
    </row>
    <row r="30710">
      <c r="L30710" s="13"/>
      <c r="M30710" s="14"/>
      <c r="N30710" s="14"/>
      <c r="O30710" s="14"/>
      <c r="P30710" s="13"/>
    </row>
    <row r="30711">
      <c r="L30711" s="13"/>
      <c r="M30711" s="14"/>
      <c r="N30711" s="14"/>
      <c r="O30711" s="14"/>
      <c r="P30711" s="13"/>
    </row>
    <row r="30712">
      <c r="L30712" s="13"/>
      <c r="M30712" s="14"/>
      <c r="N30712" s="14"/>
      <c r="O30712" s="14"/>
      <c r="P30712" s="13"/>
    </row>
    <row r="30713">
      <c r="L30713" s="13"/>
      <c r="M30713" s="14"/>
      <c r="N30713" s="14"/>
      <c r="O30713" s="14"/>
      <c r="P30713" s="13"/>
    </row>
    <row r="30714">
      <c r="L30714" s="13"/>
      <c r="M30714" s="14"/>
      <c r="N30714" s="14"/>
      <c r="O30714" s="14"/>
      <c r="P30714" s="13"/>
    </row>
    <row r="30715">
      <c r="L30715" s="13"/>
      <c r="M30715" s="14"/>
      <c r="N30715" s="14"/>
      <c r="O30715" s="14"/>
      <c r="P30715" s="13"/>
    </row>
    <row r="30716">
      <c r="L30716" s="13"/>
      <c r="M30716" s="14"/>
      <c r="N30716" s="14"/>
      <c r="O30716" s="14"/>
      <c r="P30716" s="13"/>
    </row>
    <row r="30717">
      <c r="L30717" s="13"/>
      <c r="M30717" s="14"/>
      <c r="N30717" s="14"/>
      <c r="O30717" s="14"/>
      <c r="P30717" s="13"/>
    </row>
    <row r="30718">
      <c r="L30718" s="13"/>
      <c r="M30718" s="14"/>
      <c r="N30718" s="14"/>
      <c r="O30718" s="14"/>
      <c r="P30718" s="13"/>
    </row>
    <row r="30719">
      <c r="L30719" s="13"/>
      <c r="M30719" s="14"/>
      <c r="N30719" s="14"/>
      <c r="O30719" s="14"/>
      <c r="P30719" s="13"/>
    </row>
    <row r="30720">
      <c r="L30720" s="13"/>
      <c r="M30720" s="14"/>
      <c r="N30720" s="14"/>
      <c r="O30720" s="14"/>
      <c r="P30720" s="13"/>
    </row>
    <row r="30721">
      <c r="L30721" s="13"/>
      <c r="M30721" s="14"/>
      <c r="N30721" s="14"/>
      <c r="O30721" s="14"/>
      <c r="P30721" s="13"/>
    </row>
    <row r="30722">
      <c r="L30722" s="13"/>
      <c r="M30722" s="14"/>
      <c r="N30722" s="14"/>
      <c r="O30722" s="14"/>
      <c r="P30722" s="13"/>
    </row>
    <row r="30723">
      <c r="L30723" s="13"/>
      <c r="M30723" s="14"/>
      <c r="N30723" s="14"/>
      <c r="O30723" s="14"/>
      <c r="P30723" s="13"/>
    </row>
    <row r="30724">
      <c r="L30724" s="13"/>
      <c r="M30724" s="14"/>
      <c r="N30724" s="14"/>
      <c r="O30724" s="14"/>
      <c r="P30724" s="13"/>
    </row>
    <row r="30725">
      <c r="L30725" s="13"/>
      <c r="M30725" s="14"/>
      <c r="N30725" s="14"/>
      <c r="O30725" s="14"/>
      <c r="P30725" s="13"/>
    </row>
    <row r="30726">
      <c r="L30726" s="13"/>
      <c r="M30726" s="14"/>
      <c r="N30726" s="14"/>
      <c r="O30726" s="14"/>
      <c r="P30726" s="13"/>
    </row>
    <row r="30727">
      <c r="L30727" s="13"/>
      <c r="M30727" s="14"/>
      <c r="N30727" s="14"/>
      <c r="O30727" s="14"/>
      <c r="P30727" s="13"/>
    </row>
    <row r="30728">
      <c r="L30728" s="13"/>
      <c r="M30728" s="14"/>
      <c r="N30728" s="14"/>
      <c r="O30728" s="14"/>
      <c r="P30728" s="13"/>
    </row>
    <row r="30729">
      <c r="L30729" s="13"/>
      <c r="M30729" s="14"/>
      <c r="N30729" s="14"/>
      <c r="O30729" s="14"/>
      <c r="P30729" s="13"/>
    </row>
    <row r="30730">
      <c r="L30730" s="13"/>
      <c r="M30730" s="14"/>
      <c r="N30730" s="14"/>
      <c r="O30730" s="14"/>
      <c r="P30730" s="13"/>
    </row>
    <row r="30731">
      <c r="L30731" s="13"/>
      <c r="M30731" s="14"/>
      <c r="N30731" s="14"/>
      <c r="O30731" s="14"/>
      <c r="P30731" s="13"/>
    </row>
    <row r="30732">
      <c r="L30732" s="13"/>
      <c r="M30732" s="14"/>
      <c r="N30732" s="14"/>
      <c r="O30732" s="14"/>
      <c r="P30732" s="13"/>
    </row>
    <row r="30733">
      <c r="L30733" s="13"/>
      <c r="M30733" s="14"/>
      <c r="N30733" s="14"/>
      <c r="O30733" s="14"/>
      <c r="P30733" s="13"/>
    </row>
    <row r="30734">
      <c r="L30734" s="13"/>
      <c r="M30734" s="14"/>
      <c r="N30734" s="14"/>
      <c r="O30734" s="14"/>
      <c r="P30734" s="13"/>
    </row>
    <row r="30735">
      <c r="L30735" s="13"/>
      <c r="M30735" s="14"/>
      <c r="N30735" s="14"/>
      <c r="O30735" s="14"/>
      <c r="P30735" s="13"/>
    </row>
    <row r="30736">
      <c r="L30736" s="13"/>
      <c r="M30736" s="14"/>
      <c r="N30736" s="14"/>
      <c r="O30736" s="14"/>
      <c r="P30736" s="13"/>
    </row>
    <row r="30737">
      <c r="L30737" s="13"/>
      <c r="M30737" s="14"/>
      <c r="N30737" s="14"/>
      <c r="O30737" s="14"/>
      <c r="P30737" s="13"/>
    </row>
    <row r="30738">
      <c r="L30738" s="13"/>
      <c r="M30738" s="14"/>
      <c r="N30738" s="14"/>
      <c r="O30738" s="14"/>
      <c r="P30738" s="13"/>
    </row>
    <row r="30739">
      <c r="L30739" s="13"/>
      <c r="M30739" s="14"/>
      <c r="N30739" s="14"/>
      <c r="O30739" s="14"/>
      <c r="P30739" s="13"/>
    </row>
    <row r="30740">
      <c r="L30740" s="13"/>
      <c r="M30740" s="14"/>
      <c r="N30740" s="14"/>
      <c r="O30740" s="14"/>
      <c r="P30740" s="13"/>
    </row>
    <row r="30741">
      <c r="L30741" s="13"/>
      <c r="M30741" s="14"/>
      <c r="N30741" s="14"/>
      <c r="O30741" s="14"/>
      <c r="P30741" s="13"/>
    </row>
    <row r="30742">
      <c r="L30742" s="13"/>
      <c r="M30742" s="14"/>
      <c r="N30742" s="14"/>
      <c r="O30742" s="14"/>
      <c r="P30742" s="13"/>
    </row>
    <row r="30743">
      <c r="L30743" s="13"/>
      <c r="M30743" s="14"/>
      <c r="N30743" s="14"/>
      <c r="O30743" s="14"/>
      <c r="P30743" s="13"/>
    </row>
    <row r="30744">
      <c r="L30744" s="13"/>
      <c r="M30744" s="14"/>
      <c r="N30744" s="14"/>
      <c r="O30744" s="14"/>
      <c r="P30744" s="13"/>
    </row>
    <row r="30745">
      <c r="L30745" s="13"/>
      <c r="M30745" s="14"/>
      <c r="N30745" s="14"/>
      <c r="O30745" s="14"/>
      <c r="P30745" s="13"/>
    </row>
    <row r="30746">
      <c r="L30746" s="13"/>
      <c r="M30746" s="14"/>
      <c r="N30746" s="14"/>
      <c r="O30746" s="14"/>
      <c r="P30746" s="13"/>
    </row>
    <row r="30747">
      <c r="L30747" s="13"/>
      <c r="M30747" s="14"/>
      <c r="N30747" s="14"/>
      <c r="O30747" s="14"/>
      <c r="P30747" s="13"/>
    </row>
    <row r="30748">
      <c r="L30748" s="13"/>
      <c r="M30748" s="14"/>
      <c r="N30748" s="14"/>
      <c r="O30748" s="14"/>
      <c r="P30748" s="13"/>
    </row>
    <row r="30749">
      <c r="L30749" s="13"/>
      <c r="M30749" s="14"/>
      <c r="N30749" s="14"/>
      <c r="O30749" s="14"/>
      <c r="P30749" s="13"/>
    </row>
    <row r="30750">
      <c r="L30750" s="13"/>
      <c r="M30750" s="14"/>
      <c r="N30750" s="14"/>
      <c r="O30750" s="14"/>
      <c r="P30750" s="13"/>
    </row>
    <row r="30751">
      <c r="L30751" s="13"/>
      <c r="M30751" s="14"/>
      <c r="N30751" s="14"/>
      <c r="O30751" s="14"/>
      <c r="P30751" s="13"/>
    </row>
    <row r="30752">
      <c r="L30752" s="13"/>
      <c r="M30752" s="14"/>
      <c r="N30752" s="14"/>
      <c r="O30752" s="14"/>
      <c r="P30752" s="13"/>
    </row>
    <row r="30753">
      <c r="L30753" s="13"/>
      <c r="M30753" s="14"/>
      <c r="N30753" s="14"/>
      <c r="O30753" s="14"/>
      <c r="P30753" s="13"/>
    </row>
    <row r="30754">
      <c r="L30754" s="13"/>
      <c r="M30754" s="14"/>
      <c r="N30754" s="14"/>
      <c r="O30754" s="14"/>
      <c r="P30754" s="13"/>
    </row>
    <row r="30755">
      <c r="L30755" s="13"/>
      <c r="M30755" s="14"/>
      <c r="N30755" s="14"/>
      <c r="O30755" s="14"/>
      <c r="P30755" s="13"/>
    </row>
    <row r="30756">
      <c r="L30756" s="13"/>
      <c r="M30756" s="14"/>
      <c r="N30756" s="14"/>
      <c r="O30756" s="14"/>
      <c r="P30756" s="13"/>
    </row>
    <row r="30757">
      <c r="L30757" s="13"/>
      <c r="M30757" s="14"/>
      <c r="N30757" s="14"/>
      <c r="O30757" s="14"/>
      <c r="P30757" s="13"/>
    </row>
    <row r="30758">
      <c r="L30758" s="13"/>
      <c r="M30758" s="14"/>
      <c r="N30758" s="14"/>
      <c r="O30758" s="14"/>
      <c r="P30758" s="13"/>
    </row>
    <row r="30759">
      <c r="L30759" s="13"/>
      <c r="M30759" s="14"/>
      <c r="N30759" s="14"/>
      <c r="O30759" s="14"/>
      <c r="P30759" s="13"/>
    </row>
    <row r="30760">
      <c r="L30760" s="13"/>
      <c r="M30760" s="14"/>
      <c r="N30760" s="14"/>
      <c r="O30760" s="14"/>
      <c r="P30760" s="13"/>
    </row>
    <row r="30761">
      <c r="L30761" s="13"/>
      <c r="M30761" s="14"/>
      <c r="N30761" s="14"/>
      <c r="O30761" s="14"/>
      <c r="P30761" s="13"/>
    </row>
    <row r="30762">
      <c r="L30762" s="13"/>
      <c r="M30762" s="14"/>
      <c r="N30762" s="14"/>
      <c r="O30762" s="14"/>
      <c r="P30762" s="13"/>
    </row>
    <row r="30763">
      <c r="L30763" s="13"/>
      <c r="M30763" s="14"/>
      <c r="N30763" s="14"/>
      <c r="O30763" s="14"/>
      <c r="P30763" s="13"/>
    </row>
    <row r="30764">
      <c r="L30764" s="13"/>
      <c r="M30764" s="14"/>
      <c r="N30764" s="14"/>
      <c r="O30764" s="14"/>
      <c r="P30764" s="13"/>
    </row>
    <row r="30765">
      <c r="L30765" s="13"/>
      <c r="M30765" s="14"/>
      <c r="N30765" s="14"/>
      <c r="O30765" s="14"/>
      <c r="P30765" s="13"/>
    </row>
    <row r="30766">
      <c r="L30766" s="13"/>
      <c r="M30766" s="14"/>
      <c r="N30766" s="14"/>
      <c r="O30766" s="14"/>
      <c r="P30766" s="13"/>
    </row>
    <row r="30767">
      <c r="L30767" s="13"/>
      <c r="M30767" s="14"/>
      <c r="N30767" s="14"/>
      <c r="O30767" s="14"/>
      <c r="P30767" s="13"/>
    </row>
    <row r="30768">
      <c r="L30768" s="13"/>
      <c r="M30768" s="14"/>
      <c r="N30768" s="14"/>
      <c r="O30768" s="14"/>
      <c r="P30768" s="13"/>
    </row>
    <row r="30769">
      <c r="L30769" s="13"/>
      <c r="M30769" s="14"/>
      <c r="N30769" s="14"/>
      <c r="O30769" s="14"/>
      <c r="P30769" s="13"/>
    </row>
    <row r="30770">
      <c r="L30770" s="13"/>
      <c r="M30770" s="14"/>
      <c r="N30770" s="14"/>
      <c r="O30770" s="14"/>
      <c r="P30770" s="13"/>
    </row>
    <row r="30771">
      <c r="L30771" s="13"/>
      <c r="M30771" s="14"/>
      <c r="N30771" s="14"/>
      <c r="O30771" s="14"/>
      <c r="P30771" s="13"/>
    </row>
    <row r="30772">
      <c r="L30772" s="13"/>
      <c r="M30772" s="14"/>
      <c r="N30772" s="14"/>
      <c r="O30772" s="14"/>
      <c r="P30772" s="13"/>
    </row>
    <row r="30773">
      <c r="L30773" s="13"/>
      <c r="M30773" s="14"/>
      <c r="N30773" s="14"/>
      <c r="O30773" s="14"/>
      <c r="P30773" s="13"/>
    </row>
    <row r="30774">
      <c r="L30774" s="13"/>
      <c r="M30774" s="14"/>
      <c r="N30774" s="14"/>
      <c r="O30774" s="14"/>
      <c r="P30774" s="13"/>
    </row>
    <row r="30775">
      <c r="L30775" s="13"/>
      <c r="M30775" s="14"/>
      <c r="N30775" s="14"/>
      <c r="O30775" s="14"/>
      <c r="P30775" s="13"/>
    </row>
    <row r="30776">
      <c r="L30776" s="13"/>
      <c r="M30776" s="14"/>
      <c r="N30776" s="14"/>
      <c r="O30776" s="14"/>
      <c r="P30776" s="13"/>
    </row>
    <row r="30777">
      <c r="L30777" s="13"/>
      <c r="M30777" s="14"/>
      <c r="N30777" s="14"/>
      <c r="O30777" s="14"/>
      <c r="P30777" s="13"/>
    </row>
    <row r="30778">
      <c r="L30778" s="13"/>
      <c r="M30778" s="14"/>
      <c r="N30778" s="14"/>
      <c r="O30778" s="14"/>
      <c r="P30778" s="13"/>
    </row>
    <row r="30779">
      <c r="L30779" s="13"/>
      <c r="M30779" s="14"/>
      <c r="N30779" s="14"/>
      <c r="O30779" s="14"/>
      <c r="P30779" s="13"/>
    </row>
    <row r="30780">
      <c r="L30780" s="13"/>
      <c r="M30780" s="14"/>
      <c r="N30780" s="14"/>
      <c r="O30780" s="14"/>
      <c r="P30780" s="13"/>
    </row>
    <row r="30781">
      <c r="L30781" s="13"/>
      <c r="M30781" s="14"/>
      <c r="N30781" s="14"/>
      <c r="O30781" s="14"/>
      <c r="P30781" s="13"/>
    </row>
    <row r="30782">
      <c r="L30782" s="13"/>
      <c r="M30782" s="14"/>
      <c r="N30782" s="14"/>
      <c r="O30782" s="14"/>
      <c r="P30782" s="13"/>
    </row>
    <row r="30783">
      <c r="L30783" s="13"/>
      <c r="M30783" s="14"/>
      <c r="N30783" s="14"/>
      <c r="O30783" s="14"/>
      <c r="P30783" s="13"/>
    </row>
    <row r="30784">
      <c r="L30784" s="13"/>
      <c r="M30784" s="14"/>
      <c r="N30784" s="14"/>
      <c r="O30784" s="14"/>
      <c r="P30784" s="13"/>
    </row>
    <row r="30785">
      <c r="L30785" s="13"/>
      <c r="M30785" s="14"/>
      <c r="N30785" s="14"/>
      <c r="O30785" s="14"/>
      <c r="P30785" s="13"/>
    </row>
    <row r="30786">
      <c r="L30786" s="13"/>
      <c r="M30786" s="14"/>
      <c r="N30786" s="14"/>
      <c r="O30786" s="14"/>
      <c r="P30786" s="13"/>
    </row>
    <row r="30787">
      <c r="L30787" s="13"/>
      <c r="M30787" s="14"/>
      <c r="N30787" s="14"/>
      <c r="O30787" s="14"/>
      <c r="P30787" s="13"/>
    </row>
    <row r="30788">
      <c r="L30788" s="13"/>
      <c r="M30788" s="14"/>
      <c r="N30788" s="14"/>
      <c r="O30788" s="14"/>
      <c r="P30788" s="13"/>
    </row>
    <row r="30789">
      <c r="L30789" s="13"/>
      <c r="M30789" s="14"/>
      <c r="N30789" s="14"/>
      <c r="O30789" s="14"/>
      <c r="P30789" s="13"/>
    </row>
    <row r="30790">
      <c r="L30790" s="13"/>
      <c r="M30790" s="14"/>
      <c r="N30790" s="14"/>
      <c r="O30790" s="14"/>
      <c r="P30790" s="13"/>
    </row>
    <row r="30791">
      <c r="L30791" s="13"/>
      <c r="M30791" s="14"/>
      <c r="N30791" s="14"/>
      <c r="O30791" s="14"/>
      <c r="P30791" s="13"/>
    </row>
    <row r="30792">
      <c r="L30792" s="13"/>
      <c r="M30792" s="14"/>
      <c r="N30792" s="14"/>
      <c r="O30792" s="14"/>
      <c r="P30792" s="13"/>
    </row>
    <row r="30793">
      <c r="L30793" s="13"/>
      <c r="M30793" s="14"/>
      <c r="N30793" s="14"/>
      <c r="O30793" s="14"/>
      <c r="P30793" s="13"/>
    </row>
    <row r="30794">
      <c r="L30794" s="13"/>
      <c r="M30794" s="14"/>
      <c r="N30794" s="14"/>
      <c r="O30794" s="14"/>
      <c r="P30794" s="13"/>
    </row>
    <row r="30795">
      <c r="L30795" s="13"/>
      <c r="M30795" s="14"/>
      <c r="N30795" s="14"/>
      <c r="O30795" s="14"/>
      <c r="P30795" s="13"/>
    </row>
    <row r="30796">
      <c r="L30796" s="13"/>
      <c r="M30796" s="14"/>
      <c r="N30796" s="14"/>
      <c r="O30796" s="14"/>
      <c r="P30796" s="13"/>
    </row>
    <row r="30797">
      <c r="L30797" s="13"/>
      <c r="M30797" s="14"/>
      <c r="N30797" s="14"/>
      <c r="O30797" s="14"/>
      <c r="P30797" s="13"/>
    </row>
    <row r="30798">
      <c r="L30798" s="13"/>
      <c r="M30798" s="14"/>
      <c r="N30798" s="14"/>
      <c r="O30798" s="14"/>
      <c r="P30798" s="13"/>
    </row>
    <row r="30799">
      <c r="L30799" s="13"/>
      <c r="M30799" s="14"/>
      <c r="N30799" s="14"/>
      <c r="O30799" s="14"/>
      <c r="P30799" s="13"/>
    </row>
    <row r="30800">
      <c r="L30800" s="13"/>
      <c r="M30800" s="14"/>
      <c r="N30800" s="14"/>
      <c r="O30800" s="14"/>
      <c r="P30800" s="13"/>
    </row>
    <row r="30801">
      <c r="L30801" s="13"/>
      <c r="M30801" s="14"/>
      <c r="N30801" s="14"/>
      <c r="O30801" s="14"/>
      <c r="P30801" s="13"/>
    </row>
    <row r="30802">
      <c r="L30802" s="13"/>
      <c r="M30802" s="14"/>
      <c r="N30802" s="14"/>
      <c r="O30802" s="14"/>
      <c r="P30802" s="13"/>
    </row>
    <row r="30803">
      <c r="L30803" s="13"/>
      <c r="M30803" s="14"/>
      <c r="N30803" s="14"/>
      <c r="O30803" s="14"/>
      <c r="P30803" s="13"/>
    </row>
    <row r="30804">
      <c r="L30804" s="13"/>
      <c r="M30804" s="14"/>
      <c r="N30804" s="14"/>
      <c r="O30804" s="14"/>
      <c r="P30804" s="13"/>
    </row>
    <row r="30805">
      <c r="L30805" s="13"/>
      <c r="M30805" s="14"/>
      <c r="N30805" s="14"/>
      <c r="O30805" s="14"/>
      <c r="P30805" s="13"/>
    </row>
    <row r="30806">
      <c r="L30806" s="13"/>
      <c r="M30806" s="14"/>
      <c r="N30806" s="14"/>
      <c r="O30806" s="14"/>
      <c r="P30806" s="13"/>
    </row>
    <row r="30807">
      <c r="L30807" s="13"/>
      <c r="M30807" s="14"/>
      <c r="N30807" s="14"/>
      <c r="O30807" s="14"/>
      <c r="P30807" s="13"/>
    </row>
    <row r="30808">
      <c r="L30808" s="13"/>
      <c r="M30808" s="14"/>
      <c r="N30808" s="14"/>
      <c r="O30808" s="14"/>
      <c r="P30808" s="13"/>
    </row>
    <row r="30809">
      <c r="L30809" s="13"/>
      <c r="M30809" s="14"/>
      <c r="N30809" s="14"/>
      <c r="O30809" s="14"/>
      <c r="P30809" s="13"/>
    </row>
    <row r="30810">
      <c r="L30810" s="13"/>
      <c r="M30810" s="14"/>
      <c r="N30810" s="14"/>
      <c r="O30810" s="14"/>
      <c r="P30810" s="13"/>
    </row>
    <row r="30811">
      <c r="L30811" s="13"/>
      <c r="M30811" s="14"/>
      <c r="N30811" s="14"/>
      <c r="O30811" s="14"/>
      <c r="P30811" s="13"/>
    </row>
    <row r="30812">
      <c r="L30812" s="13"/>
      <c r="M30812" s="14"/>
      <c r="N30812" s="14"/>
      <c r="O30812" s="14"/>
      <c r="P30812" s="13"/>
    </row>
    <row r="30813">
      <c r="L30813" s="13"/>
      <c r="M30813" s="14"/>
      <c r="N30813" s="14"/>
      <c r="O30813" s="14"/>
      <c r="P30813" s="13"/>
    </row>
    <row r="30814">
      <c r="L30814" s="13"/>
      <c r="M30814" s="14"/>
      <c r="N30814" s="14"/>
      <c r="O30814" s="14"/>
      <c r="P30814" s="13"/>
    </row>
    <row r="30815">
      <c r="L30815" s="13"/>
      <c r="M30815" s="14"/>
      <c r="N30815" s="14"/>
      <c r="O30815" s="14"/>
      <c r="P30815" s="13"/>
    </row>
    <row r="30816">
      <c r="L30816" s="13"/>
      <c r="M30816" s="14"/>
      <c r="N30816" s="14"/>
      <c r="O30816" s="14"/>
      <c r="P30816" s="13"/>
    </row>
    <row r="30817">
      <c r="L30817" s="13"/>
      <c r="M30817" s="14"/>
      <c r="N30817" s="14"/>
      <c r="O30817" s="14"/>
      <c r="P30817" s="13"/>
    </row>
    <row r="30818">
      <c r="L30818" s="13"/>
      <c r="M30818" s="14"/>
      <c r="N30818" s="14"/>
      <c r="O30818" s="14"/>
      <c r="P30818" s="13"/>
    </row>
    <row r="30819">
      <c r="L30819" s="13"/>
      <c r="M30819" s="14"/>
      <c r="N30819" s="14"/>
      <c r="O30819" s="14"/>
      <c r="P30819" s="13"/>
    </row>
    <row r="30820">
      <c r="L30820" s="13"/>
      <c r="M30820" s="14"/>
      <c r="N30820" s="14"/>
      <c r="O30820" s="14"/>
      <c r="P30820" s="13"/>
    </row>
    <row r="30821">
      <c r="L30821" s="13"/>
      <c r="M30821" s="14"/>
      <c r="N30821" s="14"/>
      <c r="O30821" s="14"/>
      <c r="P30821" s="13"/>
    </row>
    <row r="30822">
      <c r="L30822" s="13"/>
      <c r="M30822" s="14"/>
      <c r="N30822" s="14"/>
      <c r="O30822" s="14"/>
      <c r="P30822" s="13"/>
    </row>
    <row r="30823">
      <c r="L30823" s="13"/>
      <c r="M30823" s="14"/>
      <c r="N30823" s="14"/>
      <c r="O30823" s="14"/>
      <c r="P30823" s="13"/>
    </row>
    <row r="30824">
      <c r="L30824" s="13"/>
      <c r="M30824" s="14"/>
      <c r="N30824" s="14"/>
      <c r="O30824" s="14"/>
      <c r="P30824" s="13"/>
    </row>
    <row r="30825">
      <c r="L30825" s="13"/>
      <c r="M30825" s="14"/>
      <c r="N30825" s="14"/>
      <c r="O30825" s="14"/>
      <c r="P30825" s="13"/>
    </row>
    <row r="30826">
      <c r="L30826" s="13"/>
      <c r="M30826" s="14"/>
      <c r="N30826" s="14"/>
      <c r="O30826" s="14"/>
      <c r="P30826" s="13"/>
    </row>
    <row r="30827">
      <c r="L30827" s="13"/>
      <c r="M30827" s="14"/>
      <c r="N30827" s="14"/>
      <c r="O30827" s="14"/>
      <c r="P30827" s="13"/>
    </row>
    <row r="30828">
      <c r="L30828" s="13"/>
      <c r="M30828" s="14"/>
      <c r="N30828" s="14"/>
      <c r="O30828" s="14"/>
      <c r="P30828" s="13"/>
    </row>
    <row r="30829">
      <c r="L30829" s="13"/>
      <c r="M30829" s="14"/>
      <c r="N30829" s="14"/>
      <c r="O30829" s="14"/>
      <c r="P30829" s="13"/>
    </row>
    <row r="30830">
      <c r="L30830" s="13"/>
      <c r="M30830" s="14"/>
      <c r="N30830" s="14"/>
      <c r="O30830" s="14"/>
      <c r="P30830" s="13"/>
    </row>
    <row r="30831">
      <c r="L30831" s="13"/>
      <c r="M30831" s="14"/>
      <c r="N30831" s="14"/>
      <c r="O30831" s="14"/>
      <c r="P30831" s="13"/>
    </row>
    <row r="30832">
      <c r="L30832" s="13"/>
      <c r="M30832" s="14"/>
      <c r="N30832" s="14"/>
      <c r="O30832" s="14"/>
      <c r="P30832" s="13"/>
    </row>
    <row r="30833">
      <c r="L30833" s="13"/>
      <c r="M30833" s="14"/>
      <c r="N30833" s="14"/>
      <c r="O30833" s="14"/>
      <c r="P30833" s="13"/>
    </row>
    <row r="30834">
      <c r="L30834" s="13"/>
      <c r="M30834" s="14"/>
      <c r="N30834" s="14"/>
      <c r="O30834" s="14"/>
      <c r="P30834" s="13"/>
    </row>
    <row r="30835">
      <c r="L30835" s="13"/>
      <c r="M30835" s="14"/>
      <c r="N30835" s="14"/>
      <c r="O30835" s="14"/>
      <c r="P30835" s="13"/>
    </row>
    <row r="30836">
      <c r="L30836" s="13"/>
      <c r="M30836" s="14"/>
      <c r="N30836" s="14"/>
      <c r="O30836" s="14"/>
      <c r="P30836" s="13"/>
    </row>
    <row r="30837">
      <c r="L30837" s="13"/>
      <c r="M30837" s="14"/>
      <c r="N30837" s="14"/>
      <c r="O30837" s="14"/>
      <c r="P30837" s="13"/>
    </row>
    <row r="30838">
      <c r="L30838" s="13"/>
      <c r="M30838" s="14"/>
      <c r="N30838" s="14"/>
      <c r="O30838" s="14"/>
      <c r="P30838" s="13"/>
    </row>
    <row r="30839">
      <c r="L30839" s="13"/>
      <c r="M30839" s="14"/>
      <c r="N30839" s="14"/>
      <c r="O30839" s="14"/>
      <c r="P30839" s="13"/>
    </row>
    <row r="30840">
      <c r="L30840" s="13"/>
      <c r="M30840" s="14"/>
      <c r="N30840" s="14"/>
      <c r="O30840" s="14"/>
      <c r="P30840" s="13"/>
    </row>
    <row r="30841">
      <c r="L30841" s="13"/>
      <c r="M30841" s="14"/>
      <c r="N30841" s="14"/>
      <c r="O30841" s="14"/>
      <c r="P30841" s="13"/>
    </row>
    <row r="30842">
      <c r="L30842" s="13"/>
      <c r="M30842" s="14"/>
      <c r="N30842" s="14"/>
      <c r="O30842" s="14"/>
      <c r="P30842" s="13"/>
    </row>
    <row r="30843">
      <c r="L30843" s="13"/>
      <c r="M30843" s="14"/>
      <c r="N30843" s="14"/>
      <c r="O30843" s="14"/>
      <c r="P30843" s="13"/>
    </row>
    <row r="30844">
      <c r="L30844" s="13"/>
      <c r="M30844" s="14"/>
      <c r="N30844" s="14"/>
      <c r="O30844" s="14"/>
      <c r="P30844" s="13"/>
    </row>
    <row r="30845">
      <c r="L30845" s="13"/>
      <c r="M30845" s="14"/>
      <c r="N30845" s="14"/>
      <c r="O30845" s="14"/>
      <c r="P30845" s="13"/>
    </row>
    <row r="30846">
      <c r="L30846" s="13"/>
      <c r="M30846" s="14"/>
      <c r="N30846" s="14"/>
      <c r="O30846" s="14"/>
      <c r="P30846" s="13"/>
    </row>
    <row r="30847">
      <c r="L30847" s="13"/>
      <c r="M30847" s="14"/>
      <c r="N30847" s="14"/>
      <c r="O30847" s="14"/>
      <c r="P30847" s="13"/>
    </row>
    <row r="30848">
      <c r="L30848" s="13"/>
      <c r="M30848" s="14"/>
      <c r="N30848" s="14"/>
      <c r="O30848" s="14"/>
      <c r="P30848" s="13"/>
    </row>
    <row r="30849">
      <c r="L30849" s="13"/>
      <c r="M30849" s="14"/>
      <c r="N30849" s="14"/>
      <c r="O30849" s="14"/>
      <c r="P30849" s="13"/>
    </row>
    <row r="30850">
      <c r="L30850" s="13"/>
      <c r="M30850" s="14"/>
      <c r="N30850" s="14"/>
      <c r="O30850" s="14"/>
      <c r="P30850" s="13"/>
    </row>
    <row r="30851">
      <c r="L30851" s="13"/>
      <c r="M30851" s="14"/>
      <c r="N30851" s="14"/>
      <c r="O30851" s="14"/>
      <c r="P30851" s="13"/>
    </row>
    <row r="30852">
      <c r="L30852" s="13"/>
      <c r="M30852" s="14"/>
      <c r="N30852" s="14"/>
      <c r="O30852" s="14"/>
      <c r="P30852" s="13"/>
    </row>
    <row r="30853">
      <c r="L30853" s="13"/>
      <c r="M30853" s="14"/>
      <c r="N30853" s="14"/>
      <c r="O30853" s="14"/>
      <c r="P30853" s="13"/>
    </row>
    <row r="30854">
      <c r="L30854" s="13"/>
      <c r="M30854" s="14"/>
      <c r="N30854" s="14"/>
      <c r="O30854" s="14"/>
      <c r="P30854" s="13"/>
    </row>
    <row r="30855">
      <c r="L30855" s="13"/>
      <c r="M30855" s="14"/>
      <c r="N30855" s="14"/>
      <c r="O30855" s="14"/>
      <c r="P30855" s="13"/>
    </row>
    <row r="30856">
      <c r="L30856" s="13"/>
      <c r="M30856" s="14"/>
      <c r="N30856" s="14"/>
      <c r="O30856" s="14"/>
      <c r="P30856" s="13"/>
    </row>
    <row r="30857">
      <c r="L30857" s="13"/>
      <c r="M30857" s="14"/>
      <c r="N30857" s="14"/>
      <c r="O30857" s="14"/>
      <c r="P30857" s="13"/>
    </row>
    <row r="30858">
      <c r="L30858" s="13"/>
      <c r="M30858" s="14"/>
      <c r="N30858" s="14"/>
      <c r="O30858" s="14"/>
      <c r="P30858" s="13"/>
    </row>
    <row r="30859">
      <c r="L30859" s="13"/>
      <c r="M30859" s="14"/>
      <c r="N30859" s="14"/>
      <c r="O30859" s="14"/>
      <c r="P30859" s="13"/>
    </row>
    <row r="30860">
      <c r="L30860" s="13"/>
      <c r="M30860" s="14"/>
      <c r="N30860" s="14"/>
      <c r="O30860" s="14"/>
      <c r="P30860" s="13"/>
    </row>
    <row r="30861">
      <c r="L30861" s="13"/>
      <c r="M30861" s="14"/>
      <c r="N30861" s="14"/>
      <c r="O30861" s="14"/>
      <c r="P30861" s="13"/>
    </row>
    <row r="30862">
      <c r="L30862" s="13"/>
      <c r="M30862" s="14"/>
      <c r="N30862" s="14"/>
      <c r="O30862" s="14"/>
      <c r="P30862" s="13"/>
    </row>
    <row r="30863">
      <c r="L30863" s="13"/>
      <c r="M30863" s="14"/>
      <c r="N30863" s="14"/>
      <c r="O30863" s="14"/>
      <c r="P30863" s="13"/>
    </row>
    <row r="30864">
      <c r="L30864" s="13"/>
      <c r="M30864" s="14"/>
      <c r="N30864" s="14"/>
      <c r="O30864" s="14"/>
      <c r="P30864" s="13"/>
    </row>
    <row r="30865">
      <c r="L30865" s="13"/>
      <c r="M30865" s="14"/>
      <c r="N30865" s="14"/>
      <c r="O30865" s="14"/>
      <c r="P30865" s="13"/>
    </row>
    <row r="30866">
      <c r="L30866" s="13"/>
      <c r="M30866" s="14"/>
      <c r="N30866" s="14"/>
      <c r="O30866" s="14"/>
      <c r="P30866" s="13"/>
    </row>
    <row r="30867">
      <c r="L30867" s="13"/>
      <c r="M30867" s="14"/>
      <c r="N30867" s="14"/>
      <c r="O30867" s="14"/>
      <c r="P30867" s="13"/>
    </row>
    <row r="30868">
      <c r="L30868" s="13"/>
      <c r="M30868" s="14"/>
      <c r="N30868" s="14"/>
      <c r="O30868" s="14"/>
      <c r="P30868" s="13"/>
    </row>
    <row r="30869">
      <c r="L30869" s="13"/>
      <c r="M30869" s="14"/>
      <c r="N30869" s="14"/>
      <c r="O30869" s="14"/>
      <c r="P30869" s="13"/>
    </row>
    <row r="30870">
      <c r="L30870" s="13"/>
      <c r="M30870" s="14"/>
      <c r="N30870" s="14"/>
      <c r="O30870" s="14"/>
      <c r="P30870" s="13"/>
    </row>
    <row r="30871">
      <c r="L30871" s="13"/>
      <c r="M30871" s="14"/>
      <c r="N30871" s="14"/>
      <c r="O30871" s="14"/>
      <c r="P30871" s="13"/>
    </row>
    <row r="30872">
      <c r="L30872" s="13"/>
      <c r="M30872" s="14"/>
      <c r="N30872" s="14"/>
      <c r="O30872" s="14"/>
      <c r="P30872" s="13"/>
    </row>
    <row r="30873">
      <c r="L30873" s="13"/>
      <c r="M30873" s="14"/>
      <c r="N30873" s="14"/>
      <c r="O30873" s="14"/>
      <c r="P30873" s="13"/>
    </row>
    <row r="30874">
      <c r="L30874" s="13"/>
      <c r="M30874" s="14"/>
      <c r="N30874" s="14"/>
      <c r="O30874" s="14"/>
      <c r="P30874" s="13"/>
    </row>
    <row r="30875">
      <c r="L30875" s="13"/>
      <c r="M30875" s="14"/>
      <c r="N30875" s="14"/>
      <c r="O30875" s="14"/>
      <c r="P30875" s="13"/>
    </row>
    <row r="30876">
      <c r="L30876" s="13"/>
      <c r="M30876" s="14"/>
      <c r="N30876" s="14"/>
      <c r="O30876" s="14"/>
      <c r="P30876" s="13"/>
    </row>
    <row r="30877">
      <c r="L30877" s="13"/>
      <c r="M30877" s="14"/>
      <c r="N30877" s="14"/>
      <c r="O30877" s="14"/>
      <c r="P30877" s="13"/>
    </row>
    <row r="30878">
      <c r="L30878" s="13"/>
      <c r="M30878" s="14"/>
      <c r="N30878" s="14"/>
      <c r="O30878" s="14"/>
      <c r="P30878" s="13"/>
    </row>
    <row r="30879">
      <c r="L30879" s="13"/>
      <c r="M30879" s="14"/>
      <c r="N30879" s="14"/>
      <c r="O30879" s="14"/>
      <c r="P30879" s="13"/>
    </row>
    <row r="30880">
      <c r="L30880" s="13"/>
      <c r="M30880" s="14"/>
      <c r="N30880" s="14"/>
      <c r="O30880" s="14"/>
      <c r="P30880" s="13"/>
    </row>
    <row r="30881">
      <c r="L30881" s="13"/>
      <c r="M30881" s="14"/>
      <c r="N30881" s="14"/>
      <c r="O30881" s="14"/>
      <c r="P30881" s="13"/>
    </row>
    <row r="30882">
      <c r="L30882" s="13"/>
      <c r="M30882" s="14"/>
      <c r="N30882" s="14"/>
      <c r="O30882" s="14"/>
      <c r="P30882" s="13"/>
    </row>
    <row r="30883">
      <c r="L30883" s="13"/>
      <c r="M30883" s="14"/>
      <c r="N30883" s="14"/>
      <c r="O30883" s="14"/>
      <c r="P30883" s="13"/>
    </row>
    <row r="30884">
      <c r="L30884" s="13"/>
      <c r="M30884" s="14"/>
      <c r="N30884" s="14"/>
      <c r="O30884" s="14"/>
      <c r="P30884" s="13"/>
    </row>
    <row r="30885">
      <c r="L30885" s="13"/>
      <c r="M30885" s="14"/>
      <c r="N30885" s="14"/>
      <c r="O30885" s="14"/>
      <c r="P30885" s="13"/>
    </row>
    <row r="30886">
      <c r="L30886" s="13"/>
      <c r="M30886" s="14"/>
      <c r="N30886" s="14"/>
      <c r="O30886" s="14"/>
      <c r="P30886" s="13"/>
    </row>
    <row r="30887">
      <c r="L30887" s="13"/>
      <c r="M30887" s="14"/>
      <c r="N30887" s="14"/>
      <c r="O30887" s="14"/>
      <c r="P30887" s="13"/>
    </row>
    <row r="30888">
      <c r="L30888" s="13"/>
      <c r="M30888" s="14"/>
      <c r="N30888" s="14"/>
      <c r="O30888" s="14"/>
      <c r="P30888" s="13"/>
    </row>
    <row r="30889">
      <c r="L30889" s="13"/>
      <c r="M30889" s="14"/>
      <c r="N30889" s="14"/>
      <c r="O30889" s="14"/>
      <c r="P30889" s="13"/>
    </row>
    <row r="30890">
      <c r="L30890" s="13"/>
      <c r="M30890" s="14"/>
      <c r="N30890" s="14"/>
      <c r="O30890" s="14"/>
      <c r="P30890" s="13"/>
    </row>
    <row r="30891">
      <c r="L30891" s="13"/>
      <c r="M30891" s="14"/>
      <c r="N30891" s="14"/>
      <c r="O30891" s="14"/>
      <c r="P30891" s="13"/>
    </row>
    <row r="30892">
      <c r="L30892" s="13"/>
      <c r="M30892" s="14"/>
      <c r="N30892" s="14"/>
      <c r="O30892" s="14"/>
      <c r="P30892" s="13"/>
    </row>
    <row r="30893">
      <c r="L30893" s="13"/>
      <c r="M30893" s="14"/>
      <c r="N30893" s="14"/>
      <c r="O30893" s="14"/>
      <c r="P30893" s="13"/>
    </row>
    <row r="30894">
      <c r="L30894" s="13"/>
      <c r="M30894" s="14"/>
      <c r="N30894" s="14"/>
      <c r="O30894" s="14"/>
      <c r="P30894" s="13"/>
    </row>
    <row r="30895">
      <c r="L30895" s="13"/>
      <c r="M30895" s="14"/>
      <c r="N30895" s="14"/>
      <c r="O30895" s="14"/>
      <c r="P30895" s="13"/>
    </row>
    <row r="30896">
      <c r="L30896" s="13"/>
      <c r="M30896" s="14"/>
      <c r="N30896" s="14"/>
      <c r="O30896" s="14"/>
      <c r="P30896" s="13"/>
    </row>
    <row r="30897">
      <c r="L30897" s="13"/>
      <c r="M30897" s="14"/>
      <c r="N30897" s="14"/>
      <c r="O30897" s="14"/>
      <c r="P30897" s="13"/>
    </row>
    <row r="30898">
      <c r="L30898" s="13"/>
      <c r="M30898" s="14"/>
      <c r="N30898" s="14"/>
      <c r="O30898" s="14"/>
      <c r="P30898" s="13"/>
    </row>
    <row r="30899">
      <c r="L30899" s="13"/>
      <c r="M30899" s="14"/>
      <c r="N30899" s="14"/>
      <c r="O30899" s="14"/>
      <c r="P30899" s="13"/>
    </row>
    <row r="30900">
      <c r="L30900" s="13"/>
      <c r="M30900" s="14"/>
      <c r="N30900" s="14"/>
      <c r="O30900" s="14"/>
      <c r="P30900" s="13"/>
    </row>
    <row r="30901">
      <c r="L30901" s="13"/>
      <c r="M30901" s="14"/>
      <c r="N30901" s="14"/>
      <c r="O30901" s="14"/>
      <c r="P30901" s="13"/>
    </row>
    <row r="30902">
      <c r="L30902" s="13"/>
      <c r="M30902" s="14"/>
      <c r="N30902" s="14"/>
      <c r="O30902" s="14"/>
      <c r="P30902" s="13"/>
    </row>
    <row r="30903">
      <c r="L30903" s="13"/>
      <c r="M30903" s="14"/>
      <c r="N30903" s="14"/>
      <c r="O30903" s="14"/>
      <c r="P30903" s="13"/>
    </row>
    <row r="30904">
      <c r="L30904" s="13"/>
      <c r="M30904" s="14"/>
      <c r="N30904" s="14"/>
      <c r="O30904" s="14"/>
      <c r="P30904" s="13"/>
    </row>
    <row r="30905">
      <c r="L30905" s="13"/>
      <c r="M30905" s="14"/>
      <c r="N30905" s="14"/>
      <c r="O30905" s="14"/>
      <c r="P30905" s="13"/>
    </row>
    <row r="30906">
      <c r="L30906" s="13"/>
      <c r="M30906" s="14"/>
      <c r="N30906" s="14"/>
      <c r="O30906" s="14"/>
      <c r="P30906" s="13"/>
    </row>
    <row r="30907">
      <c r="L30907" s="13"/>
      <c r="M30907" s="14"/>
      <c r="N30907" s="14"/>
      <c r="O30907" s="14"/>
      <c r="P30907" s="13"/>
    </row>
    <row r="30908">
      <c r="L30908" s="13"/>
      <c r="M30908" s="14"/>
      <c r="N30908" s="14"/>
      <c r="O30908" s="14"/>
      <c r="P30908" s="13"/>
    </row>
    <row r="30909">
      <c r="L30909" s="13"/>
      <c r="M30909" s="14"/>
      <c r="N30909" s="14"/>
      <c r="O30909" s="14"/>
      <c r="P30909" s="13"/>
    </row>
    <row r="30910">
      <c r="L30910" s="13"/>
      <c r="M30910" s="14"/>
      <c r="N30910" s="14"/>
      <c r="O30910" s="14"/>
      <c r="P30910" s="13"/>
    </row>
    <row r="30911">
      <c r="L30911" s="13"/>
      <c r="M30911" s="14"/>
      <c r="N30911" s="14"/>
      <c r="O30911" s="14"/>
      <c r="P30911" s="13"/>
    </row>
    <row r="30912">
      <c r="L30912" s="13"/>
      <c r="M30912" s="14"/>
      <c r="N30912" s="14"/>
      <c r="O30912" s="14"/>
      <c r="P30912" s="13"/>
    </row>
    <row r="30913">
      <c r="L30913" s="13"/>
      <c r="M30913" s="14"/>
      <c r="N30913" s="14"/>
      <c r="O30913" s="14"/>
      <c r="P30913" s="13"/>
    </row>
    <row r="30914">
      <c r="L30914" s="13"/>
      <c r="M30914" s="14"/>
      <c r="N30914" s="14"/>
      <c r="O30914" s="14"/>
      <c r="P30914" s="13"/>
    </row>
    <row r="30915">
      <c r="L30915" s="13"/>
      <c r="M30915" s="14"/>
      <c r="N30915" s="14"/>
      <c r="O30915" s="14"/>
      <c r="P30915" s="13"/>
    </row>
    <row r="30916">
      <c r="L30916" s="13"/>
      <c r="M30916" s="14"/>
      <c r="N30916" s="14"/>
      <c r="O30916" s="14"/>
      <c r="P30916" s="13"/>
    </row>
    <row r="30917">
      <c r="L30917" s="13"/>
      <c r="M30917" s="14"/>
      <c r="N30917" s="14"/>
      <c r="O30917" s="14"/>
      <c r="P30917" s="13"/>
    </row>
    <row r="30918">
      <c r="L30918" s="13"/>
      <c r="M30918" s="14"/>
      <c r="N30918" s="14"/>
      <c r="O30918" s="14"/>
      <c r="P30918" s="13"/>
    </row>
    <row r="30919">
      <c r="L30919" s="13"/>
      <c r="M30919" s="14"/>
      <c r="N30919" s="14"/>
      <c r="O30919" s="14"/>
      <c r="P30919" s="13"/>
    </row>
    <row r="30920">
      <c r="L30920" s="13"/>
      <c r="M30920" s="14"/>
      <c r="N30920" s="14"/>
      <c r="O30920" s="14"/>
      <c r="P30920" s="13"/>
    </row>
    <row r="30921">
      <c r="L30921" s="13"/>
      <c r="M30921" s="14"/>
      <c r="N30921" s="14"/>
      <c r="O30921" s="14"/>
      <c r="P30921" s="13"/>
    </row>
    <row r="30922">
      <c r="L30922" s="13"/>
      <c r="M30922" s="14"/>
      <c r="N30922" s="14"/>
      <c r="O30922" s="14"/>
      <c r="P30922" s="13"/>
    </row>
    <row r="30923">
      <c r="L30923" s="13"/>
      <c r="M30923" s="14"/>
      <c r="N30923" s="14"/>
      <c r="O30923" s="14"/>
      <c r="P30923" s="13"/>
    </row>
    <row r="30924">
      <c r="L30924" s="13"/>
      <c r="M30924" s="14"/>
      <c r="N30924" s="14"/>
      <c r="O30924" s="14"/>
      <c r="P30924" s="13"/>
    </row>
    <row r="30925">
      <c r="L30925" s="13"/>
      <c r="M30925" s="14"/>
      <c r="N30925" s="14"/>
      <c r="O30925" s="14"/>
      <c r="P30925" s="13"/>
    </row>
    <row r="30926">
      <c r="L30926" s="13"/>
      <c r="M30926" s="14"/>
      <c r="N30926" s="14"/>
      <c r="O30926" s="14"/>
      <c r="P30926" s="13"/>
    </row>
    <row r="30927">
      <c r="L30927" s="13"/>
      <c r="M30927" s="14"/>
      <c r="N30927" s="14"/>
      <c r="O30927" s="14"/>
      <c r="P30927" s="13"/>
    </row>
    <row r="30928">
      <c r="L30928" s="13"/>
      <c r="M30928" s="14"/>
      <c r="N30928" s="14"/>
      <c r="O30928" s="14"/>
      <c r="P30928" s="13"/>
    </row>
    <row r="30929">
      <c r="L30929" s="13"/>
      <c r="M30929" s="14"/>
      <c r="N30929" s="14"/>
      <c r="O30929" s="14"/>
      <c r="P30929" s="13"/>
    </row>
    <row r="30930">
      <c r="L30930" s="13"/>
      <c r="M30930" s="14"/>
      <c r="N30930" s="14"/>
      <c r="O30930" s="14"/>
      <c r="P30930" s="13"/>
    </row>
    <row r="30931">
      <c r="L30931" s="13"/>
      <c r="M30931" s="14"/>
      <c r="N30931" s="14"/>
      <c r="O30931" s="14"/>
      <c r="P30931" s="13"/>
    </row>
    <row r="30932">
      <c r="L30932" s="13"/>
      <c r="M30932" s="14"/>
      <c r="N30932" s="14"/>
      <c r="O30932" s="14"/>
      <c r="P30932" s="13"/>
    </row>
    <row r="30933">
      <c r="L30933" s="13"/>
      <c r="M30933" s="14"/>
      <c r="N30933" s="14"/>
      <c r="O30933" s="14"/>
      <c r="P30933" s="13"/>
    </row>
    <row r="30934">
      <c r="L30934" s="13"/>
      <c r="M30934" s="14"/>
      <c r="N30934" s="14"/>
      <c r="O30934" s="14"/>
      <c r="P30934" s="13"/>
    </row>
    <row r="30935">
      <c r="L30935" s="13"/>
      <c r="M30935" s="14"/>
      <c r="N30935" s="14"/>
      <c r="O30935" s="14"/>
      <c r="P30935" s="13"/>
    </row>
    <row r="30936">
      <c r="L30936" s="13"/>
      <c r="M30936" s="14"/>
      <c r="N30936" s="14"/>
      <c r="O30936" s="14"/>
      <c r="P30936" s="13"/>
    </row>
    <row r="30937">
      <c r="L30937" s="13"/>
      <c r="M30937" s="14"/>
      <c r="N30937" s="14"/>
      <c r="O30937" s="14"/>
      <c r="P30937" s="13"/>
    </row>
    <row r="30938">
      <c r="L30938" s="13"/>
      <c r="M30938" s="14"/>
      <c r="N30938" s="14"/>
      <c r="O30938" s="14"/>
      <c r="P30938" s="13"/>
    </row>
    <row r="30939">
      <c r="L30939" s="13"/>
      <c r="M30939" s="14"/>
      <c r="N30939" s="14"/>
      <c r="O30939" s="14"/>
      <c r="P30939" s="13"/>
    </row>
    <row r="30940">
      <c r="L30940" s="13"/>
      <c r="M30940" s="14"/>
      <c r="N30940" s="14"/>
      <c r="O30940" s="14"/>
      <c r="P30940" s="13"/>
    </row>
    <row r="30941">
      <c r="L30941" s="13"/>
      <c r="M30941" s="14"/>
      <c r="N30941" s="14"/>
      <c r="O30941" s="14"/>
      <c r="P30941" s="13"/>
    </row>
    <row r="30942">
      <c r="L30942" s="13"/>
      <c r="M30942" s="14"/>
      <c r="N30942" s="14"/>
      <c r="O30942" s="14"/>
      <c r="P30942" s="13"/>
    </row>
    <row r="30943">
      <c r="L30943" s="13"/>
      <c r="M30943" s="14"/>
      <c r="N30943" s="14"/>
      <c r="O30943" s="14"/>
      <c r="P30943" s="13"/>
    </row>
    <row r="30944">
      <c r="L30944" s="13"/>
      <c r="M30944" s="14"/>
      <c r="N30944" s="14"/>
      <c r="O30944" s="14"/>
      <c r="P30944" s="13"/>
    </row>
    <row r="30945">
      <c r="L30945" s="13"/>
      <c r="M30945" s="14"/>
      <c r="N30945" s="14"/>
      <c r="O30945" s="14"/>
      <c r="P30945" s="13"/>
    </row>
    <row r="30946">
      <c r="L30946" s="13"/>
      <c r="M30946" s="14"/>
      <c r="N30946" s="14"/>
      <c r="O30946" s="14"/>
      <c r="P30946" s="13"/>
    </row>
    <row r="30947">
      <c r="L30947" s="13"/>
      <c r="M30947" s="14"/>
      <c r="N30947" s="14"/>
      <c r="O30947" s="14"/>
      <c r="P30947" s="13"/>
    </row>
    <row r="30948">
      <c r="L30948" s="13"/>
      <c r="M30948" s="14"/>
      <c r="N30948" s="14"/>
      <c r="O30948" s="14"/>
      <c r="P30948" s="13"/>
    </row>
    <row r="30949">
      <c r="L30949" s="13"/>
      <c r="M30949" s="14"/>
      <c r="N30949" s="14"/>
      <c r="O30949" s="14"/>
      <c r="P30949" s="13"/>
    </row>
    <row r="30950">
      <c r="L30950" s="13"/>
      <c r="M30950" s="14"/>
      <c r="N30950" s="14"/>
      <c r="O30950" s="14"/>
      <c r="P30950" s="13"/>
    </row>
    <row r="30951">
      <c r="L30951" s="13"/>
      <c r="M30951" s="14"/>
      <c r="N30951" s="14"/>
      <c r="O30951" s="14"/>
      <c r="P30951" s="13"/>
    </row>
    <row r="30952">
      <c r="L30952" s="13"/>
      <c r="M30952" s="14"/>
      <c r="N30952" s="14"/>
      <c r="O30952" s="14"/>
      <c r="P30952" s="13"/>
    </row>
    <row r="30953">
      <c r="L30953" s="13"/>
      <c r="M30953" s="14"/>
      <c r="N30953" s="14"/>
      <c r="O30953" s="14"/>
      <c r="P30953" s="13"/>
    </row>
    <row r="30954">
      <c r="L30954" s="13"/>
      <c r="M30954" s="14"/>
      <c r="N30954" s="14"/>
      <c r="O30954" s="14"/>
      <c r="P30954" s="13"/>
    </row>
    <row r="30955">
      <c r="L30955" s="13"/>
      <c r="M30955" s="14"/>
      <c r="N30955" s="14"/>
      <c r="O30955" s="14"/>
      <c r="P30955" s="13"/>
    </row>
    <row r="30956">
      <c r="L30956" s="13"/>
      <c r="M30956" s="14"/>
      <c r="N30956" s="14"/>
      <c r="O30956" s="14"/>
      <c r="P30956" s="13"/>
    </row>
    <row r="30957">
      <c r="L30957" s="13"/>
      <c r="M30957" s="14"/>
      <c r="N30957" s="14"/>
      <c r="O30957" s="14"/>
      <c r="P30957" s="13"/>
    </row>
    <row r="30958">
      <c r="L30958" s="13"/>
      <c r="M30958" s="14"/>
      <c r="N30958" s="14"/>
      <c r="O30958" s="14"/>
      <c r="P30958" s="13"/>
    </row>
    <row r="30959">
      <c r="L30959" s="13"/>
      <c r="M30959" s="14"/>
      <c r="N30959" s="14"/>
      <c r="O30959" s="14"/>
      <c r="P30959" s="13"/>
    </row>
    <row r="30960">
      <c r="L30960" s="13"/>
      <c r="M30960" s="14"/>
      <c r="N30960" s="14"/>
      <c r="O30960" s="14"/>
      <c r="P30960" s="13"/>
    </row>
    <row r="30961">
      <c r="L30961" s="13"/>
      <c r="M30961" s="14"/>
      <c r="N30961" s="14"/>
      <c r="O30961" s="14"/>
      <c r="P30961" s="13"/>
    </row>
    <row r="30962">
      <c r="L30962" s="13"/>
      <c r="M30962" s="14"/>
      <c r="N30962" s="14"/>
      <c r="O30962" s="14"/>
      <c r="P30962" s="13"/>
    </row>
    <row r="30963">
      <c r="L30963" s="13"/>
      <c r="M30963" s="14"/>
      <c r="N30963" s="14"/>
      <c r="O30963" s="14"/>
      <c r="P30963" s="13"/>
    </row>
    <row r="30964">
      <c r="L30964" s="13"/>
      <c r="M30964" s="14"/>
      <c r="N30964" s="14"/>
      <c r="O30964" s="14"/>
      <c r="P30964" s="13"/>
    </row>
    <row r="30965">
      <c r="L30965" s="13"/>
      <c r="M30965" s="14"/>
      <c r="N30965" s="14"/>
      <c r="O30965" s="14"/>
      <c r="P30965" s="13"/>
    </row>
    <row r="30966">
      <c r="L30966" s="13"/>
      <c r="M30966" s="14"/>
      <c r="N30966" s="14"/>
      <c r="O30966" s="14"/>
      <c r="P30966" s="13"/>
    </row>
    <row r="30967">
      <c r="L30967" s="13"/>
      <c r="M30967" s="14"/>
      <c r="N30967" s="14"/>
      <c r="O30967" s="14"/>
      <c r="P30967" s="13"/>
    </row>
    <row r="30968">
      <c r="L30968" s="13"/>
      <c r="M30968" s="14"/>
      <c r="N30968" s="14"/>
      <c r="O30968" s="14"/>
      <c r="P30968" s="13"/>
    </row>
    <row r="30969">
      <c r="L30969" s="13"/>
      <c r="M30969" s="14"/>
      <c r="N30969" s="14"/>
      <c r="O30969" s="14"/>
      <c r="P30969" s="13"/>
    </row>
    <row r="30970">
      <c r="L30970" s="13"/>
      <c r="M30970" s="14"/>
      <c r="N30970" s="14"/>
      <c r="O30970" s="14"/>
      <c r="P30970" s="13"/>
    </row>
    <row r="30971">
      <c r="L30971" s="13"/>
      <c r="M30971" s="14"/>
      <c r="N30971" s="14"/>
      <c r="O30971" s="14"/>
      <c r="P30971" s="13"/>
    </row>
    <row r="30972">
      <c r="L30972" s="13"/>
      <c r="M30972" s="14"/>
      <c r="N30972" s="14"/>
      <c r="O30972" s="14"/>
      <c r="P30972" s="13"/>
    </row>
    <row r="30973">
      <c r="L30973" s="13"/>
      <c r="M30973" s="14"/>
      <c r="N30973" s="14"/>
      <c r="O30973" s="14"/>
      <c r="P30973" s="13"/>
    </row>
    <row r="30974">
      <c r="L30974" s="13"/>
      <c r="M30974" s="14"/>
      <c r="N30974" s="14"/>
      <c r="O30974" s="14"/>
      <c r="P30974" s="13"/>
    </row>
    <row r="30975">
      <c r="L30975" s="13"/>
      <c r="M30975" s="14"/>
      <c r="N30975" s="14"/>
      <c r="O30975" s="14"/>
      <c r="P30975" s="13"/>
    </row>
    <row r="30976">
      <c r="L30976" s="13"/>
      <c r="M30976" s="14"/>
      <c r="N30976" s="14"/>
      <c r="O30976" s="14"/>
      <c r="P30976" s="13"/>
    </row>
    <row r="30977">
      <c r="L30977" s="13"/>
      <c r="M30977" s="14"/>
      <c r="N30977" s="14"/>
      <c r="O30977" s="14"/>
      <c r="P30977" s="13"/>
    </row>
    <row r="30978">
      <c r="L30978" s="13"/>
      <c r="M30978" s="14"/>
      <c r="N30978" s="14"/>
      <c r="O30978" s="14"/>
      <c r="P30978" s="13"/>
    </row>
    <row r="30979">
      <c r="L30979" s="13"/>
      <c r="M30979" s="14"/>
      <c r="N30979" s="14"/>
      <c r="O30979" s="14"/>
      <c r="P30979" s="13"/>
    </row>
    <row r="30980">
      <c r="L30980" s="13"/>
      <c r="M30980" s="14"/>
      <c r="N30980" s="14"/>
      <c r="O30980" s="14"/>
      <c r="P30980" s="13"/>
    </row>
    <row r="30981">
      <c r="L30981" s="13"/>
      <c r="M30981" s="14"/>
      <c r="N30981" s="14"/>
      <c r="O30981" s="14"/>
      <c r="P30981" s="13"/>
    </row>
    <row r="30982">
      <c r="L30982" s="13"/>
      <c r="M30982" s="14"/>
      <c r="N30982" s="14"/>
      <c r="O30982" s="14"/>
      <c r="P30982" s="13"/>
    </row>
    <row r="30983">
      <c r="L30983" s="13"/>
      <c r="M30983" s="14"/>
      <c r="N30983" s="14"/>
      <c r="O30983" s="14"/>
      <c r="P30983" s="13"/>
    </row>
    <row r="30984">
      <c r="L30984" s="13"/>
      <c r="M30984" s="14"/>
      <c r="N30984" s="14"/>
      <c r="O30984" s="14"/>
      <c r="P30984" s="13"/>
    </row>
    <row r="30985">
      <c r="L30985" s="13"/>
      <c r="M30985" s="14"/>
      <c r="N30985" s="14"/>
      <c r="O30985" s="14"/>
      <c r="P30985" s="13"/>
    </row>
    <row r="30986">
      <c r="L30986" s="13"/>
      <c r="M30986" s="14"/>
      <c r="N30986" s="14"/>
      <c r="O30986" s="14"/>
      <c r="P30986" s="13"/>
    </row>
    <row r="30987">
      <c r="L30987" s="13"/>
      <c r="M30987" s="14"/>
      <c r="N30987" s="14"/>
      <c r="O30987" s="14"/>
      <c r="P30987" s="13"/>
    </row>
    <row r="30988">
      <c r="L30988" s="13"/>
      <c r="M30988" s="14"/>
      <c r="N30988" s="14"/>
      <c r="O30988" s="14"/>
      <c r="P30988" s="13"/>
    </row>
    <row r="30989">
      <c r="L30989" s="13"/>
      <c r="M30989" s="14"/>
      <c r="N30989" s="14"/>
      <c r="O30989" s="14"/>
      <c r="P30989" s="13"/>
    </row>
    <row r="30990">
      <c r="L30990" s="13"/>
      <c r="M30990" s="14"/>
      <c r="N30990" s="14"/>
      <c r="O30990" s="14"/>
      <c r="P30990" s="13"/>
    </row>
    <row r="30991">
      <c r="L30991" s="13"/>
      <c r="M30991" s="14"/>
      <c r="N30991" s="14"/>
      <c r="O30991" s="14"/>
      <c r="P30991" s="13"/>
    </row>
    <row r="30992">
      <c r="L30992" s="13"/>
      <c r="M30992" s="14"/>
      <c r="N30992" s="14"/>
      <c r="O30992" s="14"/>
      <c r="P30992" s="13"/>
    </row>
    <row r="30993">
      <c r="L30993" s="13"/>
      <c r="M30993" s="14"/>
      <c r="N30993" s="14"/>
      <c r="O30993" s="14"/>
      <c r="P30993" s="13"/>
    </row>
    <row r="30994">
      <c r="L30994" s="13"/>
      <c r="M30994" s="14"/>
      <c r="N30994" s="14"/>
      <c r="O30994" s="14"/>
      <c r="P30994" s="13"/>
    </row>
    <row r="30995">
      <c r="L30995" s="13"/>
      <c r="M30995" s="14"/>
      <c r="N30995" s="14"/>
      <c r="O30995" s="14"/>
      <c r="P30995" s="13"/>
    </row>
    <row r="30996">
      <c r="L30996" s="13"/>
      <c r="M30996" s="14"/>
      <c r="N30996" s="14"/>
      <c r="O30996" s="14"/>
      <c r="P30996" s="13"/>
    </row>
    <row r="30997">
      <c r="L30997" s="13"/>
      <c r="M30997" s="14"/>
      <c r="N30997" s="14"/>
      <c r="O30997" s="14"/>
      <c r="P30997" s="13"/>
    </row>
    <row r="30998">
      <c r="L30998" s="13"/>
      <c r="M30998" s="14"/>
      <c r="N30998" s="14"/>
      <c r="O30998" s="14"/>
      <c r="P30998" s="13"/>
    </row>
    <row r="30999">
      <c r="L30999" s="13"/>
      <c r="M30999" s="14"/>
      <c r="N30999" s="14"/>
      <c r="O30999" s="14"/>
      <c r="P30999" s="13"/>
    </row>
    <row r="31000">
      <c r="L31000" s="13"/>
      <c r="M31000" s="14"/>
      <c r="N31000" s="14"/>
      <c r="O31000" s="14"/>
      <c r="P31000" s="13"/>
    </row>
    <row r="31001">
      <c r="L31001" s="13"/>
      <c r="M31001" s="14"/>
      <c r="N31001" s="14"/>
      <c r="O31001" s="14"/>
      <c r="P31001" s="13"/>
    </row>
    <row r="31002">
      <c r="L31002" s="13"/>
      <c r="M31002" s="14"/>
      <c r="N31002" s="14"/>
      <c r="O31002" s="14"/>
      <c r="P31002" s="13"/>
    </row>
    <row r="31003">
      <c r="L31003" s="13"/>
      <c r="M31003" s="14"/>
      <c r="N31003" s="14"/>
      <c r="O31003" s="14"/>
      <c r="P31003" s="13"/>
    </row>
    <row r="31004">
      <c r="L31004" s="13"/>
      <c r="M31004" s="14"/>
      <c r="N31004" s="14"/>
      <c r="O31004" s="14"/>
      <c r="P31004" s="13"/>
    </row>
    <row r="31005">
      <c r="L31005" s="13"/>
      <c r="M31005" s="14"/>
      <c r="N31005" s="14"/>
      <c r="O31005" s="14"/>
      <c r="P31005" s="13"/>
    </row>
    <row r="31006">
      <c r="L31006" s="13"/>
      <c r="M31006" s="14"/>
      <c r="N31006" s="14"/>
      <c r="O31006" s="14"/>
      <c r="P31006" s="13"/>
    </row>
    <row r="31007">
      <c r="L31007" s="13"/>
      <c r="M31007" s="14"/>
      <c r="N31007" s="14"/>
      <c r="O31007" s="14"/>
      <c r="P31007" s="13"/>
    </row>
    <row r="31008">
      <c r="L31008" s="13"/>
      <c r="M31008" s="14"/>
      <c r="N31008" s="14"/>
      <c r="O31008" s="14"/>
      <c r="P31008" s="13"/>
    </row>
    <row r="31009">
      <c r="L31009" s="13"/>
      <c r="M31009" s="14"/>
      <c r="N31009" s="14"/>
      <c r="O31009" s="14"/>
      <c r="P31009" s="13"/>
    </row>
    <row r="31010">
      <c r="L31010" s="13"/>
      <c r="M31010" s="14"/>
      <c r="N31010" s="14"/>
      <c r="O31010" s="14"/>
      <c r="P31010" s="13"/>
    </row>
    <row r="31011">
      <c r="L31011" s="13"/>
      <c r="M31011" s="14"/>
      <c r="N31011" s="14"/>
      <c r="O31011" s="14"/>
      <c r="P31011" s="13"/>
    </row>
    <row r="31012">
      <c r="L31012" s="13"/>
      <c r="M31012" s="14"/>
      <c r="N31012" s="14"/>
      <c r="O31012" s="14"/>
      <c r="P31012" s="13"/>
    </row>
    <row r="31013">
      <c r="L31013" s="13"/>
      <c r="M31013" s="14"/>
      <c r="N31013" s="14"/>
      <c r="O31013" s="14"/>
      <c r="P31013" s="13"/>
    </row>
    <row r="31014">
      <c r="L31014" s="13"/>
      <c r="M31014" s="14"/>
      <c r="N31014" s="14"/>
      <c r="O31014" s="14"/>
      <c r="P31014" s="13"/>
    </row>
    <row r="31015">
      <c r="L31015" s="13"/>
      <c r="M31015" s="14"/>
      <c r="N31015" s="14"/>
      <c r="O31015" s="14"/>
      <c r="P31015" s="13"/>
    </row>
    <row r="31016">
      <c r="L31016" s="13"/>
      <c r="M31016" s="14"/>
      <c r="N31016" s="14"/>
      <c r="O31016" s="14"/>
      <c r="P31016" s="13"/>
    </row>
    <row r="31017">
      <c r="L31017" s="13"/>
      <c r="M31017" s="14"/>
      <c r="N31017" s="14"/>
      <c r="O31017" s="14"/>
      <c r="P31017" s="13"/>
    </row>
    <row r="31018">
      <c r="L31018" s="13"/>
      <c r="M31018" s="14"/>
      <c r="N31018" s="14"/>
      <c r="O31018" s="14"/>
      <c r="P31018" s="13"/>
    </row>
    <row r="31019">
      <c r="L31019" s="13"/>
      <c r="M31019" s="14"/>
      <c r="N31019" s="14"/>
      <c r="O31019" s="14"/>
      <c r="P31019" s="13"/>
    </row>
    <row r="31020">
      <c r="L31020" s="13"/>
      <c r="M31020" s="14"/>
      <c r="N31020" s="14"/>
      <c r="O31020" s="14"/>
      <c r="P31020" s="13"/>
    </row>
    <row r="31021">
      <c r="L31021" s="13"/>
      <c r="M31021" s="14"/>
      <c r="N31021" s="14"/>
      <c r="O31021" s="14"/>
      <c r="P31021" s="13"/>
    </row>
    <row r="31022">
      <c r="L31022" s="13"/>
      <c r="M31022" s="14"/>
      <c r="N31022" s="14"/>
      <c r="O31022" s="14"/>
      <c r="P31022" s="13"/>
    </row>
    <row r="31023">
      <c r="L31023" s="13"/>
      <c r="M31023" s="14"/>
      <c r="N31023" s="14"/>
      <c r="O31023" s="14"/>
      <c r="P31023" s="13"/>
    </row>
    <row r="31024">
      <c r="L31024" s="13"/>
      <c r="M31024" s="14"/>
      <c r="N31024" s="14"/>
      <c r="O31024" s="14"/>
      <c r="P31024" s="13"/>
    </row>
    <row r="31025">
      <c r="L31025" s="13"/>
      <c r="M31025" s="14"/>
      <c r="N31025" s="14"/>
      <c r="O31025" s="14"/>
      <c r="P31025" s="13"/>
    </row>
    <row r="31026">
      <c r="L31026" s="13"/>
      <c r="M31026" s="14"/>
      <c r="N31026" s="14"/>
      <c r="O31026" s="14"/>
      <c r="P31026" s="13"/>
    </row>
    <row r="31027">
      <c r="L31027" s="13"/>
      <c r="M31027" s="14"/>
      <c r="N31027" s="14"/>
      <c r="O31027" s="14"/>
      <c r="P31027" s="13"/>
    </row>
    <row r="31028">
      <c r="L31028" s="13"/>
      <c r="M31028" s="14"/>
      <c r="N31028" s="14"/>
      <c r="O31028" s="14"/>
      <c r="P31028" s="13"/>
    </row>
    <row r="31029">
      <c r="L31029" s="13"/>
      <c r="M31029" s="14"/>
      <c r="N31029" s="14"/>
      <c r="O31029" s="14"/>
      <c r="P31029" s="13"/>
    </row>
    <row r="31030">
      <c r="L31030" s="13"/>
      <c r="M31030" s="14"/>
      <c r="N31030" s="14"/>
      <c r="O31030" s="14"/>
      <c r="P31030" s="13"/>
    </row>
    <row r="31031">
      <c r="L31031" s="13"/>
      <c r="M31031" s="14"/>
      <c r="N31031" s="14"/>
      <c r="O31031" s="14"/>
      <c r="P31031" s="13"/>
    </row>
    <row r="31032">
      <c r="L31032" s="13"/>
      <c r="M31032" s="14"/>
      <c r="N31032" s="14"/>
      <c r="O31032" s="14"/>
      <c r="P31032" s="13"/>
    </row>
    <row r="31033">
      <c r="L31033" s="13"/>
      <c r="M31033" s="14"/>
      <c r="N31033" s="14"/>
      <c r="O31033" s="14"/>
      <c r="P31033" s="13"/>
    </row>
    <row r="31034">
      <c r="L31034" s="13"/>
      <c r="M31034" s="14"/>
      <c r="N31034" s="14"/>
      <c r="O31034" s="14"/>
      <c r="P31034" s="13"/>
    </row>
    <row r="31035">
      <c r="L31035" s="13"/>
      <c r="M31035" s="14"/>
      <c r="N31035" s="14"/>
      <c r="O31035" s="14"/>
      <c r="P31035" s="13"/>
    </row>
    <row r="31036">
      <c r="L31036" s="13"/>
      <c r="M31036" s="14"/>
      <c r="N31036" s="14"/>
      <c r="O31036" s="14"/>
      <c r="P31036" s="13"/>
    </row>
    <row r="31037">
      <c r="L31037" s="13"/>
      <c r="M31037" s="14"/>
      <c r="N31037" s="14"/>
      <c r="O31037" s="14"/>
      <c r="P31037" s="13"/>
    </row>
    <row r="31038">
      <c r="L31038" s="13"/>
      <c r="M31038" s="14"/>
      <c r="N31038" s="14"/>
      <c r="O31038" s="14"/>
      <c r="P31038" s="13"/>
    </row>
    <row r="31039">
      <c r="L31039" s="13"/>
      <c r="M31039" s="14"/>
      <c r="N31039" s="14"/>
      <c r="O31039" s="14"/>
      <c r="P31039" s="13"/>
    </row>
    <row r="31040">
      <c r="L31040" s="13"/>
      <c r="M31040" s="14"/>
      <c r="N31040" s="14"/>
      <c r="O31040" s="14"/>
      <c r="P31040" s="13"/>
    </row>
    <row r="31041">
      <c r="L31041" s="13"/>
      <c r="M31041" s="14"/>
      <c r="N31041" s="14"/>
      <c r="O31041" s="14"/>
      <c r="P31041" s="13"/>
    </row>
    <row r="31042">
      <c r="L31042" s="13"/>
      <c r="M31042" s="14"/>
      <c r="N31042" s="14"/>
      <c r="O31042" s="14"/>
      <c r="P31042" s="13"/>
    </row>
    <row r="31043">
      <c r="L31043" s="13"/>
      <c r="M31043" s="14"/>
      <c r="N31043" s="14"/>
      <c r="O31043" s="14"/>
      <c r="P31043" s="13"/>
    </row>
    <row r="31044">
      <c r="L31044" s="13"/>
      <c r="M31044" s="14"/>
      <c r="N31044" s="14"/>
      <c r="O31044" s="14"/>
      <c r="P31044" s="13"/>
    </row>
    <row r="31045">
      <c r="L31045" s="13"/>
      <c r="M31045" s="14"/>
      <c r="N31045" s="14"/>
      <c r="O31045" s="14"/>
      <c r="P31045" s="13"/>
    </row>
    <row r="31046">
      <c r="L31046" s="13"/>
      <c r="M31046" s="14"/>
      <c r="N31046" s="14"/>
      <c r="O31046" s="14"/>
      <c r="P31046" s="13"/>
    </row>
    <row r="31047">
      <c r="L31047" s="13"/>
      <c r="M31047" s="14"/>
      <c r="N31047" s="14"/>
      <c r="O31047" s="14"/>
      <c r="P31047" s="13"/>
    </row>
    <row r="31048">
      <c r="L31048" s="13"/>
      <c r="M31048" s="14"/>
      <c r="N31048" s="14"/>
      <c r="O31048" s="14"/>
      <c r="P31048" s="13"/>
    </row>
    <row r="31049">
      <c r="L31049" s="13"/>
      <c r="M31049" s="14"/>
      <c r="N31049" s="14"/>
      <c r="O31049" s="14"/>
      <c r="P31049" s="13"/>
    </row>
    <row r="31050">
      <c r="L31050" s="13"/>
      <c r="M31050" s="14"/>
      <c r="N31050" s="14"/>
      <c r="O31050" s="14"/>
      <c r="P31050" s="13"/>
    </row>
    <row r="31051">
      <c r="L31051" s="13"/>
      <c r="M31051" s="14"/>
      <c r="N31051" s="14"/>
      <c r="O31051" s="14"/>
      <c r="P31051" s="13"/>
    </row>
    <row r="31052">
      <c r="L31052" s="13"/>
      <c r="M31052" s="14"/>
      <c r="N31052" s="14"/>
      <c r="O31052" s="14"/>
      <c r="P31052" s="13"/>
    </row>
    <row r="31053">
      <c r="L31053" s="13"/>
      <c r="M31053" s="14"/>
      <c r="N31053" s="14"/>
      <c r="O31053" s="14"/>
      <c r="P31053" s="13"/>
    </row>
    <row r="31054">
      <c r="L31054" s="13"/>
      <c r="M31054" s="14"/>
      <c r="N31054" s="14"/>
      <c r="O31054" s="14"/>
      <c r="P31054" s="13"/>
    </row>
    <row r="31055">
      <c r="L31055" s="13"/>
      <c r="M31055" s="14"/>
      <c r="N31055" s="14"/>
      <c r="O31055" s="14"/>
      <c r="P31055" s="13"/>
    </row>
    <row r="31056">
      <c r="L31056" s="13"/>
      <c r="M31056" s="14"/>
      <c r="N31056" s="14"/>
      <c r="O31056" s="14"/>
      <c r="P31056" s="13"/>
    </row>
    <row r="31057">
      <c r="L31057" s="13"/>
      <c r="M31057" s="14"/>
      <c r="N31057" s="14"/>
      <c r="O31057" s="14"/>
      <c r="P31057" s="13"/>
    </row>
    <row r="31058">
      <c r="L31058" s="13"/>
      <c r="M31058" s="14"/>
      <c r="N31058" s="14"/>
      <c r="O31058" s="14"/>
      <c r="P31058" s="13"/>
    </row>
    <row r="31059">
      <c r="L31059" s="13"/>
      <c r="M31059" s="14"/>
      <c r="N31059" s="14"/>
      <c r="O31059" s="14"/>
      <c r="P31059" s="13"/>
    </row>
    <row r="31060">
      <c r="L31060" s="13"/>
      <c r="M31060" s="14"/>
      <c r="N31060" s="14"/>
      <c r="O31060" s="14"/>
      <c r="P31060" s="13"/>
    </row>
    <row r="31061">
      <c r="L31061" s="13"/>
      <c r="M31061" s="14"/>
      <c r="N31061" s="14"/>
      <c r="O31061" s="14"/>
      <c r="P31061" s="13"/>
    </row>
    <row r="31062">
      <c r="L31062" s="13"/>
      <c r="M31062" s="14"/>
      <c r="N31062" s="14"/>
      <c r="O31062" s="14"/>
      <c r="P31062" s="13"/>
    </row>
    <row r="31063">
      <c r="L31063" s="13"/>
      <c r="M31063" s="14"/>
      <c r="N31063" s="14"/>
      <c r="O31063" s="14"/>
      <c r="P31063" s="13"/>
    </row>
    <row r="31064">
      <c r="L31064" s="13"/>
      <c r="M31064" s="14"/>
      <c r="N31064" s="14"/>
      <c r="O31064" s="14"/>
      <c r="P31064" s="13"/>
    </row>
    <row r="31065">
      <c r="L31065" s="13"/>
      <c r="M31065" s="14"/>
      <c r="N31065" s="14"/>
      <c r="O31065" s="14"/>
      <c r="P31065" s="13"/>
    </row>
    <row r="31066">
      <c r="L31066" s="13"/>
      <c r="M31066" s="14"/>
      <c r="N31066" s="14"/>
      <c r="O31066" s="14"/>
      <c r="P31066" s="13"/>
    </row>
    <row r="31067">
      <c r="L31067" s="13"/>
      <c r="M31067" s="14"/>
      <c r="N31067" s="14"/>
      <c r="O31067" s="14"/>
      <c r="P31067" s="13"/>
    </row>
    <row r="31068">
      <c r="L31068" s="13"/>
      <c r="M31068" s="14"/>
      <c r="N31068" s="14"/>
      <c r="O31068" s="14"/>
      <c r="P31068" s="13"/>
    </row>
    <row r="31069">
      <c r="L31069" s="13"/>
      <c r="M31069" s="14"/>
      <c r="N31069" s="14"/>
      <c r="O31069" s="14"/>
      <c r="P31069" s="13"/>
    </row>
    <row r="31070">
      <c r="L31070" s="13"/>
      <c r="M31070" s="14"/>
      <c r="N31070" s="14"/>
      <c r="O31070" s="14"/>
      <c r="P31070" s="13"/>
    </row>
    <row r="31071">
      <c r="L31071" s="13"/>
      <c r="M31071" s="14"/>
      <c r="N31071" s="14"/>
      <c r="O31071" s="14"/>
      <c r="P31071" s="13"/>
    </row>
    <row r="31072">
      <c r="L31072" s="13"/>
      <c r="M31072" s="14"/>
      <c r="N31072" s="14"/>
      <c r="O31072" s="14"/>
      <c r="P31072" s="13"/>
    </row>
    <row r="31073">
      <c r="L31073" s="13"/>
      <c r="M31073" s="14"/>
      <c r="N31073" s="14"/>
      <c r="O31073" s="14"/>
      <c r="P31073" s="13"/>
    </row>
    <row r="31074">
      <c r="L31074" s="13"/>
      <c r="M31074" s="14"/>
      <c r="N31074" s="14"/>
      <c r="O31074" s="14"/>
      <c r="P31074" s="13"/>
    </row>
    <row r="31075">
      <c r="L31075" s="13"/>
      <c r="M31075" s="14"/>
      <c r="N31075" s="14"/>
      <c r="O31075" s="14"/>
      <c r="P31075" s="13"/>
    </row>
    <row r="31076">
      <c r="L31076" s="13"/>
      <c r="M31076" s="14"/>
      <c r="N31076" s="14"/>
      <c r="O31076" s="14"/>
      <c r="P31076" s="13"/>
    </row>
    <row r="31077">
      <c r="L31077" s="13"/>
      <c r="M31077" s="14"/>
      <c r="N31077" s="14"/>
      <c r="O31077" s="14"/>
      <c r="P31077" s="13"/>
    </row>
    <row r="31078">
      <c r="L31078" s="13"/>
      <c r="M31078" s="14"/>
      <c r="N31078" s="14"/>
      <c r="O31078" s="14"/>
      <c r="P31078" s="13"/>
    </row>
    <row r="31079">
      <c r="L31079" s="13"/>
      <c r="M31079" s="14"/>
      <c r="N31079" s="14"/>
      <c r="O31079" s="14"/>
      <c r="P31079" s="13"/>
    </row>
    <row r="31080">
      <c r="L31080" s="13"/>
      <c r="M31080" s="14"/>
      <c r="N31080" s="14"/>
      <c r="O31080" s="14"/>
      <c r="P31080" s="13"/>
    </row>
    <row r="31081">
      <c r="L31081" s="13"/>
      <c r="M31081" s="14"/>
      <c r="N31081" s="14"/>
      <c r="O31081" s="14"/>
      <c r="P31081" s="13"/>
    </row>
    <row r="31082">
      <c r="L31082" s="13"/>
      <c r="M31082" s="14"/>
      <c r="N31082" s="14"/>
      <c r="O31082" s="14"/>
      <c r="P31082" s="13"/>
    </row>
    <row r="31083">
      <c r="L31083" s="13"/>
      <c r="M31083" s="14"/>
      <c r="N31083" s="14"/>
      <c r="O31083" s="14"/>
      <c r="P31083" s="13"/>
    </row>
    <row r="31084">
      <c r="L31084" s="13"/>
      <c r="M31084" s="14"/>
      <c r="N31084" s="14"/>
      <c r="O31084" s="14"/>
      <c r="P31084" s="13"/>
    </row>
    <row r="31085">
      <c r="L31085" s="13"/>
      <c r="M31085" s="14"/>
      <c r="N31085" s="14"/>
      <c r="O31085" s="14"/>
      <c r="P31085" s="13"/>
    </row>
    <row r="31086">
      <c r="L31086" s="13"/>
      <c r="M31086" s="14"/>
      <c r="N31086" s="14"/>
      <c r="O31086" s="14"/>
      <c r="P31086" s="13"/>
    </row>
    <row r="31087">
      <c r="L31087" s="13"/>
      <c r="M31087" s="14"/>
      <c r="N31087" s="14"/>
      <c r="O31087" s="14"/>
      <c r="P31087" s="13"/>
    </row>
    <row r="31088">
      <c r="L31088" s="13"/>
      <c r="M31088" s="14"/>
      <c r="N31088" s="14"/>
      <c r="O31088" s="14"/>
      <c r="P31088" s="13"/>
    </row>
    <row r="31089">
      <c r="L31089" s="13"/>
      <c r="M31089" s="14"/>
      <c r="N31089" s="14"/>
      <c r="O31089" s="14"/>
      <c r="P31089" s="13"/>
    </row>
    <row r="31090">
      <c r="L31090" s="13"/>
      <c r="M31090" s="14"/>
      <c r="N31090" s="14"/>
      <c r="O31090" s="14"/>
      <c r="P31090" s="13"/>
    </row>
    <row r="31091">
      <c r="L31091" s="13"/>
      <c r="M31091" s="14"/>
      <c r="N31091" s="14"/>
      <c r="O31091" s="14"/>
      <c r="P31091" s="13"/>
    </row>
    <row r="31092">
      <c r="L31092" s="13"/>
      <c r="M31092" s="14"/>
      <c r="N31092" s="14"/>
      <c r="O31092" s="14"/>
      <c r="P31092" s="13"/>
    </row>
    <row r="31093">
      <c r="L31093" s="13"/>
      <c r="M31093" s="14"/>
      <c r="N31093" s="14"/>
      <c r="O31093" s="14"/>
      <c r="P31093" s="13"/>
    </row>
    <row r="31094">
      <c r="L31094" s="13"/>
      <c r="M31094" s="14"/>
      <c r="N31094" s="14"/>
      <c r="O31094" s="14"/>
      <c r="P31094" s="13"/>
    </row>
    <row r="31095">
      <c r="L31095" s="13"/>
      <c r="M31095" s="14"/>
      <c r="N31095" s="14"/>
      <c r="O31095" s="14"/>
      <c r="P31095" s="13"/>
    </row>
    <row r="31096">
      <c r="L31096" s="13"/>
      <c r="M31096" s="14"/>
      <c r="N31096" s="14"/>
      <c r="O31096" s="14"/>
      <c r="P31096" s="13"/>
    </row>
    <row r="31097">
      <c r="L31097" s="13"/>
      <c r="M31097" s="14"/>
      <c r="N31097" s="14"/>
      <c r="O31097" s="14"/>
      <c r="P31097" s="13"/>
    </row>
    <row r="31098">
      <c r="L31098" s="13"/>
      <c r="M31098" s="14"/>
      <c r="N31098" s="14"/>
      <c r="O31098" s="14"/>
      <c r="P31098" s="13"/>
    </row>
    <row r="31099">
      <c r="L31099" s="13"/>
      <c r="M31099" s="14"/>
      <c r="N31099" s="14"/>
      <c r="O31099" s="14"/>
      <c r="P31099" s="13"/>
    </row>
    <row r="31100">
      <c r="L31100" s="13"/>
      <c r="M31100" s="14"/>
      <c r="N31100" s="14"/>
      <c r="O31100" s="14"/>
      <c r="P31100" s="13"/>
    </row>
    <row r="31101">
      <c r="L31101" s="13"/>
      <c r="M31101" s="14"/>
      <c r="N31101" s="14"/>
      <c r="O31101" s="14"/>
      <c r="P31101" s="13"/>
    </row>
    <row r="31102">
      <c r="L31102" s="13"/>
      <c r="M31102" s="14"/>
      <c r="N31102" s="14"/>
      <c r="O31102" s="14"/>
      <c r="P31102" s="13"/>
    </row>
    <row r="31103">
      <c r="L31103" s="13"/>
      <c r="M31103" s="14"/>
      <c r="N31103" s="14"/>
      <c r="O31103" s="14"/>
      <c r="P31103" s="13"/>
    </row>
    <row r="31104">
      <c r="L31104" s="13"/>
      <c r="M31104" s="14"/>
      <c r="N31104" s="14"/>
      <c r="O31104" s="14"/>
      <c r="P31104" s="13"/>
    </row>
    <row r="31105">
      <c r="L31105" s="13"/>
      <c r="M31105" s="14"/>
      <c r="N31105" s="14"/>
      <c r="O31105" s="14"/>
      <c r="P31105" s="13"/>
    </row>
    <row r="31106">
      <c r="L31106" s="13"/>
      <c r="M31106" s="14"/>
      <c r="N31106" s="14"/>
      <c r="O31106" s="14"/>
      <c r="P31106" s="13"/>
    </row>
    <row r="31107">
      <c r="L31107" s="13"/>
      <c r="M31107" s="14"/>
      <c r="N31107" s="14"/>
      <c r="O31107" s="14"/>
      <c r="P31107" s="13"/>
    </row>
    <row r="31108">
      <c r="L31108" s="13"/>
      <c r="M31108" s="14"/>
      <c r="N31108" s="14"/>
      <c r="O31108" s="14"/>
      <c r="P31108" s="13"/>
    </row>
    <row r="31109">
      <c r="L31109" s="13"/>
      <c r="M31109" s="14"/>
      <c r="N31109" s="14"/>
      <c r="O31109" s="14"/>
      <c r="P31109" s="13"/>
    </row>
    <row r="31110">
      <c r="L31110" s="13"/>
      <c r="M31110" s="14"/>
      <c r="N31110" s="14"/>
      <c r="O31110" s="14"/>
      <c r="P31110" s="13"/>
    </row>
    <row r="31111">
      <c r="L31111" s="13"/>
      <c r="M31111" s="14"/>
      <c r="N31111" s="14"/>
      <c r="O31111" s="14"/>
      <c r="P31111" s="13"/>
    </row>
    <row r="31112">
      <c r="L31112" s="13"/>
      <c r="M31112" s="14"/>
      <c r="N31112" s="14"/>
      <c r="O31112" s="14"/>
      <c r="P31112" s="13"/>
    </row>
    <row r="31113">
      <c r="L31113" s="13"/>
      <c r="M31113" s="14"/>
      <c r="N31113" s="14"/>
      <c r="O31113" s="14"/>
      <c r="P31113" s="13"/>
    </row>
    <row r="31114">
      <c r="L31114" s="13"/>
      <c r="M31114" s="14"/>
      <c r="N31114" s="14"/>
      <c r="O31114" s="14"/>
      <c r="P31114" s="13"/>
    </row>
    <row r="31115">
      <c r="L31115" s="13"/>
      <c r="M31115" s="14"/>
      <c r="N31115" s="14"/>
      <c r="O31115" s="14"/>
      <c r="P31115" s="13"/>
    </row>
    <row r="31116">
      <c r="L31116" s="13"/>
      <c r="M31116" s="14"/>
      <c r="N31116" s="14"/>
      <c r="O31116" s="14"/>
      <c r="P31116" s="13"/>
    </row>
    <row r="31117">
      <c r="L31117" s="13"/>
      <c r="M31117" s="14"/>
      <c r="N31117" s="14"/>
      <c r="O31117" s="14"/>
      <c r="P31117" s="13"/>
    </row>
    <row r="31118">
      <c r="L31118" s="13"/>
      <c r="M31118" s="14"/>
      <c r="N31118" s="14"/>
      <c r="O31118" s="14"/>
      <c r="P31118" s="13"/>
    </row>
    <row r="31119">
      <c r="L31119" s="13"/>
      <c r="M31119" s="14"/>
      <c r="N31119" s="14"/>
      <c r="O31119" s="14"/>
      <c r="P31119" s="13"/>
    </row>
    <row r="31120">
      <c r="L31120" s="13"/>
      <c r="M31120" s="14"/>
      <c r="N31120" s="14"/>
      <c r="O31120" s="14"/>
      <c r="P31120" s="13"/>
    </row>
    <row r="31121">
      <c r="L31121" s="13"/>
      <c r="M31121" s="14"/>
      <c r="N31121" s="14"/>
      <c r="O31121" s="14"/>
      <c r="P31121" s="13"/>
    </row>
    <row r="31122">
      <c r="L31122" s="13"/>
      <c r="M31122" s="14"/>
      <c r="N31122" s="14"/>
      <c r="O31122" s="14"/>
      <c r="P31122" s="13"/>
    </row>
    <row r="31123">
      <c r="L31123" s="13"/>
      <c r="M31123" s="14"/>
      <c r="N31123" s="14"/>
      <c r="O31123" s="14"/>
      <c r="P31123" s="13"/>
    </row>
    <row r="31124">
      <c r="L31124" s="13"/>
      <c r="M31124" s="14"/>
      <c r="N31124" s="14"/>
      <c r="O31124" s="14"/>
      <c r="P31124" s="13"/>
    </row>
    <row r="31125">
      <c r="L31125" s="13"/>
      <c r="M31125" s="14"/>
      <c r="N31125" s="14"/>
      <c r="O31125" s="14"/>
      <c r="P31125" s="13"/>
    </row>
    <row r="31126">
      <c r="L31126" s="13"/>
      <c r="M31126" s="14"/>
      <c r="N31126" s="14"/>
      <c r="O31126" s="14"/>
      <c r="P31126" s="13"/>
    </row>
    <row r="31127">
      <c r="L31127" s="13"/>
      <c r="M31127" s="14"/>
      <c r="N31127" s="14"/>
      <c r="O31127" s="14"/>
      <c r="P31127" s="13"/>
    </row>
    <row r="31128">
      <c r="L31128" s="13"/>
      <c r="M31128" s="14"/>
      <c r="N31128" s="14"/>
      <c r="O31128" s="14"/>
      <c r="P31128" s="13"/>
    </row>
    <row r="31129">
      <c r="L31129" s="13"/>
      <c r="M31129" s="14"/>
      <c r="N31129" s="14"/>
      <c r="O31129" s="14"/>
      <c r="P31129" s="13"/>
    </row>
    <row r="31130">
      <c r="L31130" s="13"/>
      <c r="M31130" s="14"/>
      <c r="N31130" s="14"/>
      <c r="O31130" s="14"/>
      <c r="P31130" s="13"/>
    </row>
    <row r="31131">
      <c r="L31131" s="13"/>
      <c r="M31131" s="14"/>
      <c r="N31131" s="14"/>
      <c r="O31131" s="14"/>
      <c r="P31131" s="13"/>
    </row>
    <row r="31132">
      <c r="L31132" s="13"/>
      <c r="M31132" s="14"/>
      <c r="N31132" s="14"/>
      <c r="O31132" s="14"/>
      <c r="P31132" s="13"/>
    </row>
    <row r="31133">
      <c r="L31133" s="13"/>
      <c r="M31133" s="14"/>
      <c r="N31133" s="14"/>
      <c r="O31133" s="14"/>
      <c r="P31133" s="13"/>
    </row>
    <row r="31134">
      <c r="L31134" s="13"/>
      <c r="M31134" s="14"/>
      <c r="N31134" s="14"/>
      <c r="O31134" s="14"/>
      <c r="P31134" s="13"/>
    </row>
    <row r="31135">
      <c r="L31135" s="13"/>
      <c r="M31135" s="14"/>
      <c r="N31135" s="14"/>
      <c r="O31135" s="14"/>
      <c r="P31135" s="13"/>
    </row>
    <row r="31136">
      <c r="L31136" s="13"/>
      <c r="M31136" s="14"/>
      <c r="N31136" s="14"/>
      <c r="O31136" s="14"/>
      <c r="P31136" s="13"/>
    </row>
    <row r="31137">
      <c r="L31137" s="13"/>
      <c r="M31137" s="14"/>
      <c r="N31137" s="14"/>
      <c r="O31137" s="14"/>
      <c r="P31137" s="13"/>
    </row>
    <row r="31138">
      <c r="L31138" s="13"/>
      <c r="M31138" s="14"/>
      <c r="N31138" s="14"/>
      <c r="O31138" s="14"/>
      <c r="P31138" s="13"/>
    </row>
    <row r="31139">
      <c r="L31139" s="13"/>
      <c r="M31139" s="14"/>
      <c r="N31139" s="14"/>
      <c r="O31139" s="14"/>
      <c r="P31139" s="13"/>
    </row>
    <row r="31140">
      <c r="L31140" s="13"/>
      <c r="M31140" s="14"/>
      <c r="N31140" s="14"/>
      <c r="O31140" s="14"/>
      <c r="P31140" s="13"/>
    </row>
    <row r="31141">
      <c r="L31141" s="13"/>
      <c r="M31141" s="14"/>
      <c r="N31141" s="14"/>
      <c r="O31141" s="14"/>
      <c r="P31141" s="13"/>
    </row>
    <row r="31142">
      <c r="L31142" s="13"/>
      <c r="M31142" s="14"/>
      <c r="N31142" s="14"/>
      <c r="O31142" s="14"/>
      <c r="P31142" s="13"/>
    </row>
    <row r="31143">
      <c r="L31143" s="13"/>
      <c r="M31143" s="14"/>
      <c r="N31143" s="14"/>
      <c r="O31143" s="14"/>
      <c r="P31143" s="13"/>
    </row>
    <row r="31144">
      <c r="L31144" s="13"/>
      <c r="M31144" s="14"/>
      <c r="N31144" s="14"/>
      <c r="O31144" s="14"/>
      <c r="P31144" s="13"/>
    </row>
    <row r="31145">
      <c r="L31145" s="13"/>
      <c r="M31145" s="14"/>
      <c r="N31145" s="14"/>
      <c r="O31145" s="14"/>
      <c r="P31145" s="13"/>
    </row>
    <row r="31146">
      <c r="L31146" s="13"/>
      <c r="M31146" s="14"/>
      <c r="N31146" s="14"/>
      <c r="O31146" s="14"/>
      <c r="P31146" s="13"/>
    </row>
    <row r="31147">
      <c r="L31147" s="13"/>
      <c r="M31147" s="14"/>
      <c r="N31147" s="14"/>
      <c r="O31147" s="14"/>
      <c r="P31147" s="13"/>
    </row>
    <row r="31148">
      <c r="L31148" s="13"/>
      <c r="M31148" s="14"/>
      <c r="N31148" s="14"/>
      <c r="O31148" s="14"/>
      <c r="P31148" s="13"/>
    </row>
    <row r="31149">
      <c r="L31149" s="13"/>
      <c r="M31149" s="14"/>
      <c r="N31149" s="14"/>
      <c r="O31149" s="14"/>
      <c r="P31149" s="13"/>
    </row>
    <row r="31150">
      <c r="L31150" s="13"/>
      <c r="M31150" s="14"/>
      <c r="N31150" s="14"/>
      <c r="O31150" s="14"/>
      <c r="P31150" s="13"/>
    </row>
    <row r="31151">
      <c r="L31151" s="13"/>
      <c r="M31151" s="14"/>
      <c r="N31151" s="14"/>
      <c r="O31151" s="14"/>
      <c r="P31151" s="13"/>
    </row>
    <row r="31152">
      <c r="L31152" s="13"/>
      <c r="M31152" s="14"/>
      <c r="N31152" s="14"/>
      <c r="O31152" s="14"/>
      <c r="P31152" s="13"/>
    </row>
    <row r="31153">
      <c r="L31153" s="13"/>
      <c r="M31153" s="14"/>
      <c r="N31153" s="14"/>
      <c r="O31153" s="14"/>
      <c r="P31153" s="13"/>
    </row>
    <row r="31154">
      <c r="L31154" s="13"/>
      <c r="M31154" s="14"/>
      <c r="N31154" s="14"/>
      <c r="O31154" s="14"/>
      <c r="P31154" s="13"/>
    </row>
    <row r="31155">
      <c r="L31155" s="13"/>
      <c r="M31155" s="14"/>
      <c r="N31155" s="14"/>
      <c r="O31155" s="14"/>
      <c r="P31155" s="13"/>
    </row>
    <row r="31156">
      <c r="L31156" s="13"/>
      <c r="M31156" s="14"/>
      <c r="N31156" s="14"/>
      <c r="O31156" s="14"/>
      <c r="P31156" s="13"/>
    </row>
    <row r="31157">
      <c r="L31157" s="13"/>
      <c r="M31157" s="14"/>
      <c r="N31157" s="14"/>
      <c r="O31157" s="14"/>
      <c r="P31157" s="13"/>
    </row>
    <row r="31158">
      <c r="L31158" s="13"/>
      <c r="M31158" s="14"/>
      <c r="N31158" s="14"/>
      <c r="O31158" s="14"/>
      <c r="P31158" s="13"/>
    </row>
    <row r="31159">
      <c r="L31159" s="13"/>
      <c r="M31159" s="14"/>
      <c r="N31159" s="14"/>
      <c r="O31159" s="14"/>
      <c r="P31159" s="13"/>
    </row>
    <row r="31160">
      <c r="L31160" s="13"/>
      <c r="M31160" s="14"/>
      <c r="N31160" s="14"/>
      <c r="O31160" s="14"/>
      <c r="P31160" s="13"/>
    </row>
    <row r="31161">
      <c r="L31161" s="13"/>
      <c r="M31161" s="14"/>
      <c r="N31161" s="14"/>
      <c r="O31161" s="14"/>
      <c r="P31161" s="13"/>
    </row>
    <row r="31162">
      <c r="L31162" s="13"/>
      <c r="M31162" s="14"/>
      <c r="N31162" s="14"/>
      <c r="O31162" s="14"/>
      <c r="P31162" s="13"/>
    </row>
    <row r="31163">
      <c r="L31163" s="13"/>
      <c r="M31163" s="14"/>
      <c r="N31163" s="14"/>
      <c r="O31163" s="14"/>
      <c r="P31163" s="13"/>
    </row>
    <row r="31164">
      <c r="L31164" s="13"/>
      <c r="M31164" s="14"/>
      <c r="N31164" s="14"/>
      <c r="O31164" s="14"/>
      <c r="P31164" s="13"/>
    </row>
    <row r="31165">
      <c r="L31165" s="13"/>
      <c r="M31165" s="14"/>
      <c r="N31165" s="14"/>
      <c r="O31165" s="14"/>
      <c r="P31165" s="13"/>
    </row>
    <row r="31166">
      <c r="L31166" s="13"/>
      <c r="M31166" s="14"/>
      <c r="N31166" s="14"/>
      <c r="O31166" s="14"/>
      <c r="P31166" s="13"/>
    </row>
    <row r="31167">
      <c r="L31167" s="13"/>
      <c r="M31167" s="14"/>
      <c r="N31167" s="14"/>
      <c r="O31167" s="14"/>
      <c r="P31167" s="13"/>
    </row>
    <row r="31168">
      <c r="L31168" s="13"/>
      <c r="M31168" s="14"/>
      <c r="N31168" s="14"/>
      <c r="O31168" s="14"/>
      <c r="P31168" s="13"/>
    </row>
    <row r="31169">
      <c r="L31169" s="13"/>
      <c r="M31169" s="14"/>
      <c r="N31169" s="14"/>
      <c r="O31169" s="14"/>
      <c r="P31169" s="13"/>
    </row>
    <row r="31170">
      <c r="L31170" s="13"/>
      <c r="M31170" s="14"/>
      <c r="N31170" s="14"/>
      <c r="O31170" s="14"/>
      <c r="P31170" s="13"/>
    </row>
    <row r="31171">
      <c r="L31171" s="13"/>
      <c r="M31171" s="14"/>
      <c r="N31171" s="14"/>
      <c r="O31171" s="14"/>
      <c r="P31171" s="13"/>
    </row>
    <row r="31172">
      <c r="L31172" s="13"/>
      <c r="M31172" s="14"/>
      <c r="N31172" s="14"/>
      <c r="O31172" s="14"/>
      <c r="P31172" s="13"/>
    </row>
    <row r="31173">
      <c r="L31173" s="13"/>
      <c r="M31173" s="14"/>
      <c r="N31173" s="14"/>
      <c r="O31173" s="14"/>
      <c r="P31173" s="13"/>
    </row>
    <row r="31174">
      <c r="L31174" s="13"/>
      <c r="M31174" s="14"/>
      <c r="N31174" s="14"/>
      <c r="O31174" s="14"/>
      <c r="P31174" s="13"/>
    </row>
    <row r="31175">
      <c r="L31175" s="13"/>
      <c r="M31175" s="14"/>
      <c r="N31175" s="14"/>
      <c r="O31175" s="14"/>
      <c r="P31175" s="13"/>
    </row>
    <row r="31176">
      <c r="L31176" s="13"/>
      <c r="M31176" s="14"/>
      <c r="N31176" s="14"/>
      <c r="O31176" s="14"/>
      <c r="P31176" s="13"/>
    </row>
    <row r="31177">
      <c r="L31177" s="13"/>
      <c r="M31177" s="14"/>
      <c r="N31177" s="14"/>
      <c r="O31177" s="14"/>
      <c r="P31177" s="13"/>
    </row>
    <row r="31178">
      <c r="L31178" s="13"/>
      <c r="M31178" s="14"/>
      <c r="N31178" s="14"/>
      <c r="O31178" s="14"/>
      <c r="P31178" s="13"/>
    </row>
    <row r="31179">
      <c r="L31179" s="13"/>
      <c r="M31179" s="14"/>
      <c r="N31179" s="14"/>
      <c r="O31179" s="14"/>
      <c r="P31179" s="13"/>
    </row>
    <row r="31180">
      <c r="L31180" s="13"/>
      <c r="M31180" s="14"/>
      <c r="N31180" s="14"/>
      <c r="O31180" s="14"/>
      <c r="P31180" s="13"/>
    </row>
    <row r="31181">
      <c r="L31181" s="13"/>
      <c r="M31181" s="14"/>
      <c r="N31181" s="14"/>
      <c r="O31181" s="14"/>
      <c r="P31181" s="13"/>
    </row>
    <row r="31182">
      <c r="L31182" s="13"/>
      <c r="M31182" s="14"/>
      <c r="N31182" s="14"/>
      <c r="O31182" s="14"/>
      <c r="P31182" s="13"/>
    </row>
    <row r="31183">
      <c r="L31183" s="13"/>
      <c r="M31183" s="14"/>
      <c r="N31183" s="14"/>
      <c r="O31183" s="14"/>
      <c r="P31183" s="13"/>
    </row>
    <row r="31184">
      <c r="L31184" s="13"/>
      <c r="M31184" s="14"/>
      <c r="N31184" s="14"/>
      <c r="O31184" s="14"/>
      <c r="P31184" s="13"/>
    </row>
    <row r="31185">
      <c r="L31185" s="13"/>
      <c r="M31185" s="14"/>
      <c r="N31185" s="14"/>
      <c r="O31185" s="14"/>
      <c r="P31185" s="13"/>
    </row>
    <row r="31186">
      <c r="L31186" s="13"/>
      <c r="M31186" s="14"/>
      <c r="N31186" s="14"/>
      <c r="O31186" s="14"/>
      <c r="P31186" s="13"/>
    </row>
    <row r="31187">
      <c r="L31187" s="13"/>
      <c r="M31187" s="14"/>
      <c r="N31187" s="14"/>
      <c r="O31187" s="14"/>
      <c r="P31187" s="13"/>
    </row>
    <row r="31188">
      <c r="L31188" s="13"/>
      <c r="M31188" s="14"/>
      <c r="N31188" s="14"/>
      <c r="O31188" s="14"/>
      <c r="P31188" s="13"/>
    </row>
    <row r="31189">
      <c r="L31189" s="13"/>
      <c r="M31189" s="14"/>
      <c r="N31189" s="14"/>
      <c r="O31189" s="14"/>
      <c r="P31189" s="13"/>
    </row>
    <row r="31190">
      <c r="L31190" s="13"/>
      <c r="M31190" s="14"/>
      <c r="N31190" s="14"/>
      <c r="O31190" s="14"/>
      <c r="P31190" s="13"/>
    </row>
    <row r="31191">
      <c r="L31191" s="13"/>
      <c r="M31191" s="14"/>
      <c r="N31191" s="14"/>
      <c r="O31191" s="14"/>
      <c r="P31191" s="13"/>
    </row>
    <row r="31192">
      <c r="L31192" s="13"/>
      <c r="M31192" s="14"/>
      <c r="N31192" s="14"/>
      <c r="O31192" s="14"/>
      <c r="P31192" s="13"/>
    </row>
    <row r="31193">
      <c r="L31193" s="13"/>
      <c r="M31193" s="14"/>
      <c r="N31193" s="14"/>
      <c r="O31193" s="14"/>
      <c r="P31193" s="13"/>
    </row>
    <row r="31194">
      <c r="L31194" s="13"/>
      <c r="M31194" s="14"/>
      <c r="N31194" s="14"/>
      <c r="O31194" s="14"/>
      <c r="P31194" s="13"/>
    </row>
    <row r="31195">
      <c r="L31195" s="13"/>
      <c r="M31195" s="14"/>
      <c r="N31195" s="14"/>
      <c r="O31195" s="14"/>
      <c r="P31195" s="13"/>
    </row>
    <row r="31196">
      <c r="L31196" s="13"/>
      <c r="M31196" s="14"/>
      <c r="N31196" s="14"/>
      <c r="O31196" s="14"/>
      <c r="P31196" s="13"/>
    </row>
    <row r="31197">
      <c r="L31197" s="13"/>
      <c r="M31197" s="14"/>
      <c r="N31197" s="14"/>
      <c r="O31197" s="14"/>
      <c r="P31197" s="13"/>
    </row>
    <row r="31198">
      <c r="L31198" s="13"/>
      <c r="M31198" s="14"/>
      <c r="N31198" s="14"/>
      <c r="O31198" s="14"/>
      <c r="P31198" s="13"/>
    </row>
    <row r="31199">
      <c r="L31199" s="13"/>
      <c r="M31199" s="14"/>
      <c r="N31199" s="14"/>
      <c r="O31199" s="14"/>
      <c r="P31199" s="13"/>
    </row>
    <row r="31200">
      <c r="L31200" s="13"/>
      <c r="M31200" s="14"/>
      <c r="N31200" s="14"/>
      <c r="O31200" s="14"/>
      <c r="P31200" s="13"/>
    </row>
    <row r="31201">
      <c r="L31201" s="13"/>
      <c r="M31201" s="14"/>
      <c r="N31201" s="14"/>
      <c r="O31201" s="14"/>
      <c r="P31201" s="13"/>
    </row>
    <row r="31202">
      <c r="L31202" s="13"/>
      <c r="M31202" s="14"/>
      <c r="N31202" s="14"/>
      <c r="O31202" s="14"/>
      <c r="P31202" s="13"/>
    </row>
    <row r="31203">
      <c r="L31203" s="13"/>
      <c r="M31203" s="14"/>
      <c r="N31203" s="14"/>
      <c r="O31203" s="14"/>
      <c r="P31203" s="13"/>
    </row>
    <row r="31204">
      <c r="L31204" s="13"/>
      <c r="M31204" s="14"/>
      <c r="N31204" s="14"/>
      <c r="O31204" s="14"/>
      <c r="P31204" s="13"/>
    </row>
    <row r="31205">
      <c r="L31205" s="13"/>
      <c r="M31205" s="14"/>
      <c r="N31205" s="14"/>
      <c r="O31205" s="14"/>
      <c r="P31205" s="13"/>
    </row>
    <row r="31206">
      <c r="L31206" s="13"/>
      <c r="M31206" s="14"/>
      <c r="N31206" s="14"/>
      <c r="O31206" s="14"/>
      <c r="P31206" s="13"/>
    </row>
    <row r="31207">
      <c r="L31207" s="13"/>
      <c r="M31207" s="14"/>
      <c r="N31207" s="14"/>
      <c r="O31207" s="14"/>
      <c r="P31207" s="13"/>
    </row>
    <row r="31208">
      <c r="L31208" s="13"/>
      <c r="M31208" s="14"/>
      <c r="N31208" s="14"/>
      <c r="O31208" s="14"/>
      <c r="P31208" s="13"/>
    </row>
    <row r="31209">
      <c r="L31209" s="13"/>
      <c r="M31209" s="14"/>
      <c r="N31209" s="14"/>
      <c r="O31209" s="14"/>
      <c r="P31209" s="13"/>
    </row>
    <row r="31210">
      <c r="L31210" s="13"/>
      <c r="M31210" s="14"/>
      <c r="N31210" s="14"/>
      <c r="O31210" s="14"/>
      <c r="P31210" s="13"/>
    </row>
    <row r="31211">
      <c r="L31211" s="13"/>
      <c r="M31211" s="14"/>
      <c r="N31211" s="14"/>
      <c r="O31211" s="14"/>
      <c r="P31211" s="13"/>
    </row>
    <row r="31212">
      <c r="L31212" s="13"/>
      <c r="M31212" s="14"/>
      <c r="N31212" s="14"/>
      <c r="O31212" s="14"/>
      <c r="P31212" s="13"/>
    </row>
    <row r="31213">
      <c r="L31213" s="13"/>
      <c r="M31213" s="14"/>
      <c r="N31213" s="14"/>
      <c r="O31213" s="14"/>
      <c r="P31213" s="13"/>
    </row>
    <row r="31214">
      <c r="L31214" s="13"/>
      <c r="M31214" s="14"/>
      <c r="N31214" s="14"/>
      <c r="O31214" s="14"/>
      <c r="P31214" s="13"/>
    </row>
    <row r="31215">
      <c r="L31215" s="13"/>
      <c r="M31215" s="14"/>
      <c r="N31215" s="14"/>
      <c r="O31215" s="14"/>
      <c r="P31215" s="13"/>
    </row>
    <row r="31216">
      <c r="L31216" s="13"/>
      <c r="M31216" s="14"/>
      <c r="N31216" s="14"/>
      <c r="O31216" s="14"/>
      <c r="P31216" s="13"/>
    </row>
    <row r="31217">
      <c r="L31217" s="13"/>
      <c r="M31217" s="14"/>
      <c r="N31217" s="14"/>
      <c r="O31217" s="14"/>
      <c r="P31217" s="13"/>
    </row>
    <row r="31218">
      <c r="L31218" s="13"/>
      <c r="M31218" s="14"/>
      <c r="N31218" s="14"/>
      <c r="O31218" s="14"/>
      <c r="P31218" s="13"/>
    </row>
    <row r="31219">
      <c r="L31219" s="13"/>
      <c r="M31219" s="14"/>
      <c r="N31219" s="14"/>
      <c r="O31219" s="14"/>
      <c r="P31219" s="13"/>
    </row>
    <row r="31220">
      <c r="L31220" s="13"/>
      <c r="M31220" s="14"/>
      <c r="N31220" s="14"/>
      <c r="O31220" s="14"/>
      <c r="P31220" s="13"/>
    </row>
    <row r="31221">
      <c r="L31221" s="13"/>
      <c r="M31221" s="14"/>
      <c r="N31221" s="14"/>
      <c r="O31221" s="14"/>
      <c r="P31221" s="13"/>
    </row>
    <row r="31222">
      <c r="L31222" s="13"/>
      <c r="M31222" s="14"/>
      <c r="N31222" s="14"/>
      <c r="O31222" s="14"/>
      <c r="P31222" s="13"/>
    </row>
    <row r="31223">
      <c r="L31223" s="13"/>
      <c r="M31223" s="14"/>
      <c r="N31223" s="14"/>
      <c r="O31223" s="14"/>
      <c r="P31223" s="13"/>
    </row>
    <row r="31224">
      <c r="L31224" s="13"/>
      <c r="M31224" s="14"/>
      <c r="N31224" s="14"/>
      <c r="O31224" s="14"/>
      <c r="P31224" s="13"/>
    </row>
    <row r="31225">
      <c r="L31225" s="13"/>
      <c r="M31225" s="14"/>
      <c r="N31225" s="14"/>
      <c r="O31225" s="14"/>
      <c r="P31225" s="13"/>
    </row>
    <row r="31226">
      <c r="L31226" s="13"/>
      <c r="M31226" s="14"/>
      <c r="N31226" s="14"/>
      <c r="O31226" s="14"/>
      <c r="P31226" s="13"/>
    </row>
    <row r="31227">
      <c r="L31227" s="13"/>
      <c r="M31227" s="14"/>
      <c r="N31227" s="14"/>
      <c r="O31227" s="14"/>
      <c r="P31227" s="13"/>
    </row>
    <row r="31228">
      <c r="L31228" s="13"/>
      <c r="M31228" s="14"/>
      <c r="N31228" s="14"/>
      <c r="O31228" s="14"/>
      <c r="P31228" s="13"/>
    </row>
    <row r="31229">
      <c r="L31229" s="13"/>
      <c r="M31229" s="14"/>
      <c r="N31229" s="14"/>
      <c r="O31229" s="14"/>
      <c r="P31229" s="13"/>
    </row>
    <row r="31230">
      <c r="L31230" s="13"/>
      <c r="M31230" s="14"/>
      <c r="N31230" s="14"/>
      <c r="O31230" s="14"/>
      <c r="P31230" s="13"/>
    </row>
    <row r="31231">
      <c r="L31231" s="13"/>
      <c r="M31231" s="14"/>
      <c r="N31231" s="14"/>
      <c r="O31231" s="14"/>
      <c r="P31231" s="13"/>
    </row>
    <row r="31232">
      <c r="L31232" s="13"/>
      <c r="M31232" s="14"/>
      <c r="N31232" s="14"/>
      <c r="O31232" s="14"/>
      <c r="P31232" s="13"/>
    </row>
    <row r="31233">
      <c r="L31233" s="13"/>
      <c r="M31233" s="14"/>
      <c r="N31233" s="14"/>
      <c r="O31233" s="14"/>
      <c r="P31233" s="13"/>
    </row>
    <row r="31234">
      <c r="L31234" s="13"/>
      <c r="M31234" s="14"/>
      <c r="N31234" s="14"/>
      <c r="O31234" s="14"/>
      <c r="P31234" s="13"/>
    </row>
    <row r="31235">
      <c r="L31235" s="13"/>
      <c r="M31235" s="14"/>
      <c r="N31235" s="14"/>
      <c r="O31235" s="14"/>
      <c r="P31235" s="13"/>
    </row>
    <row r="31236">
      <c r="L31236" s="13"/>
      <c r="M31236" s="14"/>
      <c r="N31236" s="14"/>
      <c r="O31236" s="14"/>
      <c r="P31236" s="13"/>
    </row>
    <row r="31237">
      <c r="L31237" s="13"/>
      <c r="M31237" s="14"/>
      <c r="N31237" s="14"/>
      <c r="O31237" s="14"/>
      <c r="P31237" s="13"/>
    </row>
    <row r="31238">
      <c r="L31238" s="13"/>
      <c r="M31238" s="14"/>
      <c r="N31238" s="14"/>
      <c r="O31238" s="14"/>
      <c r="P31238" s="13"/>
    </row>
    <row r="31239">
      <c r="L31239" s="13"/>
      <c r="M31239" s="14"/>
      <c r="N31239" s="14"/>
      <c r="O31239" s="14"/>
      <c r="P31239" s="13"/>
    </row>
    <row r="31240">
      <c r="L31240" s="13"/>
      <c r="M31240" s="14"/>
      <c r="N31240" s="14"/>
      <c r="O31240" s="14"/>
      <c r="P31240" s="13"/>
    </row>
    <row r="31241">
      <c r="L31241" s="13"/>
      <c r="M31241" s="14"/>
      <c r="N31241" s="14"/>
      <c r="O31241" s="14"/>
      <c r="P31241" s="13"/>
    </row>
    <row r="31242">
      <c r="L31242" s="13"/>
      <c r="M31242" s="14"/>
      <c r="N31242" s="14"/>
      <c r="O31242" s="14"/>
      <c r="P31242" s="13"/>
    </row>
    <row r="31243">
      <c r="L31243" s="13"/>
      <c r="M31243" s="14"/>
      <c r="N31243" s="14"/>
      <c r="O31243" s="14"/>
      <c r="P31243" s="13"/>
    </row>
    <row r="31244">
      <c r="L31244" s="13"/>
      <c r="M31244" s="14"/>
      <c r="N31244" s="14"/>
      <c r="O31244" s="14"/>
      <c r="P31244" s="13"/>
    </row>
    <row r="31245">
      <c r="L31245" s="13"/>
      <c r="M31245" s="14"/>
      <c r="N31245" s="14"/>
      <c r="O31245" s="14"/>
      <c r="P31245" s="13"/>
    </row>
    <row r="31246">
      <c r="L31246" s="13"/>
      <c r="M31246" s="14"/>
      <c r="N31246" s="14"/>
      <c r="O31246" s="14"/>
      <c r="P31246" s="13"/>
    </row>
    <row r="31247">
      <c r="L31247" s="13"/>
      <c r="M31247" s="14"/>
      <c r="N31247" s="14"/>
      <c r="O31247" s="14"/>
      <c r="P31247" s="13"/>
    </row>
    <row r="31248">
      <c r="L31248" s="13"/>
      <c r="M31248" s="14"/>
      <c r="N31248" s="14"/>
      <c r="O31248" s="14"/>
      <c r="P31248" s="13"/>
    </row>
    <row r="31249">
      <c r="L31249" s="13"/>
      <c r="M31249" s="14"/>
      <c r="N31249" s="14"/>
      <c r="O31249" s="14"/>
      <c r="P31249" s="13"/>
    </row>
    <row r="31250">
      <c r="L31250" s="13"/>
      <c r="M31250" s="14"/>
      <c r="N31250" s="14"/>
      <c r="O31250" s="14"/>
      <c r="P31250" s="13"/>
    </row>
    <row r="31251">
      <c r="L31251" s="13"/>
      <c r="M31251" s="14"/>
      <c r="N31251" s="14"/>
      <c r="O31251" s="14"/>
      <c r="P31251" s="13"/>
    </row>
    <row r="31252">
      <c r="L31252" s="13"/>
      <c r="M31252" s="14"/>
      <c r="N31252" s="14"/>
      <c r="O31252" s="14"/>
      <c r="P31252" s="13"/>
    </row>
    <row r="31253">
      <c r="L31253" s="13"/>
      <c r="M31253" s="14"/>
      <c r="N31253" s="14"/>
      <c r="O31253" s="14"/>
      <c r="P31253" s="13"/>
    </row>
    <row r="31254">
      <c r="L31254" s="13"/>
      <c r="M31254" s="14"/>
      <c r="N31254" s="14"/>
      <c r="O31254" s="14"/>
      <c r="P31254" s="13"/>
    </row>
    <row r="31255">
      <c r="L31255" s="13"/>
      <c r="M31255" s="14"/>
      <c r="N31255" s="14"/>
      <c r="O31255" s="14"/>
      <c r="P31255" s="13"/>
    </row>
    <row r="31256">
      <c r="L31256" s="13"/>
      <c r="M31256" s="14"/>
      <c r="N31256" s="14"/>
      <c r="O31256" s="14"/>
      <c r="P31256" s="13"/>
    </row>
    <row r="31257">
      <c r="L31257" s="13"/>
      <c r="M31257" s="14"/>
      <c r="N31257" s="14"/>
      <c r="O31257" s="14"/>
      <c r="P31257" s="13"/>
    </row>
    <row r="31258">
      <c r="L31258" s="13"/>
      <c r="M31258" s="14"/>
      <c r="N31258" s="14"/>
      <c r="O31258" s="14"/>
      <c r="P31258" s="13"/>
    </row>
    <row r="31259">
      <c r="L31259" s="13"/>
      <c r="M31259" s="14"/>
      <c r="N31259" s="14"/>
      <c r="O31259" s="14"/>
      <c r="P31259" s="13"/>
    </row>
    <row r="31260">
      <c r="L31260" s="13"/>
      <c r="M31260" s="14"/>
      <c r="N31260" s="14"/>
      <c r="O31260" s="14"/>
      <c r="P31260" s="13"/>
    </row>
    <row r="31261">
      <c r="L31261" s="13"/>
      <c r="M31261" s="14"/>
      <c r="N31261" s="14"/>
      <c r="O31261" s="14"/>
      <c r="P31261" s="13"/>
    </row>
    <row r="31262">
      <c r="L31262" s="13"/>
      <c r="M31262" s="14"/>
      <c r="N31262" s="14"/>
      <c r="O31262" s="14"/>
      <c r="P31262" s="13"/>
    </row>
    <row r="31263">
      <c r="L31263" s="13"/>
      <c r="M31263" s="14"/>
      <c r="N31263" s="14"/>
      <c r="O31263" s="14"/>
      <c r="P31263" s="13"/>
    </row>
    <row r="31264">
      <c r="L31264" s="13"/>
      <c r="M31264" s="14"/>
      <c r="N31264" s="14"/>
      <c r="O31264" s="14"/>
      <c r="P31264" s="13"/>
    </row>
    <row r="31265">
      <c r="L31265" s="13"/>
      <c r="M31265" s="14"/>
      <c r="N31265" s="14"/>
      <c r="O31265" s="14"/>
      <c r="P31265" s="13"/>
    </row>
    <row r="31266">
      <c r="L31266" s="13"/>
      <c r="M31266" s="14"/>
      <c r="N31266" s="14"/>
      <c r="O31266" s="14"/>
      <c r="P31266" s="13"/>
    </row>
    <row r="31267">
      <c r="L31267" s="13"/>
      <c r="M31267" s="14"/>
      <c r="N31267" s="14"/>
      <c r="O31267" s="14"/>
      <c r="P31267" s="13"/>
    </row>
    <row r="31268">
      <c r="L31268" s="13"/>
      <c r="M31268" s="14"/>
      <c r="N31268" s="14"/>
      <c r="O31268" s="14"/>
      <c r="P31268" s="13"/>
    </row>
    <row r="31269">
      <c r="L31269" s="13"/>
      <c r="M31269" s="14"/>
      <c r="N31269" s="14"/>
      <c r="O31269" s="14"/>
      <c r="P31269" s="13"/>
    </row>
    <row r="31270">
      <c r="L31270" s="13"/>
      <c r="M31270" s="14"/>
      <c r="N31270" s="14"/>
      <c r="O31270" s="14"/>
      <c r="P31270" s="13"/>
    </row>
    <row r="31271">
      <c r="L31271" s="13"/>
      <c r="M31271" s="14"/>
      <c r="N31271" s="14"/>
      <c r="O31271" s="14"/>
      <c r="P31271" s="13"/>
    </row>
    <row r="31272">
      <c r="L31272" s="13"/>
      <c r="M31272" s="14"/>
      <c r="N31272" s="14"/>
      <c r="O31272" s="14"/>
      <c r="P31272" s="13"/>
    </row>
    <row r="31273">
      <c r="L31273" s="13"/>
      <c r="M31273" s="14"/>
      <c r="N31273" s="14"/>
      <c r="O31273" s="14"/>
      <c r="P31273" s="13"/>
    </row>
    <row r="31274">
      <c r="L31274" s="13"/>
      <c r="M31274" s="14"/>
      <c r="N31274" s="14"/>
      <c r="O31274" s="14"/>
      <c r="P31274" s="13"/>
    </row>
    <row r="31275">
      <c r="L31275" s="13"/>
      <c r="M31275" s="14"/>
      <c r="N31275" s="14"/>
      <c r="O31275" s="14"/>
      <c r="P31275" s="13"/>
    </row>
    <row r="31276">
      <c r="L31276" s="13"/>
      <c r="M31276" s="14"/>
      <c r="N31276" s="14"/>
      <c r="O31276" s="14"/>
      <c r="P31276" s="13"/>
    </row>
    <row r="31277">
      <c r="L31277" s="13"/>
      <c r="M31277" s="14"/>
      <c r="N31277" s="14"/>
      <c r="O31277" s="14"/>
      <c r="P31277" s="13"/>
    </row>
    <row r="31278">
      <c r="L31278" s="13"/>
      <c r="M31278" s="14"/>
      <c r="N31278" s="14"/>
      <c r="O31278" s="14"/>
      <c r="P31278" s="13"/>
    </row>
    <row r="31279">
      <c r="L31279" s="13"/>
      <c r="M31279" s="14"/>
      <c r="N31279" s="14"/>
      <c r="O31279" s="14"/>
      <c r="P31279" s="13"/>
    </row>
    <row r="31280">
      <c r="L31280" s="13"/>
      <c r="M31280" s="14"/>
      <c r="N31280" s="14"/>
      <c r="O31280" s="14"/>
      <c r="P31280" s="13"/>
    </row>
    <row r="31281">
      <c r="L31281" s="13"/>
      <c r="M31281" s="14"/>
      <c r="N31281" s="14"/>
      <c r="O31281" s="14"/>
      <c r="P31281" s="13"/>
    </row>
    <row r="31282">
      <c r="L31282" s="13"/>
      <c r="M31282" s="14"/>
      <c r="N31282" s="14"/>
      <c r="O31282" s="14"/>
      <c r="P31282" s="13"/>
    </row>
    <row r="31283">
      <c r="L31283" s="13"/>
      <c r="M31283" s="14"/>
      <c r="N31283" s="14"/>
      <c r="O31283" s="14"/>
      <c r="P31283" s="13"/>
    </row>
    <row r="31284">
      <c r="L31284" s="13"/>
      <c r="M31284" s="14"/>
      <c r="N31284" s="14"/>
      <c r="O31284" s="14"/>
      <c r="P31284" s="13"/>
    </row>
    <row r="31285">
      <c r="L31285" s="13"/>
      <c r="M31285" s="14"/>
      <c r="N31285" s="14"/>
      <c r="O31285" s="14"/>
      <c r="P31285" s="13"/>
    </row>
    <row r="31286">
      <c r="L31286" s="13"/>
      <c r="M31286" s="14"/>
      <c r="N31286" s="14"/>
      <c r="O31286" s="14"/>
      <c r="P31286" s="13"/>
    </row>
    <row r="31287">
      <c r="L31287" s="13"/>
      <c r="M31287" s="14"/>
      <c r="N31287" s="14"/>
      <c r="O31287" s="14"/>
      <c r="P31287" s="13"/>
    </row>
    <row r="31288">
      <c r="L31288" s="13"/>
      <c r="M31288" s="14"/>
      <c r="N31288" s="14"/>
      <c r="O31288" s="14"/>
      <c r="P31288" s="13"/>
    </row>
    <row r="31289">
      <c r="L31289" s="13"/>
      <c r="M31289" s="14"/>
      <c r="N31289" s="14"/>
      <c r="O31289" s="14"/>
      <c r="P31289" s="13"/>
    </row>
    <row r="31290">
      <c r="L31290" s="13"/>
      <c r="M31290" s="14"/>
      <c r="N31290" s="14"/>
      <c r="O31290" s="14"/>
      <c r="P31290" s="13"/>
    </row>
    <row r="31291">
      <c r="L31291" s="13"/>
      <c r="M31291" s="14"/>
      <c r="N31291" s="14"/>
      <c r="O31291" s="14"/>
      <c r="P31291" s="13"/>
    </row>
    <row r="31292">
      <c r="L31292" s="13"/>
      <c r="M31292" s="14"/>
      <c r="N31292" s="14"/>
      <c r="O31292" s="14"/>
      <c r="P31292" s="13"/>
    </row>
    <row r="31293">
      <c r="L31293" s="13"/>
      <c r="M31293" s="14"/>
      <c r="N31293" s="14"/>
      <c r="O31293" s="14"/>
      <c r="P31293" s="13"/>
    </row>
    <row r="31294">
      <c r="L31294" s="13"/>
      <c r="M31294" s="14"/>
      <c r="N31294" s="14"/>
      <c r="O31294" s="14"/>
      <c r="P31294" s="13"/>
    </row>
    <row r="31295">
      <c r="L31295" s="13"/>
      <c r="M31295" s="14"/>
      <c r="N31295" s="14"/>
      <c r="O31295" s="14"/>
      <c r="P31295" s="13"/>
    </row>
    <row r="31296">
      <c r="L31296" s="13"/>
      <c r="M31296" s="14"/>
      <c r="N31296" s="14"/>
      <c r="O31296" s="14"/>
      <c r="P31296" s="13"/>
    </row>
    <row r="31297">
      <c r="L31297" s="13"/>
      <c r="M31297" s="14"/>
      <c r="N31297" s="14"/>
      <c r="O31297" s="14"/>
      <c r="P31297" s="13"/>
    </row>
    <row r="31298">
      <c r="L31298" s="13"/>
      <c r="M31298" s="14"/>
      <c r="N31298" s="14"/>
      <c r="O31298" s="14"/>
      <c r="P31298" s="13"/>
    </row>
    <row r="31299">
      <c r="L31299" s="13"/>
      <c r="M31299" s="14"/>
      <c r="N31299" s="14"/>
      <c r="O31299" s="14"/>
      <c r="P31299" s="13"/>
    </row>
    <row r="31300">
      <c r="L31300" s="13"/>
      <c r="M31300" s="14"/>
      <c r="N31300" s="14"/>
      <c r="O31300" s="14"/>
      <c r="P31300" s="13"/>
    </row>
    <row r="31301">
      <c r="L31301" s="13"/>
      <c r="M31301" s="14"/>
      <c r="N31301" s="14"/>
      <c r="O31301" s="14"/>
      <c r="P31301" s="13"/>
    </row>
    <row r="31302">
      <c r="L31302" s="13"/>
      <c r="M31302" s="14"/>
      <c r="N31302" s="14"/>
      <c r="O31302" s="14"/>
      <c r="P31302" s="13"/>
    </row>
    <row r="31303">
      <c r="L31303" s="13"/>
      <c r="M31303" s="14"/>
      <c r="N31303" s="14"/>
      <c r="O31303" s="14"/>
      <c r="P31303" s="13"/>
    </row>
    <row r="31304">
      <c r="L31304" s="13"/>
      <c r="M31304" s="14"/>
      <c r="N31304" s="14"/>
      <c r="O31304" s="14"/>
      <c r="P31304" s="13"/>
    </row>
    <row r="31305">
      <c r="L31305" s="13"/>
      <c r="M31305" s="14"/>
      <c r="N31305" s="14"/>
      <c r="O31305" s="14"/>
      <c r="P31305" s="13"/>
    </row>
    <row r="31306">
      <c r="L31306" s="13"/>
      <c r="M31306" s="14"/>
      <c r="N31306" s="14"/>
      <c r="O31306" s="14"/>
      <c r="P31306" s="13"/>
    </row>
    <row r="31307">
      <c r="L31307" s="13"/>
      <c r="M31307" s="14"/>
      <c r="N31307" s="14"/>
      <c r="O31307" s="14"/>
      <c r="P31307" s="13"/>
    </row>
    <row r="31308">
      <c r="L31308" s="13"/>
      <c r="M31308" s="14"/>
      <c r="N31308" s="14"/>
      <c r="O31308" s="14"/>
      <c r="P31308" s="13"/>
    </row>
    <row r="31309">
      <c r="L31309" s="13"/>
      <c r="M31309" s="14"/>
      <c r="N31309" s="14"/>
      <c r="O31309" s="14"/>
      <c r="P31309" s="13"/>
    </row>
    <row r="31310">
      <c r="L31310" s="13"/>
      <c r="M31310" s="14"/>
      <c r="N31310" s="14"/>
      <c r="O31310" s="14"/>
      <c r="P31310" s="13"/>
    </row>
    <row r="31311">
      <c r="L31311" s="13"/>
      <c r="M31311" s="14"/>
      <c r="N31311" s="14"/>
      <c r="O31311" s="14"/>
      <c r="P31311" s="13"/>
    </row>
    <row r="31312">
      <c r="L31312" s="13"/>
      <c r="M31312" s="14"/>
      <c r="N31312" s="14"/>
      <c r="O31312" s="14"/>
      <c r="P31312" s="13"/>
    </row>
    <row r="31313">
      <c r="L31313" s="13"/>
      <c r="M31313" s="14"/>
      <c r="N31313" s="14"/>
      <c r="O31313" s="14"/>
      <c r="P31313" s="13"/>
    </row>
    <row r="31314">
      <c r="L31314" s="13"/>
      <c r="M31314" s="14"/>
      <c r="N31314" s="14"/>
      <c r="O31314" s="14"/>
      <c r="P31314" s="13"/>
    </row>
    <row r="31315">
      <c r="L31315" s="13"/>
      <c r="M31315" s="14"/>
      <c r="N31315" s="14"/>
      <c r="O31315" s="14"/>
      <c r="P31315" s="13"/>
    </row>
    <row r="31316">
      <c r="L31316" s="13"/>
      <c r="M31316" s="14"/>
      <c r="N31316" s="14"/>
      <c r="O31316" s="14"/>
      <c r="P31316" s="13"/>
    </row>
    <row r="31317">
      <c r="L31317" s="13"/>
      <c r="M31317" s="14"/>
      <c r="N31317" s="14"/>
      <c r="O31317" s="14"/>
      <c r="P31317" s="13"/>
    </row>
    <row r="31318">
      <c r="L31318" s="13"/>
      <c r="M31318" s="14"/>
      <c r="N31318" s="14"/>
      <c r="O31318" s="14"/>
      <c r="P31318" s="13"/>
    </row>
    <row r="31319">
      <c r="L31319" s="13"/>
      <c r="M31319" s="14"/>
      <c r="N31319" s="14"/>
      <c r="O31319" s="14"/>
      <c r="P31319" s="13"/>
    </row>
    <row r="31320">
      <c r="L31320" s="13"/>
      <c r="M31320" s="14"/>
      <c r="N31320" s="14"/>
      <c r="O31320" s="14"/>
      <c r="P31320" s="13"/>
    </row>
    <row r="31321">
      <c r="L31321" s="13"/>
      <c r="M31321" s="14"/>
      <c r="N31321" s="14"/>
      <c r="O31321" s="14"/>
      <c r="P31321" s="13"/>
    </row>
    <row r="31322">
      <c r="L31322" s="13"/>
      <c r="M31322" s="14"/>
      <c r="N31322" s="14"/>
      <c r="O31322" s="14"/>
      <c r="P31322" s="13"/>
    </row>
    <row r="31323">
      <c r="L31323" s="13"/>
      <c r="M31323" s="14"/>
      <c r="N31323" s="14"/>
      <c r="O31323" s="14"/>
      <c r="P31323" s="13"/>
    </row>
    <row r="31324">
      <c r="L31324" s="13"/>
      <c r="M31324" s="14"/>
      <c r="N31324" s="14"/>
      <c r="O31324" s="14"/>
      <c r="P31324" s="13"/>
    </row>
    <row r="31325">
      <c r="L31325" s="13"/>
      <c r="M31325" s="14"/>
      <c r="N31325" s="14"/>
      <c r="O31325" s="14"/>
      <c r="P31325" s="13"/>
    </row>
    <row r="31326">
      <c r="L31326" s="13"/>
      <c r="M31326" s="14"/>
      <c r="N31326" s="14"/>
      <c r="O31326" s="14"/>
      <c r="P31326" s="13"/>
    </row>
    <row r="31327">
      <c r="L31327" s="13"/>
      <c r="M31327" s="14"/>
      <c r="N31327" s="14"/>
      <c r="O31327" s="14"/>
      <c r="P31327" s="13"/>
    </row>
    <row r="31328">
      <c r="L31328" s="13"/>
      <c r="M31328" s="14"/>
      <c r="N31328" s="14"/>
      <c r="O31328" s="14"/>
      <c r="P31328" s="13"/>
    </row>
    <row r="31329">
      <c r="L31329" s="13"/>
      <c r="M31329" s="14"/>
      <c r="N31329" s="14"/>
      <c r="O31329" s="14"/>
      <c r="P31329" s="13"/>
    </row>
    <row r="31330">
      <c r="L31330" s="13"/>
      <c r="M31330" s="14"/>
      <c r="N31330" s="14"/>
      <c r="O31330" s="14"/>
      <c r="P31330" s="13"/>
    </row>
    <row r="31331">
      <c r="L31331" s="13"/>
      <c r="M31331" s="14"/>
      <c r="N31331" s="14"/>
      <c r="O31331" s="14"/>
      <c r="P31331" s="13"/>
    </row>
    <row r="31332">
      <c r="L31332" s="13"/>
      <c r="M31332" s="14"/>
      <c r="N31332" s="14"/>
      <c r="O31332" s="14"/>
      <c r="P31332" s="13"/>
    </row>
    <row r="31333">
      <c r="L31333" s="13"/>
      <c r="M31333" s="14"/>
      <c r="N31333" s="14"/>
      <c r="O31333" s="14"/>
      <c r="P31333" s="13"/>
    </row>
    <row r="31334">
      <c r="L31334" s="13"/>
      <c r="M31334" s="14"/>
      <c r="N31334" s="14"/>
      <c r="O31334" s="14"/>
      <c r="P31334" s="13"/>
    </row>
    <row r="31335">
      <c r="L31335" s="13"/>
      <c r="M31335" s="14"/>
      <c r="N31335" s="14"/>
      <c r="O31335" s="14"/>
      <c r="P31335" s="13"/>
    </row>
    <row r="31336">
      <c r="L31336" s="13"/>
      <c r="M31336" s="14"/>
      <c r="N31336" s="14"/>
      <c r="O31336" s="14"/>
      <c r="P31336" s="13"/>
    </row>
    <row r="31337">
      <c r="L31337" s="13"/>
      <c r="M31337" s="14"/>
      <c r="N31337" s="14"/>
      <c r="O31337" s="14"/>
      <c r="P31337" s="13"/>
    </row>
    <row r="31338">
      <c r="L31338" s="13"/>
      <c r="M31338" s="14"/>
      <c r="N31338" s="14"/>
      <c r="O31338" s="14"/>
      <c r="P31338" s="13"/>
    </row>
    <row r="31339">
      <c r="L31339" s="13"/>
      <c r="M31339" s="14"/>
      <c r="N31339" s="14"/>
      <c r="O31339" s="14"/>
      <c r="P31339" s="13"/>
    </row>
    <row r="31340">
      <c r="L31340" s="13"/>
      <c r="M31340" s="14"/>
      <c r="N31340" s="14"/>
      <c r="O31340" s="14"/>
      <c r="P31340" s="13"/>
    </row>
    <row r="31341">
      <c r="L31341" s="13"/>
      <c r="M31341" s="14"/>
      <c r="N31341" s="14"/>
      <c r="O31341" s="14"/>
      <c r="P31341" s="13"/>
    </row>
    <row r="31342">
      <c r="L31342" s="13"/>
      <c r="M31342" s="14"/>
      <c r="N31342" s="14"/>
      <c r="O31342" s="14"/>
      <c r="P31342" s="13"/>
    </row>
    <row r="31343">
      <c r="L31343" s="13"/>
      <c r="M31343" s="14"/>
      <c r="N31343" s="14"/>
      <c r="O31343" s="14"/>
      <c r="P31343" s="13"/>
    </row>
    <row r="31344">
      <c r="L31344" s="13"/>
      <c r="M31344" s="14"/>
      <c r="N31344" s="14"/>
      <c r="O31344" s="14"/>
      <c r="P31344" s="13"/>
    </row>
    <row r="31345">
      <c r="L31345" s="13"/>
      <c r="M31345" s="14"/>
      <c r="N31345" s="14"/>
      <c r="O31345" s="14"/>
      <c r="P31345" s="13"/>
    </row>
    <row r="31346">
      <c r="L31346" s="13"/>
      <c r="M31346" s="14"/>
      <c r="N31346" s="14"/>
      <c r="O31346" s="14"/>
      <c r="P31346" s="13"/>
    </row>
    <row r="31347">
      <c r="L31347" s="13"/>
      <c r="M31347" s="14"/>
      <c r="N31347" s="14"/>
      <c r="O31347" s="14"/>
      <c r="P31347" s="13"/>
    </row>
    <row r="31348">
      <c r="L31348" s="13"/>
      <c r="M31348" s="14"/>
      <c r="N31348" s="14"/>
      <c r="O31348" s="14"/>
      <c r="P31348" s="13"/>
    </row>
    <row r="31349">
      <c r="L31349" s="13"/>
      <c r="M31349" s="14"/>
      <c r="N31349" s="14"/>
      <c r="O31349" s="14"/>
      <c r="P31349" s="13"/>
    </row>
    <row r="31350">
      <c r="L31350" s="13"/>
      <c r="M31350" s="14"/>
      <c r="N31350" s="14"/>
      <c r="O31350" s="14"/>
      <c r="P31350" s="13"/>
    </row>
    <row r="31351">
      <c r="L31351" s="13"/>
      <c r="M31351" s="14"/>
      <c r="N31351" s="14"/>
      <c r="O31351" s="14"/>
      <c r="P31351" s="13"/>
    </row>
    <row r="31352">
      <c r="L31352" s="13"/>
      <c r="M31352" s="14"/>
      <c r="N31352" s="14"/>
      <c r="O31352" s="14"/>
      <c r="P31352" s="13"/>
    </row>
    <row r="31353">
      <c r="L31353" s="13"/>
      <c r="M31353" s="14"/>
      <c r="N31353" s="14"/>
      <c r="O31353" s="14"/>
      <c r="P31353" s="13"/>
    </row>
    <row r="31354">
      <c r="L31354" s="13"/>
      <c r="M31354" s="14"/>
      <c r="N31354" s="14"/>
      <c r="O31354" s="14"/>
      <c r="P31354" s="13"/>
    </row>
    <row r="31355">
      <c r="L31355" s="13"/>
      <c r="M31355" s="14"/>
      <c r="N31355" s="14"/>
      <c r="O31355" s="14"/>
      <c r="P31355" s="13"/>
    </row>
    <row r="31356">
      <c r="L31356" s="13"/>
      <c r="M31356" s="14"/>
      <c r="N31356" s="14"/>
      <c r="O31356" s="14"/>
      <c r="P31356" s="13"/>
    </row>
    <row r="31357">
      <c r="L31357" s="13"/>
      <c r="M31357" s="14"/>
      <c r="N31357" s="14"/>
      <c r="O31357" s="14"/>
      <c r="P31357" s="13"/>
    </row>
    <row r="31358">
      <c r="L31358" s="13"/>
      <c r="M31358" s="14"/>
      <c r="N31358" s="14"/>
      <c r="O31358" s="14"/>
      <c r="P31358" s="13"/>
    </row>
    <row r="31359">
      <c r="L31359" s="13"/>
      <c r="M31359" s="14"/>
      <c r="N31359" s="14"/>
      <c r="O31359" s="14"/>
      <c r="P31359" s="13"/>
    </row>
    <row r="31360">
      <c r="L31360" s="13"/>
      <c r="M31360" s="14"/>
      <c r="N31360" s="14"/>
      <c r="O31360" s="14"/>
      <c r="P31360" s="13"/>
    </row>
    <row r="31361">
      <c r="L31361" s="13"/>
      <c r="M31361" s="14"/>
      <c r="N31361" s="14"/>
      <c r="O31361" s="14"/>
      <c r="P31361" s="13"/>
    </row>
    <row r="31362">
      <c r="L31362" s="13"/>
      <c r="M31362" s="14"/>
      <c r="N31362" s="14"/>
      <c r="O31362" s="14"/>
      <c r="P31362" s="13"/>
    </row>
    <row r="31363">
      <c r="L31363" s="13"/>
      <c r="M31363" s="14"/>
      <c r="N31363" s="14"/>
      <c r="O31363" s="14"/>
      <c r="P31363" s="13"/>
    </row>
    <row r="31364">
      <c r="L31364" s="13"/>
      <c r="M31364" s="14"/>
      <c r="N31364" s="14"/>
      <c r="O31364" s="14"/>
      <c r="P31364" s="13"/>
    </row>
    <row r="31365">
      <c r="L31365" s="13"/>
      <c r="M31365" s="14"/>
      <c r="N31365" s="14"/>
      <c r="O31365" s="14"/>
      <c r="P31365" s="13"/>
    </row>
    <row r="31366">
      <c r="L31366" s="13"/>
      <c r="M31366" s="14"/>
      <c r="N31366" s="14"/>
      <c r="O31366" s="14"/>
      <c r="P31366" s="13"/>
    </row>
    <row r="31367">
      <c r="L31367" s="13"/>
      <c r="M31367" s="14"/>
      <c r="N31367" s="14"/>
      <c r="O31367" s="14"/>
      <c r="P31367" s="13"/>
    </row>
    <row r="31368">
      <c r="L31368" s="13"/>
      <c r="M31368" s="14"/>
      <c r="N31368" s="14"/>
      <c r="O31368" s="14"/>
      <c r="P31368" s="13"/>
    </row>
    <row r="31369">
      <c r="L31369" s="13"/>
      <c r="M31369" s="14"/>
      <c r="N31369" s="14"/>
      <c r="O31369" s="14"/>
      <c r="P31369" s="13"/>
    </row>
    <row r="31370">
      <c r="L31370" s="13"/>
      <c r="M31370" s="14"/>
      <c r="N31370" s="14"/>
      <c r="O31370" s="14"/>
      <c r="P31370" s="13"/>
    </row>
    <row r="31371">
      <c r="L31371" s="13"/>
      <c r="M31371" s="14"/>
      <c r="N31371" s="14"/>
      <c r="O31371" s="14"/>
      <c r="P31371" s="13"/>
    </row>
    <row r="31372">
      <c r="L31372" s="13"/>
      <c r="M31372" s="14"/>
      <c r="N31372" s="14"/>
      <c r="O31372" s="14"/>
      <c r="P31372" s="13"/>
    </row>
    <row r="31373">
      <c r="L31373" s="13"/>
      <c r="M31373" s="14"/>
      <c r="N31373" s="14"/>
      <c r="O31373" s="14"/>
      <c r="P31373" s="13"/>
    </row>
    <row r="31374">
      <c r="L31374" s="13"/>
      <c r="M31374" s="14"/>
      <c r="N31374" s="14"/>
      <c r="O31374" s="14"/>
      <c r="P31374" s="13"/>
    </row>
    <row r="31375">
      <c r="L31375" s="13"/>
      <c r="M31375" s="14"/>
      <c r="N31375" s="14"/>
      <c r="O31375" s="14"/>
      <c r="P31375" s="13"/>
    </row>
    <row r="31376">
      <c r="L31376" s="13"/>
      <c r="M31376" s="14"/>
      <c r="N31376" s="14"/>
      <c r="O31376" s="14"/>
      <c r="P31376" s="13"/>
    </row>
    <row r="31377">
      <c r="L31377" s="13"/>
      <c r="M31377" s="14"/>
      <c r="N31377" s="14"/>
      <c r="O31377" s="14"/>
      <c r="P31377" s="13"/>
    </row>
    <row r="31378">
      <c r="L31378" s="13"/>
      <c r="M31378" s="14"/>
      <c r="N31378" s="14"/>
      <c r="O31378" s="14"/>
      <c r="P31378" s="13"/>
    </row>
    <row r="31379">
      <c r="L31379" s="13"/>
      <c r="M31379" s="14"/>
      <c r="N31379" s="14"/>
      <c r="O31379" s="14"/>
      <c r="P31379" s="13"/>
    </row>
    <row r="31380">
      <c r="L31380" s="13"/>
      <c r="M31380" s="14"/>
      <c r="N31380" s="14"/>
      <c r="O31380" s="14"/>
      <c r="P31380" s="13"/>
    </row>
    <row r="31381">
      <c r="L31381" s="13"/>
      <c r="M31381" s="14"/>
      <c r="N31381" s="14"/>
      <c r="O31381" s="14"/>
      <c r="P31381" s="13"/>
    </row>
    <row r="31382">
      <c r="L31382" s="13"/>
      <c r="M31382" s="14"/>
      <c r="N31382" s="14"/>
      <c r="O31382" s="14"/>
      <c r="P31382" s="13"/>
    </row>
    <row r="31383">
      <c r="L31383" s="13"/>
      <c r="M31383" s="14"/>
      <c r="N31383" s="14"/>
      <c r="O31383" s="14"/>
      <c r="P31383" s="13"/>
    </row>
    <row r="31384">
      <c r="L31384" s="13"/>
      <c r="M31384" s="14"/>
      <c r="N31384" s="14"/>
      <c r="O31384" s="14"/>
      <c r="P31384" s="13"/>
    </row>
    <row r="31385">
      <c r="L31385" s="13"/>
      <c r="M31385" s="14"/>
      <c r="N31385" s="14"/>
      <c r="O31385" s="14"/>
      <c r="P31385" s="13"/>
    </row>
    <row r="31386">
      <c r="L31386" s="13"/>
      <c r="M31386" s="14"/>
      <c r="N31386" s="14"/>
      <c r="O31386" s="14"/>
      <c r="P31386" s="13"/>
    </row>
    <row r="31387">
      <c r="L31387" s="13"/>
      <c r="M31387" s="14"/>
      <c r="N31387" s="14"/>
      <c r="O31387" s="14"/>
      <c r="P31387" s="13"/>
    </row>
    <row r="31388">
      <c r="L31388" s="13"/>
      <c r="M31388" s="14"/>
      <c r="N31388" s="14"/>
      <c r="O31388" s="14"/>
      <c r="P31388" s="13"/>
    </row>
    <row r="31389">
      <c r="L31389" s="13"/>
      <c r="M31389" s="14"/>
      <c r="N31389" s="14"/>
      <c r="O31389" s="14"/>
      <c r="P31389" s="13"/>
    </row>
    <row r="31390">
      <c r="L31390" s="13"/>
      <c r="M31390" s="14"/>
      <c r="N31390" s="14"/>
      <c r="O31390" s="14"/>
      <c r="P31390" s="13"/>
    </row>
    <row r="31391">
      <c r="L31391" s="13"/>
      <c r="M31391" s="14"/>
      <c r="N31391" s="14"/>
      <c r="O31391" s="14"/>
      <c r="P31391" s="13"/>
    </row>
    <row r="31392">
      <c r="L31392" s="13"/>
      <c r="M31392" s="14"/>
      <c r="N31392" s="14"/>
      <c r="O31392" s="14"/>
      <c r="P31392" s="13"/>
    </row>
    <row r="31393">
      <c r="L31393" s="13"/>
      <c r="M31393" s="14"/>
      <c r="N31393" s="14"/>
      <c r="O31393" s="14"/>
      <c r="P31393" s="13"/>
    </row>
    <row r="31394">
      <c r="L31394" s="13"/>
      <c r="M31394" s="14"/>
      <c r="N31394" s="14"/>
      <c r="O31394" s="14"/>
      <c r="P31394" s="13"/>
    </row>
    <row r="31395">
      <c r="L31395" s="13"/>
      <c r="M31395" s="14"/>
      <c r="N31395" s="14"/>
      <c r="O31395" s="14"/>
      <c r="P31395" s="13"/>
    </row>
    <row r="31396">
      <c r="L31396" s="13"/>
      <c r="M31396" s="14"/>
      <c r="N31396" s="14"/>
      <c r="O31396" s="14"/>
      <c r="P31396" s="13"/>
    </row>
    <row r="31397">
      <c r="L31397" s="13"/>
      <c r="M31397" s="14"/>
      <c r="N31397" s="14"/>
      <c r="O31397" s="14"/>
      <c r="P31397" s="13"/>
    </row>
    <row r="31398">
      <c r="L31398" s="13"/>
      <c r="M31398" s="14"/>
      <c r="N31398" s="14"/>
      <c r="O31398" s="14"/>
      <c r="P31398" s="13"/>
    </row>
    <row r="31399">
      <c r="L31399" s="13"/>
      <c r="M31399" s="14"/>
      <c r="N31399" s="14"/>
      <c r="O31399" s="14"/>
      <c r="P31399" s="13"/>
    </row>
    <row r="31400">
      <c r="L31400" s="13"/>
      <c r="M31400" s="14"/>
      <c r="N31400" s="14"/>
      <c r="O31400" s="14"/>
      <c r="P31400" s="13"/>
    </row>
    <row r="31401">
      <c r="L31401" s="13"/>
      <c r="M31401" s="14"/>
      <c r="N31401" s="14"/>
      <c r="O31401" s="14"/>
      <c r="P31401" s="13"/>
    </row>
    <row r="31402">
      <c r="L31402" s="13"/>
      <c r="M31402" s="14"/>
      <c r="N31402" s="14"/>
      <c r="O31402" s="14"/>
      <c r="P31402" s="13"/>
    </row>
    <row r="31403">
      <c r="L31403" s="13"/>
      <c r="M31403" s="14"/>
      <c r="N31403" s="14"/>
      <c r="O31403" s="14"/>
      <c r="P31403" s="13"/>
    </row>
    <row r="31404">
      <c r="L31404" s="13"/>
      <c r="M31404" s="14"/>
      <c r="N31404" s="14"/>
      <c r="O31404" s="14"/>
      <c r="P31404" s="13"/>
    </row>
    <row r="31405">
      <c r="L31405" s="13"/>
      <c r="M31405" s="14"/>
      <c r="N31405" s="14"/>
      <c r="O31405" s="14"/>
      <c r="P31405" s="13"/>
    </row>
    <row r="31406">
      <c r="L31406" s="13"/>
      <c r="M31406" s="14"/>
      <c r="N31406" s="14"/>
      <c r="O31406" s="14"/>
      <c r="P31406" s="13"/>
    </row>
    <row r="31407">
      <c r="L31407" s="13"/>
      <c r="M31407" s="14"/>
      <c r="N31407" s="14"/>
      <c r="O31407" s="14"/>
      <c r="P31407" s="13"/>
    </row>
    <row r="31408">
      <c r="L31408" s="13"/>
      <c r="M31408" s="14"/>
      <c r="N31408" s="14"/>
      <c r="O31408" s="14"/>
      <c r="P31408" s="13"/>
    </row>
    <row r="31409">
      <c r="L31409" s="13"/>
      <c r="M31409" s="14"/>
      <c r="N31409" s="14"/>
      <c r="O31409" s="14"/>
      <c r="P31409" s="13"/>
    </row>
    <row r="31410">
      <c r="L31410" s="13"/>
      <c r="M31410" s="14"/>
      <c r="N31410" s="14"/>
      <c r="O31410" s="14"/>
      <c r="P31410" s="13"/>
    </row>
    <row r="31411">
      <c r="L31411" s="13"/>
      <c r="M31411" s="14"/>
      <c r="N31411" s="14"/>
      <c r="O31411" s="14"/>
      <c r="P31411" s="13"/>
    </row>
    <row r="31412">
      <c r="L31412" s="13"/>
      <c r="M31412" s="14"/>
      <c r="N31412" s="14"/>
      <c r="O31412" s="14"/>
      <c r="P31412" s="13"/>
    </row>
    <row r="31413">
      <c r="L31413" s="13"/>
      <c r="M31413" s="14"/>
      <c r="N31413" s="14"/>
      <c r="O31413" s="14"/>
      <c r="P31413" s="13"/>
    </row>
    <row r="31414">
      <c r="L31414" s="13"/>
      <c r="M31414" s="14"/>
      <c r="N31414" s="14"/>
      <c r="O31414" s="14"/>
      <c r="P31414" s="13"/>
    </row>
    <row r="31415">
      <c r="L31415" s="13"/>
      <c r="M31415" s="14"/>
      <c r="N31415" s="14"/>
      <c r="O31415" s="14"/>
      <c r="P31415" s="13"/>
    </row>
    <row r="31416">
      <c r="L31416" s="13"/>
      <c r="M31416" s="14"/>
      <c r="N31416" s="14"/>
      <c r="O31416" s="14"/>
      <c r="P31416" s="13"/>
    </row>
    <row r="31417">
      <c r="L31417" s="13"/>
      <c r="M31417" s="14"/>
      <c r="N31417" s="14"/>
      <c r="O31417" s="14"/>
      <c r="P31417" s="13"/>
    </row>
    <row r="31418">
      <c r="L31418" s="13"/>
      <c r="M31418" s="14"/>
      <c r="N31418" s="14"/>
      <c r="O31418" s="14"/>
      <c r="P31418" s="13"/>
    </row>
    <row r="31419">
      <c r="L31419" s="13"/>
      <c r="M31419" s="14"/>
      <c r="N31419" s="14"/>
      <c r="O31419" s="14"/>
      <c r="P31419" s="13"/>
    </row>
    <row r="31420">
      <c r="L31420" s="13"/>
      <c r="M31420" s="14"/>
      <c r="N31420" s="14"/>
      <c r="O31420" s="14"/>
      <c r="P31420" s="13"/>
    </row>
    <row r="31421">
      <c r="L31421" s="13"/>
      <c r="M31421" s="14"/>
      <c r="N31421" s="14"/>
      <c r="O31421" s="14"/>
      <c r="P31421" s="13"/>
    </row>
    <row r="31422">
      <c r="L31422" s="13"/>
      <c r="M31422" s="14"/>
      <c r="N31422" s="14"/>
      <c r="O31422" s="14"/>
      <c r="P31422" s="13"/>
    </row>
    <row r="31423">
      <c r="L31423" s="13"/>
      <c r="M31423" s="14"/>
      <c r="N31423" s="14"/>
      <c r="O31423" s="14"/>
      <c r="P31423" s="13"/>
    </row>
    <row r="31424">
      <c r="L31424" s="13"/>
      <c r="M31424" s="14"/>
      <c r="N31424" s="14"/>
      <c r="O31424" s="14"/>
      <c r="P31424" s="13"/>
    </row>
    <row r="31425">
      <c r="L31425" s="13"/>
      <c r="M31425" s="14"/>
      <c r="N31425" s="14"/>
      <c r="O31425" s="14"/>
      <c r="P31425" s="13"/>
    </row>
    <row r="31426">
      <c r="L31426" s="13"/>
      <c r="M31426" s="14"/>
      <c r="N31426" s="14"/>
      <c r="O31426" s="14"/>
      <c r="P31426" s="13"/>
    </row>
    <row r="31427">
      <c r="L31427" s="13"/>
      <c r="M31427" s="14"/>
      <c r="N31427" s="14"/>
      <c r="O31427" s="14"/>
      <c r="P31427" s="13"/>
    </row>
    <row r="31428">
      <c r="L31428" s="13"/>
      <c r="M31428" s="14"/>
      <c r="N31428" s="14"/>
      <c r="O31428" s="14"/>
      <c r="P31428" s="13"/>
    </row>
    <row r="31429">
      <c r="L31429" s="13"/>
      <c r="M31429" s="14"/>
      <c r="N31429" s="14"/>
      <c r="O31429" s="14"/>
      <c r="P31429" s="13"/>
    </row>
    <row r="31430">
      <c r="L31430" s="13"/>
      <c r="M31430" s="14"/>
      <c r="N31430" s="14"/>
      <c r="O31430" s="14"/>
      <c r="P31430" s="13"/>
    </row>
    <row r="31431">
      <c r="L31431" s="13"/>
      <c r="M31431" s="14"/>
      <c r="N31431" s="14"/>
      <c r="O31431" s="14"/>
      <c r="P31431" s="13"/>
    </row>
    <row r="31432">
      <c r="L31432" s="13"/>
      <c r="M31432" s="14"/>
      <c r="N31432" s="14"/>
      <c r="O31432" s="14"/>
      <c r="P31432" s="13"/>
    </row>
    <row r="31433">
      <c r="L31433" s="13"/>
      <c r="M31433" s="14"/>
      <c r="N31433" s="14"/>
      <c r="O31433" s="14"/>
      <c r="P31433" s="13"/>
    </row>
    <row r="31434">
      <c r="L31434" s="13"/>
      <c r="M31434" s="14"/>
      <c r="N31434" s="14"/>
      <c r="O31434" s="14"/>
      <c r="P31434" s="13"/>
    </row>
    <row r="31435">
      <c r="L31435" s="13"/>
      <c r="M31435" s="14"/>
      <c r="N31435" s="14"/>
      <c r="O31435" s="14"/>
      <c r="P31435" s="13"/>
    </row>
    <row r="31436">
      <c r="L31436" s="13"/>
      <c r="M31436" s="14"/>
      <c r="N31436" s="14"/>
      <c r="O31436" s="14"/>
      <c r="P31436" s="13"/>
    </row>
    <row r="31437">
      <c r="L31437" s="13"/>
      <c r="M31437" s="14"/>
      <c r="N31437" s="14"/>
      <c r="O31437" s="14"/>
      <c r="P31437" s="13"/>
    </row>
    <row r="31438">
      <c r="L31438" s="13"/>
      <c r="M31438" s="14"/>
      <c r="N31438" s="14"/>
      <c r="O31438" s="14"/>
      <c r="P31438" s="13"/>
    </row>
    <row r="31439">
      <c r="L31439" s="13"/>
      <c r="M31439" s="14"/>
      <c r="N31439" s="14"/>
      <c r="O31439" s="14"/>
      <c r="P31439" s="13"/>
    </row>
    <row r="31440">
      <c r="L31440" s="13"/>
      <c r="M31440" s="14"/>
      <c r="N31440" s="14"/>
      <c r="O31440" s="14"/>
      <c r="P31440" s="13"/>
    </row>
    <row r="31441">
      <c r="L31441" s="13"/>
      <c r="M31441" s="14"/>
      <c r="N31441" s="14"/>
      <c r="O31441" s="14"/>
      <c r="P31441" s="13"/>
    </row>
    <row r="31442">
      <c r="L31442" s="13"/>
      <c r="M31442" s="14"/>
      <c r="N31442" s="14"/>
      <c r="O31442" s="14"/>
      <c r="P31442" s="13"/>
    </row>
    <row r="31443">
      <c r="L31443" s="13"/>
      <c r="M31443" s="14"/>
      <c r="N31443" s="14"/>
      <c r="O31443" s="14"/>
      <c r="P31443" s="13"/>
    </row>
    <row r="31444">
      <c r="L31444" s="13"/>
      <c r="M31444" s="14"/>
      <c r="N31444" s="14"/>
      <c r="O31444" s="14"/>
      <c r="P31444" s="13"/>
    </row>
    <row r="31445">
      <c r="L31445" s="13"/>
      <c r="M31445" s="14"/>
      <c r="N31445" s="14"/>
      <c r="O31445" s="14"/>
      <c r="P31445" s="13"/>
    </row>
    <row r="31446">
      <c r="L31446" s="13"/>
      <c r="M31446" s="14"/>
      <c r="N31446" s="14"/>
      <c r="O31446" s="14"/>
      <c r="P31446" s="13"/>
    </row>
    <row r="31447">
      <c r="L31447" s="13"/>
      <c r="M31447" s="14"/>
      <c r="N31447" s="14"/>
      <c r="O31447" s="14"/>
      <c r="P31447" s="13"/>
    </row>
    <row r="31448">
      <c r="L31448" s="13"/>
      <c r="M31448" s="14"/>
      <c r="N31448" s="14"/>
      <c r="O31448" s="14"/>
      <c r="P31448" s="13"/>
    </row>
    <row r="31449">
      <c r="L31449" s="13"/>
      <c r="M31449" s="14"/>
      <c r="N31449" s="14"/>
      <c r="O31449" s="14"/>
      <c r="P31449" s="13"/>
    </row>
    <row r="31450">
      <c r="L31450" s="13"/>
      <c r="M31450" s="14"/>
      <c r="N31450" s="14"/>
      <c r="O31450" s="14"/>
      <c r="P31450" s="13"/>
    </row>
    <row r="31451">
      <c r="L31451" s="13"/>
      <c r="M31451" s="14"/>
      <c r="N31451" s="14"/>
      <c r="O31451" s="14"/>
      <c r="P31451" s="13"/>
    </row>
    <row r="31452">
      <c r="L31452" s="13"/>
      <c r="M31452" s="14"/>
      <c r="N31452" s="14"/>
      <c r="O31452" s="14"/>
      <c r="P31452" s="13"/>
    </row>
    <row r="31453">
      <c r="L31453" s="13"/>
      <c r="M31453" s="14"/>
      <c r="N31453" s="14"/>
      <c r="O31453" s="14"/>
      <c r="P31453" s="13"/>
    </row>
    <row r="31454">
      <c r="L31454" s="13"/>
      <c r="M31454" s="14"/>
      <c r="N31454" s="14"/>
      <c r="O31454" s="14"/>
      <c r="P31454" s="13"/>
    </row>
    <row r="31455">
      <c r="L31455" s="13"/>
      <c r="M31455" s="14"/>
      <c r="N31455" s="14"/>
      <c r="O31455" s="14"/>
      <c r="P31455" s="13"/>
    </row>
    <row r="31456">
      <c r="L31456" s="13"/>
      <c r="M31456" s="14"/>
      <c r="N31456" s="14"/>
      <c r="O31456" s="14"/>
      <c r="P31456" s="13"/>
    </row>
    <row r="31457">
      <c r="L31457" s="13"/>
      <c r="M31457" s="14"/>
      <c r="N31457" s="14"/>
      <c r="O31457" s="14"/>
      <c r="P31457" s="13"/>
    </row>
    <row r="31458">
      <c r="L31458" s="13"/>
      <c r="M31458" s="14"/>
      <c r="N31458" s="14"/>
      <c r="O31458" s="14"/>
      <c r="P31458" s="13"/>
    </row>
    <row r="31459">
      <c r="L31459" s="13"/>
      <c r="M31459" s="14"/>
      <c r="N31459" s="14"/>
      <c r="O31459" s="14"/>
      <c r="P31459" s="13"/>
    </row>
    <row r="31460">
      <c r="L31460" s="13"/>
      <c r="M31460" s="14"/>
      <c r="N31460" s="14"/>
      <c r="O31460" s="14"/>
      <c r="P31460" s="13"/>
    </row>
    <row r="31461">
      <c r="L31461" s="13"/>
      <c r="M31461" s="14"/>
      <c r="N31461" s="14"/>
      <c r="O31461" s="14"/>
      <c r="P31461" s="13"/>
    </row>
    <row r="31462">
      <c r="L31462" s="13"/>
      <c r="M31462" s="14"/>
      <c r="N31462" s="14"/>
      <c r="O31462" s="14"/>
      <c r="P31462" s="13"/>
    </row>
    <row r="31463">
      <c r="L31463" s="13"/>
      <c r="M31463" s="14"/>
      <c r="N31463" s="14"/>
      <c r="O31463" s="14"/>
      <c r="P31463" s="13"/>
    </row>
    <row r="31464">
      <c r="L31464" s="13"/>
      <c r="M31464" s="14"/>
      <c r="N31464" s="14"/>
      <c r="O31464" s="14"/>
      <c r="P31464" s="13"/>
    </row>
    <row r="31465">
      <c r="L31465" s="13"/>
      <c r="M31465" s="14"/>
      <c r="N31465" s="14"/>
      <c r="O31465" s="14"/>
      <c r="P31465" s="13"/>
    </row>
    <row r="31466">
      <c r="L31466" s="13"/>
      <c r="M31466" s="14"/>
      <c r="N31466" s="14"/>
      <c r="O31466" s="14"/>
      <c r="P31466" s="13"/>
    </row>
    <row r="31467">
      <c r="L31467" s="13"/>
      <c r="M31467" s="14"/>
      <c r="N31467" s="14"/>
      <c r="O31467" s="14"/>
      <c r="P31467" s="13"/>
    </row>
    <row r="31468">
      <c r="L31468" s="13"/>
      <c r="M31468" s="14"/>
      <c r="N31468" s="14"/>
      <c r="O31468" s="14"/>
      <c r="P31468" s="13"/>
    </row>
    <row r="31469">
      <c r="L31469" s="13"/>
      <c r="M31469" s="14"/>
      <c r="N31469" s="14"/>
      <c r="O31469" s="14"/>
      <c r="P31469" s="13"/>
    </row>
    <row r="31470">
      <c r="L31470" s="13"/>
      <c r="M31470" s="14"/>
      <c r="N31470" s="14"/>
      <c r="O31470" s="14"/>
      <c r="P31470" s="13"/>
    </row>
    <row r="31471">
      <c r="L31471" s="13"/>
      <c r="M31471" s="14"/>
      <c r="N31471" s="14"/>
      <c r="O31471" s="14"/>
      <c r="P31471" s="13"/>
    </row>
    <row r="31472">
      <c r="L31472" s="13"/>
      <c r="M31472" s="14"/>
      <c r="N31472" s="14"/>
      <c r="O31472" s="14"/>
      <c r="P31472" s="13"/>
    </row>
    <row r="31473">
      <c r="L31473" s="13"/>
      <c r="M31473" s="14"/>
      <c r="N31473" s="14"/>
      <c r="O31473" s="14"/>
      <c r="P31473" s="13"/>
    </row>
    <row r="31474">
      <c r="L31474" s="13"/>
      <c r="M31474" s="14"/>
      <c r="N31474" s="14"/>
      <c r="O31474" s="14"/>
      <c r="P31474" s="13"/>
    </row>
    <row r="31475">
      <c r="L31475" s="13"/>
      <c r="M31475" s="14"/>
      <c r="N31475" s="14"/>
      <c r="O31475" s="14"/>
      <c r="P31475" s="13"/>
    </row>
    <row r="31476">
      <c r="L31476" s="13"/>
      <c r="M31476" s="14"/>
      <c r="N31476" s="14"/>
      <c r="O31476" s="14"/>
      <c r="P31476" s="13"/>
    </row>
    <row r="31477">
      <c r="L31477" s="13"/>
      <c r="M31477" s="14"/>
      <c r="N31477" s="14"/>
      <c r="O31477" s="14"/>
      <c r="P31477" s="13"/>
    </row>
    <row r="31478">
      <c r="L31478" s="13"/>
      <c r="M31478" s="14"/>
      <c r="N31478" s="14"/>
      <c r="O31478" s="14"/>
      <c r="P31478" s="13"/>
    </row>
    <row r="31479">
      <c r="L31479" s="13"/>
      <c r="M31479" s="14"/>
      <c r="N31479" s="14"/>
      <c r="O31479" s="14"/>
      <c r="P31479" s="13"/>
    </row>
    <row r="31480">
      <c r="L31480" s="13"/>
      <c r="M31480" s="14"/>
      <c r="N31480" s="14"/>
      <c r="O31480" s="14"/>
      <c r="P31480" s="13"/>
    </row>
    <row r="31481">
      <c r="L31481" s="13"/>
      <c r="M31481" s="14"/>
      <c r="N31481" s="14"/>
      <c r="O31481" s="14"/>
      <c r="P31481" s="13"/>
    </row>
    <row r="31482">
      <c r="L31482" s="13"/>
      <c r="M31482" s="14"/>
      <c r="N31482" s="14"/>
      <c r="O31482" s="14"/>
      <c r="P31482" s="13"/>
    </row>
    <row r="31483">
      <c r="L31483" s="13"/>
      <c r="M31483" s="14"/>
      <c r="N31483" s="14"/>
      <c r="O31483" s="14"/>
      <c r="P31483" s="13"/>
    </row>
    <row r="31484">
      <c r="L31484" s="13"/>
      <c r="M31484" s="14"/>
      <c r="N31484" s="14"/>
      <c r="O31484" s="14"/>
      <c r="P31484" s="13"/>
    </row>
    <row r="31485">
      <c r="L31485" s="13"/>
      <c r="M31485" s="14"/>
      <c r="N31485" s="14"/>
      <c r="O31485" s="14"/>
      <c r="P31485" s="13"/>
    </row>
    <row r="31486">
      <c r="L31486" s="13"/>
      <c r="M31486" s="14"/>
      <c r="N31486" s="14"/>
      <c r="O31486" s="14"/>
      <c r="P31486" s="13"/>
    </row>
    <row r="31487">
      <c r="L31487" s="13"/>
      <c r="M31487" s="14"/>
      <c r="N31487" s="14"/>
      <c r="O31487" s="14"/>
      <c r="P31487" s="13"/>
    </row>
    <row r="31488">
      <c r="L31488" s="13"/>
      <c r="M31488" s="14"/>
      <c r="N31488" s="14"/>
      <c r="O31488" s="14"/>
      <c r="P31488" s="13"/>
    </row>
    <row r="31489">
      <c r="L31489" s="13"/>
      <c r="M31489" s="14"/>
      <c r="N31489" s="14"/>
      <c r="O31489" s="14"/>
      <c r="P31489" s="13"/>
    </row>
    <row r="31490">
      <c r="L31490" s="13"/>
      <c r="M31490" s="14"/>
      <c r="N31490" s="14"/>
      <c r="O31490" s="14"/>
      <c r="P31490" s="13"/>
    </row>
    <row r="31491">
      <c r="L31491" s="13"/>
      <c r="M31491" s="14"/>
      <c r="N31491" s="14"/>
      <c r="O31491" s="14"/>
      <c r="P31491" s="13"/>
    </row>
    <row r="31492">
      <c r="L31492" s="13"/>
      <c r="M31492" s="14"/>
      <c r="N31492" s="14"/>
      <c r="O31492" s="14"/>
      <c r="P31492" s="13"/>
    </row>
    <row r="31493">
      <c r="L31493" s="13"/>
      <c r="M31493" s="14"/>
      <c r="N31493" s="14"/>
      <c r="O31493" s="14"/>
      <c r="P31493" s="13"/>
    </row>
    <row r="31494">
      <c r="L31494" s="13"/>
      <c r="M31494" s="14"/>
      <c r="N31494" s="14"/>
      <c r="O31494" s="14"/>
      <c r="P31494" s="13"/>
    </row>
    <row r="31495">
      <c r="L31495" s="13"/>
      <c r="M31495" s="14"/>
      <c r="N31495" s="14"/>
      <c r="O31495" s="14"/>
      <c r="P31495" s="13"/>
    </row>
    <row r="31496">
      <c r="L31496" s="13"/>
      <c r="M31496" s="14"/>
      <c r="N31496" s="14"/>
      <c r="O31496" s="14"/>
      <c r="P31496" s="13"/>
    </row>
    <row r="31497">
      <c r="L31497" s="13"/>
      <c r="M31497" s="14"/>
      <c r="N31497" s="14"/>
      <c r="O31497" s="14"/>
      <c r="P31497" s="13"/>
    </row>
    <row r="31498">
      <c r="L31498" s="13"/>
      <c r="M31498" s="14"/>
      <c r="N31498" s="14"/>
      <c r="O31498" s="14"/>
      <c r="P31498" s="13"/>
    </row>
    <row r="31499">
      <c r="L31499" s="13"/>
      <c r="M31499" s="14"/>
      <c r="N31499" s="14"/>
      <c r="O31499" s="14"/>
      <c r="P31499" s="13"/>
    </row>
    <row r="31500">
      <c r="L31500" s="13"/>
      <c r="M31500" s="14"/>
      <c r="N31500" s="14"/>
      <c r="O31500" s="14"/>
      <c r="P31500" s="13"/>
    </row>
    <row r="31501">
      <c r="L31501" s="13"/>
      <c r="M31501" s="14"/>
      <c r="N31501" s="14"/>
      <c r="O31501" s="14"/>
      <c r="P31501" s="13"/>
    </row>
    <row r="31502">
      <c r="L31502" s="13"/>
      <c r="M31502" s="14"/>
      <c r="N31502" s="14"/>
      <c r="O31502" s="14"/>
      <c r="P31502" s="13"/>
    </row>
    <row r="31503">
      <c r="L31503" s="13"/>
      <c r="M31503" s="14"/>
      <c r="N31503" s="14"/>
      <c r="O31503" s="14"/>
      <c r="P31503" s="13"/>
    </row>
    <row r="31504">
      <c r="L31504" s="13"/>
      <c r="M31504" s="14"/>
      <c r="N31504" s="14"/>
      <c r="O31504" s="14"/>
      <c r="P31504" s="13"/>
    </row>
    <row r="31505">
      <c r="L31505" s="13"/>
      <c r="M31505" s="14"/>
      <c r="N31505" s="14"/>
      <c r="O31505" s="14"/>
      <c r="P31505" s="13"/>
    </row>
    <row r="31506">
      <c r="L31506" s="13"/>
      <c r="M31506" s="14"/>
      <c r="N31506" s="14"/>
      <c r="O31506" s="14"/>
      <c r="P31506" s="13"/>
    </row>
    <row r="31507">
      <c r="L31507" s="13"/>
      <c r="M31507" s="14"/>
      <c r="N31507" s="14"/>
      <c r="O31507" s="14"/>
      <c r="P31507" s="13"/>
    </row>
    <row r="31508">
      <c r="L31508" s="13"/>
      <c r="M31508" s="14"/>
      <c r="N31508" s="14"/>
      <c r="O31508" s="14"/>
      <c r="P31508" s="13"/>
    </row>
    <row r="31509">
      <c r="L31509" s="13"/>
      <c r="M31509" s="14"/>
      <c r="N31509" s="14"/>
      <c r="O31509" s="14"/>
      <c r="P31509" s="13"/>
    </row>
    <row r="31510">
      <c r="L31510" s="13"/>
      <c r="M31510" s="14"/>
      <c r="N31510" s="14"/>
      <c r="O31510" s="14"/>
      <c r="P31510" s="13"/>
    </row>
    <row r="31511">
      <c r="L31511" s="13"/>
      <c r="M31511" s="14"/>
      <c r="N31511" s="14"/>
      <c r="O31511" s="14"/>
      <c r="P31511" s="13"/>
    </row>
    <row r="31512">
      <c r="L31512" s="13"/>
      <c r="M31512" s="14"/>
      <c r="N31512" s="14"/>
      <c r="O31512" s="14"/>
      <c r="P31512" s="13"/>
    </row>
    <row r="31513">
      <c r="L31513" s="13"/>
      <c r="M31513" s="14"/>
      <c r="N31513" s="14"/>
      <c r="O31513" s="14"/>
      <c r="P31513" s="13"/>
    </row>
    <row r="31514">
      <c r="L31514" s="13"/>
      <c r="M31514" s="14"/>
      <c r="N31514" s="14"/>
      <c r="O31514" s="14"/>
      <c r="P31514" s="13"/>
    </row>
    <row r="31515">
      <c r="L31515" s="13"/>
      <c r="M31515" s="14"/>
      <c r="N31515" s="14"/>
      <c r="O31515" s="14"/>
      <c r="P31515" s="13"/>
    </row>
    <row r="31516">
      <c r="L31516" s="13"/>
      <c r="M31516" s="14"/>
      <c r="N31516" s="14"/>
      <c r="O31516" s="14"/>
      <c r="P31516" s="13"/>
    </row>
    <row r="31517">
      <c r="L31517" s="13"/>
      <c r="M31517" s="14"/>
      <c r="N31517" s="14"/>
      <c r="O31517" s="14"/>
      <c r="P31517" s="13"/>
    </row>
    <row r="31518">
      <c r="L31518" s="13"/>
      <c r="M31518" s="14"/>
      <c r="N31518" s="14"/>
      <c r="O31518" s="14"/>
      <c r="P31518" s="13"/>
    </row>
    <row r="31519">
      <c r="L31519" s="13"/>
      <c r="M31519" s="14"/>
      <c r="N31519" s="14"/>
      <c r="O31519" s="14"/>
      <c r="P31519" s="13"/>
    </row>
    <row r="31520">
      <c r="L31520" s="13"/>
      <c r="M31520" s="14"/>
      <c r="N31520" s="14"/>
      <c r="O31520" s="14"/>
      <c r="P31520" s="13"/>
    </row>
    <row r="31521">
      <c r="L31521" s="13"/>
      <c r="M31521" s="14"/>
      <c r="N31521" s="14"/>
      <c r="O31521" s="14"/>
      <c r="P31521" s="13"/>
    </row>
    <row r="31522">
      <c r="L31522" s="13"/>
      <c r="M31522" s="14"/>
      <c r="N31522" s="14"/>
      <c r="O31522" s="14"/>
      <c r="P31522" s="13"/>
    </row>
    <row r="31523">
      <c r="L31523" s="13"/>
      <c r="M31523" s="14"/>
      <c r="N31523" s="14"/>
      <c r="O31523" s="14"/>
      <c r="P31523" s="13"/>
    </row>
    <row r="31524">
      <c r="L31524" s="13"/>
      <c r="M31524" s="14"/>
      <c r="N31524" s="14"/>
      <c r="O31524" s="14"/>
      <c r="P31524" s="13"/>
    </row>
    <row r="31525">
      <c r="L31525" s="13"/>
      <c r="M31525" s="14"/>
      <c r="N31525" s="14"/>
      <c r="O31525" s="14"/>
      <c r="P31525" s="13"/>
    </row>
    <row r="31526">
      <c r="L31526" s="13"/>
      <c r="M31526" s="14"/>
      <c r="N31526" s="14"/>
      <c r="O31526" s="14"/>
      <c r="P31526" s="13"/>
    </row>
    <row r="31527">
      <c r="L31527" s="13"/>
      <c r="M31527" s="14"/>
      <c r="N31527" s="14"/>
      <c r="O31527" s="14"/>
      <c r="P31527" s="13"/>
    </row>
    <row r="31528">
      <c r="L31528" s="13"/>
      <c r="M31528" s="14"/>
      <c r="N31528" s="14"/>
      <c r="O31528" s="14"/>
      <c r="P31528" s="13"/>
    </row>
    <row r="31529">
      <c r="L31529" s="13"/>
      <c r="M31529" s="14"/>
      <c r="N31529" s="14"/>
      <c r="O31529" s="14"/>
      <c r="P31529" s="13"/>
    </row>
    <row r="31530">
      <c r="L31530" s="13"/>
      <c r="M31530" s="14"/>
      <c r="N31530" s="14"/>
      <c r="O31530" s="14"/>
      <c r="P31530" s="13"/>
    </row>
    <row r="31531">
      <c r="L31531" s="13"/>
      <c r="M31531" s="14"/>
      <c r="N31531" s="14"/>
      <c r="O31531" s="14"/>
      <c r="P31531" s="13"/>
    </row>
    <row r="31532">
      <c r="L31532" s="13"/>
      <c r="M31532" s="14"/>
      <c r="N31532" s="14"/>
      <c r="O31532" s="14"/>
      <c r="P31532" s="13"/>
    </row>
    <row r="31533">
      <c r="L31533" s="13"/>
      <c r="M31533" s="14"/>
      <c r="N31533" s="14"/>
      <c r="O31533" s="14"/>
      <c r="P31533" s="13"/>
    </row>
    <row r="31534">
      <c r="L31534" s="13"/>
      <c r="M31534" s="14"/>
      <c r="N31534" s="14"/>
      <c r="O31534" s="14"/>
      <c r="P31534" s="13"/>
    </row>
    <row r="31535">
      <c r="L31535" s="13"/>
      <c r="M31535" s="14"/>
      <c r="N31535" s="14"/>
      <c r="O31535" s="14"/>
      <c r="P31535" s="13"/>
    </row>
    <row r="31536">
      <c r="L31536" s="13"/>
      <c r="M31536" s="14"/>
      <c r="N31536" s="14"/>
      <c r="O31536" s="14"/>
      <c r="P31536" s="13"/>
    </row>
    <row r="31537">
      <c r="L31537" s="13"/>
      <c r="M31537" s="14"/>
      <c r="N31537" s="14"/>
      <c r="O31537" s="14"/>
      <c r="P31537" s="13"/>
    </row>
    <row r="31538">
      <c r="L31538" s="13"/>
      <c r="M31538" s="14"/>
      <c r="N31538" s="14"/>
      <c r="O31538" s="14"/>
      <c r="P31538" s="13"/>
    </row>
    <row r="31539">
      <c r="L31539" s="13"/>
      <c r="M31539" s="14"/>
      <c r="N31539" s="14"/>
      <c r="O31539" s="14"/>
      <c r="P31539" s="13"/>
    </row>
    <row r="31540">
      <c r="L31540" s="13"/>
      <c r="M31540" s="14"/>
      <c r="N31540" s="14"/>
      <c r="O31540" s="14"/>
      <c r="P31540" s="13"/>
    </row>
    <row r="31541">
      <c r="L31541" s="13"/>
      <c r="M31541" s="14"/>
      <c r="N31541" s="14"/>
      <c r="O31541" s="14"/>
      <c r="P31541" s="13"/>
    </row>
    <row r="31542">
      <c r="L31542" s="13"/>
      <c r="M31542" s="14"/>
      <c r="N31542" s="14"/>
      <c r="O31542" s="14"/>
      <c r="P31542" s="13"/>
    </row>
    <row r="31543">
      <c r="L31543" s="13"/>
      <c r="M31543" s="14"/>
      <c r="N31543" s="14"/>
      <c r="O31543" s="14"/>
      <c r="P31543" s="13"/>
    </row>
    <row r="31544">
      <c r="L31544" s="13"/>
      <c r="M31544" s="14"/>
      <c r="N31544" s="14"/>
      <c r="O31544" s="14"/>
      <c r="P31544" s="13"/>
    </row>
    <row r="31545">
      <c r="L31545" s="13"/>
      <c r="M31545" s="14"/>
      <c r="N31545" s="14"/>
      <c r="O31545" s="14"/>
      <c r="P31545" s="13"/>
    </row>
    <row r="31546">
      <c r="L31546" s="13"/>
      <c r="M31546" s="14"/>
      <c r="N31546" s="14"/>
      <c r="O31546" s="14"/>
      <c r="P31546" s="13"/>
    </row>
    <row r="31547">
      <c r="L31547" s="13"/>
      <c r="M31547" s="14"/>
      <c r="N31547" s="14"/>
      <c r="O31547" s="14"/>
      <c r="P31547" s="13"/>
    </row>
    <row r="31548">
      <c r="L31548" s="13"/>
      <c r="M31548" s="14"/>
      <c r="N31548" s="14"/>
      <c r="O31548" s="14"/>
      <c r="P31548" s="13"/>
    </row>
    <row r="31549">
      <c r="L31549" s="13"/>
      <c r="M31549" s="14"/>
      <c r="N31549" s="14"/>
      <c r="O31549" s="14"/>
      <c r="P31549" s="13"/>
    </row>
    <row r="31550">
      <c r="L31550" s="13"/>
      <c r="M31550" s="14"/>
      <c r="N31550" s="14"/>
      <c r="O31550" s="14"/>
      <c r="P31550" s="13"/>
    </row>
    <row r="31551">
      <c r="L31551" s="13"/>
      <c r="M31551" s="14"/>
      <c r="N31551" s="14"/>
      <c r="O31551" s="14"/>
      <c r="P31551" s="13"/>
    </row>
    <row r="31552">
      <c r="L31552" s="13"/>
      <c r="M31552" s="14"/>
      <c r="N31552" s="14"/>
      <c r="O31552" s="14"/>
      <c r="P31552" s="13"/>
    </row>
    <row r="31553">
      <c r="L31553" s="13"/>
      <c r="M31553" s="14"/>
      <c r="N31553" s="14"/>
      <c r="O31553" s="14"/>
      <c r="P31553" s="13"/>
    </row>
    <row r="31554">
      <c r="L31554" s="13"/>
      <c r="M31554" s="14"/>
      <c r="N31554" s="14"/>
      <c r="O31554" s="14"/>
      <c r="P31554" s="13"/>
    </row>
    <row r="31555">
      <c r="L31555" s="13"/>
      <c r="M31555" s="14"/>
      <c r="N31555" s="14"/>
      <c r="O31555" s="14"/>
      <c r="P31555" s="13"/>
    </row>
    <row r="31556">
      <c r="L31556" s="13"/>
      <c r="M31556" s="14"/>
      <c r="N31556" s="14"/>
      <c r="O31556" s="14"/>
      <c r="P31556" s="13"/>
    </row>
    <row r="31557">
      <c r="L31557" s="13"/>
      <c r="M31557" s="14"/>
      <c r="N31557" s="14"/>
      <c r="O31557" s="14"/>
      <c r="P31557" s="13"/>
    </row>
    <row r="31558">
      <c r="L31558" s="13"/>
      <c r="M31558" s="14"/>
      <c r="N31558" s="14"/>
      <c r="O31558" s="14"/>
      <c r="P31558" s="13"/>
    </row>
    <row r="31559">
      <c r="L31559" s="13"/>
      <c r="M31559" s="14"/>
      <c r="N31559" s="14"/>
      <c r="O31559" s="14"/>
      <c r="P31559" s="13"/>
    </row>
    <row r="31560">
      <c r="L31560" s="13"/>
      <c r="M31560" s="14"/>
      <c r="N31560" s="14"/>
      <c r="O31560" s="14"/>
      <c r="P31560" s="13"/>
    </row>
    <row r="31561">
      <c r="L31561" s="13"/>
      <c r="M31561" s="14"/>
      <c r="N31561" s="14"/>
      <c r="O31561" s="14"/>
      <c r="P31561" s="13"/>
    </row>
    <row r="31562">
      <c r="L31562" s="13"/>
      <c r="M31562" s="14"/>
      <c r="N31562" s="14"/>
      <c r="O31562" s="14"/>
      <c r="P31562" s="13"/>
    </row>
    <row r="31563">
      <c r="L31563" s="13"/>
      <c r="M31563" s="14"/>
      <c r="N31563" s="14"/>
      <c r="O31563" s="14"/>
      <c r="P31563" s="13"/>
    </row>
    <row r="31564">
      <c r="L31564" s="13"/>
      <c r="M31564" s="14"/>
      <c r="N31564" s="14"/>
      <c r="O31564" s="14"/>
      <c r="P31564" s="13"/>
    </row>
    <row r="31565">
      <c r="L31565" s="13"/>
      <c r="M31565" s="14"/>
      <c r="N31565" s="14"/>
      <c r="O31565" s="14"/>
      <c r="P31565" s="13"/>
    </row>
    <row r="31566">
      <c r="L31566" s="13"/>
      <c r="M31566" s="14"/>
      <c r="N31566" s="14"/>
      <c r="O31566" s="14"/>
      <c r="P31566" s="13"/>
    </row>
    <row r="31567">
      <c r="L31567" s="13"/>
      <c r="M31567" s="14"/>
      <c r="N31567" s="14"/>
      <c r="O31567" s="14"/>
      <c r="P31567" s="13"/>
    </row>
    <row r="31568">
      <c r="L31568" s="13"/>
      <c r="M31568" s="14"/>
      <c r="N31568" s="14"/>
      <c r="O31568" s="14"/>
      <c r="P31568" s="13"/>
    </row>
    <row r="31569">
      <c r="L31569" s="13"/>
      <c r="M31569" s="14"/>
      <c r="N31569" s="14"/>
      <c r="O31569" s="14"/>
      <c r="P31569" s="13"/>
    </row>
    <row r="31570">
      <c r="L31570" s="13"/>
      <c r="M31570" s="14"/>
      <c r="N31570" s="14"/>
      <c r="O31570" s="14"/>
      <c r="P31570" s="13"/>
    </row>
    <row r="31571">
      <c r="L31571" s="13"/>
      <c r="M31571" s="14"/>
      <c r="N31571" s="14"/>
      <c r="O31571" s="14"/>
      <c r="P31571" s="13"/>
    </row>
    <row r="31572">
      <c r="L31572" s="13"/>
      <c r="M31572" s="14"/>
      <c r="N31572" s="14"/>
      <c r="O31572" s="14"/>
      <c r="P31572" s="13"/>
    </row>
    <row r="31573">
      <c r="L31573" s="13"/>
      <c r="M31573" s="14"/>
      <c r="N31573" s="14"/>
      <c r="O31573" s="14"/>
      <c r="P31573" s="13"/>
    </row>
    <row r="31574">
      <c r="L31574" s="13"/>
      <c r="M31574" s="14"/>
      <c r="N31574" s="14"/>
      <c r="O31574" s="14"/>
      <c r="P31574" s="13"/>
    </row>
    <row r="31575">
      <c r="L31575" s="13"/>
      <c r="M31575" s="14"/>
      <c r="N31575" s="14"/>
      <c r="O31575" s="14"/>
      <c r="P31575" s="13"/>
    </row>
    <row r="31576">
      <c r="L31576" s="13"/>
      <c r="M31576" s="14"/>
      <c r="N31576" s="14"/>
      <c r="O31576" s="14"/>
      <c r="P31576" s="13"/>
    </row>
    <row r="31577">
      <c r="L31577" s="13"/>
      <c r="M31577" s="14"/>
      <c r="N31577" s="14"/>
      <c r="O31577" s="14"/>
      <c r="P31577" s="13"/>
    </row>
    <row r="31578">
      <c r="L31578" s="13"/>
      <c r="M31578" s="14"/>
      <c r="N31578" s="14"/>
      <c r="O31578" s="14"/>
      <c r="P31578" s="13"/>
    </row>
    <row r="31579">
      <c r="L31579" s="13"/>
      <c r="M31579" s="14"/>
      <c r="N31579" s="14"/>
      <c r="O31579" s="14"/>
      <c r="P31579" s="13"/>
    </row>
    <row r="31580">
      <c r="L31580" s="13"/>
      <c r="M31580" s="14"/>
      <c r="N31580" s="14"/>
      <c r="O31580" s="14"/>
      <c r="P31580" s="13"/>
    </row>
    <row r="31581">
      <c r="L31581" s="13"/>
      <c r="M31581" s="14"/>
      <c r="N31581" s="14"/>
      <c r="O31581" s="14"/>
      <c r="P31581" s="13"/>
    </row>
    <row r="31582">
      <c r="L31582" s="13"/>
      <c r="M31582" s="14"/>
      <c r="N31582" s="14"/>
      <c r="O31582" s="14"/>
      <c r="P31582" s="13"/>
    </row>
    <row r="31583">
      <c r="L31583" s="13"/>
      <c r="M31583" s="14"/>
      <c r="N31583" s="14"/>
      <c r="O31583" s="14"/>
      <c r="P31583" s="13"/>
    </row>
    <row r="31584">
      <c r="L31584" s="13"/>
      <c r="M31584" s="14"/>
      <c r="N31584" s="14"/>
      <c r="O31584" s="14"/>
      <c r="P31584" s="13"/>
    </row>
    <row r="31585">
      <c r="L31585" s="13"/>
      <c r="M31585" s="14"/>
      <c r="N31585" s="14"/>
      <c r="O31585" s="14"/>
      <c r="P31585" s="13"/>
    </row>
    <row r="31586">
      <c r="L31586" s="13"/>
      <c r="M31586" s="14"/>
      <c r="N31586" s="14"/>
      <c r="O31586" s="14"/>
      <c r="P31586" s="13"/>
    </row>
    <row r="31587">
      <c r="L31587" s="13"/>
      <c r="M31587" s="14"/>
      <c r="N31587" s="14"/>
      <c r="O31587" s="14"/>
      <c r="P31587" s="13"/>
    </row>
    <row r="31588">
      <c r="L31588" s="13"/>
      <c r="M31588" s="14"/>
      <c r="N31588" s="14"/>
      <c r="O31588" s="14"/>
      <c r="P31588" s="13"/>
    </row>
    <row r="31589">
      <c r="L31589" s="13"/>
      <c r="M31589" s="14"/>
      <c r="N31589" s="14"/>
      <c r="O31589" s="14"/>
      <c r="P31589" s="13"/>
    </row>
    <row r="31590">
      <c r="L31590" s="13"/>
      <c r="M31590" s="14"/>
      <c r="N31590" s="14"/>
      <c r="O31590" s="14"/>
      <c r="P31590" s="13"/>
    </row>
    <row r="31591">
      <c r="L31591" s="13"/>
      <c r="M31591" s="14"/>
      <c r="N31591" s="14"/>
      <c r="O31591" s="14"/>
      <c r="P31591" s="13"/>
    </row>
    <row r="31592">
      <c r="L31592" s="13"/>
      <c r="M31592" s="14"/>
      <c r="N31592" s="14"/>
      <c r="O31592" s="14"/>
      <c r="P31592" s="13"/>
    </row>
    <row r="31593">
      <c r="L31593" s="13"/>
      <c r="M31593" s="14"/>
      <c r="N31593" s="14"/>
      <c r="O31593" s="14"/>
      <c r="P31593" s="13"/>
    </row>
    <row r="31594">
      <c r="L31594" s="13"/>
      <c r="M31594" s="14"/>
      <c r="N31594" s="14"/>
      <c r="O31594" s="14"/>
      <c r="P31594" s="13"/>
    </row>
    <row r="31595">
      <c r="L31595" s="13"/>
      <c r="M31595" s="14"/>
      <c r="N31595" s="14"/>
      <c r="O31595" s="14"/>
      <c r="P31595" s="13"/>
    </row>
    <row r="31596">
      <c r="L31596" s="13"/>
      <c r="M31596" s="14"/>
      <c r="N31596" s="14"/>
      <c r="O31596" s="14"/>
      <c r="P31596" s="13"/>
    </row>
    <row r="31597">
      <c r="L31597" s="13"/>
      <c r="M31597" s="14"/>
      <c r="N31597" s="14"/>
      <c r="O31597" s="14"/>
      <c r="P31597" s="13"/>
    </row>
    <row r="31598">
      <c r="L31598" s="13"/>
      <c r="M31598" s="14"/>
      <c r="N31598" s="14"/>
      <c r="O31598" s="14"/>
      <c r="P31598" s="13"/>
    </row>
    <row r="31599">
      <c r="L31599" s="13"/>
      <c r="M31599" s="14"/>
      <c r="N31599" s="14"/>
      <c r="O31599" s="14"/>
      <c r="P31599" s="13"/>
    </row>
    <row r="31600">
      <c r="L31600" s="13"/>
      <c r="M31600" s="14"/>
      <c r="N31600" s="14"/>
      <c r="O31600" s="14"/>
      <c r="P31600" s="13"/>
    </row>
    <row r="31601">
      <c r="L31601" s="13"/>
      <c r="M31601" s="14"/>
      <c r="N31601" s="14"/>
      <c r="O31601" s="14"/>
      <c r="P31601" s="13"/>
    </row>
    <row r="31602">
      <c r="L31602" s="13"/>
      <c r="M31602" s="14"/>
      <c r="N31602" s="14"/>
      <c r="O31602" s="14"/>
      <c r="P31602" s="13"/>
    </row>
    <row r="31603">
      <c r="L31603" s="13"/>
      <c r="M31603" s="14"/>
      <c r="N31603" s="14"/>
      <c r="O31603" s="14"/>
      <c r="P31603" s="13"/>
    </row>
    <row r="31604">
      <c r="L31604" s="13"/>
      <c r="M31604" s="14"/>
      <c r="N31604" s="14"/>
      <c r="O31604" s="14"/>
      <c r="P31604" s="13"/>
    </row>
    <row r="31605">
      <c r="L31605" s="13"/>
      <c r="M31605" s="14"/>
      <c r="N31605" s="14"/>
      <c r="O31605" s="14"/>
      <c r="P31605" s="13"/>
    </row>
    <row r="31606">
      <c r="L31606" s="13"/>
      <c r="M31606" s="14"/>
      <c r="N31606" s="14"/>
      <c r="O31606" s="14"/>
      <c r="P31606" s="13"/>
    </row>
    <row r="31607">
      <c r="L31607" s="13"/>
      <c r="M31607" s="14"/>
      <c r="N31607" s="14"/>
      <c r="O31607" s="14"/>
      <c r="P31607" s="13"/>
    </row>
    <row r="31608">
      <c r="L31608" s="13"/>
      <c r="M31608" s="14"/>
      <c r="N31608" s="14"/>
      <c r="O31608" s="14"/>
      <c r="P31608" s="13"/>
    </row>
    <row r="31609">
      <c r="L31609" s="13"/>
      <c r="M31609" s="14"/>
      <c r="N31609" s="14"/>
      <c r="O31609" s="14"/>
      <c r="P31609" s="13"/>
    </row>
    <row r="31610">
      <c r="L31610" s="13"/>
      <c r="M31610" s="14"/>
      <c r="N31610" s="14"/>
      <c r="O31610" s="14"/>
      <c r="P31610" s="13"/>
    </row>
    <row r="31611">
      <c r="L31611" s="13"/>
      <c r="M31611" s="14"/>
      <c r="N31611" s="14"/>
      <c r="O31611" s="14"/>
      <c r="P31611" s="13"/>
    </row>
    <row r="31612">
      <c r="L31612" s="13"/>
      <c r="M31612" s="14"/>
      <c r="N31612" s="14"/>
      <c r="O31612" s="14"/>
      <c r="P31612" s="13"/>
    </row>
    <row r="31613">
      <c r="L31613" s="13"/>
      <c r="M31613" s="14"/>
      <c r="N31613" s="14"/>
      <c r="O31613" s="14"/>
      <c r="P31613" s="13"/>
    </row>
    <row r="31614">
      <c r="L31614" s="13"/>
      <c r="M31614" s="14"/>
      <c r="N31614" s="14"/>
      <c r="O31614" s="14"/>
      <c r="P31614" s="13"/>
    </row>
    <row r="31615">
      <c r="L31615" s="13"/>
      <c r="M31615" s="14"/>
      <c r="N31615" s="14"/>
      <c r="O31615" s="14"/>
      <c r="P31615" s="13"/>
    </row>
    <row r="31616">
      <c r="L31616" s="13"/>
      <c r="M31616" s="14"/>
      <c r="N31616" s="14"/>
      <c r="O31616" s="14"/>
      <c r="P31616" s="13"/>
    </row>
    <row r="31617">
      <c r="L31617" s="13"/>
      <c r="M31617" s="14"/>
      <c r="N31617" s="14"/>
      <c r="O31617" s="14"/>
      <c r="P31617" s="13"/>
    </row>
    <row r="31618">
      <c r="L31618" s="13"/>
      <c r="M31618" s="14"/>
      <c r="N31618" s="14"/>
      <c r="O31618" s="14"/>
      <c r="P31618" s="13"/>
    </row>
    <row r="31619">
      <c r="L31619" s="13"/>
      <c r="M31619" s="14"/>
      <c r="N31619" s="14"/>
      <c r="O31619" s="14"/>
      <c r="P31619" s="13"/>
    </row>
    <row r="31620">
      <c r="L31620" s="13"/>
      <c r="M31620" s="14"/>
      <c r="N31620" s="14"/>
      <c r="O31620" s="14"/>
      <c r="P31620" s="13"/>
    </row>
    <row r="31621">
      <c r="L31621" s="13"/>
      <c r="M31621" s="14"/>
      <c r="N31621" s="14"/>
      <c r="O31621" s="14"/>
      <c r="P31621" s="13"/>
    </row>
    <row r="31622">
      <c r="L31622" s="13"/>
      <c r="M31622" s="14"/>
      <c r="N31622" s="14"/>
      <c r="O31622" s="14"/>
      <c r="P31622" s="13"/>
    </row>
    <row r="31623">
      <c r="L31623" s="13"/>
      <c r="M31623" s="14"/>
      <c r="N31623" s="14"/>
      <c r="O31623" s="14"/>
      <c r="P31623" s="13"/>
    </row>
    <row r="31624">
      <c r="L31624" s="13"/>
      <c r="M31624" s="14"/>
      <c r="N31624" s="14"/>
      <c r="O31624" s="14"/>
      <c r="P31624" s="13"/>
    </row>
    <row r="31625">
      <c r="L31625" s="13"/>
      <c r="M31625" s="14"/>
      <c r="N31625" s="14"/>
      <c r="O31625" s="14"/>
      <c r="P31625" s="13"/>
    </row>
    <row r="31626">
      <c r="L31626" s="13"/>
      <c r="M31626" s="14"/>
      <c r="N31626" s="14"/>
      <c r="O31626" s="14"/>
      <c r="P31626" s="13"/>
    </row>
    <row r="31627">
      <c r="L31627" s="13"/>
      <c r="M31627" s="14"/>
      <c r="N31627" s="14"/>
      <c r="O31627" s="14"/>
      <c r="P31627" s="13"/>
    </row>
    <row r="31628">
      <c r="L31628" s="13"/>
      <c r="M31628" s="14"/>
      <c r="N31628" s="14"/>
      <c r="O31628" s="14"/>
      <c r="P31628" s="13"/>
    </row>
    <row r="31629">
      <c r="L31629" s="13"/>
      <c r="M31629" s="14"/>
      <c r="N31629" s="14"/>
      <c r="O31629" s="14"/>
      <c r="P31629" s="13"/>
    </row>
    <row r="31630">
      <c r="L31630" s="13"/>
      <c r="M31630" s="14"/>
      <c r="N31630" s="14"/>
      <c r="O31630" s="14"/>
      <c r="P31630" s="13"/>
    </row>
    <row r="31631">
      <c r="L31631" s="13"/>
      <c r="M31631" s="14"/>
      <c r="N31631" s="14"/>
      <c r="O31631" s="14"/>
      <c r="P31631" s="13"/>
    </row>
    <row r="31632">
      <c r="L31632" s="13"/>
      <c r="M31632" s="14"/>
      <c r="N31632" s="14"/>
      <c r="O31632" s="14"/>
      <c r="P31632" s="13"/>
    </row>
    <row r="31633">
      <c r="L31633" s="13"/>
      <c r="M31633" s="14"/>
      <c r="N31633" s="14"/>
      <c r="O31633" s="14"/>
      <c r="P31633" s="13"/>
    </row>
    <row r="31634">
      <c r="L31634" s="13"/>
      <c r="M31634" s="14"/>
      <c r="N31634" s="14"/>
      <c r="O31634" s="14"/>
      <c r="P31634" s="13"/>
    </row>
    <row r="31635">
      <c r="L31635" s="13"/>
      <c r="M31635" s="14"/>
      <c r="N31635" s="14"/>
      <c r="O31635" s="14"/>
      <c r="P31635" s="13"/>
    </row>
    <row r="31636">
      <c r="L31636" s="13"/>
      <c r="M31636" s="14"/>
      <c r="N31636" s="14"/>
      <c r="O31636" s="14"/>
      <c r="P31636" s="13"/>
    </row>
    <row r="31637">
      <c r="L31637" s="13"/>
      <c r="M31637" s="14"/>
      <c r="N31637" s="14"/>
      <c r="O31637" s="14"/>
      <c r="P31637" s="13"/>
    </row>
    <row r="31638">
      <c r="L31638" s="13"/>
      <c r="M31638" s="14"/>
      <c r="N31638" s="14"/>
      <c r="O31638" s="14"/>
      <c r="P31638" s="13"/>
    </row>
    <row r="31639">
      <c r="L31639" s="13"/>
      <c r="M31639" s="14"/>
      <c r="N31639" s="14"/>
      <c r="O31639" s="14"/>
      <c r="P31639" s="13"/>
    </row>
    <row r="31640">
      <c r="L31640" s="13"/>
      <c r="M31640" s="14"/>
      <c r="N31640" s="14"/>
      <c r="O31640" s="14"/>
      <c r="P31640" s="13"/>
    </row>
    <row r="31641">
      <c r="L31641" s="13"/>
      <c r="M31641" s="14"/>
      <c r="N31641" s="14"/>
      <c r="O31641" s="14"/>
      <c r="P31641" s="13"/>
    </row>
    <row r="31642">
      <c r="L31642" s="13"/>
      <c r="M31642" s="14"/>
      <c r="N31642" s="14"/>
      <c r="O31642" s="14"/>
      <c r="P31642" s="13"/>
    </row>
    <row r="31643">
      <c r="L31643" s="13"/>
      <c r="M31643" s="14"/>
      <c r="N31643" s="14"/>
      <c r="O31643" s="14"/>
      <c r="P31643" s="13"/>
    </row>
    <row r="31644">
      <c r="L31644" s="13"/>
      <c r="M31644" s="14"/>
      <c r="N31644" s="14"/>
      <c r="O31644" s="14"/>
      <c r="P31644" s="13"/>
    </row>
    <row r="31645">
      <c r="L31645" s="13"/>
      <c r="M31645" s="14"/>
      <c r="N31645" s="14"/>
      <c r="O31645" s="14"/>
      <c r="P31645" s="13"/>
    </row>
    <row r="31646">
      <c r="L31646" s="13"/>
      <c r="M31646" s="14"/>
      <c r="N31646" s="14"/>
      <c r="O31646" s="14"/>
      <c r="P31646" s="13"/>
    </row>
    <row r="31647">
      <c r="L31647" s="13"/>
      <c r="M31647" s="14"/>
      <c r="N31647" s="14"/>
      <c r="O31647" s="14"/>
      <c r="P31647" s="13"/>
    </row>
    <row r="31648">
      <c r="L31648" s="13"/>
      <c r="M31648" s="14"/>
      <c r="N31648" s="14"/>
      <c r="O31648" s="14"/>
      <c r="P31648" s="13"/>
    </row>
    <row r="31649">
      <c r="L31649" s="13"/>
      <c r="M31649" s="14"/>
      <c r="N31649" s="14"/>
      <c r="O31649" s="14"/>
      <c r="P31649" s="13"/>
    </row>
    <row r="31650">
      <c r="L31650" s="13"/>
      <c r="M31650" s="14"/>
      <c r="N31650" s="14"/>
      <c r="O31650" s="14"/>
      <c r="P31650" s="13"/>
    </row>
    <row r="31651">
      <c r="L31651" s="13"/>
      <c r="M31651" s="14"/>
      <c r="N31651" s="14"/>
      <c r="O31651" s="14"/>
      <c r="P31651" s="13"/>
    </row>
    <row r="31652">
      <c r="L31652" s="13"/>
      <c r="M31652" s="14"/>
      <c r="N31652" s="14"/>
      <c r="O31652" s="14"/>
      <c r="P31652" s="13"/>
    </row>
    <row r="31653">
      <c r="L31653" s="13"/>
      <c r="M31653" s="14"/>
      <c r="N31653" s="14"/>
      <c r="O31653" s="14"/>
      <c r="P31653" s="13"/>
    </row>
    <row r="31654">
      <c r="L31654" s="13"/>
      <c r="M31654" s="14"/>
      <c r="N31654" s="14"/>
      <c r="O31654" s="14"/>
      <c r="P31654" s="13"/>
    </row>
    <row r="31655">
      <c r="L31655" s="13"/>
      <c r="M31655" s="14"/>
      <c r="N31655" s="14"/>
      <c r="O31655" s="14"/>
      <c r="P31655" s="13"/>
    </row>
    <row r="31656">
      <c r="L31656" s="13"/>
      <c r="M31656" s="14"/>
      <c r="N31656" s="14"/>
      <c r="O31656" s="14"/>
      <c r="P31656" s="13"/>
    </row>
    <row r="31657">
      <c r="L31657" s="13"/>
      <c r="M31657" s="14"/>
      <c r="N31657" s="14"/>
      <c r="O31657" s="14"/>
      <c r="P31657" s="13"/>
    </row>
    <row r="31658">
      <c r="L31658" s="13"/>
      <c r="M31658" s="14"/>
      <c r="N31658" s="14"/>
      <c r="O31658" s="14"/>
      <c r="P31658" s="13"/>
    </row>
    <row r="31659">
      <c r="L31659" s="13"/>
      <c r="M31659" s="14"/>
      <c r="N31659" s="14"/>
      <c r="O31659" s="14"/>
      <c r="P31659" s="13"/>
    </row>
    <row r="31660">
      <c r="L31660" s="13"/>
      <c r="M31660" s="14"/>
      <c r="N31660" s="14"/>
      <c r="O31660" s="14"/>
      <c r="P31660" s="13"/>
    </row>
    <row r="31661">
      <c r="L31661" s="13"/>
      <c r="M31661" s="14"/>
      <c r="N31661" s="14"/>
      <c r="O31661" s="14"/>
      <c r="P31661" s="13"/>
    </row>
    <row r="31662">
      <c r="L31662" s="13"/>
      <c r="M31662" s="14"/>
      <c r="N31662" s="14"/>
      <c r="O31662" s="14"/>
      <c r="P31662" s="13"/>
    </row>
    <row r="31663">
      <c r="L31663" s="13"/>
      <c r="M31663" s="14"/>
      <c r="N31663" s="14"/>
      <c r="O31663" s="14"/>
      <c r="P31663" s="13"/>
    </row>
    <row r="31664">
      <c r="L31664" s="13"/>
      <c r="M31664" s="14"/>
      <c r="N31664" s="14"/>
      <c r="O31664" s="14"/>
      <c r="P31664" s="13"/>
    </row>
    <row r="31665">
      <c r="L31665" s="13"/>
      <c r="M31665" s="14"/>
      <c r="N31665" s="14"/>
      <c r="O31665" s="14"/>
      <c r="P31665" s="13"/>
    </row>
    <row r="31666">
      <c r="L31666" s="13"/>
      <c r="M31666" s="14"/>
      <c r="N31666" s="14"/>
      <c r="O31666" s="14"/>
      <c r="P31666" s="13"/>
    </row>
    <row r="31667">
      <c r="L31667" s="13"/>
      <c r="M31667" s="14"/>
      <c r="N31667" s="14"/>
      <c r="O31667" s="14"/>
      <c r="P31667" s="13"/>
    </row>
    <row r="31668">
      <c r="L31668" s="13"/>
      <c r="M31668" s="14"/>
      <c r="N31668" s="14"/>
      <c r="O31668" s="14"/>
      <c r="P31668" s="13"/>
    </row>
    <row r="31669">
      <c r="L31669" s="13"/>
      <c r="M31669" s="14"/>
      <c r="N31669" s="14"/>
      <c r="O31669" s="14"/>
      <c r="P31669" s="13"/>
    </row>
    <row r="31670">
      <c r="L31670" s="13"/>
      <c r="M31670" s="14"/>
      <c r="N31670" s="14"/>
      <c r="O31670" s="14"/>
      <c r="P31670" s="13"/>
    </row>
    <row r="31671">
      <c r="L31671" s="13"/>
      <c r="M31671" s="14"/>
      <c r="N31671" s="14"/>
      <c r="O31671" s="14"/>
      <c r="P31671" s="13"/>
    </row>
    <row r="31672">
      <c r="L31672" s="13"/>
      <c r="M31672" s="14"/>
      <c r="N31672" s="14"/>
      <c r="O31672" s="14"/>
      <c r="P31672" s="13"/>
    </row>
    <row r="31673">
      <c r="L31673" s="13"/>
      <c r="M31673" s="14"/>
      <c r="N31673" s="14"/>
      <c r="O31673" s="14"/>
      <c r="P31673" s="13"/>
    </row>
    <row r="31674">
      <c r="L31674" s="13"/>
      <c r="M31674" s="14"/>
      <c r="N31674" s="14"/>
      <c r="O31674" s="14"/>
      <c r="P31674" s="13"/>
    </row>
    <row r="31675">
      <c r="L31675" s="13"/>
      <c r="M31675" s="14"/>
      <c r="N31675" s="14"/>
      <c r="O31675" s="14"/>
      <c r="P31675" s="13"/>
    </row>
    <row r="31676">
      <c r="L31676" s="13"/>
      <c r="M31676" s="14"/>
      <c r="N31676" s="14"/>
      <c r="O31676" s="14"/>
      <c r="P31676" s="13"/>
    </row>
    <row r="31677">
      <c r="L31677" s="13"/>
      <c r="M31677" s="14"/>
      <c r="N31677" s="14"/>
      <c r="O31677" s="14"/>
      <c r="P31677" s="13"/>
    </row>
    <row r="31678">
      <c r="L31678" s="13"/>
      <c r="M31678" s="14"/>
      <c r="N31678" s="14"/>
      <c r="O31678" s="14"/>
      <c r="P31678" s="13"/>
    </row>
    <row r="31679">
      <c r="L31679" s="13"/>
      <c r="M31679" s="14"/>
      <c r="N31679" s="14"/>
      <c r="O31679" s="14"/>
      <c r="P31679" s="13"/>
    </row>
    <row r="31680">
      <c r="L31680" s="13"/>
      <c r="M31680" s="14"/>
      <c r="N31680" s="14"/>
      <c r="O31680" s="14"/>
      <c r="P31680" s="13"/>
    </row>
    <row r="31681">
      <c r="L31681" s="13"/>
      <c r="M31681" s="14"/>
      <c r="N31681" s="14"/>
      <c r="O31681" s="14"/>
      <c r="P31681" s="13"/>
    </row>
    <row r="31682">
      <c r="L31682" s="13"/>
      <c r="M31682" s="14"/>
      <c r="N31682" s="14"/>
      <c r="O31682" s="14"/>
      <c r="P31682" s="13"/>
    </row>
    <row r="31683">
      <c r="L31683" s="13"/>
      <c r="M31683" s="14"/>
      <c r="N31683" s="14"/>
      <c r="O31683" s="14"/>
      <c r="P31683" s="13"/>
    </row>
    <row r="31684">
      <c r="L31684" s="13"/>
      <c r="M31684" s="14"/>
      <c r="N31684" s="14"/>
      <c r="O31684" s="14"/>
      <c r="P31684" s="13"/>
    </row>
    <row r="31685">
      <c r="L31685" s="13"/>
      <c r="M31685" s="14"/>
      <c r="N31685" s="14"/>
      <c r="O31685" s="14"/>
      <c r="P31685" s="13"/>
    </row>
    <row r="31686">
      <c r="L31686" s="13"/>
      <c r="M31686" s="14"/>
      <c r="N31686" s="14"/>
      <c r="O31686" s="14"/>
      <c r="P31686" s="13"/>
    </row>
    <row r="31687">
      <c r="L31687" s="13"/>
      <c r="M31687" s="14"/>
      <c r="N31687" s="14"/>
      <c r="O31687" s="14"/>
      <c r="P31687" s="13"/>
    </row>
    <row r="31688">
      <c r="L31688" s="13"/>
      <c r="M31688" s="14"/>
      <c r="N31688" s="14"/>
      <c r="O31688" s="14"/>
      <c r="P31688" s="13"/>
    </row>
    <row r="31689">
      <c r="L31689" s="13"/>
      <c r="M31689" s="14"/>
      <c r="N31689" s="14"/>
      <c r="O31689" s="14"/>
      <c r="P31689" s="13"/>
    </row>
    <row r="31690">
      <c r="L31690" s="13"/>
      <c r="M31690" s="14"/>
      <c r="N31690" s="14"/>
      <c r="O31690" s="14"/>
      <c r="P31690" s="13"/>
    </row>
    <row r="31691">
      <c r="L31691" s="13"/>
      <c r="M31691" s="14"/>
      <c r="N31691" s="14"/>
      <c r="O31691" s="14"/>
      <c r="P31691" s="13"/>
    </row>
    <row r="31692">
      <c r="L31692" s="13"/>
      <c r="M31692" s="14"/>
      <c r="N31692" s="14"/>
      <c r="O31692" s="14"/>
      <c r="P31692" s="13"/>
    </row>
    <row r="31693">
      <c r="L31693" s="13"/>
      <c r="M31693" s="14"/>
      <c r="N31693" s="14"/>
      <c r="O31693" s="14"/>
      <c r="P31693" s="13"/>
    </row>
    <row r="31694">
      <c r="L31694" s="13"/>
      <c r="M31694" s="14"/>
      <c r="N31694" s="14"/>
      <c r="O31694" s="14"/>
      <c r="P31694" s="13"/>
    </row>
    <row r="31695">
      <c r="L31695" s="13"/>
      <c r="M31695" s="14"/>
      <c r="N31695" s="14"/>
      <c r="O31695" s="14"/>
      <c r="P31695" s="13"/>
    </row>
    <row r="31696">
      <c r="L31696" s="13"/>
      <c r="M31696" s="14"/>
      <c r="N31696" s="14"/>
      <c r="O31696" s="14"/>
      <c r="P31696" s="13"/>
    </row>
    <row r="31697">
      <c r="L31697" s="13"/>
      <c r="M31697" s="14"/>
      <c r="N31697" s="14"/>
      <c r="O31697" s="14"/>
      <c r="P31697" s="13"/>
    </row>
    <row r="31698">
      <c r="L31698" s="13"/>
      <c r="M31698" s="14"/>
      <c r="N31698" s="14"/>
      <c r="O31698" s="14"/>
      <c r="P31698" s="13"/>
    </row>
    <row r="31699">
      <c r="L31699" s="13"/>
      <c r="M31699" s="14"/>
      <c r="N31699" s="14"/>
      <c r="O31699" s="14"/>
      <c r="P31699" s="13"/>
    </row>
    <row r="31700">
      <c r="L31700" s="13"/>
      <c r="M31700" s="14"/>
      <c r="N31700" s="14"/>
      <c r="O31700" s="14"/>
      <c r="P31700" s="13"/>
    </row>
    <row r="31701">
      <c r="L31701" s="13"/>
      <c r="M31701" s="14"/>
      <c r="N31701" s="14"/>
      <c r="O31701" s="14"/>
      <c r="P31701" s="13"/>
    </row>
    <row r="31702">
      <c r="L31702" s="13"/>
      <c r="M31702" s="14"/>
      <c r="N31702" s="14"/>
      <c r="O31702" s="14"/>
      <c r="P31702" s="13"/>
    </row>
    <row r="31703">
      <c r="L31703" s="13"/>
      <c r="M31703" s="14"/>
      <c r="N31703" s="14"/>
      <c r="O31703" s="14"/>
      <c r="P31703" s="13"/>
    </row>
    <row r="31704">
      <c r="L31704" s="13"/>
      <c r="M31704" s="14"/>
      <c r="N31704" s="14"/>
      <c r="O31704" s="14"/>
      <c r="P31704" s="13"/>
    </row>
    <row r="31705">
      <c r="L31705" s="13"/>
      <c r="M31705" s="14"/>
      <c r="N31705" s="14"/>
      <c r="O31705" s="14"/>
      <c r="P31705" s="13"/>
    </row>
    <row r="31706">
      <c r="L31706" s="13"/>
      <c r="M31706" s="14"/>
      <c r="N31706" s="14"/>
      <c r="O31706" s="14"/>
      <c r="P31706" s="13"/>
    </row>
    <row r="31707">
      <c r="L31707" s="13"/>
      <c r="M31707" s="14"/>
      <c r="N31707" s="14"/>
      <c r="O31707" s="14"/>
      <c r="P31707" s="13"/>
    </row>
    <row r="31708">
      <c r="L31708" s="13"/>
      <c r="M31708" s="14"/>
      <c r="N31708" s="14"/>
      <c r="O31708" s="14"/>
      <c r="P31708" s="13"/>
    </row>
    <row r="31709">
      <c r="L31709" s="13"/>
      <c r="M31709" s="14"/>
      <c r="N31709" s="14"/>
      <c r="O31709" s="14"/>
      <c r="P31709" s="13"/>
    </row>
    <row r="31710">
      <c r="L31710" s="13"/>
      <c r="M31710" s="14"/>
      <c r="N31710" s="14"/>
      <c r="O31710" s="14"/>
      <c r="P31710" s="13"/>
    </row>
    <row r="31711">
      <c r="L31711" s="13"/>
      <c r="M31711" s="14"/>
      <c r="N31711" s="14"/>
      <c r="O31711" s="14"/>
      <c r="P31711" s="13"/>
    </row>
    <row r="31712">
      <c r="L31712" s="13"/>
      <c r="M31712" s="14"/>
      <c r="N31712" s="14"/>
      <c r="O31712" s="14"/>
      <c r="P31712" s="13"/>
    </row>
    <row r="31713">
      <c r="L31713" s="13"/>
      <c r="M31713" s="14"/>
      <c r="N31713" s="14"/>
      <c r="O31713" s="14"/>
      <c r="P31713" s="13"/>
    </row>
    <row r="31714">
      <c r="L31714" s="13"/>
      <c r="M31714" s="14"/>
      <c r="N31714" s="14"/>
      <c r="O31714" s="14"/>
      <c r="P31714" s="13"/>
    </row>
    <row r="31715">
      <c r="L31715" s="13"/>
      <c r="M31715" s="14"/>
      <c r="N31715" s="14"/>
      <c r="O31715" s="14"/>
      <c r="P31715" s="13"/>
    </row>
    <row r="31716">
      <c r="L31716" s="13"/>
      <c r="M31716" s="14"/>
      <c r="N31716" s="14"/>
      <c r="O31716" s="14"/>
      <c r="P31716" s="13"/>
    </row>
    <row r="31717">
      <c r="L31717" s="13"/>
      <c r="M31717" s="14"/>
      <c r="N31717" s="14"/>
      <c r="O31717" s="14"/>
      <c r="P31717" s="13"/>
    </row>
    <row r="31718">
      <c r="L31718" s="13"/>
      <c r="M31718" s="14"/>
      <c r="N31718" s="14"/>
      <c r="O31718" s="14"/>
      <c r="P31718" s="13"/>
    </row>
    <row r="31719">
      <c r="L31719" s="13"/>
      <c r="M31719" s="14"/>
      <c r="N31719" s="14"/>
      <c r="O31719" s="14"/>
      <c r="P31719" s="13"/>
    </row>
    <row r="31720">
      <c r="L31720" s="13"/>
      <c r="M31720" s="14"/>
      <c r="N31720" s="14"/>
      <c r="O31720" s="14"/>
      <c r="P31720" s="13"/>
    </row>
    <row r="31721">
      <c r="L31721" s="13"/>
      <c r="M31721" s="14"/>
      <c r="N31721" s="14"/>
      <c r="O31721" s="14"/>
      <c r="P31721" s="13"/>
    </row>
    <row r="31722">
      <c r="L31722" s="13"/>
      <c r="M31722" s="14"/>
      <c r="N31722" s="14"/>
      <c r="O31722" s="14"/>
      <c r="P31722" s="13"/>
    </row>
    <row r="31723">
      <c r="L31723" s="13"/>
      <c r="M31723" s="14"/>
      <c r="N31723" s="14"/>
      <c r="O31723" s="14"/>
      <c r="P31723" s="13"/>
    </row>
    <row r="31724">
      <c r="L31724" s="13"/>
      <c r="M31724" s="14"/>
      <c r="N31724" s="14"/>
      <c r="O31724" s="14"/>
      <c r="P31724" s="13"/>
    </row>
    <row r="31725">
      <c r="L31725" s="13"/>
      <c r="M31725" s="14"/>
      <c r="N31725" s="14"/>
      <c r="O31725" s="14"/>
      <c r="P31725" s="13"/>
    </row>
    <row r="31726">
      <c r="L31726" s="13"/>
      <c r="M31726" s="14"/>
      <c r="N31726" s="14"/>
      <c r="O31726" s="14"/>
      <c r="P31726" s="13"/>
    </row>
    <row r="31727">
      <c r="L31727" s="13"/>
      <c r="M31727" s="14"/>
      <c r="N31727" s="14"/>
      <c r="O31727" s="14"/>
      <c r="P31727" s="13"/>
    </row>
    <row r="31728">
      <c r="L31728" s="13"/>
      <c r="M31728" s="14"/>
      <c r="N31728" s="14"/>
      <c r="O31728" s="14"/>
      <c r="P31728" s="13"/>
    </row>
    <row r="31729">
      <c r="L31729" s="13"/>
      <c r="M31729" s="14"/>
      <c r="N31729" s="14"/>
      <c r="O31729" s="14"/>
      <c r="P31729" s="13"/>
    </row>
    <row r="31730">
      <c r="L31730" s="13"/>
      <c r="M31730" s="14"/>
      <c r="N31730" s="14"/>
      <c r="O31730" s="14"/>
      <c r="P31730" s="13"/>
    </row>
    <row r="31731">
      <c r="L31731" s="13"/>
      <c r="M31731" s="14"/>
      <c r="N31731" s="14"/>
      <c r="O31731" s="14"/>
      <c r="P31731" s="13"/>
    </row>
    <row r="31732">
      <c r="L31732" s="13"/>
      <c r="M31732" s="14"/>
      <c r="N31732" s="14"/>
      <c r="O31732" s="14"/>
      <c r="P31732" s="13"/>
    </row>
    <row r="31733">
      <c r="L31733" s="13"/>
      <c r="M31733" s="14"/>
      <c r="N31733" s="14"/>
      <c r="O31733" s="14"/>
      <c r="P31733" s="13"/>
    </row>
    <row r="31734">
      <c r="L31734" s="13"/>
      <c r="M31734" s="14"/>
      <c r="N31734" s="14"/>
      <c r="O31734" s="14"/>
      <c r="P31734" s="13"/>
    </row>
    <row r="31735">
      <c r="L31735" s="13"/>
      <c r="M31735" s="14"/>
      <c r="N31735" s="14"/>
      <c r="O31735" s="14"/>
      <c r="P31735" s="13"/>
    </row>
    <row r="31736">
      <c r="L31736" s="13"/>
      <c r="M31736" s="14"/>
      <c r="N31736" s="14"/>
      <c r="O31736" s="14"/>
      <c r="P31736" s="13"/>
    </row>
    <row r="31737">
      <c r="L31737" s="13"/>
      <c r="M31737" s="14"/>
      <c r="N31737" s="14"/>
      <c r="O31737" s="14"/>
      <c r="P31737" s="13"/>
    </row>
    <row r="31738">
      <c r="L31738" s="13"/>
      <c r="M31738" s="14"/>
      <c r="N31738" s="14"/>
      <c r="O31738" s="14"/>
      <c r="P31738" s="13"/>
    </row>
    <row r="31739">
      <c r="L31739" s="13"/>
      <c r="M31739" s="14"/>
      <c r="N31739" s="14"/>
      <c r="O31739" s="14"/>
      <c r="P31739" s="13"/>
    </row>
    <row r="31740">
      <c r="L31740" s="13"/>
      <c r="M31740" s="14"/>
      <c r="N31740" s="14"/>
      <c r="O31740" s="14"/>
      <c r="P31740" s="13"/>
    </row>
    <row r="31741">
      <c r="L31741" s="13"/>
      <c r="M31741" s="14"/>
      <c r="N31741" s="14"/>
      <c r="O31741" s="14"/>
      <c r="P31741" s="13"/>
    </row>
    <row r="31742">
      <c r="L31742" s="13"/>
      <c r="M31742" s="14"/>
      <c r="N31742" s="14"/>
      <c r="O31742" s="14"/>
      <c r="P31742" s="13"/>
    </row>
    <row r="31743">
      <c r="L31743" s="13"/>
      <c r="M31743" s="14"/>
      <c r="N31743" s="14"/>
      <c r="O31743" s="14"/>
      <c r="P31743" s="13"/>
    </row>
    <row r="31744">
      <c r="L31744" s="13"/>
      <c r="M31744" s="14"/>
      <c r="N31744" s="14"/>
      <c r="O31744" s="14"/>
      <c r="P31744" s="13"/>
    </row>
    <row r="31745">
      <c r="L31745" s="13"/>
      <c r="M31745" s="14"/>
      <c r="N31745" s="14"/>
      <c r="O31745" s="14"/>
      <c r="P31745" s="13"/>
    </row>
    <row r="31746">
      <c r="L31746" s="13"/>
      <c r="M31746" s="14"/>
      <c r="N31746" s="14"/>
      <c r="O31746" s="14"/>
      <c r="P31746" s="13"/>
    </row>
    <row r="31747">
      <c r="L31747" s="13"/>
      <c r="M31747" s="14"/>
      <c r="N31747" s="14"/>
      <c r="O31747" s="14"/>
      <c r="P31747" s="13"/>
    </row>
    <row r="31748">
      <c r="L31748" s="13"/>
      <c r="M31748" s="14"/>
      <c r="N31748" s="14"/>
      <c r="O31748" s="14"/>
      <c r="P31748" s="13"/>
    </row>
    <row r="31749">
      <c r="L31749" s="13"/>
      <c r="M31749" s="14"/>
      <c r="N31749" s="14"/>
      <c r="O31749" s="14"/>
      <c r="P31749" s="13"/>
    </row>
    <row r="31750">
      <c r="L31750" s="13"/>
      <c r="M31750" s="14"/>
      <c r="N31750" s="14"/>
      <c r="O31750" s="14"/>
      <c r="P31750" s="13"/>
    </row>
    <row r="31751">
      <c r="L31751" s="13"/>
      <c r="M31751" s="14"/>
      <c r="N31751" s="14"/>
      <c r="O31751" s="14"/>
      <c r="P31751" s="13"/>
    </row>
    <row r="31752">
      <c r="L31752" s="13"/>
      <c r="M31752" s="14"/>
      <c r="N31752" s="14"/>
      <c r="O31752" s="14"/>
      <c r="P31752" s="13"/>
    </row>
    <row r="31753">
      <c r="L31753" s="13"/>
      <c r="M31753" s="14"/>
      <c r="N31753" s="14"/>
      <c r="O31753" s="14"/>
      <c r="P31753" s="13"/>
    </row>
    <row r="31754">
      <c r="L31754" s="13"/>
      <c r="M31754" s="14"/>
      <c r="N31754" s="14"/>
      <c r="O31754" s="14"/>
      <c r="P31754" s="13"/>
    </row>
    <row r="31755">
      <c r="L31755" s="13"/>
      <c r="M31755" s="14"/>
      <c r="N31755" s="14"/>
      <c r="O31755" s="14"/>
      <c r="P31755" s="13"/>
    </row>
    <row r="31756">
      <c r="L31756" s="13"/>
      <c r="M31756" s="14"/>
      <c r="N31756" s="14"/>
      <c r="O31756" s="14"/>
      <c r="P31756" s="13"/>
    </row>
    <row r="31757">
      <c r="L31757" s="13"/>
      <c r="M31757" s="14"/>
      <c r="N31757" s="14"/>
      <c r="O31757" s="14"/>
      <c r="P31757" s="13"/>
    </row>
    <row r="31758">
      <c r="L31758" s="13"/>
      <c r="M31758" s="14"/>
      <c r="N31758" s="14"/>
      <c r="O31758" s="14"/>
      <c r="P31758" s="13"/>
    </row>
    <row r="31759">
      <c r="L31759" s="13"/>
      <c r="M31759" s="14"/>
      <c r="N31759" s="14"/>
      <c r="O31759" s="14"/>
      <c r="P31759" s="13"/>
    </row>
    <row r="31760">
      <c r="L31760" s="13"/>
      <c r="M31760" s="14"/>
      <c r="N31760" s="14"/>
      <c r="O31760" s="14"/>
      <c r="P31760" s="13"/>
    </row>
    <row r="31761">
      <c r="L31761" s="13"/>
      <c r="M31761" s="14"/>
      <c r="N31761" s="14"/>
      <c r="O31761" s="14"/>
      <c r="P31761" s="13"/>
    </row>
    <row r="31762">
      <c r="L31762" s="13"/>
      <c r="M31762" s="14"/>
      <c r="N31762" s="14"/>
      <c r="O31762" s="14"/>
      <c r="P31762" s="13"/>
    </row>
    <row r="31763">
      <c r="L31763" s="13"/>
      <c r="M31763" s="14"/>
      <c r="N31763" s="14"/>
      <c r="O31763" s="14"/>
      <c r="P31763" s="13"/>
    </row>
    <row r="31764">
      <c r="L31764" s="13"/>
      <c r="M31764" s="14"/>
      <c r="N31764" s="14"/>
      <c r="O31764" s="14"/>
      <c r="P31764" s="13"/>
    </row>
    <row r="31765">
      <c r="L31765" s="13"/>
      <c r="M31765" s="14"/>
      <c r="N31765" s="14"/>
      <c r="O31765" s="14"/>
      <c r="P31765" s="13"/>
    </row>
    <row r="31766">
      <c r="L31766" s="13"/>
      <c r="M31766" s="14"/>
      <c r="N31766" s="14"/>
      <c r="O31766" s="14"/>
      <c r="P31766" s="13"/>
    </row>
    <row r="31767">
      <c r="L31767" s="13"/>
      <c r="M31767" s="14"/>
      <c r="N31767" s="14"/>
      <c r="O31767" s="14"/>
      <c r="P31767" s="13"/>
    </row>
    <row r="31768">
      <c r="L31768" s="13"/>
      <c r="M31768" s="14"/>
      <c r="N31768" s="14"/>
      <c r="O31768" s="14"/>
      <c r="P31768" s="13"/>
    </row>
    <row r="31769">
      <c r="L31769" s="13"/>
      <c r="M31769" s="14"/>
      <c r="N31769" s="14"/>
      <c r="O31769" s="14"/>
      <c r="P31769" s="13"/>
    </row>
    <row r="31770">
      <c r="L31770" s="13"/>
      <c r="M31770" s="14"/>
      <c r="N31770" s="14"/>
      <c r="O31770" s="14"/>
      <c r="P31770" s="13"/>
    </row>
    <row r="31771">
      <c r="L31771" s="13"/>
      <c r="M31771" s="14"/>
      <c r="N31771" s="14"/>
      <c r="O31771" s="14"/>
      <c r="P31771" s="13"/>
    </row>
    <row r="31772">
      <c r="L31772" s="13"/>
      <c r="M31772" s="14"/>
      <c r="N31772" s="14"/>
      <c r="O31772" s="14"/>
      <c r="P31772" s="13"/>
    </row>
    <row r="31773">
      <c r="L31773" s="13"/>
      <c r="M31773" s="14"/>
      <c r="N31773" s="14"/>
      <c r="O31773" s="14"/>
      <c r="P31773" s="13"/>
    </row>
    <row r="31774">
      <c r="L31774" s="13"/>
      <c r="M31774" s="14"/>
      <c r="N31774" s="14"/>
      <c r="O31774" s="14"/>
      <c r="P31774" s="13"/>
    </row>
    <row r="31775">
      <c r="L31775" s="13"/>
      <c r="M31775" s="14"/>
      <c r="N31775" s="14"/>
      <c r="O31775" s="14"/>
      <c r="P31775" s="13"/>
    </row>
    <row r="31776">
      <c r="L31776" s="13"/>
      <c r="M31776" s="14"/>
      <c r="N31776" s="14"/>
      <c r="O31776" s="14"/>
      <c r="P31776" s="13"/>
    </row>
    <row r="31777">
      <c r="L31777" s="13"/>
      <c r="M31777" s="14"/>
      <c r="N31777" s="14"/>
      <c r="O31777" s="14"/>
      <c r="P31777" s="13"/>
    </row>
    <row r="31778">
      <c r="L31778" s="13"/>
      <c r="M31778" s="14"/>
      <c r="N31778" s="14"/>
      <c r="O31778" s="14"/>
      <c r="P31778" s="13"/>
    </row>
    <row r="31779">
      <c r="L31779" s="13"/>
      <c r="M31779" s="14"/>
      <c r="N31779" s="14"/>
      <c r="O31779" s="14"/>
      <c r="P31779" s="13"/>
    </row>
    <row r="31780">
      <c r="L31780" s="13"/>
      <c r="M31780" s="14"/>
      <c r="N31780" s="14"/>
      <c r="O31780" s="14"/>
      <c r="P31780" s="13"/>
    </row>
    <row r="31781">
      <c r="L31781" s="13"/>
      <c r="M31781" s="14"/>
      <c r="N31781" s="14"/>
      <c r="O31781" s="14"/>
      <c r="P31781" s="13"/>
    </row>
    <row r="31782">
      <c r="L31782" s="13"/>
      <c r="M31782" s="14"/>
      <c r="N31782" s="14"/>
      <c r="O31782" s="14"/>
      <c r="P31782" s="13"/>
    </row>
    <row r="31783">
      <c r="L31783" s="13"/>
      <c r="M31783" s="14"/>
      <c r="N31783" s="14"/>
      <c r="O31783" s="14"/>
      <c r="P31783" s="13"/>
    </row>
    <row r="31784">
      <c r="L31784" s="13"/>
      <c r="M31784" s="14"/>
      <c r="N31784" s="14"/>
      <c r="O31784" s="14"/>
      <c r="P31784" s="13"/>
    </row>
    <row r="31785">
      <c r="L31785" s="13"/>
      <c r="M31785" s="14"/>
      <c r="N31785" s="14"/>
      <c r="O31785" s="14"/>
      <c r="P31785" s="13"/>
    </row>
    <row r="31786">
      <c r="L31786" s="13"/>
      <c r="M31786" s="14"/>
      <c r="N31786" s="14"/>
      <c r="O31786" s="14"/>
      <c r="P31786" s="13"/>
    </row>
    <row r="31787">
      <c r="L31787" s="13"/>
      <c r="M31787" s="14"/>
      <c r="N31787" s="14"/>
      <c r="O31787" s="14"/>
      <c r="P31787" s="13"/>
    </row>
    <row r="31788">
      <c r="L31788" s="13"/>
      <c r="M31788" s="14"/>
      <c r="N31788" s="14"/>
      <c r="O31788" s="14"/>
      <c r="P31788" s="13"/>
    </row>
    <row r="31789">
      <c r="L31789" s="13"/>
      <c r="M31789" s="14"/>
      <c r="N31789" s="14"/>
      <c r="O31789" s="14"/>
      <c r="P31789" s="13"/>
    </row>
    <row r="31790">
      <c r="L31790" s="13"/>
      <c r="M31790" s="14"/>
      <c r="N31790" s="14"/>
      <c r="O31790" s="14"/>
      <c r="P31790" s="13"/>
    </row>
    <row r="31791">
      <c r="L31791" s="13"/>
      <c r="M31791" s="14"/>
      <c r="N31791" s="14"/>
      <c r="O31791" s="14"/>
      <c r="P31791" s="13"/>
    </row>
    <row r="31792">
      <c r="L31792" s="13"/>
      <c r="M31792" s="14"/>
      <c r="N31792" s="14"/>
      <c r="O31792" s="14"/>
      <c r="P31792" s="13"/>
    </row>
    <row r="31793">
      <c r="L31793" s="13"/>
      <c r="M31793" s="14"/>
      <c r="N31793" s="14"/>
      <c r="O31793" s="14"/>
      <c r="P31793" s="13"/>
    </row>
    <row r="31794">
      <c r="L31794" s="13"/>
      <c r="M31794" s="14"/>
      <c r="N31794" s="14"/>
      <c r="O31794" s="14"/>
      <c r="P31794" s="13"/>
    </row>
    <row r="31795">
      <c r="L31795" s="13"/>
      <c r="M31795" s="14"/>
      <c r="N31795" s="14"/>
      <c r="O31795" s="14"/>
      <c r="P31795" s="13"/>
    </row>
    <row r="31796">
      <c r="L31796" s="13"/>
      <c r="M31796" s="14"/>
      <c r="N31796" s="14"/>
      <c r="O31796" s="14"/>
      <c r="P31796" s="13"/>
    </row>
    <row r="31797">
      <c r="L31797" s="13"/>
      <c r="M31797" s="14"/>
      <c r="N31797" s="14"/>
      <c r="O31797" s="14"/>
      <c r="P31797" s="13"/>
    </row>
    <row r="31798">
      <c r="L31798" s="13"/>
      <c r="M31798" s="14"/>
      <c r="N31798" s="14"/>
      <c r="O31798" s="14"/>
      <c r="P31798" s="13"/>
    </row>
    <row r="31799">
      <c r="L31799" s="13"/>
      <c r="M31799" s="14"/>
      <c r="N31799" s="14"/>
      <c r="O31799" s="14"/>
      <c r="P31799" s="13"/>
    </row>
    <row r="31800">
      <c r="L31800" s="13"/>
      <c r="M31800" s="14"/>
      <c r="N31800" s="14"/>
      <c r="O31800" s="14"/>
      <c r="P31800" s="13"/>
    </row>
    <row r="31801">
      <c r="L31801" s="13"/>
      <c r="M31801" s="14"/>
      <c r="N31801" s="14"/>
      <c r="O31801" s="14"/>
      <c r="P31801" s="13"/>
    </row>
    <row r="31802">
      <c r="L31802" s="13"/>
      <c r="M31802" s="14"/>
      <c r="N31802" s="14"/>
      <c r="O31802" s="14"/>
      <c r="P31802" s="13"/>
    </row>
    <row r="31803">
      <c r="L31803" s="13"/>
      <c r="M31803" s="14"/>
      <c r="N31803" s="14"/>
      <c r="O31803" s="14"/>
      <c r="P31803" s="13"/>
    </row>
    <row r="31804">
      <c r="L31804" s="13"/>
      <c r="M31804" s="14"/>
      <c r="N31804" s="14"/>
      <c r="O31804" s="14"/>
      <c r="P31804" s="13"/>
    </row>
    <row r="31805">
      <c r="L31805" s="13"/>
      <c r="M31805" s="14"/>
      <c r="N31805" s="14"/>
      <c r="O31805" s="14"/>
      <c r="P31805" s="13"/>
    </row>
    <row r="31806">
      <c r="L31806" s="13"/>
      <c r="M31806" s="14"/>
      <c r="N31806" s="14"/>
      <c r="O31806" s="14"/>
      <c r="P31806" s="13"/>
    </row>
    <row r="31807">
      <c r="L31807" s="13"/>
      <c r="M31807" s="14"/>
      <c r="N31807" s="14"/>
      <c r="O31807" s="14"/>
      <c r="P31807" s="13"/>
    </row>
    <row r="31808">
      <c r="L31808" s="13"/>
      <c r="M31808" s="14"/>
      <c r="N31808" s="14"/>
      <c r="O31808" s="14"/>
      <c r="P31808" s="13"/>
    </row>
    <row r="31809">
      <c r="L31809" s="13"/>
      <c r="M31809" s="14"/>
      <c r="N31809" s="14"/>
      <c r="O31809" s="14"/>
      <c r="P31809" s="13"/>
    </row>
    <row r="31810">
      <c r="L31810" s="13"/>
      <c r="M31810" s="14"/>
      <c r="N31810" s="14"/>
      <c r="O31810" s="14"/>
      <c r="P31810" s="13"/>
    </row>
    <row r="31811">
      <c r="L31811" s="13"/>
      <c r="M31811" s="14"/>
      <c r="N31811" s="14"/>
      <c r="O31811" s="14"/>
      <c r="P31811" s="13"/>
    </row>
    <row r="31812">
      <c r="L31812" s="13"/>
      <c r="M31812" s="14"/>
      <c r="N31812" s="14"/>
      <c r="O31812" s="14"/>
      <c r="P31812" s="13"/>
    </row>
    <row r="31813">
      <c r="L31813" s="13"/>
      <c r="M31813" s="14"/>
      <c r="N31813" s="14"/>
      <c r="O31813" s="14"/>
      <c r="P31813" s="13"/>
    </row>
    <row r="31814">
      <c r="L31814" s="13"/>
      <c r="M31814" s="14"/>
      <c r="N31814" s="14"/>
      <c r="O31814" s="14"/>
      <c r="P31814" s="13"/>
    </row>
    <row r="31815">
      <c r="L31815" s="13"/>
      <c r="M31815" s="14"/>
      <c r="N31815" s="14"/>
      <c r="O31815" s="14"/>
      <c r="P31815" s="13"/>
    </row>
    <row r="31816">
      <c r="L31816" s="13"/>
      <c r="M31816" s="14"/>
      <c r="N31816" s="14"/>
      <c r="O31816" s="14"/>
      <c r="P31816" s="13"/>
    </row>
    <row r="31817">
      <c r="L31817" s="13"/>
      <c r="M31817" s="14"/>
      <c r="N31817" s="14"/>
      <c r="O31817" s="14"/>
      <c r="P31817" s="13"/>
    </row>
    <row r="31818">
      <c r="L31818" s="13"/>
      <c r="M31818" s="14"/>
      <c r="N31818" s="14"/>
      <c r="O31818" s="14"/>
      <c r="P31818" s="13"/>
    </row>
    <row r="31819">
      <c r="L31819" s="13"/>
      <c r="M31819" s="14"/>
      <c r="N31819" s="14"/>
      <c r="O31819" s="14"/>
      <c r="P31819" s="13"/>
    </row>
    <row r="31820">
      <c r="L31820" s="13"/>
      <c r="M31820" s="14"/>
      <c r="N31820" s="14"/>
      <c r="O31820" s="14"/>
      <c r="P31820" s="13"/>
    </row>
    <row r="31821">
      <c r="L31821" s="13"/>
      <c r="M31821" s="14"/>
      <c r="N31821" s="14"/>
      <c r="O31821" s="14"/>
      <c r="P31821" s="13"/>
    </row>
    <row r="31822">
      <c r="L31822" s="13"/>
      <c r="M31822" s="14"/>
      <c r="N31822" s="14"/>
      <c r="O31822" s="14"/>
      <c r="P31822" s="13"/>
    </row>
    <row r="31823">
      <c r="L31823" s="13"/>
      <c r="M31823" s="14"/>
      <c r="N31823" s="14"/>
      <c r="O31823" s="14"/>
      <c r="P31823" s="13"/>
    </row>
    <row r="31824">
      <c r="L31824" s="13"/>
      <c r="M31824" s="14"/>
      <c r="N31824" s="14"/>
      <c r="O31824" s="14"/>
      <c r="P31824" s="13"/>
    </row>
    <row r="31825">
      <c r="L31825" s="13"/>
      <c r="M31825" s="14"/>
      <c r="N31825" s="14"/>
      <c r="O31825" s="14"/>
      <c r="P31825" s="13"/>
    </row>
    <row r="31826">
      <c r="L31826" s="13"/>
      <c r="M31826" s="14"/>
      <c r="N31826" s="14"/>
      <c r="O31826" s="14"/>
      <c r="P31826" s="13"/>
    </row>
    <row r="31827">
      <c r="L31827" s="13"/>
      <c r="M31827" s="14"/>
      <c r="N31827" s="14"/>
      <c r="O31827" s="14"/>
      <c r="P31827" s="13"/>
    </row>
    <row r="31828">
      <c r="L31828" s="13"/>
      <c r="M31828" s="14"/>
      <c r="N31828" s="14"/>
      <c r="O31828" s="14"/>
      <c r="P31828" s="13"/>
    </row>
    <row r="31829">
      <c r="L31829" s="13"/>
      <c r="M31829" s="14"/>
      <c r="N31829" s="14"/>
      <c r="O31829" s="14"/>
      <c r="P31829" s="13"/>
    </row>
    <row r="31830">
      <c r="L31830" s="13"/>
      <c r="M31830" s="14"/>
      <c r="N31830" s="14"/>
      <c r="O31830" s="14"/>
      <c r="P31830" s="13"/>
    </row>
    <row r="31831">
      <c r="L31831" s="13"/>
      <c r="M31831" s="14"/>
      <c r="N31831" s="14"/>
      <c r="O31831" s="14"/>
      <c r="P31831" s="13"/>
    </row>
    <row r="31832">
      <c r="L31832" s="13"/>
      <c r="M31832" s="14"/>
      <c r="N31832" s="14"/>
      <c r="O31832" s="14"/>
      <c r="P31832" s="13"/>
    </row>
    <row r="31833">
      <c r="L31833" s="13"/>
      <c r="M31833" s="14"/>
      <c r="N31833" s="14"/>
      <c r="O31833" s="14"/>
      <c r="P31833" s="13"/>
    </row>
    <row r="31834">
      <c r="L31834" s="13"/>
      <c r="M31834" s="14"/>
      <c r="N31834" s="14"/>
      <c r="O31834" s="14"/>
      <c r="P31834" s="13"/>
    </row>
    <row r="31835">
      <c r="L31835" s="13"/>
      <c r="M31835" s="14"/>
      <c r="N31835" s="14"/>
      <c r="O31835" s="14"/>
      <c r="P31835" s="13"/>
    </row>
    <row r="31836">
      <c r="L31836" s="13"/>
      <c r="M31836" s="14"/>
      <c r="N31836" s="14"/>
      <c r="O31836" s="14"/>
      <c r="P31836" s="13"/>
    </row>
    <row r="31837">
      <c r="L31837" s="13"/>
      <c r="M31837" s="14"/>
      <c r="N31837" s="14"/>
      <c r="O31837" s="14"/>
      <c r="P31837" s="13"/>
    </row>
    <row r="31838">
      <c r="L31838" s="13"/>
      <c r="M31838" s="14"/>
      <c r="N31838" s="14"/>
      <c r="O31838" s="14"/>
      <c r="P31838" s="13"/>
    </row>
    <row r="31839">
      <c r="L31839" s="13"/>
      <c r="M31839" s="14"/>
      <c r="N31839" s="14"/>
      <c r="O31839" s="14"/>
      <c r="P31839" s="13"/>
    </row>
    <row r="31840">
      <c r="L31840" s="13"/>
      <c r="M31840" s="14"/>
      <c r="N31840" s="14"/>
      <c r="O31840" s="14"/>
      <c r="P31840" s="13"/>
    </row>
    <row r="31841">
      <c r="L31841" s="13"/>
      <c r="M31841" s="14"/>
      <c r="N31841" s="14"/>
      <c r="O31841" s="14"/>
      <c r="P31841" s="13"/>
    </row>
    <row r="31842">
      <c r="L31842" s="13"/>
      <c r="M31842" s="14"/>
      <c r="N31842" s="14"/>
      <c r="O31842" s="14"/>
      <c r="P31842" s="13"/>
    </row>
    <row r="31843">
      <c r="L31843" s="13"/>
      <c r="M31843" s="14"/>
      <c r="N31843" s="14"/>
      <c r="O31843" s="14"/>
      <c r="P31843" s="13"/>
    </row>
    <row r="31844">
      <c r="L31844" s="13"/>
      <c r="M31844" s="14"/>
      <c r="N31844" s="14"/>
      <c r="O31844" s="14"/>
      <c r="P31844" s="13"/>
    </row>
    <row r="31845">
      <c r="L31845" s="13"/>
      <c r="M31845" s="14"/>
      <c r="N31845" s="14"/>
      <c r="O31845" s="14"/>
      <c r="P31845" s="13"/>
    </row>
    <row r="31846">
      <c r="L31846" s="13"/>
      <c r="M31846" s="14"/>
      <c r="N31846" s="14"/>
      <c r="O31846" s="14"/>
      <c r="P31846" s="13"/>
    </row>
    <row r="31847">
      <c r="L31847" s="13"/>
      <c r="M31847" s="14"/>
      <c r="N31847" s="14"/>
      <c r="O31847" s="14"/>
      <c r="P31847" s="13"/>
    </row>
    <row r="31848">
      <c r="L31848" s="13"/>
      <c r="M31848" s="14"/>
      <c r="N31848" s="14"/>
      <c r="O31848" s="14"/>
      <c r="P31848" s="13"/>
    </row>
    <row r="31849">
      <c r="L31849" s="13"/>
      <c r="M31849" s="14"/>
      <c r="N31849" s="14"/>
      <c r="O31849" s="14"/>
      <c r="P31849" s="13"/>
    </row>
    <row r="31850">
      <c r="L31850" s="13"/>
      <c r="M31850" s="14"/>
      <c r="N31850" s="14"/>
      <c r="O31850" s="14"/>
      <c r="P31850" s="13"/>
    </row>
    <row r="31851">
      <c r="L31851" s="13"/>
      <c r="M31851" s="14"/>
      <c r="N31851" s="14"/>
      <c r="O31851" s="14"/>
      <c r="P31851" s="13"/>
    </row>
    <row r="31852">
      <c r="L31852" s="13"/>
      <c r="M31852" s="14"/>
      <c r="N31852" s="14"/>
      <c r="O31852" s="14"/>
      <c r="P31852" s="13"/>
    </row>
    <row r="31853">
      <c r="L31853" s="13"/>
      <c r="M31853" s="14"/>
      <c r="N31853" s="14"/>
      <c r="O31853" s="14"/>
      <c r="P31853" s="13"/>
    </row>
    <row r="31854">
      <c r="L31854" s="13"/>
      <c r="M31854" s="14"/>
      <c r="N31854" s="14"/>
      <c r="O31854" s="14"/>
      <c r="P31854" s="13"/>
    </row>
    <row r="31855">
      <c r="L31855" s="13"/>
      <c r="M31855" s="14"/>
      <c r="N31855" s="14"/>
      <c r="O31855" s="14"/>
      <c r="P31855" s="13"/>
    </row>
    <row r="31856">
      <c r="L31856" s="13"/>
      <c r="M31856" s="14"/>
      <c r="N31856" s="14"/>
      <c r="O31856" s="14"/>
      <c r="P31856" s="13"/>
    </row>
    <row r="31857">
      <c r="L31857" s="13"/>
      <c r="M31857" s="14"/>
      <c r="N31857" s="14"/>
      <c r="O31857" s="14"/>
      <c r="P31857" s="13"/>
    </row>
    <row r="31858">
      <c r="L31858" s="13"/>
      <c r="M31858" s="14"/>
      <c r="N31858" s="14"/>
      <c r="O31858" s="14"/>
      <c r="P31858" s="13"/>
    </row>
    <row r="31859">
      <c r="L31859" s="13"/>
      <c r="M31859" s="14"/>
      <c r="N31859" s="14"/>
      <c r="O31859" s="14"/>
      <c r="P31859" s="13"/>
    </row>
    <row r="31860">
      <c r="L31860" s="13"/>
      <c r="M31860" s="14"/>
      <c r="N31860" s="14"/>
      <c r="O31860" s="14"/>
      <c r="P31860" s="13"/>
    </row>
    <row r="31861">
      <c r="L31861" s="13"/>
      <c r="M31861" s="14"/>
      <c r="N31861" s="14"/>
      <c r="O31861" s="14"/>
      <c r="P31861" s="13"/>
    </row>
    <row r="31862">
      <c r="L31862" s="13"/>
      <c r="M31862" s="14"/>
      <c r="N31862" s="14"/>
      <c r="O31862" s="14"/>
      <c r="P31862" s="13"/>
    </row>
    <row r="31863">
      <c r="L31863" s="13"/>
      <c r="M31863" s="14"/>
      <c r="N31863" s="14"/>
      <c r="O31863" s="14"/>
      <c r="P31863" s="13"/>
    </row>
    <row r="31864">
      <c r="L31864" s="13"/>
      <c r="M31864" s="14"/>
      <c r="N31864" s="14"/>
      <c r="O31864" s="14"/>
      <c r="P31864" s="13"/>
    </row>
    <row r="31865">
      <c r="L31865" s="13"/>
      <c r="M31865" s="14"/>
      <c r="N31865" s="14"/>
      <c r="O31865" s="14"/>
      <c r="P31865" s="13"/>
    </row>
    <row r="31866">
      <c r="L31866" s="13"/>
      <c r="M31866" s="14"/>
      <c r="N31866" s="14"/>
      <c r="O31866" s="14"/>
      <c r="P31866" s="13"/>
    </row>
    <row r="31867">
      <c r="L31867" s="13"/>
      <c r="M31867" s="14"/>
      <c r="N31867" s="14"/>
      <c r="O31867" s="14"/>
      <c r="P31867" s="13"/>
    </row>
    <row r="31868">
      <c r="L31868" s="13"/>
      <c r="M31868" s="14"/>
      <c r="N31868" s="14"/>
      <c r="O31868" s="14"/>
      <c r="P31868" s="13"/>
    </row>
    <row r="31869">
      <c r="L31869" s="13"/>
      <c r="M31869" s="14"/>
      <c r="N31869" s="14"/>
      <c r="O31869" s="14"/>
      <c r="P31869" s="13"/>
    </row>
    <row r="31870">
      <c r="L31870" s="13"/>
      <c r="M31870" s="14"/>
      <c r="N31870" s="14"/>
      <c r="O31870" s="14"/>
      <c r="P31870" s="13"/>
    </row>
    <row r="31871">
      <c r="L31871" s="13"/>
      <c r="M31871" s="14"/>
      <c r="N31871" s="14"/>
      <c r="O31871" s="14"/>
      <c r="P31871" s="13"/>
    </row>
    <row r="31872">
      <c r="L31872" s="13"/>
      <c r="M31872" s="14"/>
      <c r="N31872" s="14"/>
      <c r="O31872" s="14"/>
      <c r="P31872" s="13"/>
    </row>
    <row r="31873">
      <c r="L31873" s="13"/>
      <c r="M31873" s="14"/>
      <c r="N31873" s="14"/>
      <c r="O31873" s="14"/>
      <c r="P31873" s="13"/>
    </row>
    <row r="31874">
      <c r="L31874" s="13"/>
      <c r="M31874" s="14"/>
      <c r="N31874" s="14"/>
      <c r="O31874" s="14"/>
      <c r="P31874" s="13"/>
    </row>
    <row r="31875">
      <c r="L31875" s="13"/>
      <c r="M31875" s="14"/>
      <c r="N31875" s="14"/>
      <c r="O31875" s="14"/>
      <c r="P31875" s="13"/>
    </row>
    <row r="31876">
      <c r="L31876" s="13"/>
      <c r="M31876" s="14"/>
      <c r="N31876" s="14"/>
      <c r="O31876" s="14"/>
      <c r="P31876" s="13"/>
    </row>
    <row r="31877">
      <c r="L31877" s="13"/>
      <c r="M31877" s="14"/>
      <c r="N31877" s="14"/>
      <c r="O31877" s="14"/>
      <c r="P31877" s="13"/>
    </row>
    <row r="31878">
      <c r="L31878" s="13"/>
      <c r="M31878" s="14"/>
      <c r="N31878" s="14"/>
      <c r="O31878" s="14"/>
      <c r="P31878" s="13"/>
    </row>
    <row r="31879">
      <c r="L31879" s="13"/>
      <c r="M31879" s="14"/>
      <c r="N31879" s="14"/>
      <c r="O31879" s="14"/>
      <c r="P31879" s="13"/>
    </row>
    <row r="31880">
      <c r="L31880" s="13"/>
      <c r="M31880" s="14"/>
      <c r="N31880" s="14"/>
      <c r="O31880" s="14"/>
      <c r="P31880" s="13"/>
    </row>
    <row r="31881">
      <c r="L31881" s="13"/>
      <c r="M31881" s="14"/>
      <c r="N31881" s="14"/>
      <c r="O31881" s="14"/>
      <c r="P31881" s="13"/>
    </row>
    <row r="31882">
      <c r="L31882" s="13"/>
      <c r="M31882" s="14"/>
      <c r="N31882" s="14"/>
      <c r="O31882" s="14"/>
      <c r="P31882" s="13"/>
    </row>
    <row r="31883">
      <c r="L31883" s="13"/>
      <c r="M31883" s="14"/>
      <c r="N31883" s="14"/>
      <c r="O31883" s="14"/>
      <c r="P31883" s="13"/>
    </row>
    <row r="31884">
      <c r="L31884" s="13"/>
      <c r="M31884" s="14"/>
      <c r="N31884" s="14"/>
      <c r="O31884" s="14"/>
      <c r="P31884" s="13"/>
    </row>
    <row r="31885">
      <c r="L31885" s="13"/>
      <c r="M31885" s="14"/>
      <c r="N31885" s="14"/>
      <c r="O31885" s="14"/>
      <c r="P31885" s="13"/>
    </row>
    <row r="31886">
      <c r="L31886" s="13"/>
      <c r="M31886" s="14"/>
      <c r="N31886" s="14"/>
      <c r="O31886" s="14"/>
      <c r="P31886" s="13"/>
    </row>
    <row r="31887">
      <c r="L31887" s="13"/>
      <c r="M31887" s="14"/>
      <c r="N31887" s="14"/>
      <c r="O31887" s="14"/>
      <c r="P31887" s="13"/>
    </row>
    <row r="31888">
      <c r="L31888" s="13"/>
      <c r="M31888" s="14"/>
      <c r="N31888" s="14"/>
      <c r="O31888" s="14"/>
      <c r="P31888" s="13"/>
    </row>
    <row r="31889">
      <c r="L31889" s="13"/>
      <c r="M31889" s="14"/>
      <c r="N31889" s="14"/>
      <c r="O31889" s="14"/>
      <c r="P31889" s="13"/>
    </row>
    <row r="31890">
      <c r="L31890" s="13"/>
      <c r="M31890" s="14"/>
      <c r="N31890" s="14"/>
      <c r="O31890" s="14"/>
      <c r="P31890" s="13"/>
    </row>
    <row r="31891">
      <c r="L31891" s="13"/>
      <c r="M31891" s="14"/>
      <c r="N31891" s="14"/>
      <c r="O31891" s="14"/>
      <c r="P31891" s="13"/>
    </row>
    <row r="31892">
      <c r="L31892" s="13"/>
      <c r="M31892" s="14"/>
      <c r="N31892" s="14"/>
      <c r="O31892" s="14"/>
      <c r="P31892" s="13"/>
    </row>
    <row r="31893">
      <c r="L31893" s="13"/>
      <c r="M31893" s="14"/>
      <c r="N31893" s="14"/>
      <c r="O31893" s="14"/>
      <c r="P31893" s="13"/>
    </row>
    <row r="31894">
      <c r="L31894" s="13"/>
      <c r="M31894" s="14"/>
      <c r="N31894" s="14"/>
      <c r="O31894" s="14"/>
      <c r="P31894" s="13"/>
    </row>
    <row r="31895">
      <c r="L31895" s="13"/>
      <c r="M31895" s="14"/>
      <c r="N31895" s="14"/>
      <c r="O31895" s="14"/>
      <c r="P31895" s="13"/>
    </row>
    <row r="31896">
      <c r="L31896" s="13"/>
      <c r="M31896" s="14"/>
      <c r="N31896" s="14"/>
      <c r="O31896" s="14"/>
      <c r="P31896" s="13"/>
    </row>
    <row r="31897">
      <c r="L31897" s="13"/>
      <c r="M31897" s="14"/>
      <c r="N31897" s="14"/>
      <c r="O31897" s="14"/>
      <c r="P31897" s="13"/>
    </row>
    <row r="31898">
      <c r="L31898" s="13"/>
      <c r="M31898" s="14"/>
      <c r="N31898" s="14"/>
      <c r="O31898" s="14"/>
      <c r="P31898" s="13"/>
    </row>
    <row r="31899">
      <c r="L31899" s="13"/>
      <c r="M31899" s="14"/>
      <c r="N31899" s="14"/>
      <c r="O31899" s="14"/>
      <c r="P31899" s="13"/>
    </row>
    <row r="31900">
      <c r="L31900" s="13"/>
      <c r="M31900" s="14"/>
      <c r="N31900" s="14"/>
      <c r="O31900" s="14"/>
      <c r="P31900" s="13"/>
    </row>
    <row r="31901">
      <c r="L31901" s="13"/>
      <c r="M31901" s="14"/>
      <c r="N31901" s="14"/>
      <c r="O31901" s="14"/>
      <c r="P31901" s="13"/>
    </row>
    <row r="31902">
      <c r="L31902" s="13"/>
      <c r="M31902" s="14"/>
      <c r="N31902" s="14"/>
      <c r="O31902" s="14"/>
      <c r="P31902" s="13"/>
    </row>
    <row r="31903">
      <c r="L31903" s="13"/>
      <c r="M31903" s="14"/>
      <c r="N31903" s="14"/>
      <c r="O31903" s="14"/>
      <c r="P31903" s="13"/>
    </row>
    <row r="31904">
      <c r="L31904" s="13"/>
      <c r="M31904" s="14"/>
      <c r="N31904" s="14"/>
      <c r="O31904" s="14"/>
      <c r="P31904" s="13"/>
    </row>
    <row r="31905">
      <c r="L31905" s="13"/>
      <c r="M31905" s="14"/>
      <c r="N31905" s="14"/>
      <c r="O31905" s="14"/>
      <c r="P31905" s="13"/>
    </row>
    <row r="31906">
      <c r="L31906" s="13"/>
      <c r="M31906" s="14"/>
      <c r="N31906" s="14"/>
      <c r="O31906" s="14"/>
      <c r="P31906" s="13"/>
    </row>
    <row r="31907">
      <c r="L31907" s="13"/>
      <c r="M31907" s="14"/>
      <c r="N31907" s="14"/>
      <c r="O31907" s="14"/>
      <c r="P31907" s="13"/>
    </row>
    <row r="31908">
      <c r="L31908" s="13"/>
      <c r="M31908" s="14"/>
      <c r="N31908" s="14"/>
      <c r="O31908" s="14"/>
      <c r="P31908" s="13"/>
    </row>
    <row r="31909">
      <c r="L31909" s="13"/>
      <c r="M31909" s="14"/>
      <c r="N31909" s="14"/>
      <c r="O31909" s="14"/>
      <c r="P31909" s="13"/>
    </row>
    <row r="31910">
      <c r="L31910" s="13"/>
      <c r="M31910" s="14"/>
      <c r="N31910" s="14"/>
      <c r="O31910" s="14"/>
      <c r="P31910" s="13"/>
    </row>
    <row r="31911">
      <c r="L31911" s="13"/>
      <c r="M31911" s="14"/>
      <c r="N31911" s="14"/>
      <c r="O31911" s="14"/>
      <c r="P31911" s="13"/>
    </row>
    <row r="31912">
      <c r="L31912" s="13"/>
      <c r="M31912" s="14"/>
      <c r="N31912" s="14"/>
      <c r="O31912" s="14"/>
      <c r="P31912" s="13"/>
    </row>
    <row r="31913">
      <c r="L31913" s="13"/>
      <c r="M31913" s="14"/>
      <c r="N31913" s="14"/>
      <c r="O31913" s="14"/>
      <c r="P31913" s="13"/>
    </row>
    <row r="31914">
      <c r="L31914" s="13"/>
      <c r="M31914" s="14"/>
      <c r="N31914" s="14"/>
      <c r="O31914" s="14"/>
      <c r="P31914" s="13"/>
    </row>
    <row r="31915">
      <c r="L31915" s="13"/>
      <c r="M31915" s="14"/>
      <c r="N31915" s="14"/>
      <c r="O31915" s="14"/>
      <c r="P31915" s="13"/>
    </row>
    <row r="31916">
      <c r="L31916" s="13"/>
      <c r="M31916" s="14"/>
      <c r="N31916" s="14"/>
      <c r="O31916" s="14"/>
      <c r="P31916" s="13"/>
    </row>
    <row r="31917">
      <c r="L31917" s="13"/>
      <c r="M31917" s="14"/>
      <c r="N31917" s="14"/>
      <c r="O31917" s="14"/>
      <c r="P31917" s="13"/>
    </row>
    <row r="31918">
      <c r="L31918" s="13"/>
      <c r="M31918" s="14"/>
      <c r="N31918" s="14"/>
      <c r="O31918" s="14"/>
      <c r="P31918" s="13"/>
    </row>
    <row r="31919">
      <c r="L31919" s="13"/>
      <c r="M31919" s="14"/>
      <c r="N31919" s="14"/>
      <c r="O31919" s="14"/>
      <c r="P31919" s="13"/>
    </row>
    <row r="31920">
      <c r="L31920" s="13"/>
      <c r="M31920" s="14"/>
      <c r="N31920" s="14"/>
      <c r="O31920" s="14"/>
      <c r="P31920" s="13"/>
    </row>
    <row r="31921">
      <c r="L31921" s="13"/>
      <c r="M31921" s="14"/>
      <c r="N31921" s="14"/>
      <c r="O31921" s="14"/>
      <c r="P31921" s="13"/>
    </row>
    <row r="31922">
      <c r="L31922" s="13"/>
      <c r="M31922" s="14"/>
      <c r="N31922" s="14"/>
      <c r="O31922" s="14"/>
      <c r="P31922" s="13"/>
    </row>
    <row r="31923">
      <c r="L31923" s="13"/>
      <c r="M31923" s="14"/>
      <c r="N31923" s="14"/>
      <c r="O31923" s="14"/>
      <c r="P31923" s="13"/>
    </row>
    <row r="31924">
      <c r="L31924" s="13"/>
      <c r="M31924" s="14"/>
      <c r="N31924" s="14"/>
      <c r="O31924" s="14"/>
      <c r="P31924" s="13"/>
    </row>
    <row r="31925">
      <c r="L31925" s="13"/>
      <c r="M31925" s="14"/>
      <c r="N31925" s="14"/>
      <c r="O31925" s="14"/>
      <c r="P31925" s="13"/>
    </row>
    <row r="31926">
      <c r="L31926" s="13"/>
      <c r="M31926" s="14"/>
      <c r="N31926" s="14"/>
      <c r="O31926" s="14"/>
      <c r="P31926" s="13"/>
    </row>
    <row r="31927">
      <c r="L31927" s="13"/>
      <c r="M31927" s="14"/>
      <c r="N31927" s="14"/>
      <c r="O31927" s="14"/>
      <c r="P31927" s="13"/>
    </row>
    <row r="31928">
      <c r="L31928" s="13"/>
      <c r="M31928" s="14"/>
      <c r="N31928" s="14"/>
      <c r="O31928" s="14"/>
      <c r="P31928" s="13"/>
    </row>
    <row r="31929">
      <c r="L31929" s="13"/>
      <c r="M31929" s="14"/>
      <c r="N31929" s="14"/>
      <c r="O31929" s="14"/>
      <c r="P31929" s="13"/>
    </row>
    <row r="31930">
      <c r="L31930" s="13"/>
      <c r="M31930" s="14"/>
      <c r="N31930" s="14"/>
      <c r="O31930" s="14"/>
      <c r="P31930" s="13"/>
    </row>
    <row r="31931">
      <c r="L31931" s="13"/>
      <c r="M31931" s="14"/>
      <c r="N31931" s="14"/>
      <c r="O31931" s="14"/>
      <c r="P31931" s="13"/>
    </row>
    <row r="31932">
      <c r="L31932" s="13"/>
      <c r="M31932" s="14"/>
      <c r="N31932" s="14"/>
      <c r="O31932" s="14"/>
      <c r="P31932" s="13"/>
    </row>
    <row r="31933">
      <c r="L31933" s="13"/>
      <c r="M31933" s="14"/>
      <c r="N31933" s="14"/>
      <c r="O31933" s="14"/>
      <c r="P31933" s="13"/>
    </row>
    <row r="31934">
      <c r="L31934" s="13"/>
      <c r="M31934" s="14"/>
      <c r="N31934" s="14"/>
      <c r="O31934" s="14"/>
      <c r="P31934" s="13"/>
    </row>
    <row r="31935">
      <c r="L31935" s="13"/>
      <c r="M31935" s="14"/>
      <c r="N31935" s="14"/>
      <c r="O31935" s="14"/>
      <c r="P31935" s="13"/>
    </row>
    <row r="31936">
      <c r="L31936" s="13"/>
      <c r="M31936" s="14"/>
      <c r="N31936" s="14"/>
      <c r="O31936" s="14"/>
      <c r="P31936" s="13"/>
    </row>
    <row r="31937">
      <c r="L31937" s="13"/>
      <c r="M31937" s="14"/>
      <c r="N31937" s="14"/>
      <c r="O31937" s="14"/>
      <c r="P31937" s="13"/>
    </row>
    <row r="31938">
      <c r="L31938" s="13"/>
      <c r="M31938" s="14"/>
      <c r="N31938" s="14"/>
      <c r="O31938" s="14"/>
      <c r="P31938" s="13"/>
    </row>
    <row r="31939">
      <c r="L31939" s="13"/>
      <c r="M31939" s="14"/>
      <c r="N31939" s="14"/>
      <c r="O31939" s="14"/>
      <c r="P31939" s="13"/>
    </row>
    <row r="31940">
      <c r="L31940" s="13"/>
      <c r="M31940" s="14"/>
      <c r="N31940" s="14"/>
      <c r="O31940" s="14"/>
      <c r="P31940" s="13"/>
    </row>
    <row r="31941">
      <c r="L31941" s="13"/>
      <c r="M31941" s="14"/>
      <c r="N31941" s="14"/>
      <c r="O31941" s="14"/>
      <c r="P31941" s="13"/>
    </row>
    <row r="31942">
      <c r="L31942" s="13"/>
      <c r="M31942" s="14"/>
      <c r="N31942" s="14"/>
      <c r="O31942" s="14"/>
      <c r="P31942" s="13"/>
    </row>
    <row r="31943">
      <c r="L31943" s="13"/>
      <c r="M31943" s="14"/>
      <c r="N31943" s="14"/>
      <c r="O31943" s="14"/>
      <c r="P31943" s="13"/>
    </row>
    <row r="31944">
      <c r="L31944" s="13"/>
      <c r="M31944" s="14"/>
      <c r="N31944" s="14"/>
      <c r="O31944" s="14"/>
      <c r="P31944" s="13"/>
    </row>
    <row r="31945">
      <c r="L31945" s="13"/>
      <c r="M31945" s="14"/>
      <c r="N31945" s="14"/>
      <c r="O31945" s="14"/>
      <c r="P31945" s="13"/>
    </row>
    <row r="31946">
      <c r="L31946" s="13"/>
      <c r="M31946" s="14"/>
      <c r="N31946" s="14"/>
      <c r="O31946" s="14"/>
      <c r="P31946" s="13"/>
    </row>
    <row r="31947">
      <c r="L31947" s="13"/>
      <c r="M31947" s="14"/>
      <c r="N31947" s="14"/>
      <c r="O31947" s="14"/>
      <c r="P31947" s="13"/>
    </row>
    <row r="31948">
      <c r="L31948" s="13"/>
      <c r="M31948" s="14"/>
      <c r="N31948" s="14"/>
      <c r="O31948" s="14"/>
      <c r="P31948" s="13"/>
    </row>
    <row r="31949">
      <c r="L31949" s="13"/>
      <c r="M31949" s="14"/>
      <c r="N31949" s="14"/>
      <c r="O31949" s="14"/>
      <c r="P31949" s="13"/>
    </row>
    <row r="31950">
      <c r="L31950" s="13"/>
      <c r="M31950" s="14"/>
      <c r="N31950" s="14"/>
      <c r="O31950" s="14"/>
      <c r="P31950" s="13"/>
    </row>
    <row r="31951">
      <c r="L31951" s="13"/>
      <c r="M31951" s="14"/>
      <c r="N31951" s="14"/>
      <c r="O31951" s="14"/>
      <c r="P31951" s="13"/>
    </row>
    <row r="31952">
      <c r="L31952" s="13"/>
      <c r="M31952" s="14"/>
      <c r="N31952" s="14"/>
      <c r="O31952" s="14"/>
      <c r="P31952" s="13"/>
    </row>
    <row r="31953">
      <c r="L31953" s="13"/>
      <c r="M31953" s="14"/>
      <c r="N31953" s="14"/>
      <c r="O31953" s="14"/>
      <c r="P31953" s="13"/>
    </row>
    <row r="31954">
      <c r="L31954" s="13"/>
      <c r="M31954" s="14"/>
      <c r="N31954" s="14"/>
      <c r="O31954" s="14"/>
      <c r="P31954" s="13"/>
    </row>
    <row r="31955">
      <c r="L31955" s="13"/>
      <c r="M31955" s="14"/>
      <c r="N31955" s="14"/>
      <c r="O31955" s="14"/>
      <c r="P31955" s="13"/>
    </row>
    <row r="31956">
      <c r="L31956" s="13"/>
      <c r="M31956" s="14"/>
      <c r="N31956" s="14"/>
      <c r="O31956" s="14"/>
      <c r="P31956" s="13"/>
    </row>
    <row r="31957">
      <c r="L31957" s="13"/>
      <c r="M31957" s="14"/>
      <c r="N31957" s="14"/>
      <c r="O31957" s="14"/>
      <c r="P31957" s="13"/>
    </row>
    <row r="31958">
      <c r="L31958" s="13"/>
      <c r="M31958" s="14"/>
      <c r="N31958" s="14"/>
      <c r="O31958" s="14"/>
      <c r="P31958" s="13"/>
    </row>
    <row r="31959">
      <c r="L31959" s="13"/>
      <c r="M31959" s="14"/>
      <c r="N31959" s="14"/>
      <c r="O31959" s="14"/>
      <c r="P31959" s="13"/>
    </row>
    <row r="31960">
      <c r="L31960" s="13"/>
      <c r="M31960" s="14"/>
      <c r="N31960" s="14"/>
      <c r="O31960" s="14"/>
      <c r="P31960" s="13"/>
    </row>
    <row r="31961">
      <c r="L31961" s="13"/>
      <c r="M31961" s="14"/>
      <c r="N31961" s="14"/>
      <c r="O31961" s="14"/>
      <c r="P31961" s="13"/>
    </row>
    <row r="31962">
      <c r="L31962" s="13"/>
      <c r="M31962" s="14"/>
      <c r="N31962" s="14"/>
      <c r="O31962" s="14"/>
      <c r="P31962" s="13"/>
    </row>
    <row r="31963">
      <c r="L31963" s="13"/>
      <c r="M31963" s="14"/>
      <c r="N31963" s="14"/>
      <c r="O31963" s="14"/>
      <c r="P31963" s="13"/>
    </row>
    <row r="31964">
      <c r="L31964" s="13"/>
      <c r="M31964" s="14"/>
      <c r="N31964" s="14"/>
      <c r="O31964" s="14"/>
      <c r="P31964" s="13"/>
    </row>
    <row r="31965">
      <c r="L31965" s="13"/>
      <c r="M31965" s="14"/>
      <c r="N31965" s="14"/>
      <c r="O31965" s="14"/>
      <c r="P31965" s="13"/>
    </row>
    <row r="31966">
      <c r="L31966" s="13"/>
      <c r="M31966" s="14"/>
      <c r="N31966" s="14"/>
      <c r="O31966" s="14"/>
      <c r="P31966" s="13"/>
    </row>
    <row r="31967">
      <c r="L31967" s="13"/>
      <c r="M31967" s="14"/>
      <c r="N31967" s="14"/>
      <c r="O31967" s="14"/>
      <c r="P31967" s="13"/>
    </row>
    <row r="31968">
      <c r="L31968" s="13"/>
      <c r="M31968" s="14"/>
      <c r="N31968" s="14"/>
      <c r="O31968" s="14"/>
      <c r="P31968" s="13"/>
    </row>
    <row r="31969">
      <c r="L31969" s="13"/>
      <c r="M31969" s="14"/>
      <c r="N31969" s="14"/>
      <c r="O31969" s="14"/>
      <c r="P31969" s="13"/>
    </row>
    <row r="31970">
      <c r="L31970" s="13"/>
      <c r="M31970" s="14"/>
      <c r="N31970" s="14"/>
      <c r="O31970" s="14"/>
      <c r="P31970" s="13"/>
    </row>
    <row r="31971">
      <c r="L31971" s="13"/>
      <c r="M31971" s="14"/>
      <c r="N31971" s="14"/>
      <c r="O31971" s="14"/>
      <c r="P31971" s="13"/>
    </row>
    <row r="31972">
      <c r="L31972" s="13"/>
      <c r="M31972" s="14"/>
      <c r="N31972" s="14"/>
      <c r="O31972" s="14"/>
      <c r="P31972" s="13"/>
    </row>
    <row r="31973">
      <c r="L31973" s="13"/>
      <c r="M31973" s="14"/>
      <c r="N31973" s="14"/>
      <c r="O31973" s="14"/>
      <c r="P31973" s="13"/>
    </row>
    <row r="31974">
      <c r="L31974" s="13"/>
      <c r="M31974" s="14"/>
      <c r="N31974" s="14"/>
      <c r="O31974" s="14"/>
      <c r="P31974" s="13"/>
    </row>
    <row r="31975">
      <c r="L31975" s="13"/>
      <c r="M31975" s="14"/>
      <c r="N31975" s="14"/>
      <c r="O31975" s="14"/>
      <c r="P31975" s="13"/>
    </row>
    <row r="31976">
      <c r="L31976" s="13"/>
      <c r="M31976" s="14"/>
      <c r="N31976" s="14"/>
      <c r="O31976" s="14"/>
      <c r="P31976" s="13"/>
    </row>
    <row r="31977">
      <c r="L31977" s="13"/>
      <c r="M31977" s="14"/>
      <c r="N31977" s="14"/>
      <c r="O31977" s="14"/>
      <c r="P31977" s="13"/>
    </row>
    <row r="31978">
      <c r="L31978" s="13"/>
      <c r="M31978" s="14"/>
      <c r="N31978" s="14"/>
      <c r="O31978" s="14"/>
      <c r="P31978" s="13"/>
    </row>
    <row r="31979">
      <c r="L31979" s="13"/>
      <c r="M31979" s="14"/>
      <c r="N31979" s="14"/>
      <c r="O31979" s="14"/>
      <c r="P31979" s="13"/>
    </row>
    <row r="31980">
      <c r="L31980" s="13"/>
      <c r="M31980" s="14"/>
      <c r="N31980" s="14"/>
      <c r="O31980" s="14"/>
      <c r="P31980" s="13"/>
    </row>
    <row r="31981">
      <c r="L31981" s="13"/>
      <c r="M31981" s="14"/>
      <c r="N31981" s="14"/>
      <c r="O31981" s="14"/>
      <c r="P31981" s="13"/>
    </row>
    <row r="31982">
      <c r="L31982" s="13"/>
      <c r="M31982" s="14"/>
      <c r="N31982" s="14"/>
      <c r="O31982" s="14"/>
      <c r="P31982" s="13"/>
    </row>
    <row r="31983">
      <c r="L31983" s="13"/>
      <c r="M31983" s="14"/>
      <c r="N31983" s="14"/>
      <c r="O31983" s="14"/>
      <c r="P31983" s="13"/>
    </row>
    <row r="31984">
      <c r="L31984" s="13"/>
      <c r="M31984" s="14"/>
      <c r="N31984" s="14"/>
      <c r="O31984" s="14"/>
      <c r="P31984" s="13"/>
    </row>
    <row r="31985">
      <c r="L31985" s="13"/>
      <c r="M31985" s="14"/>
      <c r="N31985" s="14"/>
      <c r="O31985" s="14"/>
      <c r="P31985" s="13"/>
    </row>
    <row r="31986">
      <c r="L31986" s="13"/>
      <c r="M31986" s="14"/>
      <c r="N31986" s="14"/>
      <c r="O31986" s="14"/>
      <c r="P31986" s="13"/>
    </row>
    <row r="31987">
      <c r="L31987" s="13"/>
      <c r="M31987" s="14"/>
      <c r="N31987" s="14"/>
      <c r="O31987" s="14"/>
      <c r="P31987" s="13"/>
    </row>
    <row r="31988">
      <c r="L31988" s="13"/>
      <c r="M31988" s="14"/>
      <c r="N31988" s="14"/>
      <c r="O31988" s="14"/>
      <c r="P31988" s="13"/>
    </row>
    <row r="31989">
      <c r="L31989" s="13"/>
      <c r="M31989" s="14"/>
      <c r="N31989" s="14"/>
      <c r="O31989" s="14"/>
      <c r="P31989" s="13"/>
    </row>
    <row r="31990">
      <c r="L31990" s="13"/>
      <c r="M31990" s="14"/>
      <c r="N31990" s="14"/>
      <c r="O31990" s="14"/>
      <c r="P31990" s="13"/>
    </row>
    <row r="31991">
      <c r="L31991" s="13"/>
      <c r="M31991" s="14"/>
      <c r="N31991" s="14"/>
      <c r="O31991" s="14"/>
      <c r="P31991" s="13"/>
    </row>
    <row r="31992">
      <c r="L31992" s="13"/>
      <c r="M31992" s="14"/>
      <c r="N31992" s="14"/>
      <c r="O31992" s="14"/>
      <c r="P31992" s="13"/>
    </row>
    <row r="31993">
      <c r="L31993" s="13"/>
      <c r="M31993" s="14"/>
      <c r="N31993" s="14"/>
      <c r="O31993" s="14"/>
      <c r="P31993" s="13"/>
    </row>
    <row r="31994">
      <c r="L31994" s="13"/>
      <c r="M31994" s="14"/>
      <c r="N31994" s="14"/>
      <c r="O31994" s="14"/>
      <c r="P31994" s="13"/>
    </row>
    <row r="31995">
      <c r="L31995" s="13"/>
      <c r="M31995" s="14"/>
      <c r="N31995" s="14"/>
      <c r="O31995" s="14"/>
      <c r="P31995" s="13"/>
    </row>
    <row r="31996">
      <c r="L31996" s="13"/>
      <c r="M31996" s="14"/>
      <c r="N31996" s="14"/>
      <c r="O31996" s="14"/>
      <c r="P31996" s="13"/>
    </row>
    <row r="31997">
      <c r="L31997" s="13"/>
      <c r="M31997" s="14"/>
      <c r="N31997" s="14"/>
      <c r="O31997" s="14"/>
      <c r="P31997" s="13"/>
    </row>
    <row r="31998">
      <c r="L31998" s="13"/>
      <c r="M31998" s="14"/>
      <c r="N31998" s="14"/>
      <c r="O31998" s="14"/>
      <c r="P31998" s="13"/>
    </row>
    <row r="31999">
      <c r="L31999" s="13"/>
      <c r="M31999" s="14"/>
      <c r="N31999" s="14"/>
      <c r="O31999" s="14"/>
      <c r="P31999" s="13"/>
    </row>
    <row r="32000">
      <c r="L32000" s="13"/>
      <c r="M32000" s="14"/>
      <c r="N32000" s="14"/>
      <c r="O32000" s="14"/>
      <c r="P32000" s="13"/>
    </row>
    <row r="32001">
      <c r="L32001" s="13"/>
      <c r="M32001" s="14"/>
      <c r="N32001" s="14"/>
      <c r="O32001" s="14"/>
      <c r="P32001" s="13"/>
    </row>
    <row r="32002">
      <c r="L32002" s="13"/>
      <c r="M32002" s="14"/>
      <c r="N32002" s="14"/>
      <c r="O32002" s="14"/>
      <c r="P32002" s="13"/>
    </row>
    <row r="32003">
      <c r="L32003" s="13"/>
      <c r="M32003" s="14"/>
      <c r="N32003" s="14"/>
      <c r="O32003" s="14"/>
      <c r="P32003" s="13"/>
    </row>
    <row r="32004">
      <c r="L32004" s="13"/>
      <c r="M32004" s="14"/>
      <c r="N32004" s="14"/>
      <c r="O32004" s="14"/>
      <c r="P32004" s="13"/>
    </row>
    <row r="32005">
      <c r="L32005" s="13"/>
      <c r="M32005" s="14"/>
      <c r="N32005" s="14"/>
      <c r="O32005" s="14"/>
      <c r="P32005" s="13"/>
    </row>
    <row r="32006">
      <c r="L32006" s="13"/>
      <c r="M32006" s="14"/>
      <c r="N32006" s="14"/>
      <c r="O32006" s="14"/>
      <c r="P32006" s="13"/>
    </row>
    <row r="32007">
      <c r="L32007" s="13"/>
      <c r="M32007" s="14"/>
      <c r="N32007" s="14"/>
      <c r="O32007" s="14"/>
      <c r="P32007" s="13"/>
    </row>
    <row r="32008">
      <c r="L32008" s="13"/>
      <c r="M32008" s="14"/>
      <c r="N32008" s="14"/>
      <c r="O32008" s="14"/>
      <c r="P32008" s="13"/>
    </row>
    <row r="32009">
      <c r="L32009" s="13"/>
      <c r="M32009" s="14"/>
      <c r="N32009" s="14"/>
      <c r="O32009" s="14"/>
      <c r="P32009" s="13"/>
    </row>
    <row r="32010">
      <c r="L32010" s="13"/>
      <c r="M32010" s="14"/>
      <c r="N32010" s="14"/>
      <c r="O32010" s="14"/>
      <c r="P32010" s="13"/>
    </row>
    <row r="32011">
      <c r="L32011" s="13"/>
      <c r="M32011" s="14"/>
      <c r="N32011" s="14"/>
      <c r="O32011" s="14"/>
      <c r="P32011" s="13"/>
    </row>
    <row r="32012">
      <c r="L32012" s="13"/>
      <c r="M32012" s="14"/>
      <c r="N32012" s="14"/>
      <c r="O32012" s="14"/>
      <c r="P32012" s="13"/>
    </row>
    <row r="32013">
      <c r="L32013" s="13"/>
      <c r="M32013" s="14"/>
      <c r="N32013" s="14"/>
      <c r="O32013" s="14"/>
      <c r="P32013" s="13"/>
    </row>
    <row r="32014">
      <c r="L32014" s="13"/>
      <c r="M32014" s="14"/>
      <c r="N32014" s="14"/>
      <c r="O32014" s="14"/>
      <c r="P32014" s="13"/>
    </row>
    <row r="32015">
      <c r="L32015" s="13"/>
      <c r="M32015" s="14"/>
      <c r="N32015" s="14"/>
      <c r="O32015" s="14"/>
      <c r="P32015" s="13"/>
    </row>
    <row r="32016">
      <c r="L32016" s="13"/>
      <c r="M32016" s="14"/>
      <c r="N32016" s="14"/>
      <c r="O32016" s="14"/>
      <c r="P32016" s="13"/>
    </row>
    <row r="32017">
      <c r="L32017" s="13"/>
      <c r="M32017" s="14"/>
      <c r="N32017" s="14"/>
      <c r="O32017" s="14"/>
      <c r="P32017" s="13"/>
    </row>
    <row r="32018">
      <c r="L32018" s="13"/>
      <c r="M32018" s="14"/>
      <c r="N32018" s="14"/>
      <c r="O32018" s="14"/>
      <c r="P32018" s="13"/>
    </row>
    <row r="32019">
      <c r="L32019" s="13"/>
      <c r="M32019" s="14"/>
      <c r="N32019" s="14"/>
      <c r="O32019" s="14"/>
      <c r="P32019" s="13"/>
    </row>
    <row r="32020">
      <c r="L32020" s="13"/>
      <c r="M32020" s="14"/>
      <c r="N32020" s="14"/>
      <c r="O32020" s="14"/>
      <c r="P32020" s="13"/>
    </row>
    <row r="32021">
      <c r="L32021" s="13"/>
      <c r="M32021" s="14"/>
      <c r="N32021" s="14"/>
      <c r="O32021" s="14"/>
      <c r="P32021" s="13"/>
    </row>
    <row r="32022">
      <c r="L32022" s="13"/>
      <c r="M32022" s="14"/>
      <c r="N32022" s="14"/>
      <c r="O32022" s="14"/>
      <c r="P32022" s="13"/>
    </row>
    <row r="32023">
      <c r="L32023" s="13"/>
      <c r="M32023" s="14"/>
      <c r="N32023" s="14"/>
      <c r="O32023" s="14"/>
      <c r="P32023" s="13"/>
    </row>
    <row r="32024">
      <c r="L32024" s="13"/>
      <c r="M32024" s="14"/>
      <c r="N32024" s="14"/>
      <c r="O32024" s="14"/>
      <c r="P32024" s="13"/>
    </row>
    <row r="32025">
      <c r="L32025" s="13"/>
      <c r="M32025" s="14"/>
      <c r="N32025" s="14"/>
      <c r="O32025" s="14"/>
      <c r="P32025" s="13"/>
    </row>
    <row r="32026">
      <c r="L32026" s="13"/>
      <c r="M32026" s="14"/>
      <c r="N32026" s="14"/>
      <c r="O32026" s="14"/>
      <c r="P32026" s="13"/>
    </row>
    <row r="32027">
      <c r="L32027" s="13"/>
      <c r="M32027" s="14"/>
      <c r="N32027" s="14"/>
      <c r="O32027" s="14"/>
      <c r="P32027" s="13"/>
    </row>
    <row r="32028">
      <c r="L32028" s="13"/>
      <c r="M32028" s="14"/>
      <c r="N32028" s="14"/>
      <c r="O32028" s="14"/>
      <c r="P32028" s="13"/>
    </row>
    <row r="32029">
      <c r="L32029" s="13"/>
      <c r="M32029" s="14"/>
      <c r="N32029" s="14"/>
      <c r="O32029" s="14"/>
      <c r="P32029" s="13"/>
    </row>
    <row r="32030">
      <c r="L32030" s="13"/>
      <c r="M32030" s="14"/>
      <c r="N32030" s="14"/>
      <c r="O32030" s="14"/>
      <c r="P32030" s="13"/>
    </row>
    <row r="32031">
      <c r="L32031" s="13"/>
      <c r="M32031" s="14"/>
      <c r="N32031" s="14"/>
      <c r="O32031" s="14"/>
      <c r="P32031" s="13"/>
    </row>
    <row r="32032">
      <c r="L32032" s="13"/>
      <c r="M32032" s="14"/>
      <c r="N32032" s="14"/>
      <c r="O32032" s="14"/>
      <c r="P32032" s="13"/>
    </row>
    <row r="32033">
      <c r="L32033" s="13"/>
      <c r="M32033" s="14"/>
      <c r="N32033" s="14"/>
      <c r="O32033" s="14"/>
      <c r="P32033" s="13"/>
    </row>
    <row r="32034">
      <c r="L32034" s="13"/>
      <c r="M32034" s="14"/>
      <c r="N32034" s="14"/>
      <c r="O32034" s="14"/>
      <c r="P32034" s="13"/>
    </row>
    <row r="32035">
      <c r="L32035" s="13"/>
      <c r="M32035" s="14"/>
      <c r="N32035" s="14"/>
      <c r="O32035" s="14"/>
      <c r="P32035" s="13"/>
    </row>
    <row r="32036">
      <c r="L32036" s="13"/>
      <c r="M32036" s="14"/>
      <c r="N32036" s="14"/>
      <c r="O32036" s="14"/>
      <c r="P32036" s="13"/>
    </row>
    <row r="32037">
      <c r="L32037" s="13"/>
      <c r="M32037" s="14"/>
      <c r="N32037" s="14"/>
      <c r="O32037" s="14"/>
      <c r="P32037" s="13"/>
    </row>
    <row r="32038">
      <c r="L32038" s="13"/>
      <c r="M32038" s="14"/>
      <c r="N32038" s="14"/>
      <c r="O32038" s="14"/>
      <c r="P32038" s="13"/>
    </row>
    <row r="32039">
      <c r="L32039" s="13"/>
      <c r="M32039" s="14"/>
      <c r="N32039" s="14"/>
      <c r="O32039" s="14"/>
      <c r="P32039" s="13"/>
    </row>
    <row r="32040">
      <c r="L32040" s="13"/>
      <c r="M32040" s="14"/>
      <c r="N32040" s="14"/>
      <c r="O32040" s="14"/>
      <c r="P32040" s="13"/>
    </row>
    <row r="32041">
      <c r="L32041" s="13"/>
      <c r="M32041" s="14"/>
      <c r="N32041" s="14"/>
      <c r="O32041" s="14"/>
      <c r="P32041" s="13"/>
    </row>
    <row r="32042">
      <c r="L32042" s="13"/>
      <c r="M32042" s="14"/>
      <c r="N32042" s="14"/>
      <c r="O32042" s="14"/>
      <c r="P32042" s="13"/>
    </row>
    <row r="32043">
      <c r="L32043" s="13"/>
      <c r="M32043" s="14"/>
      <c r="N32043" s="14"/>
      <c r="O32043" s="14"/>
      <c r="P32043" s="13"/>
    </row>
    <row r="32044">
      <c r="L32044" s="13"/>
      <c r="M32044" s="14"/>
      <c r="N32044" s="14"/>
      <c r="O32044" s="14"/>
      <c r="P32044" s="13"/>
    </row>
    <row r="32045">
      <c r="L32045" s="13"/>
      <c r="M32045" s="14"/>
      <c r="N32045" s="14"/>
      <c r="O32045" s="14"/>
      <c r="P32045" s="13"/>
    </row>
    <row r="32046">
      <c r="L32046" s="13"/>
      <c r="M32046" s="14"/>
      <c r="N32046" s="14"/>
      <c r="O32046" s="14"/>
      <c r="P32046" s="13"/>
    </row>
    <row r="32047">
      <c r="L32047" s="13"/>
      <c r="M32047" s="14"/>
      <c r="N32047" s="14"/>
      <c r="O32047" s="14"/>
      <c r="P32047" s="13"/>
    </row>
    <row r="32048">
      <c r="L32048" s="13"/>
      <c r="M32048" s="14"/>
      <c r="N32048" s="14"/>
      <c r="O32048" s="14"/>
      <c r="P32048" s="13"/>
    </row>
    <row r="32049">
      <c r="L32049" s="13"/>
      <c r="M32049" s="14"/>
      <c r="N32049" s="14"/>
      <c r="O32049" s="14"/>
      <c r="P32049" s="13"/>
    </row>
    <row r="32050">
      <c r="L32050" s="13"/>
      <c r="M32050" s="14"/>
      <c r="N32050" s="14"/>
      <c r="O32050" s="14"/>
      <c r="P32050" s="13"/>
    </row>
    <row r="32051">
      <c r="L32051" s="13"/>
      <c r="M32051" s="14"/>
      <c r="N32051" s="14"/>
      <c r="O32051" s="14"/>
      <c r="P32051" s="13"/>
    </row>
    <row r="32052">
      <c r="L32052" s="13"/>
      <c r="M32052" s="14"/>
      <c r="N32052" s="14"/>
      <c r="O32052" s="14"/>
      <c r="P32052" s="13"/>
    </row>
    <row r="32053">
      <c r="L32053" s="13"/>
      <c r="M32053" s="14"/>
      <c r="N32053" s="14"/>
      <c r="O32053" s="14"/>
      <c r="P32053" s="13"/>
    </row>
    <row r="32054">
      <c r="L32054" s="13"/>
      <c r="M32054" s="14"/>
      <c r="N32054" s="14"/>
      <c r="O32054" s="14"/>
      <c r="P32054" s="13"/>
    </row>
    <row r="32055">
      <c r="L32055" s="13"/>
      <c r="M32055" s="14"/>
      <c r="N32055" s="14"/>
      <c r="O32055" s="14"/>
      <c r="P32055" s="13"/>
    </row>
    <row r="32056">
      <c r="L32056" s="13"/>
      <c r="M32056" s="14"/>
      <c r="N32056" s="14"/>
      <c r="O32056" s="14"/>
      <c r="P32056" s="13"/>
    </row>
    <row r="32057">
      <c r="L32057" s="13"/>
      <c r="M32057" s="14"/>
      <c r="N32057" s="14"/>
      <c r="O32057" s="14"/>
      <c r="P32057" s="13"/>
    </row>
    <row r="32058">
      <c r="L32058" s="13"/>
      <c r="M32058" s="14"/>
      <c r="N32058" s="14"/>
      <c r="O32058" s="14"/>
      <c r="P32058" s="13"/>
    </row>
    <row r="32059">
      <c r="L32059" s="13"/>
      <c r="M32059" s="14"/>
      <c r="N32059" s="14"/>
      <c r="O32059" s="14"/>
      <c r="P32059" s="13"/>
    </row>
    <row r="32060">
      <c r="L32060" s="13"/>
      <c r="M32060" s="14"/>
      <c r="N32060" s="14"/>
      <c r="O32060" s="14"/>
      <c r="P32060" s="13"/>
    </row>
    <row r="32061">
      <c r="L32061" s="13"/>
      <c r="M32061" s="14"/>
      <c r="N32061" s="14"/>
      <c r="O32061" s="14"/>
      <c r="P32061" s="13"/>
    </row>
    <row r="32062">
      <c r="L32062" s="13"/>
      <c r="M32062" s="14"/>
      <c r="N32062" s="14"/>
      <c r="O32062" s="14"/>
      <c r="P32062" s="13"/>
    </row>
    <row r="32063">
      <c r="L32063" s="13"/>
      <c r="M32063" s="14"/>
      <c r="N32063" s="14"/>
      <c r="O32063" s="14"/>
      <c r="P32063" s="13"/>
    </row>
    <row r="32064">
      <c r="L32064" s="13"/>
      <c r="M32064" s="14"/>
      <c r="N32064" s="14"/>
      <c r="O32064" s="14"/>
      <c r="P32064" s="13"/>
    </row>
    <row r="32065">
      <c r="L32065" s="13"/>
      <c r="M32065" s="14"/>
      <c r="N32065" s="14"/>
      <c r="O32065" s="14"/>
      <c r="P32065" s="13"/>
    </row>
    <row r="32066">
      <c r="L32066" s="13"/>
      <c r="M32066" s="14"/>
      <c r="N32066" s="14"/>
      <c r="O32066" s="14"/>
      <c r="P32066" s="13"/>
    </row>
    <row r="32067">
      <c r="L32067" s="13"/>
      <c r="M32067" s="14"/>
      <c r="N32067" s="14"/>
      <c r="O32067" s="14"/>
      <c r="P32067" s="13"/>
    </row>
    <row r="32068">
      <c r="L32068" s="13"/>
      <c r="M32068" s="14"/>
      <c r="N32068" s="14"/>
      <c r="O32068" s="14"/>
      <c r="P32068" s="13"/>
    </row>
    <row r="32069">
      <c r="L32069" s="13"/>
      <c r="M32069" s="14"/>
      <c r="N32069" s="14"/>
      <c r="O32069" s="14"/>
      <c r="P32069" s="13"/>
    </row>
    <row r="32070">
      <c r="L32070" s="13"/>
      <c r="M32070" s="14"/>
      <c r="N32070" s="14"/>
      <c r="O32070" s="14"/>
      <c r="P32070" s="13"/>
    </row>
    <row r="32071">
      <c r="L32071" s="13"/>
      <c r="M32071" s="14"/>
      <c r="N32071" s="14"/>
      <c r="O32071" s="14"/>
      <c r="P32071" s="13"/>
    </row>
    <row r="32072">
      <c r="L32072" s="13"/>
      <c r="M32072" s="14"/>
      <c r="N32072" s="14"/>
      <c r="O32072" s="14"/>
      <c r="P32072" s="13"/>
    </row>
    <row r="32073">
      <c r="L32073" s="13"/>
      <c r="M32073" s="14"/>
      <c r="N32073" s="14"/>
      <c r="O32073" s="14"/>
      <c r="P32073" s="13"/>
    </row>
    <row r="32074">
      <c r="L32074" s="13"/>
      <c r="M32074" s="14"/>
      <c r="N32074" s="14"/>
      <c r="O32074" s="14"/>
      <c r="P32074" s="13"/>
    </row>
    <row r="32075">
      <c r="L32075" s="13"/>
      <c r="M32075" s="14"/>
      <c r="N32075" s="14"/>
      <c r="O32075" s="14"/>
      <c r="P32075" s="13"/>
    </row>
    <row r="32076">
      <c r="L32076" s="13"/>
      <c r="M32076" s="14"/>
      <c r="N32076" s="14"/>
      <c r="O32076" s="14"/>
      <c r="P32076" s="13"/>
    </row>
    <row r="32077">
      <c r="L32077" s="13"/>
      <c r="M32077" s="14"/>
      <c r="N32077" s="14"/>
      <c r="O32077" s="14"/>
      <c r="P32077" s="13"/>
    </row>
    <row r="32078">
      <c r="L32078" s="13"/>
      <c r="M32078" s="14"/>
      <c r="N32078" s="14"/>
      <c r="O32078" s="14"/>
      <c r="P32078" s="13"/>
    </row>
    <row r="32079">
      <c r="L32079" s="13"/>
      <c r="M32079" s="14"/>
      <c r="N32079" s="14"/>
      <c r="O32079" s="14"/>
      <c r="P32079" s="13"/>
    </row>
    <row r="32080">
      <c r="L32080" s="13"/>
      <c r="M32080" s="14"/>
      <c r="N32080" s="14"/>
      <c r="O32080" s="14"/>
      <c r="P32080" s="13"/>
    </row>
    <row r="32081">
      <c r="L32081" s="13"/>
      <c r="M32081" s="14"/>
      <c r="N32081" s="14"/>
      <c r="O32081" s="14"/>
      <c r="P32081" s="13"/>
    </row>
    <row r="32082">
      <c r="L32082" s="13"/>
      <c r="M32082" s="14"/>
      <c r="N32082" s="14"/>
      <c r="O32082" s="14"/>
      <c r="P32082" s="13"/>
    </row>
    <row r="32083">
      <c r="L32083" s="13"/>
      <c r="M32083" s="14"/>
      <c r="N32083" s="14"/>
      <c r="O32083" s="14"/>
      <c r="P32083" s="13"/>
    </row>
    <row r="32084">
      <c r="L32084" s="13"/>
      <c r="M32084" s="14"/>
      <c r="N32084" s="14"/>
      <c r="O32084" s="14"/>
      <c r="P32084" s="13"/>
    </row>
    <row r="32085">
      <c r="L32085" s="13"/>
      <c r="M32085" s="14"/>
      <c r="N32085" s="14"/>
      <c r="O32085" s="14"/>
      <c r="P32085" s="13"/>
    </row>
    <row r="32086">
      <c r="L32086" s="13"/>
      <c r="M32086" s="14"/>
      <c r="N32086" s="14"/>
      <c r="O32086" s="14"/>
      <c r="P32086" s="13"/>
    </row>
    <row r="32087">
      <c r="L32087" s="13"/>
      <c r="M32087" s="14"/>
      <c r="N32087" s="14"/>
      <c r="O32087" s="14"/>
      <c r="P32087" s="13"/>
    </row>
    <row r="32088">
      <c r="L32088" s="13"/>
      <c r="M32088" s="14"/>
      <c r="N32088" s="14"/>
      <c r="O32088" s="14"/>
      <c r="P32088" s="13"/>
    </row>
    <row r="32089">
      <c r="L32089" s="13"/>
      <c r="M32089" s="14"/>
      <c r="N32089" s="14"/>
      <c r="O32089" s="14"/>
      <c r="P32089" s="13"/>
    </row>
    <row r="32090">
      <c r="L32090" s="13"/>
      <c r="M32090" s="14"/>
      <c r="N32090" s="14"/>
      <c r="O32090" s="14"/>
      <c r="P32090" s="13"/>
    </row>
    <row r="32091">
      <c r="L32091" s="13"/>
      <c r="M32091" s="14"/>
      <c r="N32091" s="14"/>
      <c r="O32091" s="14"/>
      <c r="P32091" s="13"/>
    </row>
    <row r="32092">
      <c r="L32092" s="13"/>
      <c r="M32092" s="14"/>
      <c r="N32092" s="14"/>
      <c r="O32092" s="14"/>
      <c r="P32092" s="13"/>
    </row>
    <row r="32093">
      <c r="L32093" s="13"/>
      <c r="M32093" s="14"/>
      <c r="N32093" s="14"/>
      <c r="O32093" s="14"/>
      <c r="P32093" s="13"/>
    </row>
    <row r="32094">
      <c r="L32094" s="13"/>
      <c r="M32094" s="14"/>
      <c r="N32094" s="14"/>
      <c r="O32094" s="14"/>
      <c r="P32094" s="13"/>
    </row>
    <row r="32095">
      <c r="L32095" s="13"/>
      <c r="M32095" s="14"/>
      <c r="N32095" s="14"/>
      <c r="O32095" s="14"/>
      <c r="P32095" s="13"/>
    </row>
    <row r="32096">
      <c r="L32096" s="13"/>
      <c r="M32096" s="14"/>
      <c r="N32096" s="14"/>
      <c r="O32096" s="14"/>
      <c r="P32096" s="13"/>
    </row>
    <row r="32097">
      <c r="L32097" s="13"/>
      <c r="M32097" s="14"/>
      <c r="N32097" s="14"/>
      <c r="O32097" s="14"/>
      <c r="P32097" s="13"/>
    </row>
    <row r="32098">
      <c r="L32098" s="13"/>
      <c r="M32098" s="14"/>
      <c r="N32098" s="14"/>
      <c r="O32098" s="14"/>
      <c r="P32098" s="13"/>
    </row>
    <row r="32099">
      <c r="L32099" s="13"/>
      <c r="M32099" s="14"/>
      <c r="N32099" s="14"/>
      <c r="O32099" s="14"/>
      <c r="P32099" s="13"/>
    </row>
    <row r="32100">
      <c r="L32100" s="13"/>
      <c r="M32100" s="14"/>
      <c r="N32100" s="14"/>
      <c r="O32100" s="14"/>
      <c r="P32100" s="13"/>
    </row>
    <row r="32101">
      <c r="L32101" s="13"/>
      <c r="M32101" s="14"/>
      <c r="N32101" s="14"/>
      <c r="O32101" s="14"/>
      <c r="P32101" s="13"/>
    </row>
    <row r="32102">
      <c r="L32102" s="13"/>
      <c r="M32102" s="14"/>
      <c r="N32102" s="14"/>
      <c r="O32102" s="14"/>
      <c r="P32102" s="13"/>
    </row>
    <row r="32103">
      <c r="L32103" s="13"/>
      <c r="M32103" s="14"/>
      <c r="N32103" s="14"/>
      <c r="O32103" s="14"/>
      <c r="P32103" s="13"/>
    </row>
    <row r="32104">
      <c r="L32104" s="13"/>
      <c r="M32104" s="14"/>
      <c r="N32104" s="14"/>
      <c r="O32104" s="14"/>
      <c r="P32104" s="13"/>
    </row>
    <row r="32105">
      <c r="L32105" s="13"/>
      <c r="M32105" s="14"/>
      <c r="N32105" s="14"/>
      <c r="O32105" s="14"/>
      <c r="P32105" s="13"/>
    </row>
    <row r="32106">
      <c r="L32106" s="13"/>
      <c r="M32106" s="14"/>
      <c r="N32106" s="14"/>
      <c r="O32106" s="14"/>
      <c r="P32106" s="13"/>
    </row>
    <row r="32107">
      <c r="L32107" s="13"/>
      <c r="M32107" s="14"/>
      <c r="N32107" s="14"/>
      <c r="O32107" s="14"/>
      <c r="P32107" s="13"/>
    </row>
    <row r="32108">
      <c r="L32108" s="13"/>
      <c r="M32108" s="14"/>
      <c r="N32108" s="14"/>
      <c r="O32108" s="14"/>
      <c r="P32108" s="13"/>
    </row>
    <row r="32109">
      <c r="L32109" s="13"/>
      <c r="M32109" s="14"/>
      <c r="N32109" s="14"/>
      <c r="O32109" s="14"/>
      <c r="P32109" s="13"/>
    </row>
    <row r="32110">
      <c r="L32110" s="13"/>
      <c r="M32110" s="14"/>
      <c r="N32110" s="14"/>
      <c r="O32110" s="14"/>
      <c r="P32110" s="13"/>
    </row>
    <row r="32111">
      <c r="L32111" s="13"/>
      <c r="M32111" s="14"/>
      <c r="N32111" s="14"/>
      <c r="O32111" s="14"/>
      <c r="P32111" s="13"/>
    </row>
    <row r="32112">
      <c r="L32112" s="13"/>
      <c r="M32112" s="14"/>
      <c r="N32112" s="14"/>
      <c r="O32112" s="14"/>
      <c r="P32112" s="13"/>
    </row>
    <row r="32113">
      <c r="L32113" s="13"/>
      <c r="M32113" s="14"/>
      <c r="N32113" s="14"/>
      <c r="O32113" s="14"/>
      <c r="P32113" s="13"/>
    </row>
    <row r="32114">
      <c r="L32114" s="13"/>
      <c r="M32114" s="14"/>
      <c r="N32114" s="14"/>
      <c r="O32114" s="14"/>
      <c r="P32114" s="13"/>
    </row>
    <row r="32115">
      <c r="L32115" s="13"/>
      <c r="M32115" s="14"/>
      <c r="N32115" s="14"/>
      <c r="O32115" s="14"/>
      <c r="P32115" s="13"/>
    </row>
    <row r="32116">
      <c r="L32116" s="13"/>
      <c r="M32116" s="14"/>
      <c r="N32116" s="14"/>
      <c r="O32116" s="14"/>
      <c r="P32116" s="13"/>
    </row>
    <row r="32117">
      <c r="L32117" s="13"/>
      <c r="M32117" s="14"/>
      <c r="N32117" s="14"/>
      <c r="O32117" s="14"/>
      <c r="P32117" s="13"/>
    </row>
    <row r="32118">
      <c r="L32118" s="13"/>
      <c r="M32118" s="14"/>
      <c r="N32118" s="14"/>
      <c r="O32118" s="14"/>
      <c r="P32118" s="13"/>
    </row>
    <row r="32119">
      <c r="L32119" s="13"/>
      <c r="M32119" s="14"/>
      <c r="N32119" s="14"/>
      <c r="O32119" s="14"/>
      <c r="P32119" s="13"/>
    </row>
    <row r="32120">
      <c r="L32120" s="13"/>
      <c r="M32120" s="14"/>
      <c r="N32120" s="14"/>
      <c r="O32120" s="14"/>
      <c r="P32120" s="13"/>
    </row>
    <row r="32121">
      <c r="L32121" s="13"/>
      <c r="M32121" s="14"/>
      <c r="N32121" s="14"/>
      <c r="O32121" s="14"/>
      <c r="P32121" s="13"/>
    </row>
    <row r="32122">
      <c r="L32122" s="13"/>
      <c r="M32122" s="14"/>
      <c r="N32122" s="14"/>
      <c r="O32122" s="14"/>
      <c r="P32122" s="13"/>
    </row>
    <row r="32123">
      <c r="L32123" s="13"/>
      <c r="M32123" s="14"/>
      <c r="N32123" s="14"/>
      <c r="O32123" s="14"/>
      <c r="P32123" s="13"/>
    </row>
    <row r="32124">
      <c r="L32124" s="13"/>
      <c r="M32124" s="14"/>
      <c r="N32124" s="14"/>
      <c r="O32124" s="14"/>
      <c r="P32124" s="13"/>
    </row>
    <row r="32125">
      <c r="L32125" s="13"/>
      <c r="M32125" s="14"/>
      <c r="N32125" s="14"/>
      <c r="O32125" s="14"/>
      <c r="P32125" s="13"/>
    </row>
    <row r="32126">
      <c r="L32126" s="13"/>
      <c r="M32126" s="14"/>
      <c r="N32126" s="14"/>
      <c r="O32126" s="14"/>
      <c r="P32126" s="13"/>
    </row>
    <row r="32127">
      <c r="L32127" s="13"/>
      <c r="M32127" s="14"/>
      <c r="N32127" s="14"/>
      <c r="O32127" s="14"/>
      <c r="P32127" s="13"/>
    </row>
    <row r="32128">
      <c r="L32128" s="13"/>
      <c r="M32128" s="14"/>
      <c r="N32128" s="14"/>
      <c r="O32128" s="14"/>
      <c r="P32128" s="13"/>
    </row>
    <row r="32129">
      <c r="L32129" s="13"/>
      <c r="M32129" s="14"/>
      <c r="N32129" s="14"/>
      <c r="O32129" s="14"/>
      <c r="P32129" s="13"/>
    </row>
    <row r="32130">
      <c r="L32130" s="13"/>
      <c r="M32130" s="14"/>
      <c r="N32130" s="14"/>
      <c r="O32130" s="14"/>
      <c r="P32130" s="13"/>
    </row>
    <row r="32131">
      <c r="L32131" s="13"/>
      <c r="M32131" s="14"/>
      <c r="N32131" s="14"/>
      <c r="O32131" s="14"/>
      <c r="P32131" s="13"/>
    </row>
    <row r="32132">
      <c r="L32132" s="13"/>
      <c r="M32132" s="14"/>
      <c r="N32132" s="14"/>
      <c r="O32132" s="14"/>
      <c r="P32132" s="13"/>
    </row>
    <row r="32133">
      <c r="L32133" s="13"/>
      <c r="M32133" s="14"/>
      <c r="N32133" s="14"/>
      <c r="O32133" s="14"/>
      <c r="P32133" s="13"/>
    </row>
    <row r="32134">
      <c r="L32134" s="13"/>
      <c r="M32134" s="14"/>
      <c r="N32134" s="14"/>
      <c r="O32134" s="14"/>
      <c r="P32134" s="13"/>
    </row>
    <row r="32135">
      <c r="L32135" s="13"/>
      <c r="M32135" s="14"/>
      <c r="N32135" s="14"/>
      <c r="O32135" s="14"/>
      <c r="P32135" s="13"/>
    </row>
    <row r="32136">
      <c r="L32136" s="13"/>
      <c r="M32136" s="14"/>
      <c r="N32136" s="14"/>
      <c r="O32136" s="14"/>
      <c r="P32136" s="13"/>
    </row>
    <row r="32137">
      <c r="L32137" s="13"/>
      <c r="M32137" s="14"/>
      <c r="N32137" s="14"/>
      <c r="O32137" s="14"/>
      <c r="P32137" s="13"/>
    </row>
    <row r="32138">
      <c r="L32138" s="13"/>
      <c r="M32138" s="14"/>
      <c r="N32138" s="14"/>
      <c r="O32138" s="14"/>
      <c r="P32138" s="13"/>
    </row>
    <row r="32139">
      <c r="L32139" s="13"/>
      <c r="M32139" s="14"/>
      <c r="N32139" s="14"/>
      <c r="O32139" s="14"/>
      <c r="P32139" s="13"/>
    </row>
    <row r="32140">
      <c r="L32140" s="13"/>
      <c r="M32140" s="14"/>
      <c r="N32140" s="14"/>
      <c r="O32140" s="14"/>
      <c r="P32140" s="13"/>
    </row>
    <row r="32141">
      <c r="L32141" s="13"/>
      <c r="M32141" s="14"/>
      <c r="N32141" s="14"/>
      <c r="O32141" s="14"/>
      <c r="P32141" s="13"/>
    </row>
    <row r="32142">
      <c r="L32142" s="13"/>
      <c r="M32142" s="14"/>
      <c r="N32142" s="14"/>
      <c r="O32142" s="14"/>
      <c r="P32142" s="13"/>
    </row>
    <row r="32143">
      <c r="L32143" s="13"/>
      <c r="M32143" s="14"/>
      <c r="N32143" s="14"/>
      <c r="O32143" s="14"/>
      <c r="P32143" s="13"/>
    </row>
    <row r="32144">
      <c r="L32144" s="13"/>
      <c r="M32144" s="14"/>
      <c r="N32144" s="14"/>
      <c r="O32144" s="14"/>
      <c r="P32144" s="13"/>
    </row>
    <row r="32145">
      <c r="L32145" s="13"/>
      <c r="M32145" s="14"/>
      <c r="N32145" s="14"/>
      <c r="O32145" s="14"/>
      <c r="P32145" s="13"/>
    </row>
    <row r="32146">
      <c r="L32146" s="13"/>
      <c r="M32146" s="14"/>
      <c r="N32146" s="14"/>
      <c r="O32146" s="14"/>
      <c r="P32146" s="13"/>
    </row>
    <row r="32147">
      <c r="L32147" s="13"/>
      <c r="M32147" s="14"/>
      <c r="N32147" s="14"/>
      <c r="O32147" s="14"/>
      <c r="P32147" s="13"/>
    </row>
    <row r="32148">
      <c r="L32148" s="13"/>
      <c r="M32148" s="14"/>
      <c r="N32148" s="14"/>
      <c r="O32148" s="14"/>
      <c r="P32148" s="13"/>
    </row>
    <row r="32149">
      <c r="L32149" s="13"/>
      <c r="M32149" s="14"/>
      <c r="N32149" s="14"/>
      <c r="O32149" s="14"/>
      <c r="P32149" s="13"/>
    </row>
    <row r="32150">
      <c r="L32150" s="13"/>
      <c r="M32150" s="14"/>
      <c r="N32150" s="14"/>
      <c r="O32150" s="14"/>
      <c r="P32150" s="13"/>
    </row>
    <row r="32151">
      <c r="L32151" s="13"/>
      <c r="M32151" s="14"/>
      <c r="N32151" s="14"/>
      <c r="O32151" s="14"/>
      <c r="P32151" s="13"/>
    </row>
    <row r="32152">
      <c r="L32152" s="13"/>
      <c r="M32152" s="14"/>
      <c r="N32152" s="14"/>
      <c r="O32152" s="14"/>
      <c r="P32152" s="13"/>
    </row>
    <row r="32153">
      <c r="L32153" s="13"/>
      <c r="M32153" s="14"/>
      <c r="N32153" s="14"/>
      <c r="O32153" s="14"/>
      <c r="P32153" s="13"/>
    </row>
    <row r="32154">
      <c r="L32154" s="13"/>
      <c r="M32154" s="14"/>
      <c r="N32154" s="14"/>
      <c r="O32154" s="14"/>
      <c r="P32154" s="13"/>
    </row>
    <row r="32155">
      <c r="L32155" s="13"/>
      <c r="M32155" s="14"/>
      <c r="N32155" s="14"/>
      <c r="O32155" s="14"/>
      <c r="P32155" s="13"/>
    </row>
    <row r="32156">
      <c r="L32156" s="13"/>
      <c r="M32156" s="14"/>
      <c r="N32156" s="14"/>
      <c r="O32156" s="14"/>
      <c r="P32156" s="13"/>
    </row>
    <row r="32157">
      <c r="L32157" s="13"/>
      <c r="M32157" s="14"/>
      <c r="N32157" s="14"/>
      <c r="O32157" s="14"/>
      <c r="P32157" s="13"/>
    </row>
    <row r="32158">
      <c r="L32158" s="13"/>
      <c r="M32158" s="14"/>
      <c r="N32158" s="14"/>
      <c r="O32158" s="14"/>
      <c r="P32158" s="13"/>
    </row>
    <row r="32159">
      <c r="L32159" s="13"/>
      <c r="M32159" s="14"/>
      <c r="N32159" s="14"/>
      <c r="O32159" s="14"/>
      <c r="P32159" s="13"/>
    </row>
    <row r="32160">
      <c r="L32160" s="13"/>
      <c r="M32160" s="14"/>
      <c r="N32160" s="14"/>
      <c r="O32160" s="14"/>
      <c r="P32160" s="13"/>
    </row>
    <row r="32161">
      <c r="L32161" s="13"/>
      <c r="M32161" s="14"/>
      <c r="N32161" s="14"/>
      <c r="O32161" s="14"/>
      <c r="P32161" s="13"/>
    </row>
    <row r="32162">
      <c r="L32162" s="13"/>
      <c r="M32162" s="14"/>
      <c r="N32162" s="14"/>
      <c r="O32162" s="14"/>
      <c r="P32162" s="13"/>
    </row>
    <row r="32163">
      <c r="L32163" s="13"/>
      <c r="M32163" s="14"/>
      <c r="N32163" s="14"/>
      <c r="O32163" s="14"/>
      <c r="P32163" s="13"/>
    </row>
    <row r="32164">
      <c r="L32164" s="13"/>
      <c r="M32164" s="14"/>
      <c r="N32164" s="14"/>
      <c r="O32164" s="14"/>
      <c r="P32164" s="13"/>
    </row>
    <row r="32165">
      <c r="L32165" s="13"/>
      <c r="M32165" s="14"/>
      <c r="N32165" s="14"/>
      <c r="O32165" s="14"/>
      <c r="P32165" s="13"/>
    </row>
    <row r="32166">
      <c r="L32166" s="13"/>
      <c r="M32166" s="14"/>
      <c r="N32166" s="14"/>
      <c r="O32166" s="14"/>
      <c r="P32166" s="13"/>
    </row>
    <row r="32167">
      <c r="L32167" s="13"/>
      <c r="M32167" s="14"/>
      <c r="N32167" s="14"/>
      <c r="O32167" s="14"/>
      <c r="P32167" s="13"/>
    </row>
    <row r="32168">
      <c r="L32168" s="13"/>
      <c r="M32168" s="14"/>
      <c r="N32168" s="14"/>
      <c r="O32168" s="14"/>
      <c r="P32168" s="13"/>
    </row>
    <row r="32169">
      <c r="L32169" s="13"/>
      <c r="M32169" s="14"/>
      <c r="N32169" s="14"/>
      <c r="O32169" s="14"/>
      <c r="P32169" s="13"/>
    </row>
    <row r="32170">
      <c r="L32170" s="13"/>
      <c r="M32170" s="14"/>
      <c r="N32170" s="14"/>
      <c r="O32170" s="14"/>
      <c r="P32170" s="13"/>
    </row>
    <row r="32171">
      <c r="L32171" s="13"/>
      <c r="M32171" s="14"/>
      <c r="N32171" s="14"/>
      <c r="O32171" s="14"/>
      <c r="P32171" s="13"/>
    </row>
    <row r="32172">
      <c r="L32172" s="13"/>
      <c r="M32172" s="14"/>
      <c r="N32172" s="14"/>
      <c r="O32172" s="14"/>
      <c r="P32172" s="13"/>
    </row>
    <row r="32173">
      <c r="L32173" s="13"/>
      <c r="M32173" s="14"/>
      <c r="N32173" s="14"/>
      <c r="O32173" s="14"/>
      <c r="P32173" s="13"/>
    </row>
    <row r="32174">
      <c r="L32174" s="13"/>
      <c r="M32174" s="14"/>
      <c r="N32174" s="14"/>
      <c r="O32174" s="14"/>
      <c r="P32174" s="13"/>
    </row>
    <row r="32175">
      <c r="L32175" s="13"/>
      <c r="M32175" s="14"/>
      <c r="N32175" s="14"/>
      <c r="O32175" s="14"/>
      <c r="P32175" s="13"/>
    </row>
    <row r="32176">
      <c r="L32176" s="13"/>
      <c r="M32176" s="14"/>
      <c r="N32176" s="14"/>
      <c r="O32176" s="14"/>
      <c r="P32176" s="13"/>
    </row>
    <row r="32177">
      <c r="L32177" s="13"/>
      <c r="M32177" s="14"/>
      <c r="N32177" s="14"/>
      <c r="O32177" s="14"/>
      <c r="P32177" s="13"/>
    </row>
    <row r="32178">
      <c r="L32178" s="13"/>
      <c r="M32178" s="14"/>
      <c r="N32178" s="14"/>
      <c r="O32178" s="14"/>
      <c r="P32178" s="13"/>
    </row>
    <row r="32179">
      <c r="L32179" s="13"/>
      <c r="M32179" s="14"/>
      <c r="N32179" s="14"/>
      <c r="O32179" s="14"/>
      <c r="P32179" s="13"/>
    </row>
    <row r="32180">
      <c r="L32180" s="13"/>
      <c r="M32180" s="14"/>
      <c r="N32180" s="14"/>
      <c r="O32180" s="14"/>
      <c r="P32180" s="13"/>
    </row>
    <row r="32181">
      <c r="L32181" s="13"/>
      <c r="M32181" s="14"/>
      <c r="N32181" s="14"/>
      <c r="O32181" s="14"/>
      <c r="P32181" s="13"/>
    </row>
    <row r="32182">
      <c r="L32182" s="13"/>
      <c r="M32182" s="14"/>
      <c r="N32182" s="14"/>
      <c r="O32182" s="14"/>
      <c r="P32182" s="13"/>
    </row>
    <row r="32183">
      <c r="L32183" s="13"/>
      <c r="M32183" s="14"/>
      <c r="N32183" s="14"/>
      <c r="O32183" s="14"/>
      <c r="P32183" s="13"/>
    </row>
    <row r="32184">
      <c r="L32184" s="13"/>
      <c r="M32184" s="14"/>
      <c r="N32184" s="14"/>
      <c r="O32184" s="14"/>
      <c r="P32184" s="13"/>
    </row>
    <row r="32185">
      <c r="L32185" s="13"/>
      <c r="M32185" s="14"/>
      <c r="N32185" s="14"/>
      <c r="O32185" s="14"/>
      <c r="P32185" s="13"/>
    </row>
    <row r="32186">
      <c r="L32186" s="13"/>
      <c r="M32186" s="14"/>
      <c r="N32186" s="14"/>
      <c r="O32186" s="14"/>
      <c r="P32186" s="13"/>
    </row>
    <row r="32187">
      <c r="L32187" s="13"/>
      <c r="M32187" s="14"/>
      <c r="N32187" s="14"/>
      <c r="O32187" s="14"/>
      <c r="P32187" s="13"/>
    </row>
    <row r="32188">
      <c r="L32188" s="13"/>
      <c r="M32188" s="14"/>
      <c r="N32188" s="14"/>
      <c r="O32188" s="14"/>
      <c r="P32188" s="13"/>
    </row>
    <row r="32189">
      <c r="L32189" s="13"/>
      <c r="M32189" s="14"/>
      <c r="N32189" s="14"/>
      <c r="O32189" s="14"/>
      <c r="P32189" s="13"/>
    </row>
    <row r="32190">
      <c r="L32190" s="13"/>
      <c r="M32190" s="14"/>
      <c r="N32190" s="14"/>
      <c r="O32190" s="14"/>
      <c r="P32190" s="13"/>
    </row>
    <row r="32191">
      <c r="L32191" s="13"/>
      <c r="M32191" s="14"/>
      <c r="N32191" s="14"/>
      <c r="O32191" s="14"/>
      <c r="P32191" s="13"/>
    </row>
    <row r="32192">
      <c r="L32192" s="13"/>
      <c r="M32192" s="14"/>
      <c r="N32192" s="14"/>
      <c r="O32192" s="14"/>
      <c r="P32192" s="13"/>
    </row>
    <row r="32193">
      <c r="L32193" s="13"/>
      <c r="M32193" s="14"/>
      <c r="N32193" s="14"/>
      <c r="O32193" s="14"/>
      <c r="P32193" s="13"/>
    </row>
    <row r="32194">
      <c r="L32194" s="13"/>
      <c r="M32194" s="14"/>
      <c r="N32194" s="14"/>
      <c r="O32194" s="14"/>
      <c r="P32194" s="13"/>
    </row>
    <row r="32195">
      <c r="L32195" s="13"/>
      <c r="M32195" s="14"/>
      <c r="N32195" s="14"/>
      <c r="O32195" s="14"/>
      <c r="P32195" s="13"/>
    </row>
    <row r="32196">
      <c r="L32196" s="13"/>
      <c r="M32196" s="14"/>
      <c r="N32196" s="14"/>
      <c r="O32196" s="14"/>
      <c r="P32196" s="13"/>
    </row>
    <row r="32197">
      <c r="L32197" s="13"/>
      <c r="M32197" s="14"/>
      <c r="N32197" s="14"/>
      <c r="O32197" s="14"/>
      <c r="P32197" s="13"/>
    </row>
    <row r="32198">
      <c r="L32198" s="13"/>
      <c r="M32198" s="14"/>
      <c r="N32198" s="14"/>
      <c r="O32198" s="14"/>
      <c r="P32198" s="13"/>
    </row>
    <row r="32199">
      <c r="L32199" s="13"/>
      <c r="M32199" s="14"/>
      <c r="N32199" s="14"/>
      <c r="O32199" s="14"/>
      <c r="P32199" s="13"/>
    </row>
    <row r="32200">
      <c r="L32200" s="13"/>
      <c r="M32200" s="14"/>
      <c r="N32200" s="14"/>
      <c r="O32200" s="14"/>
      <c r="P32200" s="13"/>
    </row>
    <row r="32201">
      <c r="L32201" s="13"/>
      <c r="M32201" s="14"/>
      <c r="N32201" s="14"/>
      <c r="O32201" s="14"/>
      <c r="P32201" s="13"/>
    </row>
    <row r="32202">
      <c r="L32202" s="13"/>
      <c r="M32202" s="14"/>
      <c r="N32202" s="14"/>
      <c r="O32202" s="14"/>
      <c r="P32202" s="13"/>
    </row>
    <row r="32203">
      <c r="L32203" s="13"/>
      <c r="M32203" s="14"/>
      <c r="N32203" s="14"/>
      <c r="O32203" s="14"/>
      <c r="P32203" s="13"/>
    </row>
    <row r="32204">
      <c r="L32204" s="13"/>
      <c r="M32204" s="14"/>
      <c r="N32204" s="14"/>
      <c r="O32204" s="14"/>
      <c r="P32204" s="13"/>
    </row>
    <row r="32205">
      <c r="L32205" s="13"/>
      <c r="M32205" s="14"/>
      <c r="N32205" s="14"/>
      <c r="O32205" s="14"/>
      <c r="P32205" s="13"/>
    </row>
    <row r="32206">
      <c r="L32206" s="13"/>
      <c r="M32206" s="14"/>
      <c r="N32206" s="14"/>
      <c r="O32206" s="14"/>
      <c r="P32206" s="13"/>
    </row>
    <row r="32207">
      <c r="L32207" s="13"/>
      <c r="M32207" s="14"/>
      <c r="N32207" s="14"/>
      <c r="O32207" s="14"/>
      <c r="P32207" s="13"/>
    </row>
    <row r="32208">
      <c r="L32208" s="13"/>
      <c r="M32208" s="14"/>
      <c r="N32208" s="14"/>
      <c r="O32208" s="14"/>
      <c r="P32208" s="13"/>
    </row>
    <row r="32209">
      <c r="L32209" s="13"/>
      <c r="M32209" s="14"/>
      <c r="N32209" s="14"/>
      <c r="O32209" s="14"/>
      <c r="P32209" s="13"/>
    </row>
    <row r="32210">
      <c r="L32210" s="13"/>
      <c r="M32210" s="14"/>
      <c r="N32210" s="14"/>
      <c r="O32210" s="14"/>
      <c r="P32210" s="13"/>
    </row>
    <row r="32211">
      <c r="L32211" s="13"/>
      <c r="M32211" s="14"/>
      <c r="N32211" s="14"/>
      <c r="O32211" s="14"/>
      <c r="P32211" s="13"/>
    </row>
    <row r="32212">
      <c r="L32212" s="13"/>
      <c r="M32212" s="14"/>
      <c r="N32212" s="14"/>
      <c r="O32212" s="14"/>
      <c r="P32212" s="13"/>
    </row>
    <row r="32213">
      <c r="L32213" s="13"/>
      <c r="M32213" s="14"/>
      <c r="N32213" s="14"/>
      <c r="O32213" s="14"/>
      <c r="P32213" s="13"/>
    </row>
    <row r="32214">
      <c r="L32214" s="13"/>
      <c r="M32214" s="14"/>
      <c r="N32214" s="14"/>
      <c r="O32214" s="14"/>
      <c r="P32214" s="13"/>
    </row>
    <row r="32215">
      <c r="L32215" s="13"/>
      <c r="M32215" s="14"/>
      <c r="N32215" s="14"/>
      <c r="O32215" s="14"/>
      <c r="P32215" s="13"/>
    </row>
    <row r="32216">
      <c r="L32216" s="13"/>
      <c r="M32216" s="14"/>
      <c r="N32216" s="14"/>
      <c r="O32216" s="14"/>
      <c r="P32216" s="13"/>
    </row>
    <row r="32217">
      <c r="L32217" s="13"/>
      <c r="M32217" s="14"/>
      <c r="N32217" s="14"/>
      <c r="O32217" s="14"/>
      <c r="P32217" s="13"/>
    </row>
    <row r="32218">
      <c r="L32218" s="13"/>
      <c r="M32218" s="14"/>
      <c r="N32218" s="14"/>
      <c r="O32218" s="14"/>
      <c r="P32218" s="13"/>
    </row>
    <row r="32219">
      <c r="L32219" s="13"/>
      <c r="M32219" s="14"/>
      <c r="N32219" s="14"/>
      <c r="O32219" s="14"/>
      <c r="P32219" s="13"/>
    </row>
    <row r="32220">
      <c r="L32220" s="13"/>
      <c r="M32220" s="14"/>
      <c r="N32220" s="14"/>
      <c r="O32220" s="14"/>
      <c r="P32220" s="13"/>
    </row>
    <row r="32221">
      <c r="L32221" s="13"/>
      <c r="M32221" s="14"/>
      <c r="N32221" s="14"/>
      <c r="O32221" s="14"/>
      <c r="P32221" s="13"/>
    </row>
    <row r="32222">
      <c r="L32222" s="13"/>
      <c r="M32222" s="14"/>
      <c r="N32222" s="14"/>
      <c r="O32222" s="14"/>
      <c r="P32222" s="13"/>
    </row>
    <row r="32223">
      <c r="L32223" s="13"/>
      <c r="M32223" s="14"/>
      <c r="N32223" s="14"/>
      <c r="O32223" s="14"/>
      <c r="P32223" s="13"/>
    </row>
    <row r="32224">
      <c r="L32224" s="13"/>
      <c r="M32224" s="14"/>
      <c r="N32224" s="14"/>
      <c r="O32224" s="14"/>
      <c r="P32224" s="13"/>
    </row>
    <row r="32225">
      <c r="L32225" s="13"/>
      <c r="M32225" s="14"/>
      <c r="N32225" s="14"/>
      <c r="O32225" s="14"/>
      <c r="P32225" s="13"/>
    </row>
    <row r="32226">
      <c r="L32226" s="13"/>
      <c r="M32226" s="14"/>
      <c r="N32226" s="14"/>
      <c r="O32226" s="14"/>
      <c r="P32226" s="13"/>
    </row>
    <row r="32227">
      <c r="L32227" s="13"/>
      <c r="M32227" s="14"/>
      <c r="N32227" s="14"/>
      <c r="O32227" s="14"/>
      <c r="P32227" s="13"/>
    </row>
    <row r="32228">
      <c r="L32228" s="13"/>
      <c r="M32228" s="14"/>
      <c r="N32228" s="14"/>
      <c r="O32228" s="14"/>
      <c r="P32228" s="13"/>
    </row>
    <row r="32229">
      <c r="L32229" s="13"/>
      <c r="M32229" s="14"/>
      <c r="N32229" s="14"/>
      <c r="O32229" s="14"/>
      <c r="P32229" s="13"/>
    </row>
    <row r="32230">
      <c r="L32230" s="13"/>
      <c r="M32230" s="14"/>
      <c r="N32230" s="14"/>
      <c r="O32230" s="14"/>
      <c r="P32230" s="13"/>
    </row>
    <row r="32231">
      <c r="L32231" s="13"/>
      <c r="M32231" s="14"/>
      <c r="N32231" s="14"/>
      <c r="O32231" s="14"/>
      <c r="P32231" s="13"/>
    </row>
    <row r="32232">
      <c r="L32232" s="13"/>
      <c r="M32232" s="14"/>
      <c r="N32232" s="14"/>
      <c r="O32232" s="14"/>
      <c r="P32232" s="13"/>
    </row>
    <row r="32233">
      <c r="L32233" s="13"/>
      <c r="M32233" s="14"/>
      <c r="N32233" s="14"/>
      <c r="O32233" s="14"/>
      <c r="P32233" s="13"/>
    </row>
    <row r="32234">
      <c r="L32234" s="13"/>
      <c r="M32234" s="14"/>
      <c r="N32234" s="14"/>
      <c r="O32234" s="14"/>
      <c r="P32234" s="13"/>
    </row>
    <row r="32235">
      <c r="L32235" s="13"/>
      <c r="M32235" s="14"/>
      <c r="N32235" s="14"/>
      <c r="O32235" s="14"/>
      <c r="P32235" s="13"/>
    </row>
    <row r="32236">
      <c r="L32236" s="13"/>
      <c r="M32236" s="14"/>
      <c r="N32236" s="14"/>
      <c r="O32236" s="14"/>
      <c r="P32236" s="13"/>
    </row>
    <row r="32237">
      <c r="L32237" s="13"/>
      <c r="M32237" s="14"/>
      <c r="N32237" s="14"/>
      <c r="O32237" s="14"/>
      <c r="P32237" s="13"/>
    </row>
    <row r="32238">
      <c r="L32238" s="13"/>
      <c r="M32238" s="14"/>
      <c r="N32238" s="14"/>
      <c r="O32238" s="14"/>
      <c r="P32238" s="13"/>
    </row>
    <row r="32239">
      <c r="L32239" s="13"/>
      <c r="M32239" s="14"/>
      <c r="N32239" s="14"/>
      <c r="O32239" s="14"/>
      <c r="P32239" s="13"/>
    </row>
    <row r="32240">
      <c r="L32240" s="13"/>
      <c r="M32240" s="14"/>
      <c r="N32240" s="14"/>
      <c r="O32240" s="14"/>
      <c r="P32240" s="13"/>
    </row>
    <row r="32241">
      <c r="L32241" s="13"/>
      <c r="M32241" s="14"/>
      <c r="N32241" s="14"/>
      <c r="O32241" s="14"/>
      <c r="P32241" s="13"/>
    </row>
    <row r="32242">
      <c r="L32242" s="13"/>
      <c r="M32242" s="14"/>
      <c r="N32242" s="14"/>
      <c r="O32242" s="14"/>
      <c r="P32242" s="13"/>
    </row>
    <row r="32243">
      <c r="L32243" s="13"/>
      <c r="M32243" s="14"/>
      <c r="N32243" s="14"/>
      <c r="O32243" s="14"/>
      <c r="P32243" s="13"/>
    </row>
    <row r="32244">
      <c r="L32244" s="13"/>
      <c r="M32244" s="14"/>
      <c r="N32244" s="14"/>
      <c r="O32244" s="14"/>
      <c r="P32244" s="13"/>
    </row>
    <row r="32245">
      <c r="L32245" s="13"/>
      <c r="M32245" s="14"/>
      <c r="N32245" s="14"/>
      <c r="O32245" s="14"/>
      <c r="P32245" s="13"/>
    </row>
    <row r="32246">
      <c r="L32246" s="13"/>
      <c r="M32246" s="14"/>
      <c r="N32246" s="14"/>
      <c r="O32246" s="14"/>
      <c r="P32246" s="13"/>
    </row>
    <row r="32247">
      <c r="L32247" s="13"/>
      <c r="M32247" s="14"/>
      <c r="N32247" s="14"/>
      <c r="O32247" s="14"/>
      <c r="P32247" s="13"/>
    </row>
    <row r="32248">
      <c r="L32248" s="13"/>
      <c r="M32248" s="14"/>
      <c r="N32248" s="14"/>
      <c r="O32248" s="14"/>
      <c r="P32248" s="13"/>
    </row>
    <row r="32249">
      <c r="L32249" s="13"/>
      <c r="M32249" s="14"/>
      <c r="N32249" s="14"/>
      <c r="O32249" s="14"/>
      <c r="P32249" s="13"/>
    </row>
    <row r="32250">
      <c r="L32250" s="13"/>
      <c r="M32250" s="14"/>
      <c r="N32250" s="14"/>
      <c r="O32250" s="14"/>
      <c r="P32250" s="13"/>
    </row>
    <row r="32251">
      <c r="L32251" s="13"/>
      <c r="M32251" s="14"/>
      <c r="N32251" s="14"/>
      <c r="O32251" s="14"/>
      <c r="P32251" s="13"/>
    </row>
    <row r="32252">
      <c r="L32252" s="13"/>
      <c r="M32252" s="14"/>
      <c r="N32252" s="14"/>
      <c r="O32252" s="14"/>
      <c r="P32252" s="13"/>
    </row>
    <row r="32253">
      <c r="L32253" s="13"/>
      <c r="M32253" s="14"/>
      <c r="N32253" s="14"/>
      <c r="O32253" s="14"/>
      <c r="P32253" s="13"/>
    </row>
    <row r="32254">
      <c r="L32254" s="13"/>
      <c r="M32254" s="14"/>
      <c r="N32254" s="14"/>
      <c r="O32254" s="14"/>
      <c r="P32254" s="13"/>
    </row>
    <row r="32255">
      <c r="L32255" s="13"/>
      <c r="M32255" s="14"/>
      <c r="N32255" s="14"/>
      <c r="O32255" s="14"/>
      <c r="P32255" s="13"/>
    </row>
    <row r="32256">
      <c r="L32256" s="13"/>
      <c r="M32256" s="14"/>
      <c r="N32256" s="14"/>
      <c r="O32256" s="14"/>
      <c r="P32256" s="13"/>
    </row>
    <row r="32257">
      <c r="L32257" s="13"/>
      <c r="M32257" s="14"/>
      <c r="N32257" s="14"/>
      <c r="O32257" s="14"/>
      <c r="P32257" s="13"/>
    </row>
    <row r="32258">
      <c r="L32258" s="13"/>
      <c r="M32258" s="14"/>
      <c r="N32258" s="14"/>
      <c r="O32258" s="14"/>
      <c r="P32258" s="13"/>
    </row>
    <row r="32259">
      <c r="L32259" s="13"/>
      <c r="M32259" s="14"/>
      <c r="N32259" s="14"/>
      <c r="O32259" s="14"/>
      <c r="P32259" s="13"/>
    </row>
    <row r="32260">
      <c r="L32260" s="13"/>
      <c r="M32260" s="14"/>
      <c r="N32260" s="14"/>
      <c r="O32260" s="14"/>
      <c r="P32260" s="13"/>
    </row>
    <row r="32261">
      <c r="L32261" s="13"/>
      <c r="M32261" s="14"/>
      <c r="N32261" s="14"/>
      <c r="O32261" s="14"/>
      <c r="P32261" s="13"/>
    </row>
    <row r="32262">
      <c r="L32262" s="13"/>
      <c r="M32262" s="14"/>
      <c r="N32262" s="14"/>
      <c r="O32262" s="14"/>
      <c r="P32262" s="13"/>
    </row>
    <row r="32263">
      <c r="L32263" s="13"/>
      <c r="M32263" s="14"/>
      <c r="N32263" s="14"/>
      <c r="O32263" s="14"/>
      <c r="P32263" s="13"/>
    </row>
    <row r="32264">
      <c r="L32264" s="13"/>
      <c r="M32264" s="14"/>
      <c r="N32264" s="14"/>
      <c r="O32264" s="14"/>
      <c r="P32264" s="13"/>
    </row>
    <row r="32265">
      <c r="L32265" s="13"/>
      <c r="M32265" s="14"/>
      <c r="N32265" s="14"/>
      <c r="O32265" s="14"/>
      <c r="P32265" s="13"/>
    </row>
    <row r="32266">
      <c r="L32266" s="13"/>
      <c r="M32266" s="14"/>
      <c r="N32266" s="14"/>
      <c r="O32266" s="14"/>
      <c r="P32266" s="13"/>
    </row>
    <row r="32267">
      <c r="L32267" s="13"/>
      <c r="M32267" s="14"/>
      <c r="N32267" s="14"/>
      <c r="O32267" s="14"/>
      <c r="P32267" s="13"/>
    </row>
    <row r="32268">
      <c r="L32268" s="13"/>
      <c r="M32268" s="14"/>
      <c r="N32268" s="14"/>
      <c r="O32268" s="14"/>
      <c r="P32268" s="13"/>
    </row>
    <row r="32269">
      <c r="L32269" s="13"/>
      <c r="M32269" s="14"/>
      <c r="N32269" s="14"/>
      <c r="O32269" s="14"/>
      <c r="P32269" s="13"/>
    </row>
    <row r="32270">
      <c r="L32270" s="13"/>
      <c r="M32270" s="14"/>
      <c r="N32270" s="14"/>
      <c r="O32270" s="14"/>
      <c r="P32270" s="13"/>
    </row>
    <row r="32271">
      <c r="L32271" s="13"/>
      <c r="M32271" s="14"/>
      <c r="N32271" s="14"/>
      <c r="O32271" s="14"/>
      <c r="P32271" s="13"/>
    </row>
    <row r="32272">
      <c r="L32272" s="13"/>
      <c r="M32272" s="14"/>
      <c r="N32272" s="14"/>
      <c r="O32272" s="14"/>
      <c r="P32272" s="13"/>
    </row>
    <row r="32273">
      <c r="L32273" s="13"/>
      <c r="M32273" s="14"/>
      <c r="N32273" s="14"/>
      <c r="O32273" s="14"/>
      <c r="P32273" s="13"/>
    </row>
    <row r="32274">
      <c r="L32274" s="13"/>
      <c r="M32274" s="14"/>
      <c r="N32274" s="14"/>
      <c r="O32274" s="14"/>
      <c r="P32274" s="13"/>
    </row>
    <row r="32275">
      <c r="L32275" s="13"/>
      <c r="M32275" s="14"/>
      <c r="N32275" s="14"/>
      <c r="O32275" s="14"/>
      <c r="P32275" s="13"/>
    </row>
    <row r="32276">
      <c r="L32276" s="13"/>
      <c r="M32276" s="14"/>
      <c r="N32276" s="14"/>
      <c r="O32276" s="14"/>
      <c r="P32276" s="13"/>
    </row>
    <row r="32277">
      <c r="L32277" s="13"/>
      <c r="M32277" s="14"/>
      <c r="N32277" s="14"/>
      <c r="O32277" s="14"/>
      <c r="P32277" s="13"/>
    </row>
    <row r="32278">
      <c r="L32278" s="13"/>
      <c r="M32278" s="14"/>
      <c r="N32278" s="14"/>
      <c r="O32278" s="14"/>
      <c r="P32278" s="13"/>
    </row>
    <row r="32279">
      <c r="L32279" s="13"/>
      <c r="M32279" s="14"/>
      <c r="N32279" s="14"/>
      <c r="O32279" s="14"/>
      <c r="P32279" s="13"/>
    </row>
    <row r="32280">
      <c r="L32280" s="13"/>
      <c r="M32280" s="14"/>
      <c r="N32280" s="14"/>
      <c r="O32280" s="14"/>
      <c r="P32280" s="13"/>
    </row>
    <row r="32281">
      <c r="L32281" s="13"/>
      <c r="M32281" s="14"/>
      <c r="N32281" s="14"/>
      <c r="O32281" s="14"/>
      <c r="P32281" s="13"/>
    </row>
    <row r="32282">
      <c r="L32282" s="13"/>
      <c r="M32282" s="14"/>
      <c r="N32282" s="14"/>
      <c r="O32282" s="14"/>
      <c r="P32282" s="13"/>
    </row>
    <row r="32283">
      <c r="L32283" s="13"/>
      <c r="M32283" s="14"/>
      <c r="N32283" s="14"/>
      <c r="O32283" s="14"/>
      <c r="P32283" s="13"/>
    </row>
    <row r="32284">
      <c r="L32284" s="13"/>
      <c r="M32284" s="14"/>
      <c r="N32284" s="14"/>
      <c r="O32284" s="14"/>
      <c r="P32284" s="13"/>
    </row>
    <row r="32285">
      <c r="L32285" s="13"/>
      <c r="M32285" s="14"/>
      <c r="N32285" s="14"/>
      <c r="O32285" s="14"/>
      <c r="P32285" s="13"/>
    </row>
    <row r="32286">
      <c r="L32286" s="13"/>
      <c r="M32286" s="14"/>
      <c r="N32286" s="14"/>
      <c r="O32286" s="14"/>
      <c r="P32286" s="13"/>
    </row>
    <row r="32287">
      <c r="L32287" s="13"/>
      <c r="M32287" s="14"/>
      <c r="N32287" s="14"/>
      <c r="O32287" s="14"/>
      <c r="P32287" s="13"/>
    </row>
    <row r="32288">
      <c r="L32288" s="13"/>
      <c r="M32288" s="14"/>
      <c r="N32288" s="14"/>
      <c r="O32288" s="14"/>
      <c r="P32288" s="13"/>
    </row>
    <row r="32289">
      <c r="L32289" s="13"/>
      <c r="M32289" s="14"/>
      <c r="N32289" s="14"/>
      <c r="O32289" s="14"/>
      <c r="P32289" s="13"/>
    </row>
    <row r="32290">
      <c r="L32290" s="13"/>
      <c r="M32290" s="14"/>
      <c r="N32290" s="14"/>
      <c r="O32290" s="14"/>
      <c r="P32290" s="13"/>
    </row>
    <row r="32291">
      <c r="L32291" s="13"/>
      <c r="M32291" s="14"/>
      <c r="N32291" s="14"/>
      <c r="O32291" s="14"/>
      <c r="P32291" s="13"/>
    </row>
    <row r="32292">
      <c r="L32292" s="13"/>
      <c r="M32292" s="14"/>
      <c r="N32292" s="14"/>
      <c r="O32292" s="14"/>
      <c r="P32292" s="13"/>
    </row>
    <row r="32293">
      <c r="L32293" s="13"/>
      <c r="M32293" s="14"/>
      <c r="N32293" s="14"/>
      <c r="O32293" s="14"/>
      <c r="P32293" s="13"/>
    </row>
    <row r="32294">
      <c r="L32294" s="13"/>
      <c r="M32294" s="14"/>
      <c r="N32294" s="14"/>
      <c r="O32294" s="14"/>
      <c r="P32294" s="13"/>
    </row>
    <row r="32295">
      <c r="L32295" s="13"/>
      <c r="M32295" s="14"/>
      <c r="N32295" s="14"/>
      <c r="O32295" s="14"/>
      <c r="P32295" s="13"/>
    </row>
    <row r="32296">
      <c r="L32296" s="13"/>
      <c r="M32296" s="14"/>
      <c r="N32296" s="14"/>
      <c r="O32296" s="14"/>
      <c r="P32296" s="13"/>
    </row>
    <row r="32297">
      <c r="L32297" s="13"/>
      <c r="M32297" s="14"/>
      <c r="N32297" s="14"/>
      <c r="O32297" s="14"/>
      <c r="P32297" s="13"/>
    </row>
    <row r="32298">
      <c r="L32298" s="13"/>
      <c r="M32298" s="14"/>
      <c r="N32298" s="14"/>
      <c r="O32298" s="14"/>
      <c r="P32298" s="13"/>
    </row>
    <row r="32299">
      <c r="L32299" s="13"/>
      <c r="M32299" s="14"/>
      <c r="N32299" s="14"/>
      <c r="O32299" s="14"/>
      <c r="P32299" s="13"/>
    </row>
    <row r="32300">
      <c r="L32300" s="13"/>
      <c r="M32300" s="14"/>
      <c r="N32300" s="14"/>
      <c r="O32300" s="14"/>
      <c r="P32300" s="13"/>
    </row>
    <row r="32301">
      <c r="L32301" s="13"/>
      <c r="M32301" s="14"/>
      <c r="N32301" s="14"/>
      <c r="O32301" s="14"/>
      <c r="P32301" s="13"/>
    </row>
    <row r="32302">
      <c r="L32302" s="13"/>
      <c r="M32302" s="14"/>
      <c r="N32302" s="14"/>
      <c r="O32302" s="14"/>
      <c r="P32302" s="13"/>
    </row>
    <row r="32303">
      <c r="L32303" s="13"/>
      <c r="M32303" s="14"/>
      <c r="N32303" s="14"/>
      <c r="O32303" s="14"/>
      <c r="P32303" s="13"/>
    </row>
    <row r="32304">
      <c r="L32304" s="13"/>
      <c r="M32304" s="14"/>
      <c r="N32304" s="14"/>
      <c r="O32304" s="14"/>
      <c r="P32304" s="13"/>
    </row>
    <row r="32305">
      <c r="L32305" s="13"/>
      <c r="M32305" s="14"/>
      <c r="N32305" s="14"/>
      <c r="O32305" s="14"/>
      <c r="P32305" s="13"/>
    </row>
    <row r="32306">
      <c r="L32306" s="13"/>
      <c r="M32306" s="14"/>
      <c r="N32306" s="14"/>
      <c r="O32306" s="14"/>
      <c r="P32306" s="13"/>
    </row>
    <row r="32307">
      <c r="L32307" s="13"/>
      <c r="M32307" s="14"/>
      <c r="N32307" s="14"/>
      <c r="O32307" s="14"/>
      <c r="P32307" s="13"/>
    </row>
    <row r="32308">
      <c r="L32308" s="13"/>
      <c r="M32308" s="14"/>
      <c r="N32308" s="14"/>
      <c r="O32308" s="14"/>
      <c r="P32308" s="13"/>
    </row>
    <row r="32309">
      <c r="L32309" s="13"/>
      <c r="M32309" s="14"/>
      <c r="N32309" s="14"/>
      <c r="O32309" s="14"/>
      <c r="P32309" s="13"/>
    </row>
    <row r="32310">
      <c r="L32310" s="13"/>
      <c r="M32310" s="14"/>
      <c r="N32310" s="14"/>
      <c r="O32310" s="14"/>
      <c r="P32310" s="13"/>
    </row>
    <row r="32311">
      <c r="L32311" s="13"/>
      <c r="M32311" s="14"/>
      <c r="N32311" s="14"/>
      <c r="O32311" s="14"/>
      <c r="P32311" s="13"/>
    </row>
    <row r="32312">
      <c r="L32312" s="13"/>
      <c r="M32312" s="14"/>
      <c r="N32312" s="14"/>
      <c r="O32312" s="14"/>
      <c r="P32312" s="13"/>
    </row>
    <row r="32313">
      <c r="L32313" s="13"/>
      <c r="M32313" s="14"/>
      <c r="N32313" s="14"/>
      <c r="O32313" s="14"/>
      <c r="P32313" s="13"/>
    </row>
    <row r="32314">
      <c r="L32314" s="13"/>
      <c r="M32314" s="14"/>
      <c r="N32314" s="14"/>
      <c r="O32314" s="14"/>
      <c r="P32314" s="13"/>
    </row>
    <row r="32315">
      <c r="L32315" s="13"/>
      <c r="M32315" s="14"/>
      <c r="N32315" s="14"/>
      <c r="O32315" s="14"/>
      <c r="P32315" s="13"/>
    </row>
    <row r="32316">
      <c r="L32316" s="13"/>
      <c r="M32316" s="14"/>
      <c r="N32316" s="14"/>
      <c r="O32316" s="14"/>
      <c r="P32316" s="13"/>
    </row>
    <row r="32317">
      <c r="L32317" s="13"/>
      <c r="M32317" s="14"/>
      <c r="N32317" s="14"/>
      <c r="O32317" s="14"/>
      <c r="P32317" s="13"/>
    </row>
    <row r="32318">
      <c r="L32318" s="13"/>
      <c r="M32318" s="14"/>
      <c r="N32318" s="14"/>
      <c r="O32318" s="14"/>
      <c r="P32318" s="13"/>
    </row>
    <row r="32319">
      <c r="L32319" s="13"/>
      <c r="M32319" s="14"/>
      <c r="N32319" s="14"/>
      <c r="O32319" s="14"/>
      <c r="P32319" s="13"/>
    </row>
    <row r="32320">
      <c r="L32320" s="13"/>
      <c r="M32320" s="14"/>
      <c r="N32320" s="14"/>
      <c r="O32320" s="14"/>
      <c r="P32320" s="13"/>
    </row>
    <row r="32321">
      <c r="L32321" s="13"/>
      <c r="M32321" s="14"/>
      <c r="N32321" s="14"/>
      <c r="O32321" s="14"/>
      <c r="P32321" s="13"/>
    </row>
    <row r="32322">
      <c r="L32322" s="13"/>
      <c r="M32322" s="14"/>
      <c r="N32322" s="14"/>
      <c r="O32322" s="14"/>
      <c r="P32322" s="13"/>
    </row>
    <row r="32323">
      <c r="L32323" s="13"/>
      <c r="M32323" s="14"/>
      <c r="N32323" s="14"/>
      <c r="O32323" s="14"/>
      <c r="P32323" s="13"/>
    </row>
    <row r="32324">
      <c r="L32324" s="13"/>
      <c r="M32324" s="14"/>
      <c r="N32324" s="14"/>
      <c r="O32324" s="14"/>
      <c r="P32324" s="13"/>
    </row>
    <row r="32325">
      <c r="L32325" s="13"/>
      <c r="M32325" s="14"/>
      <c r="N32325" s="14"/>
      <c r="O32325" s="14"/>
      <c r="P32325" s="13"/>
    </row>
    <row r="32326">
      <c r="L32326" s="13"/>
      <c r="M32326" s="14"/>
      <c r="N32326" s="14"/>
      <c r="O32326" s="14"/>
      <c r="P32326" s="13"/>
    </row>
    <row r="32327">
      <c r="L32327" s="13"/>
      <c r="M32327" s="14"/>
      <c r="N32327" s="14"/>
      <c r="O32327" s="14"/>
      <c r="P32327" s="13"/>
    </row>
    <row r="32328">
      <c r="L32328" s="13"/>
      <c r="M32328" s="14"/>
      <c r="N32328" s="14"/>
      <c r="O32328" s="14"/>
      <c r="P32328" s="13"/>
    </row>
    <row r="32329">
      <c r="L32329" s="13"/>
      <c r="M32329" s="14"/>
      <c r="N32329" s="14"/>
      <c r="O32329" s="14"/>
      <c r="P32329" s="13"/>
    </row>
    <row r="32330">
      <c r="L32330" s="13"/>
      <c r="M32330" s="14"/>
      <c r="N32330" s="14"/>
      <c r="O32330" s="14"/>
      <c r="P32330" s="13"/>
    </row>
    <row r="32331">
      <c r="L32331" s="13"/>
      <c r="M32331" s="14"/>
      <c r="N32331" s="14"/>
      <c r="O32331" s="14"/>
      <c r="P32331" s="13"/>
    </row>
    <row r="32332">
      <c r="L32332" s="13"/>
      <c r="M32332" s="14"/>
      <c r="N32332" s="14"/>
      <c r="O32332" s="14"/>
      <c r="P32332" s="13"/>
    </row>
    <row r="32333">
      <c r="L32333" s="13"/>
      <c r="M32333" s="14"/>
      <c r="N32333" s="14"/>
      <c r="O32333" s="14"/>
      <c r="P32333" s="13"/>
    </row>
    <row r="32334">
      <c r="L32334" s="13"/>
      <c r="M32334" s="14"/>
      <c r="N32334" s="14"/>
      <c r="O32334" s="14"/>
      <c r="P32334" s="13"/>
    </row>
    <row r="32335">
      <c r="L32335" s="13"/>
      <c r="M32335" s="14"/>
      <c r="N32335" s="14"/>
      <c r="O32335" s="14"/>
      <c r="P32335" s="13"/>
    </row>
    <row r="32336">
      <c r="L32336" s="13"/>
      <c r="M32336" s="14"/>
      <c r="N32336" s="14"/>
      <c r="O32336" s="14"/>
      <c r="P32336" s="13"/>
    </row>
    <row r="32337">
      <c r="L32337" s="13"/>
      <c r="M32337" s="14"/>
      <c r="N32337" s="14"/>
      <c r="O32337" s="14"/>
      <c r="P32337" s="13"/>
    </row>
    <row r="32338">
      <c r="L32338" s="13"/>
      <c r="M32338" s="14"/>
      <c r="N32338" s="14"/>
      <c r="O32338" s="14"/>
      <c r="P32338" s="13"/>
    </row>
    <row r="32339">
      <c r="L32339" s="13"/>
      <c r="M32339" s="14"/>
      <c r="N32339" s="14"/>
      <c r="O32339" s="14"/>
      <c r="P32339" s="13"/>
    </row>
    <row r="32340">
      <c r="L32340" s="13"/>
      <c r="M32340" s="14"/>
      <c r="N32340" s="14"/>
      <c r="O32340" s="14"/>
      <c r="P32340" s="13"/>
    </row>
    <row r="32341">
      <c r="L32341" s="13"/>
      <c r="M32341" s="14"/>
      <c r="N32341" s="14"/>
      <c r="O32341" s="14"/>
      <c r="P32341" s="13"/>
    </row>
    <row r="32342">
      <c r="L32342" s="13"/>
      <c r="M32342" s="14"/>
      <c r="N32342" s="14"/>
      <c r="O32342" s="14"/>
      <c r="P32342" s="13"/>
    </row>
    <row r="32343">
      <c r="L32343" s="13"/>
      <c r="M32343" s="14"/>
      <c r="N32343" s="14"/>
      <c r="O32343" s="14"/>
      <c r="P32343" s="13"/>
    </row>
    <row r="32344">
      <c r="L32344" s="13"/>
      <c r="M32344" s="14"/>
      <c r="N32344" s="14"/>
      <c r="O32344" s="14"/>
      <c r="P32344" s="13"/>
    </row>
    <row r="32345">
      <c r="L32345" s="13"/>
      <c r="M32345" s="14"/>
      <c r="N32345" s="14"/>
      <c r="O32345" s="14"/>
      <c r="P32345" s="13"/>
    </row>
    <row r="32346">
      <c r="L32346" s="13"/>
      <c r="M32346" s="14"/>
      <c r="N32346" s="14"/>
      <c r="O32346" s="14"/>
      <c r="P32346" s="13"/>
    </row>
    <row r="32347">
      <c r="L32347" s="13"/>
      <c r="M32347" s="14"/>
      <c r="N32347" s="14"/>
      <c r="O32347" s="14"/>
      <c r="P32347" s="13"/>
    </row>
    <row r="32348">
      <c r="L32348" s="13"/>
      <c r="M32348" s="14"/>
      <c r="N32348" s="14"/>
      <c r="O32348" s="14"/>
      <c r="P32348" s="13"/>
    </row>
    <row r="32349">
      <c r="L32349" s="13"/>
      <c r="M32349" s="14"/>
      <c r="N32349" s="14"/>
      <c r="O32349" s="14"/>
      <c r="P32349" s="13"/>
    </row>
    <row r="32350">
      <c r="L32350" s="13"/>
      <c r="M32350" s="14"/>
      <c r="N32350" s="14"/>
      <c r="O32350" s="14"/>
      <c r="P32350" s="13"/>
    </row>
    <row r="32351">
      <c r="L32351" s="13"/>
      <c r="M32351" s="14"/>
      <c r="N32351" s="14"/>
      <c r="O32351" s="14"/>
      <c r="P32351" s="13"/>
    </row>
    <row r="32352">
      <c r="L32352" s="13"/>
      <c r="M32352" s="14"/>
      <c r="N32352" s="14"/>
      <c r="O32352" s="14"/>
      <c r="P32352" s="13"/>
    </row>
    <row r="32353">
      <c r="L32353" s="13"/>
      <c r="M32353" s="14"/>
      <c r="N32353" s="14"/>
      <c r="O32353" s="14"/>
      <c r="P32353" s="13"/>
    </row>
    <row r="32354">
      <c r="L32354" s="13"/>
      <c r="M32354" s="14"/>
      <c r="N32354" s="14"/>
      <c r="O32354" s="14"/>
      <c r="P32354" s="13"/>
    </row>
    <row r="32355">
      <c r="L32355" s="13"/>
      <c r="M32355" s="14"/>
      <c r="N32355" s="14"/>
      <c r="O32355" s="14"/>
      <c r="P32355" s="13"/>
    </row>
    <row r="32356">
      <c r="L32356" s="13"/>
      <c r="M32356" s="14"/>
      <c r="N32356" s="14"/>
      <c r="O32356" s="14"/>
      <c r="P32356" s="13"/>
    </row>
    <row r="32357">
      <c r="L32357" s="13"/>
      <c r="M32357" s="14"/>
      <c r="N32357" s="14"/>
      <c r="O32357" s="14"/>
      <c r="P32357" s="13"/>
    </row>
    <row r="32358">
      <c r="L32358" s="13"/>
      <c r="M32358" s="14"/>
      <c r="N32358" s="14"/>
      <c r="O32358" s="14"/>
      <c r="P32358" s="13"/>
    </row>
    <row r="32359">
      <c r="L32359" s="13"/>
      <c r="M32359" s="14"/>
      <c r="N32359" s="14"/>
      <c r="O32359" s="14"/>
      <c r="P32359" s="13"/>
    </row>
    <row r="32360">
      <c r="L32360" s="13"/>
      <c r="M32360" s="14"/>
      <c r="N32360" s="14"/>
      <c r="O32360" s="14"/>
      <c r="P32360" s="13"/>
    </row>
    <row r="32361">
      <c r="L32361" s="13"/>
      <c r="M32361" s="14"/>
      <c r="N32361" s="14"/>
      <c r="O32361" s="14"/>
      <c r="P32361" s="13"/>
    </row>
    <row r="32362">
      <c r="L32362" s="13"/>
      <c r="M32362" s="14"/>
      <c r="N32362" s="14"/>
      <c r="O32362" s="14"/>
      <c r="P32362" s="13"/>
    </row>
    <row r="32363">
      <c r="L32363" s="13"/>
      <c r="M32363" s="14"/>
      <c r="N32363" s="14"/>
      <c r="O32363" s="14"/>
      <c r="P32363" s="13"/>
    </row>
    <row r="32364">
      <c r="L32364" s="13"/>
      <c r="M32364" s="14"/>
      <c r="N32364" s="14"/>
      <c r="O32364" s="14"/>
      <c r="P32364" s="13"/>
    </row>
    <row r="32365">
      <c r="L32365" s="13"/>
      <c r="M32365" s="14"/>
      <c r="N32365" s="14"/>
      <c r="O32365" s="14"/>
      <c r="P32365" s="13"/>
    </row>
    <row r="32366">
      <c r="L32366" s="13"/>
      <c r="M32366" s="14"/>
      <c r="N32366" s="14"/>
      <c r="O32366" s="14"/>
      <c r="P32366" s="13"/>
    </row>
    <row r="32367">
      <c r="L32367" s="13"/>
      <c r="M32367" s="14"/>
      <c r="N32367" s="14"/>
      <c r="O32367" s="14"/>
      <c r="P32367" s="13"/>
    </row>
    <row r="32368">
      <c r="L32368" s="13"/>
      <c r="M32368" s="14"/>
      <c r="N32368" s="14"/>
      <c r="O32368" s="14"/>
      <c r="P32368" s="13"/>
    </row>
    <row r="32369">
      <c r="L32369" s="13"/>
      <c r="M32369" s="14"/>
      <c r="N32369" s="14"/>
      <c r="O32369" s="14"/>
      <c r="P32369" s="13"/>
    </row>
    <row r="32370">
      <c r="L32370" s="13"/>
      <c r="M32370" s="14"/>
      <c r="N32370" s="14"/>
      <c r="O32370" s="14"/>
      <c r="P32370" s="13"/>
    </row>
    <row r="32371">
      <c r="L32371" s="13"/>
      <c r="M32371" s="14"/>
      <c r="N32371" s="14"/>
      <c r="O32371" s="14"/>
      <c r="P32371" s="13"/>
    </row>
    <row r="32372">
      <c r="L32372" s="13"/>
      <c r="M32372" s="14"/>
      <c r="N32372" s="14"/>
      <c r="O32372" s="14"/>
      <c r="P32372" s="13"/>
    </row>
    <row r="32373">
      <c r="L32373" s="13"/>
      <c r="M32373" s="14"/>
      <c r="N32373" s="14"/>
      <c r="O32373" s="14"/>
      <c r="P32373" s="13"/>
    </row>
    <row r="32374">
      <c r="L32374" s="13"/>
      <c r="M32374" s="14"/>
      <c r="N32374" s="14"/>
      <c r="O32374" s="14"/>
      <c r="P32374" s="13"/>
    </row>
    <row r="32375">
      <c r="L32375" s="13"/>
      <c r="M32375" s="14"/>
      <c r="N32375" s="14"/>
      <c r="O32375" s="14"/>
      <c r="P32375" s="13"/>
    </row>
    <row r="32376">
      <c r="L32376" s="13"/>
      <c r="M32376" s="14"/>
      <c r="N32376" s="14"/>
      <c r="O32376" s="14"/>
      <c r="P32376" s="13"/>
    </row>
    <row r="32377">
      <c r="L32377" s="13"/>
      <c r="M32377" s="14"/>
      <c r="N32377" s="14"/>
      <c r="O32377" s="14"/>
      <c r="P32377" s="13"/>
    </row>
    <row r="32378">
      <c r="L32378" s="13"/>
      <c r="M32378" s="14"/>
      <c r="N32378" s="14"/>
      <c r="O32378" s="14"/>
      <c r="P32378" s="13"/>
    </row>
    <row r="32379">
      <c r="L32379" s="13"/>
      <c r="M32379" s="14"/>
      <c r="N32379" s="14"/>
      <c r="O32379" s="14"/>
      <c r="P32379" s="13"/>
    </row>
    <row r="32380">
      <c r="L32380" s="13"/>
      <c r="M32380" s="14"/>
      <c r="N32380" s="14"/>
      <c r="O32380" s="14"/>
      <c r="P32380" s="13"/>
    </row>
    <row r="32381">
      <c r="L32381" s="13"/>
      <c r="M32381" s="14"/>
      <c r="N32381" s="14"/>
      <c r="O32381" s="14"/>
      <c r="P32381" s="13"/>
    </row>
    <row r="32382">
      <c r="L32382" s="13"/>
      <c r="M32382" s="14"/>
      <c r="N32382" s="14"/>
      <c r="O32382" s="14"/>
      <c r="P32382" s="13"/>
    </row>
    <row r="32383">
      <c r="L32383" s="13"/>
      <c r="M32383" s="14"/>
      <c r="N32383" s="14"/>
      <c r="O32383" s="14"/>
      <c r="P32383" s="13"/>
    </row>
    <row r="32384">
      <c r="L32384" s="13"/>
      <c r="M32384" s="14"/>
      <c r="N32384" s="14"/>
      <c r="O32384" s="14"/>
      <c r="P32384" s="13"/>
    </row>
    <row r="32385">
      <c r="L32385" s="13"/>
      <c r="M32385" s="14"/>
      <c r="N32385" s="14"/>
      <c r="O32385" s="14"/>
      <c r="P32385" s="13"/>
    </row>
    <row r="32386">
      <c r="L32386" s="13"/>
      <c r="M32386" s="14"/>
      <c r="N32386" s="14"/>
      <c r="O32386" s="14"/>
      <c r="P32386" s="13"/>
    </row>
    <row r="32387">
      <c r="L32387" s="13"/>
      <c r="M32387" s="14"/>
      <c r="N32387" s="14"/>
      <c r="O32387" s="14"/>
      <c r="P32387" s="13"/>
    </row>
    <row r="32388">
      <c r="L32388" s="13"/>
      <c r="M32388" s="14"/>
      <c r="N32388" s="14"/>
      <c r="O32388" s="14"/>
      <c r="P32388" s="13"/>
    </row>
    <row r="32389">
      <c r="L32389" s="13"/>
      <c r="M32389" s="14"/>
      <c r="N32389" s="14"/>
      <c r="O32389" s="14"/>
      <c r="P32389" s="13"/>
    </row>
    <row r="32390">
      <c r="L32390" s="13"/>
      <c r="M32390" s="14"/>
      <c r="N32390" s="14"/>
      <c r="O32390" s="14"/>
      <c r="P32390" s="13"/>
    </row>
    <row r="32391">
      <c r="L32391" s="13"/>
      <c r="M32391" s="14"/>
      <c r="N32391" s="14"/>
      <c r="O32391" s="14"/>
      <c r="P32391" s="13"/>
    </row>
    <row r="32392">
      <c r="L32392" s="13"/>
      <c r="M32392" s="14"/>
      <c r="N32392" s="14"/>
      <c r="O32392" s="14"/>
      <c r="P32392" s="13"/>
    </row>
    <row r="32393">
      <c r="L32393" s="13"/>
      <c r="M32393" s="14"/>
      <c r="N32393" s="14"/>
      <c r="O32393" s="14"/>
      <c r="P32393" s="13"/>
    </row>
    <row r="32394">
      <c r="L32394" s="13"/>
      <c r="M32394" s="14"/>
      <c r="N32394" s="14"/>
      <c r="O32394" s="14"/>
      <c r="P32394" s="13"/>
    </row>
    <row r="32395">
      <c r="L32395" s="13"/>
      <c r="M32395" s="14"/>
      <c r="N32395" s="14"/>
      <c r="O32395" s="14"/>
      <c r="P32395" s="13"/>
    </row>
    <row r="32396">
      <c r="L32396" s="13"/>
      <c r="M32396" s="14"/>
      <c r="N32396" s="14"/>
      <c r="O32396" s="14"/>
      <c r="P32396" s="13"/>
    </row>
    <row r="32397">
      <c r="L32397" s="13"/>
      <c r="M32397" s="14"/>
      <c r="N32397" s="14"/>
      <c r="O32397" s="14"/>
      <c r="P32397" s="13"/>
    </row>
    <row r="32398">
      <c r="L32398" s="13"/>
      <c r="M32398" s="14"/>
      <c r="N32398" s="14"/>
      <c r="O32398" s="14"/>
      <c r="P32398" s="13"/>
    </row>
    <row r="32399">
      <c r="L32399" s="13"/>
      <c r="M32399" s="14"/>
      <c r="N32399" s="14"/>
      <c r="O32399" s="14"/>
      <c r="P32399" s="13"/>
    </row>
    <row r="32400">
      <c r="L32400" s="13"/>
      <c r="M32400" s="14"/>
      <c r="N32400" s="14"/>
      <c r="O32400" s="14"/>
      <c r="P32400" s="13"/>
    </row>
    <row r="32401">
      <c r="L32401" s="13"/>
      <c r="M32401" s="14"/>
      <c r="N32401" s="14"/>
      <c r="O32401" s="14"/>
      <c r="P32401" s="13"/>
    </row>
    <row r="32402">
      <c r="L32402" s="13"/>
      <c r="M32402" s="14"/>
      <c r="N32402" s="14"/>
      <c r="O32402" s="14"/>
      <c r="P32402" s="13"/>
    </row>
    <row r="32403">
      <c r="L32403" s="13"/>
      <c r="M32403" s="14"/>
      <c r="N32403" s="14"/>
      <c r="O32403" s="14"/>
      <c r="P32403" s="13"/>
    </row>
    <row r="32404">
      <c r="L32404" s="13"/>
      <c r="M32404" s="14"/>
      <c r="N32404" s="14"/>
      <c r="O32404" s="14"/>
      <c r="P32404" s="13"/>
    </row>
    <row r="32405">
      <c r="L32405" s="13"/>
      <c r="M32405" s="14"/>
      <c r="N32405" s="14"/>
      <c r="O32405" s="14"/>
      <c r="P32405" s="13"/>
    </row>
    <row r="32406">
      <c r="L32406" s="13"/>
      <c r="M32406" s="14"/>
      <c r="N32406" s="14"/>
      <c r="O32406" s="14"/>
      <c r="P32406" s="13"/>
    </row>
    <row r="32407">
      <c r="L32407" s="13"/>
      <c r="M32407" s="14"/>
      <c r="N32407" s="14"/>
      <c r="O32407" s="14"/>
      <c r="P32407" s="13"/>
    </row>
    <row r="32408">
      <c r="L32408" s="13"/>
      <c r="M32408" s="14"/>
      <c r="N32408" s="14"/>
      <c r="O32408" s="14"/>
      <c r="P32408" s="13"/>
    </row>
    <row r="32409">
      <c r="L32409" s="13"/>
      <c r="M32409" s="14"/>
      <c r="N32409" s="14"/>
      <c r="O32409" s="14"/>
      <c r="P32409" s="13"/>
    </row>
    <row r="32410">
      <c r="L32410" s="13"/>
      <c r="M32410" s="14"/>
      <c r="N32410" s="14"/>
      <c r="O32410" s="14"/>
      <c r="P32410" s="13"/>
    </row>
    <row r="32411">
      <c r="L32411" s="13"/>
      <c r="M32411" s="14"/>
      <c r="N32411" s="14"/>
      <c r="O32411" s="14"/>
      <c r="P32411" s="13"/>
    </row>
    <row r="32412">
      <c r="L32412" s="13"/>
      <c r="M32412" s="14"/>
      <c r="N32412" s="14"/>
      <c r="O32412" s="14"/>
      <c r="P32412" s="13"/>
    </row>
    <row r="32413">
      <c r="L32413" s="13"/>
      <c r="M32413" s="14"/>
      <c r="N32413" s="14"/>
      <c r="O32413" s="14"/>
      <c r="P32413" s="13"/>
    </row>
    <row r="32414">
      <c r="L32414" s="13"/>
      <c r="M32414" s="14"/>
      <c r="N32414" s="14"/>
      <c r="O32414" s="14"/>
      <c r="P32414" s="13"/>
    </row>
    <row r="32415">
      <c r="L32415" s="13"/>
      <c r="M32415" s="14"/>
      <c r="N32415" s="14"/>
      <c r="O32415" s="14"/>
      <c r="P32415" s="13"/>
    </row>
    <row r="32416">
      <c r="L32416" s="13"/>
      <c r="M32416" s="14"/>
      <c r="N32416" s="14"/>
      <c r="O32416" s="14"/>
      <c r="P32416" s="13"/>
    </row>
    <row r="32417">
      <c r="L32417" s="13"/>
      <c r="M32417" s="14"/>
      <c r="N32417" s="14"/>
      <c r="O32417" s="14"/>
      <c r="P32417" s="13"/>
    </row>
    <row r="32418">
      <c r="L32418" s="13"/>
      <c r="M32418" s="14"/>
      <c r="N32418" s="14"/>
      <c r="O32418" s="14"/>
      <c r="P32418" s="13"/>
    </row>
    <row r="32419">
      <c r="L32419" s="13"/>
      <c r="M32419" s="14"/>
      <c r="N32419" s="14"/>
      <c r="O32419" s="14"/>
      <c r="P32419" s="13"/>
    </row>
    <row r="32420">
      <c r="L32420" s="13"/>
      <c r="M32420" s="14"/>
      <c r="N32420" s="14"/>
      <c r="O32420" s="14"/>
      <c r="P32420" s="13"/>
    </row>
    <row r="32421">
      <c r="L32421" s="13"/>
      <c r="M32421" s="14"/>
      <c r="N32421" s="14"/>
      <c r="O32421" s="14"/>
      <c r="P32421" s="13"/>
    </row>
    <row r="32422">
      <c r="L32422" s="13"/>
      <c r="M32422" s="14"/>
      <c r="N32422" s="14"/>
      <c r="O32422" s="14"/>
      <c r="P32422" s="13"/>
    </row>
    <row r="32423">
      <c r="L32423" s="13"/>
      <c r="M32423" s="14"/>
      <c r="N32423" s="14"/>
      <c r="O32423" s="14"/>
      <c r="P32423" s="13"/>
    </row>
    <row r="32424">
      <c r="L32424" s="13"/>
      <c r="M32424" s="14"/>
      <c r="N32424" s="14"/>
      <c r="O32424" s="14"/>
      <c r="P32424" s="13"/>
    </row>
    <row r="32425">
      <c r="L32425" s="13"/>
      <c r="M32425" s="14"/>
      <c r="N32425" s="14"/>
      <c r="O32425" s="14"/>
      <c r="P32425" s="13"/>
    </row>
    <row r="32426">
      <c r="L32426" s="13"/>
      <c r="M32426" s="14"/>
      <c r="N32426" s="14"/>
      <c r="O32426" s="14"/>
      <c r="P32426" s="13"/>
    </row>
    <row r="32427">
      <c r="L32427" s="13"/>
      <c r="M32427" s="14"/>
      <c r="N32427" s="14"/>
      <c r="O32427" s="14"/>
      <c r="P32427" s="13"/>
    </row>
    <row r="32428">
      <c r="L32428" s="13"/>
      <c r="M32428" s="14"/>
      <c r="N32428" s="14"/>
      <c r="O32428" s="14"/>
      <c r="P32428" s="13"/>
    </row>
    <row r="32429">
      <c r="L32429" s="13"/>
      <c r="M32429" s="14"/>
      <c r="N32429" s="14"/>
      <c r="O32429" s="14"/>
      <c r="P32429" s="13"/>
    </row>
    <row r="32430">
      <c r="L32430" s="13"/>
      <c r="M32430" s="14"/>
      <c r="N32430" s="14"/>
      <c r="O32430" s="14"/>
      <c r="P32430" s="13"/>
    </row>
    <row r="32431">
      <c r="L32431" s="13"/>
      <c r="M32431" s="14"/>
      <c r="N32431" s="14"/>
      <c r="O32431" s="14"/>
      <c r="P32431" s="13"/>
    </row>
    <row r="32432">
      <c r="L32432" s="13"/>
      <c r="M32432" s="14"/>
      <c r="N32432" s="14"/>
      <c r="O32432" s="14"/>
      <c r="P32432" s="13"/>
    </row>
    <row r="32433">
      <c r="L32433" s="13"/>
      <c r="M32433" s="14"/>
      <c r="N32433" s="14"/>
      <c r="O32433" s="14"/>
      <c r="P32433" s="13"/>
    </row>
    <row r="32434">
      <c r="L32434" s="13"/>
      <c r="M32434" s="14"/>
      <c r="N32434" s="14"/>
      <c r="O32434" s="14"/>
      <c r="P32434" s="13"/>
    </row>
    <row r="32435">
      <c r="L32435" s="13"/>
      <c r="M32435" s="14"/>
      <c r="N32435" s="14"/>
      <c r="O32435" s="14"/>
      <c r="P32435" s="13"/>
    </row>
    <row r="32436">
      <c r="L32436" s="13"/>
      <c r="M32436" s="14"/>
      <c r="N32436" s="14"/>
      <c r="O32436" s="14"/>
      <c r="P32436" s="13"/>
    </row>
    <row r="32437">
      <c r="L32437" s="13"/>
      <c r="M32437" s="14"/>
      <c r="N32437" s="14"/>
      <c r="O32437" s="14"/>
      <c r="P32437" s="13"/>
    </row>
    <row r="32438">
      <c r="L32438" s="13"/>
      <c r="M32438" s="14"/>
      <c r="N32438" s="14"/>
      <c r="O32438" s="14"/>
      <c r="P32438" s="13"/>
    </row>
    <row r="32439">
      <c r="L32439" s="13"/>
      <c r="M32439" s="14"/>
      <c r="N32439" s="14"/>
      <c r="O32439" s="14"/>
      <c r="P32439" s="13"/>
    </row>
    <row r="32440">
      <c r="L32440" s="13"/>
      <c r="M32440" s="14"/>
      <c r="N32440" s="14"/>
      <c r="O32440" s="14"/>
      <c r="P32440" s="13"/>
    </row>
    <row r="32441">
      <c r="L32441" s="13"/>
      <c r="M32441" s="14"/>
      <c r="N32441" s="14"/>
      <c r="O32441" s="14"/>
      <c r="P32441" s="13"/>
    </row>
    <row r="32442">
      <c r="L32442" s="13"/>
      <c r="M32442" s="14"/>
      <c r="N32442" s="14"/>
      <c r="O32442" s="14"/>
      <c r="P32442" s="13"/>
    </row>
    <row r="32443">
      <c r="L32443" s="13"/>
      <c r="M32443" s="14"/>
      <c r="N32443" s="14"/>
      <c r="O32443" s="14"/>
      <c r="P32443" s="13"/>
    </row>
    <row r="32444">
      <c r="L32444" s="13"/>
      <c r="M32444" s="14"/>
      <c r="N32444" s="14"/>
      <c r="O32444" s="14"/>
      <c r="P32444" s="13"/>
    </row>
    <row r="32445">
      <c r="L32445" s="13"/>
      <c r="M32445" s="14"/>
      <c r="N32445" s="14"/>
      <c r="O32445" s="14"/>
      <c r="P32445" s="13"/>
    </row>
    <row r="32446">
      <c r="L32446" s="13"/>
      <c r="M32446" s="14"/>
      <c r="N32446" s="14"/>
      <c r="O32446" s="14"/>
      <c r="P32446" s="13"/>
    </row>
    <row r="32447">
      <c r="L32447" s="13"/>
      <c r="M32447" s="14"/>
      <c r="N32447" s="14"/>
      <c r="O32447" s="14"/>
      <c r="P32447" s="13"/>
    </row>
    <row r="32448">
      <c r="L32448" s="13"/>
      <c r="M32448" s="14"/>
      <c r="N32448" s="14"/>
      <c r="O32448" s="14"/>
      <c r="P32448" s="13"/>
    </row>
    <row r="32449">
      <c r="L32449" s="13"/>
      <c r="M32449" s="14"/>
      <c r="N32449" s="14"/>
      <c r="O32449" s="14"/>
      <c r="P32449" s="13"/>
    </row>
    <row r="32450">
      <c r="L32450" s="13"/>
      <c r="M32450" s="14"/>
      <c r="N32450" s="14"/>
      <c r="O32450" s="14"/>
      <c r="P32450" s="13"/>
    </row>
    <row r="32451">
      <c r="L32451" s="13"/>
      <c r="M32451" s="14"/>
      <c r="N32451" s="14"/>
      <c r="O32451" s="14"/>
      <c r="P32451" s="13"/>
    </row>
    <row r="32452">
      <c r="L32452" s="13"/>
      <c r="M32452" s="14"/>
      <c r="N32452" s="14"/>
      <c r="O32452" s="14"/>
      <c r="P32452" s="13"/>
    </row>
    <row r="32453">
      <c r="L32453" s="13"/>
      <c r="M32453" s="14"/>
      <c r="N32453" s="14"/>
      <c r="O32453" s="14"/>
      <c r="P32453" s="13"/>
    </row>
    <row r="32454">
      <c r="L32454" s="13"/>
      <c r="M32454" s="14"/>
      <c r="N32454" s="14"/>
      <c r="O32454" s="14"/>
      <c r="P32454" s="13"/>
    </row>
    <row r="32455">
      <c r="L32455" s="13"/>
      <c r="M32455" s="14"/>
      <c r="N32455" s="14"/>
      <c r="O32455" s="14"/>
      <c r="P32455" s="13"/>
    </row>
    <row r="32456">
      <c r="L32456" s="13"/>
      <c r="M32456" s="14"/>
      <c r="N32456" s="14"/>
      <c r="O32456" s="14"/>
      <c r="P32456" s="13"/>
    </row>
    <row r="32457">
      <c r="L32457" s="13"/>
      <c r="M32457" s="14"/>
      <c r="N32457" s="14"/>
      <c r="O32457" s="14"/>
      <c r="P32457" s="13"/>
    </row>
    <row r="32458">
      <c r="L32458" s="13"/>
      <c r="M32458" s="14"/>
      <c r="N32458" s="14"/>
      <c r="O32458" s="14"/>
      <c r="P32458" s="13"/>
    </row>
    <row r="32459">
      <c r="L32459" s="13"/>
      <c r="M32459" s="14"/>
      <c r="N32459" s="14"/>
      <c r="O32459" s="14"/>
      <c r="P32459" s="13"/>
    </row>
    <row r="32460">
      <c r="L32460" s="13"/>
      <c r="M32460" s="14"/>
      <c r="N32460" s="14"/>
      <c r="O32460" s="14"/>
      <c r="P32460" s="13"/>
    </row>
    <row r="32461">
      <c r="L32461" s="13"/>
      <c r="M32461" s="14"/>
      <c r="N32461" s="14"/>
      <c r="O32461" s="14"/>
      <c r="P32461" s="13"/>
    </row>
    <row r="32462">
      <c r="L32462" s="13"/>
      <c r="M32462" s="14"/>
      <c r="N32462" s="14"/>
      <c r="O32462" s="14"/>
      <c r="P32462" s="13"/>
    </row>
    <row r="32463">
      <c r="L32463" s="13"/>
      <c r="M32463" s="14"/>
      <c r="N32463" s="14"/>
      <c r="O32463" s="14"/>
      <c r="P32463" s="13"/>
    </row>
    <row r="32464">
      <c r="L32464" s="13"/>
      <c r="M32464" s="14"/>
      <c r="N32464" s="14"/>
      <c r="O32464" s="14"/>
      <c r="P32464" s="13"/>
    </row>
    <row r="32465">
      <c r="L32465" s="13"/>
      <c r="M32465" s="14"/>
      <c r="N32465" s="14"/>
      <c r="O32465" s="14"/>
      <c r="P32465" s="13"/>
    </row>
    <row r="32466">
      <c r="L32466" s="13"/>
      <c r="M32466" s="14"/>
      <c r="N32466" s="14"/>
      <c r="O32466" s="14"/>
      <c r="P32466" s="13"/>
    </row>
    <row r="32467">
      <c r="L32467" s="13"/>
      <c r="M32467" s="14"/>
      <c r="N32467" s="14"/>
      <c r="O32467" s="14"/>
      <c r="P32467" s="13"/>
    </row>
    <row r="32468">
      <c r="L32468" s="13"/>
      <c r="M32468" s="14"/>
      <c r="N32468" s="14"/>
      <c r="O32468" s="14"/>
      <c r="P32468" s="13"/>
    </row>
    <row r="32469">
      <c r="L32469" s="13"/>
      <c r="M32469" s="14"/>
      <c r="N32469" s="14"/>
      <c r="O32469" s="14"/>
      <c r="P32469" s="13"/>
    </row>
    <row r="32470">
      <c r="L32470" s="13"/>
      <c r="M32470" s="14"/>
      <c r="N32470" s="14"/>
      <c r="O32470" s="14"/>
      <c r="P32470" s="13"/>
    </row>
    <row r="32471">
      <c r="L32471" s="13"/>
      <c r="M32471" s="14"/>
      <c r="N32471" s="14"/>
      <c r="O32471" s="14"/>
      <c r="P32471" s="13"/>
    </row>
    <row r="32472">
      <c r="L32472" s="13"/>
      <c r="M32472" s="14"/>
      <c r="N32472" s="14"/>
      <c r="O32472" s="14"/>
      <c r="P32472" s="13"/>
    </row>
    <row r="32473">
      <c r="L32473" s="13"/>
      <c r="M32473" s="14"/>
      <c r="N32473" s="14"/>
      <c r="O32473" s="14"/>
      <c r="P32473" s="13"/>
    </row>
    <row r="32474">
      <c r="L32474" s="13"/>
      <c r="M32474" s="14"/>
      <c r="N32474" s="14"/>
      <c r="O32474" s="14"/>
      <c r="P32474" s="13"/>
    </row>
    <row r="32475">
      <c r="L32475" s="13"/>
      <c r="M32475" s="14"/>
      <c r="N32475" s="14"/>
      <c r="O32475" s="14"/>
      <c r="P32475" s="13"/>
    </row>
    <row r="32476">
      <c r="L32476" s="13"/>
      <c r="M32476" s="14"/>
      <c r="N32476" s="14"/>
      <c r="O32476" s="14"/>
      <c r="P32476" s="13"/>
    </row>
    <row r="32477">
      <c r="L32477" s="13"/>
      <c r="M32477" s="14"/>
      <c r="N32477" s="14"/>
      <c r="O32477" s="14"/>
      <c r="P32477" s="13"/>
    </row>
    <row r="32478">
      <c r="L32478" s="13"/>
      <c r="M32478" s="14"/>
      <c r="N32478" s="14"/>
      <c r="O32478" s="14"/>
      <c r="P32478" s="13"/>
    </row>
    <row r="32479">
      <c r="L32479" s="13"/>
      <c r="M32479" s="14"/>
      <c r="N32479" s="14"/>
      <c r="O32479" s="14"/>
      <c r="P32479" s="13"/>
    </row>
    <row r="32480">
      <c r="L32480" s="13"/>
      <c r="M32480" s="14"/>
      <c r="N32480" s="14"/>
      <c r="O32480" s="14"/>
      <c r="P32480" s="13"/>
    </row>
    <row r="32481">
      <c r="L32481" s="13"/>
      <c r="M32481" s="14"/>
      <c r="N32481" s="14"/>
      <c r="O32481" s="14"/>
      <c r="P32481" s="13"/>
    </row>
    <row r="32482">
      <c r="L32482" s="13"/>
      <c r="M32482" s="14"/>
      <c r="N32482" s="14"/>
      <c r="O32482" s="14"/>
      <c r="P32482" s="13"/>
    </row>
    <row r="32483">
      <c r="L32483" s="13"/>
      <c r="M32483" s="14"/>
      <c r="N32483" s="14"/>
      <c r="O32483" s="14"/>
      <c r="P32483" s="13"/>
    </row>
    <row r="32484">
      <c r="L32484" s="13"/>
      <c r="M32484" s="14"/>
      <c r="N32484" s="14"/>
      <c r="O32484" s="14"/>
      <c r="P32484" s="13"/>
    </row>
    <row r="32485">
      <c r="L32485" s="13"/>
      <c r="M32485" s="14"/>
      <c r="N32485" s="14"/>
      <c r="O32485" s="14"/>
      <c r="P32485" s="13"/>
    </row>
    <row r="32486">
      <c r="L32486" s="13"/>
      <c r="M32486" s="14"/>
      <c r="N32486" s="14"/>
      <c r="O32486" s="14"/>
      <c r="P32486" s="13"/>
    </row>
    <row r="32487">
      <c r="L32487" s="13"/>
      <c r="M32487" s="14"/>
      <c r="N32487" s="14"/>
      <c r="O32487" s="14"/>
      <c r="P32487" s="13"/>
    </row>
    <row r="32488">
      <c r="L32488" s="13"/>
      <c r="M32488" s="14"/>
      <c r="N32488" s="14"/>
      <c r="O32488" s="14"/>
      <c r="P32488" s="13"/>
    </row>
    <row r="32489">
      <c r="L32489" s="13"/>
      <c r="M32489" s="14"/>
      <c r="N32489" s="14"/>
      <c r="O32489" s="14"/>
      <c r="P32489" s="13"/>
    </row>
    <row r="32490">
      <c r="L32490" s="13"/>
      <c r="M32490" s="14"/>
      <c r="N32490" s="14"/>
      <c r="O32490" s="14"/>
      <c r="P32490" s="13"/>
    </row>
    <row r="32491">
      <c r="L32491" s="13"/>
      <c r="M32491" s="14"/>
      <c r="N32491" s="14"/>
      <c r="O32491" s="14"/>
      <c r="P32491" s="13"/>
    </row>
    <row r="32492">
      <c r="L32492" s="13"/>
      <c r="M32492" s="14"/>
      <c r="N32492" s="14"/>
      <c r="O32492" s="14"/>
      <c r="P32492" s="13"/>
    </row>
    <row r="32493">
      <c r="L32493" s="13"/>
      <c r="M32493" s="14"/>
      <c r="N32493" s="14"/>
      <c r="O32493" s="14"/>
      <c r="P32493" s="13"/>
    </row>
    <row r="32494">
      <c r="L32494" s="13"/>
      <c r="M32494" s="14"/>
      <c r="N32494" s="14"/>
      <c r="O32494" s="14"/>
      <c r="P32494" s="13"/>
    </row>
    <row r="32495">
      <c r="L32495" s="13"/>
      <c r="M32495" s="14"/>
      <c r="N32495" s="14"/>
      <c r="O32495" s="14"/>
      <c r="P32495" s="13"/>
    </row>
    <row r="32496">
      <c r="L32496" s="13"/>
      <c r="M32496" s="14"/>
      <c r="N32496" s="14"/>
      <c r="O32496" s="14"/>
      <c r="P32496" s="13"/>
    </row>
    <row r="32497">
      <c r="L32497" s="13"/>
      <c r="M32497" s="14"/>
      <c r="N32497" s="14"/>
      <c r="O32497" s="14"/>
      <c r="P32497" s="13"/>
    </row>
    <row r="32498">
      <c r="L32498" s="13"/>
      <c r="M32498" s="14"/>
      <c r="N32498" s="14"/>
      <c r="O32498" s="14"/>
      <c r="P32498" s="13"/>
    </row>
    <row r="32499">
      <c r="L32499" s="13"/>
      <c r="M32499" s="14"/>
      <c r="N32499" s="14"/>
      <c r="O32499" s="14"/>
      <c r="P32499" s="13"/>
    </row>
    <row r="32500">
      <c r="L32500" s="13"/>
      <c r="M32500" s="14"/>
      <c r="N32500" s="14"/>
      <c r="O32500" s="14"/>
      <c r="P32500" s="13"/>
    </row>
    <row r="32501">
      <c r="L32501" s="13"/>
      <c r="M32501" s="14"/>
      <c r="N32501" s="14"/>
      <c r="O32501" s="14"/>
      <c r="P32501" s="13"/>
    </row>
    <row r="32502">
      <c r="L32502" s="13"/>
      <c r="M32502" s="14"/>
      <c r="N32502" s="14"/>
      <c r="O32502" s="14"/>
      <c r="P32502" s="13"/>
    </row>
    <row r="32503">
      <c r="L32503" s="13"/>
      <c r="M32503" s="14"/>
      <c r="N32503" s="14"/>
      <c r="O32503" s="14"/>
      <c r="P32503" s="13"/>
    </row>
    <row r="32504">
      <c r="L32504" s="13"/>
      <c r="M32504" s="14"/>
      <c r="N32504" s="14"/>
      <c r="O32504" s="14"/>
      <c r="P32504" s="13"/>
    </row>
    <row r="32505">
      <c r="L32505" s="13"/>
      <c r="M32505" s="14"/>
      <c r="N32505" s="14"/>
      <c r="O32505" s="14"/>
      <c r="P32505" s="13"/>
    </row>
    <row r="32506">
      <c r="L32506" s="13"/>
      <c r="M32506" s="14"/>
      <c r="N32506" s="14"/>
      <c r="O32506" s="14"/>
      <c r="P32506" s="13"/>
    </row>
    <row r="32507">
      <c r="L32507" s="13"/>
      <c r="M32507" s="14"/>
      <c r="N32507" s="14"/>
      <c r="O32507" s="14"/>
      <c r="P32507" s="13"/>
    </row>
    <row r="32508">
      <c r="L32508" s="13"/>
      <c r="M32508" s="14"/>
      <c r="N32508" s="14"/>
      <c r="O32508" s="14"/>
      <c r="P32508" s="13"/>
    </row>
    <row r="32509">
      <c r="L32509" s="13"/>
      <c r="M32509" s="14"/>
      <c r="N32509" s="14"/>
      <c r="O32509" s="14"/>
      <c r="P32509" s="13"/>
    </row>
    <row r="32510">
      <c r="L32510" s="13"/>
      <c r="M32510" s="14"/>
      <c r="N32510" s="14"/>
      <c r="O32510" s="14"/>
      <c r="P32510" s="13"/>
    </row>
    <row r="32511">
      <c r="L32511" s="13"/>
      <c r="M32511" s="14"/>
      <c r="N32511" s="14"/>
      <c r="O32511" s="14"/>
      <c r="P32511" s="13"/>
    </row>
    <row r="32512">
      <c r="L32512" s="13"/>
      <c r="M32512" s="14"/>
      <c r="N32512" s="14"/>
      <c r="O32512" s="14"/>
      <c r="P32512" s="13"/>
    </row>
    <row r="32513">
      <c r="L32513" s="13"/>
      <c r="M32513" s="14"/>
      <c r="N32513" s="14"/>
      <c r="O32513" s="14"/>
      <c r="P32513" s="13"/>
    </row>
    <row r="32514">
      <c r="L32514" s="13"/>
      <c r="M32514" s="14"/>
      <c r="N32514" s="14"/>
      <c r="O32514" s="14"/>
      <c r="P32514" s="13"/>
    </row>
    <row r="32515">
      <c r="L32515" s="13"/>
      <c r="M32515" s="14"/>
      <c r="N32515" s="14"/>
      <c r="O32515" s="14"/>
      <c r="P32515" s="13"/>
    </row>
    <row r="32516">
      <c r="L32516" s="13"/>
      <c r="M32516" s="14"/>
      <c r="N32516" s="14"/>
      <c r="O32516" s="14"/>
      <c r="P32516" s="13"/>
    </row>
    <row r="32517">
      <c r="L32517" s="13"/>
      <c r="M32517" s="14"/>
      <c r="N32517" s="14"/>
      <c r="O32517" s="14"/>
      <c r="P32517" s="13"/>
    </row>
    <row r="32518">
      <c r="L32518" s="13"/>
      <c r="M32518" s="14"/>
      <c r="N32518" s="14"/>
      <c r="O32518" s="14"/>
      <c r="P32518" s="13"/>
    </row>
    <row r="32519">
      <c r="L32519" s="13"/>
      <c r="M32519" s="14"/>
      <c r="N32519" s="14"/>
      <c r="O32519" s="14"/>
      <c r="P32519" s="13"/>
    </row>
    <row r="32520">
      <c r="L32520" s="13"/>
      <c r="M32520" s="14"/>
      <c r="N32520" s="14"/>
      <c r="O32520" s="14"/>
      <c r="P32520" s="13"/>
    </row>
    <row r="32521">
      <c r="L32521" s="13"/>
      <c r="M32521" s="14"/>
      <c r="N32521" s="14"/>
      <c r="O32521" s="14"/>
      <c r="P32521" s="13"/>
    </row>
    <row r="32522">
      <c r="L32522" s="13"/>
      <c r="M32522" s="14"/>
      <c r="N32522" s="14"/>
      <c r="O32522" s="14"/>
      <c r="P32522" s="13"/>
    </row>
    <row r="32523">
      <c r="L32523" s="13"/>
      <c r="M32523" s="14"/>
      <c r="N32523" s="14"/>
      <c r="O32523" s="14"/>
      <c r="P32523" s="13"/>
    </row>
    <row r="32524">
      <c r="L32524" s="13"/>
      <c r="M32524" s="14"/>
      <c r="N32524" s="14"/>
      <c r="O32524" s="14"/>
      <c r="P32524" s="13"/>
    </row>
    <row r="32525">
      <c r="L32525" s="13"/>
      <c r="M32525" s="14"/>
      <c r="N32525" s="14"/>
      <c r="O32525" s="14"/>
      <c r="P32525" s="13"/>
    </row>
    <row r="32526">
      <c r="L32526" s="13"/>
      <c r="M32526" s="14"/>
      <c r="N32526" s="14"/>
      <c r="O32526" s="14"/>
      <c r="P32526" s="13"/>
    </row>
    <row r="32527">
      <c r="L32527" s="13"/>
      <c r="M32527" s="14"/>
      <c r="N32527" s="14"/>
      <c r="O32527" s="14"/>
      <c r="P32527" s="13"/>
    </row>
    <row r="32528">
      <c r="L32528" s="13"/>
      <c r="M32528" s="14"/>
      <c r="N32528" s="14"/>
      <c r="O32528" s="14"/>
      <c r="P32528" s="13"/>
    </row>
    <row r="32529">
      <c r="L32529" s="13"/>
      <c r="M32529" s="14"/>
      <c r="N32529" s="14"/>
      <c r="O32529" s="14"/>
      <c r="P32529" s="13"/>
    </row>
    <row r="32530">
      <c r="L32530" s="13"/>
      <c r="M32530" s="14"/>
      <c r="N32530" s="14"/>
      <c r="O32530" s="14"/>
      <c r="P32530" s="13"/>
    </row>
    <row r="32531">
      <c r="L32531" s="13"/>
      <c r="M32531" s="14"/>
      <c r="N32531" s="14"/>
      <c r="O32531" s="14"/>
      <c r="P32531" s="13"/>
    </row>
    <row r="32532">
      <c r="L32532" s="13"/>
      <c r="M32532" s="14"/>
      <c r="N32532" s="14"/>
      <c r="O32532" s="14"/>
      <c r="P32532" s="13"/>
    </row>
    <row r="32533">
      <c r="L32533" s="13"/>
      <c r="M32533" s="14"/>
      <c r="N32533" s="14"/>
      <c r="O32533" s="14"/>
      <c r="P32533" s="13"/>
    </row>
    <row r="32534">
      <c r="L32534" s="13"/>
      <c r="M32534" s="14"/>
      <c r="N32534" s="14"/>
      <c r="O32534" s="14"/>
      <c r="P32534" s="13"/>
    </row>
    <row r="32535">
      <c r="L32535" s="13"/>
      <c r="M32535" s="14"/>
      <c r="N32535" s="14"/>
      <c r="O32535" s="14"/>
      <c r="P32535" s="13"/>
    </row>
    <row r="32536">
      <c r="L32536" s="13"/>
      <c r="M32536" s="14"/>
      <c r="N32536" s="14"/>
      <c r="O32536" s="14"/>
      <c r="P32536" s="13"/>
    </row>
    <row r="32537">
      <c r="L32537" s="13"/>
      <c r="M32537" s="14"/>
      <c r="N32537" s="14"/>
      <c r="O32537" s="14"/>
      <c r="P32537" s="13"/>
    </row>
    <row r="32538">
      <c r="L32538" s="13"/>
      <c r="M32538" s="14"/>
      <c r="N32538" s="14"/>
      <c r="O32538" s="14"/>
      <c r="P32538" s="13"/>
    </row>
    <row r="32539">
      <c r="L32539" s="13"/>
      <c r="M32539" s="14"/>
      <c r="N32539" s="14"/>
      <c r="O32539" s="14"/>
      <c r="P32539" s="13"/>
    </row>
    <row r="32540">
      <c r="L32540" s="13"/>
      <c r="M32540" s="14"/>
      <c r="N32540" s="14"/>
      <c r="O32540" s="14"/>
      <c r="P32540" s="13"/>
    </row>
    <row r="32541">
      <c r="L32541" s="13"/>
      <c r="M32541" s="14"/>
      <c r="N32541" s="14"/>
      <c r="O32541" s="14"/>
      <c r="P32541" s="13"/>
    </row>
    <row r="32542">
      <c r="L32542" s="13"/>
      <c r="M32542" s="14"/>
      <c r="N32542" s="14"/>
      <c r="O32542" s="14"/>
      <c r="P32542" s="13"/>
    </row>
    <row r="32543">
      <c r="L32543" s="13"/>
      <c r="M32543" s="14"/>
      <c r="N32543" s="14"/>
      <c r="O32543" s="14"/>
      <c r="P32543" s="13"/>
    </row>
    <row r="32544">
      <c r="L32544" s="13"/>
      <c r="M32544" s="14"/>
      <c r="N32544" s="14"/>
      <c r="O32544" s="14"/>
      <c r="P32544" s="13"/>
    </row>
    <row r="32545">
      <c r="L32545" s="13"/>
      <c r="M32545" s="14"/>
      <c r="N32545" s="14"/>
      <c r="O32545" s="14"/>
      <c r="P32545" s="13"/>
    </row>
    <row r="32546">
      <c r="L32546" s="13"/>
      <c r="M32546" s="14"/>
      <c r="N32546" s="14"/>
      <c r="O32546" s="14"/>
      <c r="P32546" s="13"/>
    </row>
    <row r="32547">
      <c r="L32547" s="13"/>
      <c r="M32547" s="14"/>
      <c r="N32547" s="14"/>
      <c r="O32547" s="14"/>
      <c r="P32547" s="13"/>
    </row>
    <row r="32548">
      <c r="L32548" s="13"/>
      <c r="M32548" s="14"/>
      <c r="N32548" s="14"/>
      <c r="O32548" s="14"/>
      <c r="P32548" s="13"/>
    </row>
    <row r="32549">
      <c r="L32549" s="13"/>
      <c r="M32549" s="14"/>
      <c r="N32549" s="14"/>
      <c r="O32549" s="14"/>
      <c r="P32549" s="13"/>
    </row>
    <row r="32550">
      <c r="L32550" s="13"/>
      <c r="M32550" s="14"/>
      <c r="N32550" s="14"/>
      <c r="O32550" s="14"/>
      <c r="P32550" s="13"/>
    </row>
    <row r="32551">
      <c r="L32551" s="13"/>
      <c r="M32551" s="14"/>
      <c r="N32551" s="14"/>
      <c r="O32551" s="14"/>
      <c r="P32551" s="13"/>
    </row>
    <row r="32552">
      <c r="L32552" s="13"/>
      <c r="M32552" s="14"/>
      <c r="N32552" s="14"/>
      <c r="O32552" s="14"/>
      <c r="P32552" s="13"/>
    </row>
    <row r="32553">
      <c r="L32553" s="13"/>
      <c r="M32553" s="14"/>
      <c r="N32553" s="14"/>
      <c r="O32553" s="14"/>
      <c r="P32553" s="13"/>
    </row>
    <row r="32554">
      <c r="L32554" s="13"/>
      <c r="M32554" s="14"/>
      <c r="N32554" s="14"/>
      <c r="O32554" s="14"/>
      <c r="P32554" s="13"/>
    </row>
    <row r="32555">
      <c r="L32555" s="13"/>
      <c r="M32555" s="14"/>
      <c r="N32555" s="14"/>
      <c r="O32555" s="14"/>
      <c r="P32555" s="13"/>
    </row>
    <row r="32556">
      <c r="L32556" s="13"/>
      <c r="M32556" s="14"/>
      <c r="N32556" s="14"/>
      <c r="O32556" s="14"/>
      <c r="P32556" s="13"/>
    </row>
    <row r="32557">
      <c r="L32557" s="13"/>
      <c r="M32557" s="14"/>
      <c r="N32557" s="14"/>
      <c r="O32557" s="14"/>
      <c r="P32557" s="13"/>
    </row>
    <row r="32558">
      <c r="L32558" s="13"/>
      <c r="M32558" s="14"/>
      <c r="N32558" s="14"/>
      <c r="O32558" s="14"/>
      <c r="P32558" s="13"/>
    </row>
    <row r="32559">
      <c r="L32559" s="13"/>
      <c r="M32559" s="14"/>
      <c r="N32559" s="14"/>
      <c r="O32559" s="14"/>
      <c r="P32559" s="13"/>
    </row>
    <row r="32560">
      <c r="L32560" s="13"/>
      <c r="M32560" s="14"/>
      <c r="N32560" s="14"/>
      <c r="O32560" s="14"/>
      <c r="P32560" s="13"/>
    </row>
    <row r="32561">
      <c r="L32561" s="13"/>
      <c r="M32561" s="14"/>
      <c r="N32561" s="14"/>
      <c r="O32561" s="14"/>
      <c r="P32561" s="13"/>
    </row>
    <row r="32562">
      <c r="L32562" s="13"/>
      <c r="M32562" s="14"/>
      <c r="N32562" s="14"/>
      <c r="O32562" s="14"/>
      <c r="P32562" s="13"/>
    </row>
    <row r="32563">
      <c r="L32563" s="13"/>
      <c r="M32563" s="14"/>
      <c r="N32563" s="14"/>
      <c r="O32563" s="14"/>
      <c r="P32563" s="13"/>
    </row>
    <row r="32564">
      <c r="L32564" s="13"/>
      <c r="M32564" s="14"/>
      <c r="N32564" s="14"/>
      <c r="O32564" s="14"/>
      <c r="P32564" s="13"/>
    </row>
    <row r="32565">
      <c r="L32565" s="13"/>
      <c r="M32565" s="14"/>
      <c r="N32565" s="14"/>
      <c r="O32565" s="14"/>
      <c r="P32565" s="13"/>
    </row>
    <row r="32566">
      <c r="L32566" s="13"/>
      <c r="M32566" s="14"/>
      <c r="N32566" s="14"/>
      <c r="O32566" s="14"/>
      <c r="P32566" s="13"/>
    </row>
    <row r="32567">
      <c r="L32567" s="13"/>
      <c r="M32567" s="14"/>
      <c r="N32567" s="14"/>
      <c r="O32567" s="14"/>
      <c r="P32567" s="13"/>
    </row>
    <row r="32568">
      <c r="L32568" s="13"/>
      <c r="M32568" s="14"/>
      <c r="N32568" s="14"/>
      <c r="O32568" s="14"/>
      <c r="P32568" s="13"/>
    </row>
    <row r="32569">
      <c r="L32569" s="13"/>
      <c r="M32569" s="14"/>
      <c r="N32569" s="14"/>
      <c r="O32569" s="14"/>
      <c r="P32569" s="13"/>
    </row>
    <row r="32570">
      <c r="L32570" s="13"/>
      <c r="M32570" s="14"/>
      <c r="N32570" s="14"/>
      <c r="O32570" s="14"/>
      <c r="P32570" s="13"/>
    </row>
    <row r="32571">
      <c r="L32571" s="13"/>
      <c r="M32571" s="14"/>
      <c r="N32571" s="14"/>
      <c r="O32571" s="14"/>
      <c r="P32571" s="13"/>
    </row>
    <row r="32572">
      <c r="L32572" s="13"/>
      <c r="M32572" s="14"/>
      <c r="N32572" s="14"/>
      <c r="O32572" s="14"/>
      <c r="P32572" s="13"/>
    </row>
    <row r="32573">
      <c r="L32573" s="13"/>
      <c r="M32573" s="14"/>
      <c r="N32573" s="14"/>
      <c r="O32573" s="14"/>
      <c r="P32573" s="13"/>
    </row>
    <row r="32574">
      <c r="L32574" s="13"/>
      <c r="M32574" s="14"/>
      <c r="N32574" s="14"/>
      <c r="O32574" s="14"/>
      <c r="P32574" s="13"/>
    </row>
    <row r="32575">
      <c r="L32575" s="13"/>
      <c r="M32575" s="14"/>
      <c r="N32575" s="14"/>
      <c r="O32575" s="14"/>
      <c r="P32575" s="13"/>
    </row>
    <row r="32576">
      <c r="L32576" s="13"/>
      <c r="M32576" s="14"/>
      <c r="N32576" s="14"/>
      <c r="O32576" s="14"/>
      <c r="P32576" s="13"/>
    </row>
    <row r="32577">
      <c r="L32577" s="13"/>
      <c r="M32577" s="14"/>
      <c r="N32577" s="14"/>
      <c r="O32577" s="14"/>
      <c r="P32577" s="13"/>
    </row>
    <row r="32578">
      <c r="L32578" s="13"/>
      <c r="M32578" s="14"/>
      <c r="N32578" s="14"/>
      <c r="O32578" s="14"/>
      <c r="P32578" s="13"/>
    </row>
    <row r="32579">
      <c r="L32579" s="13"/>
      <c r="M32579" s="14"/>
      <c r="N32579" s="14"/>
      <c r="O32579" s="14"/>
      <c r="P32579" s="13"/>
    </row>
    <row r="32580">
      <c r="L32580" s="13"/>
      <c r="M32580" s="14"/>
      <c r="N32580" s="14"/>
      <c r="O32580" s="14"/>
      <c r="P32580" s="13"/>
    </row>
    <row r="32581">
      <c r="L32581" s="13"/>
      <c r="M32581" s="14"/>
      <c r="N32581" s="14"/>
      <c r="O32581" s="14"/>
      <c r="P32581" s="13"/>
    </row>
    <row r="32582">
      <c r="L32582" s="13"/>
      <c r="M32582" s="14"/>
      <c r="N32582" s="14"/>
      <c r="O32582" s="14"/>
      <c r="P32582" s="13"/>
    </row>
    <row r="32583">
      <c r="L32583" s="13"/>
      <c r="M32583" s="14"/>
      <c r="N32583" s="14"/>
      <c r="O32583" s="14"/>
      <c r="P32583" s="13"/>
    </row>
    <row r="32584">
      <c r="L32584" s="13"/>
      <c r="M32584" s="14"/>
      <c r="N32584" s="14"/>
      <c r="O32584" s="14"/>
      <c r="P32584" s="13"/>
    </row>
    <row r="32585">
      <c r="L32585" s="13"/>
      <c r="M32585" s="14"/>
      <c r="N32585" s="14"/>
      <c r="O32585" s="14"/>
      <c r="P32585" s="13"/>
    </row>
    <row r="32586">
      <c r="L32586" s="13"/>
      <c r="M32586" s="14"/>
      <c r="N32586" s="14"/>
      <c r="O32586" s="14"/>
      <c r="P32586" s="13"/>
    </row>
    <row r="32587">
      <c r="L32587" s="13"/>
      <c r="M32587" s="14"/>
      <c r="N32587" s="14"/>
      <c r="O32587" s="14"/>
      <c r="P32587" s="13"/>
    </row>
    <row r="32588">
      <c r="L32588" s="13"/>
      <c r="M32588" s="14"/>
      <c r="N32588" s="14"/>
      <c r="O32588" s="14"/>
      <c r="P32588" s="13"/>
    </row>
    <row r="32589">
      <c r="L32589" s="13"/>
      <c r="M32589" s="14"/>
      <c r="N32589" s="14"/>
      <c r="O32589" s="14"/>
      <c r="P32589" s="13"/>
    </row>
    <row r="32590">
      <c r="L32590" s="13"/>
      <c r="M32590" s="14"/>
      <c r="N32590" s="14"/>
      <c r="O32590" s="14"/>
      <c r="P32590" s="13"/>
    </row>
    <row r="32591">
      <c r="L32591" s="13"/>
      <c r="M32591" s="14"/>
      <c r="N32591" s="14"/>
      <c r="O32591" s="14"/>
      <c r="P32591" s="13"/>
    </row>
    <row r="32592">
      <c r="L32592" s="13"/>
      <c r="M32592" s="14"/>
      <c r="N32592" s="14"/>
      <c r="O32592" s="14"/>
      <c r="P32592" s="13"/>
    </row>
    <row r="32593">
      <c r="L32593" s="13"/>
      <c r="M32593" s="14"/>
      <c r="N32593" s="14"/>
      <c r="O32593" s="14"/>
      <c r="P32593" s="13"/>
    </row>
    <row r="32594">
      <c r="L32594" s="13"/>
      <c r="M32594" s="14"/>
      <c r="N32594" s="14"/>
      <c r="O32594" s="14"/>
      <c r="P32594" s="13"/>
    </row>
    <row r="32595">
      <c r="L32595" s="13"/>
      <c r="M32595" s="14"/>
      <c r="N32595" s="14"/>
      <c r="O32595" s="14"/>
      <c r="P32595" s="13"/>
    </row>
    <row r="32596">
      <c r="L32596" s="13"/>
      <c r="M32596" s="14"/>
      <c r="N32596" s="14"/>
      <c r="O32596" s="14"/>
      <c r="P32596" s="13"/>
    </row>
    <row r="32597">
      <c r="L32597" s="13"/>
      <c r="M32597" s="14"/>
      <c r="N32597" s="14"/>
      <c r="O32597" s="14"/>
      <c r="P32597" s="13"/>
    </row>
    <row r="32598">
      <c r="L32598" s="13"/>
      <c r="M32598" s="14"/>
      <c r="N32598" s="14"/>
      <c r="O32598" s="14"/>
      <c r="P32598" s="13"/>
    </row>
    <row r="32599">
      <c r="L32599" s="13"/>
      <c r="M32599" s="14"/>
      <c r="N32599" s="14"/>
      <c r="O32599" s="14"/>
      <c r="P32599" s="13"/>
    </row>
    <row r="32600">
      <c r="L32600" s="13"/>
      <c r="M32600" s="14"/>
      <c r="N32600" s="14"/>
      <c r="O32600" s="14"/>
      <c r="P32600" s="13"/>
    </row>
    <row r="32601">
      <c r="L32601" s="13"/>
      <c r="M32601" s="14"/>
      <c r="N32601" s="14"/>
      <c r="O32601" s="14"/>
      <c r="P32601" s="13"/>
    </row>
    <row r="32602">
      <c r="L32602" s="13"/>
      <c r="M32602" s="14"/>
      <c r="N32602" s="14"/>
      <c r="O32602" s="14"/>
      <c r="P32602" s="13"/>
    </row>
    <row r="32603">
      <c r="L32603" s="13"/>
      <c r="M32603" s="14"/>
      <c r="N32603" s="14"/>
      <c r="O32603" s="14"/>
      <c r="P32603" s="13"/>
    </row>
    <row r="32604">
      <c r="L32604" s="13"/>
      <c r="M32604" s="14"/>
      <c r="N32604" s="14"/>
      <c r="O32604" s="14"/>
      <c r="P32604" s="13"/>
    </row>
    <row r="32605">
      <c r="L32605" s="13"/>
      <c r="M32605" s="14"/>
      <c r="N32605" s="14"/>
      <c r="O32605" s="14"/>
      <c r="P32605" s="13"/>
    </row>
    <row r="32606">
      <c r="L32606" s="13"/>
      <c r="M32606" s="14"/>
      <c r="N32606" s="14"/>
      <c r="O32606" s="14"/>
      <c r="P32606" s="13"/>
    </row>
    <row r="32607">
      <c r="L32607" s="13"/>
      <c r="M32607" s="14"/>
      <c r="N32607" s="14"/>
      <c r="O32607" s="14"/>
      <c r="P32607" s="13"/>
    </row>
    <row r="32608">
      <c r="L32608" s="13"/>
      <c r="M32608" s="14"/>
      <c r="N32608" s="14"/>
      <c r="O32608" s="14"/>
      <c r="P32608" s="13"/>
    </row>
    <row r="32609">
      <c r="L32609" s="13"/>
      <c r="M32609" s="14"/>
      <c r="N32609" s="14"/>
      <c r="O32609" s="14"/>
      <c r="P32609" s="13"/>
    </row>
    <row r="32610">
      <c r="L32610" s="13"/>
      <c r="M32610" s="14"/>
      <c r="N32610" s="14"/>
      <c r="O32610" s="14"/>
      <c r="P32610" s="13"/>
    </row>
    <row r="32611">
      <c r="L32611" s="13"/>
      <c r="M32611" s="14"/>
      <c r="N32611" s="14"/>
      <c r="O32611" s="14"/>
      <c r="P32611" s="13"/>
    </row>
    <row r="32612">
      <c r="L32612" s="13"/>
      <c r="M32612" s="14"/>
      <c r="N32612" s="14"/>
      <c r="O32612" s="14"/>
      <c r="P32612" s="13"/>
    </row>
    <row r="32613">
      <c r="L32613" s="13"/>
      <c r="M32613" s="14"/>
      <c r="N32613" s="14"/>
      <c r="O32613" s="14"/>
      <c r="P32613" s="13"/>
    </row>
    <row r="32614">
      <c r="L32614" s="13"/>
      <c r="M32614" s="14"/>
      <c r="N32614" s="14"/>
      <c r="O32614" s="14"/>
      <c r="P32614" s="13"/>
    </row>
    <row r="32615">
      <c r="L32615" s="13"/>
      <c r="M32615" s="14"/>
      <c r="N32615" s="14"/>
      <c r="O32615" s="14"/>
      <c r="P32615" s="13"/>
    </row>
    <row r="32616">
      <c r="L32616" s="13"/>
      <c r="M32616" s="14"/>
      <c r="N32616" s="14"/>
      <c r="O32616" s="14"/>
      <c r="P32616" s="13"/>
    </row>
    <row r="32617">
      <c r="L32617" s="13"/>
      <c r="M32617" s="14"/>
      <c r="N32617" s="14"/>
      <c r="O32617" s="14"/>
      <c r="P32617" s="13"/>
    </row>
    <row r="32618">
      <c r="L32618" s="13"/>
      <c r="M32618" s="14"/>
      <c r="N32618" s="14"/>
      <c r="O32618" s="14"/>
      <c r="P32618" s="13"/>
    </row>
    <row r="32619">
      <c r="L32619" s="13"/>
      <c r="M32619" s="14"/>
      <c r="N32619" s="14"/>
      <c r="O32619" s="14"/>
      <c r="P32619" s="13"/>
    </row>
    <row r="32620">
      <c r="L32620" s="13"/>
      <c r="M32620" s="14"/>
      <c r="N32620" s="14"/>
      <c r="O32620" s="14"/>
      <c r="P32620" s="13"/>
    </row>
    <row r="32621">
      <c r="L32621" s="13"/>
      <c r="M32621" s="14"/>
      <c r="N32621" s="14"/>
      <c r="O32621" s="14"/>
      <c r="P32621" s="13"/>
    </row>
    <row r="32622">
      <c r="L32622" s="13"/>
      <c r="M32622" s="14"/>
      <c r="N32622" s="14"/>
      <c r="O32622" s="14"/>
      <c r="P32622" s="13"/>
    </row>
    <row r="32623">
      <c r="L32623" s="13"/>
      <c r="M32623" s="14"/>
      <c r="N32623" s="14"/>
      <c r="O32623" s="14"/>
      <c r="P32623" s="13"/>
    </row>
    <row r="32624">
      <c r="L32624" s="13"/>
      <c r="M32624" s="14"/>
      <c r="N32624" s="14"/>
      <c r="O32624" s="14"/>
      <c r="P32624" s="13"/>
    </row>
    <row r="32625">
      <c r="L32625" s="13"/>
      <c r="M32625" s="14"/>
      <c r="N32625" s="14"/>
      <c r="O32625" s="14"/>
      <c r="P32625" s="13"/>
    </row>
    <row r="32626">
      <c r="L32626" s="13"/>
      <c r="M32626" s="14"/>
      <c r="N32626" s="14"/>
      <c r="O32626" s="14"/>
      <c r="P32626" s="13"/>
    </row>
    <row r="32627">
      <c r="L32627" s="13"/>
      <c r="M32627" s="14"/>
      <c r="N32627" s="14"/>
      <c r="O32627" s="14"/>
      <c r="P32627" s="13"/>
    </row>
    <row r="32628">
      <c r="L32628" s="13"/>
      <c r="M32628" s="14"/>
      <c r="N32628" s="14"/>
      <c r="O32628" s="14"/>
      <c r="P32628" s="13"/>
    </row>
    <row r="32629">
      <c r="L32629" s="13"/>
      <c r="M32629" s="14"/>
      <c r="N32629" s="14"/>
      <c r="O32629" s="14"/>
      <c r="P32629" s="13"/>
    </row>
    <row r="32630">
      <c r="L32630" s="13"/>
      <c r="M32630" s="14"/>
      <c r="N32630" s="14"/>
      <c r="O32630" s="14"/>
      <c r="P32630" s="13"/>
    </row>
    <row r="32631">
      <c r="L32631" s="13"/>
      <c r="M32631" s="14"/>
      <c r="N32631" s="14"/>
      <c r="O32631" s="14"/>
      <c r="P32631" s="13"/>
    </row>
    <row r="32632">
      <c r="L32632" s="13"/>
      <c r="M32632" s="14"/>
      <c r="N32632" s="14"/>
      <c r="O32632" s="14"/>
      <c r="P32632" s="13"/>
    </row>
    <row r="32633">
      <c r="L32633" s="13"/>
      <c r="M32633" s="14"/>
      <c r="N32633" s="14"/>
      <c r="O32633" s="14"/>
      <c r="P32633" s="13"/>
    </row>
    <row r="32634">
      <c r="L32634" s="13"/>
      <c r="M32634" s="14"/>
      <c r="N32634" s="14"/>
      <c r="O32634" s="14"/>
      <c r="P32634" s="13"/>
    </row>
    <row r="32635">
      <c r="L32635" s="13"/>
      <c r="M32635" s="14"/>
      <c r="N32635" s="14"/>
      <c r="O32635" s="14"/>
      <c r="P32635" s="13"/>
    </row>
    <row r="32636">
      <c r="L32636" s="13"/>
      <c r="M32636" s="14"/>
      <c r="N32636" s="14"/>
      <c r="O32636" s="14"/>
      <c r="P32636" s="13"/>
    </row>
    <row r="32637">
      <c r="L32637" s="13"/>
      <c r="M32637" s="14"/>
      <c r="N32637" s="14"/>
      <c r="O32637" s="14"/>
      <c r="P32637" s="13"/>
    </row>
    <row r="32638">
      <c r="L32638" s="13"/>
      <c r="M32638" s="14"/>
      <c r="N32638" s="14"/>
      <c r="O32638" s="14"/>
      <c r="P32638" s="13"/>
    </row>
    <row r="32639">
      <c r="L32639" s="13"/>
      <c r="M32639" s="14"/>
      <c r="N32639" s="14"/>
      <c r="O32639" s="14"/>
      <c r="P32639" s="13"/>
    </row>
    <row r="32640">
      <c r="L32640" s="13"/>
      <c r="M32640" s="14"/>
      <c r="N32640" s="14"/>
      <c r="O32640" s="14"/>
      <c r="P32640" s="13"/>
    </row>
    <row r="32641">
      <c r="L32641" s="13"/>
      <c r="M32641" s="14"/>
      <c r="N32641" s="14"/>
      <c r="O32641" s="14"/>
      <c r="P32641" s="13"/>
    </row>
    <row r="32642">
      <c r="L32642" s="13"/>
      <c r="M32642" s="14"/>
      <c r="N32642" s="14"/>
      <c r="O32642" s="14"/>
      <c r="P32642" s="13"/>
    </row>
    <row r="32643">
      <c r="L32643" s="13"/>
      <c r="M32643" s="14"/>
      <c r="N32643" s="14"/>
      <c r="O32643" s="14"/>
      <c r="P32643" s="13"/>
    </row>
    <row r="32644">
      <c r="L32644" s="13"/>
      <c r="M32644" s="14"/>
      <c r="N32644" s="14"/>
      <c r="O32644" s="14"/>
      <c r="P32644" s="13"/>
    </row>
    <row r="32645">
      <c r="L32645" s="13"/>
      <c r="M32645" s="14"/>
      <c r="N32645" s="14"/>
      <c r="O32645" s="14"/>
      <c r="P32645" s="13"/>
    </row>
    <row r="32646">
      <c r="L32646" s="13"/>
      <c r="M32646" s="14"/>
      <c r="N32646" s="14"/>
      <c r="O32646" s="14"/>
      <c r="P32646" s="13"/>
    </row>
    <row r="32647">
      <c r="L32647" s="13"/>
      <c r="M32647" s="14"/>
      <c r="N32647" s="14"/>
      <c r="O32647" s="14"/>
      <c r="P32647" s="13"/>
    </row>
    <row r="32648">
      <c r="L32648" s="13"/>
      <c r="M32648" s="14"/>
      <c r="N32648" s="14"/>
      <c r="O32648" s="14"/>
      <c r="P32648" s="13"/>
    </row>
    <row r="32649">
      <c r="L32649" s="13"/>
      <c r="M32649" s="14"/>
      <c r="N32649" s="14"/>
      <c r="O32649" s="14"/>
      <c r="P32649" s="13"/>
    </row>
    <row r="32650">
      <c r="L32650" s="13"/>
      <c r="M32650" s="14"/>
      <c r="N32650" s="14"/>
      <c r="O32650" s="14"/>
      <c r="P32650" s="13"/>
    </row>
    <row r="32651">
      <c r="L32651" s="13"/>
      <c r="M32651" s="14"/>
      <c r="N32651" s="14"/>
      <c r="O32651" s="14"/>
      <c r="P32651" s="13"/>
    </row>
    <row r="32652">
      <c r="L32652" s="13"/>
      <c r="M32652" s="14"/>
      <c r="N32652" s="14"/>
      <c r="O32652" s="14"/>
      <c r="P32652" s="13"/>
    </row>
    <row r="32653">
      <c r="L32653" s="13"/>
      <c r="M32653" s="14"/>
      <c r="N32653" s="14"/>
      <c r="O32653" s="14"/>
      <c r="P32653" s="13"/>
    </row>
    <row r="32654">
      <c r="L32654" s="13"/>
      <c r="M32654" s="14"/>
      <c r="N32654" s="14"/>
      <c r="O32654" s="14"/>
      <c r="P32654" s="13"/>
    </row>
    <row r="32655">
      <c r="L32655" s="13"/>
      <c r="M32655" s="14"/>
      <c r="N32655" s="14"/>
      <c r="O32655" s="14"/>
      <c r="P32655" s="13"/>
    </row>
    <row r="32656">
      <c r="L32656" s="13"/>
      <c r="M32656" s="14"/>
      <c r="N32656" s="14"/>
      <c r="O32656" s="14"/>
      <c r="P32656" s="13"/>
    </row>
    <row r="32657">
      <c r="L32657" s="13"/>
      <c r="M32657" s="14"/>
      <c r="N32657" s="14"/>
      <c r="O32657" s="14"/>
      <c r="P32657" s="13"/>
    </row>
    <row r="32658">
      <c r="L32658" s="13"/>
      <c r="M32658" s="14"/>
      <c r="N32658" s="14"/>
      <c r="O32658" s="14"/>
      <c r="P32658" s="13"/>
    </row>
    <row r="32659">
      <c r="L32659" s="13"/>
      <c r="M32659" s="14"/>
      <c r="N32659" s="14"/>
      <c r="O32659" s="14"/>
      <c r="P32659" s="13"/>
    </row>
    <row r="32660">
      <c r="L32660" s="13"/>
      <c r="M32660" s="14"/>
      <c r="N32660" s="14"/>
      <c r="O32660" s="14"/>
      <c r="P32660" s="13"/>
    </row>
    <row r="32661">
      <c r="L32661" s="13"/>
      <c r="M32661" s="14"/>
      <c r="N32661" s="14"/>
      <c r="O32661" s="14"/>
      <c r="P32661" s="13"/>
    </row>
    <row r="32662">
      <c r="L32662" s="13"/>
      <c r="M32662" s="14"/>
      <c r="N32662" s="14"/>
      <c r="O32662" s="14"/>
      <c r="P32662" s="13"/>
    </row>
    <row r="32663">
      <c r="L32663" s="13"/>
      <c r="M32663" s="14"/>
      <c r="N32663" s="14"/>
      <c r="O32663" s="14"/>
      <c r="P32663" s="13"/>
    </row>
    <row r="32664">
      <c r="L32664" s="13"/>
      <c r="M32664" s="14"/>
      <c r="N32664" s="14"/>
      <c r="O32664" s="14"/>
      <c r="P32664" s="13"/>
    </row>
    <row r="32665">
      <c r="L32665" s="13"/>
      <c r="M32665" s="14"/>
      <c r="N32665" s="14"/>
      <c r="O32665" s="14"/>
      <c r="P32665" s="13"/>
    </row>
    <row r="32666">
      <c r="L32666" s="13"/>
      <c r="M32666" s="14"/>
      <c r="N32666" s="14"/>
      <c r="O32666" s="14"/>
      <c r="P32666" s="13"/>
    </row>
    <row r="32667">
      <c r="L32667" s="13"/>
      <c r="M32667" s="14"/>
      <c r="N32667" s="14"/>
      <c r="O32667" s="14"/>
      <c r="P32667" s="13"/>
    </row>
    <row r="32668">
      <c r="L32668" s="13"/>
      <c r="M32668" s="14"/>
      <c r="N32668" s="14"/>
      <c r="O32668" s="14"/>
      <c r="P32668" s="13"/>
    </row>
    <row r="32669">
      <c r="L32669" s="13"/>
      <c r="M32669" s="14"/>
      <c r="N32669" s="14"/>
      <c r="O32669" s="14"/>
      <c r="P32669" s="13"/>
    </row>
    <row r="32670">
      <c r="L32670" s="13"/>
      <c r="M32670" s="14"/>
      <c r="N32670" s="14"/>
      <c r="O32670" s="14"/>
      <c r="P32670" s="13"/>
    </row>
    <row r="32671">
      <c r="L32671" s="13"/>
      <c r="M32671" s="14"/>
      <c r="N32671" s="14"/>
      <c r="O32671" s="14"/>
      <c r="P32671" s="13"/>
    </row>
    <row r="32672">
      <c r="L32672" s="13"/>
      <c r="M32672" s="14"/>
      <c r="N32672" s="14"/>
      <c r="O32672" s="14"/>
      <c r="P32672" s="13"/>
    </row>
    <row r="32673">
      <c r="L32673" s="13"/>
      <c r="M32673" s="14"/>
      <c r="N32673" s="14"/>
      <c r="O32673" s="14"/>
      <c r="P32673" s="13"/>
    </row>
    <row r="32674">
      <c r="L32674" s="13"/>
      <c r="M32674" s="14"/>
      <c r="N32674" s="14"/>
      <c r="O32674" s="14"/>
      <c r="P32674" s="13"/>
    </row>
    <row r="32675">
      <c r="L32675" s="13"/>
      <c r="M32675" s="14"/>
      <c r="N32675" s="14"/>
      <c r="O32675" s="14"/>
      <c r="P32675" s="13"/>
    </row>
    <row r="32676">
      <c r="L32676" s="13"/>
      <c r="M32676" s="14"/>
      <c r="N32676" s="14"/>
      <c r="O32676" s="14"/>
      <c r="P32676" s="13"/>
    </row>
    <row r="32677">
      <c r="L32677" s="13"/>
      <c r="M32677" s="14"/>
      <c r="N32677" s="14"/>
      <c r="O32677" s="14"/>
      <c r="P32677" s="13"/>
    </row>
    <row r="32678">
      <c r="L32678" s="13"/>
      <c r="M32678" s="14"/>
      <c r="N32678" s="14"/>
      <c r="O32678" s="14"/>
      <c r="P32678" s="13"/>
    </row>
    <row r="32679">
      <c r="L32679" s="13"/>
      <c r="M32679" s="14"/>
      <c r="N32679" s="14"/>
      <c r="O32679" s="14"/>
      <c r="P32679" s="13"/>
    </row>
    <row r="32680">
      <c r="L32680" s="13"/>
      <c r="M32680" s="14"/>
      <c r="N32680" s="14"/>
      <c r="O32680" s="14"/>
      <c r="P32680" s="13"/>
    </row>
    <row r="32681">
      <c r="L32681" s="13"/>
      <c r="M32681" s="14"/>
      <c r="N32681" s="14"/>
      <c r="O32681" s="14"/>
      <c r="P32681" s="13"/>
    </row>
    <row r="32682">
      <c r="L32682" s="13"/>
      <c r="M32682" s="14"/>
      <c r="N32682" s="14"/>
      <c r="O32682" s="14"/>
      <c r="P32682" s="13"/>
    </row>
    <row r="32683">
      <c r="L32683" s="13"/>
      <c r="M32683" s="14"/>
      <c r="N32683" s="14"/>
      <c r="O32683" s="14"/>
      <c r="P32683" s="13"/>
    </row>
    <row r="32684">
      <c r="L32684" s="13"/>
      <c r="M32684" s="14"/>
      <c r="N32684" s="14"/>
      <c r="O32684" s="14"/>
      <c r="P32684" s="13"/>
    </row>
    <row r="32685">
      <c r="L32685" s="13"/>
      <c r="M32685" s="14"/>
      <c r="N32685" s="14"/>
      <c r="O32685" s="14"/>
      <c r="P32685" s="13"/>
    </row>
    <row r="32686">
      <c r="L32686" s="13"/>
      <c r="M32686" s="14"/>
      <c r="N32686" s="14"/>
      <c r="O32686" s="14"/>
      <c r="P32686" s="13"/>
    </row>
    <row r="32687">
      <c r="L32687" s="13"/>
      <c r="M32687" s="14"/>
      <c r="N32687" s="14"/>
      <c r="O32687" s="14"/>
      <c r="P32687" s="13"/>
    </row>
    <row r="32688">
      <c r="L32688" s="13"/>
      <c r="M32688" s="14"/>
      <c r="N32688" s="14"/>
      <c r="O32688" s="14"/>
      <c r="P32688" s="13"/>
    </row>
    <row r="32689">
      <c r="L32689" s="13"/>
      <c r="M32689" s="14"/>
      <c r="N32689" s="14"/>
      <c r="O32689" s="14"/>
      <c r="P32689" s="13"/>
    </row>
    <row r="32690">
      <c r="L32690" s="13"/>
      <c r="M32690" s="14"/>
      <c r="N32690" s="14"/>
      <c r="O32690" s="14"/>
      <c r="P32690" s="13"/>
    </row>
    <row r="32691">
      <c r="L32691" s="13"/>
      <c r="M32691" s="14"/>
      <c r="N32691" s="14"/>
      <c r="O32691" s="14"/>
      <c r="P32691" s="13"/>
    </row>
    <row r="32692">
      <c r="L32692" s="13"/>
      <c r="M32692" s="14"/>
      <c r="N32692" s="14"/>
      <c r="O32692" s="14"/>
      <c r="P32692" s="13"/>
    </row>
    <row r="32693">
      <c r="L32693" s="13"/>
      <c r="M32693" s="14"/>
      <c r="N32693" s="14"/>
      <c r="O32693" s="14"/>
      <c r="P32693" s="13"/>
    </row>
    <row r="32694">
      <c r="L32694" s="13"/>
      <c r="M32694" s="14"/>
      <c r="N32694" s="14"/>
      <c r="O32694" s="14"/>
      <c r="P32694" s="13"/>
    </row>
    <row r="32695">
      <c r="L32695" s="13"/>
      <c r="M32695" s="14"/>
      <c r="N32695" s="14"/>
      <c r="O32695" s="14"/>
      <c r="P32695" s="13"/>
    </row>
    <row r="32696">
      <c r="L32696" s="13"/>
      <c r="M32696" s="14"/>
      <c r="N32696" s="14"/>
      <c r="O32696" s="14"/>
      <c r="P32696" s="13"/>
    </row>
    <row r="32697">
      <c r="L32697" s="13"/>
      <c r="M32697" s="14"/>
      <c r="N32697" s="14"/>
      <c r="O32697" s="14"/>
      <c r="P32697" s="13"/>
    </row>
    <row r="32698">
      <c r="L32698" s="13"/>
      <c r="M32698" s="14"/>
      <c r="N32698" s="14"/>
      <c r="O32698" s="14"/>
      <c r="P32698" s="13"/>
    </row>
    <row r="32699">
      <c r="L32699" s="13"/>
      <c r="M32699" s="14"/>
      <c r="N32699" s="14"/>
      <c r="O32699" s="14"/>
      <c r="P32699" s="13"/>
    </row>
    <row r="32700">
      <c r="L32700" s="13"/>
      <c r="M32700" s="14"/>
      <c r="N32700" s="14"/>
      <c r="O32700" s="14"/>
      <c r="P32700" s="13"/>
    </row>
    <row r="32701">
      <c r="L32701" s="13"/>
      <c r="M32701" s="14"/>
      <c r="N32701" s="14"/>
      <c r="O32701" s="14"/>
      <c r="P32701" s="13"/>
    </row>
    <row r="32702">
      <c r="L32702" s="13"/>
      <c r="M32702" s="14"/>
      <c r="N32702" s="14"/>
      <c r="O32702" s="14"/>
      <c r="P32702" s="13"/>
    </row>
    <row r="32703">
      <c r="L32703" s="13"/>
      <c r="M32703" s="14"/>
      <c r="N32703" s="14"/>
      <c r="O32703" s="14"/>
      <c r="P32703" s="13"/>
    </row>
    <row r="32704">
      <c r="L32704" s="13"/>
      <c r="M32704" s="14"/>
      <c r="N32704" s="14"/>
      <c r="O32704" s="14"/>
      <c r="P32704" s="13"/>
    </row>
    <row r="32705">
      <c r="L32705" s="13"/>
      <c r="M32705" s="14"/>
      <c r="N32705" s="14"/>
      <c r="O32705" s="14"/>
      <c r="P32705" s="13"/>
    </row>
    <row r="32706">
      <c r="L32706" s="13"/>
      <c r="M32706" s="14"/>
      <c r="N32706" s="14"/>
      <c r="O32706" s="14"/>
      <c r="P32706" s="13"/>
    </row>
    <row r="32707">
      <c r="L32707" s="13"/>
      <c r="M32707" s="14"/>
      <c r="N32707" s="14"/>
      <c r="O32707" s="14"/>
      <c r="P32707" s="13"/>
    </row>
    <row r="32708">
      <c r="L32708" s="13"/>
      <c r="M32708" s="14"/>
      <c r="N32708" s="14"/>
      <c r="O32708" s="14"/>
      <c r="P32708" s="13"/>
    </row>
    <row r="32709">
      <c r="L32709" s="13"/>
      <c r="M32709" s="14"/>
      <c r="N32709" s="14"/>
      <c r="O32709" s="14"/>
      <c r="P32709" s="13"/>
    </row>
    <row r="32710">
      <c r="L32710" s="13"/>
      <c r="M32710" s="14"/>
      <c r="N32710" s="14"/>
      <c r="O32710" s="14"/>
      <c r="P32710" s="13"/>
    </row>
    <row r="32711">
      <c r="L32711" s="13"/>
      <c r="M32711" s="14"/>
      <c r="N32711" s="14"/>
      <c r="O32711" s="14"/>
      <c r="P32711" s="13"/>
    </row>
    <row r="32712">
      <c r="L32712" s="13"/>
      <c r="M32712" s="14"/>
      <c r="N32712" s="14"/>
      <c r="O32712" s="14"/>
      <c r="P32712" s="13"/>
    </row>
    <row r="32713">
      <c r="L32713" s="13"/>
      <c r="M32713" s="14"/>
      <c r="N32713" s="14"/>
      <c r="O32713" s="14"/>
      <c r="P32713" s="13"/>
    </row>
    <row r="32714">
      <c r="L32714" s="13"/>
      <c r="M32714" s="14"/>
      <c r="N32714" s="14"/>
      <c r="O32714" s="14"/>
      <c r="P32714" s="13"/>
    </row>
    <row r="32715">
      <c r="L32715" s="13"/>
      <c r="M32715" s="14"/>
      <c r="N32715" s="14"/>
      <c r="O32715" s="14"/>
      <c r="P32715" s="13"/>
    </row>
    <row r="32716">
      <c r="L32716" s="13"/>
      <c r="M32716" s="14"/>
      <c r="N32716" s="14"/>
      <c r="O32716" s="14"/>
      <c r="P32716" s="13"/>
    </row>
    <row r="32717">
      <c r="L32717" s="13"/>
      <c r="M32717" s="14"/>
      <c r="N32717" s="14"/>
      <c r="O32717" s="14"/>
      <c r="P32717" s="13"/>
    </row>
    <row r="32718">
      <c r="L32718" s="13"/>
      <c r="M32718" s="14"/>
      <c r="N32718" s="14"/>
      <c r="O32718" s="14"/>
      <c r="P32718" s="13"/>
    </row>
    <row r="32719">
      <c r="L32719" s="13"/>
      <c r="M32719" s="14"/>
      <c r="N32719" s="14"/>
      <c r="O32719" s="14"/>
      <c r="P32719" s="13"/>
    </row>
    <row r="32720">
      <c r="L32720" s="13"/>
      <c r="M32720" s="14"/>
      <c r="N32720" s="14"/>
      <c r="O32720" s="14"/>
      <c r="P32720" s="13"/>
    </row>
    <row r="32721">
      <c r="L32721" s="13"/>
      <c r="M32721" s="14"/>
      <c r="N32721" s="14"/>
      <c r="O32721" s="14"/>
      <c r="P32721" s="13"/>
    </row>
    <row r="32722">
      <c r="L32722" s="13"/>
      <c r="M32722" s="14"/>
      <c r="N32722" s="14"/>
      <c r="O32722" s="14"/>
      <c r="P32722" s="13"/>
    </row>
    <row r="32723">
      <c r="L32723" s="13"/>
      <c r="M32723" s="14"/>
      <c r="N32723" s="14"/>
      <c r="O32723" s="14"/>
      <c r="P32723" s="13"/>
    </row>
    <row r="32724">
      <c r="L32724" s="13"/>
      <c r="M32724" s="14"/>
      <c r="N32724" s="14"/>
      <c r="O32724" s="14"/>
      <c r="P32724" s="13"/>
    </row>
    <row r="32725">
      <c r="L32725" s="13"/>
      <c r="M32725" s="14"/>
      <c r="N32725" s="14"/>
      <c r="O32725" s="14"/>
      <c r="P32725" s="13"/>
    </row>
    <row r="32726">
      <c r="L32726" s="13"/>
      <c r="M32726" s="14"/>
      <c r="N32726" s="14"/>
      <c r="O32726" s="14"/>
      <c r="P32726" s="13"/>
    </row>
    <row r="32727">
      <c r="L32727" s="13"/>
      <c r="M32727" s="14"/>
      <c r="N32727" s="14"/>
      <c r="O32727" s="14"/>
      <c r="P32727" s="13"/>
    </row>
    <row r="32728">
      <c r="L32728" s="13"/>
      <c r="M32728" s="14"/>
      <c r="N32728" s="14"/>
      <c r="O32728" s="14"/>
      <c r="P32728" s="13"/>
    </row>
    <row r="32729">
      <c r="L32729" s="13"/>
      <c r="M32729" s="14"/>
      <c r="N32729" s="14"/>
      <c r="O32729" s="14"/>
      <c r="P32729" s="13"/>
    </row>
    <row r="32730">
      <c r="L32730" s="13"/>
      <c r="M32730" s="14"/>
      <c r="N32730" s="14"/>
      <c r="O32730" s="14"/>
      <c r="P32730" s="13"/>
    </row>
    <row r="32731">
      <c r="L32731" s="13"/>
      <c r="M32731" s="14"/>
      <c r="N32731" s="14"/>
      <c r="O32731" s="14"/>
      <c r="P32731" s="13"/>
    </row>
    <row r="32732">
      <c r="L32732" s="13"/>
      <c r="M32732" s="14"/>
      <c r="N32732" s="14"/>
      <c r="O32732" s="14"/>
      <c r="P32732" s="13"/>
    </row>
    <row r="32733">
      <c r="L32733" s="13"/>
      <c r="M32733" s="14"/>
      <c r="N32733" s="14"/>
      <c r="O32733" s="14"/>
      <c r="P32733" s="13"/>
    </row>
    <row r="32734">
      <c r="L32734" s="13"/>
      <c r="M32734" s="14"/>
      <c r="N32734" s="14"/>
      <c r="O32734" s="14"/>
      <c r="P32734" s="13"/>
    </row>
    <row r="32735">
      <c r="L32735" s="13"/>
      <c r="M32735" s="14"/>
      <c r="N32735" s="14"/>
      <c r="O32735" s="14"/>
      <c r="P32735" s="13"/>
    </row>
    <row r="32736">
      <c r="L32736" s="13"/>
      <c r="M32736" s="14"/>
      <c r="N32736" s="14"/>
      <c r="O32736" s="14"/>
      <c r="P32736" s="13"/>
    </row>
    <row r="32737">
      <c r="L32737" s="13"/>
      <c r="M32737" s="14"/>
      <c r="N32737" s="14"/>
      <c r="O32737" s="14"/>
      <c r="P32737" s="13"/>
    </row>
    <row r="32738">
      <c r="L32738" s="13"/>
      <c r="M32738" s="14"/>
      <c r="N32738" s="14"/>
      <c r="O32738" s="14"/>
      <c r="P32738" s="13"/>
    </row>
    <row r="32739">
      <c r="L32739" s="13"/>
      <c r="M32739" s="14"/>
      <c r="N32739" s="14"/>
      <c r="O32739" s="14"/>
      <c r="P32739" s="13"/>
    </row>
    <row r="32740">
      <c r="L32740" s="13"/>
      <c r="M32740" s="14"/>
      <c r="N32740" s="14"/>
      <c r="O32740" s="14"/>
      <c r="P32740" s="13"/>
    </row>
    <row r="32741">
      <c r="L32741" s="13"/>
      <c r="M32741" s="14"/>
      <c r="N32741" s="14"/>
      <c r="O32741" s="14"/>
      <c r="P32741" s="13"/>
    </row>
    <row r="32742">
      <c r="L32742" s="13"/>
      <c r="M32742" s="14"/>
      <c r="N32742" s="14"/>
      <c r="O32742" s="14"/>
      <c r="P32742" s="13"/>
    </row>
    <row r="32743">
      <c r="L32743" s="13"/>
      <c r="M32743" s="14"/>
      <c r="N32743" s="14"/>
      <c r="O32743" s="14"/>
      <c r="P32743" s="13"/>
    </row>
    <row r="32744">
      <c r="L32744" s="13"/>
      <c r="M32744" s="14"/>
      <c r="N32744" s="14"/>
      <c r="O32744" s="14"/>
      <c r="P32744" s="13"/>
    </row>
    <row r="32745">
      <c r="L32745" s="13"/>
      <c r="M32745" s="14"/>
      <c r="N32745" s="14"/>
      <c r="O32745" s="14"/>
      <c r="P32745" s="13"/>
    </row>
    <row r="32746">
      <c r="L32746" s="13"/>
      <c r="M32746" s="14"/>
      <c r="N32746" s="14"/>
      <c r="O32746" s="14"/>
      <c r="P32746" s="13"/>
    </row>
    <row r="32747">
      <c r="L32747" s="13"/>
      <c r="M32747" s="14"/>
      <c r="N32747" s="14"/>
      <c r="O32747" s="14"/>
      <c r="P32747" s="13"/>
    </row>
    <row r="32748">
      <c r="L32748" s="13"/>
      <c r="M32748" s="14"/>
      <c r="N32748" s="14"/>
      <c r="O32748" s="14"/>
      <c r="P32748" s="13"/>
    </row>
    <row r="32749">
      <c r="L32749" s="13"/>
      <c r="M32749" s="14"/>
      <c r="N32749" s="14"/>
      <c r="O32749" s="14"/>
      <c r="P32749" s="13"/>
    </row>
    <row r="32750">
      <c r="L32750" s="13"/>
      <c r="M32750" s="14"/>
      <c r="N32750" s="14"/>
      <c r="O32750" s="14"/>
      <c r="P32750" s="13"/>
    </row>
    <row r="32751">
      <c r="L32751" s="13"/>
      <c r="M32751" s="14"/>
      <c r="N32751" s="14"/>
      <c r="O32751" s="14"/>
      <c r="P32751" s="13"/>
    </row>
    <row r="32752">
      <c r="L32752" s="13"/>
      <c r="M32752" s="14"/>
      <c r="N32752" s="14"/>
      <c r="O32752" s="14"/>
      <c r="P32752" s="13"/>
    </row>
    <row r="32753">
      <c r="L32753" s="13"/>
      <c r="M32753" s="14"/>
      <c r="N32753" s="14"/>
      <c r="O32753" s="14"/>
      <c r="P32753" s="13"/>
    </row>
    <row r="32754">
      <c r="L32754" s="13"/>
      <c r="M32754" s="14"/>
      <c r="N32754" s="14"/>
      <c r="O32754" s="14"/>
      <c r="P32754" s="13"/>
    </row>
    <row r="32755">
      <c r="L32755" s="13"/>
      <c r="M32755" s="14"/>
      <c r="N32755" s="14"/>
      <c r="O32755" s="14"/>
      <c r="P32755" s="13"/>
    </row>
    <row r="32756">
      <c r="L32756" s="13"/>
      <c r="M32756" s="14"/>
      <c r="N32756" s="14"/>
      <c r="O32756" s="14"/>
      <c r="P32756" s="13"/>
    </row>
    <row r="32757">
      <c r="L32757" s="13"/>
      <c r="M32757" s="14"/>
      <c r="N32757" s="14"/>
      <c r="O32757" s="14"/>
      <c r="P32757" s="13"/>
    </row>
    <row r="32758">
      <c r="L32758" s="13"/>
      <c r="M32758" s="14"/>
      <c r="N32758" s="14"/>
      <c r="O32758" s="14"/>
      <c r="P32758" s="13"/>
    </row>
    <row r="32759">
      <c r="L32759" s="13"/>
      <c r="M32759" s="14"/>
      <c r="N32759" s="14"/>
      <c r="O32759" s="14"/>
      <c r="P32759" s="13"/>
    </row>
    <row r="32760">
      <c r="L32760" s="13"/>
      <c r="M32760" s="14"/>
      <c r="N32760" s="14"/>
      <c r="O32760" s="14"/>
      <c r="P32760" s="13"/>
    </row>
    <row r="32761">
      <c r="L32761" s="13"/>
      <c r="M32761" s="14"/>
      <c r="N32761" s="14"/>
      <c r="O32761" s="14"/>
      <c r="P32761" s="13"/>
    </row>
    <row r="32762">
      <c r="L32762" s="13"/>
      <c r="M32762" s="14"/>
      <c r="N32762" s="14"/>
      <c r="O32762" s="14"/>
      <c r="P32762" s="13"/>
    </row>
    <row r="32763">
      <c r="L32763" s="13"/>
      <c r="M32763" s="14"/>
      <c r="N32763" s="14"/>
      <c r="O32763" s="14"/>
      <c r="P32763" s="13"/>
    </row>
    <row r="32764">
      <c r="L32764" s="13"/>
      <c r="M32764" s="14"/>
      <c r="N32764" s="14"/>
      <c r="O32764" s="14"/>
      <c r="P32764" s="13"/>
    </row>
    <row r="32765">
      <c r="L32765" s="13"/>
      <c r="M32765" s="14"/>
      <c r="N32765" s="14"/>
      <c r="O32765" s="14"/>
      <c r="P32765" s="13"/>
    </row>
    <row r="32766">
      <c r="L32766" s="13"/>
      <c r="M32766" s="14"/>
      <c r="N32766" s="14"/>
      <c r="O32766" s="14"/>
      <c r="P32766" s="13"/>
    </row>
    <row r="32767">
      <c r="L32767" s="13"/>
      <c r="M32767" s="14"/>
      <c r="N32767" s="14"/>
      <c r="O32767" s="14"/>
      <c r="P32767" s="13"/>
    </row>
    <row r="32768">
      <c r="L32768" s="13"/>
      <c r="M32768" s="14"/>
      <c r="N32768" s="14"/>
      <c r="O32768" s="14"/>
      <c r="P32768" s="13"/>
    </row>
    <row r="32769">
      <c r="L32769" s="13"/>
      <c r="M32769" s="14"/>
      <c r="N32769" s="14"/>
      <c r="O32769" s="14"/>
      <c r="P32769" s="13"/>
    </row>
    <row r="32770">
      <c r="L32770" s="13"/>
      <c r="M32770" s="14"/>
      <c r="N32770" s="14"/>
      <c r="O32770" s="14"/>
      <c r="P32770" s="13"/>
    </row>
    <row r="32771">
      <c r="L32771" s="13"/>
      <c r="M32771" s="14"/>
      <c r="N32771" s="14"/>
      <c r="O32771" s="14"/>
      <c r="P32771" s="13"/>
    </row>
    <row r="32772">
      <c r="L32772" s="13"/>
      <c r="M32772" s="14"/>
      <c r="N32772" s="14"/>
      <c r="O32772" s="14"/>
      <c r="P32772" s="13"/>
    </row>
    <row r="32773">
      <c r="L32773" s="13"/>
      <c r="M32773" s="14"/>
      <c r="N32773" s="14"/>
      <c r="O32773" s="14"/>
      <c r="P32773" s="13"/>
    </row>
    <row r="32774">
      <c r="L32774" s="13"/>
      <c r="M32774" s="14"/>
      <c r="N32774" s="14"/>
      <c r="O32774" s="14"/>
      <c r="P32774" s="13"/>
    </row>
    <row r="32775">
      <c r="L32775" s="13"/>
      <c r="M32775" s="14"/>
      <c r="N32775" s="14"/>
      <c r="O32775" s="14"/>
      <c r="P32775" s="13"/>
    </row>
    <row r="32776">
      <c r="L32776" s="13"/>
      <c r="M32776" s="14"/>
      <c r="N32776" s="14"/>
      <c r="O32776" s="14"/>
      <c r="P32776" s="13"/>
    </row>
    <row r="32777">
      <c r="L32777" s="13"/>
      <c r="M32777" s="14"/>
      <c r="N32777" s="14"/>
      <c r="O32777" s="14"/>
      <c r="P32777" s="13"/>
    </row>
    <row r="32778">
      <c r="L32778" s="13"/>
      <c r="M32778" s="14"/>
      <c r="N32778" s="14"/>
      <c r="O32778" s="14"/>
      <c r="P32778" s="13"/>
    </row>
    <row r="32779">
      <c r="L32779" s="13"/>
      <c r="M32779" s="14"/>
      <c r="N32779" s="14"/>
      <c r="O32779" s="14"/>
      <c r="P32779" s="13"/>
    </row>
    <row r="32780">
      <c r="L32780" s="13"/>
      <c r="M32780" s="14"/>
      <c r="N32780" s="14"/>
      <c r="O32780" s="14"/>
      <c r="P32780" s="13"/>
    </row>
    <row r="32781">
      <c r="L32781" s="13"/>
      <c r="M32781" s="14"/>
      <c r="N32781" s="14"/>
      <c r="O32781" s="14"/>
      <c r="P32781" s="13"/>
    </row>
    <row r="32782">
      <c r="L32782" s="13"/>
      <c r="M32782" s="14"/>
      <c r="N32782" s="14"/>
      <c r="O32782" s="14"/>
      <c r="P32782" s="13"/>
    </row>
    <row r="32783">
      <c r="L32783" s="13"/>
      <c r="M32783" s="14"/>
      <c r="N32783" s="14"/>
      <c r="O32783" s="14"/>
      <c r="P32783" s="13"/>
    </row>
    <row r="32784">
      <c r="L32784" s="13"/>
      <c r="M32784" s="14"/>
      <c r="N32784" s="14"/>
      <c r="O32784" s="14"/>
      <c r="P32784" s="13"/>
    </row>
    <row r="32785">
      <c r="L32785" s="13"/>
      <c r="M32785" s="14"/>
      <c r="N32785" s="14"/>
      <c r="O32785" s="14"/>
      <c r="P32785" s="13"/>
    </row>
    <row r="32786">
      <c r="L32786" s="13"/>
      <c r="M32786" s="14"/>
      <c r="N32786" s="14"/>
      <c r="O32786" s="14"/>
      <c r="P32786" s="13"/>
    </row>
    <row r="32787">
      <c r="L32787" s="13"/>
      <c r="M32787" s="14"/>
      <c r="N32787" s="14"/>
      <c r="O32787" s="14"/>
      <c r="P32787" s="13"/>
    </row>
    <row r="32788">
      <c r="L32788" s="13"/>
      <c r="M32788" s="14"/>
      <c r="N32788" s="14"/>
      <c r="O32788" s="14"/>
      <c r="P32788" s="13"/>
    </row>
    <row r="32789">
      <c r="L32789" s="13"/>
      <c r="M32789" s="14"/>
      <c r="N32789" s="14"/>
      <c r="O32789" s="14"/>
      <c r="P32789" s="13"/>
    </row>
    <row r="32790">
      <c r="L32790" s="13"/>
      <c r="M32790" s="14"/>
      <c r="N32790" s="14"/>
      <c r="O32790" s="14"/>
      <c r="P32790" s="13"/>
    </row>
    <row r="32791">
      <c r="L32791" s="13"/>
      <c r="M32791" s="14"/>
      <c r="N32791" s="14"/>
      <c r="O32791" s="14"/>
      <c r="P32791" s="13"/>
    </row>
    <row r="32792">
      <c r="L32792" s="13"/>
      <c r="M32792" s="14"/>
      <c r="N32792" s="14"/>
      <c r="O32792" s="14"/>
      <c r="P32792" s="13"/>
    </row>
    <row r="32793">
      <c r="L32793" s="13"/>
      <c r="M32793" s="14"/>
      <c r="N32793" s="14"/>
      <c r="O32793" s="14"/>
      <c r="P32793" s="13"/>
    </row>
    <row r="32794">
      <c r="L32794" s="13"/>
      <c r="M32794" s="14"/>
      <c r="N32794" s="14"/>
      <c r="O32794" s="14"/>
      <c r="P32794" s="13"/>
    </row>
    <row r="32795">
      <c r="L32795" s="13"/>
      <c r="M32795" s="14"/>
      <c r="N32795" s="14"/>
      <c r="O32795" s="14"/>
      <c r="P32795" s="13"/>
    </row>
    <row r="32796">
      <c r="L32796" s="13"/>
      <c r="M32796" s="14"/>
      <c r="N32796" s="14"/>
      <c r="O32796" s="14"/>
      <c r="P32796" s="13"/>
    </row>
    <row r="32797">
      <c r="L32797" s="13"/>
      <c r="M32797" s="14"/>
      <c r="N32797" s="14"/>
      <c r="O32797" s="14"/>
      <c r="P32797" s="13"/>
    </row>
    <row r="32798">
      <c r="L32798" s="13"/>
      <c r="M32798" s="14"/>
      <c r="N32798" s="14"/>
      <c r="O32798" s="14"/>
      <c r="P32798" s="13"/>
    </row>
    <row r="32799">
      <c r="L32799" s="13"/>
      <c r="M32799" s="14"/>
      <c r="N32799" s="14"/>
      <c r="O32799" s="14"/>
      <c r="P32799" s="13"/>
    </row>
    <row r="32800">
      <c r="L32800" s="13"/>
      <c r="M32800" s="14"/>
      <c r="N32800" s="14"/>
      <c r="O32800" s="14"/>
      <c r="P32800" s="13"/>
    </row>
    <row r="32801">
      <c r="L32801" s="13"/>
      <c r="M32801" s="14"/>
      <c r="N32801" s="14"/>
      <c r="O32801" s="14"/>
      <c r="P32801" s="13"/>
    </row>
    <row r="32802">
      <c r="L32802" s="13"/>
      <c r="M32802" s="14"/>
      <c r="N32802" s="14"/>
      <c r="O32802" s="14"/>
      <c r="P32802" s="13"/>
    </row>
    <row r="32803">
      <c r="L32803" s="13"/>
      <c r="M32803" s="14"/>
      <c r="N32803" s="14"/>
      <c r="O32803" s="14"/>
      <c r="P32803" s="13"/>
    </row>
    <row r="32804">
      <c r="L32804" s="13"/>
      <c r="M32804" s="14"/>
      <c r="N32804" s="14"/>
      <c r="O32804" s="14"/>
      <c r="P32804" s="13"/>
    </row>
    <row r="32805">
      <c r="L32805" s="13"/>
      <c r="M32805" s="14"/>
      <c r="N32805" s="14"/>
      <c r="O32805" s="14"/>
      <c r="P32805" s="13"/>
    </row>
    <row r="32806">
      <c r="L32806" s="13"/>
      <c r="M32806" s="14"/>
      <c r="N32806" s="14"/>
      <c r="O32806" s="14"/>
      <c r="P32806" s="13"/>
    </row>
    <row r="32807">
      <c r="L32807" s="13"/>
      <c r="M32807" s="14"/>
      <c r="N32807" s="14"/>
      <c r="O32807" s="14"/>
      <c r="P32807" s="13"/>
    </row>
    <row r="32808">
      <c r="L32808" s="13"/>
      <c r="M32808" s="14"/>
      <c r="N32808" s="14"/>
      <c r="O32808" s="14"/>
      <c r="P32808" s="13"/>
    </row>
    <row r="32809">
      <c r="L32809" s="13"/>
      <c r="M32809" s="14"/>
      <c r="N32809" s="14"/>
      <c r="O32809" s="14"/>
      <c r="P32809" s="13"/>
    </row>
    <row r="32810">
      <c r="L32810" s="13"/>
      <c r="M32810" s="14"/>
      <c r="N32810" s="14"/>
      <c r="O32810" s="14"/>
      <c r="P32810" s="13"/>
    </row>
    <row r="32811">
      <c r="L32811" s="13"/>
      <c r="M32811" s="14"/>
      <c r="N32811" s="14"/>
      <c r="O32811" s="14"/>
      <c r="P32811" s="13"/>
    </row>
    <row r="32812">
      <c r="L32812" s="13"/>
      <c r="M32812" s="14"/>
      <c r="N32812" s="14"/>
      <c r="O32812" s="14"/>
      <c r="P32812" s="13"/>
    </row>
    <row r="32813">
      <c r="L32813" s="13"/>
      <c r="M32813" s="14"/>
      <c r="N32813" s="14"/>
      <c r="O32813" s="14"/>
      <c r="P32813" s="13"/>
    </row>
    <row r="32814">
      <c r="L32814" s="13"/>
      <c r="M32814" s="14"/>
      <c r="N32814" s="14"/>
      <c r="O32814" s="14"/>
      <c r="P32814" s="13"/>
    </row>
    <row r="32815">
      <c r="L32815" s="13"/>
      <c r="M32815" s="14"/>
      <c r="N32815" s="14"/>
      <c r="O32815" s="14"/>
      <c r="P32815" s="13"/>
    </row>
    <row r="32816">
      <c r="L32816" s="13"/>
      <c r="M32816" s="14"/>
      <c r="N32816" s="14"/>
      <c r="O32816" s="14"/>
      <c r="P32816" s="13"/>
    </row>
    <row r="32817">
      <c r="L32817" s="13"/>
      <c r="M32817" s="14"/>
      <c r="N32817" s="14"/>
      <c r="O32817" s="14"/>
      <c r="P32817" s="13"/>
    </row>
    <row r="32818">
      <c r="L32818" s="13"/>
      <c r="M32818" s="14"/>
      <c r="N32818" s="14"/>
      <c r="O32818" s="14"/>
      <c r="P32818" s="13"/>
    </row>
    <row r="32819">
      <c r="L32819" s="13"/>
      <c r="M32819" s="14"/>
      <c r="N32819" s="14"/>
      <c r="O32819" s="14"/>
      <c r="P32819" s="13"/>
    </row>
    <row r="32820">
      <c r="L32820" s="13"/>
      <c r="M32820" s="14"/>
      <c r="N32820" s="14"/>
      <c r="O32820" s="14"/>
      <c r="P32820" s="13"/>
    </row>
    <row r="32821">
      <c r="L32821" s="13"/>
      <c r="M32821" s="14"/>
      <c r="N32821" s="14"/>
      <c r="O32821" s="14"/>
      <c r="P32821" s="13"/>
    </row>
    <row r="32822">
      <c r="L32822" s="13"/>
      <c r="M32822" s="14"/>
      <c r="N32822" s="14"/>
      <c r="O32822" s="14"/>
      <c r="P32822" s="13"/>
    </row>
    <row r="32823">
      <c r="L32823" s="13"/>
      <c r="M32823" s="14"/>
      <c r="N32823" s="14"/>
      <c r="O32823" s="14"/>
      <c r="P32823" s="13"/>
    </row>
    <row r="32824">
      <c r="L32824" s="13"/>
      <c r="M32824" s="14"/>
      <c r="N32824" s="14"/>
      <c r="O32824" s="14"/>
      <c r="P32824" s="13"/>
    </row>
    <row r="32825">
      <c r="L32825" s="13"/>
      <c r="M32825" s="14"/>
      <c r="N32825" s="14"/>
      <c r="O32825" s="14"/>
      <c r="P32825" s="13"/>
    </row>
    <row r="32826">
      <c r="L32826" s="13"/>
      <c r="M32826" s="14"/>
      <c r="N32826" s="14"/>
      <c r="O32826" s="14"/>
      <c r="P32826" s="13"/>
    </row>
    <row r="32827">
      <c r="L32827" s="13"/>
      <c r="M32827" s="14"/>
      <c r="N32827" s="14"/>
      <c r="O32827" s="14"/>
      <c r="P32827" s="13"/>
    </row>
    <row r="32828">
      <c r="L32828" s="13"/>
      <c r="M32828" s="14"/>
      <c r="N32828" s="14"/>
      <c r="O32828" s="14"/>
      <c r="P32828" s="13"/>
    </row>
    <row r="32829">
      <c r="L32829" s="13"/>
      <c r="M32829" s="14"/>
      <c r="N32829" s="14"/>
      <c r="O32829" s="14"/>
      <c r="P32829" s="13"/>
    </row>
    <row r="32830">
      <c r="L32830" s="13"/>
      <c r="M32830" s="14"/>
      <c r="N32830" s="14"/>
      <c r="O32830" s="14"/>
      <c r="P32830" s="13"/>
    </row>
    <row r="32831">
      <c r="L32831" s="13"/>
      <c r="M32831" s="14"/>
      <c r="N32831" s="14"/>
      <c r="O32831" s="14"/>
      <c r="P32831" s="13"/>
    </row>
    <row r="32832">
      <c r="L32832" s="13"/>
      <c r="M32832" s="14"/>
      <c r="N32832" s="14"/>
      <c r="O32832" s="14"/>
      <c r="P32832" s="13"/>
    </row>
    <row r="32833">
      <c r="L32833" s="13"/>
      <c r="M32833" s="14"/>
      <c r="N32833" s="14"/>
      <c r="O32833" s="14"/>
      <c r="P32833" s="13"/>
    </row>
    <row r="32834">
      <c r="L32834" s="13"/>
      <c r="M32834" s="14"/>
      <c r="N32834" s="14"/>
      <c r="O32834" s="14"/>
      <c r="P32834" s="13"/>
    </row>
    <row r="32835">
      <c r="L32835" s="13"/>
      <c r="M32835" s="14"/>
      <c r="N32835" s="14"/>
      <c r="O32835" s="14"/>
      <c r="P32835" s="13"/>
    </row>
    <row r="32836">
      <c r="L32836" s="13"/>
      <c r="M32836" s="14"/>
      <c r="N32836" s="14"/>
      <c r="O32836" s="14"/>
      <c r="P32836" s="13"/>
    </row>
    <row r="32837">
      <c r="L32837" s="13"/>
      <c r="M32837" s="14"/>
      <c r="N32837" s="14"/>
      <c r="O32837" s="14"/>
      <c r="P32837" s="13"/>
    </row>
    <row r="32838">
      <c r="L32838" s="13"/>
      <c r="M32838" s="14"/>
      <c r="N32838" s="14"/>
      <c r="O32838" s="14"/>
      <c r="P32838" s="13"/>
    </row>
    <row r="32839">
      <c r="L32839" s="13"/>
      <c r="M32839" s="14"/>
      <c r="N32839" s="14"/>
      <c r="O32839" s="14"/>
      <c r="P32839" s="13"/>
    </row>
    <row r="32840">
      <c r="L32840" s="13"/>
      <c r="M32840" s="14"/>
      <c r="N32840" s="14"/>
      <c r="O32840" s="14"/>
      <c r="P32840" s="13"/>
    </row>
    <row r="32841">
      <c r="L32841" s="13"/>
      <c r="M32841" s="14"/>
      <c r="N32841" s="14"/>
      <c r="O32841" s="14"/>
      <c r="P32841" s="13"/>
    </row>
    <row r="32842">
      <c r="L32842" s="13"/>
      <c r="M32842" s="14"/>
      <c r="N32842" s="14"/>
      <c r="O32842" s="14"/>
      <c r="P32842" s="13"/>
    </row>
    <row r="32843">
      <c r="L32843" s="13"/>
      <c r="M32843" s="14"/>
      <c r="N32843" s="14"/>
      <c r="O32843" s="14"/>
      <c r="P32843" s="13"/>
    </row>
    <row r="32844">
      <c r="L32844" s="13"/>
      <c r="M32844" s="14"/>
      <c r="N32844" s="14"/>
      <c r="O32844" s="14"/>
      <c r="P32844" s="13"/>
    </row>
    <row r="32845">
      <c r="L32845" s="13"/>
      <c r="M32845" s="14"/>
      <c r="N32845" s="14"/>
      <c r="O32845" s="14"/>
      <c r="P32845" s="13"/>
    </row>
    <row r="32846">
      <c r="L32846" s="13"/>
      <c r="M32846" s="14"/>
      <c r="N32846" s="14"/>
      <c r="O32846" s="14"/>
      <c r="P32846" s="13"/>
    </row>
    <row r="32847">
      <c r="L32847" s="13"/>
      <c r="M32847" s="14"/>
      <c r="N32847" s="14"/>
      <c r="O32847" s="14"/>
      <c r="P32847" s="13"/>
    </row>
    <row r="32848">
      <c r="L32848" s="13"/>
      <c r="M32848" s="14"/>
      <c r="N32848" s="14"/>
      <c r="O32848" s="14"/>
      <c r="P32848" s="13"/>
    </row>
    <row r="32849">
      <c r="L32849" s="13"/>
      <c r="M32849" s="14"/>
      <c r="N32849" s="14"/>
      <c r="O32849" s="14"/>
      <c r="P32849" s="13"/>
    </row>
    <row r="32850">
      <c r="L32850" s="13"/>
      <c r="M32850" s="14"/>
      <c r="N32850" s="14"/>
      <c r="O32850" s="14"/>
      <c r="P32850" s="13"/>
    </row>
    <row r="32851">
      <c r="L32851" s="13"/>
      <c r="M32851" s="14"/>
      <c r="N32851" s="14"/>
      <c r="O32851" s="14"/>
      <c r="P32851" s="13"/>
    </row>
    <row r="32852">
      <c r="L32852" s="13"/>
      <c r="M32852" s="14"/>
      <c r="N32852" s="14"/>
      <c r="O32852" s="14"/>
      <c r="P32852" s="13"/>
    </row>
    <row r="32853">
      <c r="L32853" s="13"/>
      <c r="M32853" s="14"/>
      <c r="N32853" s="14"/>
      <c r="O32853" s="14"/>
      <c r="P32853" s="13"/>
    </row>
    <row r="32854">
      <c r="L32854" s="13"/>
      <c r="M32854" s="14"/>
      <c r="N32854" s="14"/>
      <c r="O32854" s="14"/>
      <c r="P32854" s="13"/>
    </row>
    <row r="32855">
      <c r="L32855" s="13"/>
      <c r="M32855" s="14"/>
      <c r="N32855" s="14"/>
      <c r="O32855" s="14"/>
      <c r="P32855" s="13"/>
    </row>
    <row r="32856">
      <c r="L32856" s="13"/>
      <c r="M32856" s="14"/>
      <c r="N32856" s="14"/>
      <c r="O32856" s="14"/>
      <c r="P32856" s="13"/>
    </row>
    <row r="32857">
      <c r="L32857" s="13"/>
      <c r="M32857" s="14"/>
      <c r="N32857" s="14"/>
      <c r="O32857" s="14"/>
      <c r="P32857" s="13"/>
    </row>
    <row r="32858">
      <c r="L32858" s="13"/>
      <c r="M32858" s="14"/>
      <c r="N32858" s="14"/>
      <c r="O32858" s="14"/>
      <c r="P32858" s="13"/>
    </row>
    <row r="32859">
      <c r="L32859" s="13"/>
      <c r="M32859" s="14"/>
      <c r="N32859" s="14"/>
      <c r="O32859" s="14"/>
      <c r="P32859" s="13"/>
    </row>
    <row r="32860">
      <c r="L32860" s="13"/>
      <c r="M32860" s="14"/>
      <c r="N32860" s="14"/>
      <c r="O32860" s="14"/>
      <c r="P32860" s="13"/>
    </row>
    <row r="32861">
      <c r="L32861" s="13"/>
      <c r="M32861" s="14"/>
      <c r="N32861" s="14"/>
      <c r="O32861" s="14"/>
      <c r="P32861" s="13"/>
    </row>
    <row r="32862">
      <c r="L32862" s="13"/>
      <c r="M32862" s="14"/>
      <c r="N32862" s="14"/>
      <c r="O32862" s="14"/>
      <c r="P32862" s="13"/>
    </row>
    <row r="32863">
      <c r="L32863" s="13"/>
      <c r="M32863" s="14"/>
      <c r="N32863" s="14"/>
      <c r="O32863" s="14"/>
      <c r="P32863" s="13"/>
    </row>
    <row r="32864">
      <c r="L32864" s="13"/>
      <c r="M32864" s="14"/>
      <c r="N32864" s="14"/>
      <c r="O32864" s="14"/>
      <c r="P32864" s="13"/>
    </row>
    <row r="32865">
      <c r="L32865" s="13"/>
      <c r="M32865" s="14"/>
      <c r="N32865" s="14"/>
      <c r="O32865" s="14"/>
      <c r="P32865" s="13"/>
    </row>
    <row r="32866">
      <c r="L32866" s="13"/>
      <c r="M32866" s="14"/>
      <c r="N32866" s="14"/>
      <c r="O32866" s="14"/>
      <c r="P32866" s="13"/>
    </row>
    <row r="32867">
      <c r="L32867" s="13"/>
      <c r="M32867" s="14"/>
      <c r="N32867" s="14"/>
      <c r="O32867" s="14"/>
      <c r="P32867" s="13"/>
    </row>
    <row r="32868">
      <c r="L32868" s="13"/>
      <c r="M32868" s="14"/>
      <c r="N32868" s="14"/>
      <c r="O32868" s="14"/>
      <c r="P32868" s="13"/>
    </row>
    <row r="32869">
      <c r="L32869" s="13"/>
      <c r="M32869" s="14"/>
      <c r="N32869" s="14"/>
      <c r="O32869" s="14"/>
      <c r="P32869" s="13"/>
    </row>
    <row r="32870">
      <c r="L32870" s="13"/>
      <c r="M32870" s="14"/>
      <c r="N32870" s="14"/>
      <c r="O32870" s="14"/>
      <c r="P32870" s="13"/>
    </row>
    <row r="32871">
      <c r="L32871" s="13"/>
      <c r="M32871" s="14"/>
      <c r="N32871" s="14"/>
      <c r="O32871" s="14"/>
      <c r="P32871" s="13"/>
    </row>
    <row r="32872">
      <c r="L32872" s="13"/>
      <c r="M32872" s="14"/>
      <c r="N32872" s="14"/>
      <c r="O32872" s="14"/>
      <c r="P32872" s="13"/>
    </row>
    <row r="32873">
      <c r="L32873" s="13"/>
      <c r="M32873" s="14"/>
      <c r="N32873" s="14"/>
      <c r="O32873" s="14"/>
      <c r="P32873" s="13"/>
    </row>
    <row r="32874">
      <c r="L32874" s="13"/>
      <c r="M32874" s="14"/>
      <c r="N32874" s="14"/>
      <c r="O32874" s="14"/>
      <c r="P32874" s="13"/>
    </row>
    <row r="32875">
      <c r="L32875" s="13"/>
      <c r="M32875" s="14"/>
      <c r="N32875" s="14"/>
      <c r="O32875" s="14"/>
      <c r="P32875" s="13"/>
    </row>
    <row r="32876">
      <c r="L32876" s="13"/>
      <c r="M32876" s="14"/>
      <c r="N32876" s="14"/>
      <c r="O32876" s="14"/>
      <c r="P32876" s="13"/>
    </row>
    <row r="32877">
      <c r="L32877" s="13"/>
      <c r="M32877" s="14"/>
      <c r="N32877" s="14"/>
      <c r="O32877" s="14"/>
      <c r="P32877" s="13"/>
    </row>
    <row r="32878">
      <c r="L32878" s="13"/>
      <c r="M32878" s="14"/>
      <c r="N32878" s="14"/>
      <c r="O32878" s="14"/>
      <c r="P32878" s="13"/>
    </row>
    <row r="32879">
      <c r="L32879" s="13"/>
      <c r="M32879" s="14"/>
      <c r="N32879" s="14"/>
      <c r="O32879" s="14"/>
      <c r="P32879" s="13"/>
    </row>
    <row r="32880">
      <c r="L32880" s="13"/>
      <c r="M32880" s="14"/>
      <c r="N32880" s="14"/>
      <c r="O32880" s="14"/>
      <c r="P32880" s="13"/>
    </row>
    <row r="32881">
      <c r="L32881" s="13"/>
      <c r="M32881" s="14"/>
      <c r="N32881" s="14"/>
      <c r="O32881" s="14"/>
      <c r="P32881" s="13"/>
    </row>
    <row r="32882">
      <c r="L32882" s="13"/>
      <c r="M32882" s="14"/>
      <c r="N32882" s="14"/>
      <c r="O32882" s="14"/>
      <c r="P32882" s="13"/>
    </row>
    <row r="32883">
      <c r="L32883" s="13"/>
      <c r="M32883" s="14"/>
      <c r="N32883" s="14"/>
      <c r="O32883" s="14"/>
      <c r="P32883" s="13"/>
    </row>
    <row r="32884">
      <c r="L32884" s="13"/>
      <c r="M32884" s="14"/>
      <c r="N32884" s="14"/>
      <c r="O32884" s="14"/>
      <c r="P32884" s="13"/>
    </row>
    <row r="32885">
      <c r="L32885" s="13"/>
      <c r="M32885" s="14"/>
      <c r="N32885" s="14"/>
      <c r="O32885" s="14"/>
      <c r="P32885" s="13"/>
    </row>
    <row r="32886">
      <c r="L32886" s="13"/>
      <c r="M32886" s="14"/>
      <c r="N32886" s="14"/>
      <c r="O32886" s="14"/>
      <c r="P32886" s="13"/>
    </row>
    <row r="32887">
      <c r="L32887" s="13"/>
      <c r="M32887" s="14"/>
      <c r="N32887" s="14"/>
      <c r="O32887" s="14"/>
      <c r="P32887" s="13"/>
    </row>
    <row r="32888">
      <c r="L32888" s="13"/>
      <c r="M32888" s="14"/>
      <c r="N32888" s="14"/>
      <c r="O32888" s="14"/>
      <c r="P32888" s="13"/>
    </row>
    <row r="32889">
      <c r="L32889" s="13"/>
      <c r="M32889" s="14"/>
      <c r="N32889" s="14"/>
      <c r="O32889" s="14"/>
      <c r="P32889" s="13"/>
    </row>
    <row r="32890">
      <c r="L32890" s="13"/>
      <c r="M32890" s="14"/>
      <c r="N32890" s="14"/>
      <c r="O32890" s="14"/>
      <c r="P32890" s="13"/>
    </row>
    <row r="32891">
      <c r="L32891" s="13"/>
      <c r="M32891" s="14"/>
      <c r="N32891" s="14"/>
      <c r="O32891" s="14"/>
      <c r="P32891" s="13"/>
    </row>
    <row r="32892">
      <c r="L32892" s="13"/>
      <c r="M32892" s="14"/>
      <c r="N32892" s="14"/>
      <c r="O32892" s="14"/>
      <c r="P32892" s="13"/>
    </row>
    <row r="32893">
      <c r="L32893" s="13"/>
      <c r="M32893" s="14"/>
      <c r="N32893" s="14"/>
      <c r="O32893" s="14"/>
      <c r="P32893" s="13"/>
    </row>
    <row r="32894">
      <c r="L32894" s="13"/>
      <c r="M32894" s="14"/>
      <c r="N32894" s="14"/>
      <c r="O32894" s="14"/>
      <c r="P32894" s="13"/>
    </row>
    <row r="32895">
      <c r="L32895" s="13"/>
      <c r="M32895" s="14"/>
      <c r="N32895" s="14"/>
      <c r="O32895" s="14"/>
      <c r="P32895" s="13"/>
    </row>
    <row r="32896">
      <c r="L32896" s="13"/>
      <c r="M32896" s="14"/>
      <c r="N32896" s="14"/>
      <c r="O32896" s="14"/>
      <c r="P32896" s="13"/>
    </row>
    <row r="32897">
      <c r="L32897" s="13"/>
      <c r="M32897" s="14"/>
      <c r="N32897" s="14"/>
      <c r="O32897" s="14"/>
      <c r="P32897" s="13"/>
    </row>
    <row r="32898">
      <c r="L32898" s="13"/>
      <c r="M32898" s="14"/>
      <c r="N32898" s="14"/>
      <c r="O32898" s="14"/>
      <c r="P32898" s="13"/>
    </row>
    <row r="32899">
      <c r="L32899" s="13"/>
      <c r="M32899" s="14"/>
      <c r="N32899" s="14"/>
      <c r="O32899" s="14"/>
      <c r="P32899" s="13"/>
    </row>
    <row r="32900">
      <c r="L32900" s="13"/>
      <c r="M32900" s="14"/>
      <c r="N32900" s="14"/>
      <c r="O32900" s="14"/>
      <c r="P32900" s="13"/>
    </row>
    <row r="32901">
      <c r="L32901" s="13"/>
      <c r="M32901" s="14"/>
      <c r="N32901" s="14"/>
      <c r="O32901" s="14"/>
      <c r="P32901" s="13"/>
    </row>
    <row r="32902">
      <c r="L32902" s="13"/>
      <c r="M32902" s="14"/>
      <c r="N32902" s="14"/>
      <c r="O32902" s="14"/>
      <c r="P32902" s="13"/>
    </row>
    <row r="32903">
      <c r="L32903" s="13"/>
      <c r="M32903" s="14"/>
      <c r="N32903" s="14"/>
      <c r="O32903" s="14"/>
      <c r="P32903" s="13"/>
    </row>
    <row r="32904">
      <c r="L32904" s="13"/>
      <c r="M32904" s="14"/>
      <c r="N32904" s="14"/>
      <c r="O32904" s="14"/>
      <c r="P32904" s="13"/>
    </row>
    <row r="32905">
      <c r="L32905" s="13"/>
      <c r="M32905" s="14"/>
      <c r="N32905" s="14"/>
      <c r="O32905" s="14"/>
      <c r="P32905" s="13"/>
    </row>
    <row r="32906">
      <c r="L32906" s="13"/>
      <c r="M32906" s="14"/>
      <c r="N32906" s="14"/>
      <c r="O32906" s="14"/>
      <c r="P32906" s="13"/>
    </row>
    <row r="32907">
      <c r="L32907" s="13"/>
      <c r="M32907" s="14"/>
      <c r="N32907" s="14"/>
      <c r="O32907" s="14"/>
      <c r="P32907" s="13"/>
    </row>
    <row r="32908">
      <c r="L32908" s="13"/>
      <c r="M32908" s="14"/>
      <c r="N32908" s="14"/>
      <c r="O32908" s="14"/>
      <c r="P32908" s="13"/>
    </row>
    <row r="32909">
      <c r="L32909" s="13"/>
      <c r="M32909" s="14"/>
      <c r="N32909" s="14"/>
      <c r="O32909" s="14"/>
      <c r="P32909" s="13"/>
    </row>
    <row r="32910">
      <c r="L32910" s="13"/>
      <c r="M32910" s="14"/>
      <c r="N32910" s="14"/>
      <c r="O32910" s="14"/>
      <c r="P32910" s="13"/>
    </row>
    <row r="32911">
      <c r="L32911" s="13"/>
      <c r="M32911" s="14"/>
      <c r="N32911" s="14"/>
      <c r="O32911" s="14"/>
      <c r="P32911" s="13"/>
    </row>
    <row r="32912">
      <c r="L32912" s="13"/>
      <c r="M32912" s="14"/>
      <c r="N32912" s="14"/>
      <c r="O32912" s="14"/>
      <c r="P32912" s="13"/>
    </row>
    <row r="32913">
      <c r="L32913" s="13"/>
      <c r="M32913" s="14"/>
      <c r="N32913" s="14"/>
      <c r="O32913" s="14"/>
      <c r="P32913" s="13"/>
    </row>
    <row r="32914">
      <c r="L32914" s="13"/>
      <c r="M32914" s="14"/>
      <c r="N32914" s="14"/>
      <c r="O32914" s="14"/>
      <c r="P32914" s="13"/>
    </row>
    <row r="32915">
      <c r="L32915" s="13"/>
      <c r="M32915" s="14"/>
      <c r="N32915" s="14"/>
      <c r="O32915" s="14"/>
      <c r="P32915" s="13"/>
    </row>
    <row r="32916">
      <c r="L32916" s="13"/>
      <c r="M32916" s="14"/>
      <c r="N32916" s="14"/>
      <c r="O32916" s="14"/>
      <c r="P32916" s="13"/>
    </row>
    <row r="32917">
      <c r="L32917" s="13"/>
      <c r="M32917" s="14"/>
      <c r="N32917" s="14"/>
      <c r="O32917" s="14"/>
      <c r="P32917" s="13"/>
    </row>
    <row r="32918">
      <c r="L32918" s="13"/>
      <c r="M32918" s="14"/>
      <c r="N32918" s="14"/>
      <c r="O32918" s="14"/>
      <c r="P32918" s="13"/>
    </row>
    <row r="32919">
      <c r="L32919" s="13"/>
      <c r="M32919" s="14"/>
      <c r="N32919" s="14"/>
      <c r="O32919" s="14"/>
      <c r="P32919" s="13"/>
    </row>
    <row r="32920">
      <c r="L32920" s="13"/>
      <c r="M32920" s="14"/>
      <c r="N32920" s="14"/>
      <c r="O32920" s="14"/>
      <c r="P32920" s="13"/>
    </row>
    <row r="32921">
      <c r="L32921" s="13"/>
      <c r="M32921" s="14"/>
      <c r="N32921" s="14"/>
      <c r="O32921" s="14"/>
      <c r="P32921" s="13"/>
    </row>
    <row r="32922">
      <c r="L32922" s="13"/>
      <c r="M32922" s="14"/>
      <c r="N32922" s="14"/>
      <c r="O32922" s="14"/>
      <c r="P32922" s="13"/>
    </row>
    <row r="32923">
      <c r="L32923" s="13"/>
      <c r="M32923" s="14"/>
      <c r="N32923" s="14"/>
      <c r="O32923" s="14"/>
      <c r="P32923" s="13"/>
    </row>
    <row r="32924">
      <c r="L32924" s="13"/>
      <c r="M32924" s="14"/>
      <c r="N32924" s="14"/>
      <c r="O32924" s="14"/>
      <c r="P32924" s="13"/>
    </row>
    <row r="32925">
      <c r="L32925" s="13"/>
      <c r="M32925" s="14"/>
      <c r="N32925" s="14"/>
      <c r="O32925" s="14"/>
      <c r="P32925" s="13"/>
    </row>
    <row r="32926">
      <c r="L32926" s="13"/>
      <c r="M32926" s="14"/>
      <c r="N32926" s="14"/>
      <c r="O32926" s="14"/>
      <c r="P32926" s="13"/>
    </row>
    <row r="32927">
      <c r="L32927" s="13"/>
      <c r="M32927" s="14"/>
      <c r="N32927" s="14"/>
      <c r="O32927" s="14"/>
      <c r="P32927" s="13"/>
    </row>
    <row r="32928">
      <c r="L32928" s="13"/>
      <c r="M32928" s="14"/>
      <c r="N32928" s="14"/>
      <c r="O32928" s="14"/>
      <c r="P32928" s="13"/>
    </row>
    <row r="32929">
      <c r="L32929" s="13"/>
      <c r="M32929" s="14"/>
      <c r="N32929" s="14"/>
      <c r="O32929" s="14"/>
      <c r="P32929" s="13"/>
    </row>
    <row r="32930">
      <c r="L32930" s="13"/>
      <c r="M32930" s="14"/>
      <c r="N32930" s="14"/>
      <c r="O32930" s="14"/>
      <c r="P32930" s="13"/>
    </row>
    <row r="32931">
      <c r="L32931" s="13"/>
      <c r="M32931" s="14"/>
      <c r="N32931" s="14"/>
      <c r="O32931" s="14"/>
      <c r="P32931" s="13"/>
    </row>
    <row r="32932">
      <c r="L32932" s="13"/>
      <c r="M32932" s="14"/>
      <c r="N32932" s="14"/>
      <c r="O32932" s="14"/>
      <c r="P32932" s="13"/>
    </row>
    <row r="32933">
      <c r="L32933" s="13"/>
      <c r="M32933" s="14"/>
      <c r="N32933" s="14"/>
      <c r="O32933" s="14"/>
      <c r="P32933" s="13"/>
    </row>
    <row r="32934">
      <c r="L32934" s="13"/>
      <c r="M32934" s="14"/>
      <c r="N32934" s="14"/>
      <c r="O32934" s="14"/>
      <c r="P32934" s="13"/>
    </row>
    <row r="32935">
      <c r="L32935" s="13"/>
      <c r="M32935" s="14"/>
      <c r="N32935" s="14"/>
      <c r="O32935" s="14"/>
      <c r="P32935" s="13"/>
    </row>
    <row r="32936">
      <c r="L32936" s="13"/>
      <c r="M32936" s="14"/>
      <c r="N32936" s="14"/>
      <c r="O32936" s="14"/>
      <c r="P32936" s="13"/>
    </row>
    <row r="32937">
      <c r="L32937" s="13"/>
      <c r="M32937" s="14"/>
      <c r="N32937" s="14"/>
      <c r="O32937" s="14"/>
      <c r="P32937" s="13"/>
    </row>
    <row r="32938">
      <c r="L32938" s="13"/>
      <c r="M32938" s="14"/>
      <c r="N32938" s="14"/>
      <c r="O32938" s="14"/>
      <c r="P32938" s="13"/>
    </row>
    <row r="32939">
      <c r="L32939" s="13"/>
      <c r="M32939" s="14"/>
      <c r="N32939" s="14"/>
      <c r="O32939" s="14"/>
      <c r="P32939" s="13"/>
    </row>
    <row r="32940">
      <c r="L32940" s="13"/>
      <c r="M32940" s="14"/>
      <c r="N32940" s="14"/>
      <c r="O32940" s="14"/>
      <c r="P32940" s="13"/>
    </row>
    <row r="32941">
      <c r="L32941" s="13"/>
      <c r="M32941" s="14"/>
      <c r="N32941" s="14"/>
      <c r="O32941" s="14"/>
      <c r="P32941" s="13"/>
    </row>
    <row r="32942">
      <c r="L32942" s="13"/>
      <c r="M32942" s="14"/>
      <c r="N32942" s="14"/>
      <c r="O32942" s="14"/>
      <c r="P32942" s="13"/>
    </row>
    <row r="32943">
      <c r="L32943" s="13"/>
      <c r="M32943" s="14"/>
      <c r="N32943" s="14"/>
      <c r="O32943" s="14"/>
      <c r="P32943" s="13"/>
    </row>
    <row r="32944">
      <c r="L32944" s="13"/>
      <c r="M32944" s="14"/>
      <c r="N32944" s="14"/>
      <c r="O32944" s="14"/>
      <c r="P32944" s="13"/>
    </row>
    <row r="32945">
      <c r="L32945" s="13"/>
      <c r="M32945" s="14"/>
      <c r="N32945" s="14"/>
      <c r="O32945" s="14"/>
      <c r="P32945" s="13"/>
    </row>
    <row r="32946">
      <c r="L32946" s="13"/>
      <c r="M32946" s="14"/>
      <c r="N32946" s="14"/>
      <c r="O32946" s="14"/>
      <c r="P32946" s="13"/>
    </row>
    <row r="32947">
      <c r="L32947" s="13"/>
      <c r="M32947" s="14"/>
      <c r="N32947" s="14"/>
      <c r="O32947" s="14"/>
      <c r="P32947" s="13"/>
    </row>
    <row r="32948">
      <c r="L32948" s="13"/>
      <c r="M32948" s="14"/>
      <c r="N32948" s="14"/>
      <c r="O32948" s="14"/>
      <c r="P32948" s="13"/>
    </row>
    <row r="32949">
      <c r="L32949" s="13"/>
      <c r="M32949" s="14"/>
      <c r="N32949" s="14"/>
      <c r="O32949" s="14"/>
      <c r="P32949" s="13"/>
    </row>
    <row r="32950">
      <c r="L32950" s="13"/>
      <c r="M32950" s="14"/>
      <c r="N32950" s="14"/>
      <c r="O32950" s="14"/>
      <c r="P32950" s="13"/>
    </row>
    <row r="32951">
      <c r="L32951" s="13"/>
      <c r="M32951" s="14"/>
      <c r="N32951" s="14"/>
      <c r="O32951" s="14"/>
      <c r="P32951" s="13"/>
    </row>
    <row r="32952">
      <c r="L32952" s="13"/>
      <c r="M32952" s="14"/>
      <c r="N32952" s="14"/>
      <c r="O32952" s="14"/>
      <c r="P32952" s="13"/>
    </row>
    <row r="32953">
      <c r="L32953" s="13"/>
      <c r="M32953" s="14"/>
      <c r="N32953" s="14"/>
      <c r="O32953" s="14"/>
      <c r="P32953" s="13"/>
    </row>
    <row r="32954">
      <c r="L32954" s="13"/>
      <c r="M32954" s="14"/>
      <c r="N32954" s="14"/>
      <c r="O32954" s="14"/>
      <c r="P32954" s="13"/>
    </row>
    <row r="32955">
      <c r="L32955" s="13"/>
      <c r="M32955" s="14"/>
      <c r="N32955" s="14"/>
      <c r="O32955" s="14"/>
      <c r="P32955" s="13"/>
    </row>
    <row r="32956">
      <c r="L32956" s="13"/>
      <c r="M32956" s="14"/>
      <c r="N32956" s="14"/>
      <c r="O32956" s="14"/>
      <c r="P32956" s="13"/>
    </row>
    <row r="32957">
      <c r="L32957" s="13"/>
      <c r="M32957" s="14"/>
      <c r="N32957" s="14"/>
      <c r="O32957" s="14"/>
      <c r="P32957" s="13"/>
    </row>
    <row r="32958">
      <c r="L32958" s="13"/>
      <c r="M32958" s="14"/>
      <c r="N32958" s="14"/>
      <c r="O32958" s="14"/>
      <c r="P32958" s="13"/>
    </row>
    <row r="32959">
      <c r="L32959" s="13"/>
      <c r="M32959" s="14"/>
      <c r="N32959" s="14"/>
      <c r="O32959" s="14"/>
      <c r="P32959" s="13"/>
    </row>
    <row r="32960">
      <c r="L32960" s="13"/>
      <c r="M32960" s="14"/>
      <c r="N32960" s="14"/>
      <c r="O32960" s="14"/>
      <c r="P32960" s="13"/>
    </row>
    <row r="32961">
      <c r="L32961" s="13"/>
      <c r="M32961" s="14"/>
      <c r="N32961" s="14"/>
      <c r="O32961" s="14"/>
      <c r="P32961" s="13"/>
    </row>
    <row r="32962">
      <c r="L32962" s="13"/>
      <c r="M32962" s="14"/>
      <c r="N32962" s="14"/>
      <c r="O32962" s="14"/>
      <c r="P32962" s="13"/>
    </row>
    <row r="32963">
      <c r="L32963" s="13"/>
      <c r="M32963" s="14"/>
      <c r="N32963" s="14"/>
      <c r="O32963" s="14"/>
      <c r="P32963" s="13"/>
    </row>
    <row r="32964">
      <c r="L32964" s="13"/>
      <c r="M32964" s="14"/>
      <c r="N32964" s="14"/>
      <c r="O32964" s="14"/>
      <c r="P32964" s="13"/>
    </row>
    <row r="32965">
      <c r="L32965" s="13"/>
      <c r="M32965" s="14"/>
      <c r="N32965" s="14"/>
      <c r="O32965" s="14"/>
      <c r="P32965" s="13"/>
    </row>
    <row r="32966">
      <c r="L32966" s="13"/>
      <c r="M32966" s="14"/>
      <c r="N32966" s="14"/>
      <c r="O32966" s="14"/>
      <c r="P32966" s="13"/>
    </row>
    <row r="32967">
      <c r="L32967" s="13"/>
      <c r="M32967" s="14"/>
      <c r="N32967" s="14"/>
      <c r="O32967" s="14"/>
      <c r="P32967" s="13"/>
    </row>
    <row r="32968">
      <c r="L32968" s="13"/>
      <c r="M32968" s="14"/>
      <c r="N32968" s="14"/>
      <c r="O32968" s="14"/>
      <c r="P32968" s="13"/>
    </row>
    <row r="32969">
      <c r="L32969" s="13"/>
      <c r="M32969" s="14"/>
      <c r="N32969" s="14"/>
      <c r="O32969" s="14"/>
      <c r="P32969" s="13"/>
    </row>
    <row r="32970">
      <c r="L32970" s="13"/>
      <c r="M32970" s="14"/>
      <c r="N32970" s="14"/>
      <c r="O32970" s="14"/>
      <c r="P32970" s="13"/>
    </row>
    <row r="32971">
      <c r="L32971" s="13"/>
      <c r="M32971" s="14"/>
      <c r="N32971" s="14"/>
      <c r="O32971" s="14"/>
      <c r="P32971" s="13"/>
    </row>
    <row r="32972">
      <c r="L32972" s="13"/>
      <c r="M32972" s="14"/>
      <c r="N32972" s="14"/>
      <c r="O32972" s="14"/>
      <c r="P32972" s="13"/>
    </row>
    <row r="32973">
      <c r="L32973" s="13"/>
      <c r="M32973" s="14"/>
      <c r="N32973" s="14"/>
      <c r="O32973" s="14"/>
      <c r="P32973" s="13"/>
    </row>
    <row r="32974">
      <c r="L32974" s="13"/>
      <c r="M32974" s="14"/>
      <c r="N32974" s="14"/>
      <c r="O32974" s="14"/>
      <c r="P32974" s="13"/>
    </row>
    <row r="32975">
      <c r="L32975" s="13"/>
      <c r="M32975" s="14"/>
      <c r="N32975" s="14"/>
      <c r="O32975" s="14"/>
      <c r="P32975" s="13"/>
    </row>
    <row r="32976">
      <c r="L32976" s="13"/>
      <c r="M32976" s="14"/>
      <c r="N32976" s="14"/>
      <c r="O32976" s="14"/>
      <c r="P32976" s="13"/>
    </row>
    <row r="32977">
      <c r="L32977" s="13"/>
      <c r="M32977" s="14"/>
      <c r="N32977" s="14"/>
      <c r="O32977" s="14"/>
      <c r="P32977" s="13"/>
    </row>
    <row r="32978">
      <c r="L32978" s="13"/>
      <c r="M32978" s="14"/>
      <c r="N32978" s="14"/>
      <c r="O32978" s="14"/>
      <c r="P32978" s="13"/>
    </row>
    <row r="32979">
      <c r="L32979" s="13"/>
      <c r="M32979" s="14"/>
      <c r="N32979" s="14"/>
      <c r="O32979" s="14"/>
      <c r="P32979" s="13"/>
    </row>
    <row r="32980">
      <c r="L32980" s="13"/>
      <c r="M32980" s="14"/>
      <c r="N32980" s="14"/>
      <c r="O32980" s="14"/>
      <c r="P32980" s="13"/>
    </row>
    <row r="32981">
      <c r="L32981" s="13"/>
      <c r="M32981" s="14"/>
      <c r="N32981" s="14"/>
      <c r="O32981" s="14"/>
      <c r="P32981" s="13"/>
    </row>
    <row r="32982">
      <c r="L32982" s="13"/>
      <c r="M32982" s="14"/>
      <c r="N32982" s="14"/>
      <c r="O32982" s="14"/>
      <c r="P32982" s="13"/>
    </row>
    <row r="32983">
      <c r="L32983" s="13"/>
      <c r="M32983" s="14"/>
      <c r="N32983" s="14"/>
      <c r="O32983" s="14"/>
      <c r="P32983" s="13"/>
    </row>
    <row r="32984">
      <c r="L32984" s="13"/>
      <c r="M32984" s="14"/>
      <c r="N32984" s="14"/>
      <c r="O32984" s="14"/>
      <c r="P32984" s="13"/>
    </row>
    <row r="32985">
      <c r="L32985" s="13"/>
      <c r="M32985" s="14"/>
      <c r="N32985" s="14"/>
      <c r="O32985" s="14"/>
      <c r="P32985" s="13"/>
    </row>
    <row r="32986">
      <c r="L32986" s="13"/>
      <c r="M32986" s="14"/>
      <c r="N32986" s="14"/>
      <c r="O32986" s="14"/>
      <c r="P32986" s="13"/>
    </row>
    <row r="32987">
      <c r="L32987" s="13"/>
      <c r="M32987" s="14"/>
      <c r="N32987" s="14"/>
      <c r="O32987" s="14"/>
      <c r="P32987" s="13"/>
    </row>
    <row r="32988">
      <c r="L32988" s="13"/>
      <c r="M32988" s="14"/>
      <c r="N32988" s="14"/>
      <c r="O32988" s="14"/>
      <c r="P32988" s="13"/>
    </row>
    <row r="32989">
      <c r="L32989" s="13"/>
      <c r="M32989" s="14"/>
      <c r="N32989" s="14"/>
      <c r="O32989" s="14"/>
      <c r="P32989" s="13"/>
    </row>
    <row r="32990">
      <c r="L32990" s="13"/>
      <c r="M32990" s="14"/>
      <c r="N32990" s="14"/>
      <c r="O32990" s="14"/>
      <c r="P32990" s="13"/>
    </row>
    <row r="32991">
      <c r="L32991" s="13"/>
      <c r="M32991" s="14"/>
      <c r="N32991" s="14"/>
      <c r="O32991" s="14"/>
      <c r="P32991" s="13"/>
    </row>
    <row r="32992">
      <c r="L32992" s="13"/>
      <c r="M32992" s="14"/>
      <c r="N32992" s="14"/>
      <c r="O32992" s="14"/>
      <c r="P32992" s="13"/>
    </row>
    <row r="32993">
      <c r="L32993" s="13"/>
      <c r="M32993" s="14"/>
      <c r="N32993" s="14"/>
      <c r="O32993" s="14"/>
      <c r="P32993" s="13"/>
    </row>
    <row r="32994">
      <c r="L32994" s="13"/>
      <c r="M32994" s="14"/>
      <c r="N32994" s="14"/>
      <c r="O32994" s="14"/>
      <c r="P32994" s="13"/>
    </row>
    <row r="32995">
      <c r="L32995" s="13"/>
      <c r="M32995" s="14"/>
      <c r="N32995" s="14"/>
      <c r="O32995" s="14"/>
      <c r="P32995" s="13"/>
    </row>
    <row r="32996">
      <c r="L32996" s="13"/>
      <c r="M32996" s="14"/>
      <c r="N32996" s="14"/>
      <c r="O32996" s="14"/>
      <c r="P32996" s="13"/>
    </row>
    <row r="32997">
      <c r="L32997" s="13"/>
      <c r="M32997" s="14"/>
      <c r="N32997" s="14"/>
      <c r="O32997" s="14"/>
      <c r="P32997" s="13"/>
    </row>
    <row r="32998">
      <c r="L32998" s="13"/>
      <c r="M32998" s="14"/>
      <c r="N32998" s="14"/>
      <c r="O32998" s="14"/>
      <c r="P32998" s="13"/>
    </row>
    <row r="32999">
      <c r="L32999" s="13"/>
      <c r="M32999" s="14"/>
      <c r="N32999" s="14"/>
      <c r="O32999" s="14"/>
      <c r="P32999" s="13"/>
    </row>
    <row r="33000">
      <c r="L33000" s="13"/>
      <c r="M33000" s="14"/>
      <c r="N33000" s="14"/>
      <c r="O33000" s="14"/>
      <c r="P33000" s="13"/>
    </row>
    <row r="33001">
      <c r="L33001" s="13"/>
      <c r="M33001" s="14"/>
      <c r="N33001" s="14"/>
      <c r="O33001" s="14"/>
      <c r="P33001" s="13"/>
    </row>
    <row r="33002">
      <c r="L33002" s="13"/>
      <c r="M33002" s="14"/>
      <c r="N33002" s="14"/>
      <c r="O33002" s="14"/>
      <c r="P33002" s="13"/>
    </row>
    <row r="33003">
      <c r="L33003" s="13"/>
      <c r="M33003" s="14"/>
      <c r="N33003" s="14"/>
      <c r="O33003" s="14"/>
      <c r="P33003" s="13"/>
    </row>
    <row r="33004">
      <c r="L33004" s="13"/>
      <c r="M33004" s="14"/>
      <c r="N33004" s="14"/>
      <c r="O33004" s="14"/>
      <c r="P33004" s="13"/>
    </row>
    <row r="33005">
      <c r="L33005" s="13"/>
      <c r="M33005" s="14"/>
      <c r="N33005" s="14"/>
      <c r="O33005" s="14"/>
      <c r="P33005" s="13"/>
    </row>
    <row r="33006">
      <c r="L33006" s="13"/>
      <c r="M33006" s="14"/>
      <c r="N33006" s="14"/>
      <c r="O33006" s="14"/>
      <c r="P33006" s="13"/>
    </row>
    <row r="33007">
      <c r="L33007" s="13"/>
      <c r="M33007" s="14"/>
      <c r="N33007" s="14"/>
      <c r="O33007" s="14"/>
      <c r="P33007" s="13"/>
    </row>
    <row r="33008">
      <c r="L33008" s="13"/>
      <c r="M33008" s="14"/>
      <c r="N33008" s="14"/>
      <c r="O33008" s="14"/>
      <c r="P33008" s="13"/>
    </row>
    <row r="33009">
      <c r="L33009" s="13"/>
      <c r="M33009" s="14"/>
      <c r="N33009" s="14"/>
      <c r="O33009" s="14"/>
      <c r="P33009" s="13"/>
    </row>
    <row r="33010">
      <c r="L33010" s="13"/>
      <c r="M33010" s="14"/>
      <c r="N33010" s="14"/>
      <c r="O33010" s="14"/>
      <c r="P33010" s="13"/>
    </row>
    <row r="33011">
      <c r="L33011" s="13"/>
      <c r="M33011" s="14"/>
      <c r="N33011" s="14"/>
      <c r="O33011" s="14"/>
      <c r="P33011" s="13"/>
    </row>
    <row r="33012">
      <c r="L33012" s="13"/>
      <c r="M33012" s="14"/>
      <c r="N33012" s="14"/>
      <c r="O33012" s="14"/>
      <c r="P33012" s="13"/>
    </row>
    <row r="33013">
      <c r="L33013" s="13"/>
      <c r="M33013" s="14"/>
      <c r="N33013" s="14"/>
      <c r="O33013" s="14"/>
      <c r="P33013" s="13"/>
    </row>
    <row r="33014">
      <c r="L33014" s="13"/>
      <c r="M33014" s="14"/>
      <c r="N33014" s="14"/>
      <c r="O33014" s="14"/>
      <c r="P33014" s="13"/>
    </row>
    <row r="33015">
      <c r="L33015" s="13"/>
      <c r="M33015" s="14"/>
      <c r="N33015" s="14"/>
      <c r="O33015" s="14"/>
      <c r="P33015" s="13"/>
    </row>
    <row r="33016">
      <c r="L33016" s="13"/>
      <c r="M33016" s="14"/>
      <c r="N33016" s="14"/>
      <c r="O33016" s="14"/>
      <c r="P33016" s="13"/>
    </row>
    <row r="33017">
      <c r="L33017" s="13"/>
      <c r="M33017" s="14"/>
      <c r="N33017" s="14"/>
      <c r="O33017" s="14"/>
      <c r="P33017" s="13"/>
    </row>
    <row r="33018">
      <c r="L33018" s="13"/>
      <c r="M33018" s="14"/>
      <c r="N33018" s="14"/>
      <c r="O33018" s="14"/>
      <c r="P33018" s="13"/>
    </row>
    <row r="33019">
      <c r="L33019" s="13"/>
      <c r="M33019" s="14"/>
      <c r="N33019" s="14"/>
      <c r="O33019" s="14"/>
      <c r="P33019" s="13"/>
    </row>
    <row r="33020">
      <c r="L33020" s="13"/>
      <c r="M33020" s="14"/>
      <c r="N33020" s="14"/>
      <c r="O33020" s="14"/>
      <c r="P33020" s="13"/>
    </row>
    <row r="33021">
      <c r="L33021" s="13"/>
      <c r="M33021" s="14"/>
      <c r="N33021" s="14"/>
      <c r="O33021" s="14"/>
      <c r="P33021" s="13"/>
    </row>
    <row r="33022">
      <c r="L33022" s="13"/>
      <c r="M33022" s="14"/>
      <c r="N33022" s="14"/>
      <c r="O33022" s="14"/>
      <c r="P33022" s="13"/>
    </row>
    <row r="33023">
      <c r="L33023" s="13"/>
      <c r="M33023" s="14"/>
      <c r="N33023" s="14"/>
      <c r="O33023" s="14"/>
      <c r="P33023" s="13"/>
    </row>
    <row r="33024">
      <c r="L33024" s="13"/>
      <c r="M33024" s="14"/>
      <c r="N33024" s="14"/>
      <c r="O33024" s="14"/>
      <c r="P33024" s="13"/>
    </row>
    <row r="33025">
      <c r="L33025" s="13"/>
      <c r="M33025" s="14"/>
      <c r="N33025" s="14"/>
      <c r="O33025" s="14"/>
      <c r="P33025" s="13"/>
    </row>
    <row r="33026">
      <c r="L33026" s="13"/>
      <c r="M33026" s="14"/>
      <c r="N33026" s="14"/>
      <c r="O33026" s="14"/>
      <c r="P33026" s="13"/>
    </row>
    <row r="33027">
      <c r="L33027" s="13"/>
      <c r="M33027" s="14"/>
      <c r="N33027" s="14"/>
      <c r="O33027" s="14"/>
      <c r="P33027" s="13"/>
    </row>
    <row r="33028">
      <c r="L33028" s="13"/>
      <c r="M33028" s="14"/>
      <c r="N33028" s="14"/>
      <c r="O33028" s="14"/>
      <c r="P33028" s="13"/>
    </row>
    <row r="33029">
      <c r="L33029" s="13"/>
      <c r="M33029" s="14"/>
      <c r="N33029" s="14"/>
      <c r="O33029" s="14"/>
      <c r="P33029" s="13"/>
    </row>
    <row r="33030">
      <c r="L33030" s="13"/>
      <c r="M33030" s="14"/>
      <c r="N33030" s="14"/>
      <c r="O33030" s="14"/>
      <c r="P33030" s="13"/>
    </row>
    <row r="33031">
      <c r="L33031" s="13"/>
      <c r="M33031" s="14"/>
      <c r="N33031" s="14"/>
      <c r="O33031" s="14"/>
      <c r="P33031" s="13"/>
    </row>
    <row r="33032">
      <c r="L33032" s="13"/>
      <c r="M33032" s="14"/>
      <c r="N33032" s="14"/>
      <c r="O33032" s="14"/>
      <c r="P33032" s="13"/>
    </row>
    <row r="33033">
      <c r="L33033" s="13"/>
      <c r="M33033" s="14"/>
      <c r="N33033" s="14"/>
      <c r="O33033" s="14"/>
      <c r="P33033" s="13"/>
    </row>
    <row r="33034">
      <c r="L33034" s="13"/>
      <c r="M33034" s="14"/>
      <c r="N33034" s="14"/>
      <c r="O33034" s="14"/>
      <c r="P33034" s="13"/>
    </row>
    <row r="33035">
      <c r="L33035" s="13"/>
      <c r="M33035" s="14"/>
      <c r="N33035" s="14"/>
      <c r="O33035" s="14"/>
      <c r="P33035" s="13"/>
    </row>
    <row r="33036">
      <c r="L33036" s="13"/>
      <c r="M33036" s="14"/>
      <c r="N33036" s="14"/>
      <c r="O33036" s="14"/>
      <c r="P33036" s="13"/>
    </row>
    <row r="33037">
      <c r="L33037" s="13"/>
      <c r="M33037" s="14"/>
      <c r="N33037" s="14"/>
      <c r="O33037" s="14"/>
      <c r="P33037" s="13"/>
    </row>
    <row r="33038">
      <c r="L33038" s="13"/>
      <c r="M33038" s="14"/>
      <c r="N33038" s="14"/>
      <c r="O33038" s="14"/>
      <c r="P33038" s="13"/>
    </row>
    <row r="33039">
      <c r="L33039" s="13"/>
      <c r="M33039" s="14"/>
      <c r="N33039" s="14"/>
      <c r="O33039" s="14"/>
      <c r="P33039" s="13"/>
    </row>
    <row r="33040">
      <c r="L33040" s="13"/>
      <c r="M33040" s="14"/>
      <c r="N33040" s="14"/>
      <c r="O33040" s="14"/>
      <c r="P33040" s="13"/>
    </row>
    <row r="33041">
      <c r="L33041" s="13"/>
      <c r="M33041" s="14"/>
      <c r="N33041" s="14"/>
      <c r="O33041" s="14"/>
      <c r="P33041" s="13"/>
    </row>
    <row r="33042">
      <c r="L33042" s="13"/>
      <c r="M33042" s="14"/>
      <c r="N33042" s="14"/>
      <c r="O33042" s="14"/>
      <c r="P33042" s="13"/>
    </row>
    <row r="33043">
      <c r="L33043" s="13"/>
      <c r="M33043" s="14"/>
      <c r="N33043" s="14"/>
      <c r="O33043" s="14"/>
      <c r="P33043" s="13"/>
    </row>
    <row r="33044">
      <c r="L33044" s="13"/>
      <c r="M33044" s="14"/>
      <c r="N33044" s="14"/>
      <c r="O33044" s="14"/>
      <c r="P33044" s="13"/>
    </row>
    <row r="33045">
      <c r="L33045" s="13"/>
      <c r="M33045" s="14"/>
      <c r="N33045" s="14"/>
      <c r="O33045" s="14"/>
      <c r="P33045" s="13"/>
    </row>
    <row r="33046">
      <c r="L33046" s="13"/>
      <c r="M33046" s="14"/>
      <c r="N33046" s="14"/>
      <c r="O33046" s="14"/>
      <c r="P33046" s="13"/>
    </row>
    <row r="33047">
      <c r="L33047" s="13"/>
      <c r="M33047" s="14"/>
      <c r="N33047" s="14"/>
      <c r="O33047" s="14"/>
      <c r="P33047" s="13"/>
    </row>
    <row r="33048">
      <c r="L33048" s="13"/>
      <c r="M33048" s="14"/>
      <c r="N33048" s="14"/>
      <c r="O33048" s="14"/>
      <c r="P33048" s="13"/>
    </row>
    <row r="33049">
      <c r="L33049" s="13"/>
      <c r="M33049" s="14"/>
      <c r="N33049" s="14"/>
      <c r="O33049" s="14"/>
      <c r="P33049" s="13"/>
    </row>
    <row r="33050">
      <c r="L33050" s="13"/>
      <c r="M33050" s="14"/>
      <c r="N33050" s="14"/>
      <c r="O33050" s="14"/>
      <c r="P33050" s="13"/>
    </row>
    <row r="33051">
      <c r="L33051" s="13"/>
      <c r="M33051" s="14"/>
      <c r="N33051" s="14"/>
      <c r="O33051" s="14"/>
      <c r="P33051" s="13"/>
    </row>
    <row r="33052">
      <c r="L33052" s="13"/>
      <c r="M33052" s="14"/>
      <c r="N33052" s="14"/>
      <c r="O33052" s="14"/>
      <c r="P33052" s="13"/>
    </row>
    <row r="33053">
      <c r="L33053" s="13"/>
      <c r="M33053" s="14"/>
      <c r="N33053" s="14"/>
      <c r="O33053" s="14"/>
      <c r="P33053" s="13"/>
    </row>
    <row r="33054">
      <c r="L33054" s="13"/>
      <c r="M33054" s="14"/>
      <c r="N33054" s="14"/>
      <c r="O33054" s="14"/>
      <c r="P33054" s="13"/>
    </row>
    <row r="33055">
      <c r="L33055" s="13"/>
      <c r="M33055" s="14"/>
      <c r="N33055" s="14"/>
      <c r="O33055" s="14"/>
      <c r="P33055" s="13"/>
    </row>
    <row r="33056">
      <c r="L33056" s="13"/>
      <c r="M33056" s="14"/>
      <c r="N33056" s="14"/>
      <c r="O33056" s="14"/>
      <c r="P33056" s="13"/>
    </row>
    <row r="33057">
      <c r="L33057" s="13"/>
      <c r="M33057" s="14"/>
      <c r="N33057" s="14"/>
      <c r="O33057" s="14"/>
      <c r="P33057" s="13"/>
    </row>
    <row r="33058">
      <c r="L33058" s="13"/>
      <c r="M33058" s="14"/>
      <c r="N33058" s="14"/>
      <c r="O33058" s="14"/>
      <c r="P33058" s="13"/>
    </row>
    <row r="33059">
      <c r="L33059" s="13"/>
      <c r="M33059" s="14"/>
      <c r="N33059" s="14"/>
      <c r="O33059" s="14"/>
      <c r="P33059" s="13"/>
    </row>
    <row r="33060">
      <c r="L33060" s="13"/>
      <c r="M33060" s="14"/>
      <c r="N33060" s="14"/>
      <c r="O33060" s="14"/>
      <c r="P33060" s="13"/>
    </row>
    <row r="33061">
      <c r="L33061" s="13"/>
      <c r="M33061" s="14"/>
      <c r="N33061" s="14"/>
      <c r="O33061" s="14"/>
      <c r="P33061" s="13"/>
    </row>
    <row r="33062">
      <c r="L33062" s="13"/>
      <c r="M33062" s="14"/>
      <c r="N33062" s="14"/>
      <c r="O33062" s="14"/>
      <c r="P33062" s="13"/>
    </row>
    <row r="33063">
      <c r="L33063" s="13"/>
      <c r="M33063" s="14"/>
      <c r="N33063" s="14"/>
      <c r="O33063" s="14"/>
      <c r="P33063" s="13"/>
    </row>
    <row r="33064">
      <c r="L33064" s="13"/>
      <c r="M33064" s="14"/>
      <c r="N33064" s="14"/>
      <c r="O33064" s="14"/>
      <c r="P33064" s="13"/>
    </row>
    <row r="33065">
      <c r="L33065" s="13"/>
      <c r="M33065" s="14"/>
      <c r="N33065" s="14"/>
      <c r="O33065" s="14"/>
      <c r="P33065" s="13"/>
    </row>
    <row r="33066">
      <c r="L33066" s="13"/>
      <c r="M33066" s="14"/>
      <c r="N33066" s="14"/>
      <c r="O33066" s="14"/>
      <c r="P33066" s="13"/>
    </row>
    <row r="33067">
      <c r="L33067" s="13"/>
      <c r="M33067" s="14"/>
      <c r="N33067" s="14"/>
      <c r="O33067" s="14"/>
      <c r="P33067" s="13"/>
    </row>
    <row r="33068">
      <c r="L33068" s="13"/>
      <c r="M33068" s="14"/>
      <c r="N33068" s="14"/>
      <c r="O33068" s="14"/>
      <c r="P33068" s="13"/>
    </row>
    <row r="33069">
      <c r="L33069" s="13"/>
      <c r="M33069" s="14"/>
      <c r="N33069" s="14"/>
      <c r="O33069" s="14"/>
      <c r="P33069" s="13"/>
    </row>
    <row r="33070">
      <c r="L33070" s="13"/>
      <c r="M33070" s="14"/>
      <c r="N33070" s="14"/>
      <c r="O33070" s="14"/>
      <c r="P33070" s="13"/>
    </row>
    <row r="33071">
      <c r="L33071" s="13"/>
      <c r="M33071" s="14"/>
      <c r="N33071" s="14"/>
      <c r="O33071" s="14"/>
      <c r="P33071" s="13"/>
    </row>
    <row r="33072">
      <c r="L33072" s="13"/>
      <c r="M33072" s="14"/>
      <c r="N33072" s="14"/>
      <c r="O33072" s="14"/>
      <c r="P33072" s="13"/>
    </row>
    <row r="33073">
      <c r="L33073" s="13"/>
      <c r="M33073" s="14"/>
      <c r="N33073" s="14"/>
      <c r="O33073" s="14"/>
      <c r="P33073" s="13"/>
    </row>
    <row r="33074">
      <c r="L33074" s="13"/>
      <c r="M33074" s="14"/>
      <c r="N33074" s="14"/>
      <c r="O33074" s="14"/>
      <c r="P33074" s="13"/>
    </row>
    <row r="33075">
      <c r="L33075" s="13"/>
      <c r="M33075" s="14"/>
      <c r="N33075" s="14"/>
      <c r="O33075" s="14"/>
      <c r="P33075" s="13"/>
    </row>
    <row r="33076">
      <c r="L33076" s="13"/>
      <c r="M33076" s="14"/>
      <c r="N33076" s="14"/>
      <c r="O33076" s="14"/>
      <c r="P33076" s="13"/>
    </row>
    <row r="33077">
      <c r="L33077" s="13"/>
      <c r="M33077" s="14"/>
      <c r="N33077" s="14"/>
      <c r="O33077" s="14"/>
      <c r="P33077" s="13"/>
    </row>
    <row r="33078">
      <c r="L33078" s="13"/>
      <c r="M33078" s="14"/>
      <c r="N33078" s="14"/>
      <c r="O33078" s="14"/>
      <c r="P33078" s="13"/>
    </row>
    <row r="33079">
      <c r="L33079" s="13"/>
      <c r="M33079" s="14"/>
      <c r="N33079" s="14"/>
      <c r="O33079" s="14"/>
      <c r="P33079" s="13"/>
    </row>
    <row r="33080">
      <c r="L33080" s="13"/>
      <c r="M33080" s="14"/>
      <c r="N33080" s="14"/>
      <c r="O33080" s="14"/>
      <c r="P33080" s="13"/>
    </row>
    <row r="33081">
      <c r="L33081" s="13"/>
      <c r="M33081" s="14"/>
      <c r="N33081" s="14"/>
      <c r="O33081" s="14"/>
      <c r="P33081" s="13"/>
    </row>
    <row r="33082">
      <c r="L33082" s="13"/>
      <c r="M33082" s="14"/>
      <c r="N33082" s="14"/>
      <c r="O33082" s="14"/>
      <c r="P33082" s="13"/>
    </row>
    <row r="33083">
      <c r="L33083" s="13"/>
      <c r="M33083" s="14"/>
      <c r="N33083" s="14"/>
      <c r="O33083" s="14"/>
      <c r="P33083" s="13"/>
    </row>
    <row r="33084">
      <c r="L33084" s="13"/>
      <c r="M33084" s="14"/>
      <c r="N33084" s="14"/>
      <c r="O33084" s="14"/>
      <c r="P33084" s="13"/>
    </row>
    <row r="33085">
      <c r="L33085" s="13"/>
      <c r="M33085" s="14"/>
      <c r="N33085" s="14"/>
      <c r="O33085" s="14"/>
      <c r="P33085" s="13"/>
    </row>
    <row r="33086">
      <c r="L33086" s="13"/>
      <c r="M33086" s="14"/>
      <c r="N33086" s="14"/>
      <c r="O33086" s="14"/>
      <c r="P33086" s="13"/>
    </row>
    <row r="33087">
      <c r="L33087" s="13"/>
      <c r="M33087" s="14"/>
      <c r="N33087" s="14"/>
      <c r="O33087" s="14"/>
      <c r="P33087" s="13"/>
    </row>
    <row r="33088">
      <c r="L33088" s="13"/>
      <c r="M33088" s="14"/>
      <c r="N33088" s="14"/>
      <c r="O33088" s="14"/>
      <c r="P33088" s="13"/>
    </row>
    <row r="33089">
      <c r="L33089" s="13"/>
      <c r="M33089" s="14"/>
      <c r="N33089" s="14"/>
      <c r="O33089" s="14"/>
      <c r="P33089" s="13"/>
    </row>
    <row r="33090">
      <c r="L33090" s="13"/>
      <c r="M33090" s="14"/>
      <c r="N33090" s="14"/>
      <c r="O33090" s="14"/>
      <c r="P33090" s="13"/>
    </row>
    <row r="33091">
      <c r="L33091" s="13"/>
      <c r="M33091" s="14"/>
      <c r="N33091" s="14"/>
      <c r="O33091" s="14"/>
      <c r="P33091" s="13"/>
    </row>
    <row r="33092">
      <c r="L33092" s="13"/>
      <c r="M33092" s="14"/>
      <c r="N33092" s="14"/>
      <c r="O33092" s="14"/>
      <c r="P33092" s="13"/>
    </row>
    <row r="33093">
      <c r="L33093" s="13"/>
      <c r="M33093" s="14"/>
      <c r="N33093" s="14"/>
      <c r="O33093" s="14"/>
      <c r="P33093" s="13"/>
    </row>
    <row r="33094">
      <c r="L33094" s="13"/>
      <c r="M33094" s="14"/>
      <c r="N33094" s="14"/>
      <c r="O33094" s="14"/>
      <c r="P33094" s="13"/>
    </row>
    <row r="33095">
      <c r="L33095" s="13"/>
      <c r="M33095" s="14"/>
      <c r="N33095" s="14"/>
      <c r="O33095" s="14"/>
      <c r="P33095" s="13"/>
    </row>
    <row r="33096">
      <c r="L33096" s="13"/>
      <c r="M33096" s="14"/>
      <c r="N33096" s="14"/>
      <c r="O33096" s="14"/>
      <c r="P33096" s="13"/>
    </row>
    <row r="33097">
      <c r="L33097" s="13"/>
      <c r="M33097" s="14"/>
      <c r="N33097" s="14"/>
      <c r="O33097" s="14"/>
      <c r="P33097" s="13"/>
    </row>
    <row r="33098">
      <c r="L33098" s="13"/>
      <c r="M33098" s="14"/>
      <c r="N33098" s="14"/>
      <c r="O33098" s="14"/>
      <c r="P33098" s="13"/>
    </row>
    <row r="33099">
      <c r="L33099" s="13"/>
      <c r="M33099" s="14"/>
      <c r="N33099" s="14"/>
      <c r="O33099" s="14"/>
      <c r="P33099" s="13"/>
    </row>
    <row r="33100">
      <c r="L33100" s="13"/>
      <c r="M33100" s="14"/>
      <c r="N33100" s="14"/>
      <c r="O33100" s="14"/>
      <c r="P33100" s="13"/>
    </row>
    <row r="33101">
      <c r="L33101" s="13"/>
      <c r="M33101" s="14"/>
      <c r="N33101" s="14"/>
      <c r="O33101" s="14"/>
      <c r="P33101" s="13"/>
    </row>
    <row r="33102">
      <c r="L33102" s="13"/>
      <c r="M33102" s="14"/>
      <c r="N33102" s="14"/>
      <c r="O33102" s="14"/>
      <c r="P33102" s="13"/>
    </row>
    <row r="33103">
      <c r="L33103" s="13"/>
      <c r="M33103" s="14"/>
      <c r="N33103" s="14"/>
      <c r="O33103" s="14"/>
      <c r="P33103" s="13"/>
    </row>
    <row r="33104">
      <c r="L33104" s="13"/>
      <c r="M33104" s="14"/>
      <c r="N33104" s="14"/>
      <c r="O33104" s="14"/>
      <c r="P33104" s="13"/>
    </row>
    <row r="33105">
      <c r="L33105" s="13"/>
      <c r="M33105" s="14"/>
      <c r="N33105" s="14"/>
      <c r="O33105" s="14"/>
      <c r="P33105" s="13"/>
    </row>
    <row r="33106">
      <c r="L33106" s="13"/>
      <c r="M33106" s="14"/>
      <c r="N33106" s="14"/>
      <c r="O33106" s="14"/>
      <c r="P33106" s="13"/>
    </row>
    <row r="33107">
      <c r="L33107" s="13"/>
      <c r="M33107" s="14"/>
      <c r="N33107" s="14"/>
      <c r="O33107" s="14"/>
      <c r="P33107" s="13"/>
    </row>
    <row r="33108">
      <c r="L33108" s="13"/>
      <c r="M33108" s="14"/>
      <c r="N33108" s="14"/>
      <c r="O33108" s="14"/>
      <c r="P33108" s="13"/>
    </row>
    <row r="33109">
      <c r="L33109" s="13"/>
      <c r="M33109" s="14"/>
      <c r="N33109" s="14"/>
      <c r="O33109" s="14"/>
      <c r="P33109" s="13"/>
    </row>
    <row r="33110">
      <c r="L33110" s="13"/>
      <c r="M33110" s="14"/>
      <c r="N33110" s="14"/>
      <c r="O33110" s="14"/>
      <c r="P33110" s="13"/>
    </row>
    <row r="33111">
      <c r="L33111" s="13"/>
      <c r="M33111" s="14"/>
      <c r="N33111" s="14"/>
      <c r="O33111" s="14"/>
      <c r="P33111" s="13"/>
    </row>
    <row r="33112">
      <c r="L33112" s="13"/>
      <c r="M33112" s="14"/>
      <c r="N33112" s="14"/>
      <c r="O33112" s="14"/>
      <c r="P33112" s="13"/>
    </row>
    <row r="33113">
      <c r="L33113" s="13"/>
      <c r="M33113" s="14"/>
      <c r="N33113" s="14"/>
      <c r="O33113" s="14"/>
      <c r="P33113" s="13"/>
    </row>
    <row r="33114">
      <c r="L33114" s="13"/>
      <c r="M33114" s="14"/>
      <c r="N33114" s="14"/>
      <c r="O33114" s="14"/>
      <c r="P33114" s="13"/>
    </row>
    <row r="33115">
      <c r="L33115" s="13"/>
      <c r="M33115" s="14"/>
      <c r="N33115" s="14"/>
      <c r="O33115" s="14"/>
      <c r="P33115" s="13"/>
    </row>
    <row r="33116">
      <c r="L33116" s="13"/>
      <c r="M33116" s="14"/>
      <c r="N33116" s="14"/>
      <c r="O33116" s="14"/>
      <c r="P33116" s="13"/>
    </row>
    <row r="33117">
      <c r="L33117" s="13"/>
      <c r="M33117" s="14"/>
      <c r="N33117" s="14"/>
      <c r="O33117" s="14"/>
      <c r="P33117" s="13"/>
    </row>
    <row r="33118">
      <c r="L33118" s="13"/>
      <c r="M33118" s="14"/>
      <c r="N33118" s="14"/>
      <c r="O33118" s="14"/>
      <c r="P33118" s="13"/>
    </row>
    <row r="33119">
      <c r="L33119" s="13"/>
      <c r="M33119" s="14"/>
      <c r="N33119" s="14"/>
      <c r="O33119" s="14"/>
      <c r="P33119" s="13"/>
    </row>
    <row r="33120">
      <c r="L33120" s="13"/>
      <c r="M33120" s="14"/>
      <c r="N33120" s="14"/>
      <c r="O33120" s="14"/>
      <c r="P33120" s="13"/>
    </row>
    <row r="33121">
      <c r="L33121" s="13"/>
      <c r="M33121" s="14"/>
      <c r="N33121" s="14"/>
      <c r="O33121" s="14"/>
      <c r="P33121" s="13"/>
    </row>
    <row r="33122">
      <c r="L33122" s="13"/>
      <c r="M33122" s="14"/>
      <c r="N33122" s="14"/>
      <c r="O33122" s="14"/>
      <c r="P33122" s="13"/>
    </row>
    <row r="33123">
      <c r="L33123" s="13"/>
      <c r="M33123" s="14"/>
      <c r="N33123" s="14"/>
      <c r="O33123" s="14"/>
      <c r="P33123" s="13"/>
    </row>
    <row r="33124">
      <c r="L33124" s="13"/>
      <c r="M33124" s="14"/>
      <c r="N33124" s="14"/>
      <c r="O33124" s="14"/>
      <c r="P33124" s="13"/>
    </row>
    <row r="33125">
      <c r="L33125" s="13"/>
      <c r="M33125" s="14"/>
      <c r="N33125" s="14"/>
      <c r="O33125" s="14"/>
      <c r="P33125" s="13"/>
    </row>
    <row r="33126">
      <c r="L33126" s="13"/>
      <c r="M33126" s="14"/>
      <c r="N33126" s="14"/>
      <c r="O33126" s="14"/>
      <c r="P33126" s="13"/>
    </row>
    <row r="33127">
      <c r="L33127" s="13"/>
      <c r="M33127" s="14"/>
      <c r="N33127" s="14"/>
      <c r="O33127" s="14"/>
      <c r="P33127" s="13"/>
    </row>
    <row r="33128">
      <c r="L33128" s="13"/>
      <c r="M33128" s="14"/>
      <c r="N33128" s="14"/>
      <c r="O33128" s="14"/>
      <c r="P33128" s="13"/>
    </row>
    <row r="33129">
      <c r="L33129" s="13"/>
      <c r="M33129" s="14"/>
      <c r="N33129" s="14"/>
      <c r="O33129" s="14"/>
      <c r="P33129" s="13"/>
    </row>
    <row r="33130">
      <c r="L33130" s="13"/>
      <c r="M33130" s="14"/>
      <c r="N33130" s="14"/>
      <c r="O33130" s="14"/>
      <c r="P33130" s="13"/>
    </row>
    <row r="33131">
      <c r="L33131" s="13"/>
      <c r="M33131" s="14"/>
      <c r="N33131" s="14"/>
      <c r="O33131" s="14"/>
      <c r="P33131" s="13"/>
    </row>
    <row r="33132">
      <c r="L33132" s="13"/>
      <c r="M33132" s="14"/>
      <c r="N33132" s="14"/>
      <c r="O33132" s="14"/>
      <c r="P33132" s="13"/>
    </row>
    <row r="33133">
      <c r="L33133" s="13"/>
      <c r="M33133" s="14"/>
      <c r="N33133" s="14"/>
      <c r="O33133" s="14"/>
      <c r="P33133" s="13"/>
    </row>
    <row r="33134">
      <c r="L33134" s="13"/>
      <c r="M33134" s="14"/>
      <c r="N33134" s="14"/>
      <c r="O33134" s="14"/>
      <c r="P33134" s="13"/>
    </row>
    <row r="33135">
      <c r="L33135" s="13"/>
      <c r="M33135" s="14"/>
      <c r="N33135" s="14"/>
      <c r="O33135" s="14"/>
      <c r="P33135" s="13"/>
    </row>
    <row r="33136">
      <c r="L33136" s="13"/>
      <c r="M33136" s="14"/>
      <c r="N33136" s="14"/>
      <c r="O33136" s="14"/>
      <c r="P33136" s="13"/>
    </row>
    <row r="33137">
      <c r="L33137" s="13"/>
      <c r="M33137" s="14"/>
      <c r="N33137" s="14"/>
      <c r="O33137" s="14"/>
      <c r="P33137" s="13"/>
    </row>
    <row r="33138">
      <c r="L33138" s="13"/>
      <c r="M33138" s="14"/>
      <c r="N33138" s="14"/>
      <c r="O33138" s="14"/>
      <c r="P33138" s="13"/>
    </row>
    <row r="33139">
      <c r="L33139" s="13"/>
      <c r="M33139" s="14"/>
      <c r="N33139" s="14"/>
      <c r="O33139" s="14"/>
      <c r="P33139" s="13"/>
    </row>
    <row r="33140">
      <c r="L33140" s="13"/>
      <c r="M33140" s="14"/>
      <c r="N33140" s="14"/>
      <c r="O33140" s="14"/>
      <c r="P33140" s="13"/>
    </row>
    <row r="33141">
      <c r="L33141" s="13"/>
      <c r="M33141" s="14"/>
      <c r="N33141" s="14"/>
      <c r="O33141" s="14"/>
      <c r="P33141" s="13"/>
    </row>
    <row r="33142">
      <c r="L33142" s="13"/>
      <c r="M33142" s="14"/>
      <c r="N33142" s="14"/>
      <c r="O33142" s="14"/>
      <c r="P33142" s="13"/>
    </row>
    <row r="33143">
      <c r="L33143" s="13"/>
      <c r="M33143" s="14"/>
      <c r="N33143" s="14"/>
      <c r="O33143" s="14"/>
      <c r="P33143" s="13"/>
    </row>
    <row r="33144">
      <c r="L33144" s="13"/>
      <c r="M33144" s="14"/>
      <c r="N33144" s="14"/>
      <c r="O33144" s="14"/>
      <c r="P33144" s="13"/>
    </row>
    <row r="33145">
      <c r="L33145" s="13"/>
      <c r="M33145" s="14"/>
      <c r="N33145" s="14"/>
      <c r="O33145" s="14"/>
      <c r="P33145" s="13"/>
    </row>
    <row r="33146">
      <c r="L33146" s="13"/>
      <c r="M33146" s="14"/>
      <c r="N33146" s="14"/>
      <c r="O33146" s="14"/>
      <c r="P33146" s="13"/>
    </row>
    <row r="33147">
      <c r="L33147" s="13"/>
      <c r="M33147" s="14"/>
      <c r="N33147" s="14"/>
      <c r="O33147" s="14"/>
      <c r="P33147" s="13"/>
    </row>
    <row r="33148">
      <c r="L33148" s="13"/>
      <c r="M33148" s="14"/>
      <c r="N33148" s="14"/>
      <c r="O33148" s="14"/>
      <c r="P33148" s="13"/>
    </row>
    <row r="33149">
      <c r="L33149" s="13"/>
      <c r="M33149" s="14"/>
      <c r="N33149" s="14"/>
      <c r="O33149" s="14"/>
      <c r="P33149" s="13"/>
    </row>
    <row r="33150">
      <c r="L33150" s="13"/>
      <c r="M33150" s="14"/>
      <c r="N33150" s="14"/>
      <c r="O33150" s="14"/>
      <c r="P33150" s="13"/>
    </row>
    <row r="33151">
      <c r="L33151" s="13"/>
      <c r="M33151" s="14"/>
      <c r="N33151" s="14"/>
      <c r="O33151" s="14"/>
      <c r="P33151" s="13"/>
    </row>
    <row r="33152">
      <c r="L33152" s="13"/>
      <c r="M33152" s="14"/>
      <c r="N33152" s="14"/>
      <c r="O33152" s="14"/>
      <c r="P33152" s="13"/>
    </row>
    <row r="33153">
      <c r="L33153" s="13"/>
      <c r="M33153" s="14"/>
      <c r="N33153" s="14"/>
      <c r="O33153" s="14"/>
      <c r="P33153" s="13"/>
    </row>
    <row r="33154">
      <c r="L33154" s="13"/>
      <c r="M33154" s="14"/>
      <c r="N33154" s="14"/>
      <c r="O33154" s="14"/>
      <c r="P33154" s="13"/>
    </row>
    <row r="33155">
      <c r="L33155" s="13"/>
      <c r="M33155" s="14"/>
      <c r="N33155" s="14"/>
      <c r="O33155" s="14"/>
      <c r="P33155" s="13"/>
    </row>
    <row r="33156">
      <c r="L33156" s="13"/>
      <c r="M33156" s="14"/>
      <c r="N33156" s="14"/>
      <c r="O33156" s="14"/>
      <c r="P33156" s="13"/>
    </row>
    <row r="33157">
      <c r="L33157" s="13"/>
      <c r="M33157" s="14"/>
      <c r="N33157" s="14"/>
      <c r="O33157" s="14"/>
      <c r="P33157" s="13"/>
    </row>
    <row r="33158">
      <c r="L33158" s="13"/>
      <c r="M33158" s="14"/>
      <c r="N33158" s="14"/>
      <c r="O33158" s="14"/>
      <c r="P33158" s="13"/>
    </row>
    <row r="33159">
      <c r="L33159" s="13"/>
      <c r="M33159" s="14"/>
      <c r="N33159" s="14"/>
      <c r="O33159" s="14"/>
      <c r="P33159" s="13"/>
    </row>
    <row r="33160">
      <c r="L33160" s="13"/>
      <c r="M33160" s="14"/>
      <c r="N33160" s="14"/>
      <c r="O33160" s="14"/>
      <c r="P33160" s="13"/>
    </row>
    <row r="33161">
      <c r="L33161" s="13"/>
      <c r="M33161" s="14"/>
      <c r="N33161" s="14"/>
      <c r="O33161" s="14"/>
      <c r="P33161" s="13"/>
    </row>
    <row r="33162">
      <c r="L33162" s="13"/>
      <c r="M33162" s="14"/>
      <c r="N33162" s="14"/>
      <c r="O33162" s="14"/>
      <c r="P33162" s="13"/>
    </row>
    <row r="33163">
      <c r="L33163" s="13"/>
      <c r="M33163" s="14"/>
      <c r="N33163" s="14"/>
      <c r="O33163" s="14"/>
      <c r="P33163" s="13"/>
    </row>
    <row r="33164">
      <c r="L33164" s="13"/>
      <c r="M33164" s="14"/>
      <c r="N33164" s="14"/>
      <c r="O33164" s="14"/>
      <c r="P33164" s="13"/>
    </row>
    <row r="33165">
      <c r="L33165" s="13"/>
      <c r="M33165" s="14"/>
      <c r="N33165" s="14"/>
      <c r="O33165" s="14"/>
      <c r="P33165" s="13"/>
    </row>
    <row r="33166">
      <c r="L33166" s="13"/>
      <c r="M33166" s="14"/>
      <c r="N33166" s="14"/>
      <c r="O33166" s="14"/>
      <c r="P33166" s="13"/>
    </row>
    <row r="33167">
      <c r="L33167" s="13"/>
      <c r="M33167" s="14"/>
      <c r="N33167" s="14"/>
      <c r="O33167" s="14"/>
      <c r="P33167" s="13"/>
    </row>
    <row r="33168">
      <c r="L33168" s="13"/>
      <c r="M33168" s="14"/>
      <c r="N33168" s="14"/>
      <c r="O33168" s="14"/>
      <c r="P33168" s="13"/>
    </row>
    <row r="33169">
      <c r="L33169" s="13"/>
      <c r="M33169" s="14"/>
      <c r="N33169" s="14"/>
      <c r="O33169" s="14"/>
      <c r="P33169" s="13"/>
    </row>
    <row r="33170">
      <c r="L33170" s="13"/>
      <c r="M33170" s="14"/>
      <c r="N33170" s="14"/>
      <c r="O33170" s="14"/>
      <c r="P33170" s="13"/>
    </row>
    <row r="33171">
      <c r="L33171" s="13"/>
      <c r="M33171" s="14"/>
      <c r="N33171" s="14"/>
      <c r="O33171" s="14"/>
      <c r="P33171" s="13"/>
    </row>
    <row r="33172">
      <c r="L33172" s="13"/>
      <c r="M33172" s="14"/>
      <c r="N33172" s="14"/>
      <c r="O33172" s="14"/>
      <c r="P33172" s="13"/>
    </row>
    <row r="33173">
      <c r="L33173" s="13"/>
      <c r="M33173" s="14"/>
      <c r="N33173" s="14"/>
      <c r="O33173" s="14"/>
      <c r="P33173" s="13"/>
    </row>
    <row r="33174">
      <c r="L33174" s="13"/>
      <c r="M33174" s="14"/>
      <c r="N33174" s="14"/>
      <c r="O33174" s="14"/>
      <c r="P33174" s="13"/>
    </row>
    <row r="33175">
      <c r="L33175" s="13"/>
      <c r="M33175" s="14"/>
      <c r="N33175" s="14"/>
      <c r="O33175" s="14"/>
      <c r="P33175" s="13"/>
    </row>
    <row r="33176">
      <c r="L33176" s="13"/>
      <c r="M33176" s="14"/>
      <c r="N33176" s="14"/>
      <c r="O33176" s="14"/>
      <c r="P33176" s="13"/>
    </row>
    <row r="33177">
      <c r="L33177" s="13"/>
      <c r="M33177" s="14"/>
      <c r="N33177" s="14"/>
      <c r="O33177" s="14"/>
      <c r="P33177" s="13"/>
    </row>
    <row r="33178">
      <c r="L33178" s="13"/>
      <c r="M33178" s="14"/>
      <c r="N33178" s="14"/>
      <c r="O33178" s="14"/>
      <c r="P33178" s="13"/>
    </row>
    <row r="33179">
      <c r="L33179" s="13"/>
      <c r="M33179" s="14"/>
      <c r="N33179" s="14"/>
      <c r="O33179" s="14"/>
      <c r="P33179" s="13"/>
    </row>
    <row r="33180">
      <c r="L33180" s="13"/>
      <c r="M33180" s="14"/>
      <c r="N33180" s="14"/>
      <c r="O33180" s="14"/>
      <c r="P33180" s="13"/>
    </row>
    <row r="33181">
      <c r="L33181" s="13"/>
      <c r="M33181" s="14"/>
      <c r="N33181" s="14"/>
      <c r="O33181" s="14"/>
      <c r="P33181" s="13"/>
    </row>
    <row r="33182">
      <c r="L33182" s="13"/>
      <c r="M33182" s="14"/>
      <c r="N33182" s="14"/>
      <c r="O33182" s="14"/>
      <c r="P33182" s="13"/>
    </row>
    <row r="33183">
      <c r="L33183" s="13"/>
      <c r="M33183" s="14"/>
      <c r="N33183" s="14"/>
      <c r="O33183" s="14"/>
      <c r="P33183" s="13"/>
    </row>
    <row r="33184">
      <c r="L33184" s="13"/>
      <c r="M33184" s="14"/>
      <c r="N33184" s="14"/>
      <c r="O33184" s="14"/>
      <c r="P33184" s="13"/>
    </row>
    <row r="33185">
      <c r="L33185" s="13"/>
      <c r="M33185" s="14"/>
      <c r="N33185" s="14"/>
      <c r="O33185" s="14"/>
      <c r="P33185" s="13"/>
    </row>
    <row r="33186">
      <c r="L33186" s="13"/>
      <c r="M33186" s="14"/>
      <c r="N33186" s="14"/>
      <c r="O33186" s="14"/>
      <c r="P33186" s="13"/>
    </row>
    <row r="33187">
      <c r="L33187" s="13"/>
      <c r="M33187" s="14"/>
      <c r="N33187" s="14"/>
      <c r="O33187" s="14"/>
      <c r="P33187" s="13"/>
    </row>
    <row r="33188">
      <c r="L33188" s="13"/>
      <c r="M33188" s="14"/>
      <c r="N33188" s="14"/>
      <c r="O33188" s="14"/>
      <c r="P33188" s="13"/>
    </row>
    <row r="33189">
      <c r="L33189" s="13"/>
      <c r="M33189" s="14"/>
      <c r="N33189" s="14"/>
      <c r="O33189" s="14"/>
      <c r="P33189" s="13"/>
    </row>
    <row r="33190">
      <c r="L33190" s="13"/>
      <c r="M33190" s="14"/>
      <c r="N33190" s="14"/>
      <c r="O33190" s="14"/>
      <c r="P33190" s="13"/>
    </row>
    <row r="33191">
      <c r="L33191" s="13"/>
      <c r="M33191" s="14"/>
      <c r="N33191" s="14"/>
      <c r="O33191" s="14"/>
      <c r="P33191" s="13"/>
    </row>
    <row r="33192">
      <c r="L33192" s="13"/>
      <c r="M33192" s="14"/>
      <c r="N33192" s="14"/>
      <c r="O33192" s="14"/>
      <c r="P33192" s="13"/>
    </row>
    <row r="33193">
      <c r="L33193" s="13"/>
      <c r="M33193" s="14"/>
      <c r="N33193" s="14"/>
      <c r="O33193" s="14"/>
      <c r="P33193" s="13"/>
    </row>
    <row r="33194">
      <c r="L33194" s="13"/>
      <c r="M33194" s="14"/>
      <c r="N33194" s="14"/>
      <c r="O33194" s="14"/>
      <c r="P33194" s="13"/>
    </row>
    <row r="33195">
      <c r="L33195" s="13"/>
      <c r="M33195" s="14"/>
      <c r="N33195" s="14"/>
      <c r="O33195" s="14"/>
      <c r="P33195" s="13"/>
    </row>
    <row r="33196">
      <c r="L33196" s="13"/>
      <c r="M33196" s="14"/>
      <c r="N33196" s="14"/>
      <c r="O33196" s="14"/>
      <c r="P33196" s="13"/>
    </row>
    <row r="33197">
      <c r="L33197" s="13"/>
      <c r="M33197" s="14"/>
      <c r="N33197" s="14"/>
      <c r="O33197" s="14"/>
      <c r="P33197" s="13"/>
    </row>
    <row r="33198">
      <c r="L33198" s="13"/>
      <c r="M33198" s="14"/>
      <c r="N33198" s="14"/>
      <c r="O33198" s="14"/>
      <c r="P33198" s="13"/>
    </row>
    <row r="33199">
      <c r="L33199" s="13"/>
      <c r="M33199" s="14"/>
      <c r="N33199" s="14"/>
      <c r="O33199" s="14"/>
      <c r="P33199" s="13"/>
    </row>
    <row r="33200">
      <c r="L33200" s="13"/>
      <c r="M33200" s="14"/>
      <c r="N33200" s="14"/>
      <c r="O33200" s="14"/>
      <c r="P33200" s="13"/>
    </row>
    <row r="33201">
      <c r="L33201" s="13"/>
      <c r="M33201" s="14"/>
      <c r="N33201" s="14"/>
      <c r="O33201" s="14"/>
      <c r="P33201" s="13"/>
    </row>
    <row r="33202">
      <c r="L33202" s="13"/>
      <c r="M33202" s="14"/>
      <c r="N33202" s="14"/>
      <c r="O33202" s="14"/>
      <c r="P33202" s="13"/>
    </row>
    <row r="33203">
      <c r="L33203" s="13"/>
      <c r="M33203" s="14"/>
      <c r="N33203" s="14"/>
      <c r="O33203" s="14"/>
      <c r="P33203" s="13"/>
    </row>
    <row r="33204">
      <c r="L33204" s="13"/>
      <c r="M33204" s="14"/>
      <c r="N33204" s="14"/>
      <c r="O33204" s="14"/>
      <c r="P33204" s="13"/>
    </row>
    <row r="33205">
      <c r="L33205" s="13"/>
      <c r="M33205" s="14"/>
      <c r="N33205" s="14"/>
      <c r="O33205" s="14"/>
      <c r="P33205" s="13"/>
    </row>
    <row r="33206">
      <c r="L33206" s="13"/>
      <c r="M33206" s="14"/>
      <c r="N33206" s="14"/>
      <c r="O33206" s="14"/>
      <c r="P33206" s="13"/>
    </row>
    <row r="33207">
      <c r="L33207" s="13"/>
      <c r="M33207" s="14"/>
      <c r="N33207" s="14"/>
      <c r="O33207" s="14"/>
      <c r="P33207" s="13"/>
    </row>
    <row r="33208">
      <c r="L33208" s="13"/>
      <c r="M33208" s="14"/>
      <c r="N33208" s="14"/>
      <c r="O33208" s="14"/>
      <c r="P33208" s="13"/>
    </row>
    <row r="33209">
      <c r="L33209" s="13"/>
      <c r="M33209" s="14"/>
      <c r="N33209" s="14"/>
      <c r="O33209" s="14"/>
      <c r="P33209" s="13"/>
    </row>
    <row r="33210">
      <c r="L33210" s="13"/>
      <c r="M33210" s="14"/>
      <c r="N33210" s="14"/>
      <c r="O33210" s="14"/>
      <c r="P33210" s="13"/>
    </row>
    <row r="33211">
      <c r="L33211" s="13"/>
      <c r="M33211" s="14"/>
      <c r="N33211" s="14"/>
      <c r="O33211" s="14"/>
      <c r="P33211" s="13"/>
    </row>
    <row r="33212">
      <c r="L33212" s="13"/>
      <c r="M33212" s="14"/>
      <c r="N33212" s="14"/>
      <c r="O33212" s="14"/>
      <c r="P33212" s="13"/>
    </row>
    <row r="33213">
      <c r="L33213" s="13"/>
      <c r="M33213" s="14"/>
      <c r="N33213" s="14"/>
      <c r="O33213" s="14"/>
      <c r="P33213" s="13"/>
    </row>
    <row r="33214">
      <c r="L33214" s="13"/>
      <c r="M33214" s="14"/>
      <c r="N33214" s="14"/>
      <c r="O33214" s="14"/>
      <c r="P33214" s="13"/>
    </row>
    <row r="33215">
      <c r="L33215" s="13"/>
      <c r="M33215" s="14"/>
      <c r="N33215" s="14"/>
      <c r="O33215" s="14"/>
      <c r="P33215" s="13"/>
    </row>
    <row r="33216">
      <c r="L33216" s="13"/>
      <c r="M33216" s="14"/>
      <c r="N33216" s="14"/>
      <c r="O33216" s="14"/>
      <c r="P33216" s="13"/>
    </row>
    <row r="33217">
      <c r="L33217" s="13"/>
      <c r="M33217" s="14"/>
      <c r="N33217" s="14"/>
      <c r="O33217" s="14"/>
      <c r="P33217" s="13"/>
    </row>
    <row r="33218">
      <c r="L33218" s="13"/>
      <c r="M33218" s="14"/>
      <c r="N33218" s="14"/>
      <c r="O33218" s="14"/>
      <c r="P33218" s="13"/>
    </row>
    <row r="33219">
      <c r="L33219" s="13"/>
      <c r="M33219" s="14"/>
      <c r="N33219" s="14"/>
      <c r="O33219" s="14"/>
      <c r="P33219" s="13"/>
    </row>
    <row r="33220">
      <c r="L33220" s="13"/>
      <c r="M33220" s="14"/>
      <c r="N33220" s="14"/>
      <c r="O33220" s="14"/>
      <c r="P33220" s="13"/>
    </row>
    <row r="33221">
      <c r="L33221" s="13"/>
      <c r="M33221" s="14"/>
      <c r="N33221" s="14"/>
      <c r="O33221" s="14"/>
      <c r="P33221" s="13"/>
    </row>
    <row r="33222">
      <c r="L33222" s="13"/>
      <c r="M33222" s="14"/>
      <c r="N33222" s="14"/>
      <c r="O33222" s="14"/>
      <c r="P33222" s="13"/>
    </row>
    <row r="33223">
      <c r="L33223" s="13"/>
      <c r="M33223" s="14"/>
      <c r="N33223" s="14"/>
      <c r="O33223" s="14"/>
      <c r="P33223" s="13"/>
    </row>
    <row r="33224">
      <c r="L33224" s="13"/>
      <c r="M33224" s="14"/>
      <c r="N33224" s="14"/>
      <c r="O33224" s="14"/>
      <c r="P33224" s="13"/>
    </row>
    <row r="33225">
      <c r="L33225" s="13"/>
      <c r="M33225" s="14"/>
      <c r="N33225" s="14"/>
      <c r="O33225" s="14"/>
      <c r="P33225" s="13"/>
    </row>
    <row r="33226">
      <c r="L33226" s="13"/>
      <c r="M33226" s="14"/>
      <c r="N33226" s="14"/>
      <c r="O33226" s="14"/>
      <c r="P33226" s="13"/>
    </row>
    <row r="33227">
      <c r="L33227" s="13"/>
      <c r="M33227" s="14"/>
      <c r="N33227" s="14"/>
      <c r="O33227" s="14"/>
      <c r="P33227" s="13"/>
    </row>
    <row r="33228">
      <c r="L33228" s="13"/>
      <c r="M33228" s="14"/>
      <c r="N33228" s="14"/>
      <c r="O33228" s="14"/>
      <c r="P33228" s="13"/>
    </row>
    <row r="33229">
      <c r="L33229" s="13"/>
      <c r="M33229" s="14"/>
      <c r="N33229" s="14"/>
      <c r="O33229" s="14"/>
      <c r="P33229" s="13"/>
    </row>
    <row r="33230">
      <c r="L33230" s="13"/>
      <c r="M33230" s="14"/>
      <c r="N33230" s="14"/>
      <c r="O33230" s="14"/>
      <c r="P33230" s="13"/>
    </row>
    <row r="33231">
      <c r="L33231" s="13"/>
      <c r="M33231" s="14"/>
      <c r="N33231" s="14"/>
      <c r="O33231" s="14"/>
      <c r="P33231" s="13"/>
    </row>
    <row r="33232">
      <c r="L33232" s="13"/>
      <c r="M33232" s="14"/>
      <c r="N33232" s="14"/>
      <c r="O33232" s="14"/>
      <c r="P33232" s="13"/>
    </row>
    <row r="33233">
      <c r="L33233" s="13"/>
      <c r="M33233" s="14"/>
      <c r="N33233" s="14"/>
      <c r="O33233" s="14"/>
      <c r="P33233" s="13"/>
    </row>
    <row r="33234">
      <c r="L33234" s="13"/>
      <c r="M33234" s="14"/>
      <c r="N33234" s="14"/>
      <c r="O33234" s="14"/>
      <c r="P33234" s="13"/>
    </row>
    <row r="33235">
      <c r="L33235" s="13"/>
      <c r="M33235" s="14"/>
      <c r="N33235" s="14"/>
      <c r="O33235" s="14"/>
      <c r="P33235" s="13"/>
    </row>
    <row r="33236">
      <c r="L33236" s="13"/>
      <c r="M33236" s="14"/>
      <c r="N33236" s="14"/>
      <c r="O33236" s="14"/>
      <c r="P33236" s="13"/>
    </row>
    <row r="33237">
      <c r="L33237" s="13"/>
      <c r="M33237" s="14"/>
      <c r="N33237" s="14"/>
      <c r="O33237" s="14"/>
      <c r="P33237" s="13"/>
    </row>
    <row r="33238">
      <c r="L33238" s="13"/>
      <c r="M33238" s="14"/>
      <c r="N33238" s="14"/>
      <c r="O33238" s="14"/>
      <c r="P33238" s="13"/>
    </row>
    <row r="33239">
      <c r="L33239" s="13"/>
      <c r="M33239" s="14"/>
      <c r="N33239" s="14"/>
      <c r="O33239" s="14"/>
      <c r="P33239" s="13"/>
    </row>
    <row r="33240">
      <c r="L33240" s="13"/>
      <c r="M33240" s="14"/>
      <c r="N33240" s="14"/>
      <c r="O33240" s="14"/>
      <c r="P33240" s="13"/>
    </row>
    <row r="33241">
      <c r="L33241" s="13"/>
      <c r="M33241" s="14"/>
      <c r="N33241" s="14"/>
      <c r="O33241" s="14"/>
      <c r="P33241" s="13"/>
    </row>
    <row r="33242">
      <c r="L33242" s="13"/>
      <c r="M33242" s="14"/>
      <c r="N33242" s="14"/>
      <c r="O33242" s="14"/>
      <c r="P33242" s="13"/>
    </row>
    <row r="33243">
      <c r="L33243" s="13"/>
      <c r="M33243" s="14"/>
      <c r="N33243" s="14"/>
      <c r="O33243" s="14"/>
      <c r="P33243" s="13"/>
    </row>
    <row r="33244">
      <c r="L33244" s="13"/>
      <c r="M33244" s="14"/>
      <c r="N33244" s="14"/>
      <c r="O33244" s="14"/>
      <c r="P33244" s="13"/>
    </row>
    <row r="33245">
      <c r="L33245" s="13"/>
      <c r="M33245" s="14"/>
      <c r="N33245" s="14"/>
      <c r="O33245" s="14"/>
      <c r="P33245" s="13"/>
    </row>
    <row r="33246">
      <c r="L33246" s="13"/>
      <c r="M33246" s="14"/>
      <c r="N33246" s="14"/>
      <c r="O33246" s="14"/>
      <c r="P33246" s="13"/>
    </row>
    <row r="33247">
      <c r="L33247" s="13"/>
      <c r="M33247" s="14"/>
      <c r="N33247" s="14"/>
      <c r="O33247" s="14"/>
      <c r="P33247" s="13"/>
    </row>
    <row r="33248">
      <c r="L33248" s="13"/>
      <c r="M33248" s="14"/>
      <c r="N33248" s="14"/>
      <c r="O33248" s="14"/>
      <c r="P33248" s="13"/>
    </row>
    <row r="33249">
      <c r="L33249" s="13"/>
      <c r="M33249" s="14"/>
      <c r="N33249" s="14"/>
      <c r="O33249" s="14"/>
      <c r="P33249" s="13"/>
    </row>
    <row r="33250">
      <c r="L33250" s="13"/>
      <c r="M33250" s="14"/>
      <c r="N33250" s="14"/>
      <c r="O33250" s="14"/>
      <c r="P33250" s="13"/>
    </row>
    <row r="33251">
      <c r="L33251" s="13"/>
      <c r="M33251" s="14"/>
      <c r="N33251" s="14"/>
      <c r="O33251" s="14"/>
      <c r="P33251" s="13"/>
    </row>
    <row r="33252">
      <c r="L33252" s="13"/>
      <c r="M33252" s="14"/>
      <c r="N33252" s="14"/>
      <c r="O33252" s="14"/>
      <c r="P33252" s="13"/>
    </row>
    <row r="33253">
      <c r="L33253" s="13"/>
      <c r="M33253" s="14"/>
      <c r="N33253" s="14"/>
      <c r="O33253" s="14"/>
      <c r="P33253" s="13"/>
    </row>
    <row r="33254">
      <c r="L33254" s="13"/>
      <c r="M33254" s="14"/>
      <c r="N33254" s="14"/>
      <c r="O33254" s="14"/>
      <c r="P33254" s="13"/>
    </row>
    <row r="33255">
      <c r="L33255" s="13"/>
      <c r="M33255" s="14"/>
      <c r="N33255" s="14"/>
      <c r="O33255" s="14"/>
      <c r="P33255" s="13"/>
    </row>
    <row r="33256">
      <c r="L33256" s="13"/>
      <c r="M33256" s="14"/>
      <c r="N33256" s="14"/>
      <c r="O33256" s="14"/>
      <c r="P33256" s="13"/>
    </row>
    <row r="33257">
      <c r="L33257" s="13"/>
      <c r="M33257" s="14"/>
      <c r="N33257" s="14"/>
      <c r="O33257" s="14"/>
      <c r="P33257" s="13"/>
    </row>
    <row r="33258">
      <c r="L33258" s="13"/>
      <c r="M33258" s="14"/>
      <c r="N33258" s="14"/>
      <c r="O33258" s="14"/>
      <c r="P33258" s="13"/>
    </row>
    <row r="33259">
      <c r="L33259" s="13"/>
      <c r="M33259" s="14"/>
      <c r="N33259" s="14"/>
      <c r="O33259" s="14"/>
      <c r="P33259" s="13"/>
    </row>
    <row r="33260">
      <c r="L33260" s="13"/>
      <c r="M33260" s="14"/>
      <c r="N33260" s="14"/>
      <c r="O33260" s="14"/>
      <c r="P33260" s="13"/>
    </row>
    <row r="33261">
      <c r="L33261" s="13"/>
      <c r="M33261" s="14"/>
      <c r="N33261" s="14"/>
      <c r="O33261" s="14"/>
      <c r="P33261" s="13"/>
    </row>
    <row r="33262">
      <c r="L33262" s="13"/>
      <c r="M33262" s="14"/>
      <c r="N33262" s="14"/>
      <c r="O33262" s="14"/>
      <c r="P33262" s="13"/>
    </row>
    <row r="33263">
      <c r="L33263" s="13"/>
      <c r="M33263" s="14"/>
      <c r="N33263" s="14"/>
      <c r="O33263" s="14"/>
      <c r="P33263" s="13"/>
    </row>
    <row r="33264">
      <c r="L33264" s="13"/>
      <c r="M33264" s="14"/>
      <c r="N33264" s="14"/>
      <c r="O33264" s="14"/>
      <c r="P33264" s="13"/>
    </row>
    <row r="33265">
      <c r="L33265" s="13"/>
      <c r="M33265" s="14"/>
      <c r="N33265" s="14"/>
      <c r="O33265" s="14"/>
      <c r="P33265" s="13"/>
    </row>
    <row r="33266">
      <c r="L33266" s="13"/>
      <c r="M33266" s="14"/>
      <c r="N33266" s="14"/>
      <c r="O33266" s="14"/>
      <c r="P33266" s="13"/>
    </row>
    <row r="33267">
      <c r="L33267" s="13"/>
      <c r="M33267" s="14"/>
      <c r="N33267" s="14"/>
      <c r="O33267" s="14"/>
      <c r="P33267" s="13"/>
    </row>
    <row r="33268">
      <c r="L33268" s="13"/>
      <c r="M33268" s="14"/>
      <c r="N33268" s="14"/>
      <c r="O33268" s="14"/>
      <c r="P33268" s="13"/>
    </row>
    <row r="33269">
      <c r="L33269" s="13"/>
      <c r="M33269" s="14"/>
      <c r="N33269" s="14"/>
      <c r="O33269" s="14"/>
      <c r="P33269" s="13"/>
    </row>
    <row r="33270">
      <c r="L33270" s="13"/>
      <c r="M33270" s="14"/>
      <c r="N33270" s="14"/>
      <c r="O33270" s="14"/>
      <c r="P33270" s="13"/>
    </row>
    <row r="33271">
      <c r="L33271" s="13"/>
      <c r="M33271" s="14"/>
      <c r="N33271" s="14"/>
      <c r="O33271" s="14"/>
      <c r="P33271" s="13"/>
    </row>
    <row r="33272">
      <c r="L33272" s="13"/>
      <c r="M33272" s="14"/>
      <c r="N33272" s="14"/>
      <c r="O33272" s="14"/>
      <c r="P33272" s="13"/>
    </row>
    <row r="33273">
      <c r="L33273" s="13"/>
      <c r="M33273" s="14"/>
      <c r="N33273" s="14"/>
      <c r="O33273" s="14"/>
      <c r="P33273" s="13"/>
    </row>
    <row r="33274">
      <c r="L33274" s="13"/>
      <c r="M33274" s="14"/>
      <c r="N33274" s="14"/>
      <c r="O33274" s="14"/>
      <c r="P33274" s="13"/>
    </row>
    <row r="33275">
      <c r="L33275" s="13"/>
      <c r="M33275" s="14"/>
      <c r="N33275" s="14"/>
      <c r="O33275" s="14"/>
      <c r="P33275" s="13"/>
    </row>
    <row r="33276">
      <c r="L33276" s="13"/>
      <c r="M33276" s="14"/>
      <c r="N33276" s="14"/>
      <c r="O33276" s="14"/>
      <c r="P33276" s="13"/>
    </row>
    <row r="33277">
      <c r="L33277" s="13"/>
      <c r="M33277" s="14"/>
      <c r="N33277" s="14"/>
      <c r="O33277" s="14"/>
      <c r="P33277" s="13"/>
    </row>
    <row r="33278">
      <c r="L33278" s="13"/>
      <c r="M33278" s="14"/>
      <c r="N33278" s="14"/>
      <c r="O33278" s="14"/>
      <c r="P33278" s="13"/>
    </row>
    <row r="33279">
      <c r="L33279" s="13"/>
      <c r="M33279" s="14"/>
      <c r="N33279" s="14"/>
      <c r="O33279" s="14"/>
      <c r="P33279" s="13"/>
    </row>
    <row r="33280">
      <c r="L33280" s="13"/>
      <c r="M33280" s="14"/>
      <c r="N33280" s="14"/>
      <c r="O33280" s="14"/>
      <c r="P33280" s="13"/>
    </row>
    <row r="33281">
      <c r="L33281" s="13"/>
      <c r="M33281" s="14"/>
      <c r="N33281" s="14"/>
      <c r="O33281" s="14"/>
      <c r="P33281" s="13"/>
    </row>
    <row r="33282">
      <c r="L33282" s="13"/>
      <c r="M33282" s="14"/>
      <c r="N33282" s="14"/>
      <c r="O33282" s="14"/>
      <c r="P33282" s="13"/>
    </row>
    <row r="33283">
      <c r="L33283" s="13"/>
      <c r="M33283" s="14"/>
      <c r="N33283" s="14"/>
      <c r="O33283" s="14"/>
      <c r="P33283" s="13"/>
    </row>
    <row r="33284">
      <c r="L33284" s="13"/>
      <c r="M33284" s="14"/>
      <c r="N33284" s="14"/>
      <c r="O33284" s="14"/>
      <c r="P33284" s="13"/>
    </row>
    <row r="33285">
      <c r="L33285" s="13"/>
      <c r="M33285" s="14"/>
      <c r="N33285" s="14"/>
      <c r="O33285" s="14"/>
      <c r="P33285" s="13"/>
    </row>
    <row r="33286">
      <c r="L33286" s="13"/>
      <c r="M33286" s="14"/>
      <c r="N33286" s="14"/>
      <c r="O33286" s="14"/>
      <c r="P33286" s="13"/>
    </row>
    <row r="33287">
      <c r="L33287" s="13"/>
      <c r="M33287" s="14"/>
      <c r="N33287" s="14"/>
      <c r="O33287" s="14"/>
      <c r="P33287" s="13"/>
    </row>
    <row r="33288">
      <c r="L33288" s="13"/>
      <c r="M33288" s="14"/>
      <c r="N33288" s="14"/>
      <c r="O33288" s="14"/>
      <c r="P33288" s="13"/>
    </row>
    <row r="33289">
      <c r="L33289" s="13"/>
      <c r="M33289" s="14"/>
      <c r="N33289" s="14"/>
      <c r="O33289" s="14"/>
      <c r="P33289" s="13"/>
    </row>
    <row r="33290">
      <c r="L33290" s="13"/>
      <c r="M33290" s="14"/>
      <c r="N33290" s="14"/>
      <c r="O33290" s="14"/>
      <c r="P33290" s="13"/>
    </row>
    <row r="33291">
      <c r="L33291" s="13"/>
      <c r="M33291" s="14"/>
      <c r="N33291" s="14"/>
      <c r="O33291" s="14"/>
      <c r="P33291" s="13"/>
    </row>
    <row r="33292">
      <c r="L33292" s="13"/>
      <c r="M33292" s="14"/>
      <c r="N33292" s="14"/>
      <c r="O33292" s="14"/>
      <c r="P33292" s="13"/>
    </row>
    <row r="33293">
      <c r="L33293" s="13"/>
      <c r="M33293" s="14"/>
      <c r="N33293" s="14"/>
      <c r="O33293" s="14"/>
      <c r="P33293" s="13"/>
    </row>
    <row r="33294">
      <c r="L33294" s="13"/>
      <c r="M33294" s="14"/>
      <c r="N33294" s="14"/>
      <c r="O33294" s="14"/>
      <c r="P33294" s="13"/>
    </row>
    <row r="33295">
      <c r="L33295" s="13"/>
      <c r="M33295" s="14"/>
      <c r="N33295" s="14"/>
      <c r="O33295" s="14"/>
      <c r="P33295" s="13"/>
    </row>
    <row r="33296">
      <c r="L33296" s="13"/>
      <c r="M33296" s="14"/>
      <c r="N33296" s="14"/>
      <c r="O33296" s="14"/>
      <c r="P33296" s="13"/>
    </row>
    <row r="33297">
      <c r="L33297" s="13"/>
      <c r="M33297" s="14"/>
      <c r="N33297" s="14"/>
      <c r="O33297" s="14"/>
      <c r="P33297" s="13"/>
    </row>
    <row r="33298">
      <c r="L33298" s="13"/>
      <c r="M33298" s="14"/>
      <c r="N33298" s="14"/>
      <c r="O33298" s="14"/>
      <c r="P33298" s="13"/>
    </row>
    <row r="33299">
      <c r="L33299" s="13"/>
      <c r="M33299" s="14"/>
      <c r="N33299" s="14"/>
      <c r="O33299" s="14"/>
      <c r="P33299" s="13"/>
    </row>
    <row r="33300">
      <c r="L33300" s="13"/>
      <c r="M33300" s="14"/>
      <c r="N33300" s="14"/>
      <c r="O33300" s="14"/>
      <c r="P33300" s="13"/>
    </row>
    <row r="33301">
      <c r="L33301" s="13"/>
      <c r="M33301" s="14"/>
      <c r="N33301" s="14"/>
      <c r="O33301" s="14"/>
      <c r="P33301" s="13"/>
    </row>
    <row r="33302">
      <c r="L33302" s="13"/>
      <c r="M33302" s="14"/>
      <c r="N33302" s="14"/>
      <c r="O33302" s="14"/>
      <c r="P33302" s="13"/>
    </row>
    <row r="33303">
      <c r="L33303" s="13"/>
      <c r="M33303" s="14"/>
      <c r="N33303" s="14"/>
      <c r="O33303" s="14"/>
      <c r="P33303" s="13"/>
    </row>
    <row r="33304">
      <c r="L33304" s="13"/>
      <c r="M33304" s="14"/>
      <c r="N33304" s="14"/>
      <c r="O33304" s="14"/>
      <c r="P33304" s="13"/>
    </row>
    <row r="33305">
      <c r="L33305" s="13"/>
      <c r="M33305" s="14"/>
      <c r="N33305" s="14"/>
      <c r="O33305" s="14"/>
      <c r="P33305" s="13"/>
    </row>
    <row r="33306">
      <c r="L33306" s="13"/>
      <c r="M33306" s="14"/>
      <c r="N33306" s="14"/>
      <c r="O33306" s="14"/>
      <c r="P33306" s="13"/>
    </row>
    <row r="33307">
      <c r="L33307" s="13"/>
      <c r="M33307" s="14"/>
      <c r="N33307" s="14"/>
      <c r="O33307" s="14"/>
      <c r="P33307" s="13"/>
    </row>
    <row r="33308">
      <c r="L33308" s="13"/>
      <c r="M33308" s="14"/>
      <c r="N33308" s="14"/>
      <c r="O33308" s="14"/>
      <c r="P33308" s="13"/>
    </row>
    <row r="33309">
      <c r="L33309" s="13"/>
      <c r="M33309" s="14"/>
      <c r="N33309" s="14"/>
      <c r="O33309" s="14"/>
      <c r="P33309" s="13"/>
    </row>
    <row r="33310">
      <c r="L33310" s="13"/>
      <c r="M33310" s="14"/>
      <c r="N33310" s="14"/>
      <c r="O33310" s="14"/>
      <c r="P33310" s="13"/>
    </row>
    <row r="33311">
      <c r="L33311" s="13"/>
      <c r="M33311" s="14"/>
      <c r="N33311" s="14"/>
      <c r="O33311" s="14"/>
      <c r="P33311" s="13"/>
    </row>
    <row r="33312">
      <c r="L33312" s="13"/>
      <c r="M33312" s="14"/>
      <c r="N33312" s="14"/>
      <c r="O33312" s="14"/>
      <c r="P33312" s="13"/>
    </row>
    <row r="33313">
      <c r="L33313" s="13"/>
      <c r="M33313" s="14"/>
      <c r="N33313" s="14"/>
      <c r="O33313" s="14"/>
      <c r="P33313" s="13"/>
    </row>
    <row r="33314">
      <c r="L33314" s="13"/>
      <c r="M33314" s="14"/>
      <c r="N33314" s="14"/>
      <c r="O33314" s="14"/>
      <c r="P33314" s="13"/>
    </row>
    <row r="33315">
      <c r="L33315" s="13"/>
      <c r="M33315" s="14"/>
      <c r="N33315" s="14"/>
      <c r="O33315" s="14"/>
      <c r="P33315" s="13"/>
    </row>
    <row r="33316">
      <c r="L33316" s="13"/>
      <c r="M33316" s="14"/>
      <c r="N33316" s="14"/>
      <c r="O33316" s="14"/>
      <c r="P33316" s="13"/>
    </row>
    <row r="33317">
      <c r="L33317" s="13"/>
      <c r="M33317" s="14"/>
      <c r="N33317" s="14"/>
      <c r="O33317" s="14"/>
      <c r="P33317" s="13"/>
    </row>
    <row r="33318">
      <c r="L33318" s="13"/>
      <c r="M33318" s="14"/>
      <c r="N33318" s="14"/>
      <c r="O33318" s="14"/>
      <c r="P33318" s="13"/>
    </row>
    <row r="33319">
      <c r="L33319" s="13"/>
      <c r="M33319" s="14"/>
      <c r="N33319" s="14"/>
      <c r="O33319" s="14"/>
      <c r="P33319" s="13"/>
    </row>
    <row r="33320">
      <c r="L33320" s="13"/>
      <c r="M33320" s="14"/>
      <c r="N33320" s="14"/>
      <c r="O33320" s="14"/>
      <c r="P33320" s="13"/>
    </row>
    <row r="33321">
      <c r="L33321" s="13"/>
      <c r="M33321" s="14"/>
      <c r="N33321" s="14"/>
      <c r="O33321" s="14"/>
      <c r="P33321" s="13"/>
    </row>
    <row r="33322">
      <c r="L33322" s="13"/>
      <c r="M33322" s="14"/>
      <c r="N33322" s="14"/>
      <c r="O33322" s="14"/>
      <c r="P33322" s="13"/>
    </row>
    <row r="33323">
      <c r="L33323" s="13"/>
      <c r="M33323" s="14"/>
      <c r="N33323" s="14"/>
      <c r="O33323" s="14"/>
      <c r="P33323" s="13"/>
    </row>
    <row r="33324">
      <c r="L33324" s="13"/>
      <c r="M33324" s="14"/>
      <c r="N33324" s="14"/>
      <c r="O33324" s="14"/>
      <c r="P33324" s="13"/>
    </row>
    <row r="33325">
      <c r="L33325" s="13"/>
      <c r="M33325" s="14"/>
      <c r="N33325" s="14"/>
      <c r="O33325" s="14"/>
      <c r="P33325" s="13"/>
    </row>
    <row r="33326">
      <c r="L33326" s="13"/>
      <c r="M33326" s="14"/>
      <c r="N33326" s="14"/>
      <c r="O33326" s="14"/>
      <c r="P33326" s="13"/>
    </row>
    <row r="33327">
      <c r="L33327" s="13"/>
      <c r="M33327" s="14"/>
      <c r="N33327" s="14"/>
      <c r="O33327" s="14"/>
      <c r="P33327" s="13"/>
    </row>
    <row r="33328">
      <c r="L33328" s="13"/>
      <c r="M33328" s="14"/>
      <c r="N33328" s="14"/>
      <c r="O33328" s="14"/>
      <c r="P33328" s="13"/>
    </row>
    <row r="33329">
      <c r="L33329" s="13"/>
      <c r="M33329" s="14"/>
      <c r="N33329" s="14"/>
      <c r="O33329" s="14"/>
      <c r="P33329" s="13"/>
    </row>
    <row r="33330">
      <c r="L33330" s="13"/>
      <c r="M33330" s="14"/>
      <c r="N33330" s="14"/>
      <c r="O33330" s="14"/>
      <c r="P33330" s="13"/>
    </row>
    <row r="33331">
      <c r="L33331" s="13"/>
      <c r="M33331" s="14"/>
      <c r="N33331" s="14"/>
      <c r="O33331" s="14"/>
      <c r="P33331" s="13"/>
    </row>
    <row r="33332">
      <c r="L33332" s="13"/>
      <c r="M33332" s="14"/>
      <c r="N33332" s="14"/>
      <c r="O33332" s="14"/>
      <c r="P33332" s="13"/>
    </row>
    <row r="33333">
      <c r="L33333" s="13"/>
      <c r="M33333" s="14"/>
      <c r="N33333" s="14"/>
      <c r="O33333" s="14"/>
      <c r="P33333" s="13"/>
    </row>
    <row r="33334">
      <c r="L33334" s="13"/>
      <c r="M33334" s="14"/>
      <c r="N33334" s="14"/>
      <c r="O33334" s="14"/>
      <c r="P33334" s="13"/>
    </row>
    <row r="33335">
      <c r="L33335" s="13"/>
      <c r="M33335" s="14"/>
      <c r="N33335" s="14"/>
      <c r="O33335" s="14"/>
      <c r="P33335" s="13"/>
    </row>
    <row r="33336">
      <c r="L33336" s="13"/>
      <c r="M33336" s="14"/>
      <c r="N33336" s="14"/>
      <c r="O33336" s="14"/>
      <c r="P33336" s="13"/>
    </row>
    <row r="33337">
      <c r="L33337" s="13"/>
      <c r="M33337" s="14"/>
      <c r="N33337" s="14"/>
      <c r="O33337" s="14"/>
      <c r="P33337" s="13"/>
    </row>
    <row r="33338">
      <c r="L33338" s="13"/>
      <c r="M33338" s="14"/>
      <c r="N33338" s="14"/>
      <c r="O33338" s="14"/>
      <c r="P33338" s="13"/>
    </row>
    <row r="33339">
      <c r="L33339" s="13"/>
      <c r="M33339" s="14"/>
      <c r="N33339" s="14"/>
      <c r="O33339" s="14"/>
      <c r="P33339" s="13"/>
    </row>
    <row r="33340">
      <c r="L33340" s="13"/>
      <c r="M33340" s="14"/>
      <c r="N33340" s="14"/>
      <c r="O33340" s="14"/>
      <c r="P33340" s="13"/>
    </row>
    <row r="33341">
      <c r="L33341" s="13"/>
      <c r="M33341" s="14"/>
      <c r="N33341" s="14"/>
      <c r="O33341" s="14"/>
      <c r="P33341" s="13"/>
    </row>
    <row r="33342">
      <c r="L33342" s="13"/>
      <c r="M33342" s="14"/>
      <c r="N33342" s="14"/>
      <c r="O33342" s="14"/>
      <c r="P33342" s="13"/>
    </row>
    <row r="33343">
      <c r="L33343" s="13"/>
      <c r="M33343" s="14"/>
      <c r="N33343" s="14"/>
      <c r="O33343" s="14"/>
      <c r="P33343" s="13"/>
    </row>
    <row r="33344">
      <c r="L33344" s="13"/>
      <c r="M33344" s="14"/>
      <c r="N33344" s="14"/>
      <c r="O33344" s="14"/>
      <c r="P33344" s="13"/>
    </row>
    <row r="33345">
      <c r="L33345" s="13"/>
      <c r="M33345" s="14"/>
      <c r="N33345" s="14"/>
      <c r="O33345" s="14"/>
      <c r="P33345" s="13"/>
    </row>
    <row r="33346">
      <c r="L33346" s="13"/>
      <c r="M33346" s="14"/>
      <c r="N33346" s="14"/>
      <c r="O33346" s="14"/>
      <c r="P33346" s="13"/>
    </row>
    <row r="33347">
      <c r="L33347" s="13"/>
      <c r="M33347" s="14"/>
      <c r="N33347" s="14"/>
      <c r="O33347" s="14"/>
      <c r="P33347" s="13"/>
    </row>
    <row r="33348">
      <c r="L33348" s="13"/>
      <c r="M33348" s="14"/>
      <c r="N33348" s="14"/>
      <c r="O33348" s="14"/>
      <c r="P33348" s="13"/>
    </row>
    <row r="33349">
      <c r="L33349" s="13"/>
      <c r="M33349" s="14"/>
      <c r="N33349" s="14"/>
      <c r="O33349" s="14"/>
      <c r="P33349" s="13"/>
    </row>
    <row r="33350">
      <c r="L33350" s="13"/>
      <c r="M33350" s="14"/>
      <c r="N33350" s="14"/>
      <c r="O33350" s="14"/>
      <c r="P33350" s="13"/>
    </row>
    <row r="33351">
      <c r="L33351" s="13"/>
      <c r="M33351" s="14"/>
      <c r="N33351" s="14"/>
      <c r="O33351" s="14"/>
      <c r="P33351" s="13"/>
    </row>
    <row r="33352">
      <c r="L33352" s="13"/>
      <c r="M33352" s="14"/>
      <c r="N33352" s="14"/>
      <c r="O33352" s="14"/>
      <c r="P33352" s="13"/>
    </row>
    <row r="33353">
      <c r="L33353" s="13"/>
      <c r="M33353" s="14"/>
      <c r="N33353" s="14"/>
      <c r="O33353" s="14"/>
      <c r="P33353" s="13"/>
    </row>
    <row r="33354">
      <c r="L33354" s="13"/>
      <c r="M33354" s="14"/>
      <c r="N33354" s="14"/>
      <c r="O33354" s="14"/>
      <c r="P33354" s="13"/>
    </row>
    <row r="33355">
      <c r="L33355" s="13"/>
      <c r="M33355" s="14"/>
      <c r="N33355" s="14"/>
      <c r="O33355" s="14"/>
      <c r="P33355" s="13"/>
    </row>
    <row r="33356">
      <c r="L33356" s="13"/>
      <c r="M33356" s="14"/>
      <c r="N33356" s="14"/>
      <c r="O33356" s="14"/>
      <c r="P33356" s="13"/>
    </row>
    <row r="33357">
      <c r="L33357" s="13"/>
      <c r="M33357" s="14"/>
      <c r="N33357" s="14"/>
      <c r="O33357" s="14"/>
      <c r="P33357" s="13"/>
    </row>
    <row r="33358">
      <c r="L33358" s="13"/>
      <c r="M33358" s="14"/>
      <c r="N33358" s="14"/>
      <c r="O33358" s="14"/>
      <c r="P33358" s="13"/>
    </row>
    <row r="33359">
      <c r="L33359" s="13"/>
      <c r="M33359" s="14"/>
      <c r="N33359" s="14"/>
      <c r="O33359" s="14"/>
      <c r="P33359" s="13"/>
    </row>
    <row r="33360">
      <c r="L33360" s="13"/>
      <c r="M33360" s="14"/>
      <c r="N33360" s="14"/>
      <c r="O33360" s="14"/>
      <c r="P33360" s="13"/>
    </row>
    <row r="33361">
      <c r="L33361" s="13"/>
      <c r="M33361" s="14"/>
      <c r="N33361" s="14"/>
      <c r="O33361" s="14"/>
      <c r="P33361" s="13"/>
    </row>
    <row r="33362">
      <c r="L33362" s="13"/>
      <c r="M33362" s="14"/>
      <c r="N33362" s="14"/>
      <c r="O33362" s="14"/>
      <c r="P33362" s="13"/>
    </row>
    <row r="33363">
      <c r="L33363" s="13"/>
      <c r="M33363" s="14"/>
      <c r="N33363" s="14"/>
      <c r="O33363" s="14"/>
      <c r="P33363" s="13"/>
    </row>
    <row r="33364">
      <c r="L33364" s="13"/>
      <c r="M33364" s="14"/>
      <c r="N33364" s="14"/>
      <c r="O33364" s="14"/>
      <c r="P33364" s="13"/>
    </row>
    <row r="33365">
      <c r="L33365" s="13"/>
      <c r="M33365" s="14"/>
      <c r="N33365" s="14"/>
      <c r="O33365" s="14"/>
      <c r="P33365" s="13"/>
    </row>
    <row r="33366">
      <c r="L33366" s="13"/>
      <c r="M33366" s="14"/>
      <c r="N33366" s="14"/>
      <c r="O33366" s="14"/>
      <c r="P33366" s="13"/>
    </row>
    <row r="33367">
      <c r="L33367" s="13"/>
      <c r="M33367" s="14"/>
      <c r="N33367" s="14"/>
      <c r="O33367" s="14"/>
      <c r="P33367" s="13"/>
    </row>
    <row r="33368">
      <c r="L33368" s="13"/>
      <c r="M33368" s="14"/>
      <c r="N33368" s="14"/>
      <c r="O33368" s="14"/>
      <c r="P33368" s="13"/>
    </row>
    <row r="33369">
      <c r="L33369" s="13"/>
      <c r="M33369" s="14"/>
      <c r="N33369" s="14"/>
      <c r="O33369" s="14"/>
      <c r="P33369" s="13"/>
    </row>
    <row r="33370">
      <c r="L33370" s="13"/>
      <c r="M33370" s="14"/>
      <c r="N33370" s="14"/>
      <c r="O33370" s="14"/>
      <c r="P33370" s="13"/>
    </row>
    <row r="33371">
      <c r="L33371" s="13"/>
      <c r="M33371" s="14"/>
      <c r="N33371" s="14"/>
      <c r="O33371" s="14"/>
      <c r="P33371" s="13"/>
    </row>
    <row r="33372">
      <c r="L33372" s="13"/>
      <c r="M33372" s="14"/>
      <c r="N33372" s="14"/>
      <c r="O33372" s="14"/>
      <c r="P33372" s="13"/>
    </row>
    <row r="33373">
      <c r="L33373" s="13"/>
      <c r="M33373" s="14"/>
      <c r="N33373" s="14"/>
      <c r="O33373" s="14"/>
      <c r="P33373" s="13"/>
    </row>
    <row r="33374">
      <c r="L33374" s="13"/>
      <c r="M33374" s="14"/>
      <c r="N33374" s="14"/>
      <c r="O33374" s="14"/>
      <c r="P33374" s="13"/>
    </row>
    <row r="33375">
      <c r="L33375" s="13"/>
      <c r="M33375" s="14"/>
      <c r="N33375" s="14"/>
      <c r="O33375" s="14"/>
      <c r="P33375" s="13"/>
    </row>
    <row r="33376">
      <c r="L33376" s="13"/>
      <c r="M33376" s="14"/>
      <c r="N33376" s="14"/>
      <c r="O33376" s="14"/>
      <c r="P33376" s="13"/>
    </row>
    <row r="33377">
      <c r="L33377" s="13"/>
      <c r="M33377" s="14"/>
      <c r="N33377" s="14"/>
      <c r="O33377" s="14"/>
      <c r="P33377" s="13"/>
    </row>
    <row r="33378">
      <c r="L33378" s="13"/>
      <c r="M33378" s="14"/>
      <c r="N33378" s="14"/>
      <c r="O33378" s="14"/>
      <c r="P33378" s="13"/>
    </row>
    <row r="33379">
      <c r="L33379" s="13"/>
      <c r="M33379" s="14"/>
      <c r="N33379" s="14"/>
      <c r="O33379" s="14"/>
      <c r="P33379" s="13"/>
    </row>
    <row r="33380">
      <c r="L33380" s="13"/>
      <c r="M33380" s="14"/>
      <c r="N33380" s="14"/>
      <c r="O33380" s="14"/>
      <c r="P33380" s="13"/>
    </row>
    <row r="33381">
      <c r="L33381" s="13"/>
      <c r="M33381" s="14"/>
      <c r="N33381" s="14"/>
      <c r="O33381" s="14"/>
      <c r="P33381" s="13"/>
    </row>
    <row r="33382">
      <c r="L33382" s="13"/>
      <c r="M33382" s="14"/>
      <c r="N33382" s="14"/>
      <c r="O33382" s="14"/>
      <c r="P33382" s="13"/>
    </row>
    <row r="33383">
      <c r="L33383" s="13"/>
      <c r="M33383" s="14"/>
      <c r="N33383" s="14"/>
      <c r="O33383" s="14"/>
      <c r="P33383" s="13"/>
    </row>
    <row r="33384">
      <c r="L33384" s="13"/>
      <c r="M33384" s="14"/>
      <c r="N33384" s="14"/>
      <c r="O33384" s="14"/>
      <c r="P33384" s="13"/>
    </row>
    <row r="33385">
      <c r="L33385" s="13"/>
      <c r="M33385" s="14"/>
      <c r="N33385" s="14"/>
      <c r="O33385" s="14"/>
      <c r="P33385" s="13"/>
    </row>
    <row r="33386">
      <c r="L33386" s="13"/>
      <c r="M33386" s="14"/>
      <c r="N33386" s="14"/>
      <c r="O33386" s="14"/>
      <c r="P33386" s="13"/>
    </row>
    <row r="33387">
      <c r="L33387" s="13"/>
      <c r="M33387" s="14"/>
      <c r="N33387" s="14"/>
      <c r="O33387" s="14"/>
      <c r="P33387" s="13"/>
    </row>
    <row r="33388">
      <c r="L33388" s="13"/>
      <c r="M33388" s="14"/>
      <c r="N33388" s="14"/>
      <c r="O33388" s="14"/>
      <c r="P33388" s="13"/>
    </row>
    <row r="33389">
      <c r="L33389" s="13"/>
      <c r="M33389" s="14"/>
      <c r="N33389" s="14"/>
      <c r="O33389" s="14"/>
      <c r="P33389" s="13"/>
    </row>
    <row r="33390">
      <c r="L33390" s="13"/>
      <c r="M33390" s="14"/>
      <c r="N33390" s="14"/>
      <c r="O33390" s="14"/>
      <c r="P33390" s="13"/>
    </row>
    <row r="33391">
      <c r="L33391" s="13"/>
      <c r="M33391" s="14"/>
      <c r="N33391" s="14"/>
      <c r="O33391" s="14"/>
      <c r="P33391" s="13"/>
    </row>
    <row r="33392">
      <c r="L33392" s="13"/>
      <c r="M33392" s="14"/>
      <c r="N33392" s="14"/>
      <c r="O33392" s="14"/>
      <c r="P33392" s="13"/>
    </row>
    <row r="33393">
      <c r="L33393" s="13"/>
      <c r="M33393" s="14"/>
      <c r="N33393" s="14"/>
      <c r="O33393" s="14"/>
      <c r="P33393" s="13"/>
    </row>
    <row r="33394">
      <c r="L33394" s="13"/>
      <c r="M33394" s="14"/>
      <c r="N33394" s="14"/>
      <c r="O33394" s="14"/>
      <c r="P33394" s="13"/>
    </row>
    <row r="33395">
      <c r="L33395" s="13"/>
      <c r="M33395" s="14"/>
      <c r="N33395" s="14"/>
      <c r="O33395" s="14"/>
      <c r="P33395" s="13"/>
    </row>
    <row r="33396">
      <c r="L33396" s="13"/>
      <c r="M33396" s="14"/>
      <c r="N33396" s="14"/>
      <c r="O33396" s="14"/>
      <c r="P33396" s="13"/>
    </row>
    <row r="33397">
      <c r="L33397" s="13"/>
      <c r="M33397" s="14"/>
      <c r="N33397" s="14"/>
      <c r="O33397" s="14"/>
      <c r="P33397" s="13"/>
    </row>
    <row r="33398">
      <c r="L33398" s="13"/>
      <c r="M33398" s="14"/>
      <c r="N33398" s="14"/>
      <c r="O33398" s="14"/>
      <c r="P33398" s="13"/>
    </row>
    <row r="33399">
      <c r="L33399" s="13"/>
      <c r="M33399" s="14"/>
      <c r="N33399" s="14"/>
      <c r="O33399" s="14"/>
      <c r="P33399" s="13"/>
    </row>
    <row r="33400">
      <c r="L33400" s="13"/>
      <c r="M33400" s="14"/>
      <c r="N33400" s="14"/>
      <c r="O33400" s="14"/>
      <c r="P33400" s="13"/>
    </row>
    <row r="33401">
      <c r="L33401" s="13"/>
      <c r="M33401" s="14"/>
      <c r="N33401" s="14"/>
      <c r="O33401" s="14"/>
      <c r="P33401" s="13"/>
    </row>
    <row r="33402">
      <c r="L33402" s="13"/>
      <c r="M33402" s="14"/>
      <c r="N33402" s="14"/>
      <c r="O33402" s="14"/>
      <c r="P33402" s="13"/>
    </row>
    <row r="33403">
      <c r="L33403" s="13"/>
      <c r="M33403" s="14"/>
      <c r="N33403" s="14"/>
      <c r="O33403" s="14"/>
      <c r="P33403" s="13"/>
    </row>
    <row r="33404">
      <c r="L33404" s="13"/>
      <c r="M33404" s="14"/>
      <c r="N33404" s="14"/>
      <c r="O33404" s="14"/>
      <c r="P33404" s="13"/>
    </row>
    <row r="33405">
      <c r="L33405" s="13"/>
      <c r="M33405" s="14"/>
      <c r="N33405" s="14"/>
      <c r="O33405" s="14"/>
      <c r="P33405" s="13"/>
    </row>
    <row r="33406">
      <c r="L33406" s="13"/>
      <c r="M33406" s="14"/>
      <c r="N33406" s="14"/>
      <c r="O33406" s="14"/>
      <c r="P33406" s="13"/>
    </row>
    <row r="33407">
      <c r="L33407" s="13"/>
      <c r="M33407" s="14"/>
      <c r="N33407" s="14"/>
      <c r="O33407" s="14"/>
      <c r="P33407" s="13"/>
    </row>
    <row r="33408">
      <c r="L33408" s="13"/>
      <c r="M33408" s="14"/>
      <c r="N33408" s="14"/>
      <c r="O33408" s="14"/>
      <c r="P33408" s="13"/>
    </row>
    <row r="33409">
      <c r="L33409" s="13"/>
      <c r="M33409" s="14"/>
      <c r="N33409" s="14"/>
      <c r="O33409" s="14"/>
      <c r="P33409" s="13"/>
    </row>
    <row r="33410">
      <c r="L33410" s="13"/>
      <c r="M33410" s="14"/>
      <c r="N33410" s="14"/>
      <c r="O33410" s="14"/>
      <c r="P33410" s="13"/>
    </row>
    <row r="33411">
      <c r="L33411" s="13"/>
      <c r="M33411" s="14"/>
      <c r="N33411" s="14"/>
      <c r="O33411" s="14"/>
      <c r="P33411" s="13"/>
    </row>
    <row r="33412">
      <c r="L33412" s="13"/>
      <c r="M33412" s="14"/>
      <c r="N33412" s="14"/>
      <c r="O33412" s="14"/>
      <c r="P33412" s="13"/>
    </row>
    <row r="33413">
      <c r="L33413" s="13"/>
      <c r="M33413" s="14"/>
      <c r="N33413" s="14"/>
      <c r="O33413" s="14"/>
      <c r="P33413" s="13"/>
    </row>
    <row r="33414">
      <c r="L33414" s="13"/>
      <c r="M33414" s="14"/>
      <c r="N33414" s="14"/>
      <c r="O33414" s="14"/>
      <c r="P33414" s="13"/>
    </row>
    <row r="33415">
      <c r="L33415" s="13"/>
      <c r="M33415" s="14"/>
      <c r="N33415" s="14"/>
      <c r="O33415" s="14"/>
      <c r="P33415" s="13"/>
    </row>
    <row r="33416">
      <c r="L33416" s="13"/>
      <c r="M33416" s="14"/>
      <c r="N33416" s="14"/>
      <c r="O33416" s="14"/>
      <c r="P33416" s="13"/>
    </row>
    <row r="33417">
      <c r="L33417" s="13"/>
      <c r="M33417" s="14"/>
      <c r="N33417" s="14"/>
      <c r="O33417" s="14"/>
      <c r="P33417" s="13"/>
    </row>
    <row r="33418">
      <c r="L33418" s="13"/>
      <c r="M33418" s="14"/>
      <c r="N33418" s="14"/>
      <c r="O33418" s="14"/>
      <c r="P33418" s="13"/>
    </row>
    <row r="33419">
      <c r="L33419" s="13"/>
      <c r="M33419" s="14"/>
      <c r="N33419" s="14"/>
      <c r="O33419" s="14"/>
      <c r="P33419" s="13"/>
    </row>
    <row r="33420">
      <c r="L33420" s="13"/>
      <c r="M33420" s="14"/>
      <c r="N33420" s="14"/>
      <c r="O33420" s="14"/>
      <c r="P33420" s="13"/>
    </row>
    <row r="33421">
      <c r="L33421" s="13"/>
      <c r="M33421" s="14"/>
      <c r="N33421" s="14"/>
      <c r="O33421" s="14"/>
      <c r="P33421" s="13"/>
    </row>
    <row r="33422">
      <c r="L33422" s="13"/>
      <c r="M33422" s="14"/>
      <c r="N33422" s="14"/>
      <c r="O33422" s="14"/>
      <c r="P33422" s="13"/>
    </row>
    <row r="33423">
      <c r="L33423" s="13"/>
      <c r="M33423" s="14"/>
      <c r="N33423" s="14"/>
      <c r="O33423" s="14"/>
      <c r="P33423" s="13"/>
    </row>
    <row r="33424">
      <c r="L33424" s="13"/>
      <c r="M33424" s="14"/>
      <c r="N33424" s="14"/>
      <c r="O33424" s="14"/>
      <c r="P33424" s="13"/>
    </row>
    <row r="33425">
      <c r="L33425" s="13"/>
      <c r="M33425" s="14"/>
      <c r="N33425" s="14"/>
      <c r="O33425" s="14"/>
      <c r="P33425" s="13"/>
    </row>
    <row r="33426">
      <c r="L33426" s="13"/>
      <c r="M33426" s="14"/>
      <c r="N33426" s="14"/>
      <c r="O33426" s="14"/>
      <c r="P33426" s="13"/>
    </row>
    <row r="33427">
      <c r="L33427" s="13"/>
      <c r="M33427" s="14"/>
      <c r="N33427" s="14"/>
      <c r="O33427" s="14"/>
      <c r="P33427" s="13"/>
    </row>
    <row r="33428">
      <c r="L33428" s="13"/>
      <c r="M33428" s="14"/>
      <c r="N33428" s="14"/>
      <c r="O33428" s="14"/>
      <c r="P33428" s="13"/>
    </row>
    <row r="33429">
      <c r="L33429" s="13"/>
      <c r="M33429" s="14"/>
      <c r="N33429" s="14"/>
      <c r="O33429" s="14"/>
      <c r="P33429" s="13"/>
    </row>
    <row r="33430">
      <c r="L33430" s="13"/>
      <c r="M33430" s="14"/>
      <c r="N33430" s="14"/>
      <c r="O33430" s="14"/>
      <c r="P33430" s="13"/>
    </row>
    <row r="33431">
      <c r="L33431" s="13"/>
      <c r="M33431" s="14"/>
      <c r="N33431" s="14"/>
      <c r="O33431" s="14"/>
      <c r="P33431" s="13"/>
    </row>
    <row r="33432">
      <c r="L33432" s="13"/>
      <c r="M33432" s="14"/>
      <c r="N33432" s="14"/>
      <c r="O33432" s="14"/>
      <c r="P33432" s="13"/>
    </row>
    <row r="33433">
      <c r="L33433" s="13"/>
      <c r="M33433" s="14"/>
      <c r="N33433" s="14"/>
      <c r="O33433" s="14"/>
      <c r="P33433" s="13"/>
    </row>
    <row r="33434">
      <c r="L33434" s="13"/>
      <c r="M33434" s="14"/>
      <c r="N33434" s="14"/>
      <c r="O33434" s="14"/>
      <c r="P33434" s="13"/>
    </row>
    <row r="33435">
      <c r="L33435" s="13"/>
      <c r="M33435" s="14"/>
      <c r="N33435" s="14"/>
      <c r="O33435" s="14"/>
      <c r="P33435" s="13"/>
    </row>
    <row r="33436">
      <c r="L33436" s="13"/>
      <c r="M33436" s="14"/>
      <c r="N33436" s="14"/>
      <c r="O33436" s="14"/>
      <c r="P33436" s="13"/>
    </row>
    <row r="33437">
      <c r="L33437" s="13"/>
      <c r="M33437" s="14"/>
      <c r="N33437" s="14"/>
      <c r="O33437" s="14"/>
      <c r="P33437" s="13"/>
    </row>
    <row r="33438">
      <c r="L33438" s="13"/>
      <c r="M33438" s="14"/>
      <c r="N33438" s="14"/>
      <c r="O33438" s="14"/>
      <c r="P33438" s="13"/>
    </row>
    <row r="33439">
      <c r="L33439" s="13"/>
      <c r="M33439" s="14"/>
      <c r="N33439" s="14"/>
      <c r="O33439" s="14"/>
      <c r="P33439" s="13"/>
    </row>
    <row r="33440">
      <c r="L33440" s="13"/>
      <c r="M33440" s="14"/>
      <c r="N33440" s="14"/>
      <c r="O33440" s="14"/>
      <c r="P33440" s="13"/>
    </row>
    <row r="33441">
      <c r="L33441" s="13"/>
      <c r="M33441" s="14"/>
      <c r="N33441" s="14"/>
      <c r="O33441" s="14"/>
      <c r="P33441" s="13"/>
    </row>
    <row r="33442">
      <c r="L33442" s="13"/>
      <c r="M33442" s="14"/>
      <c r="N33442" s="14"/>
      <c r="O33442" s="14"/>
      <c r="P33442" s="13"/>
    </row>
    <row r="33443">
      <c r="L33443" s="13"/>
      <c r="M33443" s="14"/>
      <c r="N33443" s="14"/>
      <c r="O33443" s="14"/>
      <c r="P33443" s="13"/>
    </row>
    <row r="33444">
      <c r="L33444" s="13"/>
      <c r="M33444" s="14"/>
      <c r="N33444" s="14"/>
      <c r="O33444" s="14"/>
      <c r="P33444" s="13"/>
    </row>
    <row r="33445">
      <c r="L33445" s="13"/>
      <c r="M33445" s="14"/>
      <c r="N33445" s="14"/>
      <c r="O33445" s="14"/>
      <c r="P33445" s="13"/>
    </row>
    <row r="33446">
      <c r="L33446" s="13"/>
      <c r="M33446" s="14"/>
      <c r="N33446" s="14"/>
      <c r="O33446" s="14"/>
      <c r="P33446" s="13"/>
    </row>
    <row r="33447">
      <c r="L33447" s="13"/>
      <c r="M33447" s="14"/>
      <c r="N33447" s="14"/>
      <c r="O33447" s="14"/>
      <c r="P33447" s="13"/>
    </row>
    <row r="33448">
      <c r="L33448" s="13"/>
      <c r="M33448" s="14"/>
      <c r="N33448" s="14"/>
      <c r="O33448" s="14"/>
      <c r="P33448" s="13"/>
    </row>
    <row r="33449">
      <c r="L33449" s="13"/>
      <c r="M33449" s="14"/>
      <c r="N33449" s="14"/>
      <c r="O33449" s="14"/>
      <c r="P33449" s="13"/>
    </row>
    <row r="33450">
      <c r="L33450" s="13"/>
      <c r="M33450" s="14"/>
      <c r="N33450" s="14"/>
      <c r="O33450" s="14"/>
      <c r="P33450" s="13"/>
    </row>
    <row r="33451">
      <c r="L33451" s="13"/>
      <c r="M33451" s="14"/>
      <c r="N33451" s="14"/>
      <c r="O33451" s="14"/>
      <c r="P33451" s="13"/>
    </row>
    <row r="33452">
      <c r="L33452" s="13"/>
      <c r="M33452" s="14"/>
      <c r="N33452" s="14"/>
      <c r="O33452" s="14"/>
      <c r="P33452" s="13"/>
    </row>
    <row r="33453">
      <c r="L33453" s="13"/>
      <c r="M33453" s="14"/>
      <c r="N33453" s="14"/>
      <c r="O33453" s="14"/>
      <c r="P33453" s="13"/>
    </row>
    <row r="33454">
      <c r="L33454" s="13"/>
      <c r="M33454" s="14"/>
      <c r="N33454" s="14"/>
      <c r="O33454" s="14"/>
      <c r="P33454" s="13"/>
    </row>
    <row r="33455">
      <c r="L33455" s="13"/>
      <c r="M33455" s="14"/>
      <c r="N33455" s="14"/>
      <c r="O33455" s="14"/>
      <c r="P33455" s="13"/>
    </row>
    <row r="33456">
      <c r="L33456" s="13"/>
      <c r="M33456" s="14"/>
      <c r="N33456" s="14"/>
      <c r="O33456" s="14"/>
      <c r="P33456" s="13"/>
    </row>
    <row r="33457">
      <c r="L33457" s="13"/>
      <c r="M33457" s="14"/>
      <c r="N33457" s="14"/>
      <c r="O33457" s="14"/>
      <c r="P33457" s="13"/>
    </row>
    <row r="33458">
      <c r="L33458" s="13"/>
      <c r="M33458" s="14"/>
      <c r="N33458" s="14"/>
      <c r="O33458" s="14"/>
      <c r="P33458" s="13"/>
    </row>
    <row r="33459">
      <c r="L33459" s="13"/>
      <c r="M33459" s="14"/>
      <c r="N33459" s="14"/>
      <c r="O33459" s="14"/>
      <c r="P33459" s="13"/>
    </row>
    <row r="33460">
      <c r="L33460" s="13"/>
      <c r="M33460" s="14"/>
      <c r="N33460" s="14"/>
      <c r="O33460" s="14"/>
      <c r="P33460" s="13"/>
    </row>
    <row r="33461">
      <c r="L33461" s="13"/>
      <c r="M33461" s="14"/>
      <c r="N33461" s="14"/>
      <c r="O33461" s="14"/>
      <c r="P33461" s="13"/>
    </row>
    <row r="33462">
      <c r="L33462" s="13"/>
      <c r="M33462" s="14"/>
      <c r="N33462" s="14"/>
      <c r="O33462" s="14"/>
      <c r="P33462" s="13"/>
    </row>
    <row r="33463">
      <c r="L33463" s="13"/>
      <c r="M33463" s="14"/>
      <c r="N33463" s="14"/>
      <c r="O33463" s="14"/>
      <c r="P33463" s="13"/>
    </row>
    <row r="33464">
      <c r="L33464" s="13"/>
      <c r="M33464" s="14"/>
      <c r="N33464" s="14"/>
      <c r="O33464" s="14"/>
      <c r="P33464" s="13"/>
    </row>
    <row r="33465">
      <c r="L33465" s="13"/>
      <c r="M33465" s="14"/>
      <c r="N33465" s="14"/>
      <c r="O33465" s="14"/>
      <c r="P33465" s="13"/>
    </row>
    <row r="33466">
      <c r="L33466" s="13"/>
      <c r="M33466" s="14"/>
      <c r="N33466" s="14"/>
      <c r="O33466" s="14"/>
      <c r="P33466" s="13"/>
    </row>
    <row r="33467">
      <c r="L33467" s="13"/>
      <c r="M33467" s="14"/>
      <c r="N33467" s="14"/>
      <c r="O33467" s="14"/>
      <c r="P33467" s="13"/>
    </row>
    <row r="33468">
      <c r="L33468" s="13"/>
      <c r="M33468" s="14"/>
      <c r="N33468" s="14"/>
      <c r="O33468" s="14"/>
      <c r="P33468" s="13"/>
    </row>
    <row r="33469">
      <c r="L33469" s="13"/>
      <c r="M33469" s="14"/>
      <c r="N33469" s="14"/>
      <c r="O33469" s="14"/>
      <c r="P33469" s="13"/>
    </row>
    <row r="33470">
      <c r="L33470" s="13"/>
      <c r="M33470" s="14"/>
      <c r="N33470" s="14"/>
      <c r="O33470" s="14"/>
      <c r="P33470" s="13"/>
    </row>
    <row r="33471">
      <c r="L33471" s="13"/>
      <c r="M33471" s="14"/>
      <c r="N33471" s="14"/>
      <c r="O33471" s="14"/>
      <c r="P33471" s="13"/>
    </row>
    <row r="33472">
      <c r="L33472" s="13"/>
      <c r="M33472" s="14"/>
      <c r="N33472" s="14"/>
      <c r="O33472" s="14"/>
      <c r="P33472" s="13"/>
    </row>
    <row r="33473">
      <c r="L33473" s="13"/>
      <c r="M33473" s="14"/>
      <c r="N33473" s="14"/>
      <c r="O33473" s="14"/>
      <c r="P33473" s="13"/>
    </row>
    <row r="33474">
      <c r="L33474" s="13"/>
      <c r="M33474" s="14"/>
      <c r="N33474" s="14"/>
      <c r="O33474" s="14"/>
      <c r="P33474" s="13"/>
    </row>
    <row r="33475">
      <c r="L33475" s="13"/>
      <c r="M33475" s="14"/>
      <c r="N33475" s="14"/>
      <c r="O33475" s="14"/>
      <c r="P33475" s="13"/>
    </row>
    <row r="33476">
      <c r="L33476" s="13"/>
      <c r="M33476" s="14"/>
      <c r="N33476" s="14"/>
      <c r="O33476" s="14"/>
      <c r="P33476" s="13"/>
    </row>
    <row r="33477">
      <c r="L33477" s="13"/>
      <c r="M33477" s="14"/>
      <c r="N33477" s="14"/>
      <c r="O33477" s="14"/>
      <c r="P33477" s="13"/>
    </row>
    <row r="33478">
      <c r="L33478" s="13"/>
      <c r="M33478" s="14"/>
      <c r="N33478" s="14"/>
      <c r="O33478" s="14"/>
      <c r="P33478" s="13"/>
    </row>
    <row r="33479">
      <c r="L33479" s="13"/>
      <c r="M33479" s="14"/>
      <c r="N33479" s="14"/>
      <c r="O33479" s="14"/>
      <c r="P33479" s="13"/>
    </row>
    <row r="33480">
      <c r="L33480" s="13"/>
      <c r="M33480" s="14"/>
      <c r="N33480" s="14"/>
      <c r="O33480" s="14"/>
      <c r="P33480" s="13"/>
    </row>
    <row r="33481">
      <c r="L33481" s="13"/>
      <c r="M33481" s="14"/>
      <c r="N33481" s="14"/>
      <c r="O33481" s="14"/>
      <c r="P33481" s="13"/>
    </row>
    <row r="33482">
      <c r="L33482" s="13"/>
      <c r="M33482" s="14"/>
      <c r="N33482" s="14"/>
      <c r="O33482" s="14"/>
      <c r="P33482" s="13"/>
    </row>
    <row r="33483">
      <c r="L33483" s="13"/>
      <c r="M33483" s="14"/>
      <c r="N33483" s="14"/>
      <c r="O33483" s="14"/>
      <c r="P33483" s="13"/>
    </row>
    <row r="33484">
      <c r="L33484" s="13"/>
      <c r="M33484" s="14"/>
      <c r="N33484" s="14"/>
      <c r="O33484" s="14"/>
      <c r="P33484" s="13"/>
    </row>
    <row r="33485">
      <c r="L33485" s="13"/>
      <c r="M33485" s="14"/>
      <c r="N33485" s="14"/>
      <c r="O33485" s="14"/>
      <c r="P33485" s="13"/>
    </row>
    <row r="33486">
      <c r="L33486" s="13"/>
      <c r="M33486" s="14"/>
      <c r="N33486" s="14"/>
      <c r="O33486" s="14"/>
      <c r="P33486" s="13"/>
    </row>
    <row r="33487">
      <c r="L33487" s="13"/>
      <c r="M33487" s="14"/>
      <c r="N33487" s="14"/>
      <c r="O33487" s="14"/>
      <c r="P33487" s="13"/>
    </row>
    <row r="33488">
      <c r="L33488" s="13"/>
      <c r="M33488" s="14"/>
      <c r="N33488" s="14"/>
      <c r="O33488" s="14"/>
      <c r="P33488" s="13"/>
    </row>
    <row r="33489">
      <c r="L33489" s="13"/>
      <c r="M33489" s="14"/>
      <c r="N33489" s="14"/>
      <c r="O33489" s="14"/>
      <c r="P33489" s="13"/>
    </row>
    <row r="33490">
      <c r="L33490" s="13"/>
      <c r="M33490" s="14"/>
      <c r="N33490" s="14"/>
      <c r="O33490" s="14"/>
      <c r="P33490" s="13"/>
    </row>
    <row r="33491">
      <c r="L33491" s="13"/>
      <c r="M33491" s="14"/>
      <c r="N33491" s="14"/>
      <c r="O33491" s="14"/>
      <c r="P33491" s="13"/>
    </row>
    <row r="33492">
      <c r="L33492" s="13"/>
      <c r="M33492" s="14"/>
      <c r="N33492" s="14"/>
      <c r="O33492" s="14"/>
      <c r="P33492" s="13"/>
    </row>
    <row r="33493">
      <c r="L33493" s="13"/>
      <c r="M33493" s="14"/>
      <c r="N33493" s="14"/>
      <c r="O33493" s="14"/>
      <c r="P33493" s="13"/>
    </row>
    <row r="33494">
      <c r="L33494" s="13"/>
      <c r="M33494" s="14"/>
      <c r="N33494" s="14"/>
      <c r="O33494" s="14"/>
      <c r="P33494" s="13"/>
    </row>
    <row r="33495">
      <c r="L33495" s="13"/>
      <c r="M33495" s="14"/>
      <c r="N33495" s="14"/>
      <c r="O33495" s="14"/>
      <c r="P33495" s="13"/>
    </row>
    <row r="33496">
      <c r="L33496" s="13"/>
      <c r="M33496" s="14"/>
      <c r="N33496" s="14"/>
      <c r="O33496" s="14"/>
      <c r="P33496" s="13"/>
    </row>
    <row r="33497">
      <c r="L33497" s="13"/>
      <c r="M33497" s="14"/>
      <c r="N33497" s="14"/>
      <c r="O33497" s="14"/>
      <c r="P33497" s="13"/>
    </row>
    <row r="33498">
      <c r="L33498" s="13"/>
      <c r="M33498" s="14"/>
      <c r="N33498" s="14"/>
      <c r="O33498" s="14"/>
      <c r="P33498" s="13"/>
    </row>
    <row r="33499">
      <c r="L33499" s="13"/>
      <c r="M33499" s="14"/>
      <c r="N33499" s="14"/>
      <c r="O33499" s="14"/>
      <c r="P33499" s="13"/>
    </row>
    <row r="33500">
      <c r="L33500" s="13"/>
      <c r="M33500" s="14"/>
      <c r="N33500" s="14"/>
      <c r="O33500" s="14"/>
      <c r="P33500" s="13"/>
    </row>
    <row r="33501">
      <c r="L33501" s="13"/>
      <c r="M33501" s="14"/>
      <c r="N33501" s="14"/>
      <c r="O33501" s="14"/>
      <c r="P33501" s="13"/>
    </row>
    <row r="33502">
      <c r="L33502" s="13"/>
      <c r="M33502" s="14"/>
      <c r="N33502" s="14"/>
      <c r="O33502" s="14"/>
      <c r="P33502" s="13"/>
    </row>
    <row r="33503">
      <c r="L33503" s="13"/>
      <c r="M33503" s="14"/>
      <c r="N33503" s="14"/>
      <c r="O33503" s="14"/>
      <c r="P33503" s="13"/>
    </row>
    <row r="33504">
      <c r="L33504" s="13"/>
      <c r="M33504" s="14"/>
      <c r="N33504" s="14"/>
      <c r="O33504" s="14"/>
      <c r="P33504" s="13"/>
    </row>
    <row r="33505">
      <c r="L33505" s="13"/>
      <c r="M33505" s="14"/>
      <c r="N33505" s="14"/>
      <c r="O33505" s="14"/>
      <c r="P33505" s="13"/>
    </row>
    <row r="33506">
      <c r="L33506" s="13"/>
      <c r="M33506" s="14"/>
      <c r="N33506" s="14"/>
      <c r="O33506" s="14"/>
      <c r="P33506" s="13"/>
    </row>
    <row r="33507">
      <c r="L33507" s="13"/>
      <c r="M33507" s="14"/>
      <c r="N33507" s="14"/>
      <c r="O33507" s="14"/>
      <c r="P33507" s="13"/>
    </row>
    <row r="33508">
      <c r="L33508" s="13"/>
      <c r="M33508" s="14"/>
      <c r="N33508" s="14"/>
      <c r="O33508" s="14"/>
      <c r="P33508" s="13"/>
    </row>
    <row r="33509">
      <c r="L33509" s="13"/>
      <c r="M33509" s="14"/>
      <c r="N33509" s="14"/>
      <c r="O33509" s="14"/>
      <c r="P33509" s="13"/>
    </row>
    <row r="33510">
      <c r="L33510" s="13"/>
      <c r="M33510" s="14"/>
      <c r="N33510" s="14"/>
      <c r="O33510" s="14"/>
      <c r="P33510" s="13"/>
    </row>
    <row r="33511">
      <c r="L33511" s="13"/>
      <c r="M33511" s="14"/>
      <c r="N33511" s="14"/>
      <c r="O33511" s="14"/>
      <c r="P33511" s="13"/>
    </row>
    <row r="33512">
      <c r="L33512" s="13"/>
      <c r="M33512" s="14"/>
      <c r="N33512" s="14"/>
      <c r="O33512" s="14"/>
      <c r="P33512" s="13"/>
    </row>
    <row r="33513">
      <c r="L33513" s="13"/>
      <c r="M33513" s="14"/>
      <c r="N33513" s="14"/>
      <c r="O33513" s="14"/>
      <c r="P33513" s="13"/>
    </row>
    <row r="33514">
      <c r="L33514" s="13"/>
      <c r="M33514" s="14"/>
      <c r="N33514" s="14"/>
      <c r="O33514" s="14"/>
      <c r="P33514" s="13"/>
    </row>
    <row r="33515">
      <c r="L33515" s="13"/>
      <c r="M33515" s="14"/>
      <c r="N33515" s="14"/>
      <c r="O33515" s="14"/>
      <c r="P33515" s="13"/>
    </row>
    <row r="33516">
      <c r="L33516" s="13"/>
      <c r="M33516" s="14"/>
      <c r="N33516" s="14"/>
      <c r="O33516" s="14"/>
      <c r="P33516" s="13"/>
    </row>
    <row r="33517">
      <c r="L33517" s="13"/>
      <c r="M33517" s="14"/>
      <c r="N33517" s="14"/>
      <c r="O33517" s="14"/>
      <c r="P33517" s="13"/>
    </row>
    <row r="33518">
      <c r="L33518" s="13"/>
      <c r="M33518" s="14"/>
      <c r="N33518" s="14"/>
      <c r="O33518" s="14"/>
      <c r="P33518" s="13"/>
    </row>
    <row r="33519">
      <c r="L33519" s="13"/>
      <c r="M33519" s="14"/>
      <c r="N33519" s="14"/>
      <c r="O33519" s="14"/>
      <c r="P33519" s="13"/>
    </row>
    <row r="33520">
      <c r="L33520" s="13"/>
      <c r="M33520" s="14"/>
      <c r="N33520" s="14"/>
      <c r="O33520" s="14"/>
      <c r="P33520" s="13"/>
    </row>
    <row r="33521">
      <c r="L33521" s="13"/>
      <c r="M33521" s="14"/>
      <c r="N33521" s="14"/>
      <c r="O33521" s="14"/>
      <c r="P33521" s="13"/>
    </row>
    <row r="33522">
      <c r="L33522" s="13"/>
      <c r="M33522" s="14"/>
      <c r="N33522" s="14"/>
      <c r="O33522" s="14"/>
      <c r="P33522" s="13"/>
    </row>
    <row r="33523">
      <c r="L33523" s="13"/>
      <c r="M33523" s="14"/>
      <c r="N33523" s="14"/>
      <c r="O33523" s="14"/>
      <c r="P33523" s="13"/>
    </row>
    <row r="33524">
      <c r="L33524" s="13"/>
      <c r="M33524" s="14"/>
      <c r="N33524" s="14"/>
      <c r="O33524" s="14"/>
      <c r="P33524" s="13"/>
    </row>
    <row r="33525">
      <c r="L33525" s="13"/>
      <c r="M33525" s="14"/>
      <c r="N33525" s="14"/>
      <c r="O33525" s="14"/>
      <c r="P33525" s="13"/>
    </row>
    <row r="33526">
      <c r="L33526" s="13"/>
      <c r="M33526" s="14"/>
      <c r="N33526" s="14"/>
      <c r="O33526" s="14"/>
      <c r="P33526" s="13"/>
    </row>
    <row r="33527">
      <c r="L33527" s="13"/>
      <c r="M33527" s="14"/>
      <c r="N33527" s="14"/>
      <c r="O33527" s="14"/>
      <c r="P33527" s="13"/>
    </row>
    <row r="33528">
      <c r="L33528" s="13"/>
      <c r="M33528" s="14"/>
      <c r="N33528" s="14"/>
      <c r="O33528" s="14"/>
      <c r="P33528" s="13"/>
    </row>
    <row r="33529">
      <c r="L33529" s="13"/>
      <c r="M33529" s="14"/>
      <c r="N33529" s="14"/>
      <c r="O33529" s="14"/>
      <c r="P33529" s="13"/>
    </row>
    <row r="33530">
      <c r="L33530" s="13"/>
      <c r="M33530" s="14"/>
      <c r="N33530" s="14"/>
      <c r="O33530" s="14"/>
      <c r="P33530" s="13"/>
    </row>
    <row r="33531">
      <c r="L33531" s="13"/>
      <c r="M33531" s="14"/>
      <c r="N33531" s="14"/>
      <c r="O33531" s="14"/>
      <c r="P33531" s="13"/>
    </row>
    <row r="33532">
      <c r="L33532" s="13"/>
      <c r="M33532" s="14"/>
      <c r="N33532" s="14"/>
      <c r="O33532" s="14"/>
      <c r="P33532" s="13"/>
    </row>
    <row r="33533">
      <c r="L33533" s="13"/>
      <c r="M33533" s="14"/>
      <c r="N33533" s="14"/>
      <c r="O33533" s="14"/>
      <c r="P33533" s="13"/>
    </row>
    <row r="33534">
      <c r="L33534" s="13"/>
      <c r="M33534" s="14"/>
      <c r="N33534" s="14"/>
      <c r="O33534" s="14"/>
      <c r="P33534" s="13"/>
    </row>
    <row r="33535">
      <c r="L33535" s="13"/>
      <c r="M33535" s="14"/>
      <c r="N33535" s="14"/>
      <c r="O33535" s="14"/>
      <c r="P33535" s="13"/>
    </row>
    <row r="33536">
      <c r="L33536" s="13"/>
      <c r="M33536" s="14"/>
      <c r="N33536" s="14"/>
      <c r="O33536" s="14"/>
      <c r="P33536" s="13"/>
    </row>
    <row r="33537">
      <c r="L33537" s="13"/>
      <c r="M33537" s="14"/>
      <c r="N33537" s="14"/>
      <c r="O33537" s="14"/>
      <c r="P33537" s="13"/>
    </row>
    <row r="33538">
      <c r="L33538" s="13"/>
      <c r="M33538" s="14"/>
      <c r="N33538" s="14"/>
      <c r="O33538" s="14"/>
      <c r="P33538" s="13"/>
    </row>
    <row r="33539">
      <c r="L33539" s="13"/>
      <c r="M33539" s="14"/>
      <c r="N33539" s="14"/>
      <c r="O33539" s="14"/>
      <c r="P33539" s="13"/>
    </row>
    <row r="33540">
      <c r="L33540" s="13"/>
      <c r="M33540" s="14"/>
      <c r="N33540" s="14"/>
      <c r="O33540" s="14"/>
      <c r="P33540" s="13"/>
    </row>
    <row r="33541">
      <c r="L33541" s="13"/>
      <c r="M33541" s="14"/>
      <c r="N33541" s="14"/>
      <c r="O33541" s="14"/>
      <c r="P33541" s="13"/>
    </row>
    <row r="33542">
      <c r="L33542" s="13"/>
      <c r="M33542" s="14"/>
      <c r="N33542" s="14"/>
      <c r="O33542" s="14"/>
      <c r="P33542" s="13"/>
    </row>
    <row r="33543">
      <c r="L33543" s="13"/>
      <c r="M33543" s="14"/>
      <c r="N33543" s="14"/>
      <c r="O33543" s="14"/>
      <c r="P33543" s="13"/>
    </row>
    <row r="33544">
      <c r="L33544" s="13"/>
      <c r="M33544" s="14"/>
      <c r="N33544" s="14"/>
      <c r="O33544" s="14"/>
      <c r="P33544" s="13"/>
    </row>
    <row r="33545">
      <c r="L33545" s="13"/>
      <c r="M33545" s="14"/>
      <c r="N33545" s="14"/>
      <c r="O33545" s="14"/>
      <c r="P33545" s="13"/>
    </row>
    <row r="33546">
      <c r="L33546" s="13"/>
      <c r="M33546" s="14"/>
      <c r="N33546" s="14"/>
      <c r="O33546" s="14"/>
      <c r="P33546" s="13"/>
    </row>
    <row r="33547">
      <c r="L33547" s="13"/>
      <c r="M33547" s="14"/>
      <c r="N33547" s="14"/>
      <c r="O33547" s="14"/>
      <c r="P33547" s="13"/>
    </row>
    <row r="33548">
      <c r="L33548" s="13"/>
      <c r="M33548" s="14"/>
      <c r="N33548" s="14"/>
      <c r="O33548" s="14"/>
      <c r="P33548" s="13"/>
    </row>
    <row r="33549">
      <c r="L33549" s="13"/>
      <c r="M33549" s="14"/>
      <c r="N33549" s="14"/>
      <c r="O33549" s="14"/>
      <c r="P33549" s="13"/>
    </row>
    <row r="33550">
      <c r="L33550" s="13"/>
      <c r="M33550" s="14"/>
      <c r="N33550" s="14"/>
      <c r="O33550" s="14"/>
      <c r="P33550" s="13"/>
    </row>
    <row r="33551">
      <c r="L33551" s="13"/>
      <c r="M33551" s="14"/>
      <c r="N33551" s="14"/>
      <c r="O33551" s="14"/>
      <c r="P33551" s="13"/>
    </row>
    <row r="33552">
      <c r="L33552" s="13"/>
      <c r="M33552" s="14"/>
      <c r="N33552" s="14"/>
      <c r="O33552" s="14"/>
      <c r="P33552" s="13"/>
    </row>
    <row r="33553">
      <c r="L33553" s="13"/>
      <c r="M33553" s="14"/>
      <c r="N33553" s="14"/>
      <c r="O33553" s="14"/>
      <c r="P33553" s="13"/>
    </row>
    <row r="33554">
      <c r="L33554" s="13"/>
      <c r="M33554" s="14"/>
      <c r="N33554" s="14"/>
      <c r="O33554" s="14"/>
      <c r="P33554" s="13"/>
    </row>
    <row r="33555">
      <c r="L33555" s="13"/>
      <c r="M33555" s="14"/>
      <c r="N33555" s="14"/>
      <c r="O33555" s="14"/>
      <c r="P33555" s="13"/>
    </row>
    <row r="33556">
      <c r="L33556" s="13"/>
      <c r="M33556" s="14"/>
      <c r="N33556" s="14"/>
      <c r="O33556" s="14"/>
      <c r="P33556" s="13"/>
    </row>
    <row r="33557">
      <c r="L33557" s="13"/>
      <c r="M33557" s="14"/>
      <c r="N33557" s="14"/>
      <c r="O33557" s="14"/>
      <c r="P33557" s="13"/>
    </row>
    <row r="33558">
      <c r="L33558" s="13"/>
      <c r="M33558" s="14"/>
      <c r="N33558" s="14"/>
      <c r="O33558" s="14"/>
      <c r="P33558" s="13"/>
    </row>
    <row r="33559">
      <c r="L33559" s="13"/>
      <c r="M33559" s="14"/>
      <c r="N33559" s="14"/>
      <c r="O33559" s="14"/>
      <c r="P33559" s="13"/>
    </row>
    <row r="33560">
      <c r="L33560" s="13"/>
      <c r="M33560" s="14"/>
      <c r="N33560" s="14"/>
      <c r="O33560" s="14"/>
      <c r="P33560" s="13"/>
    </row>
    <row r="33561">
      <c r="L33561" s="13"/>
      <c r="M33561" s="14"/>
      <c r="N33561" s="14"/>
      <c r="O33561" s="14"/>
      <c r="P33561" s="13"/>
    </row>
    <row r="33562">
      <c r="L33562" s="13"/>
      <c r="M33562" s="14"/>
      <c r="N33562" s="14"/>
      <c r="O33562" s="14"/>
      <c r="P33562" s="13"/>
    </row>
    <row r="33563">
      <c r="L33563" s="13"/>
      <c r="M33563" s="14"/>
      <c r="N33563" s="14"/>
      <c r="O33563" s="14"/>
      <c r="P33563" s="13"/>
    </row>
    <row r="33564">
      <c r="L33564" s="13"/>
      <c r="M33564" s="14"/>
      <c r="N33564" s="14"/>
      <c r="O33564" s="14"/>
      <c r="P33564" s="13"/>
    </row>
    <row r="33565">
      <c r="L33565" s="13"/>
      <c r="M33565" s="14"/>
      <c r="N33565" s="14"/>
      <c r="O33565" s="14"/>
      <c r="P33565" s="13"/>
    </row>
    <row r="33566">
      <c r="L33566" s="13"/>
      <c r="M33566" s="14"/>
      <c r="N33566" s="14"/>
      <c r="O33566" s="14"/>
      <c r="P33566" s="13"/>
    </row>
    <row r="33567">
      <c r="L33567" s="13"/>
      <c r="M33567" s="14"/>
      <c r="N33567" s="14"/>
      <c r="O33567" s="14"/>
      <c r="P33567" s="13"/>
    </row>
    <row r="33568">
      <c r="L33568" s="13"/>
      <c r="M33568" s="14"/>
      <c r="N33568" s="14"/>
      <c r="O33568" s="14"/>
      <c r="P33568" s="13"/>
    </row>
    <row r="33569">
      <c r="L33569" s="13"/>
      <c r="M33569" s="14"/>
      <c r="N33569" s="14"/>
      <c r="O33569" s="14"/>
      <c r="P33569" s="13"/>
    </row>
    <row r="33570">
      <c r="L33570" s="13"/>
      <c r="M33570" s="14"/>
      <c r="N33570" s="14"/>
      <c r="O33570" s="14"/>
      <c r="P33570" s="13"/>
    </row>
    <row r="33571">
      <c r="L33571" s="13"/>
      <c r="M33571" s="14"/>
      <c r="N33571" s="14"/>
      <c r="O33571" s="14"/>
      <c r="P33571" s="13"/>
    </row>
    <row r="33572">
      <c r="L33572" s="13"/>
      <c r="M33572" s="14"/>
      <c r="N33572" s="14"/>
      <c r="O33572" s="14"/>
      <c r="P33572" s="13"/>
    </row>
    <row r="33573">
      <c r="L33573" s="13"/>
      <c r="M33573" s="14"/>
      <c r="N33573" s="14"/>
      <c r="O33573" s="14"/>
      <c r="P33573" s="13"/>
    </row>
    <row r="33574">
      <c r="L33574" s="13"/>
      <c r="M33574" s="14"/>
      <c r="N33574" s="14"/>
      <c r="O33574" s="14"/>
      <c r="P33574" s="13"/>
    </row>
    <row r="33575">
      <c r="L33575" s="13"/>
      <c r="M33575" s="14"/>
      <c r="N33575" s="14"/>
      <c r="O33575" s="14"/>
      <c r="P33575" s="13"/>
    </row>
    <row r="33576">
      <c r="L33576" s="13"/>
      <c r="M33576" s="14"/>
      <c r="N33576" s="14"/>
      <c r="O33576" s="14"/>
      <c r="P33576" s="13"/>
    </row>
    <row r="33577">
      <c r="L33577" s="13"/>
      <c r="M33577" s="14"/>
      <c r="N33577" s="14"/>
      <c r="O33577" s="14"/>
      <c r="P33577" s="13"/>
    </row>
    <row r="33578">
      <c r="L33578" s="13"/>
      <c r="M33578" s="14"/>
      <c r="N33578" s="14"/>
      <c r="O33578" s="14"/>
      <c r="P33578" s="13"/>
    </row>
    <row r="33579">
      <c r="L33579" s="13"/>
      <c r="M33579" s="14"/>
      <c r="N33579" s="14"/>
      <c r="O33579" s="14"/>
      <c r="P33579" s="13"/>
    </row>
    <row r="33580">
      <c r="L33580" s="13"/>
      <c r="M33580" s="14"/>
      <c r="N33580" s="14"/>
      <c r="O33580" s="14"/>
      <c r="P33580" s="13"/>
    </row>
    <row r="33581">
      <c r="L33581" s="13"/>
      <c r="M33581" s="14"/>
      <c r="N33581" s="14"/>
      <c r="O33581" s="14"/>
      <c r="P33581" s="13"/>
    </row>
    <row r="33582">
      <c r="L33582" s="13"/>
      <c r="M33582" s="14"/>
      <c r="N33582" s="14"/>
      <c r="O33582" s="14"/>
      <c r="P33582" s="13"/>
    </row>
    <row r="33583">
      <c r="L33583" s="13"/>
      <c r="M33583" s="14"/>
      <c r="N33583" s="14"/>
      <c r="O33583" s="14"/>
      <c r="P33583" s="13"/>
    </row>
    <row r="33584">
      <c r="L33584" s="13"/>
      <c r="M33584" s="14"/>
      <c r="N33584" s="14"/>
      <c r="O33584" s="14"/>
      <c r="P33584" s="13"/>
    </row>
    <row r="33585">
      <c r="L33585" s="13"/>
      <c r="M33585" s="14"/>
      <c r="N33585" s="14"/>
      <c r="O33585" s="14"/>
      <c r="P33585" s="13"/>
    </row>
    <row r="33586">
      <c r="L33586" s="13"/>
      <c r="M33586" s="14"/>
      <c r="N33586" s="14"/>
      <c r="O33586" s="14"/>
      <c r="P33586" s="13"/>
    </row>
    <row r="33587">
      <c r="L33587" s="13"/>
      <c r="M33587" s="14"/>
      <c r="N33587" s="14"/>
      <c r="O33587" s="14"/>
      <c r="P33587" s="13"/>
    </row>
    <row r="33588">
      <c r="L33588" s="13"/>
      <c r="M33588" s="14"/>
      <c r="N33588" s="14"/>
      <c r="O33588" s="14"/>
      <c r="P33588" s="13"/>
    </row>
    <row r="33589">
      <c r="L33589" s="13"/>
      <c r="M33589" s="14"/>
      <c r="N33589" s="14"/>
      <c r="O33589" s="14"/>
      <c r="P33589" s="13"/>
    </row>
    <row r="33590">
      <c r="L33590" s="13"/>
      <c r="M33590" s="14"/>
      <c r="N33590" s="14"/>
      <c r="O33590" s="14"/>
      <c r="P33590" s="13"/>
    </row>
    <row r="33591">
      <c r="L33591" s="13"/>
      <c r="M33591" s="14"/>
      <c r="N33591" s="14"/>
      <c r="O33591" s="14"/>
      <c r="P33591" s="13"/>
    </row>
    <row r="33592">
      <c r="L33592" s="13"/>
      <c r="M33592" s="14"/>
      <c r="N33592" s="14"/>
      <c r="O33592" s="14"/>
      <c r="P33592" s="13"/>
    </row>
    <row r="33593">
      <c r="L33593" s="13"/>
      <c r="M33593" s="14"/>
      <c r="N33593" s="14"/>
      <c r="O33593" s="14"/>
      <c r="P33593" s="13"/>
    </row>
    <row r="33594">
      <c r="L33594" s="13"/>
      <c r="M33594" s="14"/>
      <c r="N33594" s="14"/>
      <c r="O33594" s="14"/>
      <c r="P33594" s="13"/>
    </row>
    <row r="33595">
      <c r="L33595" s="13"/>
      <c r="M33595" s="14"/>
      <c r="N33595" s="14"/>
      <c r="O33595" s="14"/>
      <c r="P33595" s="13"/>
    </row>
    <row r="33596">
      <c r="L33596" s="13"/>
      <c r="M33596" s="14"/>
      <c r="N33596" s="14"/>
      <c r="O33596" s="14"/>
      <c r="P33596" s="13"/>
    </row>
    <row r="33597">
      <c r="L33597" s="13"/>
      <c r="M33597" s="14"/>
      <c r="N33597" s="14"/>
      <c r="O33597" s="14"/>
      <c r="P33597" s="13"/>
    </row>
    <row r="33598">
      <c r="L33598" s="13"/>
      <c r="M33598" s="14"/>
      <c r="N33598" s="14"/>
      <c r="O33598" s="14"/>
      <c r="P33598" s="13"/>
    </row>
    <row r="33599">
      <c r="L33599" s="13"/>
      <c r="M33599" s="14"/>
      <c r="N33599" s="14"/>
      <c r="O33599" s="14"/>
      <c r="P33599" s="13"/>
    </row>
    <row r="33600">
      <c r="L33600" s="13"/>
      <c r="M33600" s="14"/>
      <c r="N33600" s="14"/>
      <c r="O33600" s="14"/>
      <c r="P33600" s="13"/>
    </row>
    <row r="33601">
      <c r="L33601" s="13"/>
      <c r="M33601" s="14"/>
      <c r="N33601" s="14"/>
      <c r="O33601" s="14"/>
      <c r="P33601" s="13"/>
    </row>
    <row r="33602">
      <c r="L33602" s="13"/>
      <c r="M33602" s="14"/>
      <c r="N33602" s="14"/>
      <c r="O33602" s="14"/>
      <c r="P33602" s="13"/>
    </row>
    <row r="33603">
      <c r="L33603" s="13"/>
      <c r="M33603" s="14"/>
      <c r="N33603" s="14"/>
      <c r="O33603" s="14"/>
      <c r="P33603" s="13"/>
    </row>
    <row r="33604">
      <c r="L33604" s="13"/>
      <c r="M33604" s="14"/>
      <c r="N33604" s="14"/>
      <c r="O33604" s="14"/>
      <c r="P33604" s="13"/>
    </row>
    <row r="33605">
      <c r="L33605" s="13"/>
      <c r="M33605" s="14"/>
      <c r="N33605" s="14"/>
      <c r="O33605" s="14"/>
      <c r="P33605" s="13"/>
    </row>
    <row r="33606">
      <c r="L33606" s="13"/>
      <c r="M33606" s="14"/>
      <c r="N33606" s="14"/>
      <c r="O33606" s="14"/>
      <c r="P33606" s="13"/>
    </row>
    <row r="33607">
      <c r="L33607" s="13"/>
      <c r="M33607" s="14"/>
      <c r="N33607" s="14"/>
      <c r="O33607" s="14"/>
      <c r="P33607" s="13"/>
    </row>
    <row r="33608">
      <c r="L33608" s="13"/>
      <c r="M33608" s="14"/>
      <c r="N33608" s="14"/>
      <c r="O33608" s="14"/>
      <c r="P33608" s="13"/>
    </row>
    <row r="33609">
      <c r="L33609" s="13"/>
      <c r="M33609" s="14"/>
      <c r="N33609" s="14"/>
      <c r="O33609" s="14"/>
      <c r="P33609" s="13"/>
    </row>
    <row r="33610">
      <c r="L33610" s="13"/>
      <c r="M33610" s="14"/>
      <c r="N33610" s="14"/>
      <c r="O33610" s="14"/>
      <c r="P33610" s="13"/>
    </row>
    <row r="33611">
      <c r="L33611" s="13"/>
      <c r="M33611" s="14"/>
      <c r="N33611" s="14"/>
      <c r="O33611" s="14"/>
      <c r="P33611" s="13"/>
    </row>
    <row r="33612">
      <c r="L33612" s="13"/>
      <c r="M33612" s="14"/>
      <c r="N33612" s="14"/>
      <c r="O33612" s="14"/>
      <c r="P33612" s="13"/>
    </row>
    <row r="33613">
      <c r="L33613" s="13"/>
      <c r="M33613" s="14"/>
      <c r="N33613" s="14"/>
      <c r="O33613" s="14"/>
      <c r="P33613" s="13"/>
    </row>
    <row r="33614">
      <c r="L33614" s="13"/>
      <c r="M33614" s="14"/>
      <c r="N33614" s="14"/>
      <c r="O33614" s="14"/>
      <c r="P33614" s="13"/>
    </row>
    <row r="33615">
      <c r="L33615" s="13"/>
      <c r="M33615" s="14"/>
      <c r="N33615" s="14"/>
      <c r="O33615" s="14"/>
      <c r="P33615" s="13"/>
    </row>
    <row r="33616">
      <c r="L33616" s="13"/>
      <c r="M33616" s="14"/>
      <c r="N33616" s="14"/>
      <c r="O33616" s="14"/>
      <c r="P33616" s="13"/>
    </row>
    <row r="33617">
      <c r="L33617" s="13"/>
      <c r="M33617" s="14"/>
      <c r="N33617" s="14"/>
      <c r="O33617" s="14"/>
      <c r="P33617" s="13"/>
    </row>
    <row r="33618">
      <c r="L33618" s="13"/>
      <c r="M33618" s="14"/>
      <c r="N33618" s="14"/>
      <c r="O33618" s="14"/>
      <c r="P33618" s="13"/>
    </row>
    <row r="33619">
      <c r="L33619" s="13"/>
      <c r="M33619" s="14"/>
      <c r="N33619" s="14"/>
      <c r="O33619" s="14"/>
      <c r="P33619" s="13"/>
    </row>
    <row r="33620">
      <c r="L33620" s="13"/>
      <c r="M33620" s="14"/>
      <c r="N33620" s="14"/>
      <c r="O33620" s="14"/>
      <c r="P33620" s="13"/>
    </row>
    <row r="33621">
      <c r="L33621" s="13"/>
      <c r="M33621" s="14"/>
      <c r="N33621" s="14"/>
      <c r="O33621" s="14"/>
      <c r="P33621" s="13"/>
    </row>
    <row r="33622">
      <c r="L33622" s="13"/>
      <c r="M33622" s="14"/>
      <c r="N33622" s="14"/>
      <c r="O33622" s="14"/>
      <c r="P33622" s="13"/>
    </row>
    <row r="33623">
      <c r="L33623" s="13"/>
      <c r="M33623" s="14"/>
      <c r="N33623" s="14"/>
      <c r="O33623" s="14"/>
      <c r="P33623" s="13"/>
    </row>
    <row r="33624">
      <c r="L33624" s="13"/>
      <c r="M33624" s="14"/>
      <c r="N33624" s="14"/>
      <c r="O33624" s="14"/>
      <c r="P33624" s="13"/>
    </row>
    <row r="33625">
      <c r="L33625" s="13"/>
      <c r="M33625" s="14"/>
      <c r="N33625" s="14"/>
      <c r="O33625" s="14"/>
      <c r="P33625" s="13"/>
    </row>
    <row r="33626">
      <c r="L33626" s="13"/>
      <c r="M33626" s="14"/>
      <c r="N33626" s="14"/>
      <c r="O33626" s="14"/>
      <c r="P33626" s="13"/>
    </row>
    <row r="33627">
      <c r="L33627" s="13"/>
      <c r="M33627" s="14"/>
      <c r="N33627" s="14"/>
      <c r="O33627" s="14"/>
      <c r="P33627" s="13"/>
    </row>
    <row r="33628">
      <c r="L33628" s="13"/>
      <c r="M33628" s="14"/>
      <c r="N33628" s="14"/>
      <c r="O33628" s="14"/>
      <c r="P33628" s="13"/>
    </row>
    <row r="33629">
      <c r="L33629" s="13"/>
      <c r="M33629" s="14"/>
      <c r="N33629" s="14"/>
      <c r="O33629" s="14"/>
      <c r="P33629" s="13"/>
    </row>
    <row r="33630">
      <c r="L33630" s="13"/>
      <c r="M33630" s="14"/>
      <c r="N33630" s="14"/>
      <c r="O33630" s="14"/>
      <c r="P33630" s="13"/>
    </row>
    <row r="33631">
      <c r="L33631" s="13"/>
      <c r="M33631" s="14"/>
      <c r="N33631" s="14"/>
      <c r="O33631" s="14"/>
      <c r="P33631" s="13"/>
    </row>
    <row r="33632">
      <c r="L33632" s="13"/>
      <c r="M33632" s="14"/>
      <c r="N33632" s="14"/>
      <c r="O33632" s="14"/>
      <c r="P33632" s="13"/>
    </row>
    <row r="33633">
      <c r="L33633" s="13"/>
      <c r="M33633" s="14"/>
      <c r="N33633" s="14"/>
      <c r="O33633" s="14"/>
      <c r="P33633" s="13"/>
    </row>
    <row r="33634">
      <c r="L33634" s="13"/>
      <c r="M33634" s="14"/>
      <c r="N33634" s="14"/>
      <c r="O33634" s="14"/>
      <c r="P33634" s="13"/>
    </row>
    <row r="33635">
      <c r="L33635" s="13"/>
      <c r="M33635" s="14"/>
      <c r="N33635" s="14"/>
      <c r="O33635" s="14"/>
      <c r="P33635" s="13"/>
    </row>
    <row r="33636">
      <c r="L33636" s="13"/>
      <c r="M33636" s="14"/>
      <c r="N33636" s="14"/>
      <c r="O33636" s="14"/>
      <c r="P33636" s="13"/>
    </row>
    <row r="33637">
      <c r="L33637" s="13"/>
      <c r="M33637" s="14"/>
      <c r="N33637" s="14"/>
      <c r="O33637" s="14"/>
      <c r="P33637" s="13"/>
    </row>
    <row r="33638">
      <c r="L33638" s="13"/>
      <c r="M33638" s="14"/>
      <c r="N33638" s="14"/>
      <c r="O33638" s="14"/>
      <c r="P33638" s="13"/>
    </row>
    <row r="33639">
      <c r="L33639" s="13"/>
      <c r="M33639" s="14"/>
      <c r="N33639" s="14"/>
      <c r="O33639" s="14"/>
      <c r="P33639" s="13"/>
    </row>
    <row r="33640">
      <c r="L33640" s="13"/>
      <c r="M33640" s="14"/>
      <c r="N33640" s="14"/>
      <c r="O33640" s="14"/>
      <c r="P33640" s="13"/>
    </row>
    <row r="33641">
      <c r="L33641" s="13"/>
      <c r="M33641" s="14"/>
      <c r="N33641" s="14"/>
      <c r="O33641" s="14"/>
      <c r="P33641" s="13"/>
    </row>
    <row r="33642">
      <c r="L33642" s="13"/>
      <c r="M33642" s="14"/>
      <c r="N33642" s="14"/>
      <c r="O33642" s="14"/>
      <c r="P33642" s="13"/>
    </row>
    <row r="33643">
      <c r="L33643" s="13"/>
      <c r="M33643" s="14"/>
      <c r="N33643" s="14"/>
      <c r="O33643" s="14"/>
      <c r="P33643" s="13"/>
    </row>
    <row r="33644">
      <c r="L33644" s="13"/>
      <c r="M33644" s="14"/>
      <c r="N33644" s="14"/>
      <c r="O33644" s="14"/>
      <c r="P33644" s="13"/>
    </row>
    <row r="33645">
      <c r="L33645" s="13"/>
      <c r="M33645" s="14"/>
      <c r="N33645" s="14"/>
      <c r="O33645" s="14"/>
      <c r="P33645" s="13"/>
    </row>
    <row r="33646">
      <c r="L33646" s="13"/>
      <c r="M33646" s="14"/>
      <c r="N33646" s="14"/>
      <c r="O33646" s="14"/>
      <c r="P33646" s="13"/>
    </row>
    <row r="33647">
      <c r="L33647" s="13"/>
      <c r="M33647" s="14"/>
      <c r="N33647" s="14"/>
      <c r="O33647" s="14"/>
      <c r="P33647" s="13"/>
    </row>
    <row r="33648">
      <c r="L33648" s="13"/>
      <c r="M33648" s="14"/>
      <c r="N33648" s="14"/>
      <c r="O33648" s="14"/>
      <c r="P33648" s="13"/>
    </row>
    <row r="33649">
      <c r="L33649" s="13"/>
      <c r="M33649" s="14"/>
      <c r="N33649" s="14"/>
      <c r="O33649" s="14"/>
      <c r="P33649" s="13"/>
    </row>
    <row r="33650">
      <c r="L33650" s="13"/>
      <c r="M33650" s="14"/>
      <c r="N33650" s="14"/>
      <c r="O33650" s="14"/>
      <c r="P33650" s="13"/>
    </row>
    <row r="33651">
      <c r="L33651" s="13"/>
      <c r="M33651" s="14"/>
      <c r="N33651" s="14"/>
      <c r="O33651" s="14"/>
      <c r="P33651" s="13"/>
    </row>
    <row r="33652">
      <c r="L33652" s="13"/>
      <c r="M33652" s="14"/>
      <c r="N33652" s="14"/>
      <c r="O33652" s="14"/>
      <c r="P33652" s="13"/>
    </row>
    <row r="33653">
      <c r="L33653" s="13"/>
      <c r="M33653" s="14"/>
      <c r="N33653" s="14"/>
      <c r="O33653" s="14"/>
      <c r="P33653" s="13"/>
    </row>
    <row r="33654">
      <c r="L33654" s="13"/>
      <c r="M33654" s="14"/>
      <c r="N33654" s="14"/>
      <c r="O33654" s="14"/>
      <c r="P33654" s="13"/>
    </row>
    <row r="33655">
      <c r="L33655" s="13"/>
      <c r="M33655" s="14"/>
      <c r="N33655" s="14"/>
      <c r="O33655" s="14"/>
      <c r="P33655" s="13"/>
    </row>
    <row r="33656">
      <c r="L33656" s="13"/>
      <c r="M33656" s="14"/>
      <c r="N33656" s="14"/>
      <c r="O33656" s="14"/>
      <c r="P33656" s="13"/>
    </row>
    <row r="33657">
      <c r="L33657" s="13"/>
      <c r="M33657" s="14"/>
      <c r="N33657" s="14"/>
      <c r="O33657" s="14"/>
      <c r="P33657" s="13"/>
    </row>
    <row r="33658">
      <c r="L33658" s="13"/>
      <c r="M33658" s="14"/>
      <c r="N33658" s="14"/>
      <c r="O33658" s="14"/>
      <c r="P33658" s="13"/>
    </row>
    <row r="33659">
      <c r="L33659" s="13"/>
      <c r="M33659" s="14"/>
      <c r="N33659" s="14"/>
      <c r="O33659" s="14"/>
      <c r="P33659" s="13"/>
    </row>
    <row r="33660">
      <c r="L33660" s="13"/>
      <c r="M33660" s="14"/>
      <c r="N33660" s="14"/>
      <c r="O33660" s="14"/>
      <c r="P33660" s="13"/>
    </row>
    <row r="33661">
      <c r="L33661" s="13"/>
      <c r="M33661" s="14"/>
      <c r="N33661" s="14"/>
      <c r="O33661" s="14"/>
      <c r="P33661" s="13"/>
    </row>
    <row r="33662">
      <c r="L33662" s="13"/>
      <c r="M33662" s="14"/>
      <c r="N33662" s="14"/>
      <c r="O33662" s="14"/>
      <c r="P33662" s="13"/>
    </row>
    <row r="33663">
      <c r="L33663" s="13"/>
      <c r="M33663" s="14"/>
      <c r="N33663" s="14"/>
      <c r="O33663" s="14"/>
      <c r="P33663" s="13"/>
    </row>
    <row r="33664">
      <c r="L33664" s="13"/>
      <c r="M33664" s="14"/>
      <c r="N33664" s="14"/>
      <c r="O33664" s="14"/>
      <c r="P33664" s="13"/>
    </row>
    <row r="33665">
      <c r="L33665" s="13"/>
      <c r="M33665" s="14"/>
      <c r="N33665" s="14"/>
      <c r="O33665" s="14"/>
      <c r="P33665" s="13"/>
    </row>
    <row r="33666">
      <c r="L33666" s="13"/>
      <c r="M33666" s="14"/>
      <c r="N33666" s="14"/>
      <c r="O33666" s="14"/>
      <c r="P33666" s="13"/>
    </row>
    <row r="33667">
      <c r="L33667" s="13"/>
      <c r="M33667" s="14"/>
      <c r="N33667" s="14"/>
      <c r="O33667" s="14"/>
      <c r="P33667" s="13"/>
    </row>
    <row r="33668">
      <c r="L33668" s="13"/>
      <c r="M33668" s="14"/>
      <c r="N33668" s="14"/>
      <c r="O33668" s="14"/>
      <c r="P33668" s="13"/>
    </row>
    <row r="33669">
      <c r="L33669" s="13"/>
      <c r="M33669" s="14"/>
      <c r="N33669" s="14"/>
      <c r="O33669" s="14"/>
      <c r="P33669" s="13"/>
    </row>
    <row r="33670">
      <c r="L33670" s="13"/>
      <c r="M33670" s="14"/>
      <c r="N33670" s="14"/>
      <c r="O33670" s="14"/>
      <c r="P33670" s="13"/>
    </row>
    <row r="33671">
      <c r="L33671" s="13"/>
      <c r="M33671" s="14"/>
      <c r="N33671" s="14"/>
      <c r="O33671" s="14"/>
      <c r="P33671" s="13"/>
    </row>
    <row r="33672">
      <c r="L33672" s="13"/>
      <c r="M33672" s="14"/>
      <c r="N33672" s="14"/>
      <c r="O33672" s="14"/>
      <c r="P33672" s="13"/>
    </row>
    <row r="33673">
      <c r="L33673" s="13"/>
      <c r="M33673" s="14"/>
      <c r="N33673" s="14"/>
      <c r="O33673" s="14"/>
      <c r="P33673" s="13"/>
    </row>
    <row r="33674">
      <c r="L33674" s="13"/>
      <c r="M33674" s="14"/>
      <c r="N33674" s="14"/>
      <c r="O33674" s="14"/>
      <c r="P33674" s="13"/>
    </row>
    <row r="33675">
      <c r="L33675" s="13"/>
      <c r="M33675" s="14"/>
      <c r="N33675" s="14"/>
      <c r="O33675" s="14"/>
      <c r="P33675" s="13"/>
    </row>
    <row r="33676">
      <c r="L33676" s="13"/>
      <c r="M33676" s="14"/>
      <c r="N33676" s="14"/>
      <c r="O33676" s="14"/>
      <c r="P33676" s="13"/>
    </row>
    <row r="33677">
      <c r="L33677" s="13"/>
      <c r="M33677" s="14"/>
      <c r="N33677" s="14"/>
      <c r="O33677" s="14"/>
      <c r="P33677" s="13"/>
    </row>
    <row r="33678">
      <c r="L33678" s="13"/>
      <c r="M33678" s="14"/>
      <c r="N33678" s="14"/>
      <c r="O33678" s="14"/>
      <c r="P33678" s="13"/>
    </row>
    <row r="33679">
      <c r="L33679" s="13"/>
      <c r="M33679" s="14"/>
      <c r="N33679" s="14"/>
      <c r="O33679" s="14"/>
      <c r="P33679" s="13"/>
    </row>
    <row r="33680">
      <c r="L33680" s="13"/>
      <c r="M33680" s="14"/>
      <c r="N33680" s="14"/>
      <c r="O33680" s="14"/>
      <c r="P33680" s="13"/>
    </row>
    <row r="33681">
      <c r="L33681" s="13"/>
      <c r="M33681" s="14"/>
      <c r="N33681" s="14"/>
      <c r="O33681" s="14"/>
      <c r="P33681" s="13"/>
    </row>
    <row r="33682">
      <c r="L33682" s="13"/>
      <c r="M33682" s="14"/>
      <c r="N33682" s="14"/>
      <c r="O33682" s="14"/>
      <c r="P33682" s="13"/>
    </row>
    <row r="33683">
      <c r="L33683" s="13"/>
      <c r="M33683" s="14"/>
      <c r="N33683" s="14"/>
      <c r="O33683" s="14"/>
      <c r="P33683" s="13"/>
    </row>
    <row r="33684">
      <c r="L33684" s="13"/>
      <c r="M33684" s="14"/>
      <c r="N33684" s="14"/>
      <c r="O33684" s="14"/>
      <c r="P33684" s="13"/>
    </row>
    <row r="33685">
      <c r="L33685" s="13"/>
      <c r="M33685" s="14"/>
      <c r="N33685" s="14"/>
      <c r="O33685" s="14"/>
      <c r="P33685" s="13"/>
    </row>
    <row r="33686">
      <c r="L33686" s="13"/>
      <c r="M33686" s="14"/>
      <c r="N33686" s="14"/>
      <c r="O33686" s="14"/>
      <c r="P33686" s="13"/>
    </row>
    <row r="33687">
      <c r="L33687" s="13"/>
      <c r="M33687" s="14"/>
      <c r="N33687" s="14"/>
      <c r="O33687" s="14"/>
      <c r="P33687" s="13"/>
    </row>
    <row r="33688">
      <c r="L33688" s="13"/>
      <c r="M33688" s="14"/>
      <c r="N33688" s="14"/>
      <c r="O33688" s="14"/>
      <c r="P33688" s="13"/>
    </row>
    <row r="33689">
      <c r="L33689" s="13"/>
      <c r="M33689" s="14"/>
      <c r="N33689" s="14"/>
      <c r="O33689" s="14"/>
      <c r="P33689" s="13"/>
    </row>
    <row r="33690">
      <c r="L33690" s="13"/>
      <c r="M33690" s="14"/>
      <c r="N33690" s="14"/>
      <c r="O33690" s="14"/>
      <c r="P33690" s="13"/>
    </row>
    <row r="33691">
      <c r="L33691" s="13"/>
      <c r="M33691" s="14"/>
      <c r="N33691" s="14"/>
      <c r="O33691" s="14"/>
      <c r="P33691" s="13"/>
    </row>
    <row r="33692">
      <c r="L33692" s="13"/>
      <c r="M33692" s="14"/>
      <c r="N33692" s="14"/>
      <c r="O33692" s="14"/>
      <c r="P33692" s="13"/>
    </row>
    <row r="33693">
      <c r="L33693" s="13"/>
      <c r="M33693" s="14"/>
      <c r="N33693" s="14"/>
      <c r="O33693" s="14"/>
      <c r="P33693" s="13"/>
    </row>
    <row r="33694">
      <c r="L33694" s="13"/>
      <c r="M33694" s="14"/>
      <c r="N33694" s="14"/>
      <c r="O33694" s="14"/>
      <c r="P33694" s="13"/>
    </row>
    <row r="33695">
      <c r="L33695" s="13"/>
      <c r="M33695" s="14"/>
      <c r="N33695" s="14"/>
      <c r="O33695" s="14"/>
      <c r="P33695" s="13"/>
    </row>
    <row r="33696">
      <c r="L33696" s="13"/>
      <c r="M33696" s="14"/>
      <c r="N33696" s="14"/>
      <c r="O33696" s="14"/>
      <c r="P33696" s="13"/>
    </row>
    <row r="33697">
      <c r="L33697" s="13"/>
      <c r="M33697" s="14"/>
      <c r="N33697" s="14"/>
      <c r="O33697" s="14"/>
      <c r="P33697" s="13"/>
    </row>
    <row r="33698">
      <c r="L33698" s="13"/>
      <c r="M33698" s="14"/>
      <c r="N33698" s="14"/>
      <c r="O33698" s="14"/>
      <c r="P33698" s="13"/>
    </row>
    <row r="33699">
      <c r="L33699" s="13"/>
      <c r="M33699" s="14"/>
      <c r="N33699" s="14"/>
      <c r="O33699" s="14"/>
      <c r="P33699" s="13"/>
    </row>
    <row r="33700">
      <c r="L33700" s="13"/>
      <c r="M33700" s="14"/>
      <c r="N33700" s="14"/>
      <c r="O33700" s="14"/>
      <c r="P33700" s="13"/>
    </row>
    <row r="33701">
      <c r="L33701" s="13"/>
      <c r="M33701" s="14"/>
      <c r="N33701" s="14"/>
      <c r="O33701" s="14"/>
      <c r="P33701" s="13"/>
    </row>
    <row r="33702">
      <c r="L33702" s="13"/>
      <c r="M33702" s="14"/>
      <c r="N33702" s="14"/>
      <c r="O33702" s="14"/>
      <c r="P33702" s="13"/>
    </row>
    <row r="33703">
      <c r="L33703" s="13"/>
      <c r="M33703" s="14"/>
      <c r="N33703" s="14"/>
      <c r="O33703" s="14"/>
      <c r="P33703" s="13"/>
    </row>
    <row r="33704">
      <c r="L33704" s="13"/>
      <c r="M33704" s="14"/>
      <c r="N33704" s="14"/>
      <c r="O33704" s="14"/>
      <c r="P33704" s="13"/>
    </row>
    <row r="33705">
      <c r="L33705" s="13"/>
      <c r="M33705" s="14"/>
      <c r="N33705" s="14"/>
      <c r="O33705" s="14"/>
      <c r="P33705" s="13"/>
    </row>
    <row r="33706">
      <c r="L33706" s="13"/>
      <c r="M33706" s="14"/>
      <c r="N33706" s="14"/>
      <c r="O33706" s="14"/>
      <c r="P33706" s="13"/>
    </row>
    <row r="33707">
      <c r="L33707" s="13"/>
      <c r="M33707" s="14"/>
      <c r="N33707" s="14"/>
      <c r="O33707" s="14"/>
      <c r="P33707" s="13"/>
    </row>
    <row r="33708">
      <c r="L33708" s="13"/>
      <c r="M33708" s="14"/>
      <c r="N33708" s="14"/>
      <c r="O33708" s="14"/>
      <c r="P33708" s="13"/>
    </row>
    <row r="33709">
      <c r="L33709" s="13"/>
      <c r="M33709" s="14"/>
      <c r="N33709" s="14"/>
      <c r="O33709" s="14"/>
      <c r="P33709" s="13"/>
    </row>
    <row r="33710">
      <c r="L33710" s="13"/>
      <c r="M33710" s="14"/>
      <c r="N33710" s="14"/>
      <c r="O33710" s="14"/>
      <c r="P33710" s="13"/>
    </row>
    <row r="33711">
      <c r="L33711" s="13"/>
      <c r="M33711" s="14"/>
      <c r="N33711" s="14"/>
      <c r="O33711" s="14"/>
      <c r="P33711" s="13"/>
    </row>
    <row r="33712">
      <c r="L33712" s="13"/>
      <c r="M33712" s="14"/>
      <c r="N33712" s="14"/>
      <c r="O33712" s="14"/>
      <c r="P33712" s="13"/>
    </row>
    <row r="33713">
      <c r="L33713" s="13"/>
      <c r="M33713" s="14"/>
      <c r="N33713" s="14"/>
      <c r="O33713" s="14"/>
      <c r="P33713" s="13"/>
    </row>
    <row r="33714">
      <c r="L33714" s="13"/>
      <c r="M33714" s="14"/>
      <c r="N33714" s="14"/>
      <c r="O33714" s="14"/>
      <c r="P33714" s="13"/>
    </row>
    <row r="33715">
      <c r="L33715" s="13"/>
      <c r="M33715" s="14"/>
      <c r="N33715" s="14"/>
      <c r="O33715" s="14"/>
      <c r="P33715" s="13"/>
    </row>
    <row r="33716">
      <c r="L33716" s="13"/>
      <c r="M33716" s="14"/>
      <c r="N33716" s="14"/>
      <c r="O33716" s="14"/>
      <c r="P33716" s="13"/>
    </row>
    <row r="33717">
      <c r="L33717" s="13"/>
      <c r="M33717" s="14"/>
      <c r="N33717" s="14"/>
      <c r="O33717" s="14"/>
      <c r="P33717" s="13"/>
    </row>
    <row r="33718">
      <c r="L33718" s="13"/>
      <c r="M33718" s="14"/>
      <c r="N33718" s="14"/>
      <c r="O33718" s="14"/>
      <c r="P33718" s="13"/>
    </row>
    <row r="33719">
      <c r="L33719" s="13"/>
      <c r="M33719" s="14"/>
      <c r="N33719" s="14"/>
      <c r="O33719" s="14"/>
      <c r="P33719" s="13"/>
    </row>
    <row r="33720">
      <c r="L33720" s="13"/>
      <c r="M33720" s="14"/>
      <c r="N33720" s="14"/>
      <c r="O33720" s="14"/>
      <c r="P33720" s="13"/>
    </row>
    <row r="33721">
      <c r="L33721" s="13"/>
      <c r="M33721" s="14"/>
      <c r="N33721" s="14"/>
      <c r="O33721" s="14"/>
      <c r="P33721" s="13"/>
    </row>
    <row r="33722">
      <c r="L33722" s="13"/>
      <c r="M33722" s="14"/>
      <c r="N33722" s="14"/>
      <c r="O33722" s="14"/>
      <c r="P33722" s="13"/>
    </row>
    <row r="33723">
      <c r="L33723" s="13"/>
      <c r="M33723" s="14"/>
      <c r="N33723" s="14"/>
      <c r="O33723" s="14"/>
      <c r="P33723" s="13"/>
    </row>
    <row r="33724">
      <c r="L33724" s="13"/>
      <c r="M33724" s="14"/>
      <c r="N33724" s="14"/>
      <c r="O33724" s="14"/>
      <c r="P33724" s="13"/>
    </row>
    <row r="33725">
      <c r="L33725" s="13"/>
      <c r="M33725" s="14"/>
      <c r="N33725" s="14"/>
      <c r="O33725" s="14"/>
      <c r="P33725" s="13"/>
    </row>
    <row r="33726">
      <c r="L33726" s="13"/>
      <c r="M33726" s="14"/>
      <c r="N33726" s="14"/>
      <c r="O33726" s="14"/>
      <c r="P33726" s="13"/>
    </row>
    <row r="33727">
      <c r="L33727" s="13"/>
      <c r="M33727" s="14"/>
      <c r="N33727" s="14"/>
      <c r="O33727" s="14"/>
      <c r="P33727" s="13"/>
    </row>
    <row r="33728">
      <c r="L33728" s="13"/>
      <c r="M33728" s="14"/>
      <c r="N33728" s="14"/>
      <c r="O33728" s="14"/>
      <c r="P33728" s="13"/>
    </row>
    <row r="33729">
      <c r="L33729" s="13"/>
      <c r="M33729" s="14"/>
      <c r="N33729" s="14"/>
      <c r="O33729" s="14"/>
      <c r="P33729" s="13"/>
    </row>
    <row r="33730">
      <c r="L33730" s="13"/>
      <c r="M33730" s="14"/>
      <c r="N33730" s="14"/>
      <c r="O33730" s="14"/>
      <c r="P33730" s="13"/>
    </row>
    <row r="33731">
      <c r="L33731" s="13"/>
      <c r="M33731" s="14"/>
      <c r="N33731" s="14"/>
      <c r="O33731" s="14"/>
      <c r="P33731" s="13"/>
    </row>
    <row r="33732">
      <c r="L33732" s="13"/>
      <c r="M33732" s="14"/>
      <c r="N33732" s="14"/>
      <c r="O33732" s="14"/>
      <c r="P33732" s="13"/>
    </row>
    <row r="33733">
      <c r="L33733" s="13"/>
      <c r="M33733" s="14"/>
      <c r="N33733" s="14"/>
      <c r="O33733" s="14"/>
      <c r="P33733" s="13"/>
    </row>
    <row r="33734">
      <c r="L33734" s="13"/>
      <c r="M33734" s="14"/>
      <c r="N33734" s="14"/>
      <c r="O33734" s="14"/>
      <c r="P33734" s="13"/>
    </row>
    <row r="33735">
      <c r="L33735" s="13"/>
      <c r="M33735" s="14"/>
      <c r="N33735" s="14"/>
      <c r="O33735" s="14"/>
      <c r="P33735" s="13"/>
    </row>
    <row r="33736">
      <c r="L33736" s="13"/>
      <c r="M33736" s="14"/>
      <c r="N33736" s="14"/>
      <c r="O33736" s="14"/>
      <c r="P33736" s="13"/>
    </row>
    <row r="33737">
      <c r="L33737" s="13"/>
      <c r="M33737" s="14"/>
      <c r="N33737" s="14"/>
      <c r="O33737" s="14"/>
      <c r="P33737" s="13"/>
    </row>
    <row r="33738">
      <c r="L33738" s="13"/>
      <c r="M33738" s="14"/>
      <c r="N33738" s="14"/>
      <c r="O33738" s="14"/>
      <c r="P33738" s="13"/>
    </row>
    <row r="33739">
      <c r="L33739" s="13"/>
      <c r="M33739" s="14"/>
      <c r="N33739" s="14"/>
      <c r="O33739" s="14"/>
      <c r="P33739" s="13"/>
    </row>
    <row r="33740">
      <c r="L33740" s="13"/>
      <c r="M33740" s="14"/>
      <c r="N33740" s="14"/>
      <c r="O33740" s="14"/>
      <c r="P33740" s="13"/>
    </row>
    <row r="33741">
      <c r="L33741" s="13"/>
      <c r="M33741" s="14"/>
      <c r="N33741" s="14"/>
      <c r="O33741" s="14"/>
      <c r="P33741" s="13"/>
    </row>
    <row r="33742">
      <c r="L33742" s="13"/>
      <c r="M33742" s="14"/>
      <c r="N33742" s="14"/>
      <c r="O33742" s="14"/>
      <c r="P33742" s="13"/>
    </row>
    <row r="33743">
      <c r="L33743" s="13"/>
      <c r="M33743" s="14"/>
      <c r="N33743" s="14"/>
      <c r="O33743" s="14"/>
      <c r="P33743" s="13"/>
    </row>
    <row r="33744">
      <c r="L33744" s="13"/>
      <c r="M33744" s="14"/>
      <c r="N33744" s="14"/>
      <c r="O33744" s="14"/>
      <c r="P33744" s="13"/>
    </row>
    <row r="33745">
      <c r="L33745" s="13"/>
      <c r="M33745" s="14"/>
      <c r="N33745" s="14"/>
      <c r="O33745" s="14"/>
      <c r="P33745" s="13"/>
    </row>
    <row r="33746">
      <c r="L33746" s="13"/>
      <c r="M33746" s="14"/>
      <c r="N33746" s="14"/>
      <c r="O33746" s="14"/>
      <c r="P33746" s="13"/>
    </row>
    <row r="33747">
      <c r="L33747" s="13"/>
      <c r="M33747" s="14"/>
      <c r="N33747" s="14"/>
      <c r="O33747" s="14"/>
      <c r="P33747" s="13"/>
    </row>
    <row r="33748">
      <c r="L33748" s="13"/>
      <c r="M33748" s="14"/>
      <c r="N33748" s="14"/>
      <c r="O33748" s="14"/>
      <c r="P33748" s="13"/>
    </row>
    <row r="33749">
      <c r="L33749" s="13"/>
      <c r="M33749" s="14"/>
      <c r="N33749" s="14"/>
      <c r="O33749" s="14"/>
      <c r="P33749" s="13"/>
    </row>
    <row r="33750">
      <c r="L33750" s="13"/>
      <c r="M33750" s="14"/>
      <c r="N33750" s="14"/>
      <c r="O33750" s="14"/>
      <c r="P33750" s="13"/>
    </row>
    <row r="33751">
      <c r="L33751" s="13"/>
      <c r="M33751" s="14"/>
      <c r="N33751" s="14"/>
      <c r="O33751" s="14"/>
      <c r="P33751" s="13"/>
    </row>
    <row r="33752">
      <c r="L33752" s="13"/>
      <c r="M33752" s="14"/>
      <c r="N33752" s="14"/>
      <c r="O33752" s="14"/>
      <c r="P33752" s="13"/>
    </row>
    <row r="33753">
      <c r="L33753" s="13"/>
      <c r="M33753" s="14"/>
      <c r="N33753" s="14"/>
      <c r="O33753" s="14"/>
      <c r="P33753" s="13"/>
    </row>
    <row r="33754">
      <c r="L33754" s="13"/>
      <c r="M33754" s="14"/>
      <c r="N33754" s="14"/>
      <c r="O33754" s="14"/>
      <c r="P33754" s="13"/>
    </row>
    <row r="33755">
      <c r="L33755" s="13"/>
      <c r="M33755" s="14"/>
      <c r="N33755" s="14"/>
      <c r="O33755" s="14"/>
      <c r="P33755" s="13"/>
    </row>
    <row r="33756">
      <c r="L33756" s="13"/>
      <c r="M33756" s="14"/>
      <c r="N33756" s="14"/>
      <c r="O33756" s="14"/>
      <c r="P33756" s="13"/>
    </row>
    <row r="33757">
      <c r="L33757" s="13"/>
      <c r="M33757" s="14"/>
      <c r="N33757" s="14"/>
      <c r="O33757" s="14"/>
      <c r="P33757" s="13"/>
    </row>
    <row r="33758">
      <c r="L33758" s="13"/>
      <c r="M33758" s="14"/>
      <c r="N33758" s="14"/>
      <c r="O33758" s="14"/>
      <c r="P33758" s="13"/>
    </row>
    <row r="33759">
      <c r="L33759" s="13"/>
      <c r="M33759" s="14"/>
      <c r="N33759" s="14"/>
      <c r="O33759" s="14"/>
      <c r="P33759" s="13"/>
    </row>
    <row r="33760">
      <c r="L33760" s="13"/>
      <c r="M33760" s="14"/>
      <c r="N33760" s="14"/>
      <c r="O33760" s="14"/>
      <c r="P33760" s="13"/>
    </row>
    <row r="33761">
      <c r="L33761" s="13"/>
      <c r="M33761" s="14"/>
      <c r="N33761" s="14"/>
      <c r="O33761" s="14"/>
      <c r="P33761" s="13"/>
    </row>
    <row r="33762">
      <c r="L33762" s="13"/>
      <c r="M33762" s="14"/>
      <c r="N33762" s="14"/>
      <c r="O33762" s="14"/>
      <c r="P33762" s="13"/>
    </row>
    <row r="33763">
      <c r="L33763" s="13"/>
      <c r="M33763" s="14"/>
      <c r="N33763" s="14"/>
      <c r="O33763" s="14"/>
      <c r="P33763" s="13"/>
    </row>
    <row r="33764">
      <c r="L33764" s="13"/>
      <c r="M33764" s="14"/>
      <c r="N33764" s="14"/>
      <c r="O33764" s="14"/>
      <c r="P33764" s="13"/>
    </row>
    <row r="33765">
      <c r="L33765" s="13"/>
      <c r="M33765" s="14"/>
      <c r="N33765" s="14"/>
      <c r="O33765" s="14"/>
      <c r="P33765" s="13"/>
    </row>
    <row r="33766">
      <c r="L33766" s="13"/>
      <c r="M33766" s="14"/>
      <c r="N33766" s="14"/>
      <c r="O33766" s="14"/>
      <c r="P33766" s="13"/>
    </row>
    <row r="33767">
      <c r="L33767" s="13"/>
      <c r="M33767" s="14"/>
      <c r="N33767" s="14"/>
      <c r="O33767" s="14"/>
      <c r="P33767" s="13"/>
    </row>
    <row r="33768">
      <c r="L33768" s="13"/>
      <c r="M33768" s="14"/>
      <c r="N33768" s="14"/>
      <c r="O33768" s="14"/>
      <c r="P33768" s="13"/>
    </row>
    <row r="33769">
      <c r="L33769" s="13"/>
      <c r="M33769" s="14"/>
      <c r="N33769" s="14"/>
      <c r="O33769" s="14"/>
      <c r="P33769" s="13"/>
    </row>
    <row r="33770">
      <c r="L33770" s="13"/>
      <c r="M33770" s="14"/>
      <c r="N33770" s="14"/>
      <c r="O33770" s="14"/>
      <c r="P33770" s="13"/>
    </row>
    <row r="33771">
      <c r="L33771" s="13"/>
      <c r="M33771" s="14"/>
      <c r="N33771" s="14"/>
      <c r="O33771" s="14"/>
      <c r="P33771" s="13"/>
    </row>
    <row r="33772">
      <c r="L33772" s="13"/>
      <c r="M33772" s="14"/>
      <c r="N33772" s="14"/>
      <c r="O33772" s="14"/>
      <c r="P33772" s="13"/>
    </row>
    <row r="33773">
      <c r="L33773" s="13"/>
      <c r="M33773" s="14"/>
      <c r="N33773" s="14"/>
      <c r="O33773" s="14"/>
      <c r="P33773" s="13"/>
    </row>
    <row r="33774">
      <c r="L33774" s="13"/>
      <c r="M33774" s="14"/>
      <c r="N33774" s="14"/>
      <c r="O33774" s="14"/>
      <c r="P33774" s="13"/>
    </row>
    <row r="33775">
      <c r="L33775" s="13"/>
      <c r="M33775" s="14"/>
      <c r="N33775" s="14"/>
      <c r="O33775" s="14"/>
      <c r="P33775" s="13"/>
    </row>
    <row r="33776">
      <c r="L33776" s="13"/>
      <c r="M33776" s="14"/>
      <c r="N33776" s="14"/>
      <c r="O33776" s="14"/>
      <c r="P33776" s="13"/>
    </row>
    <row r="33777">
      <c r="L33777" s="13"/>
      <c r="M33777" s="14"/>
      <c r="N33777" s="14"/>
      <c r="O33777" s="14"/>
      <c r="P33777" s="13"/>
    </row>
    <row r="33778">
      <c r="L33778" s="13"/>
      <c r="M33778" s="14"/>
      <c r="N33778" s="14"/>
      <c r="O33778" s="14"/>
      <c r="P33778" s="13"/>
    </row>
    <row r="33779">
      <c r="L33779" s="13"/>
      <c r="M33779" s="14"/>
      <c r="N33779" s="14"/>
      <c r="O33779" s="14"/>
      <c r="P33779" s="13"/>
    </row>
    <row r="33780">
      <c r="L33780" s="13"/>
      <c r="M33780" s="14"/>
      <c r="N33780" s="14"/>
      <c r="O33780" s="14"/>
      <c r="P33780" s="13"/>
    </row>
    <row r="33781">
      <c r="L33781" s="13"/>
      <c r="M33781" s="14"/>
      <c r="N33781" s="14"/>
      <c r="O33781" s="14"/>
      <c r="P33781" s="13"/>
    </row>
    <row r="33782">
      <c r="L33782" s="13"/>
      <c r="M33782" s="14"/>
      <c r="N33782" s="14"/>
      <c r="O33782" s="14"/>
      <c r="P33782" s="13"/>
    </row>
    <row r="33783">
      <c r="L33783" s="13"/>
      <c r="M33783" s="14"/>
      <c r="N33783" s="14"/>
      <c r="O33783" s="14"/>
      <c r="P33783" s="13"/>
    </row>
    <row r="33784">
      <c r="L33784" s="13"/>
      <c r="M33784" s="14"/>
      <c r="N33784" s="14"/>
      <c r="O33784" s="14"/>
      <c r="P33784" s="13"/>
    </row>
    <row r="33785">
      <c r="L33785" s="13"/>
      <c r="M33785" s="14"/>
      <c r="N33785" s="14"/>
      <c r="O33785" s="14"/>
      <c r="P33785" s="13"/>
    </row>
    <row r="33786">
      <c r="L33786" s="13"/>
      <c r="M33786" s="14"/>
      <c r="N33786" s="14"/>
      <c r="O33786" s="14"/>
      <c r="P33786" s="13"/>
    </row>
    <row r="33787">
      <c r="L33787" s="13"/>
      <c r="M33787" s="14"/>
      <c r="N33787" s="14"/>
      <c r="O33787" s="14"/>
      <c r="P33787" s="13"/>
    </row>
    <row r="33788">
      <c r="L33788" s="13"/>
      <c r="M33788" s="14"/>
      <c r="N33788" s="14"/>
      <c r="O33788" s="14"/>
      <c r="P33788" s="13"/>
    </row>
    <row r="33789">
      <c r="L33789" s="13"/>
      <c r="M33789" s="14"/>
      <c r="N33789" s="14"/>
      <c r="O33789" s="14"/>
      <c r="P33789" s="13"/>
    </row>
    <row r="33790">
      <c r="L33790" s="13"/>
      <c r="M33790" s="14"/>
      <c r="N33790" s="14"/>
      <c r="O33790" s="14"/>
      <c r="P33790" s="13"/>
    </row>
    <row r="33791">
      <c r="L33791" s="13"/>
      <c r="M33791" s="14"/>
      <c r="N33791" s="14"/>
      <c r="O33791" s="14"/>
      <c r="P33791" s="13"/>
    </row>
    <row r="33792">
      <c r="L33792" s="13"/>
      <c r="M33792" s="14"/>
      <c r="N33792" s="14"/>
      <c r="O33792" s="14"/>
      <c r="P33792" s="13"/>
    </row>
    <row r="33793">
      <c r="L33793" s="13"/>
      <c r="M33793" s="14"/>
      <c r="N33793" s="14"/>
      <c r="O33793" s="14"/>
      <c r="P33793" s="13"/>
    </row>
    <row r="33794">
      <c r="L33794" s="13"/>
      <c r="M33794" s="14"/>
      <c r="N33794" s="14"/>
      <c r="O33794" s="14"/>
      <c r="P33794" s="13"/>
    </row>
    <row r="33795">
      <c r="L33795" s="13"/>
      <c r="M33795" s="14"/>
      <c r="N33795" s="14"/>
      <c r="O33795" s="14"/>
      <c r="P33795" s="13"/>
    </row>
    <row r="33796">
      <c r="L33796" s="13"/>
      <c r="M33796" s="14"/>
      <c r="N33796" s="14"/>
      <c r="O33796" s="14"/>
      <c r="P33796" s="13"/>
    </row>
    <row r="33797">
      <c r="L33797" s="13"/>
      <c r="M33797" s="14"/>
      <c r="N33797" s="14"/>
      <c r="O33797" s="14"/>
      <c r="P33797" s="13"/>
    </row>
    <row r="33798">
      <c r="L33798" s="13"/>
      <c r="M33798" s="14"/>
      <c r="N33798" s="14"/>
      <c r="O33798" s="14"/>
      <c r="P33798" s="13"/>
    </row>
    <row r="33799">
      <c r="L33799" s="13"/>
      <c r="M33799" s="14"/>
      <c r="N33799" s="14"/>
      <c r="O33799" s="14"/>
      <c r="P33799" s="13"/>
    </row>
    <row r="33800">
      <c r="L33800" s="13"/>
      <c r="M33800" s="14"/>
      <c r="N33800" s="14"/>
      <c r="O33800" s="14"/>
      <c r="P33800" s="13"/>
    </row>
    <row r="33801">
      <c r="L33801" s="13"/>
      <c r="M33801" s="14"/>
      <c r="N33801" s="14"/>
      <c r="O33801" s="14"/>
      <c r="P33801" s="13"/>
    </row>
    <row r="33802">
      <c r="L33802" s="13"/>
      <c r="M33802" s="14"/>
      <c r="N33802" s="14"/>
      <c r="O33802" s="14"/>
      <c r="P33802" s="13"/>
    </row>
    <row r="33803">
      <c r="L33803" s="13"/>
      <c r="M33803" s="14"/>
      <c r="N33803" s="14"/>
      <c r="O33803" s="14"/>
      <c r="P33803" s="13"/>
    </row>
    <row r="33804">
      <c r="L33804" s="13"/>
      <c r="M33804" s="14"/>
      <c r="N33804" s="14"/>
      <c r="O33804" s="14"/>
      <c r="P33804" s="13"/>
    </row>
    <row r="33805">
      <c r="L33805" s="13"/>
      <c r="M33805" s="14"/>
      <c r="N33805" s="14"/>
      <c r="O33805" s="14"/>
      <c r="P33805" s="13"/>
    </row>
    <row r="33806">
      <c r="L33806" s="13"/>
      <c r="M33806" s="14"/>
      <c r="N33806" s="14"/>
      <c r="O33806" s="14"/>
      <c r="P33806" s="13"/>
    </row>
    <row r="33807">
      <c r="L33807" s="13"/>
      <c r="M33807" s="14"/>
      <c r="N33807" s="14"/>
      <c r="O33807" s="14"/>
      <c r="P33807" s="13"/>
    </row>
    <row r="33808">
      <c r="L33808" s="13"/>
      <c r="M33808" s="14"/>
      <c r="N33808" s="14"/>
      <c r="O33808" s="14"/>
      <c r="P33808" s="13"/>
    </row>
    <row r="33809">
      <c r="L33809" s="13"/>
      <c r="M33809" s="14"/>
      <c r="N33809" s="14"/>
      <c r="O33809" s="14"/>
      <c r="P33809" s="13"/>
    </row>
    <row r="33810">
      <c r="L33810" s="13"/>
      <c r="M33810" s="14"/>
      <c r="N33810" s="14"/>
      <c r="O33810" s="14"/>
      <c r="P33810" s="13"/>
    </row>
    <row r="33811">
      <c r="L33811" s="13"/>
      <c r="M33811" s="14"/>
      <c r="N33811" s="14"/>
      <c r="O33811" s="14"/>
      <c r="P33811" s="13"/>
    </row>
    <row r="33812">
      <c r="L33812" s="13"/>
      <c r="M33812" s="14"/>
      <c r="N33812" s="14"/>
      <c r="O33812" s="14"/>
      <c r="P33812" s="13"/>
    </row>
    <row r="33813">
      <c r="L33813" s="13"/>
      <c r="M33813" s="14"/>
      <c r="N33813" s="14"/>
      <c r="O33813" s="14"/>
      <c r="P33813" s="13"/>
    </row>
    <row r="33814">
      <c r="L33814" s="13"/>
      <c r="M33814" s="14"/>
      <c r="N33814" s="14"/>
      <c r="O33814" s="14"/>
      <c r="P33814" s="13"/>
    </row>
    <row r="33815">
      <c r="L33815" s="13"/>
      <c r="M33815" s="14"/>
      <c r="N33815" s="14"/>
      <c r="O33815" s="14"/>
      <c r="P33815" s="13"/>
    </row>
    <row r="33816">
      <c r="L33816" s="13"/>
      <c r="M33816" s="14"/>
      <c r="N33816" s="14"/>
      <c r="O33816" s="14"/>
      <c r="P33816" s="13"/>
    </row>
    <row r="33817">
      <c r="L33817" s="13"/>
      <c r="M33817" s="14"/>
      <c r="N33817" s="14"/>
      <c r="O33817" s="14"/>
      <c r="P33817" s="13"/>
    </row>
    <row r="33818">
      <c r="L33818" s="13"/>
      <c r="M33818" s="14"/>
      <c r="N33818" s="14"/>
      <c r="O33818" s="14"/>
      <c r="P33818" s="13"/>
    </row>
    <row r="33819">
      <c r="L33819" s="13"/>
      <c r="M33819" s="14"/>
      <c r="N33819" s="14"/>
      <c r="O33819" s="14"/>
      <c r="P33819" s="13"/>
    </row>
    <row r="33820">
      <c r="L33820" s="13"/>
      <c r="M33820" s="14"/>
      <c r="N33820" s="14"/>
      <c r="O33820" s="14"/>
      <c r="P33820" s="13"/>
    </row>
    <row r="33821">
      <c r="L33821" s="13"/>
      <c r="M33821" s="14"/>
      <c r="N33821" s="14"/>
      <c r="O33821" s="14"/>
      <c r="P33821" s="13"/>
    </row>
    <row r="33822">
      <c r="L33822" s="13"/>
      <c r="M33822" s="14"/>
      <c r="N33822" s="14"/>
      <c r="O33822" s="14"/>
      <c r="P33822" s="13"/>
    </row>
    <row r="33823">
      <c r="L33823" s="13"/>
      <c r="M33823" s="14"/>
      <c r="N33823" s="14"/>
      <c r="O33823" s="14"/>
      <c r="P33823" s="13"/>
    </row>
    <row r="33824">
      <c r="L33824" s="13"/>
      <c r="M33824" s="14"/>
      <c r="N33824" s="14"/>
      <c r="O33824" s="14"/>
      <c r="P33824" s="13"/>
    </row>
    <row r="33825">
      <c r="L33825" s="13"/>
      <c r="M33825" s="14"/>
      <c r="N33825" s="14"/>
      <c r="O33825" s="14"/>
      <c r="P33825" s="13"/>
    </row>
    <row r="33826">
      <c r="L33826" s="13"/>
      <c r="M33826" s="14"/>
      <c r="N33826" s="14"/>
      <c r="O33826" s="14"/>
      <c r="P33826" s="13"/>
    </row>
    <row r="33827">
      <c r="L33827" s="13"/>
      <c r="M33827" s="14"/>
      <c r="N33827" s="14"/>
      <c r="O33827" s="14"/>
      <c r="P33827" s="13"/>
    </row>
    <row r="33828">
      <c r="L33828" s="13"/>
      <c r="M33828" s="14"/>
      <c r="N33828" s="14"/>
      <c r="O33828" s="14"/>
      <c r="P33828" s="13"/>
    </row>
    <row r="33829">
      <c r="L33829" s="13"/>
      <c r="M33829" s="14"/>
      <c r="N33829" s="14"/>
      <c r="O33829" s="14"/>
      <c r="P33829" s="13"/>
    </row>
    <row r="33830">
      <c r="L33830" s="13"/>
      <c r="M33830" s="14"/>
      <c r="N33830" s="14"/>
      <c r="O33830" s="14"/>
      <c r="P33830" s="13"/>
    </row>
    <row r="33831">
      <c r="L33831" s="13"/>
      <c r="M33831" s="14"/>
      <c r="N33831" s="14"/>
      <c r="O33831" s="14"/>
      <c r="P33831" s="13"/>
    </row>
    <row r="33832">
      <c r="L33832" s="13"/>
      <c r="M33832" s="14"/>
      <c r="N33832" s="14"/>
      <c r="O33832" s="14"/>
      <c r="P33832" s="13"/>
    </row>
    <row r="33833">
      <c r="L33833" s="13"/>
      <c r="M33833" s="14"/>
      <c r="N33833" s="14"/>
      <c r="O33833" s="14"/>
      <c r="P33833" s="13"/>
    </row>
    <row r="33834">
      <c r="L33834" s="13"/>
      <c r="M33834" s="14"/>
      <c r="N33834" s="14"/>
      <c r="O33834" s="14"/>
      <c r="P33834" s="13"/>
    </row>
    <row r="33835">
      <c r="L33835" s="13"/>
      <c r="M33835" s="14"/>
      <c r="N33835" s="14"/>
      <c r="O33835" s="14"/>
      <c r="P33835" s="13"/>
    </row>
    <row r="33836">
      <c r="L33836" s="13"/>
      <c r="M33836" s="14"/>
      <c r="N33836" s="14"/>
      <c r="O33836" s="14"/>
      <c r="P33836" s="13"/>
    </row>
    <row r="33837">
      <c r="L33837" s="13"/>
      <c r="M33837" s="14"/>
      <c r="N33837" s="14"/>
      <c r="O33837" s="14"/>
      <c r="P33837" s="13"/>
    </row>
    <row r="33838">
      <c r="L33838" s="13"/>
      <c r="M33838" s="14"/>
      <c r="N33838" s="14"/>
      <c r="O33838" s="14"/>
      <c r="P33838" s="13"/>
    </row>
    <row r="33839">
      <c r="L33839" s="13"/>
      <c r="M33839" s="14"/>
      <c r="N33839" s="14"/>
      <c r="O33839" s="14"/>
      <c r="P33839" s="13"/>
    </row>
    <row r="33840">
      <c r="L33840" s="13"/>
      <c r="M33840" s="14"/>
      <c r="N33840" s="14"/>
      <c r="O33840" s="14"/>
      <c r="P33840" s="13"/>
    </row>
    <row r="33841">
      <c r="L33841" s="13"/>
      <c r="M33841" s="14"/>
      <c r="N33841" s="14"/>
      <c r="O33841" s="14"/>
      <c r="P33841" s="13"/>
    </row>
    <row r="33842">
      <c r="L33842" s="13"/>
      <c r="M33842" s="14"/>
      <c r="N33842" s="14"/>
      <c r="O33842" s="14"/>
      <c r="P33842" s="13"/>
    </row>
    <row r="33843">
      <c r="L33843" s="13"/>
      <c r="M33843" s="14"/>
      <c r="N33843" s="14"/>
      <c r="O33843" s="14"/>
      <c r="P33843" s="13"/>
    </row>
    <row r="33844">
      <c r="L33844" s="13"/>
      <c r="M33844" s="14"/>
      <c r="N33844" s="14"/>
      <c r="O33844" s="14"/>
      <c r="P33844" s="13"/>
    </row>
    <row r="33845">
      <c r="L33845" s="13"/>
      <c r="M33845" s="14"/>
      <c r="N33845" s="14"/>
      <c r="O33845" s="14"/>
      <c r="P33845" s="13"/>
    </row>
    <row r="33846">
      <c r="L33846" s="13"/>
      <c r="M33846" s="14"/>
      <c r="N33846" s="14"/>
      <c r="O33846" s="14"/>
      <c r="P33846" s="13"/>
    </row>
    <row r="33847">
      <c r="L33847" s="13"/>
      <c r="M33847" s="14"/>
      <c r="N33847" s="14"/>
      <c r="O33847" s="14"/>
      <c r="P33847" s="13"/>
    </row>
    <row r="33848">
      <c r="L33848" s="13"/>
      <c r="M33848" s="14"/>
      <c r="N33848" s="14"/>
      <c r="O33848" s="14"/>
      <c r="P33848" s="13"/>
    </row>
    <row r="33849">
      <c r="L33849" s="13"/>
      <c r="M33849" s="14"/>
      <c r="N33849" s="14"/>
      <c r="O33849" s="14"/>
      <c r="P33849" s="13"/>
    </row>
    <row r="33850">
      <c r="L33850" s="13"/>
      <c r="M33850" s="14"/>
      <c r="N33850" s="14"/>
      <c r="O33850" s="14"/>
      <c r="P33850" s="13"/>
    </row>
    <row r="33851">
      <c r="L33851" s="13"/>
      <c r="M33851" s="14"/>
      <c r="N33851" s="14"/>
      <c r="O33851" s="14"/>
      <c r="P33851" s="13"/>
    </row>
    <row r="33852">
      <c r="L33852" s="13"/>
      <c r="M33852" s="14"/>
      <c r="N33852" s="14"/>
      <c r="O33852" s="14"/>
      <c r="P33852" s="13"/>
    </row>
    <row r="33853">
      <c r="L33853" s="13"/>
      <c r="M33853" s="14"/>
      <c r="N33853" s="14"/>
      <c r="O33853" s="14"/>
      <c r="P33853" s="13"/>
    </row>
    <row r="33854">
      <c r="L33854" s="13"/>
      <c r="M33854" s="14"/>
      <c r="N33854" s="14"/>
      <c r="O33854" s="14"/>
      <c r="P33854" s="13"/>
    </row>
    <row r="33855">
      <c r="L33855" s="13"/>
      <c r="M33855" s="14"/>
      <c r="N33855" s="14"/>
      <c r="O33855" s="14"/>
      <c r="P33855" s="13"/>
    </row>
    <row r="33856">
      <c r="L33856" s="13"/>
      <c r="M33856" s="14"/>
      <c r="N33856" s="14"/>
      <c r="O33856" s="14"/>
      <c r="P33856" s="13"/>
    </row>
    <row r="33857">
      <c r="L33857" s="13"/>
      <c r="M33857" s="14"/>
      <c r="N33857" s="14"/>
      <c r="O33857" s="14"/>
      <c r="P33857" s="13"/>
    </row>
    <row r="33858">
      <c r="L33858" s="13"/>
      <c r="M33858" s="14"/>
      <c r="N33858" s="14"/>
      <c r="O33858" s="14"/>
      <c r="P33858" s="13"/>
    </row>
    <row r="33859">
      <c r="L33859" s="13"/>
      <c r="M33859" s="14"/>
      <c r="N33859" s="14"/>
      <c r="O33859" s="14"/>
      <c r="P33859" s="13"/>
    </row>
    <row r="33860">
      <c r="L33860" s="13"/>
      <c r="M33860" s="14"/>
      <c r="N33860" s="14"/>
      <c r="O33860" s="14"/>
      <c r="P33860" s="13"/>
    </row>
    <row r="33861">
      <c r="L33861" s="13"/>
      <c r="M33861" s="14"/>
      <c r="N33861" s="14"/>
      <c r="O33861" s="14"/>
      <c r="P33861" s="13"/>
    </row>
    <row r="33862">
      <c r="L33862" s="13"/>
      <c r="M33862" s="14"/>
      <c r="N33862" s="14"/>
      <c r="O33862" s="14"/>
      <c r="P33862" s="13"/>
    </row>
    <row r="33863">
      <c r="L33863" s="13"/>
      <c r="M33863" s="14"/>
      <c r="N33863" s="14"/>
      <c r="O33863" s="14"/>
      <c r="P33863" s="13"/>
    </row>
    <row r="33864">
      <c r="L33864" s="13"/>
      <c r="M33864" s="14"/>
      <c r="N33864" s="14"/>
      <c r="O33864" s="14"/>
      <c r="P33864" s="13"/>
    </row>
    <row r="33865">
      <c r="L33865" s="13"/>
      <c r="M33865" s="14"/>
      <c r="N33865" s="14"/>
      <c r="O33865" s="14"/>
      <c r="P33865" s="13"/>
    </row>
    <row r="33866">
      <c r="L33866" s="13"/>
      <c r="M33866" s="14"/>
      <c r="N33866" s="14"/>
      <c r="O33866" s="14"/>
      <c r="P33866" s="13"/>
    </row>
    <row r="33867">
      <c r="L33867" s="13"/>
      <c r="M33867" s="14"/>
      <c r="N33867" s="14"/>
      <c r="O33867" s="14"/>
      <c r="P33867" s="13"/>
    </row>
    <row r="33868">
      <c r="L33868" s="13"/>
      <c r="M33868" s="14"/>
      <c r="N33868" s="14"/>
      <c r="O33868" s="14"/>
      <c r="P33868" s="13"/>
    </row>
    <row r="33869">
      <c r="L33869" s="13"/>
      <c r="M33869" s="14"/>
      <c r="N33869" s="14"/>
      <c r="O33869" s="14"/>
      <c r="P33869" s="13"/>
    </row>
    <row r="33870">
      <c r="L33870" s="13"/>
      <c r="M33870" s="14"/>
      <c r="N33870" s="14"/>
      <c r="O33870" s="14"/>
      <c r="P33870" s="13"/>
    </row>
    <row r="33871">
      <c r="L33871" s="13"/>
      <c r="M33871" s="14"/>
      <c r="N33871" s="14"/>
      <c r="O33871" s="14"/>
      <c r="P33871" s="13"/>
    </row>
    <row r="33872">
      <c r="L33872" s="13"/>
      <c r="M33872" s="14"/>
      <c r="N33872" s="14"/>
      <c r="O33872" s="14"/>
      <c r="P33872" s="13"/>
    </row>
    <row r="33873">
      <c r="L33873" s="13"/>
      <c r="M33873" s="14"/>
      <c r="N33873" s="14"/>
      <c r="O33873" s="14"/>
      <c r="P33873" s="13"/>
    </row>
    <row r="33874">
      <c r="L33874" s="13"/>
      <c r="M33874" s="14"/>
      <c r="N33874" s="14"/>
      <c r="O33874" s="14"/>
      <c r="P33874" s="13"/>
    </row>
    <row r="33875">
      <c r="L33875" s="13"/>
      <c r="M33875" s="14"/>
      <c r="N33875" s="14"/>
      <c r="O33875" s="14"/>
      <c r="P33875" s="13"/>
    </row>
    <row r="33876">
      <c r="L33876" s="13"/>
      <c r="M33876" s="14"/>
      <c r="N33876" s="14"/>
      <c r="O33876" s="14"/>
      <c r="P33876" s="13"/>
    </row>
    <row r="33877">
      <c r="L33877" s="13"/>
      <c r="M33877" s="14"/>
      <c r="N33877" s="14"/>
      <c r="O33877" s="14"/>
      <c r="P33877" s="13"/>
    </row>
    <row r="33878">
      <c r="L33878" s="13"/>
      <c r="M33878" s="14"/>
      <c r="N33878" s="14"/>
      <c r="O33878" s="14"/>
      <c r="P33878" s="13"/>
    </row>
    <row r="33879">
      <c r="L33879" s="13"/>
      <c r="M33879" s="14"/>
      <c r="N33879" s="14"/>
      <c r="O33879" s="14"/>
      <c r="P33879" s="13"/>
    </row>
    <row r="33880">
      <c r="L33880" s="13"/>
      <c r="M33880" s="14"/>
      <c r="N33880" s="14"/>
      <c r="O33880" s="14"/>
      <c r="P33880" s="13"/>
    </row>
    <row r="33881">
      <c r="L33881" s="13"/>
      <c r="M33881" s="14"/>
      <c r="N33881" s="14"/>
      <c r="O33881" s="14"/>
      <c r="P33881" s="13"/>
    </row>
    <row r="33882">
      <c r="L33882" s="13"/>
      <c r="M33882" s="14"/>
      <c r="N33882" s="14"/>
      <c r="O33882" s="14"/>
      <c r="P33882" s="13"/>
    </row>
    <row r="33883">
      <c r="L33883" s="13"/>
      <c r="M33883" s="14"/>
      <c r="N33883" s="14"/>
      <c r="O33883" s="14"/>
      <c r="P33883" s="13"/>
    </row>
    <row r="33884">
      <c r="L33884" s="13"/>
      <c r="M33884" s="14"/>
      <c r="N33884" s="14"/>
      <c r="O33884" s="14"/>
      <c r="P33884" s="13"/>
    </row>
    <row r="33885">
      <c r="L33885" s="13"/>
      <c r="M33885" s="14"/>
      <c r="N33885" s="14"/>
      <c r="O33885" s="14"/>
      <c r="P33885" s="13"/>
    </row>
    <row r="33886">
      <c r="L33886" s="13"/>
      <c r="M33886" s="14"/>
      <c r="N33886" s="14"/>
      <c r="O33886" s="14"/>
      <c r="P33886" s="13"/>
    </row>
    <row r="33887">
      <c r="L33887" s="13"/>
      <c r="M33887" s="14"/>
      <c r="N33887" s="14"/>
      <c r="O33887" s="14"/>
      <c r="P33887" s="13"/>
    </row>
    <row r="33888">
      <c r="L33888" s="13"/>
      <c r="M33888" s="14"/>
      <c r="N33888" s="14"/>
      <c r="O33888" s="14"/>
      <c r="P33888" s="13"/>
    </row>
    <row r="33889">
      <c r="L33889" s="13"/>
      <c r="M33889" s="14"/>
      <c r="N33889" s="14"/>
      <c r="O33889" s="14"/>
      <c r="P33889" s="13"/>
    </row>
    <row r="33890">
      <c r="L33890" s="13"/>
      <c r="M33890" s="14"/>
      <c r="N33890" s="14"/>
      <c r="O33890" s="14"/>
      <c r="P33890" s="13"/>
    </row>
    <row r="33891">
      <c r="L33891" s="13"/>
      <c r="M33891" s="14"/>
      <c r="N33891" s="14"/>
      <c r="O33891" s="14"/>
      <c r="P33891" s="13"/>
    </row>
    <row r="33892">
      <c r="L33892" s="13"/>
      <c r="M33892" s="14"/>
      <c r="N33892" s="14"/>
      <c r="O33892" s="14"/>
      <c r="P33892" s="13"/>
    </row>
    <row r="33893">
      <c r="L33893" s="13"/>
      <c r="M33893" s="14"/>
      <c r="N33893" s="14"/>
      <c r="O33893" s="14"/>
      <c r="P33893" s="13"/>
    </row>
    <row r="33894">
      <c r="L33894" s="13"/>
      <c r="M33894" s="14"/>
      <c r="N33894" s="14"/>
      <c r="O33894" s="14"/>
      <c r="P33894" s="13"/>
    </row>
    <row r="33895">
      <c r="L33895" s="13"/>
      <c r="M33895" s="14"/>
      <c r="N33895" s="14"/>
      <c r="O33895" s="14"/>
      <c r="P33895" s="13"/>
    </row>
    <row r="33896">
      <c r="L33896" s="13"/>
      <c r="M33896" s="14"/>
      <c r="N33896" s="14"/>
      <c r="O33896" s="14"/>
      <c r="P33896" s="13"/>
    </row>
    <row r="33897">
      <c r="L33897" s="13"/>
      <c r="M33897" s="14"/>
      <c r="N33897" s="14"/>
      <c r="O33897" s="14"/>
      <c r="P33897" s="13"/>
    </row>
    <row r="33898">
      <c r="L33898" s="13"/>
      <c r="M33898" s="14"/>
      <c r="N33898" s="14"/>
      <c r="O33898" s="14"/>
      <c r="P33898" s="13"/>
    </row>
    <row r="33899">
      <c r="L33899" s="13"/>
      <c r="M33899" s="14"/>
      <c r="N33899" s="14"/>
      <c r="O33899" s="14"/>
      <c r="P33899" s="13"/>
    </row>
    <row r="33900">
      <c r="L33900" s="13"/>
      <c r="M33900" s="14"/>
      <c r="N33900" s="14"/>
      <c r="O33900" s="14"/>
      <c r="P33900" s="13"/>
    </row>
    <row r="33901">
      <c r="L33901" s="13"/>
      <c r="M33901" s="14"/>
      <c r="N33901" s="14"/>
      <c r="O33901" s="14"/>
      <c r="P33901" s="13"/>
    </row>
    <row r="33902">
      <c r="L33902" s="13"/>
      <c r="M33902" s="14"/>
      <c r="N33902" s="14"/>
      <c r="O33902" s="14"/>
      <c r="P33902" s="13"/>
    </row>
    <row r="33903">
      <c r="L33903" s="13"/>
      <c r="M33903" s="14"/>
      <c r="N33903" s="14"/>
      <c r="O33903" s="14"/>
      <c r="P33903" s="13"/>
    </row>
    <row r="33904">
      <c r="L33904" s="13"/>
      <c r="M33904" s="14"/>
      <c r="N33904" s="14"/>
      <c r="O33904" s="14"/>
      <c r="P33904" s="13"/>
    </row>
    <row r="33905">
      <c r="L33905" s="13"/>
      <c r="M33905" s="14"/>
      <c r="N33905" s="14"/>
      <c r="O33905" s="14"/>
      <c r="P33905" s="13"/>
    </row>
    <row r="33906">
      <c r="L33906" s="13"/>
      <c r="M33906" s="14"/>
      <c r="N33906" s="14"/>
      <c r="O33906" s="14"/>
      <c r="P33906" s="13"/>
    </row>
    <row r="33907">
      <c r="L33907" s="13"/>
      <c r="M33907" s="14"/>
      <c r="N33907" s="14"/>
      <c r="O33907" s="14"/>
      <c r="P33907" s="13"/>
    </row>
    <row r="33908">
      <c r="L33908" s="13"/>
      <c r="M33908" s="14"/>
      <c r="N33908" s="14"/>
      <c r="O33908" s="14"/>
      <c r="P33908" s="13"/>
    </row>
    <row r="33909">
      <c r="L33909" s="13"/>
      <c r="M33909" s="14"/>
      <c r="N33909" s="14"/>
      <c r="O33909" s="14"/>
      <c r="P33909" s="13"/>
    </row>
    <row r="33910">
      <c r="L33910" s="13"/>
      <c r="M33910" s="14"/>
      <c r="N33910" s="14"/>
      <c r="O33910" s="14"/>
      <c r="P33910" s="13"/>
    </row>
    <row r="33911">
      <c r="L33911" s="13"/>
      <c r="M33911" s="14"/>
      <c r="N33911" s="14"/>
      <c r="O33911" s="14"/>
      <c r="P33911" s="13"/>
    </row>
    <row r="33912">
      <c r="L33912" s="13"/>
      <c r="M33912" s="14"/>
      <c r="N33912" s="14"/>
      <c r="O33912" s="14"/>
      <c r="P33912" s="13"/>
    </row>
    <row r="33913">
      <c r="L33913" s="13"/>
      <c r="M33913" s="14"/>
      <c r="N33913" s="14"/>
      <c r="O33913" s="14"/>
      <c r="P33913" s="13"/>
    </row>
    <row r="33914">
      <c r="L33914" s="13"/>
      <c r="M33914" s="14"/>
      <c r="N33914" s="14"/>
      <c r="O33914" s="14"/>
      <c r="P33914" s="13"/>
    </row>
    <row r="33915">
      <c r="L33915" s="13"/>
      <c r="M33915" s="14"/>
      <c r="N33915" s="14"/>
      <c r="O33915" s="14"/>
      <c r="P33915" s="13"/>
    </row>
    <row r="33916">
      <c r="L33916" s="13"/>
      <c r="M33916" s="14"/>
      <c r="N33916" s="14"/>
      <c r="O33916" s="14"/>
      <c r="P33916" s="13"/>
    </row>
    <row r="33917">
      <c r="L33917" s="13"/>
      <c r="M33917" s="14"/>
      <c r="N33917" s="14"/>
      <c r="O33917" s="14"/>
      <c r="P33917" s="13"/>
    </row>
    <row r="33918">
      <c r="L33918" s="13"/>
      <c r="M33918" s="14"/>
      <c r="N33918" s="14"/>
      <c r="O33918" s="14"/>
      <c r="P33918" s="13"/>
    </row>
    <row r="33919">
      <c r="L33919" s="13"/>
      <c r="M33919" s="14"/>
      <c r="N33919" s="14"/>
      <c r="O33919" s="14"/>
      <c r="P33919" s="13"/>
    </row>
    <row r="33920">
      <c r="L33920" s="13"/>
      <c r="M33920" s="14"/>
      <c r="N33920" s="14"/>
      <c r="O33920" s="14"/>
      <c r="P33920" s="13"/>
    </row>
    <row r="33921">
      <c r="L33921" s="13"/>
      <c r="M33921" s="14"/>
      <c r="N33921" s="14"/>
      <c r="O33921" s="14"/>
      <c r="P33921" s="13"/>
    </row>
    <row r="33922">
      <c r="L33922" s="13"/>
      <c r="M33922" s="14"/>
      <c r="N33922" s="14"/>
      <c r="O33922" s="14"/>
      <c r="P33922" s="13"/>
    </row>
    <row r="33923">
      <c r="L33923" s="13"/>
      <c r="M33923" s="14"/>
      <c r="N33923" s="14"/>
      <c r="O33923" s="14"/>
      <c r="P33923" s="13"/>
    </row>
    <row r="33924">
      <c r="L33924" s="13"/>
      <c r="M33924" s="14"/>
      <c r="N33924" s="14"/>
      <c r="O33924" s="14"/>
      <c r="P33924" s="13"/>
    </row>
    <row r="33925">
      <c r="L33925" s="13"/>
      <c r="M33925" s="14"/>
      <c r="N33925" s="14"/>
      <c r="O33925" s="14"/>
      <c r="P33925" s="13"/>
    </row>
    <row r="33926">
      <c r="L33926" s="13"/>
      <c r="M33926" s="14"/>
      <c r="N33926" s="14"/>
      <c r="O33926" s="14"/>
      <c r="P33926" s="13"/>
    </row>
    <row r="33927">
      <c r="L33927" s="13"/>
      <c r="M33927" s="14"/>
      <c r="N33927" s="14"/>
      <c r="O33927" s="14"/>
      <c r="P33927" s="13"/>
    </row>
    <row r="33928">
      <c r="L33928" s="13"/>
      <c r="M33928" s="14"/>
      <c r="N33928" s="14"/>
      <c r="O33928" s="14"/>
      <c r="P33928" s="13"/>
    </row>
    <row r="33929">
      <c r="L33929" s="13"/>
      <c r="M33929" s="14"/>
      <c r="N33929" s="14"/>
      <c r="O33929" s="14"/>
      <c r="P33929" s="13"/>
    </row>
    <row r="33930">
      <c r="L33930" s="13"/>
      <c r="M33930" s="14"/>
      <c r="N33930" s="14"/>
      <c r="O33930" s="14"/>
      <c r="P33930" s="13"/>
    </row>
    <row r="33931">
      <c r="L33931" s="13"/>
      <c r="M33931" s="14"/>
      <c r="N33931" s="14"/>
      <c r="O33931" s="14"/>
      <c r="P33931" s="13"/>
    </row>
    <row r="33932">
      <c r="L33932" s="13"/>
      <c r="M33932" s="14"/>
      <c r="N33932" s="14"/>
      <c r="O33932" s="14"/>
      <c r="P33932" s="13"/>
    </row>
    <row r="33933">
      <c r="L33933" s="13"/>
      <c r="M33933" s="14"/>
      <c r="N33933" s="14"/>
      <c r="O33933" s="14"/>
      <c r="P33933" s="13"/>
    </row>
    <row r="33934">
      <c r="L33934" s="13"/>
      <c r="M33934" s="14"/>
      <c r="N33934" s="14"/>
      <c r="O33934" s="14"/>
      <c r="P33934" s="13"/>
    </row>
    <row r="33935">
      <c r="L33935" s="13"/>
      <c r="M33935" s="14"/>
      <c r="N33935" s="14"/>
      <c r="O33935" s="14"/>
      <c r="P33935" s="13"/>
    </row>
    <row r="33936">
      <c r="L33936" s="13"/>
      <c r="M33936" s="14"/>
      <c r="N33936" s="14"/>
      <c r="O33936" s="14"/>
      <c r="P33936" s="13"/>
    </row>
    <row r="33937">
      <c r="L33937" s="13"/>
      <c r="M33937" s="14"/>
      <c r="N33937" s="14"/>
      <c r="O33937" s="14"/>
      <c r="P33937" s="13"/>
    </row>
    <row r="33938">
      <c r="L33938" s="13"/>
      <c r="M33938" s="14"/>
      <c r="N33938" s="14"/>
      <c r="O33938" s="14"/>
      <c r="P33938" s="13"/>
    </row>
    <row r="33939">
      <c r="L33939" s="13"/>
      <c r="M33939" s="14"/>
      <c r="N33939" s="14"/>
      <c r="O33939" s="14"/>
      <c r="P33939" s="13"/>
    </row>
    <row r="33940">
      <c r="L33940" s="13"/>
      <c r="M33940" s="14"/>
      <c r="N33940" s="14"/>
      <c r="O33940" s="14"/>
      <c r="P33940" s="13"/>
    </row>
    <row r="33941">
      <c r="L33941" s="13"/>
      <c r="M33941" s="14"/>
      <c r="N33941" s="14"/>
      <c r="O33941" s="14"/>
      <c r="P33941" s="13"/>
    </row>
    <row r="33942">
      <c r="L33942" s="13"/>
      <c r="M33942" s="14"/>
      <c r="N33942" s="14"/>
      <c r="O33942" s="14"/>
      <c r="P33942" s="13"/>
    </row>
    <row r="33943">
      <c r="L33943" s="13"/>
      <c r="M33943" s="14"/>
      <c r="N33943" s="14"/>
      <c r="O33943" s="14"/>
      <c r="P33943" s="13"/>
    </row>
    <row r="33944">
      <c r="L33944" s="13"/>
      <c r="M33944" s="14"/>
      <c r="N33944" s="14"/>
      <c r="O33944" s="14"/>
      <c r="P33944" s="13"/>
    </row>
    <row r="33945">
      <c r="L33945" s="13"/>
      <c r="M33945" s="14"/>
      <c r="N33945" s="14"/>
      <c r="O33945" s="14"/>
      <c r="P33945" s="13"/>
    </row>
    <row r="33946">
      <c r="L33946" s="13"/>
      <c r="M33946" s="14"/>
      <c r="N33946" s="14"/>
      <c r="O33946" s="14"/>
      <c r="P33946" s="13"/>
    </row>
    <row r="33947">
      <c r="L33947" s="13"/>
      <c r="M33947" s="14"/>
      <c r="N33947" s="14"/>
      <c r="O33947" s="14"/>
      <c r="P33947" s="13"/>
    </row>
    <row r="33948">
      <c r="L33948" s="13"/>
      <c r="M33948" s="14"/>
      <c r="N33948" s="14"/>
      <c r="O33948" s="14"/>
      <c r="P33948" s="13"/>
    </row>
    <row r="33949">
      <c r="L33949" s="13"/>
      <c r="M33949" s="14"/>
      <c r="N33949" s="14"/>
      <c r="O33949" s="14"/>
      <c r="P33949" s="13"/>
    </row>
    <row r="33950">
      <c r="L33950" s="13"/>
      <c r="M33950" s="14"/>
      <c r="N33950" s="14"/>
      <c r="O33950" s="14"/>
      <c r="P33950" s="13"/>
    </row>
    <row r="33951">
      <c r="L33951" s="13"/>
      <c r="M33951" s="14"/>
      <c r="N33951" s="14"/>
      <c r="O33951" s="14"/>
      <c r="P33951" s="13"/>
    </row>
    <row r="33952">
      <c r="L33952" s="13"/>
      <c r="M33952" s="14"/>
      <c r="N33952" s="14"/>
      <c r="O33952" s="14"/>
      <c r="P33952" s="13"/>
    </row>
    <row r="33953">
      <c r="L33953" s="13"/>
      <c r="M33953" s="14"/>
      <c r="N33953" s="14"/>
      <c r="O33953" s="14"/>
      <c r="P33953" s="13"/>
    </row>
    <row r="33954">
      <c r="L33954" s="13"/>
      <c r="M33954" s="14"/>
      <c r="N33954" s="14"/>
      <c r="O33954" s="14"/>
      <c r="P33954" s="13"/>
    </row>
    <row r="33955">
      <c r="L33955" s="13"/>
      <c r="M33955" s="14"/>
      <c r="N33955" s="14"/>
      <c r="O33955" s="14"/>
      <c r="P33955" s="13"/>
    </row>
    <row r="33956">
      <c r="L33956" s="13"/>
      <c r="M33956" s="14"/>
      <c r="N33956" s="14"/>
      <c r="O33956" s="14"/>
      <c r="P33956" s="13"/>
    </row>
    <row r="33957">
      <c r="L33957" s="13"/>
      <c r="M33957" s="14"/>
      <c r="N33957" s="14"/>
      <c r="O33957" s="14"/>
      <c r="P33957" s="13"/>
    </row>
    <row r="33958">
      <c r="L33958" s="13"/>
      <c r="M33958" s="14"/>
      <c r="N33958" s="14"/>
      <c r="O33958" s="14"/>
      <c r="P33958" s="13"/>
    </row>
    <row r="33959">
      <c r="L33959" s="13"/>
      <c r="M33959" s="14"/>
      <c r="N33959" s="14"/>
      <c r="O33959" s="14"/>
      <c r="P33959" s="13"/>
    </row>
    <row r="33960">
      <c r="L33960" s="13"/>
      <c r="M33960" s="14"/>
      <c r="N33960" s="14"/>
      <c r="O33960" s="14"/>
      <c r="P33960" s="13"/>
    </row>
    <row r="33961">
      <c r="L33961" s="13"/>
      <c r="M33961" s="14"/>
      <c r="N33961" s="14"/>
      <c r="O33961" s="14"/>
      <c r="P33961" s="13"/>
    </row>
    <row r="33962">
      <c r="L33962" s="13"/>
      <c r="M33962" s="14"/>
      <c r="N33962" s="14"/>
      <c r="O33962" s="14"/>
      <c r="P33962" s="13"/>
    </row>
    <row r="33963">
      <c r="L33963" s="13"/>
      <c r="M33963" s="14"/>
      <c r="N33963" s="14"/>
      <c r="O33963" s="14"/>
      <c r="P33963" s="13"/>
    </row>
    <row r="33964">
      <c r="L33964" s="13"/>
      <c r="M33964" s="14"/>
      <c r="N33964" s="14"/>
      <c r="O33964" s="14"/>
      <c r="P33964" s="13"/>
    </row>
    <row r="33965">
      <c r="L33965" s="13"/>
      <c r="M33965" s="14"/>
      <c r="N33965" s="14"/>
      <c r="O33965" s="14"/>
      <c r="P33965" s="13"/>
    </row>
    <row r="33966">
      <c r="L33966" s="13"/>
      <c r="M33966" s="14"/>
      <c r="N33966" s="14"/>
      <c r="O33966" s="14"/>
      <c r="P33966" s="13"/>
    </row>
    <row r="33967">
      <c r="L33967" s="13"/>
      <c r="M33967" s="14"/>
      <c r="N33967" s="14"/>
      <c r="O33967" s="14"/>
      <c r="P33967" s="13"/>
    </row>
    <row r="33968">
      <c r="L33968" s="13"/>
      <c r="M33968" s="14"/>
      <c r="N33968" s="14"/>
      <c r="O33968" s="14"/>
      <c r="P33968" s="13"/>
    </row>
    <row r="33969">
      <c r="L33969" s="13"/>
      <c r="M33969" s="14"/>
      <c r="N33969" s="14"/>
      <c r="O33969" s="14"/>
      <c r="P33969" s="13"/>
    </row>
    <row r="33970">
      <c r="L33970" s="13"/>
      <c r="M33970" s="14"/>
      <c r="N33970" s="14"/>
      <c r="O33970" s="14"/>
      <c r="P33970" s="13"/>
    </row>
    <row r="33971">
      <c r="L33971" s="13"/>
      <c r="M33971" s="14"/>
      <c r="N33971" s="14"/>
      <c r="O33971" s="14"/>
      <c r="P33971" s="13"/>
    </row>
    <row r="33972">
      <c r="L33972" s="13"/>
      <c r="M33972" s="14"/>
      <c r="N33972" s="14"/>
      <c r="O33972" s="14"/>
      <c r="P33972" s="13"/>
    </row>
    <row r="33973">
      <c r="L33973" s="13"/>
      <c r="M33973" s="14"/>
      <c r="N33973" s="14"/>
      <c r="O33973" s="14"/>
      <c r="P33973" s="13"/>
    </row>
    <row r="33974">
      <c r="L33974" s="13"/>
      <c r="M33974" s="14"/>
      <c r="N33974" s="14"/>
      <c r="O33974" s="14"/>
      <c r="P33974" s="13"/>
    </row>
    <row r="33975">
      <c r="L33975" s="13"/>
      <c r="M33975" s="14"/>
      <c r="N33975" s="14"/>
      <c r="O33975" s="14"/>
      <c r="P33975" s="13"/>
    </row>
    <row r="33976">
      <c r="L33976" s="13"/>
      <c r="M33976" s="14"/>
      <c r="N33976" s="14"/>
      <c r="O33976" s="14"/>
      <c r="P33976" s="13"/>
    </row>
    <row r="33977">
      <c r="L33977" s="13"/>
      <c r="M33977" s="14"/>
      <c r="N33977" s="14"/>
      <c r="O33977" s="14"/>
      <c r="P33977" s="13"/>
    </row>
    <row r="33978">
      <c r="L33978" s="13"/>
      <c r="M33978" s="14"/>
      <c r="N33978" s="14"/>
      <c r="O33978" s="14"/>
      <c r="P33978" s="13"/>
    </row>
    <row r="33979">
      <c r="L33979" s="13"/>
      <c r="M33979" s="14"/>
      <c r="N33979" s="14"/>
      <c r="O33979" s="14"/>
      <c r="P33979" s="13"/>
    </row>
    <row r="33980">
      <c r="L33980" s="13"/>
      <c r="M33980" s="14"/>
      <c r="N33980" s="14"/>
      <c r="O33980" s="14"/>
      <c r="P33980" s="13"/>
    </row>
    <row r="33981">
      <c r="L33981" s="13"/>
      <c r="M33981" s="14"/>
      <c r="N33981" s="14"/>
      <c r="O33981" s="14"/>
      <c r="P33981" s="13"/>
    </row>
    <row r="33982">
      <c r="L33982" s="13"/>
      <c r="M33982" s="14"/>
      <c r="N33982" s="14"/>
      <c r="O33982" s="14"/>
      <c r="P33982" s="13"/>
    </row>
    <row r="33983">
      <c r="L33983" s="13"/>
      <c r="M33983" s="14"/>
      <c r="N33983" s="14"/>
      <c r="O33983" s="14"/>
      <c r="P33983" s="13"/>
    </row>
    <row r="33984">
      <c r="L33984" s="13"/>
      <c r="M33984" s="14"/>
      <c r="N33984" s="14"/>
      <c r="O33984" s="14"/>
      <c r="P33984" s="13"/>
    </row>
    <row r="33985">
      <c r="L33985" s="13"/>
      <c r="M33985" s="14"/>
      <c r="N33985" s="14"/>
      <c r="O33985" s="14"/>
      <c r="P33985" s="13"/>
    </row>
    <row r="33986">
      <c r="L33986" s="13"/>
      <c r="M33986" s="14"/>
      <c r="N33986" s="14"/>
      <c r="O33986" s="14"/>
      <c r="P33986" s="13"/>
    </row>
    <row r="33987">
      <c r="L33987" s="13"/>
      <c r="M33987" s="14"/>
      <c r="N33987" s="14"/>
      <c r="O33987" s="14"/>
      <c r="P33987" s="13"/>
    </row>
    <row r="33988">
      <c r="L33988" s="13"/>
      <c r="M33988" s="14"/>
      <c r="N33988" s="14"/>
      <c r="O33988" s="14"/>
      <c r="P33988" s="13"/>
    </row>
    <row r="33989">
      <c r="L33989" s="13"/>
      <c r="M33989" s="14"/>
      <c r="N33989" s="14"/>
      <c r="O33989" s="14"/>
      <c r="P33989" s="13"/>
    </row>
    <row r="33990">
      <c r="L33990" s="13"/>
      <c r="M33990" s="14"/>
      <c r="N33990" s="14"/>
      <c r="O33990" s="14"/>
      <c r="P33990" s="13"/>
    </row>
    <row r="33991">
      <c r="L33991" s="13"/>
      <c r="M33991" s="14"/>
      <c r="N33991" s="14"/>
      <c r="O33991" s="14"/>
      <c r="P33991" s="13"/>
    </row>
    <row r="33992">
      <c r="L33992" s="13"/>
      <c r="M33992" s="14"/>
      <c r="N33992" s="14"/>
      <c r="O33992" s="14"/>
      <c r="P33992" s="13"/>
    </row>
    <row r="33993">
      <c r="L33993" s="13"/>
      <c r="M33993" s="14"/>
      <c r="N33993" s="14"/>
      <c r="O33993" s="14"/>
      <c r="P33993" s="13"/>
    </row>
    <row r="33994">
      <c r="L33994" s="13"/>
      <c r="M33994" s="14"/>
      <c r="N33994" s="14"/>
      <c r="O33994" s="14"/>
      <c r="P33994" s="13"/>
    </row>
    <row r="33995">
      <c r="L33995" s="13"/>
      <c r="M33995" s="14"/>
      <c r="N33995" s="14"/>
      <c r="O33995" s="14"/>
      <c r="P33995" s="13"/>
    </row>
    <row r="33996">
      <c r="L33996" s="13"/>
      <c r="M33996" s="14"/>
      <c r="N33996" s="14"/>
      <c r="O33996" s="14"/>
      <c r="P33996" s="13"/>
    </row>
    <row r="33997">
      <c r="L33997" s="13"/>
      <c r="M33997" s="14"/>
      <c r="N33997" s="14"/>
      <c r="O33997" s="14"/>
      <c r="P33997" s="13"/>
    </row>
    <row r="33998">
      <c r="L33998" s="13"/>
      <c r="M33998" s="14"/>
      <c r="N33998" s="14"/>
      <c r="O33998" s="14"/>
      <c r="P33998" s="13"/>
    </row>
    <row r="33999">
      <c r="L33999" s="13"/>
      <c r="M33999" s="14"/>
      <c r="N33999" s="14"/>
      <c r="O33999" s="14"/>
      <c r="P33999" s="13"/>
    </row>
    <row r="34000">
      <c r="L34000" s="13"/>
      <c r="M34000" s="14"/>
      <c r="N34000" s="14"/>
      <c r="O34000" s="14"/>
      <c r="P34000" s="13"/>
    </row>
    <row r="34001">
      <c r="L34001" s="13"/>
      <c r="M34001" s="14"/>
      <c r="N34001" s="14"/>
      <c r="O34001" s="14"/>
      <c r="P34001" s="13"/>
    </row>
    <row r="34002">
      <c r="L34002" s="13"/>
      <c r="M34002" s="14"/>
      <c r="N34002" s="14"/>
      <c r="O34002" s="14"/>
      <c r="P34002" s="13"/>
    </row>
    <row r="34003">
      <c r="L34003" s="13"/>
      <c r="M34003" s="14"/>
      <c r="N34003" s="14"/>
      <c r="O34003" s="14"/>
      <c r="P34003" s="13"/>
    </row>
    <row r="34004">
      <c r="L34004" s="13"/>
      <c r="M34004" s="14"/>
      <c r="N34004" s="14"/>
      <c r="O34004" s="14"/>
      <c r="P34004" s="13"/>
    </row>
    <row r="34005">
      <c r="L34005" s="13"/>
      <c r="M34005" s="14"/>
      <c r="N34005" s="14"/>
      <c r="O34005" s="14"/>
      <c r="P34005" s="13"/>
    </row>
    <row r="34006">
      <c r="L34006" s="13"/>
      <c r="M34006" s="14"/>
      <c r="N34006" s="14"/>
      <c r="O34006" s="14"/>
      <c r="P34006" s="13"/>
    </row>
    <row r="34007">
      <c r="L34007" s="13"/>
      <c r="M34007" s="14"/>
      <c r="N34007" s="14"/>
      <c r="O34007" s="14"/>
      <c r="P34007" s="13"/>
    </row>
    <row r="34008">
      <c r="L34008" s="13"/>
      <c r="M34008" s="14"/>
      <c r="N34008" s="14"/>
      <c r="O34008" s="14"/>
      <c r="P34008" s="13"/>
    </row>
    <row r="34009">
      <c r="L34009" s="13"/>
      <c r="M34009" s="14"/>
      <c r="N34009" s="14"/>
      <c r="O34009" s="14"/>
      <c r="P34009" s="13"/>
    </row>
    <row r="34010">
      <c r="L34010" s="13"/>
      <c r="M34010" s="14"/>
      <c r="N34010" s="14"/>
      <c r="O34010" s="14"/>
      <c r="P34010" s="13"/>
    </row>
    <row r="34011">
      <c r="L34011" s="13"/>
      <c r="M34011" s="14"/>
      <c r="N34011" s="14"/>
      <c r="O34011" s="14"/>
      <c r="P34011" s="13"/>
    </row>
    <row r="34012">
      <c r="L34012" s="13"/>
      <c r="M34012" s="14"/>
      <c r="N34012" s="14"/>
      <c r="O34012" s="14"/>
      <c r="P34012" s="13"/>
    </row>
    <row r="34013">
      <c r="L34013" s="13"/>
      <c r="M34013" s="14"/>
      <c r="N34013" s="14"/>
      <c r="O34013" s="14"/>
      <c r="P34013" s="13"/>
    </row>
    <row r="34014">
      <c r="L34014" s="13"/>
      <c r="M34014" s="14"/>
      <c r="N34014" s="14"/>
      <c r="O34014" s="14"/>
      <c r="P34014" s="13"/>
    </row>
    <row r="34015">
      <c r="L34015" s="13"/>
      <c r="M34015" s="14"/>
      <c r="N34015" s="14"/>
      <c r="O34015" s="14"/>
      <c r="P34015" s="13"/>
    </row>
    <row r="34016">
      <c r="L34016" s="13"/>
      <c r="M34016" s="14"/>
      <c r="N34016" s="14"/>
      <c r="O34016" s="14"/>
      <c r="P34016" s="13"/>
    </row>
    <row r="34017">
      <c r="L34017" s="13"/>
      <c r="M34017" s="14"/>
      <c r="N34017" s="14"/>
      <c r="O34017" s="14"/>
      <c r="P34017" s="13"/>
    </row>
    <row r="34018">
      <c r="L34018" s="13"/>
      <c r="M34018" s="14"/>
      <c r="N34018" s="14"/>
      <c r="O34018" s="14"/>
      <c r="P34018" s="13"/>
    </row>
    <row r="34019">
      <c r="L34019" s="13"/>
      <c r="M34019" s="14"/>
      <c r="N34019" s="14"/>
      <c r="O34019" s="14"/>
      <c r="P34019" s="13"/>
    </row>
    <row r="34020">
      <c r="L34020" s="13"/>
      <c r="M34020" s="14"/>
      <c r="N34020" s="14"/>
      <c r="O34020" s="14"/>
      <c r="P34020" s="13"/>
    </row>
    <row r="34021">
      <c r="L34021" s="13"/>
      <c r="M34021" s="14"/>
      <c r="N34021" s="14"/>
      <c r="O34021" s="14"/>
      <c r="P34021" s="13"/>
    </row>
    <row r="34022">
      <c r="L34022" s="13"/>
      <c r="M34022" s="14"/>
      <c r="N34022" s="14"/>
      <c r="O34022" s="14"/>
      <c r="P34022" s="13"/>
    </row>
    <row r="34023">
      <c r="L34023" s="13"/>
      <c r="M34023" s="14"/>
      <c r="N34023" s="14"/>
      <c r="O34023" s="14"/>
      <c r="P34023" s="13"/>
    </row>
    <row r="34024">
      <c r="L34024" s="13"/>
      <c r="M34024" s="14"/>
      <c r="N34024" s="14"/>
      <c r="O34024" s="14"/>
      <c r="P34024" s="13"/>
    </row>
    <row r="34025">
      <c r="L34025" s="13"/>
      <c r="M34025" s="14"/>
      <c r="N34025" s="14"/>
      <c r="O34025" s="14"/>
      <c r="P34025" s="13"/>
    </row>
    <row r="34026">
      <c r="L34026" s="13"/>
      <c r="M34026" s="14"/>
      <c r="N34026" s="14"/>
      <c r="O34026" s="14"/>
      <c r="P34026" s="13"/>
    </row>
    <row r="34027">
      <c r="L34027" s="13"/>
      <c r="M34027" s="14"/>
      <c r="N34027" s="14"/>
      <c r="O34027" s="14"/>
      <c r="P34027" s="13"/>
    </row>
    <row r="34028">
      <c r="L34028" s="13"/>
      <c r="M34028" s="14"/>
      <c r="N34028" s="14"/>
      <c r="O34028" s="14"/>
      <c r="P34028" s="13"/>
    </row>
    <row r="34029">
      <c r="L34029" s="13"/>
      <c r="M34029" s="14"/>
      <c r="N34029" s="14"/>
      <c r="O34029" s="14"/>
      <c r="P34029" s="13"/>
    </row>
    <row r="34030">
      <c r="L34030" s="13"/>
      <c r="M34030" s="14"/>
      <c r="N34030" s="14"/>
      <c r="O34030" s="14"/>
      <c r="P34030" s="13"/>
    </row>
    <row r="34031">
      <c r="L34031" s="13"/>
      <c r="M34031" s="14"/>
      <c r="N34031" s="14"/>
      <c r="O34031" s="14"/>
      <c r="P34031" s="13"/>
    </row>
    <row r="34032">
      <c r="L34032" s="13"/>
      <c r="M34032" s="14"/>
      <c r="N34032" s="14"/>
      <c r="O34032" s="14"/>
      <c r="P34032" s="13"/>
    </row>
    <row r="34033">
      <c r="L34033" s="13"/>
      <c r="M34033" s="14"/>
      <c r="N34033" s="14"/>
      <c r="O34033" s="14"/>
      <c r="P34033" s="13"/>
    </row>
    <row r="34034">
      <c r="L34034" s="13"/>
      <c r="M34034" s="14"/>
      <c r="N34034" s="14"/>
      <c r="O34034" s="14"/>
      <c r="P34034" s="13"/>
    </row>
    <row r="34035">
      <c r="L34035" s="13"/>
      <c r="M34035" s="14"/>
      <c r="N34035" s="14"/>
      <c r="O34035" s="14"/>
      <c r="P34035" s="13"/>
    </row>
    <row r="34036">
      <c r="L34036" s="13"/>
      <c r="M34036" s="14"/>
      <c r="N34036" s="14"/>
      <c r="O34036" s="14"/>
      <c r="P34036" s="13"/>
    </row>
    <row r="34037">
      <c r="L34037" s="13"/>
      <c r="M34037" s="14"/>
      <c r="N34037" s="14"/>
      <c r="O34037" s="14"/>
      <c r="P34037" s="13"/>
    </row>
    <row r="34038">
      <c r="L34038" s="13"/>
      <c r="M34038" s="14"/>
      <c r="N34038" s="14"/>
      <c r="O34038" s="14"/>
      <c r="P34038" s="13"/>
    </row>
    <row r="34039">
      <c r="L34039" s="13"/>
      <c r="M34039" s="14"/>
      <c r="N34039" s="14"/>
      <c r="O34039" s="14"/>
      <c r="P34039" s="13"/>
    </row>
    <row r="34040">
      <c r="L34040" s="13"/>
      <c r="M34040" s="14"/>
      <c r="N34040" s="14"/>
      <c r="O34040" s="14"/>
      <c r="P34040" s="13"/>
    </row>
    <row r="34041">
      <c r="L34041" s="13"/>
      <c r="M34041" s="14"/>
      <c r="N34041" s="14"/>
      <c r="O34041" s="14"/>
      <c r="P34041" s="13"/>
    </row>
    <row r="34042">
      <c r="L34042" s="13"/>
      <c r="M34042" s="14"/>
      <c r="N34042" s="14"/>
      <c r="O34042" s="14"/>
      <c r="P34042" s="13"/>
    </row>
    <row r="34043">
      <c r="L34043" s="13"/>
      <c r="M34043" s="14"/>
      <c r="N34043" s="14"/>
      <c r="O34043" s="14"/>
      <c r="P34043" s="13"/>
    </row>
    <row r="34044">
      <c r="L34044" s="13"/>
      <c r="M34044" s="14"/>
      <c r="N34044" s="14"/>
      <c r="O34044" s="14"/>
      <c r="P34044" s="13"/>
    </row>
    <row r="34045">
      <c r="L34045" s="13"/>
      <c r="M34045" s="14"/>
      <c r="N34045" s="14"/>
      <c r="O34045" s="14"/>
      <c r="P34045" s="13"/>
    </row>
    <row r="34046">
      <c r="L34046" s="13"/>
      <c r="M34046" s="14"/>
      <c r="N34046" s="14"/>
      <c r="O34046" s="14"/>
      <c r="P34046" s="13"/>
    </row>
    <row r="34047">
      <c r="L34047" s="13"/>
      <c r="M34047" s="14"/>
      <c r="N34047" s="14"/>
      <c r="O34047" s="14"/>
      <c r="P34047" s="13"/>
    </row>
    <row r="34048">
      <c r="L34048" s="13"/>
      <c r="M34048" s="14"/>
      <c r="N34048" s="14"/>
      <c r="O34048" s="14"/>
      <c r="P34048" s="13"/>
    </row>
    <row r="34049">
      <c r="L34049" s="13"/>
      <c r="M34049" s="14"/>
      <c r="N34049" s="14"/>
      <c r="O34049" s="14"/>
      <c r="P34049" s="13"/>
    </row>
    <row r="34050">
      <c r="L34050" s="13"/>
      <c r="M34050" s="14"/>
      <c r="N34050" s="14"/>
      <c r="O34050" s="14"/>
      <c r="P34050" s="13"/>
    </row>
    <row r="34051">
      <c r="L34051" s="13"/>
      <c r="M34051" s="14"/>
      <c r="N34051" s="14"/>
      <c r="O34051" s="14"/>
      <c r="P34051" s="13"/>
    </row>
    <row r="34052">
      <c r="L34052" s="13"/>
      <c r="M34052" s="14"/>
      <c r="N34052" s="14"/>
      <c r="O34052" s="14"/>
      <c r="P34052" s="13"/>
    </row>
    <row r="34053">
      <c r="L34053" s="13"/>
      <c r="M34053" s="14"/>
      <c r="N34053" s="14"/>
      <c r="O34053" s="14"/>
      <c r="P34053" s="13"/>
    </row>
    <row r="34054">
      <c r="L34054" s="13"/>
      <c r="M34054" s="14"/>
      <c r="N34054" s="14"/>
      <c r="O34054" s="14"/>
      <c r="P34054" s="13"/>
    </row>
    <row r="34055">
      <c r="L34055" s="13"/>
      <c r="M34055" s="14"/>
      <c r="N34055" s="14"/>
      <c r="O34055" s="14"/>
      <c r="P34055" s="13"/>
    </row>
    <row r="34056">
      <c r="L34056" s="13"/>
      <c r="M34056" s="14"/>
      <c r="N34056" s="14"/>
      <c r="O34056" s="14"/>
      <c r="P34056" s="13"/>
    </row>
    <row r="34057">
      <c r="L34057" s="13"/>
      <c r="M34057" s="14"/>
      <c r="N34057" s="14"/>
      <c r="O34057" s="14"/>
      <c r="P34057" s="13"/>
    </row>
    <row r="34058">
      <c r="L34058" s="13"/>
      <c r="M34058" s="14"/>
      <c r="N34058" s="14"/>
      <c r="O34058" s="14"/>
      <c r="P34058" s="13"/>
    </row>
    <row r="34059">
      <c r="L34059" s="13"/>
      <c r="M34059" s="14"/>
      <c r="N34059" s="14"/>
      <c r="O34059" s="14"/>
      <c r="P34059" s="13"/>
    </row>
    <row r="34060">
      <c r="L34060" s="13"/>
      <c r="M34060" s="14"/>
      <c r="N34060" s="14"/>
      <c r="O34060" s="14"/>
      <c r="P34060" s="13"/>
    </row>
    <row r="34061">
      <c r="L34061" s="13"/>
      <c r="M34061" s="14"/>
      <c r="N34061" s="14"/>
      <c r="O34061" s="14"/>
      <c r="P34061" s="13"/>
    </row>
    <row r="34062">
      <c r="L34062" s="13"/>
      <c r="M34062" s="14"/>
      <c r="N34062" s="14"/>
      <c r="O34062" s="14"/>
      <c r="P34062" s="13"/>
    </row>
    <row r="34063">
      <c r="L34063" s="13"/>
      <c r="M34063" s="14"/>
      <c r="N34063" s="14"/>
      <c r="O34063" s="14"/>
      <c r="P34063" s="13"/>
    </row>
    <row r="34064">
      <c r="L34064" s="13"/>
      <c r="M34064" s="14"/>
      <c r="N34064" s="14"/>
      <c r="O34064" s="14"/>
      <c r="P34064" s="13"/>
    </row>
    <row r="34065">
      <c r="L34065" s="13"/>
      <c r="M34065" s="14"/>
      <c r="N34065" s="14"/>
      <c r="O34065" s="14"/>
      <c r="P34065" s="13"/>
    </row>
    <row r="34066">
      <c r="L34066" s="13"/>
      <c r="M34066" s="14"/>
      <c r="N34066" s="14"/>
      <c r="O34066" s="14"/>
      <c r="P34066" s="13"/>
    </row>
    <row r="34067">
      <c r="L34067" s="13"/>
      <c r="M34067" s="14"/>
      <c r="N34067" s="14"/>
      <c r="O34067" s="14"/>
      <c r="P34067" s="13"/>
    </row>
    <row r="34068">
      <c r="L34068" s="13"/>
      <c r="M34068" s="14"/>
      <c r="N34068" s="14"/>
      <c r="O34068" s="14"/>
      <c r="P34068" s="13"/>
    </row>
    <row r="34069">
      <c r="L34069" s="13"/>
      <c r="M34069" s="14"/>
      <c r="N34069" s="14"/>
      <c r="O34069" s="14"/>
      <c r="P34069" s="13"/>
    </row>
    <row r="34070">
      <c r="L34070" s="13"/>
      <c r="M34070" s="14"/>
      <c r="N34070" s="14"/>
      <c r="O34070" s="14"/>
      <c r="P34070" s="13"/>
    </row>
    <row r="34071">
      <c r="L34071" s="13"/>
      <c r="M34071" s="14"/>
      <c r="N34071" s="14"/>
      <c r="O34071" s="14"/>
      <c r="P34071" s="13"/>
    </row>
    <row r="34072">
      <c r="L34072" s="13"/>
      <c r="M34072" s="14"/>
      <c r="N34072" s="14"/>
      <c r="O34072" s="14"/>
      <c r="P34072" s="13"/>
    </row>
    <row r="34073">
      <c r="L34073" s="13"/>
      <c r="M34073" s="14"/>
      <c r="N34073" s="14"/>
      <c r="O34073" s="14"/>
      <c r="P34073" s="13"/>
    </row>
    <row r="34074">
      <c r="L34074" s="13"/>
      <c r="M34074" s="14"/>
      <c r="N34074" s="14"/>
      <c r="O34074" s="14"/>
      <c r="P34074" s="13"/>
    </row>
    <row r="34075">
      <c r="L34075" s="13"/>
      <c r="M34075" s="14"/>
      <c r="N34075" s="14"/>
      <c r="O34075" s="14"/>
      <c r="P34075" s="13"/>
    </row>
    <row r="34076">
      <c r="L34076" s="13"/>
      <c r="M34076" s="14"/>
      <c r="N34076" s="14"/>
      <c r="O34076" s="14"/>
      <c r="P34076" s="13"/>
    </row>
    <row r="34077">
      <c r="L34077" s="13"/>
      <c r="M34077" s="14"/>
      <c r="N34077" s="14"/>
      <c r="O34077" s="14"/>
      <c r="P34077" s="13"/>
    </row>
    <row r="34078">
      <c r="L34078" s="13"/>
      <c r="M34078" s="14"/>
      <c r="N34078" s="14"/>
      <c r="O34078" s="14"/>
      <c r="P34078" s="13"/>
    </row>
    <row r="34079">
      <c r="L34079" s="13"/>
      <c r="M34079" s="14"/>
      <c r="N34079" s="14"/>
      <c r="O34079" s="14"/>
      <c r="P34079" s="13"/>
    </row>
    <row r="34080">
      <c r="L34080" s="13"/>
      <c r="M34080" s="14"/>
      <c r="N34080" s="14"/>
      <c r="O34080" s="14"/>
      <c r="P34080" s="13"/>
    </row>
    <row r="34081">
      <c r="L34081" s="13"/>
      <c r="M34081" s="14"/>
      <c r="N34081" s="14"/>
      <c r="O34081" s="14"/>
      <c r="P34081" s="13"/>
    </row>
    <row r="34082">
      <c r="L34082" s="13"/>
      <c r="M34082" s="14"/>
      <c r="N34082" s="14"/>
      <c r="O34082" s="14"/>
      <c r="P34082" s="13"/>
    </row>
    <row r="34083">
      <c r="L34083" s="13"/>
      <c r="M34083" s="14"/>
      <c r="N34083" s="14"/>
      <c r="O34083" s="14"/>
      <c r="P34083" s="13"/>
    </row>
    <row r="34084">
      <c r="L34084" s="13"/>
      <c r="M34084" s="14"/>
      <c r="N34084" s="14"/>
      <c r="O34084" s="14"/>
      <c r="P34084" s="13"/>
    </row>
    <row r="34085">
      <c r="L34085" s="13"/>
      <c r="M34085" s="14"/>
      <c r="N34085" s="14"/>
      <c r="O34085" s="14"/>
      <c r="P34085" s="13"/>
    </row>
    <row r="34086">
      <c r="L34086" s="13"/>
      <c r="M34086" s="14"/>
      <c r="N34086" s="14"/>
      <c r="O34086" s="14"/>
      <c r="P34086" s="13"/>
    </row>
    <row r="34087">
      <c r="L34087" s="13"/>
      <c r="M34087" s="14"/>
      <c r="N34087" s="14"/>
      <c r="O34087" s="14"/>
      <c r="P34087" s="13"/>
    </row>
    <row r="34088">
      <c r="L34088" s="13"/>
      <c r="M34088" s="14"/>
      <c r="N34088" s="14"/>
      <c r="O34088" s="14"/>
      <c r="P34088" s="13"/>
    </row>
    <row r="34089">
      <c r="L34089" s="13"/>
      <c r="M34089" s="14"/>
      <c r="N34089" s="14"/>
      <c r="O34089" s="14"/>
      <c r="P34089" s="13"/>
    </row>
    <row r="34090">
      <c r="L34090" s="13"/>
      <c r="M34090" s="14"/>
      <c r="N34090" s="14"/>
      <c r="O34090" s="14"/>
      <c r="P34090" s="13"/>
    </row>
    <row r="34091">
      <c r="L34091" s="13"/>
      <c r="M34091" s="14"/>
      <c r="N34091" s="14"/>
      <c r="O34091" s="14"/>
      <c r="P34091" s="13"/>
    </row>
    <row r="34092">
      <c r="L34092" s="13"/>
      <c r="M34092" s="14"/>
      <c r="N34092" s="14"/>
      <c r="O34092" s="14"/>
      <c r="P34092" s="13"/>
    </row>
    <row r="34093">
      <c r="L34093" s="13"/>
      <c r="M34093" s="14"/>
      <c r="N34093" s="14"/>
      <c r="O34093" s="14"/>
      <c r="P34093" s="13"/>
    </row>
    <row r="34094">
      <c r="L34094" s="13"/>
      <c r="M34094" s="14"/>
      <c r="N34094" s="14"/>
      <c r="O34094" s="14"/>
      <c r="P34094" s="13"/>
    </row>
    <row r="34095">
      <c r="L34095" s="13"/>
      <c r="M34095" s="14"/>
      <c r="N34095" s="14"/>
      <c r="O34095" s="14"/>
      <c r="P34095" s="13"/>
    </row>
    <row r="34096">
      <c r="L34096" s="13"/>
      <c r="M34096" s="14"/>
      <c r="N34096" s="14"/>
      <c r="O34096" s="14"/>
      <c r="P34096" s="13"/>
    </row>
    <row r="34097">
      <c r="L34097" s="13"/>
      <c r="M34097" s="14"/>
      <c r="N34097" s="14"/>
      <c r="O34097" s="14"/>
      <c r="P34097" s="13"/>
    </row>
    <row r="34098">
      <c r="L34098" s="13"/>
      <c r="M34098" s="14"/>
      <c r="N34098" s="14"/>
      <c r="O34098" s="14"/>
      <c r="P34098" s="13"/>
    </row>
    <row r="34099">
      <c r="L34099" s="13"/>
      <c r="M34099" s="14"/>
      <c r="N34099" s="14"/>
      <c r="O34099" s="14"/>
      <c r="P34099" s="13"/>
    </row>
    <row r="34100">
      <c r="L34100" s="13"/>
      <c r="M34100" s="14"/>
      <c r="N34100" s="14"/>
      <c r="O34100" s="14"/>
      <c r="P34100" s="13"/>
    </row>
    <row r="34101">
      <c r="L34101" s="13"/>
      <c r="M34101" s="14"/>
      <c r="N34101" s="14"/>
      <c r="O34101" s="14"/>
      <c r="P34101" s="13"/>
    </row>
    <row r="34102">
      <c r="L34102" s="13"/>
      <c r="M34102" s="14"/>
      <c r="N34102" s="14"/>
      <c r="O34102" s="14"/>
      <c r="P34102" s="13"/>
    </row>
    <row r="34103">
      <c r="L34103" s="13"/>
      <c r="M34103" s="14"/>
      <c r="N34103" s="14"/>
      <c r="O34103" s="14"/>
      <c r="P34103" s="13"/>
    </row>
    <row r="34104">
      <c r="L34104" s="13"/>
      <c r="M34104" s="14"/>
      <c r="N34104" s="14"/>
      <c r="O34104" s="14"/>
      <c r="P34104" s="13"/>
    </row>
    <row r="34105">
      <c r="L34105" s="13"/>
      <c r="M34105" s="14"/>
      <c r="N34105" s="14"/>
      <c r="O34105" s="14"/>
      <c r="P34105" s="13"/>
    </row>
    <row r="34106">
      <c r="L34106" s="13"/>
      <c r="M34106" s="14"/>
      <c r="N34106" s="14"/>
      <c r="O34106" s="14"/>
      <c r="P34106" s="13"/>
    </row>
    <row r="34107">
      <c r="L34107" s="13"/>
      <c r="M34107" s="14"/>
      <c r="N34107" s="14"/>
      <c r="O34107" s="14"/>
      <c r="P34107" s="13"/>
    </row>
    <row r="34108">
      <c r="L34108" s="13"/>
      <c r="M34108" s="14"/>
      <c r="N34108" s="14"/>
      <c r="O34108" s="14"/>
      <c r="P34108" s="13"/>
    </row>
    <row r="34109">
      <c r="L34109" s="13"/>
      <c r="M34109" s="14"/>
      <c r="N34109" s="14"/>
      <c r="O34109" s="14"/>
      <c r="P34109" s="13"/>
    </row>
    <row r="34110">
      <c r="L34110" s="13"/>
      <c r="M34110" s="14"/>
      <c r="N34110" s="14"/>
      <c r="O34110" s="14"/>
      <c r="P34110" s="13"/>
    </row>
    <row r="34111">
      <c r="L34111" s="13"/>
      <c r="M34111" s="14"/>
      <c r="N34111" s="14"/>
      <c r="O34111" s="14"/>
      <c r="P34111" s="13"/>
    </row>
    <row r="34112">
      <c r="L34112" s="13"/>
      <c r="M34112" s="14"/>
      <c r="N34112" s="14"/>
      <c r="O34112" s="14"/>
      <c r="P34112" s="13"/>
    </row>
    <row r="34113">
      <c r="L34113" s="13"/>
      <c r="M34113" s="14"/>
      <c r="N34113" s="14"/>
      <c r="O34113" s="14"/>
      <c r="P34113" s="13"/>
    </row>
    <row r="34114">
      <c r="L34114" s="13"/>
      <c r="M34114" s="14"/>
      <c r="N34114" s="14"/>
      <c r="O34114" s="14"/>
      <c r="P34114" s="13"/>
    </row>
    <row r="34115">
      <c r="L34115" s="13"/>
      <c r="M34115" s="14"/>
      <c r="N34115" s="14"/>
      <c r="O34115" s="14"/>
      <c r="P34115" s="13"/>
    </row>
    <row r="34116">
      <c r="L34116" s="13"/>
      <c r="M34116" s="14"/>
      <c r="N34116" s="14"/>
      <c r="O34116" s="14"/>
      <c r="P34116" s="13"/>
    </row>
    <row r="34117">
      <c r="L34117" s="13"/>
      <c r="M34117" s="14"/>
      <c r="N34117" s="14"/>
      <c r="O34117" s="14"/>
      <c r="P34117" s="13"/>
    </row>
    <row r="34118">
      <c r="L34118" s="13"/>
      <c r="M34118" s="14"/>
      <c r="N34118" s="14"/>
      <c r="O34118" s="14"/>
      <c r="P34118" s="13"/>
    </row>
    <row r="34119">
      <c r="L34119" s="13"/>
      <c r="M34119" s="14"/>
      <c r="N34119" s="14"/>
      <c r="O34119" s="14"/>
      <c r="P34119" s="13"/>
    </row>
    <row r="34120">
      <c r="L34120" s="13"/>
      <c r="M34120" s="14"/>
      <c r="N34120" s="14"/>
      <c r="O34120" s="14"/>
      <c r="P34120" s="13"/>
    </row>
    <row r="34121">
      <c r="L34121" s="13"/>
      <c r="M34121" s="14"/>
      <c r="N34121" s="14"/>
      <c r="O34121" s="14"/>
      <c r="P34121" s="13"/>
    </row>
    <row r="34122">
      <c r="L34122" s="13"/>
      <c r="M34122" s="14"/>
      <c r="N34122" s="14"/>
      <c r="O34122" s="14"/>
      <c r="P34122" s="13"/>
    </row>
    <row r="34123">
      <c r="L34123" s="13"/>
      <c r="M34123" s="14"/>
      <c r="N34123" s="14"/>
      <c r="O34123" s="14"/>
      <c r="P34123" s="13"/>
    </row>
    <row r="34124">
      <c r="L34124" s="13"/>
      <c r="M34124" s="14"/>
      <c r="N34124" s="14"/>
      <c r="O34124" s="14"/>
      <c r="P34124" s="13"/>
    </row>
    <row r="34125">
      <c r="L34125" s="13"/>
      <c r="M34125" s="14"/>
      <c r="N34125" s="14"/>
      <c r="O34125" s="14"/>
      <c r="P34125" s="13"/>
    </row>
    <row r="34126">
      <c r="L34126" s="13"/>
      <c r="M34126" s="14"/>
      <c r="N34126" s="14"/>
      <c r="O34126" s="14"/>
      <c r="P34126" s="13"/>
    </row>
    <row r="34127">
      <c r="L34127" s="13"/>
      <c r="M34127" s="14"/>
      <c r="N34127" s="14"/>
      <c r="O34127" s="14"/>
      <c r="P34127" s="13"/>
    </row>
    <row r="34128">
      <c r="L34128" s="13"/>
      <c r="M34128" s="14"/>
      <c r="N34128" s="14"/>
      <c r="O34128" s="14"/>
      <c r="P34128" s="13"/>
    </row>
    <row r="34129">
      <c r="L34129" s="13"/>
      <c r="M34129" s="14"/>
      <c r="N34129" s="14"/>
      <c r="O34129" s="14"/>
      <c r="P34129" s="13"/>
    </row>
    <row r="34130">
      <c r="L34130" s="13"/>
      <c r="M34130" s="14"/>
      <c r="N34130" s="14"/>
      <c r="O34130" s="14"/>
      <c r="P34130" s="13"/>
    </row>
    <row r="34131">
      <c r="L34131" s="13"/>
      <c r="M34131" s="14"/>
      <c r="N34131" s="14"/>
      <c r="O34131" s="14"/>
      <c r="P34131" s="13"/>
    </row>
    <row r="34132">
      <c r="L34132" s="13"/>
      <c r="M34132" s="14"/>
      <c r="N34132" s="14"/>
      <c r="O34132" s="14"/>
      <c r="P34132" s="13"/>
    </row>
    <row r="34133">
      <c r="L34133" s="13"/>
      <c r="M34133" s="14"/>
      <c r="N34133" s="14"/>
      <c r="O34133" s="14"/>
      <c r="P34133" s="13"/>
    </row>
    <row r="34134">
      <c r="L34134" s="13"/>
      <c r="M34134" s="14"/>
      <c r="N34134" s="14"/>
      <c r="O34134" s="14"/>
      <c r="P34134" s="13"/>
    </row>
    <row r="34135">
      <c r="L34135" s="13"/>
      <c r="M34135" s="14"/>
      <c r="N34135" s="14"/>
      <c r="O34135" s="14"/>
      <c r="P34135" s="13"/>
    </row>
    <row r="34136">
      <c r="L34136" s="13"/>
      <c r="M34136" s="14"/>
      <c r="N34136" s="14"/>
      <c r="O34136" s="14"/>
      <c r="P34136" s="13"/>
    </row>
    <row r="34137">
      <c r="L34137" s="13"/>
      <c r="M34137" s="14"/>
      <c r="N34137" s="14"/>
      <c r="O34137" s="14"/>
      <c r="P34137" s="13"/>
    </row>
    <row r="34138">
      <c r="L34138" s="13"/>
      <c r="M34138" s="14"/>
      <c r="N34138" s="14"/>
      <c r="O34138" s="14"/>
      <c r="P34138" s="13"/>
    </row>
    <row r="34139">
      <c r="L34139" s="13"/>
      <c r="M34139" s="14"/>
      <c r="N34139" s="14"/>
      <c r="O34139" s="14"/>
      <c r="P34139" s="13"/>
    </row>
    <row r="34140">
      <c r="L34140" s="13"/>
      <c r="M34140" s="14"/>
      <c r="N34140" s="14"/>
      <c r="O34140" s="14"/>
      <c r="P34140" s="13"/>
    </row>
    <row r="34141">
      <c r="L34141" s="13"/>
      <c r="M34141" s="14"/>
      <c r="N34141" s="14"/>
      <c r="O34141" s="14"/>
      <c r="P34141" s="13"/>
    </row>
    <row r="34142">
      <c r="L34142" s="13"/>
      <c r="M34142" s="14"/>
      <c r="N34142" s="14"/>
      <c r="O34142" s="14"/>
      <c r="P34142" s="13"/>
    </row>
    <row r="34143">
      <c r="L34143" s="13"/>
      <c r="M34143" s="14"/>
      <c r="N34143" s="14"/>
      <c r="O34143" s="14"/>
      <c r="P34143" s="13"/>
    </row>
    <row r="34144">
      <c r="L34144" s="13"/>
      <c r="M34144" s="14"/>
      <c r="N34144" s="14"/>
      <c r="O34144" s="14"/>
      <c r="P34144" s="13"/>
    </row>
    <row r="34145">
      <c r="L34145" s="13"/>
      <c r="M34145" s="14"/>
      <c r="N34145" s="14"/>
      <c r="O34145" s="14"/>
      <c r="P34145" s="13"/>
    </row>
    <row r="34146">
      <c r="L34146" s="13"/>
      <c r="M34146" s="14"/>
      <c r="N34146" s="14"/>
      <c r="O34146" s="14"/>
      <c r="P34146" s="13"/>
    </row>
    <row r="34147">
      <c r="L34147" s="13"/>
      <c r="M34147" s="14"/>
      <c r="N34147" s="14"/>
      <c r="O34147" s="14"/>
      <c r="P34147" s="13"/>
    </row>
    <row r="34148">
      <c r="L34148" s="13"/>
      <c r="M34148" s="14"/>
      <c r="N34148" s="14"/>
      <c r="O34148" s="14"/>
      <c r="P34148" s="13"/>
    </row>
    <row r="34149">
      <c r="L34149" s="13"/>
      <c r="M34149" s="14"/>
      <c r="N34149" s="14"/>
      <c r="O34149" s="14"/>
      <c r="P34149" s="13"/>
    </row>
    <row r="34150">
      <c r="L34150" s="13"/>
      <c r="M34150" s="14"/>
      <c r="N34150" s="14"/>
      <c r="O34150" s="14"/>
      <c r="P34150" s="13"/>
    </row>
    <row r="34151">
      <c r="L34151" s="13"/>
      <c r="M34151" s="14"/>
      <c r="N34151" s="14"/>
      <c r="O34151" s="14"/>
      <c r="P34151" s="13"/>
    </row>
    <row r="34152">
      <c r="L34152" s="13"/>
      <c r="M34152" s="14"/>
      <c r="N34152" s="14"/>
      <c r="O34152" s="14"/>
      <c r="P34152" s="13"/>
    </row>
    <row r="34153">
      <c r="L34153" s="13"/>
      <c r="M34153" s="14"/>
      <c r="N34153" s="14"/>
      <c r="O34153" s="14"/>
      <c r="P34153" s="13"/>
    </row>
    <row r="34154">
      <c r="L34154" s="13"/>
      <c r="M34154" s="14"/>
      <c r="N34154" s="14"/>
      <c r="O34154" s="14"/>
      <c r="P34154" s="13"/>
    </row>
    <row r="34155">
      <c r="L34155" s="13"/>
      <c r="M34155" s="14"/>
      <c r="N34155" s="14"/>
      <c r="O34155" s="14"/>
      <c r="P34155" s="13"/>
    </row>
    <row r="34156">
      <c r="L34156" s="13"/>
      <c r="M34156" s="14"/>
      <c r="N34156" s="14"/>
      <c r="O34156" s="14"/>
      <c r="P34156" s="13"/>
    </row>
    <row r="34157">
      <c r="L34157" s="13"/>
      <c r="M34157" s="14"/>
      <c r="N34157" s="14"/>
      <c r="O34157" s="14"/>
      <c r="P34157" s="13"/>
    </row>
    <row r="34158">
      <c r="L34158" s="13"/>
      <c r="M34158" s="14"/>
      <c r="N34158" s="14"/>
      <c r="O34158" s="14"/>
      <c r="P34158" s="13"/>
    </row>
    <row r="34159">
      <c r="L34159" s="13"/>
      <c r="M34159" s="14"/>
      <c r="N34159" s="14"/>
      <c r="O34159" s="14"/>
      <c r="P34159" s="13"/>
    </row>
    <row r="34160">
      <c r="L34160" s="13"/>
      <c r="M34160" s="14"/>
      <c r="N34160" s="14"/>
      <c r="O34160" s="14"/>
      <c r="P34160" s="13"/>
    </row>
    <row r="34161">
      <c r="L34161" s="13"/>
      <c r="M34161" s="14"/>
      <c r="N34161" s="14"/>
      <c r="O34161" s="14"/>
      <c r="P34161" s="13"/>
    </row>
    <row r="34162">
      <c r="L34162" s="13"/>
      <c r="M34162" s="14"/>
      <c r="N34162" s="14"/>
      <c r="O34162" s="14"/>
      <c r="P34162" s="13"/>
    </row>
    <row r="34163">
      <c r="L34163" s="13"/>
      <c r="M34163" s="14"/>
      <c r="N34163" s="14"/>
      <c r="O34163" s="14"/>
      <c r="P34163" s="13"/>
    </row>
    <row r="34164">
      <c r="L34164" s="13"/>
      <c r="M34164" s="14"/>
      <c r="N34164" s="14"/>
      <c r="O34164" s="14"/>
      <c r="P34164" s="13"/>
    </row>
    <row r="34165">
      <c r="L34165" s="13"/>
      <c r="M34165" s="14"/>
      <c r="N34165" s="14"/>
      <c r="O34165" s="14"/>
      <c r="P34165" s="13"/>
    </row>
    <row r="34166">
      <c r="L34166" s="13"/>
      <c r="M34166" s="14"/>
      <c r="N34166" s="14"/>
      <c r="O34166" s="14"/>
      <c r="P34166" s="13"/>
    </row>
    <row r="34167">
      <c r="L34167" s="13"/>
      <c r="M34167" s="14"/>
      <c r="N34167" s="14"/>
      <c r="O34167" s="14"/>
      <c r="P34167" s="13"/>
    </row>
    <row r="34168">
      <c r="L34168" s="13"/>
      <c r="M34168" s="14"/>
      <c r="N34168" s="14"/>
      <c r="O34168" s="14"/>
      <c r="P34168" s="13"/>
    </row>
    <row r="34169">
      <c r="L34169" s="13"/>
      <c r="M34169" s="14"/>
      <c r="N34169" s="14"/>
      <c r="O34169" s="14"/>
      <c r="P34169" s="13"/>
    </row>
    <row r="34170">
      <c r="L34170" s="13"/>
      <c r="M34170" s="14"/>
      <c r="N34170" s="14"/>
      <c r="O34170" s="14"/>
      <c r="P34170" s="13"/>
    </row>
    <row r="34171">
      <c r="L34171" s="13"/>
      <c r="M34171" s="14"/>
      <c r="N34171" s="14"/>
      <c r="O34171" s="14"/>
      <c r="P34171" s="13"/>
    </row>
    <row r="34172">
      <c r="L34172" s="13"/>
      <c r="M34172" s="14"/>
      <c r="N34172" s="14"/>
      <c r="O34172" s="14"/>
      <c r="P34172" s="13"/>
    </row>
    <row r="34173">
      <c r="L34173" s="13"/>
      <c r="M34173" s="14"/>
      <c r="N34173" s="14"/>
      <c r="O34173" s="14"/>
      <c r="P34173" s="13"/>
    </row>
    <row r="34174">
      <c r="L34174" s="13"/>
      <c r="M34174" s="14"/>
      <c r="N34174" s="14"/>
      <c r="O34174" s="14"/>
      <c r="P34174" s="13"/>
    </row>
    <row r="34175">
      <c r="L34175" s="13"/>
      <c r="M34175" s="14"/>
      <c r="N34175" s="14"/>
      <c r="O34175" s="14"/>
      <c r="P34175" s="13"/>
    </row>
    <row r="34176">
      <c r="L34176" s="13"/>
      <c r="M34176" s="14"/>
      <c r="N34176" s="14"/>
      <c r="O34176" s="14"/>
      <c r="P34176" s="13"/>
    </row>
    <row r="34177">
      <c r="L34177" s="13"/>
      <c r="M34177" s="14"/>
      <c r="N34177" s="14"/>
      <c r="O34177" s="14"/>
      <c r="P34177" s="13"/>
    </row>
    <row r="34178">
      <c r="L34178" s="13"/>
      <c r="M34178" s="14"/>
      <c r="N34178" s="14"/>
      <c r="O34178" s="14"/>
      <c r="P34178" s="13"/>
    </row>
    <row r="34179">
      <c r="L34179" s="13"/>
      <c r="M34179" s="14"/>
      <c r="N34179" s="14"/>
      <c r="O34179" s="14"/>
      <c r="P34179" s="13"/>
    </row>
    <row r="34180">
      <c r="L34180" s="13"/>
      <c r="M34180" s="14"/>
      <c r="N34180" s="14"/>
      <c r="O34180" s="14"/>
      <c r="P34180" s="13"/>
    </row>
    <row r="34181">
      <c r="L34181" s="13"/>
      <c r="M34181" s="14"/>
      <c r="N34181" s="14"/>
      <c r="O34181" s="14"/>
      <c r="P34181" s="13"/>
    </row>
    <row r="34182">
      <c r="L34182" s="13"/>
      <c r="M34182" s="14"/>
      <c r="N34182" s="14"/>
      <c r="O34182" s="14"/>
      <c r="P34182" s="13"/>
    </row>
    <row r="34183">
      <c r="L34183" s="13"/>
      <c r="M34183" s="14"/>
      <c r="N34183" s="14"/>
      <c r="O34183" s="14"/>
      <c r="P34183" s="13"/>
    </row>
    <row r="34184">
      <c r="L34184" s="13"/>
      <c r="M34184" s="14"/>
      <c r="N34184" s="14"/>
      <c r="O34184" s="14"/>
      <c r="P34184" s="13"/>
    </row>
    <row r="34185">
      <c r="L34185" s="13"/>
      <c r="M34185" s="14"/>
      <c r="N34185" s="14"/>
      <c r="O34185" s="14"/>
      <c r="P34185" s="13"/>
    </row>
    <row r="34186">
      <c r="L34186" s="13"/>
      <c r="M34186" s="14"/>
      <c r="N34186" s="14"/>
      <c r="O34186" s="14"/>
      <c r="P34186" s="13"/>
    </row>
    <row r="34187">
      <c r="L34187" s="13"/>
      <c r="M34187" s="14"/>
      <c r="N34187" s="14"/>
      <c r="O34187" s="14"/>
      <c r="P34187" s="13"/>
    </row>
    <row r="34188">
      <c r="L34188" s="13"/>
      <c r="M34188" s="14"/>
      <c r="N34188" s="14"/>
      <c r="O34188" s="14"/>
      <c r="P34188" s="13"/>
    </row>
    <row r="34189">
      <c r="L34189" s="13"/>
      <c r="M34189" s="14"/>
      <c r="N34189" s="14"/>
      <c r="O34189" s="14"/>
      <c r="P34189" s="13"/>
    </row>
    <row r="34190">
      <c r="L34190" s="13"/>
      <c r="M34190" s="14"/>
      <c r="N34190" s="14"/>
      <c r="O34190" s="14"/>
      <c r="P34190" s="13"/>
    </row>
    <row r="34191">
      <c r="L34191" s="13"/>
      <c r="M34191" s="14"/>
      <c r="N34191" s="14"/>
      <c r="O34191" s="14"/>
      <c r="P34191" s="13"/>
    </row>
    <row r="34192">
      <c r="L34192" s="13"/>
      <c r="M34192" s="14"/>
      <c r="N34192" s="14"/>
      <c r="O34192" s="14"/>
      <c r="P34192" s="13"/>
    </row>
    <row r="34193">
      <c r="L34193" s="13"/>
      <c r="M34193" s="14"/>
      <c r="N34193" s="14"/>
      <c r="O34193" s="14"/>
      <c r="P34193" s="13"/>
    </row>
    <row r="34194">
      <c r="L34194" s="13"/>
      <c r="M34194" s="14"/>
      <c r="N34194" s="14"/>
      <c r="O34194" s="14"/>
      <c r="P34194" s="13"/>
    </row>
    <row r="34195">
      <c r="L34195" s="13"/>
      <c r="M34195" s="14"/>
      <c r="N34195" s="14"/>
      <c r="O34195" s="14"/>
      <c r="P34195" s="13"/>
    </row>
    <row r="34196">
      <c r="L34196" s="13"/>
      <c r="M34196" s="14"/>
      <c r="N34196" s="14"/>
      <c r="O34196" s="14"/>
      <c r="P34196" s="13"/>
    </row>
    <row r="34197">
      <c r="L34197" s="13"/>
      <c r="M34197" s="14"/>
      <c r="N34197" s="14"/>
      <c r="O34197" s="14"/>
      <c r="P34197" s="13"/>
    </row>
    <row r="34198">
      <c r="L34198" s="13"/>
      <c r="M34198" s="14"/>
      <c r="N34198" s="14"/>
      <c r="O34198" s="14"/>
      <c r="P34198" s="13"/>
    </row>
    <row r="34199">
      <c r="L34199" s="13"/>
      <c r="M34199" s="14"/>
      <c r="N34199" s="14"/>
      <c r="O34199" s="14"/>
      <c r="P34199" s="13"/>
    </row>
    <row r="34200">
      <c r="L34200" s="13"/>
      <c r="M34200" s="14"/>
      <c r="N34200" s="14"/>
      <c r="O34200" s="14"/>
      <c r="P34200" s="13"/>
    </row>
    <row r="34201">
      <c r="L34201" s="13"/>
      <c r="M34201" s="14"/>
      <c r="N34201" s="14"/>
      <c r="O34201" s="14"/>
      <c r="P34201" s="13"/>
    </row>
    <row r="34202">
      <c r="L34202" s="13"/>
      <c r="M34202" s="14"/>
      <c r="N34202" s="14"/>
      <c r="O34202" s="14"/>
      <c r="P34202" s="13"/>
    </row>
    <row r="34203">
      <c r="L34203" s="13"/>
      <c r="M34203" s="14"/>
      <c r="N34203" s="14"/>
      <c r="O34203" s="14"/>
      <c r="P34203" s="13"/>
    </row>
    <row r="34204">
      <c r="L34204" s="13"/>
      <c r="M34204" s="14"/>
      <c r="N34204" s="14"/>
      <c r="O34204" s="14"/>
      <c r="P34204" s="13"/>
    </row>
    <row r="34205">
      <c r="L34205" s="13"/>
      <c r="M34205" s="14"/>
      <c r="N34205" s="14"/>
      <c r="O34205" s="14"/>
      <c r="P34205" s="13"/>
    </row>
    <row r="34206">
      <c r="L34206" s="13"/>
      <c r="M34206" s="14"/>
      <c r="N34206" s="14"/>
      <c r="O34206" s="14"/>
      <c r="P34206" s="13"/>
    </row>
    <row r="34207">
      <c r="L34207" s="13"/>
      <c r="M34207" s="14"/>
      <c r="N34207" s="14"/>
      <c r="O34207" s="14"/>
      <c r="P34207" s="13"/>
    </row>
    <row r="34208">
      <c r="L34208" s="13"/>
      <c r="M34208" s="14"/>
      <c r="N34208" s="14"/>
      <c r="O34208" s="14"/>
      <c r="P34208" s="13"/>
    </row>
    <row r="34209">
      <c r="L34209" s="13"/>
      <c r="M34209" s="14"/>
      <c r="N34209" s="14"/>
      <c r="O34209" s="14"/>
      <c r="P34209" s="13"/>
    </row>
    <row r="34210">
      <c r="L34210" s="13"/>
      <c r="M34210" s="14"/>
      <c r="N34210" s="14"/>
      <c r="O34210" s="14"/>
      <c r="P34210" s="13"/>
    </row>
    <row r="34211">
      <c r="L34211" s="13"/>
      <c r="M34211" s="14"/>
      <c r="N34211" s="14"/>
      <c r="O34211" s="14"/>
      <c r="P34211" s="13"/>
    </row>
    <row r="34212">
      <c r="L34212" s="13"/>
      <c r="M34212" s="14"/>
      <c r="N34212" s="14"/>
      <c r="O34212" s="14"/>
      <c r="P34212" s="13"/>
    </row>
    <row r="34213">
      <c r="L34213" s="13"/>
      <c r="M34213" s="14"/>
      <c r="N34213" s="14"/>
      <c r="O34213" s="14"/>
      <c r="P34213" s="13"/>
    </row>
    <row r="34214">
      <c r="L34214" s="13"/>
      <c r="M34214" s="14"/>
      <c r="N34214" s="14"/>
      <c r="O34214" s="14"/>
      <c r="P34214" s="13"/>
    </row>
    <row r="34215">
      <c r="L34215" s="13"/>
      <c r="M34215" s="14"/>
      <c r="N34215" s="14"/>
      <c r="O34215" s="14"/>
      <c r="P34215" s="13"/>
    </row>
    <row r="34216">
      <c r="L34216" s="13"/>
      <c r="M34216" s="14"/>
      <c r="N34216" s="14"/>
      <c r="O34216" s="14"/>
      <c r="P34216" s="13"/>
    </row>
    <row r="34217">
      <c r="L34217" s="13"/>
      <c r="M34217" s="14"/>
      <c r="N34217" s="14"/>
      <c r="O34217" s="14"/>
      <c r="P34217" s="13"/>
    </row>
    <row r="34218">
      <c r="L34218" s="13"/>
      <c r="M34218" s="14"/>
      <c r="N34218" s="14"/>
      <c r="O34218" s="14"/>
      <c r="P34218" s="13"/>
    </row>
    <row r="34219">
      <c r="L34219" s="13"/>
      <c r="M34219" s="14"/>
      <c r="N34219" s="14"/>
      <c r="O34219" s="14"/>
      <c r="P34219" s="13"/>
    </row>
    <row r="34220">
      <c r="L34220" s="13"/>
      <c r="M34220" s="14"/>
      <c r="N34220" s="14"/>
      <c r="O34220" s="14"/>
      <c r="P34220" s="13"/>
    </row>
    <row r="34221">
      <c r="L34221" s="13"/>
      <c r="M34221" s="14"/>
      <c r="N34221" s="14"/>
      <c r="O34221" s="14"/>
      <c r="P34221" s="13"/>
    </row>
    <row r="34222">
      <c r="L34222" s="13"/>
      <c r="M34222" s="14"/>
      <c r="N34222" s="14"/>
      <c r="O34222" s="14"/>
      <c r="P34222" s="13"/>
    </row>
    <row r="34223">
      <c r="L34223" s="13"/>
      <c r="M34223" s="14"/>
      <c r="N34223" s="14"/>
      <c r="O34223" s="14"/>
      <c r="P34223" s="13"/>
    </row>
    <row r="34224">
      <c r="L34224" s="13"/>
      <c r="M34224" s="14"/>
      <c r="N34224" s="14"/>
      <c r="O34224" s="14"/>
      <c r="P34224" s="13"/>
    </row>
    <row r="34225">
      <c r="L34225" s="13"/>
      <c r="M34225" s="14"/>
      <c r="N34225" s="14"/>
      <c r="O34225" s="14"/>
      <c r="P34225" s="13"/>
    </row>
    <row r="34226">
      <c r="L34226" s="13"/>
      <c r="M34226" s="14"/>
      <c r="N34226" s="14"/>
      <c r="O34226" s="14"/>
      <c r="P34226" s="13"/>
    </row>
    <row r="34227">
      <c r="L34227" s="13"/>
      <c r="M34227" s="14"/>
      <c r="N34227" s="14"/>
      <c r="O34227" s="14"/>
      <c r="P34227" s="13"/>
    </row>
    <row r="34228">
      <c r="L34228" s="13"/>
      <c r="M34228" s="14"/>
      <c r="N34228" s="14"/>
      <c r="O34228" s="14"/>
      <c r="P34228" s="13"/>
    </row>
    <row r="34229">
      <c r="L34229" s="13"/>
      <c r="M34229" s="14"/>
      <c r="N34229" s="14"/>
      <c r="O34229" s="14"/>
      <c r="P34229" s="13"/>
    </row>
    <row r="34230">
      <c r="L34230" s="13"/>
      <c r="M34230" s="14"/>
      <c r="N34230" s="14"/>
      <c r="O34230" s="14"/>
      <c r="P34230" s="13"/>
    </row>
    <row r="34231">
      <c r="L34231" s="13"/>
      <c r="M34231" s="14"/>
      <c r="N34231" s="14"/>
      <c r="O34231" s="14"/>
      <c r="P34231" s="13"/>
    </row>
    <row r="34232">
      <c r="L34232" s="13"/>
      <c r="M34232" s="14"/>
      <c r="N34232" s="14"/>
      <c r="O34232" s="14"/>
      <c r="P34232" s="13"/>
    </row>
    <row r="34233">
      <c r="L34233" s="13"/>
      <c r="M34233" s="14"/>
      <c r="N34233" s="14"/>
      <c r="O34233" s="14"/>
      <c r="P34233" s="13"/>
    </row>
    <row r="34234">
      <c r="L34234" s="13"/>
      <c r="M34234" s="14"/>
      <c r="N34234" s="14"/>
      <c r="O34234" s="14"/>
      <c r="P34234" s="13"/>
    </row>
    <row r="34235">
      <c r="L34235" s="13"/>
      <c r="M34235" s="14"/>
      <c r="N34235" s="14"/>
      <c r="O34235" s="14"/>
      <c r="P34235" s="13"/>
    </row>
    <row r="34236">
      <c r="L34236" s="13"/>
      <c r="M34236" s="14"/>
      <c r="N34236" s="14"/>
      <c r="O34236" s="14"/>
      <c r="P34236" s="13"/>
    </row>
    <row r="34237">
      <c r="L34237" s="13"/>
      <c r="M34237" s="14"/>
      <c r="N34237" s="14"/>
      <c r="O34237" s="14"/>
      <c r="P34237" s="13"/>
    </row>
    <row r="34238">
      <c r="L34238" s="13"/>
      <c r="M34238" s="14"/>
      <c r="N34238" s="14"/>
      <c r="O34238" s="14"/>
      <c r="P34238" s="13"/>
    </row>
    <row r="34239">
      <c r="L34239" s="13"/>
      <c r="M34239" s="14"/>
      <c r="N34239" s="14"/>
      <c r="O34239" s="14"/>
      <c r="P34239" s="13"/>
    </row>
    <row r="34240">
      <c r="L34240" s="13"/>
      <c r="M34240" s="14"/>
      <c r="N34240" s="14"/>
      <c r="O34240" s="14"/>
      <c r="P34240" s="13"/>
    </row>
    <row r="34241">
      <c r="L34241" s="13"/>
      <c r="M34241" s="14"/>
      <c r="N34241" s="14"/>
      <c r="O34241" s="14"/>
      <c r="P34241" s="13"/>
    </row>
    <row r="34242">
      <c r="L34242" s="13"/>
      <c r="M34242" s="14"/>
      <c r="N34242" s="14"/>
      <c r="O34242" s="14"/>
      <c r="P34242" s="13"/>
    </row>
    <row r="34243">
      <c r="L34243" s="13"/>
      <c r="M34243" s="14"/>
      <c r="N34243" s="14"/>
      <c r="O34243" s="14"/>
      <c r="P34243" s="13"/>
    </row>
    <row r="34244">
      <c r="L34244" s="13"/>
      <c r="M34244" s="14"/>
      <c r="N34244" s="14"/>
      <c r="O34244" s="14"/>
      <c r="P34244" s="13"/>
    </row>
    <row r="34245">
      <c r="L34245" s="13"/>
      <c r="M34245" s="14"/>
      <c r="N34245" s="14"/>
      <c r="O34245" s="14"/>
      <c r="P34245" s="13"/>
    </row>
    <row r="34246">
      <c r="L34246" s="13"/>
      <c r="M34246" s="14"/>
      <c r="N34246" s="14"/>
      <c r="O34246" s="14"/>
      <c r="P34246" s="13"/>
    </row>
    <row r="34247">
      <c r="L34247" s="13"/>
      <c r="M34247" s="14"/>
      <c r="N34247" s="14"/>
      <c r="O34247" s="14"/>
      <c r="P34247" s="13"/>
    </row>
    <row r="34248">
      <c r="L34248" s="13"/>
      <c r="M34248" s="14"/>
      <c r="N34248" s="14"/>
      <c r="O34248" s="14"/>
      <c r="P34248" s="13"/>
    </row>
    <row r="34249">
      <c r="L34249" s="13"/>
      <c r="M34249" s="14"/>
      <c r="N34249" s="14"/>
      <c r="O34249" s="14"/>
      <c r="P34249" s="13"/>
    </row>
    <row r="34250">
      <c r="L34250" s="13"/>
      <c r="M34250" s="14"/>
      <c r="N34250" s="14"/>
      <c r="O34250" s="14"/>
      <c r="P34250" s="13"/>
    </row>
    <row r="34251">
      <c r="L34251" s="13"/>
      <c r="M34251" s="14"/>
      <c r="N34251" s="14"/>
      <c r="O34251" s="14"/>
      <c r="P34251" s="13"/>
    </row>
    <row r="34252">
      <c r="L34252" s="13"/>
      <c r="M34252" s="14"/>
      <c r="N34252" s="14"/>
      <c r="O34252" s="14"/>
      <c r="P34252" s="13"/>
    </row>
    <row r="34253">
      <c r="L34253" s="13"/>
      <c r="M34253" s="14"/>
      <c r="N34253" s="14"/>
      <c r="O34253" s="14"/>
      <c r="P34253" s="13"/>
    </row>
    <row r="34254">
      <c r="L34254" s="13"/>
      <c r="M34254" s="14"/>
      <c r="N34254" s="14"/>
      <c r="O34254" s="14"/>
      <c r="P34254" s="13"/>
    </row>
    <row r="34255">
      <c r="L34255" s="13"/>
      <c r="M34255" s="14"/>
      <c r="N34255" s="14"/>
      <c r="O34255" s="14"/>
      <c r="P34255" s="13"/>
    </row>
    <row r="34256">
      <c r="L34256" s="13"/>
      <c r="M34256" s="14"/>
      <c r="N34256" s="14"/>
      <c r="O34256" s="14"/>
      <c r="P34256" s="13"/>
    </row>
    <row r="34257">
      <c r="L34257" s="13"/>
      <c r="M34257" s="14"/>
      <c r="N34257" s="14"/>
      <c r="O34257" s="14"/>
      <c r="P34257" s="13"/>
    </row>
    <row r="34258">
      <c r="L34258" s="13"/>
      <c r="M34258" s="14"/>
      <c r="N34258" s="14"/>
      <c r="O34258" s="14"/>
      <c r="P34258" s="13"/>
    </row>
    <row r="34259">
      <c r="L34259" s="13"/>
      <c r="M34259" s="14"/>
      <c r="N34259" s="14"/>
      <c r="O34259" s="14"/>
      <c r="P34259" s="13"/>
    </row>
    <row r="34260">
      <c r="L34260" s="13"/>
      <c r="M34260" s="14"/>
      <c r="N34260" s="14"/>
      <c r="O34260" s="14"/>
      <c r="P34260" s="13"/>
    </row>
    <row r="34261">
      <c r="L34261" s="13"/>
      <c r="M34261" s="14"/>
      <c r="N34261" s="14"/>
      <c r="O34261" s="14"/>
      <c r="P34261" s="13"/>
    </row>
    <row r="34262">
      <c r="L34262" s="13"/>
      <c r="M34262" s="14"/>
      <c r="N34262" s="14"/>
      <c r="O34262" s="14"/>
      <c r="P34262" s="13"/>
    </row>
    <row r="34263">
      <c r="L34263" s="13"/>
      <c r="M34263" s="14"/>
      <c r="N34263" s="14"/>
      <c r="O34263" s="14"/>
      <c r="P34263" s="13"/>
    </row>
    <row r="34264">
      <c r="L34264" s="13"/>
      <c r="M34264" s="14"/>
      <c r="N34264" s="14"/>
      <c r="O34264" s="14"/>
      <c r="P34264" s="13"/>
    </row>
    <row r="34265">
      <c r="L34265" s="13"/>
      <c r="M34265" s="14"/>
      <c r="N34265" s="14"/>
      <c r="O34265" s="14"/>
      <c r="P34265" s="13"/>
    </row>
    <row r="34266">
      <c r="L34266" s="13"/>
      <c r="M34266" s="14"/>
      <c r="N34266" s="14"/>
      <c r="O34266" s="14"/>
      <c r="P34266" s="13"/>
    </row>
    <row r="34267">
      <c r="L34267" s="13"/>
      <c r="M34267" s="14"/>
      <c r="N34267" s="14"/>
      <c r="O34267" s="14"/>
      <c r="P34267" s="13"/>
    </row>
    <row r="34268">
      <c r="L34268" s="13"/>
      <c r="M34268" s="14"/>
      <c r="N34268" s="14"/>
      <c r="O34268" s="14"/>
      <c r="P34268" s="13"/>
    </row>
    <row r="34269">
      <c r="L34269" s="13"/>
      <c r="M34269" s="14"/>
      <c r="N34269" s="14"/>
      <c r="O34269" s="14"/>
      <c r="P34269" s="13"/>
    </row>
    <row r="34270">
      <c r="L34270" s="13"/>
      <c r="M34270" s="14"/>
      <c r="N34270" s="14"/>
      <c r="O34270" s="14"/>
      <c r="P34270" s="13"/>
    </row>
    <row r="34271">
      <c r="L34271" s="13"/>
      <c r="M34271" s="14"/>
      <c r="N34271" s="14"/>
      <c r="O34271" s="14"/>
      <c r="P34271" s="13"/>
    </row>
    <row r="34272">
      <c r="L34272" s="13"/>
      <c r="M34272" s="14"/>
      <c r="N34272" s="14"/>
      <c r="O34272" s="14"/>
      <c r="P34272" s="13"/>
    </row>
    <row r="34273">
      <c r="L34273" s="13"/>
      <c r="M34273" s="14"/>
      <c r="N34273" s="14"/>
      <c r="O34273" s="14"/>
      <c r="P34273" s="13"/>
    </row>
    <row r="34274">
      <c r="L34274" s="13"/>
      <c r="M34274" s="14"/>
      <c r="N34274" s="14"/>
      <c r="O34274" s="14"/>
      <c r="P34274" s="13"/>
    </row>
    <row r="34275">
      <c r="L34275" s="13"/>
      <c r="M34275" s="14"/>
      <c r="N34275" s="14"/>
      <c r="O34275" s="14"/>
      <c r="P34275" s="13"/>
    </row>
    <row r="34276">
      <c r="L34276" s="13"/>
      <c r="M34276" s="14"/>
      <c r="N34276" s="14"/>
      <c r="O34276" s="14"/>
      <c r="P34276" s="13"/>
    </row>
    <row r="34277">
      <c r="L34277" s="13"/>
      <c r="M34277" s="14"/>
      <c r="N34277" s="14"/>
      <c r="O34277" s="14"/>
      <c r="P34277" s="13"/>
    </row>
    <row r="34278">
      <c r="L34278" s="13"/>
      <c r="M34278" s="14"/>
      <c r="N34278" s="14"/>
      <c r="O34278" s="14"/>
      <c r="P34278" s="13"/>
    </row>
    <row r="34279">
      <c r="L34279" s="13"/>
      <c r="M34279" s="14"/>
      <c r="N34279" s="14"/>
      <c r="O34279" s="14"/>
      <c r="P34279" s="13"/>
    </row>
    <row r="34280">
      <c r="L34280" s="13"/>
      <c r="M34280" s="14"/>
      <c r="N34280" s="14"/>
      <c r="O34280" s="14"/>
      <c r="P34280" s="13"/>
    </row>
    <row r="34281">
      <c r="L34281" s="13"/>
      <c r="M34281" s="14"/>
      <c r="N34281" s="14"/>
      <c r="O34281" s="14"/>
      <c r="P34281" s="13"/>
    </row>
    <row r="34282">
      <c r="L34282" s="13"/>
      <c r="M34282" s="14"/>
      <c r="N34282" s="14"/>
      <c r="O34282" s="14"/>
      <c r="P34282" s="13"/>
    </row>
    <row r="34283">
      <c r="L34283" s="13"/>
      <c r="M34283" s="14"/>
      <c r="N34283" s="14"/>
      <c r="O34283" s="14"/>
      <c r="P34283" s="13"/>
    </row>
    <row r="34284">
      <c r="L34284" s="13"/>
      <c r="M34284" s="14"/>
      <c r="N34284" s="14"/>
      <c r="O34284" s="14"/>
      <c r="P34284" s="13"/>
    </row>
    <row r="34285">
      <c r="L34285" s="13"/>
      <c r="M34285" s="14"/>
      <c r="N34285" s="14"/>
      <c r="O34285" s="14"/>
      <c r="P34285" s="13"/>
    </row>
    <row r="34286">
      <c r="L34286" s="13"/>
      <c r="M34286" s="14"/>
      <c r="N34286" s="14"/>
      <c r="O34286" s="14"/>
      <c r="P34286" s="13"/>
    </row>
    <row r="34287">
      <c r="L34287" s="13"/>
      <c r="M34287" s="14"/>
      <c r="N34287" s="14"/>
      <c r="O34287" s="14"/>
      <c r="P34287" s="13"/>
    </row>
    <row r="34288">
      <c r="L34288" s="13"/>
      <c r="M34288" s="14"/>
      <c r="N34288" s="14"/>
      <c r="O34288" s="14"/>
      <c r="P34288" s="13"/>
    </row>
    <row r="34289">
      <c r="L34289" s="13"/>
      <c r="M34289" s="14"/>
      <c r="N34289" s="14"/>
      <c r="O34289" s="14"/>
      <c r="P34289" s="13"/>
    </row>
    <row r="34290">
      <c r="L34290" s="13"/>
      <c r="M34290" s="14"/>
      <c r="N34290" s="14"/>
      <c r="O34290" s="14"/>
      <c r="P34290" s="13"/>
    </row>
    <row r="34291">
      <c r="L34291" s="13"/>
      <c r="M34291" s="14"/>
      <c r="N34291" s="14"/>
      <c r="O34291" s="14"/>
      <c r="P34291" s="13"/>
    </row>
    <row r="34292">
      <c r="L34292" s="13"/>
      <c r="M34292" s="14"/>
      <c r="N34292" s="14"/>
      <c r="O34292" s="14"/>
      <c r="P34292" s="13"/>
    </row>
    <row r="34293">
      <c r="L34293" s="13"/>
      <c r="M34293" s="14"/>
      <c r="N34293" s="14"/>
      <c r="O34293" s="14"/>
      <c r="P34293" s="13"/>
    </row>
    <row r="34294">
      <c r="L34294" s="13"/>
      <c r="M34294" s="14"/>
      <c r="N34294" s="14"/>
      <c r="O34294" s="14"/>
      <c r="P34294" s="13"/>
    </row>
    <row r="34295">
      <c r="L34295" s="13"/>
      <c r="M34295" s="14"/>
      <c r="N34295" s="14"/>
      <c r="O34295" s="14"/>
      <c r="P34295" s="13"/>
    </row>
    <row r="34296">
      <c r="L34296" s="13"/>
      <c r="M34296" s="14"/>
      <c r="N34296" s="14"/>
      <c r="O34296" s="14"/>
      <c r="P34296" s="13"/>
    </row>
    <row r="34297">
      <c r="L34297" s="13"/>
      <c r="M34297" s="14"/>
      <c r="N34297" s="14"/>
      <c r="O34297" s="14"/>
      <c r="P34297" s="13"/>
    </row>
    <row r="34298">
      <c r="L34298" s="13"/>
      <c r="M34298" s="14"/>
      <c r="N34298" s="14"/>
      <c r="O34298" s="14"/>
      <c r="P34298" s="13"/>
    </row>
    <row r="34299">
      <c r="L34299" s="13"/>
      <c r="M34299" s="14"/>
      <c r="N34299" s="14"/>
      <c r="O34299" s="14"/>
      <c r="P34299" s="13"/>
    </row>
    <row r="34300">
      <c r="L34300" s="13"/>
      <c r="M34300" s="14"/>
      <c r="N34300" s="14"/>
      <c r="O34300" s="14"/>
      <c r="P34300" s="13"/>
    </row>
    <row r="34301">
      <c r="L34301" s="13"/>
      <c r="M34301" s="14"/>
      <c r="N34301" s="14"/>
      <c r="O34301" s="14"/>
      <c r="P34301" s="13"/>
    </row>
    <row r="34302">
      <c r="L34302" s="13"/>
      <c r="M34302" s="14"/>
      <c r="N34302" s="14"/>
      <c r="O34302" s="14"/>
      <c r="P34302" s="13"/>
    </row>
    <row r="34303">
      <c r="L34303" s="13"/>
      <c r="M34303" s="14"/>
      <c r="N34303" s="14"/>
      <c r="O34303" s="14"/>
      <c r="P34303" s="13"/>
    </row>
    <row r="34304">
      <c r="L34304" s="13"/>
      <c r="M34304" s="14"/>
      <c r="N34304" s="14"/>
      <c r="O34304" s="14"/>
      <c r="P34304" s="13"/>
    </row>
    <row r="34305">
      <c r="L34305" s="13"/>
      <c r="M34305" s="14"/>
      <c r="N34305" s="14"/>
      <c r="O34305" s="14"/>
      <c r="P34305" s="13"/>
    </row>
    <row r="34306">
      <c r="L34306" s="13"/>
      <c r="M34306" s="14"/>
      <c r="N34306" s="14"/>
      <c r="O34306" s="14"/>
      <c r="P34306" s="13"/>
    </row>
    <row r="34307">
      <c r="L34307" s="13"/>
      <c r="M34307" s="14"/>
      <c r="N34307" s="14"/>
      <c r="O34307" s="14"/>
      <c r="P34307" s="13"/>
    </row>
    <row r="34308">
      <c r="L34308" s="13"/>
      <c r="M34308" s="14"/>
      <c r="N34308" s="14"/>
      <c r="O34308" s="14"/>
      <c r="P34308" s="13"/>
    </row>
    <row r="34309">
      <c r="L34309" s="13"/>
      <c r="M34309" s="14"/>
      <c r="N34309" s="14"/>
      <c r="O34309" s="14"/>
      <c r="P34309" s="13"/>
    </row>
    <row r="34310">
      <c r="L34310" s="13"/>
      <c r="M34310" s="14"/>
      <c r="N34310" s="14"/>
      <c r="O34310" s="14"/>
      <c r="P34310" s="13"/>
    </row>
    <row r="34311">
      <c r="L34311" s="13"/>
      <c r="M34311" s="14"/>
      <c r="N34311" s="14"/>
      <c r="O34311" s="14"/>
      <c r="P34311" s="13"/>
    </row>
    <row r="34312">
      <c r="L34312" s="13"/>
      <c r="M34312" s="14"/>
      <c r="N34312" s="14"/>
      <c r="O34312" s="14"/>
      <c r="P34312" s="13"/>
    </row>
    <row r="34313">
      <c r="L34313" s="13"/>
      <c r="M34313" s="14"/>
      <c r="N34313" s="14"/>
      <c r="O34313" s="14"/>
      <c r="P34313" s="13"/>
    </row>
    <row r="34314">
      <c r="L34314" s="13"/>
      <c r="M34314" s="14"/>
      <c r="N34314" s="14"/>
      <c r="O34314" s="14"/>
      <c r="P34314" s="13"/>
    </row>
    <row r="34315">
      <c r="L34315" s="13"/>
      <c r="M34315" s="14"/>
      <c r="N34315" s="14"/>
      <c r="O34315" s="14"/>
      <c r="P34315" s="13"/>
    </row>
    <row r="34316">
      <c r="L34316" s="13"/>
      <c r="M34316" s="14"/>
      <c r="N34316" s="14"/>
      <c r="O34316" s="14"/>
      <c r="P34316" s="13"/>
    </row>
    <row r="34317">
      <c r="L34317" s="13"/>
      <c r="M34317" s="14"/>
      <c r="N34317" s="14"/>
      <c r="O34317" s="14"/>
      <c r="P34317" s="13"/>
    </row>
    <row r="34318">
      <c r="L34318" s="13"/>
      <c r="M34318" s="14"/>
      <c r="N34318" s="14"/>
      <c r="O34318" s="14"/>
      <c r="P34318" s="13"/>
    </row>
    <row r="34319">
      <c r="L34319" s="13"/>
      <c r="M34319" s="14"/>
      <c r="N34319" s="14"/>
      <c r="O34319" s="14"/>
      <c r="P34319" s="13"/>
    </row>
    <row r="34320">
      <c r="L34320" s="13"/>
      <c r="M34320" s="14"/>
      <c r="N34320" s="14"/>
      <c r="O34320" s="14"/>
      <c r="P34320" s="13"/>
    </row>
    <row r="34321">
      <c r="L34321" s="13"/>
      <c r="M34321" s="14"/>
      <c r="N34321" s="14"/>
      <c r="O34321" s="14"/>
      <c r="P34321" s="13"/>
    </row>
    <row r="34322">
      <c r="L34322" s="13"/>
      <c r="M34322" s="14"/>
      <c r="N34322" s="14"/>
      <c r="O34322" s="14"/>
      <c r="P34322" s="13"/>
    </row>
    <row r="34323">
      <c r="L34323" s="13"/>
      <c r="M34323" s="14"/>
      <c r="N34323" s="14"/>
      <c r="O34323" s="14"/>
      <c r="P34323" s="13"/>
    </row>
    <row r="34324">
      <c r="L34324" s="13"/>
      <c r="M34324" s="14"/>
      <c r="N34324" s="14"/>
      <c r="O34324" s="14"/>
      <c r="P34324" s="13"/>
    </row>
    <row r="34325">
      <c r="L34325" s="13"/>
      <c r="M34325" s="14"/>
      <c r="N34325" s="14"/>
      <c r="O34325" s="14"/>
      <c r="P34325" s="13"/>
    </row>
    <row r="34326">
      <c r="L34326" s="13"/>
      <c r="M34326" s="14"/>
      <c r="N34326" s="14"/>
      <c r="O34326" s="14"/>
      <c r="P34326" s="13"/>
    </row>
    <row r="34327">
      <c r="L34327" s="13"/>
      <c r="M34327" s="14"/>
      <c r="N34327" s="14"/>
      <c r="O34327" s="14"/>
      <c r="P34327" s="13"/>
    </row>
    <row r="34328">
      <c r="L34328" s="13"/>
      <c r="M34328" s="14"/>
      <c r="N34328" s="14"/>
      <c r="O34328" s="14"/>
      <c r="P34328" s="13"/>
    </row>
    <row r="34329">
      <c r="L34329" s="13"/>
      <c r="M34329" s="14"/>
      <c r="N34329" s="14"/>
      <c r="O34329" s="14"/>
      <c r="P34329" s="13"/>
    </row>
    <row r="34330">
      <c r="L34330" s="13"/>
      <c r="M34330" s="14"/>
      <c r="N34330" s="14"/>
      <c r="O34330" s="14"/>
      <c r="P34330" s="13"/>
    </row>
    <row r="34331">
      <c r="L34331" s="13"/>
      <c r="M34331" s="14"/>
      <c r="N34331" s="14"/>
      <c r="O34331" s="14"/>
      <c r="P34331" s="13"/>
    </row>
    <row r="34332">
      <c r="L34332" s="13"/>
      <c r="M34332" s="14"/>
      <c r="N34332" s="14"/>
      <c r="O34332" s="14"/>
      <c r="P34332" s="13"/>
    </row>
    <row r="34333">
      <c r="L34333" s="13"/>
      <c r="M34333" s="14"/>
      <c r="N34333" s="14"/>
      <c r="O34333" s="14"/>
      <c r="P34333" s="13"/>
    </row>
    <row r="34334">
      <c r="L34334" s="13"/>
      <c r="M34334" s="14"/>
      <c r="N34334" s="14"/>
      <c r="O34334" s="14"/>
      <c r="P34334" s="13"/>
    </row>
    <row r="34335">
      <c r="L34335" s="13"/>
      <c r="M34335" s="14"/>
      <c r="N34335" s="14"/>
      <c r="O34335" s="14"/>
      <c r="P34335" s="13"/>
    </row>
    <row r="34336">
      <c r="L34336" s="13"/>
      <c r="M34336" s="14"/>
      <c r="N34336" s="14"/>
      <c r="O34336" s="14"/>
      <c r="P34336" s="13"/>
    </row>
    <row r="34337">
      <c r="L34337" s="13"/>
      <c r="M34337" s="14"/>
      <c r="N34337" s="14"/>
      <c r="O34337" s="14"/>
      <c r="P34337" s="13"/>
    </row>
    <row r="34338">
      <c r="L34338" s="13"/>
      <c r="M34338" s="14"/>
      <c r="N34338" s="14"/>
      <c r="O34338" s="14"/>
      <c r="P34338" s="13"/>
    </row>
    <row r="34339">
      <c r="L34339" s="13"/>
      <c r="M34339" s="14"/>
      <c r="N34339" s="14"/>
      <c r="O34339" s="14"/>
      <c r="P34339" s="13"/>
    </row>
    <row r="34340">
      <c r="L34340" s="13"/>
      <c r="M34340" s="14"/>
      <c r="N34340" s="14"/>
      <c r="O34340" s="14"/>
      <c r="P34340" s="13"/>
    </row>
    <row r="34341">
      <c r="L34341" s="13"/>
      <c r="M34341" s="14"/>
      <c r="N34341" s="14"/>
      <c r="O34341" s="14"/>
      <c r="P34341" s="13"/>
    </row>
    <row r="34342">
      <c r="L34342" s="13"/>
      <c r="M34342" s="14"/>
      <c r="N34342" s="14"/>
      <c r="O34342" s="14"/>
      <c r="P34342" s="13"/>
    </row>
    <row r="34343">
      <c r="L34343" s="13"/>
      <c r="M34343" s="14"/>
      <c r="N34343" s="14"/>
      <c r="O34343" s="14"/>
      <c r="P34343" s="13"/>
    </row>
    <row r="34344">
      <c r="L34344" s="13"/>
      <c r="M34344" s="14"/>
      <c r="N34344" s="14"/>
      <c r="O34344" s="14"/>
      <c r="P34344" s="13"/>
    </row>
    <row r="34345">
      <c r="L34345" s="13"/>
      <c r="M34345" s="14"/>
      <c r="N34345" s="14"/>
      <c r="O34345" s="14"/>
      <c r="P34345" s="13"/>
    </row>
    <row r="34346">
      <c r="L34346" s="13"/>
      <c r="M34346" s="14"/>
      <c r="N34346" s="14"/>
      <c r="O34346" s="14"/>
      <c r="P34346" s="13"/>
    </row>
    <row r="34347">
      <c r="L34347" s="13"/>
      <c r="M34347" s="14"/>
      <c r="N34347" s="14"/>
      <c r="O34347" s="14"/>
      <c r="P34347" s="13"/>
    </row>
    <row r="34348">
      <c r="L34348" s="13"/>
      <c r="M34348" s="14"/>
      <c r="N34348" s="14"/>
      <c r="O34348" s="14"/>
      <c r="P34348" s="13"/>
    </row>
    <row r="34349">
      <c r="L34349" s="13"/>
      <c r="M34349" s="14"/>
      <c r="N34349" s="14"/>
      <c r="O34349" s="14"/>
      <c r="P34349" s="13"/>
    </row>
    <row r="34350">
      <c r="L34350" s="13"/>
      <c r="M34350" s="14"/>
      <c r="N34350" s="14"/>
      <c r="O34350" s="14"/>
      <c r="P34350" s="13"/>
    </row>
    <row r="34351">
      <c r="L34351" s="13"/>
      <c r="M34351" s="14"/>
      <c r="N34351" s="14"/>
      <c r="O34351" s="14"/>
      <c r="P34351" s="13"/>
    </row>
    <row r="34352">
      <c r="L34352" s="13"/>
      <c r="M34352" s="14"/>
      <c r="N34352" s="14"/>
      <c r="O34352" s="14"/>
      <c r="P34352" s="13"/>
    </row>
    <row r="34353">
      <c r="L34353" s="13"/>
      <c r="M34353" s="14"/>
      <c r="N34353" s="14"/>
      <c r="O34353" s="14"/>
      <c r="P34353" s="13"/>
    </row>
    <row r="34354">
      <c r="L34354" s="13"/>
      <c r="M34354" s="14"/>
      <c r="N34354" s="14"/>
      <c r="O34354" s="14"/>
      <c r="P34354" s="13"/>
    </row>
    <row r="34355">
      <c r="L34355" s="13"/>
      <c r="M34355" s="14"/>
      <c r="N34355" s="14"/>
      <c r="O34355" s="14"/>
      <c r="P34355" s="13"/>
    </row>
    <row r="34356">
      <c r="L34356" s="13"/>
      <c r="M34356" s="14"/>
      <c r="N34356" s="14"/>
      <c r="O34356" s="14"/>
      <c r="P34356" s="13"/>
    </row>
    <row r="34357">
      <c r="L34357" s="13"/>
      <c r="M34357" s="14"/>
      <c r="N34357" s="14"/>
      <c r="O34357" s="14"/>
      <c r="P34357" s="13"/>
    </row>
    <row r="34358">
      <c r="L34358" s="13"/>
      <c r="M34358" s="14"/>
      <c r="N34358" s="14"/>
      <c r="O34358" s="14"/>
      <c r="P34358" s="13"/>
    </row>
    <row r="34359">
      <c r="L34359" s="13"/>
      <c r="M34359" s="14"/>
      <c r="N34359" s="14"/>
      <c r="O34359" s="14"/>
      <c r="P34359" s="13"/>
    </row>
    <row r="34360">
      <c r="L34360" s="13"/>
      <c r="M34360" s="14"/>
      <c r="N34360" s="14"/>
      <c r="O34360" s="14"/>
      <c r="P34360" s="13"/>
    </row>
    <row r="34361">
      <c r="L34361" s="13"/>
      <c r="M34361" s="14"/>
      <c r="N34361" s="14"/>
      <c r="O34361" s="14"/>
      <c r="P34361" s="13"/>
    </row>
    <row r="34362">
      <c r="L34362" s="13"/>
      <c r="M34362" s="14"/>
      <c r="N34362" s="14"/>
      <c r="O34362" s="14"/>
      <c r="P34362" s="13"/>
    </row>
    <row r="34363">
      <c r="L34363" s="13"/>
      <c r="M34363" s="14"/>
      <c r="N34363" s="14"/>
      <c r="O34363" s="14"/>
      <c r="P34363" s="13"/>
    </row>
    <row r="34364">
      <c r="L34364" s="13"/>
      <c r="M34364" s="14"/>
      <c r="N34364" s="14"/>
      <c r="O34364" s="14"/>
      <c r="P34364" s="13"/>
    </row>
    <row r="34365">
      <c r="L34365" s="13"/>
      <c r="M34365" s="14"/>
      <c r="N34365" s="14"/>
      <c r="O34365" s="14"/>
      <c r="P34365" s="13"/>
    </row>
    <row r="34366">
      <c r="L34366" s="13"/>
      <c r="M34366" s="14"/>
      <c r="N34366" s="14"/>
      <c r="O34366" s="14"/>
      <c r="P34366" s="13"/>
    </row>
    <row r="34367">
      <c r="L34367" s="13"/>
      <c r="M34367" s="14"/>
      <c r="N34367" s="14"/>
      <c r="O34367" s="14"/>
      <c r="P34367" s="13"/>
    </row>
    <row r="34368">
      <c r="L34368" s="13"/>
      <c r="M34368" s="14"/>
      <c r="N34368" s="14"/>
      <c r="O34368" s="14"/>
      <c r="P34368" s="13"/>
    </row>
    <row r="34369">
      <c r="L34369" s="13"/>
      <c r="M34369" s="14"/>
      <c r="N34369" s="14"/>
      <c r="O34369" s="14"/>
      <c r="P34369" s="13"/>
    </row>
    <row r="34370">
      <c r="L34370" s="13"/>
      <c r="M34370" s="14"/>
      <c r="N34370" s="14"/>
      <c r="O34370" s="14"/>
      <c r="P34370" s="13"/>
    </row>
    <row r="34371">
      <c r="L34371" s="13"/>
      <c r="M34371" s="14"/>
      <c r="N34371" s="14"/>
      <c r="O34371" s="14"/>
      <c r="P34371" s="13"/>
    </row>
    <row r="34372">
      <c r="L34372" s="13"/>
      <c r="M34372" s="14"/>
      <c r="N34372" s="14"/>
      <c r="O34372" s="14"/>
      <c r="P34372" s="13"/>
    </row>
    <row r="34373">
      <c r="L34373" s="13"/>
      <c r="M34373" s="14"/>
      <c r="N34373" s="14"/>
      <c r="O34373" s="14"/>
      <c r="P34373" s="13"/>
    </row>
    <row r="34374">
      <c r="L34374" s="13"/>
      <c r="M34374" s="14"/>
      <c r="N34374" s="14"/>
      <c r="O34374" s="14"/>
      <c r="P34374" s="13"/>
    </row>
    <row r="34375">
      <c r="L34375" s="13"/>
      <c r="M34375" s="14"/>
      <c r="N34375" s="14"/>
      <c r="O34375" s="14"/>
      <c r="P34375" s="13"/>
    </row>
    <row r="34376">
      <c r="L34376" s="13"/>
      <c r="M34376" s="14"/>
      <c r="N34376" s="14"/>
      <c r="O34376" s="14"/>
      <c r="P34376" s="13"/>
    </row>
    <row r="34377">
      <c r="L34377" s="13"/>
      <c r="M34377" s="14"/>
      <c r="N34377" s="14"/>
      <c r="O34377" s="14"/>
      <c r="P34377" s="13"/>
    </row>
    <row r="34378">
      <c r="L34378" s="13"/>
      <c r="M34378" s="14"/>
      <c r="N34378" s="14"/>
      <c r="O34378" s="14"/>
      <c r="P34378" s="13"/>
    </row>
    <row r="34379">
      <c r="L34379" s="13"/>
      <c r="M34379" s="14"/>
      <c r="N34379" s="14"/>
      <c r="O34379" s="14"/>
      <c r="P34379" s="13"/>
    </row>
    <row r="34380">
      <c r="L34380" s="13"/>
      <c r="M34380" s="14"/>
      <c r="N34380" s="14"/>
      <c r="O34380" s="14"/>
      <c r="P34380" s="13"/>
    </row>
    <row r="34381">
      <c r="L34381" s="13"/>
      <c r="M34381" s="14"/>
      <c r="N34381" s="14"/>
      <c r="O34381" s="14"/>
      <c r="P34381" s="13"/>
    </row>
    <row r="34382">
      <c r="L34382" s="13"/>
      <c r="M34382" s="14"/>
      <c r="N34382" s="14"/>
      <c r="O34382" s="14"/>
      <c r="P34382" s="13"/>
    </row>
    <row r="34383">
      <c r="L34383" s="13"/>
      <c r="M34383" s="14"/>
      <c r="N34383" s="14"/>
      <c r="O34383" s="14"/>
      <c r="P34383" s="13"/>
    </row>
    <row r="34384">
      <c r="L34384" s="13"/>
      <c r="M34384" s="14"/>
      <c r="N34384" s="14"/>
      <c r="O34384" s="14"/>
      <c r="P34384" s="13"/>
    </row>
    <row r="34385">
      <c r="L34385" s="13"/>
      <c r="M34385" s="14"/>
      <c r="N34385" s="14"/>
      <c r="O34385" s="14"/>
      <c r="P34385" s="13"/>
    </row>
    <row r="34386">
      <c r="L34386" s="13"/>
      <c r="M34386" s="14"/>
      <c r="N34386" s="14"/>
      <c r="O34386" s="14"/>
      <c r="P34386" s="13"/>
    </row>
    <row r="34387">
      <c r="L34387" s="13"/>
      <c r="M34387" s="14"/>
      <c r="N34387" s="14"/>
      <c r="O34387" s="14"/>
      <c r="P34387" s="13"/>
    </row>
    <row r="34388">
      <c r="L34388" s="13"/>
      <c r="M34388" s="14"/>
      <c r="N34388" s="14"/>
      <c r="O34388" s="14"/>
      <c r="P34388" s="13"/>
    </row>
    <row r="34389">
      <c r="L34389" s="13"/>
      <c r="M34389" s="14"/>
      <c r="N34389" s="14"/>
      <c r="O34389" s="14"/>
      <c r="P34389" s="13"/>
    </row>
    <row r="34390">
      <c r="L34390" s="13"/>
      <c r="M34390" s="14"/>
      <c r="N34390" s="14"/>
      <c r="O34390" s="14"/>
      <c r="P34390" s="13"/>
    </row>
    <row r="34391">
      <c r="L34391" s="13"/>
      <c r="M34391" s="14"/>
      <c r="N34391" s="14"/>
      <c r="O34391" s="14"/>
      <c r="P34391" s="13"/>
    </row>
    <row r="34392">
      <c r="L34392" s="13"/>
      <c r="M34392" s="14"/>
      <c r="N34392" s="14"/>
      <c r="O34392" s="14"/>
      <c r="P34392" s="13"/>
    </row>
    <row r="34393">
      <c r="L34393" s="13"/>
      <c r="M34393" s="14"/>
      <c r="N34393" s="14"/>
      <c r="O34393" s="14"/>
      <c r="P34393" s="13"/>
    </row>
    <row r="34394">
      <c r="L34394" s="13"/>
      <c r="M34394" s="14"/>
      <c r="N34394" s="14"/>
      <c r="O34394" s="14"/>
      <c r="P34394" s="13"/>
    </row>
    <row r="34395">
      <c r="L34395" s="13"/>
      <c r="M34395" s="14"/>
      <c r="N34395" s="14"/>
      <c r="O34395" s="14"/>
      <c r="P34395" s="13"/>
    </row>
    <row r="34396">
      <c r="L34396" s="13"/>
      <c r="M34396" s="14"/>
      <c r="N34396" s="14"/>
      <c r="O34396" s="14"/>
      <c r="P34396" s="13"/>
    </row>
    <row r="34397">
      <c r="L34397" s="13"/>
      <c r="M34397" s="14"/>
      <c r="N34397" s="14"/>
      <c r="O34397" s="14"/>
      <c r="P34397" s="13"/>
    </row>
    <row r="34398">
      <c r="L34398" s="13"/>
      <c r="M34398" s="14"/>
      <c r="N34398" s="14"/>
      <c r="O34398" s="14"/>
      <c r="P34398" s="13"/>
    </row>
    <row r="34399">
      <c r="L34399" s="13"/>
      <c r="M34399" s="14"/>
      <c r="N34399" s="14"/>
      <c r="O34399" s="14"/>
      <c r="P34399" s="13"/>
    </row>
    <row r="34400">
      <c r="L34400" s="13"/>
      <c r="M34400" s="14"/>
      <c r="N34400" s="14"/>
      <c r="O34400" s="14"/>
      <c r="P34400" s="13"/>
    </row>
    <row r="34401">
      <c r="L34401" s="13"/>
      <c r="M34401" s="14"/>
      <c r="N34401" s="14"/>
      <c r="O34401" s="14"/>
      <c r="P34401" s="13"/>
    </row>
    <row r="34402">
      <c r="L34402" s="13"/>
      <c r="M34402" s="14"/>
      <c r="N34402" s="14"/>
      <c r="O34402" s="14"/>
      <c r="P34402" s="13"/>
    </row>
    <row r="34403">
      <c r="L34403" s="13"/>
      <c r="M34403" s="14"/>
      <c r="N34403" s="14"/>
      <c r="O34403" s="14"/>
      <c r="P34403" s="13"/>
    </row>
    <row r="34404">
      <c r="L34404" s="13"/>
      <c r="M34404" s="14"/>
      <c r="N34404" s="14"/>
      <c r="O34404" s="14"/>
      <c r="P34404" s="13"/>
    </row>
    <row r="34405">
      <c r="L34405" s="13"/>
      <c r="M34405" s="14"/>
      <c r="N34405" s="14"/>
      <c r="O34405" s="14"/>
      <c r="P34405" s="13"/>
    </row>
    <row r="34406">
      <c r="L34406" s="13"/>
      <c r="M34406" s="14"/>
      <c r="N34406" s="14"/>
      <c r="O34406" s="14"/>
      <c r="P34406" s="13"/>
    </row>
    <row r="34407">
      <c r="L34407" s="13"/>
      <c r="M34407" s="14"/>
      <c r="N34407" s="14"/>
      <c r="O34407" s="14"/>
      <c r="P34407" s="13"/>
    </row>
    <row r="34408">
      <c r="L34408" s="13"/>
      <c r="M34408" s="14"/>
      <c r="N34408" s="14"/>
      <c r="O34408" s="14"/>
      <c r="P34408" s="13"/>
    </row>
    <row r="34409">
      <c r="L34409" s="13"/>
      <c r="M34409" s="14"/>
      <c r="N34409" s="14"/>
      <c r="O34409" s="14"/>
      <c r="P34409" s="13"/>
    </row>
    <row r="34410">
      <c r="L34410" s="13"/>
      <c r="M34410" s="14"/>
      <c r="N34410" s="14"/>
      <c r="O34410" s="14"/>
      <c r="P34410" s="13"/>
    </row>
    <row r="34411">
      <c r="L34411" s="13"/>
      <c r="M34411" s="14"/>
      <c r="N34411" s="14"/>
      <c r="O34411" s="14"/>
      <c r="P34411" s="13"/>
    </row>
    <row r="34412">
      <c r="L34412" s="13"/>
      <c r="M34412" s="14"/>
      <c r="N34412" s="14"/>
      <c r="O34412" s="14"/>
      <c r="P34412" s="13"/>
    </row>
    <row r="34413">
      <c r="L34413" s="13"/>
      <c r="M34413" s="14"/>
      <c r="N34413" s="14"/>
      <c r="O34413" s="14"/>
      <c r="P34413" s="13"/>
    </row>
    <row r="34414">
      <c r="L34414" s="13"/>
      <c r="M34414" s="14"/>
      <c r="N34414" s="14"/>
      <c r="O34414" s="14"/>
      <c r="P34414" s="13"/>
    </row>
    <row r="34415">
      <c r="L34415" s="13"/>
      <c r="M34415" s="14"/>
      <c r="N34415" s="14"/>
      <c r="O34415" s="14"/>
      <c r="P34415" s="13"/>
    </row>
    <row r="34416">
      <c r="L34416" s="13"/>
      <c r="M34416" s="14"/>
      <c r="N34416" s="14"/>
      <c r="O34416" s="14"/>
      <c r="P34416" s="13"/>
    </row>
    <row r="34417">
      <c r="L34417" s="13"/>
      <c r="M34417" s="14"/>
      <c r="N34417" s="14"/>
      <c r="O34417" s="14"/>
      <c r="P34417" s="13"/>
    </row>
    <row r="34418">
      <c r="L34418" s="13"/>
      <c r="M34418" s="14"/>
      <c r="N34418" s="14"/>
      <c r="O34418" s="14"/>
      <c r="P34418" s="13"/>
    </row>
    <row r="34419">
      <c r="L34419" s="13"/>
      <c r="M34419" s="14"/>
      <c r="N34419" s="14"/>
      <c r="O34419" s="14"/>
      <c r="P34419" s="13"/>
    </row>
    <row r="34420">
      <c r="L34420" s="13"/>
      <c r="M34420" s="14"/>
      <c r="N34420" s="14"/>
      <c r="O34420" s="14"/>
      <c r="P34420" s="13"/>
    </row>
    <row r="34421">
      <c r="L34421" s="13"/>
      <c r="M34421" s="14"/>
      <c r="N34421" s="14"/>
      <c r="O34421" s="14"/>
      <c r="P34421" s="13"/>
    </row>
    <row r="34422">
      <c r="L34422" s="13"/>
      <c r="M34422" s="14"/>
      <c r="N34422" s="14"/>
      <c r="O34422" s="14"/>
      <c r="P34422" s="13"/>
    </row>
    <row r="34423">
      <c r="L34423" s="13"/>
      <c r="M34423" s="14"/>
      <c r="N34423" s="14"/>
      <c r="O34423" s="14"/>
      <c r="P34423" s="13"/>
    </row>
    <row r="34424">
      <c r="L34424" s="13"/>
      <c r="M34424" s="14"/>
      <c r="N34424" s="14"/>
      <c r="O34424" s="14"/>
      <c r="P34424" s="13"/>
    </row>
    <row r="34425">
      <c r="L34425" s="13"/>
      <c r="M34425" s="14"/>
      <c r="N34425" s="14"/>
      <c r="O34425" s="14"/>
      <c r="P34425" s="13"/>
    </row>
    <row r="34426">
      <c r="L34426" s="13"/>
      <c r="M34426" s="14"/>
      <c r="N34426" s="14"/>
      <c r="O34426" s="14"/>
      <c r="P34426" s="13"/>
    </row>
    <row r="34427">
      <c r="L34427" s="13"/>
      <c r="M34427" s="14"/>
      <c r="N34427" s="14"/>
      <c r="O34427" s="14"/>
      <c r="P34427" s="13"/>
    </row>
    <row r="34428">
      <c r="L34428" s="13"/>
      <c r="M34428" s="14"/>
      <c r="N34428" s="14"/>
      <c r="O34428" s="14"/>
      <c r="P34428" s="13"/>
    </row>
    <row r="34429">
      <c r="L34429" s="13"/>
      <c r="M34429" s="14"/>
      <c r="N34429" s="14"/>
      <c r="O34429" s="14"/>
      <c r="P34429" s="13"/>
    </row>
    <row r="34430">
      <c r="L34430" s="13"/>
      <c r="M34430" s="14"/>
      <c r="N34430" s="14"/>
      <c r="O34430" s="14"/>
      <c r="P34430" s="13"/>
    </row>
    <row r="34431">
      <c r="L34431" s="13"/>
      <c r="M34431" s="14"/>
      <c r="N34431" s="14"/>
      <c r="O34431" s="14"/>
      <c r="P34431" s="13"/>
    </row>
    <row r="34432">
      <c r="L34432" s="13"/>
      <c r="M34432" s="14"/>
      <c r="N34432" s="14"/>
      <c r="O34432" s="14"/>
      <c r="P34432" s="13"/>
    </row>
    <row r="34433">
      <c r="L34433" s="13"/>
      <c r="M34433" s="14"/>
      <c r="N34433" s="14"/>
      <c r="O34433" s="14"/>
      <c r="P34433" s="13"/>
    </row>
    <row r="34434">
      <c r="L34434" s="13"/>
      <c r="M34434" s="14"/>
      <c r="N34434" s="14"/>
      <c r="O34434" s="14"/>
      <c r="P34434" s="13"/>
    </row>
    <row r="34435">
      <c r="L34435" s="13"/>
      <c r="M34435" s="14"/>
      <c r="N34435" s="14"/>
      <c r="O34435" s="14"/>
      <c r="P34435" s="13"/>
    </row>
    <row r="34436">
      <c r="L34436" s="13"/>
      <c r="M34436" s="14"/>
      <c r="N34436" s="14"/>
      <c r="O34436" s="14"/>
      <c r="P34436" s="13"/>
    </row>
    <row r="34437">
      <c r="L34437" s="13"/>
      <c r="M34437" s="14"/>
      <c r="N34437" s="14"/>
      <c r="O34437" s="14"/>
      <c r="P34437" s="13"/>
    </row>
    <row r="34438">
      <c r="L34438" s="13"/>
      <c r="M34438" s="14"/>
      <c r="N34438" s="14"/>
      <c r="O34438" s="14"/>
      <c r="P34438" s="13"/>
    </row>
    <row r="34439">
      <c r="L34439" s="13"/>
      <c r="M34439" s="14"/>
      <c r="N34439" s="14"/>
      <c r="O34439" s="14"/>
      <c r="P34439" s="13"/>
    </row>
    <row r="34440">
      <c r="L34440" s="13"/>
      <c r="M34440" s="14"/>
      <c r="N34440" s="14"/>
      <c r="O34440" s="14"/>
      <c r="P34440" s="13"/>
    </row>
    <row r="34441">
      <c r="L34441" s="13"/>
      <c r="M34441" s="14"/>
      <c r="N34441" s="14"/>
      <c r="O34441" s="14"/>
      <c r="P34441" s="13"/>
    </row>
    <row r="34442">
      <c r="L34442" s="13"/>
      <c r="M34442" s="14"/>
      <c r="N34442" s="14"/>
      <c r="O34442" s="14"/>
      <c r="P34442" s="13"/>
    </row>
    <row r="34443">
      <c r="L34443" s="13"/>
      <c r="M34443" s="14"/>
      <c r="N34443" s="14"/>
      <c r="O34443" s="14"/>
      <c r="P34443" s="13"/>
    </row>
    <row r="34444">
      <c r="L34444" s="13"/>
      <c r="M34444" s="14"/>
      <c r="N34444" s="14"/>
      <c r="O34444" s="14"/>
      <c r="P34444" s="13"/>
    </row>
    <row r="34445">
      <c r="L34445" s="13"/>
      <c r="M34445" s="14"/>
      <c r="N34445" s="14"/>
      <c r="O34445" s="14"/>
      <c r="P34445" s="13"/>
    </row>
    <row r="34446">
      <c r="L34446" s="13"/>
      <c r="M34446" s="14"/>
      <c r="N34446" s="14"/>
      <c r="O34446" s="14"/>
      <c r="P34446" s="13"/>
    </row>
    <row r="34447">
      <c r="L34447" s="13"/>
      <c r="M34447" s="14"/>
      <c r="N34447" s="14"/>
      <c r="O34447" s="14"/>
      <c r="P34447" s="13"/>
    </row>
    <row r="34448">
      <c r="L34448" s="13"/>
      <c r="M34448" s="14"/>
      <c r="N34448" s="14"/>
      <c r="O34448" s="14"/>
      <c r="P34448" s="13"/>
    </row>
    <row r="34449">
      <c r="L34449" s="13"/>
      <c r="M34449" s="14"/>
      <c r="N34449" s="14"/>
      <c r="O34449" s="14"/>
      <c r="P34449" s="13"/>
    </row>
    <row r="34450">
      <c r="L34450" s="13"/>
      <c r="M34450" s="14"/>
      <c r="N34450" s="14"/>
      <c r="O34450" s="14"/>
      <c r="P34450" s="13"/>
    </row>
    <row r="34451">
      <c r="L34451" s="13"/>
      <c r="M34451" s="14"/>
      <c r="N34451" s="14"/>
      <c r="O34451" s="14"/>
      <c r="P34451" s="13"/>
    </row>
    <row r="34452">
      <c r="L34452" s="13"/>
      <c r="M34452" s="14"/>
      <c r="N34452" s="14"/>
      <c r="O34452" s="14"/>
      <c r="P34452" s="13"/>
    </row>
    <row r="34453">
      <c r="L34453" s="13"/>
      <c r="M34453" s="14"/>
      <c r="N34453" s="14"/>
      <c r="O34453" s="14"/>
      <c r="P34453" s="13"/>
    </row>
    <row r="34454">
      <c r="L34454" s="13"/>
      <c r="M34454" s="14"/>
      <c r="N34454" s="14"/>
      <c r="O34454" s="14"/>
      <c r="P34454" s="13"/>
    </row>
    <row r="34455">
      <c r="L34455" s="13"/>
      <c r="M34455" s="14"/>
      <c r="N34455" s="14"/>
      <c r="O34455" s="14"/>
      <c r="P34455" s="13"/>
    </row>
    <row r="34456">
      <c r="L34456" s="13"/>
      <c r="M34456" s="14"/>
      <c r="N34456" s="14"/>
      <c r="O34456" s="14"/>
      <c r="P34456" s="13"/>
    </row>
    <row r="34457">
      <c r="L34457" s="13"/>
      <c r="M34457" s="14"/>
      <c r="N34457" s="14"/>
      <c r="O34457" s="14"/>
      <c r="P34457" s="13"/>
    </row>
    <row r="34458">
      <c r="L34458" s="13"/>
      <c r="M34458" s="14"/>
      <c r="N34458" s="14"/>
      <c r="O34458" s="14"/>
      <c r="P34458" s="13"/>
    </row>
    <row r="34459">
      <c r="L34459" s="13"/>
      <c r="M34459" s="14"/>
      <c r="N34459" s="14"/>
      <c r="O34459" s="14"/>
      <c r="P34459" s="13"/>
    </row>
    <row r="34460">
      <c r="L34460" s="13"/>
      <c r="M34460" s="14"/>
      <c r="N34460" s="14"/>
      <c r="O34460" s="14"/>
      <c r="P34460" s="13"/>
    </row>
    <row r="34461">
      <c r="L34461" s="13"/>
      <c r="M34461" s="14"/>
      <c r="N34461" s="14"/>
      <c r="O34461" s="14"/>
      <c r="P34461" s="13"/>
    </row>
    <row r="34462">
      <c r="L34462" s="13"/>
      <c r="M34462" s="14"/>
      <c r="N34462" s="14"/>
      <c r="O34462" s="14"/>
      <c r="P34462" s="13"/>
    </row>
    <row r="34463">
      <c r="L34463" s="13"/>
      <c r="M34463" s="14"/>
      <c r="N34463" s="14"/>
      <c r="O34463" s="14"/>
      <c r="P34463" s="13"/>
    </row>
    <row r="34464">
      <c r="L34464" s="13"/>
      <c r="M34464" s="14"/>
      <c r="N34464" s="14"/>
      <c r="O34464" s="14"/>
      <c r="P34464" s="13"/>
    </row>
    <row r="34465">
      <c r="L34465" s="13"/>
      <c r="M34465" s="14"/>
      <c r="N34465" s="14"/>
      <c r="O34465" s="14"/>
      <c r="P34465" s="13"/>
    </row>
    <row r="34466">
      <c r="L34466" s="13"/>
      <c r="M34466" s="14"/>
      <c r="N34466" s="14"/>
      <c r="O34466" s="14"/>
      <c r="P34466" s="13"/>
    </row>
    <row r="34467">
      <c r="L34467" s="13"/>
      <c r="M34467" s="14"/>
      <c r="N34467" s="14"/>
      <c r="O34467" s="14"/>
      <c r="P34467" s="13"/>
    </row>
    <row r="34468">
      <c r="L34468" s="13"/>
      <c r="M34468" s="14"/>
      <c r="N34468" s="14"/>
      <c r="O34468" s="14"/>
      <c r="P34468" s="13"/>
    </row>
    <row r="34469">
      <c r="L34469" s="13"/>
      <c r="M34469" s="14"/>
      <c r="N34469" s="14"/>
      <c r="O34469" s="14"/>
      <c r="P34469" s="13"/>
    </row>
    <row r="34470">
      <c r="L34470" s="13"/>
      <c r="M34470" s="14"/>
      <c r="N34470" s="14"/>
      <c r="O34470" s="14"/>
      <c r="P34470" s="13"/>
    </row>
    <row r="34471">
      <c r="L34471" s="13"/>
      <c r="M34471" s="14"/>
      <c r="N34471" s="14"/>
      <c r="O34471" s="14"/>
      <c r="P34471" s="13"/>
    </row>
    <row r="34472">
      <c r="L34472" s="13"/>
      <c r="M34472" s="14"/>
      <c r="N34472" s="14"/>
      <c r="O34472" s="14"/>
      <c r="P34472" s="13"/>
    </row>
    <row r="34473">
      <c r="L34473" s="13"/>
      <c r="M34473" s="14"/>
      <c r="N34473" s="14"/>
      <c r="O34473" s="14"/>
      <c r="P34473" s="13"/>
    </row>
    <row r="34474">
      <c r="L34474" s="13"/>
      <c r="M34474" s="14"/>
      <c r="N34474" s="14"/>
      <c r="O34474" s="14"/>
      <c r="P34474" s="13"/>
    </row>
    <row r="34475">
      <c r="L34475" s="13"/>
      <c r="M34475" s="14"/>
      <c r="N34475" s="14"/>
      <c r="O34475" s="14"/>
      <c r="P34475" s="13"/>
    </row>
    <row r="34476">
      <c r="L34476" s="13"/>
      <c r="M34476" s="14"/>
      <c r="N34476" s="14"/>
      <c r="O34476" s="14"/>
      <c r="P34476" s="13"/>
    </row>
    <row r="34477">
      <c r="L34477" s="13"/>
      <c r="M34477" s="14"/>
      <c r="N34477" s="14"/>
      <c r="O34477" s="14"/>
      <c r="P34477" s="13"/>
    </row>
    <row r="34478">
      <c r="L34478" s="13"/>
      <c r="M34478" s="14"/>
      <c r="N34478" s="14"/>
      <c r="O34478" s="14"/>
      <c r="P34478" s="13"/>
    </row>
    <row r="34479">
      <c r="L34479" s="13"/>
      <c r="M34479" s="14"/>
      <c r="N34479" s="14"/>
      <c r="O34479" s="14"/>
      <c r="P34479" s="13"/>
    </row>
    <row r="34480">
      <c r="L34480" s="13"/>
      <c r="M34480" s="14"/>
      <c r="N34480" s="14"/>
      <c r="O34480" s="14"/>
      <c r="P34480" s="13"/>
    </row>
    <row r="34481">
      <c r="L34481" s="13"/>
      <c r="M34481" s="14"/>
      <c r="N34481" s="14"/>
      <c r="O34481" s="14"/>
      <c r="P34481" s="13"/>
    </row>
    <row r="34482">
      <c r="L34482" s="13"/>
      <c r="M34482" s="14"/>
      <c r="N34482" s="14"/>
      <c r="O34482" s="14"/>
      <c r="P34482" s="13"/>
    </row>
    <row r="34483">
      <c r="L34483" s="13"/>
      <c r="M34483" s="14"/>
      <c r="N34483" s="14"/>
      <c r="O34483" s="14"/>
      <c r="P34483" s="13"/>
    </row>
    <row r="34484">
      <c r="L34484" s="13"/>
      <c r="M34484" s="14"/>
      <c r="N34484" s="14"/>
      <c r="O34484" s="14"/>
      <c r="P34484" s="13"/>
    </row>
    <row r="34485">
      <c r="L34485" s="13"/>
      <c r="M34485" s="14"/>
      <c r="N34485" s="14"/>
      <c r="O34485" s="14"/>
      <c r="P34485" s="13"/>
    </row>
    <row r="34486">
      <c r="L34486" s="13"/>
      <c r="M34486" s="14"/>
      <c r="N34486" s="14"/>
      <c r="O34486" s="14"/>
      <c r="P34486" s="13"/>
    </row>
    <row r="34487">
      <c r="L34487" s="13"/>
      <c r="M34487" s="14"/>
      <c r="N34487" s="14"/>
      <c r="O34487" s="14"/>
      <c r="P34487" s="13"/>
    </row>
    <row r="34488">
      <c r="L34488" s="13"/>
      <c r="M34488" s="14"/>
      <c r="N34488" s="14"/>
      <c r="O34488" s="14"/>
      <c r="P34488" s="13"/>
    </row>
    <row r="34489">
      <c r="L34489" s="13"/>
      <c r="M34489" s="14"/>
      <c r="N34489" s="14"/>
      <c r="O34489" s="14"/>
      <c r="P34489" s="13"/>
    </row>
    <row r="34490">
      <c r="L34490" s="13"/>
      <c r="M34490" s="14"/>
      <c r="N34490" s="14"/>
      <c r="O34490" s="14"/>
      <c r="P34490" s="13"/>
    </row>
    <row r="34491">
      <c r="L34491" s="13"/>
      <c r="M34491" s="14"/>
      <c r="N34491" s="14"/>
      <c r="O34491" s="14"/>
      <c r="P34491" s="13"/>
    </row>
    <row r="34492">
      <c r="L34492" s="13"/>
      <c r="M34492" s="14"/>
      <c r="N34492" s="14"/>
      <c r="O34492" s="14"/>
      <c r="P34492" s="13"/>
    </row>
    <row r="34493">
      <c r="L34493" s="13"/>
      <c r="M34493" s="14"/>
      <c r="N34493" s="14"/>
      <c r="O34493" s="14"/>
      <c r="P34493" s="13"/>
    </row>
    <row r="34494">
      <c r="L34494" s="13"/>
      <c r="M34494" s="14"/>
      <c r="N34494" s="14"/>
      <c r="O34494" s="14"/>
      <c r="P34494" s="13"/>
    </row>
    <row r="34495">
      <c r="L34495" s="13"/>
      <c r="M34495" s="14"/>
      <c r="N34495" s="14"/>
      <c r="O34495" s="14"/>
      <c r="P34495" s="13"/>
    </row>
    <row r="34496">
      <c r="L34496" s="13"/>
      <c r="M34496" s="14"/>
      <c r="N34496" s="14"/>
      <c r="O34496" s="14"/>
      <c r="P34496" s="13"/>
    </row>
    <row r="34497">
      <c r="L34497" s="13"/>
      <c r="M34497" s="14"/>
      <c r="N34497" s="14"/>
      <c r="O34497" s="14"/>
      <c r="P34497" s="13"/>
    </row>
    <row r="34498">
      <c r="L34498" s="13"/>
      <c r="M34498" s="14"/>
      <c r="N34498" s="14"/>
      <c r="O34498" s="14"/>
      <c r="P34498" s="13"/>
    </row>
    <row r="34499">
      <c r="L34499" s="13"/>
      <c r="M34499" s="14"/>
      <c r="N34499" s="14"/>
      <c r="O34499" s="14"/>
      <c r="P34499" s="13"/>
    </row>
    <row r="34500">
      <c r="L34500" s="13"/>
      <c r="M34500" s="14"/>
      <c r="N34500" s="14"/>
      <c r="O34500" s="14"/>
      <c r="P34500" s="13"/>
    </row>
    <row r="34501">
      <c r="L34501" s="13"/>
      <c r="M34501" s="14"/>
      <c r="N34501" s="14"/>
      <c r="O34501" s="14"/>
      <c r="P34501" s="13"/>
    </row>
    <row r="34502">
      <c r="L34502" s="13"/>
      <c r="M34502" s="14"/>
      <c r="N34502" s="14"/>
      <c r="O34502" s="14"/>
      <c r="P34502" s="13"/>
    </row>
    <row r="34503">
      <c r="L34503" s="13"/>
      <c r="M34503" s="14"/>
      <c r="N34503" s="14"/>
      <c r="O34503" s="14"/>
      <c r="P34503" s="13"/>
    </row>
    <row r="34504">
      <c r="L34504" s="13"/>
      <c r="M34504" s="14"/>
      <c r="N34504" s="14"/>
      <c r="O34504" s="14"/>
      <c r="P34504" s="13"/>
    </row>
    <row r="34505">
      <c r="L34505" s="13"/>
      <c r="M34505" s="14"/>
      <c r="N34505" s="14"/>
      <c r="O34505" s="14"/>
      <c r="P34505" s="13"/>
    </row>
    <row r="34506">
      <c r="L34506" s="13"/>
      <c r="M34506" s="14"/>
      <c r="N34506" s="14"/>
      <c r="O34506" s="14"/>
      <c r="P34506" s="13"/>
    </row>
    <row r="34507">
      <c r="L34507" s="13"/>
      <c r="M34507" s="14"/>
      <c r="N34507" s="14"/>
      <c r="O34507" s="14"/>
      <c r="P34507" s="13"/>
    </row>
    <row r="34508">
      <c r="L34508" s="13"/>
      <c r="M34508" s="14"/>
      <c r="N34508" s="14"/>
      <c r="O34508" s="14"/>
      <c r="P34508" s="13"/>
    </row>
    <row r="34509">
      <c r="L34509" s="13"/>
      <c r="M34509" s="14"/>
      <c r="N34509" s="14"/>
      <c r="O34509" s="14"/>
      <c r="P34509" s="13"/>
    </row>
    <row r="34510">
      <c r="L34510" s="13"/>
      <c r="M34510" s="14"/>
      <c r="N34510" s="14"/>
      <c r="O34510" s="14"/>
      <c r="P34510" s="13"/>
    </row>
    <row r="34511">
      <c r="L34511" s="13"/>
      <c r="M34511" s="14"/>
      <c r="N34511" s="14"/>
      <c r="O34511" s="14"/>
      <c r="P34511" s="13"/>
    </row>
    <row r="34512">
      <c r="L34512" s="13"/>
      <c r="M34512" s="14"/>
      <c r="N34512" s="14"/>
      <c r="O34512" s="14"/>
      <c r="P34512" s="13"/>
    </row>
    <row r="34513">
      <c r="L34513" s="13"/>
      <c r="M34513" s="14"/>
      <c r="N34513" s="14"/>
      <c r="O34513" s="14"/>
      <c r="P34513" s="13"/>
    </row>
    <row r="34514">
      <c r="L34514" s="13"/>
      <c r="M34514" s="14"/>
      <c r="N34514" s="14"/>
      <c r="O34514" s="14"/>
      <c r="P34514" s="13"/>
    </row>
    <row r="34515">
      <c r="L34515" s="13"/>
      <c r="M34515" s="14"/>
      <c r="N34515" s="14"/>
      <c r="O34515" s="14"/>
      <c r="P34515" s="13"/>
    </row>
    <row r="34516">
      <c r="L34516" s="13"/>
      <c r="M34516" s="14"/>
      <c r="N34516" s="14"/>
      <c r="O34516" s="14"/>
      <c r="P34516" s="13"/>
    </row>
    <row r="34517">
      <c r="L34517" s="13"/>
      <c r="M34517" s="14"/>
      <c r="N34517" s="14"/>
      <c r="O34517" s="14"/>
      <c r="P34517" s="13"/>
    </row>
    <row r="34518">
      <c r="L34518" s="13"/>
      <c r="M34518" s="14"/>
      <c r="N34518" s="14"/>
      <c r="O34518" s="14"/>
      <c r="P34518" s="13"/>
    </row>
    <row r="34519">
      <c r="L34519" s="13"/>
      <c r="M34519" s="14"/>
      <c r="N34519" s="14"/>
      <c r="O34519" s="14"/>
      <c r="P34519" s="13"/>
    </row>
    <row r="34520">
      <c r="L34520" s="13"/>
      <c r="M34520" s="14"/>
      <c r="N34520" s="14"/>
      <c r="O34520" s="14"/>
      <c r="P34520" s="13"/>
    </row>
    <row r="34521">
      <c r="L34521" s="13"/>
      <c r="M34521" s="14"/>
      <c r="N34521" s="14"/>
      <c r="O34521" s="14"/>
      <c r="P34521" s="13"/>
    </row>
    <row r="34522">
      <c r="L34522" s="13"/>
      <c r="M34522" s="14"/>
      <c r="N34522" s="14"/>
      <c r="O34522" s="14"/>
      <c r="P34522" s="13"/>
    </row>
    <row r="34523">
      <c r="L34523" s="13"/>
      <c r="M34523" s="14"/>
      <c r="N34523" s="14"/>
      <c r="O34523" s="14"/>
      <c r="P34523" s="13"/>
    </row>
    <row r="34524">
      <c r="L34524" s="13"/>
      <c r="M34524" s="14"/>
      <c r="N34524" s="14"/>
      <c r="O34524" s="14"/>
      <c r="P34524" s="13"/>
    </row>
    <row r="34525">
      <c r="L34525" s="13"/>
      <c r="M34525" s="14"/>
      <c r="N34525" s="14"/>
      <c r="O34525" s="14"/>
      <c r="P34525" s="13"/>
    </row>
    <row r="34526">
      <c r="L34526" s="13"/>
      <c r="M34526" s="14"/>
      <c r="N34526" s="14"/>
      <c r="O34526" s="14"/>
      <c r="P34526" s="13"/>
    </row>
    <row r="34527">
      <c r="L34527" s="13"/>
      <c r="M34527" s="14"/>
      <c r="N34527" s="14"/>
      <c r="O34527" s="14"/>
      <c r="P34527" s="13"/>
    </row>
    <row r="34528">
      <c r="L34528" s="13"/>
      <c r="M34528" s="14"/>
      <c r="N34528" s="14"/>
      <c r="O34528" s="14"/>
      <c r="P34528" s="13"/>
    </row>
    <row r="34529">
      <c r="L34529" s="13"/>
      <c r="M34529" s="14"/>
      <c r="N34529" s="14"/>
      <c r="O34529" s="14"/>
      <c r="P34529" s="13"/>
    </row>
    <row r="34530">
      <c r="L34530" s="13"/>
      <c r="M34530" s="14"/>
      <c r="N34530" s="14"/>
      <c r="O34530" s="14"/>
      <c r="P34530" s="13"/>
    </row>
    <row r="34531">
      <c r="L34531" s="13"/>
      <c r="M34531" s="14"/>
      <c r="N34531" s="14"/>
      <c r="O34531" s="14"/>
      <c r="P34531" s="13"/>
    </row>
    <row r="34532">
      <c r="L34532" s="13"/>
      <c r="M34532" s="14"/>
      <c r="N34532" s="14"/>
      <c r="O34532" s="14"/>
      <c r="P34532" s="13"/>
    </row>
    <row r="34533">
      <c r="L34533" s="13"/>
      <c r="M34533" s="14"/>
      <c r="N34533" s="14"/>
      <c r="O34533" s="14"/>
      <c r="P34533" s="13"/>
    </row>
    <row r="34534">
      <c r="L34534" s="13"/>
      <c r="M34534" s="14"/>
      <c r="N34534" s="14"/>
      <c r="O34534" s="14"/>
      <c r="P34534" s="13"/>
    </row>
    <row r="34535">
      <c r="L34535" s="13"/>
      <c r="M34535" s="14"/>
      <c r="N34535" s="14"/>
      <c r="O34535" s="14"/>
      <c r="P34535" s="13"/>
    </row>
    <row r="34536">
      <c r="L34536" s="13"/>
      <c r="M34536" s="14"/>
      <c r="N34536" s="14"/>
      <c r="O34536" s="14"/>
      <c r="P34536" s="13"/>
    </row>
    <row r="34537">
      <c r="L34537" s="13"/>
      <c r="M34537" s="14"/>
      <c r="N34537" s="14"/>
      <c r="O34537" s="14"/>
      <c r="P34537" s="13"/>
    </row>
    <row r="34538">
      <c r="L34538" s="13"/>
      <c r="M34538" s="14"/>
      <c r="N34538" s="14"/>
      <c r="O34538" s="14"/>
      <c r="P34538" s="13"/>
    </row>
    <row r="34539">
      <c r="L34539" s="13"/>
      <c r="M34539" s="14"/>
      <c r="N34539" s="14"/>
      <c r="O34539" s="14"/>
      <c r="P34539" s="13"/>
    </row>
    <row r="34540">
      <c r="L34540" s="13"/>
      <c r="M34540" s="14"/>
      <c r="N34540" s="14"/>
      <c r="O34540" s="14"/>
      <c r="P34540" s="13"/>
    </row>
    <row r="34541">
      <c r="L34541" s="13"/>
      <c r="M34541" s="14"/>
      <c r="N34541" s="14"/>
      <c r="O34541" s="14"/>
      <c r="P34541" s="13"/>
    </row>
    <row r="34542">
      <c r="L34542" s="13"/>
      <c r="M34542" s="14"/>
      <c r="N34542" s="14"/>
      <c r="O34542" s="14"/>
      <c r="P34542" s="13"/>
    </row>
    <row r="34543">
      <c r="L34543" s="13"/>
      <c r="M34543" s="14"/>
      <c r="N34543" s="14"/>
      <c r="O34543" s="14"/>
      <c r="P34543" s="13"/>
    </row>
    <row r="34544">
      <c r="L34544" s="13"/>
      <c r="M34544" s="14"/>
      <c r="N34544" s="14"/>
      <c r="O34544" s="14"/>
      <c r="P34544" s="13"/>
    </row>
    <row r="34545">
      <c r="L34545" s="13"/>
      <c r="M34545" s="14"/>
      <c r="N34545" s="14"/>
      <c r="O34545" s="14"/>
      <c r="P34545" s="13"/>
    </row>
    <row r="34546">
      <c r="L34546" s="13"/>
      <c r="M34546" s="14"/>
      <c r="N34546" s="14"/>
      <c r="O34546" s="14"/>
      <c r="P34546" s="13"/>
    </row>
    <row r="34547">
      <c r="L34547" s="13"/>
      <c r="M34547" s="14"/>
      <c r="N34547" s="14"/>
      <c r="O34547" s="14"/>
      <c r="P34547" s="13"/>
    </row>
    <row r="34548">
      <c r="L34548" s="13"/>
      <c r="M34548" s="14"/>
      <c r="N34548" s="14"/>
      <c r="O34548" s="14"/>
      <c r="P34548" s="13"/>
    </row>
    <row r="34549">
      <c r="L34549" s="13"/>
      <c r="M34549" s="14"/>
      <c r="N34549" s="14"/>
      <c r="O34549" s="14"/>
      <c r="P34549" s="13"/>
    </row>
    <row r="34550">
      <c r="L34550" s="13"/>
      <c r="M34550" s="14"/>
      <c r="N34550" s="14"/>
      <c r="O34550" s="14"/>
      <c r="P34550" s="13"/>
    </row>
    <row r="34551">
      <c r="L34551" s="13"/>
      <c r="M34551" s="14"/>
      <c r="N34551" s="14"/>
      <c r="O34551" s="14"/>
      <c r="P34551" s="13"/>
    </row>
    <row r="34552">
      <c r="L34552" s="13"/>
      <c r="M34552" s="14"/>
      <c r="N34552" s="14"/>
      <c r="O34552" s="14"/>
      <c r="P34552" s="13"/>
    </row>
    <row r="34553">
      <c r="L34553" s="13"/>
      <c r="M34553" s="14"/>
      <c r="N34553" s="14"/>
      <c r="O34553" s="14"/>
      <c r="P34553" s="13"/>
    </row>
    <row r="34554">
      <c r="L34554" s="13"/>
      <c r="M34554" s="14"/>
      <c r="N34554" s="14"/>
      <c r="O34554" s="14"/>
      <c r="P34554" s="13"/>
    </row>
    <row r="34555">
      <c r="L34555" s="13"/>
      <c r="M34555" s="14"/>
      <c r="N34555" s="14"/>
      <c r="O34555" s="14"/>
      <c r="P34555" s="13"/>
    </row>
    <row r="34556">
      <c r="L34556" s="13"/>
      <c r="M34556" s="14"/>
      <c r="N34556" s="14"/>
      <c r="O34556" s="14"/>
      <c r="P34556" s="13"/>
    </row>
    <row r="34557">
      <c r="L34557" s="13"/>
      <c r="M34557" s="14"/>
      <c r="N34557" s="14"/>
      <c r="O34557" s="14"/>
      <c r="P34557" s="13"/>
    </row>
    <row r="34558">
      <c r="L34558" s="13"/>
      <c r="M34558" s="14"/>
      <c r="N34558" s="14"/>
      <c r="O34558" s="14"/>
      <c r="P34558" s="13"/>
    </row>
    <row r="34559">
      <c r="L34559" s="13"/>
      <c r="M34559" s="14"/>
      <c r="N34559" s="14"/>
      <c r="O34559" s="14"/>
      <c r="P34559" s="13"/>
    </row>
    <row r="34560">
      <c r="L34560" s="13"/>
      <c r="M34560" s="14"/>
      <c r="N34560" s="14"/>
      <c r="O34560" s="14"/>
      <c r="P34560" s="13"/>
    </row>
    <row r="34561">
      <c r="L34561" s="13"/>
      <c r="M34561" s="14"/>
      <c r="N34561" s="14"/>
      <c r="O34561" s="14"/>
      <c r="P34561" s="13"/>
    </row>
    <row r="34562">
      <c r="L34562" s="13"/>
      <c r="M34562" s="14"/>
      <c r="N34562" s="14"/>
      <c r="O34562" s="14"/>
      <c r="P34562" s="13"/>
    </row>
    <row r="34563">
      <c r="L34563" s="13"/>
      <c r="M34563" s="14"/>
      <c r="N34563" s="14"/>
      <c r="O34563" s="14"/>
      <c r="P34563" s="13"/>
    </row>
    <row r="34564">
      <c r="L34564" s="13"/>
      <c r="M34564" s="14"/>
      <c r="N34564" s="14"/>
      <c r="O34564" s="14"/>
      <c r="P34564" s="13"/>
    </row>
    <row r="34565">
      <c r="L34565" s="13"/>
      <c r="M34565" s="14"/>
      <c r="N34565" s="14"/>
      <c r="O34565" s="14"/>
      <c r="P34565" s="13"/>
    </row>
    <row r="34566">
      <c r="L34566" s="13"/>
      <c r="M34566" s="14"/>
      <c r="N34566" s="14"/>
      <c r="O34566" s="14"/>
      <c r="P34566" s="13"/>
    </row>
    <row r="34567">
      <c r="L34567" s="13"/>
      <c r="M34567" s="14"/>
      <c r="N34567" s="14"/>
      <c r="O34567" s="14"/>
      <c r="P34567" s="13"/>
    </row>
    <row r="34568">
      <c r="L34568" s="13"/>
      <c r="M34568" s="14"/>
      <c r="N34568" s="14"/>
      <c r="O34568" s="14"/>
      <c r="P34568" s="13"/>
    </row>
    <row r="34569">
      <c r="L34569" s="13"/>
      <c r="M34569" s="14"/>
      <c r="N34569" s="14"/>
      <c r="O34569" s="14"/>
      <c r="P34569" s="13"/>
    </row>
    <row r="34570">
      <c r="L34570" s="13"/>
      <c r="M34570" s="14"/>
      <c r="N34570" s="14"/>
      <c r="O34570" s="14"/>
      <c r="P34570" s="13"/>
    </row>
    <row r="34571">
      <c r="L34571" s="13"/>
      <c r="M34571" s="14"/>
      <c r="N34571" s="14"/>
      <c r="O34571" s="14"/>
      <c r="P34571" s="13"/>
    </row>
    <row r="34572">
      <c r="L34572" s="13"/>
      <c r="M34572" s="14"/>
      <c r="N34572" s="14"/>
      <c r="O34572" s="14"/>
      <c r="P34572" s="13"/>
    </row>
    <row r="34573">
      <c r="L34573" s="13"/>
      <c r="M34573" s="14"/>
      <c r="N34573" s="14"/>
      <c r="O34573" s="14"/>
      <c r="P34573" s="13"/>
    </row>
    <row r="34574">
      <c r="L34574" s="13"/>
      <c r="M34574" s="14"/>
      <c r="N34574" s="14"/>
      <c r="O34574" s="14"/>
      <c r="P34574" s="13"/>
    </row>
    <row r="34575">
      <c r="L34575" s="13"/>
      <c r="M34575" s="14"/>
      <c r="N34575" s="14"/>
      <c r="O34575" s="14"/>
      <c r="P34575" s="13"/>
    </row>
    <row r="34576">
      <c r="L34576" s="13"/>
      <c r="M34576" s="14"/>
      <c r="N34576" s="14"/>
      <c r="O34576" s="14"/>
      <c r="P34576" s="13"/>
    </row>
    <row r="34577">
      <c r="L34577" s="13"/>
      <c r="M34577" s="14"/>
      <c r="N34577" s="14"/>
      <c r="O34577" s="14"/>
      <c r="P34577" s="13"/>
    </row>
    <row r="34578">
      <c r="L34578" s="13"/>
      <c r="M34578" s="14"/>
      <c r="N34578" s="14"/>
      <c r="O34578" s="14"/>
      <c r="P34578" s="13"/>
    </row>
    <row r="34579">
      <c r="L34579" s="13"/>
      <c r="M34579" s="14"/>
      <c r="N34579" s="14"/>
      <c r="O34579" s="14"/>
      <c r="P34579" s="13"/>
    </row>
    <row r="34580">
      <c r="L34580" s="13"/>
      <c r="M34580" s="14"/>
      <c r="N34580" s="14"/>
      <c r="O34580" s="14"/>
      <c r="P34580" s="13"/>
    </row>
    <row r="34581">
      <c r="L34581" s="13"/>
      <c r="M34581" s="14"/>
      <c r="N34581" s="14"/>
      <c r="O34581" s="14"/>
      <c r="P34581" s="13"/>
    </row>
    <row r="34582">
      <c r="L34582" s="13"/>
      <c r="M34582" s="14"/>
      <c r="N34582" s="14"/>
      <c r="O34582" s="14"/>
      <c r="P34582" s="13"/>
    </row>
    <row r="34583">
      <c r="L34583" s="13"/>
      <c r="M34583" s="14"/>
      <c r="N34583" s="14"/>
      <c r="O34583" s="14"/>
      <c r="P34583" s="13"/>
    </row>
    <row r="34584">
      <c r="L34584" s="13"/>
      <c r="M34584" s="14"/>
      <c r="N34584" s="14"/>
      <c r="O34584" s="14"/>
      <c r="P34584" s="13"/>
    </row>
    <row r="34585">
      <c r="L34585" s="13"/>
      <c r="M34585" s="14"/>
      <c r="N34585" s="14"/>
      <c r="O34585" s="14"/>
      <c r="P34585" s="13"/>
    </row>
    <row r="34586">
      <c r="L34586" s="13"/>
      <c r="M34586" s="14"/>
      <c r="N34586" s="14"/>
      <c r="O34586" s="14"/>
      <c r="P34586" s="13"/>
    </row>
    <row r="34587">
      <c r="L34587" s="13"/>
      <c r="M34587" s="14"/>
      <c r="N34587" s="14"/>
      <c r="O34587" s="14"/>
      <c r="P34587" s="13"/>
    </row>
    <row r="34588">
      <c r="L34588" s="13"/>
      <c r="M34588" s="14"/>
      <c r="N34588" s="14"/>
      <c r="O34588" s="14"/>
      <c r="P34588" s="13"/>
    </row>
    <row r="34589">
      <c r="L34589" s="13"/>
      <c r="M34589" s="14"/>
      <c r="N34589" s="14"/>
      <c r="O34589" s="14"/>
      <c r="P34589" s="13"/>
    </row>
    <row r="34590">
      <c r="L34590" s="13"/>
      <c r="M34590" s="14"/>
      <c r="N34590" s="14"/>
      <c r="O34590" s="14"/>
      <c r="P34590" s="13"/>
    </row>
    <row r="34591">
      <c r="L34591" s="13"/>
      <c r="M34591" s="14"/>
      <c r="N34591" s="14"/>
      <c r="O34591" s="14"/>
      <c r="P34591" s="13"/>
    </row>
    <row r="34592">
      <c r="L34592" s="13"/>
      <c r="M34592" s="14"/>
      <c r="N34592" s="14"/>
      <c r="O34592" s="14"/>
      <c r="P34592" s="13"/>
    </row>
    <row r="34593">
      <c r="L34593" s="13"/>
      <c r="M34593" s="14"/>
      <c r="N34593" s="14"/>
      <c r="O34593" s="14"/>
      <c r="P34593" s="13"/>
    </row>
    <row r="34594">
      <c r="L34594" s="13"/>
      <c r="M34594" s="14"/>
      <c r="N34594" s="14"/>
      <c r="O34594" s="14"/>
      <c r="P34594" s="13"/>
    </row>
    <row r="34595">
      <c r="L34595" s="13"/>
      <c r="M34595" s="14"/>
      <c r="N34595" s="14"/>
      <c r="O34595" s="14"/>
      <c r="P34595" s="13"/>
    </row>
    <row r="34596">
      <c r="L34596" s="13"/>
      <c r="M34596" s="14"/>
      <c r="N34596" s="14"/>
      <c r="O34596" s="14"/>
      <c r="P34596" s="13"/>
    </row>
    <row r="34597">
      <c r="L34597" s="13"/>
      <c r="M34597" s="14"/>
      <c r="N34597" s="14"/>
      <c r="O34597" s="14"/>
      <c r="P34597" s="13"/>
    </row>
    <row r="34598">
      <c r="L34598" s="13"/>
      <c r="M34598" s="14"/>
      <c r="N34598" s="14"/>
      <c r="O34598" s="14"/>
      <c r="P34598" s="13"/>
    </row>
    <row r="34599">
      <c r="L34599" s="13"/>
      <c r="M34599" s="14"/>
      <c r="N34599" s="14"/>
      <c r="O34599" s="14"/>
      <c r="P34599" s="13"/>
    </row>
    <row r="34600">
      <c r="L34600" s="13"/>
      <c r="M34600" s="14"/>
      <c r="N34600" s="14"/>
      <c r="O34600" s="14"/>
      <c r="P34600" s="13"/>
    </row>
    <row r="34601">
      <c r="L34601" s="13"/>
      <c r="M34601" s="14"/>
      <c r="N34601" s="14"/>
      <c r="O34601" s="14"/>
      <c r="P34601" s="13"/>
    </row>
    <row r="34602">
      <c r="L34602" s="13"/>
      <c r="M34602" s="14"/>
      <c r="N34602" s="14"/>
      <c r="O34602" s="14"/>
      <c r="P34602" s="13"/>
    </row>
    <row r="34603">
      <c r="L34603" s="13"/>
      <c r="M34603" s="14"/>
      <c r="N34603" s="14"/>
      <c r="O34603" s="14"/>
      <c r="P34603" s="13"/>
    </row>
    <row r="34604">
      <c r="L34604" s="13"/>
      <c r="M34604" s="14"/>
      <c r="N34604" s="14"/>
      <c r="O34604" s="14"/>
      <c r="P34604" s="13"/>
    </row>
    <row r="34605">
      <c r="L34605" s="13"/>
      <c r="M34605" s="14"/>
      <c r="N34605" s="14"/>
      <c r="O34605" s="14"/>
      <c r="P34605" s="13"/>
    </row>
    <row r="34606">
      <c r="L34606" s="13"/>
      <c r="M34606" s="14"/>
      <c r="N34606" s="14"/>
      <c r="O34606" s="14"/>
      <c r="P34606" s="13"/>
    </row>
    <row r="34607">
      <c r="L34607" s="13"/>
      <c r="M34607" s="14"/>
      <c r="N34607" s="14"/>
      <c r="O34607" s="14"/>
      <c r="P34607" s="13"/>
    </row>
    <row r="34608">
      <c r="L34608" s="13"/>
      <c r="M34608" s="14"/>
      <c r="N34608" s="14"/>
      <c r="O34608" s="14"/>
      <c r="P34608" s="13"/>
    </row>
    <row r="34609">
      <c r="L34609" s="13"/>
      <c r="M34609" s="14"/>
      <c r="N34609" s="14"/>
      <c r="O34609" s="14"/>
      <c r="P34609" s="13"/>
    </row>
    <row r="34610">
      <c r="L34610" s="13"/>
      <c r="M34610" s="14"/>
      <c r="N34610" s="14"/>
      <c r="O34610" s="14"/>
      <c r="P34610" s="13"/>
    </row>
    <row r="34611">
      <c r="L34611" s="13"/>
      <c r="M34611" s="14"/>
      <c r="N34611" s="14"/>
      <c r="O34611" s="14"/>
      <c r="P34611" s="13"/>
    </row>
    <row r="34612">
      <c r="L34612" s="13"/>
      <c r="M34612" s="14"/>
      <c r="N34612" s="14"/>
      <c r="O34612" s="14"/>
      <c r="P34612" s="13"/>
    </row>
    <row r="34613">
      <c r="L34613" s="13"/>
      <c r="M34613" s="14"/>
      <c r="N34613" s="14"/>
      <c r="O34613" s="14"/>
      <c r="P34613" s="13"/>
    </row>
    <row r="34614">
      <c r="L34614" s="13"/>
      <c r="M34614" s="14"/>
      <c r="N34614" s="14"/>
      <c r="O34614" s="14"/>
      <c r="P34614" s="13"/>
    </row>
    <row r="34615">
      <c r="L34615" s="13"/>
      <c r="M34615" s="14"/>
      <c r="N34615" s="14"/>
      <c r="O34615" s="14"/>
      <c r="P34615" s="13"/>
    </row>
    <row r="34616">
      <c r="L34616" s="13"/>
      <c r="M34616" s="14"/>
      <c r="N34616" s="14"/>
      <c r="O34616" s="14"/>
      <c r="P34616" s="13"/>
    </row>
    <row r="34617">
      <c r="L34617" s="13"/>
      <c r="M34617" s="14"/>
      <c r="N34617" s="14"/>
      <c r="O34617" s="14"/>
      <c r="P34617" s="13"/>
    </row>
    <row r="34618">
      <c r="L34618" s="13"/>
      <c r="M34618" s="14"/>
      <c r="N34618" s="14"/>
      <c r="O34618" s="14"/>
      <c r="P34618" s="13"/>
    </row>
    <row r="34619">
      <c r="L34619" s="13"/>
      <c r="M34619" s="14"/>
      <c r="N34619" s="14"/>
      <c r="O34619" s="14"/>
      <c r="P34619" s="13"/>
    </row>
    <row r="34620">
      <c r="L34620" s="13"/>
      <c r="M34620" s="14"/>
      <c r="N34620" s="14"/>
      <c r="O34620" s="14"/>
      <c r="P34620" s="13"/>
    </row>
    <row r="34621">
      <c r="L34621" s="13"/>
      <c r="M34621" s="14"/>
      <c r="N34621" s="14"/>
      <c r="O34621" s="14"/>
      <c r="P34621" s="13"/>
    </row>
    <row r="34622">
      <c r="L34622" s="13"/>
      <c r="M34622" s="14"/>
      <c r="N34622" s="14"/>
      <c r="O34622" s="14"/>
      <c r="P34622" s="13"/>
    </row>
    <row r="34623">
      <c r="L34623" s="13"/>
      <c r="M34623" s="14"/>
      <c r="N34623" s="14"/>
      <c r="O34623" s="14"/>
      <c r="P34623" s="13"/>
    </row>
    <row r="34624">
      <c r="L34624" s="13"/>
      <c r="M34624" s="14"/>
      <c r="N34624" s="14"/>
      <c r="O34624" s="14"/>
      <c r="P34624" s="13"/>
    </row>
    <row r="34625">
      <c r="L34625" s="13"/>
      <c r="M34625" s="14"/>
      <c r="N34625" s="14"/>
      <c r="O34625" s="14"/>
      <c r="P34625" s="13"/>
    </row>
    <row r="34626">
      <c r="L34626" s="13"/>
      <c r="M34626" s="14"/>
      <c r="N34626" s="14"/>
      <c r="O34626" s="14"/>
      <c r="P34626" s="13"/>
    </row>
    <row r="34627">
      <c r="L34627" s="13"/>
      <c r="M34627" s="14"/>
      <c r="N34627" s="14"/>
      <c r="O34627" s="14"/>
      <c r="P34627" s="13"/>
    </row>
    <row r="34628">
      <c r="L34628" s="13"/>
      <c r="M34628" s="14"/>
      <c r="N34628" s="14"/>
      <c r="O34628" s="14"/>
      <c r="P34628" s="13"/>
    </row>
    <row r="34629">
      <c r="L34629" s="13"/>
      <c r="M34629" s="14"/>
      <c r="N34629" s="14"/>
      <c r="O34629" s="14"/>
      <c r="P34629" s="13"/>
    </row>
    <row r="34630">
      <c r="L34630" s="13"/>
      <c r="M34630" s="14"/>
      <c r="N34630" s="14"/>
      <c r="O34630" s="14"/>
      <c r="P34630" s="13"/>
    </row>
    <row r="34631">
      <c r="L34631" s="13"/>
      <c r="M34631" s="14"/>
      <c r="N34631" s="14"/>
      <c r="O34631" s="14"/>
      <c r="P34631" s="13"/>
    </row>
    <row r="34632">
      <c r="L34632" s="13"/>
      <c r="M34632" s="14"/>
      <c r="N34632" s="14"/>
      <c r="O34632" s="14"/>
      <c r="P34632" s="13"/>
    </row>
    <row r="34633">
      <c r="L34633" s="13"/>
      <c r="M34633" s="14"/>
      <c r="N34633" s="14"/>
      <c r="O34633" s="14"/>
      <c r="P34633" s="13"/>
    </row>
    <row r="34634">
      <c r="L34634" s="13"/>
      <c r="M34634" s="14"/>
      <c r="N34634" s="14"/>
      <c r="O34634" s="14"/>
      <c r="P34634" s="13"/>
    </row>
    <row r="34635">
      <c r="L34635" s="13"/>
      <c r="M34635" s="14"/>
      <c r="N34635" s="14"/>
      <c r="O34635" s="14"/>
      <c r="P34635" s="13"/>
    </row>
    <row r="34636">
      <c r="L34636" s="13"/>
      <c r="M34636" s="14"/>
      <c r="N34636" s="14"/>
      <c r="O34636" s="14"/>
      <c r="P34636" s="13"/>
    </row>
    <row r="34637">
      <c r="L34637" s="13"/>
      <c r="M34637" s="14"/>
      <c r="N34637" s="14"/>
      <c r="O34637" s="14"/>
      <c r="P34637" s="13"/>
    </row>
    <row r="34638">
      <c r="L34638" s="13"/>
      <c r="M34638" s="14"/>
      <c r="N34638" s="14"/>
      <c r="O34638" s="14"/>
      <c r="P34638" s="13"/>
    </row>
    <row r="34639">
      <c r="L34639" s="13"/>
      <c r="M34639" s="14"/>
      <c r="N34639" s="14"/>
      <c r="O34639" s="14"/>
      <c r="P34639" s="13"/>
    </row>
    <row r="34640">
      <c r="L34640" s="13"/>
      <c r="M34640" s="14"/>
      <c r="N34640" s="14"/>
      <c r="O34640" s="14"/>
      <c r="P34640" s="13"/>
    </row>
    <row r="34641">
      <c r="L34641" s="13"/>
      <c r="M34641" s="14"/>
      <c r="N34641" s="14"/>
      <c r="O34641" s="14"/>
      <c r="P34641" s="13"/>
    </row>
    <row r="34642">
      <c r="L34642" s="13"/>
      <c r="M34642" s="14"/>
      <c r="N34642" s="14"/>
      <c r="O34642" s="14"/>
      <c r="P34642" s="13"/>
    </row>
    <row r="34643">
      <c r="L34643" s="13"/>
      <c r="M34643" s="14"/>
      <c r="N34643" s="14"/>
      <c r="O34643" s="14"/>
      <c r="P34643" s="13"/>
    </row>
    <row r="34644">
      <c r="L34644" s="13"/>
      <c r="M34644" s="14"/>
      <c r="N34644" s="14"/>
      <c r="O34644" s="14"/>
      <c r="P34644" s="13"/>
    </row>
    <row r="34645">
      <c r="L34645" s="13"/>
      <c r="M34645" s="14"/>
      <c r="N34645" s="14"/>
      <c r="O34645" s="14"/>
      <c r="P34645" s="13"/>
    </row>
    <row r="34646">
      <c r="L34646" s="13"/>
      <c r="M34646" s="14"/>
      <c r="N34646" s="14"/>
      <c r="O34646" s="14"/>
      <c r="P34646" s="13"/>
    </row>
    <row r="34647">
      <c r="L34647" s="13"/>
      <c r="M34647" s="14"/>
      <c r="N34647" s="14"/>
      <c r="O34647" s="14"/>
      <c r="P34647" s="13"/>
    </row>
    <row r="34648">
      <c r="L34648" s="13"/>
      <c r="M34648" s="14"/>
      <c r="N34648" s="14"/>
      <c r="O34648" s="14"/>
      <c r="P34648" s="13"/>
    </row>
    <row r="34649">
      <c r="L34649" s="13"/>
      <c r="M34649" s="14"/>
      <c r="N34649" s="14"/>
      <c r="O34649" s="14"/>
      <c r="P34649" s="13"/>
    </row>
    <row r="34650">
      <c r="L34650" s="13"/>
      <c r="M34650" s="14"/>
      <c r="N34650" s="14"/>
      <c r="O34650" s="14"/>
      <c r="P34650" s="13"/>
    </row>
    <row r="34651">
      <c r="L34651" s="13"/>
      <c r="M34651" s="14"/>
      <c r="N34651" s="14"/>
      <c r="O34651" s="14"/>
      <c r="P34651" s="13"/>
    </row>
    <row r="34652">
      <c r="L34652" s="13"/>
      <c r="M34652" s="14"/>
      <c r="N34652" s="14"/>
      <c r="O34652" s="14"/>
      <c r="P34652" s="13"/>
    </row>
    <row r="34653">
      <c r="L34653" s="13"/>
      <c r="M34653" s="14"/>
      <c r="N34653" s="14"/>
      <c r="O34653" s="14"/>
      <c r="P34653" s="13"/>
    </row>
    <row r="34654">
      <c r="L34654" s="13"/>
      <c r="M34654" s="14"/>
      <c r="N34654" s="14"/>
      <c r="O34654" s="14"/>
      <c r="P34654" s="13"/>
    </row>
    <row r="34655">
      <c r="L34655" s="13"/>
      <c r="M34655" s="14"/>
      <c r="N34655" s="14"/>
      <c r="O34655" s="14"/>
      <c r="P34655" s="13"/>
    </row>
    <row r="34656">
      <c r="L34656" s="13"/>
      <c r="M34656" s="14"/>
      <c r="N34656" s="14"/>
      <c r="O34656" s="14"/>
      <c r="P34656" s="13"/>
    </row>
    <row r="34657">
      <c r="L34657" s="13"/>
      <c r="M34657" s="14"/>
      <c r="N34657" s="14"/>
      <c r="O34657" s="14"/>
      <c r="P34657" s="13"/>
    </row>
    <row r="34658">
      <c r="L34658" s="13"/>
      <c r="M34658" s="14"/>
      <c r="N34658" s="14"/>
      <c r="O34658" s="14"/>
      <c r="P34658" s="13"/>
    </row>
    <row r="34659">
      <c r="L34659" s="13"/>
      <c r="M34659" s="14"/>
      <c r="N34659" s="14"/>
      <c r="O34659" s="14"/>
      <c r="P34659" s="13"/>
    </row>
    <row r="34660">
      <c r="L34660" s="13"/>
      <c r="M34660" s="14"/>
      <c r="N34660" s="14"/>
      <c r="O34660" s="14"/>
      <c r="P34660" s="13"/>
    </row>
    <row r="34661">
      <c r="L34661" s="13"/>
      <c r="M34661" s="14"/>
      <c r="N34661" s="14"/>
      <c r="O34661" s="14"/>
      <c r="P34661" s="13"/>
    </row>
    <row r="34662">
      <c r="L34662" s="13"/>
      <c r="M34662" s="14"/>
      <c r="N34662" s="14"/>
      <c r="O34662" s="14"/>
      <c r="P34662" s="13"/>
    </row>
    <row r="34663">
      <c r="L34663" s="13"/>
      <c r="M34663" s="14"/>
      <c r="N34663" s="14"/>
      <c r="O34663" s="14"/>
      <c r="P34663" s="13"/>
    </row>
    <row r="34664">
      <c r="L34664" s="13"/>
      <c r="M34664" s="14"/>
      <c r="N34664" s="14"/>
      <c r="O34664" s="14"/>
      <c r="P34664" s="13"/>
    </row>
    <row r="34665">
      <c r="L34665" s="13"/>
      <c r="M34665" s="14"/>
      <c r="N34665" s="14"/>
      <c r="O34665" s="14"/>
      <c r="P34665" s="13"/>
    </row>
    <row r="34666">
      <c r="L34666" s="13"/>
      <c r="M34666" s="14"/>
      <c r="N34666" s="14"/>
      <c r="O34666" s="14"/>
      <c r="P34666" s="13"/>
    </row>
    <row r="34667">
      <c r="L34667" s="13"/>
      <c r="M34667" s="14"/>
      <c r="N34667" s="14"/>
      <c r="O34667" s="14"/>
      <c r="P34667" s="13"/>
    </row>
    <row r="34668">
      <c r="L34668" s="13"/>
      <c r="M34668" s="14"/>
      <c r="N34668" s="14"/>
      <c r="O34668" s="14"/>
      <c r="P34668" s="13"/>
    </row>
    <row r="34669">
      <c r="L34669" s="13"/>
      <c r="M34669" s="14"/>
      <c r="N34669" s="14"/>
      <c r="O34669" s="14"/>
      <c r="P34669" s="13"/>
    </row>
    <row r="34670">
      <c r="L34670" s="13"/>
      <c r="M34670" s="14"/>
      <c r="N34670" s="14"/>
      <c r="O34670" s="14"/>
      <c r="P34670" s="13"/>
    </row>
    <row r="34671">
      <c r="L34671" s="13"/>
      <c r="M34671" s="14"/>
      <c r="N34671" s="14"/>
      <c r="O34671" s="14"/>
      <c r="P34671" s="13"/>
    </row>
    <row r="34672">
      <c r="L34672" s="13"/>
      <c r="M34672" s="14"/>
      <c r="N34672" s="14"/>
      <c r="O34672" s="14"/>
      <c r="P34672" s="13"/>
    </row>
    <row r="34673">
      <c r="L34673" s="13"/>
      <c r="M34673" s="14"/>
      <c r="N34673" s="14"/>
      <c r="O34673" s="14"/>
      <c r="P34673" s="13"/>
    </row>
    <row r="34674">
      <c r="L34674" s="13"/>
      <c r="M34674" s="14"/>
      <c r="N34674" s="14"/>
      <c r="O34674" s="14"/>
      <c r="P34674" s="13"/>
    </row>
    <row r="34675">
      <c r="L34675" s="13"/>
      <c r="M34675" s="14"/>
      <c r="N34675" s="14"/>
      <c r="O34675" s="14"/>
      <c r="P34675" s="13"/>
    </row>
    <row r="34676">
      <c r="L34676" s="13"/>
      <c r="M34676" s="14"/>
      <c r="N34676" s="14"/>
      <c r="O34676" s="14"/>
      <c r="P34676" s="13"/>
    </row>
    <row r="34677">
      <c r="L34677" s="13"/>
      <c r="M34677" s="14"/>
      <c r="N34677" s="14"/>
      <c r="O34677" s="14"/>
      <c r="P34677" s="13"/>
    </row>
    <row r="34678">
      <c r="L34678" s="13"/>
      <c r="M34678" s="14"/>
      <c r="N34678" s="14"/>
      <c r="O34678" s="14"/>
      <c r="P34678" s="13"/>
    </row>
    <row r="34679">
      <c r="L34679" s="13"/>
      <c r="M34679" s="14"/>
      <c r="N34679" s="14"/>
      <c r="O34679" s="14"/>
      <c r="P34679" s="13"/>
    </row>
    <row r="34680">
      <c r="L34680" s="13"/>
      <c r="M34680" s="14"/>
      <c r="N34680" s="14"/>
      <c r="O34680" s="14"/>
      <c r="P34680" s="13"/>
    </row>
    <row r="34681">
      <c r="L34681" s="13"/>
      <c r="M34681" s="14"/>
      <c r="N34681" s="14"/>
      <c r="O34681" s="14"/>
      <c r="P34681" s="13"/>
    </row>
    <row r="34682">
      <c r="L34682" s="13"/>
      <c r="M34682" s="14"/>
      <c r="N34682" s="14"/>
      <c r="O34682" s="14"/>
      <c r="P34682" s="13"/>
    </row>
    <row r="34683">
      <c r="L34683" s="13"/>
      <c r="M34683" s="14"/>
      <c r="N34683" s="14"/>
      <c r="O34683" s="14"/>
      <c r="P34683" s="13"/>
    </row>
    <row r="34684">
      <c r="L34684" s="13"/>
      <c r="M34684" s="14"/>
      <c r="N34684" s="14"/>
      <c r="O34684" s="14"/>
      <c r="P34684" s="13"/>
    </row>
    <row r="34685">
      <c r="L34685" s="13"/>
      <c r="M34685" s="14"/>
      <c r="N34685" s="14"/>
      <c r="O34685" s="14"/>
      <c r="P34685" s="13"/>
    </row>
    <row r="34686">
      <c r="L34686" s="13"/>
      <c r="M34686" s="14"/>
      <c r="N34686" s="14"/>
      <c r="O34686" s="14"/>
      <c r="P34686" s="13"/>
    </row>
    <row r="34687">
      <c r="L34687" s="13"/>
      <c r="M34687" s="14"/>
      <c r="N34687" s="14"/>
      <c r="O34687" s="14"/>
      <c r="P34687" s="13"/>
    </row>
    <row r="34688">
      <c r="L34688" s="13"/>
      <c r="M34688" s="14"/>
      <c r="N34688" s="14"/>
      <c r="O34688" s="14"/>
      <c r="P34688" s="13"/>
    </row>
    <row r="34689">
      <c r="L34689" s="13"/>
      <c r="M34689" s="14"/>
      <c r="N34689" s="14"/>
      <c r="O34689" s="14"/>
      <c r="P34689" s="13"/>
    </row>
    <row r="34690">
      <c r="L34690" s="13"/>
      <c r="M34690" s="14"/>
      <c r="N34690" s="14"/>
      <c r="O34690" s="14"/>
      <c r="P34690" s="13"/>
    </row>
    <row r="34691">
      <c r="L34691" s="13"/>
      <c r="M34691" s="14"/>
      <c r="N34691" s="14"/>
      <c r="O34691" s="14"/>
      <c r="P34691" s="13"/>
    </row>
    <row r="34692">
      <c r="L34692" s="13"/>
      <c r="M34692" s="14"/>
      <c r="N34692" s="14"/>
      <c r="O34692" s="14"/>
      <c r="P34692" s="13"/>
    </row>
    <row r="34693">
      <c r="L34693" s="13"/>
      <c r="M34693" s="14"/>
      <c r="N34693" s="14"/>
      <c r="O34693" s="14"/>
      <c r="P34693" s="13"/>
    </row>
    <row r="34694">
      <c r="L34694" s="13"/>
      <c r="M34694" s="14"/>
      <c r="N34694" s="14"/>
      <c r="O34694" s="14"/>
      <c r="P34694" s="13"/>
    </row>
    <row r="34695">
      <c r="L34695" s="13"/>
      <c r="M34695" s="14"/>
      <c r="N34695" s="14"/>
      <c r="O34695" s="14"/>
      <c r="P34695" s="13"/>
    </row>
    <row r="34696">
      <c r="L34696" s="13"/>
      <c r="M34696" s="14"/>
      <c r="N34696" s="14"/>
      <c r="O34696" s="14"/>
      <c r="P34696" s="13"/>
    </row>
    <row r="34697">
      <c r="L34697" s="13"/>
      <c r="M34697" s="14"/>
      <c r="N34697" s="14"/>
      <c r="O34697" s="14"/>
      <c r="P34697" s="13"/>
    </row>
    <row r="34698">
      <c r="L34698" s="13"/>
      <c r="M34698" s="14"/>
      <c r="N34698" s="14"/>
      <c r="O34698" s="14"/>
      <c r="P34698" s="13"/>
    </row>
    <row r="34699">
      <c r="L34699" s="13"/>
      <c r="M34699" s="14"/>
      <c r="N34699" s="14"/>
      <c r="O34699" s="14"/>
      <c r="P34699" s="13"/>
    </row>
    <row r="34700">
      <c r="L34700" s="13"/>
      <c r="M34700" s="14"/>
      <c r="N34700" s="14"/>
      <c r="O34700" s="14"/>
      <c r="P34700" s="13"/>
    </row>
    <row r="34701">
      <c r="L34701" s="13"/>
      <c r="M34701" s="14"/>
      <c r="N34701" s="14"/>
      <c r="O34701" s="14"/>
      <c r="P34701" s="13"/>
    </row>
    <row r="34702">
      <c r="L34702" s="13"/>
      <c r="M34702" s="14"/>
      <c r="N34702" s="14"/>
      <c r="O34702" s="14"/>
      <c r="P34702" s="13"/>
    </row>
    <row r="34703">
      <c r="L34703" s="13"/>
      <c r="M34703" s="14"/>
      <c r="N34703" s="14"/>
      <c r="O34703" s="14"/>
      <c r="P34703" s="13"/>
    </row>
    <row r="34704">
      <c r="L34704" s="13"/>
      <c r="M34704" s="14"/>
      <c r="N34704" s="14"/>
      <c r="O34704" s="14"/>
      <c r="P34704" s="13"/>
    </row>
    <row r="34705">
      <c r="L34705" s="13"/>
      <c r="M34705" s="14"/>
      <c r="N34705" s="14"/>
      <c r="O34705" s="14"/>
      <c r="P34705" s="13"/>
    </row>
    <row r="34706">
      <c r="L34706" s="13"/>
      <c r="M34706" s="14"/>
      <c r="N34706" s="14"/>
      <c r="O34706" s="14"/>
      <c r="P34706" s="13"/>
    </row>
    <row r="34707">
      <c r="L34707" s="13"/>
      <c r="M34707" s="14"/>
      <c r="N34707" s="14"/>
      <c r="O34707" s="14"/>
      <c r="P34707" s="13"/>
    </row>
    <row r="34708">
      <c r="L34708" s="13"/>
      <c r="M34708" s="14"/>
      <c r="N34708" s="14"/>
      <c r="O34708" s="14"/>
      <c r="P34708" s="13"/>
    </row>
    <row r="34709">
      <c r="L34709" s="13"/>
      <c r="M34709" s="14"/>
      <c r="N34709" s="14"/>
      <c r="O34709" s="14"/>
      <c r="P34709" s="13"/>
    </row>
    <row r="34710">
      <c r="L34710" s="13"/>
      <c r="M34710" s="14"/>
      <c r="N34710" s="14"/>
      <c r="O34710" s="14"/>
      <c r="P34710" s="13"/>
    </row>
    <row r="34711">
      <c r="L34711" s="13"/>
      <c r="M34711" s="14"/>
      <c r="N34711" s="14"/>
      <c r="O34711" s="14"/>
      <c r="P34711" s="13"/>
    </row>
    <row r="34712">
      <c r="L34712" s="13"/>
      <c r="M34712" s="14"/>
      <c r="N34712" s="14"/>
      <c r="O34712" s="14"/>
      <c r="P34712" s="13"/>
    </row>
    <row r="34713">
      <c r="L34713" s="13"/>
      <c r="M34713" s="14"/>
      <c r="N34713" s="14"/>
      <c r="O34713" s="14"/>
      <c r="P34713" s="13"/>
    </row>
    <row r="34714">
      <c r="L34714" s="13"/>
      <c r="M34714" s="14"/>
      <c r="N34714" s="14"/>
      <c r="O34714" s="14"/>
      <c r="P34714" s="13"/>
    </row>
    <row r="34715">
      <c r="L34715" s="13"/>
      <c r="M34715" s="14"/>
      <c r="N34715" s="14"/>
      <c r="O34715" s="14"/>
      <c r="P34715" s="13"/>
    </row>
    <row r="34716">
      <c r="L34716" s="13"/>
      <c r="M34716" s="14"/>
      <c r="N34716" s="14"/>
      <c r="O34716" s="14"/>
      <c r="P34716" s="13"/>
    </row>
    <row r="34717">
      <c r="L34717" s="13"/>
      <c r="M34717" s="14"/>
      <c r="N34717" s="14"/>
      <c r="O34717" s="14"/>
      <c r="P34717" s="13"/>
    </row>
    <row r="34718">
      <c r="L34718" s="13"/>
      <c r="M34718" s="14"/>
      <c r="N34718" s="14"/>
      <c r="O34718" s="14"/>
      <c r="P34718" s="13"/>
    </row>
    <row r="34719">
      <c r="L34719" s="13"/>
      <c r="M34719" s="14"/>
      <c r="N34719" s="14"/>
      <c r="O34719" s="14"/>
      <c r="P34719" s="13"/>
    </row>
    <row r="34720">
      <c r="L34720" s="13"/>
      <c r="M34720" s="14"/>
      <c r="N34720" s="14"/>
      <c r="O34720" s="14"/>
      <c r="P34720" s="13"/>
    </row>
    <row r="34721">
      <c r="L34721" s="13"/>
      <c r="M34721" s="14"/>
      <c r="N34721" s="14"/>
      <c r="O34721" s="14"/>
      <c r="P34721" s="13"/>
    </row>
    <row r="34722">
      <c r="L34722" s="13"/>
      <c r="M34722" s="14"/>
      <c r="N34722" s="14"/>
      <c r="O34722" s="14"/>
      <c r="P34722" s="13"/>
    </row>
    <row r="34723">
      <c r="L34723" s="13"/>
      <c r="M34723" s="14"/>
      <c r="N34723" s="14"/>
      <c r="O34723" s="14"/>
      <c r="P34723" s="13"/>
    </row>
    <row r="34724">
      <c r="L34724" s="13"/>
      <c r="M34724" s="14"/>
      <c r="N34724" s="14"/>
      <c r="O34724" s="14"/>
      <c r="P34724" s="13"/>
    </row>
    <row r="34725">
      <c r="L34725" s="13"/>
      <c r="M34725" s="14"/>
      <c r="N34725" s="14"/>
      <c r="O34725" s="14"/>
      <c r="P34725" s="13"/>
    </row>
    <row r="34726">
      <c r="L34726" s="13"/>
      <c r="M34726" s="14"/>
      <c r="N34726" s="14"/>
      <c r="O34726" s="14"/>
      <c r="P34726" s="13"/>
    </row>
    <row r="34727">
      <c r="L34727" s="13"/>
      <c r="M34727" s="14"/>
      <c r="N34727" s="14"/>
      <c r="O34727" s="14"/>
      <c r="P34727" s="13"/>
    </row>
    <row r="34728">
      <c r="L34728" s="13"/>
      <c r="M34728" s="14"/>
      <c r="N34728" s="14"/>
      <c r="O34728" s="14"/>
      <c r="P34728" s="13"/>
    </row>
    <row r="34729">
      <c r="L34729" s="13"/>
      <c r="M34729" s="14"/>
      <c r="N34729" s="14"/>
      <c r="O34729" s="14"/>
      <c r="P34729" s="13"/>
    </row>
    <row r="34730">
      <c r="L34730" s="13"/>
      <c r="M34730" s="14"/>
      <c r="N34730" s="14"/>
      <c r="O34730" s="14"/>
      <c r="P34730" s="13"/>
    </row>
    <row r="34731">
      <c r="L34731" s="13"/>
      <c r="M34731" s="14"/>
      <c r="N34731" s="14"/>
      <c r="O34731" s="14"/>
      <c r="P34731" s="13"/>
    </row>
    <row r="34732">
      <c r="L34732" s="13"/>
      <c r="M34732" s="14"/>
      <c r="N34732" s="14"/>
      <c r="O34732" s="14"/>
      <c r="P34732" s="13"/>
    </row>
    <row r="34733">
      <c r="L34733" s="13"/>
      <c r="M34733" s="14"/>
      <c r="N34733" s="14"/>
      <c r="O34733" s="14"/>
      <c r="P34733" s="13"/>
    </row>
    <row r="34734">
      <c r="L34734" s="13"/>
      <c r="M34734" s="14"/>
      <c r="N34734" s="14"/>
      <c r="O34734" s="14"/>
      <c r="P34734" s="13"/>
    </row>
    <row r="34735">
      <c r="L34735" s="13"/>
      <c r="M34735" s="14"/>
      <c r="N34735" s="14"/>
      <c r="O34735" s="14"/>
      <c r="P34735" s="13"/>
    </row>
    <row r="34736">
      <c r="L34736" s="13"/>
      <c r="M34736" s="14"/>
      <c r="N34736" s="14"/>
      <c r="O34736" s="14"/>
      <c r="P34736" s="13"/>
    </row>
    <row r="34737">
      <c r="L34737" s="13"/>
      <c r="M34737" s="14"/>
      <c r="N34737" s="14"/>
      <c r="O34737" s="14"/>
      <c r="P34737" s="13"/>
    </row>
    <row r="34738">
      <c r="L34738" s="13"/>
      <c r="M34738" s="14"/>
      <c r="N34738" s="14"/>
      <c r="O34738" s="14"/>
      <c r="P34738" s="13"/>
    </row>
    <row r="34739">
      <c r="L34739" s="13"/>
      <c r="M34739" s="14"/>
      <c r="N34739" s="14"/>
      <c r="O34739" s="14"/>
      <c r="P34739" s="13"/>
    </row>
    <row r="34740">
      <c r="L34740" s="13"/>
      <c r="M34740" s="14"/>
      <c r="N34740" s="14"/>
      <c r="O34740" s="14"/>
      <c r="P34740" s="13"/>
    </row>
    <row r="34741">
      <c r="L34741" s="13"/>
      <c r="M34741" s="14"/>
      <c r="N34741" s="14"/>
      <c r="O34741" s="14"/>
      <c r="P34741" s="13"/>
    </row>
    <row r="34742">
      <c r="L34742" s="13"/>
      <c r="M34742" s="14"/>
      <c r="N34742" s="14"/>
      <c r="O34742" s="14"/>
      <c r="P34742" s="13"/>
    </row>
    <row r="34743">
      <c r="L34743" s="13"/>
      <c r="M34743" s="14"/>
      <c r="N34743" s="14"/>
      <c r="O34743" s="14"/>
      <c r="P34743" s="13"/>
    </row>
    <row r="34744">
      <c r="L34744" s="13"/>
      <c r="M34744" s="14"/>
      <c r="N34744" s="14"/>
      <c r="O34744" s="14"/>
      <c r="P34744" s="13"/>
    </row>
    <row r="34745">
      <c r="L34745" s="13"/>
      <c r="M34745" s="14"/>
      <c r="N34745" s="14"/>
      <c r="O34745" s="14"/>
      <c r="P34745" s="13"/>
    </row>
    <row r="34746">
      <c r="L34746" s="13"/>
      <c r="M34746" s="14"/>
      <c r="N34746" s="14"/>
      <c r="O34746" s="14"/>
      <c r="P34746" s="13"/>
    </row>
    <row r="34747">
      <c r="L34747" s="13"/>
      <c r="M34747" s="14"/>
      <c r="N34747" s="14"/>
      <c r="O34747" s="14"/>
      <c r="P34747" s="13"/>
    </row>
    <row r="34748">
      <c r="L34748" s="13"/>
      <c r="M34748" s="14"/>
      <c r="N34748" s="14"/>
      <c r="O34748" s="14"/>
      <c r="P34748" s="13"/>
    </row>
    <row r="34749">
      <c r="L34749" s="13"/>
      <c r="M34749" s="14"/>
      <c r="N34749" s="14"/>
      <c r="O34749" s="14"/>
      <c r="P34749" s="13"/>
    </row>
    <row r="34750">
      <c r="L34750" s="13"/>
      <c r="M34750" s="14"/>
      <c r="N34750" s="14"/>
      <c r="O34750" s="14"/>
      <c r="P34750" s="13"/>
    </row>
    <row r="34751">
      <c r="L34751" s="13"/>
      <c r="M34751" s="14"/>
      <c r="N34751" s="14"/>
      <c r="O34751" s="14"/>
      <c r="P34751" s="13"/>
    </row>
    <row r="34752">
      <c r="L34752" s="13"/>
      <c r="M34752" s="14"/>
      <c r="N34752" s="14"/>
      <c r="O34752" s="14"/>
      <c r="P34752" s="13"/>
    </row>
    <row r="34753">
      <c r="L34753" s="13"/>
      <c r="M34753" s="14"/>
      <c r="N34753" s="14"/>
      <c r="O34753" s="14"/>
      <c r="P34753" s="13"/>
    </row>
    <row r="34754">
      <c r="L34754" s="13"/>
      <c r="M34754" s="14"/>
      <c r="N34754" s="14"/>
      <c r="O34754" s="14"/>
      <c r="P34754" s="13"/>
    </row>
    <row r="34755">
      <c r="L34755" s="13"/>
      <c r="M34755" s="14"/>
      <c r="N34755" s="14"/>
      <c r="O34755" s="14"/>
      <c r="P34755" s="13"/>
    </row>
    <row r="34756">
      <c r="L34756" s="13"/>
      <c r="M34756" s="14"/>
      <c r="N34756" s="14"/>
      <c r="O34756" s="14"/>
      <c r="P34756" s="13"/>
    </row>
    <row r="34757">
      <c r="L34757" s="13"/>
      <c r="M34757" s="14"/>
      <c r="N34757" s="14"/>
      <c r="O34757" s="14"/>
      <c r="P34757" s="13"/>
    </row>
    <row r="34758">
      <c r="L34758" s="13"/>
      <c r="M34758" s="14"/>
      <c r="N34758" s="14"/>
      <c r="O34758" s="14"/>
      <c r="P34758" s="13"/>
    </row>
    <row r="34759">
      <c r="L34759" s="13"/>
      <c r="M34759" s="14"/>
      <c r="N34759" s="14"/>
      <c r="O34759" s="14"/>
      <c r="P34759" s="13"/>
    </row>
    <row r="34760">
      <c r="L34760" s="13"/>
      <c r="M34760" s="14"/>
      <c r="N34760" s="14"/>
      <c r="O34760" s="14"/>
      <c r="P34760" s="13"/>
    </row>
    <row r="34761">
      <c r="L34761" s="13"/>
      <c r="M34761" s="14"/>
      <c r="N34761" s="14"/>
      <c r="O34761" s="14"/>
      <c r="P34761" s="13"/>
    </row>
    <row r="34762">
      <c r="L34762" s="13"/>
      <c r="M34762" s="14"/>
      <c r="N34762" s="14"/>
      <c r="O34762" s="14"/>
      <c r="P34762" s="13"/>
    </row>
    <row r="34763">
      <c r="L34763" s="13"/>
      <c r="M34763" s="14"/>
      <c r="N34763" s="14"/>
      <c r="O34763" s="14"/>
      <c r="P34763" s="13"/>
    </row>
    <row r="34764">
      <c r="L34764" s="13"/>
      <c r="M34764" s="14"/>
      <c r="N34764" s="14"/>
      <c r="O34764" s="14"/>
      <c r="P34764" s="13"/>
    </row>
    <row r="34765">
      <c r="L34765" s="13"/>
      <c r="M34765" s="14"/>
      <c r="N34765" s="14"/>
      <c r="O34765" s="14"/>
      <c r="P34765" s="13"/>
    </row>
    <row r="34766">
      <c r="L34766" s="13"/>
      <c r="M34766" s="14"/>
      <c r="N34766" s="14"/>
      <c r="O34766" s="14"/>
      <c r="P34766" s="13"/>
    </row>
    <row r="34767">
      <c r="L34767" s="13"/>
      <c r="M34767" s="14"/>
      <c r="N34767" s="14"/>
      <c r="O34767" s="14"/>
      <c r="P34767" s="13"/>
    </row>
    <row r="34768">
      <c r="L34768" s="13"/>
      <c r="M34768" s="14"/>
      <c r="N34768" s="14"/>
      <c r="O34768" s="14"/>
      <c r="P34768" s="13"/>
    </row>
    <row r="34769">
      <c r="L34769" s="13"/>
      <c r="M34769" s="14"/>
      <c r="N34769" s="14"/>
      <c r="O34769" s="14"/>
      <c r="P34769" s="13"/>
    </row>
    <row r="34770">
      <c r="L34770" s="13"/>
      <c r="M34770" s="14"/>
      <c r="N34770" s="14"/>
      <c r="O34770" s="14"/>
      <c r="P34770" s="13"/>
    </row>
    <row r="34771">
      <c r="L34771" s="13"/>
      <c r="M34771" s="14"/>
      <c r="N34771" s="14"/>
      <c r="O34771" s="14"/>
      <c r="P34771" s="13"/>
    </row>
    <row r="34772">
      <c r="L34772" s="13"/>
      <c r="M34772" s="14"/>
      <c r="N34772" s="14"/>
      <c r="O34772" s="14"/>
      <c r="P34772" s="13"/>
    </row>
    <row r="34773">
      <c r="L34773" s="13"/>
      <c r="M34773" s="14"/>
      <c r="N34773" s="14"/>
      <c r="O34773" s="14"/>
      <c r="P34773" s="13"/>
    </row>
    <row r="34774">
      <c r="L34774" s="13"/>
      <c r="M34774" s="14"/>
      <c r="N34774" s="14"/>
      <c r="O34774" s="14"/>
      <c r="P34774" s="13"/>
    </row>
    <row r="34775">
      <c r="L34775" s="13"/>
      <c r="M34775" s="14"/>
      <c r="N34775" s="14"/>
      <c r="O34775" s="14"/>
      <c r="P34775" s="13"/>
    </row>
    <row r="34776">
      <c r="L34776" s="13"/>
      <c r="M34776" s="14"/>
      <c r="N34776" s="14"/>
      <c r="O34776" s="14"/>
      <c r="P34776" s="13"/>
    </row>
    <row r="34777">
      <c r="L34777" s="13"/>
      <c r="M34777" s="14"/>
      <c r="N34777" s="14"/>
      <c r="O34777" s="14"/>
      <c r="P34777" s="13"/>
    </row>
    <row r="34778">
      <c r="L34778" s="13"/>
      <c r="M34778" s="14"/>
      <c r="N34778" s="14"/>
      <c r="O34778" s="14"/>
      <c r="P34778" s="13"/>
    </row>
    <row r="34779">
      <c r="L34779" s="13"/>
      <c r="M34779" s="14"/>
      <c r="N34779" s="14"/>
      <c r="O34779" s="14"/>
      <c r="P34779" s="13"/>
    </row>
    <row r="34780">
      <c r="L34780" s="13"/>
      <c r="M34780" s="14"/>
      <c r="N34780" s="14"/>
      <c r="O34780" s="14"/>
      <c r="P34780" s="13"/>
    </row>
    <row r="34781">
      <c r="L34781" s="13"/>
      <c r="M34781" s="14"/>
      <c r="N34781" s="14"/>
      <c r="O34781" s="14"/>
      <c r="P34781" s="13"/>
    </row>
    <row r="34782">
      <c r="L34782" s="13"/>
      <c r="M34782" s="14"/>
      <c r="N34782" s="14"/>
      <c r="O34782" s="14"/>
      <c r="P34782" s="13"/>
    </row>
    <row r="34783">
      <c r="L34783" s="13"/>
      <c r="M34783" s="14"/>
      <c r="N34783" s="14"/>
      <c r="O34783" s="14"/>
      <c r="P34783" s="13"/>
    </row>
    <row r="34784">
      <c r="L34784" s="13"/>
      <c r="M34784" s="14"/>
      <c r="N34784" s="14"/>
      <c r="O34784" s="14"/>
      <c r="P34784" s="13"/>
    </row>
    <row r="34785">
      <c r="L34785" s="13"/>
      <c r="M34785" s="14"/>
      <c r="N34785" s="14"/>
      <c r="O34785" s="14"/>
      <c r="P34785" s="13"/>
    </row>
    <row r="34786">
      <c r="L34786" s="13"/>
      <c r="M34786" s="14"/>
      <c r="N34786" s="14"/>
      <c r="O34786" s="14"/>
      <c r="P34786" s="13"/>
    </row>
    <row r="34787">
      <c r="L34787" s="13"/>
      <c r="M34787" s="14"/>
      <c r="N34787" s="14"/>
      <c r="O34787" s="14"/>
      <c r="P34787" s="13"/>
    </row>
    <row r="34788">
      <c r="L34788" s="13"/>
      <c r="M34788" s="14"/>
      <c r="N34788" s="14"/>
      <c r="O34788" s="14"/>
      <c r="P34788" s="13"/>
    </row>
    <row r="34789">
      <c r="L34789" s="13"/>
      <c r="M34789" s="14"/>
      <c r="N34789" s="14"/>
      <c r="O34789" s="14"/>
      <c r="P34789" s="13"/>
    </row>
    <row r="34790">
      <c r="L34790" s="13"/>
      <c r="M34790" s="14"/>
      <c r="N34790" s="14"/>
      <c r="O34790" s="14"/>
      <c r="P34790" s="13"/>
    </row>
    <row r="34791">
      <c r="L34791" s="13"/>
      <c r="M34791" s="14"/>
      <c r="N34791" s="14"/>
      <c r="O34791" s="14"/>
      <c r="P34791" s="13"/>
    </row>
    <row r="34792">
      <c r="L34792" s="13"/>
      <c r="M34792" s="14"/>
      <c r="N34792" s="14"/>
      <c r="O34792" s="14"/>
      <c r="P34792" s="13"/>
    </row>
    <row r="34793">
      <c r="L34793" s="13"/>
      <c r="M34793" s="14"/>
      <c r="N34793" s="14"/>
      <c r="O34793" s="14"/>
      <c r="P34793" s="13"/>
    </row>
    <row r="34794">
      <c r="L34794" s="13"/>
      <c r="M34794" s="14"/>
      <c r="N34794" s="14"/>
      <c r="O34794" s="14"/>
      <c r="P34794" s="13"/>
    </row>
    <row r="34795">
      <c r="L34795" s="13"/>
      <c r="M34795" s="14"/>
      <c r="N34795" s="14"/>
      <c r="O34795" s="14"/>
      <c r="P34795" s="13"/>
    </row>
    <row r="34796">
      <c r="L34796" s="13"/>
      <c r="M34796" s="14"/>
      <c r="N34796" s="14"/>
      <c r="O34796" s="14"/>
      <c r="P34796" s="13"/>
    </row>
    <row r="34797">
      <c r="L34797" s="13"/>
      <c r="M34797" s="14"/>
      <c r="N34797" s="14"/>
      <c r="O34797" s="14"/>
      <c r="P34797" s="13"/>
    </row>
    <row r="34798">
      <c r="L34798" s="13"/>
      <c r="M34798" s="14"/>
      <c r="N34798" s="14"/>
      <c r="O34798" s="14"/>
      <c r="P34798" s="13"/>
    </row>
    <row r="34799">
      <c r="L34799" s="13"/>
      <c r="M34799" s="14"/>
      <c r="N34799" s="14"/>
      <c r="O34799" s="14"/>
      <c r="P34799" s="13"/>
    </row>
    <row r="34800">
      <c r="L34800" s="13"/>
      <c r="M34800" s="14"/>
      <c r="N34800" s="14"/>
      <c r="O34800" s="14"/>
      <c r="P34800" s="13"/>
    </row>
    <row r="34801">
      <c r="L34801" s="13"/>
      <c r="M34801" s="14"/>
      <c r="N34801" s="14"/>
      <c r="O34801" s="14"/>
      <c r="P34801" s="13"/>
    </row>
    <row r="34802">
      <c r="L34802" s="13"/>
      <c r="M34802" s="14"/>
      <c r="N34802" s="14"/>
      <c r="O34802" s="14"/>
      <c r="P34802" s="13"/>
    </row>
    <row r="34803">
      <c r="L34803" s="13"/>
      <c r="M34803" s="14"/>
      <c r="N34803" s="14"/>
      <c r="O34803" s="14"/>
      <c r="P34803" s="13"/>
    </row>
    <row r="34804">
      <c r="L34804" s="13"/>
      <c r="M34804" s="14"/>
      <c r="N34804" s="14"/>
      <c r="O34804" s="14"/>
      <c r="P34804" s="13"/>
    </row>
    <row r="34805">
      <c r="L34805" s="13"/>
      <c r="M34805" s="14"/>
      <c r="N34805" s="14"/>
      <c r="O34805" s="14"/>
      <c r="P34805" s="13"/>
    </row>
    <row r="34806">
      <c r="L34806" s="13"/>
      <c r="M34806" s="14"/>
      <c r="N34806" s="14"/>
      <c r="O34806" s="14"/>
      <c r="P34806" s="13"/>
    </row>
    <row r="34807">
      <c r="L34807" s="13"/>
      <c r="M34807" s="14"/>
      <c r="N34807" s="14"/>
      <c r="O34807" s="14"/>
      <c r="P34807" s="13"/>
    </row>
    <row r="34808">
      <c r="L34808" s="13"/>
      <c r="M34808" s="14"/>
      <c r="N34808" s="14"/>
      <c r="O34808" s="14"/>
      <c r="P34808" s="13"/>
    </row>
    <row r="34809">
      <c r="L34809" s="13"/>
      <c r="M34809" s="14"/>
      <c r="N34809" s="14"/>
      <c r="O34809" s="14"/>
      <c r="P34809" s="13"/>
    </row>
    <row r="34810">
      <c r="L34810" s="13"/>
      <c r="M34810" s="14"/>
      <c r="N34810" s="14"/>
      <c r="O34810" s="14"/>
      <c r="P34810" s="13"/>
    </row>
    <row r="34811">
      <c r="L34811" s="13"/>
      <c r="M34811" s="14"/>
      <c r="N34811" s="14"/>
      <c r="O34811" s="14"/>
      <c r="P34811" s="13"/>
    </row>
    <row r="34812">
      <c r="L34812" s="13"/>
      <c r="M34812" s="14"/>
      <c r="N34812" s="14"/>
      <c r="O34812" s="14"/>
      <c r="P34812" s="13"/>
    </row>
    <row r="34813">
      <c r="L34813" s="13"/>
      <c r="M34813" s="14"/>
      <c r="N34813" s="14"/>
      <c r="O34813" s="14"/>
      <c r="P34813" s="13"/>
    </row>
    <row r="34814">
      <c r="L34814" s="13"/>
      <c r="M34814" s="14"/>
      <c r="N34814" s="14"/>
      <c r="O34814" s="14"/>
      <c r="P34814" s="13"/>
    </row>
    <row r="34815">
      <c r="L34815" s="13"/>
      <c r="M34815" s="14"/>
      <c r="N34815" s="14"/>
      <c r="O34815" s="14"/>
      <c r="P34815" s="13"/>
    </row>
    <row r="34816">
      <c r="L34816" s="13"/>
      <c r="M34816" s="14"/>
      <c r="N34816" s="14"/>
      <c r="O34816" s="14"/>
      <c r="P34816" s="13"/>
    </row>
    <row r="34817">
      <c r="L34817" s="13"/>
      <c r="M34817" s="14"/>
      <c r="N34817" s="14"/>
      <c r="O34817" s="14"/>
      <c r="P34817" s="13"/>
    </row>
    <row r="34818">
      <c r="L34818" s="13"/>
      <c r="M34818" s="14"/>
      <c r="N34818" s="14"/>
      <c r="O34818" s="14"/>
      <c r="P34818" s="13"/>
    </row>
    <row r="34819">
      <c r="L34819" s="13"/>
      <c r="M34819" s="14"/>
      <c r="N34819" s="14"/>
      <c r="O34819" s="14"/>
      <c r="P34819" s="13"/>
    </row>
    <row r="34820">
      <c r="L34820" s="13"/>
      <c r="M34820" s="14"/>
      <c r="N34820" s="14"/>
      <c r="O34820" s="14"/>
      <c r="P34820" s="13"/>
    </row>
    <row r="34821">
      <c r="L34821" s="13"/>
      <c r="M34821" s="14"/>
      <c r="N34821" s="14"/>
      <c r="O34821" s="14"/>
      <c r="P34821" s="13"/>
    </row>
    <row r="34822">
      <c r="L34822" s="13"/>
      <c r="M34822" s="14"/>
      <c r="N34822" s="14"/>
      <c r="O34822" s="14"/>
      <c r="P34822" s="13"/>
    </row>
    <row r="34823">
      <c r="L34823" s="13"/>
      <c r="M34823" s="14"/>
      <c r="N34823" s="14"/>
      <c r="O34823" s="14"/>
      <c r="P34823" s="13"/>
    </row>
    <row r="34824">
      <c r="L34824" s="13"/>
      <c r="M34824" s="14"/>
      <c r="N34824" s="14"/>
      <c r="O34824" s="14"/>
      <c r="P34824" s="13"/>
    </row>
    <row r="34825">
      <c r="L34825" s="13"/>
      <c r="M34825" s="14"/>
      <c r="N34825" s="14"/>
      <c r="O34825" s="14"/>
      <c r="P34825" s="13"/>
    </row>
    <row r="34826">
      <c r="L34826" s="13"/>
      <c r="M34826" s="14"/>
      <c r="N34826" s="14"/>
      <c r="O34826" s="14"/>
      <c r="P34826" s="13"/>
    </row>
    <row r="34827">
      <c r="L34827" s="13"/>
      <c r="M34827" s="14"/>
      <c r="N34827" s="14"/>
      <c r="O34827" s="14"/>
      <c r="P34827" s="13"/>
    </row>
    <row r="34828">
      <c r="L34828" s="13"/>
      <c r="M34828" s="14"/>
      <c r="N34828" s="14"/>
      <c r="O34828" s="14"/>
      <c r="P34828" s="13"/>
    </row>
    <row r="34829">
      <c r="L34829" s="13"/>
      <c r="M34829" s="14"/>
      <c r="N34829" s="14"/>
      <c r="O34829" s="14"/>
      <c r="P34829" s="13"/>
    </row>
    <row r="34830">
      <c r="L34830" s="13"/>
      <c r="M34830" s="14"/>
      <c r="N34830" s="14"/>
      <c r="O34830" s="14"/>
      <c r="P34830" s="13"/>
    </row>
    <row r="34831">
      <c r="L34831" s="13"/>
      <c r="M34831" s="14"/>
      <c r="N34831" s="14"/>
      <c r="O34831" s="14"/>
      <c r="P34831" s="13"/>
    </row>
    <row r="34832">
      <c r="L34832" s="13"/>
      <c r="M34832" s="14"/>
      <c r="N34832" s="14"/>
      <c r="O34832" s="14"/>
      <c r="P34832" s="13"/>
    </row>
    <row r="34833">
      <c r="L34833" s="13"/>
      <c r="M34833" s="14"/>
      <c r="N34833" s="14"/>
      <c r="O34833" s="14"/>
      <c r="P34833" s="13"/>
    </row>
    <row r="34834">
      <c r="L34834" s="13"/>
      <c r="M34834" s="14"/>
      <c r="N34834" s="14"/>
      <c r="O34834" s="14"/>
      <c r="P34834" s="13"/>
    </row>
    <row r="34835">
      <c r="L34835" s="13"/>
      <c r="M34835" s="14"/>
      <c r="N34835" s="14"/>
      <c r="O34835" s="14"/>
      <c r="P34835" s="13"/>
    </row>
    <row r="34836">
      <c r="L34836" s="13"/>
      <c r="M34836" s="14"/>
      <c r="N34836" s="14"/>
      <c r="O34836" s="14"/>
      <c r="P34836" s="13"/>
    </row>
    <row r="34837">
      <c r="L34837" s="13"/>
      <c r="M34837" s="14"/>
      <c r="N34837" s="14"/>
      <c r="O34837" s="14"/>
      <c r="P34837" s="13"/>
    </row>
    <row r="34838">
      <c r="L34838" s="13"/>
      <c r="M34838" s="14"/>
      <c r="N34838" s="14"/>
      <c r="O34838" s="14"/>
      <c r="P34838" s="13"/>
    </row>
    <row r="34839">
      <c r="L34839" s="13"/>
      <c r="M34839" s="14"/>
      <c r="N34839" s="14"/>
      <c r="O34839" s="14"/>
      <c r="P34839" s="13"/>
    </row>
    <row r="34840">
      <c r="L34840" s="13"/>
      <c r="M34840" s="14"/>
      <c r="N34840" s="14"/>
      <c r="O34840" s="14"/>
      <c r="P34840" s="13"/>
    </row>
    <row r="34841">
      <c r="L34841" s="13"/>
      <c r="M34841" s="14"/>
      <c r="N34841" s="14"/>
      <c r="O34841" s="14"/>
      <c r="P34841" s="13"/>
    </row>
    <row r="34842">
      <c r="L34842" s="13"/>
      <c r="M34842" s="14"/>
      <c r="N34842" s="14"/>
      <c r="O34842" s="14"/>
      <c r="P34842" s="13"/>
    </row>
    <row r="34843">
      <c r="L34843" s="13"/>
      <c r="M34843" s="14"/>
      <c r="N34843" s="14"/>
      <c r="O34843" s="14"/>
      <c r="P34843" s="13"/>
    </row>
    <row r="34844">
      <c r="L34844" s="13"/>
      <c r="M34844" s="14"/>
      <c r="N34844" s="14"/>
      <c r="O34844" s="14"/>
      <c r="P34844" s="13"/>
    </row>
    <row r="34845">
      <c r="L34845" s="13"/>
      <c r="M34845" s="14"/>
      <c r="N34845" s="14"/>
      <c r="O34845" s="14"/>
      <c r="P34845" s="13"/>
    </row>
    <row r="34846">
      <c r="L34846" s="13"/>
      <c r="M34846" s="14"/>
      <c r="N34846" s="14"/>
      <c r="O34846" s="14"/>
      <c r="P34846" s="13"/>
    </row>
    <row r="34847">
      <c r="L34847" s="13"/>
      <c r="M34847" s="14"/>
      <c r="N34847" s="14"/>
      <c r="O34847" s="14"/>
      <c r="P34847" s="13"/>
    </row>
    <row r="34848">
      <c r="L34848" s="13"/>
      <c r="M34848" s="14"/>
      <c r="N34848" s="14"/>
      <c r="O34848" s="14"/>
      <c r="P34848" s="13"/>
    </row>
    <row r="34849">
      <c r="L34849" s="13"/>
      <c r="M34849" s="14"/>
      <c r="N34849" s="14"/>
      <c r="O34849" s="14"/>
      <c r="P34849" s="13"/>
    </row>
    <row r="34850">
      <c r="L34850" s="13"/>
      <c r="M34850" s="14"/>
      <c r="N34850" s="14"/>
      <c r="O34850" s="14"/>
      <c r="P34850" s="13"/>
    </row>
    <row r="34851">
      <c r="L34851" s="13"/>
      <c r="M34851" s="14"/>
      <c r="N34851" s="14"/>
      <c r="O34851" s="14"/>
      <c r="P34851" s="13"/>
    </row>
    <row r="34852">
      <c r="L34852" s="13"/>
      <c r="M34852" s="14"/>
      <c r="N34852" s="14"/>
      <c r="O34852" s="14"/>
      <c r="P34852" s="13"/>
    </row>
    <row r="34853">
      <c r="L34853" s="13"/>
      <c r="M34853" s="14"/>
      <c r="N34853" s="14"/>
      <c r="O34853" s="14"/>
      <c r="P34853" s="13"/>
    </row>
    <row r="34854">
      <c r="L34854" s="13"/>
      <c r="M34854" s="14"/>
      <c r="N34854" s="14"/>
      <c r="O34854" s="14"/>
      <c r="P34854" s="13"/>
    </row>
    <row r="34855">
      <c r="L34855" s="13"/>
      <c r="M34855" s="14"/>
      <c r="N34855" s="14"/>
      <c r="O34855" s="14"/>
      <c r="P34855" s="13"/>
    </row>
    <row r="34856">
      <c r="L34856" s="13"/>
      <c r="M34856" s="14"/>
      <c r="N34856" s="14"/>
      <c r="O34856" s="14"/>
      <c r="P34856" s="13"/>
    </row>
    <row r="34857">
      <c r="L34857" s="13"/>
      <c r="M34857" s="14"/>
      <c r="N34857" s="14"/>
      <c r="O34857" s="14"/>
      <c r="P34857" s="13"/>
    </row>
    <row r="34858">
      <c r="L34858" s="13"/>
      <c r="M34858" s="14"/>
      <c r="N34858" s="14"/>
      <c r="O34858" s="14"/>
      <c r="P34858" s="13"/>
    </row>
    <row r="34859">
      <c r="L34859" s="13"/>
      <c r="M34859" s="14"/>
      <c r="N34859" s="14"/>
      <c r="O34859" s="14"/>
      <c r="P34859" s="13"/>
    </row>
    <row r="34860">
      <c r="L34860" s="13"/>
      <c r="M34860" s="14"/>
      <c r="N34860" s="14"/>
      <c r="O34860" s="14"/>
      <c r="P34860" s="13"/>
    </row>
    <row r="34861">
      <c r="L34861" s="13"/>
      <c r="M34861" s="14"/>
      <c r="N34861" s="14"/>
      <c r="O34861" s="14"/>
      <c r="P34861" s="13"/>
    </row>
    <row r="34862">
      <c r="L34862" s="13"/>
      <c r="M34862" s="14"/>
      <c r="N34862" s="14"/>
      <c r="O34862" s="14"/>
      <c r="P34862" s="13"/>
    </row>
    <row r="34863">
      <c r="L34863" s="13"/>
      <c r="M34863" s="14"/>
      <c r="N34863" s="14"/>
      <c r="O34863" s="14"/>
      <c r="P34863" s="13"/>
    </row>
    <row r="34864">
      <c r="L34864" s="13"/>
      <c r="M34864" s="14"/>
      <c r="N34864" s="14"/>
      <c r="O34864" s="14"/>
      <c r="P34864" s="13"/>
    </row>
    <row r="34865">
      <c r="L34865" s="13"/>
      <c r="M34865" s="14"/>
      <c r="N34865" s="14"/>
      <c r="O34865" s="14"/>
      <c r="P34865" s="13"/>
    </row>
    <row r="34866">
      <c r="L34866" s="13"/>
      <c r="M34866" s="14"/>
      <c r="N34866" s="14"/>
      <c r="O34866" s="14"/>
      <c r="P34866" s="13"/>
    </row>
    <row r="34867">
      <c r="L34867" s="13"/>
      <c r="M34867" s="14"/>
      <c r="N34867" s="14"/>
      <c r="O34867" s="14"/>
      <c r="P34867" s="13"/>
    </row>
    <row r="34868">
      <c r="L34868" s="13"/>
      <c r="M34868" s="14"/>
      <c r="N34868" s="14"/>
      <c r="O34868" s="14"/>
      <c r="P34868" s="13"/>
    </row>
    <row r="34869">
      <c r="L34869" s="13"/>
      <c r="M34869" s="14"/>
      <c r="N34869" s="14"/>
      <c r="O34869" s="14"/>
      <c r="P34869" s="13"/>
    </row>
    <row r="34870">
      <c r="L34870" s="13"/>
      <c r="M34870" s="14"/>
      <c r="N34870" s="14"/>
      <c r="O34870" s="14"/>
      <c r="P34870" s="13"/>
    </row>
    <row r="34871">
      <c r="L34871" s="13"/>
      <c r="M34871" s="14"/>
      <c r="N34871" s="14"/>
      <c r="O34871" s="14"/>
      <c r="P34871" s="13"/>
    </row>
    <row r="34872">
      <c r="L34872" s="13"/>
      <c r="M34872" s="14"/>
      <c r="N34872" s="14"/>
      <c r="O34872" s="14"/>
      <c r="P34872" s="13"/>
    </row>
    <row r="34873">
      <c r="L34873" s="13"/>
      <c r="M34873" s="14"/>
      <c r="N34873" s="14"/>
      <c r="O34873" s="14"/>
      <c r="P34873" s="13"/>
    </row>
    <row r="34874">
      <c r="L34874" s="13"/>
      <c r="M34874" s="14"/>
      <c r="N34874" s="14"/>
      <c r="O34874" s="14"/>
      <c r="P34874" s="13"/>
    </row>
    <row r="34875">
      <c r="L34875" s="13"/>
      <c r="M34875" s="14"/>
      <c r="N34875" s="14"/>
      <c r="O34875" s="14"/>
      <c r="P34875" s="13"/>
    </row>
    <row r="34876">
      <c r="L34876" s="13"/>
      <c r="M34876" s="14"/>
      <c r="N34876" s="14"/>
      <c r="O34876" s="14"/>
      <c r="P34876" s="13"/>
    </row>
    <row r="34877">
      <c r="L34877" s="13"/>
      <c r="M34877" s="14"/>
      <c r="N34877" s="14"/>
      <c r="O34877" s="14"/>
      <c r="P34877" s="13"/>
    </row>
    <row r="34878">
      <c r="L34878" s="13"/>
      <c r="M34878" s="14"/>
      <c r="N34878" s="14"/>
      <c r="O34878" s="14"/>
      <c r="P34878" s="13"/>
    </row>
    <row r="34879">
      <c r="L34879" s="13"/>
      <c r="M34879" s="14"/>
      <c r="N34879" s="14"/>
      <c r="O34879" s="14"/>
      <c r="P34879" s="13"/>
    </row>
    <row r="34880">
      <c r="L34880" s="13"/>
      <c r="M34880" s="14"/>
      <c r="N34880" s="14"/>
      <c r="O34880" s="14"/>
      <c r="P34880" s="13"/>
    </row>
    <row r="34881">
      <c r="L34881" s="13"/>
      <c r="M34881" s="14"/>
      <c r="N34881" s="14"/>
      <c r="O34881" s="14"/>
      <c r="P34881" s="13"/>
    </row>
    <row r="34882">
      <c r="L34882" s="13"/>
      <c r="M34882" s="14"/>
      <c r="N34882" s="14"/>
      <c r="O34882" s="14"/>
      <c r="P34882" s="13"/>
    </row>
    <row r="34883">
      <c r="L34883" s="13"/>
      <c r="M34883" s="14"/>
      <c r="N34883" s="14"/>
      <c r="O34883" s="14"/>
      <c r="P34883" s="13"/>
    </row>
    <row r="34884">
      <c r="L34884" s="13"/>
      <c r="M34884" s="14"/>
      <c r="N34884" s="14"/>
      <c r="O34884" s="14"/>
      <c r="P34884" s="13"/>
    </row>
    <row r="34885">
      <c r="L34885" s="13"/>
      <c r="M34885" s="14"/>
      <c r="N34885" s="14"/>
      <c r="O34885" s="14"/>
      <c r="P34885" s="13"/>
    </row>
    <row r="34886">
      <c r="L34886" s="13"/>
      <c r="M34886" s="14"/>
      <c r="N34886" s="14"/>
      <c r="O34886" s="14"/>
      <c r="P34886" s="13"/>
    </row>
    <row r="34887">
      <c r="L34887" s="13"/>
      <c r="M34887" s="14"/>
      <c r="N34887" s="14"/>
      <c r="O34887" s="14"/>
      <c r="P34887" s="13"/>
    </row>
    <row r="34888">
      <c r="L34888" s="13"/>
      <c r="M34888" s="14"/>
      <c r="N34888" s="14"/>
      <c r="O34888" s="14"/>
      <c r="P34888" s="13"/>
    </row>
    <row r="34889">
      <c r="L34889" s="13"/>
      <c r="M34889" s="14"/>
      <c r="N34889" s="14"/>
      <c r="O34889" s="14"/>
      <c r="P34889" s="13"/>
    </row>
    <row r="34890">
      <c r="L34890" s="13"/>
      <c r="M34890" s="14"/>
      <c r="N34890" s="14"/>
      <c r="O34890" s="14"/>
      <c r="P34890" s="13"/>
    </row>
    <row r="34891">
      <c r="L34891" s="13"/>
      <c r="M34891" s="14"/>
      <c r="N34891" s="14"/>
      <c r="O34891" s="14"/>
      <c r="P34891" s="13"/>
    </row>
    <row r="34892">
      <c r="L34892" s="13"/>
      <c r="M34892" s="14"/>
      <c r="N34892" s="14"/>
      <c r="O34892" s="14"/>
      <c r="P34892" s="13"/>
    </row>
    <row r="34893">
      <c r="L34893" s="13"/>
      <c r="M34893" s="14"/>
      <c r="N34893" s="14"/>
      <c r="O34893" s="14"/>
      <c r="P34893" s="13"/>
    </row>
    <row r="34894">
      <c r="L34894" s="13"/>
      <c r="M34894" s="14"/>
      <c r="N34894" s="14"/>
      <c r="O34894" s="14"/>
      <c r="P34894" s="13"/>
    </row>
    <row r="34895">
      <c r="L34895" s="13"/>
      <c r="M34895" s="14"/>
      <c r="N34895" s="14"/>
      <c r="O34895" s="14"/>
      <c r="P34895" s="13"/>
    </row>
    <row r="34896">
      <c r="L34896" s="13"/>
      <c r="M34896" s="14"/>
      <c r="N34896" s="14"/>
      <c r="O34896" s="14"/>
      <c r="P34896" s="13"/>
    </row>
    <row r="34897">
      <c r="L34897" s="13"/>
      <c r="M34897" s="14"/>
      <c r="N34897" s="14"/>
      <c r="O34897" s="14"/>
      <c r="P34897" s="13"/>
    </row>
    <row r="34898">
      <c r="L34898" s="13"/>
      <c r="M34898" s="14"/>
      <c r="N34898" s="14"/>
      <c r="O34898" s="14"/>
      <c r="P34898" s="13"/>
    </row>
    <row r="34899">
      <c r="L34899" s="13"/>
      <c r="M34899" s="14"/>
      <c r="N34899" s="14"/>
      <c r="O34899" s="14"/>
      <c r="P34899" s="13"/>
    </row>
    <row r="34900">
      <c r="L34900" s="13"/>
      <c r="M34900" s="14"/>
      <c r="N34900" s="14"/>
      <c r="O34900" s="14"/>
      <c r="P34900" s="13"/>
    </row>
    <row r="34901">
      <c r="L34901" s="13"/>
      <c r="M34901" s="14"/>
      <c r="N34901" s="14"/>
      <c r="O34901" s="14"/>
      <c r="P34901" s="13"/>
    </row>
    <row r="34902">
      <c r="L34902" s="13"/>
      <c r="M34902" s="14"/>
      <c r="N34902" s="14"/>
      <c r="O34902" s="14"/>
      <c r="P34902" s="13"/>
    </row>
    <row r="34903">
      <c r="L34903" s="13"/>
      <c r="M34903" s="14"/>
      <c r="N34903" s="14"/>
      <c r="O34903" s="14"/>
      <c r="P34903" s="13"/>
    </row>
    <row r="34904">
      <c r="L34904" s="13"/>
      <c r="M34904" s="14"/>
      <c r="N34904" s="14"/>
      <c r="O34904" s="14"/>
      <c r="P34904" s="13"/>
    </row>
    <row r="34905">
      <c r="L34905" s="13"/>
      <c r="M34905" s="14"/>
      <c r="N34905" s="14"/>
      <c r="O34905" s="14"/>
      <c r="P34905" s="13"/>
    </row>
    <row r="34906">
      <c r="L34906" s="13"/>
      <c r="M34906" s="14"/>
      <c r="N34906" s="14"/>
      <c r="O34906" s="14"/>
      <c r="P34906" s="13"/>
    </row>
    <row r="34907">
      <c r="L34907" s="13"/>
      <c r="M34907" s="14"/>
      <c r="N34907" s="14"/>
      <c r="O34907" s="14"/>
      <c r="P34907" s="13"/>
    </row>
    <row r="34908">
      <c r="L34908" s="13"/>
      <c r="M34908" s="14"/>
      <c r="N34908" s="14"/>
      <c r="O34908" s="14"/>
      <c r="P34908" s="13"/>
    </row>
    <row r="34909">
      <c r="L34909" s="13"/>
      <c r="M34909" s="14"/>
      <c r="N34909" s="14"/>
      <c r="O34909" s="14"/>
      <c r="P34909" s="13"/>
    </row>
    <row r="34910">
      <c r="L34910" s="13"/>
      <c r="M34910" s="14"/>
      <c r="N34910" s="14"/>
      <c r="O34910" s="14"/>
      <c r="P34910" s="13"/>
    </row>
    <row r="34911">
      <c r="L34911" s="13"/>
      <c r="M34911" s="14"/>
      <c r="N34911" s="14"/>
      <c r="O34911" s="14"/>
      <c r="P34911" s="13"/>
    </row>
    <row r="34912">
      <c r="L34912" s="13"/>
      <c r="M34912" s="14"/>
      <c r="N34912" s="14"/>
      <c r="O34912" s="14"/>
      <c r="P34912" s="13"/>
    </row>
    <row r="34913">
      <c r="L34913" s="13"/>
      <c r="M34913" s="14"/>
      <c r="N34913" s="14"/>
      <c r="O34913" s="14"/>
      <c r="P34913" s="13"/>
    </row>
    <row r="34914">
      <c r="L34914" s="13"/>
      <c r="M34914" s="14"/>
      <c r="N34914" s="14"/>
      <c r="O34914" s="14"/>
      <c r="P34914" s="13"/>
    </row>
    <row r="34915">
      <c r="L34915" s="13"/>
      <c r="M34915" s="14"/>
      <c r="N34915" s="14"/>
      <c r="O34915" s="14"/>
      <c r="P34915" s="13"/>
    </row>
    <row r="34916">
      <c r="L34916" s="13"/>
      <c r="M34916" s="14"/>
      <c r="N34916" s="14"/>
      <c r="O34916" s="14"/>
      <c r="P34916" s="13"/>
    </row>
    <row r="34917">
      <c r="L34917" s="13"/>
      <c r="M34917" s="14"/>
      <c r="N34917" s="14"/>
      <c r="O34917" s="14"/>
      <c r="P34917" s="13"/>
    </row>
    <row r="34918">
      <c r="L34918" s="13"/>
      <c r="M34918" s="14"/>
      <c r="N34918" s="14"/>
      <c r="O34918" s="14"/>
      <c r="P34918" s="13"/>
    </row>
    <row r="34919">
      <c r="L34919" s="13"/>
      <c r="M34919" s="14"/>
      <c r="N34919" s="14"/>
      <c r="O34919" s="14"/>
      <c r="P34919" s="13"/>
    </row>
    <row r="34920">
      <c r="L34920" s="13"/>
      <c r="M34920" s="14"/>
      <c r="N34920" s="14"/>
      <c r="O34920" s="14"/>
      <c r="P34920" s="13"/>
    </row>
    <row r="34921">
      <c r="L34921" s="13"/>
      <c r="M34921" s="14"/>
      <c r="N34921" s="14"/>
      <c r="O34921" s="14"/>
      <c r="P34921" s="13"/>
    </row>
    <row r="34922">
      <c r="L34922" s="13"/>
      <c r="M34922" s="14"/>
      <c r="N34922" s="14"/>
      <c r="O34922" s="14"/>
      <c r="P34922" s="13"/>
    </row>
    <row r="34923">
      <c r="L34923" s="13"/>
      <c r="M34923" s="14"/>
      <c r="N34923" s="14"/>
      <c r="O34923" s="14"/>
      <c r="P34923" s="13"/>
    </row>
    <row r="34924">
      <c r="L34924" s="13"/>
      <c r="M34924" s="14"/>
      <c r="N34924" s="14"/>
      <c r="O34924" s="14"/>
      <c r="P34924" s="13"/>
    </row>
    <row r="34925">
      <c r="L34925" s="13"/>
      <c r="M34925" s="14"/>
      <c r="N34925" s="14"/>
      <c r="O34925" s="14"/>
      <c r="P34925" s="13"/>
    </row>
    <row r="34926">
      <c r="L34926" s="13"/>
      <c r="M34926" s="14"/>
      <c r="N34926" s="14"/>
      <c r="O34926" s="14"/>
      <c r="P34926" s="13"/>
    </row>
    <row r="34927">
      <c r="L34927" s="13"/>
      <c r="M34927" s="14"/>
      <c r="N34927" s="14"/>
      <c r="O34927" s="14"/>
      <c r="P34927" s="13"/>
    </row>
    <row r="34928">
      <c r="L34928" s="13"/>
      <c r="M34928" s="14"/>
      <c r="N34928" s="14"/>
      <c r="O34928" s="14"/>
      <c r="P34928" s="13"/>
    </row>
    <row r="34929">
      <c r="L34929" s="13"/>
      <c r="M34929" s="14"/>
      <c r="N34929" s="14"/>
      <c r="O34929" s="14"/>
      <c r="P34929" s="13"/>
    </row>
    <row r="34930">
      <c r="L34930" s="13"/>
      <c r="M34930" s="14"/>
      <c r="N34930" s="14"/>
      <c r="O34930" s="14"/>
      <c r="P34930" s="13"/>
    </row>
    <row r="34931">
      <c r="L34931" s="13"/>
      <c r="M34931" s="14"/>
      <c r="N34931" s="14"/>
      <c r="O34931" s="14"/>
      <c r="P34931" s="13"/>
    </row>
    <row r="34932">
      <c r="L34932" s="13"/>
      <c r="M34932" s="14"/>
      <c r="N34932" s="14"/>
      <c r="O34932" s="14"/>
      <c r="P34932" s="13"/>
    </row>
    <row r="34933">
      <c r="L34933" s="13"/>
      <c r="M34933" s="14"/>
      <c r="N34933" s="14"/>
      <c r="O34933" s="14"/>
      <c r="P34933" s="13"/>
    </row>
    <row r="34934">
      <c r="L34934" s="13"/>
      <c r="M34934" s="14"/>
      <c r="N34934" s="14"/>
      <c r="O34934" s="14"/>
      <c r="P34934" s="13"/>
    </row>
    <row r="34935">
      <c r="L34935" s="13"/>
      <c r="M34935" s="14"/>
      <c r="N34935" s="14"/>
      <c r="O34935" s="14"/>
      <c r="P34935" s="13"/>
    </row>
    <row r="34936">
      <c r="L34936" s="13"/>
      <c r="M34936" s="14"/>
      <c r="N34936" s="14"/>
      <c r="O34936" s="14"/>
      <c r="P34936" s="13"/>
    </row>
    <row r="34937">
      <c r="L34937" s="13"/>
      <c r="M34937" s="14"/>
      <c r="N34937" s="14"/>
      <c r="O34937" s="14"/>
      <c r="P34937" s="13"/>
    </row>
    <row r="34938">
      <c r="L34938" s="13"/>
      <c r="M34938" s="14"/>
      <c r="N34938" s="14"/>
      <c r="O34938" s="14"/>
      <c r="P34938" s="13"/>
    </row>
    <row r="34939">
      <c r="L34939" s="13"/>
      <c r="M34939" s="14"/>
      <c r="N34939" s="14"/>
      <c r="O34939" s="14"/>
      <c r="P34939" s="13"/>
    </row>
    <row r="34940">
      <c r="L34940" s="13"/>
      <c r="M34940" s="14"/>
      <c r="N34940" s="14"/>
      <c r="O34940" s="14"/>
      <c r="P34940" s="13"/>
    </row>
    <row r="34941">
      <c r="L34941" s="13"/>
      <c r="M34941" s="14"/>
      <c r="N34941" s="14"/>
      <c r="O34941" s="14"/>
      <c r="P34941" s="13"/>
    </row>
    <row r="34942">
      <c r="L34942" s="13"/>
      <c r="M34942" s="14"/>
      <c r="N34942" s="14"/>
      <c r="O34942" s="14"/>
      <c r="P34942" s="13"/>
    </row>
    <row r="34943">
      <c r="L34943" s="13"/>
      <c r="M34943" s="14"/>
      <c r="N34943" s="14"/>
      <c r="O34943" s="14"/>
      <c r="P34943" s="13"/>
    </row>
    <row r="34944">
      <c r="L34944" s="13"/>
      <c r="M34944" s="14"/>
      <c r="N34944" s="14"/>
      <c r="O34944" s="14"/>
      <c r="P34944" s="13"/>
    </row>
    <row r="34945">
      <c r="L34945" s="13"/>
      <c r="M34945" s="14"/>
      <c r="N34945" s="14"/>
      <c r="O34945" s="14"/>
      <c r="P34945" s="13"/>
    </row>
    <row r="34946">
      <c r="L34946" s="13"/>
      <c r="M34946" s="14"/>
      <c r="N34946" s="14"/>
      <c r="O34946" s="14"/>
      <c r="P34946" s="13"/>
    </row>
    <row r="34947">
      <c r="L34947" s="13"/>
      <c r="M34947" s="14"/>
      <c r="N34947" s="14"/>
      <c r="O34947" s="14"/>
      <c r="P34947" s="13"/>
    </row>
    <row r="34948">
      <c r="L34948" s="13"/>
      <c r="M34948" s="14"/>
      <c r="N34948" s="14"/>
      <c r="O34948" s="14"/>
      <c r="P34948" s="13"/>
    </row>
    <row r="34949">
      <c r="L34949" s="13"/>
      <c r="M34949" s="14"/>
      <c r="N34949" s="14"/>
      <c r="O34949" s="14"/>
      <c r="P34949" s="13"/>
    </row>
    <row r="34950">
      <c r="L34950" s="13"/>
      <c r="M34950" s="14"/>
      <c r="N34950" s="14"/>
      <c r="O34950" s="14"/>
      <c r="P34950" s="13"/>
    </row>
    <row r="34951">
      <c r="L34951" s="13"/>
      <c r="M34951" s="14"/>
      <c r="N34951" s="14"/>
      <c r="O34951" s="14"/>
      <c r="P34951" s="13"/>
    </row>
    <row r="34952">
      <c r="L34952" s="13"/>
      <c r="M34952" s="14"/>
      <c r="N34952" s="14"/>
      <c r="O34952" s="14"/>
      <c r="P34952" s="13"/>
    </row>
    <row r="34953">
      <c r="L34953" s="13"/>
      <c r="M34953" s="14"/>
      <c r="N34953" s="14"/>
      <c r="O34953" s="14"/>
      <c r="P34953" s="13"/>
    </row>
    <row r="34954">
      <c r="L34954" s="13"/>
      <c r="M34954" s="14"/>
      <c r="N34954" s="14"/>
      <c r="O34954" s="14"/>
      <c r="P34954" s="13"/>
    </row>
    <row r="34955">
      <c r="L34955" s="13"/>
      <c r="M34955" s="14"/>
      <c r="N34955" s="14"/>
      <c r="O34955" s="14"/>
      <c r="P34955" s="13"/>
    </row>
    <row r="34956">
      <c r="L34956" s="13"/>
      <c r="M34956" s="14"/>
      <c r="N34956" s="14"/>
      <c r="O34956" s="14"/>
      <c r="P34956" s="13"/>
    </row>
    <row r="34957">
      <c r="L34957" s="13"/>
      <c r="M34957" s="14"/>
      <c r="N34957" s="14"/>
      <c r="O34957" s="14"/>
      <c r="P34957" s="13"/>
    </row>
    <row r="34958">
      <c r="L34958" s="13"/>
      <c r="M34958" s="14"/>
      <c r="N34958" s="14"/>
      <c r="O34958" s="14"/>
      <c r="P34958" s="13"/>
    </row>
    <row r="34959">
      <c r="L34959" s="13"/>
      <c r="M34959" s="14"/>
      <c r="N34959" s="14"/>
      <c r="O34959" s="14"/>
      <c r="P34959" s="13"/>
    </row>
    <row r="34960">
      <c r="L34960" s="13"/>
      <c r="M34960" s="14"/>
      <c r="N34960" s="14"/>
      <c r="O34960" s="14"/>
      <c r="P34960" s="13"/>
    </row>
    <row r="34961">
      <c r="L34961" s="13"/>
      <c r="M34961" s="14"/>
      <c r="N34961" s="14"/>
      <c r="O34961" s="14"/>
      <c r="P34961" s="13"/>
    </row>
    <row r="34962">
      <c r="L34962" s="13"/>
      <c r="M34962" s="14"/>
      <c r="N34962" s="14"/>
      <c r="O34962" s="14"/>
      <c r="P34962" s="13"/>
    </row>
    <row r="34963">
      <c r="L34963" s="13"/>
      <c r="M34963" s="14"/>
      <c r="N34963" s="14"/>
      <c r="O34963" s="14"/>
      <c r="P34963" s="13"/>
    </row>
    <row r="34964">
      <c r="L34964" s="13"/>
      <c r="M34964" s="14"/>
      <c r="N34964" s="14"/>
      <c r="O34964" s="14"/>
      <c r="P34964" s="13"/>
    </row>
    <row r="34965">
      <c r="L34965" s="13"/>
      <c r="M34965" s="14"/>
      <c r="N34965" s="14"/>
      <c r="O34965" s="14"/>
      <c r="P34965" s="13"/>
    </row>
    <row r="34966">
      <c r="L34966" s="13"/>
      <c r="M34966" s="14"/>
      <c r="N34966" s="14"/>
      <c r="O34966" s="14"/>
      <c r="P34966" s="13"/>
    </row>
    <row r="34967">
      <c r="L34967" s="13"/>
      <c r="M34967" s="14"/>
      <c r="N34967" s="14"/>
      <c r="O34967" s="14"/>
      <c r="P34967" s="13"/>
    </row>
    <row r="34968">
      <c r="L34968" s="13"/>
      <c r="M34968" s="14"/>
      <c r="N34968" s="14"/>
      <c r="O34968" s="14"/>
      <c r="P34968" s="13"/>
    </row>
    <row r="34969">
      <c r="L34969" s="13"/>
      <c r="M34969" s="14"/>
      <c r="N34969" s="14"/>
      <c r="O34969" s="14"/>
      <c r="P34969" s="13"/>
    </row>
    <row r="34970">
      <c r="L34970" s="13"/>
      <c r="M34970" s="14"/>
      <c r="N34970" s="14"/>
      <c r="O34970" s="14"/>
      <c r="P34970" s="13"/>
    </row>
    <row r="34971">
      <c r="L34971" s="13"/>
      <c r="M34971" s="14"/>
      <c r="N34971" s="14"/>
      <c r="O34971" s="14"/>
      <c r="P34971" s="13"/>
    </row>
    <row r="34972">
      <c r="L34972" s="13"/>
      <c r="M34972" s="14"/>
      <c r="N34972" s="14"/>
      <c r="O34972" s="14"/>
      <c r="P34972" s="13"/>
    </row>
    <row r="34973">
      <c r="L34973" s="13"/>
      <c r="M34973" s="14"/>
      <c r="N34973" s="14"/>
      <c r="O34973" s="14"/>
      <c r="P34973" s="13"/>
    </row>
    <row r="34974">
      <c r="L34974" s="13"/>
      <c r="M34974" s="14"/>
      <c r="N34974" s="14"/>
      <c r="O34974" s="14"/>
      <c r="P34974" s="13"/>
    </row>
    <row r="34975">
      <c r="L34975" s="13"/>
      <c r="M34975" s="14"/>
      <c r="N34975" s="14"/>
      <c r="O34975" s="14"/>
      <c r="P34975" s="13"/>
    </row>
    <row r="34976">
      <c r="L34976" s="13"/>
      <c r="M34976" s="14"/>
      <c r="N34976" s="14"/>
      <c r="O34976" s="14"/>
      <c r="P34976" s="13"/>
    </row>
    <row r="34977">
      <c r="L34977" s="13"/>
      <c r="M34977" s="14"/>
      <c r="N34977" s="14"/>
      <c r="O34977" s="14"/>
      <c r="P34977" s="13"/>
    </row>
    <row r="34978">
      <c r="L34978" s="13"/>
      <c r="M34978" s="14"/>
      <c r="N34978" s="14"/>
      <c r="O34978" s="14"/>
      <c r="P34978" s="13"/>
    </row>
    <row r="34979">
      <c r="L34979" s="13"/>
      <c r="M34979" s="14"/>
      <c r="N34979" s="14"/>
      <c r="O34979" s="14"/>
      <c r="P34979" s="13"/>
    </row>
    <row r="34980">
      <c r="L34980" s="13"/>
      <c r="M34980" s="14"/>
      <c r="N34980" s="14"/>
      <c r="O34980" s="14"/>
      <c r="P34980" s="13"/>
    </row>
    <row r="34981">
      <c r="L34981" s="13"/>
      <c r="M34981" s="14"/>
      <c r="N34981" s="14"/>
      <c r="O34981" s="14"/>
      <c r="P34981" s="13"/>
    </row>
    <row r="34982">
      <c r="L34982" s="13"/>
      <c r="M34982" s="14"/>
      <c r="N34982" s="14"/>
      <c r="O34982" s="14"/>
      <c r="P34982" s="13"/>
    </row>
    <row r="34983">
      <c r="L34983" s="13"/>
      <c r="M34983" s="14"/>
      <c r="N34983" s="14"/>
      <c r="O34983" s="14"/>
      <c r="P34983" s="13"/>
    </row>
    <row r="34984">
      <c r="L34984" s="13"/>
      <c r="M34984" s="14"/>
      <c r="N34984" s="14"/>
      <c r="O34984" s="14"/>
      <c r="P34984" s="13"/>
    </row>
    <row r="34985">
      <c r="L34985" s="13"/>
      <c r="M34985" s="14"/>
      <c r="N34985" s="14"/>
      <c r="O34985" s="14"/>
      <c r="P34985" s="13"/>
    </row>
    <row r="34986">
      <c r="L34986" s="13"/>
      <c r="M34986" s="14"/>
      <c r="N34986" s="14"/>
      <c r="O34986" s="14"/>
      <c r="P34986" s="13"/>
    </row>
    <row r="34987">
      <c r="L34987" s="13"/>
      <c r="M34987" s="14"/>
      <c r="N34987" s="14"/>
      <c r="O34987" s="14"/>
      <c r="P34987" s="13"/>
    </row>
    <row r="34988">
      <c r="L34988" s="13"/>
      <c r="M34988" s="14"/>
      <c r="N34988" s="14"/>
      <c r="O34988" s="14"/>
      <c r="P34988" s="13"/>
    </row>
    <row r="34989">
      <c r="L34989" s="13"/>
      <c r="M34989" s="14"/>
      <c r="N34989" s="14"/>
      <c r="O34989" s="14"/>
      <c r="P34989" s="13"/>
    </row>
    <row r="34990">
      <c r="L34990" s="13"/>
      <c r="M34990" s="14"/>
      <c r="N34990" s="14"/>
      <c r="O34990" s="14"/>
      <c r="P34990" s="13"/>
    </row>
    <row r="34991">
      <c r="L34991" s="13"/>
      <c r="M34991" s="14"/>
      <c r="N34991" s="14"/>
      <c r="O34991" s="14"/>
      <c r="P34991" s="13"/>
    </row>
    <row r="34992">
      <c r="L34992" s="13"/>
      <c r="M34992" s="14"/>
      <c r="N34992" s="14"/>
      <c r="O34992" s="14"/>
      <c r="P34992" s="13"/>
    </row>
    <row r="34993">
      <c r="L34993" s="13"/>
      <c r="M34993" s="14"/>
      <c r="N34993" s="14"/>
      <c r="O34993" s="14"/>
      <c r="P34993" s="13"/>
    </row>
    <row r="34994">
      <c r="L34994" s="13"/>
      <c r="M34994" s="14"/>
      <c r="N34994" s="14"/>
      <c r="O34994" s="14"/>
      <c r="P34994" s="13"/>
    </row>
    <row r="34995">
      <c r="L34995" s="13"/>
      <c r="M34995" s="14"/>
      <c r="N34995" s="14"/>
      <c r="O34995" s="14"/>
      <c r="P34995" s="13"/>
    </row>
    <row r="34996">
      <c r="L34996" s="13"/>
      <c r="M34996" s="14"/>
      <c r="N34996" s="14"/>
      <c r="O34996" s="14"/>
      <c r="P34996" s="13"/>
    </row>
    <row r="34997">
      <c r="L34997" s="13"/>
      <c r="M34997" s="14"/>
      <c r="N34997" s="14"/>
      <c r="O34997" s="14"/>
      <c r="P34997" s="13"/>
    </row>
    <row r="34998">
      <c r="L34998" s="13"/>
      <c r="M34998" s="14"/>
      <c r="N34998" s="14"/>
      <c r="O34998" s="14"/>
      <c r="P34998" s="13"/>
    </row>
    <row r="34999">
      <c r="L34999" s="13"/>
      <c r="M34999" s="14"/>
      <c r="N34999" s="14"/>
      <c r="O34999" s="14"/>
      <c r="P34999" s="13"/>
    </row>
    <row r="35000">
      <c r="L35000" s="13"/>
      <c r="M35000" s="14"/>
      <c r="N35000" s="14"/>
      <c r="O35000" s="14"/>
      <c r="P35000" s="13"/>
    </row>
    <row r="35001">
      <c r="L35001" s="13"/>
      <c r="M35001" s="14"/>
      <c r="N35001" s="14"/>
      <c r="O35001" s="14"/>
      <c r="P35001" s="13"/>
    </row>
    <row r="35002">
      <c r="L35002" s="13"/>
      <c r="M35002" s="14"/>
      <c r="N35002" s="14"/>
      <c r="O35002" s="14"/>
      <c r="P35002" s="13"/>
    </row>
    <row r="35003">
      <c r="L35003" s="13"/>
      <c r="M35003" s="14"/>
      <c r="N35003" s="14"/>
      <c r="O35003" s="14"/>
      <c r="P35003" s="13"/>
    </row>
    <row r="35004">
      <c r="L35004" s="13"/>
      <c r="M35004" s="14"/>
      <c r="N35004" s="14"/>
      <c r="O35004" s="14"/>
      <c r="P35004" s="13"/>
    </row>
    <row r="35005">
      <c r="L35005" s="13"/>
      <c r="M35005" s="14"/>
      <c r="N35005" s="14"/>
      <c r="O35005" s="14"/>
      <c r="P35005" s="13"/>
    </row>
    <row r="35006">
      <c r="L35006" s="13"/>
      <c r="M35006" s="14"/>
      <c r="N35006" s="14"/>
      <c r="O35006" s="14"/>
      <c r="P35006" s="13"/>
    </row>
    <row r="35007">
      <c r="L35007" s="13"/>
      <c r="M35007" s="14"/>
      <c r="N35007" s="14"/>
      <c r="O35007" s="14"/>
      <c r="P35007" s="13"/>
    </row>
    <row r="35008">
      <c r="L35008" s="13"/>
      <c r="M35008" s="14"/>
      <c r="N35008" s="14"/>
      <c r="O35008" s="14"/>
      <c r="P35008" s="13"/>
    </row>
    <row r="35009">
      <c r="L35009" s="13"/>
      <c r="M35009" s="14"/>
      <c r="N35009" s="14"/>
      <c r="O35009" s="14"/>
      <c r="P35009" s="13"/>
    </row>
    <row r="35010">
      <c r="L35010" s="13"/>
      <c r="M35010" s="14"/>
      <c r="N35010" s="14"/>
      <c r="O35010" s="14"/>
      <c r="P35010" s="13"/>
    </row>
    <row r="35011">
      <c r="L35011" s="13"/>
      <c r="M35011" s="14"/>
      <c r="N35011" s="14"/>
      <c r="O35011" s="14"/>
      <c r="P35011" s="13"/>
    </row>
    <row r="35012">
      <c r="L35012" s="13"/>
      <c r="M35012" s="14"/>
      <c r="N35012" s="14"/>
      <c r="O35012" s="14"/>
      <c r="P35012" s="13"/>
    </row>
    <row r="35013">
      <c r="L35013" s="13"/>
      <c r="M35013" s="14"/>
      <c r="N35013" s="14"/>
      <c r="O35013" s="14"/>
      <c r="P35013" s="13"/>
    </row>
    <row r="35014">
      <c r="L35014" s="13"/>
      <c r="M35014" s="14"/>
      <c r="N35014" s="14"/>
      <c r="O35014" s="14"/>
      <c r="P35014" s="13"/>
    </row>
    <row r="35015">
      <c r="L35015" s="13"/>
      <c r="M35015" s="14"/>
      <c r="N35015" s="14"/>
      <c r="O35015" s="14"/>
      <c r="P35015" s="13"/>
    </row>
    <row r="35016">
      <c r="L35016" s="13"/>
      <c r="M35016" s="14"/>
      <c r="N35016" s="14"/>
      <c r="O35016" s="14"/>
      <c r="P35016" s="13"/>
    </row>
    <row r="35017">
      <c r="L35017" s="13"/>
      <c r="M35017" s="14"/>
      <c r="N35017" s="14"/>
      <c r="O35017" s="14"/>
      <c r="P35017" s="13"/>
    </row>
    <row r="35018">
      <c r="L35018" s="13"/>
      <c r="M35018" s="14"/>
      <c r="N35018" s="14"/>
      <c r="O35018" s="14"/>
      <c r="P35018" s="13"/>
    </row>
    <row r="35019">
      <c r="L35019" s="13"/>
      <c r="M35019" s="14"/>
      <c r="N35019" s="14"/>
      <c r="O35019" s="14"/>
      <c r="P35019" s="13"/>
    </row>
    <row r="35020">
      <c r="L35020" s="13"/>
      <c r="M35020" s="14"/>
      <c r="N35020" s="14"/>
      <c r="O35020" s="14"/>
      <c r="P35020" s="13"/>
    </row>
    <row r="35021">
      <c r="L35021" s="13"/>
      <c r="M35021" s="14"/>
      <c r="N35021" s="14"/>
      <c r="O35021" s="14"/>
      <c r="P35021" s="13"/>
    </row>
    <row r="35022">
      <c r="L35022" s="13"/>
      <c r="M35022" s="14"/>
      <c r="N35022" s="14"/>
      <c r="O35022" s="14"/>
      <c r="P35022" s="13"/>
    </row>
    <row r="35023">
      <c r="L35023" s="13"/>
      <c r="M35023" s="14"/>
      <c r="N35023" s="14"/>
      <c r="O35023" s="14"/>
      <c r="P35023" s="13"/>
    </row>
    <row r="35024">
      <c r="L35024" s="13"/>
      <c r="M35024" s="14"/>
      <c r="N35024" s="14"/>
      <c r="O35024" s="14"/>
      <c r="P35024" s="13"/>
    </row>
    <row r="35025">
      <c r="L35025" s="13"/>
      <c r="M35025" s="14"/>
      <c r="N35025" s="14"/>
      <c r="O35025" s="14"/>
      <c r="P35025" s="13"/>
    </row>
    <row r="35026">
      <c r="L35026" s="13"/>
      <c r="M35026" s="14"/>
      <c r="N35026" s="14"/>
      <c r="O35026" s="14"/>
      <c r="P35026" s="13"/>
    </row>
    <row r="35027">
      <c r="L35027" s="13"/>
      <c r="M35027" s="14"/>
      <c r="N35027" s="14"/>
      <c r="O35027" s="14"/>
      <c r="P35027" s="13"/>
    </row>
    <row r="35028">
      <c r="L35028" s="13"/>
      <c r="M35028" s="14"/>
      <c r="N35028" s="14"/>
      <c r="O35028" s="14"/>
      <c r="P35028" s="13"/>
    </row>
    <row r="35029">
      <c r="L35029" s="13"/>
      <c r="M35029" s="14"/>
      <c r="N35029" s="14"/>
      <c r="O35029" s="14"/>
      <c r="P35029" s="13"/>
    </row>
    <row r="35030">
      <c r="L35030" s="13"/>
      <c r="M35030" s="14"/>
      <c r="N35030" s="14"/>
      <c r="O35030" s="14"/>
      <c r="P35030" s="13"/>
    </row>
    <row r="35031">
      <c r="L35031" s="13"/>
      <c r="M35031" s="14"/>
      <c r="N35031" s="14"/>
      <c r="O35031" s="14"/>
      <c r="P35031" s="13"/>
    </row>
    <row r="35032">
      <c r="L35032" s="13"/>
      <c r="M35032" s="14"/>
      <c r="N35032" s="14"/>
      <c r="O35032" s="14"/>
      <c r="P35032" s="13"/>
    </row>
    <row r="35033">
      <c r="L35033" s="13"/>
      <c r="M35033" s="14"/>
      <c r="N35033" s="14"/>
      <c r="O35033" s="14"/>
      <c r="P35033" s="13"/>
    </row>
    <row r="35034">
      <c r="L35034" s="13"/>
      <c r="M35034" s="14"/>
      <c r="N35034" s="14"/>
      <c r="O35034" s="14"/>
      <c r="P35034" s="13"/>
    </row>
    <row r="35035">
      <c r="L35035" s="13"/>
      <c r="M35035" s="14"/>
      <c r="N35035" s="14"/>
      <c r="O35035" s="14"/>
      <c r="P35035" s="13"/>
    </row>
    <row r="35036">
      <c r="L35036" s="13"/>
      <c r="M35036" s="14"/>
      <c r="N35036" s="14"/>
      <c r="O35036" s="14"/>
      <c r="P35036" s="13"/>
    </row>
    <row r="35037">
      <c r="L35037" s="13"/>
      <c r="M35037" s="14"/>
      <c r="N35037" s="14"/>
      <c r="O35037" s="14"/>
      <c r="P35037" s="13"/>
    </row>
    <row r="35038">
      <c r="L35038" s="13"/>
      <c r="M35038" s="14"/>
      <c r="N35038" s="14"/>
      <c r="O35038" s="14"/>
      <c r="P35038" s="13"/>
    </row>
    <row r="35039">
      <c r="L35039" s="13"/>
      <c r="M35039" s="14"/>
      <c r="N35039" s="14"/>
      <c r="O35039" s="14"/>
      <c r="P35039" s="13"/>
    </row>
    <row r="35040">
      <c r="L35040" s="13"/>
      <c r="M35040" s="14"/>
      <c r="N35040" s="14"/>
      <c r="O35040" s="14"/>
      <c r="P35040" s="13"/>
    </row>
    <row r="35041">
      <c r="L35041" s="13"/>
      <c r="M35041" s="14"/>
      <c r="N35041" s="14"/>
      <c r="O35041" s="14"/>
      <c r="P35041" s="13"/>
    </row>
    <row r="35042">
      <c r="L35042" s="13"/>
      <c r="M35042" s="14"/>
      <c r="N35042" s="14"/>
      <c r="O35042" s="14"/>
      <c r="P35042" s="13"/>
    </row>
    <row r="35043">
      <c r="L35043" s="13"/>
      <c r="M35043" s="14"/>
      <c r="N35043" s="14"/>
      <c r="O35043" s="14"/>
      <c r="P35043" s="13"/>
    </row>
    <row r="35044">
      <c r="L35044" s="13"/>
      <c r="M35044" s="14"/>
      <c r="N35044" s="14"/>
      <c r="O35044" s="14"/>
      <c r="P35044" s="13"/>
    </row>
    <row r="35045">
      <c r="L35045" s="13"/>
      <c r="M35045" s="14"/>
      <c r="N35045" s="14"/>
      <c r="O35045" s="14"/>
      <c r="P35045" s="13"/>
    </row>
    <row r="35046">
      <c r="L35046" s="13"/>
      <c r="M35046" s="14"/>
      <c r="N35046" s="14"/>
      <c r="O35046" s="14"/>
      <c r="P35046" s="13"/>
    </row>
    <row r="35047">
      <c r="L35047" s="13"/>
      <c r="M35047" s="14"/>
      <c r="N35047" s="14"/>
      <c r="O35047" s="14"/>
      <c r="P35047" s="13"/>
    </row>
    <row r="35048">
      <c r="L35048" s="13"/>
      <c r="M35048" s="14"/>
      <c r="N35048" s="14"/>
      <c r="O35048" s="14"/>
      <c r="P35048" s="13"/>
    </row>
    <row r="35049">
      <c r="L35049" s="13"/>
      <c r="M35049" s="14"/>
      <c r="N35049" s="14"/>
      <c r="O35049" s="14"/>
      <c r="P35049" s="13"/>
    </row>
    <row r="35050">
      <c r="L35050" s="13"/>
      <c r="M35050" s="14"/>
      <c r="N35050" s="14"/>
      <c r="O35050" s="14"/>
      <c r="P35050" s="13"/>
    </row>
    <row r="35051">
      <c r="L35051" s="13"/>
      <c r="M35051" s="14"/>
      <c r="N35051" s="14"/>
      <c r="O35051" s="14"/>
      <c r="P35051" s="13"/>
    </row>
    <row r="35052">
      <c r="L35052" s="13"/>
      <c r="M35052" s="14"/>
      <c r="N35052" s="14"/>
      <c r="O35052" s="14"/>
      <c r="P35052" s="13"/>
    </row>
    <row r="35053">
      <c r="L35053" s="13"/>
      <c r="M35053" s="14"/>
      <c r="N35053" s="14"/>
      <c r="O35053" s="14"/>
      <c r="P35053" s="13"/>
    </row>
    <row r="35054">
      <c r="L35054" s="13"/>
      <c r="M35054" s="14"/>
      <c r="N35054" s="14"/>
      <c r="O35054" s="14"/>
      <c r="P35054" s="13"/>
    </row>
    <row r="35055">
      <c r="L35055" s="13"/>
      <c r="M35055" s="14"/>
      <c r="N35055" s="14"/>
      <c r="O35055" s="14"/>
      <c r="P35055" s="13"/>
    </row>
    <row r="35056">
      <c r="L35056" s="13"/>
      <c r="M35056" s="14"/>
      <c r="N35056" s="14"/>
      <c r="O35056" s="14"/>
      <c r="P35056" s="13"/>
    </row>
    <row r="35057">
      <c r="L35057" s="13"/>
      <c r="M35057" s="14"/>
      <c r="N35057" s="14"/>
      <c r="O35057" s="14"/>
      <c r="P35057" s="13"/>
    </row>
    <row r="35058">
      <c r="L35058" s="13"/>
      <c r="M35058" s="14"/>
      <c r="N35058" s="14"/>
      <c r="O35058" s="14"/>
      <c r="P35058" s="13"/>
    </row>
    <row r="35059">
      <c r="L35059" s="13"/>
      <c r="M35059" s="14"/>
      <c r="N35059" s="14"/>
      <c r="O35059" s="14"/>
      <c r="P35059" s="13"/>
    </row>
    <row r="35060">
      <c r="L35060" s="13"/>
      <c r="M35060" s="14"/>
      <c r="N35060" s="14"/>
      <c r="O35060" s="14"/>
      <c r="P35060" s="13"/>
    </row>
    <row r="35061">
      <c r="L35061" s="13"/>
      <c r="M35061" s="14"/>
      <c r="N35061" s="14"/>
      <c r="O35061" s="14"/>
      <c r="P35061" s="13"/>
    </row>
    <row r="35062">
      <c r="L35062" s="13"/>
      <c r="M35062" s="14"/>
      <c r="N35062" s="14"/>
      <c r="O35062" s="14"/>
      <c r="P35062" s="13"/>
    </row>
    <row r="35063">
      <c r="L35063" s="13"/>
      <c r="M35063" s="14"/>
      <c r="N35063" s="14"/>
      <c r="O35063" s="14"/>
      <c r="P35063" s="13"/>
    </row>
    <row r="35064">
      <c r="L35064" s="13"/>
      <c r="M35064" s="14"/>
      <c r="N35064" s="14"/>
      <c r="O35064" s="14"/>
      <c r="P35064" s="13"/>
    </row>
    <row r="35065">
      <c r="L35065" s="13"/>
      <c r="M35065" s="14"/>
      <c r="N35065" s="14"/>
      <c r="O35065" s="14"/>
      <c r="P35065" s="13"/>
    </row>
    <row r="35066">
      <c r="L35066" s="13"/>
      <c r="M35066" s="14"/>
      <c r="N35066" s="14"/>
      <c r="O35066" s="14"/>
      <c r="P35066" s="13"/>
    </row>
    <row r="35067">
      <c r="L35067" s="13"/>
      <c r="M35067" s="14"/>
      <c r="N35067" s="14"/>
      <c r="O35067" s="14"/>
      <c r="P35067" s="13"/>
    </row>
    <row r="35068">
      <c r="L35068" s="13"/>
      <c r="M35068" s="14"/>
      <c r="N35068" s="14"/>
      <c r="O35068" s="14"/>
      <c r="P35068" s="13"/>
    </row>
    <row r="35069">
      <c r="L35069" s="13"/>
      <c r="M35069" s="14"/>
      <c r="N35069" s="14"/>
      <c r="O35069" s="14"/>
      <c r="P35069" s="13"/>
    </row>
    <row r="35070">
      <c r="L35070" s="13"/>
      <c r="M35070" s="14"/>
      <c r="N35070" s="14"/>
      <c r="O35070" s="14"/>
      <c r="P35070" s="13"/>
    </row>
    <row r="35071">
      <c r="L35071" s="13"/>
      <c r="M35071" s="14"/>
      <c r="N35071" s="14"/>
      <c r="O35071" s="14"/>
      <c r="P35071" s="13"/>
    </row>
    <row r="35072">
      <c r="L35072" s="13"/>
      <c r="M35072" s="14"/>
      <c r="N35072" s="14"/>
      <c r="O35072" s="14"/>
      <c r="P35072" s="13"/>
    </row>
    <row r="35073">
      <c r="L35073" s="13"/>
      <c r="M35073" s="14"/>
      <c r="N35073" s="14"/>
      <c r="O35073" s="14"/>
      <c r="P35073" s="13"/>
    </row>
    <row r="35074">
      <c r="L35074" s="13"/>
      <c r="M35074" s="14"/>
      <c r="N35074" s="14"/>
      <c r="O35074" s="14"/>
      <c r="P35074" s="13"/>
    </row>
    <row r="35075">
      <c r="L35075" s="13"/>
      <c r="M35075" s="14"/>
      <c r="N35075" s="14"/>
      <c r="O35075" s="14"/>
      <c r="P35075" s="13"/>
    </row>
    <row r="35076">
      <c r="L35076" s="13"/>
      <c r="M35076" s="14"/>
      <c r="N35076" s="14"/>
      <c r="O35076" s="14"/>
      <c r="P35076" s="13"/>
    </row>
    <row r="35077">
      <c r="L35077" s="13"/>
      <c r="M35077" s="14"/>
      <c r="N35077" s="14"/>
      <c r="O35077" s="14"/>
      <c r="P35077" s="13"/>
    </row>
    <row r="35078">
      <c r="L35078" s="13"/>
      <c r="M35078" s="14"/>
      <c r="N35078" s="14"/>
      <c r="O35078" s="14"/>
      <c r="P35078" s="13"/>
    </row>
    <row r="35079">
      <c r="L35079" s="13"/>
      <c r="M35079" s="14"/>
      <c r="N35079" s="14"/>
      <c r="O35079" s="14"/>
      <c r="P35079" s="13"/>
    </row>
    <row r="35080">
      <c r="L35080" s="13"/>
      <c r="M35080" s="14"/>
      <c r="N35080" s="14"/>
      <c r="O35080" s="14"/>
      <c r="P35080" s="13"/>
    </row>
    <row r="35081">
      <c r="L35081" s="13"/>
      <c r="M35081" s="14"/>
      <c r="N35081" s="14"/>
      <c r="O35081" s="14"/>
      <c r="P35081" s="13"/>
    </row>
    <row r="35082">
      <c r="L35082" s="13"/>
      <c r="M35082" s="14"/>
      <c r="N35082" s="14"/>
      <c r="O35082" s="14"/>
      <c r="P35082" s="13"/>
    </row>
    <row r="35083">
      <c r="L35083" s="13"/>
      <c r="M35083" s="14"/>
      <c r="N35083" s="14"/>
      <c r="O35083" s="14"/>
      <c r="P35083" s="13"/>
    </row>
    <row r="35084">
      <c r="L35084" s="13"/>
      <c r="M35084" s="14"/>
      <c r="N35084" s="14"/>
      <c r="O35084" s="14"/>
      <c r="P35084" s="13"/>
    </row>
    <row r="35085">
      <c r="L35085" s="13"/>
      <c r="M35085" s="14"/>
      <c r="N35085" s="14"/>
      <c r="O35085" s="14"/>
      <c r="P35085" s="13"/>
    </row>
    <row r="35086">
      <c r="L35086" s="13"/>
      <c r="M35086" s="14"/>
      <c r="N35086" s="14"/>
      <c r="O35086" s="14"/>
      <c r="P35086" s="13"/>
    </row>
    <row r="35087">
      <c r="L35087" s="13"/>
      <c r="M35087" s="14"/>
      <c r="N35087" s="14"/>
      <c r="O35087" s="14"/>
      <c r="P35087" s="13"/>
    </row>
    <row r="35088">
      <c r="L35088" s="13"/>
      <c r="M35088" s="14"/>
      <c r="N35088" s="14"/>
      <c r="O35088" s="14"/>
      <c r="P35088" s="13"/>
    </row>
    <row r="35089">
      <c r="L35089" s="13"/>
      <c r="M35089" s="14"/>
      <c r="N35089" s="14"/>
      <c r="O35089" s="14"/>
      <c r="P35089" s="13"/>
    </row>
    <row r="35090">
      <c r="L35090" s="13"/>
      <c r="M35090" s="14"/>
      <c r="N35090" s="14"/>
      <c r="O35090" s="14"/>
      <c r="P35090" s="13"/>
    </row>
    <row r="35091">
      <c r="L35091" s="13"/>
      <c r="M35091" s="14"/>
      <c r="N35091" s="14"/>
      <c r="O35091" s="14"/>
      <c r="P35091" s="13"/>
    </row>
    <row r="35092">
      <c r="L35092" s="13"/>
      <c r="M35092" s="14"/>
      <c r="N35092" s="14"/>
      <c r="O35092" s="14"/>
      <c r="P35092" s="13"/>
    </row>
    <row r="35093">
      <c r="L35093" s="13"/>
      <c r="M35093" s="14"/>
      <c r="N35093" s="14"/>
      <c r="O35093" s="14"/>
      <c r="P35093" s="13"/>
    </row>
    <row r="35094">
      <c r="L35094" s="13"/>
      <c r="M35094" s="14"/>
      <c r="N35094" s="14"/>
      <c r="O35094" s="14"/>
      <c r="P35094" s="13"/>
    </row>
    <row r="35095">
      <c r="L35095" s="13"/>
      <c r="M35095" s="14"/>
      <c r="N35095" s="14"/>
      <c r="O35095" s="14"/>
      <c r="P35095" s="13"/>
    </row>
    <row r="35096">
      <c r="L35096" s="13"/>
      <c r="M35096" s="14"/>
      <c r="N35096" s="14"/>
      <c r="O35096" s="14"/>
      <c r="P35096" s="13"/>
    </row>
    <row r="35097">
      <c r="L35097" s="13"/>
      <c r="M35097" s="14"/>
      <c r="N35097" s="14"/>
      <c r="O35097" s="14"/>
      <c r="P35097" s="13"/>
    </row>
    <row r="35098">
      <c r="L35098" s="13"/>
      <c r="M35098" s="14"/>
      <c r="N35098" s="14"/>
      <c r="O35098" s="14"/>
      <c r="P35098" s="13"/>
    </row>
    <row r="35099">
      <c r="L35099" s="13"/>
      <c r="M35099" s="14"/>
      <c r="N35099" s="14"/>
      <c r="O35099" s="14"/>
      <c r="P35099" s="13"/>
    </row>
    <row r="35100">
      <c r="L35100" s="13"/>
      <c r="M35100" s="14"/>
      <c r="N35100" s="14"/>
      <c r="O35100" s="14"/>
      <c r="P35100" s="13"/>
    </row>
    <row r="35101">
      <c r="L35101" s="13"/>
      <c r="M35101" s="14"/>
      <c r="N35101" s="14"/>
      <c r="O35101" s="14"/>
      <c r="P35101" s="13"/>
    </row>
    <row r="35102">
      <c r="L35102" s="13"/>
      <c r="M35102" s="14"/>
      <c r="N35102" s="14"/>
      <c r="O35102" s="14"/>
      <c r="P35102" s="13"/>
    </row>
    <row r="35103">
      <c r="L35103" s="13"/>
      <c r="M35103" s="14"/>
      <c r="N35103" s="14"/>
      <c r="O35103" s="14"/>
      <c r="P35103" s="13"/>
    </row>
    <row r="35104">
      <c r="L35104" s="13"/>
      <c r="M35104" s="14"/>
      <c r="N35104" s="14"/>
      <c r="O35104" s="14"/>
      <c r="P35104" s="13"/>
    </row>
    <row r="35105">
      <c r="L35105" s="13"/>
      <c r="M35105" s="14"/>
      <c r="N35105" s="14"/>
      <c r="O35105" s="14"/>
      <c r="P35105" s="13"/>
    </row>
    <row r="35106">
      <c r="L35106" s="13"/>
      <c r="M35106" s="14"/>
      <c r="N35106" s="14"/>
      <c r="O35106" s="14"/>
      <c r="P35106" s="13"/>
    </row>
    <row r="35107">
      <c r="L35107" s="13"/>
      <c r="M35107" s="14"/>
      <c r="N35107" s="14"/>
      <c r="O35107" s="14"/>
      <c r="P35107" s="13"/>
    </row>
    <row r="35108">
      <c r="L35108" s="13"/>
      <c r="M35108" s="14"/>
      <c r="N35108" s="14"/>
      <c r="O35108" s="14"/>
      <c r="P35108" s="13"/>
    </row>
    <row r="35109">
      <c r="L35109" s="13"/>
      <c r="M35109" s="14"/>
      <c r="N35109" s="14"/>
      <c r="O35109" s="14"/>
      <c r="P35109" s="13"/>
    </row>
    <row r="35110">
      <c r="L35110" s="13"/>
      <c r="M35110" s="14"/>
      <c r="N35110" s="14"/>
      <c r="O35110" s="14"/>
      <c r="P35110" s="13"/>
    </row>
    <row r="35111">
      <c r="L35111" s="13"/>
      <c r="M35111" s="14"/>
      <c r="N35111" s="14"/>
      <c r="O35111" s="14"/>
      <c r="P35111" s="13"/>
    </row>
    <row r="35112">
      <c r="L35112" s="13"/>
      <c r="M35112" s="14"/>
      <c r="N35112" s="14"/>
      <c r="O35112" s="14"/>
      <c r="P35112" s="13"/>
    </row>
    <row r="35113">
      <c r="L35113" s="13"/>
      <c r="M35113" s="14"/>
      <c r="N35113" s="14"/>
      <c r="O35113" s="14"/>
      <c r="P35113" s="13"/>
    </row>
    <row r="35114">
      <c r="L35114" s="13"/>
      <c r="M35114" s="14"/>
      <c r="N35114" s="14"/>
      <c r="O35114" s="14"/>
      <c r="P35114" s="13"/>
    </row>
    <row r="35115">
      <c r="L35115" s="13"/>
      <c r="M35115" s="14"/>
      <c r="N35115" s="14"/>
      <c r="O35115" s="14"/>
      <c r="P35115" s="13"/>
    </row>
    <row r="35116">
      <c r="L35116" s="13"/>
      <c r="M35116" s="14"/>
      <c r="N35116" s="14"/>
      <c r="O35116" s="14"/>
      <c r="P35116" s="13"/>
    </row>
    <row r="35117">
      <c r="L35117" s="13"/>
      <c r="M35117" s="14"/>
      <c r="N35117" s="14"/>
      <c r="O35117" s="14"/>
      <c r="P35117" s="13"/>
    </row>
    <row r="35118">
      <c r="L35118" s="13"/>
      <c r="M35118" s="14"/>
      <c r="N35118" s="14"/>
      <c r="O35118" s="14"/>
      <c r="P35118" s="13"/>
    </row>
    <row r="35119">
      <c r="L35119" s="13"/>
      <c r="M35119" s="14"/>
      <c r="N35119" s="14"/>
      <c r="O35119" s="14"/>
      <c r="P35119" s="13"/>
    </row>
    <row r="35120">
      <c r="L35120" s="13"/>
      <c r="M35120" s="14"/>
      <c r="N35120" s="14"/>
      <c r="O35120" s="14"/>
      <c r="P35120" s="13"/>
    </row>
    <row r="35121">
      <c r="L35121" s="13"/>
      <c r="M35121" s="14"/>
      <c r="N35121" s="14"/>
      <c r="O35121" s="14"/>
      <c r="P35121" s="13"/>
    </row>
    <row r="35122">
      <c r="L35122" s="13"/>
      <c r="M35122" s="14"/>
      <c r="N35122" s="14"/>
      <c r="O35122" s="14"/>
      <c r="P35122" s="13"/>
    </row>
    <row r="35123">
      <c r="L35123" s="13"/>
      <c r="M35123" s="14"/>
      <c r="N35123" s="14"/>
      <c r="O35123" s="14"/>
      <c r="P35123" s="13"/>
    </row>
    <row r="35124">
      <c r="L35124" s="13"/>
      <c r="M35124" s="14"/>
      <c r="N35124" s="14"/>
      <c r="O35124" s="14"/>
      <c r="P35124" s="13"/>
    </row>
    <row r="35125">
      <c r="L35125" s="13"/>
      <c r="M35125" s="14"/>
      <c r="N35125" s="14"/>
      <c r="O35125" s="14"/>
      <c r="P35125" s="13"/>
    </row>
    <row r="35126">
      <c r="L35126" s="13"/>
      <c r="M35126" s="14"/>
      <c r="N35126" s="14"/>
      <c r="O35126" s="14"/>
      <c r="P35126" s="13"/>
    </row>
    <row r="35127">
      <c r="L35127" s="13"/>
      <c r="M35127" s="14"/>
      <c r="N35127" s="14"/>
      <c r="O35127" s="14"/>
      <c r="P35127" s="13"/>
    </row>
    <row r="35128">
      <c r="L35128" s="13"/>
      <c r="M35128" s="14"/>
      <c r="N35128" s="14"/>
      <c r="O35128" s="14"/>
      <c r="P35128" s="13"/>
    </row>
    <row r="35129">
      <c r="L35129" s="13"/>
      <c r="M35129" s="14"/>
      <c r="N35129" s="14"/>
      <c r="O35129" s="14"/>
      <c r="P35129" s="13"/>
    </row>
    <row r="35130">
      <c r="L35130" s="13"/>
      <c r="M35130" s="14"/>
      <c r="N35130" s="14"/>
      <c r="O35130" s="14"/>
      <c r="P35130" s="13"/>
    </row>
    <row r="35131">
      <c r="L35131" s="13"/>
      <c r="M35131" s="14"/>
      <c r="N35131" s="14"/>
      <c r="O35131" s="14"/>
      <c r="P35131" s="13"/>
    </row>
    <row r="35132">
      <c r="L35132" s="13"/>
      <c r="M35132" s="14"/>
      <c r="N35132" s="14"/>
      <c r="O35132" s="14"/>
      <c r="P35132" s="13"/>
    </row>
    <row r="35133">
      <c r="L35133" s="13"/>
      <c r="M35133" s="14"/>
      <c r="N35133" s="14"/>
      <c r="O35133" s="14"/>
      <c r="P35133" s="13"/>
    </row>
    <row r="35134">
      <c r="L35134" s="13"/>
      <c r="M35134" s="14"/>
      <c r="N35134" s="14"/>
      <c r="O35134" s="14"/>
      <c r="P35134" s="13"/>
    </row>
    <row r="35135">
      <c r="L35135" s="13"/>
      <c r="M35135" s="14"/>
      <c r="N35135" s="14"/>
      <c r="O35135" s="14"/>
      <c r="P35135" s="13"/>
    </row>
    <row r="35136">
      <c r="L35136" s="13"/>
      <c r="M35136" s="14"/>
      <c r="N35136" s="14"/>
      <c r="O35136" s="14"/>
      <c r="P35136" s="13"/>
    </row>
    <row r="35137">
      <c r="L35137" s="13"/>
      <c r="M35137" s="14"/>
      <c r="N35137" s="14"/>
      <c r="O35137" s="14"/>
      <c r="P35137" s="13"/>
    </row>
    <row r="35138">
      <c r="L35138" s="13"/>
      <c r="M35138" s="14"/>
      <c r="N35138" s="14"/>
      <c r="O35138" s="14"/>
      <c r="P35138" s="13"/>
    </row>
    <row r="35139">
      <c r="L35139" s="13"/>
      <c r="M35139" s="14"/>
      <c r="N35139" s="14"/>
      <c r="O35139" s="14"/>
      <c r="P35139" s="13"/>
    </row>
    <row r="35140">
      <c r="L35140" s="13"/>
      <c r="M35140" s="14"/>
      <c r="N35140" s="14"/>
      <c r="O35140" s="14"/>
      <c r="P35140" s="13"/>
    </row>
    <row r="35141">
      <c r="L35141" s="13"/>
      <c r="M35141" s="14"/>
      <c r="N35141" s="14"/>
      <c r="O35141" s="14"/>
      <c r="P35141" s="13"/>
    </row>
    <row r="35142">
      <c r="L35142" s="13"/>
      <c r="M35142" s="14"/>
      <c r="N35142" s="14"/>
      <c r="O35142" s="14"/>
      <c r="P35142" s="13"/>
    </row>
    <row r="35143">
      <c r="L35143" s="13"/>
      <c r="M35143" s="14"/>
      <c r="N35143" s="14"/>
      <c r="O35143" s="14"/>
      <c r="P35143" s="13"/>
    </row>
    <row r="35144">
      <c r="L35144" s="13"/>
      <c r="M35144" s="14"/>
      <c r="N35144" s="14"/>
      <c r="O35144" s="14"/>
      <c r="P35144" s="13"/>
    </row>
    <row r="35145">
      <c r="L35145" s="13"/>
      <c r="M35145" s="14"/>
      <c r="N35145" s="14"/>
      <c r="O35145" s="14"/>
      <c r="P35145" s="13"/>
    </row>
    <row r="35146">
      <c r="L35146" s="13"/>
      <c r="M35146" s="14"/>
      <c r="N35146" s="14"/>
      <c r="O35146" s="14"/>
      <c r="P35146" s="13"/>
    </row>
    <row r="35147">
      <c r="L35147" s="13"/>
      <c r="M35147" s="14"/>
      <c r="N35147" s="14"/>
      <c r="O35147" s="14"/>
      <c r="P35147" s="13"/>
    </row>
    <row r="35148">
      <c r="L35148" s="13"/>
      <c r="M35148" s="14"/>
      <c r="N35148" s="14"/>
      <c r="O35148" s="14"/>
      <c r="P35148" s="13"/>
    </row>
    <row r="35149">
      <c r="L35149" s="13"/>
      <c r="M35149" s="14"/>
      <c r="N35149" s="14"/>
      <c r="O35149" s="14"/>
      <c r="P35149" s="13"/>
    </row>
    <row r="35150">
      <c r="L35150" s="13"/>
      <c r="M35150" s="14"/>
      <c r="N35150" s="14"/>
      <c r="O35150" s="14"/>
      <c r="P35150" s="13"/>
    </row>
    <row r="35151">
      <c r="L35151" s="13"/>
      <c r="M35151" s="14"/>
      <c r="N35151" s="14"/>
      <c r="O35151" s="14"/>
      <c r="P35151" s="13"/>
    </row>
    <row r="35152">
      <c r="L35152" s="13"/>
      <c r="M35152" s="14"/>
      <c r="N35152" s="14"/>
      <c r="O35152" s="14"/>
      <c r="P35152" s="13"/>
    </row>
    <row r="35153">
      <c r="L35153" s="13"/>
      <c r="M35153" s="14"/>
      <c r="N35153" s="14"/>
      <c r="O35153" s="14"/>
      <c r="P35153" s="13"/>
    </row>
    <row r="35154">
      <c r="L35154" s="13"/>
      <c r="M35154" s="14"/>
      <c r="N35154" s="14"/>
      <c r="O35154" s="14"/>
      <c r="P35154" s="13"/>
    </row>
    <row r="35155">
      <c r="L35155" s="13"/>
      <c r="M35155" s="14"/>
      <c r="N35155" s="14"/>
      <c r="O35155" s="14"/>
      <c r="P35155" s="13"/>
    </row>
    <row r="35156">
      <c r="L35156" s="13"/>
      <c r="M35156" s="14"/>
      <c r="N35156" s="14"/>
      <c r="O35156" s="14"/>
      <c r="P35156" s="13"/>
    </row>
    <row r="35157">
      <c r="L35157" s="13"/>
      <c r="M35157" s="14"/>
      <c r="N35157" s="14"/>
      <c r="O35157" s="14"/>
      <c r="P35157" s="13"/>
    </row>
    <row r="35158">
      <c r="L35158" s="13"/>
      <c r="M35158" s="14"/>
      <c r="N35158" s="14"/>
      <c r="O35158" s="14"/>
      <c r="P35158" s="13"/>
    </row>
    <row r="35159">
      <c r="L35159" s="13"/>
      <c r="M35159" s="14"/>
      <c r="N35159" s="14"/>
      <c r="O35159" s="14"/>
      <c r="P35159" s="13"/>
    </row>
    <row r="35160">
      <c r="L35160" s="13"/>
      <c r="M35160" s="14"/>
      <c r="N35160" s="14"/>
      <c r="O35160" s="14"/>
      <c r="P35160" s="13"/>
    </row>
    <row r="35161">
      <c r="L35161" s="13"/>
      <c r="M35161" s="14"/>
      <c r="N35161" s="14"/>
      <c r="O35161" s="14"/>
      <c r="P35161" s="13"/>
    </row>
    <row r="35162">
      <c r="L35162" s="13"/>
      <c r="M35162" s="14"/>
      <c r="N35162" s="14"/>
      <c r="O35162" s="14"/>
      <c r="P35162" s="13"/>
    </row>
    <row r="35163">
      <c r="L35163" s="13"/>
      <c r="M35163" s="14"/>
      <c r="N35163" s="14"/>
      <c r="O35163" s="14"/>
      <c r="P35163" s="13"/>
    </row>
    <row r="35164">
      <c r="L35164" s="13"/>
      <c r="M35164" s="14"/>
      <c r="N35164" s="14"/>
      <c r="O35164" s="14"/>
      <c r="P35164" s="13"/>
    </row>
    <row r="35165">
      <c r="L35165" s="13"/>
      <c r="M35165" s="14"/>
      <c r="N35165" s="14"/>
      <c r="O35165" s="14"/>
      <c r="P35165" s="13"/>
    </row>
    <row r="35166">
      <c r="L35166" s="13"/>
      <c r="M35166" s="14"/>
      <c r="N35166" s="14"/>
      <c r="O35166" s="14"/>
      <c r="P35166" s="13"/>
    </row>
    <row r="35167">
      <c r="L35167" s="13"/>
      <c r="M35167" s="14"/>
      <c r="N35167" s="14"/>
      <c r="O35167" s="14"/>
      <c r="P35167" s="13"/>
    </row>
    <row r="35168">
      <c r="L35168" s="13"/>
      <c r="M35168" s="14"/>
      <c r="N35168" s="14"/>
      <c r="O35168" s="14"/>
      <c r="P35168" s="13"/>
    </row>
    <row r="35169">
      <c r="L35169" s="13"/>
      <c r="M35169" s="14"/>
      <c r="N35169" s="14"/>
      <c r="O35169" s="14"/>
      <c r="P35169" s="13"/>
    </row>
    <row r="35170">
      <c r="L35170" s="13"/>
      <c r="M35170" s="14"/>
      <c r="N35170" s="14"/>
      <c r="O35170" s="14"/>
      <c r="P35170" s="13"/>
    </row>
    <row r="35171">
      <c r="L35171" s="13"/>
      <c r="M35171" s="14"/>
      <c r="N35171" s="14"/>
      <c r="O35171" s="14"/>
      <c r="P35171" s="13"/>
    </row>
    <row r="35172">
      <c r="L35172" s="13"/>
      <c r="M35172" s="14"/>
      <c r="N35172" s="14"/>
      <c r="O35172" s="14"/>
      <c r="P35172" s="13"/>
    </row>
    <row r="35173">
      <c r="L35173" s="13"/>
      <c r="M35173" s="14"/>
      <c r="N35173" s="14"/>
      <c r="O35173" s="14"/>
      <c r="P35173" s="13"/>
    </row>
    <row r="35174">
      <c r="L35174" s="13"/>
      <c r="M35174" s="14"/>
      <c r="N35174" s="14"/>
      <c r="O35174" s="14"/>
      <c r="P35174" s="13"/>
    </row>
    <row r="35175">
      <c r="L35175" s="13"/>
      <c r="M35175" s="14"/>
      <c r="N35175" s="14"/>
      <c r="O35175" s="14"/>
      <c r="P35175" s="13"/>
    </row>
    <row r="35176">
      <c r="L35176" s="13"/>
      <c r="M35176" s="14"/>
      <c r="N35176" s="14"/>
      <c r="O35176" s="14"/>
      <c r="P35176" s="13"/>
    </row>
    <row r="35177">
      <c r="L35177" s="13"/>
      <c r="M35177" s="14"/>
      <c r="N35177" s="14"/>
      <c r="O35177" s="14"/>
      <c r="P35177" s="13"/>
    </row>
    <row r="35178">
      <c r="L35178" s="13"/>
      <c r="M35178" s="14"/>
      <c r="N35178" s="14"/>
      <c r="O35178" s="14"/>
      <c r="P35178" s="13"/>
    </row>
    <row r="35179">
      <c r="L35179" s="13"/>
      <c r="M35179" s="14"/>
      <c r="N35179" s="14"/>
      <c r="O35179" s="14"/>
      <c r="P35179" s="13"/>
    </row>
    <row r="35180">
      <c r="L35180" s="13"/>
      <c r="M35180" s="14"/>
      <c r="N35180" s="14"/>
      <c r="O35180" s="14"/>
      <c r="P35180" s="13"/>
    </row>
    <row r="35181">
      <c r="L35181" s="13"/>
      <c r="M35181" s="14"/>
      <c r="N35181" s="14"/>
      <c r="O35181" s="14"/>
      <c r="P35181" s="13"/>
    </row>
    <row r="35182">
      <c r="L35182" s="13"/>
      <c r="M35182" s="14"/>
      <c r="N35182" s="14"/>
      <c r="O35182" s="14"/>
      <c r="P35182" s="13"/>
    </row>
    <row r="35183">
      <c r="L35183" s="13"/>
      <c r="M35183" s="14"/>
      <c r="N35183" s="14"/>
      <c r="O35183" s="14"/>
      <c r="P35183" s="13"/>
    </row>
    <row r="35184">
      <c r="L35184" s="13"/>
      <c r="M35184" s="14"/>
      <c r="N35184" s="14"/>
      <c r="O35184" s="14"/>
      <c r="P35184" s="13"/>
    </row>
    <row r="35185">
      <c r="L35185" s="13"/>
      <c r="M35185" s="14"/>
      <c r="N35185" s="14"/>
      <c r="O35185" s="14"/>
      <c r="P35185" s="13"/>
    </row>
    <row r="35186">
      <c r="L35186" s="13"/>
      <c r="M35186" s="14"/>
      <c r="N35186" s="14"/>
      <c r="O35186" s="14"/>
      <c r="P35186" s="13"/>
    </row>
    <row r="35187">
      <c r="L35187" s="13"/>
      <c r="M35187" s="14"/>
      <c r="N35187" s="14"/>
      <c r="O35187" s="14"/>
      <c r="P35187" s="13"/>
    </row>
    <row r="35188">
      <c r="L35188" s="13"/>
      <c r="M35188" s="14"/>
      <c r="N35188" s="14"/>
      <c r="O35188" s="14"/>
      <c r="P35188" s="13"/>
    </row>
    <row r="35189">
      <c r="L35189" s="13"/>
      <c r="M35189" s="14"/>
      <c r="N35189" s="14"/>
      <c r="O35189" s="14"/>
      <c r="P35189" s="13"/>
    </row>
    <row r="35190">
      <c r="L35190" s="13"/>
      <c r="M35190" s="14"/>
      <c r="N35190" s="14"/>
      <c r="O35190" s="14"/>
      <c r="P35190" s="13"/>
    </row>
    <row r="35191">
      <c r="L35191" s="13"/>
      <c r="M35191" s="14"/>
      <c r="N35191" s="14"/>
      <c r="O35191" s="14"/>
      <c r="P35191" s="13"/>
    </row>
    <row r="35192">
      <c r="L35192" s="13"/>
      <c r="M35192" s="14"/>
      <c r="N35192" s="14"/>
      <c r="O35192" s="14"/>
      <c r="P35192" s="13"/>
    </row>
    <row r="35193">
      <c r="L35193" s="13"/>
      <c r="M35193" s="14"/>
      <c r="N35193" s="14"/>
      <c r="O35193" s="14"/>
      <c r="P35193" s="13"/>
    </row>
    <row r="35194">
      <c r="L35194" s="13"/>
      <c r="M35194" s="14"/>
      <c r="N35194" s="14"/>
      <c r="O35194" s="14"/>
      <c r="P35194" s="13"/>
    </row>
    <row r="35195">
      <c r="L35195" s="13"/>
      <c r="M35195" s="14"/>
      <c r="N35195" s="14"/>
      <c r="O35195" s="14"/>
      <c r="P35195" s="13"/>
    </row>
    <row r="35196">
      <c r="L35196" s="13"/>
      <c r="M35196" s="14"/>
      <c r="N35196" s="14"/>
      <c r="O35196" s="14"/>
      <c r="P35196" s="13"/>
    </row>
    <row r="35197">
      <c r="L35197" s="13"/>
      <c r="M35197" s="14"/>
      <c r="N35197" s="14"/>
      <c r="O35197" s="14"/>
      <c r="P35197" s="13"/>
    </row>
    <row r="35198">
      <c r="L35198" s="13"/>
      <c r="M35198" s="14"/>
      <c r="N35198" s="14"/>
      <c r="O35198" s="14"/>
      <c r="P35198" s="13"/>
    </row>
    <row r="35199">
      <c r="L35199" s="13"/>
      <c r="M35199" s="14"/>
      <c r="N35199" s="14"/>
      <c r="O35199" s="14"/>
      <c r="P35199" s="13"/>
    </row>
    <row r="35200">
      <c r="L35200" s="13"/>
      <c r="M35200" s="14"/>
      <c r="N35200" s="14"/>
      <c r="O35200" s="14"/>
      <c r="P35200" s="13"/>
    </row>
    <row r="35201">
      <c r="L35201" s="13"/>
      <c r="M35201" s="14"/>
      <c r="N35201" s="14"/>
      <c r="O35201" s="14"/>
      <c r="P35201" s="13"/>
    </row>
    <row r="35202">
      <c r="L35202" s="13"/>
      <c r="M35202" s="14"/>
      <c r="N35202" s="14"/>
      <c r="O35202" s="14"/>
      <c r="P35202" s="13"/>
    </row>
    <row r="35203">
      <c r="L35203" s="13"/>
      <c r="M35203" s="14"/>
      <c r="N35203" s="14"/>
      <c r="O35203" s="14"/>
      <c r="P35203" s="13"/>
    </row>
    <row r="35204">
      <c r="L35204" s="13"/>
      <c r="M35204" s="14"/>
      <c r="N35204" s="14"/>
      <c r="O35204" s="14"/>
      <c r="P35204" s="13"/>
    </row>
    <row r="35205">
      <c r="L35205" s="13"/>
      <c r="M35205" s="14"/>
      <c r="N35205" s="14"/>
      <c r="O35205" s="14"/>
      <c r="P35205" s="13"/>
    </row>
    <row r="35206">
      <c r="L35206" s="13"/>
      <c r="M35206" s="14"/>
      <c r="N35206" s="14"/>
      <c r="O35206" s="14"/>
      <c r="P35206" s="13"/>
    </row>
    <row r="35207">
      <c r="L35207" s="13"/>
      <c r="M35207" s="14"/>
      <c r="N35207" s="14"/>
      <c r="O35207" s="14"/>
      <c r="P35207" s="13"/>
    </row>
    <row r="35208">
      <c r="L35208" s="13"/>
      <c r="M35208" s="14"/>
      <c r="N35208" s="14"/>
      <c r="O35208" s="14"/>
      <c r="P35208" s="13"/>
    </row>
    <row r="35209">
      <c r="L35209" s="13"/>
      <c r="M35209" s="14"/>
      <c r="N35209" s="14"/>
      <c r="O35209" s="14"/>
      <c r="P35209" s="13"/>
    </row>
    <row r="35210">
      <c r="L35210" s="13"/>
      <c r="M35210" s="14"/>
      <c r="N35210" s="14"/>
      <c r="O35210" s="14"/>
      <c r="P35210" s="13"/>
    </row>
    <row r="35211">
      <c r="L35211" s="13"/>
      <c r="M35211" s="14"/>
      <c r="N35211" s="14"/>
      <c r="O35211" s="14"/>
      <c r="P35211" s="13"/>
    </row>
    <row r="35212">
      <c r="L35212" s="13"/>
      <c r="M35212" s="14"/>
      <c r="N35212" s="14"/>
      <c r="O35212" s="14"/>
      <c r="P35212" s="13"/>
    </row>
    <row r="35213">
      <c r="L35213" s="13"/>
      <c r="M35213" s="14"/>
      <c r="N35213" s="14"/>
      <c r="O35213" s="14"/>
      <c r="P35213" s="13"/>
    </row>
    <row r="35214">
      <c r="L35214" s="13"/>
      <c r="M35214" s="14"/>
      <c r="N35214" s="14"/>
      <c r="O35214" s="14"/>
      <c r="P35214" s="13"/>
    </row>
    <row r="35215">
      <c r="L35215" s="13"/>
      <c r="M35215" s="14"/>
      <c r="N35215" s="14"/>
      <c r="O35215" s="14"/>
      <c r="P35215" s="13"/>
    </row>
    <row r="35216">
      <c r="L35216" s="13"/>
      <c r="M35216" s="14"/>
      <c r="N35216" s="14"/>
      <c r="O35216" s="14"/>
      <c r="P35216" s="13"/>
    </row>
    <row r="35217">
      <c r="L35217" s="13"/>
      <c r="M35217" s="14"/>
      <c r="N35217" s="14"/>
      <c r="O35217" s="14"/>
      <c r="P35217" s="13"/>
    </row>
    <row r="35218">
      <c r="L35218" s="13"/>
      <c r="M35218" s="14"/>
      <c r="N35218" s="14"/>
      <c r="O35218" s="14"/>
      <c r="P35218" s="13"/>
    </row>
    <row r="35219">
      <c r="L35219" s="13"/>
      <c r="M35219" s="14"/>
      <c r="N35219" s="14"/>
      <c r="O35219" s="14"/>
      <c r="P35219" s="13"/>
    </row>
    <row r="35220">
      <c r="L35220" s="13"/>
      <c r="M35220" s="14"/>
      <c r="N35220" s="14"/>
      <c r="O35220" s="14"/>
      <c r="P35220" s="13"/>
    </row>
    <row r="35221">
      <c r="L35221" s="13"/>
      <c r="M35221" s="14"/>
      <c r="N35221" s="14"/>
      <c r="O35221" s="14"/>
      <c r="P35221" s="13"/>
    </row>
    <row r="35222">
      <c r="L35222" s="13"/>
      <c r="M35222" s="14"/>
      <c r="N35222" s="14"/>
      <c r="O35222" s="14"/>
      <c r="P35222" s="13"/>
    </row>
    <row r="35223">
      <c r="L35223" s="13"/>
      <c r="M35223" s="14"/>
      <c r="N35223" s="14"/>
      <c r="O35223" s="14"/>
      <c r="P35223" s="13"/>
    </row>
    <row r="35224">
      <c r="L35224" s="13"/>
      <c r="M35224" s="14"/>
      <c r="N35224" s="14"/>
      <c r="O35224" s="14"/>
      <c r="P35224" s="13"/>
    </row>
    <row r="35225">
      <c r="L35225" s="13"/>
      <c r="M35225" s="14"/>
      <c r="N35225" s="14"/>
      <c r="O35225" s="14"/>
      <c r="P35225" s="13"/>
    </row>
    <row r="35226">
      <c r="L35226" s="13"/>
      <c r="M35226" s="14"/>
      <c r="N35226" s="14"/>
      <c r="O35226" s="14"/>
      <c r="P35226" s="13"/>
    </row>
    <row r="35227">
      <c r="L35227" s="13"/>
      <c r="M35227" s="14"/>
      <c r="N35227" s="14"/>
      <c r="O35227" s="14"/>
      <c r="P35227" s="13"/>
    </row>
    <row r="35228">
      <c r="L35228" s="13"/>
      <c r="M35228" s="14"/>
      <c r="N35228" s="14"/>
      <c r="O35228" s="14"/>
      <c r="P35228" s="13"/>
    </row>
    <row r="35229">
      <c r="L35229" s="13"/>
      <c r="M35229" s="14"/>
      <c r="N35229" s="14"/>
      <c r="O35229" s="14"/>
      <c r="P35229" s="13"/>
    </row>
    <row r="35230">
      <c r="L35230" s="13"/>
      <c r="M35230" s="14"/>
      <c r="N35230" s="14"/>
      <c r="O35230" s="14"/>
      <c r="P35230" s="13"/>
    </row>
    <row r="35231">
      <c r="L35231" s="13"/>
      <c r="M35231" s="14"/>
      <c r="N35231" s="14"/>
      <c r="O35231" s="14"/>
      <c r="P35231" s="13"/>
    </row>
    <row r="35232">
      <c r="L35232" s="13"/>
      <c r="M35232" s="14"/>
      <c r="N35232" s="14"/>
      <c r="O35232" s="14"/>
      <c r="P35232" s="13"/>
    </row>
    <row r="35233">
      <c r="L35233" s="13"/>
      <c r="M35233" s="14"/>
      <c r="N35233" s="14"/>
      <c r="O35233" s="14"/>
      <c r="P35233" s="13"/>
    </row>
    <row r="35234">
      <c r="L35234" s="13"/>
      <c r="M35234" s="14"/>
      <c r="N35234" s="14"/>
      <c r="O35234" s="14"/>
      <c r="P35234" s="13"/>
    </row>
    <row r="35235">
      <c r="L35235" s="13"/>
      <c r="M35235" s="14"/>
      <c r="N35235" s="14"/>
      <c r="O35235" s="14"/>
      <c r="P35235" s="13"/>
    </row>
    <row r="35236">
      <c r="L35236" s="13"/>
      <c r="M35236" s="14"/>
      <c r="N35236" s="14"/>
      <c r="O35236" s="14"/>
      <c r="P35236" s="13"/>
    </row>
    <row r="35237">
      <c r="L35237" s="13"/>
      <c r="M35237" s="14"/>
      <c r="N35237" s="14"/>
      <c r="O35237" s="14"/>
      <c r="P35237" s="13"/>
    </row>
    <row r="35238">
      <c r="L35238" s="13"/>
      <c r="M35238" s="14"/>
      <c r="N35238" s="14"/>
      <c r="O35238" s="14"/>
      <c r="P35238" s="13"/>
    </row>
    <row r="35239">
      <c r="L35239" s="13"/>
      <c r="M35239" s="14"/>
      <c r="N35239" s="14"/>
      <c r="O35239" s="14"/>
      <c r="P35239" s="13"/>
    </row>
    <row r="35240">
      <c r="L35240" s="13"/>
      <c r="M35240" s="14"/>
      <c r="N35240" s="14"/>
      <c r="O35240" s="14"/>
      <c r="P35240" s="13"/>
    </row>
    <row r="35241">
      <c r="L35241" s="13"/>
      <c r="M35241" s="14"/>
      <c r="N35241" s="14"/>
      <c r="O35241" s="14"/>
      <c r="P35241" s="13"/>
    </row>
    <row r="35242">
      <c r="L35242" s="13"/>
      <c r="M35242" s="14"/>
      <c r="N35242" s="14"/>
      <c r="O35242" s="14"/>
      <c r="P35242" s="13"/>
    </row>
    <row r="35243">
      <c r="L35243" s="13"/>
      <c r="M35243" s="14"/>
      <c r="N35243" s="14"/>
      <c r="O35243" s="14"/>
      <c r="P35243" s="13"/>
    </row>
    <row r="35244">
      <c r="L35244" s="13"/>
      <c r="M35244" s="14"/>
      <c r="N35244" s="14"/>
      <c r="O35244" s="14"/>
      <c r="P35244" s="13"/>
    </row>
    <row r="35245">
      <c r="L35245" s="13"/>
      <c r="M35245" s="14"/>
      <c r="N35245" s="14"/>
      <c r="O35245" s="14"/>
      <c r="P35245" s="13"/>
    </row>
    <row r="35246">
      <c r="L35246" s="13"/>
      <c r="M35246" s="14"/>
      <c r="N35246" s="14"/>
      <c r="O35246" s="14"/>
      <c r="P35246" s="13"/>
    </row>
    <row r="35247">
      <c r="L35247" s="13"/>
      <c r="M35247" s="14"/>
      <c r="N35247" s="14"/>
      <c r="O35247" s="14"/>
      <c r="P35247" s="13"/>
    </row>
    <row r="35248">
      <c r="L35248" s="13"/>
      <c r="M35248" s="14"/>
      <c r="N35248" s="14"/>
      <c r="O35248" s="14"/>
      <c r="P35248" s="13"/>
    </row>
    <row r="35249">
      <c r="L35249" s="13"/>
      <c r="M35249" s="14"/>
      <c r="N35249" s="14"/>
      <c r="O35249" s="14"/>
      <c r="P35249" s="13"/>
    </row>
    <row r="35250">
      <c r="L35250" s="13"/>
      <c r="M35250" s="14"/>
      <c r="N35250" s="14"/>
      <c r="O35250" s="14"/>
      <c r="P35250" s="13"/>
    </row>
    <row r="35251">
      <c r="L35251" s="13"/>
      <c r="M35251" s="14"/>
      <c r="N35251" s="14"/>
      <c r="O35251" s="14"/>
      <c r="P35251" s="13"/>
    </row>
    <row r="35252">
      <c r="L35252" s="13"/>
      <c r="M35252" s="14"/>
      <c r="N35252" s="14"/>
      <c r="O35252" s="14"/>
      <c r="P35252" s="13"/>
    </row>
    <row r="35253">
      <c r="L35253" s="13"/>
      <c r="M35253" s="14"/>
      <c r="N35253" s="14"/>
      <c r="O35253" s="14"/>
      <c r="P35253" s="13"/>
    </row>
    <row r="35254">
      <c r="L35254" s="13"/>
      <c r="M35254" s="14"/>
      <c r="N35254" s="14"/>
      <c r="O35254" s="14"/>
      <c r="P35254" s="13"/>
    </row>
    <row r="35255">
      <c r="L35255" s="13"/>
      <c r="M35255" s="14"/>
      <c r="N35255" s="14"/>
      <c r="O35255" s="14"/>
      <c r="P35255" s="13"/>
    </row>
    <row r="35256">
      <c r="L35256" s="13"/>
      <c r="M35256" s="14"/>
      <c r="N35256" s="14"/>
      <c r="O35256" s="14"/>
      <c r="P35256" s="13"/>
    </row>
    <row r="35257">
      <c r="L35257" s="13"/>
      <c r="M35257" s="14"/>
      <c r="N35257" s="14"/>
      <c r="O35257" s="14"/>
      <c r="P35257" s="13"/>
    </row>
    <row r="35258">
      <c r="L35258" s="13"/>
      <c r="M35258" s="14"/>
      <c r="N35258" s="14"/>
      <c r="O35258" s="14"/>
      <c r="P35258" s="13"/>
    </row>
    <row r="35259">
      <c r="L35259" s="13"/>
      <c r="M35259" s="14"/>
      <c r="N35259" s="14"/>
      <c r="O35259" s="14"/>
      <c r="P35259" s="13"/>
    </row>
    <row r="35260">
      <c r="L35260" s="13"/>
      <c r="M35260" s="14"/>
      <c r="N35260" s="14"/>
      <c r="O35260" s="14"/>
      <c r="P35260" s="13"/>
    </row>
    <row r="35261">
      <c r="L35261" s="13"/>
      <c r="M35261" s="14"/>
      <c r="N35261" s="14"/>
      <c r="O35261" s="14"/>
      <c r="P35261" s="13"/>
    </row>
    <row r="35262">
      <c r="L35262" s="13"/>
      <c r="M35262" s="14"/>
      <c r="N35262" s="14"/>
      <c r="O35262" s="14"/>
      <c r="P35262" s="13"/>
    </row>
    <row r="35263">
      <c r="L35263" s="13"/>
      <c r="M35263" s="14"/>
      <c r="N35263" s="14"/>
      <c r="O35263" s="14"/>
      <c r="P35263" s="13"/>
    </row>
    <row r="35264">
      <c r="L35264" s="13"/>
      <c r="M35264" s="14"/>
      <c r="N35264" s="14"/>
      <c r="O35264" s="14"/>
      <c r="P35264" s="13"/>
    </row>
    <row r="35265">
      <c r="L35265" s="13"/>
      <c r="M35265" s="14"/>
      <c r="N35265" s="14"/>
      <c r="O35265" s="14"/>
      <c r="P35265" s="13"/>
    </row>
    <row r="35266">
      <c r="L35266" s="13"/>
      <c r="M35266" s="14"/>
      <c r="N35266" s="14"/>
      <c r="O35266" s="14"/>
      <c r="P35266" s="13"/>
    </row>
    <row r="35267">
      <c r="L35267" s="13"/>
      <c r="M35267" s="14"/>
      <c r="N35267" s="14"/>
      <c r="O35267" s="14"/>
      <c r="P35267" s="13"/>
    </row>
    <row r="35268">
      <c r="L35268" s="13"/>
      <c r="M35268" s="14"/>
      <c r="N35268" s="14"/>
      <c r="O35268" s="14"/>
      <c r="P35268" s="13"/>
    </row>
    <row r="35269">
      <c r="L35269" s="13"/>
      <c r="M35269" s="14"/>
      <c r="N35269" s="14"/>
      <c r="O35269" s="14"/>
      <c r="P35269" s="13"/>
    </row>
    <row r="35270">
      <c r="L35270" s="13"/>
      <c r="M35270" s="14"/>
      <c r="N35270" s="14"/>
      <c r="O35270" s="14"/>
      <c r="P35270" s="13"/>
    </row>
    <row r="35271">
      <c r="L35271" s="13"/>
      <c r="M35271" s="14"/>
      <c r="N35271" s="14"/>
      <c r="O35271" s="14"/>
      <c r="P35271" s="13"/>
    </row>
    <row r="35272">
      <c r="L35272" s="13"/>
      <c r="M35272" s="14"/>
      <c r="N35272" s="14"/>
      <c r="O35272" s="14"/>
      <c r="P35272" s="13"/>
    </row>
    <row r="35273">
      <c r="L35273" s="13"/>
      <c r="M35273" s="14"/>
      <c r="N35273" s="14"/>
      <c r="O35273" s="14"/>
      <c r="P35273" s="13"/>
    </row>
    <row r="35274">
      <c r="L35274" s="13"/>
      <c r="M35274" s="14"/>
      <c r="N35274" s="14"/>
      <c r="O35274" s="14"/>
      <c r="P35274" s="13"/>
    </row>
    <row r="35275">
      <c r="L35275" s="13"/>
      <c r="M35275" s="14"/>
      <c r="N35275" s="14"/>
      <c r="O35275" s="14"/>
      <c r="P35275" s="13"/>
    </row>
    <row r="35276">
      <c r="L35276" s="13"/>
      <c r="M35276" s="14"/>
      <c r="N35276" s="14"/>
      <c r="O35276" s="14"/>
      <c r="P35276" s="13"/>
    </row>
    <row r="35277">
      <c r="L35277" s="13"/>
      <c r="M35277" s="14"/>
      <c r="N35277" s="14"/>
      <c r="O35277" s="14"/>
      <c r="P35277" s="13"/>
    </row>
    <row r="35278">
      <c r="L35278" s="13"/>
      <c r="M35278" s="14"/>
      <c r="N35278" s="14"/>
      <c r="O35278" s="14"/>
      <c r="P35278" s="13"/>
    </row>
    <row r="35279">
      <c r="L35279" s="13"/>
      <c r="M35279" s="14"/>
      <c r="N35279" s="14"/>
      <c r="O35279" s="14"/>
      <c r="P35279" s="13"/>
    </row>
    <row r="35280">
      <c r="L35280" s="13"/>
      <c r="M35280" s="14"/>
      <c r="N35280" s="14"/>
      <c r="O35280" s="14"/>
      <c r="P35280" s="13"/>
    </row>
    <row r="35281">
      <c r="L35281" s="13"/>
      <c r="M35281" s="14"/>
      <c r="N35281" s="14"/>
      <c r="O35281" s="14"/>
      <c r="P35281" s="13"/>
    </row>
    <row r="35282">
      <c r="L35282" s="13"/>
      <c r="M35282" s="14"/>
      <c r="N35282" s="14"/>
      <c r="O35282" s="14"/>
      <c r="P35282" s="13"/>
    </row>
    <row r="35283">
      <c r="L35283" s="13"/>
      <c r="M35283" s="14"/>
      <c r="N35283" s="14"/>
      <c r="O35283" s="14"/>
      <c r="P35283" s="13"/>
    </row>
    <row r="35284">
      <c r="L35284" s="13"/>
      <c r="M35284" s="14"/>
      <c r="N35284" s="14"/>
      <c r="O35284" s="14"/>
      <c r="P35284" s="13"/>
    </row>
    <row r="35285">
      <c r="L35285" s="13"/>
      <c r="M35285" s="14"/>
      <c r="N35285" s="14"/>
      <c r="O35285" s="14"/>
      <c r="P35285" s="13"/>
    </row>
    <row r="35286">
      <c r="L35286" s="13"/>
      <c r="M35286" s="14"/>
      <c r="N35286" s="14"/>
      <c r="O35286" s="14"/>
      <c r="P35286" s="13"/>
    </row>
    <row r="35287">
      <c r="L35287" s="13"/>
      <c r="M35287" s="14"/>
      <c r="N35287" s="14"/>
      <c r="O35287" s="14"/>
      <c r="P35287" s="13"/>
    </row>
    <row r="35288">
      <c r="L35288" s="13"/>
      <c r="M35288" s="14"/>
      <c r="N35288" s="14"/>
      <c r="O35288" s="14"/>
      <c r="P35288" s="13"/>
    </row>
    <row r="35289">
      <c r="L35289" s="13"/>
      <c r="M35289" s="14"/>
      <c r="N35289" s="14"/>
      <c r="O35289" s="14"/>
      <c r="P35289" s="13"/>
    </row>
    <row r="35290">
      <c r="L35290" s="13"/>
      <c r="M35290" s="14"/>
      <c r="N35290" s="14"/>
      <c r="O35290" s="14"/>
      <c r="P35290" s="13"/>
    </row>
    <row r="35291">
      <c r="L35291" s="13"/>
      <c r="M35291" s="14"/>
      <c r="N35291" s="14"/>
      <c r="O35291" s="14"/>
      <c r="P35291" s="13"/>
    </row>
    <row r="35292">
      <c r="L35292" s="13"/>
      <c r="M35292" s="14"/>
      <c r="N35292" s="14"/>
      <c r="O35292" s="14"/>
      <c r="P35292" s="13"/>
    </row>
    <row r="35293">
      <c r="L35293" s="13"/>
      <c r="M35293" s="14"/>
      <c r="N35293" s="14"/>
      <c r="O35293" s="14"/>
      <c r="P35293" s="13"/>
    </row>
    <row r="35294">
      <c r="L35294" s="13"/>
      <c r="M35294" s="14"/>
      <c r="N35294" s="14"/>
      <c r="O35294" s="14"/>
      <c r="P35294" s="13"/>
    </row>
    <row r="35295">
      <c r="L35295" s="13"/>
      <c r="M35295" s="14"/>
      <c r="N35295" s="14"/>
      <c r="O35295" s="14"/>
      <c r="P35295" s="13"/>
    </row>
    <row r="35296">
      <c r="L35296" s="13"/>
      <c r="M35296" s="14"/>
      <c r="N35296" s="14"/>
      <c r="O35296" s="14"/>
      <c r="P35296" s="13"/>
    </row>
    <row r="35297">
      <c r="L35297" s="13"/>
      <c r="M35297" s="14"/>
      <c r="N35297" s="14"/>
      <c r="O35297" s="14"/>
      <c r="P35297" s="13"/>
    </row>
    <row r="35298">
      <c r="L35298" s="13"/>
      <c r="M35298" s="14"/>
      <c r="N35298" s="14"/>
      <c r="O35298" s="14"/>
      <c r="P35298" s="13"/>
    </row>
    <row r="35299">
      <c r="L35299" s="13"/>
      <c r="M35299" s="14"/>
      <c r="N35299" s="14"/>
      <c r="O35299" s="14"/>
      <c r="P35299" s="13"/>
    </row>
    <row r="35300">
      <c r="L35300" s="13"/>
      <c r="M35300" s="14"/>
      <c r="N35300" s="14"/>
      <c r="O35300" s="14"/>
      <c r="P35300" s="13"/>
    </row>
    <row r="35301">
      <c r="L35301" s="13"/>
      <c r="M35301" s="14"/>
      <c r="N35301" s="14"/>
      <c r="O35301" s="14"/>
      <c r="P35301" s="13"/>
    </row>
    <row r="35302">
      <c r="L35302" s="13"/>
      <c r="M35302" s="14"/>
      <c r="N35302" s="14"/>
      <c r="O35302" s="14"/>
      <c r="P35302" s="13"/>
    </row>
    <row r="35303">
      <c r="L35303" s="13"/>
      <c r="M35303" s="14"/>
      <c r="N35303" s="14"/>
      <c r="O35303" s="14"/>
      <c r="P35303" s="13"/>
    </row>
    <row r="35304">
      <c r="L35304" s="13"/>
      <c r="M35304" s="14"/>
      <c r="N35304" s="14"/>
      <c r="O35304" s="14"/>
      <c r="P35304" s="13"/>
    </row>
    <row r="35305">
      <c r="L35305" s="13"/>
      <c r="M35305" s="14"/>
      <c r="N35305" s="14"/>
      <c r="O35305" s="14"/>
      <c r="P35305" s="13"/>
    </row>
    <row r="35306">
      <c r="L35306" s="13"/>
      <c r="M35306" s="14"/>
      <c r="N35306" s="14"/>
      <c r="O35306" s="14"/>
      <c r="P35306" s="13"/>
    </row>
    <row r="35307">
      <c r="L35307" s="13"/>
      <c r="M35307" s="14"/>
      <c r="N35307" s="14"/>
      <c r="O35307" s="14"/>
      <c r="P35307" s="13"/>
    </row>
    <row r="35308">
      <c r="L35308" s="13"/>
      <c r="M35308" s="14"/>
      <c r="N35308" s="14"/>
      <c r="O35308" s="14"/>
      <c r="P35308" s="13"/>
    </row>
    <row r="35309">
      <c r="L35309" s="13"/>
      <c r="M35309" s="14"/>
      <c r="N35309" s="14"/>
      <c r="O35309" s="14"/>
      <c r="P35309" s="13"/>
    </row>
    <row r="35310">
      <c r="L35310" s="13"/>
      <c r="M35310" s="14"/>
      <c r="N35310" s="14"/>
      <c r="O35310" s="14"/>
      <c r="P35310" s="13"/>
    </row>
    <row r="35311">
      <c r="L35311" s="13"/>
      <c r="M35311" s="14"/>
      <c r="N35311" s="14"/>
      <c r="O35311" s="14"/>
      <c r="P35311" s="13"/>
    </row>
    <row r="35312">
      <c r="L35312" s="13"/>
      <c r="M35312" s="14"/>
      <c r="N35312" s="14"/>
      <c r="O35312" s="14"/>
      <c r="P35312" s="13"/>
    </row>
    <row r="35313">
      <c r="L35313" s="13"/>
      <c r="M35313" s="14"/>
      <c r="N35313" s="14"/>
      <c r="O35313" s="14"/>
      <c r="P35313" s="13"/>
    </row>
    <row r="35314">
      <c r="L35314" s="13"/>
      <c r="M35314" s="14"/>
      <c r="N35314" s="14"/>
      <c r="O35314" s="14"/>
      <c r="P35314" s="13"/>
    </row>
    <row r="35315">
      <c r="L35315" s="13"/>
      <c r="M35315" s="14"/>
      <c r="N35315" s="14"/>
      <c r="O35315" s="14"/>
      <c r="P35315" s="13"/>
    </row>
    <row r="35316">
      <c r="L35316" s="13"/>
      <c r="M35316" s="14"/>
      <c r="N35316" s="14"/>
      <c r="O35316" s="14"/>
      <c r="P35316" s="13"/>
    </row>
    <row r="35317">
      <c r="L35317" s="13"/>
      <c r="M35317" s="14"/>
      <c r="N35317" s="14"/>
      <c r="O35317" s="14"/>
      <c r="P35317" s="13"/>
    </row>
    <row r="35318">
      <c r="L35318" s="13"/>
      <c r="M35318" s="14"/>
      <c r="N35318" s="14"/>
      <c r="O35318" s="14"/>
      <c r="P35318" s="13"/>
    </row>
    <row r="35319">
      <c r="L35319" s="13"/>
      <c r="M35319" s="14"/>
      <c r="N35319" s="14"/>
      <c r="O35319" s="14"/>
      <c r="P35319" s="13"/>
    </row>
    <row r="35320">
      <c r="L35320" s="13"/>
      <c r="M35320" s="14"/>
      <c r="N35320" s="14"/>
      <c r="O35320" s="14"/>
      <c r="P35320" s="13"/>
    </row>
    <row r="35321">
      <c r="L35321" s="13"/>
      <c r="M35321" s="14"/>
      <c r="N35321" s="14"/>
      <c r="O35321" s="14"/>
      <c r="P35321" s="13"/>
    </row>
    <row r="35322">
      <c r="L35322" s="13"/>
      <c r="M35322" s="14"/>
      <c r="N35322" s="14"/>
      <c r="O35322" s="14"/>
      <c r="P35322" s="13"/>
    </row>
    <row r="35323">
      <c r="L35323" s="13"/>
      <c r="M35323" s="14"/>
      <c r="N35323" s="14"/>
      <c r="O35323" s="14"/>
      <c r="P35323" s="13"/>
    </row>
    <row r="35324">
      <c r="L35324" s="13"/>
      <c r="M35324" s="14"/>
      <c r="N35324" s="14"/>
      <c r="O35324" s="14"/>
      <c r="P35324" s="13"/>
    </row>
    <row r="35325">
      <c r="L35325" s="13"/>
      <c r="M35325" s="14"/>
      <c r="N35325" s="14"/>
      <c r="O35325" s="14"/>
      <c r="P35325" s="13"/>
    </row>
    <row r="35326">
      <c r="L35326" s="13"/>
      <c r="M35326" s="14"/>
      <c r="N35326" s="14"/>
      <c r="O35326" s="14"/>
      <c r="P35326" s="13"/>
    </row>
    <row r="35327">
      <c r="L35327" s="13"/>
      <c r="M35327" s="14"/>
      <c r="N35327" s="14"/>
      <c r="O35327" s="14"/>
      <c r="P35327" s="13"/>
    </row>
    <row r="35328">
      <c r="L35328" s="13"/>
      <c r="M35328" s="14"/>
      <c r="N35328" s="14"/>
      <c r="O35328" s="14"/>
      <c r="P35328" s="13"/>
    </row>
    <row r="35329">
      <c r="L35329" s="13"/>
      <c r="M35329" s="14"/>
      <c r="N35329" s="14"/>
      <c r="O35329" s="14"/>
      <c r="P35329" s="13"/>
    </row>
    <row r="35330">
      <c r="L35330" s="13"/>
      <c r="M35330" s="14"/>
      <c r="N35330" s="14"/>
      <c r="O35330" s="14"/>
      <c r="P35330" s="13"/>
    </row>
    <row r="35331">
      <c r="L35331" s="13"/>
      <c r="M35331" s="14"/>
      <c r="N35331" s="14"/>
      <c r="O35331" s="14"/>
      <c r="P35331" s="13"/>
    </row>
    <row r="35332">
      <c r="L35332" s="13"/>
      <c r="M35332" s="14"/>
      <c r="N35332" s="14"/>
      <c r="O35332" s="14"/>
      <c r="P35332" s="13"/>
    </row>
    <row r="35333">
      <c r="L35333" s="13"/>
      <c r="M35333" s="14"/>
      <c r="N35333" s="14"/>
      <c r="O35333" s="14"/>
      <c r="P35333" s="13"/>
    </row>
    <row r="35334">
      <c r="L35334" s="13"/>
      <c r="M35334" s="14"/>
      <c r="N35334" s="14"/>
      <c r="O35334" s="14"/>
      <c r="P35334" s="13"/>
    </row>
    <row r="35335">
      <c r="L35335" s="13"/>
      <c r="M35335" s="14"/>
      <c r="N35335" s="14"/>
      <c r="O35335" s="14"/>
      <c r="P35335" s="13"/>
    </row>
    <row r="35336">
      <c r="L35336" s="13"/>
      <c r="M35336" s="14"/>
      <c r="N35336" s="14"/>
      <c r="O35336" s="14"/>
      <c r="P35336" s="13"/>
    </row>
    <row r="35337">
      <c r="L35337" s="13"/>
      <c r="M35337" s="14"/>
      <c r="N35337" s="14"/>
      <c r="O35337" s="14"/>
      <c r="P35337" s="13"/>
    </row>
    <row r="35338">
      <c r="L35338" s="13"/>
      <c r="M35338" s="14"/>
      <c r="N35338" s="14"/>
      <c r="O35338" s="14"/>
      <c r="P35338" s="13"/>
    </row>
    <row r="35339">
      <c r="L35339" s="13"/>
      <c r="M35339" s="14"/>
      <c r="N35339" s="14"/>
      <c r="O35339" s="14"/>
      <c r="P35339" s="13"/>
    </row>
    <row r="35340">
      <c r="L35340" s="13"/>
      <c r="M35340" s="14"/>
      <c r="N35340" s="14"/>
      <c r="O35340" s="14"/>
      <c r="P35340" s="13"/>
    </row>
    <row r="35341">
      <c r="L35341" s="13"/>
      <c r="M35341" s="14"/>
      <c r="N35341" s="14"/>
      <c r="O35341" s="14"/>
      <c r="P35341" s="13"/>
    </row>
    <row r="35342">
      <c r="L35342" s="13"/>
      <c r="M35342" s="14"/>
      <c r="N35342" s="14"/>
      <c r="O35342" s="14"/>
      <c r="P35342" s="13"/>
    </row>
    <row r="35343">
      <c r="L35343" s="13"/>
      <c r="M35343" s="14"/>
      <c r="N35343" s="14"/>
      <c r="O35343" s="14"/>
      <c r="P35343" s="13"/>
    </row>
    <row r="35344">
      <c r="L35344" s="13"/>
      <c r="M35344" s="14"/>
      <c r="N35344" s="14"/>
      <c r="O35344" s="14"/>
      <c r="P35344" s="13"/>
    </row>
    <row r="35345">
      <c r="L35345" s="13"/>
      <c r="M35345" s="14"/>
      <c r="N35345" s="14"/>
      <c r="O35345" s="14"/>
      <c r="P35345" s="13"/>
    </row>
    <row r="35346">
      <c r="L35346" s="13"/>
      <c r="M35346" s="14"/>
      <c r="N35346" s="14"/>
      <c r="O35346" s="14"/>
      <c r="P35346" s="13"/>
    </row>
    <row r="35347">
      <c r="L35347" s="13"/>
      <c r="M35347" s="14"/>
      <c r="N35347" s="14"/>
      <c r="O35347" s="14"/>
      <c r="P35347" s="13"/>
    </row>
    <row r="35348">
      <c r="L35348" s="13"/>
      <c r="M35348" s="14"/>
      <c r="N35348" s="14"/>
      <c r="O35348" s="14"/>
      <c r="P35348" s="13"/>
    </row>
    <row r="35349">
      <c r="L35349" s="13"/>
      <c r="M35349" s="14"/>
      <c r="N35349" s="14"/>
      <c r="O35349" s="14"/>
      <c r="P35349" s="13"/>
    </row>
    <row r="35350">
      <c r="L35350" s="13"/>
      <c r="M35350" s="14"/>
      <c r="N35350" s="14"/>
      <c r="O35350" s="14"/>
      <c r="P35350" s="13"/>
    </row>
    <row r="35351">
      <c r="L35351" s="13"/>
      <c r="M35351" s="14"/>
      <c r="N35351" s="14"/>
      <c r="O35351" s="14"/>
      <c r="P35351" s="13"/>
    </row>
    <row r="35352">
      <c r="L35352" s="13"/>
      <c r="M35352" s="14"/>
      <c r="N35352" s="14"/>
      <c r="O35352" s="14"/>
      <c r="P35352" s="13"/>
    </row>
    <row r="35353">
      <c r="L35353" s="13"/>
      <c r="M35353" s="14"/>
      <c r="N35353" s="14"/>
      <c r="O35353" s="14"/>
      <c r="P35353" s="13"/>
    </row>
    <row r="35354">
      <c r="L35354" s="13"/>
      <c r="M35354" s="14"/>
      <c r="N35354" s="14"/>
      <c r="O35354" s="14"/>
      <c r="P35354" s="13"/>
    </row>
    <row r="35355">
      <c r="L35355" s="13"/>
      <c r="M35355" s="14"/>
      <c r="N35355" s="14"/>
      <c r="O35355" s="14"/>
      <c r="P35355" s="13"/>
    </row>
    <row r="35356">
      <c r="L35356" s="13"/>
      <c r="M35356" s="14"/>
      <c r="N35356" s="14"/>
      <c r="O35356" s="14"/>
      <c r="P35356" s="13"/>
    </row>
    <row r="35357">
      <c r="L35357" s="13"/>
      <c r="M35357" s="14"/>
      <c r="N35357" s="14"/>
      <c r="O35357" s="14"/>
      <c r="P35357" s="13"/>
    </row>
    <row r="35358">
      <c r="L35358" s="13"/>
      <c r="M35358" s="14"/>
      <c r="N35358" s="14"/>
      <c r="O35358" s="14"/>
      <c r="P35358" s="13"/>
    </row>
    <row r="35359">
      <c r="L35359" s="13"/>
      <c r="M35359" s="14"/>
      <c r="N35359" s="14"/>
      <c r="O35359" s="14"/>
      <c r="P35359" s="13"/>
    </row>
    <row r="35360">
      <c r="L35360" s="13"/>
      <c r="M35360" s="14"/>
      <c r="N35360" s="14"/>
      <c r="O35360" s="14"/>
      <c r="P35360" s="13"/>
    </row>
    <row r="35361">
      <c r="L35361" s="13"/>
      <c r="M35361" s="14"/>
      <c r="N35361" s="14"/>
      <c r="O35361" s="14"/>
      <c r="P35361" s="13"/>
    </row>
    <row r="35362">
      <c r="L35362" s="13"/>
      <c r="M35362" s="14"/>
      <c r="N35362" s="14"/>
      <c r="O35362" s="14"/>
      <c r="P35362" s="13"/>
    </row>
    <row r="35363">
      <c r="L35363" s="13"/>
      <c r="M35363" s="14"/>
      <c r="N35363" s="14"/>
      <c r="O35363" s="14"/>
      <c r="P35363" s="13"/>
    </row>
    <row r="35364">
      <c r="L35364" s="13"/>
      <c r="M35364" s="14"/>
      <c r="N35364" s="14"/>
      <c r="O35364" s="14"/>
      <c r="P35364" s="13"/>
    </row>
    <row r="35365">
      <c r="L35365" s="13"/>
      <c r="M35365" s="14"/>
      <c r="N35365" s="14"/>
      <c r="O35365" s="14"/>
      <c r="P35365" s="13"/>
    </row>
    <row r="35366">
      <c r="L35366" s="13"/>
      <c r="M35366" s="14"/>
      <c r="N35366" s="14"/>
      <c r="O35366" s="14"/>
      <c r="P35366" s="13"/>
    </row>
    <row r="35367">
      <c r="L35367" s="13"/>
      <c r="M35367" s="14"/>
      <c r="N35367" s="14"/>
      <c r="O35367" s="14"/>
      <c r="P35367" s="13"/>
    </row>
    <row r="35368">
      <c r="L35368" s="13"/>
      <c r="M35368" s="14"/>
      <c r="N35368" s="14"/>
      <c r="O35368" s="14"/>
      <c r="P35368" s="13"/>
    </row>
    <row r="35369">
      <c r="L35369" s="13"/>
      <c r="M35369" s="14"/>
      <c r="N35369" s="14"/>
      <c r="O35369" s="14"/>
      <c r="P35369" s="13"/>
    </row>
    <row r="35370">
      <c r="L35370" s="13"/>
      <c r="M35370" s="14"/>
      <c r="N35370" s="14"/>
      <c r="O35370" s="14"/>
      <c r="P35370" s="13"/>
    </row>
    <row r="35371">
      <c r="L35371" s="13"/>
      <c r="M35371" s="14"/>
      <c r="N35371" s="14"/>
      <c r="O35371" s="14"/>
      <c r="P35371" s="13"/>
    </row>
    <row r="35372">
      <c r="L35372" s="13"/>
      <c r="M35372" s="14"/>
      <c r="N35372" s="14"/>
      <c r="O35372" s="14"/>
      <c r="P35372" s="13"/>
    </row>
    <row r="35373">
      <c r="L35373" s="13"/>
      <c r="M35373" s="14"/>
      <c r="N35373" s="14"/>
      <c r="O35373" s="14"/>
      <c r="P35373" s="13"/>
    </row>
    <row r="35374">
      <c r="L35374" s="13"/>
      <c r="M35374" s="14"/>
      <c r="N35374" s="14"/>
      <c r="O35374" s="14"/>
      <c r="P35374" s="13"/>
    </row>
    <row r="35375">
      <c r="L35375" s="13"/>
      <c r="M35375" s="14"/>
      <c r="N35375" s="14"/>
      <c r="O35375" s="14"/>
      <c r="P35375" s="13"/>
    </row>
    <row r="35376">
      <c r="L35376" s="13"/>
      <c r="M35376" s="14"/>
      <c r="N35376" s="14"/>
      <c r="O35376" s="14"/>
      <c r="P35376" s="13"/>
    </row>
    <row r="35377">
      <c r="L35377" s="13"/>
      <c r="M35377" s="14"/>
      <c r="N35377" s="14"/>
      <c r="O35377" s="14"/>
      <c r="P35377" s="13"/>
    </row>
    <row r="35378">
      <c r="L35378" s="13"/>
      <c r="M35378" s="14"/>
      <c r="N35378" s="14"/>
      <c r="O35378" s="14"/>
      <c r="P35378" s="13"/>
    </row>
    <row r="35379">
      <c r="L35379" s="13"/>
      <c r="M35379" s="14"/>
      <c r="N35379" s="14"/>
      <c r="O35379" s="14"/>
      <c r="P35379" s="13"/>
    </row>
    <row r="35380">
      <c r="L35380" s="13"/>
      <c r="M35380" s="14"/>
      <c r="N35380" s="14"/>
      <c r="O35380" s="14"/>
      <c r="P35380" s="13"/>
    </row>
    <row r="35381">
      <c r="L35381" s="13"/>
      <c r="M35381" s="14"/>
      <c r="N35381" s="14"/>
      <c r="O35381" s="14"/>
      <c r="P35381" s="13"/>
    </row>
    <row r="35382">
      <c r="L35382" s="13"/>
      <c r="M35382" s="14"/>
      <c r="N35382" s="14"/>
      <c r="O35382" s="14"/>
      <c r="P35382" s="13"/>
    </row>
    <row r="35383">
      <c r="L35383" s="13"/>
      <c r="M35383" s="14"/>
      <c r="N35383" s="14"/>
      <c r="O35383" s="14"/>
      <c r="P35383" s="13"/>
    </row>
    <row r="35384">
      <c r="L35384" s="13"/>
      <c r="M35384" s="14"/>
      <c r="N35384" s="14"/>
      <c r="O35384" s="14"/>
      <c r="P35384" s="13"/>
    </row>
    <row r="35385">
      <c r="L35385" s="13"/>
      <c r="M35385" s="14"/>
      <c r="N35385" s="14"/>
      <c r="O35385" s="14"/>
      <c r="P35385" s="13"/>
    </row>
    <row r="35386">
      <c r="L35386" s="13"/>
      <c r="M35386" s="14"/>
      <c r="N35386" s="14"/>
      <c r="O35386" s="14"/>
      <c r="P35386" s="13"/>
    </row>
    <row r="35387">
      <c r="L35387" s="13"/>
      <c r="M35387" s="14"/>
      <c r="N35387" s="14"/>
      <c r="O35387" s="14"/>
      <c r="P35387" s="13"/>
    </row>
    <row r="35388">
      <c r="L35388" s="13"/>
      <c r="M35388" s="14"/>
      <c r="N35388" s="14"/>
      <c r="O35388" s="14"/>
      <c r="P35388" s="13"/>
    </row>
    <row r="35389">
      <c r="L35389" s="13"/>
      <c r="M35389" s="14"/>
      <c r="N35389" s="14"/>
      <c r="O35389" s="14"/>
      <c r="P35389" s="13"/>
    </row>
    <row r="35390">
      <c r="L35390" s="13"/>
      <c r="M35390" s="14"/>
      <c r="N35390" s="14"/>
      <c r="O35390" s="14"/>
      <c r="P35390" s="13"/>
    </row>
    <row r="35391">
      <c r="L35391" s="13"/>
      <c r="M35391" s="14"/>
      <c r="N35391" s="14"/>
      <c r="O35391" s="14"/>
      <c r="P35391" s="13"/>
    </row>
    <row r="35392">
      <c r="L35392" s="13"/>
      <c r="M35392" s="14"/>
      <c r="N35392" s="14"/>
      <c r="O35392" s="14"/>
      <c r="P35392" s="13"/>
    </row>
    <row r="35393">
      <c r="L35393" s="13"/>
      <c r="M35393" s="14"/>
      <c r="N35393" s="14"/>
      <c r="O35393" s="14"/>
      <c r="P35393" s="13"/>
    </row>
    <row r="35394">
      <c r="L35394" s="13"/>
      <c r="M35394" s="14"/>
      <c r="N35394" s="14"/>
      <c r="O35394" s="14"/>
      <c r="P35394" s="13"/>
    </row>
    <row r="35395">
      <c r="L35395" s="13"/>
      <c r="M35395" s="14"/>
      <c r="N35395" s="14"/>
      <c r="O35395" s="14"/>
      <c r="P35395" s="13"/>
    </row>
    <row r="35396">
      <c r="L35396" s="13"/>
      <c r="M35396" s="14"/>
      <c r="N35396" s="14"/>
      <c r="O35396" s="14"/>
      <c r="P35396" s="13"/>
    </row>
    <row r="35397">
      <c r="L35397" s="13"/>
      <c r="M35397" s="14"/>
      <c r="N35397" s="14"/>
      <c r="O35397" s="14"/>
      <c r="P35397" s="13"/>
    </row>
    <row r="35398">
      <c r="L35398" s="13"/>
      <c r="M35398" s="14"/>
      <c r="N35398" s="14"/>
      <c r="O35398" s="14"/>
      <c r="P35398" s="13"/>
    </row>
    <row r="35399">
      <c r="L35399" s="13"/>
      <c r="M35399" s="14"/>
      <c r="N35399" s="14"/>
      <c r="O35399" s="14"/>
      <c r="P35399" s="13"/>
    </row>
    <row r="35400">
      <c r="L35400" s="13"/>
      <c r="M35400" s="14"/>
      <c r="N35400" s="14"/>
      <c r="O35400" s="14"/>
      <c r="P35400" s="13"/>
    </row>
    <row r="35401">
      <c r="L35401" s="13"/>
      <c r="M35401" s="14"/>
      <c r="N35401" s="14"/>
      <c r="O35401" s="14"/>
      <c r="P35401" s="13"/>
    </row>
    <row r="35402">
      <c r="L35402" s="13"/>
      <c r="M35402" s="14"/>
      <c r="N35402" s="14"/>
      <c r="O35402" s="14"/>
      <c r="P35402" s="13"/>
    </row>
    <row r="35403">
      <c r="L35403" s="13"/>
      <c r="M35403" s="14"/>
      <c r="N35403" s="14"/>
      <c r="O35403" s="14"/>
      <c r="P35403" s="13"/>
    </row>
    <row r="35404">
      <c r="L35404" s="13"/>
      <c r="M35404" s="14"/>
      <c r="N35404" s="14"/>
      <c r="O35404" s="14"/>
      <c r="P35404" s="13"/>
    </row>
    <row r="35405">
      <c r="L35405" s="13"/>
      <c r="M35405" s="14"/>
      <c r="N35405" s="14"/>
      <c r="O35405" s="14"/>
      <c r="P35405" s="13"/>
    </row>
    <row r="35406">
      <c r="L35406" s="13"/>
      <c r="M35406" s="14"/>
      <c r="N35406" s="14"/>
      <c r="O35406" s="14"/>
      <c r="P35406" s="13"/>
    </row>
    <row r="35407">
      <c r="L35407" s="13"/>
      <c r="M35407" s="14"/>
      <c r="N35407" s="14"/>
      <c r="O35407" s="14"/>
      <c r="P35407" s="13"/>
    </row>
    <row r="35408">
      <c r="L35408" s="13"/>
      <c r="M35408" s="14"/>
      <c r="N35408" s="14"/>
      <c r="O35408" s="14"/>
      <c r="P35408" s="13"/>
    </row>
    <row r="35409">
      <c r="L35409" s="13"/>
      <c r="M35409" s="14"/>
      <c r="N35409" s="14"/>
      <c r="O35409" s="14"/>
      <c r="P35409" s="13"/>
    </row>
    <row r="35410">
      <c r="L35410" s="13"/>
      <c r="M35410" s="14"/>
      <c r="N35410" s="14"/>
      <c r="O35410" s="14"/>
      <c r="P35410" s="13"/>
    </row>
    <row r="35411">
      <c r="L35411" s="13"/>
      <c r="M35411" s="14"/>
      <c r="N35411" s="14"/>
      <c r="O35411" s="14"/>
      <c r="P35411" s="13"/>
    </row>
    <row r="35412">
      <c r="L35412" s="13"/>
      <c r="M35412" s="14"/>
      <c r="N35412" s="14"/>
      <c r="O35412" s="14"/>
      <c r="P35412" s="13"/>
    </row>
    <row r="35413">
      <c r="L35413" s="13"/>
      <c r="M35413" s="14"/>
      <c r="N35413" s="14"/>
      <c r="O35413" s="14"/>
      <c r="P35413" s="13"/>
    </row>
    <row r="35414">
      <c r="L35414" s="13"/>
      <c r="M35414" s="14"/>
      <c r="N35414" s="14"/>
      <c r="O35414" s="14"/>
      <c r="P35414" s="13"/>
    </row>
    <row r="35415">
      <c r="L35415" s="13"/>
      <c r="M35415" s="14"/>
      <c r="N35415" s="14"/>
      <c r="O35415" s="14"/>
      <c r="P35415" s="13"/>
    </row>
    <row r="35416">
      <c r="L35416" s="13"/>
      <c r="M35416" s="14"/>
      <c r="N35416" s="14"/>
      <c r="O35416" s="14"/>
      <c r="P35416" s="13"/>
    </row>
    <row r="35417">
      <c r="L35417" s="13"/>
      <c r="M35417" s="14"/>
      <c r="N35417" s="14"/>
      <c r="O35417" s="14"/>
      <c r="P35417" s="13"/>
    </row>
    <row r="35418">
      <c r="L35418" s="13"/>
      <c r="M35418" s="14"/>
      <c r="N35418" s="14"/>
      <c r="O35418" s="14"/>
      <c r="P35418" s="13"/>
    </row>
    <row r="35419">
      <c r="L35419" s="13"/>
      <c r="M35419" s="14"/>
      <c r="N35419" s="14"/>
      <c r="O35419" s="14"/>
      <c r="P35419" s="13"/>
    </row>
    <row r="35420">
      <c r="L35420" s="13"/>
      <c r="M35420" s="14"/>
      <c r="N35420" s="14"/>
      <c r="O35420" s="14"/>
      <c r="P35420" s="13"/>
    </row>
    <row r="35421">
      <c r="L35421" s="13"/>
      <c r="M35421" s="14"/>
      <c r="N35421" s="14"/>
      <c r="O35421" s="14"/>
      <c r="P35421" s="13"/>
    </row>
    <row r="35422">
      <c r="L35422" s="13"/>
      <c r="M35422" s="14"/>
      <c r="N35422" s="14"/>
      <c r="O35422" s="14"/>
      <c r="P35422" s="13"/>
    </row>
    <row r="35423">
      <c r="L35423" s="13"/>
      <c r="M35423" s="14"/>
      <c r="N35423" s="14"/>
      <c r="O35423" s="14"/>
      <c r="P35423" s="13"/>
    </row>
    <row r="35424">
      <c r="L35424" s="13"/>
      <c r="M35424" s="14"/>
      <c r="N35424" s="14"/>
      <c r="O35424" s="14"/>
      <c r="P35424" s="13"/>
    </row>
    <row r="35425">
      <c r="L35425" s="13"/>
      <c r="M35425" s="14"/>
      <c r="N35425" s="14"/>
      <c r="O35425" s="14"/>
      <c r="P35425" s="13"/>
    </row>
    <row r="35426">
      <c r="L35426" s="13"/>
      <c r="M35426" s="14"/>
      <c r="N35426" s="14"/>
      <c r="O35426" s="14"/>
      <c r="P35426" s="13"/>
    </row>
    <row r="35427">
      <c r="L35427" s="13"/>
      <c r="M35427" s="14"/>
      <c r="N35427" s="14"/>
      <c r="O35427" s="14"/>
      <c r="P35427" s="13"/>
    </row>
    <row r="35428">
      <c r="L35428" s="13"/>
      <c r="M35428" s="14"/>
      <c r="N35428" s="14"/>
      <c r="O35428" s="14"/>
      <c r="P35428" s="13"/>
    </row>
    <row r="35429">
      <c r="L35429" s="13"/>
      <c r="M35429" s="14"/>
      <c r="N35429" s="14"/>
      <c r="O35429" s="14"/>
      <c r="P35429" s="13"/>
    </row>
    <row r="35430">
      <c r="L35430" s="13"/>
      <c r="M35430" s="14"/>
      <c r="N35430" s="14"/>
      <c r="O35430" s="14"/>
      <c r="P35430" s="13"/>
    </row>
    <row r="35431">
      <c r="L35431" s="13"/>
      <c r="M35431" s="14"/>
      <c r="N35431" s="14"/>
      <c r="O35431" s="14"/>
      <c r="P35431" s="13"/>
    </row>
    <row r="35432">
      <c r="L35432" s="13"/>
      <c r="M35432" s="14"/>
      <c r="N35432" s="14"/>
      <c r="O35432" s="14"/>
      <c r="P35432" s="13"/>
    </row>
    <row r="35433">
      <c r="L35433" s="13"/>
      <c r="M35433" s="14"/>
      <c r="N35433" s="14"/>
      <c r="O35433" s="14"/>
      <c r="P35433" s="13"/>
    </row>
    <row r="35434">
      <c r="L35434" s="13"/>
      <c r="M35434" s="14"/>
      <c r="N35434" s="14"/>
      <c r="O35434" s="14"/>
      <c r="P35434" s="13"/>
    </row>
    <row r="35435">
      <c r="L35435" s="13"/>
      <c r="M35435" s="14"/>
      <c r="N35435" s="14"/>
      <c r="O35435" s="14"/>
      <c r="P35435" s="13"/>
    </row>
    <row r="35436">
      <c r="L35436" s="13"/>
      <c r="M35436" s="14"/>
      <c r="N35436" s="14"/>
      <c r="O35436" s="14"/>
      <c r="P35436" s="13"/>
    </row>
    <row r="35437">
      <c r="L35437" s="13"/>
      <c r="M35437" s="14"/>
      <c r="N35437" s="14"/>
      <c r="O35437" s="14"/>
      <c r="P35437" s="13"/>
    </row>
    <row r="35438">
      <c r="L35438" s="13"/>
      <c r="M35438" s="14"/>
      <c r="N35438" s="14"/>
      <c r="O35438" s="14"/>
      <c r="P35438" s="13"/>
    </row>
    <row r="35439">
      <c r="L35439" s="13"/>
      <c r="M35439" s="14"/>
      <c r="N35439" s="14"/>
      <c r="O35439" s="14"/>
      <c r="P35439" s="13"/>
    </row>
    <row r="35440">
      <c r="L35440" s="13"/>
      <c r="M35440" s="14"/>
      <c r="N35440" s="14"/>
      <c r="O35440" s="14"/>
      <c r="P35440" s="13"/>
    </row>
    <row r="35441">
      <c r="L35441" s="13"/>
      <c r="M35441" s="14"/>
      <c r="N35441" s="14"/>
      <c r="O35441" s="14"/>
      <c r="P35441" s="13"/>
    </row>
    <row r="35442">
      <c r="L35442" s="13"/>
      <c r="M35442" s="14"/>
      <c r="N35442" s="14"/>
      <c r="O35442" s="14"/>
      <c r="P35442" s="13"/>
    </row>
    <row r="35443">
      <c r="L35443" s="13"/>
      <c r="M35443" s="14"/>
      <c r="N35443" s="14"/>
      <c r="O35443" s="14"/>
      <c r="P35443" s="13"/>
    </row>
    <row r="35444">
      <c r="L35444" s="13"/>
      <c r="M35444" s="14"/>
      <c r="N35444" s="14"/>
      <c r="O35444" s="14"/>
      <c r="P35444" s="13"/>
    </row>
    <row r="35445">
      <c r="L35445" s="13"/>
      <c r="M35445" s="14"/>
      <c r="N35445" s="14"/>
      <c r="O35445" s="14"/>
      <c r="P35445" s="13"/>
    </row>
    <row r="35446">
      <c r="L35446" s="13"/>
      <c r="M35446" s="14"/>
      <c r="N35446" s="14"/>
      <c r="O35446" s="14"/>
      <c r="P35446" s="13"/>
    </row>
    <row r="35447">
      <c r="L35447" s="13"/>
      <c r="M35447" s="14"/>
      <c r="N35447" s="14"/>
      <c r="O35447" s="14"/>
      <c r="P35447" s="13"/>
    </row>
    <row r="35448">
      <c r="L35448" s="13"/>
      <c r="M35448" s="14"/>
      <c r="N35448" s="14"/>
      <c r="O35448" s="14"/>
      <c r="P35448" s="13"/>
    </row>
    <row r="35449">
      <c r="L35449" s="13"/>
      <c r="M35449" s="14"/>
      <c r="N35449" s="14"/>
      <c r="O35449" s="14"/>
      <c r="P35449" s="13"/>
    </row>
    <row r="35450">
      <c r="L35450" s="13"/>
      <c r="M35450" s="14"/>
      <c r="N35450" s="14"/>
      <c r="O35450" s="14"/>
      <c r="P35450" s="13"/>
    </row>
    <row r="35451">
      <c r="L35451" s="13"/>
      <c r="M35451" s="14"/>
      <c r="N35451" s="14"/>
      <c r="O35451" s="14"/>
      <c r="P35451" s="13"/>
    </row>
    <row r="35452">
      <c r="L35452" s="13"/>
      <c r="M35452" s="14"/>
      <c r="N35452" s="14"/>
      <c r="O35452" s="14"/>
      <c r="P35452" s="13"/>
    </row>
    <row r="35453">
      <c r="L35453" s="13"/>
      <c r="M35453" s="14"/>
      <c r="N35453" s="14"/>
      <c r="O35453" s="14"/>
      <c r="P35453" s="13"/>
    </row>
    <row r="35454">
      <c r="L35454" s="13"/>
      <c r="M35454" s="14"/>
      <c r="N35454" s="14"/>
      <c r="O35454" s="14"/>
      <c r="P35454" s="13"/>
    </row>
    <row r="35455">
      <c r="L35455" s="13"/>
      <c r="M35455" s="14"/>
      <c r="N35455" s="14"/>
      <c r="O35455" s="14"/>
      <c r="P35455" s="13"/>
    </row>
    <row r="35456">
      <c r="L35456" s="13"/>
      <c r="M35456" s="14"/>
      <c r="N35456" s="14"/>
      <c r="O35456" s="14"/>
      <c r="P35456" s="13"/>
    </row>
    <row r="35457">
      <c r="L35457" s="13"/>
      <c r="M35457" s="14"/>
      <c r="N35457" s="14"/>
      <c r="O35457" s="14"/>
      <c r="P35457" s="13"/>
    </row>
    <row r="35458">
      <c r="L35458" s="13"/>
      <c r="M35458" s="14"/>
      <c r="N35458" s="14"/>
      <c r="O35458" s="14"/>
      <c r="P35458" s="13"/>
    </row>
    <row r="35459">
      <c r="L35459" s="13"/>
      <c r="M35459" s="14"/>
      <c r="N35459" s="14"/>
      <c r="O35459" s="14"/>
      <c r="P35459" s="13"/>
    </row>
    <row r="35460">
      <c r="L35460" s="13"/>
      <c r="M35460" s="14"/>
      <c r="N35460" s="14"/>
      <c r="O35460" s="14"/>
      <c r="P35460" s="13"/>
    </row>
    <row r="35461">
      <c r="L35461" s="13"/>
      <c r="M35461" s="14"/>
      <c r="N35461" s="14"/>
      <c r="O35461" s="14"/>
      <c r="P35461" s="13"/>
    </row>
    <row r="35462">
      <c r="L35462" s="13"/>
      <c r="M35462" s="14"/>
      <c r="N35462" s="14"/>
      <c r="O35462" s="14"/>
      <c r="P35462" s="13"/>
    </row>
    <row r="35463">
      <c r="L35463" s="13"/>
      <c r="M35463" s="14"/>
      <c r="N35463" s="14"/>
      <c r="O35463" s="14"/>
      <c r="P35463" s="13"/>
    </row>
    <row r="35464">
      <c r="L35464" s="13"/>
      <c r="M35464" s="14"/>
      <c r="N35464" s="14"/>
      <c r="O35464" s="14"/>
      <c r="P35464" s="13"/>
    </row>
    <row r="35465">
      <c r="L35465" s="13"/>
      <c r="M35465" s="14"/>
      <c r="N35465" s="14"/>
      <c r="O35465" s="14"/>
      <c r="P35465" s="13"/>
    </row>
    <row r="35466">
      <c r="L35466" s="13"/>
      <c r="M35466" s="14"/>
      <c r="N35466" s="14"/>
      <c r="O35466" s="14"/>
      <c r="P35466" s="13"/>
    </row>
    <row r="35467">
      <c r="L35467" s="13"/>
      <c r="M35467" s="14"/>
      <c r="N35467" s="14"/>
      <c r="O35467" s="14"/>
      <c r="P35467" s="13"/>
    </row>
    <row r="35468">
      <c r="L35468" s="13"/>
      <c r="M35468" s="14"/>
      <c r="N35468" s="14"/>
      <c r="O35468" s="14"/>
      <c r="P35468" s="13"/>
    </row>
    <row r="35469">
      <c r="L35469" s="13"/>
      <c r="M35469" s="14"/>
      <c r="N35469" s="14"/>
      <c r="O35469" s="14"/>
      <c r="P35469" s="13"/>
    </row>
    <row r="35470">
      <c r="L35470" s="13"/>
      <c r="M35470" s="14"/>
      <c r="N35470" s="14"/>
      <c r="O35470" s="14"/>
      <c r="P35470" s="13"/>
    </row>
    <row r="35471">
      <c r="L35471" s="13"/>
      <c r="M35471" s="14"/>
      <c r="N35471" s="14"/>
      <c r="O35471" s="14"/>
      <c r="P35471" s="13"/>
    </row>
    <row r="35472">
      <c r="L35472" s="13"/>
      <c r="M35472" s="14"/>
      <c r="N35472" s="14"/>
      <c r="O35472" s="14"/>
      <c r="P35472" s="13"/>
    </row>
    <row r="35473">
      <c r="L35473" s="13"/>
      <c r="M35473" s="14"/>
      <c r="N35473" s="14"/>
      <c r="O35473" s="14"/>
      <c r="P35473" s="13"/>
    </row>
    <row r="35474">
      <c r="L35474" s="13"/>
      <c r="M35474" s="14"/>
      <c r="N35474" s="14"/>
      <c r="O35474" s="14"/>
      <c r="P35474" s="13"/>
    </row>
    <row r="35475">
      <c r="L35475" s="13"/>
      <c r="M35475" s="14"/>
      <c r="N35475" s="14"/>
      <c r="O35475" s="14"/>
      <c r="P35475" s="13"/>
    </row>
    <row r="35476">
      <c r="L35476" s="13"/>
      <c r="M35476" s="14"/>
      <c r="N35476" s="14"/>
      <c r="O35476" s="14"/>
      <c r="P35476" s="13"/>
    </row>
    <row r="35477">
      <c r="L35477" s="13"/>
      <c r="M35477" s="14"/>
      <c r="N35477" s="14"/>
      <c r="O35477" s="14"/>
      <c r="P35477" s="13"/>
    </row>
    <row r="35478">
      <c r="L35478" s="13"/>
      <c r="M35478" s="14"/>
      <c r="N35478" s="14"/>
      <c r="O35478" s="14"/>
      <c r="P35478" s="13"/>
    </row>
    <row r="35479">
      <c r="L35479" s="13"/>
      <c r="M35479" s="14"/>
      <c r="N35479" s="14"/>
      <c r="O35479" s="14"/>
      <c r="P35479" s="13"/>
    </row>
    <row r="35480">
      <c r="L35480" s="13"/>
      <c r="M35480" s="14"/>
      <c r="N35480" s="14"/>
      <c r="O35480" s="14"/>
      <c r="P35480" s="13"/>
    </row>
    <row r="35481">
      <c r="L35481" s="13"/>
      <c r="M35481" s="14"/>
      <c r="N35481" s="14"/>
      <c r="O35481" s="14"/>
      <c r="P35481" s="13"/>
    </row>
    <row r="35482">
      <c r="L35482" s="13"/>
      <c r="M35482" s="14"/>
      <c r="N35482" s="14"/>
      <c r="O35482" s="14"/>
      <c r="P35482" s="13"/>
    </row>
    <row r="35483">
      <c r="L35483" s="13"/>
      <c r="M35483" s="14"/>
      <c r="N35483" s="14"/>
      <c r="O35483" s="14"/>
      <c r="P35483" s="13"/>
    </row>
    <row r="35484">
      <c r="L35484" s="13"/>
      <c r="M35484" s="14"/>
      <c r="N35484" s="14"/>
      <c r="O35484" s="14"/>
      <c r="P35484" s="13"/>
    </row>
    <row r="35485">
      <c r="L35485" s="13"/>
      <c r="M35485" s="14"/>
      <c r="N35485" s="14"/>
      <c r="O35485" s="14"/>
      <c r="P35485" s="13"/>
    </row>
    <row r="35486">
      <c r="L35486" s="13"/>
      <c r="M35486" s="14"/>
      <c r="N35486" s="14"/>
      <c r="O35486" s="14"/>
      <c r="P35486" s="13"/>
    </row>
    <row r="35487">
      <c r="L35487" s="13"/>
      <c r="M35487" s="14"/>
      <c r="N35487" s="14"/>
      <c r="O35487" s="14"/>
      <c r="P35487" s="13"/>
    </row>
    <row r="35488">
      <c r="L35488" s="13"/>
      <c r="M35488" s="14"/>
      <c r="N35488" s="14"/>
      <c r="O35488" s="14"/>
      <c r="P35488" s="13"/>
    </row>
    <row r="35489">
      <c r="L35489" s="13"/>
      <c r="M35489" s="14"/>
      <c r="N35489" s="14"/>
      <c r="O35489" s="14"/>
      <c r="P35489" s="13"/>
    </row>
    <row r="35490">
      <c r="L35490" s="13"/>
      <c r="M35490" s="14"/>
      <c r="N35490" s="14"/>
      <c r="O35490" s="14"/>
      <c r="P35490" s="13"/>
    </row>
    <row r="35491">
      <c r="L35491" s="13"/>
      <c r="M35491" s="14"/>
      <c r="N35491" s="14"/>
      <c r="O35491" s="14"/>
      <c r="P35491" s="13"/>
    </row>
    <row r="35492">
      <c r="L35492" s="13"/>
      <c r="M35492" s="14"/>
      <c r="N35492" s="14"/>
      <c r="O35492" s="14"/>
      <c r="P35492" s="13"/>
    </row>
    <row r="35493">
      <c r="L35493" s="13"/>
      <c r="M35493" s="14"/>
      <c r="N35493" s="14"/>
      <c r="O35493" s="14"/>
      <c r="P35493" s="13"/>
    </row>
    <row r="35494">
      <c r="L35494" s="13"/>
      <c r="M35494" s="14"/>
      <c r="N35494" s="14"/>
      <c r="O35494" s="14"/>
      <c r="P35494" s="13"/>
    </row>
    <row r="35495">
      <c r="L35495" s="13"/>
      <c r="M35495" s="14"/>
      <c r="N35495" s="14"/>
      <c r="O35495" s="14"/>
      <c r="P35495" s="13"/>
    </row>
    <row r="35496">
      <c r="L35496" s="13"/>
      <c r="M35496" s="14"/>
      <c r="N35496" s="14"/>
      <c r="O35496" s="14"/>
      <c r="P35496" s="13"/>
    </row>
    <row r="35497">
      <c r="L35497" s="13"/>
      <c r="M35497" s="14"/>
      <c r="N35497" s="14"/>
      <c r="O35497" s="14"/>
      <c r="P35497" s="13"/>
    </row>
    <row r="35498">
      <c r="L35498" s="13"/>
      <c r="M35498" s="14"/>
      <c r="N35498" s="14"/>
      <c r="O35498" s="14"/>
      <c r="P35498" s="13"/>
    </row>
    <row r="35499">
      <c r="L35499" s="13"/>
      <c r="M35499" s="14"/>
      <c r="N35499" s="14"/>
      <c r="O35499" s="14"/>
      <c r="P35499" s="13"/>
    </row>
    <row r="35500">
      <c r="L35500" s="13"/>
      <c r="M35500" s="14"/>
      <c r="N35500" s="14"/>
      <c r="O35500" s="14"/>
      <c r="P35500" s="13"/>
    </row>
    <row r="35501">
      <c r="L35501" s="13"/>
      <c r="M35501" s="14"/>
      <c r="N35501" s="14"/>
      <c r="O35501" s="14"/>
      <c r="P35501" s="13"/>
    </row>
    <row r="35502">
      <c r="L35502" s="13"/>
      <c r="M35502" s="14"/>
      <c r="N35502" s="14"/>
      <c r="O35502" s="14"/>
      <c r="P35502" s="13"/>
    </row>
    <row r="35503">
      <c r="L35503" s="13"/>
      <c r="M35503" s="14"/>
      <c r="N35503" s="14"/>
      <c r="O35503" s="14"/>
      <c r="P35503" s="13"/>
    </row>
    <row r="35504">
      <c r="L35504" s="13"/>
      <c r="M35504" s="14"/>
      <c r="N35504" s="14"/>
      <c r="O35504" s="14"/>
      <c r="P35504" s="13"/>
    </row>
    <row r="35505">
      <c r="L35505" s="13"/>
      <c r="M35505" s="14"/>
      <c r="N35505" s="14"/>
      <c r="O35505" s="14"/>
      <c r="P35505" s="13"/>
    </row>
    <row r="35506">
      <c r="L35506" s="13"/>
      <c r="M35506" s="14"/>
      <c r="N35506" s="14"/>
      <c r="O35506" s="14"/>
      <c r="P35506" s="13"/>
    </row>
    <row r="35507">
      <c r="L35507" s="13"/>
      <c r="M35507" s="14"/>
      <c r="N35507" s="14"/>
      <c r="O35507" s="14"/>
      <c r="P35507" s="13"/>
    </row>
    <row r="35508">
      <c r="L35508" s="13"/>
      <c r="M35508" s="14"/>
      <c r="N35508" s="14"/>
      <c r="O35508" s="14"/>
      <c r="P35508" s="13"/>
    </row>
    <row r="35509">
      <c r="L35509" s="13"/>
      <c r="M35509" s="14"/>
      <c r="N35509" s="14"/>
      <c r="O35509" s="14"/>
      <c r="P35509" s="13"/>
    </row>
    <row r="35510">
      <c r="L35510" s="13"/>
      <c r="M35510" s="14"/>
      <c r="N35510" s="14"/>
      <c r="O35510" s="14"/>
      <c r="P35510" s="13"/>
    </row>
    <row r="35511">
      <c r="L35511" s="13"/>
      <c r="M35511" s="14"/>
      <c r="N35511" s="14"/>
      <c r="O35511" s="14"/>
      <c r="P35511" s="13"/>
    </row>
    <row r="35512">
      <c r="L35512" s="13"/>
      <c r="M35512" s="14"/>
      <c r="N35512" s="14"/>
      <c r="O35512" s="14"/>
      <c r="P35512" s="13"/>
    </row>
    <row r="35513">
      <c r="L35513" s="13"/>
      <c r="M35513" s="14"/>
      <c r="N35513" s="14"/>
      <c r="O35513" s="14"/>
      <c r="P35513" s="13"/>
    </row>
    <row r="35514">
      <c r="L35514" s="13"/>
      <c r="M35514" s="14"/>
      <c r="N35514" s="14"/>
      <c r="O35514" s="14"/>
      <c r="P35514" s="13"/>
    </row>
    <row r="35515">
      <c r="L35515" s="13"/>
      <c r="M35515" s="14"/>
      <c r="N35515" s="14"/>
      <c r="O35515" s="14"/>
      <c r="P35515" s="13"/>
    </row>
    <row r="35516">
      <c r="L35516" s="13"/>
      <c r="M35516" s="14"/>
      <c r="N35516" s="14"/>
      <c r="O35516" s="14"/>
      <c r="P35516" s="13"/>
    </row>
    <row r="35517">
      <c r="L35517" s="13"/>
      <c r="M35517" s="14"/>
      <c r="N35517" s="14"/>
      <c r="O35517" s="14"/>
      <c r="P35517" s="13"/>
    </row>
    <row r="35518">
      <c r="L35518" s="13"/>
      <c r="M35518" s="14"/>
      <c r="N35518" s="14"/>
      <c r="O35518" s="14"/>
      <c r="P35518" s="13"/>
    </row>
    <row r="35519">
      <c r="L35519" s="13"/>
      <c r="M35519" s="14"/>
      <c r="N35519" s="14"/>
      <c r="O35519" s="14"/>
      <c r="P35519" s="13"/>
    </row>
    <row r="35520">
      <c r="L35520" s="13"/>
      <c r="M35520" s="14"/>
      <c r="N35520" s="14"/>
      <c r="O35520" s="14"/>
      <c r="P35520" s="13"/>
    </row>
    <row r="35521">
      <c r="L35521" s="13"/>
      <c r="M35521" s="14"/>
      <c r="N35521" s="14"/>
      <c r="O35521" s="14"/>
      <c r="P35521" s="13"/>
    </row>
    <row r="35522">
      <c r="L35522" s="13"/>
      <c r="M35522" s="14"/>
      <c r="N35522" s="14"/>
      <c r="O35522" s="14"/>
      <c r="P35522" s="13"/>
    </row>
    <row r="35523">
      <c r="L35523" s="13"/>
      <c r="M35523" s="14"/>
      <c r="N35523" s="14"/>
      <c r="O35523" s="14"/>
      <c r="P35523" s="13"/>
    </row>
    <row r="35524">
      <c r="L35524" s="13"/>
      <c r="M35524" s="14"/>
      <c r="N35524" s="14"/>
      <c r="O35524" s="14"/>
      <c r="P35524" s="13"/>
    </row>
    <row r="35525">
      <c r="L35525" s="13"/>
      <c r="M35525" s="14"/>
      <c r="N35525" s="14"/>
      <c r="O35525" s="14"/>
      <c r="P35525" s="13"/>
    </row>
    <row r="35526">
      <c r="L35526" s="13"/>
      <c r="M35526" s="14"/>
      <c r="N35526" s="14"/>
      <c r="O35526" s="14"/>
      <c r="P35526" s="13"/>
    </row>
    <row r="35527">
      <c r="L35527" s="13"/>
      <c r="M35527" s="14"/>
      <c r="N35527" s="14"/>
      <c r="O35527" s="14"/>
      <c r="P35527" s="13"/>
    </row>
    <row r="35528">
      <c r="L35528" s="13"/>
      <c r="M35528" s="14"/>
      <c r="N35528" s="14"/>
      <c r="O35528" s="14"/>
      <c r="P35528" s="13"/>
    </row>
    <row r="35529">
      <c r="L35529" s="13"/>
      <c r="M35529" s="14"/>
      <c r="N35529" s="14"/>
      <c r="O35529" s="14"/>
      <c r="P35529" s="13"/>
    </row>
    <row r="35530">
      <c r="L35530" s="13"/>
      <c r="M35530" s="14"/>
      <c r="N35530" s="14"/>
      <c r="O35530" s="14"/>
      <c r="P35530" s="13"/>
    </row>
    <row r="35531">
      <c r="L35531" s="13"/>
      <c r="M35531" s="14"/>
      <c r="N35531" s="14"/>
      <c r="O35531" s="14"/>
      <c r="P35531" s="13"/>
    </row>
    <row r="35532">
      <c r="L35532" s="13"/>
      <c r="M35532" s="14"/>
      <c r="N35532" s="14"/>
      <c r="O35532" s="14"/>
      <c r="P35532" s="13"/>
    </row>
    <row r="35533">
      <c r="L35533" s="13"/>
      <c r="M35533" s="14"/>
      <c r="N35533" s="14"/>
      <c r="O35533" s="14"/>
      <c r="P35533" s="13"/>
    </row>
    <row r="35534">
      <c r="L35534" s="13"/>
      <c r="M35534" s="14"/>
      <c r="N35534" s="14"/>
      <c r="O35534" s="14"/>
      <c r="P35534" s="13"/>
    </row>
    <row r="35535">
      <c r="L35535" s="13"/>
      <c r="M35535" s="14"/>
      <c r="N35535" s="14"/>
      <c r="O35535" s="14"/>
      <c r="P35535" s="13"/>
    </row>
    <row r="35536">
      <c r="L35536" s="13"/>
      <c r="M35536" s="14"/>
      <c r="N35536" s="14"/>
      <c r="O35536" s="14"/>
      <c r="P35536" s="13"/>
    </row>
    <row r="35537">
      <c r="L35537" s="13"/>
      <c r="M35537" s="14"/>
      <c r="N35537" s="14"/>
      <c r="O35537" s="14"/>
      <c r="P35537" s="13"/>
    </row>
    <row r="35538">
      <c r="L35538" s="13"/>
      <c r="M35538" s="14"/>
      <c r="N35538" s="14"/>
      <c r="O35538" s="14"/>
      <c r="P35538" s="13"/>
    </row>
    <row r="35539">
      <c r="L35539" s="13"/>
      <c r="M35539" s="14"/>
      <c r="N35539" s="14"/>
      <c r="O35539" s="14"/>
      <c r="P35539" s="13"/>
    </row>
    <row r="35540">
      <c r="L35540" s="13"/>
      <c r="M35540" s="14"/>
      <c r="N35540" s="14"/>
      <c r="O35540" s="14"/>
      <c r="P35540" s="13"/>
    </row>
    <row r="35541">
      <c r="L35541" s="13"/>
      <c r="M35541" s="14"/>
      <c r="N35541" s="14"/>
      <c r="O35541" s="14"/>
      <c r="P35541" s="13"/>
    </row>
    <row r="35542">
      <c r="L35542" s="13"/>
      <c r="M35542" s="14"/>
      <c r="N35542" s="14"/>
      <c r="O35542" s="14"/>
      <c r="P35542" s="13"/>
    </row>
    <row r="35543">
      <c r="L35543" s="13"/>
      <c r="M35543" s="14"/>
      <c r="N35543" s="14"/>
      <c r="O35543" s="14"/>
      <c r="P35543" s="13"/>
    </row>
    <row r="35544">
      <c r="L35544" s="13"/>
      <c r="M35544" s="14"/>
      <c r="N35544" s="14"/>
      <c r="O35544" s="14"/>
      <c r="P35544" s="13"/>
    </row>
    <row r="35545">
      <c r="L35545" s="13"/>
      <c r="M35545" s="14"/>
      <c r="N35545" s="14"/>
      <c r="O35545" s="14"/>
      <c r="P35545" s="13"/>
    </row>
    <row r="35546">
      <c r="L35546" s="13"/>
      <c r="M35546" s="14"/>
      <c r="N35546" s="14"/>
      <c r="O35546" s="14"/>
      <c r="P35546" s="13"/>
    </row>
    <row r="35547">
      <c r="L35547" s="13"/>
      <c r="M35547" s="14"/>
      <c r="N35547" s="14"/>
      <c r="O35547" s="14"/>
      <c r="P35547" s="13"/>
    </row>
    <row r="35548">
      <c r="L35548" s="13"/>
      <c r="M35548" s="14"/>
      <c r="N35548" s="14"/>
      <c r="O35548" s="14"/>
      <c r="P35548" s="13"/>
    </row>
    <row r="35549">
      <c r="L35549" s="13"/>
      <c r="M35549" s="14"/>
      <c r="N35549" s="14"/>
      <c r="O35549" s="14"/>
      <c r="P35549" s="13"/>
    </row>
    <row r="35550">
      <c r="L35550" s="13"/>
      <c r="M35550" s="14"/>
      <c r="N35550" s="14"/>
      <c r="O35550" s="14"/>
      <c r="P35550" s="13"/>
    </row>
    <row r="35551">
      <c r="L35551" s="13"/>
      <c r="M35551" s="14"/>
      <c r="N35551" s="14"/>
      <c r="O35551" s="14"/>
      <c r="P35551" s="13"/>
    </row>
    <row r="35552">
      <c r="L35552" s="13"/>
      <c r="M35552" s="14"/>
      <c r="N35552" s="14"/>
      <c r="O35552" s="14"/>
      <c r="P35552" s="13"/>
    </row>
    <row r="35553">
      <c r="L35553" s="13"/>
      <c r="M35553" s="14"/>
      <c r="N35553" s="14"/>
      <c r="O35553" s="14"/>
      <c r="P35553" s="13"/>
    </row>
    <row r="35554">
      <c r="L35554" s="13"/>
      <c r="M35554" s="14"/>
      <c r="N35554" s="14"/>
      <c r="O35554" s="14"/>
      <c r="P35554" s="13"/>
    </row>
    <row r="35555">
      <c r="L35555" s="13"/>
      <c r="M35555" s="14"/>
      <c r="N35555" s="14"/>
      <c r="O35555" s="14"/>
      <c r="P35555" s="13"/>
    </row>
    <row r="35556">
      <c r="L35556" s="13"/>
      <c r="M35556" s="14"/>
      <c r="N35556" s="14"/>
      <c r="O35556" s="14"/>
      <c r="P35556" s="13"/>
    </row>
    <row r="35557">
      <c r="L35557" s="13"/>
      <c r="M35557" s="14"/>
      <c r="N35557" s="14"/>
      <c r="O35557" s="14"/>
      <c r="P35557" s="13"/>
    </row>
    <row r="35558">
      <c r="L35558" s="13"/>
      <c r="M35558" s="14"/>
      <c r="N35558" s="14"/>
      <c r="O35558" s="14"/>
      <c r="P35558" s="13"/>
    </row>
    <row r="35559">
      <c r="L35559" s="13"/>
      <c r="M35559" s="14"/>
      <c r="N35559" s="14"/>
      <c r="O35559" s="14"/>
      <c r="P35559" s="13"/>
    </row>
    <row r="35560">
      <c r="L35560" s="13"/>
      <c r="M35560" s="14"/>
      <c r="N35560" s="14"/>
      <c r="O35560" s="14"/>
      <c r="P35560" s="13"/>
    </row>
    <row r="35561">
      <c r="L35561" s="13"/>
      <c r="M35561" s="14"/>
      <c r="N35561" s="14"/>
      <c r="O35561" s="14"/>
      <c r="P35561" s="13"/>
    </row>
    <row r="35562">
      <c r="L35562" s="13"/>
      <c r="M35562" s="14"/>
      <c r="N35562" s="14"/>
      <c r="O35562" s="14"/>
      <c r="P35562" s="13"/>
    </row>
    <row r="35563">
      <c r="L35563" s="13"/>
      <c r="M35563" s="14"/>
      <c r="N35563" s="14"/>
      <c r="O35563" s="14"/>
      <c r="P35563" s="13"/>
    </row>
    <row r="35564">
      <c r="L35564" s="13"/>
      <c r="M35564" s="14"/>
      <c r="N35564" s="14"/>
      <c r="O35564" s="14"/>
      <c r="P35564" s="13"/>
    </row>
    <row r="35565">
      <c r="L35565" s="13"/>
      <c r="M35565" s="14"/>
      <c r="N35565" s="14"/>
      <c r="O35565" s="14"/>
      <c r="P35565" s="13"/>
    </row>
    <row r="35566">
      <c r="L35566" s="13"/>
      <c r="M35566" s="14"/>
      <c r="N35566" s="14"/>
      <c r="O35566" s="14"/>
      <c r="P35566" s="13"/>
    </row>
    <row r="35567">
      <c r="L35567" s="13"/>
      <c r="M35567" s="14"/>
      <c r="N35567" s="14"/>
      <c r="O35567" s="14"/>
      <c r="P35567" s="13"/>
    </row>
    <row r="35568">
      <c r="L35568" s="13"/>
      <c r="M35568" s="14"/>
      <c r="N35568" s="14"/>
      <c r="O35568" s="14"/>
      <c r="P35568" s="13"/>
    </row>
    <row r="35569">
      <c r="L35569" s="13"/>
      <c r="M35569" s="14"/>
      <c r="N35569" s="14"/>
      <c r="O35569" s="14"/>
      <c r="P35569" s="13"/>
    </row>
    <row r="35570">
      <c r="L35570" s="13"/>
      <c r="M35570" s="14"/>
      <c r="N35570" s="14"/>
      <c r="O35570" s="14"/>
      <c r="P35570" s="13"/>
    </row>
    <row r="35571">
      <c r="L35571" s="13"/>
      <c r="M35571" s="14"/>
      <c r="N35571" s="14"/>
      <c r="O35571" s="14"/>
      <c r="P35571" s="13"/>
    </row>
    <row r="35572">
      <c r="L35572" s="13"/>
      <c r="M35572" s="14"/>
      <c r="N35572" s="14"/>
      <c r="O35572" s="14"/>
      <c r="P35572" s="13"/>
    </row>
    <row r="35573">
      <c r="L35573" s="13"/>
      <c r="M35573" s="14"/>
      <c r="N35573" s="14"/>
      <c r="O35573" s="14"/>
      <c r="P35573" s="13"/>
    </row>
    <row r="35574">
      <c r="L35574" s="13"/>
      <c r="M35574" s="14"/>
      <c r="N35574" s="14"/>
      <c r="O35574" s="14"/>
      <c r="P35574" s="13"/>
    </row>
    <row r="35575">
      <c r="L35575" s="13"/>
      <c r="M35575" s="14"/>
      <c r="N35575" s="14"/>
      <c r="O35575" s="14"/>
      <c r="P35575" s="13"/>
    </row>
    <row r="35576">
      <c r="L35576" s="13"/>
      <c r="M35576" s="14"/>
      <c r="N35576" s="14"/>
      <c r="O35576" s="14"/>
      <c r="P35576" s="13"/>
    </row>
    <row r="35577">
      <c r="L35577" s="13"/>
      <c r="M35577" s="14"/>
      <c r="N35577" s="14"/>
      <c r="O35577" s="14"/>
      <c r="P35577" s="13"/>
    </row>
    <row r="35578">
      <c r="L35578" s="13"/>
      <c r="M35578" s="14"/>
      <c r="N35578" s="14"/>
      <c r="O35578" s="14"/>
      <c r="P35578" s="13"/>
    </row>
    <row r="35579">
      <c r="L35579" s="13"/>
      <c r="M35579" s="14"/>
      <c r="N35579" s="14"/>
      <c r="O35579" s="14"/>
      <c r="P35579" s="13"/>
    </row>
    <row r="35580">
      <c r="L35580" s="13"/>
      <c r="M35580" s="14"/>
      <c r="N35580" s="14"/>
      <c r="O35580" s="14"/>
      <c r="P35580" s="13"/>
    </row>
    <row r="35581">
      <c r="L35581" s="13"/>
      <c r="M35581" s="14"/>
      <c r="N35581" s="14"/>
      <c r="O35581" s="14"/>
      <c r="P35581" s="13"/>
    </row>
    <row r="35582">
      <c r="L35582" s="13"/>
      <c r="M35582" s="14"/>
      <c r="N35582" s="14"/>
      <c r="O35582" s="14"/>
      <c r="P35582" s="13"/>
    </row>
    <row r="35583">
      <c r="L35583" s="13"/>
      <c r="M35583" s="14"/>
      <c r="N35583" s="14"/>
      <c r="O35583" s="14"/>
      <c r="P35583" s="13"/>
    </row>
    <row r="35584">
      <c r="L35584" s="13"/>
      <c r="M35584" s="14"/>
      <c r="N35584" s="14"/>
      <c r="O35584" s="14"/>
      <c r="P35584" s="13"/>
    </row>
    <row r="35585">
      <c r="L35585" s="13"/>
      <c r="M35585" s="14"/>
      <c r="N35585" s="14"/>
      <c r="O35585" s="14"/>
      <c r="P35585" s="13"/>
    </row>
    <row r="35586">
      <c r="L35586" s="13"/>
      <c r="M35586" s="14"/>
      <c r="N35586" s="14"/>
      <c r="O35586" s="14"/>
      <c r="P35586" s="13"/>
    </row>
    <row r="35587">
      <c r="L35587" s="13"/>
      <c r="M35587" s="14"/>
      <c r="N35587" s="14"/>
      <c r="O35587" s="14"/>
      <c r="P35587" s="13"/>
    </row>
    <row r="35588">
      <c r="L35588" s="13"/>
      <c r="M35588" s="14"/>
      <c r="N35588" s="14"/>
      <c r="O35588" s="14"/>
      <c r="P35588" s="13"/>
    </row>
    <row r="35589">
      <c r="L35589" s="13"/>
      <c r="M35589" s="14"/>
      <c r="N35589" s="14"/>
      <c r="O35589" s="14"/>
      <c r="P35589" s="13"/>
    </row>
    <row r="35590">
      <c r="L35590" s="13"/>
      <c r="M35590" s="14"/>
      <c r="N35590" s="14"/>
      <c r="O35590" s="14"/>
      <c r="P35590" s="13"/>
    </row>
    <row r="35591">
      <c r="L35591" s="13"/>
      <c r="M35591" s="14"/>
      <c r="N35591" s="14"/>
      <c r="O35591" s="14"/>
      <c r="P35591" s="13"/>
    </row>
    <row r="35592">
      <c r="L35592" s="13"/>
      <c r="M35592" s="14"/>
      <c r="N35592" s="14"/>
      <c r="O35592" s="14"/>
      <c r="P35592" s="13"/>
    </row>
    <row r="35593">
      <c r="L35593" s="13"/>
      <c r="M35593" s="14"/>
      <c r="N35593" s="14"/>
      <c r="O35593" s="14"/>
      <c r="P35593" s="13"/>
    </row>
    <row r="35594">
      <c r="L35594" s="13"/>
      <c r="M35594" s="14"/>
      <c r="N35594" s="14"/>
      <c r="O35594" s="14"/>
      <c r="P35594" s="13"/>
    </row>
    <row r="35595">
      <c r="L35595" s="13"/>
      <c r="M35595" s="14"/>
      <c r="N35595" s="14"/>
      <c r="O35595" s="14"/>
      <c r="P35595" s="13"/>
    </row>
    <row r="35596">
      <c r="L35596" s="13"/>
      <c r="M35596" s="14"/>
      <c r="N35596" s="14"/>
      <c r="O35596" s="14"/>
      <c r="P35596" s="13"/>
    </row>
    <row r="35597">
      <c r="L35597" s="13"/>
      <c r="M35597" s="14"/>
      <c r="N35597" s="14"/>
      <c r="O35597" s="14"/>
      <c r="P35597" s="13"/>
    </row>
    <row r="35598">
      <c r="L35598" s="13"/>
      <c r="M35598" s="14"/>
      <c r="N35598" s="14"/>
      <c r="O35598" s="14"/>
      <c r="P35598" s="13"/>
    </row>
    <row r="35599">
      <c r="L35599" s="13"/>
      <c r="M35599" s="14"/>
      <c r="N35599" s="14"/>
      <c r="O35599" s="14"/>
      <c r="P35599" s="13"/>
    </row>
    <row r="35600">
      <c r="L35600" s="13"/>
      <c r="M35600" s="14"/>
      <c r="N35600" s="14"/>
      <c r="O35600" s="14"/>
      <c r="P35600" s="13"/>
    </row>
    <row r="35601">
      <c r="L35601" s="13"/>
      <c r="M35601" s="14"/>
      <c r="N35601" s="14"/>
      <c r="O35601" s="14"/>
      <c r="P35601" s="13"/>
    </row>
    <row r="35602">
      <c r="L35602" s="13"/>
      <c r="M35602" s="14"/>
      <c r="N35602" s="14"/>
      <c r="O35602" s="14"/>
      <c r="P35602" s="13"/>
    </row>
    <row r="35603">
      <c r="L35603" s="13"/>
      <c r="M35603" s="14"/>
      <c r="N35603" s="14"/>
      <c r="O35603" s="14"/>
      <c r="P35603" s="13"/>
    </row>
    <row r="35604">
      <c r="L35604" s="13"/>
      <c r="M35604" s="14"/>
      <c r="N35604" s="14"/>
      <c r="O35604" s="14"/>
      <c r="P35604" s="13"/>
    </row>
    <row r="35605">
      <c r="L35605" s="13"/>
      <c r="M35605" s="14"/>
      <c r="N35605" s="14"/>
      <c r="O35605" s="14"/>
      <c r="P35605" s="13"/>
    </row>
    <row r="35606">
      <c r="L35606" s="13"/>
      <c r="M35606" s="14"/>
      <c r="N35606" s="14"/>
      <c r="O35606" s="14"/>
      <c r="P35606" s="13"/>
    </row>
    <row r="35607">
      <c r="L35607" s="13"/>
      <c r="M35607" s="14"/>
      <c r="N35607" s="14"/>
      <c r="O35607" s="14"/>
      <c r="P35607" s="13"/>
    </row>
    <row r="35608">
      <c r="L35608" s="13"/>
      <c r="M35608" s="14"/>
      <c r="N35608" s="14"/>
      <c r="O35608" s="14"/>
      <c r="P35608" s="13"/>
    </row>
    <row r="35609">
      <c r="L35609" s="13"/>
      <c r="M35609" s="14"/>
      <c r="N35609" s="14"/>
      <c r="O35609" s="14"/>
      <c r="P35609" s="13"/>
    </row>
    <row r="35610">
      <c r="L35610" s="13"/>
      <c r="M35610" s="14"/>
      <c r="N35610" s="14"/>
      <c r="O35610" s="14"/>
      <c r="P35610" s="13"/>
    </row>
    <row r="35611">
      <c r="L35611" s="13"/>
      <c r="M35611" s="14"/>
      <c r="N35611" s="14"/>
      <c r="O35611" s="14"/>
      <c r="P35611" s="13"/>
    </row>
    <row r="35612">
      <c r="L35612" s="13"/>
      <c r="M35612" s="14"/>
      <c r="N35612" s="14"/>
      <c r="O35612" s="14"/>
      <c r="P35612" s="13"/>
    </row>
    <row r="35613">
      <c r="L35613" s="13"/>
      <c r="M35613" s="14"/>
      <c r="N35613" s="14"/>
      <c r="O35613" s="14"/>
      <c r="P35613" s="13"/>
    </row>
    <row r="35614">
      <c r="L35614" s="13"/>
      <c r="M35614" s="14"/>
      <c r="N35614" s="14"/>
      <c r="O35614" s="14"/>
      <c r="P35614" s="13"/>
    </row>
    <row r="35615">
      <c r="L35615" s="13"/>
      <c r="M35615" s="14"/>
      <c r="N35615" s="14"/>
      <c r="O35615" s="14"/>
      <c r="P35615" s="13"/>
    </row>
    <row r="35616">
      <c r="L35616" s="13"/>
      <c r="M35616" s="14"/>
      <c r="N35616" s="14"/>
      <c r="O35616" s="14"/>
      <c r="P35616" s="13"/>
    </row>
    <row r="35617">
      <c r="L35617" s="13"/>
      <c r="M35617" s="14"/>
      <c r="N35617" s="14"/>
      <c r="O35617" s="14"/>
      <c r="P35617" s="13"/>
    </row>
    <row r="35618">
      <c r="L35618" s="13"/>
      <c r="M35618" s="14"/>
      <c r="N35618" s="14"/>
      <c r="O35618" s="14"/>
      <c r="P35618" s="13"/>
    </row>
    <row r="35619">
      <c r="L35619" s="13"/>
      <c r="M35619" s="14"/>
      <c r="N35619" s="14"/>
      <c r="O35619" s="14"/>
      <c r="P35619" s="13"/>
    </row>
    <row r="35620">
      <c r="L35620" s="13"/>
      <c r="M35620" s="14"/>
      <c r="N35620" s="14"/>
      <c r="O35620" s="14"/>
      <c r="P35620" s="13"/>
    </row>
    <row r="35621">
      <c r="L35621" s="13"/>
      <c r="M35621" s="14"/>
      <c r="N35621" s="14"/>
      <c r="O35621" s="14"/>
      <c r="P35621" s="13"/>
    </row>
    <row r="35622">
      <c r="L35622" s="13"/>
      <c r="M35622" s="14"/>
      <c r="N35622" s="14"/>
      <c r="O35622" s="14"/>
      <c r="P35622" s="13"/>
    </row>
    <row r="35623">
      <c r="L35623" s="13"/>
      <c r="M35623" s="14"/>
      <c r="N35623" s="14"/>
      <c r="O35623" s="14"/>
      <c r="P35623" s="13"/>
    </row>
    <row r="35624">
      <c r="L35624" s="13"/>
      <c r="M35624" s="14"/>
      <c r="N35624" s="14"/>
      <c r="O35624" s="14"/>
      <c r="P35624" s="13"/>
    </row>
    <row r="35625">
      <c r="L35625" s="13"/>
      <c r="M35625" s="14"/>
      <c r="N35625" s="14"/>
      <c r="O35625" s="14"/>
      <c r="P35625" s="13"/>
    </row>
    <row r="35626">
      <c r="L35626" s="13"/>
      <c r="M35626" s="14"/>
      <c r="N35626" s="14"/>
      <c r="O35626" s="14"/>
      <c r="P35626" s="13"/>
    </row>
    <row r="35627">
      <c r="L35627" s="13"/>
      <c r="M35627" s="14"/>
      <c r="N35627" s="14"/>
      <c r="O35627" s="14"/>
      <c r="P35627" s="13"/>
    </row>
    <row r="35628">
      <c r="L35628" s="13"/>
      <c r="M35628" s="14"/>
      <c r="N35628" s="14"/>
      <c r="O35628" s="14"/>
      <c r="P35628" s="13"/>
    </row>
    <row r="35629">
      <c r="L35629" s="13"/>
      <c r="M35629" s="14"/>
      <c r="N35629" s="14"/>
      <c r="O35629" s="14"/>
      <c r="P35629" s="13"/>
    </row>
    <row r="35630">
      <c r="L35630" s="13"/>
      <c r="M35630" s="14"/>
      <c r="N35630" s="14"/>
      <c r="O35630" s="14"/>
      <c r="P35630" s="13"/>
    </row>
    <row r="35631">
      <c r="L35631" s="13"/>
      <c r="M35631" s="14"/>
      <c r="N35631" s="14"/>
      <c r="O35631" s="14"/>
      <c r="P35631" s="13"/>
    </row>
    <row r="35632">
      <c r="L35632" s="13"/>
      <c r="M35632" s="14"/>
      <c r="N35632" s="14"/>
      <c r="O35632" s="14"/>
      <c r="P35632" s="13"/>
    </row>
    <row r="35633">
      <c r="L35633" s="13"/>
      <c r="M35633" s="14"/>
      <c r="N35633" s="14"/>
      <c r="O35633" s="14"/>
      <c r="P35633" s="13"/>
    </row>
    <row r="35634">
      <c r="L35634" s="13"/>
      <c r="M35634" s="14"/>
      <c r="N35634" s="14"/>
      <c r="O35634" s="14"/>
      <c r="P35634" s="13"/>
    </row>
    <row r="35635">
      <c r="L35635" s="13"/>
      <c r="M35635" s="14"/>
      <c r="N35635" s="14"/>
      <c r="O35635" s="14"/>
      <c r="P35635" s="13"/>
    </row>
    <row r="35636">
      <c r="L35636" s="13"/>
      <c r="M35636" s="14"/>
      <c r="N35636" s="14"/>
      <c r="O35636" s="14"/>
      <c r="P35636" s="13"/>
    </row>
    <row r="35637">
      <c r="L35637" s="13"/>
      <c r="M35637" s="14"/>
      <c r="N35637" s="14"/>
      <c r="O35637" s="14"/>
      <c r="P35637" s="13"/>
    </row>
    <row r="35638">
      <c r="L35638" s="13"/>
      <c r="M35638" s="14"/>
      <c r="N35638" s="14"/>
      <c r="O35638" s="14"/>
      <c r="P35638" s="13"/>
    </row>
    <row r="35639">
      <c r="L35639" s="13"/>
      <c r="M35639" s="14"/>
      <c r="N35639" s="14"/>
      <c r="O35639" s="14"/>
      <c r="P35639" s="13"/>
    </row>
    <row r="35640">
      <c r="L35640" s="13"/>
      <c r="M35640" s="14"/>
      <c r="N35640" s="14"/>
      <c r="O35640" s="14"/>
      <c r="P35640" s="13"/>
    </row>
    <row r="35641">
      <c r="L35641" s="13"/>
      <c r="M35641" s="14"/>
      <c r="N35641" s="14"/>
      <c r="O35641" s="14"/>
      <c r="P35641" s="13"/>
    </row>
    <row r="35642">
      <c r="L35642" s="13"/>
      <c r="M35642" s="14"/>
      <c r="N35642" s="14"/>
      <c r="O35642" s="14"/>
      <c r="P35642" s="13"/>
    </row>
    <row r="35643">
      <c r="L35643" s="13"/>
      <c r="M35643" s="14"/>
      <c r="N35643" s="14"/>
      <c r="O35643" s="14"/>
      <c r="P35643" s="13"/>
    </row>
    <row r="35644">
      <c r="L35644" s="13"/>
      <c r="M35644" s="14"/>
      <c r="N35644" s="14"/>
      <c r="O35644" s="14"/>
      <c r="P35644" s="13"/>
    </row>
    <row r="35645">
      <c r="L35645" s="13"/>
      <c r="M35645" s="14"/>
      <c r="N35645" s="14"/>
      <c r="O35645" s="14"/>
      <c r="P35645" s="13"/>
    </row>
    <row r="35646">
      <c r="L35646" s="13"/>
      <c r="M35646" s="14"/>
      <c r="N35646" s="14"/>
      <c r="O35646" s="14"/>
      <c r="P35646" s="13"/>
    </row>
    <row r="35647">
      <c r="L35647" s="13"/>
      <c r="M35647" s="14"/>
      <c r="N35647" s="14"/>
      <c r="O35647" s="14"/>
      <c r="P35647" s="13"/>
    </row>
    <row r="35648">
      <c r="L35648" s="13"/>
      <c r="M35648" s="14"/>
      <c r="N35648" s="14"/>
      <c r="O35648" s="14"/>
      <c r="P35648" s="13"/>
    </row>
    <row r="35649">
      <c r="L35649" s="13"/>
      <c r="M35649" s="14"/>
      <c r="N35649" s="14"/>
      <c r="O35649" s="14"/>
      <c r="P35649" s="13"/>
    </row>
    <row r="35650">
      <c r="L35650" s="13"/>
      <c r="M35650" s="14"/>
      <c r="N35650" s="14"/>
      <c r="O35650" s="14"/>
      <c r="P35650" s="13"/>
    </row>
    <row r="35651">
      <c r="L35651" s="13"/>
      <c r="M35651" s="14"/>
      <c r="N35651" s="14"/>
      <c r="O35651" s="14"/>
      <c r="P35651" s="13"/>
    </row>
    <row r="35652">
      <c r="L35652" s="13"/>
      <c r="M35652" s="14"/>
      <c r="N35652" s="14"/>
      <c r="O35652" s="14"/>
      <c r="P35652" s="13"/>
    </row>
    <row r="35653">
      <c r="L35653" s="13"/>
      <c r="M35653" s="14"/>
      <c r="N35653" s="14"/>
      <c r="O35653" s="14"/>
      <c r="P35653" s="13"/>
    </row>
    <row r="35654">
      <c r="L35654" s="13"/>
      <c r="M35654" s="14"/>
      <c r="N35654" s="14"/>
      <c r="O35654" s="14"/>
      <c r="P35654" s="13"/>
    </row>
    <row r="35655">
      <c r="L35655" s="13"/>
      <c r="M35655" s="14"/>
      <c r="N35655" s="14"/>
      <c r="O35655" s="14"/>
      <c r="P35655" s="13"/>
    </row>
    <row r="35656">
      <c r="L35656" s="13"/>
      <c r="M35656" s="14"/>
      <c r="N35656" s="14"/>
      <c r="O35656" s="14"/>
      <c r="P35656" s="13"/>
    </row>
    <row r="35657">
      <c r="L35657" s="13"/>
      <c r="M35657" s="14"/>
      <c r="N35657" s="14"/>
      <c r="O35657" s="14"/>
      <c r="P35657" s="13"/>
    </row>
    <row r="35658">
      <c r="L35658" s="13"/>
      <c r="M35658" s="14"/>
      <c r="N35658" s="14"/>
      <c r="O35658" s="14"/>
      <c r="P35658" s="13"/>
    </row>
    <row r="35659">
      <c r="L35659" s="13"/>
      <c r="M35659" s="14"/>
      <c r="N35659" s="14"/>
      <c r="O35659" s="14"/>
      <c r="P35659" s="13"/>
    </row>
    <row r="35660">
      <c r="L35660" s="13"/>
      <c r="M35660" s="14"/>
      <c r="N35660" s="14"/>
      <c r="O35660" s="14"/>
      <c r="P35660" s="13"/>
    </row>
    <row r="35661">
      <c r="L35661" s="13"/>
      <c r="M35661" s="14"/>
      <c r="N35661" s="14"/>
      <c r="O35661" s="14"/>
      <c r="P35661" s="13"/>
    </row>
    <row r="35662">
      <c r="L35662" s="13"/>
      <c r="M35662" s="14"/>
      <c r="N35662" s="14"/>
      <c r="O35662" s="14"/>
      <c r="P35662" s="13"/>
    </row>
    <row r="35663">
      <c r="L35663" s="13"/>
      <c r="M35663" s="14"/>
      <c r="N35663" s="14"/>
      <c r="O35663" s="14"/>
      <c r="P35663" s="13"/>
    </row>
    <row r="35664">
      <c r="L35664" s="13"/>
      <c r="M35664" s="14"/>
      <c r="N35664" s="14"/>
      <c r="O35664" s="14"/>
      <c r="P35664" s="13"/>
    </row>
    <row r="35665">
      <c r="L35665" s="13"/>
      <c r="M35665" s="14"/>
      <c r="N35665" s="14"/>
      <c r="O35665" s="14"/>
      <c r="P35665" s="13"/>
    </row>
    <row r="35666">
      <c r="L35666" s="13"/>
      <c r="M35666" s="14"/>
      <c r="N35666" s="14"/>
      <c r="O35666" s="14"/>
      <c r="P35666" s="13"/>
    </row>
    <row r="35667">
      <c r="L35667" s="13"/>
      <c r="M35667" s="14"/>
      <c r="N35667" s="14"/>
      <c r="O35667" s="14"/>
      <c r="P35667" s="13"/>
    </row>
    <row r="35668">
      <c r="L35668" s="13"/>
      <c r="M35668" s="14"/>
      <c r="N35668" s="14"/>
      <c r="O35668" s="14"/>
      <c r="P35668" s="13"/>
    </row>
    <row r="35669">
      <c r="L35669" s="13"/>
      <c r="M35669" s="14"/>
      <c r="N35669" s="14"/>
      <c r="O35669" s="14"/>
      <c r="P35669" s="13"/>
    </row>
    <row r="35670">
      <c r="L35670" s="13"/>
      <c r="M35670" s="14"/>
      <c r="N35670" s="14"/>
      <c r="O35670" s="14"/>
      <c r="P35670" s="13"/>
    </row>
    <row r="35671">
      <c r="L35671" s="13"/>
      <c r="M35671" s="14"/>
      <c r="N35671" s="14"/>
      <c r="O35671" s="14"/>
      <c r="P35671" s="13"/>
    </row>
    <row r="35672">
      <c r="L35672" s="13"/>
      <c r="M35672" s="14"/>
      <c r="N35672" s="14"/>
      <c r="O35672" s="14"/>
      <c r="P35672" s="13"/>
    </row>
    <row r="35673">
      <c r="L35673" s="13"/>
      <c r="M35673" s="14"/>
      <c r="N35673" s="14"/>
      <c r="O35673" s="14"/>
      <c r="P35673" s="13"/>
    </row>
    <row r="35674">
      <c r="L35674" s="13"/>
      <c r="M35674" s="14"/>
      <c r="N35674" s="14"/>
      <c r="O35674" s="14"/>
      <c r="P35674" s="13"/>
    </row>
    <row r="35675">
      <c r="L35675" s="13"/>
      <c r="M35675" s="14"/>
      <c r="N35675" s="14"/>
      <c r="O35675" s="14"/>
      <c r="P35675" s="13"/>
    </row>
    <row r="35676">
      <c r="L35676" s="13"/>
      <c r="M35676" s="14"/>
      <c r="N35676" s="14"/>
      <c r="O35676" s="14"/>
      <c r="P35676" s="13"/>
    </row>
    <row r="35677">
      <c r="L35677" s="13"/>
      <c r="M35677" s="14"/>
      <c r="N35677" s="14"/>
      <c r="O35677" s="14"/>
      <c r="P35677" s="13"/>
    </row>
    <row r="35678">
      <c r="L35678" s="13"/>
      <c r="M35678" s="14"/>
      <c r="N35678" s="14"/>
      <c r="O35678" s="14"/>
      <c r="P35678" s="13"/>
    </row>
    <row r="35679">
      <c r="L35679" s="13"/>
      <c r="M35679" s="14"/>
      <c r="N35679" s="14"/>
      <c r="O35679" s="14"/>
      <c r="P35679" s="13"/>
    </row>
    <row r="35680">
      <c r="L35680" s="13"/>
      <c r="M35680" s="14"/>
      <c r="N35680" s="14"/>
      <c r="O35680" s="14"/>
      <c r="P35680" s="13"/>
    </row>
    <row r="35681">
      <c r="L35681" s="13"/>
      <c r="M35681" s="14"/>
      <c r="N35681" s="14"/>
      <c r="O35681" s="14"/>
      <c r="P35681" s="13"/>
    </row>
    <row r="35682">
      <c r="L35682" s="13"/>
      <c r="M35682" s="14"/>
      <c r="N35682" s="14"/>
      <c r="O35682" s="14"/>
      <c r="P35682" s="13"/>
    </row>
    <row r="35683">
      <c r="L35683" s="13"/>
      <c r="M35683" s="14"/>
      <c r="N35683" s="14"/>
      <c r="O35683" s="14"/>
      <c r="P35683" s="13"/>
    </row>
    <row r="35684">
      <c r="L35684" s="13"/>
      <c r="M35684" s="14"/>
      <c r="N35684" s="14"/>
      <c r="O35684" s="14"/>
      <c r="P35684" s="13"/>
    </row>
    <row r="35685">
      <c r="L35685" s="13"/>
      <c r="M35685" s="14"/>
      <c r="N35685" s="14"/>
      <c r="O35685" s="14"/>
      <c r="P35685" s="13"/>
    </row>
    <row r="35686">
      <c r="L35686" s="13"/>
      <c r="M35686" s="14"/>
      <c r="N35686" s="14"/>
      <c r="O35686" s="14"/>
      <c r="P35686" s="13"/>
    </row>
    <row r="35687">
      <c r="L35687" s="13"/>
      <c r="M35687" s="14"/>
      <c r="N35687" s="14"/>
      <c r="O35687" s="14"/>
      <c r="P35687" s="13"/>
    </row>
    <row r="35688">
      <c r="L35688" s="13"/>
      <c r="M35688" s="14"/>
      <c r="N35688" s="14"/>
      <c r="O35688" s="14"/>
      <c r="P35688" s="13"/>
    </row>
    <row r="35689">
      <c r="L35689" s="13"/>
      <c r="M35689" s="14"/>
      <c r="N35689" s="14"/>
      <c r="O35689" s="14"/>
      <c r="P35689" s="13"/>
    </row>
    <row r="35690">
      <c r="L35690" s="13"/>
      <c r="M35690" s="14"/>
      <c r="N35690" s="14"/>
      <c r="O35690" s="14"/>
      <c r="P35690" s="13"/>
    </row>
    <row r="35691">
      <c r="L35691" s="13"/>
      <c r="M35691" s="14"/>
      <c r="N35691" s="14"/>
      <c r="O35691" s="14"/>
      <c r="P35691" s="13"/>
    </row>
    <row r="35692">
      <c r="L35692" s="13"/>
      <c r="M35692" s="14"/>
      <c r="N35692" s="14"/>
      <c r="O35692" s="14"/>
      <c r="P35692" s="13"/>
    </row>
    <row r="35693">
      <c r="L35693" s="13"/>
      <c r="M35693" s="14"/>
      <c r="N35693" s="14"/>
      <c r="O35693" s="14"/>
      <c r="P35693" s="13"/>
    </row>
    <row r="35694">
      <c r="L35694" s="13"/>
      <c r="M35694" s="14"/>
      <c r="N35694" s="14"/>
      <c r="O35694" s="14"/>
      <c r="P35694" s="13"/>
    </row>
    <row r="35695">
      <c r="L35695" s="13"/>
      <c r="M35695" s="14"/>
      <c r="N35695" s="14"/>
      <c r="O35695" s="14"/>
      <c r="P35695" s="13"/>
    </row>
    <row r="35696">
      <c r="L35696" s="13"/>
      <c r="M35696" s="14"/>
      <c r="N35696" s="14"/>
      <c r="O35696" s="14"/>
      <c r="P35696" s="13"/>
    </row>
    <row r="35697">
      <c r="L35697" s="13"/>
      <c r="M35697" s="14"/>
      <c r="N35697" s="14"/>
      <c r="O35697" s="14"/>
      <c r="P35697" s="13"/>
    </row>
    <row r="35698">
      <c r="L35698" s="13"/>
      <c r="M35698" s="14"/>
      <c r="N35698" s="14"/>
      <c r="O35698" s="14"/>
      <c r="P35698" s="13"/>
    </row>
    <row r="35699">
      <c r="L35699" s="13"/>
      <c r="M35699" s="14"/>
      <c r="N35699" s="14"/>
      <c r="O35699" s="14"/>
      <c r="P35699" s="13"/>
    </row>
    <row r="35700">
      <c r="L35700" s="13"/>
      <c r="M35700" s="14"/>
      <c r="N35700" s="14"/>
      <c r="O35700" s="14"/>
      <c r="P35700" s="13"/>
    </row>
    <row r="35701">
      <c r="L35701" s="13"/>
      <c r="M35701" s="14"/>
      <c r="N35701" s="14"/>
      <c r="O35701" s="14"/>
      <c r="P35701" s="13"/>
    </row>
    <row r="35702">
      <c r="L35702" s="13"/>
      <c r="M35702" s="14"/>
      <c r="N35702" s="14"/>
      <c r="O35702" s="14"/>
      <c r="P35702" s="13"/>
    </row>
    <row r="35703">
      <c r="L35703" s="13"/>
      <c r="M35703" s="14"/>
      <c r="N35703" s="14"/>
      <c r="O35703" s="14"/>
      <c r="P35703" s="13"/>
    </row>
    <row r="35704">
      <c r="L35704" s="13"/>
      <c r="M35704" s="14"/>
      <c r="N35704" s="14"/>
      <c r="O35704" s="14"/>
      <c r="P35704" s="13"/>
    </row>
    <row r="35705">
      <c r="L35705" s="13"/>
      <c r="M35705" s="14"/>
      <c r="N35705" s="14"/>
      <c r="O35705" s="14"/>
      <c r="P35705" s="13"/>
    </row>
    <row r="35706">
      <c r="L35706" s="13"/>
      <c r="M35706" s="14"/>
      <c r="N35706" s="14"/>
      <c r="O35706" s="14"/>
      <c r="P35706" s="13"/>
    </row>
    <row r="35707">
      <c r="L35707" s="13"/>
      <c r="M35707" s="14"/>
      <c r="N35707" s="14"/>
      <c r="O35707" s="14"/>
      <c r="P35707" s="13"/>
    </row>
    <row r="35708">
      <c r="L35708" s="13"/>
      <c r="M35708" s="14"/>
      <c r="N35708" s="14"/>
      <c r="O35708" s="14"/>
      <c r="P35708" s="13"/>
    </row>
    <row r="35709">
      <c r="L35709" s="13"/>
      <c r="M35709" s="14"/>
      <c r="N35709" s="14"/>
      <c r="O35709" s="14"/>
      <c r="P35709" s="13"/>
    </row>
    <row r="35710">
      <c r="L35710" s="13"/>
      <c r="M35710" s="14"/>
      <c r="N35710" s="14"/>
      <c r="O35710" s="14"/>
      <c r="P35710" s="13"/>
    </row>
    <row r="35711">
      <c r="L35711" s="13"/>
      <c r="M35711" s="14"/>
      <c r="N35711" s="14"/>
      <c r="O35711" s="14"/>
      <c r="P35711" s="13"/>
    </row>
    <row r="35712">
      <c r="L35712" s="13"/>
      <c r="M35712" s="14"/>
      <c r="N35712" s="14"/>
      <c r="O35712" s="14"/>
      <c r="P35712" s="13"/>
    </row>
    <row r="35713">
      <c r="L35713" s="13"/>
      <c r="M35713" s="14"/>
      <c r="N35713" s="14"/>
      <c r="O35713" s="14"/>
      <c r="P35713" s="13"/>
    </row>
    <row r="35714">
      <c r="L35714" s="13"/>
      <c r="M35714" s="14"/>
      <c r="N35714" s="14"/>
      <c r="O35714" s="14"/>
      <c r="P35714" s="13"/>
    </row>
    <row r="35715">
      <c r="L35715" s="13"/>
      <c r="M35715" s="14"/>
      <c r="N35715" s="14"/>
      <c r="O35715" s="14"/>
      <c r="P35715" s="13"/>
    </row>
    <row r="35716">
      <c r="L35716" s="13"/>
      <c r="M35716" s="14"/>
      <c r="N35716" s="14"/>
      <c r="O35716" s="14"/>
      <c r="P35716" s="13"/>
    </row>
    <row r="35717">
      <c r="L35717" s="13"/>
      <c r="M35717" s="14"/>
      <c r="N35717" s="14"/>
      <c r="O35717" s="14"/>
      <c r="P35717" s="13"/>
    </row>
    <row r="35718">
      <c r="L35718" s="13"/>
      <c r="M35718" s="14"/>
      <c r="N35718" s="14"/>
      <c r="O35718" s="14"/>
      <c r="P35718" s="13"/>
    </row>
    <row r="35719">
      <c r="L35719" s="13"/>
      <c r="M35719" s="14"/>
      <c r="N35719" s="14"/>
      <c r="O35719" s="14"/>
      <c r="P35719" s="13"/>
    </row>
    <row r="35720">
      <c r="L35720" s="13"/>
      <c r="M35720" s="14"/>
      <c r="N35720" s="14"/>
      <c r="O35720" s="14"/>
      <c r="P35720" s="13"/>
    </row>
    <row r="35721">
      <c r="L35721" s="13"/>
      <c r="M35721" s="14"/>
      <c r="N35721" s="14"/>
      <c r="O35721" s="14"/>
      <c r="P35721" s="13"/>
    </row>
    <row r="35722">
      <c r="L35722" s="13"/>
      <c r="M35722" s="14"/>
      <c r="N35722" s="14"/>
      <c r="O35722" s="14"/>
      <c r="P35722" s="13"/>
    </row>
    <row r="35723">
      <c r="L35723" s="13"/>
      <c r="M35723" s="14"/>
      <c r="N35723" s="14"/>
      <c r="O35723" s="14"/>
      <c r="P35723" s="13"/>
    </row>
    <row r="35724">
      <c r="L35724" s="13"/>
      <c r="M35724" s="14"/>
      <c r="N35724" s="14"/>
      <c r="O35724" s="14"/>
      <c r="P35724" s="13"/>
    </row>
    <row r="35725">
      <c r="L35725" s="13"/>
      <c r="M35725" s="14"/>
      <c r="N35725" s="14"/>
      <c r="O35725" s="14"/>
      <c r="P35725" s="13"/>
    </row>
    <row r="35726">
      <c r="L35726" s="13"/>
      <c r="M35726" s="14"/>
      <c r="N35726" s="14"/>
      <c r="O35726" s="14"/>
      <c r="P35726" s="13"/>
    </row>
    <row r="35727">
      <c r="L35727" s="13"/>
      <c r="M35727" s="14"/>
      <c r="N35727" s="14"/>
      <c r="O35727" s="14"/>
      <c r="P35727" s="13"/>
    </row>
    <row r="35728">
      <c r="L35728" s="13"/>
      <c r="M35728" s="14"/>
      <c r="N35728" s="14"/>
      <c r="O35728" s="14"/>
      <c r="P35728" s="13"/>
    </row>
    <row r="35729">
      <c r="L35729" s="13"/>
      <c r="M35729" s="14"/>
      <c r="N35729" s="14"/>
      <c r="O35729" s="14"/>
      <c r="P35729" s="13"/>
    </row>
    <row r="35730">
      <c r="L35730" s="13"/>
      <c r="M35730" s="14"/>
      <c r="N35730" s="14"/>
      <c r="O35730" s="14"/>
      <c r="P35730" s="13"/>
    </row>
    <row r="35731">
      <c r="L35731" s="13"/>
      <c r="M35731" s="14"/>
      <c r="N35731" s="14"/>
      <c r="O35731" s="14"/>
      <c r="P35731" s="13"/>
    </row>
    <row r="35732">
      <c r="L35732" s="13"/>
      <c r="M35732" s="14"/>
      <c r="N35732" s="14"/>
      <c r="O35732" s="14"/>
      <c r="P35732" s="13"/>
    </row>
    <row r="35733">
      <c r="L35733" s="13"/>
      <c r="M35733" s="14"/>
      <c r="N35733" s="14"/>
      <c r="O35733" s="14"/>
      <c r="P35733" s="13"/>
    </row>
    <row r="35734">
      <c r="L35734" s="13"/>
      <c r="M35734" s="14"/>
      <c r="N35734" s="14"/>
      <c r="O35734" s="14"/>
      <c r="P35734" s="13"/>
    </row>
    <row r="35735">
      <c r="L35735" s="13"/>
      <c r="M35735" s="14"/>
      <c r="N35735" s="14"/>
      <c r="O35735" s="14"/>
      <c r="P35735" s="13"/>
    </row>
    <row r="35736">
      <c r="L35736" s="13"/>
      <c r="M35736" s="14"/>
      <c r="N35736" s="14"/>
      <c r="O35736" s="14"/>
      <c r="P35736" s="13"/>
    </row>
    <row r="35737">
      <c r="L35737" s="13"/>
      <c r="M35737" s="14"/>
      <c r="N35737" s="14"/>
      <c r="O35737" s="14"/>
      <c r="P35737" s="13"/>
    </row>
    <row r="35738">
      <c r="L35738" s="13"/>
      <c r="M35738" s="14"/>
      <c r="N35738" s="14"/>
      <c r="O35738" s="14"/>
      <c r="P35738" s="13"/>
    </row>
    <row r="35739">
      <c r="L35739" s="13"/>
      <c r="M35739" s="14"/>
      <c r="N35739" s="14"/>
      <c r="O35739" s="14"/>
      <c r="P35739" s="13"/>
    </row>
    <row r="35740">
      <c r="L35740" s="13"/>
      <c r="M35740" s="14"/>
      <c r="N35740" s="14"/>
      <c r="O35740" s="14"/>
      <c r="P35740" s="13"/>
    </row>
    <row r="35741">
      <c r="L35741" s="13"/>
      <c r="M35741" s="14"/>
      <c r="N35741" s="14"/>
      <c r="O35741" s="14"/>
      <c r="P35741" s="13"/>
    </row>
    <row r="35742">
      <c r="L35742" s="13"/>
      <c r="M35742" s="14"/>
      <c r="N35742" s="14"/>
      <c r="O35742" s="14"/>
      <c r="P35742" s="13"/>
    </row>
    <row r="35743">
      <c r="L35743" s="13"/>
      <c r="M35743" s="14"/>
      <c r="N35743" s="14"/>
      <c r="O35743" s="14"/>
      <c r="P35743" s="13"/>
    </row>
    <row r="35744">
      <c r="L35744" s="13"/>
      <c r="M35744" s="14"/>
      <c r="N35744" s="14"/>
      <c r="O35744" s="14"/>
      <c r="P35744" s="13"/>
    </row>
    <row r="35745">
      <c r="L35745" s="13"/>
      <c r="M35745" s="14"/>
      <c r="N35745" s="14"/>
      <c r="O35745" s="14"/>
      <c r="P35745" s="13"/>
    </row>
    <row r="35746">
      <c r="L35746" s="13"/>
      <c r="M35746" s="14"/>
      <c r="N35746" s="14"/>
      <c r="O35746" s="14"/>
      <c r="P35746" s="13"/>
    </row>
    <row r="35747">
      <c r="L35747" s="13"/>
      <c r="M35747" s="14"/>
      <c r="N35747" s="14"/>
      <c r="O35747" s="14"/>
      <c r="P35747" s="13"/>
    </row>
    <row r="35748">
      <c r="L35748" s="13"/>
      <c r="M35748" s="14"/>
      <c r="N35748" s="14"/>
      <c r="O35748" s="14"/>
      <c r="P35748" s="13"/>
    </row>
    <row r="35749">
      <c r="L35749" s="13"/>
      <c r="M35749" s="14"/>
      <c r="N35749" s="14"/>
      <c r="O35749" s="14"/>
      <c r="P35749" s="13"/>
    </row>
    <row r="35750">
      <c r="L35750" s="13"/>
      <c r="M35750" s="14"/>
      <c r="N35750" s="14"/>
      <c r="O35750" s="14"/>
      <c r="P35750" s="13"/>
    </row>
    <row r="35751">
      <c r="L35751" s="13"/>
      <c r="M35751" s="14"/>
      <c r="N35751" s="14"/>
      <c r="O35751" s="14"/>
      <c r="P35751" s="13"/>
    </row>
    <row r="35752">
      <c r="L35752" s="13"/>
      <c r="M35752" s="14"/>
      <c r="N35752" s="14"/>
      <c r="O35752" s="14"/>
      <c r="P35752" s="13"/>
    </row>
    <row r="35753">
      <c r="L35753" s="13"/>
      <c r="M35753" s="14"/>
      <c r="N35753" s="14"/>
      <c r="O35753" s="14"/>
      <c r="P35753" s="13"/>
    </row>
    <row r="35754">
      <c r="L35754" s="13"/>
      <c r="M35754" s="14"/>
      <c r="N35754" s="14"/>
      <c r="O35754" s="14"/>
      <c r="P35754" s="13"/>
    </row>
    <row r="35755">
      <c r="L35755" s="13"/>
      <c r="M35755" s="14"/>
      <c r="N35755" s="14"/>
      <c r="O35755" s="14"/>
      <c r="P35755" s="13"/>
    </row>
    <row r="35756">
      <c r="L35756" s="13"/>
      <c r="M35756" s="14"/>
      <c r="N35756" s="14"/>
      <c r="O35756" s="14"/>
      <c r="P35756" s="13"/>
    </row>
    <row r="35757">
      <c r="L35757" s="13"/>
      <c r="M35757" s="14"/>
      <c r="N35757" s="14"/>
      <c r="O35757" s="14"/>
      <c r="P35757" s="13"/>
    </row>
    <row r="35758">
      <c r="L35758" s="13"/>
      <c r="M35758" s="14"/>
      <c r="N35758" s="14"/>
      <c r="O35758" s="14"/>
      <c r="P35758" s="13"/>
    </row>
    <row r="35759">
      <c r="L35759" s="13"/>
      <c r="M35759" s="14"/>
      <c r="N35759" s="14"/>
      <c r="O35759" s="14"/>
      <c r="P35759" s="13"/>
    </row>
    <row r="35760">
      <c r="L35760" s="13"/>
      <c r="M35760" s="14"/>
      <c r="N35760" s="14"/>
      <c r="O35760" s="14"/>
      <c r="P35760" s="13"/>
    </row>
    <row r="35761">
      <c r="L35761" s="13"/>
      <c r="M35761" s="14"/>
      <c r="N35761" s="14"/>
      <c r="O35761" s="14"/>
      <c r="P35761" s="13"/>
    </row>
    <row r="35762">
      <c r="L35762" s="13"/>
      <c r="M35762" s="14"/>
      <c r="N35762" s="14"/>
      <c r="O35762" s="14"/>
      <c r="P35762" s="13"/>
    </row>
    <row r="35763">
      <c r="L35763" s="13"/>
      <c r="M35763" s="14"/>
      <c r="N35763" s="14"/>
      <c r="O35763" s="14"/>
      <c r="P35763" s="13"/>
    </row>
    <row r="35764">
      <c r="L35764" s="13"/>
      <c r="M35764" s="14"/>
      <c r="N35764" s="14"/>
      <c r="O35764" s="14"/>
      <c r="P35764" s="13"/>
    </row>
    <row r="35765">
      <c r="L35765" s="13"/>
      <c r="M35765" s="14"/>
      <c r="N35765" s="14"/>
      <c r="O35765" s="14"/>
      <c r="P35765" s="13"/>
    </row>
    <row r="35766">
      <c r="L35766" s="13"/>
      <c r="M35766" s="14"/>
      <c r="N35766" s="14"/>
      <c r="O35766" s="14"/>
      <c r="P35766" s="13"/>
    </row>
    <row r="35767">
      <c r="L35767" s="13"/>
      <c r="M35767" s="14"/>
      <c r="N35767" s="14"/>
      <c r="O35767" s="14"/>
      <c r="P35767" s="13"/>
    </row>
    <row r="35768">
      <c r="L35768" s="13"/>
      <c r="M35768" s="14"/>
      <c r="N35768" s="14"/>
      <c r="O35768" s="14"/>
      <c r="P35768" s="13"/>
    </row>
    <row r="35769">
      <c r="L35769" s="13"/>
      <c r="M35769" s="14"/>
      <c r="N35769" s="14"/>
      <c r="O35769" s="14"/>
      <c r="P35769" s="13"/>
    </row>
    <row r="35770">
      <c r="L35770" s="13"/>
      <c r="M35770" s="14"/>
      <c r="N35770" s="14"/>
      <c r="O35770" s="14"/>
      <c r="P35770" s="13"/>
    </row>
    <row r="35771">
      <c r="L35771" s="13"/>
      <c r="M35771" s="14"/>
      <c r="N35771" s="14"/>
      <c r="O35771" s="14"/>
      <c r="P35771" s="13"/>
    </row>
    <row r="35772">
      <c r="L35772" s="13"/>
      <c r="M35772" s="14"/>
      <c r="N35772" s="14"/>
      <c r="O35772" s="14"/>
      <c r="P35772" s="13"/>
    </row>
    <row r="35773">
      <c r="L35773" s="13"/>
      <c r="M35773" s="14"/>
      <c r="N35773" s="14"/>
      <c r="O35773" s="14"/>
      <c r="P35773" s="13"/>
    </row>
    <row r="35774">
      <c r="L35774" s="13"/>
      <c r="M35774" s="14"/>
      <c r="N35774" s="14"/>
      <c r="O35774" s="14"/>
      <c r="P35774" s="13"/>
    </row>
    <row r="35775">
      <c r="L35775" s="13"/>
      <c r="M35775" s="14"/>
      <c r="N35775" s="14"/>
      <c r="O35775" s="14"/>
      <c r="P35775" s="13"/>
    </row>
    <row r="35776">
      <c r="L35776" s="13"/>
      <c r="M35776" s="14"/>
      <c r="N35776" s="14"/>
      <c r="O35776" s="14"/>
      <c r="P35776" s="13"/>
    </row>
    <row r="35777">
      <c r="L35777" s="13"/>
      <c r="M35777" s="14"/>
      <c r="N35777" s="14"/>
      <c r="O35777" s="14"/>
      <c r="P35777" s="13"/>
    </row>
    <row r="35778">
      <c r="L35778" s="13"/>
      <c r="M35778" s="14"/>
      <c r="N35778" s="14"/>
      <c r="O35778" s="14"/>
      <c r="P35778" s="13"/>
    </row>
    <row r="35779">
      <c r="L35779" s="13"/>
      <c r="M35779" s="14"/>
      <c r="N35779" s="14"/>
      <c r="O35779" s="14"/>
      <c r="P35779" s="13"/>
    </row>
    <row r="35780">
      <c r="L35780" s="13"/>
      <c r="M35780" s="14"/>
      <c r="N35780" s="14"/>
      <c r="O35780" s="14"/>
      <c r="P35780" s="13"/>
    </row>
    <row r="35781">
      <c r="L35781" s="13"/>
      <c r="M35781" s="14"/>
      <c r="N35781" s="14"/>
      <c r="O35781" s="14"/>
      <c r="P35781" s="13"/>
    </row>
    <row r="35782">
      <c r="L35782" s="13"/>
      <c r="M35782" s="14"/>
      <c r="N35782" s="14"/>
      <c r="O35782" s="14"/>
      <c r="P35782" s="13"/>
    </row>
    <row r="35783">
      <c r="L35783" s="13"/>
      <c r="M35783" s="14"/>
      <c r="N35783" s="14"/>
      <c r="O35783" s="14"/>
      <c r="P35783" s="13"/>
    </row>
    <row r="35784">
      <c r="L35784" s="13"/>
      <c r="M35784" s="14"/>
      <c r="N35784" s="14"/>
      <c r="O35784" s="14"/>
      <c r="P35784" s="13"/>
    </row>
    <row r="35785">
      <c r="L35785" s="13"/>
      <c r="M35785" s="14"/>
      <c r="N35785" s="14"/>
      <c r="O35785" s="14"/>
      <c r="P35785" s="13"/>
    </row>
    <row r="35786">
      <c r="L35786" s="13"/>
      <c r="M35786" s="14"/>
      <c r="N35786" s="14"/>
      <c r="O35786" s="14"/>
      <c r="P35786" s="13"/>
    </row>
    <row r="35787">
      <c r="L35787" s="13"/>
      <c r="M35787" s="14"/>
      <c r="N35787" s="14"/>
      <c r="O35787" s="14"/>
      <c r="P35787" s="13"/>
    </row>
    <row r="35788">
      <c r="L35788" s="13"/>
      <c r="M35788" s="14"/>
      <c r="N35788" s="14"/>
      <c r="O35788" s="14"/>
      <c r="P35788" s="13"/>
    </row>
    <row r="35789">
      <c r="L35789" s="13"/>
      <c r="M35789" s="14"/>
      <c r="N35789" s="14"/>
      <c r="O35789" s="14"/>
      <c r="P35789" s="13"/>
    </row>
    <row r="35790">
      <c r="L35790" s="13"/>
      <c r="M35790" s="14"/>
      <c r="N35790" s="14"/>
      <c r="O35790" s="14"/>
      <c r="P35790" s="13"/>
    </row>
    <row r="35791">
      <c r="L35791" s="13"/>
      <c r="M35791" s="14"/>
      <c r="N35791" s="14"/>
      <c r="O35791" s="14"/>
      <c r="P35791" s="13"/>
    </row>
    <row r="35792">
      <c r="L35792" s="13"/>
      <c r="M35792" s="14"/>
      <c r="N35792" s="14"/>
      <c r="O35792" s="14"/>
      <c r="P35792" s="13"/>
    </row>
    <row r="35793">
      <c r="L35793" s="13"/>
      <c r="M35793" s="14"/>
      <c r="N35793" s="14"/>
      <c r="O35793" s="14"/>
      <c r="P35793" s="13"/>
    </row>
    <row r="35794">
      <c r="L35794" s="13"/>
      <c r="M35794" s="14"/>
      <c r="N35794" s="14"/>
      <c r="O35794" s="14"/>
      <c r="P35794" s="13"/>
    </row>
    <row r="35795">
      <c r="L35795" s="13"/>
      <c r="M35795" s="14"/>
      <c r="N35795" s="14"/>
      <c r="O35795" s="14"/>
      <c r="P35795" s="13"/>
    </row>
    <row r="35796">
      <c r="L35796" s="13"/>
      <c r="M35796" s="14"/>
      <c r="N35796" s="14"/>
      <c r="O35796" s="14"/>
      <c r="P35796" s="13"/>
    </row>
    <row r="35797">
      <c r="L35797" s="13"/>
      <c r="M35797" s="14"/>
      <c r="N35797" s="14"/>
      <c r="O35797" s="14"/>
      <c r="P35797" s="13"/>
    </row>
    <row r="35798">
      <c r="L35798" s="13"/>
      <c r="M35798" s="14"/>
      <c r="N35798" s="14"/>
      <c r="O35798" s="14"/>
      <c r="P35798" s="13"/>
    </row>
    <row r="35799">
      <c r="L35799" s="13"/>
      <c r="M35799" s="14"/>
      <c r="N35799" s="14"/>
      <c r="O35799" s="14"/>
      <c r="P35799" s="13"/>
    </row>
    <row r="35800">
      <c r="L35800" s="13"/>
      <c r="M35800" s="14"/>
      <c r="N35800" s="14"/>
      <c r="O35800" s="14"/>
      <c r="P35800" s="13"/>
    </row>
    <row r="35801">
      <c r="L35801" s="13"/>
      <c r="M35801" s="14"/>
      <c r="N35801" s="14"/>
      <c r="O35801" s="14"/>
      <c r="P35801" s="13"/>
    </row>
    <row r="35802">
      <c r="L35802" s="13"/>
      <c r="M35802" s="14"/>
      <c r="N35802" s="14"/>
      <c r="O35802" s="14"/>
      <c r="P35802" s="13"/>
    </row>
    <row r="35803">
      <c r="L35803" s="13"/>
      <c r="M35803" s="14"/>
      <c r="N35803" s="14"/>
      <c r="O35803" s="14"/>
      <c r="P35803" s="13"/>
    </row>
    <row r="35804">
      <c r="L35804" s="13"/>
      <c r="M35804" s="14"/>
      <c r="N35804" s="14"/>
      <c r="O35804" s="14"/>
      <c r="P35804" s="13"/>
    </row>
    <row r="35805">
      <c r="L35805" s="13"/>
      <c r="M35805" s="14"/>
      <c r="N35805" s="14"/>
      <c r="O35805" s="14"/>
      <c r="P35805" s="13"/>
    </row>
    <row r="35806">
      <c r="L35806" s="13"/>
      <c r="M35806" s="14"/>
      <c r="N35806" s="14"/>
      <c r="O35806" s="14"/>
      <c r="P35806" s="13"/>
    </row>
    <row r="35807">
      <c r="L35807" s="13"/>
      <c r="M35807" s="14"/>
      <c r="N35807" s="14"/>
      <c r="O35807" s="14"/>
      <c r="P35807" s="13"/>
    </row>
    <row r="35808">
      <c r="L35808" s="13"/>
      <c r="M35808" s="14"/>
      <c r="N35808" s="14"/>
      <c r="O35808" s="14"/>
      <c r="P35808" s="13"/>
    </row>
    <row r="35809">
      <c r="L35809" s="13"/>
      <c r="M35809" s="14"/>
      <c r="N35809" s="14"/>
      <c r="O35809" s="14"/>
      <c r="P35809" s="13"/>
    </row>
    <row r="35810">
      <c r="L35810" s="13"/>
      <c r="M35810" s="14"/>
      <c r="N35810" s="14"/>
      <c r="O35810" s="14"/>
      <c r="P35810" s="13"/>
    </row>
    <row r="35811">
      <c r="L35811" s="13"/>
      <c r="M35811" s="14"/>
      <c r="N35811" s="14"/>
      <c r="O35811" s="14"/>
      <c r="P35811" s="13"/>
    </row>
    <row r="35812">
      <c r="L35812" s="13"/>
      <c r="M35812" s="14"/>
      <c r="N35812" s="14"/>
      <c r="O35812" s="14"/>
      <c r="P35812" s="13"/>
    </row>
    <row r="35813">
      <c r="L35813" s="13"/>
      <c r="M35813" s="14"/>
      <c r="N35813" s="14"/>
      <c r="O35813" s="14"/>
      <c r="P35813" s="13"/>
    </row>
    <row r="35814">
      <c r="L35814" s="13"/>
      <c r="M35814" s="14"/>
      <c r="N35814" s="14"/>
      <c r="O35814" s="14"/>
      <c r="P35814" s="13"/>
    </row>
    <row r="35815">
      <c r="L35815" s="13"/>
      <c r="M35815" s="14"/>
      <c r="N35815" s="14"/>
      <c r="O35815" s="14"/>
      <c r="P35815" s="13"/>
    </row>
    <row r="35816">
      <c r="L35816" s="13"/>
      <c r="M35816" s="14"/>
      <c r="N35816" s="14"/>
      <c r="O35816" s="14"/>
      <c r="P35816" s="13"/>
    </row>
    <row r="35817">
      <c r="L35817" s="13"/>
      <c r="M35817" s="14"/>
      <c r="N35817" s="14"/>
      <c r="O35817" s="14"/>
      <c r="P35817" s="13"/>
    </row>
    <row r="35818">
      <c r="L35818" s="13"/>
      <c r="M35818" s="14"/>
      <c r="N35818" s="14"/>
      <c r="O35818" s="14"/>
      <c r="P35818" s="13"/>
    </row>
    <row r="35819">
      <c r="L35819" s="13"/>
      <c r="M35819" s="14"/>
      <c r="N35819" s="14"/>
      <c r="O35819" s="14"/>
      <c r="P35819" s="13"/>
    </row>
    <row r="35820">
      <c r="L35820" s="13"/>
      <c r="M35820" s="14"/>
      <c r="N35820" s="14"/>
      <c r="O35820" s="14"/>
      <c r="P35820" s="13"/>
    </row>
    <row r="35821">
      <c r="L35821" s="13"/>
      <c r="M35821" s="14"/>
      <c r="N35821" s="14"/>
      <c r="O35821" s="14"/>
      <c r="P35821" s="13"/>
    </row>
    <row r="35822">
      <c r="L35822" s="13"/>
      <c r="M35822" s="14"/>
      <c r="N35822" s="14"/>
      <c r="O35822" s="14"/>
      <c r="P35822" s="13"/>
    </row>
    <row r="35823">
      <c r="L35823" s="13"/>
      <c r="M35823" s="14"/>
      <c r="N35823" s="14"/>
      <c r="O35823" s="14"/>
      <c r="P35823" s="13"/>
    </row>
    <row r="35824">
      <c r="L35824" s="13"/>
      <c r="M35824" s="14"/>
      <c r="N35824" s="14"/>
      <c r="O35824" s="14"/>
      <c r="P35824" s="13"/>
    </row>
    <row r="35825">
      <c r="L35825" s="13"/>
      <c r="M35825" s="14"/>
      <c r="N35825" s="14"/>
      <c r="O35825" s="14"/>
      <c r="P35825" s="13"/>
    </row>
    <row r="35826">
      <c r="L35826" s="13"/>
      <c r="M35826" s="14"/>
      <c r="N35826" s="14"/>
      <c r="O35826" s="14"/>
      <c r="P35826" s="13"/>
    </row>
    <row r="35827">
      <c r="L35827" s="13"/>
      <c r="M35827" s="14"/>
      <c r="N35827" s="14"/>
      <c r="O35827" s="14"/>
      <c r="P35827" s="13"/>
    </row>
    <row r="35828">
      <c r="L35828" s="13"/>
      <c r="M35828" s="14"/>
      <c r="N35828" s="14"/>
      <c r="O35828" s="14"/>
      <c r="P35828" s="13"/>
    </row>
    <row r="35829">
      <c r="L35829" s="13"/>
      <c r="M35829" s="14"/>
      <c r="N35829" s="14"/>
      <c r="O35829" s="14"/>
      <c r="P35829" s="13"/>
    </row>
    <row r="35830">
      <c r="L35830" s="13"/>
      <c r="M35830" s="14"/>
      <c r="N35830" s="14"/>
      <c r="O35830" s="14"/>
      <c r="P35830" s="13"/>
    </row>
    <row r="35831">
      <c r="L35831" s="13"/>
      <c r="M35831" s="14"/>
      <c r="N35831" s="14"/>
      <c r="O35831" s="14"/>
      <c r="P35831" s="13"/>
    </row>
    <row r="35832">
      <c r="L35832" s="13"/>
      <c r="M35832" s="14"/>
      <c r="N35832" s="14"/>
      <c r="O35832" s="14"/>
      <c r="P35832" s="13"/>
    </row>
    <row r="35833">
      <c r="L35833" s="13"/>
      <c r="M35833" s="14"/>
      <c r="N35833" s="14"/>
      <c r="O35833" s="14"/>
      <c r="P35833" s="13"/>
    </row>
    <row r="35834">
      <c r="L35834" s="13"/>
      <c r="M35834" s="14"/>
      <c r="N35834" s="14"/>
      <c r="O35834" s="14"/>
      <c r="P35834" s="13"/>
    </row>
    <row r="35835">
      <c r="L35835" s="13"/>
      <c r="M35835" s="14"/>
      <c r="N35835" s="14"/>
      <c r="O35835" s="14"/>
      <c r="P35835" s="13"/>
    </row>
    <row r="35836">
      <c r="L35836" s="13"/>
      <c r="M35836" s="14"/>
      <c r="N35836" s="14"/>
      <c r="O35836" s="14"/>
      <c r="P35836" s="13"/>
    </row>
    <row r="35837">
      <c r="L35837" s="13"/>
      <c r="M35837" s="14"/>
      <c r="N35837" s="14"/>
      <c r="O35837" s="14"/>
      <c r="P35837" s="13"/>
    </row>
    <row r="35838">
      <c r="L35838" s="13"/>
      <c r="M35838" s="14"/>
      <c r="N35838" s="14"/>
      <c r="O35838" s="14"/>
      <c r="P35838" s="13"/>
    </row>
    <row r="35839">
      <c r="L35839" s="13"/>
      <c r="M35839" s="14"/>
      <c r="N35839" s="14"/>
      <c r="O35839" s="14"/>
      <c r="P35839" s="13"/>
    </row>
    <row r="35840">
      <c r="L35840" s="13"/>
      <c r="M35840" s="14"/>
      <c r="N35840" s="14"/>
      <c r="O35840" s="14"/>
      <c r="P35840" s="13"/>
    </row>
    <row r="35841">
      <c r="L35841" s="13"/>
      <c r="M35841" s="14"/>
      <c r="N35841" s="14"/>
      <c r="O35841" s="14"/>
      <c r="P35841" s="13"/>
    </row>
    <row r="35842">
      <c r="L35842" s="13"/>
      <c r="M35842" s="14"/>
      <c r="N35842" s="14"/>
      <c r="O35842" s="14"/>
      <c r="P35842" s="13"/>
    </row>
    <row r="35843">
      <c r="L35843" s="13"/>
      <c r="M35843" s="14"/>
      <c r="N35843" s="14"/>
      <c r="O35843" s="14"/>
      <c r="P35843" s="13"/>
    </row>
    <row r="35844">
      <c r="L35844" s="13"/>
      <c r="M35844" s="14"/>
      <c r="N35844" s="14"/>
      <c r="O35844" s="14"/>
      <c r="P35844" s="13"/>
    </row>
    <row r="35845">
      <c r="L35845" s="13"/>
      <c r="M35845" s="14"/>
      <c r="N35845" s="14"/>
      <c r="O35845" s="14"/>
      <c r="P35845" s="13"/>
    </row>
    <row r="35846">
      <c r="L35846" s="13"/>
      <c r="M35846" s="14"/>
      <c r="N35846" s="14"/>
      <c r="O35846" s="14"/>
      <c r="P35846" s="13"/>
    </row>
    <row r="35847">
      <c r="L35847" s="13"/>
      <c r="M35847" s="14"/>
      <c r="N35847" s="14"/>
      <c r="O35847" s="14"/>
      <c r="P35847" s="13"/>
    </row>
    <row r="35848">
      <c r="L35848" s="13"/>
      <c r="M35848" s="14"/>
      <c r="N35848" s="14"/>
      <c r="O35848" s="14"/>
      <c r="P35848" s="13"/>
    </row>
    <row r="35849">
      <c r="L35849" s="13"/>
      <c r="M35849" s="14"/>
      <c r="N35849" s="14"/>
      <c r="O35849" s="14"/>
      <c r="P35849" s="13"/>
    </row>
    <row r="35850">
      <c r="L35850" s="13"/>
      <c r="M35850" s="14"/>
      <c r="N35850" s="14"/>
      <c r="O35850" s="14"/>
      <c r="P35850" s="13"/>
    </row>
    <row r="35851">
      <c r="L35851" s="13"/>
      <c r="M35851" s="14"/>
      <c r="N35851" s="14"/>
      <c r="O35851" s="14"/>
      <c r="P35851" s="13"/>
    </row>
    <row r="35852">
      <c r="L35852" s="13"/>
      <c r="M35852" s="14"/>
      <c r="N35852" s="14"/>
      <c r="O35852" s="14"/>
      <c r="P35852" s="13"/>
    </row>
    <row r="35853">
      <c r="L35853" s="13"/>
      <c r="M35853" s="14"/>
      <c r="N35853" s="14"/>
      <c r="O35853" s="14"/>
      <c r="P35853" s="13"/>
    </row>
    <row r="35854">
      <c r="L35854" s="13"/>
      <c r="M35854" s="14"/>
      <c r="N35854" s="14"/>
      <c r="O35854" s="14"/>
      <c r="P35854" s="13"/>
    </row>
    <row r="35855">
      <c r="L35855" s="13"/>
      <c r="M35855" s="14"/>
      <c r="N35855" s="14"/>
      <c r="O35855" s="14"/>
      <c r="P35855" s="13"/>
    </row>
    <row r="35856">
      <c r="L35856" s="13"/>
      <c r="M35856" s="14"/>
      <c r="N35856" s="14"/>
      <c r="O35856" s="14"/>
      <c r="P35856" s="13"/>
    </row>
    <row r="35857">
      <c r="L35857" s="13"/>
      <c r="M35857" s="14"/>
      <c r="N35857" s="14"/>
      <c r="O35857" s="14"/>
      <c r="P35857" s="13"/>
    </row>
    <row r="35858">
      <c r="L35858" s="13"/>
      <c r="M35858" s="14"/>
      <c r="N35858" s="14"/>
      <c r="O35858" s="14"/>
      <c r="P35858" s="13"/>
    </row>
    <row r="35859">
      <c r="L35859" s="13"/>
      <c r="M35859" s="14"/>
      <c r="N35859" s="14"/>
      <c r="O35859" s="14"/>
      <c r="P35859" s="13"/>
    </row>
    <row r="35860">
      <c r="L35860" s="13"/>
      <c r="M35860" s="14"/>
      <c r="N35860" s="14"/>
      <c r="O35860" s="14"/>
      <c r="P35860" s="13"/>
    </row>
    <row r="35861">
      <c r="L35861" s="13"/>
      <c r="M35861" s="14"/>
      <c r="N35861" s="14"/>
      <c r="O35861" s="14"/>
      <c r="P35861" s="13"/>
    </row>
    <row r="35862">
      <c r="L35862" s="13"/>
      <c r="M35862" s="14"/>
      <c r="N35862" s="14"/>
      <c r="O35862" s="14"/>
      <c r="P35862" s="13"/>
    </row>
    <row r="35863">
      <c r="L35863" s="13"/>
      <c r="M35863" s="14"/>
      <c r="N35863" s="14"/>
      <c r="O35863" s="14"/>
      <c r="P35863" s="13"/>
    </row>
    <row r="35864">
      <c r="L35864" s="13"/>
      <c r="M35864" s="14"/>
      <c r="N35864" s="14"/>
      <c r="O35864" s="14"/>
      <c r="P35864" s="13"/>
    </row>
    <row r="35865">
      <c r="L35865" s="13"/>
      <c r="M35865" s="14"/>
      <c r="N35865" s="14"/>
      <c r="O35865" s="14"/>
      <c r="P35865" s="13"/>
    </row>
    <row r="35866">
      <c r="L35866" s="13"/>
      <c r="M35866" s="14"/>
      <c r="N35866" s="14"/>
      <c r="O35866" s="14"/>
      <c r="P35866" s="13"/>
    </row>
    <row r="35867">
      <c r="L35867" s="13"/>
      <c r="M35867" s="14"/>
      <c r="N35867" s="14"/>
      <c r="O35867" s="14"/>
      <c r="P35867" s="13"/>
    </row>
    <row r="35868">
      <c r="L35868" s="13"/>
      <c r="M35868" s="14"/>
      <c r="N35868" s="14"/>
      <c r="O35868" s="14"/>
      <c r="P35868" s="13"/>
    </row>
    <row r="35869">
      <c r="L35869" s="13"/>
      <c r="M35869" s="14"/>
      <c r="N35869" s="14"/>
      <c r="O35869" s="14"/>
      <c r="P35869" s="13"/>
    </row>
    <row r="35870">
      <c r="L35870" s="13"/>
      <c r="M35870" s="14"/>
      <c r="N35870" s="14"/>
      <c r="O35870" s="14"/>
      <c r="P35870" s="13"/>
    </row>
    <row r="35871">
      <c r="L35871" s="13"/>
      <c r="M35871" s="14"/>
      <c r="N35871" s="14"/>
      <c r="O35871" s="14"/>
      <c r="P35871" s="13"/>
    </row>
    <row r="35872">
      <c r="L35872" s="13"/>
      <c r="M35872" s="14"/>
      <c r="N35872" s="14"/>
      <c r="O35872" s="14"/>
      <c r="P35872" s="13"/>
    </row>
    <row r="35873">
      <c r="L35873" s="13"/>
      <c r="M35873" s="14"/>
      <c r="N35873" s="14"/>
      <c r="O35873" s="14"/>
      <c r="P35873" s="13"/>
    </row>
    <row r="35874">
      <c r="L35874" s="13"/>
      <c r="M35874" s="14"/>
      <c r="N35874" s="14"/>
      <c r="O35874" s="14"/>
      <c r="P35874" s="13"/>
    </row>
    <row r="35875">
      <c r="L35875" s="13"/>
      <c r="M35875" s="14"/>
      <c r="N35875" s="14"/>
      <c r="O35875" s="14"/>
      <c r="P35875" s="13"/>
    </row>
    <row r="35876">
      <c r="L35876" s="13"/>
      <c r="M35876" s="14"/>
      <c r="N35876" s="14"/>
      <c r="O35876" s="14"/>
      <c r="P35876" s="13"/>
    </row>
    <row r="35877">
      <c r="L35877" s="13"/>
      <c r="M35877" s="14"/>
      <c r="N35877" s="14"/>
      <c r="O35877" s="14"/>
      <c r="P35877" s="13"/>
    </row>
    <row r="35878">
      <c r="L35878" s="13"/>
      <c r="M35878" s="14"/>
      <c r="N35878" s="14"/>
      <c r="O35878" s="14"/>
      <c r="P35878" s="13"/>
    </row>
    <row r="35879">
      <c r="L35879" s="13"/>
      <c r="M35879" s="14"/>
      <c r="N35879" s="14"/>
      <c r="O35879" s="14"/>
      <c r="P35879" s="13"/>
    </row>
    <row r="35880">
      <c r="L35880" s="13"/>
      <c r="M35880" s="14"/>
      <c r="N35880" s="14"/>
      <c r="O35880" s="14"/>
      <c r="P35880" s="13"/>
    </row>
    <row r="35881">
      <c r="L35881" s="13"/>
      <c r="M35881" s="14"/>
      <c r="N35881" s="14"/>
      <c r="O35881" s="14"/>
      <c r="P35881" s="13"/>
    </row>
    <row r="35882">
      <c r="L35882" s="13"/>
      <c r="M35882" s="14"/>
      <c r="N35882" s="14"/>
      <c r="O35882" s="14"/>
      <c r="P35882" s="13"/>
    </row>
    <row r="35883">
      <c r="L35883" s="13"/>
      <c r="M35883" s="14"/>
      <c r="N35883" s="14"/>
      <c r="O35883" s="14"/>
      <c r="P35883" s="13"/>
    </row>
    <row r="35884">
      <c r="L35884" s="13"/>
      <c r="M35884" s="14"/>
      <c r="N35884" s="14"/>
      <c r="O35884" s="14"/>
      <c r="P35884" s="13"/>
    </row>
    <row r="35885">
      <c r="L35885" s="13"/>
      <c r="M35885" s="14"/>
      <c r="N35885" s="14"/>
      <c r="O35885" s="14"/>
      <c r="P35885" s="13"/>
    </row>
    <row r="35886">
      <c r="L35886" s="13"/>
      <c r="M35886" s="14"/>
      <c r="N35886" s="14"/>
      <c r="O35886" s="14"/>
      <c r="P35886" s="13"/>
    </row>
    <row r="35887">
      <c r="L35887" s="13"/>
      <c r="M35887" s="14"/>
      <c r="N35887" s="14"/>
      <c r="O35887" s="14"/>
      <c r="P35887" s="13"/>
    </row>
    <row r="35888">
      <c r="L35888" s="13"/>
      <c r="M35888" s="14"/>
      <c r="N35888" s="14"/>
      <c r="O35888" s="14"/>
      <c r="P35888" s="13"/>
    </row>
    <row r="35889">
      <c r="L35889" s="13"/>
      <c r="M35889" s="14"/>
      <c r="N35889" s="14"/>
      <c r="O35889" s="14"/>
      <c r="P35889" s="13"/>
    </row>
    <row r="35890">
      <c r="L35890" s="13"/>
      <c r="M35890" s="14"/>
      <c r="N35890" s="14"/>
      <c r="O35890" s="14"/>
      <c r="P35890" s="13"/>
    </row>
    <row r="35891">
      <c r="L35891" s="13"/>
      <c r="M35891" s="14"/>
      <c r="N35891" s="14"/>
      <c r="O35891" s="14"/>
      <c r="P35891" s="13"/>
    </row>
    <row r="35892">
      <c r="L35892" s="13"/>
      <c r="M35892" s="14"/>
      <c r="N35892" s="14"/>
      <c r="O35892" s="14"/>
      <c r="P35892" s="13"/>
    </row>
    <row r="35893">
      <c r="L35893" s="13"/>
      <c r="M35893" s="14"/>
      <c r="N35893" s="14"/>
      <c r="O35893" s="14"/>
      <c r="P35893" s="13"/>
    </row>
    <row r="35894">
      <c r="L35894" s="13"/>
      <c r="M35894" s="14"/>
      <c r="N35894" s="14"/>
      <c r="O35894" s="14"/>
      <c r="P35894" s="13"/>
    </row>
    <row r="35895">
      <c r="L35895" s="13"/>
      <c r="M35895" s="14"/>
      <c r="N35895" s="14"/>
      <c r="O35895" s="14"/>
      <c r="P35895" s="13"/>
    </row>
    <row r="35896">
      <c r="L35896" s="13"/>
      <c r="M35896" s="14"/>
      <c r="N35896" s="14"/>
      <c r="O35896" s="14"/>
      <c r="P35896" s="13"/>
    </row>
    <row r="35897">
      <c r="L35897" s="13"/>
      <c r="M35897" s="14"/>
      <c r="N35897" s="14"/>
      <c r="O35897" s="14"/>
      <c r="P35897" s="13"/>
    </row>
    <row r="35898">
      <c r="L35898" s="13"/>
      <c r="M35898" s="14"/>
      <c r="N35898" s="14"/>
      <c r="O35898" s="14"/>
      <c r="P35898" s="13"/>
    </row>
    <row r="35899">
      <c r="L35899" s="13"/>
      <c r="M35899" s="14"/>
      <c r="N35899" s="14"/>
      <c r="O35899" s="14"/>
      <c r="P35899" s="13"/>
    </row>
    <row r="35900">
      <c r="L35900" s="13"/>
      <c r="M35900" s="14"/>
      <c r="N35900" s="14"/>
      <c r="O35900" s="14"/>
      <c r="P35900" s="13"/>
    </row>
    <row r="35901">
      <c r="L35901" s="13"/>
      <c r="M35901" s="14"/>
      <c r="N35901" s="14"/>
      <c r="O35901" s="14"/>
      <c r="P35901" s="13"/>
    </row>
    <row r="35902">
      <c r="L35902" s="13"/>
      <c r="M35902" s="14"/>
      <c r="N35902" s="14"/>
      <c r="O35902" s="14"/>
      <c r="P35902" s="13"/>
    </row>
    <row r="35903">
      <c r="L35903" s="13"/>
      <c r="M35903" s="14"/>
      <c r="N35903" s="14"/>
      <c r="O35903" s="14"/>
      <c r="P35903" s="13"/>
    </row>
    <row r="35904">
      <c r="L35904" s="13"/>
      <c r="M35904" s="14"/>
      <c r="N35904" s="14"/>
      <c r="O35904" s="14"/>
      <c r="P35904" s="13"/>
    </row>
    <row r="35905">
      <c r="L35905" s="13"/>
      <c r="M35905" s="14"/>
      <c r="N35905" s="14"/>
      <c r="O35905" s="14"/>
      <c r="P35905" s="13"/>
    </row>
    <row r="35906">
      <c r="L35906" s="13"/>
      <c r="M35906" s="14"/>
      <c r="N35906" s="14"/>
      <c r="O35906" s="14"/>
      <c r="P35906" s="13"/>
    </row>
    <row r="35907">
      <c r="L35907" s="13"/>
      <c r="M35907" s="14"/>
      <c r="N35907" s="14"/>
      <c r="O35907" s="14"/>
      <c r="P35907" s="13"/>
    </row>
    <row r="35908">
      <c r="L35908" s="13"/>
      <c r="M35908" s="14"/>
      <c r="N35908" s="14"/>
      <c r="O35908" s="14"/>
      <c r="P35908" s="13"/>
    </row>
    <row r="35909">
      <c r="L35909" s="13"/>
      <c r="M35909" s="14"/>
      <c r="N35909" s="14"/>
      <c r="O35909" s="14"/>
      <c r="P35909" s="13"/>
    </row>
    <row r="35910">
      <c r="L35910" s="13"/>
      <c r="M35910" s="14"/>
      <c r="N35910" s="14"/>
      <c r="O35910" s="14"/>
      <c r="P35910" s="13"/>
    </row>
    <row r="35911">
      <c r="L35911" s="13"/>
      <c r="M35911" s="14"/>
      <c r="N35911" s="14"/>
      <c r="O35911" s="14"/>
      <c r="P35911" s="13"/>
    </row>
    <row r="35912">
      <c r="L35912" s="13"/>
      <c r="M35912" s="14"/>
      <c r="N35912" s="14"/>
      <c r="O35912" s="14"/>
      <c r="P35912" s="13"/>
    </row>
    <row r="35913">
      <c r="L35913" s="13"/>
      <c r="M35913" s="14"/>
      <c r="N35913" s="14"/>
      <c r="O35913" s="14"/>
      <c r="P35913" s="13"/>
    </row>
    <row r="35914">
      <c r="L35914" s="13"/>
      <c r="M35914" s="14"/>
      <c r="N35914" s="14"/>
      <c r="O35914" s="14"/>
      <c r="P35914" s="13"/>
    </row>
    <row r="35915">
      <c r="L35915" s="13"/>
      <c r="M35915" s="14"/>
      <c r="N35915" s="14"/>
      <c r="O35915" s="14"/>
      <c r="P35915" s="13"/>
    </row>
    <row r="35916">
      <c r="L35916" s="13"/>
      <c r="M35916" s="14"/>
      <c r="N35916" s="14"/>
      <c r="O35916" s="14"/>
      <c r="P35916" s="13"/>
    </row>
    <row r="35917">
      <c r="L35917" s="13"/>
      <c r="M35917" s="14"/>
      <c r="N35917" s="14"/>
      <c r="O35917" s="14"/>
      <c r="P35917" s="13"/>
    </row>
    <row r="35918">
      <c r="L35918" s="13"/>
      <c r="M35918" s="14"/>
      <c r="N35918" s="14"/>
      <c r="O35918" s="14"/>
      <c r="P35918" s="13"/>
    </row>
    <row r="35919">
      <c r="L35919" s="13"/>
      <c r="M35919" s="14"/>
      <c r="N35919" s="14"/>
      <c r="O35919" s="14"/>
      <c r="P35919" s="13"/>
    </row>
    <row r="35920">
      <c r="L35920" s="13"/>
      <c r="M35920" s="14"/>
      <c r="N35920" s="14"/>
      <c r="O35920" s="14"/>
      <c r="P35920" s="13"/>
    </row>
    <row r="35921">
      <c r="L35921" s="13"/>
      <c r="M35921" s="14"/>
      <c r="N35921" s="14"/>
      <c r="O35921" s="14"/>
      <c r="P35921" s="13"/>
    </row>
    <row r="35922">
      <c r="L35922" s="13"/>
      <c r="M35922" s="14"/>
      <c r="N35922" s="14"/>
      <c r="O35922" s="14"/>
      <c r="P35922" s="13"/>
    </row>
    <row r="35923">
      <c r="L35923" s="13"/>
      <c r="M35923" s="14"/>
      <c r="N35923" s="14"/>
      <c r="O35923" s="14"/>
      <c r="P35923" s="13"/>
    </row>
    <row r="35924">
      <c r="L35924" s="13"/>
      <c r="M35924" s="14"/>
      <c r="N35924" s="14"/>
      <c r="O35924" s="14"/>
      <c r="P35924" s="13"/>
    </row>
    <row r="35925">
      <c r="L35925" s="13"/>
      <c r="M35925" s="14"/>
      <c r="N35925" s="14"/>
      <c r="O35925" s="14"/>
      <c r="P35925" s="13"/>
    </row>
    <row r="35926">
      <c r="L35926" s="13"/>
      <c r="M35926" s="14"/>
      <c r="N35926" s="14"/>
      <c r="O35926" s="14"/>
      <c r="P35926" s="13"/>
    </row>
    <row r="35927">
      <c r="L35927" s="13"/>
      <c r="M35927" s="14"/>
      <c r="N35927" s="14"/>
      <c r="O35927" s="14"/>
      <c r="P35927" s="13"/>
    </row>
    <row r="35928">
      <c r="L35928" s="13"/>
      <c r="M35928" s="14"/>
      <c r="N35928" s="14"/>
      <c r="O35928" s="14"/>
      <c r="P35928" s="13"/>
    </row>
    <row r="35929">
      <c r="L35929" s="13"/>
      <c r="M35929" s="14"/>
      <c r="N35929" s="14"/>
      <c r="O35929" s="14"/>
      <c r="P35929" s="13"/>
    </row>
    <row r="35930">
      <c r="L35930" s="13"/>
      <c r="M35930" s="14"/>
      <c r="N35930" s="14"/>
      <c r="O35930" s="14"/>
      <c r="P35930" s="13"/>
    </row>
    <row r="35931">
      <c r="L35931" s="13"/>
      <c r="M35931" s="14"/>
      <c r="N35931" s="14"/>
      <c r="O35931" s="14"/>
      <c r="P35931" s="13"/>
    </row>
    <row r="35932">
      <c r="L35932" s="13"/>
      <c r="M35932" s="14"/>
      <c r="N35932" s="14"/>
      <c r="O35932" s="14"/>
      <c r="P35932" s="13"/>
    </row>
    <row r="35933">
      <c r="L35933" s="13"/>
      <c r="M35933" s="14"/>
      <c r="N35933" s="14"/>
      <c r="O35933" s="14"/>
      <c r="P35933" s="13"/>
    </row>
    <row r="35934">
      <c r="L35934" s="13"/>
      <c r="M35934" s="14"/>
      <c r="N35934" s="14"/>
      <c r="O35934" s="14"/>
      <c r="P35934" s="13"/>
    </row>
    <row r="35935">
      <c r="L35935" s="13"/>
      <c r="M35935" s="14"/>
      <c r="N35935" s="14"/>
      <c r="O35935" s="14"/>
      <c r="P35935" s="13"/>
    </row>
    <row r="35936">
      <c r="L35936" s="13"/>
      <c r="M35936" s="14"/>
      <c r="N35936" s="14"/>
      <c r="O35936" s="14"/>
      <c r="P35936" s="13"/>
    </row>
    <row r="35937">
      <c r="L35937" s="13"/>
      <c r="M35937" s="14"/>
      <c r="N35937" s="14"/>
      <c r="O35937" s="14"/>
      <c r="P35937" s="13"/>
    </row>
    <row r="35938">
      <c r="L35938" s="13"/>
      <c r="M35938" s="14"/>
      <c r="N35938" s="14"/>
      <c r="O35938" s="14"/>
      <c r="P35938" s="13"/>
    </row>
    <row r="35939">
      <c r="L35939" s="13"/>
      <c r="M35939" s="14"/>
      <c r="N35939" s="14"/>
      <c r="O35939" s="14"/>
      <c r="P35939" s="13"/>
    </row>
    <row r="35940">
      <c r="L35940" s="13"/>
      <c r="M35940" s="14"/>
      <c r="N35940" s="14"/>
      <c r="O35940" s="14"/>
      <c r="P35940" s="13"/>
    </row>
    <row r="35941">
      <c r="L35941" s="13"/>
      <c r="M35941" s="14"/>
      <c r="N35941" s="14"/>
      <c r="O35941" s="14"/>
      <c r="P35941" s="13"/>
    </row>
    <row r="35942">
      <c r="L35942" s="13"/>
      <c r="M35942" s="14"/>
      <c r="N35942" s="14"/>
      <c r="O35942" s="14"/>
      <c r="P35942" s="13"/>
    </row>
    <row r="35943">
      <c r="L35943" s="13"/>
      <c r="M35943" s="14"/>
      <c r="N35943" s="14"/>
      <c r="O35943" s="14"/>
      <c r="P35943" s="13"/>
    </row>
    <row r="35944">
      <c r="L35944" s="13"/>
      <c r="M35944" s="14"/>
      <c r="N35944" s="14"/>
      <c r="O35944" s="14"/>
      <c r="P35944" s="13"/>
    </row>
    <row r="35945">
      <c r="L35945" s="13"/>
      <c r="M35945" s="14"/>
      <c r="N35945" s="14"/>
      <c r="O35945" s="14"/>
      <c r="P35945" s="13"/>
    </row>
    <row r="35946">
      <c r="L35946" s="13"/>
      <c r="M35946" s="14"/>
      <c r="N35946" s="14"/>
      <c r="O35946" s="14"/>
      <c r="P35946" s="13"/>
    </row>
    <row r="35947">
      <c r="L35947" s="13"/>
      <c r="M35947" s="14"/>
      <c r="N35947" s="14"/>
      <c r="O35947" s="14"/>
      <c r="P35947" s="13"/>
    </row>
    <row r="35948">
      <c r="L35948" s="13"/>
      <c r="M35948" s="14"/>
      <c r="N35948" s="14"/>
      <c r="O35948" s="14"/>
      <c r="P35948" s="13"/>
    </row>
    <row r="35949">
      <c r="L35949" s="13"/>
      <c r="M35949" s="14"/>
      <c r="N35949" s="14"/>
      <c r="O35949" s="14"/>
      <c r="P35949" s="13"/>
    </row>
    <row r="35950">
      <c r="L35950" s="13"/>
      <c r="M35950" s="14"/>
      <c r="N35950" s="14"/>
      <c r="O35950" s="14"/>
      <c r="P35950" s="13"/>
    </row>
    <row r="35951">
      <c r="L35951" s="13"/>
      <c r="M35951" s="14"/>
      <c r="N35951" s="14"/>
      <c r="O35951" s="14"/>
      <c r="P35951" s="13"/>
    </row>
    <row r="35952">
      <c r="L35952" s="13"/>
      <c r="M35952" s="14"/>
      <c r="N35952" s="14"/>
      <c r="O35952" s="14"/>
      <c r="P35952" s="13"/>
    </row>
    <row r="35953">
      <c r="L35953" s="13"/>
      <c r="M35953" s="14"/>
      <c r="N35953" s="14"/>
      <c r="O35953" s="14"/>
      <c r="P35953" s="13"/>
    </row>
    <row r="35954">
      <c r="L35954" s="13"/>
      <c r="M35954" s="14"/>
      <c r="N35954" s="14"/>
      <c r="O35954" s="14"/>
      <c r="P35954" s="13"/>
    </row>
    <row r="35955">
      <c r="L35955" s="13"/>
      <c r="M35955" s="14"/>
      <c r="N35955" s="14"/>
      <c r="O35955" s="14"/>
      <c r="P35955" s="13"/>
    </row>
    <row r="35956">
      <c r="L35956" s="13"/>
      <c r="M35956" s="14"/>
      <c r="N35956" s="14"/>
      <c r="O35956" s="14"/>
      <c r="P35956" s="13"/>
    </row>
    <row r="35957">
      <c r="L35957" s="13"/>
      <c r="M35957" s="14"/>
      <c r="N35957" s="14"/>
      <c r="O35957" s="14"/>
      <c r="P35957" s="13"/>
    </row>
    <row r="35958">
      <c r="L35958" s="13"/>
      <c r="M35958" s="14"/>
      <c r="N35958" s="14"/>
      <c r="O35958" s="14"/>
      <c r="P35958" s="13"/>
    </row>
    <row r="35959">
      <c r="L35959" s="13"/>
      <c r="M35959" s="14"/>
      <c r="N35959" s="14"/>
      <c r="O35959" s="14"/>
      <c r="P35959" s="13"/>
    </row>
    <row r="35960">
      <c r="L35960" s="13"/>
      <c r="M35960" s="14"/>
      <c r="N35960" s="14"/>
      <c r="O35960" s="14"/>
      <c r="P35960" s="13"/>
    </row>
    <row r="35961">
      <c r="L35961" s="13"/>
      <c r="M35961" s="14"/>
      <c r="N35961" s="14"/>
      <c r="O35961" s="14"/>
      <c r="P35961" s="13"/>
    </row>
    <row r="35962">
      <c r="L35962" s="13"/>
      <c r="M35962" s="14"/>
      <c r="N35962" s="14"/>
      <c r="O35962" s="14"/>
      <c r="P35962" s="13"/>
    </row>
    <row r="35963">
      <c r="L35963" s="13"/>
      <c r="M35963" s="14"/>
      <c r="N35963" s="14"/>
      <c r="O35963" s="14"/>
      <c r="P35963" s="13"/>
    </row>
    <row r="35964">
      <c r="L35964" s="13"/>
      <c r="M35964" s="14"/>
      <c r="N35964" s="14"/>
      <c r="O35964" s="14"/>
      <c r="P35964" s="13"/>
    </row>
    <row r="35965">
      <c r="L35965" s="13"/>
      <c r="M35965" s="14"/>
      <c r="N35965" s="14"/>
      <c r="O35965" s="14"/>
      <c r="P35965" s="13"/>
    </row>
    <row r="35966">
      <c r="L35966" s="13"/>
      <c r="M35966" s="14"/>
      <c r="N35966" s="14"/>
      <c r="O35966" s="14"/>
      <c r="P35966" s="13"/>
    </row>
    <row r="35967">
      <c r="L35967" s="13"/>
      <c r="M35967" s="14"/>
      <c r="N35967" s="14"/>
      <c r="O35967" s="14"/>
      <c r="P35967" s="13"/>
    </row>
    <row r="35968">
      <c r="L35968" s="13"/>
      <c r="M35968" s="14"/>
      <c r="N35968" s="14"/>
      <c r="O35968" s="14"/>
      <c r="P35968" s="13"/>
    </row>
    <row r="35969">
      <c r="L35969" s="13"/>
      <c r="M35969" s="14"/>
      <c r="N35969" s="14"/>
      <c r="O35969" s="14"/>
      <c r="P35969" s="13"/>
    </row>
    <row r="35970">
      <c r="L35970" s="13"/>
      <c r="M35970" s="14"/>
      <c r="N35970" s="14"/>
      <c r="O35970" s="14"/>
      <c r="P35970" s="13"/>
    </row>
    <row r="35971">
      <c r="L35971" s="13"/>
      <c r="M35971" s="14"/>
      <c r="N35971" s="14"/>
      <c r="O35971" s="14"/>
      <c r="P35971" s="13"/>
    </row>
    <row r="35972">
      <c r="L35972" s="13"/>
      <c r="M35972" s="14"/>
      <c r="N35972" s="14"/>
      <c r="O35972" s="14"/>
      <c r="P35972" s="13"/>
    </row>
    <row r="35973">
      <c r="L35973" s="13"/>
      <c r="M35973" s="14"/>
      <c r="N35973" s="14"/>
      <c r="O35973" s="14"/>
      <c r="P35973" s="13"/>
    </row>
    <row r="35974">
      <c r="L35974" s="13"/>
      <c r="M35974" s="14"/>
      <c r="N35974" s="14"/>
      <c r="O35974" s="14"/>
      <c r="P35974" s="13"/>
    </row>
    <row r="35975">
      <c r="L35975" s="13"/>
      <c r="M35975" s="14"/>
      <c r="N35975" s="14"/>
      <c r="O35975" s="14"/>
      <c r="P35975" s="13"/>
    </row>
    <row r="35976">
      <c r="L35976" s="13"/>
      <c r="M35976" s="14"/>
      <c r="N35976" s="14"/>
      <c r="O35976" s="14"/>
      <c r="P35976" s="13"/>
    </row>
    <row r="35977">
      <c r="L35977" s="13"/>
      <c r="M35977" s="14"/>
      <c r="N35977" s="14"/>
      <c r="O35977" s="14"/>
      <c r="P35977" s="13"/>
    </row>
    <row r="35978">
      <c r="L35978" s="13"/>
      <c r="M35978" s="14"/>
      <c r="N35978" s="14"/>
      <c r="O35978" s="14"/>
      <c r="P35978" s="13"/>
    </row>
    <row r="35979">
      <c r="L35979" s="13"/>
      <c r="M35979" s="14"/>
      <c r="N35979" s="14"/>
      <c r="O35979" s="14"/>
      <c r="P35979" s="13"/>
    </row>
    <row r="35980">
      <c r="L35980" s="13"/>
      <c r="M35980" s="14"/>
      <c r="N35980" s="14"/>
      <c r="O35980" s="14"/>
      <c r="P35980" s="13"/>
    </row>
    <row r="35981">
      <c r="L35981" s="13"/>
      <c r="M35981" s="14"/>
      <c r="N35981" s="14"/>
      <c r="O35981" s="14"/>
      <c r="P35981" s="13"/>
    </row>
    <row r="35982">
      <c r="L35982" s="13"/>
      <c r="M35982" s="14"/>
      <c r="N35982" s="14"/>
      <c r="O35982" s="14"/>
      <c r="P35982" s="13"/>
    </row>
    <row r="35983">
      <c r="L35983" s="13"/>
      <c r="M35983" s="14"/>
      <c r="N35983" s="14"/>
      <c r="O35983" s="14"/>
      <c r="P35983" s="13"/>
    </row>
    <row r="35984">
      <c r="L35984" s="13"/>
      <c r="M35984" s="14"/>
      <c r="N35984" s="14"/>
      <c r="O35984" s="14"/>
      <c r="P35984" s="13"/>
    </row>
    <row r="35985">
      <c r="L35985" s="13"/>
      <c r="M35985" s="14"/>
      <c r="N35985" s="14"/>
      <c r="O35985" s="14"/>
      <c r="P35985" s="13"/>
    </row>
    <row r="35986">
      <c r="L35986" s="13"/>
      <c r="M35986" s="14"/>
      <c r="N35986" s="14"/>
      <c r="O35986" s="14"/>
      <c r="P35986" s="13"/>
    </row>
    <row r="35987">
      <c r="L35987" s="13"/>
      <c r="M35987" s="14"/>
      <c r="N35987" s="14"/>
      <c r="O35987" s="14"/>
      <c r="P35987" s="13"/>
    </row>
    <row r="35988">
      <c r="L35988" s="13"/>
      <c r="M35988" s="14"/>
      <c r="N35988" s="14"/>
      <c r="O35988" s="14"/>
      <c r="P35988" s="13"/>
    </row>
    <row r="35989">
      <c r="L35989" s="13"/>
      <c r="M35989" s="14"/>
      <c r="N35989" s="14"/>
      <c r="O35989" s="14"/>
      <c r="P35989" s="13"/>
    </row>
    <row r="35990">
      <c r="L35990" s="13"/>
      <c r="M35990" s="14"/>
      <c r="N35990" s="14"/>
      <c r="O35990" s="14"/>
      <c r="P35990" s="13"/>
    </row>
    <row r="35991">
      <c r="L35991" s="13"/>
      <c r="M35991" s="14"/>
      <c r="N35991" s="14"/>
      <c r="O35991" s="14"/>
      <c r="P35991" s="13"/>
    </row>
    <row r="35992">
      <c r="L35992" s="13"/>
      <c r="M35992" s="14"/>
      <c r="N35992" s="14"/>
      <c r="O35992" s="14"/>
      <c r="P35992" s="13"/>
    </row>
    <row r="35993">
      <c r="L35993" s="13"/>
      <c r="M35993" s="14"/>
      <c r="N35993" s="14"/>
      <c r="O35993" s="14"/>
      <c r="P35993" s="13"/>
    </row>
    <row r="35994">
      <c r="L35994" s="13"/>
      <c r="M35994" s="14"/>
      <c r="N35994" s="14"/>
      <c r="O35994" s="14"/>
      <c r="P35994" s="13"/>
    </row>
    <row r="35995">
      <c r="L35995" s="13"/>
      <c r="M35995" s="14"/>
      <c r="N35995" s="14"/>
      <c r="O35995" s="14"/>
      <c r="P35995" s="13"/>
    </row>
    <row r="35996">
      <c r="L35996" s="13"/>
      <c r="M35996" s="14"/>
      <c r="N35996" s="14"/>
      <c r="O35996" s="14"/>
      <c r="P35996" s="13"/>
    </row>
    <row r="35997">
      <c r="L35997" s="13"/>
      <c r="M35997" s="14"/>
      <c r="N35997" s="14"/>
      <c r="O35997" s="14"/>
      <c r="P35997" s="13"/>
    </row>
    <row r="35998">
      <c r="L35998" s="13"/>
      <c r="M35998" s="14"/>
      <c r="N35998" s="14"/>
      <c r="O35998" s="14"/>
      <c r="P35998" s="13"/>
    </row>
    <row r="35999">
      <c r="L35999" s="13"/>
      <c r="M35999" s="14"/>
      <c r="N35999" s="14"/>
      <c r="O35999" s="14"/>
      <c r="P35999" s="13"/>
    </row>
    <row r="36000">
      <c r="L36000" s="13"/>
      <c r="M36000" s="14"/>
      <c r="N36000" s="14"/>
      <c r="O36000" s="14"/>
      <c r="P36000" s="13"/>
    </row>
    <row r="36001">
      <c r="L36001" s="13"/>
      <c r="M36001" s="14"/>
      <c r="N36001" s="14"/>
      <c r="O36001" s="14"/>
      <c r="P36001" s="13"/>
    </row>
    <row r="36002">
      <c r="L36002" s="13"/>
      <c r="M36002" s="14"/>
      <c r="N36002" s="14"/>
      <c r="O36002" s="14"/>
      <c r="P36002" s="13"/>
    </row>
    <row r="36003">
      <c r="L36003" s="13"/>
      <c r="M36003" s="14"/>
      <c r="N36003" s="14"/>
      <c r="O36003" s="14"/>
      <c r="P36003" s="13"/>
    </row>
    <row r="36004">
      <c r="L36004" s="13"/>
      <c r="M36004" s="14"/>
      <c r="N36004" s="14"/>
      <c r="O36004" s="14"/>
      <c r="P36004" s="13"/>
    </row>
    <row r="36005">
      <c r="L36005" s="13"/>
      <c r="M36005" s="14"/>
      <c r="N36005" s="14"/>
      <c r="O36005" s="14"/>
      <c r="P36005" s="13"/>
    </row>
    <row r="36006">
      <c r="L36006" s="13"/>
      <c r="M36006" s="14"/>
      <c r="N36006" s="14"/>
      <c r="O36006" s="14"/>
      <c r="P36006" s="13"/>
    </row>
    <row r="36007">
      <c r="L36007" s="13"/>
      <c r="M36007" s="14"/>
      <c r="N36007" s="14"/>
      <c r="O36007" s="14"/>
      <c r="P36007" s="13"/>
    </row>
    <row r="36008">
      <c r="L36008" s="13"/>
      <c r="M36008" s="14"/>
      <c r="N36008" s="14"/>
      <c r="O36008" s="14"/>
      <c r="P36008" s="13"/>
    </row>
    <row r="36009">
      <c r="L36009" s="13"/>
      <c r="M36009" s="14"/>
      <c r="N36009" s="14"/>
      <c r="O36009" s="14"/>
      <c r="P36009" s="13"/>
    </row>
    <row r="36010">
      <c r="L36010" s="13"/>
      <c r="M36010" s="14"/>
      <c r="N36010" s="14"/>
      <c r="O36010" s="14"/>
      <c r="P36010" s="13"/>
    </row>
    <row r="36011">
      <c r="L36011" s="13"/>
      <c r="M36011" s="14"/>
      <c r="N36011" s="14"/>
      <c r="O36011" s="14"/>
      <c r="P36011" s="13"/>
    </row>
    <row r="36012">
      <c r="L36012" s="13"/>
      <c r="M36012" s="14"/>
      <c r="N36012" s="14"/>
      <c r="O36012" s="14"/>
      <c r="P36012" s="13"/>
    </row>
    <row r="36013">
      <c r="L36013" s="13"/>
      <c r="M36013" s="14"/>
      <c r="N36013" s="14"/>
      <c r="O36013" s="14"/>
      <c r="P36013" s="13"/>
    </row>
    <row r="36014">
      <c r="L36014" s="13"/>
      <c r="M36014" s="14"/>
      <c r="N36014" s="14"/>
      <c r="O36014" s="14"/>
      <c r="P36014" s="13"/>
    </row>
    <row r="36015">
      <c r="L36015" s="13"/>
      <c r="M36015" s="14"/>
      <c r="N36015" s="14"/>
      <c r="O36015" s="14"/>
      <c r="P36015" s="13"/>
    </row>
    <row r="36016">
      <c r="L36016" s="13"/>
      <c r="M36016" s="14"/>
      <c r="N36016" s="14"/>
      <c r="O36016" s="14"/>
      <c r="P36016" s="13"/>
    </row>
    <row r="36017">
      <c r="L36017" s="13"/>
      <c r="M36017" s="14"/>
      <c r="N36017" s="14"/>
      <c r="O36017" s="14"/>
      <c r="P36017" s="13"/>
    </row>
    <row r="36018">
      <c r="L36018" s="13"/>
      <c r="M36018" s="14"/>
      <c r="N36018" s="14"/>
      <c r="O36018" s="14"/>
      <c r="P36018" s="13"/>
    </row>
    <row r="36019">
      <c r="L36019" s="13"/>
      <c r="M36019" s="14"/>
      <c r="N36019" s="14"/>
      <c r="O36019" s="14"/>
      <c r="P36019" s="13"/>
    </row>
    <row r="36020">
      <c r="L36020" s="13"/>
      <c r="M36020" s="14"/>
      <c r="N36020" s="14"/>
      <c r="O36020" s="14"/>
      <c r="P36020" s="13"/>
    </row>
    <row r="36021">
      <c r="L36021" s="13"/>
      <c r="M36021" s="14"/>
      <c r="N36021" s="14"/>
      <c r="O36021" s="14"/>
      <c r="P36021" s="13"/>
    </row>
    <row r="36022">
      <c r="L36022" s="13"/>
      <c r="M36022" s="14"/>
      <c r="N36022" s="14"/>
      <c r="O36022" s="14"/>
      <c r="P36022" s="13"/>
    </row>
    <row r="36023">
      <c r="L36023" s="13"/>
      <c r="M36023" s="14"/>
      <c r="N36023" s="14"/>
      <c r="O36023" s="14"/>
      <c r="P36023" s="13"/>
    </row>
    <row r="36024">
      <c r="L36024" s="13"/>
      <c r="M36024" s="14"/>
      <c r="N36024" s="14"/>
      <c r="O36024" s="14"/>
      <c r="P36024" s="13"/>
    </row>
    <row r="36025">
      <c r="L36025" s="13"/>
      <c r="M36025" s="14"/>
      <c r="N36025" s="14"/>
      <c r="O36025" s="14"/>
      <c r="P36025" s="13"/>
    </row>
    <row r="36026">
      <c r="L36026" s="13"/>
      <c r="M36026" s="14"/>
      <c r="N36026" s="14"/>
      <c r="O36026" s="14"/>
      <c r="P36026" s="13"/>
    </row>
    <row r="36027">
      <c r="L36027" s="13"/>
      <c r="M36027" s="14"/>
      <c r="N36027" s="14"/>
      <c r="O36027" s="14"/>
      <c r="P36027" s="13"/>
    </row>
    <row r="36028">
      <c r="L36028" s="13"/>
      <c r="M36028" s="14"/>
      <c r="N36028" s="14"/>
      <c r="O36028" s="14"/>
      <c r="P36028" s="13"/>
    </row>
    <row r="36029">
      <c r="L36029" s="13"/>
      <c r="M36029" s="14"/>
      <c r="N36029" s="14"/>
      <c r="O36029" s="14"/>
      <c r="P36029" s="13"/>
    </row>
    <row r="36030">
      <c r="L36030" s="13"/>
      <c r="M36030" s="14"/>
      <c r="N36030" s="14"/>
      <c r="O36030" s="14"/>
      <c r="P36030" s="13"/>
    </row>
    <row r="36031">
      <c r="L36031" s="13"/>
      <c r="M36031" s="14"/>
      <c r="N36031" s="14"/>
      <c r="O36031" s="14"/>
      <c r="P36031" s="13"/>
    </row>
    <row r="36032">
      <c r="L36032" s="13"/>
      <c r="M36032" s="14"/>
      <c r="N36032" s="14"/>
      <c r="O36032" s="14"/>
      <c r="P36032" s="13"/>
    </row>
    <row r="36033">
      <c r="L36033" s="13"/>
      <c r="M36033" s="14"/>
      <c r="N36033" s="14"/>
      <c r="O36033" s="14"/>
      <c r="P36033" s="13"/>
    </row>
    <row r="36034">
      <c r="L36034" s="13"/>
      <c r="M36034" s="14"/>
      <c r="N36034" s="14"/>
      <c r="O36034" s="14"/>
      <c r="P36034" s="13"/>
    </row>
    <row r="36035">
      <c r="L36035" s="13"/>
      <c r="M36035" s="14"/>
      <c r="N36035" s="14"/>
      <c r="O36035" s="14"/>
      <c r="P36035" s="13"/>
    </row>
    <row r="36036">
      <c r="L36036" s="13"/>
      <c r="M36036" s="14"/>
      <c r="N36036" s="14"/>
      <c r="O36036" s="14"/>
      <c r="P36036" s="13"/>
    </row>
    <row r="36037">
      <c r="L36037" s="13"/>
      <c r="M36037" s="14"/>
      <c r="N36037" s="14"/>
      <c r="O36037" s="14"/>
      <c r="P36037" s="13"/>
    </row>
    <row r="36038">
      <c r="L36038" s="13"/>
      <c r="M36038" s="14"/>
      <c r="N36038" s="14"/>
      <c r="O36038" s="14"/>
      <c r="P36038" s="13"/>
    </row>
    <row r="36039">
      <c r="L36039" s="13"/>
      <c r="M36039" s="14"/>
      <c r="N36039" s="14"/>
      <c r="O36039" s="14"/>
      <c r="P36039" s="13"/>
    </row>
    <row r="36040">
      <c r="L36040" s="13"/>
      <c r="M36040" s="14"/>
      <c r="N36040" s="14"/>
      <c r="O36040" s="14"/>
      <c r="P36040" s="13"/>
    </row>
    <row r="36041">
      <c r="L36041" s="13"/>
      <c r="M36041" s="14"/>
      <c r="N36041" s="14"/>
      <c r="O36041" s="14"/>
      <c r="P36041" s="13"/>
    </row>
    <row r="36042">
      <c r="L36042" s="13"/>
      <c r="M36042" s="14"/>
      <c r="N36042" s="14"/>
      <c r="O36042" s="14"/>
      <c r="P36042" s="13"/>
    </row>
    <row r="36043">
      <c r="L36043" s="13"/>
      <c r="M36043" s="14"/>
      <c r="N36043" s="14"/>
      <c r="O36043" s="14"/>
      <c r="P36043" s="13"/>
    </row>
    <row r="36044">
      <c r="L36044" s="13"/>
      <c r="M36044" s="14"/>
      <c r="N36044" s="14"/>
      <c r="O36044" s="14"/>
      <c r="P36044" s="13"/>
    </row>
    <row r="36045">
      <c r="L36045" s="13"/>
      <c r="M36045" s="14"/>
      <c r="N36045" s="14"/>
      <c r="O36045" s="14"/>
      <c r="P36045" s="13"/>
    </row>
    <row r="36046">
      <c r="L36046" s="13"/>
      <c r="M36046" s="14"/>
      <c r="N36046" s="14"/>
      <c r="O36046" s="14"/>
      <c r="P36046" s="13"/>
    </row>
    <row r="36047">
      <c r="L36047" s="13"/>
      <c r="M36047" s="14"/>
      <c r="N36047" s="14"/>
      <c r="O36047" s="14"/>
      <c r="P36047" s="13"/>
    </row>
    <row r="36048">
      <c r="L36048" s="13"/>
      <c r="M36048" s="14"/>
      <c r="N36048" s="14"/>
      <c r="O36048" s="14"/>
      <c r="P36048" s="13"/>
    </row>
    <row r="36049">
      <c r="L36049" s="13"/>
      <c r="M36049" s="14"/>
      <c r="N36049" s="14"/>
      <c r="O36049" s="14"/>
      <c r="P36049" s="13"/>
    </row>
    <row r="36050">
      <c r="L36050" s="13"/>
      <c r="M36050" s="14"/>
      <c r="N36050" s="14"/>
      <c r="O36050" s="14"/>
      <c r="P36050" s="13"/>
    </row>
    <row r="36051">
      <c r="L36051" s="13"/>
      <c r="M36051" s="14"/>
      <c r="N36051" s="14"/>
      <c r="O36051" s="14"/>
      <c r="P36051" s="13"/>
    </row>
    <row r="36052">
      <c r="L36052" s="13"/>
      <c r="M36052" s="14"/>
      <c r="N36052" s="14"/>
      <c r="O36052" s="14"/>
      <c r="P36052" s="13"/>
    </row>
    <row r="36053">
      <c r="L36053" s="13"/>
      <c r="M36053" s="14"/>
      <c r="N36053" s="14"/>
      <c r="O36053" s="14"/>
      <c r="P36053" s="13"/>
    </row>
    <row r="36054">
      <c r="L36054" s="13"/>
      <c r="M36054" s="14"/>
      <c r="N36054" s="14"/>
      <c r="O36054" s="14"/>
      <c r="P36054" s="13"/>
    </row>
    <row r="36055">
      <c r="L36055" s="13"/>
      <c r="M36055" s="14"/>
      <c r="N36055" s="14"/>
      <c r="O36055" s="14"/>
      <c r="P36055" s="13"/>
    </row>
    <row r="36056">
      <c r="L36056" s="13"/>
      <c r="M36056" s="14"/>
      <c r="N36056" s="14"/>
      <c r="O36056" s="14"/>
      <c r="P36056" s="13"/>
    </row>
    <row r="36057">
      <c r="L36057" s="13"/>
      <c r="M36057" s="14"/>
      <c r="N36057" s="14"/>
      <c r="O36057" s="14"/>
      <c r="P36057" s="13"/>
    </row>
    <row r="36058">
      <c r="L36058" s="13"/>
      <c r="M36058" s="14"/>
      <c r="N36058" s="14"/>
      <c r="O36058" s="14"/>
      <c r="P36058" s="13"/>
    </row>
    <row r="36059">
      <c r="L36059" s="13"/>
      <c r="M36059" s="14"/>
      <c r="N36059" s="14"/>
      <c r="O36059" s="14"/>
      <c r="P36059" s="13"/>
    </row>
    <row r="36060">
      <c r="L36060" s="13"/>
      <c r="M36060" s="14"/>
      <c r="N36060" s="14"/>
      <c r="O36060" s="14"/>
      <c r="P36060" s="13"/>
    </row>
    <row r="36061">
      <c r="L36061" s="13"/>
      <c r="M36061" s="14"/>
      <c r="N36061" s="14"/>
      <c r="O36061" s="14"/>
      <c r="P36061" s="13"/>
    </row>
    <row r="36062">
      <c r="L36062" s="13"/>
      <c r="M36062" s="14"/>
      <c r="N36062" s="14"/>
      <c r="O36062" s="14"/>
      <c r="P36062" s="13"/>
    </row>
    <row r="36063">
      <c r="L36063" s="13"/>
      <c r="M36063" s="14"/>
      <c r="N36063" s="14"/>
      <c r="O36063" s="14"/>
      <c r="P36063" s="13"/>
    </row>
    <row r="36064">
      <c r="L36064" s="13"/>
      <c r="M36064" s="14"/>
      <c r="N36064" s="14"/>
      <c r="O36064" s="14"/>
      <c r="P36064" s="13"/>
    </row>
    <row r="36065">
      <c r="L36065" s="13"/>
      <c r="M36065" s="14"/>
      <c r="N36065" s="14"/>
      <c r="O36065" s="14"/>
      <c r="P36065" s="13"/>
    </row>
    <row r="36066">
      <c r="L36066" s="13"/>
      <c r="M36066" s="14"/>
      <c r="N36066" s="14"/>
      <c r="O36066" s="14"/>
      <c r="P36066" s="13"/>
    </row>
    <row r="36067">
      <c r="L36067" s="13"/>
      <c r="M36067" s="14"/>
      <c r="N36067" s="14"/>
      <c r="O36067" s="14"/>
      <c r="P36067" s="13"/>
    </row>
    <row r="36068">
      <c r="L36068" s="13"/>
      <c r="M36068" s="14"/>
      <c r="N36068" s="14"/>
      <c r="O36068" s="14"/>
      <c r="P36068" s="13"/>
    </row>
    <row r="36069">
      <c r="L36069" s="13"/>
      <c r="M36069" s="14"/>
      <c r="N36069" s="14"/>
      <c r="O36069" s="14"/>
      <c r="P36069" s="13"/>
    </row>
    <row r="36070">
      <c r="L36070" s="13"/>
      <c r="M36070" s="14"/>
      <c r="N36070" s="14"/>
      <c r="O36070" s="14"/>
      <c r="P36070" s="13"/>
    </row>
    <row r="36071">
      <c r="L36071" s="13"/>
      <c r="M36071" s="14"/>
      <c r="N36071" s="14"/>
      <c r="O36071" s="14"/>
      <c r="P36071" s="13"/>
    </row>
    <row r="36072">
      <c r="L36072" s="13"/>
      <c r="M36072" s="14"/>
      <c r="N36072" s="14"/>
      <c r="O36072" s="14"/>
      <c r="P36072" s="13"/>
    </row>
    <row r="36073">
      <c r="L36073" s="13"/>
      <c r="M36073" s="14"/>
      <c r="N36073" s="14"/>
      <c r="O36073" s="14"/>
      <c r="P36073" s="13"/>
    </row>
    <row r="36074">
      <c r="L36074" s="13"/>
      <c r="M36074" s="14"/>
      <c r="N36074" s="14"/>
      <c r="O36074" s="14"/>
      <c r="P36074" s="13"/>
    </row>
    <row r="36075">
      <c r="L36075" s="13"/>
      <c r="M36075" s="14"/>
      <c r="N36075" s="14"/>
      <c r="O36075" s="14"/>
      <c r="P36075" s="13"/>
    </row>
    <row r="36076">
      <c r="L36076" s="13"/>
      <c r="M36076" s="14"/>
      <c r="N36076" s="14"/>
      <c r="O36076" s="14"/>
      <c r="P36076" s="13"/>
    </row>
    <row r="36077">
      <c r="L36077" s="13"/>
      <c r="M36077" s="14"/>
      <c r="N36077" s="14"/>
      <c r="O36077" s="14"/>
      <c r="P36077" s="13"/>
    </row>
    <row r="36078">
      <c r="L36078" s="13"/>
      <c r="M36078" s="14"/>
      <c r="N36078" s="14"/>
      <c r="O36078" s="14"/>
      <c r="P36078" s="13"/>
    </row>
    <row r="36079">
      <c r="L36079" s="13"/>
      <c r="M36079" s="14"/>
      <c r="N36079" s="14"/>
      <c r="O36079" s="14"/>
      <c r="P36079" s="13"/>
    </row>
    <row r="36080">
      <c r="L36080" s="13"/>
      <c r="M36080" s="14"/>
      <c r="N36080" s="14"/>
      <c r="O36080" s="14"/>
      <c r="P36080" s="13"/>
    </row>
    <row r="36081">
      <c r="L36081" s="13"/>
      <c r="M36081" s="14"/>
      <c r="N36081" s="14"/>
      <c r="O36081" s="14"/>
      <c r="P36081" s="13"/>
    </row>
    <row r="36082">
      <c r="L36082" s="13"/>
      <c r="M36082" s="14"/>
      <c r="N36082" s="14"/>
      <c r="O36082" s="14"/>
      <c r="P36082" s="13"/>
    </row>
    <row r="36083">
      <c r="L36083" s="13"/>
      <c r="M36083" s="14"/>
      <c r="N36083" s="14"/>
      <c r="O36083" s="14"/>
      <c r="P36083" s="13"/>
    </row>
    <row r="36084">
      <c r="L36084" s="13"/>
      <c r="M36084" s="14"/>
      <c r="N36084" s="14"/>
      <c r="O36084" s="14"/>
      <c r="P36084" s="13"/>
    </row>
    <row r="36085">
      <c r="L36085" s="13"/>
      <c r="M36085" s="14"/>
      <c r="N36085" s="14"/>
      <c r="O36085" s="14"/>
      <c r="P36085" s="13"/>
    </row>
    <row r="36086">
      <c r="L36086" s="13"/>
      <c r="M36086" s="14"/>
      <c r="N36086" s="14"/>
      <c r="O36086" s="14"/>
      <c r="P36086" s="13"/>
    </row>
    <row r="36087">
      <c r="L36087" s="13"/>
      <c r="M36087" s="14"/>
      <c r="N36087" s="14"/>
      <c r="O36087" s="14"/>
      <c r="P36087" s="13"/>
    </row>
    <row r="36088">
      <c r="L36088" s="13"/>
      <c r="M36088" s="14"/>
      <c r="N36088" s="14"/>
      <c r="O36088" s="14"/>
      <c r="P36088" s="13"/>
    </row>
    <row r="36089">
      <c r="L36089" s="13"/>
      <c r="M36089" s="14"/>
      <c r="N36089" s="14"/>
      <c r="O36089" s="14"/>
      <c r="P36089" s="13"/>
    </row>
    <row r="36090">
      <c r="L36090" s="13"/>
      <c r="M36090" s="14"/>
      <c r="N36090" s="14"/>
      <c r="O36090" s="14"/>
      <c r="P36090" s="13"/>
    </row>
    <row r="36091">
      <c r="L36091" s="13"/>
      <c r="M36091" s="14"/>
      <c r="N36091" s="14"/>
      <c r="O36091" s="14"/>
      <c r="P36091" s="13"/>
    </row>
    <row r="36092">
      <c r="L36092" s="13"/>
      <c r="M36092" s="14"/>
      <c r="N36092" s="14"/>
      <c r="O36092" s="14"/>
      <c r="P36092" s="13"/>
    </row>
    <row r="36093">
      <c r="L36093" s="13"/>
      <c r="M36093" s="14"/>
      <c r="N36093" s="14"/>
      <c r="O36093" s="14"/>
      <c r="P36093" s="13"/>
    </row>
    <row r="36094">
      <c r="L36094" s="13"/>
      <c r="M36094" s="14"/>
      <c r="N36094" s="14"/>
      <c r="O36094" s="14"/>
      <c r="P36094" s="13"/>
    </row>
    <row r="36095">
      <c r="L36095" s="13"/>
      <c r="M36095" s="14"/>
      <c r="N36095" s="14"/>
      <c r="O36095" s="14"/>
      <c r="P36095" s="13"/>
    </row>
    <row r="36096">
      <c r="L36096" s="13"/>
      <c r="M36096" s="14"/>
      <c r="N36096" s="14"/>
      <c r="O36096" s="14"/>
      <c r="P36096" s="13"/>
    </row>
    <row r="36097">
      <c r="L36097" s="13"/>
      <c r="M36097" s="14"/>
      <c r="N36097" s="14"/>
      <c r="O36097" s="14"/>
      <c r="P36097" s="13"/>
    </row>
    <row r="36098">
      <c r="L36098" s="13"/>
      <c r="M36098" s="14"/>
      <c r="N36098" s="14"/>
      <c r="O36098" s="14"/>
      <c r="P36098" s="13"/>
    </row>
    <row r="36099">
      <c r="L36099" s="13"/>
      <c r="M36099" s="14"/>
      <c r="N36099" s="14"/>
      <c r="O36099" s="14"/>
      <c r="P36099" s="13"/>
    </row>
    <row r="36100">
      <c r="L36100" s="13"/>
      <c r="M36100" s="14"/>
      <c r="N36100" s="14"/>
      <c r="O36100" s="14"/>
      <c r="P36100" s="13"/>
    </row>
    <row r="36101">
      <c r="L36101" s="13"/>
      <c r="M36101" s="14"/>
      <c r="N36101" s="14"/>
      <c r="O36101" s="14"/>
      <c r="P36101" s="13"/>
    </row>
    <row r="36102">
      <c r="L36102" s="13"/>
      <c r="M36102" s="14"/>
      <c r="N36102" s="14"/>
      <c r="O36102" s="14"/>
      <c r="P36102" s="13"/>
    </row>
    <row r="36103">
      <c r="L36103" s="13"/>
      <c r="M36103" s="14"/>
      <c r="N36103" s="14"/>
      <c r="O36103" s="14"/>
      <c r="P36103" s="13"/>
    </row>
    <row r="36104">
      <c r="L36104" s="13"/>
      <c r="M36104" s="14"/>
      <c r="N36104" s="14"/>
      <c r="O36104" s="14"/>
      <c r="P36104" s="13"/>
    </row>
    <row r="36105">
      <c r="L36105" s="13"/>
      <c r="M36105" s="14"/>
      <c r="N36105" s="14"/>
      <c r="O36105" s="14"/>
      <c r="P36105" s="13"/>
    </row>
    <row r="36106">
      <c r="L36106" s="13"/>
      <c r="M36106" s="14"/>
      <c r="N36106" s="14"/>
      <c r="O36106" s="14"/>
      <c r="P36106" s="13"/>
    </row>
    <row r="36107">
      <c r="L36107" s="13"/>
      <c r="M36107" s="14"/>
      <c r="N36107" s="14"/>
      <c r="O36107" s="14"/>
      <c r="P36107" s="13"/>
    </row>
    <row r="36108">
      <c r="L36108" s="13"/>
      <c r="M36108" s="14"/>
      <c r="N36108" s="14"/>
      <c r="O36108" s="14"/>
      <c r="P36108" s="13"/>
    </row>
    <row r="36109">
      <c r="L36109" s="13"/>
      <c r="M36109" s="14"/>
      <c r="N36109" s="14"/>
      <c r="O36109" s="14"/>
      <c r="P36109" s="13"/>
    </row>
    <row r="36110">
      <c r="L36110" s="13"/>
      <c r="M36110" s="14"/>
      <c r="N36110" s="14"/>
      <c r="O36110" s="14"/>
      <c r="P36110" s="13"/>
    </row>
    <row r="36111">
      <c r="L36111" s="13"/>
      <c r="M36111" s="14"/>
      <c r="N36111" s="14"/>
      <c r="O36111" s="14"/>
      <c r="P36111" s="13"/>
    </row>
    <row r="36112">
      <c r="L36112" s="13"/>
      <c r="M36112" s="14"/>
      <c r="N36112" s="14"/>
      <c r="O36112" s="14"/>
      <c r="P36112" s="13"/>
    </row>
    <row r="36113">
      <c r="L36113" s="13"/>
      <c r="M36113" s="14"/>
      <c r="N36113" s="14"/>
      <c r="O36113" s="14"/>
      <c r="P36113" s="13"/>
    </row>
    <row r="36114">
      <c r="L36114" s="13"/>
      <c r="M36114" s="14"/>
      <c r="N36114" s="14"/>
      <c r="O36114" s="14"/>
      <c r="P36114" s="13"/>
    </row>
    <row r="36115">
      <c r="L36115" s="13"/>
      <c r="M36115" s="14"/>
      <c r="N36115" s="14"/>
      <c r="O36115" s="14"/>
      <c r="P36115" s="13"/>
    </row>
    <row r="36116">
      <c r="L36116" s="13"/>
      <c r="M36116" s="14"/>
      <c r="N36116" s="14"/>
      <c r="O36116" s="14"/>
      <c r="P36116" s="13"/>
    </row>
    <row r="36117">
      <c r="L36117" s="13"/>
      <c r="M36117" s="14"/>
      <c r="N36117" s="14"/>
      <c r="O36117" s="14"/>
      <c r="P36117" s="13"/>
    </row>
    <row r="36118">
      <c r="L36118" s="13"/>
      <c r="M36118" s="14"/>
      <c r="N36118" s="14"/>
      <c r="O36118" s="14"/>
      <c r="P36118" s="13"/>
    </row>
    <row r="36119">
      <c r="L36119" s="13"/>
      <c r="M36119" s="14"/>
      <c r="N36119" s="14"/>
      <c r="O36119" s="14"/>
      <c r="P36119" s="13"/>
    </row>
    <row r="36120">
      <c r="L36120" s="13"/>
      <c r="M36120" s="14"/>
      <c r="N36120" s="14"/>
      <c r="O36120" s="14"/>
      <c r="P36120" s="13"/>
    </row>
    <row r="36121">
      <c r="L36121" s="13"/>
      <c r="M36121" s="14"/>
      <c r="N36121" s="14"/>
      <c r="O36121" s="14"/>
      <c r="P36121" s="13"/>
    </row>
    <row r="36122">
      <c r="L36122" s="13"/>
      <c r="M36122" s="14"/>
      <c r="N36122" s="14"/>
      <c r="O36122" s="14"/>
      <c r="P36122" s="13"/>
    </row>
    <row r="36123">
      <c r="L36123" s="13"/>
      <c r="M36123" s="14"/>
      <c r="N36123" s="14"/>
      <c r="O36123" s="14"/>
      <c r="P36123" s="13"/>
    </row>
    <row r="36124">
      <c r="L36124" s="13"/>
      <c r="M36124" s="14"/>
      <c r="N36124" s="14"/>
      <c r="O36124" s="14"/>
      <c r="P36124" s="13"/>
    </row>
    <row r="36125">
      <c r="L36125" s="13"/>
      <c r="M36125" s="14"/>
      <c r="N36125" s="14"/>
      <c r="O36125" s="14"/>
      <c r="P36125" s="13"/>
    </row>
    <row r="36126">
      <c r="L36126" s="13"/>
      <c r="M36126" s="14"/>
      <c r="N36126" s="14"/>
      <c r="O36126" s="14"/>
      <c r="P36126" s="13"/>
    </row>
    <row r="36127">
      <c r="L36127" s="13"/>
      <c r="M36127" s="14"/>
      <c r="N36127" s="14"/>
      <c r="O36127" s="14"/>
      <c r="P36127" s="13"/>
    </row>
    <row r="36128">
      <c r="L36128" s="13"/>
      <c r="M36128" s="14"/>
      <c r="N36128" s="14"/>
      <c r="O36128" s="14"/>
      <c r="P36128" s="13"/>
    </row>
    <row r="36129">
      <c r="L36129" s="13"/>
      <c r="M36129" s="14"/>
      <c r="N36129" s="14"/>
      <c r="O36129" s="14"/>
      <c r="P36129" s="13"/>
    </row>
    <row r="36130">
      <c r="L36130" s="13"/>
      <c r="M36130" s="14"/>
      <c r="N36130" s="14"/>
      <c r="O36130" s="14"/>
      <c r="P36130" s="13"/>
    </row>
    <row r="36131">
      <c r="L36131" s="13"/>
      <c r="M36131" s="14"/>
      <c r="N36131" s="14"/>
      <c r="O36131" s="14"/>
      <c r="P36131" s="13"/>
    </row>
    <row r="36132">
      <c r="L36132" s="13"/>
      <c r="M36132" s="14"/>
      <c r="N36132" s="14"/>
      <c r="O36132" s="14"/>
      <c r="P36132" s="13"/>
    </row>
    <row r="36133">
      <c r="L36133" s="13"/>
      <c r="M36133" s="14"/>
      <c r="N36133" s="14"/>
      <c r="O36133" s="14"/>
      <c r="P36133" s="13"/>
    </row>
    <row r="36134">
      <c r="L36134" s="13"/>
      <c r="M36134" s="14"/>
      <c r="N36134" s="14"/>
      <c r="O36134" s="14"/>
      <c r="P36134" s="13"/>
    </row>
    <row r="36135">
      <c r="L36135" s="13"/>
      <c r="M36135" s="14"/>
      <c r="N36135" s="14"/>
      <c r="O36135" s="14"/>
      <c r="P36135" s="13"/>
    </row>
    <row r="36136">
      <c r="L36136" s="13"/>
      <c r="M36136" s="14"/>
      <c r="N36136" s="14"/>
      <c r="O36136" s="14"/>
      <c r="P36136" s="13"/>
    </row>
    <row r="36137">
      <c r="L36137" s="13"/>
      <c r="M36137" s="14"/>
      <c r="N36137" s="14"/>
      <c r="O36137" s="14"/>
      <c r="P36137" s="13"/>
    </row>
    <row r="36138">
      <c r="L36138" s="13"/>
      <c r="M36138" s="14"/>
      <c r="N36138" s="14"/>
      <c r="O36138" s="14"/>
      <c r="P36138" s="13"/>
    </row>
    <row r="36139">
      <c r="L36139" s="13"/>
      <c r="M36139" s="14"/>
      <c r="N36139" s="14"/>
      <c r="O36139" s="14"/>
      <c r="P36139" s="13"/>
    </row>
    <row r="36140">
      <c r="L36140" s="13"/>
      <c r="M36140" s="14"/>
      <c r="N36140" s="14"/>
      <c r="O36140" s="14"/>
      <c r="P36140" s="13"/>
    </row>
    <row r="36141">
      <c r="L36141" s="13"/>
      <c r="M36141" s="14"/>
      <c r="N36141" s="14"/>
      <c r="O36141" s="14"/>
      <c r="P36141" s="13"/>
    </row>
    <row r="36142">
      <c r="L36142" s="13"/>
      <c r="M36142" s="14"/>
      <c r="N36142" s="14"/>
      <c r="O36142" s="14"/>
      <c r="P36142" s="13"/>
    </row>
    <row r="36143">
      <c r="L36143" s="13"/>
      <c r="M36143" s="14"/>
      <c r="N36143" s="14"/>
      <c r="O36143" s="14"/>
      <c r="P36143" s="13"/>
    </row>
    <row r="36144">
      <c r="L36144" s="13"/>
      <c r="M36144" s="14"/>
      <c r="N36144" s="14"/>
      <c r="O36144" s="14"/>
      <c r="P36144" s="13"/>
    </row>
    <row r="36145">
      <c r="L36145" s="13"/>
      <c r="M36145" s="14"/>
      <c r="N36145" s="14"/>
      <c r="O36145" s="14"/>
      <c r="P36145" s="13"/>
    </row>
    <row r="36146">
      <c r="L36146" s="13"/>
      <c r="M36146" s="14"/>
      <c r="N36146" s="14"/>
      <c r="O36146" s="14"/>
      <c r="P36146" s="13"/>
    </row>
    <row r="36147">
      <c r="L36147" s="13"/>
      <c r="M36147" s="14"/>
      <c r="N36147" s="14"/>
      <c r="O36147" s="14"/>
      <c r="P36147" s="13"/>
    </row>
    <row r="36148">
      <c r="L36148" s="13"/>
      <c r="M36148" s="14"/>
      <c r="N36148" s="14"/>
      <c r="O36148" s="14"/>
      <c r="P36148" s="13"/>
    </row>
    <row r="36149">
      <c r="L36149" s="13"/>
      <c r="M36149" s="14"/>
      <c r="N36149" s="14"/>
      <c r="O36149" s="14"/>
      <c r="P36149" s="13"/>
    </row>
    <row r="36150">
      <c r="L36150" s="13"/>
      <c r="M36150" s="14"/>
      <c r="N36150" s="14"/>
      <c r="O36150" s="14"/>
      <c r="P36150" s="13"/>
    </row>
    <row r="36151">
      <c r="L36151" s="13"/>
      <c r="M36151" s="14"/>
      <c r="N36151" s="14"/>
      <c r="O36151" s="14"/>
      <c r="P36151" s="13"/>
    </row>
    <row r="36152">
      <c r="L36152" s="13"/>
      <c r="M36152" s="14"/>
      <c r="N36152" s="14"/>
      <c r="O36152" s="14"/>
      <c r="P36152" s="13"/>
    </row>
    <row r="36153">
      <c r="L36153" s="13"/>
      <c r="M36153" s="14"/>
      <c r="N36153" s="14"/>
      <c r="O36153" s="14"/>
      <c r="P36153" s="13"/>
    </row>
    <row r="36154">
      <c r="L36154" s="13"/>
      <c r="M36154" s="14"/>
      <c r="N36154" s="14"/>
      <c r="O36154" s="14"/>
      <c r="P36154" s="13"/>
    </row>
    <row r="36155">
      <c r="L36155" s="13"/>
      <c r="M36155" s="14"/>
      <c r="N36155" s="14"/>
      <c r="O36155" s="14"/>
      <c r="P36155" s="13"/>
    </row>
    <row r="36156">
      <c r="L36156" s="13"/>
      <c r="M36156" s="14"/>
      <c r="N36156" s="14"/>
      <c r="O36156" s="14"/>
      <c r="P36156" s="13"/>
    </row>
    <row r="36157">
      <c r="L36157" s="13"/>
      <c r="M36157" s="14"/>
      <c r="N36157" s="14"/>
      <c r="O36157" s="14"/>
      <c r="P36157" s="13"/>
    </row>
    <row r="36158">
      <c r="L36158" s="13"/>
      <c r="M36158" s="14"/>
      <c r="N36158" s="14"/>
      <c r="O36158" s="14"/>
      <c r="P36158" s="13"/>
    </row>
    <row r="36159">
      <c r="L36159" s="13"/>
      <c r="M36159" s="14"/>
      <c r="N36159" s="14"/>
      <c r="O36159" s="14"/>
      <c r="P36159" s="13"/>
    </row>
    <row r="36160">
      <c r="L36160" s="13"/>
      <c r="M36160" s="14"/>
      <c r="N36160" s="14"/>
      <c r="O36160" s="14"/>
      <c r="P36160" s="13"/>
    </row>
    <row r="36161">
      <c r="L36161" s="13"/>
      <c r="M36161" s="14"/>
      <c r="N36161" s="14"/>
      <c r="O36161" s="14"/>
      <c r="P36161" s="13"/>
    </row>
    <row r="36162">
      <c r="L36162" s="13"/>
      <c r="M36162" s="14"/>
      <c r="N36162" s="14"/>
      <c r="O36162" s="14"/>
      <c r="P36162" s="13"/>
    </row>
    <row r="36163">
      <c r="L36163" s="13"/>
      <c r="M36163" s="14"/>
      <c r="N36163" s="14"/>
      <c r="O36163" s="14"/>
      <c r="P36163" s="13"/>
    </row>
    <row r="36164">
      <c r="L36164" s="13"/>
      <c r="M36164" s="14"/>
      <c r="N36164" s="14"/>
      <c r="O36164" s="14"/>
      <c r="P36164" s="13"/>
    </row>
    <row r="36165">
      <c r="L36165" s="13"/>
      <c r="M36165" s="14"/>
      <c r="N36165" s="14"/>
      <c r="O36165" s="14"/>
      <c r="P36165" s="13"/>
    </row>
    <row r="36166">
      <c r="L36166" s="13"/>
      <c r="M36166" s="14"/>
      <c r="N36166" s="14"/>
      <c r="O36166" s="14"/>
      <c r="P36166" s="13"/>
    </row>
    <row r="36167">
      <c r="L36167" s="13"/>
      <c r="M36167" s="14"/>
      <c r="N36167" s="14"/>
      <c r="O36167" s="14"/>
      <c r="P36167" s="13"/>
    </row>
    <row r="36168">
      <c r="L36168" s="13"/>
      <c r="M36168" s="14"/>
      <c r="N36168" s="14"/>
      <c r="O36168" s="14"/>
      <c r="P36168" s="13"/>
    </row>
    <row r="36169">
      <c r="L36169" s="13"/>
      <c r="M36169" s="14"/>
      <c r="N36169" s="14"/>
      <c r="O36169" s="14"/>
      <c r="P36169" s="13"/>
    </row>
    <row r="36170">
      <c r="L36170" s="13"/>
      <c r="M36170" s="14"/>
      <c r="N36170" s="14"/>
      <c r="O36170" s="14"/>
      <c r="P36170" s="13"/>
    </row>
    <row r="36171">
      <c r="L36171" s="13"/>
      <c r="M36171" s="14"/>
      <c r="N36171" s="14"/>
      <c r="O36171" s="14"/>
      <c r="P36171" s="13"/>
    </row>
    <row r="36172">
      <c r="L36172" s="13"/>
      <c r="M36172" s="14"/>
      <c r="N36172" s="14"/>
      <c r="O36172" s="14"/>
      <c r="P36172" s="13"/>
    </row>
    <row r="36173">
      <c r="L36173" s="13"/>
      <c r="M36173" s="14"/>
      <c r="N36173" s="14"/>
      <c r="O36173" s="14"/>
      <c r="P36173" s="13"/>
    </row>
    <row r="36174">
      <c r="L36174" s="13"/>
      <c r="M36174" s="14"/>
      <c r="N36174" s="14"/>
      <c r="O36174" s="14"/>
      <c r="P36174" s="13"/>
    </row>
    <row r="36175">
      <c r="L36175" s="13"/>
      <c r="M36175" s="14"/>
      <c r="N36175" s="14"/>
      <c r="O36175" s="14"/>
      <c r="P36175" s="13"/>
    </row>
    <row r="36176">
      <c r="L36176" s="13"/>
      <c r="M36176" s="14"/>
      <c r="N36176" s="14"/>
      <c r="O36176" s="14"/>
      <c r="P36176" s="13"/>
    </row>
    <row r="36177">
      <c r="L36177" s="13"/>
      <c r="M36177" s="14"/>
      <c r="N36177" s="14"/>
      <c r="O36177" s="14"/>
      <c r="P36177" s="13"/>
    </row>
    <row r="36178">
      <c r="L36178" s="13"/>
      <c r="M36178" s="14"/>
      <c r="N36178" s="14"/>
      <c r="O36178" s="14"/>
      <c r="P36178" s="13"/>
    </row>
    <row r="36179">
      <c r="L36179" s="13"/>
      <c r="M36179" s="14"/>
      <c r="N36179" s="14"/>
      <c r="O36179" s="14"/>
      <c r="P36179" s="13"/>
    </row>
    <row r="36180">
      <c r="L36180" s="13"/>
      <c r="M36180" s="14"/>
      <c r="N36180" s="14"/>
      <c r="O36180" s="14"/>
      <c r="P36180" s="13"/>
    </row>
    <row r="36181">
      <c r="L36181" s="13"/>
      <c r="M36181" s="14"/>
      <c r="N36181" s="14"/>
      <c r="O36181" s="14"/>
      <c r="P36181" s="13"/>
    </row>
    <row r="36182">
      <c r="L36182" s="13"/>
      <c r="M36182" s="14"/>
      <c r="N36182" s="14"/>
      <c r="O36182" s="14"/>
      <c r="P36182" s="13"/>
    </row>
    <row r="36183">
      <c r="L36183" s="13"/>
      <c r="M36183" s="14"/>
      <c r="N36183" s="14"/>
      <c r="O36183" s="14"/>
      <c r="P36183" s="13"/>
    </row>
    <row r="36184">
      <c r="L36184" s="13"/>
      <c r="M36184" s="14"/>
      <c r="N36184" s="14"/>
      <c r="O36184" s="14"/>
      <c r="P36184" s="13"/>
    </row>
    <row r="36185">
      <c r="L36185" s="13"/>
      <c r="M36185" s="14"/>
      <c r="N36185" s="14"/>
      <c r="O36185" s="14"/>
      <c r="P36185" s="13"/>
    </row>
    <row r="36186">
      <c r="L36186" s="13"/>
      <c r="M36186" s="14"/>
      <c r="N36186" s="14"/>
      <c r="O36186" s="14"/>
      <c r="P36186" s="13"/>
    </row>
    <row r="36187">
      <c r="L36187" s="13"/>
      <c r="M36187" s="14"/>
      <c r="N36187" s="14"/>
      <c r="O36187" s="14"/>
      <c r="P36187" s="13"/>
    </row>
    <row r="36188">
      <c r="L36188" s="13"/>
      <c r="M36188" s="14"/>
      <c r="N36188" s="14"/>
      <c r="O36188" s="14"/>
      <c r="P36188" s="13"/>
    </row>
    <row r="36189">
      <c r="L36189" s="13"/>
      <c r="M36189" s="14"/>
      <c r="N36189" s="14"/>
      <c r="O36189" s="14"/>
      <c r="P36189" s="13"/>
    </row>
    <row r="36190">
      <c r="L36190" s="13"/>
      <c r="M36190" s="14"/>
      <c r="N36190" s="14"/>
      <c r="O36190" s="14"/>
      <c r="P36190" s="13"/>
    </row>
    <row r="36191">
      <c r="L36191" s="13"/>
      <c r="M36191" s="14"/>
      <c r="N36191" s="14"/>
      <c r="O36191" s="14"/>
      <c r="P36191" s="13"/>
    </row>
    <row r="36192">
      <c r="L36192" s="13"/>
      <c r="M36192" s="14"/>
      <c r="N36192" s="14"/>
      <c r="O36192" s="14"/>
      <c r="P36192" s="13"/>
    </row>
    <row r="36193">
      <c r="L36193" s="13"/>
      <c r="M36193" s="14"/>
      <c r="N36193" s="14"/>
      <c r="O36193" s="14"/>
      <c r="P36193" s="13"/>
    </row>
    <row r="36194">
      <c r="L36194" s="13"/>
      <c r="M36194" s="14"/>
      <c r="N36194" s="14"/>
      <c r="O36194" s="14"/>
      <c r="P36194" s="13"/>
    </row>
    <row r="36195">
      <c r="L36195" s="13"/>
      <c r="M36195" s="14"/>
      <c r="N36195" s="14"/>
      <c r="O36195" s="14"/>
      <c r="P36195" s="13"/>
    </row>
    <row r="36196">
      <c r="L36196" s="13"/>
      <c r="M36196" s="14"/>
      <c r="N36196" s="14"/>
      <c r="O36196" s="14"/>
      <c r="P36196" s="13"/>
    </row>
    <row r="36197">
      <c r="L36197" s="13"/>
      <c r="M36197" s="14"/>
      <c r="N36197" s="14"/>
      <c r="O36197" s="14"/>
      <c r="P36197" s="13"/>
    </row>
    <row r="36198">
      <c r="L36198" s="13"/>
      <c r="M36198" s="14"/>
      <c r="N36198" s="14"/>
      <c r="O36198" s="14"/>
      <c r="P36198" s="13"/>
    </row>
    <row r="36199">
      <c r="L36199" s="13"/>
      <c r="M36199" s="14"/>
      <c r="N36199" s="14"/>
      <c r="O36199" s="14"/>
      <c r="P36199" s="13"/>
    </row>
    <row r="36200">
      <c r="L36200" s="13"/>
      <c r="M36200" s="14"/>
      <c r="N36200" s="14"/>
      <c r="O36200" s="14"/>
      <c r="P36200" s="13"/>
    </row>
    <row r="36201">
      <c r="L36201" s="13"/>
      <c r="M36201" s="14"/>
      <c r="N36201" s="14"/>
      <c r="O36201" s="14"/>
      <c r="P36201" s="13"/>
    </row>
    <row r="36202">
      <c r="L36202" s="13"/>
      <c r="M36202" s="14"/>
      <c r="N36202" s="14"/>
      <c r="O36202" s="14"/>
      <c r="P36202" s="13"/>
    </row>
    <row r="36203">
      <c r="L36203" s="13"/>
      <c r="M36203" s="14"/>
      <c r="N36203" s="14"/>
      <c r="O36203" s="14"/>
      <c r="P36203" s="13"/>
    </row>
    <row r="36204">
      <c r="L36204" s="13"/>
      <c r="M36204" s="14"/>
      <c r="N36204" s="14"/>
      <c r="O36204" s="14"/>
      <c r="P36204" s="13"/>
    </row>
    <row r="36205">
      <c r="L36205" s="13"/>
      <c r="M36205" s="14"/>
      <c r="N36205" s="14"/>
      <c r="O36205" s="14"/>
      <c r="P36205" s="13"/>
    </row>
    <row r="36206">
      <c r="L36206" s="13"/>
      <c r="M36206" s="14"/>
      <c r="N36206" s="14"/>
      <c r="O36206" s="14"/>
      <c r="P36206" s="13"/>
    </row>
    <row r="36207">
      <c r="L36207" s="13"/>
      <c r="M36207" s="14"/>
      <c r="N36207" s="14"/>
      <c r="O36207" s="14"/>
      <c r="P36207" s="13"/>
    </row>
    <row r="36208">
      <c r="L36208" s="13"/>
      <c r="M36208" s="14"/>
      <c r="N36208" s="14"/>
      <c r="O36208" s="14"/>
      <c r="P36208" s="13"/>
    </row>
    <row r="36209">
      <c r="L36209" s="13"/>
      <c r="M36209" s="14"/>
      <c r="N36209" s="14"/>
      <c r="O36209" s="14"/>
      <c r="P36209" s="13"/>
    </row>
    <row r="36210">
      <c r="L36210" s="13"/>
      <c r="M36210" s="14"/>
      <c r="N36210" s="14"/>
      <c r="O36210" s="14"/>
      <c r="P36210" s="13"/>
    </row>
    <row r="36211">
      <c r="L36211" s="13"/>
      <c r="M36211" s="14"/>
      <c r="N36211" s="14"/>
      <c r="O36211" s="14"/>
      <c r="P36211" s="13"/>
    </row>
    <row r="36212">
      <c r="L36212" s="13"/>
      <c r="M36212" s="14"/>
      <c r="N36212" s="14"/>
      <c r="O36212" s="14"/>
      <c r="P36212" s="13"/>
    </row>
    <row r="36213">
      <c r="L36213" s="13"/>
      <c r="M36213" s="14"/>
      <c r="N36213" s="14"/>
      <c r="O36213" s="14"/>
      <c r="P36213" s="13"/>
    </row>
    <row r="36214">
      <c r="L36214" s="13"/>
      <c r="M36214" s="14"/>
      <c r="N36214" s="14"/>
      <c r="O36214" s="14"/>
      <c r="P36214" s="13"/>
    </row>
    <row r="36215">
      <c r="L36215" s="13"/>
      <c r="M36215" s="14"/>
      <c r="N36215" s="14"/>
      <c r="O36215" s="14"/>
      <c r="P36215" s="13"/>
    </row>
    <row r="36216">
      <c r="L36216" s="13"/>
      <c r="M36216" s="14"/>
      <c r="N36216" s="14"/>
      <c r="O36216" s="14"/>
      <c r="P36216" s="13"/>
    </row>
    <row r="36217">
      <c r="L36217" s="13"/>
      <c r="M36217" s="14"/>
      <c r="N36217" s="14"/>
      <c r="O36217" s="14"/>
      <c r="P36217" s="13"/>
    </row>
    <row r="36218">
      <c r="L36218" s="13"/>
      <c r="M36218" s="14"/>
      <c r="N36218" s="14"/>
      <c r="O36218" s="14"/>
      <c r="P36218" s="13"/>
    </row>
    <row r="36219">
      <c r="L36219" s="13"/>
      <c r="M36219" s="14"/>
      <c r="N36219" s="14"/>
      <c r="O36219" s="14"/>
      <c r="P36219" s="13"/>
    </row>
    <row r="36220">
      <c r="L36220" s="13"/>
      <c r="M36220" s="14"/>
      <c r="N36220" s="14"/>
      <c r="O36220" s="14"/>
      <c r="P36220" s="13"/>
    </row>
    <row r="36221">
      <c r="L36221" s="13"/>
      <c r="M36221" s="14"/>
      <c r="N36221" s="14"/>
      <c r="O36221" s="14"/>
      <c r="P36221" s="13"/>
    </row>
    <row r="36222">
      <c r="L36222" s="13"/>
      <c r="M36222" s="14"/>
      <c r="N36222" s="14"/>
      <c r="O36222" s="14"/>
      <c r="P36222" s="13"/>
    </row>
    <row r="36223">
      <c r="L36223" s="13"/>
      <c r="M36223" s="14"/>
      <c r="N36223" s="14"/>
      <c r="O36223" s="14"/>
      <c r="P36223" s="13"/>
    </row>
    <row r="36224">
      <c r="L36224" s="13"/>
      <c r="M36224" s="14"/>
      <c r="N36224" s="14"/>
      <c r="O36224" s="14"/>
      <c r="P36224" s="13"/>
    </row>
    <row r="36225">
      <c r="L36225" s="13"/>
      <c r="M36225" s="14"/>
      <c r="N36225" s="14"/>
      <c r="O36225" s="14"/>
      <c r="P36225" s="13"/>
    </row>
    <row r="36226">
      <c r="L36226" s="13"/>
      <c r="M36226" s="14"/>
      <c r="N36226" s="14"/>
      <c r="O36226" s="14"/>
      <c r="P36226" s="13"/>
    </row>
    <row r="36227">
      <c r="L36227" s="13"/>
      <c r="M36227" s="14"/>
      <c r="N36227" s="14"/>
      <c r="O36227" s="14"/>
      <c r="P36227" s="13"/>
    </row>
    <row r="36228">
      <c r="L36228" s="13"/>
      <c r="M36228" s="14"/>
      <c r="N36228" s="14"/>
      <c r="O36228" s="14"/>
      <c r="P36228" s="13"/>
    </row>
    <row r="36229">
      <c r="L36229" s="13"/>
      <c r="M36229" s="14"/>
      <c r="N36229" s="14"/>
      <c r="O36229" s="14"/>
      <c r="P36229" s="13"/>
    </row>
    <row r="36230">
      <c r="L36230" s="13"/>
      <c r="M36230" s="14"/>
      <c r="N36230" s="14"/>
      <c r="O36230" s="14"/>
      <c r="P36230" s="13"/>
    </row>
    <row r="36231">
      <c r="L36231" s="13"/>
      <c r="M36231" s="14"/>
      <c r="N36231" s="14"/>
      <c r="O36231" s="14"/>
      <c r="P36231" s="13"/>
    </row>
    <row r="36232">
      <c r="L36232" s="13"/>
      <c r="M36232" s="14"/>
      <c r="N36232" s="14"/>
      <c r="O36232" s="14"/>
      <c r="P36232" s="13"/>
    </row>
    <row r="36233">
      <c r="L36233" s="13"/>
      <c r="M36233" s="14"/>
      <c r="N36233" s="14"/>
      <c r="O36233" s="14"/>
      <c r="P36233" s="13"/>
    </row>
    <row r="36234">
      <c r="L36234" s="13"/>
      <c r="M36234" s="14"/>
      <c r="N36234" s="14"/>
      <c r="O36234" s="14"/>
      <c r="P36234" s="13"/>
    </row>
    <row r="36235">
      <c r="L36235" s="13"/>
      <c r="M36235" s="14"/>
      <c r="N36235" s="14"/>
      <c r="O36235" s="14"/>
      <c r="P36235" s="13"/>
    </row>
    <row r="36236">
      <c r="L36236" s="13"/>
      <c r="M36236" s="14"/>
      <c r="N36236" s="14"/>
      <c r="O36236" s="14"/>
      <c r="P36236" s="13"/>
    </row>
    <row r="36237">
      <c r="L36237" s="13"/>
      <c r="M36237" s="14"/>
      <c r="N36237" s="14"/>
      <c r="O36237" s="14"/>
      <c r="P36237" s="13"/>
    </row>
    <row r="36238">
      <c r="L36238" s="13"/>
      <c r="M36238" s="14"/>
      <c r="N36238" s="14"/>
      <c r="O36238" s="14"/>
      <c r="P36238" s="13"/>
    </row>
    <row r="36239">
      <c r="L36239" s="13"/>
      <c r="M36239" s="14"/>
      <c r="N36239" s="14"/>
      <c r="O36239" s="14"/>
      <c r="P36239" s="13"/>
    </row>
    <row r="36240">
      <c r="L36240" s="13"/>
      <c r="M36240" s="14"/>
      <c r="N36240" s="14"/>
      <c r="O36240" s="14"/>
      <c r="P36240" s="13"/>
    </row>
    <row r="36241">
      <c r="L36241" s="13"/>
      <c r="M36241" s="14"/>
      <c r="N36241" s="14"/>
      <c r="O36241" s="14"/>
      <c r="P36241" s="13"/>
    </row>
    <row r="36242">
      <c r="L36242" s="13"/>
      <c r="M36242" s="14"/>
      <c r="N36242" s="14"/>
      <c r="O36242" s="14"/>
      <c r="P36242" s="13"/>
    </row>
    <row r="36243">
      <c r="L36243" s="13"/>
      <c r="M36243" s="14"/>
      <c r="N36243" s="14"/>
      <c r="O36243" s="14"/>
      <c r="P36243" s="13"/>
    </row>
    <row r="36244">
      <c r="L36244" s="13"/>
      <c r="M36244" s="14"/>
      <c r="N36244" s="14"/>
      <c r="O36244" s="14"/>
      <c r="P36244" s="13"/>
    </row>
    <row r="36245">
      <c r="L36245" s="13"/>
      <c r="M36245" s="14"/>
      <c r="N36245" s="14"/>
      <c r="O36245" s="14"/>
      <c r="P36245" s="13"/>
    </row>
    <row r="36246">
      <c r="L36246" s="13"/>
      <c r="M36246" s="14"/>
      <c r="N36246" s="14"/>
      <c r="O36246" s="14"/>
      <c r="P36246" s="13"/>
    </row>
    <row r="36247">
      <c r="L36247" s="13"/>
      <c r="M36247" s="14"/>
      <c r="N36247" s="14"/>
      <c r="O36247" s="14"/>
      <c r="P36247" s="13"/>
    </row>
    <row r="36248">
      <c r="L36248" s="13"/>
      <c r="M36248" s="14"/>
      <c r="N36248" s="14"/>
      <c r="O36248" s="14"/>
      <c r="P36248" s="13"/>
    </row>
    <row r="36249">
      <c r="L36249" s="13"/>
      <c r="M36249" s="14"/>
      <c r="N36249" s="14"/>
      <c r="O36249" s="14"/>
      <c r="P36249" s="13"/>
    </row>
    <row r="36250">
      <c r="L36250" s="13"/>
      <c r="M36250" s="14"/>
      <c r="N36250" s="14"/>
      <c r="O36250" s="14"/>
      <c r="P36250" s="13"/>
    </row>
    <row r="36251">
      <c r="L36251" s="13"/>
      <c r="M36251" s="14"/>
      <c r="N36251" s="14"/>
      <c r="O36251" s="14"/>
      <c r="P36251" s="13"/>
    </row>
    <row r="36252">
      <c r="L36252" s="13"/>
      <c r="M36252" s="14"/>
      <c r="N36252" s="14"/>
      <c r="O36252" s="14"/>
      <c r="P36252" s="13"/>
    </row>
    <row r="36253">
      <c r="L36253" s="13"/>
      <c r="M36253" s="14"/>
      <c r="N36253" s="14"/>
      <c r="O36253" s="14"/>
      <c r="P36253" s="13"/>
    </row>
    <row r="36254">
      <c r="L36254" s="13"/>
      <c r="M36254" s="14"/>
      <c r="N36254" s="14"/>
      <c r="O36254" s="14"/>
      <c r="P36254" s="13"/>
    </row>
    <row r="36255">
      <c r="L36255" s="13"/>
      <c r="M36255" s="14"/>
      <c r="N36255" s="14"/>
      <c r="O36255" s="14"/>
      <c r="P36255" s="13"/>
    </row>
    <row r="36256">
      <c r="L36256" s="13"/>
      <c r="M36256" s="14"/>
      <c r="N36256" s="14"/>
      <c r="O36256" s="14"/>
      <c r="P36256" s="13"/>
    </row>
    <row r="36257">
      <c r="L36257" s="13"/>
      <c r="M36257" s="14"/>
      <c r="N36257" s="14"/>
      <c r="O36257" s="14"/>
      <c r="P36257" s="13"/>
    </row>
    <row r="36258">
      <c r="L36258" s="13"/>
      <c r="M36258" s="14"/>
      <c r="N36258" s="14"/>
      <c r="O36258" s="14"/>
      <c r="P36258" s="13"/>
    </row>
    <row r="36259">
      <c r="L36259" s="13"/>
      <c r="M36259" s="14"/>
      <c r="N36259" s="14"/>
      <c r="O36259" s="14"/>
      <c r="P36259" s="13"/>
    </row>
    <row r="36260">
      <c r="L36260" s="13"/>
      <c r="M36260" s="14"/>
      <c r="N36260" s="14"/>
      <c r="O36260" s="14"/>
      <c r="P36260" s="13"/>
    </row>
    <row r="36261">
      <c r="L36261" s="13"/>
      <c r="M36261" s="14"/>
      <c r="N36261" s="14"/>
      <c r="O36261" s="14"/>
      <c r="P36261" s="13"/>
    </row>
    <row r="36262">
      <c r="L36262" s="13"/>
      <c r="M36262" s="14"/>
      <c r="N36262" s="14"/>
      <c r="O36262" s="14"/>
      <c r="P36262" s="13"/>
    </row>
    <row r="36263">
      <c r="L36263" s="13"/>
      <c r="M36263" s="14"/>
      <c r="N36263" s="14"/>
      <c r="O36263" s="14"/>
      <c r="P36263" s="13"/>
    </row>
    <row r="36264">
      <c r="L36264" s="13"/>
      <c r="M36264" s="14"/>
      <c r="N36264" s="14"/>
      <c r="O36264" s="14"/>
      <c r="P36264" s="13"/>
    </row>
    <row r="36265">
      <c r="L36265" s="13"/>
      <c r="M36265" s="14"/>
      <c r="N36265" s="14"/>
      <c r="O36265" s="14"/>
      <c r="P36265" s="13"/>
    </row>
    <row r="36266">
      <c r="L36266" s="13"/>
      <c r="M36266" s="14"/>
      <c r="N36266" s="14"/>
      <c r="O36266" s="14"/>
      <c r="P36266" s="13"/>
    </row>
    <row r="36267">
      <c r="L36267" s="13"/>
      <c r="M36267" s="14"/>
      <c r="N36267" s="14"/>
      <c r="O36267" s="14"/>
      <c r="P36267" s="13"/>
    </row>
    <row r="36268">
      <c r="L36268" s="13"/>
      <c r="M36268" s="14"/>
      <c r="N36268" s="14"/>
      <c r="O36268" s="14"/>
      <c r="P36268" s="13"/>
    </row>
    <row r="36269">
      <c r="L36269" s="13"/>
      <c r="M36269" s="14"/>
      <c r="N36269" s="14"/>
      <c r="O36269" s="14"/>
      <c r="P36269" s="13"/>
    </row>
    <row r="36270">
      <c r="L36270" s="13"/>
      <c r="M36270" s="14"/>
      <c r="N36270" s="14"/>
      <c r="O36270" s="14"/>
      <c r="P36270" s="13"/>
    </row>
    <row r="36271">
      <c r="L36271" s="13"/>
      <c r="M36271" s="14"/>
      <c r="N36271" s="14"/>
      <c r="O36271" s="14"/>
      <c r="P36271" s="13"/>
    </row>
    <row r="36272">
      <c r="L36272" s="13"/>
      <c r="M36272" s="14"/>
      <c r="N36272" s="14"/>
      <c r="O36272" s="14"/>
      <c r="P36272" s="13"/>
    </row>
    <row r="36273">
      <c r="L36273" s="13"/>
      <c r="M36273" s="14"/>
      <c r="N36273" s="14"/>
      <c r="O36273" s="14"/>
      <c r="P36273" s="13"/>
    </row>
    <row r="36274">
      <c r="L36274" s="13"/>
      <c r="M36274" s="14"/>
      <c r="N36274" s="14"/>
      <c r="O36274" s="14"/>
      <c r="P36274" s="13"/>
    </row>
    <row r="36275">
      <c r="L36275" s="13"/>
      <c r="M36275" s="14"/>
      <c r="N36275" s="14"/>
      <c r="O36275" s="14"/>
      <c r="P36275" s="13"/>
    </row>
    <row r="36276">
      <c r="L36276" s="13"/>
      <c r="M36276" s="14"/>
      <c r="N36276" s="14"/>
      <c r="O36276" s="14"/>
      <c r="P36276" s="13"/>
    </row>
    <row r="36277">
      <c r="L36277" s="13"/>
      <c r="M36277" s="14"/>
      <c r="N36277" s="14"/>
      <c r="O36277" s="14"/>
      <c r="P36277" s="13"/>
    </row>
    <row r="36278">
      <c r="L36278" s="13"/>
      <c r="M36278" s="14"/>
      <c r="N36278" s="14"/>
      <c r="O36278" s="14"/>
      <c r="P36278" s="13"/>
    </row>
    <row r="36279">
      <c r="L36279" s="13"/>
      <c r="M36279" s="14"/>
      <c r="N36279" s="14"/>
      <c r="O36279" s="14"/>
      <c r="P36279" s="13"/>
    </row>
    <row r="36280">
      <c r="L36280" s="13"/>
      <c r="M36280" s="14"/>
      <c r="N36280" s="14"/>
      <c r="O36280" s="14"/>
      <c r="P36280" s="13"/>
    </row>
    <row r="36281">
      <c r="L36281" s="13"/>
      <c r="M36281" s="14"/>
      <c r="N36281" s="14"/>
      <c r="O36281" s="14"/>
      <c r="P36281" s="13"/>
    </row>
    <row r="36282">
      <c r="L36282" s="13"/>
      <c r="M36282" s="14"/>
      <c r="N36282" s="14"/>
      <c r="O36282" s="14"/>
      <c r="P36282" s="13"/>
    </row>
    <row r="36283">
      <c r="L36283" s="13"/>
      <c r="M36283" s="14"/>
      <c r="N36283" s="14"/>
      <c r="O36283" s="14"/>
      <c r="P36283" s="13"/>
    </row>
    <row r="36284">
      <c r="L36284" s="13"/>
      <c r="M36284" s="14"/>
      <c r="N36284" s="14"/>
      <c r="O36284" s="14"/>
      <c r="P36284" s="13"/>
    </row>
    <row r="36285">
      <c r="L36285" s="13"/>
      <c r="M36285" s="14"/>
      <c r="N36285" s="14"/>
      <c r="O36285" s="14"/>
      <c r="P36285" s="13"/>
    </row>
    <row r="36286">
      <c r="L36286" s="13"/>
      <c r="M36286" s="14"/>
      <c r="N36286" s="14"/>
      <c r="O36286" s="14"/>
      <c r="P36286" s="13"/>
    </row>
    <row r="36287">
      <c r="L36287" s="13"/>
      <c r="M36287" s="14"/>
      <c r="N36287" s="14"/>
      <c r="O36287" s="14"/>
      <c r="P36287" s="13"/>
    </row>
    <row r="36288">
      <c r="L36288" s="13"/>
      <c r="M36288" s="14"/>
      <c r="N36288" s="14"/>
      <c r="O36288" s="14"/>
      <c r="P36288" s="13"/>
    </row>
    <row r="36289">
      <c r="L36289" s="13"/>
      <c r="M36289" s="14"/>
      <c r="N36289" s="14"/>
      <c r="O36289" s="14"/>
      <c r="P36289" s="13"/>
    </row>
    <row r="36290">
      <c r="L36290" s="13"/>
      <c r="M36290" s="14"/>
      <c r="N36290" s="14"/>
      <c r="O36290" s="14"/>
      <c r="P36290" s="13"/>
    </row>
    <row r="36291">
      <c r="L36291" s="13"/>
      <c r="M36291" s="14"/>
      <c r="N36291" s="14"/>
      <c r="O36291" s="14"/>
      <c r="P36291" s="13"/>
    </row>
    <row r="36292">
      <c r="L36292" s="13"/>
      <c r="M36292" s="14"/>
      <c r="N36292" s="14"/>
      <c r="O36292" s="14"/>
      <c r="P36292" s="13"/>
    </row>
    <row r="36293">
      <c r="L36293" s="13"/>
      <c r="M36293" s="14"/>
      <c r="N36293" s="14"/>
      <c r="O36293" s="14"/>
      <c r="P36293" s="13"/>
    </row>
    <row r="36294">
      <c r="L36294" s="13"/>
      <c r="M36294" s="14"/>
      <c r="N36294" s="14"/>
      <c r="O36294" s="14"/>
      <c r="P36294" s="13"/>
    </row>
    <row r="36295">
      <c r="L36295" s="13"/>
      <c r="M36295" s="14"/>
      <c r="N36295" s="14"/>
      <c r="O36295" s="14"/>
      <c r="P36295" s="13"/>
    </row>
    <row r="36296">
      <c r="L36296" s="13"/>
      <c r="M36296" s="14"/>
      <c r="N36296" s="14"/>
      <c r="O36296" s="14"/>
      <c r="P36296" s="13"/>
    </row>
    <row r="36297">
      <c r="L36297" s="13"/>
      <c r="M36297" s="14"/>
      <c r="N36297" s="14"/>
      <c r="O36297" s="14"/>
      <c r="P36297" s="13"/>
    </row>
    <row r="36298">
      <c r="L36298" s="13"/>
      <c r="M36298" s="14"/>
      <c r="N36298" s="14"/>
      <c r="O36298" s="14"/>
      <c r="P36298" s="13"/>
    </row>
    <row r="36299">
      <c r="L36299" s="13"/>
      <c r="M36299" s="14"/>
      <c r="N36299" s="14"/>
      <c r="O36299" s="14"/>
      <c r="P36299" s="13"/>
    </row>
    <row r="36300">
      <c r="L36300" s="13"/>
      <c r="M36300" s="14"/>
      <c r="N36300" s="14"/>
      <c r="O36300" s="14"/>
      <c r="P36300" s="13"/>
    </row>
    <row r="36301">
      <c r="L36301" s="13"/>
      <c r="M36301" s="14"/>
      <c r="N36301" s="14"/>
      <c r="O36301" s="14"/>
      <c r="P36301" s="13"/>
    </row>
    <row r="36302">
      <c r="L36302" s="13"/>
      <c r="M36302" s="14"/>
      <c r="N36302" s="14"/>
      <c r="O36302" s="14"/>
      <c r="P36302" s="13"/>
    </row>
    <row r="36303">
      <c r="L36303" s="13"/>
      <c r="M36303" s="14"/>
      <c r="N36303" s="14"/>
      <c r="O36303" s="14"/>
      <c r="P36303" s="13"/>
    </row>
    <row r="36304">
      <c r="L36304" s="13"/>
      <c r="M36304" s="14"/>
      <c r="N36304" s="14"/>
      <c r="O36304" s="14"/>
      <c r="P36304" s="13"/>
    </row>
    <row r="36305">
      <c r="L36305" s="13"/>
      <c r="M36305" s="14"/>
      <c r="N36305" s="14"/>
      <c r="O36305" s="14"/>
      <c r="P36305" s="13"/>
    </row>
    <row r="36306">
      <c r="L36306" s="13"/>
      <c r="M36306" s="14"/>
      <c r="N36306" s="14"/>
      <c r="O36306" s="14"/>
      <c r="P36306" s="13"/>
    </row>
    <row r="36307">
      <c r="L36307" s="13"/>
      <c r="M36307" s="14"/>
      <c r="N36307" s="14"/>
      <c r="O36307" s="14"/>
      <c r="P36307" s="13"/>
    </row>
    <row r="36308">
      <c r="L36308" s="13"/>
      <c r="M36308" s="14"/>
      <c r="N36308" s="14"/>
      <c r="O36308" s="14"/>
      <c r="P36308" s="13"/>
    </row>
    <row r="36309">
      <c r="L36309" s="13"/>
      <c r="M36309" s="14"/>
      <c r="N36309" s="14"/>
      <c r="O36309" s="14"/>
      <c r="P36309" s="13"/>
    </row>
    <row r="36310">
      <c r="L36310" s="13"/>
      <c r="M36310" s="14"/>
      <c r="N36310" s="14"/>
      <c r="O36310" s="14"/>
      <c r="P36310" s="13"/>
    </row>
    <row r="36311">
      <c r="L36311" s="13"/>
      <c r="M36311" s="14"/>
      <c r="N36311" s="14"/>
      <c r="O36311" s="14"/>
      <c r="P36311" s="13"/>
    </row>
    <row r="36312">
      <c r="L36312" s="13"/>
      <c r="M36312" s="14"/>
      <c r="N36312" s="14"/>
      <c r="O36312" s="14"/>
      <c r="P36312" s="13"/>
    </row>
    <row r="36313">
      <c r="L36313" s="13"/>
      <c r="M36313" s="14"/>
      <c r="N36313" s="14"/>
      <c r="O36313" s="14"/>
      <c r="P36313" s="13"/>
    </row>
    <row r="36314">
      <c r="L36314" s="13"/>
      <c r="M36314" s="14"/>
      <c r="N36314" s="14"/>
      <c r="O36314" s="14"/>
      <c r="P36314" s="13"/>
    </row>
    <row r="36315">
      <c r="L36315" s="13"/>
      <c r="M36315" s="14"/>
      <c r="N36315" s="14"/>
      <c r="O36315" s="14"/>
      <c r="P36315" s="13"/>
    </row>
    <row r="36316">
      <c r="L36316" s="13"/>
      <c r="M36316" s="14"/>
      <c r="N36316" s="14"/>
      <c r="O36316" s="14"/>
      <c r="P36316" s="13"/>
    </row>
    <row r="36317">
      <c r="L36317" s="13"/>
      <c r="M36317" s="14"/>
      <c r="N36317" s="14"/>
      <c r="O36317" s="14"/>
      <c r="P36317" s="13"/>
    </row>
    <row r="36318">
      <c r="L36318" s="13"/>
      <c r="M36318" s="14"/>
      <c r="N36318" s="14"/>
      <c r="O36318" s="14"/>
      <c r="P36318" s="13"/>
    </row>
    <row r="36319">
      <c r="L36319" s="13"/>
      <c r="M36319" s="14"/>
      <c r="N36319" s="14"/>
      <c r="O36319" s="14"/>
      <c r="P36319" s="13"/>
    </row>
    <row r="36320">
      <c r="L36320" s="13"/>
      <c r="M36320" s="14"/>
      <c r="N36320" s="14"/>
      <c r="O36320" s="14"/>
      <c r="P36320" s="13"/>
    </row>
    <row r="36321">
      <c r="L36321" s="13"/>
      <c r="M36321" s="14"/>
      <c r="N36321" s="14"/>
      <c r="O36321" s="14"/>
      <c r="P36321" s="13"/>
    </row>
    <row r="36322">
      <c r="L36322" s="13"/>
      <c r="M36322" s="14"/>
      <c r="N36322" s="14"/>
      <c r="O36322" s="14"/>
      <c r="P36322" s="13"/>
    </row>
    <row r="36323">
      <c r="L36323" s="13"/>
      <c r="M36323" s="14"/>
      <c r="N36323" s="14"/>
      <c r="O36323" s="14"/>
      <c r="P36323" s="13"/>
    </row>
    <row r="36324">
      <c r="L36324" s="13"/>
      <c r="M36324" s="14"/>
      <c r="N36324" s="14"/>
      <c r="O36324" s="14"/>
      <c r="P36324" s="13"/>
    </row>
    <row r="36325">
      <c r="L36325" s="13"/>
      <c r="M36325" s="14"/>
      <c r="N36325" s="14"/>
      <c r="O36325" s="14"/>
      <c r="P36325" s="13"/>
    </row>
    <row r="36326">
      <c r="L36326" s="13"/>
      <c r="M36326" s="14"/>
      <c r="N36326" s="14"/>
      <c r="O36326" s="14"/>
      <c r="P36326" s="13"/>
    </row>
    <row r="36327">
      <c r="L36327" s="13"/>
      <c r="M36327" s="14"/>
      <c r="N36327" s="14"/>
      <c r="O36327" s="14"/>
      <c r="P36327" s="13"/>
    </row>
    <row r="36328">
      <c r="L36328" s="13"/>
      <c r="M36328" s="14"/>
      <c r="N36328" s="14"/>
      <c r="O36328" s="14"/>
      <c r="P36328" s="13"/>
    </row>
    <row r="36329">
      <c r="L36329" s="13"/>
      <c r="M36329" s="14"/>
      <c r="N36329" s="14"/>
      <c r="O36329" s="14"/>
      <c r="P36329" s="13"/>
    </row>
    <row r="36330">
      <c r="L36330" s="13"/>
      <c r="M36330" s="14"/>
      <c r="N36330" s="14"/>
      <c r="O36330" s="14"/>
      <c r="P36330" s="13"/>
    </row>
    <row r="36331">
      <c r="L36331" s="13"/>
      <c r="M36331" s="14"/>
      <c r="N36331" s="14"/>
      <c r="O36331" s="14"/>
      <c r="P36331" s="13"/>
    </row>
    <row r="36332">
      <c r="L36332" s="13"/>
      <c r="M36332" s="14"/>
      <c r="N36332" s="14"/>
      <c r="O36332" s="14"/>
      <c r="P36332" s="13"/>
    </row>
    <row r="36333">
      <c r="L36333" s="13"/>
      <c r="M36333" s="14"/>
      <c r="N36333" s="14"/>
      <c r="O36333" s="14"/>
      <c r="P36333" s="13"/>
    </row>
    <row r="36334">
      <c r="L36334" s="13"/>
      <c r="M36334" s="14"/>
      <c r="N36334" s="14"/>
      <c r="O36334" s="14"/>
      <c r="P36334" s="13"/>
    </row>
    <row r="36335">
      <c r="L36335" s="13"/>
      <c r="M36335" s="14"/>
      <c r="N36335" s="14"/>
      <c r="O36335" s="14"/>
      <c r="P36335" s="13"/>
    </row>
    <row r="36336">
      <c r="L36336" s="13"/>
      <c r="M36336" s="14"/>
      <c r="N36336" s="14"/>
      <c r="O36336" s="14"/>
      <c r="P36336" s="13"/>
    </row>
    <row r="36337">
      <c r="L36337" s="13"/>
      <c r="M36337" s="14"/>
      <c r="N36337" s="14"/>
      <c r="O36337" s="14"/>
      <c r="P36337" s="13"/>
    </row>
    <row r="36338">
      <c r="L36338" s="13"/>
      <c r="M36338" s="14"/>
      <c r="N36338" s="14"/>
      <c r="O36338" s="14"/>
      <c r="P36338" s="13"/>
    </row>
    <row r="36339">
      <c r="L36339" s="13"/>
      <c r="M36339" s="14"/>
      <c r="N36339" s="14"/>
      <c r="O36339" s="14"/>
      <c r="P36339" s="13"/>
    </row>
    <row r="36340">
      <c r="L36340" s="13"/>
      <c r="M36340" s="14"/>
      <c r="N36340" s="14"/>
      <c r="O36340" s="14"/>
      <c r="P36340" s="13"/>
    </row>
    <row r="36341">
      <c r="L36341" s="13"/>
      <c r="M36341" s="14"/>
      <c r="N36341" s="14"/>
      <c r="O36341" s="14"/>
      <c r="P36341" s="13"/>
    </row>
    <row r="36342">
      <c r="L36342" s="13"/>
      <c r="M36342" s="14"/>
      <c r="N36342" s="14"/>
      <c r="O36342" s="14"/>
      <c r="P36342" s="13"/>
    </row>
    <row r="36343">
      <c r="L36343" s="13"/>
      <c r="M36343" s="14"/>
      <c r="N36343" s="14"/>
      <c r="O36343" s="14"/>
      <c r="P36343" s="13"/>
    </row>
    <row r="36344">
      <c r="L36344" s="13"/>
      <c r="M36344" s="14"/>
      <c r="N36344" s="14"/>
      <c r="O36344" s="14"/>
      <c r="P36344" s="13"/>
    </row>
    <row r="36345">
      <c r="L36345" s="13"/>
      <c r="M36345" s="14"/>
      <c r="N36345" s="14"/>
      <c r="O36345" s="14"/>
      <c r="P36345" s="13"/>
    </row>
    <row r="36346">
      <c r="L36346" s="13"/>
      <c r="M36346" s="14"/>
      <c r="N36346" s="14"/>
      <c r="O36346" s="14"/>
      <c r="P36346" s="13"/>
    </row>
    <row r="36347">
      <c r="L36347" s="13"/>
      <c r="M36347" s="14"/>
      <c r="N36347" s="14"/>
      <c r="O36347" s="14"/>
      <c r="P36347" s="13"/>
    </row>
    <row r="36348">
      <c r="L36348" s="13"/>
      <c r="M36348" s="14"/>
      <c r="N36348" s="14"/>
      <c r="O36348" s="14"/>
      <c r="P36348" s="13"/>
    </row>
    <row r="36349">
      <c r="L36349" s="13"/>
      <c r="M36349" s="14"/>
      <c r="N36349" s="14"/>
      <c r="O36349" s="14"/>
      <c r="P36349" s="13"/>
    </row>
    <row r="36350">
      <c r="L36350" s="13"/>
      <c r="M36350" s="14"/>
      <c r="N36350" s="14"/>
      <c r="O36350" s="14"/>
      <c r="P36350" s="13"/>
    </row>
    <row r="36351">
      <c r="L36351" s="13"/>
      <c r="M36351" s="14"/>
      <c r="N36351" s="14"/>
      <c r="O36351" s="14"/>
      <c r="P36351" s="13"/>
    </row>
    <row r="36352">
      <c r="L36352" s="13"/>
      <c r="M36352" s="14"/>
      <c r="N36352" s="14"/>
      <c r="O36352" s="14"/>
      <c r="P36352" s="13"/>
    </row>
    <row r="36353">
      <c r="L36353" s="13"/>
      <c r="M36353" s="14"/>
      <c r="N36353" s="14"/>
      <c r="O36353" s="14"/>
      <c r="P36353" s="13"/>
    </row>
    <row r="36354">
      <c r="L36354" s="13"/>
      <c r="M36354" s="14"/>
      <c r="N36354" s="14"/>
      <c r="O36354" s="14"/>
      <c r="P36354" s="13"/>
    </row>
    <row r="36355">
      <c r="L36355" s="13"/>
      <c r="M36355" s="14"/>
      <c r="N36355" s="14"/>
      <c r="O36355" s="14"/>
      <c r="P36355" s="13"/>
    </row>
    <row r="36356">
      <c r="L36356" s="13"/>
      <c r="M36356" s="14"/>
      <c r="N36356" s="14"/>
      <c r="O36356" s="14"/>
      <c r="P36356" s="13"/>
    </row>
    <row r="36357">
      <c r="L36357" s="13"/>
      <c r="M36357" s="14"/>
      <c r="N36357" s="14"/>
      <c r="O36357" s="14"/>
      <c r="P36357" s="13"/>
    </row>
    <row r="36358">
      <c r="L36358" s="13"/>
      <c r="M36358" s="14"/>
      <c r="N36358" s="14"/>
      <c r="O36358" s="14"/>
      <c r="P36358" s="13"/>
    </row>
    <row r="36359">
      <c r="L36359" s="13"/>
      <c r="M36359" s="14"/>
      <c r="N36359" s="14"/>
      <c r="O36359" s="14"/>
      <c r="P36359" s="13"/>
    </row>
    <row r="36360">
      <c r="L36360" s="13"/>
      <c r="M36360" s="14"/>
      <c r="N36360" s="14"/>
      <c r="O36360" s="14"/>
      <c r="P36360" s="13"/>
    </row>
    <row r="36361">
      <c r="L36361" s="13"/>
      <c r="M36361" s="14"/>
      <c r="N36361" s="14"/>
      <c r="O36361" s="14"/>
      <c r="P36361" s="13"/>
    </row>
    <row r="36362">
      <c r="L36362" s="13"/>
      <c r="M36362" s="14"/>
      <c r="N36362" s="14"/>
      <c r="O36362" s="14"/>
      <c r="P36362" s="13"/>
    </row>
    <row r="36363">
      <c r="L36363" s="13"/>
      <c r="M36363" s="14"/>
      <c r="N36363" s="14"/>
      <c r="O36363" s="14"/>
      <c r="P36363" s="13"/>
    </row>
    <row r="36364">
      <c r="L36364" s="13"/>
      <c r="M36364" s="14"/>
      <c r="N36364" s="14"/>
      <c r="O36364" s="14"/>
      <c r="P36364" s="13"/>
    </row>
    <row r="36365">
      <c r="L36365" s="13"/>
      <c r="M36365" s="14"/>
      <c r="N36365" s="14"/>
      <c r="O36365" s="14"/>
      <c r="P36365" s="13"/>
    </row>
    <row r="36366">
      <c r="L36366" s="13"/>
      <c r="M36366" s="14"/>
      <c r="N36366" s="14"/>
      <c r="O36366" s="14"/>
      <c r="P36366" s="13"/>
    </row>
    <row r="36367">
      <c r="L36367" s="13"/>
      <c r="M36367" s="14"/>
      <c r="N36367" s="14"/>
      <c r="O36367" s="14"/>
      <c r="P36367" s="13"/>
    </row>
    <row r="36368">
      <c r="L36368" s="13"/>
      <c r="M36368" s="14"/>
      <c r="N36368" s="14"/>
      <c r="O36368" s="14"/>
      <c r="P36368" s="13"/>
    </row>
    <row r="36369">
      <c r="L36369" s="13"/>
      <c r="M36369" s="14"/>
      <c r="N36369" s="14"/>
      <c r="O36369" s="14"/>
      <c r="P36369" s="13"/>
    </row>
    <row r="36370">
      <c r="L36370" s="13"/>
      <c r="M36370" s="14"/>
      <c r="N36370" s="14"/>
      <c r="O36370" s="14"/>
      <c r="P36370" s="13"/>
    </row>
    <row r="36371">
      <c r="L36371" s="13"/>
      <c r="M36371" s="14"/>
      <c r="N36371" s="14"/>
      <c r="O36371" s="14"/>
      <c r="P36371" s="13"/>
    </row>
    <row r="36372">
      <c r="L36372" s="13"/>
      <c r="M36372" s="14"/>
      <c r="N36372" s="14"/>
      <c r="O36372" s="14"/>
      <c r="P36372" s="13"/>
    </row>
    <row r="36373">
      <c r="L36373" s="13"/>
      <c r="M36373" s="14"/>
      <c r="N36373" s="14"/>
      <c r="O36373" s="14"/>
      <c r="P36373" s="13"/>
    </row>
    <row r="36374">
      <c r="L36374" s="13"/>
      <c r="M36374" s="14"/>
      <c r="N36374" s="14"/>
      <c r="O36374" s="14"/>
      <c r="P36374" s="13"/>
    </row>
    <row r="36375">
      <c r="L36375" s="13"/>
      <c r="M36375" s="14"/>
      <c r="N36375" s="14"/>
      <c r="O36375" s="14"/>
      <c r="P36375" s="13"/>
    </row>
    <row r="36376">
      <c r="L36376" s="13"/>
      <c r="M36376" s="14"/>
      <c r="N36376" s="14"/>
      <c r="O36376" s="14"/>
      <c r="P36376" s="13"/>
    </row>
    <row r="36377">
      <c r="L36377" s="13"/>
      <c r="M36377" s="14"/>
      <c r="N36377" s="14"/>
      <c r="O36377" s="14"/>
      <c r="P36377" s="13"/>
    </row>
    <row r="36378">
      <c r="L36378" s="13"/>
      <c r="M36378" s="14"/>
      <c r="N36378" s="14"/>
      <c r="O36378" s="14"/>
      <c r="P36378" s="13"/>
    </row>
    <row r="36379">
      <c r="L36379" s="13"/>
      <c r="M36379" s="14"/>
      <c r="N36379" s="14"/>
      <c r="O36379" s="14"/>
      <c r="P36379" s="13"/>
    </row>
    <row r="36380">
      <c r="L36380" s="13"/>
      <c r="M36380" s="14"/>
      <c r="N36380" s="14"/>
      <c r="O36380" s="14"/>
      <c r="P36380" s="13"/>
    </row>
    <row r="36381">
      <c r="L36381" s="13"/>
      <c r="M36381" s="14"/>
      <c r="N36381" s="14"/>
      <c r="O36381" s="14"/>
      <c r="P36381" s="13"/>
    </row>
    <row r="36382">
      <c r="L36382" s="13"/>
      <c r="M36382" s="14"/>
      <c r="N36382" s="14"/>
      <c r="O36382" s="14"/>
      <c r="P36382" s="13"/>
    </row>
    <row r="36383">
      <c r="L36383" s="13"/>
      <c r="M36383" s="14"/>
      <c r="N36383" s="14"/>
      <c r="O36383" s="14"/>
      <c r="P36383" s="13"/>
    </row>
    <row r="36384">
      <c r="L36384" s="13"/>
      <c r="M36384" s="14"/>
      <c r="N36384" s="14"/>
      <c r="O36384" s="14"/>
      <c r="P36384" s="13"/>
    </row>
    <row r="36385">
      <c r="L36385" s="13"/>
      <c r="M36385" s="14"/>
      <c r="N36385" s="14"/>
      <c r="O36385" s="14"/>
      <c r="P36385" s="13"/>
    </row>
    <row r="36386">
      <c r="L36386" s="13"/>
      <c r="M36386" s="14"/>
      <c r="N36386" s="14"/>
      <c r="O36386" s="14"/>
      <c r="P36386" s="13"/>
    </row>
    <row r="36387">
      <c r="L36387" s="13"/>
      <c r="M36387" s="14"/>
      <c r="N36387" s="14"/>
      <c r="O36387" s="14"/>
      <c r="P36387" s="13"/>
    </row>
    <row r="36388">
      <c r="L36388" s="13"/>
      <c r="M36388" s="14"/>
      <c r="N36388" s="14"/>
      <c r="O36388" s="14"/>
      <c r="P36388" s="13"/>
    </row>
    <row r="36389">
      <c r="L36389" s="13"/>
      <c r="M36389" s="14"/>
      <c r="N36389" s="14"/>
      <c r="O36389" s="14"/>
      <c r="P36389" s="13"/>
    </row>
    <row r="36390">
      <c r="L36390" s="13"/>
      <c r="M36390" s="14"/>
      <c r="N36390" s="14"/>
      <c r="O36390" s="14"/>
      <c r="P36390" s="13"/>
    </row>
    <row r="36391">
      <c r="L36391" s="13"/>
      <c r="M36391" s="14"/>
      <c r="N36391" s="14"/>
      <c r="O36391" s="14"/>
      <c r="P36391" s="13"/>
    </row>
    <row r="36392">
      <c r="L36392" s="13"/>
      <c r="M36392" s="14"/>
      <c r="N36392" s="14"/>
      <c r="O36392" s="14"/>
      <c r="P36392" s="13"/>
    </row>
    <row r="36393">
      <c r="L36393" s="13"/>
      <c r="M36393" s="14"/>
      <c r="N36393" s="14"/>
      <c r="O36393" s="14"/>
      <c r="P36393" s="13"/>
    </row>
    <row r="36394">
      <c r="L36394" s="13"/>
      <c r="M36394" s="14"/>
      <c r="N36394" s="14"/>
      <c r="O36394" s="14"/>
      <c r="P36394" s="13"/>
    </row>
    <row r="36395">
      <c r="L36395" s="13"/>
      <c r="M36395" s="14"/>
      <c r="N36395" s="14"/>
      <c r="O36395" s="14"/>
      <c r="P36395" s="13"/>
    </row>
    <row r="36396">
      <c r="L36396" s="13"/>
      <c r="M36396" s="14"/>
      <c r="N36396" s="14"/>
      <c r="O36396" s="14"/>
      <c r="P36396" s="13"/>
    </row>
    <row r="36397">
      <c r="L36397" s="13"/>
      <c r="M36397" s="14"/>
      <c r="N36397" s="14"/>
      <c r="O36397" s="14"/>
      <c r="P36397" s="13"/>
    </row>
    <row r="36398">
      <c r="L36398" s="13"/>
      <c r="M36398" s="14"/>
      <c r="N36398" s="14"/>
      <c r="O36398" s="14"/>
      <c r="P36398" s="13"/>
    </row>
    <row r="36399">
      <c r="L36399" s="13"/>
      <c r="M36399" s="14"/>
      <c r="N36399" s="14"/>
      <c r="O36399" s="14"/>
      <c r="P36399" s="13"/>
    </row>
    <row r="36400">
      <c r="L36400" s="13"/>
      <c r="M36400" s="14"/>
      <c r="N36400" s="14"/>
      <c r="O36400" s="14"/>
      <c r="P36400" s="13"/>
    </row>
    <row r="36401">
      <c r="L36401" s="13"/>
      <c r="M36401" s="14"/>
      <c r="N36401" s="14"/>
      <c r="O36401" s="14"/>
      <c r="P36401" s="13"/>
    </row>
    <row r="36402">
      <c r="L36402" s="13"/>
      <c r="M36402" s="14"/>
      <c r="N36402" s="14"/>
      <c r="O36402" s="14"/>
      <c r="P36402" s="13"/>
    </row>
    <row r="36403">
      <c r="L36403" s="13"/>
      <c r="M36403" s="14"/>
      <c r="N36403" s="14"/>
      <c r="O36403" s="14"/>
      <c r="P36403" s="13"/>
    </row>
    <row r="36404">
      <c r="L36404" s="13"/>
      <c r="M36404" s="14"/>
      <c r="N36404" s="14"/>
      <c r="O36404" s="14"/>
      <c r="P36404" s="13"/>
    </row>
    <row r="36405">
      <c r="L36405" s="13"/>
      <c r="M36405" s="14"/>
      <c r="N36405" s="14"/>
      <c r="O36405" s="14"/>
      <c r="P36405" s="13"/>
    </row>
    <row r="36406">
      <c r="L36406" s="13"/>
      <c r="M36406" s="14"/>
      <c r="N36406" s="14"/>
      <c r="O36406" s="14"/>
      <c r="P36406" s="13"/>
    </row>
    <row r="36407">
      <c r="L36407" s="13"/>
      <c r="M36407" s="14"/>
      <c r="N36407" s="14"/>
      <c r="O36407" s="14"/>
      <c r="P36407" s="13"/>
    </row>
    <row r="36408">
      <c r="L36408" s="13"/>
      <c r="M36408" s="14"/>
      <c r="N36408" s="14"/>
      <c r="O36408" s="14"/>
      <c r="P36408" s="13"/>
    </row>
    <row r="36409">
      <c r="L36409" s="13"/>
      <c r="M36409" s="14"/>
      <c r="N36409" s="14"/>
      <c r="O36409" s="14"/>
      <c r="P36409" s="13"/>
    </row>
    <row r="36410">
      <c r="L36410" s="13"/>
      <c r="M36410" s="14"/>
      <c r="N36410" s="14"/>
      <c r="O36410" s="14"/>
      <c r="P36410" s="13"/>
    </row>
    <row r="36411">
      <c r="L36411" s="13"/>
      <c r="M36411" s="14"/>
      <c r="N36411" s="14"/>
      <c r="O36411" s="14"/>
      <c r="P36411" s="13"/>
    </row>
    <row r="36412">
      <c r="L36412" s="13"/>
      <c r="M36412" s="14"/>
      <c r="N36412" s="14"/>
      <c r="O36412" s="14"/>
      <c r="P36412" s="13"/>
    </row>
    <row r="36413">
      <c r="L36413" s="13"/>
      <c r="M36413" s="14"/>
      <c r="N36413" s="14"/>
      <c r="O36413" s="14"/>
      <c r="P36413" s="13"/>
    </row>
    <row r="36414">
      <c r="L36414" s="13"/>
      <c r="M36414" s="14"/>
      <c r="N36414" s="14"/>
      <c r="O36414" s="14"/>
      <c r="P36414" s="13"/>
    </row>
    <row r="36415">
      <c r="L36415" s="13"/>
      <c r="M36415" s="14"/>
      <c r="N36415" s="14"/>
      <c r="O36415" s="14"/>
      <c r="P36415" s="13"/>
    </row>
    <row r="36416">
      <c r="L36416" s="13"/>
      <c r="M36416" s="14"/>
      <c r="N36416" s="14"/>
      <c r="O36416" s="14"/>
      <c r="P36416" s="13"/>
    </row>
    <row r="36417">
      <c r="L36417" s="13"/>
      <c r="M36417" s="14"/>
      <c r="N36417" s="14"/>
      <c r="O36417" s="14"/>
      <c r="P36417" s="13"/>
    </row>
    <row r="36418">
      <c r="L36418" s="13"/>
      <c r="M36418" s="14"/>
      <c r="N36418" s="14"/>
      <c r="O36418" s="14"/>
      <c r="P36418" s="13"/>
    </row>
    <row r="36419">
      <c r="L36419" s="13"/>
      <c r="M36419" s="14"/>
      <c r="N36419" s="14"/>
      <c r="O36419" s="14"/>
      <c r="P36419" s="13"/>
    </row>
    <row r="36420">
      <c r="L36420" s="13"/>
      <c r="M36420" s="14"/>
      <c r="N36420" s="14"/>
      <c r="O36420" s="14"/>
      <c r="P36420" s="13"/>
    </row>
    <row r="36421">
      <c r="L36421" s="13"/>
      <c r="M36421" s="14"/>
      <c r="N36421" s="14"/>
      <c r="O36421" s="14"/>
      <c r="P36421" s="13"/>
    </row>
    <row r="36422">
      <c r="L36422" s="13"/>
      <c r="M36422" s="14"/>
      <c r="N36422" s="14"/>
      <c r="O36422" s="14"/>
      <c r="P36422" s="13"/>
    </row>
    <row r="36423">
      <c r="L36423" s="13"/>
      <c r="M36423" s="14"/>
      <c r="N36423" s="14"/>
      <c r="O36423" s="14"/>
      <c r="P36423" s="13"/>
    </row>
    <row r="36424">
      <c r="L36424" s="13"/>
      <c r="M36424" s="14"/>
      <c r="N36424" s="14"/>
      <c r="O36424" s="14"/>
      <c r="P36424" s="13"/>
    </row>
    <row r="36425">
      <c r="L36425" s="13"/>
      <c r="M36425" s="14"/>
      <c r="N36425" s="14"/>
      <c r="O36425" s="14"/>
      <c r="P36425" s="13"/>
    </row>
    <row r="36426">
      <c r="L36426" s="13"/>
      <c r="M36426" s="14"/>
      <c r="N36426" s="14"/>
      <c r="O36426" s="14"/>
      <c r="P36426" s="13"/>
    </row>
    <row r="36427">
      <c r="L36427" s="13"/>
      <c r="M36427" s="14"/>
      <c r="N36427" s="14"/>
      <c r="O36427" s="14"/>
      <c r="P36427" s="13"/>
    </row>
    <row r="36428">
      <c r="L36428" s="13"/>
      <c r="M36428" s="14"/>
      <c r="N36428" s="14"/>
      <c r="O36428" s="14"/>
      <c r="P36428" s="13"/>
    </row>
    <row r="36429">
      <c r="L36429" s="13"/>
      <c r="M36429" s="14"/>
      <c r="N36429" s="14"/>
      <c r="O36429" s="14"/>
      <c r="P36429" s="13"/>
    </row>
    <row r="36430">
      <c r="L36430" s="13"/>
      <c r="M36430" s="14"/>
      <c r="N36430" s="14"/>
      <c r="O36430" s="14"/>
      <c r="P36430" s="13"/>
    </row>
    <row r="36431">
      <c r="L36431" s="13"/>
      <c r="M36431" s="14"/>
      <c r="N36431" s="14"/>
      <c r="O36431" s="14"/>
      <c r="P36431" s="13"/>
    </row>
    <row r="36432">
      <c r="L36432" s="13"/>
      <c r="M36432" s="14"/>
      <c r="N36432" s="14"/>
      <c r="O36432" s="14"/>
      <c r="P36432" s="13"/>
    </row>
    <row r="36433">
      <c r="L36433" s="13"/>
      <c r="M36433" s="14"/>
      <c r="N36433" s="14"/>
      <c r="O36433" s="14"/>
      <c r="P36433" s="13"/>
    </row>
    <row r="36434">
      <c r="L36434" s="13"/>
      <c r="M36434" s="14"/>
      <c r="N36434" s="14"/>
      <c r="O36434" s="14"/>
      <c r="P36434" s="13"/>
    </row>
    <row r="36435">
      <c r="L36435" s="13"/>
      <c r="M36435" s="14"/>
      <c r="N36435" s="14"/>
      <c r="O36435" s="14"/>
      <c r="P36435" s="13"/>
    </row>
    <row r="36436">
      <c r="L36436" s="13"/>
      <c r="M36436" s="14"/>
      <c r="N36436" s="14"/>
      <c r="O36436" s="14"/>
      <c r="P36436" s="13"/>
    </row>
    <row r="36437">
      <c r="L36437" s="13"/>
      <c r="M36437" s="14"/>
      <c r="N36437" s="14"/>
      <c r="O36437" s="14"/>
      <c r="P36437" s="13"/>
    </row>
    <row r="36438">
      <c r="L36438" s="13"/>
      <c r="M36438" s="14"/>
      <c r="N36438" s="14"/>
      <c r="O36438" s="14"/>
      <c r="P36438" s="13"/>
    </row>
    <row r="36439">
      <c r="L36439" s="13"/>
      <c r="M36439" s="14"/>
      <c r="N36439" s="14"/>
      <c r="O36439" s="14"/>
      <c r="P36439" s="13"/>
    </row>
    <row r="36440">
      <c r="L36440" s="13"/>
      <c r="M36440" s="14"/>
      <c r="N36440" s="14"/>
      <c r="O36440" s="14"/>
      <c r="P36440" s="13"/>
    </row>
    <row r="36441">
      <c r="L36441" s="13"/>
      <c r="M36441" s="14"/>
      <c r="N36441" s="14"/>
      <c r="O36441" s="14"/>
      <c r="P36441" s="13"/>
    </row>
    <row r="36442">
      <c r="L36442" s="13"/>
      <c r="M36442" s="14"/>
      <c r="N36442" s="14"/>
      <c r="O36442" s="14"/>
      <c r="P36442" s="13"/>
    </row>
    <row r="36443">
      <c r="L36443" s="13"/>
      <c r="M36443" s="14"/>
      <c r="N36443" s="14"/>
      <c r="O36443" s="14"/>
      <c r="P36443" s="13"/>
    </row>
    <row r="36444">
      <c r="L36444" s="13"/>
      <c r="M36444" s="14"/>
      <c r="N36444" s="14"/>
      <c r="O36444" s="14"/>
      <c r="P36444" s="13"/>
    </row>
    <row r="36445">
      <c r="L36445" s="13"/>
      <c r="M36445" s="14"/>
      <c r="N36445" s="14"/>
      <c r="O36445" s="14"/>
      <c r="P36445" s="13"/>
    </row>
    <row r="36446">
      <c r="L36446" s="13"/>
      <c r="M36446" s="14"/>
      <c r="N36446" s="14"/>
      <c r="O36446" s="14"/>
      <c r="P36446" s="13"/>
    </row>
    <row r="36447">
      <c r="L36447" s="13"/>
      <c r="M36447" s="14"/>
      <c r="N36447" s="14"/>
      <c r="O36447" s="14"/>
      <c r="P36447" s="13"/>
    </row>
    <row r="36448">
      <c r="L36448" s="13"/>
      <c r="M36448" s="14"/>
      <c r="N36448" s="14"/>
      <c r="O36448" s="14"/>
      <c r="P36448" s="13"/>
    </row>
    <row r="36449">
      <c r="L36449" s="13"/>
      <c r="M36449" s="14"/>
      <c r="N36449" s="14"/>
      <c r="O36449" s="14"/>
      <c r="P36449" s="13"/>
    </row>
    <row r="36450">
      <c r="L36450" s="13"/>
      <c r="M36450" s="14"/>
      <c r="N36450" s="14"/>
      <c r="O36450" s="14"/>
      <c r="P36450" s="13"/>
    </row>
    <row r="36451">
      <c r="L36451" s="13"/>
      <c r="M36451" s="14"/>
      <c r="N36451" s="14"/>
      <c r="O36451" s="14"/>
      <c r="P36451" s="13"/>
    </row>
    <row r="36452">
      <c r="L36452" s="13"/>
      <c r="M36452" s="14"/>
      <c r="N36452" s="14"/>
      <c r="O36452" s="14"/>
      <c r="P36452" s="13"/>
    </row>
    <row r="36453">
      <c r="L36453" s="13"/>
      <c r="M36453" s="14"/>
      <c r="N36453" s="14"/>
      <c r="O36453" s="14"/>
      <c r="P36453" s="13"/>
    </row>
    <row r="36454">
      <c r="L36454" s="13"/>
      <c r="M36454" s="14"/>
      <c r="N36454" s="14"/>
      <c r="O36454" s="14"/>
      <c r="P36454" s="13"/>
    </row>
    <row r="36455">
      <c r="L36455" s="13"/>
      <c r="M36455" s="14"/>
      <c r="N36455" s="14"/>
      <c r="O36455" s="14"/>
      <c r="P36455" s="13"/>
    </row>
    <row r="36456">
      <c r="L36456" s="13"/>
      <c r="M36456" s="14"/>
      <c r="N36456" s="14"/>
      <c r="O36456" s="14"/>
      <c r="P36456" s="13"/>
    </row>
    <row r="36457">
      <c r="L36457" s="13"/>
      <c r="M36457" s="14"/>
      <c r="N36457" s="14"/>
      <c r="O36457" s="14"/>
      <c r="P36457" s="13"/>
    </row>
    <row r="36458">
      <c r="L36458" s="13"/>
      <c r="M36458" s="14"/>
      <c r="N36458" s="14"/>
      <c r="O36458" s="14"/>
      <c r="P36458" s="13"/>
    </row>
    <row r="36459">
      <c r="L36459" s="13"/>
      <c r="M36459" s="14"/>
      <c r="N36459" s="14"/>
      <c r="O36459" s="14"/>
      <c r="P36459" s="13"/>
    </row>
    <row r="36460">
      <c r="L36460" s="13"/>
      <c r="M36460" s="14"/>
      <c r="N36460" s="14"/>
      <c r="O36460" s="14"/>
      <c r="P36460" s="13"/>
    </row>
    <row r="36461">
      <c r="L36461" s="13"/>
      <c r="M36461" s="14"/>
      <c r="N36461" s="14"/>
      <c r="O36461" s="14"/>
      <c r="P36461" s="13"/>
    </row>
    <row r="36462">
      <c r="L36462" s="13"/>
      <c r="M36462" s="14"/>
      <c r="N36462" s="14"/>
      <c r="O36462" s="14"/>
      <c r="P36462" s="13"/>
    </row>
    <row r="36463">
      <c r="L36463" s="13"/>
      <c r="M36463" s="14"/>
      <c r="N36463" s="14"/>
      <c r="O36463" s="14"/>
      <c r="P36463" s="13"/>
    </row>
    <row r="36464">
      <c r="L36464" s="13"/>
      <c r="M36464" s="14"/>
      <c r="N36464" s="14"/>
      <c r="O36464" s="14"/>
      <c r="P36464" s="13"/>
    </row>
    <row r="36465">
      <c r="L36465" s="13"/>
      <c r="M36465" s="14"/>
      <c r="N36465" s="14"/>
      <c r="O36465" s="14"/>
      <c r="P36465" s="13"/>
    </row>
    <row r="36466">
      <c r="L36466" s="13"/>
      <c r="M36466" s="14"/>
      <c r="N36466" s="14"/>
      <c r="O36466" s="14"/>
      <c r="P36466" s="13"/>
    </row>
    <row r="36467">
      <c r="L36467" s="13"/>
      <c r="M36467" s="14"/>
      <c r="N36467" s="14"/>
      <c r="O36467" s="14"/>
      <c r="P36467" s="13"/>
    </row>
    <row r="36468">
      <c r="L36468" s="13"/>
      <c r="M36468" s="14"/>
      <c r="N36468" s="14"/>
      <c r="O36468" s="14"/>
      <c r="P36468" s="13"/>
    </row>
    <row r="36469">
      <c r="L36469" s="13"/>
      <c r="M36469" s="14"/>
      <c r="N36469" s="14"/>
      <c r="O36469" s="14"/>
      <c r="P36469" s="13"/>
    </row>
    <row r="36470">
      <c r="L36470" s="13"/>
      <c r="M36470" s="14"/>
      <c r="N36470" s="14"/>
      <c r="O36470" s="14"/>
      <c r="P36470" s="13"/>
    </row>
    <row r="36471">
      <c r="L36471" s="13"/>
      <c r="M36471" s="14"/>
      <c r="N36471" s="14"/>
      <c r="O36471" s="14"/>
      <c r="P36471" s="13"/>
    </row>
    <row r="36472">
      <c r="L36472" s="13"/>
      <c r="M36472" s="14"/>
      <c r="N36472" s="14"/>
      <c r="O36472" s="14"/>
      <c r="P36472" s="13"/>
    </row>
    <row r="36473">
      <c r="L36473" s="13"/>
      <c r="M36473" s="14"/>
      <c r="N36473" s="14"/>
      <c r="O36473" s="14"/>
      <c r="P36473" s="13"/>
    </row>
    <row r="36474">
      <c r="L36474" s="13"/>
      <c r="M36474" s="14"/>
      <c r="N36474" s="14"/>
      <c r="O36474" s="14"/>
      <c r="P36474" s="13"/>
    </row>
    <row r="36475">
      <c r="L36475" s="13"/>
      <c r="M36475" s="14"/>
      <c r="N36475" s="14"/>
      <c r="O36475" s="14"/>
      <c r="P36475" s="13"/>
    </row>
    <row r="36476">
      <c r="L36476" s="13"/>
      <c r="M36476" s="14"/>
      <c r="N36476" s="14"/>
      <c r="O36476" s="14"/>
      <c r="P36476" s="13"/>
    </row>
    <row r="36477">
      <c r="L36477" s="13"/>
      <c r="M36477" s="14"/>
      <c r="N36477" s="14"/>
      <c r="O36477" s="14"/>
      <c r="P36477" s="13"/>
    </row>
    <row r="36478">
      <c r="L36478" s="13"/>
      <c r="M36478" s="14"/>
      <c r="N36478" s="14"/>
      <c r="O36478" s="14"/>
      <c r="P36478" s="13"/>
    </row>
    <row r="36479">
      <c r="L36479" s="13"/>
      <c r="M36479" s="14"/>
      <c r="N36479" s="14"/>
      <c r="O36479" s="14"/>
      <c r="P36479" s="13"/>
    </row>
    <row r="36480">
      <c r="L36480" s="13"/>
      <c r="M36480" s="14"/>
      <c r="N36480" s="14"/>
      <c r="O36480" s="14"/>
      <c r="P36480" s="13"/>
    </row>
    <row r="36481">
      <c r="L36481" s="13"/>
      <c r="M36481" s="14"/>
      <c r="N36481" s="14"/>
      <c r="O36481" s="14"/>
      <c r="P36481" s="13"/>
    </row>
    <row r="36482">
      <c r="L36482" s="13"/>
      <c r="M36482" s="14"/>
      <c r="N36482" s="14"/>
      <c r="O36482" s="14"/>
      <c r="P36482" s="13"/>
    </row>
    <row r="36483">
      <c r="L36483" s="13"/>
      <c r="M36483" s="14"/>
      <c r="N36483" s="14"/>
      <c r="O36483" s="14"/>
      <c r="P36483" s="13"/>
    </row>
    <row r="36484">
      <c r="L36484" s="13"/>
      <c r="M36484" s="14"/>
      <c r="N36484" s="14"/>
      <c r="O36484" s="14"/>
      <c r="P36484" s="13"/>
    </row>
    <row r="36485">
      <c r="L36485" s="13"/>
      <c r="M36485" s="14"/>
      <c r="N36485" s="14"/>
      <c r="O36485" s="14"/>
      <c r="P36485" s="13"/>
    </row>
    <row r="36486">
      <c r="L36486" s="13"/>
      <c r="M36486" s="14"/>
      <c r="N36486" s="14"/>
      <c r="O36486" s="14"/>
      <c r="P36486" s="13"/>
    </row>
    <row r="36487">
      <c r="L36487" s="13"/>
      <c r="M36487" s="14"/>
      <c r="N36487" s="14"/>
      <c r="O36487" s="14"/>
      <c r="P36487" s="13"/>
    </row>
    <row r="36488">
      <c r="L36488" s="13"/>
      <c r="M36488" s="14"/>
      <c r="N36488" s="14"/>
      <c r="O36488" s="14"/>
      <c r="P36488" s="13"/>
    </row>
    <row r="36489">
      <c r="L36489" s="13"/>
      <c r="M36489" s="14"/>
      <c r="N36489" s="14"/>
      <c r="O36489" s="14"/>
      <c r="P36489" s="13"/>
    </row>
    <row r="36490">
      <c r="L36490" s="13"/>
      <c r="M36490" s="14"/>
      <c r="N36490" s="14"/>
      <c r="O36490" s="14"/>
      <c r="P36490" s="13"/>
    </row>
    <row r="36491">
      <c r="L36491" s="13"/>
      <c r="M36491" s="14"/>
      <c r="N36491" s="14"/>
      <c r="O36491" s="14"/>
      <c r="P36491" s="13"/>
    </row>
    <row r="36492">
      <c r="L36492" s="13"/>
      <c r="M36492" s="14"/>
      <c r="N36492" s="14"/>
      <c r="O36492" s="14"/>
      <c r="P36492" s="13"/>
    </row>
    <row r="36493">
      <c r="L36493" s="13"/>
      <c r="M36493" s="14"/>
      <c r="N36493" s="14"/>
      <c r="O36493" s="14"/>
      <c r="P36493" s="13"/>
    </row>
    <row r="36494">
      <c r="L36494" s="13"/>
      <c r="M36494" s="14"/>
      <c r="N36494" s="14"/>
      <c r="O36494" s="14"/>
      <c r="P36494" s="13"/>
    </row>
    <row r="36495">
      <c r="L36495" s="13"/>
      <c r="M36495" s="14"/>
      <c r="N36495" s="14"/>
      <c r="O36495" s="14"/>
      <c r="P36495" s="13"/>
    </row>
    <row r="36496">
      <c r="L36496" s="13"/>
      <c r="M36496" s="14"/>
      <c r="N36496" s="14"/>
      <c r="O36496" s="14"/>
      <c r="P36496" s="13"/>
    </row>
    <row r="36497">
      <c r="L36497" s="13"/>
      <c r="M36497" s="14"/>
      <c r="N36497" s="14"/>
      <c r="O36497" s="14"/>
      <c r="P36497" s="13"/>
    </row>
    <row r="36498">
      <c r="L36498" s="13"/>
      <c r="M36498" s="14"/>
      <c r="N36498" s="14"/>
      <c r="O36498" s="14"/>
      <c r="P36498" s="13"/>
    </row>
    <row r="36499">
      <c r="L36499" s="13"/>
      <c r="M36499" s="14"/>
      <c r="N36499" s="14"/>
      <c r="O36499" s="14"/>
      <c r="P36499" s="13"/>
    </row>
    <row r="36500">
      <c r="L36500" s="13"/>
      <c r="M36500" s="14"/>
      <c r="N36500" s="14"/>
      <c r="O36500" s="14"/>
      <c r="P36500" s="13"/>
    </row>
    <row r="36501">
      <c r="L36501" s="13"/>
      <c r="M36501" s="14"/>
      <c r="N36501" s="14"/>
      <c r="O36501" s="14"/>
      <c r="P36501" s="13"/>
    </row>
    <row r="36502">
      <c r="L36502" s="13"/>
      <c r="M36502" s="14"/>
      <c r="N36502" s="14"/>
      <c r="O36502" s="14"/>
      <c r="P36502" s="13"/>
    </row>
    <row r="36503">
      <c r="L36503" s="13"/>
      <c r="M36503" s="14"/>
      <c r="N36503" s="14"/>
      <c r="O36503" s="14"/>
      <c r="P36503" s="13"/>
    </row>
    <row r="36504">
      <c r="L36504" s="13"/>
      <c r="M36504" s="14"/>
      <c r="N36504" s="14"/>
      <c r="O36504" s="14"/>
      <c r="P36504" s="13"/>
    </row>
    <row r="36505">
      <c r="L36505" s="13"/>
      <c r="M36505" s="14"/>
      <c r="N36505" s="14"/>
      <c r="O36505" s="14"/>
      <c r="P36505" s="13"/>
    </row>
    <row r="36506">
      <c r="L36506" s="13"/>
      <c r="M36506" s="14"/>
      <c r="N36506" s="14"/>
      <c r="O36506" s="14"/>
      <c r="P36506" s="13"/>
    </row>
    <row r="36507">
      <c r="L36507" s="13"/>
      <c r="M36507" s="14"/>
      <c r="N36507" s="14"/>
      <c r="O36507" s="14"/>
      <c r="P36507" s="13"/>
    </row>
    <row r="36508">
      <c r="L36508" s="13"/>
      <c r="M36508" s="14"/>
      <c r="N36508" s="14"/>
      <c r="O36508" s="14"/>
      <c r="P36508" s="13"/>
    </row>
    <row r="36509">
      <c r="L36509" s="13"/>
      <c r="M36509" s="14"/>
      <c r="N36509" s="14"/>
      <c r="O36509" s="14"/>
      <c r="P36509" s="13"/>
    </row>
    <row r="36510">
      <c r="L36510" s="13"/>
      <c r="M36510" s="14"/>
      <c r="N36510" s="14"/>
      <c r="O36510" s="14"/>
      <c r="P36510" s="13"/>
    </row>
    <row r="36511">
      <c r="L36511" s="13"/>
      <c r="M36511" s="14"/>
      <c r="N36511" s="14"/>
      <c r="O36511" s="14"/>
      <c r="P36511" s="13"/>
    </row>
    <row r="36512">
      <c r="L36512" s="13"/>
      <c r="M36512" s="14"/>
      <c r="N36512" s="14"/>
      <c r="O36512" s="14"/>
      <c r="P36512" s="13"/>
    </row>
    <row r="36513">
      <c r="L36513" s="13"/>
      <c r="M36513" s="14"/>
      <c r="N36513" s="14"/>
      <c r="O36513" s="14"/>
      <c r="P36513" s="13"/>
    </row>
    <row r="36514">
      <c r="L36514" s="13"/>
      <c r="M36514" s="14"/>
      <c r="N36514" s="14"/>
      <c r="O36514" s="14"/>
      <c r="P36514" s="13"/>
    </row>
    <row r="36515">
      <c r="L36515" s="13"/>
      <c r="M36515" s="14"/>
      <c r="N36515" s="14"/>
      <c r="O36515" s="14"/>
      <c r="P36515" s="13"/>
    </row>
    <row r="36516">
      <c r="L36516" s="13"/>
      <c r="M36516" s="14"/>
      <c r="N36516" s="14"/>
      <c r="O36516" s="14"/>
      <c r="P36516" s="13"/>
    </row>
    <row r="36517">
      <c r="L36517" s="13"/>
      <c r="M36517" s="14"/>
      <c r="N36517" s="14"/>
      <c r="O36517" s="14"/>
      <c r="P36517" s="13"/>
    </row>
    <row r="36518">
      <c r="L36518" s="13"/>
      <c r="M36518" s="14"/>
      <c r="N36518" s="14"/>
      <c r="O36518" s="14"/>
      <c r="P36518" s="13"/>
    </row>
    <row r="36519">
      <c r="L36519" s="13"/>
      <c r="M36519" s="14"/>
      <c r="N36519" s="14"/>
      <c r="O36519" s="14"/>
      <c r="P36519" s="13"/>
    </row>
    <row r="36520">
      <c r="L36520" s="13"/>
      <c r="M36520" s="14"/>
      <c r="N36520" s="14"/>
      <c r="O36520" s="14"/>
      <c r="P36520" s="13"/>
    </row>
    <row r="36521">
      <c r="L36521" s="13"/>
      <c r="M36521" s="14"/>
      <c r="N36521" s="14"/>
      <c r="O36521" s="14"/>
      <c r="P36521" s="13"/>
    </row>
    <row r="36522">
      <c r="L36522" s="13"/>
      <c r="M36522" s="14"/>
      <c r="N36522" s="14"/>
      <c r="O36522" s="14"/>
      <c r="P36522" s="13"/>
    </row>
    <row r="36523">
      <c r="L36523" s="13"/>
      <c r="M36523" s="14"/>
      <c r="N36523" s="14"/>
      <c r="O36523" s="14"/>
      <c r="P36523" s="13"/>
    </row>
    <row r="36524">
      <c r="L36524" s="13"/>
      <c r="M36524" s="14"/>
      <c r="N36524" s="14"/>
      <c r="O36524" s="14"/>
      <c r="P36524" s="13"/>
    </row>
    <row r="36525">
      <c r="L36525" s="13"/>
      <c r="M36525" s="14"/>
      <c r="N36525" s="14"/>
      <c r="O36525" s="14"/>
      <c r="P36525" s="13"/>
    </row>
    <row r="36526">
      <c r="L36526" s="13"/>
      <c r="M36526" s="14"/>
      <c r="N36526" s="14"/>
      <c r="O36526" s="14"/>
      <c r="P36526" s="13"/>
    </row>
    <row r="36527">
      <c r="L36527" s="13"/>
      <c r="M36527" s="14"/>
      <c r="N36527" s="14"/>
      <c r="O36527" s="14"/>
      <c r="P36527" s="13"/>
    </row>
    <row r="36528">
      <c r="L36528" s="13"/>
      <c r="M36528" s="14"/>
      <c r="N36528" s="14"/>
      <c r="O36528" s="14"/>
      <c r="P36528" s="13"/>
    </row>
    <row r="36529">
      <c r="L36529" s="13"/>
      <c r="M36529" s="14"/>
      <c r="N36529" s="14"/>
      <c r="O36529" s="14"/>
      <c r="P36529" s="13"/>
    </row>
    <row r="36530">
      <c r="L36530" s="13"/>
      <c r="M36530" s="14"/>
      <c r="N36530" s="14"/>
      <c r="O36530" s="14"/>
      <c r="P36530" s="13"/>
    </row>
    <row r="36531">
      <c r="L36531" s="13"/>
      <c r="M36531" s="14"/>
      <c r="N36531" s="14"/>
      <c r="O36531" s="14"/>
      <c r="P36531" s="13"/>
    </row>
    <row r="36532">
      <c r="L36532" s="13"/>
      <c r="M36532" s="14"/>
      <c r="N36532" s="14"/>
      <c r="O36532" s="14"/>
      <c r="P36532" s="13"/>
    </row>
    <row r="36533">
      <c r="L36533" s="13"/>
      <c r="M36533" s="14"/>
      <c r="N36533" s="14"/>
      <c r="O36533" s="14"/>
      <c r="P36533" s="13"/>
    </row>
    <row r="36534">
      <c r="L36534" s="13"/>
      <c r="M36534" s="14"/>
      <c r="N36534" s="14"/>
      <c r="O36534" s="14"/>
      <c r="P36534" s="13"/>
    </row>
    <row r="36535">
      <c r="L36535" s="13"/>
      <c r="M36535" s="14"/>
      <c r="N36535" s="14"/>
      <c r="O36535" s="14"/>
      <c r="P36535" s="13"/>
    </row>
    <row r="36536">
      <c r="L36536" s="13"/>
      <c r="M36536" s="14"/>
      <c r="N36536" s="14"/>
      <c r="O36536" s="14"/>
      <c r="P36536" s="13"/>
    </row>
    <row r="36537">
      <c r="L36537" s="13"/>
      <c r="M36537" s="14"/>
      <c r="N36537" s="14"/>
      <c r="O36537" s="14"/>
      <c r="P36537" s="13"/>
    </row>
    <row r="36538">
      <c r="L36538" s="13"/>
      <c r="M36538" s="14"/>
      <c r="N36538" s="14"/>
      <c r="O36538" s="14"/>
      <c r="P36538" s="13"/>
    </row>
    <row r="36539">
      <c r="L36539" s="13"/>
      <c r="M36539" s="14"/>
      <c r="N36539" s="14"/>
      <c r="O36539" s="14"/>
      <c r="P36539" s="13"/>
    </row>
    <row r="36540">
      <c r="L36540" s="13"/>
      <c r="M36540" s="14"/>
      <c r="N36540" s="14"/>
      <c r="O36540" s="14"/>
      <c r="P36540" s="13"/>
    </row>
    <row r="36541">
      <c r="L36541" s="13"/>
      <c r="M36541" s="14"/>
      <c r="N36541" s="14"/>
      <c r="O36541" s="14"/>
      <c r="P36541" s="13"/>
    </row>
    <row r="36542">
      <c r="L36542" s="13"/>
      <c r="M36542" s="14"/>
      <c r="N36542" s="14"/>
      <c r="O36542" s="14"/>
      <c r="P36542" s="13"/>
    </row>
    <row r="36543">
      <c r="L36543" s="13"/>
      <c r="M36543" s="14"/>
      <c r="N36543" s="14"/>
      <c r="O36543" s="14"/>
      <c r="P36543" s="13"/>
    </row>
    <row r="36544">
      <c r="L36544" s="13"/>
      <c r="M36544" s="14"/>
      <c r="N36544" s="14"/>
      <c r="O36544" s="14"/>
      <c r="P36544" s="13"/>
    </row>
    <row r="36545">
      <c r="L36545" s="13"/>
      <c r="M36545" s="14"/>
      <c r="N36545" s="14"/>
      <c r="O36545" s="14"/>
      <c r="P36545" s="13"/>
    </row>
    <row r="36546">
      <c r="L36546" s="13"/>
      <c r="M36546" s="14"/>
      <c r="N36546" s="14"/>
      <c r="O36546" s="14"/>
      <c r="P36546" s="13"/>
    </row>
    <row r="36547">
      <c r="L36547" s="13"/>
      <c r="M36547" s="14"/>
      <c r="N36547" s="14"/>
      <c r="O36547" s="14"/>
      <c r="P36547" s="13"/>
    </row>
    <row r="36548">
      <c r="L36548" s="13"/>
      <c r="M36548" s="14"/>
      <c r="N36548" s="14"/>
      <c r="O36548" s="14"/>
      <c r="P36548" s="13"/>
    </row>
    <row r="36549">
      <c r="L36549" s="13"/>
      <c r="M36549" s="14"/>
      <c r="N36549" s="14"/>
      <c r="O36549" s="14"/>
      <c r="P36549" s="13"/>
    </row>
    <row r="36550">
      <c r="L36550" s="13"/>
      <c r="M36550" s="14"/>
      <c r="N36550" s="14"/>
      <c r="O36550" s="14"/>
      <c r="P36550" s="13"/>
    </row>
    <row r="36551">
      <c r="L36551" s="13"/>
      <c r="M36551" s="14"/>
      <c r="N36551" s="14"/>
      <c r="O36551" s="14"/>
      <c r="P36551" s="13"/>
    </row>
    <row r="36552">
      <c r="L36552" s="13"/>
      <c r="M36552" s="14"/>
      <c r="N36552" s="14"/>
      <c r="O36552" s="14"/>
      <c r="P36552" s="13"/>
    </row>
    <row r="36553">
      <c r="L36553" s="13"/>
      <c r="M36553" s="14"/>
      <c r="N36553" s="14"/>
      <c r="O36553" s="14"/>
      <c r="P36553" s="13"/>
    </row>
    <row r="36554">
      <c r="L36554" s="13"/>
      <c r="M36554" s="14"/>
      <c r="N36554" s="14"/>
      <c r="O36554" s="14"/>
      <c r="P36554" s="13"/>
    </row>
    <row r="36555">
      <c r="L36555" s="13"/>
      <c r="M36555" s="14"/>
      <c r="N36555" s="14"/>
      <c r="O36555" s="14"/>
      <c r="P36555" s="13"/>
    </row>
    <row r="36556">
      <c r="L36556" s="13"/>
      <c r="M36556" s="14"/>
      <c r="N36556" s="14"/>
      <c r="O36556" s="14"/>
      <c r="P36556" s="13"/>
    </row>
    <row r="36557">
      <c r="L36557" s="13"/>
      <c r="M36557" s="14"/>
      <c r="N36557" s="14"/>
      <c r="O36557" s="14"/>
      <c r="P36557" s="13"/>
    </row>
    <row r="36558">
      <c r="L36558" s="13"/>
      <c r="M36558" s="14"/>
      <c r="N36558" s="14"/>
      <c r="O36558" s="14"/>
      <c r="P36558" s="13"/>
    </row>
    <row r="36559">
      <c r="L36559" s="13"/>
      <c r="M36559" s="14"/>
      <c r="N36559" s="14"/>
      <c r="O36559" s="14"/>
      <c r="P36559" s="13"/>
    </row>
    <row r="36560">
      <c r="L36560" s="13"/>
      <c r="M36560" s="14"/>
      <c r="N36560" s="14"/>
      <c r="O36560" s="14"/>
      <c r="P36560" s="13"/>
    </row>
    <row r="36561">
      <c r="L36561" s="13"/>
      <c r="M36561" s="14"/>
      <c r="N36561" s="14"/>
      <c r="O36561" s="14"/>
      <c r="P36561" s="13"/>
    </row>
    <row r="36562">
      <c r="L36562" s="13"/>
      <c r="M36562" s="14"/>
      <c r="N36562" s="14"/>
      <c r="O36562" s="14"/>
      <c r="P36562" s="13"/>
    </row>
    <row r="36563">
      <c r="L36563" s="13"/>
      <c r="M36563" s="14"/>
      <c r="N36563" s="14"/>
      <c r="O36563" s="14"/>
      <c r="P36563" s="13"/>
    </row>
    <row r="36564">
      <c r="L36564" s="13"/>
      <c r="M36564" s="14"/>
      <c r="N36564" s="14"/>
      <c r="O36564" s="14"/>
      <c r="P36564" s="13"/>
    </row>
    <row r="36565">
      <c r="L36565" s="13"/>
      <c r="M36565" s="14"/>
      <c r="N36565" s="14"/>
      <c r="O36565" s="14"/>
      <c r="P36565" s="13"/>
    </row>
    <row r="36566">
      <c r="L36566" s="13"/>
      <c r="M36566" s="14"/>
      <c r="N36566" s="14"/>
      <c r="O36566" s="14"/>
      <c r="P36566" s="13"/>
    </row>
    <row r="36567">
      <c r="L36567" s="13"/>
      <c r="M36567" s="14"/>
      <c r="N36567" s="14"/>
      <c r="O36567" s="14"/>
      <c r="P36567" s="13"/>
    </row>
    <row r="36568">
      <c r="L36568" s="13"/>
      <c r="M36568" s="14"/>
      <c r="N36568" s="14"/>
      <c r="O36568" s="14"/>
      <c r="P36568" s="13"/>
    </row>
    <row r="36569">
      <c r="L36569" s="13"/>
      <c r="M36569" s="14"/>
      <c r="N36569" s="14"/>
      <c r="O36569" s="14"/>
      <c r="P36569" s="13"/>
    </row>
    <row r="36570">
      <c r="L36570" s="13"/>
      <c r="M36570" s="14"/>
      <c r="N36570" s="14"/>
      <c r="O36570" s="14"/>
      <c r="P36570" s="13"/>
    </row>
    <row r="36571">
      <c r="L36571" s="13"/>
      <c r="M36571" s="14"/>
      <c r="N36571" s="14"/>
      <c r="O36571" s="14"/>
      <c r="P36571" s="13"/>
    </row>
    <row r="36572">
      <c r="L36572" s="13"/>
      <c r="M36572" s="14"/>
      <c r="N36572" s="14"/>
      <c r="O36572" s="14"/>
      <c r="P36572" s="13"/>
    </row>
    <row r="36573">
      <c r="L36573" s="13"/>
      <c r="M36573" s="14"/>
      <c r="N36573" s="14"/>
      <c r="O36573" s="14"/>
      <c r="P36573" s="13"/>
    </row>
    <row r="36574">
      <c r="L36574" s="13"/>
      <c r="M36574" s="14"/>
      <c r="N36574" s="14"/>
      <c r="O36574" s="14"/>
      <c r="P36574" s="13"/>
    </row>
    <row r="36575">
      <c r="L36575" s="13"/>
      <c r="M36575" s="14"/>
      <c r="N36575" s="14"/>
      <c r="O36575" s="14"/>
      <c r="P36575" s="13"/>
    </row>
    <row r="36576">
      <c r="L36576" s="13"/>
      <c r="M36576" s="14"/>
      <c r="N36576" s="14"/>
      <c r="O36576" s="14"/>
      <c r="P36576" s="13"/>
    </row>
    <row r="36577">
      <c r="L36577" s="13"/>
      <c r="M36577" s="14"/>
      <c r="N36577" s="14"/>
      <c r="O36577" s="14"/>
      <c r="P36577" s="13"/>
    </row>
    <row r="36578">
      <c r="L36578" s="13"/>
      <c r="M36578" s="14"/>
      <c r="N36578" s="14"/>
      <c r="O36578" s="14"/>
      <c r="P36578" s="13"/>
    </row>
    <row r="36579">
      <c r="L36579" s="13"/>
      <c r="M36579" s="14"/>
      <c r="N36579" s="14"/>
      <c r="O36579" s="14"/>
      <c r="P36579" s="13"/>
    </row>
    <row r="36580">
      <c r="L36580" s="13"/>
      <c r="M36580" s="14"/>
      <c r="N36580" s="14"/>
      <c r="O36580" s="14"/>
      <c r="P36580" s="13"/>
    </row>
    <row r="36581">
      <c r="L36581" s="13"/>
      <c r="M36581" s="14"/>
      <c r="N36581" s="14"/>
      <c r="O36581" s="14"/>
      <c r="P36581" s="13"/>
    </row>
    <row r="36582">
      <c r="L36582" s="13"/>
      <c r="M36582" s="14"/>
      <c r="N36582" s="14"/>
      <c r="O36582" s="14"/>
      <c r="P36582" s="13"/>
    </row>
    <row r="36583">
      <c r="L36583" s="13"/>
      <c r="M36583" s="14"/>
      <c r="N36583" s="14"/>
      <c r="O36583" s="14"/>
      <c r="P36583" s="13"/>
    </row>
    <row r="36584">
      <c r="L36584" s="13"/>
      <c r="M36584" s="14"/>
      <c r="N36584" s="14"/>
      <c r="O36584" s="14"/>
      <c r="P36584" s="13"/>
    </row>
    <row r="36585">
      <c r="L36585" s="13"/>
      <c r="M36585" s="14"/>
      <c r="N36585" s="14"/>
      <c r="O36585" s="14"/>
      <c r="P36585" s="13"/>
    </row>
    <row r="36586">
      <c r="L36586" s="13"/>
      <c r="M36586" s="14"/>
      <c r="N36586" s="14"/>
      <c r="O36586" s="14"/>
      <c r="P36586" s="13"/>
    </row>
    <row r="36587">
      <c r="L36587" s="13"/>
      <c r="M36587" s="14"/>
      <c r="N36587" s="14"/>
      <c r="O36587" s="14"/>
      <c r="P36587" s="13"/>
    </row>
    <row r="36588">
      <c r="L36588" s="13"/>
      <c r="M36588" s="14"/>
      <c r="N36588" s="14"/>
      <c r="O36588" s="14"/>
      <c r="P36588" s="13"/>
    </row>
    <row r="36589">
      <c r="L36589" s="13"/>
      <c r="M36589" s="14"/>
      <c r="N36589" s="14"/>
      <c r="O36589" s="14"/>
      <c r="P36589" s="13"/>
    </row>
    <row r="36590">
      <c r="L36590" s="13"/>
      <c r="M36590" s="14"/>
      <c r="N36590" s="14"/>
      <c r="O36590" s="14"/>
      <c r="P36590" s="13"/>
    </row>
    <row r="36591">
      <c r="L36591" s="13"/>
      <c r="M36591" s="14"/>
      <c r="N36591" s="14"/>
      <c r="O36591" s="14"/>
      <c r="P36591" s="13"/>
    </row>
    <row r="36592">
      <c r="L36592" s="13"/>
      <c r="M36592" s="14"/>
      <c r="N36592" s="14"/>
      <c r="O36592" s="14"/>
      <c r="P36592" s="13"/>
    </row>
    <row r="36593">
      <c r="L36593" s="13"/>
      <c r="M36593" s="14"/>
      <c r="N36593" s="14"/>
      <c r="O36593" s="14"/>
      <c r="P36593" s="13"/>
    </row>
    <row r="36594">
      <c r="L36594" s="13"/>
      <c r="M36594" s="14"/>
      <c r="N36594" s="14"/>
      <c r="O36594" s="14"/>
      <c r="P36594" s="13"/>
    </row>
    <row r="36595">
      <c r="L36595" s="13"/>
      <c r="M36595" s="14"/>
      <c r="N36595" s="14"/>
      <c r="O36595" s="14"/>
      <c r="P36595" s="13"/>
    </row>
    <row r="36596">
      <c r="L36596" s="13"/>
      <c r="M36596" s="14"/>
      <c r="N36596" s="14"/>
      <c r="O36596" s="14"/>
      <c r="P36596" s="13"/>
    </row>
    <row r="36597">
      <c r="L36597" s="13"/>
      <c r="M36597" s="14"/>
      <c r="N36597" s="14"/>
      <c r="O36597" s="14"/>
      <c r="P36597" s="13"/>
    </row>
    <row r="36598">
      <c r="L36598" s="13"/>
      <c r="M36598" s="14"/>
      <c r="N36598" s="14"/>
      <c r="O36598" s="14"/>
      <c r="P36598" s="13"/>
    </row>
    <row r="36599">
      <c r="L36599" s="13"/>
      <c r="M36599" s="14"/>
      <c r="N36599" s="14"/>
      <c r="O36599" s="14"/>
      <c r="P36599" s="13"/>
    </row>
    <row r="36600">
      <c r="L36600" s="13"/>
      <c r="M36600" s="14"/>
      <c r="N36600" s="14"/>
      <c r="O36600" s="14"/>
      <c r="P36600" s="13"/>
    </row>
    <row r="36601">
      <c r="L36601" s="13"/>
      <c r="M36601" s="14"/>
      <c r="N36601" s="14"/>
      <c r="O36601" s="14"/>
      <c r="P36601" s="13"/>
    </row>
    <row r="36602">
      <c r="L36602" s="13"/>
      <c r="M36602" s="14"/>
      <c r="N36602" s="14"/>
      <c r="O36602" s="14"/>
      <c r="P36602" s="13"/>
    </row>
    <row r="36603">
      <c r="L36603" s="13"/>
      <c r="M36603" s="14"/>
      <c r="N36603" s="14"/>
      <c r="O36603" s="14"/>
      <c r="P36603" s="13"/>
    </row>
    <row r="36604">
      <c r="L36604" s="13"/>
      <c r="M36604" s="14"/>
      <c r="N36604" s="14"/>
      <c r="O36604" s="14"/>
      <c r="P36604" s="13"/>
    </row>
    <row r="36605">
      <c r="L36605" s="13"/>
      <c r="M36605" s="14"/>
      <c r="N36605" s="14"/>
      <c r="O36605" s="14"/>
      <c r="P36605" s="13"/>
    </row>
    <row r="36606">
      <c r="L36606" s="13"/>
      <c r="M36606" s="14"/>
      <c r="N36606" s="14"/>
      <c r="O36606" s="14"/>
      <c r="P36606" s="13"/>
    </row>
    <row r="36607">
      <c r="L36607" s="13"/>
      <c r="M36607" s="14"/>
      <c r="N36607" s="14"/>
      <c r="O36607" s="14"/>
      <c r="P36607" s="13"/>
    </row>
    <row r="36608">
      <c r="L36608" s="13"/>
      <c r="M36608" s="14"/>
      <c r="N36608" s="14"/>
      <c r="O36608" s="14"/>
      <c r="P36608" s="13"/>
    </row>
    <row r="36609">
      <c r="L36609" s="13"/>
      <c r="M36609" s="14"/>
      <c r="N36609" s="14"/>
      <c r="O36609" s="14"/>
      <c r="P36609" s="13"/>
    </row>
    <row r="36610">
      <c r="L36610" s="13"/>
      <c r="M36610" s="14"/>
      <c r="N36610" s="14"/>
      <c r="O36610" s="14"/>
      <c r="P36610" s="13"/>
    </row>
    <row r="36611">
      <c r="L36611" s="13"/>
      <c r="M36611" s="14"/>
      <c r="N36611" s="14"/>
      <c r="O36611" s="14"/>
      <c r="P36611" s="13"/>
    </row>
    <row r="36612">
      <c r="L36612" s="13"/>
      <c r="M36612" s="14"/>
      <c r="N36612" s="14"/>
      <c r="O36612" s="14"/>
      <c r="P36612" s="13"/>
    </row>
    <row r="36613">
      <c r="L36613" s="13"/>
      <c r="M36613" s="14"/>
      <c r="N36613" s="14"/>
      <c r="O36613" s="14"/>
      <c r="P36613" s="13"/>
    </row>
    <row r="36614">
      <c r="L36614" s="13"/>
      <c r="M36614" s="14"/>
      <c r="N36614" s="14"/>
      <c r="O36614" s="14"/>
      <c r="P36614" s="13"/>
    </row>
    <row r="36615">
      <c r="L36615" s="13"/>
      <c r="M36615" s="14"/>
      <c r="N36615" s="14"/>
      <c r="O36615" s="14"/>
      <c r="P36615" s="13"/>
    </row>
    <row r="36616">
      <c r="L36616" s="13"/>
      <c r="M36616" s="14"/>
      <c r="N36616" s="14"/>
      <c r="O36616" s="14"/>
      <c r="P36616" s="13"/>
    </row>
    <row r="36617">
      <c r="L36617" s="13"/>
      <c r="M36617" s="14"/>
      <c r="N36617" s="14"/>
      <c r="O36617" s="14"/>
      <c r="P36617" s="13"/>
    </row>
    <row r="36618">
      <c r="L36618" s="13"/>
      <c r="M36618" s="14"/>
      <c r="N36618" s="14"/>
      <c r="O36618" s="14"/>
      <c r="P36618" s="13"/>
    </row>
    <row r="36619">
      <c r="L36619" s="13"/>
      <c r="M36619" s="14"/>
      <c r="N36619" s="14"/>
      <c r="O36619" s="14"/>
      <c r="P36619" s="13"/>
    </row>
    <row r="36620">
      <c r="L36620" s="13"/>
      <c r="M36620" s="14"/>
      <c r="N36620" s="14"/>
      <c r="O36620" s="14"/>
      <c r="P36620" s="13"/>
    </row>
    <row r="36621">
      <c r="L36621" s="13"/>
      <c r="M36621" s="14"/>
      <c r="N36621" s="14"/>
      <c r="O36621" s="14"/>
      <c r="P36621" s="13"/>
    </row>
    <row r="36622">
      <c r="L36622" s="13"/>
      <c r="M36622" s="14"/>
      <c r="N36622" s="14"/>
      <c r="O36622" s="14"/>
      <c r="P36622" s="13"/>
    </row>
    <row r="36623">
      <c r="L36623" s="13"/>
      <c r="M36623" s="14"/>
      <c r="N36623" s="14"/>
      <c r="O36623" s="14"/>
      <c r="P36623" s="13"/>
    </row>
    <row r="36624">
      <c r="L36624" s="13"/>
      <c r="M36624" s="14"/>
      <c r="N36624" s="14"/>
      <c r="O36624" s="14"/>
      <c r="P36624" s="13"/>
    </row>
    <row r="36625">
      <c r="L36625" s="13"/>
      <c r="M36625" s="14"/>
      <c r="N36625" s="14"/>
      <c r="O36625" s="14"/>
      <c r="P36625" s="13"/>
    </row>
    <row r="36626">
      <c r="L36626" s="13"/>
      <c r="M36626" s="14"/>
      <c r="N36626" s="14"/>
      <c r="O36626" s="14"/>
      <c r="P36626" s="13"/>
    </row>
    <row r="36627">
      <c r="L36627" s="13"/>
      <c r="M36627" s="14"/>
      <c r="N36627" s="14"/>
      <c r="O36627" s="14"/>
      <c r="P36627" s="13"/>
    </row>
    <row r="36628">
      <c r="L36628" s="13"/>
      <c r="M36628" s="14"/>
      <c r="N36628" s="14"/>
      <c r="O36628" s="14"/>
      <c r="P36628" s="13"/>
    </row>
    <row r="36629">
      <c r="L36629" s="13"/>
      <c r="M36629" s="14"/>
      <c r="N36629" s="14"/>
      <c r="O36629" s="14"/>
      <c r="P36629" s="13"/>
    </row>
    <row r="36630">
      <c r="L36630" s="13"/>
      <c r="M36630" s="14"/>
      <c r="N36630" s="14"/>
      <c r="O36630" s="14"/>
      <c r="P36630" s="13"/>
    </row>
    <row r="36631">
      <c r="L36631" s="13"/>
      <c r="M36631" s="14"/>
      <c r="N36631" s="14"/>
      <c r="O36631" s="14"/>
      <c r="P36631" s="13"/>
    </row>
    <row r="36632">
      <c r="L36632" s="13"/>
      <c r="M36632" s="14"/>
      <c r="N36632" s="14"/>
      <c r="O36632" s="14"/>
      <c r="P36632" s="13"/>
    </row>
    <row r="36633">
      <c r="L36633" s="13"/>
      <c r="M36633" s="14"/>
      <c r="N36633" s="14"/>
      <c r="O36633" s="14"/>
      <c r="P36633" s="13"/>
    </row>
    <row r="36634">
      <c r="L36634" s="13"/>
      <c r="M36634" s="14"/>
      <c r="N36634" s="14"/>
      <c r="O36634" s="14"/>
      <c r="P36634" s="13"/>
    </row>
    <row r="36635">
      <c r="L36635" s="13"/>
      <c r="M36635" s="14"/>
      <c r="N36635" s="14"/>
      <c r="O36635" s="14"/>
      <c r="P36635" s="13"/>
    </row>
    <row r="36636">
      <c r="L36636" s="13"/>
      <c r="M36636" s="14"/>
      <c r="N36636" s="14"/>
      <c r="O36636" s="14"/>
      <c r="P36636" s="13"/>
    </row>
    <row r="36637">
      <c r="L36637" s="13"/>
      <c r="M36637" s="14"/>
      <c r="N36637" s="14"/>
      <c r="O36637" s="14"/>
      <c r="P36637" s="13"/>
    </row>
    <row r="36638">
      <c r="L36638" s="13"/>
      <c r="M36638" s="14"/>
      <c r="N36638" s="14"/>
      <c r="O36638" s="14"/>
      <c r="P36638" s="13"/>
    </row>
    <row r="36639">
      <c r="L36639" s="13"/>
      <c r="M36639" s="14"/>
      <c r="N36639" s="14"/>
      <c r="O36639" s="14"/>
      <c r="P36639" s="13"/>
    </row>
    <row r="36640">
      <c r="L36640" s="13"/>
      <c r="M36640" s="14"/>
      <c r="N36640" s="14"/>
      <c r="O36640" s="14"/>
      <c r="P36640" s="13"/>
    </row>
    <row r="36641">
      <c r="L36641" s="13"/>
      <c r="M36641" s="14"/>
      <c r="N36641" s="14"/>
      <c r="O36641" s="14"/>
      <c r="P36641" s="13"/>
    </row>
    <row r="36642">
      <c r="L36642" s="13"/>
      <c r="M36642" s="14"/>
      <c r="N36642" s="14"/>
      <c r="O36642" s="14"/>
      <c r="P36642" s="13"/>
    </row>
    <row r="36643">
      <c r="L36643" s="13"/>
      <c r="M36643" s="14"/>
      <c r="N36643" s="14"/>
      <c r="O36643" s="14"/>
      <c r="P36643" s="13"/>
    </row>
    <row r="36644">
      <c r="L36644" s="13"/>
      <c r="M36644" s="14"/>
      <c r="N36644" s="14"/>
      <c r="O36644" s="14"/>
      <c r="P36644" s="13"/>
    </row>
    <row r="36645">
      <c r="L36645" s="13"/>
      <c r="M36645" s="14"/>
      <c r="N36645" s="14"/>
      <c r="O36645" s="14"/>
      <c r="P36645" s="13"/>
    </row>
    <row r="36646">
      <c r="L36646" s="13"/>
      <c r="M36646" s="14"/>
      <c r="N36646" s="14"/>
      <c r="O36646" s="14"/>
      <c r="P36646" s="13"/>
    </row>
    <row r="36647">
      <c r="L36647" s="13"/>
      <c r="M36647" s="14"/>
      <c r="N36647" s="14"/>
      <c r="O36647" s="14"/>
      <c r="P36647" s="13"/>
    </row>
    <row r="36648">
      <c r="L36648" s="13"/>
      <c r="M36648" s="14"/>
      <c r="N36648" s="14"/>
      <c r="O36648" s="14"/>
      <c r="P36648" s="13"/>
    </row>
    <row r="36649">
      <c r="L36649" s="13"/>
      <c r="M36649" s="14"/>
      <c r="N36649" s="14"/>
      <c r="O36649" s="14"/>
      <c r="P36649" s="13"/>
    </row>
    <row r="36650">
      <c r="L36650" s="13"/>
      <c r="M36650" s="14"/>
      <c r="N36650" s="14"/>
      <c r="O36650" s="14"/>
      <c r="P36650" s="13"/>
    </row>
    <row r="36651">
      <c r="L36651" s="13"/>
      <c r="M36651" s="14"/>
      <c r="N36651" s="14"/>
      <c r="O36651" s="14"/>
      <c r="P36651" s="13"/>
    </row>
    <row r="36652">
      <c r="L36652" s="13"/>
      <c r="M36652" s="14"/>
      <c r="N36652" s="14"/>
      <c r="O36652" s="14"/>
      <c r="P36652" s="13"/>
    </row>
    <row r="36653">
      <c r="L36653" s="13"/>
      <c r="M36653" s="14"/>
      <c r="N36653" s="14"/>
      <c r="O36653" s="14"/>
      <c r="P36653" s="13"/>
    </row>
    <row r="36654">
      <c r="L36654" s="13"/>
      <c r="M36654" s="14"/>
      <c r="N36654" s="14"/>
      <c r="O36654" s="14"/>
      <c r="P36654" s="13"/>
    </row>
    <row r="36655">
      <c r="L36655" s="13"/>
      <c r="M36655" s="14"/>
      <c r="N36655" s="14"/>
      <c r="O36655" s="14"/>
      <c r="P36655" s="13"/>
    </row>
    <row r="36656">
      <c r="L36656" s="13"/>
      <c r="M36656" s="14"/>
      <c r="N36656" s="14"/>
      <c r="O36656" s="14"/>
      <c r="P36656" s="13"/>
    </row>
    <row r="36657">
      <c r="L36657" s="13"/>
      <c r="M36657" s="14"/>
      <c r="N36657" s="14"/>
      <c r="O36657" s="14"/>
      <c r="P36657" s="13"/>
    </row>
    <row r="36658">
      <c r="L36658" s="13"/>
      <c r="M36658" s="14"/>
      <c r="N36658" s="14"/>
      <c r="O36658" s="14"/>
      <c r="P36658" s="13"/>
    </row>
    <row r="36659">
      <c r="L36659" s="13"/>
      <c r="M36659" s="14"/>
      <c r="N36659" s="14"/>
      <c r="O36659" s="14"/>
      <c r="P36659" s="13"/>
    </row>
    <row r="36660">
      <c r="L36660" s="13"/>
      <c r="M36660" s="14"/>
      <c r="N36660" s="14"/>
      <c r="O36660" s="14"/>
      <c r="P36660" s="13"/>
    </row>
    <row r="36661">
      <c r="L36661" s="13"/>
      <c r="M36661" s="14"/>
      <c r="N36661" s="14"/>
      <c r="O36661" s="14"/>
      <c r="P36661" s="13"/>
    </row>
    <row r="36662">
      <c r="L36662" s="13"/>
      <c r="M36662" s="14"/>
      <c r="N36662" s="14"/>
      <c r="O36662" s="14"/>
      <c r="P36662" s="13"/>
    </row>
    <row r="36663">
      <c r="L36663" s="13"/>
      <c r="M36663" s="14"/>
      <c r="N36663" s="14"/>
      <c r="O36663" s="14"/>
      <c r="P36663" s="13"/>
    </row>
    <row r="36664">
      <c r="L36664" s="13"/>
      <c r="M36664" s="14"/>
      <c r="N36664" s="14"/>
      <c r="O36664" s="14"/>
      <c r="P36664" s="13"/>
    </row>
    <row r="36665">
      <c r="L36665" s="13"/>
      <c r="M36665" s="14"/>
      <c r="N36665" s="14"/>
      <c r="O36665" s="14"/>
      <c r="P36665" s="13"/>
    </row>
    <row r="36666">
      <c r="L36666" s="13"/>
      <c r="M36666" s="14"/>
      <c r="N36666" s="14"/>
      <c r="O36666" s="14"/>
      <c r="P36666" s="13"/>
    </row>
    <row r="36667">
      <c r="L36667" s="13"/>
      <c r="M36667" s="14"/>
      <c r="N36667" s="14"/>
      <c r="O36667" s="14"/>
      <c r="P36667" s="13"/>
    </row>
    <row r="36668">
      <c r="L36668" s="13"/>
      <c r="M36668" s="14"/>
      <c r="N36668" s="14"/>
      <c r="O36668" s="14"/>
      <c r="P36668" s="13"/>
    </row>
    <row r="36669">
      <c r="L36669" s="13"/>
      <c r="M36669" s="14"/>
      <c r="N36669" s="14"/>
      <c r="O36669" s="14"/>
      <c r="P36669" s="13"/>
    </row>
    <row r="36670">
      <c r="L36670" s="13"/>
      <c r="M36670" s="14"/>
      <c r="N36670" s="14"/>
      <c r="O36670" s="14"/>
      <c r="P36670" s="13"/>
    </row>
    <row r="36671">
      <c r="L36671" s="13"/>
      <c r="M36671" s="14"/>
      <c r="N36671" s="14"/>
      <c r="O36671" s="14"/>
      <c r="P36671" s="13"/>
    </row>
    <row r="36672">
      <c r="L36672" s="13"/>
      <c r="M36672" s="14"/>
      <c r="N36672" s="14"/>
      <c r="O36672" s="14"/>
      <c r="P36672" s="13"/>
    </row>
    <row r="36673">
      <c r="L36673" s="13"/>
      <c r="M36673" s="14"/>
      <c r="N36673" s="14"/>
      <c r="O36673" s="14"/>
      <c r="P36673" s="13"/>
    </row>
    <row r="36674">
      <c r="L36674" s="13"/>
      <c r="M36674" s="14"/>
      <c r="N36674" s="14"/>
      <c r="O36674" s="14"/>
      <c r="P36674" s="13"/>
    </row>
    <row r="36675">
      <c r="L36675" s="13"/>
      <c r="M36675" s="14"/>
      <c r="N36675" s="14"/>
      <c r="O36675" s="14"/>
      <c r="P36675" s="13"/>
    </row>
    <row r="36676">
      <c r="L36676" s="13"/>
      <c r="M36676" s="14"/>
      <c r="N36676" s="14"/>
      <c r="O36676" s="14"/>
      <c r="P36676" s="13"/>
    </row>
    <row r="36677">
      <c r="L36677" s="13"/>
      <c r="M36677" s="14"/>
      <c r="N36677" s="14"/>
      <c r="O36677" s="14"/>
      <c r="P36677" s="13"/>
    </row>
    <row r="36678">
      <c r="L36678" s="13"/>
      <c r="M36678" s="14"/>
      <c r="N36678" s="14"/>
      <c r="O36678" s="14"/>
      <c r="P36678" s="13"/>
    </row>
    <row r="36679">
      <c r="L36679" s="13"/>
      <c r="M36679" s="14"/>
      <c r="N36679" s="14"/>
      <c r="O36679" s="14"/>
      <c r="P36679" s="13"/>
    </row>
    <row r="36680">
      <c r="L36680" s="13"/>
      <c r="M36680" s="14"/>
      <c r="N36680" s="14"/>
      <c r="O36680" s="14"/>
      <c r="P36680" s="13"/>
    </row>
    <row r="36681">
      <c r="L36681" s="13"/>
      <c r="M36681" s="14"/>
      <c r="N36681" s="14"/>
      <c r="O36681" s="14"/>
      <c r="P36681" s="13"/>
    </row>
    <row r="36682">
      <c r="L36682" s="13"/>
      <c r="M36682" s="14"/>
      <c r="N36682" s="14"/>
      <c r="O36682" s="14"/>
      <c r="P36682" s="13"/>
    </row>
    <row r="36683">
      <c r="L36683" s="13"/>
      <c r="M36683" s="14"/>
      <c r="N36683" s="14"/>
      <c r="O36683" s="14"/>
      <c r="P36683" s="13"/>
    </row>
    <row r="36684">
      <c r="L36684" s="13"/>
      <c r="M36684" s="14"/>
      <c r="N36684" s="14"/>
      <c r="O36684" s="14"/>
      <c r="P36684" s="13"/>
    </row>
    <row r="36685">
      <c r="L36685" s="13"/>
      <c r="M36685" s="14"/>
      <c r="N36685" s="14"/>
      <c r="O36685" s="14"/>
      <c r="P36685" s="13"/>
    </row>
    <row r="36686">
      <c r="L36686" s="13"/>
      <c r="M36686" s="14"/>
      <c r="N36686" s="14"/>
      <c r="O36686" s="14"/>
      <c r="P36686" s="13"/>
    </row>
    <row r="36687">
      <c r="L36687" s="13"/>
      <c r="M36687" s="14"/>
      <c r="N36687" s="14"/>
      <c r="O36687" s="14"/>
      <c r="P36687" s="13"/>
    </row>
    <row r="36688">
      <c r="L36688" s="13"/>
      <c r="M36688" s="14"/>
      <c r="N36688" s="14"/>
      <c r="O36688" s="14"/>
      <c r="P36688" s="13"/>
    </row>
    <row r="36689">
      <c r="L36689" s="13"/>
      <c r="M36689" s="14"/>
      <c r="N36689" s="14"/>
      <c r="O36689" s="14"/>
      <c r="P36689" s="13"/>
    </row>
    <row r="36690">
      <c r="L36690" s="13"/>
      <c r="M36690" s="14"/>
      <c r="N36690" s="14"/>
      <c r="O36690" s="14"/>
      <c r="P36690" s="13"/>
    </row>
    <row r="36691">
      <c r="L36691" s="13"/>
      <c r="M36691" s="14"/>
      <c r="N36691" s="14"/>
      <c r="O36691" s="14"/>
      <c r="P36691" s="13"/>
    </row>
    <row r="36692">
      <c r="L36692" s="13"/>
      <c r="M36692" s="14"/>
      <c r="N36692" s="14"/>
      <c r="O36692" s="14"/>
      <c r="P36692" s="13"/>
    </row>
    <row r="36693">
      <c r="L36693" s="13"/>
      <c r="M36693" s="14"/>
      <c r="N36693" s="14"/>
      <c r="O36693" s="14"/>
      <c r="P36693" s="13"/>
    </row>
    <row r="36694">
      <c r="L36694" s="13"/>
      <c r="M36694" s="14"/>
      <c r="N36694" s="14"/>
      <c r="O36694" s="14"/>
      <c r="P36694" s="13"/>
    </row>
    <row r="36695">
      <c r="L36695" s="13"/>
      <c r="M36695" s="14"/>
      <c r="N36695" s="14"/>
      <c r="O36695" s="14"/>
      <c r="P36695" s="13"/>
    </row>
    <row r="36696">
      <c r="L36696" s="13"/>
      <c r="M36696" s="14"/>
      <c r="N36696" s="14"/>
      <c r="O36696" s="14"/>
      <c r="P36696" s="13"/>
    </row>
    <row r="36697">
      <c r="L36697" s="13"/>
      <c r="M36697" s="14"/>
      <c r="N36697" s="14"/>
      <c r="O36697" s="14"/>
      <c r="P36697" s="13"/>
    </row>
    <row r="36698">
      <c r="L36698" s="13"/>
      <c r="M36698" s="14"/>
      <c r="N36698" s="14"/>
      <c r="O36698" s="14"/>
      <c r="P36698" s="13"/>
    </row>
    <row r="36699">
      <c r="L36699" s="13"/>
      <c r="M36699" s="14"/>
      <c r="N36699" s="14"/>
      <c r="O36699" s="14"/>
      <c r="P36699" s="13"/>
    </row>
    <row r="36700">
      <c r="L36700" s="13"/>
      <c r="M36700" s="14"/>
      <c r="N36700" s="14"/>
      <c r="O36700" s="14"/>
      <c r="P36700" s="13"/>
    </row>
    <row r="36701">
      <c r="L36701" s="13"/>
      <c r="M36701" s="14"/>
      <c r="N36701" s="14"/>
      <c r="O36701" s="14"/>
      <c r="P36701" s="13"/>
    </row>
    <row r="36702">
      <c r="L36702" s="13"/>
      <c r="M36702" s="14"/>
      <c r="N36702" s="14"/>
      <c r="O36702" s="14"/>
      <c r="P36702" s="13"/>
    </row>
    <row r="36703">
      <c r="L36703" s="13"/>
      <c r="M36703" s="14"/>
      <c r="N36703" s="14"/>
      <c r="O36703" s="14"/>
      <c r="P36703" s="13"/>
    </row>
    <row r="36704">
      <c r="L36704" s="13"/>
      <c r="M36704" s="14"/>
      <c r="N36704" s="14"/>
      <c r="O36704" s="14"/>
      <c r="P36704" s="13"/>
    </row>
    <row r="36705">
      <c r="L36705" s="13"/>
      <c r="M36705" s="14"/>
      <c r="N36705" s="14"/>
      <c r="O36705" s="14"/>
      <c r="P36705" s="13"/>
    </row>
    <row r="36706">
      <c r="L36706" s="13"/>
      <c r="M36706" s="14"/>
      <c r="N36706" s="14"/>
      <c r="O36706" s="14"/>
      <c r="P36706" s="13"/>
    </row>
    <row r="36707">
      <c r="L36707" s="13"/>
      <c r="M36707" s="14"/>
      <c r="N36707" s="14"/>
      <c r="O36707" s="14"/>
      <c r="P36707" s="13"/>
    </row>
    <row r="36708">
      <c r="L36708" s="13"/>
      <c r="M36708" s="14"/>
      <c r="N36708" s="14"/>
      <c r="O36708" s="14"/>
      <c r="P36708" s="13"/>
    </row>
    <row r="36709">
      <c r="L36709" s="13"/>
      <c r="M36709" s="14"/>
      <c r="N36709" s="14"/>
      <c r="O36709" s="14"/>
      <c r="P36709" s="13"/>
    </row>
    <row r="36710">
      <c r="L36710" s="13"/>
      <c r="M36710" s="14"/>
      <c r="N36710" s="14"/>
      <c r="O36710" s="14"/>
      <c r="P36710" s="13"/>
    </row>
    <row r="36711">
      <c r="L36711" s="13"/>
      <c r="M36711" s="14"/>
      <c r="N36711" s="14"/>
      <c r="O36711" s="14"/>
      <c r="P36711" s="13"/>
    </row>
    <row r="36712">
      <c r="L36712" s="13"/>
      <c r="M36712" s="14"/>
      <c r="N36712" s="14"/>
      <c r="O36712" s="14"/>
      <c r="P36712" s="13"/>
    </row>
    <row r="36713">
      <c r="L36713" s="13"/>
      <c r="M36713" s="14"/>
      <c r="N36713" s="14"/>
      <c r="O36713" s="14"/>
      <c r="P36713" s="13"/>
    </row>
    <row r="36714">
      <c r="L36714" s="13"/>
      <c r="M36714" s="14"/>
      <c r="N36714" s="14"/>
      <c r="O36714" s="14"/>
      <c r="P36714" s="13"/>
    </row>
    <row r="36715">
      <c r="L36715" s="13"/>
      <c r="M36715" s="14"/>
      <c r="N36715" s="14"/>
      <c r="O36715" s="14"/>
      <c r="P36715" s="13"/>
    </row>
    <row r="36716">
      <c r="L36716" s="13"/>
      <c r="M36716" s="14"/>
      <c r="N36716" s="14"/>
      <c r="O36716" s="14"/>
      <c r="P36716" s="13"/>
    </row>
    <row r="36717">
      <c r="L36717" s="13"/>
      <c r="M36717" s="14"/>
      <c r="N36717" s="14"/>
      <c r="O36717" s="14"/>
      <c r="P36717" s="13"/>
    </row>
    <row r="36718">
      <c r="L36718" s="13"/>
      <c r="M36718" s="14"/>
      <c r="N36718" s="14"/>
      <c r="O36718" s="14"/>
      <c r="P36718" s="13"/>
    </row>
    <row r="36719">
      <c r="L36719" s="13"/>
      <c r="M36719" s="14"/>
      <c r="N36719" s="14"/>
      <c r="O36719" s="14"/>
      <c r="P36719" s="13"/>
    </row>
    <row r="36720">
      <c r="L36720" s="13"/>
      <c r="M36720" s="14"/>
      <c r="N36720" s="14"/>
      <c r="O36720" s="14"/>
      <c r="P36720" s="13"/>
    </row>
    <row r="36721">
      <c r="L36721" s="13"/>
      <c r="M36721" s="14"/>
      <c r="N36721" s="14"/>
      <c r="O36721" s="14"/>
      <c r="P36721" s="13"/>
    </row>
    <row r="36722">
      <c r="L36722" s="13"/>
      <c r="M36722" s="14"/>
      <c r="N36722" s="14"/>
      <c r="O36722" s="14"/>
      <c r="P36722" s="13"/>
    </row>
    <row r="36723">
      <c r="L36723" s="13"/>
      <c r="M36723" s="14"/>
      <c r="N36723" s="14"/>
      <c r="O36723" s="14"/>
      <c r="P36723" s="13"/>
    </row>
    <row r="36724">
      <c r="L36724" s="13"/>
      <c r="M36724" s="14"/>
      <c r="N36724" s="14"/>
      <c r="O36724" s="14"/>
      <c r="P36724" s="13"/>
    </row>
    <row r="36725">
      <c r="L36725" s="13"/>
      <c r="M36725" s="14"/>
      <c r="N36725" s="14"/>
      <c r="O36725" s="14"/>
      <c r="P36725" s="13"/>
    </row>
    <row r="36726">
      <c r="L36726" s="13"/>
      <c r="M36726" s="14"/>
      <c r="N36726" s="14"/>
      <c r="O36726" s="14"/>
      <c r="P36726" s="13"/>
    </row>
    <row r="36727">
      <c r="L36727" s="13"/>
      <c r="M36727" s="14"/>
      <c r="N36727" s="14"/>
      <c r="O36727" s="14"/>
      <c r="P36727" s="13"/>
    </row>
    <row r="36728">
      <c r="L36728" s="13"/>
      <c r="M36728" s="14"/>
      <c r="N36728" s="14"/>
      <c r="O36728" s="14"/>
      <c r="P36728" s="13"/>
    </row>
    <row r="36729">
      <c r="L36729" s="13"/>
      <c r="M36729" s="14"/>
      <c r="N36729" s="14"/>
      <c r="O36729" s="14"/>
      <c r="P36729" s="13"/>
    </row>
    <row r="36730">
      <c r="L36730" s="13"/>
      <c r="M36730" s="14"/>
      <c r="N36730" s="14"/>
      <c r="O36730" s="14"/>
      <c r="P36730" s="13"/>
    </row>
    <row r="36731">
      <c r="L36731" s="13"/>
      <c r="M36731" s="14"/>
      <c r="N36731" s="14"/>
      <c r="O36731" s="14"/>
      <c r="P36731" s="13"/>
    </row>
    <row r="36732">
      <c r="L36732" s="13"/>
      <c r="M36732" s="14"/>
      <c r="N36732" s="14"/>
      <c r="O36732" s="14"/>
      <c r="P36732" s="13"/>
    </row>
    <row r="36733">
      <c r="L36733" s="13"/>
      <c r="M36733" s="14"/>
      <c r="N36733" s="14"/>
      <c r="O36733" s="14"/>
      <c r="P36733" s="13"/>
    </row>
    <row r="36734">
      <c r="L36734" s="13"/>
      <c r="M36734" s="14"/>
      <c r="N36734" s="14"/>
      <c r="O36734" s="14"/>
      <c r="P36734" s="13"/>
    </row>
    <row r="36735">
      <c r="L36735" s="13"/>
      <c r="M36735" s="14"/>
      <c r="N36735" s="14"/>
      <c r="O36735" s="14"/>
      <c r="P36735" s="13"/>
    </row>
    <row r="36736">
      <c r="L36736" s="13"/>
      <c r="M36736" s="14"/>
      <c r="N36736" s="14"/>
      <c r="O36736" s="14"/>
      <c r="P36736" s="13"/>
    </row>
    <row r="36737">
      <c r="L36737" s="13"/>
      <c r="M36737" s="14"/>
      <c r="N36737" s="14"/>
      <c r="O36737" s="14"/>
      <c r="P36737" s="13"/>
    </row>
    <row r="36738">
      <c r="L36738" s="13"/>
      <c r="M36738" s="14"/>
      <c r="N36738" s="14"/>
      <c r="O36738" s="14"/>
      <c r="P36738" s="13"/>
    </row>
    <row r="36739">
      <c r="L36739" s="13"/>
      <c r="M36739" s="14"/>
      <c r="N36739" s="14"/>
      <c r="O36739" s="14"/>
      <c r="P36739" s="13"/>
    </row>
    <row r="36740">
      <c r="L36740" s="13"/>
      <c r="M36740" s="14"/>
      <c r="N36740" s="14"/>
      <c r="O36740" s="14"/>
      <c r="P36740" s="13"/>
    </row>
    <row r="36741">
      <c r="L36741" s="13"/>
      <c r="M36741" s="14"/>
      <c r="N36741" s="14"/>
      <c r="O36741" s="14"/>
      <c r="P36741" s="13"/>
    </row>
    <row r="36742">
      <c r="L36742" s="13"/>
      <c r="M36742" s="14"/>
      <c r="N36742" s="14"/>
      <c r="O36742" s="14"/>
      <c r="P36742" s="13"/>
    </row>
    <row r="36743">
      <c r="L36743" s="13"/>
      <c r="M36743" s="14"/>
      <c r="N36743" s="14"/>
      <c r="O36743" s="14"/>
      <c r="P36743" s="13"/>
    </row>
    <row r="36744">
      <c r="L36744" s="13"/>
      <c r="M36744" s="14"/>
      <c r="N36744" s="14"/>
      <c r="O36744" s="14"/>
      <c r="P36744" s="13"/>
    </row>
    <row r="36745">
      <c r="L36745" s="13"/>
      <c r="M36745" s="14"/>
      <c r="N36745" s="14"/>
      <c r="O36745" s="14"/>
      <c r="P36745" s="13"/>
    </row>
    <row r="36746">
      <c r="L36746" s="13"/>
      <c r="M36746" s="14"/>
      <c r="N36746" s="14"/>
      <c r="O36746" s="14"/>
      <c r="P36746" s="13"/>
    </row>
    <row r="36747">
      <c r="L36747" s="13"/>
      <c r="M36747" s="14"/>
      <c r="N36747" s="14"/>
      <c r="O36747" s="14"/>
      <c r="P36747" s="13"/>
    </row>
    <row r="36748">
      <c r="L36748" s="13"/>
      <c r="M36748" s="14"/>
      <c r="N36748" s="14"/>
      <c r="O36748" s="14"/>
      <c r="P36748" s="13"/>
    </row>
    <row r="36749">
      <c r="L36749" s="13"/>
      <c r="M36749" s="14"/>
      <c r="N36749" s="14"/>
      <c r="O36749" s="14"/>
      <c r="P36749" s="13"/>
    </row>
    <row r="36750">
      <c r="L36750" s="13"/>
      <c r="M36750" s="14"/>
      <c r="N36750" s="14"/>
      <c r="O36750" s="14"/>
      <c r="P36750" s="13"/>
    </row>
    <row r="36751">
      <c r="L36751" s="13"/>
      <c r="M36751" s="14"/>
      <c r="N36751" s="14"/>
      <c r="O36751" s="14"/>
      <c r="P36751" s="13"/>
    </row>
    <row r="36752">
      <c r="L36752" s="13"/>
      <c r="M36752" s="14"/>
      <c r="N36752" s="14"/>
      <c r="O36752" s="14"/>
      <c r="P36752" s="13"/>
    </row>
    <row r="36753">
      <c r="L36753" s="13"/>
      <c r="M36753" s="14"/>
      <c r="N36753" s="14"/>
      <c r="O36753" s="14"/>
      <c r="P36753" s="13"/>
    </row>
    <row r="36754">
      <c r="L36754" s="13"/>
      <c r="M36754" s="14"/>
      <c r="N36754" s="14"/>
      <c r="O36754" s="14"/>
      <c r="P36754" s="13"/>
    </row>
    <row r="36755">
      <c r="L36755" s="13"/>
      <c r="M36755" s="14"/>
      <c r="N36755" s="14"/>
      <c r="O36755" s="14"/>
      <c r="P36755" s="13"/>
    </row>
    <row r="36756">
      <c r="L36756" s="13"/>
      <c r="M36756" s="14"/>
      <c r="N36756" s="14"/>
      <c r="O36756" s="14"/>
      <c r="P36756" s="13"/>
    </row>
    <row r="36757">
      <c r="L36757" s="13"/>
      <c r="M36757" s="14"/>
      <c r="N36757" s="14"/>
      <c r="O36757" s="14"/>
      <c r="P36757" s="13"/>
    </row>
    <row r="36758">
      <c r="L36758" s="13"/>
      <c r="M36758" s="14"/>
      <c r="N36758" s="14"/>
      <c r="O36758" s="14"/>
      <c r="P36758" s="13"/>
    </row>
    <row r="36759">
      <c r="L36759" s="13"/>
      <c r="M36759" s="14"/>
      <c r="N36759" s="14"/>
      <c r="O36759" s="14"/>
      <c r="P36759" s="13"/>
    </row>
    <row r="36760">
      <c r="L36760" s="13"/>
      <c r="M36760" s="14"/>
      <c r="N36760" s="14"/>
      <c r="O36760" s="14"/>
      <c r="P36760" s="13"/>
    </row>
    <row r="36761">
      <c r="L36761" s="13"/>
      <c r="M36761" s="14"/>
      <c r="N36761" s="14"/>
      <c r="O36761" s="14"/>
      <c r="P36761" s="13"/>
    </row>
    <row r="36762">
      <c r="L36762" s="13"/>
      <c r="M36762" s="14"/>
      <c r="N36762" s="14"/>
      <c r="O36762" s="14"/>
      <c r="P36762" s="13"/>
    </row>
    <row r="36763">
      <c r="L36763" s="13"/>
      <c r="M36763" s="14"/>
      <c r="N36763" s="14"/>
      <c r="O36763" s="14"/>
      <c r="P36763" s="13"/>
    </row>
    <row r="36764">
      <c r="L36764" s="13"/>
      <c r="M36764" s="14"/>
      <c r="N36764" s="14"/>
      <c r="O36764" s="14"/>
      <c r="P36764" s="13"/>
    </row>
    <row r="36765">
      <c r="L36765" s="13"/>
      <c r="M36765" s="14"/>
      <c r="N36765" s="14"/>
      <c r="O36765" s="14"/>
      <c r="P36765" s="13"/>
    </row>
    <row r="36766">
      <c r="L36766" s="13"/>
      <c r="M36766" s="14"/>
      <c r="N36766" s="14"/>
      <c r="O36766" s="14"/>
      <c r="P36766" s="13"/>
    </row>
    <row r="36767">
      <c r="L36767" s="13"/>
      <c r="M36767" s="14"/>
      <c r="N36767" s="14"/>
      <c r="O36767" s="14"/>
      <c r="P36767" s="13"/>
    </row>
    <row r="36768">
      <c r="L36768" s="13"/>
      <c r="M36768" s="14"/>
      <c r="N36768" s="14"/>
      <c r="O36768" s="14"/>
      <c r="P36768" s="13"/>
    </row>
    <row r="36769">
      <c r="L36769" s="13"/>
      <c r="M36769" s="14"/>
      <c r="N36769" s="14"/>
      <c r="O36769" s="14"/>
      <c r="P36769" s="13"/>
    </row>
    <row r="36770">
      <c r="L36770" s="13"/>
      <c r="M36770" s="14"/>
      <c r="N36770" s="14"/>
      <c r="O36770" s="14"/>
      <c r="P36770" s="13"/>
    </row>
    <row r="36771">
      <c r="L36771" s="13"/>
      <c r="M36771" s="14"/>
      <c r="N36771" s="14"/>
      <c r="O36771" s="14"/>
      <c r="P36771" s="13"/>
    </row>
    <row r="36772">
      <c r="L36772" s="13"/>
      <c r="M36772" s="14"/>
      <c r="N36772" s="14"/>
      <c r="O36772" s="14"/>
      <c r="P36772" s="13"/>
    </row>
    <row r="36773">
      <c r="L36773" s="13"/>
      <c r="M36773" s="14"/>
      <c r="N36773" s="14"/>
      <c r="O36773" s="14"/>
      <c r="P36773" s="13"/>
    </row>
    <row r="36774">
      <c r="L36774" s="13"/>
      <c r="M36774" s="14"/>
      <c r="N36774" s="14"/>
      <c r="O36774" s="14"/>
      <c r="P36774" s="13"/>
    </row>
    <row r="36775">
      <c r="L36775" s="13"/>
      <c r="M36775" s="14"/>
      <c r="N36775" s="14"/>
      <c r="O36775" s="14"/>
      <c r="P36775" s="13"/>
    </row>
    <row r="36776">
      <c r="L36776" s="13"/>
      <c r="M36776" s="14"/>
      <c r="N36776" s="14"/>
      <c r="O36776" s="14"/>
      <c r="P36776" s="13"/>
    </row>
    <row r="36777">
      <c r="L36777" s="13"/>
      <c r="M36777" s="14"/>
      <c r="N36777" s="14"/>
      <c r="O36777" s="14"/>
      <c r="P36777" s="13"/>
    </row>
    <row r="36778">
      <c r="L36778" s="13"/>
      <c r="M36778" s="14"/>
      <c r="N36778" s="14"/>
      <c r="O36778" s="14"/>
      <c r="P36778" s="13"/>
    </row>
    <row r="36779">
      <c r="L36779" s="13"/>
      <c r="M36779" s="14"/>
      <c r="N36779" s="14"/>
      <c r="O36779" s="14"/>
      <c r="P36779" s="13"/>
    </row>
    <row r="36780">
      <c r="L36780" s="13"/>
      <c r="M36780" s="14"/>
      <c r="N36780" s="14"/>
      <c r="O36780" s="14"/>
      <c r="P36780" s="13"/>
    </row>
    <row r="36781">
      <c r="L36781" s="13"/>
      <c r="M36781" s="14"/>
      <c r="N36781" s="14"/>
      <c r="O36781" s="14"/>
      <c r="P36781" s="13"/>
    </row>
    <row r="36782">
      <c r="L36782" s="13"/>
      <c r="M36782" s="14"/>
      <c r="N36782" s="14"/>
      <c r="O36782" s="14"/>
      <c r="P36782" s="13"/>
    </row>
    <row r="36783">
      <c r="L36783" s="13"/>
      <c r="M36783" s="14"/>
      <c r="N36783" s="14"/>
      <c r="O36783" s="14"/>
      <c r="P36783" s="13"/>
    </row>
    <row r="36784">
      <c r="L36784" s="13"/>
      <c r="M36784" s="14"/>
      <c r="N36784" s="14"/>
      <c r="O36784" s="14"/>
      <c r="P36784" s="13"/>
    </row>
    <row r="36785">
      <c r="L36785" s="13"/>
      <c r="M36785" s="14"/>
      <c r="N36785" s="14"/>
      <c r="O36785" s="14"/>
      <c r="P36785" s="13"/>
    </row>
    <row r="36786">
      <c r="L36786" s="13"/>
      <c r="M36786" s="14"/>
      <c r="N36786" s="14"/>
      <c r="O36786" s="14"/>
      <c r="P36786" s="13"/>
    </row>
    <row r="36787">
      <c r="L36787" s="13"/>
      <c r="M36787" s="14"/>
      <c r="N36787" s="14"/>
      <c r="O36787" s="14"/>
      <c r="P36787" s="13"/>
    </row>
    <row r="36788">
      <c r="L36788" s="13"/>
      <c r="M36788" s="14"/>
      <c r="N36788" s="14"/>
      <c r="O36788" s="14"/>
      <c r="P36788" s="13"/>
    </row>
    <row r="36789">
      <c r="L36789" s="13"/>
      <c r="M36789" s="14"/>
      <c r="N36789" s="14"/>
      <c r="O36789" s="14"/>
      <c r="P36789" s="13"/>
    </row>
    <row r="36790">
      <c r="L36790" s="13"/>
      <c r="M36790" s="14"/>
      <c r="N36790" s="14"/>
      <c r="O36790" s="14"/>
      <c r="P36790" s="13"/>
    </row>
    <row r="36791">
      <c r="L36791" s="13"/>
      <c r="M36791" s="14"/>
      <c r="N36791" s="14"/>
      <c r="O36791" s="14"/>
      <c r="P36791" s="13"/>
    </row>
    <row r="36792">
      <c r="L36792" s="13"/>
      <c r="M36792" s="14"/>
      <c r="N36792" s="14"/>
      <c r="O36792" s="14"/>
      <c r="P36792" s="13"/>
    </row>
    <row r="36793">
      <c r="L36793" s="13"/>
      <c r="M36793" s="14"/>
      <c r="N36793" s="14"/>
      <c r="O36793" s="14"/>
      <c r="P36793" s="13"/>
    </row>
    <row r="36794">
      <c r="L36794" s="13"/>
      <c r="M36794" s="14"/>
      <c r="N36794" s="14"/>
      <c r="O36794" s="14"/>
      <c r="P36794" s="13"/>
    </row>
    <row r="36795">
      <c r="L36795" s="13"/>
      <c r="M36795" s="14"/>
      <c r="N36795" s="14"/>
      <c r="O36795" s="14"/>
      <c r="P36795" s="13"/>
    </row>
    <row r="36796">
      <c r="L36796" s="13"/>
      <c r="M36796" s="14"/>
      <c r="N36796" s="14"/>
      <c r="O36796" s="14"/>
      <c r="P36796" s="13"/>
    </row>
    <row r="36797">
      <c r="L36797" s="13"/>
      <c r="M36797" s="14"/>
      <c r="N36797" s="14"/>
      <c r="O36797" s="14"/>
      <c r="P36797" s="13"/>
    </row>
    <row r="36798">
      <c r="L36798" s="13"/>
      <c r="M36798" s="14"/>
      <c r="N36798" s="14"/>
      <c r="O36798" s="14"/>
      <c r="P36798" s="13"/>
    </row>
    <row r="36799">
      <c r="L36799" s="13"/>
      <c r="M36799" s="14"/>
      <c r="N36799" s="14"/>
      <c r="O36799" s="14"/>
      <c r="P36799" s="13"/>
    </row>
    <row r="36800">
      <c r="L36800" s="13"/>
      <c r="M36800" s="14"/>
      <c r="N36800" s="14"/>
      <c r="O36800" s="14"/>
      <c r="P36800" s="13"/>
    </row>
    <row r="36801">
      <c r="L36801" s="13"/>
      <c r="M36801" s="14"/>
      <c r="N36801" s="14"/>
      <c r="O36801" s="14"/>
      <c r="P36801" s="13"/>
    </row>
    <row r="36802">
      <c r="L36802" s="13"/>
      <c r="M36802" s="14"/>
      <c r="N36802" s="14"/>
      <c r="O36802" s="14"/>
      <c r="P36802" s="13"/>
    </row>
    <row r="36803">
      <c r="L36803" s="13"/>
      <c r="M36803" s="14"/>
      <c r="N36803" s="14"/>
      <c r="O36803" s="14"/>
      <c r="P36803" s="13"/>
    </row>
    <row r="36804">
      <c r="L36804" s="13"/>
      <c r="M36804" s="14"/>
      <c r="N36804" s="14"/>
      <c r="O36804" s="14"/>
      <c r="P36804" s="13"/>
    </row>
    <row r="36805">
      <c r="L36805" s="13"/>
      <c r="M36805" s="14"/>
      <c r="N36805" s="14"/>
      <c r="O36805" s="14"/>
      <c r="P36805" s="13"/>
    </row>
    <row r="36806">
      <c r="L36806" s="13"/>
      <c r="M36806" s="14"/>
      <c r="N36806" s="14"/>
      <c r="O36806" s="14"/>
      <c r="P36806" s="13"/>
    </row>
    <row r="36807">
      <c r="L36807" s="13"/>
      <c r="M36807" s="14"/>
      <c r="N36807" s="14"/>
      <c r="O36807" s="14"/>
      <c r="P36807" s="13"/>
    </row>
    <row r="36808">
      <c r="L36808" s="13"/>
      <c r="M36808" s="14"/>
      <c r="N36808" s="14"/>
      <c r="O36808" s="14"/>
      <c r="P36808" s="13"/>
    </row>
    <row r="36809">
      <c r="L36809" s="13"/>
      <c r="M36809" s="14"/>
      <c r="N36809" s="14"/>
      <c r="O36809" s="14"/>
      <c r="P36809" s="13"/>
    </row>
    <row r="36810">
      <c r="L36810" s="13"/>
      <c r="M36810" s="14"/>
      <c r="N36810" s="14"/>
      <c r="O36810" s="14"/>
      <c r="P36810" s="13"/>
    </row>
    <row r="36811">
      <c r="L36811" s="13"/>
      <c r="M36811" s="14"/>
      <c r="N36811" s="14"/>
      <c r="O36811" s="14"/>
      <c r="P36811" s="13"/>
    </row>
    <row r="36812">
      <c r="L36812" s="13"/>
      <c r="M36812" s="14"/>
      <c r="N36812" s="14"/>
      <c r="O36812" s="14"/>
      <c r="P36812" s="13"/>
    </row>
    <row r="36813">
      <c r="L36813" s="13"/>
      <c r="M36813" s="14"/>
      <c r="N36813" s="14"/>
      <c r="O36813" s="14"/>
      <c r="P36813" s="13"/>
    </row>
    <row r="36814">
      <c r="L36814" s="13"/>
      <c r="M36814" s="14"/>
      <c r="N36814" s="14"/>
      <c r="O36814" s="14"/>
      <c r="P36814" s="13"/>
    </row>
    <row r="36815">
      <c r="L36815" s="13"/>
      <c r="M36815" s="14"/>
      <c r="N36815" s="14"/>
      <c r="O36815" s="14"/>
      <c r="P36815" s="13"/>
    </row>
    <row r="36816">
      <c r="L36816" s="13"/>
      <c r="M36816" s="14"/>
      <c r="N36816" s="14"/>
      <c r="O36816" s="14"/>
      <c r="P36816" s="13"/>
    </row>
    <row r="36817">
      <c r="L36817" s="13"/>
      <c r="M36817" s="14"/>
      <c r="N36817" s="14"/>
      <c r="O36817" s="14"/>
      <c r="P36817" s="13"/>
    </row>
    <row r="36818">
      <c r="L36818" s="13"/>
      <c r="M36818" s="14"/>
      <c r="N36818" s="14"/>
      <c r="O36818" s="14"/>
      <c r="P36818" s="13"/>
    </row>
    <row r="36819">
      <c r="L36819" s="13"/>
      <c r="M36819" s="14"/>
      <c r="N36819" s="14"/>
      <c r="O36819" s="14"/>
      <c r="P36819" s="13"/>
    </row>
    <row r="36820">
      <c r="L36820" s="13"/>
      <c r="M36820" s="14"/>
      <c r="N36820" s="14"/>
      <c r="O36820" s="14"/>
      <c r="P36820" s="13"/>
    </row>
    <row r="36821">
      <c r="L36821" s="13"/>
      <c r="M36821" s="14"/>
      <c r="N36821" s="14"/>
      <c r="O36821" s="14"/>
      <c r="P36821" s="13"/>
    </row>
    <row r="36822">
      <c r="L36822" s="13"/>
      <c r="M36822" s="14"/>
      <c r="N36822" s="14"/>
      <c r="O36822" s="14"/>
      <c r="P36822" s="13"/>
    </row>
    <row r="36823">
      <c r="L36823" s="13"/>
      <c r="M36823" s="14"/>
      <c r="N36823" s="14"/>
      <c r="O36823" s="14"/>
      <c r="P36823" s="13"/>
    </row>
    <row r="36824">
      <c r="L36824" s="13"/>
      <c r="M36824" s="14"/>
      <c r="N36824" s="14"/>
      <c r="O36824" s="14"/>
      <c r="P36824" s="13"/>
    </row>
    <row r="36825">
      <c r="L36825" s="13"/>
      <c r="M36825" s="14"/>
      <c r="N36825" s="14"/>
      <c r="O36825" s="14"/>
      <c r="P36825" s="13"/>
    </row>
    <row r="36826">
      <c r="L36826" s="13"/>
      <c r="M36826" s="14"/>
      <c r="N36826" s="14"/>
      <c r="O36826" s="14"/>
      <c r="P36826" s="13"/>
    </row>
    <row r="36827">
      <c r="L36827" s="13"/>
      <c r="M36827" s="14"/>
      <c r="N36827" s="14"/>
      <c r="O36827" s="14"/>
      <c r="P36827" s="13"/>
    </row>
    <row r="36828">
      <c r="L36828" s="13"/>
      <c r="M36828" s="14"/>
      <c r="N36828" s="14"/>
      <c r="O36828" s="14"/>
      <c r="P36828" s="13"/>
    </row>
    <row r="36829">
      <c r="L36829" s="13"/>
      <c r="M36829" s="14"/>
      <c r="N36829" s="14"/>
      <c r="O36829" s="14"/>
      <c r="P36829" s="13"/>
    </row>
    <row r="36830">
      <c r="L36830" s="13"/>
      <c r="M36830" s="14"/>
      <c r="N36830" s="14"/>
      <c r="O36830" s="14"/>
      <c r="P36830" s="13"/>
    </row>
    <row r="36831">
      <c r="L36831" s="13"/>
      <c r="M36831" s="14"/>
      <c r="N36831" s="14"/>
      <c r="O36831" s="14"/>
      <c r="P36831" s="13"/>
    </row>
    <row r="36832">
      <c r="L36832" s="13"/>
      <c r="M36832" s="14"/>
      <c r="N36832" s="14"/>
      <c r="O36832" s="14"/>
      <c r="P36832" s="13"/>
    </row>
    <row r="36833">
      <c r="L36833" s="13"/>
      <c r="M36833" s="14"/>
      <c r="N36833" s="14"/>
      <c r="O36833" s="14"/>
      <c r="P36833" s="13"/>
    </row>
    <row r="36834">
      <c r="L36834" s="13"/>
      <c r="M36834" s="14"/>
      <c r="N36834" s="14"/>
      <c r="O36834" s="14"/>
      <c r="P36834" s="13"/>
    </row>
    <row r="36835">
      <c r="L36835" s="13"/>
      <c r="M36835" s="14"/>
      <c r="N36835" s="14"/>
      <c r="O36835" s="14"/>
      <c r="P36835" s="13"/>
    </row>
    <row r="36836">
      <c r="L36836" s="13"/>
      <c r="M36836" s="14"/>
      <c r="N36836" s="14"/>
      <c r="O36836" s="14"/>
      <c r="P36836" s="13"/>
    </row>
    <row r="36837">
      <c r="L36837" s="13"/>
      <c r="M36837" s="14"/>
      <c r="N36837" s="14"/>
      <c r="O36837" s="14"/>
      <c r="P36837" s="13"/>
    </row>
    <row r="36838">
      <c r="L36838" s="13"/>
      <c r="M36838" s="14"/>
      <c r="N36838" s="14"/>
      <c r="O36838" s="14"/>
      <c r="P36838" s="13"/>
    </row>
    <row r="36839">
      <c r="L36839" s="13"/>
      <c r="M36839" s="14"/>
      <c r="N36839" s="14"/>
      <c r="O36839" s="14"/>
      <c r="P36839" s="13"/>
    </row>
    <row r="36840">
      <c r="L36840" s="13"/>
      <c r="M36840" s="14"/>
      <c r="N36840" s="14"/>
      <c r="O36840" s="14"/>
      <c r="P36840" s="13"/>
    </row>
    <row r="36841">
      <c r="L36841" s="13"/>
      <c r="M36841" s="14"/>
      <c r="N36841" s="14"/>
      <c r="O36841" s="14"/>
      <c r="P36841" s="13"/>
    </row>
    <row r="36842">
      <c r="L36842" s="13"/>
      <c r="M36842" s="14"/>
      <c r="N36842" s="14"/>
      <c r="O36842" s="14"/>
      <c r="P36842" s="13"/>
    </row>
    <row r="36843">
      <c r="L36843" s="13"/>
      <c r="M36843" s="14"/>
      <c r="N36843" s="14"/>
      <c r="O36843" s="14"/>
      <c r="P36843" s="13"/>
    </row>
    <row r="36844">
      <c r="L36844" s="13"/>
      <c r="M36844" s="14"/>
      <c r="N36844" s="14"/>
      <c r="O36844" s="14"/>
      <c r="P36844" s="13"/>
    </row>
    <row r="36845">
      <c r="L36845" s="13"/>
      <c r="M36845" s="14"/>
      <c r="N36845" s="14"/>
      <c r="O36845" s="14"/>
      <c r="P36845" s="13"/>
    </row>
    <row r="36846">
      <c r="L36846" s="13"/>
      <c r="M36846" s="14"/>
      <c r="N36846" s="14"/>
      <c r="O36846" s="14"/>
      <c r="P36846" s="13"/>
    </row>
    <row r="36847">
      <c r="L36847" s="13"/>
      <c r="M36847" s="14"/>
      <c r="N36847" s="14"/>
      <c r="O36847" s="14"/>
      <c r="P36847" s="13"/>
    </row>
    <row r="36848">
      <c r="L36848" s="13"/>
      <c r="M36848" s="14"/>
      <c r="N36848" s="14"/>
      <c r="O36848" s="14"/>
      <c r="P36848" s="13"/>
    </row>
    <row r="36849">
      <c r="L36849" s="13"/>
      <c r="M36849" s="14"/>
      <c r="N36849" s="14"/>
      <c r="O36849" s="14"/>
      <c r="P36849" s="13"/>
    </row>
    <row r="36850">
      <c r="L36850" s="13"/>
      <c r="M36850" s="14"/>
      <c r="N36850" s="14"/>
      <c r="O36850" s="14"/>
      <c r="P36850" s="13"/>
    </row>
    <row r="36851">
      <c r="L36851" s="13"/>
      <c r="M36851" s="14"/>
      <c r="N36851" s="14"/>
      <c r="O36851" s="14"/>
      <c r="P36851" s="13"/>
    </row>
    <row r="36852">
      <c r="L36852" s="13"/>
      <c r="M36852" s="14"/>
      <c r="N36852" s="14"/>
      <c r="O36852" s="14"/>
      <c r="P36852" s="13"/>
    </row>
    <row r="36853">
      <c r="L36853" s="13"/>
      <c r="M36853" s="14"/>
      <c r="N36853" s="14"/>
      <c r="O36853" s="14"/>
      <c r="P36853" s="13"/>
    </row>
    <row r="36854">
      <c r="L36854" s="13"/>
      <c r="M36854" s="14"/>
      <c r="N36854" s="14"/>
      <c r="O36854" s="14"/>
      <c r="P36854" s="13"/>
    </row>
    <row r="36855">
      <c r="L36855" s="13"/>
      <c r="M36855" s="14"/>
      <c r="N36855" s="14"/>
      <c r="O36855" s="14"/>
      <c r="P36855" s="13"/>
    </row>
    <row r="36856">
      <c r="L36856" s="13"/>
      <c r="M36856" s="14"/>
      <c r="N36856" s="14"/>
      <c r="O36856" s="14"/>
      <c r="P36856" s="13"/>
    </row>
    <row r="36857">
      <c r="L36857" s="13"/>
      <c r="M36857" s="14"/>
      <c r="N36857" s="14"/>
      <c r="O36857" s="14"/>
      <c r="P36857" s="13"/>
    </row>
    <row r="36858">
      <c r="L36858" s="13"/>
      <c r="M36858" s="14"/>
      <c r="N36858" s="14"/>
      <c r="O36858" s="14"/>
      <c r="P36858" s="13"/>
    </row>
    <row r="36859">
      <c r="L36859" s="13"/>
      <c r="M36859" s="14"/>
      <c r="N36859" s="14"/>
      <c r="O36859" s="14"/>
      <c r="P36859" s="13"/>
    </row>
    <row r="36860">
      <c r="L36860" s="13"/>
      <c r="M36860" s="14"/>
      <c r="N36860" s="14"/>
      <c r="O36860" s="14"/>
      <c r="P36860" s="13"/>
    </row>
    <row r="36861">
      <c r="L36861" s="13"/>
      <c r="M36861" s="14"/>
      <c r="N36861" s="14"/>
      <c r="O36861" s="14"/>
      <c r="P36861" s="13"/>
    </row>
    <row r="36862">
      <c r="L36862" s="13"/>
      <c r="M36862" s="14"/>
      <c r="N36862" s="14"/>
      <c r="O36862" s="14"/>
      <c r="P36862" s="13"/>
    </row>
    <row r="36863">
      <c r="L36863" s="13"/>
      <c r="M36863" s="14"/>
      <c r="N36863" s="14"/>
      <c r="O36863" s="14"/>
      <c r="P36863" s="13"/>
    </row>
    <row r="36864">
      <c r="L36864" s="13"/>
      <c r="M36864" s="14"/>
      <c r="N36864" s="14"/>
      <c r="O36864" s="14"/>
      <c r="P36864" s="13"/>
    </row>
    <row r="36865">
      <c r="L36865" s="13"/>
      <c r="M36865" s="14"/>
      <c r="N36865" s="14"/>
      <c r="O36865" s="14"/>
      <c r="P36865" s="13"/>
    </row>
    <row r="36866">
      <c r="L36866" s="13"/>
      <c r="M36866" s="14"/>
      <c r="N36866" s="14"/>
      <c r="O36866" s="14"/>
      <c r="P36866" s="13"/>
    </row>
    <row r="36867">
      <c r="L36867" s="13"/>
      <c r="M36867" s="14"/>
      <c r="N36867" s="14"/>
      <c r="O36867" s="14"/>
      <c r="P36867" s="13"/>
    </row>
    <row r="36868">
      <c r="L36868" s="13"/>
      <c r="M36868" s="14"/>
      <c r="N36868" s="14"/>
      <c r="O36868" s="14"/>
      <c r="P36868" s="13"/>
    </row>
    <row r="36869">
      <c r="L36869" s="13"/>
      <c r="M36869" s="14"/>
      <c r="N36869" s="14"/>
      <c r="O36869" s="14"/>
      <c r="P36869" s="13"/>
    </row>
    <row r="36870">
      <c r="L36870" s="13"/>
      <c r="M36870" s="14"/>
      <c r="N36870" s="14"/>
      <c r="O36870" s="14"/>
      <c r="P36870" s="13"/>
    </row>
    <row r="36871">
      <c r="L36871" s="13"/>
      <c r="M36871" s="14"/>
      <c r="N36871" s="14"/>
      <c r="O36871" s="14"/>
      <c r="P36871" s="13"/>
    </row>
    <row r="36872">
      <c r="L36872" s="13"/>
      <c r="M36872" s="14"/>
      <c r="N36872" s="14"/>
      <c r="O36872" s="14"/>
      <c r="P36872" s="13"/>
    </row>
    <row r="36873">
      <c r="L36873" s="13"/>
      <c r="M36873" s="14"/>
      <c r="N36873" s="14"/>
      <c r="O36873" s="14"/>
      <c r="P36873" s="13"/>
    </row>
    <row r="36874">
      <c r="L36874" s="13"/>
      <c r="M36874" s="14"/>
      <c r="N36874" s="14"/>
      <c r="O36874" s="14"/>
      <c r="P36874" s="13"/>
    </row>
    <row r="36875">
      <c r="L36875" s="13"/>
      <c r="M36875" s="14"/>
      <c r="N36875" s="14"/>
      <c r="O36875" s="14"/>
      <c r="P36875" s="13"/>
    </row>
    <row r="36876">
      <c r="L36876" s="13"/>
      <c r="M36876" s="14"/>
      <c r="N36876" s="14"/>
      <c r="O36876" s="14"/>
      <c r="P36876" s="13"/>
    </row>
    <row r="36877">
      <c r="L36877" s="13"/>
      <c r="M36877" s="14"/>
      <c r="N36877" s="14"/>
      <c r="O36877" s="14"/>
      <c r="P36877" s="13"/>
    </row>
    <row r="36878">
      <c r="L36878" s="13"/>
      <c r="M36878" s="14"/>
      <c r="N36878" s="14"/>
      <c r="O36878" s="14"/>
      <c r="P36878" s="13"/>
    </row>
    <row r="36879">
      <c r="L36879" s="13"/>
      <c r="M36879" s="14"/>
      <c r="N36879" s="14"/>
      <c r="O36879" s="14"/>
      <c r="P36879" s="13"/>
    </row>
    <row r="36880">
      <c r="L36880" s="13"/>
      <c r="M36880" s="14"/>
      <c r="N36880" s="14"/>
      <c r="O36880" s="14"/>
      <c r="P36880" s="13"/>
    </row>
    <row r="36881">
      <c r="L36881" s="13"/>
      <c r="M36881" s="14"/>
      <c r="N36881" s="14"/>
      <c r="O36881" s="14"/>
      <c r="P36881" s="13"/>
    </row>
    <row r="36882">
      <c r="L36882" s="13"/>
      <c r="M36882" s="14"/>
      <c r="N36882" s="14"/>
      <c r="O36882" s="14"/>
      <c r="P36882" s="13"/>
    </row>
    <row r="36883">
      <c r="L36883" s="13"/>
      <c r="M36883" s="14"/>
      <c r="N36883" s="14"/>
      <c r="O36883" s="14"/>
      <c r="P36883" s="13"/>
    </row>
    <row r="36884">
      <c r="L36884" s="13"/>
      <c r="M36884" s="14"/>
      <c r="N36884" s="14"/>
      <c r="O36884" s="14"/>
      <c r="P36884" s="13"/>
    </row>
    <row r="36885">
      <c r="L36885" s="13"/>
      <c r="M36885" s="14"/>
      <c r="N36885" s="14"/>
      <c r="O36885" s="14"/>
      <c r="P36885" s="13"/>
    </row>
    <row r="36886">
      <c r="L36886" s="13"/>
      <c r="M36886" s="14"/>
      <c r="N36886" s="14"/>
      <c r="O36886" s="14"/>
      <c r="P36886" s="13"/>
    </row>
    <row r="36887">
      <c r="L36887" s="13"/>
      <c r="M36887" s="14"/>
      <c r="N36887" s="14"/>
      <c r="O36887" s="14"/>
      <c r="P36887" s="13"/>
    </row>
    <row r="36888">
      <c r="L36888" s="13"/>
      <c r="M36888" s="14"/>
      <c r="N36888" s="14"/>
      <c r="O36888" s="14"/>
      <c r="P36888" s="13"/>
    </row>
    <row r="36889">
      <c r="L36889" s="13"/>
      <c r="M36889" s="14"/>
      <c r="N36889" s="14"/>
      <c r="O36889" s="14"/>
      <c r="P36889" s="13"/>
    </row>
    <row r="36890">
      <c r="L36890" s="13"/>
      <c r="M36890" s="14"/>
      <c r="N36890" s="14"/>
      <c r="O36890" s="14"/>
      <c r="P36890" s="13"/>
    </row>
    <row r="36891">
      <c r="L36891" s="13"/>
      <c r="M36891" s="14"/>
      <c r="N36891" s="14"/>
      <c r="O36891" s="14"/>
      <c r="P36891" s="13"/>
    </row>
    <row r="36892">
      <c r="L36892" s="13"/>
      <c r="M36892" s="14"/>
      <c r="N36892" s="14"/>
      <c r="O36892" s="14"/>
      <c r="P36892" s="13"/>
    </row>
    <row r="36893">
      <c r="L36893" s="13"/>
      <c r="M36893" s="14"/>
      <c r="N36893" s="14"/>
      <c r="O36893" s="14"/>
      <c r="P36893" s="13"/>
    </row>
    <row r="36894">
      <c r="L36894" s="13"/>
      <c r="M36894" s="14"/>
      <c r="N36894" s="14"/>
      <c r="O36894" s="14"/>
      <c r="P36894" s="13"/>
    </row>
    <row r="36895">
      <c r="L36895" s="13"/>
      <c r="M36895" s="14"/>
      <c r="N36895" s="14"/>
      <c r="O36895" s="14"/>
      <c r="P36895" s="13"/>
    </row>
    <row r="36896">
      <c r="L36896" s="13"/>
      <c r="M36896" s="14"/>
      <c r="N36896" s="14"/>
      <c r="O36896" s="14"/>
      <c r="P36896" s="13"/>
    </row>
    <row r="36897">
      <c r="L36897" s="13"/>
      <c r="M36897" s="14"/>
      <c r="N36897" s="14"/>
      <c r="O36897" s="14"/>
      <c r="P36897" s="13"/>
    </row>
    <row r="36898">
      <c r="L36898" s="13"/>
      <c r="M36898" s="14"/>
      <c r="N36898" s="14"/>
      <c r="O36898" s="14"/>
      <c r="P36898" s="13"/>
    </row>
    <row r="36899">
      <c r="L36899" s="13"/>
      <c r="M36899" s="14"/>
      <c r="N36899" s="14"/>
      <c r="O36899" s="14"/>
      <c r="P36899" s="13"/>
    </row>
    <row r="36900">
      <c r="L36900" s="13"/>
      <c r="M36900" s="14"/>
      <c r="N36900" s="14"/>
      <c r="O36900" s="14"/>
      <c r="P36900" s="13"/>
    </row>
    <row r="36901">
      <c r="L36901" s="13"/>
      <c r="M36901" s="14"/>
      <c r="N36901" s="14"/>
      <c r="O36901" s="14"/>
      <c r="P36901" s="13"/>
    </row>
    <row r="36902">
      <c r="L36902" s="13"/>
      <c r="M36902" s="14"/>
      <c r="N36902" s="14"/>
      <c r="O36902" s="14"/>
      <c r="P36902" s="13"/>
    </row>
    <row r="36903">
      <c r="L36903" s="13"/>
      <c r="M36903" s="14"/>
      <c r="N36903" s="14"/>
      <c r="O36903" s="14"/>
      <c r="P36903" s="13"/>
    </row>
    <row r="36904">
      <c r="L36904" s="13"/>
      <c r="M36904" s="14"/>
      <c r="N36904" s="14"/>
      <c r="O36904" s="14"/>
      <c r="P36904" s="13"/>
    </row>
    <row r="36905">
      <c r="L36905" s="13"/>
      <c r="M36905" s="14"/>
      <c r="N36905" s="14"/>
      <c r="O36905" s="14"/>
      <c r="P36905" s="13"/>
    </row>
    <row r="36906">
      <c r="L36906" s="13"/>
      <c r="M36906" s="14"/>
      <c r="N36906" s="14"/>
      <c r="O36906" s="14"/>
      <c r="P36906" s="13"/>
    </row>
    <row r="36907">
      <c r="L36907" s="13"/>
      <c r="M36907" s="14"/>
      <c r="N36907" s="14"/>
      <c r="O36907" s="14"/>
      <c r="P36907" s="13"/>
    </row>
    <row r="36908">
      <c r="L36908" s="13"/>
      <c r="M36908" s="14"/>
      <c r="N36908" s="14"/>
      <c r="O36908" s="14"/>
      <c r="P36908" s="13"/>
    </row>
    <row r="36909">
      <c r="L36909" s="13"/>
      <c r="M36909" s="14"/>
      <c r="N36909" s="14"/>
      <c r="O36909" s="14"/>
      <c r="P36909" s="13"/>
    </row>
    <row r="36910">
      <c r="L36910" s="13"/>
      <c r="M36910" s="14"/>
      <c r="N36910" s="14"/>
      <c r="O36910" s="14"/>
      <c r="P36910" s="13"/>
    </row>
    <row r="36911">
      <c r="L36911" s="13"/>
      <c r="M36911" s="14"/>
      <c r="N36911" s="14"/>
      <c r="O36911" s="14"/>
      <c r="P36911" s="13"/>
    </row>
    <row r="36912">
      <c r="L36912" s="13"/>
      <c r="M36912" s="14"/>
      <c r="N36912" s="14"/>
      <c r="O36912" s="14"/>
      <c r="P36912" s="13"/>
    </row>
    <row r="36913">
      <c r="L36913" s="13"/>
      <c r="M36913" s="14"/>
      <c r="N36913" s="14"/>
      <c r="O36913" s="14"/>
      <c r="P36913" s="13"/>
    </row>
    <row r="36914">
      <c r="L36914" s="13"/>
      <c r="M36914" s="14"/>
      <c r="N36914" s="14"/>
      <c r="O36914" s="14"/>
      <c r="P36914" s="13"/>
    </row>
    <row r="36915">
      <c r="L36915" s="13"/>
      <c r="M36915" s="14"/>
      <c r="N36915" s="14"/>
      <c r="O36915" s="14"/>
      <c r="P36915" s="13"/>
    </row>
    <row r="36916">
      <c r="L36916" s="13"/>
      <c r="M36916" s="14"/>
      <c r="N36916" s="14"/>
      <c r="O36916" s="14"/>
      <c r="P36916" s="13"/>
    </row>
    <row r="36917">
      <c r="L36917" s="13"/>
      <c r="M36917" s="14"/>
      <c r="N36917" s="14"/>
      <c r="O36917" s="14"/>
      <c r="P36917" s="13"/>
    </row>
    <row r="36918">
      <c r="L36918" s="13"/>
      <c r="M36918" s="14"/>
      <c r="N36918" s="14"/>
      <c r="O36918" s="14"/>
      <c r="P36918" s="13"/>
    </row>
    <row r="36919">
      <c r="L36919" s="13"/>
      <c r="M36919" s="14"/>
      <c r="N36919" s="14"/>
      <c r="O36919" s="14"/>
      <c r="P36919" s="13"/>
    </row>
    <row r="36920">
      <c r="L36920" s="13"/>
      <c r="M36920" s="14"/>
      <c r="N36920" s="14"/>
      <c r="O36920" s="14"/>
      <c r="P36920" s="13"/>
    </row>
    <row r="36921">
      <c r="L36921" s="13"/>
      <c r="M36921" s="14"/>
      <c r="N36921" s="14"/>
      <c r="O36921" s="14"/>
      <c r="P36921" s="13"/>
    </row>
    <row r="36922">
      <c r="L36922" s="13"/>
      <c r="M36922" s="14"/>
      <c r="N36922" s="14"/>
      <c r="O36922" s="14"/>
      <c r="P36922" s="13"/>
    </row>
    <row r="36923">
      <c r="L36923" s="13"/>
      <c r="M36923" s="14"/>
      <c r="N36923" s="14"/>
      <c r="O36923" s="14"/>
      <c r="P36923" s="13"/>
    </row>
    <row r="36924">
      <c r="L36924" s="13"/>
      <c r="M36924" s="14"/>
      <c r="N36924" s="14"/>
      <c r="O36924" s="14"/>
      <c r="P36924" s="13"/>
    </row>
    <row r="36925">
      <c r="L36925" s="13"/>
      <c r="M36925" s="14"/>
      <c r="N36925" s="14"/>
      <c r="O36925" s="14"/>
      <c r="P36925" s="13"/>
    </row>
    <row r="36926">
      <c r="L36926" s="13"/>
      <c r="M36926" s="14"/>
      <c r="N36926" s="14"/>
      <c r="O36926" s="14"/>
      <c r="P36926" s="13"/>
    </row>
    <row r="36927">
      <c r="L36927" s="13"/>
      <c r="M36927" s="14"/>
      <c r="N36927" s="14"/>
      <c r="O36927" s="14"/>
      <c r="P36927" s="13"/>
    </row>
    <row r="36928">
      <c r="L36928" s="13"/>
      <c r="M36928" s="14"/>
      <c r="N36928" s="14"/>
      <c r="O36928" s="14"/>
      <c r="P36928" s="13"/>
    </row>
    <row r="36929">
      <c r="L36929" s="13"/>
      <c r="M36929" s="14"/>
      <c r="N36929" s="14"/>
      <c r="O36929" s="14"/>
      <c r="P36929" s="13"/>
    </row>
    <row r="36930">
      <c r="L36930" s="13"/>
      <c r="M36930" s="14"/>
      <c r="N36930" s="14"/>
      <c r="O36930" s="14"/>
      <c r="P36930" s="13"/>
    </row>
    <row r="36931">
      <c r="L36931" s="13"/>
      <c r="M36931" s="14"/>
      <c r="N36931" s="14"/>
      <c r="O36931" s="14"/>
      <c r="P36931" s="13"/>
    </row>
    <row r="36932">
      <c r="L36932" s="13"/>
      <c r="M36932" s="14"/>
      <c r="N36932" s="14"/>
      <c r="O36932" s="14"/>
      <c r="P36932" s="13"/>
    </row>
    <row r="36933">
      <c r="L36933" s="13"/>
      <c r="M36933" s="14"/>
      <c r="N36933" s="14"/>
      <c r="O36933" s="14"/>
      <c r="P36933" s="13"/>
    </row>
    <row r="36934">
      <c r="L36934" s="13"/>
      <c r="M36934" s="14"/>
      <c r="N36934" s="14"/>
      <c r="O36934" s="14"/>
      <c r="P36934" s="13"/>
    </row>
    <row r="36935">
      <c r="L36935" s="13"/>
      <c r="M36935" s="14"/>
      <c r="N36935" s="14"/>
      <c r="O36935" s="14"/>
      <c r="P36935" s="13"/>
    </row>
    <row r="36936">
      <c r="L36936" s="13"/>
      <c r="M36936" s="14"/>
      <c r="N36936" s="14"/>
      <c r="O36936" s="14"/>
      <c r="P36936" s="13"/>
    </row>
    <row r="36937">
      <c r="L36937" s="13"/>
      <c r="M36937" s="14"/>
      <c r="N36937" s="14"/>
      <c r="O36937" s="14"/>
      <c r="P36937" s="13"/>
    </row>
    <row r="36938">
      <c r="L36938" s="13"/>
      <c r="M36938" s="14"/>
      <c r="N36938" s="14"/>
      <c r="O36938" s="14"/>
      <c r="P36938" s="13"/>
    </row>
    <row r="36939">
      <c r="L36939" s="13"/>
      <c r="M36939" s="14"/>
      <c r="N36939" s="14"/>
      <c r="O36939" s="14"/>
      <c r="P36939" s="13"/>
    </row>
    <row r="36940">
      <c r="L36940" s="13"/>
      <c r="M36940" s="14"/>
      <c r="N36940" s="14"/>
      <c r="O36940" s="14"/>
      <c r="P36940" s="13"/>
    </row>
    <row r="36941">
      <c r="L36941" s="13"/>
      <c r="M36941" s="14"/>
      <c r="N36941" s="14"/>
      <c r="O36941" s="14"/>
      <c r="P36941" s="13"/>
    </row>
    <row r="36942">
      <c r="L36942" s="13"/>
      <c r="M36942" s="14"/>
      <c r="N36942" s="14"/>
      <c r="O36942" s="14"/>
      <c r="P36942" s="13"/>
    </row>
    <row r="36943">
      <c r="L36943" s="13"/>
      <c r="M36943" s="14"/>
      <c r="N36943" s="14"/>
      <c r="O36943" s="14"/>
      <c r="P36943" s="13"/>
    </row>
    <row r="36944">
      <c r="L36944" s="13"/>
      <c r="M36944" s="14"/>
      <c r="N36944" s="14"/>
      <c r="O36944" s="14"/>
      <c r="P36944" s="13"/>
    </row>
    <row r="36945">
      <c r="L36945" s="13"/>
      <c r="M36945" s="14"/>
      <c r="N36945" s="14"/>
      <c r="O36945" s="14"/>
      <c r="P36945" s="13"/>
    </row>
    <row r="36946">
      <c r="L36946" s="13"/>
      <c r="M36946" s="14"/>
      <c r="N36946" s="14"/>
      <c r="O36946" s="14"/>
      <c r="P36946" s="13"/>
    </row>
    <row r="36947">
      <c r="L36947" s="13"/>
      <c r="M36947" s="14"/>
      <c r="N36947" s="14"/>
      <c r="O36947" s="14"/>
      <c r="P36947" s="13"/>
    </row>
    <row r="36948">
      <c r="L36948" s="13"/>
      <c r="M36948" s="14"/>
      <c r="N36948" s="14"/>
      <c r="O36948" s="14"/>
      <c r="P36948" s="13"/>
    </row>
    <row r="36949">
      <c r="L36949" s="13"/>
      <c r="M36949" s="14"/>
      <c r="N36949" s="14"/>
      <c r="O36949" s="14"/>
      <c r="P36949" s="13"/>
    </row>
    <row r="36950">
      <c r="L36950" s="13"/>
      <c r="M36950" s="14"/>
      <c r="N36950" s="14"/>
      <c r="O36950" s="14"/>
      <c r="P36950" s="13"/>
    </row>
    <row r="36951">
      <c r="L36951" s="13"/>
      <c r="M36951" s="14"/>
      <c r="N36951" s="14"/>
      <c r="O36951" s="14"/>
      <c r="P36951" s="13"/>
    </row>
    <row r="36952">
      <c r="L36952" s="13"/>
      <c r="M36952" s="14"/>
      <c r="N36952" s="14"/>
      <c r="O36952" s="14"/>
      <c r="P36952" s="13"/>
    </row>
    <row r="36953">
      <c r="L36953" s="13"/>
      <c r="M36953" s="14"/>
      <c r="N36953" s="14"/>
      <c r="O36953" s="14"/>
      <c r="P36953" s="13"/>
    </row>
    <row r="36954">
      <c r="L36954" s="13"/>
      <c r="M36954" s="14"/>
      <c r="N36954" s="14"/>
      <c r="O36954" s="14"/>
      <c r="P36954" s="13"/>
    </row>
    <row r="36955">
      <c r="L36955" s="13"/>
      <c r="M36955" s="14"/>
      <c r="N36955" s="14"/>
      <c r="O36955" s="14"/>
      <c r="P36955" s="13"/>
    </row>
    <row r="36956">
      <c r="L36956" s="13"/>
      <c r="M36956" s="14"/>
      <c r="N36956" s="14"/>
      <c r="O36956" s="14"/>
      <c r="P36956" s="13"/>
    </row>
    <row r="36957">
      <c r="L36957" s="13"/>
      <c r="M36957" s="14"/>
      <c r="N36957" s="14"/>
      <c r="O36957" s="14"/>
      <c r="P36957" s="13"/>
    </row>
    <row r="36958">
      <c r="L36958" s="13"/>
      <c r="M36958" s="14"/>
      <c r="N36958" s="14"/>
      <c r="O36958" s="14"/>
      <c r="P36958" s="13"/>
    </row>
    <row r="36959">
      <c r="L36959" s="13"/>
      <c r="M36959" s="14"/>
      <c r="N36959" s="14"/>
      <c r="O36959" s="14"/>
      <c r="P36959" s="13"/>
    </row>
    <row r="36960">
      <c r="L36960" s="13"/>
      <c r="M36960" s="14"/>
      <c r="N36960" s="14"/>
      <c r="O36960" s="14"/>
      <c r="P36960" s="13"/>
    </row>
    <row r="36961">
      <c r="L36961" s="13"/>
      <c r="M36961" s="14"/>
      <c r="N36961" s="14"/>
      <c r="O36961" s="14"/>
      <c r="P36961" s="13"/>
    </row>
    <row r="36962">
      <c r="L36962" s="13"/>
      <c r="M36962" s="14"/>
      <c r="N36962" s="14"/>
      <c r="O36962" s="14"/>
      <c r="P36962" s="13"/>
    </row>
    <row r="36963">
      <c r="L36963" s="13"/>
      <c r="M36963" s="14"/>
      <c r="N36963" s="14"/>
      <c r="O36963" s="14"/>
      <c r="P36963" s="13"/>
    </row>
    <row r="36964">
      <c r="L36964" s="13"/>
      <c r="M36964" s="14"/>
      <c r="N36964" s="14"/>
      <c r="O36964" s="14"/>
      <c r="P36964" s="13"/>
    </row>
    <row r="36965">
      <c r="L36965" s="13"/>
      <c r="M36965" s="14"/>
      <c r="N36965" s="14"/>
      <c r="O36965" s="14"/>
      <c r="P36965" s="13"/>
    </row>
    <row r="36966">
      <c r="L36966" s="13"/>
      <c r="M36966" s="14"/>
      <c r="N36966" s="14"/>
      <c r="O36966" s="14"/>
      <c r="P36966" s="13"/>
    </row>
    <row r="36967">
      <c r="L36967" s="13"/>
      <c r="M36967" s="14"/>
      <c r="N36967" s="14"/>
      <c r="O36967" s="14"/>
      <c r="P36967" s="13"/>
    </row>
    <row r="36968">
      <c r="L36968" s="13"/>
      <c r="M36968" s="14"/>
      <c r="N36968" s="14"/>
      <c r="O36968" s="14"/>
      <c r="P36968" s="13"/>
    </row>
    <row r="36969">
      <c r="L36969" s="13"/>
      <c r="M36969" s="14"/>
      <c r="N36969" s="14"/>
      <c r="O36969" s="14"/>
      <c r="P36969" s="13"/>
    </row>
    <row r="36970">
      <c r="L36970" s="13"/>
      <c r="M36970" s="14"/>
      <c r="N36970" s="14"/>
      <c r="O36970" s="14"/>
      <c r="P36970" s="13"/>
    </row>
    <row r="36971">
      <c r="L36971" s="13"/>
      <c r="M36971" s="14"/>
      <c r="N36971" s="14"/>
      <c r="O36971" s="14"/>
      <c r="P36971" s="13"/>
    </row>
    <row r="36972">
      <c r="L36972" s="13"/>
      <c r="M36972" s="14"/>
      <c r="N36972" s="14"/>
      <c r="O36972" s="14"/>
      <c r="P36972" s="13"/>
    </row>
    <row r="36973">
      <c r="L36973" s="13"/>
      <c r="M36973" s="14"/>
      <c r="N36973" s="14"/>
      <c r="O36973" s="14"/>
      <c r="P36973" s="13"/>
    </row>
    <row r="36974">
      <c r="L36974" s="13"/>
      <c r="M36974" s="14"/>
      <c r="N36974" s="14"/>
      <c r="O36974" s="14"/>
      <c r="P36974" s="13"/>
    </row>
    <row r="36975">
      <c r="L36975" s="13"/>
      <c r="M36975" s="14"/>
      <c r="N36975" s="14"/>
      <c r="O36975" s="14"/>
      <c r="P36975" s="13"/>
    </row>
    <row r="36976">
      <c r="L36976" s="13"/>
      <c r="M36976" s="14"/>
      <c r="N36976" s="14"/>
      <c r="O36976" s="14"/>
      <c r="P36976" s="13"/>
    </row>
    <row r="36977">
      <c r="L36977" s="13"/>
      <c r="M36977" s="14"/>
      <c r="N36977" s="14"/>
      <c r="O36977" s="14"/>
      <c r="P36977" s="13"/>
    </row>
    <row r="36978">
      <c r="L36978" s="13"/>
      <c r="M36978" s="14"/>
      <c r="N36978" s="14"/>
      <c r="O36978" s="14"/>
      <c r="P36978" s="13"/>
    </row>
    <row r="36979">
      <c r="L36979" s="13"/>
      <c r="M36979" s="14"/>
      <c r="N36979" s="14"/>
      <c r="O36979" s="14"/>
      <c r="P36979" s="13"/>
    </row>
    <row r="36980">
      <c r="L36980" s="13"/>
      <c r="M36980" s="14"/>
      <c r="N36980" s="14"/>
      <c r="O36980" s="14"/>
      <c r="P36980" s="13"/>
    </row>
    <row r="36981">
      <c r="L36981" s="13"/>
      <c r="M36981" s="14"/>
      <c r="N36981" s="14"/>
      <c r="O36981" s="14"/>
      <c r="P36981" s="13"/>
    </row>
    <row r="36982">
      <c r="L36982" s="13"/>
      <c r="M36982" s="14"/>
      <c r="N36982" s="14"/>
      <c r="O36982" s="14"/>
      <c r="P36982" s="13"/>
    </row>
    <row r="36983">
      <c r="L36983" s="13"/>
      <c r="M36983" s="14"/>
      <c r="N36983" s="14"/>
      <c r="O36983" s="14"/>
      <c r="P36983" s="13"/>
    </row>
    <row r="36984">
      <c r="L36984" s="13"/>
      <c r="M36984" s="14"/>
      <c r="N36984" s="14"/>
      <c r="O36984" s="14"/>
      <c r="P36984" s="13"/>
    </row>
    <row r="36985">
      <c r="L36985" s="13"/>
      <c r="M36985" s="14"/>
      <c r="N36985" s="14"/>
      <c r="O36985" s="14"/>
      <c r="P36985" s="13"/>
    </row>
    <row r="36986">
      <c r="L36986" s="13"/>
      <c r="M36986" s="14"/>
      <c r="N36986" s="14"/>
      <c r="O36986" s="14"/>
      <c r="P36986" s="13"/>
    </row>
    <row r="36987">
      <c r="L36987" s="13"/>
      <c r="M36987" s="14"/>
      <c r="N36987" s="14"/>
      <c r="O36987" s="14"/>
      <c r="P36987" s="13"/>
    </row>
    <row r="36988">
      <c r="L36988" s="13"/>
      <c r="M36988" s="14"/>
      <c r="N36988" s="14"/>
      <c r="O36988" s="14"/>
      <c r="P36988" s="13"/>
    </row>
    <row r="36989">
      <c r="L36989" s="13"/>
      <c r="M36989" s="14"/>
      <c r="N36989" s="14"/>
      <c r="O36989" s="14"/>
      <c r="P36989" s="13"/>
    </row>
    <row r="36990">
      <c r="L36990" s="13"/>
      <c r="M36990" s="14"/>
      <c r="N36990" s="14"/>
      <c r="O36990" s="14"/>
      <c r="P36990" s="13"/>
    </row>
    <row r="36991">
      <c r="L36991" s="13"/>
      <c r="M36991" s="14"/>
      <c r="N36991" s="14"/>
      <c r="O36991" s="14"/>
      <c r="P36991" s="13"/>
    </row>
    <row r="36992">
      <c r="L36992" s="13"/>
      <c r="M36992" s="14"/>
      <c r="N36992" s="14"/>
      <c r="O36992" s="14"/>
      <c r="P36992" s="13"/>
    </row>
    <row r="36993">
      <c r="L36993" s="13"/>
      <c r="M36993" s="14"/>
      <c r="N36993" s="14"/>
      <c r="O36993" s="14"/>
      <c r="P36993" s="13"/>
    </row>
    <row r="36994">
      <c r="L36994" s="13"/>
      <c r="M36994" s="14"/>
      <c r="N36994" s="14"/>
      <c r="O36994" s="14"/>
      <c r="P36994" s="13"/>
    </row>
    <row r="36995">
      <c r="L36995" s="13"/>
      <c r="M36995" s="14"/>
      <c r="N36995" s="14"/>
      <c r="O36995" s="14"/>
      <c r="P36995" s="13"/>
    </row>
    <row r="36996">
      <c r="L36996" s="13"/>
      <c r="M36996" s="14"/>
      <c r="N36996" s="14"/>
      <c r="O36996" s="14"/>
      <c r="P36996" s="13"/>
    </row>
    <row r="36997">
      <c r="L36997" s="13"/>
      <c r="M36997" s="14"/>
      <c r="N36997" s="14"/>
      <c r="O36997" s="14"/>
      <c r="P36997" s="13"/>
    </row>
    <row r="36998">
      <c r="L36998" s="13"/>
      <c r="M36998" s="14"/>
      <c r="N36998" s="14"/>
      <c r="O36998" s="14"/>
      <c r="P36998" s="13"/>
    </row>
    <row r="36999">
      <c r="L36999" s="13"/>
      <c r="M36999" s="14"/>
      <c r="N36999" s="14"/>
      <c r="O36999" s="14"/>
      <c r="P36999" s="13"/>
    </row>
    <row r="37000">
      <c r="L37000" s="13"/>
      <c r="M37000" s="14"/>
      <c r="N37000" s="14"/>
      <c r="O37000" s="14"/>
      <c r="P37000" s="13"/>
    </row>
    <row r="37001">
      <c r="L37001" s="13"/>
      <c r="M37001" s="14"/>
      <c r="N37001" s="14"/>
      <c r="O37001" s="14"/>
      <c r="P37001" s="13"/>
    </row>
    <row r="37002">
      <c r="L37002" s="13"/>
      <c r="M37002" s="14"/>
      <c r="N37002" s="14"/>
      <c r="O37002" s="14"/>
      <c r="P37002" s="13"/>
    </row>
    <row r="37003">
      <c r="L37003" s="13"/>
      <c r="M37003" s="14"/>
      <c r="N37003" s="14"/>
      <c r="O37003" s="14"/>
      <c r="P37003" s="13"/>
    </row>
    <row r="37004">
      <c r="L37004" s="13"/>
      <c r="M37004" s="14"/>
      <c r="N37004" s="14"/>
      <c r="O37004" s="14"/>
      <c r="P37004" s="13"/>
    </row>
    <row r="37005">
      <c r="L37005" s="13"/>
      <c r="M37005" s="14"/>
      <c r="N37005" s="14"/>
      <c r="O37005" s="14"/>
      <c r="P37005" s="13"/>
    </row>
    <row r="37006">
      <c r="L37006" s="13"/>
      <c r="M37006" s="14"/>
      <c r="N37006" s="14"/>
      <c r="O37006" s="14"/>
      <c r="P37006" s="13"/>
    </row>
    <row r="37007">
      <c r="L37007" s="13"/>
      <c r="M37007" s="14"/>
      <c r="N37007" s="14"/>
      <c r="O37007" s="14"/>
      <c r="P37007" s="13"/>
    </row>
    <row r="37008">
      <c r="L37008" s="13"/>
      <c r="M37008" s="14"/>
      <c r="N37008" s="14"/>
      <c r="O37008" s="14"/>
      <c r="P37008" s="13"/>
    </row>
    <row r="37009">
      <c r="L37009" s="13"/>
      <c r="M37009" s="14"/>
      <c r="N37009" s="14"/>
      <c r="O37009" s="14"/>
      <c r="P37009" s="13"/>
    </row>
    <row r="37010">
      <c r="L37010" s="13"/>
      <c r="M37010" s="14"/>
      <c r="N37010" s="14"/>
      <c r="O37010" s="14"/>
      <c r="P37010" s="13"/>
    </row>
    <row r="37011">
      <c r="L37011" s="13"/>
      <c r="M37011" s="14"/>
      <c r="N37011" s="14"/>
      <c r="O37011" s="14"/>
      <c r="P37011" s="13"/>
    </row>
    <row r="37012">
      <c r="L37012" s="13"/>
      <c r="M37012" s="14"/>
      <c r="N37012" s="14"/>
      <c r="O37012" s="14"/>
      <c r="P37012" s="13"/>
    </row>
    <row r="37013">
      <c r="L37013" s="13"/>
      <c r="M37013" s="14"/>
      <c r="N37013" s="14"/>
      <c r="O37013" s="14"/>
      <c r="P37013" s="13"/>
    </row>
    <row r="37014">
      <c r="L37014" s="13"/>
      <c r="M37014" s="14"/>
      <c r="N37014" s="14"/>
      <c r="O37014" s="14"/>
      <c r="P37014" s="13"/>
    </row>
    <row r="37015">
      <c r="L37015" s="13"/>
      <c r="M37015" s="14"/>
      <c r="N37015" s="14"/>
      <c r="O37015" s="14"/>
      <c r="P37015" s="13"/>
    </row>
    <row r="37016">
      <c r="L37016" s="13"/>
      <c r="M37016" s="14"/>
      <c r="N37016" s="14"/>
      <c r="O37016" s="14"/>
      <c r="P37016" s="13"/>
    </row>
    <row r="37017">
      <c r="L37017" s="13"/>
      <c r="M37017" s="14"/>
      <c r="N37017" s="14"/>
      <c r="O37017" s="14"/>
      <c r="P37017" s="13"/>
    </row>
    <row r="37018">
      <c r="L37018" s="13"/>
      <c r="M37018" s="14"/>
      <c r="N37018" s="14"/>
      <c r="O37018" s="14"/>
      <c r="P37018" s="13"/>
    </row>
    <row r="37019">
      <c r="L37019" s="13"/>
      <c r="M37019" s="14"/>
      <c r="N37019" s="14"/>
      <c r="O37019" s="14"/>
      <c r="P37019" s="13"/>
    </row>
    <row r="37020">
      <c r="L37020" s="13"/>
      <c r="M37020" s="14"/>
      <c r="N37020" s="14"/>
      <c r="O37020" s="14"/>
      <c r="P37020" s="13"/>
    </row>
    <row r="37021">
      <c r="L37021" s="13"/>
      <c r="M37021" s="14"/>
      <c r="N37021" s="14"/>
      <c r="O37021" s="14"/>
      <c r="P37021" s="13"/>
    </row>
    <row r="37022">
      <c r="L37022" s="13"/>
      <c r="M37022" s="14"/>
      <c r="N37022" s="14"/>
      <c r="O37022" s="14"/>
      <c r="P37022" s="13"/>
    </row>
    <row r="37023">
      <c r="L37023" s="13"/>
      <c r="M37023" s="14"/>
      <c r="N37023" s="14"/>
      <c r="O37023" s="14"/>
      <c r="P37023" s="13"/>
    </row>
    <row r="37024">
      <c r="L37024" s="13"/>
      <c r="M37024" s="14"/>
      <c r="N37024" s="14"/>
      <c r="O37024" s="14"/>
      <c r="P37024" s="13"/>
    </row>
    <row r="37025">
      <c r="L37025" s="13"/>
      <c r="M37025" s="14"/>
      <c r="N37025" s="14"/>
      <c r="O37025" s="14"/>
      <c r="P37025" s="13"/>
    </row>
    <row r="37026">
      <c r="L37026" s="13"/>
      <c r="M37026" s="14"/>
      <c r="N37026" s="14"/>
      <c r="O37026" s="14"/>
      <c r="P37026" s="13"/>
    </row>
    <row r="37027">
      <c r="L37027" s="13"/>
      <c r="M37027" s="14"/>
      <c r="N37027" s="14"/>
      <c r="O37027" s="14"/>
      <c r="P37027" s="13"/>
    </row>
    <row r="37028">
      <c r="L37028" s="13"/>
      <c r="M37028" s="14"/>
      <c r="N37028" s="14"/>
      <c r="O37028" s="14"/>
      <c r="P37028" s="13"/>
    </row>
    <row r="37029">
      <c r="L37029" s="13"/>
      <c r="M37029" s="14"/>
      <c r="N37029" s="14"/>
      <c r="O37029" s="14"/>
      <c r="P37029" s="13"/>
    </row>
    <row r="37030">
      <c r="L37030" s="13"/>
      <c r="M37030" s="14"/>
      <c r="N37030" s="14"/>
      <c r="O37030" s="14"/>
      <c r="P37030" s="13"/>
    </row>
    <row r="37031">
      <c r="L37031" s="13"/>
      <c r="M37031" s="14"/>
      <c r="N37031" s="14"/>
      <c r="O37031" s="14"/>
      <c r="P37031" s="13"/>
    </row>
    <row r="37032">
      <c r="L37032" s="13"/>
      <c r="M37032" s="14"/>
      <c r="N37032" s="14"/>
      <c r="O37032" s="14"/>
      <c r="P37032" s="13"/>
    </row>
    <row r="37033">
      <c r="L37033" s="13"/>
      <c r="M37033" s="14"/>
      <c r="N37033" s="14"/>
      <c r="O37033" s="14"/>
      <c r="P37033" s="13"/>
    </row>
    <row r="37034">
      <c r="L37034" s="13"/>
      <c r="M37034" s="14"/>
      <c r="N37034" s="14"/>
      <c r="O37034" s="14"/>
      <c r="P37034" s="13"/>
    </row>
    <row r="37035">
      <c r="L37035" s="13"/>
      <c r="M37035" s="14"/>
      <c r="N37035" s="14"/>
      <c r="O37035" s="14"/>
      <c r="P37035" s="13"/>
    </row>
    <row r="37036">
      <c r="L37036" s="13"/>
      <c r="M37036" s="14"/>
      <c r="N37036" s="14"/>
      <c r="O37036" s="14"/>
      <c r="P37036" s="13"/>
    </row>
    <row r="37037">
      <c r="L37037" s="13"/>
      <c r="M37037" s="14"/>
      <c r="N37037" s="14"/>
      <c r="O37037" s="14"/>
      <c r="P37037" s="13"/>
    </row>
    <row r="37038">
      <c r="L37038" s="13"/>
      <c r="M37038" s="14"/>
      <c r="N37038" s="14"/>
      <c r="O37038" s="14"/>
      <c r="P37038" s="13"/>
    </row>
    <row r="37039">
      <c r="L37039" s="13"/>
      <c r="M37039" s="14"/>
      <c r="N37039" s="14"/>
      <c r="O37039" s="14"/>
      <c r="P37039" s="13"/>
    </row>
    <row r="37040">
      <c r="L37040" s="13"/>
      <c r="M37040" s="14"/>
      <c r="N37040" s="14"/>
      <c r="O37040" s="14"/>
      <c r="P37040" s="13"/>
    </row>
    <row r="37041">
      <c r="L37041" s="13"/>
      <c r="M37041" s="14"/>
      <c r="N37041" s="14"/>
      <c r="O37041" s="14"/>
      <c r="P37041" s="13"/>
    </row>
    <row r="37042">
      <c r="L37042" s="13"/>
      <c r="M37042" s="14"/>
      <c r="N37042" s="14"/>
      <c r="O37042" s="14"/>
      <c r="P37042" s="13"/>
    </row>
    <row r="37043">
      <c r="L37043" s="13"/>
      <c r="M37043" s="14"/>
      <c r="N37043" s="14"/>
      <c r="O37043" s="14"/>
      <c r="P37043" s="13"/>
    </row>
    <row r="37044">
      <c r="L37044" s="13"/>
      <c r="M37044" s="14"/>
      <c r="N37044" s="14"/>
      <c r="O37044" s="14"/>
      <c r="P37044" s="13"/>
    </row>
    <row r="37045">
      <c r="L37045" s="13"/>
      <c r="M37045" s="14"/>
      <c r="N37045" s="14"/>
      <c r="O37045" s="14"/>
      <c r="P37045" s="13"/>
    </row>
    <row r="37046">
      <c r="L37046" s="13"/>
      <c r="M37046" s="14"/>
      <c r="N37046" s="14"/>
      <c r="O37046" s="14"/>
      <c r="P37046" s="13"/>
    </row>
    <row r="37047">
      <c r="L37047" s="13"/>
      <c r="M37047" s="14"/>
      <c r="N37047" s="14"/>
      <c r="O37047" s="14"/>
      <c r="P37047" s="13"/>
    </row>
    <row r="37048">
      <c r="L37048" s="13"/>
      <c r="M37048" s="14"/>
      <c r="N37048" s="14"/>
      <c r="O37048" s="14"/>
      <c r="P37048" s="13"/>
    </row>
    <row r="37049">
      <c r="L37049" s="13"/>
      <c r="M37049" s="14"/>
      <c r="N37049" s="14"/>
      <c r="O37049" s="14"/>
      <c r="P37049" s="13"/>
    </row>
    <row r="37050">
      <c r="L37050" s="13"/>
      <c r="M37050" s="14"/>
      <c r="N37050" s="14"/>
      <c r="O37050" s="14"/>
      <c r="P37050" s="13"/>
    </row>
    <row r="37051">
      <c r="L37051" s="13"/>
      <c r="M37051" s="14"/>
      <c r="N37051" s="14"/>
      <c r="O37051" s="14"/>
      <c r="P37051" s="13"/>
    </row>
    <row r="37052">
      <c r="L37052" s="13"/>
      <c r="M37052" s="14"/>
      <c r="N37052" s="14"/>
      <c r="O37052" s="14"/>
      <c r="P37052" s="13"/>
    </row>
    <row r="37053">
      <c r="L37053" s="13"/>
      <c r="M37053" s="14"/>
      <c r="N37053" s="14"/>
      <c r="O37053" s="14"/>
      <c r="P37053" s="13"/>
    </row>
    <row r="37054">
      <c r="L37054" s="13"/>
      <c r="M37054" s="14"/>
      <c r="N37054" s="14"/>
      <c r="O37054" s="14"/>
      <c r="P37054" s="13"/>
    </row>
    <row r="37055">
      <c r="L37055" s="13"/>
      <c r="M37055" s="14"/>
      <c r="N37055" s="14"/>
      <c r="O37055" s="14"/>
      <c r="P37055" s="13"/>
    </row>
    <row r="37056">
      <c r="L37056" s="13"/>
      <c r="M37056" s="14"/>
      <c r="N37056" s="14"/>
      <c r="O37056" s="14"/>
      <c r="P37056" s="13"/>
    </row>
    <row r="37057">
      <c r="L37057" s="13"/>
      <c r="M37057" s="14"/>
      <c r="N37057" s="14"/>
      <c r="O37057" s="14"/>
      <c r="P37057" s="13"/>
    </row>
    <row r="37058">
      <c r="L37058" s="13"/>
      <c r="M37058" s="14"/>
      <c r="N37058" s="14"/>
      <c r="O37058" s="14"/>
      <c r="P37058" s="13"/>
    </row>
    <row r="37059">
      <c r="L37059" s="13"/>
      <c r="M37059" s="14"/>
      <c r="N37059" s="14"/>
      <c r="O37059" s="14"/>
      <c r="P37059" s="13"/>
    </row>
    <row r="37060">
      <c r="L37060" s="13"/>
      <c r="M37060" s="14"/>
      <c r="N37060" s="14"/>
      <c r="O37060" s="14"/>
      <c r="P37060" s="13"/>
    </row>
    <row r="37061">
      <c r="L37061" s="13"/>
      <c r="M37061" s="14"/>
      <c r="N37061" s="14"/>
      <c r="O37061" s="14"/>
      <c r="P37061" s="13"/>
    </row>
    <row r="37062">
      <c r="L37062" s="13"/>
      <c r="M37062" s="14"/>
      <c r="N37062" s="14"/>
      <c r="O37062" s="14"/>
      <c r="P37062" s="13"/>
    </row>
    <row r="37063">
      <c r="L37063" s="13"/>
      <c r="M37063" s="14"/>
      <c r="N37063" s="14"/>
      <c r="O37063" s="14"/>
      <c r="P37063" s="13"/>
    </row>
    <row r="37064">
      <c r="L37064" s="13"/>
      <c r="M37064" s="14"/>
      <c r="N37064" s="14"/>
      <c r="O37064" s="14"/>
      <c r="P37064" s="13"/>
    </row>
    <row r="37065">
      <c r="L37065" s="13"/>
      <c r="M37065" s="14"/>
      <c r="N37065" s="14"/>
      <c r="O37065" s="14"/>
      <c r="P37065" s="13"/>
    </row>
    <row r="37066">
      <c r="L37066" s="13"/>
      <c r="M37066" s="14"/>
      <c r="N37066" s="14"/>
      <c r="O37066" s="14"/>
      <c r="P37066" s="13"/>
    </row>
    <row r="37067">
      <c r="L37067" s="13"/>
      <c r="M37067" s="14"/>
      <c r="N37067" s="14"/>
      <c r="O37067" s="14"/>
      <c r="P37067" s="13"/>
    </row>
    <row r="37068">
      <c r="L37068" s="13"/>
      <c r="M37068" s="14"/>
      <c r="N37068" s="14"/>
      <c r="O37068" s="14"/>
      <c r="P37068" s="13"/>
    </row>
    <row r="37069">
      <c r="L37069" s="13"/>
      <c r="M37069" s="14"/>
      <c r="N37069" s="14"/>
      <c r="O37069" s="14"/>
      <c r="P37069" s="13"/>
    </row>
    <row r="37070">
      <c r="L37070" s="13"/>
      <c r="M37070" s="14"/>
      <c r="N37070" s="14"/>
      <c r="O37070" s="14"/>
      <c r="P37070" s="13"/>
    </row>
    <row r="37071">
      <c r="L37071" s="13"/>
      <c r="M37071" s="14"/>
      <c r="N37071" s="14"/>
      <c r="O37071" s="14"/>
      <c r="P37071" s="13"/>
    </row>
    <row r="37072">
      <c r="L37072" s="13"/>
      <c r="M37072" s="14"/>
      <c r="N37072" s="14"/>
      <c r="O37072" s="14"/>
      <c r="P37072" s="13"/>
    </row>
    <row r="37073">
      <c r="L37073" s="13"/>
      <c r="M37073" s="14"/>
      <c r="N37073" s="14"/>
      <c r="O37073" s="14"/>
      <c r="P37073" s="13"/>
    </row>
    <row r="37074">
      <c r="L37074" s="13"/>
      <c r="M37074" s="14"/>
      <c r="N37074" s="14"/>
      <c r="O37074" s="14"/>
      <c r="P37074" s="13"/>
    </row>
    <row r="37075">
      <c r="L37075" s="13"/>
      <c r="M37075" s="14"/>
      <c r="N37075" s="14"/>
      <c r="O37075" s="14"/>
      <c r="P37075" s="13"/>
    </row>
    <row r="37076">
      <c r="L37076" s="13"/>
      <c r="M37076" s="14"/>
      <c r="N37076" s="14"/>
      <c r="O37076" s="14"/>
      <c r="P37076" s="13"/>
    </row>
    <row r="37077">
      <c r="L37077" s="13"/>
      <c r="M37077" s="14"/>
      <c r="N37077" s="14"/>
      <c r="O37077" s="14"/>
      <c r="P37077" s="13"/>
    </row>
    <row r="37078">
      <c r="L37078" s="13"/>
      <c r="M37078" s="14"/>
      <c r="N37078" s="14"/>
      <c r="O37078" s="14"/>
      <c r="P37078" s="13"/>
    </row>
    <row r="37079">
      <c r="L37079" s="13"/>
      <c r="M37079" s="14"/>
      <c r="N37079" s="14"/>
      <c r="O37079" s="14"/>
      <c r="P37079" s="13"/>
    </row>
    <row r="37080">
      <c r="L37080" s="13"/>
      <c r="M37080" s="14"/>
      <c r="N37080" s="14"/>
      <c r="O37080" s="14"/>
      <c r="P37080" s="13"/>
    </row>
    <row r="37081">
      <c r="L37081" s="13"/>
      <c r="M37081" s="14"/>
      <c r="N37081" s="14"/>
      <c r="O37081" s="14"/>
      <c r="P37081" s="13"/>
    </row>
    <row r="37082">
      <c r="L37082" s="13"/>
      <c r="M37082" s="14"/>
      <c r="N37082" s="14"/>
      <c r="O37082" s="14"/>
      <c r="P37082" s="13"/>
    </row>
    <row r="37083">
      <c r="L37083" s="13"/>
      <c r="M37083" s="14"/>
      <c r="N37083" s="14"/>
      <c r="O37083" s="14"/>
      <c r="P37083" s="13"/>
    </row>
    <row r="37084">
      <c r="L37084" s="13"/>
      <c r="M37084" s="14"/>
      <c r="N37084" s="14"/>
      <c r="O37084" s="14"/>
      <c r="P37084" s="13"/>
    </row>
    <row r="37085">
      <c r="L37085" s="13"/>
      <c r="M37085" s="14"/>
      <c r="N37085" s="14"/>
      <c r="O37085" s="14"/>
      <c r="P37085" s="13"/>
    </row>
    <row r="37086">
      <c r="L37086" s="13"/>
      <c r="M37086" s="14"/>
      <c r="N37086" s="14"/>
      <c r="O37086" s="14"/>
      <c r="P37086" s="13"/>
    </row>
    <row r="37087">
      <c r="L37087" s="13"/>
      <c r="M37087" s="14"/>
      <c r="N37087" s="14"/>
      <c r="O37087" s="14"/>
      <c r="P37087" s="13"/>
    </row>
    <row r="37088">
      <c r="L37088" s="13"/>
      <c r="M37088" s="14"/>
      <c r="N37088" s="14"/>
      <c r="O37088" s="14"/>
      <c r="P37088" s="13"/>
    </row>
    <row r="37089">
      <c r="L37089" s="13"/>
      <c r="M37089" s="14"/>
      <c r="N37089" s="14"/>
      <c r="O37089" s="14"/>
      <c r="P37089" s="13"/>
    </row>
    <row r="37090">
      <c r="L37090" s="13"/>
      <c r="M37090" s="14"/>
      <c r="N37090" s="14"/>
      <c r="O37090" s="14"/>
      <c r="P37090" s="13"/>
    </row>
    <row r="37091">
      <c r="L37091" s="13"/>
      <c r="M37091" s="14"/>
      <c r="N37091" s="14"/>
      <c r="O37091" s="14"/>
      <c r="P37091" s="13"/>
    </row>
    <row r="37092">
      <c r="L37092" s="13"/>
      <c r="M37092" s="14"/>
      <c r="N37092" s="14"/>
      <c r="O37092" s="14"/>
      <c r="P37092" s="13"/>
    </row>
    <row r="37093">
      <c r="L37093" s="13"/>
      <c r="M37093" s="14"/>
      <c r="N37093" s="14"/>
      <c r="O37093" s="14"/>
      <c r="P37093" s="13"/>
    </row>
    <row r="37094">
      <c r="L37094" s="13"/>
      <c r="M37094" s="14"/>
      <c r="N37094" s="14"/>
      <c r="O37094" s="14"/>
      <c r="P37094" s="13"/>
    </row>
    <row r="37095">
      <c r="L37095" s="13"/>
      <c r="M37095" s="14"/>
      <c r="N37095" s="14"/>
      <c r="O37095" s="14"/>
      <c r="P37095" s="13"/>
    </row>
    <row r="37096">
      <c r="L37096" s="13"/>
      <c r="M37096" s="14"/>
      <c r="N37096" s="14"/>
      <c r="O37096" s="14"/>
      <c r="P37096" s="13"/>
    </row>
    <row r="37097">
      <c r="L37097" s="13"/>
      <c r="M37097" s="14"/>
      <c r="N37097" s="14"/>
      <c r="O37097" s="14"/>
      <c r="P37097" s="13"/>
    </row>
    <row r="37098">
      <c r="L37098" s="13"/>
      <c r="M37098" s="14"/>
      <c r="N37098" s="14"/>
      <c r="O37098" s="14"/>
      <c r="P37098" s="13"/>
    </row>
    <row r="37099">
      <c r="L37099" s="13"/>
      <c r="M37099" s="14"/>
      <c r="N37099" s="14"/>
      <c r="O37099" s="14"/>
      <c r="P37099" s="13"/>
    </row>
    <row r="37100">
      <c r="L37100" s="13"/>
      <c r="M37100" s="14"/>
      <c r="N37100" s="14"/>
      <c r="O37100" s="14"/>
      <c r="P37100" s="13"/>
    </row>
    <row r="37101">
      <c r="L37101" s="13"/>
      <c r="M37101" s="14"/>
      <c r="N37101" s="14"/>
      <c r="O37101" s="14"/>
      <c r="P37101" s="13"/>
    </row>
    <row r="37102">
      <c r="L37102" s="13"/>
      <c r="M37102" s="14"/>
      <c r="N37102" s="14"/>
      <c r="O37102" s="14"/>
      <c r="P37102" s="13"/>
    </row>
    <row r="37103">
      <c r="L37103" s="13"/>
      <c r="M37103" s="14"/>
      <c r="N37103" s="14"/>
      <c r="O37103" s="14"/>
      <c r="P37103" s="13"/>
    </row>
    <row r="37104">
      <c r="L37104" s="13"/>
      <c r="M37104" s="14"/>
      <c r="N37104" s="14"/>
      <c r="O37104" s="14"/>
      <c r="P37104" s="13"/>
    </row>
    <row r="37105">
      <c r="L37105" s="13"/>
      <c r="M37105" s="14"/>
      <c r="N37105" s="14"/>
      <c r="O37105" s="14"/>
      <c r="P37105" s="13"/>
    </row>
    <row r="37106">
      <c r="L37106" s="13"/>
      <c r="M37106" s="14"/>
      <c r="N37106" s="14"/>
      <c r="O37106" s="14"/>
      <c r="P37106" s="13"/>
    </row>
    <row r="37107">
      <c r="L37107" s="13"/>
      <c r="M37107" s="14"/>
      <c r="N37107" s="14"/>
      <c r="O37107" s="14"/>
      <c r="P37107" s="13"/>
    </row>
    <row r="37108">
      <c r="L37108" s="13"/>
      <c r="M37108" s="14"/>
      <c r="N37108" s="14"/>
      <c r="O37108" s="14"/>
      <c r="P37108" s="13"/>
    </row>
    <row r="37109">
      <c r="L37109" s="13"/>
      <c r="M37109" s="14"/>
      <c r="N37109" s="14"/>
      <c r="O37109" s="14"/>
      <c r="P37109" s="13"/>
    </row>
    <row r="37110">
      <c r="L37110" s="13"/>
      <c r="M37110" s="14"/>
      <c r="N37110" s="14"/>
      <c r="O37110" s="14"/>
      <c r="P37110" s="13"/>
    </row>
    <row r="37111">
      <c r="L37111" s="13"/>
      <c r="M37111" s="14"/>
      <c r="N37111" s="14"/>
      <c r="O37111" s="14"/>
      <c r="P37111" s="13"/>
    </row>
    <row r="37112">
      <c r="L37112" s="13"/>
      <c r="M37112" s="14"/>
      <c r="N37112" s="14"/>
      <c r="O37112" s="14"/>
      <c r="P37112" s="13"/>
    </row>
    <row r="37113">
      <c r="L37113" s="13"/>
      <c r="M37113" s="14"/>
      <c r="N37113" s="14"/>
      <c r="O37113" s="14"/>
      <c r="P37113" s="13"/>
    </row>
    <row r="37114">
      <c r="L37114" s="13"/>
      <c r="M37114" s="14"/>
      <c r="N37114" s="14"/>
      <c r="O37114" s="14"/>
      <c r="P37114" s="13"/>
    </row>
    <row r="37115">
      <c r="L37115" s="13"/>
      <c r="M37115" s="14"/>
      <c r="N37115" s="14"/>
      <c r="O37115" s="14"/>
      <c r="P37115" s="13"/>
    </row>
    <row r="37116">
      <c r="L37116" s="13"/>
      <c r="M37116" s="14"/>
      <c r="N37116" s="14"/>
      <c r="O37116" s="14"/>
      <c r="P37116" s="13"/>
    </row>
    <row r="37117">
      <c r="L37117" s="13"/>
      <c r="M37117" s="14"/>
      <c r="N37117" s="14"/>
      <c r="O37117" s="14"/>
      <c r="P37117" s="13"/>
    </row>
    <row r="37118">
      <c r="L37118" s="13"/>
      <c r="M37118" s="14"/>
      <c r="N37118" s="14"/>
      <c r="O37118" s="14"/>
      <c r="P37118" s="13"/>
    </row>
    <row r="37119">
      <c r="L37119" s="13"/>
      <c r="M37119" s="14"/>
      <c r="N37119" s="14"/>
      <c r="O37119" s="14"/>
      <c r="P37119" s="13"/>
    </row>
    <row r="37120">
      <c r="L37120" s="13"/>
      <c r="M37120" s="14"/>
      <c r="N37120" s="14"/>
      <c r="O37120" s="14"/>
      <c r="P37120" s="13"/>
    </row>
    <row r="37121">
      <c r="L37121" s="13"/>
      <c r="M37121" s="14"/>
      <c r="N37121" s="14"/>
      <c r="O37121" s="14"/>
      <c r="P37121" s="13"/>
    </row>
    <row r="37122">
      <c r="L37122" s="13"/>
      <c r="M37122" s="14"/>
      <c r="N37122" s="14"/>
      <c r="O37122" s="14"/>
      <c r="P37122" s="13"/>
    </row>
    <row r="37123">
      <c r="L37123" s="13"/>
      <c r="M37123" s="14"/>
      <c r="N37123" s="14"/>
      <c r="O37123" s="14"/>
      <c r="P37123" s="13"/>
    </row>
    <row r="37124">
      <c r="L37124" s="13"/>
      <c r="M37124" s="14"/>
      <c r="N37124" s="14"/>
      <c r="O37124" s="14"/>
      <c r="P37124" s="13"/>
    </row>
    <row r="37125">
      <c r="L37125" s="13"/>
      <c r="M37125" s="14"/>
      <c r="N37125" s="14"/>
      <c r="O37125" s="14"/>
      <c r="P37125" s="13"/>
    </row>
    <row r="37126">
      <c r="L37126" s="13"/>
      <c r="M37126" s="14"/>
      <c r="N37126" s="14"/>
      <c r="O37126" s="14"/>
      <c r="P37126" s="13"/>
    </row>
    <row r="37127">
      <c r="L37127" s="13"/>
      <c r="M37127" s="14"/>
      <c r="N37127" s="14"/>
      <c r="O37127" s="14"/>
      <c r="P37127" s="13"/>
    </row>
    <row r="37128">
      <c r="L37128" s="13"/>
      <c r="M37128" s="14"/>
      <c r="N37128" s="14"/>
      <c r="O37128" s="14"/>
      <c r="P37128" s="13"/>
    </row>
    <row r="37129">
      <c r="L37129" s="13"/>
      <c r="M37129" s="14"/>
      <c r="N37129" s="14"/>
      <c r="O37129" s="14"/>
      <c r="P37129" s="13"/>
    </row>
    <row r="37130">
      <c r="L37130" s="13"/>
      <c r="M37130" s="14"/>
      <c r="N37130" s="14"/>
      <c r="O37130" s="14"/>
      <c r="P37130" s="13"/>
    </row>
    <row r="37131">
      <c r="L37131" s="13"/>
      <c r="M37131" s="14"/>
      <c r="N37131" s="14"/>
      <c r="O37131" s="14"/>
      <c r="P37131" s="13"/>
    </row>
    <row r="37132">
      <c r="L37132" s="13"/>
      <c r="M37132" s="14"/>
      <c r="N37132" s="14"/>
      <c r="O37132" s="14"/>
      <c r="P37132" s="13"/>
    </row>
    <row r="37133">
      <c r="L37133" s="13"/>
      <c r="M37133" s="14"/>
      <c r="N37133" s="14"/>
      <c r="O37133" s="14"/>
      <c r="P37133" s="13"/>
    </row>
    <row r="37134">
      <c r="L37134" s="13"/>
      <c r="M37134" s="14"/>
      <c r="N37134" s="14"/>
      <c r="O37134" s="14"/>
      <c r="P37134" s="13"/>
    </row>
    <row r="37135">
      <c r="L37135" s="13"/>
      <c r="M37135" s="14"/>
      <c r="N37135" s="14"/>
      <c r="O37135" s="14"/>
      <c r="P37135" s="13"/>
    </row>
    <row r="37136">
      <c r="L37136" s="13"/>
      <c r="M37136" s="14"/>
      <c r="N37136" s="14"/>
      <c r="O37136" s="14"/>
      <c r="P37136" s="13"/>
    </row>
    <row r="37137">
      <c r="L37137" s="13"/>
      <c r="M37137" s="14"/>
      <c r="N37137" s="14"/>
      <c r="O37137" s="14"/>
      <c r="P37137" s="13"/>
    </row>
    <row r="37138">
      <c r="L37138" s="13"/>
      <c r="M37138" s="14"/>
      <c r="N37138" s="14"/>
      <c r="O37138" s="14"/>
      <c r="P37138" s="13"/>
    </row>
    <row r="37139">
      <c r="L37139" s="13"/>
      <c r="M37139" s="14"/>
      <c r="N37139" s="14"/>
      <c r="O37139" s="14"/>
      <c r="P37139" s="13"/>
    </row>
    <row r="37140">
      <c r="L37140" s="13"/>
      <c r="M37140" s="14"/>
      <c r="N37140" s="14"/>
      <c r="O37140" s="14"/>
      <c r="P37140" s="13"/>
    </row>
    <row r="37141">
      <c r="L37141" s="13"/>
      <c r="M37141" s="14"/>
      <c r="N37141" s="14"/>
      <c r="O37141" s="14"/>
      <c r="P37141" s="13"/>
    </row>
    <row r="37142">
      <c r="L37142" s="13"/>
      <c r="M37142" s="14"/>
      <c r="N37142" s="14"/>
      <c r="O37142" s="14"/>
      <c r="P37142" s="13"/>
    </row>
    <row r="37143">
      <c r="L37143" s="13"/>
      <c r="M37143" s="14"/>
      <c r="N37143" s="14"/>
      <c r="O37143" s="14"/>
      <c r="P37143" s="13"/>
    </row>
    <row r="37144">
      <c r="L37144" s="13"/>
      <c r="M37144" s="14"/>
      <c r="N37144" s="14"/>
      <c r="O37144" s="14"/>
      <c r="P37144" s="13"/>
    </row>
    <row r="37145">
      <c r="L37145" s="13"/>
      <c r="M37145" s="14"/>
      <c r="N37145" s="14"/>
      <c r="O37145" s="14"/>
      <c r="P37145" s="13"/>
    </row>
    <row r="37146">
      <c r="L37146" s="13"/>
      <c r="M37146" s="14"/>
      <c r="N37146" s="14"/>
      <c r="O37146" s="14"/>
      <c r="P37146" s="13"/>
    </row>
    <row r="37147">
      <c r="L37147" s="13"/>
      <c r="M37147" s="14"/>
      <c r="N37147" s="14"/>
      <c r="O37147" s="14"/>
      <c r="P37147" s="13"/>
    </row>
    <row r="37148">
      <c r="L37148" s="13"/>
      <c r="M37148" s="14"/>
      <c r="N37148" s="14"/>
      <c r="O37148" s="14"/>
      <c r="P37148" s="13"/>
    </row>
    <row r="37149">
      <c r="L37149" s="13"/>
      <c r="M37149" s="14"/>
      <c r="N37149" s="14"/>
      <c r="O37149" s="14"/>
      <c r="P37149" s="13"/>
    </row>
    <row r="37150">
      <c r="L37150" s="13"/>
      <c r="M37150" s="14"/>
      <c r="N37150" s="14"/>
      <c r="O37150" s="14"/>
      <c r="P37150" s="13"/>
    </row>
    <row r="37151">
      <c r="L37151" s="13"/>
      <c r="M37151" s="14"/>
      <c r="N37151" s="14"/>
      <c r="O37151" s="14"/>
      <c r="P37151" s="13"/>
    </row>
    <row r="37152">
      <c r="L37152" s="13"/>
      <c r="M37152" s="14"/>
      <c r="N37152" s="14"/>
      <c r="O37152" s="14"/>
      <c r="P37152" s="13"/>
    </row>
    <row r="37153">
      <c r="L37153" s="13"/>
      <c r="M37153" s="14"/>
      <c r="N37153" s="14"/>
      <c r="O37153" s="14"/>
      <c r="P37153" s="13"/>
    </row>
    <row r="37154">
      <c r="L37154" s="13"/>
      <c r="M37154" s="14"/>
      <c r="N37154" s="14"/>
      <c r="O37154" s="14"/>
      <c r="P37154" s="13"/>
    </row>
    <row r="37155">
      <c r="L37155" s="13"/>
      <c r="M37155" s="14"/>
      <c r="N37155" s="14"/>
      <c r="O37155" s="14"/>
      <c r="P37155" s="13"/>
    </row>
    <row r="37156">
      <c r="L37156" s="13"/>
      <c r="M37156" s="14"/>
      <c r="N37156" s="14"/>
      <c r="O37156" s="14"/>
      <c r="P37156" s="13"/>
    </row>
    <row r="37157">
      <c r="L37157" s="13"/>
      <c r="M37157" s="14"/>
      <c r="N37157" s="14"/>
      <c r="O37157" s="14"/>
      <c r="P37157" s="13"/>
    </row>
    <row r="37158">
      <c r="L37158" s="13"/>
      <c r="M37158" s="14"/>
      <c r="N37158" s="14"/>
      <c r="O37158" s="14"/>
      <c r="P37158" s="13"/>
    </row>
    <row r="37159">
      <c r="L37159" s="13"/>
      <c r="M37159" s="14"/>
      <c r="N37159" s="14"/>
      <c r="O37159" s="14"/>
      <c r="P37159" s="13"/>
    </row>
    <row r="37160">
      <c r="L37160" s="13"/>
      <c r="M37160" s="14"/>
      <c r="N37160" s="14"/>
      <c r="O37160" s="14"/>
      <c r="P37160" s="13"/>
    </row>
    <row r="37161">
      <c r="L37161" s="13"/>
      <c r="M37161" s="14"/>
      <c r="N37161" s="14"/>
      <c r="O37161" s="14"/>
      <c r="P37161" s="13"/>
    </row>
    <row r="37162">
      <c r="L37162" s="13"/>
      <c r="M37162" s="14"/>
      <c r="N37162" s="14"/>
      <c r="O37162" s="14"/>
      <c r="P37162" s="13"/>
    </row>
    <row r="37163">
      <c r="L37163" s="13"/>
      <c r="M37163" s="14"/>
      <c r="N37163" s="14"/>
      <c r="O37163" s="14"/>
      <c r="P37163" s="13"/>
    </row>
    <row r="37164">
      <c r="L37164" s="13"/>
      <c r="M37164" s="14"/>
      <c r="N37164" s="14"/>
      <c r="O37164" s="14"/>
      <c r="P37164" s="13"/>
    </row>
    <row r="37165">
      <c r="L37165" s="13"/>
      <c r="M37165" s="14"/>
      <c r="N37165" s="14"/>
      <c r="O37165" s="14"/>
      <c r="P37165" s="13"/>
    </row>
    <row r="37166">
      <c r="L37166" s="13"/>
      <c r="M37166" s="14"/>
      <c r="N37166" s="14"/>
      <c r="O37166" s="14"/>
      <c r="P37166" s="13"/>
    </row>
    <row r="37167">
      <c r="L37167" s="13"/>
      <c r="M37167" s="14"/>
      <c r="N37167" s="14"/>
      <c r="O37167" s="14"/>
      <c r="P37167" s="13"/>
    </row>
    <row r="37168">
      <c r="L37168" s="13"/>
      <c r="M37168" s="14"/>
      <c r="N37168" s="14"/>
      <c r="O37168" s="14"/>
      <c r="P37168" s="13"/>
    </row>
    <row r="37169">
      <c r="L37169" s="13"/>
      <c r="M37169" s="14"/>
      <c r="N37169" s="14"/>
      <c r="O37169" s="14"/>
      <c r="P37169" s="13"/>
    </row>
    <row r="37170">
      <c r="L37170" s="13"/>
      <c r="M37170" s="14"/>
      <c r="N37170" s="14"/>
      <c r="O37170" s="14"/>
      <c r="P37170" s="13"/>
    </row>
    <row r="37171">
      <c r="L37171" s="13"/>
      <c r="M37171" s="14"/>
      <c r="N37171" s="14"/>
      <c r="O37171" s="14"/>
      <c r="P37171" s="13"/>
    </row>
    <row r="37172">
      <c r="L37172" s="13"/>
      <c r="M37172" s="14"/>
      <c r="N37172" s="14"/>
      <c r="O37172" s="14"/>
      <c r="P37172" s="13"/>
    </row>
    <row r="37173">
      <c r="L37173" s="13"/>
      <c r="M37173" s="14"/>
      <c r="N37173" s="14"/>
      <c r="O37173" s="14"/>
      <c r="P37173" s="13"/>
    </row>
    <row r="37174">
      <c r="L37174" s="13"/>
      <c r="M37174" s="14"/>
      <c r="N37174" s="14"/>
      <c r="O37174" s="14"/>
      <c r="P37174" s="13"/>
    </row>
    <row r="37175">
      <c r="L37175" s="13"/>
      <c r="M37175" s="14"/>
      <c r="N37175" s="14"/>
      <c r="O37175" s="14"/>
      <c r="P37175" s="13"/>
    </row>
    <row r="37176">
      <c r="L37176" s="13"/>
      <c r="M37176" s="14"/>
      <c r="N37176" s="14"/>
      <c r="O37176" s="14"/>
      <c r="P37176" s="13"/>
    </row>
    <row r="37177">
      <c r="L37177" s="13"/>
      <c r="M37177" s="14"/>
      <c r="N37177" s="14"/>
      <c r="O37177" s="14"/>
      <c r="P37177" s="13"/>
    </row>
    <row r="37178">
      <c r="L37178" s="13"/>
      <c r="M37178" s="14"/>
      <c r="N37178" s="14"/>
      <c r="O37178" s="14"/>
      <c r="P37178" s="13"/>
    </row>
    <row r="37179">
      <c r="L37179" s="13"/>
      <c r="M37179" s="14"/>
      <c r="N37179" s="14"/>
      <c r="O37179" s="14"/>
      <c r="P37179" s="13"/>
    </row>
    <row r="37180">
      <c r="L37180" s="13"/>
      <c r="M37180" s="14"/>
      <c r="N37180" s="14"/>
      <c r="O37180" s="14"/>
      <c r="P37180" s="13"/>
    </row>
    <row r="37181">
      <c r="L37181" s="13"/>
      <c r="M37181" s="14"/>
      <c r="N37181" s="14"/>
      <c r="O37181" s="14"/>
      <c r="P37181" s="13"/>
    </row>
    <row r="37182">
      <c r="L37182" s="13"/>
      <c r="M37182" s="14"/>
      <c r="N37182" s="14"/>
      <c r="O37182" s="14"/>
      <c r="P37182" s="13"/>
    </row>
    <row r="37183">
      <c r="L37183" s="13"/>
      <c r="M37183" s="14"/>
      <c r="N37183" s="14"/>
      <c r="O37183" s="14"/>
      <c r="P37183" s="13"/>
    </row>
    <row r="37184">
      <c r="L37184" s="13"/>
      <c r="M37184" s="14"/>
      <c r="N37184" s="14"/>
      <c r="O37184" s="14"/>
      <c r="P37184" s="13"/>
    </row>
    <row r="37185">
      <c r="L37185" s="13"/>
      <c r="M37185" s="14"/>
      <c r="N37185" s="14"/>
      <c r="O37185" s="14"/>
      <c r="P37185" s="13"/>
    </row>
    <row r="37186">
      <c r="L37186" s="13"/>
      <c r="M37186" s="14"/>
      <c r="N37186" s="14"/>
      <c r="O37186" s="14"/>
      <c r="P37186" s="13"/>
    </row>
    <row r="37187">
      <c r="L37187" s="13"/>
      <c r="M37187" s="14"/>
      <c r="N37187" s="14"/>
      <c r="O37187" s="14"/>
      <c r="P37187" s="13"/>
    </row>
    <row r="37188">
      <c r="L37188" s="13"/>
      <c r="M37188" s="14"/>
      <c r="N37188" s="14"/>
      <c r="O37188" s="14"/>
      <c r="P37188" s="13"/>
    </row>
    <row r="37189">
      <c r="L37189" s="13"/>
      <c r="M37189" s="14"/>
      <c r="N37189" s="14"/>
      <c r="O37189" s="14"/>
      <c r="P37189" s="13"/>
    </row>
    <row r="37190">
      <c r="L37190" s="13"/>
      <c r="M37190" s="14"/>
      <c r="N37190" s="14"/>
      <c r="O37190" s="14"/>
      <c r="P37190" s="13"/>
    </row>
    <row r="37191">
      <c r="L37191" s="13"/>
      <c r="M37191" s="14"/>
      <c r="N37191" s="14"/>
      <c r="O37191" s="14"/>
      <c r="P37191" s="13"/>
    </row>
    <row r="37192">
      <c r="L37192" s="13"/>
      <c r="M37192" s="14"/>
      <c r="N37192" s="14"/>
      <c r="O37192" s="14"/>
      <c r="P37192" s="13"/>
    </row>
    <row r="37193">
      <c r="L37193" s="13"/>
      <c r="M37193" s="14"/>
      <c r="N37193" s="14"/>
      <c r="O37193" s="14"/>
      <c r="P37193" s="13"/>
    </row>
    <row r="37194">
      <c r="L37194" s="13"/>
      <c r="M37194" s="14"/>
      <c r="N37194" s="14"/>
      <c r="O37194" s="14"/>
      <c r="P37194" s="13"/>
    </row>
    <row r="37195">
      <c r="L37195" s="13"/>
      <c r="M37195" s="14"/>
      <c r="N37195" s="14"/>
      <c r="O37195" s="14"/>
      <c r="P37195" s="13"/>
    </row>
    <row r="37196">
      <c r="L37196" s="13"/>
      <c r="M37196" s="14"/>
      <c r="N37196" s="14"/>
      <c r="O37196" s="14"/>
      <c r="P37196" s="13"/>
    </row>
    <row r="37197">
      <c r="L37197" s="13"/>
      <c r="M37197" s="14"/>
      <c r="N37197" s="14"/>
      <c r="O37197" s="14"/>
      <c r="P37197" s="13"/>
    </row>
    <row r="37198">
      <c r="L37198" s="13"/>
      <c r="M37198" s="14"/>
      <c r="N37198" s="14"/>
      <c r="O37198" s="14"/>
      <c r="P37198" s="13"/>
    </row>
    <row r="37199">
      <c r="L37199" s="13"/>
      <c r="M37199" s="14"/>
      <c r="N37199" s="14"/>
      <c r="O37199" s="14"/>
      <c r="P37199" s="13"/>
    </row>
    <row r="37200">
      <c r="L37200" s="13"/>
      <c r="M37200" s="14"/>
      <c r="N37200" s="14"/>
      <c r="O37200" s="14"/>
      <c r="P37200" s="13"/>
    </row>
    <row r="37201">
      <c r="L37201" s="13"/>
      <c r="M37201" s="14"/>
      <c r="N37201" s="14"/>
      <c r="O37201" s="14"/>
      <c r="P37201" s="13"/>
    </row>
    <row r="37202">
      <c r="L37202" s="13"/>
      <c r="M37202" s="14"/>
      <c r="N37202" s="14"/>
      <c r="O37202" s="14"/>
      <c r="P37202" s="13"/>
    </row>
    <row r="37203">
      <c r="L37203" s="13"/>
      <c r="M37203" s="14"/>
      <c r="N37203" s="14"/>
      <c r="O37203" s="14"/>
      <c r="P37203" s="13"/>
    </row>
    <row r="37204">
      <c r="L37204" s="13"/>
      <c r="M37204" s="14"/>
      <c r="N37204" s="14"/>
      <c r="O37204" s="14"/>
      <c r="P37204" s="13"/>
    </row>
    <row r="37205">
      <c r="L37205" s="13"/>
      <c r="M37205" s="14"/>
      <c r="N37205" s="14"/>
      <c r="O37205" s="14"/>
      <c r="P37205" s="13"/>
    </row>
    <row r="37206">
      <c r="L37206" s="13"/>
      <c r="M37206" s="14"/>
      <c r="N37206" s="14"/>
      <c r="O37206" s="14"/>
      <c r="P37206" s="13"/>
    </row>
    <row r="37207">
      <c r="L37207" s="13"/>
      <c r="M37207" s="14"/>
      <c r="N37207" s="14"/>
      <c r="O37207" s="14"/>
      <c r="P37207" s="13"/>
    </row>
    <row r="37208">
      <c r="L37208" s="13"/>
      <c r="M37208" s="14"/>
      <c r="N37208" s="14"/>
      <c r="O37208" s="14"/>
      <c r="P37208" s="13"/>
    </row>
    <row r="37209">
      <c r="L37209" s="13"/>
      <c r="M37209" s="14"/>
      <c r="N37209" s="14"/>
      <c r="O37209" s="14"/>
      <c r="P37209" s="13"/>
    </row>
    <row r="37210">
      <c r="L37210" s="13"/>
      <c r="M37210" s="14"/>
      <c r="N37210" s="14"/>
      <c r="O37210" s="14"/>
      <c r="P37210" s="13"/>
    </row>
    <row r="37211">
      <c r="L37211" s="13"/>
      <c r="M37211" s="14"/>
      <c r="N37211" s="14"/>
      <c r="O37211" s="14"/>
      <c r="P37211" s="13"/>
    </row>
    <row r="37212">
      <c r="L37212" s="13"/>
      <c r="M37212" s="14"/>
      <c r="N37212" s="14"/>
      <c r="O37212" s="14"/>
      <c r="P37212" s="13"/>
    </row>
    <row r="37213">
      <c r="L37213" s="13"/>
      <c r="M37213" s="14"/>
      <c r="N37213" s="14"/>
      <c r="O37213" s="14"/>
      <c r="P37213" s="13"/>
    </row>
    <row r="37214">
      <c r="L37214" s="13"/>
      <c r="M37214" s="14"/>
      <c r="N37214" s="14"/>
      <c r="O37214" s="14"/>
      <c r="P37214" s="13"/>
    </row>
    <row r="37215">
      <c r="L37215" s="13"/>
      <c r="M37215" s="14"/>
      <c r="N37215" s="14"/>
      <c r="O37215" s="14"/>
      <c r="P37215" s="13"/>
    </row>
    <row r="37216">
      <c r="L37216" s="13"/>
      <c r="M37216" s="14"/>
      <c r="N37216" s="14"/>
      <c r="O37216" s="14"/>
      <c r="P37216" s="13"/>
    </row>
    <row r="37217">
      <c r="L37217" s="13"/>
      <c r="M37217" s="14"/>
      <c r="N37217" s="14"/>
      <c r="O37217" s="14"/>
      <c r="P37217" s="13"/>
    </row>
    <row r="37218">
      <c r="L37218" s="13"/>
      <c r="M37218" s="14"/>
      <c r="N37218" s="14"/>
      <c r="O37218" s="14"/>
      <c r="P37218" s="13"/>
    </row>
    <row r="37219">
      <c r="L37219" s="13"/>
      <c r="M37219" s="14"/>
      <c r="N37219" s="14"/>
      <c r="O37219" s="14"/>
      <c r="P37219" s="13"/>
    </row>
    <row r="37220">
      <c r="L37220" s="13"/>
      <c r="M37220" s="14"/>
      <c r="N37220" s="14"/>
      <c r="O37220" s="14"/>
      <c r="P37220" s="13"/>
    </row>
    <row r="37221">
      <c r="L37221" s="13"/>
      <c r="M37221" s="14"/>
      <c r="N37221" s="14"/>
      <c r="O37221" s="14"/>
      <c r="P37221" s="13"/>
    </row>
    <row r="37222">
      <c r="L37222" s="13"/>
      <c r="M37222" s="14"/>
      <c r="N37222" s="14"/>
      <c r="O37222" s="14"/>
      <c r="P37222" s="13"/>
    </row>
    <row r="37223">
      <c r="L37223" s="13"/>
      <c r="M37223" s="14"/>
      <c r="N37223" s="14"/>
      <c r="O37223" s="14"/>
      <c r="P37223" s="13"/>
    </row>
    <row r="37224">
      <c r="L37224" s="13"/>
      <c r="M37224" s="14"/>
      <c r="N37224" s="14"/>
      <c r="O37224" s="14"/>
      <c r="P37224" s="13"/>
    </row>
    <row r="37225">
      <c r="L37225" s="13"/>
      <c r="M37225" s="14"/>
      <c r="N37225" s="14"/>
      <c r="O37225" s="14"/>
      <c r="P37225" s="13"/>
    </row>
    <row r="37226">
      <c r="L37226" s="13"/>
      <c r="M37226" s="14"/>
      <c r="N37226" s="14"/>
      <c r="O37226" s="14"/>
      <c r="P37226" s="13"/>
    </row>
    <row r="37227">
      <c r="L37227" s="13"/>
      <c r="M37227" s="14"/>
      <c r="N37227" s="14"/>
      <c r="O37227" s="14"/>
      <c r="P37227" s="13"/>
    </row>
    <row r="37228">
      <c r="L37228" s="13"/>
      <c r="M37228" s="14"/>
      <c r="N37228" s="14"/>
      <c r="O37228" s="14"/>
      <c r="P37228" s="13"/>
    </row>
    <row r="37229">
      <c r="L37229" s="13"/>
      <c r="M37229" s="14"/>
      <c r="N37229" s="14"/>
      <c r="O37229" s="14"/>
      <c r="P37229" s="13"/>
    </row>
    <row r="37230">
      <c r="L37230" s="13"/>
      <c r="M37230" s="14"/>
      <c r="N37230" s="14"/>
      <c r="O37230" s="14"/>
      <c r="P37230" s="13"/>
    </row>
    <row r="37231">
      <c r="L37231" s="13"/>
      <c r="M37231" s="14"/>
      <c r="N37231" s="14"/>
      <c r="O37231" s="14"/>
      <c r="P37231" s="13"/>
    </row>
    <row r="37232">
      <c r="L37232" s="13"/>
      <c r="M37232" s="14"/>
      <c r="N37232" s="14"/>
      <c r="O37232" s="14"/>
      <c r="P37232" s="13"/>
    </row>
    <row r="37233">
      <c r="L37233" s="13"/>
      <c r="M37233" s="14"/>
      <c r="N37233" s="14"/>
      <c r="O37233" s="14"/>
      <c r="P37233" s="13"/>
    </row>
    <row r="37234">
      <c r="L37234" s="13"/>
      <c r="M37234" s="14"/>
      <c r="N37234" s="14"/>
      <c r="O37234" s="14"/>
      <c r="P37234" s="13"/>
    </row>
    <row r="37235">
      <c r="L37235" s="13"/>
      <c r="M37235" s="14"/>
      <c r="N37235" s="14"/>
      <c r="O37235" s="14"/>
      <c r="P37235" s="13"/>
    </row>
    <row r="37236">
      <c r="L37236" s="13"/>
      <c r="M37236" s="14"/>
      <c r="N37236" s="14"/>
      <c r="O37236" s="14"/>
      <c r="P37236" s="13"/>
    </row>
    <row r="37237">
      <c r="L37237" s="13"/>
      <c r="M37237" s="14"/>
      <c r="N37237" s="14"/>
      <c r="O37237" s="14"/>
      <c r="P37237" s="13"/>
    </row>
    <row r="37238">
      <c r="L37238" s="13"/>
      <c r="M37238" s="14"/>
      <c r="N37238" s="14"/>
      <c r="O37238" s="14"/>
      <c r="P37238" s="13"/>
    </row>
    <row r="37239">
      <c r="L37239" s="13"/>
      <c r="M37239" s="14"/>
      <c r="N37239" s="14"/>
      <c r="O37239" s="14"/>
      <c r="P37239" s="13"/>
    </row>
    <row r="37240">
      <c r="L37240" s="13"/>
      <c r="M37240" s="14"/>
      <c r="N37240" s="14"/>
      <c r="O37240" s="14"/>
      <c r="P37240" s="13"/>
    </row>
    <row r="37241">
      <c r="L37241" s="13"/>
      <c r="M37241" s="14"/>
      <c r="N37241" s="14"/>
      <c r="O37241" s="14"/>
      <c r="P37241" s="13"/>
    </row>
    <row r="37242">
      <c r="L37242" s="13"/>
      <c r="M37242" s="14"/>
      <c r="N37242" s="14"/>
      <c r="O37242" s="14"/>
      <c r="P37242" s="13"/>
    </row>
    <row r="37243">
      <c r="L37243" s="13"/>
      <c r="M37243" s="14"/>
      <c r="N37243" s="14"/>
      <c r="O37243" s="14"/>
      <c r="P37243" s="13"/>
    </row>
    <row r="37244">
      <c r="L37244" s="13"/>
      <c r="M37244" s="14"/>
      <c r="N37244" s="14"/>
      <c r="O37244" s="14"/>
      <c r="P37244" s="13"/>
    </row>
    <row r="37245">
      <c r="L37245" s="13"/>
      <c r="M37245" s="14"/>
      <c r="N37245" s="14"/>
      <c r="O37245" s="14"/>
      <c r="P37245" s="13"/>
    </row>
    <row r="37246">
      <c r="L37246" s="13"/>
      <c r="M37246" s="14"/>
      <c r="N37246" s="14"/>
      <c r="O37246" s="14"/>
      <c r="P37246" s="13"/>
    </row>
    <row r="37247">
      <c r="L37247" s="13"/>
      <c r="M37247" s="14"/>
      <c r="N37247" s="14"/>
      <c r="O37247" s="14"/>
      <c r="P37247" s="13"/>
    </row>
    <row r="37248">
      <c r="L37248" s="13"/>
      <c r="M37248" s="14"/>
      <c r="N37248" s="14"/>
      <c r="O37248" s="14"/>
      <c r="P37248" s="13"/>
    </row>
    <row r="37249">
      <c r="L37249" s="13"/>
      <c r="M37249" s="14"/>
      <c r="N37249" s="14"/>
      <c r="O37249" s="14"/>
      <c r="P37249" s="13"/>
    </row>
    <row r="37250">
      <c r="L37250" s="13"/>
      <c r="M37250" s="14"/>
      <c r="N37250" s="14"/>
      <c r="O37250" s="14"/>
      <c r="P37250" s="13"/>
    </row>
    <row r="37251">
      <c r="L37251" s="13"/>
      <c r="M37251" s="14"/>
      <c r="N37251" s="14"/>
      <c r="O37251" s="14"/>
      <c r="P37251" s="13"/>
    </row>
    <row r="37252">
      <c r="L37252" s="13"/>
      <c r="M37252" s="14"/>
      <c r="N37252" s="14"/>
      <c r="O37252" s="14"/>
      <c r="P37252" s="13"/>
    </row>
    <row r="37253">
      <c r="L37253" s="13"/>
      <c r="M37253" s="14"/>
      <c r="N37253" s="14"/>
      <c r="O37253" s="14"/>
      <c r="P37253" s="13"/>
    </row>
    <row r="37254">
      <c r="L37254" s="13"/>
      <c r="M37254" s="14"/>
      <c r="N37254" s="14"/>
      <c r="O37254" s="14"/>
      <c r="P37254" s="13"/>
    </row>
    <row r="37255">
      <c r="L37255" s="13"/>
      <c r="M37255" s="14"/>
      <c r="N37255" s="14"/>
      <c r="O37255" s="14"/>
      <c r="P37255" s="13"/>
    </row>
    <row r="37256">
      <c r="L37256" s="13"/>
      <c r="M37256" s="14"/>
      <c r="N37256" s="14"/>
      <c r="O37256" s="14"/>
      <c r="P37256" s="13"/>
    </row>
    <row r="37257">
      <c r="L37257" s="13"/>
      <c r="M37257" s="14"/>
      <c r="N37257" s="14"/>
      <c r="O37257" s="14"/>
      <c r="P37257" s="13"/>
    </row>
    <row r="37258">
      <c r="L37258" s="13"/>
      <c r="M37258" s="14"/>
      <c r="N37258" s="14"/>
      <c r="O37258" s="14"/>
      <c r="P37258" s="13"/>
    </row>
    <row r="37259">
      <c r="L37259" s="13"/>
      <c r="M37259" s="14"/>
      <c r="N37259" s="14"/>
      <c r="O37259" s="14"/>
      <c r="P37259" s="13"/>
    </row>
    <row r="37260">
      <c r="L37260" s="13"/>
      <c r="M37260" s="14"/>
      <c r="N37260" s="14"/>
      <c r="O37260" s="14"/>
      <c r="P37260" s="13"/>
    </row>
    <row r="37261">
      <c r="L37261" s="13"/>
      <c r="M37261" s="14"/>
      <c r="N37261" s="14"/>
      <c r="O37261" s="14"/>
      <c r="P37261" s="13"/>
    </row>
    <row r="37262">
      <c r="L37262" s="13"/>
      <c r="M37262" s="14"/>
      <c r="N37262" s="14"/>
      <c r="O37262" s="14"/>
      <c r="P37262" s="13"/>
    </row>
    <row r="37263">
      <c r="L37263" s="13"/>
      <c r="M37263" s="14"/>
      <c r="N37263" s="14"/>
      <c r="O37263" s="14"/>
      <c r="P37263" s="13"/>
    </row>
    <row r="37264">
      <c r="L37264" s="13"/>
      <c r="M37264" s="14"/>
      <c r="N37264" s="14"/>
      <c r="O37264" s="14"/>
      <c r="P37264" s="13"/>
    </row>
    <row r="37265">
      <c r="L37265" s="13"/>
      <c r="M37265" s="14"/>
      <c r="N37265" s="14"/>
      <c r="O37265" s="14"/>
      <c r="P37265" s="13"/>
    </row>
    <row r="37266">
      <c r="L37266" s="13"/>
      <c r="M37266" s="14"/>
      <c r="N37266" s="14"/>
      <c r="O37266" s="14"/>
      <c r="P37266" s="13"/>
    </row>
    <row r="37267">
      <c r="L37267" s="13"/>
      <c r="M37267" s="14"/>
      <c r="N37267" s="14"/>
      <c r="O37267" s="14"/>
      <c r="P37267" s="13"/>
    </row>
    <row r="37268">
      <c r="L37268" s="13"/>
      <c r="M37268" s="14"/>
      <c r="N37268" s="14"/>
      <c r="O37268" s="14"/>
      <c r="P37268" s="13"/>
    </row>
    <row r="37269">
      <c r="L37269" s="13"/>
      <c r="M37269" s="14"/>
      <c r="N37269" s="14"/>
      <c r="O37269" s="14"/>
      <c r="P37269" s="13"/>
    </row>
    <row r="37270">
      <c r="L37270" s="13"/>
      <c r="M37270" s="14"/>
      <c r="N37270" s="14"/>
      <c r="O37270" s="14"/>
      <c r="P37270" s="13"/>
    </row>
    <row r="37271">
      <c r="L37271" s="13"/>
      <c r="M37271" s="14"/>
      <c r="N37271" s="14"/>
      <c r="O37271" s="14"/>
      <c r="P37271" s="13"/>
    </row>
    <row r="37272">
      <c r="L37272" s="13"/>
      <c r="M37272" s="14"/>
      <c r="N37272" s="14"/>
      <c r="O37272" s="14"/>
      <c r="P37272" s="13"/>
    </row>
    <row r="37273">
      <c r="L37273" s="13"/>
      <c r="M37273" s="14"/>
      <c r="N37273" s="14"/>
      <c r="O37273" s="14"/>
      <c r="P37273" s="13"/>
    </row>
    <row r="37274">
      <c r="L37274" s="13"/>
      <c r="M37274" s="14"/>
      <c r="N37274" s="14"/>
      <c r="O37274" s="14"/>
      <c r="P37274" s="13"/>
    </row>
    <row r="37275">
      <c r="L37275" s="13"/>
      <c r="M37275" s="14"/>
      <c r="N37275" s="14"/>
      <c r="O37275" s="14"/>
      <c r="P37275" s="13"/>
    </row>
    <row r="37276">
      <c r="L37276" s="13"/>
      <c r="M37276" s="14"/>
      <c r="N37276" s="14"/>
      <c r="O37276" s="14"/>
      <c r="P37276" s="13"/>
    </row>
    <row r="37277">
      <c r="L37277" s="13"/>
      <c r="M37277" s="14"/>
      <c r="N37277" s="14"/>
      <c r="O37277" s="14"/>
      <c r="P37277" s="13"/>
    </row>
    <row r="37278">
      <c r="L37278" s="13"/>
      <c r="M37278" s="14"/>
      <c r="N37278" s="14"/>
      <c r="O37278" s="14"/>
      <c r="P37278" s="13"/>
    </row>
    <row r="37279">
      <c r="L37279" s="13"/>
      <c r="M37279" s="14"/>
      <c r="N37279" s="14"/>
      <c r="O37279" s="14"/>
      <c r="P37279" s="13"/>
    </row>
    <row r="37280">
      <c r="L37280" s="13"/>
      <c r="M37280" s="14"/>
      <c r="N37280" s="14"/>
      <c r="O37280" s="14"/>
      <c r="P37280" s="13"/>
    </row>
    <row r="37281">
      <c r="L37281" s="13"/>
      <c r="M37281" s="14"/>
      <c r="N37281" s="14"/>
      <c r="O37281" s="14"/>
      <c r="P37281" s="13"/>
    </row>
    <row r="37282">
      <c r="L37282" s="13"/>
      <c r="M37282" s="14"/>
      <c r="N37282" s="14"/>
      <c r="O37282" s="14"/>
      <c r="P37282" s="13"/>
    </row>
    <row r="37283">
      <c r="L37283" s="13"/>
      <c r="M37283" s="14"/>
      <c r="N37283" s="14"/>
      <c r="O37283" s="14"/>
      <c r="P37283" s="13"/>
    </row>
    <row r="37284">
      <c r="L37284" s="13"/>
      <c r="M37284" s="14"/>
      <c r="N37284" s="14"/>
      <c r="O37284" s="14"/>
      <c r="P37284" s="13"/>
    </row>
    <row r="37285">
      <c r="L37285" s="13"/>
      <c r="M37285" s="14"/>
      <c r="N37285" s="14"/>
      <c r="O37285" s="14"/>
      <c r="P37285" s="13"/>
    </row>
    <row r="37286">
      <c r="L37286" s="13"/>
      <c r="M37286" s="14"/>
      <c r="N37286" s="14"/>
      <c r="O37286" s="14"/>
      <c r="P37286" s="13"/>
    </row>
    <row r="37287">
      <c r="L37287" s="13"/>
      <c r="M37287" s="14"/>
      <c r="N37287" s="14"/>
      <c r="O37287" s="14"/>
      <c r="P37287" s="13"/>
    </row>
    <row r="37288">
      <c r="L37288" s="13"/>
      <c r="M37288" s="14"/>
      <c r="N37288" s="14"/>
      <c r="O37288" s="14"/>
      <c r="P37288" s="13"/>
    </row>
    <row r="37289">
      <c r="L37289" s="13"/>
      <c r="M37289" s="14"/>
      <c r="N37289" s="14"/>
      <c r="O37289" s="14"/>
      <c r="P37289" s="13"/>
    </row>
    <row r="37290">
      <c r="L37290" s="13"/>
      <c r="M37290" s="14"/>
      <c r="N37290" s="14"/>
      <c r="O37290" s="14"/>
      <c r="P37290" s="13"/>
    </row>
    <row r="37291">
      <c r="L37291" s="13"/>
      <c r="M37291" s="14"/>
      <c r="N37291" s="14"/>
      <c r="O37291" s="14"/>
      <c r="P37291" s="13"/>
    </row>
    <row r="37292">
      <c r="L37292" s="13"/>
      <c r="M37292" s="14"/>
      <c r="N37292" s="14"/>
      <c r="O37292" s="14"/>
      <c r="P37292" s="13"/>
    </row>
    <row r="37293">
      <c r="L37293" s="13"/>
      <c r="M37293" s="14"/>
      <c r="N37293" s="14"/>
      <c r="O37293" s="14"/>
      <c r="P37293" s="13"/>
    </row>
    <row r="37294">
      <c r="L37294" s="13"/>
      <c r="M37294" s="14"/>
      <c r="N37294" s="14"/>
      <c r="O37294" s="14"/>
      <c r="P37294" s="13"/>
    </row>
    <row r="37295">
      <c r="L37295" s="13"/>
      <c r="M37295" s="14"/>
      <c r="N37295" s="14"/>
      <c r="O37295" s="14"/>
      <c r="P37295" s="13"/>
    </row>
    <row r="37296">
      <c r="L37296" s="13"/>
      <c r="M37296" s="14"/>
      <c r="N37296" s="14"/>
      <c r="O37296" s="14"/>
      <c r="P37296" s="13"/>
    </row>
    <row r="37297">
      <c r="L37297" s="13"/>
      <c r="M37297" s="14"/>
      <c r="N37297" s="14"/>
      <c r="O37297" s="14"/>
      <c r="P37297" s="13"/>
    </row>
    <row r="37298">
      <c r="L37298" s="13"/>
      <c r="M37298" s="14"/>
      <c r="N37298" s="14"/>
      <c r="O37298" s="14"/>
      <c r="P37298" s="13"/>
    </row>
    <row r="37299">
      <c r="L37299" s="13"/>
      <c r="M37299" s="14"/>
      <c r="N37299" s="14"/>
      <c r="O37299" s="14"/>
      <c r="P37299" s="13"/>
    </row>
    <row r="37300">
      <c r="L37300" s="13"/>
      <c r="M37300" s="14"/>
      <c r="N37300" s="14"/>
      <c r="O37300" s="14"/>
      <c r="P37300" s="13"/>
    </row>
    <row r="37301">
      <c r="L37301" s="13"/>
      <c r="M37301" s="14"/>
      <c r="N37301" s="14"/>
      <c r="O37301" s="14"/>
      <c r="P37301" s="13"/>
    </row>
    <row r="37302">
      <c r="L37302" s="13"/>
      <c r="M37302" s="14"/>
      <c r="N37302" s="14"/>
      <c r="O37302" s="14"/>
      <c r="P37302" s="13"/>
    </row>
    <row r="37303">
      <c r="L37303" s="13"/>
      <c r="M37303" s="14"/>
      <c r="N37303" s="14"/>
      <c r="O37303" s="14"/>
      <c r="P37303" s="13"/>
    </row>
    <row r="37304">
      <c r="L37304" s="13"/>
      <c r="M37304" s="14"/>
      <c r="N37304" s="14"/>
      <c r="O37304" s="14"/>
      <c r="P37304" s="13"/>
    </row>
    <row r="37305">
      <c r="L37305" s="13"/>
      <c r="M37305" s="14"/>
      <c r="N37305" s="14"/>
      <c r="O37305" s="14"/>
      <c r="P37305" s="13"/>
    </row>
    <row r="37306">
      <c r="L37306" s="13"/>
      <c r="M37306" s="14"/>
      <c r="N37306" s="14"/>
      <c r="O37306" s="14"/>
      <c r="P37306" s="13"/>
    </row>
    <row r="37307">
      <c r="L37307" s="13"/>
      <c r="M37307" s="14"/>
      <c r="N37307" s="14"/>
      <c r="O37307" s="14"/>
      <c r="P37307" s="13"/>
    </row>
    <row r="37308">
      <c r="L37308" s="13"/>
      <c r="M37308" s="14"/>
      <c r="N37308" s="14"/>
      <c r="O37308" s="14"/>
      <c r="P37308" s="13"/>
    </row>
    <row r="37309">
      <c r="L37309" s="13"/>
      <c r="M37309" s="14"/>
      <c r="N37309" s="14"/>
      <c r="O37309" s="14"/>
      <c r="P37309" s="13"/>
    </row>
    <row r="37310">
      <c r="L37310" s="13"/>
      <c r="M37310" s="14"/>
      <c r="N37310" s="14"/>
      <c r="O37310" s="14"/>
      <c r="P37310" s="13"/>
    </row>
    <row r="37311">
      <c r="L37311" s="13"/>
      <c r="M37311" s="14"/>
      <c r="N37311" s="14"/>
      <c r="O37311" s="14"/>
      <c r="P37311" s="13"/>
    </row>
    <row r="37312">
      <c r="L37312" s="13"/>
      <c r="M37312" s="14"/>
      <c r="N37312" s="14"/>
      <c r="O37312" s="14"/>
      <c r="P37312" s="13"/>
    </row>
    <row r="37313">
      <c r="L37313" s="13"/>
      <c r="M37313" s="14"/>
      <c r="N37313" s="14"/>
      <c r="O37313" s="14"/>
      <c r="P37313" s="13"/>
    </row>
    <row r="37314">
      <c r="L37314" s="13"/>
      <c r="M37314" s="14"/>
      <c r="N37314" s="14"/>
      <c r="O37314" s="14"/>
      <c r="P37314" s="13"/>
    </row>
    <row r="37315">
      <c r="L37315" s="13"/>
      <c r="M37315" s="14"/>
      <c r="N37315" s="14"/>
      <c r="O37315" s="14"/>
      <c r="P37315" s="13"/>
    </row>
    <row r="37316">
      <c r="L37316" s="13"/>
      <c r="M37316" s="14"/>
      <c r="N37316" s="14"/>
      <c r="O37316" s="14"/>
      <c r="P37316" s="13"/>
    </row>
    <row r="37317">
      <c r="L37317" s="13"/>
      <c r="M37317" s="14"/>
      <c r="N37317" s="14"/>
      <c r="O37317" s="14"/>
      <c r="P37317" s="13"/>
    </row>
    <row r="37318">
      <c r="L37318" s="13"/>
      <c r="M37318" s="14"/>
      <c r="N37318" s="14"/>
      <c r="O37318" s="14"/>
      <c r="P37318" s="13"/>
    </row>
    <row r="37319">
      <c r="L37319" s="13"/>
      <c r="M37319" s="14"/>
      <c r="N37319" s="14"/>
      <c r="O37319" s="14"/>
      <c r="P37319" s="13"/>
    </row>
    <row r="37320">
      <c r="L37320" s="13"/>
      <c r="M37320" s="14"/>
      <c r="N37320" s="14"/>
      <c r="O37320" s="14"/>
      <c r="P37320" s="13"/>
    </row>
    <row r="37321">
      <c r="L37321" s="13"/>
      <c r="M37321" s="14"/>
      <c r="N37321" s="14"/>
      <c r="O37321" s="14"/>
      <c r="P37321" s="13"/>
    </row>
    <row r="37322">
      <c r="L37322" s="13"/>
      <c r="M37322" s="14"/>
      <c r="N37322" s="14"/>
      <c r="O37322" s="14"/>
      <c r="P37322" s="13"/>
    </row>
    <row r="37323">
      <c r="L37323" s="13"/>
      <c r="M37323" s="14"/>
      <c r="N37323" s="14"/>
      <c r="O37323" s="14"/>
      <c r="P37323" s="13"/>
    </row>
    <row r="37324">
      <c r="L37324" s="13"/>
      <c r="M37324" s="14"/>
      <c r="N37324" s="14"/>
      <c r="O37324" s="14"/>
      <c r="P37324" s="13"/>
    </row>
    <row r="37325">
      <c r="L37325" s="13"/>
      <c r="M37325" s="14"/>
      <c r="N37325" s="14"/>
      <c r="O37325" s="14"/>
      <c r="P37325" s="13"/>
    </row>
    <row r="37326">
      <c r="L37326" s="13"/>
      <c r="M37326" s="14"/>
      <c r="N37326" s="14"/>
      <c r="O37326" s="14"/>
      <c r="P37326" s="13"/>
    </row>
    <row r="37327">
      <c r="L37327" s="13"/>
      <c r="M37327" s="14"/>
      <c r="N37327" s="14"/>
      <c r="O37327" s="14"/>
      <c r="P37327" s="13"/>
    </row>
    <row r="37328">
      <c r="L37328" s="13"/>
      <c r="M37328" s="14"/>
      <c r="N37328" s="14"/>
      <c r="O37328" s="14"/>
      <c r="P37328" s="13"/>
    </row>
    <row r="37329">
      <c r="L37329" s="13"/>
      <c r="M37329" s="14"/>
      <c r="N37329" s="14"/>
      <c r="O37329" s="14"/>
      <c r="P37329" s="13"/>
    </row>
    <row r="37330">
      <c r="L37330" s="13"/>
      <c r="M37330" s="14"/>
      <c r="N37330" s="14"/>
      <c r="O37330" s="14"/>
      <c r="P37330" s="13"/>
    </row>
    <row r="37331">
      <c r="L37331" s="13"/>
      <c r="M37331" s="14"/>
      <c r="N37331" s="14"/>
      <c r="O37331" s="14"/>
      <c r="P37331" s="13"/>
    </row>
    <row r="37332">
      <c r="L37332" s="13"/>
      <c r="M37332" s="14"/>
      <c r="N37332" s="14"/>
      <c r="O37332" s="14"/>
      <c r="P37332" s="13"/>
    </row>
    <row r="37333">
      <c r="L37333" s="13"/>
      <c r="M37333" s="14"/>
      <c r="N37333" s="14"/>
      <c r="O37333" s="14"/>
      <c r="P37333" s="13"/>
    </row>
    <row r="37334">
      <c r="L37334" s="13"/>
      <c r="M37334" s="14"/>
      <c r="N37334" s="14"/>
      <c r="O37334" s="14"/>
      <c r="P37334" s="13"/>
    </row>
    <row r="37335">
      <c r="L37335" s="13"/>
      <c r="M37335" s="14"/>
      <c r="N37335" s="14"/>
      <c r="O37335" s="14"/>
      <c r="P37335" s="13"/>
    </row>
    <row r="37336">
      <c r="L37336" s="13"/>
      <c r="M37336" s="14"/>
      <c r="N37336" s="14"/>
      <c r="O37336" s="14"/>
      <c r="P37336" s="13"/>
    </row>
    <row r="37337">
      <c r="L37337" s="13"/>
      <c r="M37337" s="14"/>
      <c r="N37337" s="14"/>
      <c r="O37337" s="14"/>
      <c r="P37337" s="13"/>
    </row>
    <row r="37338">
      <c r="L37338" s="13"/>
      <c r="M37338" s="14"/>
      <c r="N37338" s="14"/>
      <c r="O37338" s="14"/>
      <c r="P37338" s="13"/>
    </row>
    <row r="37339">
      <c r="L37339" s="13"/>
      <c r="M37339" s="14"/>
      <c r="N37339" s="14"/>
      <c r="O37339" s="14"/>
      <c r="P37339" s="13"/>
    </row>
    <row r="37340">
      <c r="L37340" s="13"/>
      <c r="M37340" s="14"/>
      <c r="N37340" s="14"/>
      <c r="O37340" s="14"/>
      <c r="P37340" s="13"/>
    </row>
    <row r="37341">
      <c r="L37341" s="13"/>
      <c r="M37341" s="14"/>
      <c r="N37341" s="14"/>
      <c r="O37341" s="14"/>
      <c r="P37341" s="13"/>
    </row>
    <row r="37342">
      <c r="L37342" s="13"/>
      <c r="M37342" s="14"/>
      <c r="N37342" s="14"/>
      <c r="O37342" s="14"/>
      <c r="P37342" s="13"/>
    </row>
    <row r="37343">
      <c r="L37343" s="13"/>
      <c r="M37343" s="14"/>
      <c r="N37343" s="14"/>
      <c r="O37343" s="14"/>
      <c r="P37343" s="13"/>
    </row>
    <row r="37344">
      <c r="L37344" s="13"/>
      <c r="M37344" s="14"/>
      <c r="N37344" s="14"/>
      <c r="O37344" s="14"/>
      <c r="P37344" s="13"/>
    </row>
    <row r="37345">
      <c r="L37345" s="13"/>
      <c r="M37345" s="14"/>
      <c r="N37345" s="14"/>
      <c r="O37345" s="14"/>
      <c r="P37345" s="13"/>
    </row>
    <row r="37346">
      <c r="L37346" s="13"/>
      <c r="M37346" s="14"/>
      <c r="N37346" s="14"/>
      <c r="O37346" s="14"/>
      <c r="P37346" s="13"/>
    </row>
    <row r="37347">
      <c r="L37347" s="13"/>
      <c r="M37347" s="14"/>
      <c r="N37347" s="14"/>
      <c r="O37347" s="14"/>
      <c r="P37347" s="13"/>
    </row>
    <row r="37348">
      <c r="L37348" s="13"/>
      <c r="M37348" s="14"/>
      <c r="N37348" s="14"/>
      <c r="O37348" s="14"/>
      <c r="P37348" s="13"/>
    </row>
    <row r="37349">
      <c r="L37349" s="13"/>
      <c r="M37349" s="14"/>
      <c r="N37349" s="14"/>
      <c r="O37349" s="14"/>
      <c r="P37349" s="13"/>
    </row>
    <row r="37350">
      <c r="L37350" s="13"/>
      <c r="M37350" s="14"/>
      <c r="N37350" s="14"/>
      <c r="O37350" s="14"/>
      <c r="P37350" s="13"/>
    </row>
    <row r="37351">
      <c r="L37351" s="13"/>
      <c r="M37351" s="14"/>
      <c r="N37351" s="14"/>
      <c r="O37351" s="14"/>
      <c r="P37351" s="13"/>
    </row>
    <row r="37352">
      <c r="L37352" s="13"/>
      <c r="M37352" s="14"/>
      <c r="N37352" s="14"/>
      <c r="O37352" s="14"/>
      <c r="P37352" s="13"/>
    </row>
    <row r="37353">
      <c r="L37353" s="13"/>
      <c r="M37353" s="14"/>
      <c r="N37353" s="14"/>
      <c r="O37353" s="14"/>
      <c r="P37353" s="13"/>
    </row>
    <row r="37354">
      <c r="L37354" s="13"/>
      <c r="M37354" s="14"/>
      <c r="N37354" s="14"/>
      <c r="O37354" s="14"/>
      <c r="P37354" s="13"/>
    </row>
    <row r="37355">
      <c r="L37355" s="13"/>
      <c r="M37355" s="14"/>
      <c r="N37355" s="14"/>
      <c r="O37355" s="14"/>
      <c r="P37355" s="13"/>
    </row>
    <row r="37356">
      <c r="L37356" s="13"/>
      <c r="M37356" s="14"/>
      <c r="N37356" s="14"/>
      <c r="O37356" s="14"/>
      <c r="P37356" s="13"/>
    </row>
    <row r="37357">
      <c r="L37357" s="13"/>
      <c r="M37357" s="14"/>
      <c r="N37357" s="14"/>
      <c r="O37357" s="14"/>
      <c r="P37357" s="13"/>
    </row>
    <row r="37358">
      <c r="L37358" s="13"/>
      <c r="M37358" s="14"/>
      <c r="N37358" s="14"/>
      <c r="O37358" s="14"/>
      <c r="P37358" s="13"/>
    </row>
    <row r="37359">
      <c r="L37359" s="13"/>
      <c r="M37359" s="14"/>
      <c r="N37359" s="14"/>
      <c r="O37359" s="14"/>
      <c r="P37359" s="13"/>
    </row>
    <row r="37360">
      <c r="L37360" s="13"/>
      <c r="M37360" s="14"/>
      <c r="N37360" s="14"/>
      <c r="O37360" s="14"/>
      <c r="P37360" s="13"/>
    </row>
    <row r="37361">
      <c r="L37361" s="13"/>
      <c r="M37361" s="14"/>
      <c r="N37361" s="14"/>
      <c r="O37361" s="14"/>
      <c r="P37361" s="13"/>
    </row>
    <row r="37362">
      <c r="L37362" s="13"/>
      <c r="M37362" s="14"/>
      <c r="N37362" s="14"/>
      <c r="O37362" s="14"/>
      <c r="P37362" s="13"/>
    </row>
    <row r="37363">
      <c r="L37363" s="13"/>
      <c r="M37363" s="14"/>
      <c r="N37363" s="14"/>
      <c r="O37363" s="14"/>
      <c r="P37363" s="13"/>
    </row>
    <row r="37364">
      <c r="L37364" s="13"/>
      <c r="M37364" s="14"/>
      <c r="N37364" s="14"/>
      <c r="O37364" s="14"/>
      <c r="P37364" s="13"/>
    </row>
    <row r="37365">
      <c r="L37365" s="13"/>
      <c r="M37365" s="14"/>
      <c r="N37365" s="14"/>
      <c r="O37365" s="14"/>
      <c r="P37365" s="13"/>
    </row>
    <row r="37366">
      <c r="L37366" s="13"/>
      <c r="M37366" s="14"/>
      <c r="N37366" s="14"/>
      <c r="O37366" s="14"/>
      <c r="P37366" s="13"/>
    </row>
    <row r="37367">
      <c r="L37367" s="13"/>
      <c r="M37367" s="14"/>
      <c r="N37367" s="14"/>
      <c r="O37367" s="14"/>
      <c r="P37367" s="13"/>
    </row>
    <row r="37368">
      <c r="L37368" s="13"/>
      <c r="M37368" s="14"/>
      <c r="N37368" s="14"/>
      <c r="O37368" s="14"/>
      <c r="P37368" s="13"/>
    </row>
    <row r="37369">
      <c r="L37369" s="13"/>
      <c r="M37369" s="14"/>
      <c r="N37369" s="14"/>
      <c r="O37369" s="14"/>
      <c r="P37369" s="13"/>
    </row>
    <row r="37370">
      <c r="L37370" s="13"/>
      <c r="M37370" s="14"/>
      <c r="N37370" s="14"/>
      <c r="O37370" s="14"/>
      <c r="P37370" s="13"/>
    </row>
    <row r="37371">
      <c r="L37371" s="13"/>
      <c r="M37371" s="14"/>
      <c r="N37371" s="14"/>
      <c r="O37371" s="14"/>
      <c r="P37371" s="13"/>
    </row>
    <row r="37372">
      <c r="L37372" s="13"/>
      <c r="M37372" s="14"/>
      <c r="N37372" s="14"/>
      <c r="O37372" s="14"/>
      <c r="P37372" s="13"/>
    </row>
    <row r="37373">
      <c r="L37373" s="13"/>
      <c r="M37373" s="14"/>
      <c r="N37373" s="14"/>
      <c r="O37373" s="14"/>
      <c r="P37373" s="13"/>
    </row>
    <row r="37374">
      <c r="L37374" s="13"/>
      <c r="M37374" s="14"/>
      <c r="N37374" s="14"/>
      <c r="O37374" s="14"/>
      <c r="P37374" s="13"/>
    </row>
    <row r="37375">
      <c r="L37375" s="13"/>
      <c r="M37375" s="14"/>
      <c r="N37375" s="14"/>
      <c r="O37375" s="14"/>
      <c r="P37375" s="13"/>
    </row>
    <row r="37376">
      <c r="L37376" s="13"/>
      <c r="M37376" s="14"/>
      <c r="N37376" s="14"/>
      <c r="O37376" s="14"/>
      <c r="P37376" s="13"/>
    </row>
    <row r="37377">
      <c r="L37377" s="13"/>
      <c r="M37377" s="14"/>
      <c r="N37377" s="14"/>
      <c r="O37377" s="14"/>
      <c r="P37377" s="13"/>
    </row>
    <row r="37378">
      <c r="L37378" s="13"/>
      <c r="M37378" s="14"/>
      <c r="N37378" s="14"/>
      <c r="O37378" s="14"/>
      <c r="P37378" s="13"/>
    </row>
    <row r="37379">
      <c r="L37379" s="13"/>
      <c r="M37379" s="14"/>
      <c r="N37379" s="14"/>
      <c r="O37379" s="14"/>
      <c r="P37379" s="13"/>
    </row>
    <row r="37380">
      <c r="L37380" s="13"/>
      <c r="M37380" s="14"/>
      <c r="N37380" s="14"/>
      <c r="O37380" s="14"/>
      <c r="P37380" s="13"/>
    </row>
    <row r="37381">
      <c r="L37381" s="13"/>
      <c r="M37381" s="14"/>
      <c r="N37381" s="14"/>
      <c r="O37381" s="14"/>
      <c r="P37381" s="13"/>
    </row>
    <row r="37382">
      <c r="L37382" s="13"/>
      <c r="M37382" s="14"/>
      <c r="N37382" s="14"/>
      <c r="O37382" s="14"/>
      <c r="P37382" s="13"/>
    </row>
    <row r="37383">
      <c r="L37383" s="13"/>
      <c r="M37383" s="14"/>
      <c r="N37383" s="14"/>
      <c r="O37383" s="14"/>
      <c r="P37383" s="13"/>
    </row>
    <row r="37384">
      <c r="L37384" s="13"/>
      <c r="M37384" s="14"/>
      <c r="N37384" s="14"/>
      <c r="O37384" s="14"/>
      <c r="P37384" s="13"/>
    </row>
    <row r="37385">
      <c r="L37385" s="13"/>
      <c r="M37385" s="14"/>
      <c r="N37385" s="14"/>
      <c r="O37385" s="14"/>
      <c r="P37385" s="13"/>
    </row>
    <row r="37386">
      <c r="L37386" s="13"/>
      <c r="M37386" s="14"/>
      <c r="N37386" s="14"/>
      <c r="O37386" s="14"/>
      <c r="P37386" s="13"/>
    </row>
    <row r="37387">
      <c r="L37387" s="13"/>
      <c r="M37387" s="14"/>
      <c r="N37387" s="14"/>
      <c r="O37387" s="14"/>
      <c r="P37387" s="13"/>
    </row>
    <row r="37388">
      <c r="L37388" s="13"/>
      <c r="M37388" s="14"/>
      <c r="N37388" s="14"/>
      <c r="O37388" s="14"/>
      <c r="P37388" s="13"/>
    </row>
    <row r="37389">
      <c r="L37389" s="13"/>
      <c r="M37389" s="14"/>
      <c r="N37389" s="14"/>
      <c r="O37389" s="14"/>
      <c r="P37389" s="13"/>
    </row>
    <row r="37390">
      <c r="L37390" s="13"/>
      <c r="M37390" s="14"/>
      <c r="N37390" s="14"/>
      <c r="O37390" s="14"/>
      <c r="P37390" s="13"/>
    </row>
    <row r="37391">
      <c r="L37391" s="13"/>
      <c r="M37391" s="14"/>
      <c r="N37391" s="14"/>
      <c r="O37391" s="14"/>
      <c r="P37391" s="13"/>
    </row>
    <row r="37392">
      <c r="L37392" s="13"/>
      <c r="M37392" s="14"/>
      <c r="N37392" s="14"/>
      <c r="O37392" s="14"/>
      <c r="P37392" s="13"/>
    </row>
    <row r="37393">
      <c r="L37393" s="13"/>
      <c r="M37393" s="14"/>
      <c r="N37393" s="14"/>
      <c r="O37393" s="14"/>
      <c r="P37393" s="13"/>
    </row>
    <row r="37394">
      <c r="L37394" s="13"/>
      <c r="M37394" s="14"/>
      <c r="N37394" s="14"/>
      <c r="O37394" s="14"/>
      <c r="P37394" s="13"/>
    </row>
    <row r="37395">
      <c r="L37395" s="13"/>
      <c r="M37395" s="14"/>
      <c r="N37395" s="14"/>
      <c r="O37395" s="14"/>
      <c r="P37395" s="13"/>
    </row>
    <row r="37396">
      <c r="L37396" s="13"/>
      <c r="M37396" s="14"/>
      <c r="N37396" s="14"/>
      <c r="O37396" s="14"/>
      <c r="P37396" s="13"/>
    </row>
    <row r="37397">
      <c r="L37397" s="13"/>
      <c r="M37397" s="14"/>
      <c r="N37397" s="14"/>
      <c r="O37397" s="14"/>
      <c r="P37397" s="13"/>
    </row>
    <row r="37398">
      <c r="L37398" s="13"/>
      <c r="M37398" s="14"/>
      <c r="N37398" s="14"/>
      <c r="O37398" s="14"/>
      <c r="P37398" s="13"/>
    </row>
    <row r="37399">
      <c r="L37399" s="13"/>
      <c r="M37399" s="14"/>
      <c r="N37399" s="14"/>
      <c r="O37399" s="14"/>
      <c r="P37399" s="13"/>
    </row>
    <row r="37400">
      <c r="L37400" s="13"/>
      <c r="M37400" s="14"/>
      <c r="N37400" s="14"/>
      <c r="O37400" s="14"/>
      <c r="P37400" s="13"/>
    </row>
    <row r="37401">
      <c r="L37401" s="13"/>
      <c r="M37401" s="14"/>
      <c r="N37401" s="14"/>
      <c r="O37401" s="14"/>
      <c r="P37401" s="13"/>
    </row>
    <row r="37402">
      <c r="L37402" s="13"/>
      <c r="M37402" s="14"/>
      <c r="N37402" s="14"/>
      <c r="O37402" s="14"/>
      <c r="P37402" s="13"/>
    </row>
    <row r="37403">
      <c r="L37403" s="13"/>
      <c r="M37403" s="14"/>
      <c r="N37403" s="14"/>
      <c r="O37403" s="14"/>
      <c r="P37403" s="13"/>
    </row>
    <row r="37404">
      <c r="L37404" s="13"/>
      <c r="M37404" s="14"/>
      <c r="N37404" s="14"/>
      <c r="O37404" s="14"/>
      <c r="P37404" s="13"/>
    </row>
    <row r="37405">
      <c r="L37405" s="13"/>
      <c r="M37405" s="14"/>
      <c r="N37405" s="14"/>
      <c r="O37405" s="14"/>
      <c r="P37405" s="13"/>
    </row>
    <row r="37406">
      <c r="L37406" s="13"/>
      <c r="M37406" s="14"/>
      <c r="N37406" s="14"/>
      <c r="O37406" s="14"/>
      <c r="P37406" s="13"/>
    </row>
    <row r="37407">
      <c r="L37407" s="13"/>
      <c r="M37407" s="14"/>
      <c r="N37407" s="14"/>
      <c r="O37407" s="14"/>
      <c r="P37407" s="13"/>
    </row>
    <row r="37408">
      <c r="L37408" s="13"/>
      <c r="M37408" s="14"/>
      <c r="N37408" s="14"/>
      <c r="O37408" s="14"/>
      <c r="P37408" s="13"/>
    </row>
    <row r="37409">
      <c r="L37409" s="13"/>
      <c r="M37409" s="14"/>
      <c r="N37409" s="14"/>
      <c r="O37409" s="14"/>
      <c r="P37409" s="13"/>
    </row>
    <row r="37410">
      <c r="L37410" s="13"/>
      <c r="M37410" s="14"/>
      <c r="N37410" s="14"/>
      <c r="O37410" s="14"/>
      <c r="P37410" s="13"/>
    </row>
    <row r="37411">
      <c r="L37411" s="13"/>
      <c r="M37411" s="14"/>
      <c r="N37411" s="14"/>
      <c r="O37411" s="14"/>
      <c r="P37411" s="13"/>
    </row>
    <row r="37412">
      <c r="L37412" s="13"/>
      <c r="M37412" s="14"/>
      <c r="N37412" s="14"/>
      <c r="O37412" s="14"/>
      <c r="P37412" s="13"/>
    </row>
    <row r="37413">
      <c r="L37413" s="13"/>
      <c r="M37413" s="14"/>
      <c r="N37413" s="14"/>
      <c r="O37413" s="14"/>
      <c r="P37413" s="13"/>
    </row>
    <row r="37414">
      <c r="L37414" s="13"/>
      <c r="M37414" s="14"/>
      <c r="N37414" s="14"/>
      <c r="O37414" s="14"/>
      <c r="P37414" s="13"/>
    </row>
    <row r="37415">
      <c r="L37415" s="13"/>
      <c r="M37415" s="14"/>
      <c r="N37415" s="14"/>
      <c r="O37415" s="14"/>
      <c r="P37415" s="13"/>
    </row>
    <row r="37416">
      <c r="L37416" s="13"/>
      <c r="M37416" s="14"/>
      <c r="N37416" s="14"/>
      <c r="O37416" s="14"/>
      <c r="P37416" s="13"/>
    </row>
    <row r="37417">
      <c r="L37417" s="13"/>
      <c r="M37417" s="14"/>
      <c r="N37417" s="14"/>
      <c r="O37417" s="14"/>
      <c r="P37417" s="13"/>
    </row>
    <row r="37418">
      <c r="L37418" s="13"/>
      <c r="M37418" s="14"/>
      <c r="N37418" s="14"/>
      <c r="O37418" s="14"/>
      <c r="P37418" s="13"/>
    </row>
    <row r="37419">
      <c r="L37419" s="13"/>
      <c r="M37419" s="14"/>
      <c r="N37419" s="14"/>
      <c r="O37419" s="14"/>
      <c r="P37419" s="13"/>
    </row>
    <row r="37420">
      <c r="L37420" s="13"/>
      <c r="M37420" s="14"/>
      <c r="N37420" s="14"/>
      <c r="O37420" s="14"/>
      <c r="P37420" s="13"/>
    </row>
    <row r="37421">
      <c r="L37421" s="13"/>
      <c r="M37421" s="14"/>
      <c r="N37421" s="14"/>
      <c r="O37421" s="14"/>
      <c r="P37421" s="13"/>
    </row>
    <row r="37422">
      <c r="L37422" s="13"/>
      <c r="M37422" s="14"/>
      <c r="N37422" s="14"/>
      <c r="O37422" s="14"/>
      <c r="P37422" s="13"/>
    </row>
    <row r="37423">
      <c r="L37423" s="13"/>
      <c r="M37423" s="14"/>
      <c r="N37423" s="14"/>
      <c r="O37423" s="14"/>
      <c r="P37423" s="13"/>
    </row>
    <row r="37424">
      <c r="L37424" s="13"/>
      <c r="M37424" s="14"/>
      <c r="N37424" s="14"/>
      <c r="O37424" s="14"/>
      <c r="P37424" s="13"/>
    </row>
    <row r="37425">
      <c r="L37425" s="13"/>
      <c r="M37425" s="14"/>
      <c r="N37425" s="14"/>
      <c r="O37425" s="14"/>
      <c r="P37425" s="13"/>
    </row>
    <row r="37426">
      <c r="L37426" s="13"/>
      <c r="M37426" s="14"/>
      <c r="N37426" s="14"/>
      <c r="O37426" s="14"/>
      <c r="P37426" s="13"/>
    </row>
    <row r="37427">
      <c r="L37427" s="13"/>
      <c r="M37427" s="14"/>
      <c r="N37427" s="14"/>
      <c r="O37427" s="14"/>
      <c r="P37427" s="13"/>
    </row>
    <row r="37428">
      <c r="L37428" s="13"/>
      <c r="M37428" s="14"/>
      <c r="N37428" s="14"/>
      <c r="O37428" s="14"/>
      <c r="P37428" s="13"/>
    </row>
    <row r="37429">
      <c r="L37429" s="13"/>
      <c r="M37429" s="14"/>
      <c r="N37429" s="14"/>
      <c r="O37429" s="14"/>
      <c r="P37429" s="13"/>
    </row>
    <row r="37430">
      <c r="L37430" s="13"/>
      <c r="M37430" s="14"/>
      <c r="N37430" s="14"/>
      <c r="O37430" s="14"/>
      <c r="P37430" s="13"/>
    </row>
    <row r="37431">
      <c r="L37431" s="13"/>
      <c r="M37431" s="14"/>
      <c r="N37431" s="14"/>
      <c r="O37431" s="14"/>
      <c r="P37431" s="13"/>
    </row>
    <row r="37432">
      <c r="L37432" s="13"/>
      <c r="M37432" s="14"/>
      <c r="N37432" s="14"/>
      <c r="O37432" s="14"/>
      <c r="P37432" s="13"/>
    </row>
    <row r="37433">
      <c r="L37433" s="13"/>
      <c r="M37433" s="14"/>
      <c r="N37433" s="14"/>
      <c r="O37433" s="14"/>
      <c r="P37433" s="13"/>
    </row>
    <row r="37434">
      <c r="L37434" s="13"/>
      <c r="M37434" s="14"/>
      <c r="N37434" s="14"/>
      <c r="O37434" s="14"/>
      <c r="P37434" s="13"/>
    </row>
    <row r="37435">
      <c r="L37435" s="13"/>
      <c r="M37435" s="14"/>
      <c r="N37435" s="14"/>
      <c r="O37435" s="14"/>
      <c r="P37435" s="13"/>
    </row>
    <row r="37436">
      <c r="L37436" s="13"/>
      <c r="M37436" s="14"/>
      <c r="N37436" s="14"/>
      <c r="O37436" s="14"/>
      <c r="P37436" s="13"/>
    </row>
    <row r="37437">
      <c r="L37437" s="13"/>
      <c r="M37437" s="14"/>
      <c r="N37437" s="14"/>
      <c r="O37437" s="14"/>
      <c r="P37437" s="13"/>
    </row>
    <row r="37438">
      <c r="L37438" s="13"/>
      <c r="M37438" s="14"/>
      <c r="N37438" s="14"/>
      <c r="O37438" s="14"/>
      <c r="P37438" s="13"/>
    </row>
    <row r="37439">
      <c r="L37439" s="13"/>
      <c r="M37439" s="14"/>
      <c r="N37439" s="14"/>
      <c r="O37439" s="14"/>
      <c r="P37439" s="13"/>
    </row>
    <row r="37440">
      <c r="L37440" s="13"/>
      <c r="M37440" s="14"/>
      <c r="N37440" s="14"/>
      <c r="O37440" s="14"/>
      <c r="P37440" s="13"/>
    </row>
    <row r="37441">
      <c r="L37441" s="13"/>
      <c r="M37441" s="14"/>
      <c r="N37441" s="14"/>
      <c r="O37441" s="14"/>
      <c r="P37441" s="13"/>
    </row>
    <row r="37442">
      <c r="L37442" s="13"/>
      <c r="M37442" s="14"/>
      <c r="N37442" s="14"/>
      <c r="O37442" s="14"/>
      <c r="P37442" s="13"/>
    </row>
    <row r="37443">
      <c r="L37443" s="13"/>
      <c r="M37443" s="14"/>
      <c r="N37443" s="14"/>
      <c r="O37443" s="14"/>
      <c r="P37443" s="13"/>
    </row>
    <row r="37444">
      <c r="L37444" s="13"/>
      <c r="M37444" s="14"/>
      <c r="N37444" s="14"/>
      <c r="O37444" s="14"/>
      <c r="P37444" s="13"/>
    </row>
    <row r="37445">
      <c r="L37445" s="13"/>
      <c r="M37445" s="14"/>
      <c r="N37445" s="14"/>
      <c r="O37445" s="14"/>
      <c r="P37445" s="13"/>
    </row>
    <row r="37446">
      <c r="L37446" s="13"/>
      <c r="M37446" s="14"/>
      <c r="N37446" s="14"/>
      <c r="O37446" s="14"/>
      <c r="P37446" s="13"/>
    </row>
    <row r="37447">
      <c r="L37447" s="13"/>
      <c r="M37447" s="14"/>
      <c r="N37447" s="14"/>
      <c r="O37447" s="14"/>
      <c r="P37447" s="13"/>
    </row>
    <row r="37448">
      <c r="L37448" s="13"/>
      <c r="M37448" s="14"/>
      <c r="N37448" s="14"/>
      <c r="O37448" s="14"/>
      <c r="P37448" s="13"/>
    </row>
    <row r="37449">
      <c r="L37449" s="13"/>
      <c r="M37449" s="14"/>
      <c r="N37449" s="14"/>
      <c r="O37449" s="14"/>
      <c r="P37449" s="13"/>
    </row>
    <row r="37450">
      <c r="L37450" s="13"/>
      <c r="M37450" s="14"/>
      <c r="N37450" s="14"/>
      <c r="O37450" s="14"/>
      <c r="P37450" s="13"/>
    </row>
    <row r="37451">
      <c r="L37451" s="13"/>
      <c r="M37451" s="14"/>
      <c r="N37451" s="14"/>
      <c r="O37451" s="14"/>
      <c r="P37451" s="13"/>
    </row>
    <row r="37452">
      <c r="L37452" s="13"/>
      <c r="M37452" s="14"/>
      <c r="N37452" s="14"/>
      <c r="O37452" s="14"/>
      <c r="P37452" s="13"/>
    </row>
    <row r="37453">
      <c r="L37453" s="13"/>
      <c r="M37453" s="14"/>
      <c r="N37453" s="14"/>
      <c r="O37453" s="14"/>
      <c r="P37453" s="13"/>
    </row>
    <row r="37454">
      <c r="L37454" s="13"/>
      <c r="M37454" s="14"/>
      <c r="N37454" s="14"/>
      <c r="O37454" s="14"/>
      <c r="P37454" s="13"/>
    </row>
    <row r="37455">
      <c r="L37455" s="13"/>
      <c r="M37455" s="14"/>
      <c r="N37455" s="14"/>
      <c r="O37455" s="14"/>
      <c r="P37455" s="13"/>
    </row>
    <row r="37456">
      <c r="L37456" s="13"/>
      <c r="M37456" s="14"/>
      <c r="N37456" s="14"/>
      <c r="O37456" s="14"/>
      <c r="P37456" s="13"/>
    </row>
    <row r="37457">
      <c r="L37457" s="13"/>
      <c r="M37457" s="14"/>
      <c r="N37457" s="14"/>
      <c r="O37457" s="14"/>
      <c r="P37457" s="13"/>
    </row>
    <row r="37458">
      <c r="L37458" s="13"/>
      <c r="M37458" s="14"/>
      <c r="N37458" s="14"/>
      <c r="O37458" s="14"/>
      <c r="P37458" s="13"/>
    </row>
    <row r="37459">
      <c r="L37459" s="13"/>
      <c r="M37459" s="14"/>
      <c r="N37459" s="14"/>
      <c r="O37459" s="14"/>
      <c r="P37459" s="13"/>
    </row>
    <row r="37460">
      <c r="L37460" s="13"/>
      <c r="M37460" s="14"/>
      <c r="N37460" s="14"/>
      <c r="O37460" s="14"/>
      <c r="P37460" s="13"/>
    </row>
    <row r="37461">
      <c r="L37461" s="13"/>
      <c r="M37461" s="14"/>
      <c r="N37461" s="14"/>
      <c r="O37461" s="14"/>
      <c r="P37461" s="13"/>
    </row>
    <row r="37462">
      <c r="L37462" s="13"/>
      <c r="M37462" s="14"/>
      <c r="N37462" s="14"/>
      <c r="O37462" s="14"/>
      <c r="P37462" s="13"/>
    </row>
    <row r="37463">
      <c r="L37463" s="13"/>
      <c r="M37463" s="14"/>
      <c r="N37463" s="14"/>
      <c r="O37463" s="14"/>
      <c r="P37463" s="13"/>
    </row>
    <row r="37464">
      <c r="L37464" s="13"/>
      <c r="M37464" s="14"/>
      <c r="N37464" s="14"/>
      <c r="O37464" s="14"/>
      <c r="P37464" s="13"/>
    </row>
    <row r="37465">
      <c r="L37465" s="13"/>
      <c r="M37465" s="14"/>
      <c r="N37465" s="14"/>
      <c r="O37465" s="14"/>
      <c r="P37465" s="13"/>
    </row>
    <row r="37466">
      <c r="L37466" s="13"/>
      <c r="M37466" s="14"/>
      <c r="N37466" s="14"/>
      <c r="O37466" s="14"/>
      <c r="P37466" s="13"/>
    </row>
    <row r="37467">
      <c r="L37467" s="13"/>
      <c r="M37467" s="14"/>
      <c r="N37467" s="14"/>
      <c r="O37467" s="14"/>
      <c r="P37467" s="13"/>
    </row>
    <row r="37468">
      <c r="L37468" s="13"/>
      <c r="M37468" s="14"/>
      <c r="N37468" s="14"/>
      <c r="O37468" s="14"/>
      <c r="P37468" s="13"/>
    </row>
    <row r="37469">
      <c r="L37469" s="13"/>
      <c r="M37469" s="14"/>
      <c r="N37469" s="14"/>
      <c r="O37469" s="14"/>
      <c r="P37469" s="13"/>
    </row>
    <row r="37470">
      <c r="L37470" s="13"/>
      <c r="M37470" s="14"/>
      <c r="N37470" s="14"/>
      <c r="O37470" s="14"/>
      <c r="P37470" s="13"/>
    </row>
    <row r="37471">
      <c r="L37471" s="13"/>
      <c r="M37471" s="14"/>
      <c r="N37471" s="14"/>
      <c r="O37471" s="14"/>
      <c r="P37471" s="13"/>
    </row>
    <row r="37472">
      <c r="L37472" s="13"/>
      <c r="M37472" s="14"/>
      <c r="N37472" s="14"/>
      <c r="O37472" s="14"/>
      <c r="P37472" s="13"/>
    </row>
    <row r="37473">
      <c r="L37473" s="13"/>
      <c r="M37473" s="14"/>
      <c r="N37473" s="14"/>
      <c r="O37473" s="14"/>
      <c r="P37473" s="13"/>
    </row>
    <row r="37474">
      <c r="L37474" s="13"/>
      <c r="M37474" s="14"/>
      <c r="N37474" s="14"/>
      <c r="O37474" s="14"/>
      <c r="P37474" s="13"/>
    </row>
    <row r="37475">
      <c r="L37475" s="13"/>
      <c r="M37475" s="14"/>
      <c r="N37475" s="14"/>
      <c r="O37475" s="14"/>
      <c r="P37475" s="13"/>
    </row>
    <row r="37476">
      <c r="L37476" s="13"/>
      <c r="M37476" s="14"/>
      <c r="N37476" s="14"/>
      <c r="O37476" s="14"/>
      <c r="P37476" s="13"/>
    </row>
    <row r="37477">
      <c r="L37477" s="13"/>
      <c r="M37477" s="14"/>
      <c r="N37477" s="14"/>
      <c r="O37477" s="14"/>
      <c r="P37477" s="13"/>
    </row>
    <row r="37478">
      <c r="L37478" s="13"/>
      <c r="M37478" s="14"/>
      <c r="N37478" s="14"/>
      <c r="O37478" s="14"/>
      <c r="P37478" s="13"/>
    </row>
    <row r="37479">
      <c r="L37479" s="13"/>
      <c r="M37479" s="14"/>
      <c r="N37479" s="14"/>
      <c r="O37479" s="14"/>
      <c r="P37479" s="13"/>
    </row>
    <row r="37480">
      <c r="L37480" s="13"/>
      <c r="M37480" s="14"/>
      <c r="N37480" s="14"/>
      <c r="O37480" s="14"/>
      <c r="P37480" s="13"/>
    </row>
    <row r="37481">
      <c r="L37481" s="13"/>
      <c r="M37481" s="14"/>
      <c r="N37481" s="14"/>
      <c r="O37481" s="14"/>
      <c r="P37481" s="13"/>
    </row>
    <row r="37482">
      <c r="L37482" s="13"/>
      <c r="M37482" s="14"/>
      <c r="N37482" s="14"/>
      <c r="O37482" s="14"/>
      <c r="P37482" s="13"/>
    </row>
    <row r="37483">
      <c r="L37483" s="13"/>
      <c r="M37483" s="14"/>
      <c r="N37483" s="14"/>
      <c r="O37483" s="14"/>
      <c r="P37483" s="13"/>
    </row>
    <row r="37484">
      <c r="L37484" s="13"/>
      <c r="M37484" s="14"/>
      <c r="N37484" s="14"/>
      <c r="O37484" s="14"/>
      <c r="P37484" s="13"/>
    </row>
    <row r="37485">
      <c r="L37485" s="13"/>
      <c r="M37485" s="14"/>
      <c r="N37485" s="14"/>
      <c r="O37485" s="14"/>
      <c r="P37485" s="13"/>
    </row>
    <row r="37486">
      <c r="L37486" s="13"/>
      <c r="M37486" s="14"/>
      <c r="N37486" s="14"/>
      <c r="O37486" s="14"/>
      <c r="P37486" s="13"/>
    </row>
    <row r="37487">
      <c r="L37487" s="13"/>
      <c r="M37487" s="14"/>
      <c r="N37487" s="14"/>
      <c r="O37487" s="14"/>
      <c r="P37487" s="13"/>
    </row>
    <row r="37488">
      <c r="L37488" s="13"/>
      <c r="M37488" s="14"/>
      <c r="N37488" s="14"/>
      <c r="O37488" s="14"/>
      <c r="P37488" s="13"/>
    </row>
    <row r="37489">
      <c r="L37489" s="13"/>
      <c r="M37489" s="14"/>
      <c r="N37489" s="14"/>
      <c r="O37489" s="14"/>
      <c r="P37489" s="13"/>
    </row>
    <row r="37490">
      <c r="L37490" s="13"/>
      <c r="M37490" s="14"/>
      <c r="N37490" s="14"/>
      <c r="O37490" s="14"/>
      <c r="P37490" s="13"/>
    </row>
    <row r="37491">
      <c r="L37491" s="13"/>
      <c r="M37491" s="14"/>
      <c r="N37491" s="14"/>
      <c r="O37491" s="14"/>
      <c r="P37491" s="13"/>
    </row>
    <row r="37492">
      <c r="L37492" s="13"/>
      <c r="M37492" s="14"/>
      <c r="N37492" s="14"/>
      <c r="O37492" s="14"/>
      <c r="P37492" s="13"/>
    </row>
    <row r="37493">
      <c r="L37493" s="13"/>
      <c r="M37493" s="14"/>
      <c r="N37493" s="14"/>
      <c r="O37493" s="14"/>
      <c r="P37493" s="13"/>
    </row>
    <row r="37494">
      <c r="L37494" s="13"/>
      <c r="M37494" s="14"/>
      <c r="N37494" s="14"/>
      <c r="O37494" s="14"/>
      <c r="P37494" s="13"/>
    </row>
    <row r="37495">
      <c r="L37495" s="13"/>
      <c r="M37495" s="14"/>
      <c r="N37495" s="14"/>
      <c r="O37495" s="14"/>
      <c r="P37495" s="13"/>
    </row>
    <row r="37496">
      <c r="L37496" s="13"/>
      <c r="M37496" s="14"/>
      <c r="N37496" s="14"/>
      <c r="O37496" s="14"/>
      <c r="P37496" s="13"/>
    </row>
    <row r="37497">
      <c r="L37497" s="13"/>
      <c r="M37497" s="14"/>
      <c r="N37497" s="14"/>
      <c r="O37497" s="14"/>
      <c r="P37497" s="13"/>
    </row>
    <row r="37498">
      <c r="L37498" s="13"/>
      <c r="M37498" s="14"/>
      <c r="N37498" s="14"/>
      <c r="O37498" s="14"/>
      <c r="P37498" s="13"/>
    </row>
    <row r="37499">
      <c r="L37499" s="13"/>
      <c r="M37499" s="14"/>
      <c r="N37499" s="14"/>
      <c r="O37499" s="14"/>
      <c r="P37499" s="13"/>
    </row>
    <row r="37500">
      <c r="L37500" s="13"/>
      <c r="M37500" s="14"/>
      <c r="N37500" s="14"/>
      <c r="O37500" s="14"/>
      <c r="P37500" s="13"/>
    </row>
    <row r="37501">
      <c r="L37501" s="13"/>
      <c r="M37501" s="14"/>
      <c r="N37501" s="14"/>
      <c r="O37501" s="14"/>
      <c r="P37501" s="13"/>
    </row>
    <row r="37502">
      <c r="L37502" s="13"/>
      <c r="M37502" s="14"/>
      <c r="N37502" s="14"/>
      <c r="O37502" s="14"/>
      <c r="P37502" s="13"/>
    </row>
    <row r="37503">
      <c r="L37503" s="13"/>
      <c r="M37503" s="14"/>
      <c r="N37503" s="14"/>
      <c r="O37503" s="14"/>
      <c r="P37503" s="13"/>
    </row>
    <row r="37504">
      <c r="L37504" s="13"/>
      <c r="M37504" s="14"/>
      <c r="N37504" s="14"/>
      <c r="O37504" s="14"/>
      <c r="P37504" s="13"/>
    </row>
    <row r="37505">
      <c r="L37505" s="13"/>
      <c r="M37505" s="14"/>
      <c r="N37505" s="14"/>
      <c r="O37505" s="14"/>
      <c r="P37505" s="13"/>
    </row>
    <row r="37506">
      <c r="L37506" s="13"/>
      <c r="M37506" s="14"/>
      <c r="N37506" s="14"/>
      <c r="O37506" s="14"/>
      <c r="P37506" s="13"/>
    </row>
    <row r="37507">
      <c r="L37507" s="13"/>
      <c r="M37507" s="14"/>
      <c r="N37507" s="14"/>
      <c r="O37507" s="14"/>
      <c r="P37507" s="13"/>
    </row>
    <row r="37508">
      <c r="L37508" s="13"/>
      <c r="M37508" s="14"/>
      <c r="N37508" s="14"/>
      <c r="O37508" s="14"/>
      <c r="P37508" s="13"/>
    </row>
    <row r="37509">
      <c r="L37509" s="13"/>
      <c r="M37509" s="14"/>
      <c r="N37509" s="14"/>
      <c r="O37509" s="14"/>
      <c r="P37509" s="13"/>
    </row>
    <row r="37510">
      <c r="L37510" s="13"/>
      <c r="M37510" s="14"/>
      <c r="N37510" s="14"/>
      <c r="O37510" s="14"/>
      <c r="P37510" s="13"/>
    </row>
    <row r="37511">
      <c r="L37511" s="13"/>
      <c r="M37511" s="14"/>
      <c r="N37511" s="14"/>
      <c r="O37511" s="14"/>
      <c r="P37511" s="13"/>
    </row>
    <row r="37512">
      <c r="L37512" s="13"/>
      <c r="M37512" s="14"/>
      <c r="N37512" s="14"/>
      <c r="O37512" s="14"/>
      <c r="P37512" s="13"/>
    </row>
    <row r="37513">
      <c r="L37513" s="13"/>
      <c r="M37513" s="14"/>
      <c r="N37513" s="14"/>
      <c r="O37513" s="14"/>
      <c r="P37513" s="13"/>
    </row>
    <row r="37514">
      <c r="L37514" s="13"/>
      <c r="M37514" s="14"/>
      <c r="N37514" s="14"/>
      <c r="O37514" s="14"/>
      <c r="P37514" s="13"/>
    </row>
    <row r="37515">
      <c r="L37515" s="13"/>
      <c r="M37515" s="14"/>
      <c r="N37515" s="14"/>
      <c r="O37515" s="14"/>
      <c r="P37515" s="13"/>
    </row>
    <row r="37516">
      <c r="L37516" s="13"/>
      <c r="M37516" s="14"/>
      <c r="N37516" s="14"/>
      <c r="O37516" s="14"/>
      <c r="P37516" s="13"/>
    </row>
    <row r="37517">
      <c r="L37517" s="13"/>
      <c r="M37517" s="14"/>
      <c r="N37517" s="14"/>
      <c r="O37517" s="14"/>
      <c r="P37517" s="13"/>
    </row>
    <row r="37518">
      <c r="L37518" s="13"/>
      <c r="M37518" s="14"/>
      <c r="N37518" s="14"/>
      <c r="O37518" s="14"/>
      <c r="P37518" s="13"/>
    </row>
    <row r="37519">
      <c r="L37519" s="13"/>
      <c r="M37519" s="14"/>
      <c r="N37519" s="14"/>
      <c r="O37519" s="14"/>
      <c r="P37519" s="13"/>
    </row>
    <row r="37520">
      <c r="L37520" s="13"/>
      <c r="M37520" s="14"/>
      <c r="N37520" s="14"/>
      <c r="O37520" s="14"/>
      <c r="P37520" s="13"/>
    </row>
    <row r="37521">
      <c r="L37521" s="13"/>
      <c r="M37521" s="14"/>
      <c r="N37521" s="14"/>
      <c r="O37521" s="14"/>
      <c r="P37521" s="13"/>
    </row>
    <row r="37522">
      <c r="L37522" s="13"/>
      <c r="M37522" s="14"/>
      <c r="N37522" s="14"/>
      <c r="O37522" s="14"/>
      <c r="P37522" s="13"/>
    </row>
    <row r="37523">
      <c r="L37523" s="13"/>
      <c r="M37523" s="14"/>
      <c r="N37523" s="14"/>
      <c r="O37523" s="14"/>
      <c r="P37523" s="13"/>
    </row>
    <row r="37524">
      <c r="L37524" s="13"/>
      <c r="M37524" s="14"/>
      <c r="N37524" s="14"/>
      <c r="O37524" s="14"/>
      <c r="P37524" s="13"/>
    </row>
    <row r="37525">
      <c r="L37525" s="13"/>
      <c r="M37525" s="14"/>
      <c r="N37525" s="14"/>
      <c r="O37525" s="14"/>
      <c r="P37525" s="13"/>
    </row>
    <row r="37526">
      <c r="L37526" s="13"/>
      <c r="M37526" s="14"/>
      <c r="N37526" s="14"/>
      <c r="O37526" s="14"/>
      <c r="P37526" s="13"/>
    </row>
    <row r="37527">
      <c r="L37527" s="13"/>
      <c r="M37527" s="14"/>
      <c r="N37527" s="14"/>
      <c r="O37527" s="14"/>
      <c r="P37527" s="13"/>
    </row>
    <row r="37528">
      <c r="L37528" s="13"/>
      <c r="M37528" s="14"/>
      <c r="N37528" s="14"/>
      <c r="O37528" s="14"/>
      <c r="P37528" s="13"/>
    </row>
    <row r="37529">
      <c r="L37529" s="13"/>
      <c r="M37529" s="14"/>
      <c r="N37529" s="14"/>
      <c r="O37529" s="14"/>
      <c r="P37529" s="13"/>
    </row>
    <row r="37530">
      <c r="L37530" s="13"/>
      <c r="M37530" s="14"/>
      <c r="N37530" s="14"/>
      <c r="O37530" s="14"/>
      <c r="P37530" s="13"/>
    </row>
    <row r="37531">
      <c r="L37531" s="13"/>
      <c r="M37531" s="14"/>
      <c r="N37531" s="14"/>
      <c r="O37531" s="14"/>
      <c r="P37531" s="13"/>
    </row>
    <row r="37532">
      <c r="L37532" s="13"/>
      <c r="M37532" s="14"/>
      <c r="N37532" s="14"/>
      <c r="O37532" s="14"/>
      <c r="P37532" s="13"/>
    </row>
    <row r="37533">
      <c r="L37533" s="13"/>
      <c r="M37533" s="14"/>
      <c r="N37533" s="14"/>
      <c r="O37533" s="14"/>
      <c r="P37533" s="13"/>
    </row>
    <row r="37534">
      <c r="L37534" s="13"/>
      <c r="M37534" s="14"/>
      <c r="N37534" s="14"/>
      <c r="O37534" s="14"/>
      <c r="P37534" s="13"/>
    </row>
    <row r="37535">
      <c r="L37535" s="13"/>
      <c r="M37535" s="14"/>
      <c r="N37535" s="14"/>
      <c r="O37535" s="14"/>
      <c r="P37535" s="13"/>
    </row>
    <row r="37536">
      <c r="L37536" s="13"/>
      <c r="M37536" s="14"/>
      <c r="N37536" s="14"/>
      <c r="O37536" s="14"/>
      <c r="P37536" s="13"/>
    </row>
    <row r="37537">
      <c r="L37537" s="13"/>
      <c r="M37537" s="14"/>
      <c r="N37537" s="14"/>
      <c r="O37537" s="14"/>
      <c r="P37537" s="13"/>
    </row>
    <row r="37538">
      <c r="L37538" s="13"/>
      <c r="M37538" s="14"/>
      <c r="N37538" s="14"/>
      <c r="O37538" s="14"/>
      <c r="P37538" s="13"/>
    </row>
    <row r="37539">
      <c r="L37539" s="13"/>
      <c r="M37539" s="14"/>
      <c r="N37539" s="14"/>
      <c r="O37539" s="14"/>
      <c r="P37539" s="13"/>
    </row>
    <row r="37540">
      <c r="L37540" s="13"/>
      <c r="M37540" s="14"/>
      <c r="N37540" s="14"/>
      <c r="O37540" s="14"/>
      <c r="P37540" s="13"/>
    </row>
    <row r="37541">
      <c r="L37541" s="13"/>
      <c r="M37541" s="14"/>
      <c r="N37541" s="14"/>
      <c r="O37541" s="14"/>
      <c r="P37541" s="13"/>
    </row>
    <row r="37542">
      <c r="L37542" s="13"/>
      <c r="M37542" s="14"/>
      <c r="N37542" s="14"/>
      <c r="O37542" s="14"/>
      <c r="P37542" s="13"/>
    </row>
    <row r="37543">
      <c r="L37543" s="13"/>
      <c r="M37543" s="14"/>
      <c r="N37543" s="14"/>
      <c r="O37543" s="14"/>
      <c r="P37543" s="13"/>
    </row>
    <row r="37544">
      <c r="L37544" s="13"/>
      <c r="M37544" s="14"/>
      <c r="N37544" s="14"/>
      <c r="O37544" s="14"/>
      <c r="P37544" s="13"/>
    </row>
    <row r="37545">
      <c r="L37545" s="13"/>
      <c r="M37545" s="14"/>
      <c r="N37545" s="14"/>
      <c r="O37545" s="14"/>
      <c r="P37545" s="13"/>
    </row>
    <row r="37546">
      <c r="L37546" s="13"/>
      <c r="M37546" s="14"/>
      <c r="N37546" s="14"/>
      <c r="O37546" s="14"/>
      <c r="P37546" s="13"/>
    </row>
    <row r="37547">
      <c r="L37547" s="13"/>
      <c r="M37547" s="14"/>
      <c r="N37547" s="14"/>
      <c r="O37547" s="14"/>
      <c r="P37547" s="13"/>
    </row>
    <row r="37548">
      <c r="L37548" s="13"/>
      <c r="M37548" s="14"/>
      <c r="N37548" s="14"/>
      <c r="O37548" s="14"/>
      <c r="P37548" s="13"/>
    </row>
    <row r="37549">
      <c r="L37549" s="13"/>
      <c r="M37549" s="14"/>
      <c r="N37549" s="14"/>
      <c r="O37549" s="14"/>
      <c r="P37549" s="13"/>
    </row>
    <row r="37550">
      <c r="L37550" s="13"/>
      <c r="M37550" s="14"/>
      <c r="N37550" s="14"/>
      <c r="O37550" s="14"/>
      <c r="P37550" s="13"/>
    </row>
    <row r="37551">
      <c r="L37551" s="13"/>
      <c r="M37551" s="14"/>
      <c r="N37551" s="14"/>
      <c r="O37551" s="14"/>
      <c r="P37551" s="13"/>
    </row>
    <row r="37552">
      <c r="L37552" s="13"/>
      <c r="M37552" s="14"/>
      <c r="N37552" s="14"/>
      <c r="O37552" s="14"/>
      <c r="P37552" s="13"/>
    </row>
    <row r="37553">
      <c r="L37553" s="13"/>
      <c r="M37553" s="14"/>
      <c r="N37553" s="14"/>
      <c r="O37553" s="14"/>
      <c r="P37553" s="13"/>
    </row>
    <row r="37554">
      <c r="L37554" s="13"/>
      <c r="M37554" s="14"/>
      <c r="N37554" s="14"/>
      <c r="O37554" s="14"/>
      <c r="P37554" s="13"/>
    </row>
    <row r="37555">
      <c r="L37555" s="13"/>
      <c r="M37555" s="14"/>
      <c r="N37555" s="14"/>
      <c r="O37555" s="14"/>
      <c r="P37555" s="13"/>
    </row>
    <row r="37556">
      <c r="L37556" s="13"/>
      <c r="M37556" s="14"/>
      <c r="N37556" s="14"/>
      <c r="O37556" s="14"/>
      <c r="P37556" s="13"/>
    </row>
    <row r="37557">
      <c r="L37557" s="13"/>
      <c r="M37557" s="14"/>
      <c r="N37557" s="14"/>
      <c r="O37557" s="14"/>
      <c r="P37557" s="13"/>
    </row>
    <row r="37558">
      <c r="L37558" s="13"/>
      <c r="M37558" s="14"/>
      <c r="N37558" s="14"/>
      <c r="O37558" s="14"/>
      <c r="P37558" s="13"/>
    </row>
    <row r="37559">
      <c r="L37559" s="13"/>
      <c r="M37559" s="14"/>
      <c r="N37559" s="14"/>
      <c r="O37559" s="14"/>
      <c r="P37559" s="13"/>
    </row>
    <row r="37560">
      <c r="L37560" s="13"/>
      <c r="M37560" s="14"/>
      <c r="N37560" s="14"/>
      <c r="O37560" s="14"/>
      <c r="P37560" s="13"/>
    </row>
    <row r="37561">
      <c r="L37561" s="13"/>
      <c r="M37561" s="14"/>
      <c r="N37561" s="14"/>
      <c r="O37561" s="14"/>
      <c r="P37561" s="13"/>
    </row>
    <row r="37562">
      <c r="L37562" s="13"/>
      <c r="M37562" s="14"/>
      <c r="N37562" s="14"/>
      <c r="O37562" s="14"/>
      <c r="P37562" s="13"/>
    </row>
    <row r="37563">
      <c r="L37563" s="13"/>
      <c r="M37563" s="14"/>
      <c r="N37563" s="14"/>
      <c r="O37563" s="14"/>
      <c r="P37563" s="13"/>
    </row>
    <row r="37564">
      <c r="L37564" s="13"/>
      <c r="M37564" s="14"/>
      <c r="N37564" s="14"/>
      <c r="O37564" s="14"/>
      <c r="P37564" s="13"/>
    </row>
    <row r="37565">
      <c r="L37565" s="13"/>
      <c r="M37565" s="14"/>
      <c r="N37565" s="14"/>
      <c r="O37565" s="14"/>
      <c r="P37565" s="13"/>
    </row>
    <row r="37566">
      <c r="L37566" s="13"/>
      <c r="M37566" s="14"/>
      <c r="N37566" s="14"/>
      <c r="O37566" s="14"/>
      <c r="P37566" s="13"/>
    </row>
    <row r="37567">
      <c r="L37567" s="13"/>
      <c r="M37567" s="14"/>
      <c r="N37567" s="14"/>
      <c r="O37567" s="14"/>
      <c r="P37567" s="13"/>
    </row>
    <row r="37568">
      <c r="L37568" s="13"/>
      <c r="M37568" s="14"/>
      <c r="N37568" s="14"/>
      <c r="O37568" s="14"/>
      <c r="P37568" s="13"/>
    </row>
    <row r="37569">
      <c r="L37569" s="13"/>
      <c r="M37569" s="14"/>
      <c r="N37569" s="14"/>
      <c r="O37569" s="14"/>
      <c r="P37569" s="13"/>
    </row>
    <row r="37570">
      <c r="L37570" s="13"/>
      <c r="M37570" s="14"/>
      <c r="N37570" s="14"/>
      <c r="O37570" s="14"/>
      <c r="P37570" s="13"/>
    </row>
    <row r="37571">
      <c r="L37571" s="13"/>
      <c r="M37571" s="14"/>
      <c r="N37571" s="14"/>
      <c r="O37571" s="14"/>
      <c r="P37571" s="13"/>
    </row>
    <row r="37572">
      <c r="L37572" s="13"/>
      <c r="M37572" s="14"/>
      <c r="N37572" s="14"/>
      <c r="O37572" s="14"/>
      <c r="P37572" s="13"/>
    </row>
    <row r="37573">
      <c r="L37573" s="13"/>
      <c r="M37573" s="14"/>
      <c r="N37573" s="14"/>
      <c r="O37573" s="14"/>
      <c r="P37573" s="13"/>
    </row>
    <row r="37574">
      <c r="L37574" s="13"/>
      <c r="M37574" s="14"/>
      <c r="N37574" s="14"/>
      <c r="O37574" s="14"/>
      <c r="P37574" s="13"/>
    </row>
    <row r="37575">
      <c r="L37575" s="13"/>
      <c r="M37575" s="14"/>
      <c r="N37575" s="14"/>
      <c r="O37575" s="14"/>
      <c r="P37575" s="13"/>
    </row>
    <row r="37576">
      <c r="L37576" s="13"/>
      <c r="M37576" s="14"/>
      <c r="N37576" s="14"/>
      <c r="O37576" s="14"/>
      <c r="P37576" s="13"/>
    </row>
    <row r="37577">
      <c r="L37577" s="13"/>
      <c r="M37577" s="14"/>
      <c r="N37577" s="14"/>
      <c r="O37577" s="14"/>
      <c r="P37577" s="13"/>
    </row>
    <row r="37578">
      <c r="L37578" s="13"/>
      <c r="M37578" s="14"/>
      <c r="N37578" s="14"/>
      <c r="O37578" s="14"/>
      <c r="P37578" s="13"/>
    </row>
    <row r="37579">
      <c r="L37579" s="13"/>
      <c r="M37579" s="14"/>
      <c r="N37579" s="14"/>
      <c r="O37579" s="14"/>
      <c r="P37579" s="13"/>
    </row>
    <row r="37580">
      <c r="L37580" s="13"/>
      <c r="M37580" s="14"/>
      <c r="N37580" s="14"/>
      <c r="O37580" s="14"/>
      <c r="P37580" s="13"/>
    </row>
    <row r="37581">
      <c r="L37581" s="13"/>
      <c r="M37581" s="14"/>
      <c r="N37581" s="14"/>
      <c r="O37581" s="14"/>
      <c r="P37581" s="13"/>
    </row>
    <row r="37582">
      <c r="L37582" s="13"/>
      <c r="M37582" s="14"/>
      <c r="N37582" s="14"/>
      <c r="O37582" s="14"/>
      <c r="P37582" s="13"/>
    </row>
    <row r="37583">
      <c r="L37583" s="13"/>
      <c r="M37583" s="14"/>
      <c r="N37583" s="14"/>
      <c r="O37583" s="14"/>
      <c r="P37583" s="13"/>
    </row>
    <row r="37584">
      <c r="L37584" s="13"/>
      <c r="M37584" s="14"/>
      <c r="N37584" s="14"/>
      <c r="O37584" s="14"/>
      <c r="P37584" s="13"/>
    </row>
    <row r="37585">
      <c r="L37585" s="13"/>
      <c r="M37585" s="14"/>
      <c r="N37585" s="14"/>
      <c r="O37585" s="14"/>
      <c r="P37585" s="13"/>
    </row>
    <row r="37586">
      <c r="L37586" s="13"/>
      <c r="M37586" s="14"/>
      <c r="N37586" s="14"/>
      <c r="O37586" s="14"/>
      <c r="P37586" s="13"/>
    </row>
    <row r="37587">
      <c r="L37587" s="13"/>
      <c r="M37587" s="14"/>
      <c r="N37587" s="14"/>
      <c r="O37587" s="14"/>
      <c r="P37587" s="13"/>
    </row>
    <row r="37588">
      <c r="L37588" s="13"/>
      <c r="M37588" s="14"/>
      <c r="N37588" s="14"/>
      <c r="O37588" s="14"/>
      <c r="P37588" s="13"/>
    </row>
    <row r="37589">
      <c r="L37589" s="13"/>
      <c r="M37589" s="14"/>
      <c r="N37589" s="14"/>
      <c r="O37589" s="14"/>
      <c r="P37589" s="13"/>
    </row>
    <row r="37590">
      <c r="L37590" s="13"/>
      <c r="M37590" s="14"/>
      <c r="N37590" s="14"/>
      <c r="O37590" s="14"/>
      <c r="P37590" s="13"/>
    </row>
    <row r="37591">
      <c r="L37591" s="13"/>
      <c r="M37591" s="14"/>
      <c r="N37591" s="14"/>
      <c r="O37591" s="14"/>
      <c r="P37591" s="13"/>
    </row>
    <row r="37592">
      <c r="L37592" s="13"/>
      <c r="M37592" s="14"/>
      <c r="N37592" s="14"/>
      <c r="O37592" s="14"/>
      <c r="P37592" s="13"/>
    </row>
    <row r="37593">
      <c r="L37593" s="13"/>
      <c r="M37593" s="14"/>
      <c r="N37593" s="14"/>
      <c r="O37593" s="14"/>
      <c r="P37593" s="13"/>
    </row>
    <row r="37594">
      <c r="L37594" s="13"/>
      <c r="M37594" s="14"/>
      <c r="N37594" s="14"/>
      <c r="O37594" s="14"/>
      <c r="P37594" s="13"/>
    </row>
    <row r="37595">
      <c r="L37595" s="13"/>
      <c r="M37595" s="14"/>
      <c r="N37595" s="14"/>
      <c r="O37595" s="14"/>
      <c r="P37595" s="13"/>
    </row>
    <row r="37596">
      <c r="L37596" s="13"/>
      <c r="M37596" s="14"/>
      <c r="N37596" s="14"/>
      <c r="O37596" s="14"/>
      <c r="P37596" s="13"/>
    </row>
    <row r="37597">
      <c r="L37597" s="13"/>
      <c r="M37597" s="14"/>
      <c r="N37597" s="14"/>
      <c r="O37597" s="14"/>
      <c r="P37597" s="13"/>
    </row>
    <row r="37598">
      <c r="L37598" s="13"/>
      <c r="M37598" s="14"/>
      <c r="N37598" s="14"/>
      <c r="O37598" s="14"/>
      <c r="P37598" s="13"/>
    </row>
    <row r="37599">
      <c r="L37599" s="13"/>
      <c r="M37599" s="14"/>
      <c r="N37599" s="14"/>
      <c r="O37599" s="14"/>
      <c r="P37599" s="13"/>
    </row>
    <row r="37600">
      <c r="L37600" s="13"/>
      <c r="M37600" s="14"/>
      <c r="N37600" s="14"/>
      <c r="O37600" s="14"/>
      <c r="P37600" s="13"/>
    </row>
    <row r="37601">
      <c r="L37601" s="13"/>
      <c r="M37601" s="14"/>
      <c r="N37601" s="14"/>
      <c r="O37601" s="14"/>
      <c r="P37601" s="13"/>
    </row>
    <row r="37602">
      <c r="L37602" s="13"/>
      <c r="M37602" s="14"/>
      <c r="N37602" s="14"/>
      <c r="O37602" s="14"/>
      <c r="P37602" s="13"/>
    </row>
    <row r="37603">
      <c r="L37603" s="13"/>
      <c r="M37603" s="14"/>
      <c r="N37603" s="14"/>
      <c r="O37603" s="14"/>
      <c r="P37603" s="13"/>
    </row>
    <row r="37604">
      <c r="L37604" s="13"/>
      <c r="M37604" s="14"/>
      <c r="N37604" s="14"/>
      <c r="O37604" s="14"/>
      <c r="P37604" s="13"/>
    </row>
    <row r="37605">
      <c r="L37605" s="13"/>
      <c r="M37605" s="14"/>
      <c r="N37605" s="14"/>
      <c r="O37605" s="14"/>
      <c r="P37605" s="13"/>
    </row>
    <row r="37606">
      <c r="L37606" s="13"/>
      <c r="M37606" s="14"/>
      <c r="N37606" s="14"/>
      <c r="O37606" s="14"/>
      <c r="P37606" s="13"/>
    </row>
    <row r="37607">
      <c r="L37607" s="13"/>
      <c r="M37607" s="14"/>
      <c r="N37607" s="14"/>
      <c r="O37607" s="14"/>
      <c r="P37607" s="13"/>
    </row>
    <row r="37608">
      <c r="L37608" s="13"/>
      <c r="M37608" s="14"/>
      <c r="N37608" s="14"/>
      <c r="O37608" s="14"/>
      <c r="P37608" s="13"/>
    </row>
    <row r="37609">
      <c r="L37609" s="13"/>
      <c r="M37609" s="14"/>
      <c r="N37609" s="14"/>
      <c r="O37609" s="14"/>
      <c r="P37609" s="13"/>
    </row>
    <row r="37610">
      <c r="L37610" s="13"/>
      <c r="M37610" s="14"/>
      <c r="N37610" s="14"/>
      <c r="O37610" s="14"/>
      <c r="P37610" s="13"/>
    </row>
    <row r="37611">
      <c r="L37611" s="13"/>
      <c r="M37611" s="14"/>
      <c r="N37611" s="14"/>
      <c r="O37611" s="14"/>
      <c r="P37611" s="13"/>
    </row>
    <row r="37612">
      <c r="L37612" s="13"/>
      <c r="M37612" s="14"/>
      <c r="N37612" s="14"/>
      <c r="O37612" s="14"/>
      <c r="P37612" s="13"/>
    </row>
    <row r="37613">
      <c r="L37613" s="13"/>
      <c r="M37613" s="14"/>
      <c r="N37613" s="14"/>
      <c r="O37613" s="14"/>
      <c r="P37613" s="13"/>
    </row>
    <row r="37614">
      <c r="L37614" s="13"/>
      <c r="M37614" s="14"/>
      <c r="N37614" s="14"/>
      <c r="O37614" s="14"/>
      <c r="P37614" s="13"/>
    </row>
    <row r="37615">
      <c r="L37615" s="13"/>
      <c r="M37615" s="14"/>
      <c r="N37615" s="14"/>
      <c r="O37615" s="14"/>
      <c r="P37615" s="13"/>
    </row>
    <row r="37616">
      <c r="L37616" s="13"/>
      <c r="M37616" s="14"/>
      <c r="N37616" s="14"/>
      <c r="O37616" s="14"/>
      <c r="P37616" s="13"/>
    </row>
    <row r="37617">
      <c r="L37617" s="13"/>
      <c r="M37617" s="14"/>
      <c r="N37617" s="14"/>
      <c r="O37617" s="14"/>
      <c r="P37617" s="13"/>
    </row>
    <row r="37618">
      <c r="L37618" s="13"/>
      <c r="M37618" s="14"/>
      <c r="N37618" s="14"/>
      <c r="O37618" s="14"/>
      <c r="P37618" s="13"/>
    </row>
    <row r="37619">
      <c r="L37619" s="13"/>
      <c r="M37619" s="14"/>
      <c r="N37619" s="14"/>
      <c r="O37619" s="14"/>
      <c r="P37619" s="13"/>
    </row>
    <row r="37620">
      <c r="L37620" s="13"/>
      <c r="M37620" s="14"/>
      <c r="N37620" s="14"/>
      <c r="O37620" s="14"/>
      <c r="P37620" s="13"/>
    </row>
    <row r="37621">
      <c r="L37621" s="13"/>
      <c r="M37621" s="14"/>
      <c r="N37621" s="14"/>
      <c r="O37621" s="14"/>
      <c r="P37621" s="13"/>
    </row>
    <row r="37622">
      <c r="L37622" s="13"/>
      <c r="M37622" s="14"/>
      <c r="N37622" s="14"/>
      <c r="O37622" s="14"/>
      <c r="P37622" s="13"/>
    </row>
    <row r="37623">
      <c r="L37623" s="13"/>
      <c r="M37623" s="14"/>
      <c r="N37623" s="14"/>
      <c r="O37623" s="14"/>
      <c r="P37623" s="13"/>
    </row>
    <row r="37624">
      <c r="L37624" s="13"/>
      <c r="M37624" s="14"/>
      <c r="N37624" s="14"/>
      <c r="O37624" s="14"/>
      <c r="P37624" s="13"/>
    </row>
    <row r="37625">
      <c r="L37625" s="13"/>
      <c r="M37625" s="14"/>
      <c r="N37625" s="14"/>
      <c r="O37625" s="14"/>
      <c r="P37625" s="13"/>
    </row>
    <row r="37626">
      <c r="L37626" s="13"/>
      <c r="M37626" s="14"/>
      <c r="N37626" s="14"/>
      <c r="O37626" s="14"/>
      <c r="P37626" s="13"/>
    </row>
    <row r="37627">
      <c r="L37627" s="13"/>
      <c r="M37627" s="14"/>
      <c r="N37627" s="14"/>
      <c r="O37627" s="14"/>
      <c r="P37627" s="13"/>
    </row>
    <row r="37628">
      <c r="L37628" s="13"/>
      <c r="M37628" s="14"/>
      <c r="N37628" s="14"/>
      <c r="O37628" s="14"/>
      <c r="P37628" s="13"/>
    </row>
    <row r="37629">
      <c r="L37629" s="13"/>
      <c r="M37629" s="14"/>
      <c r="N37629" s="14"/>
      <c r="O37629" s="14"/>
      <c r="P37629" s="13"/>
    </row>
    <row r="37630">
      <c r="L37630" s="13"/>
      <c r="M37630" s="14"/>
      <c r="N37630" s="14"/>
      <c r="O37630" s="14"/>
      <c r="P37630" s="13"/>
    </row>
    <row r="37631">
      <c r="L37631" s="13"/>
      <c r="M37631" s="14"/>
      <c r="N37631" s="14"/>
      <c r="O37631" s="14"/>
      <c r="P37631" s="13"/>
    </row>
    <row r="37632">
      <c r="L37632" s="13"/>
      <c r="M37632" s="14"/>
      <c r="N37632" s="14"/>
      <c r="O37632" s="14"/>
      <c r="P37632" s="13"/>
    </row>
    <row r="37633">
      <c r="L37633" s="13"/>
      <c r="M37633" s="14"/>
      <c r="N37633" s="14"/>
      <c r="O37633" s="14"/>
      <c r="P37633" s="13"/>
    </row>
    <row r="37634">
      <c r="L37634" s="13"/>
      <c r="M37634" s="14"/>
      <c r="N37634" s="14"/>
      <c r="O37634" s="14"/>
      <c r="P37634" s="13"/>
    </row>
    <row r="37635">
      <c r="L37635" s="13"/>
      <c r="M37635" s="14"/>
      <c r="N37635" s="14"/>
      <c r="O37635" s="14"/>
      <c r="P37635" s="13"/>
    </row>
    <row r="37636">
      <c r="L37636" s="13"/>
      <c r="M37636" s="14"/>
      <c r="N37636" s="14"/>
      <c r="O37636" s="14"/>
      <c r="P37636" s="13"/>
    </row>
    <row r="37637">
      <c r="L37637" s="13"/>
      <c r="M37637" s="14"/>
      <c r="N37637" s="14"/>
      <c r="O37637" s="14"/>
      <c r="P37637" s="13"/>
    </row>
    <row r="37638">
      <c r="L37638" s="13"/>
      <c r="M37638" s="14"/>
      <c r="N37638" s="14"/>
      <c r="O37638" s="14"/>
      <c r="P37638" s="13"/>
    </row>
    <row r="37639">
      <c r="L37639" s="13"/>
      <c r="M37639" s="14"/>
      <c r="N37639" s="14"/>
      <c r="O37639" s="14"/>
      <c r="P37639" s="13"/>
    </row>
    <row r="37640">
      <c r="L37640" s="13"/>
      <c r="M37640" s="14"/>
      <c r="N37640" s="14"/>
      <c r="O37640" s="14"/>
      <c r="P37640" s="13"/>
    </row>
    <row r="37641">
      <c r="L37641" s="13"/>
      <c r="M37641" s="14"/>
      <c r="N37641" s="14"/>
      <c r="O37641" s="14"/>
      <c r="P37641" s="13"/>
    </row>
    <row r="37642">
      <c r="L37642" s="13"/>
      <c r="M37642" s="14"/>
      <c r="N37642" s="14"/>
      <c r="O37642" s="14"/>
      <c r="P37642" s="13"/>
    </row>
    <row r="37643">
      <c r="L37643" s="13"/>
      <c r="M37643" s="14"/>
      <c r="N37643" s="14"/>
      <c r="O37643" s="14"/>
      <c r="P37643" s="13"/>
    </row>
    <row r="37644">
      <c r="L37644" s="13"/>
      <c r="M37644" s="14"/>
      <c r="N37644" s="14"/>
      <c r="O37644" s="14"/>
      <c r="P37644" s="13"/>
    </row>
    <row r="37645">
      <c r="L37645" s="13"/>
      <c r="M37645" s="14"/>
      <c r="N37645" s="14"/>
      <c r="O37645" s="14"/>
      <c r="P37645" s="13"/>
    </row>
    <row r="37646">
      <c r="L37646" s="13"/>
      <c r="M37646" s="14"/>
      <c r="N37646" s="14"/>
      <c r="O37646" s="14"/>
      <c r="P37646" s="13"/>
    </row>
    <row r="37647">
      <c r="L37647" s="13"/>
      <c r="M37647" s="14"/>
      <c r="N37647" s="14"/>
      <c r="O37647" s="14"/>
      <c r="P37647" s="13"/>
    </row>
    <row r="37648">
      <c r="L37648" s="13"/>
      <c r="M37648" s="14"/>
      <c r="N37648" s="14"/>
      <c r="O37648" s="14"/>
      <c r="P37648" s="13"/>
    </row>
    <row r="37649">
      <c r="L37649" s="13"/>
      <c r="M37649" s="14"/>
      <c r="N37649" s="14"/>
      <c r="O37649" s="14"/>
      <c r="P37649" s="13"/>
    </row>
    <row r="37650">
      <c r="L37650" s="13"/>
      <c r="M37650" s="14"/>
      <c r="N37650" s="14"/>
      <c r="O37650" s="14"/>
      <c r="P37650" s="13"/>
    </row>
    <row r="37651">
      <c r="L37651" s="13"/>
      <c r="M37651" s="14"/>
      <c r="N37651" s="14"/>
      <c r="O37651" s="14"/>
      <c r="P37651" s="13"/>
    </row>
    <row r="37652">
      <c r="L37652" s="13"/>
      <c r="M37652" s="14"/>
      <c r="N37652" s="14"/>
      <c r="O37652" s="14"/>
      <c r="P37652" s="13"/>
    </row>
    <row r="37653">
      <c r="L37653" s="13"/>
      <c r="M37653" s="14"/>
      <c r="N37653" s="14"/>
      <c r="O37653" s="14"/>
      <c r="P37653" s="13"/>
    </row>
    <row r="37654">
      <c r="L37654" s="13"/>
      <c r="M37654" s="14"/>
      <c r="N37654" s="14"/>
      <c r="O37654" s="14"/>
      <c r="P37654" s="13"/>
    </row>
    <row r="37655">
      <c r="L37655" s="13"/>
      <c r="M37655" s="14"/>
      <c r="N37655" s="14"/>
      <c r="O37655" s="14"/>
      <c r="P37655" s="13"/>
    </row>
    <row r="37656">
      <c r="L37656" s="13"/>
      <c r="M37656" s="14"/>
      <c r="N37656" s="14"/>
      <c r="O37656" s="14"/>
      <c r="P37656" s="13"/>
    </row>
    <row r="37657">
      <c r="L37657" s="13"/>
      <c r="M37657" s="14"/>
      <c r="N37657" s="14"/>
      <c r="O37657" s="14"/>
      <c r="P37657" s="13"/>
    </row>
    <row r="37658">
      <c r="L37658" s="13"/>
      <c r="M37658" s="14"/>
      <c r="N37658" s="14"/>
      <c r="O37658" s="14"/>
      <c r="P37658" s="13"/>
    </row>
    <row r="37659">
      <c r="L37659" s="13"/>
      <c r="M37659" s="14"/>
      <c r="N37659" s="14"/>
      <c r="O37659" s="14"/>
      <c r="P37659" s="13"/>
    </row>
    <row r="37660">
      <c r="L37660" s="13"/>
      <c r="M37660" s="14"/>
      <c r="N37660" s="14"/>
      <c r="O37660" s="14"/>
      <c r="P37660" s="13"/>
    </row>
    <row r="37661">
      <c r="L37661" s="13"/>
      <c r="M37661" s="14"/>
      <c r="N37661" s="14"/>
      <c r="O37661" s="14"/>
      <c r="P37661" s="13"/>
    </row>
    <row r="37662">
      <c r="L37662" s="13"/>
      <c r="M37662" s="14"/>
      <c r="N37662" s="14"/>
      <c r="O37662" s="14"/>
      <c r="P37662" s="13"/>
    </row>
    <row r="37663">
      <c r="L37663" s="13"/>
      <c r="M37663" s="14"/>
      <c r="N37663" s="14"/>
      <c r="O37663" s="14"/>
      <c r="P37663" s="13"/>
    </row>
    <row r="37664">
      <c r="L37664" s="13"/>
      <c r="M37664" s="14"/>
      <c r="N37664" s="14"/>
      <c r="O37664" s="14"/>
      <c r="P37664" s="13"/>
    </row>
    <row r="37665">
      <c r="L37665" s="13"/>
      <c r="M37665" s="14"/>
      <c r="N37665" s="14"/>
      <c r="O37665" s="14"/>
      <c r="P37665" s="13"/>
    </row>
    <row r="37666">
      <c r="L37666" s="13"/>
      <c r="M37666" s="14"/>
      <c r="N37666" s="14"/>
      <c r="O37666" s="14"/>
      <c r="P37666" s="13"/>
    </row>
    <row r="37667">
      <c r="L37667" s="13"/>
      <c r="M37667" s="14"/>
      <c r="N37667" s="14"/>
      <c r="O37667" s="14"/>
      <c r="P37667" s="13"/>
    </row>
    <row r="37668">
      <c r="L37668" s="13"/>
      <c r="M37668" s="14"/>
      <c r="N37668" s="14"/>
      <c r="O37668" s="14"/>
      <c r="P37668" s="13"/>
    </row>
    <row r="37669">
      <c r="L37669" s="13"/>
      <c r="M37669" s="14"/>
      <c r="N37669" s="14"/>
      <c r="O37669" s="14"/>
      <c r="P37669" s="13"/>
    </row>
    <row r="37670">
      <c r="L37670" s="13"/>
      <c r="M37670" s="14"/>
      <c r="N37670" s="14"/>
      <c r="O37670" s="14"/>
      <c r="P37670" s="13"/>
    </row>
    <row r="37671">
      <c r="L37671" s="13"/>
      <c r="M37671" s="14"/>
      <c r="N37671" s="14"/>
      <c r="O37671" s="14"/>
      <c r="P37671" s="13"/>
    </row>
    <row r="37672">
      <c r="L37672" s="13"/>
      <c r="M37672" s="14"/>
      <c r="N37672" s="14"/>
      <c r="O37672" s="14"/>
      <c r="P37672" s="13"/>
    </row>
    <row r="37673">
      <c r="L37673" s="13"/>
      <c r="M37673" s="14"/>
      <c r="N37673" s="14"/>
      <c r="O37673" s="14"/>
      <c r="P37673" s="13"/>
    </row>
    <row r="37674">
      <c r="L37674" s="13"/>
      <c r="M37674" s="14"/>
      <c r="N37674" s="14"/>
      <c r="O37674" s="14"/>
      <c r="P37674" s="13"/>
    </row>
    <row r="37675">
      <c r="L37675" s="13"/>
      <c r="M37675" s="14"/>
      <c r="N37675" s="14"/>
      <c r="O37675" s="14"/>
      <c r="P37675" s="13"/>
    </row>
    <row r="37676">
      <c r="L37676" s="13"/>
      <c r="M37676" s="14"/>
      <c r="N37676" s="14"/>
      <c r="O37676" s="14"/>
      <c r="P37676" s="13"/>
    </row>
    <row r="37677">
      <c r="L37677" s="13"/>
      <c r="M37677" s="14"/>
      <c r="N37677" s="14"/>
      <c r="O37677" s="14"/>
      <c r="P37677" s="13"/>
    </row>
    <row r="37678">
      <c r="L37678" s="13"/>
      <c r="M37678" s="14"/>
      <c r="N37678" s="14"/>
      <c r="O37678" s="14"/>
      <c r="P37678" s="13"/>
    </row>
    <row r="37679">
      <c r="L37679" s="13"/>
      <c r="M37679" s="14"/>
      <c r="N37679" s="14"/>
      <c r="O37679" s="14"/>
      <c r="P37679" s="13"/>
    </row>
    <row r="37680">
      <c r="L37680" s="13"/>
      <c r="M37680" s="14"/>
      <c r="N37680" s="14"/>
      <c r="O37680" s="14"/>
      <c r="P37680" s="13"/>
    </row>
    <row r="37681">
      <c r="L37681" s="13"/>
      <c r="M37681" s="14"/>
      <c r="N37681" s="14"/>
      <c r="O37681" s="14"/>
      <c r="P37681" s="13"/>
    </row>
    <row r="37682">
      <c r="L37682" s="13"/>
      <c r="M37682" s="14"/>
      <c r="N37682" s="14"/>
      <c r="O37682" s="14"/>
      <c r="P37682" s="13"/>
    </row>
    <row r="37683">
      <c r="L37683" s="13"/>
      <c r="M37683" s="14"/>
      <c r="N37683" s="14"/>
      <c r="O37683" s="14"/>
      <c r="P37683" s="13"/>
    </row>
    <row r="37684">
      <c r="L37684" s="13"/>
      <c r="M37684" s="14"/>
      <c r="N37684" s="14"/>
      <c r="O37684" s="14"/>
      <c r="P37684" s="13"/>
    </row>
    <row r="37685">
      <c r="L37685" s="13"/>
      <c r="M37685" s="14"/>
      <c r="N37685" s="14"/>
      <c r="O37685" s="14"/>
      <c r="P37685" s="13"/>
    </row>
    <row r="37686">
      <c r="L37686" s="13"/>
      <c r="M37686" s="14"/>
      <c r="N37686" s="14"/>
      <c r="O37686" s="14"/>
      <c r="P37686" s="13"/>
    </row>
    <row r="37687">
      <c r="L37687" s="13"/>
      <c r="M37687" s="14"/>
      <c r="N37687" s="14"/>
      <c r="O37687" s="14"/>
      <c r="P37687" s="13"/>
    </row>
    <row r="37688">
      <c r="L37688" s="13"/>
      <c r="M37688" s="14"/>
      <c r="N37688" s="14"/>
      <c r="O37688" s="14"/>
      <c r="P37688" s="13"/>
    </row>
    <row r="37689">
      <c r="L37689" s="13"/>
      <c r="M37689" s="14"/>
      <c r="N37689" s="14"/>
      <c r="O37689" s="14"/>
      <c r="P37689" s="13"/>
    </row>
    <row r="37690">
      <c r="L37690" s="13"/>
      <c r="M37690" s="14"/>
      <c r="N37690" s="14"/>
      <c r="O37690" s="14"/>
      <c r="P37690" s="13"/>
    </row>
    <row r="37691">
      <c r="L37691" s="13"/>
      <c r="M37691" s="14"/>
      <c r="N37691" s="14"/>
      <c r="O37691" s="14"/>
      <c r="P37691" s="13"/>
    </row>
    <row r="37692">
      <c r="L37692" s="13"/>
      <c r="M37692" s="14"/>
      <c r="N37692" s="14"/>
      <c r="O37692" s="14"/>
      <c r="P37692" s="13"/>
    </row>
    <row r="37693">
      <c r="L37693" s="13"/>
      <c r="M37693" s="14"/>
      <c r="N37693" s="14"/>
      <c r="O37693" s="14"/>
      <c r="P37693" s="13"/>
    </row>
    <row r="37694">
      <c r="L37694" s="13"/>
      <c r="M37694" s="14"/>
      <c r="N37694" s="14"/>
      <c r="O37694" s="14"/>
      <c r="P37694" s="13"/>
    </row>
    <row r="37695">
      <c r="L37695" s="13"/>
      <c r="M37695" s="14"/>
      <c r="N37695" s="14"/>
      <c r="O37695" s="14"/>
      <c r="P37695" s="13"/>
    </row>
    <row r="37696">
      <c r="L37696" s="13"/>
      <c r="M37696" s="14"/>
      <c r="N37696" s="14"/>
      <c r="O37696" s="14"/>
      <c r="P37696" s="13"/>
    </row>
    <row r="37697">
      <c r="L37697" s="13"/>
      <c r="M37697" s="14"/>
      <c r="N37697" s="14"/>
      <c r="O37697" s="14"/>
      <c r="P37697" s="13"/>
    </row>
    <row r="37698">
      <c r="L37698" s="13"/>
      <c r="M37698" s="14"/>
      <c r="N37698" s="14"/>
      <c r="O37698" s="14"/>
      <c r="P37698" s="13"/>
    </row>
    <row r="37699">
      <c r="L37699" s="13"/>
      <c r="M37699" s="14"/>
      <c r="N37699" s="14"/>
      <c r="O37699" s="14"/>
      <c r="P37699" s="13"/>
    </row>
    <row r="37700">
      <c r="L37700" s="13"/>
      <c r="M37700" s="14"/>
      <c r="N37700" s="14"/>
      <c r="O37700" s="14"/>
      <c r="P37700" s="13"/>
    </row>
    <row r="37701">
      <c r="L37701" s="13"/>
      <c r="M37701" s="14"/>
      <c r="N37701" s="14"/>
      <c r="O37701" s="14"/>
      <c r="P37701" s="13"/>
    </row>
    <row r="37702">
      <c r="L37702" s="13"/>
      <c r="M37702" s="14"/>
      <c r="N37702" s="14"/>
      <c r="O37702" s="14"/>
      <c r="P37702" s="13"/>
    </row>
    <row r="37703">
      <c r="L37703" s="13"/>
      <c r="M37703" s="14"/>
      <c r="N37703" s="14"/>
      <c r="O37703" s="14"/>
      <c r="P37703" s="13"/>
    </row>
    <row r="37704">
      <c r="L37704" s="13"/>
      <c r="M37704" s="14"/>
      <c r="N37704" s="14"/>
      <c r="O37704" s="14"/>
      <c r="P37704" s="13"/>
    </row>
    <row r="37705">
      <c r="L37705" s="13"/>
      <c r="M37705" s="14"/>
      <c r="N37705" s="14"/>
      <c r="O37705" s="14"/>
      <c r="P37705" s="13"/>
    </row>
    <row r="37706">
      <c r="L37706" s="13"/>
      <c r="M37706" s="14"/>
      <c r="N37706" s="14"/>
      <c r="O37706" s="14"/>
      <c r="P37706" s="13"/>
    </row>
    <row r="37707">
      <c r="L37707" s="13"/>
      <c r="M37707" s="14"/>
      <c r="N37707" s="14"/>
      <c r="O37707" s="14"/>
      <c r="P37707" s="13"/>
    </row>
    <row r="37708">
      <c r="L37708" s="13"/>
      <c r="M37708" s="14"/>
      <c r="N37708" s="14"/>
      <c r="O37708" s="14"/>
      <c r="P37708" s="13"/>
    </row>
    <row r="37709">
      <c r="L37709" s="13"/>
      <c r="M37709" s="14"/>
      <c r="N37709" s="14"/>
      <c r="O37709" s="14"/>
      <c r="P37709" s="13"/>
    </row>
    <row r="37710">
      <c r="L37710" s="13"/>
      <c r="M37710" s="14"/>
      <c r="N37710" s="14"/>
      <c r="O37710" s="14"/>
      <c r="P37710" s="13"/>
    </row>
    <row r="37711">
      <c r="L37711" s="13"/>
      <c r="M37711" s="14"/>
      <c r="N37711" s="14"/>
      <c r="O37711" s="14"/>
      <c r="P37711" s="13"/>
    </row>
    <row r="37712">
      <c r="L37712" s="13"/>
      <c r="M37712" s="14"/>
      <c r="N37712" s="14"/>
      <c r="O37712" s="14"/>
      <c r="P37712" s="13"/>
    </row>
    <row r="37713">
      <c r="L37713" s="13"/>
      <c r="M37713" s="14"/>
      <c r="N37713" s="14"/>
      <c r="O37713" s="14"/>
      <c r="P37713" s="13"/>
    </row>
    <row r="37714">
      <c r="L37714" s="13"/>
      <c r="M37714" s="14"/>
      <c r="N37714" s="14"/>
      <c r="O37714" s="14"/>
      <c r="P37714" s="13"/>
    </row>
    <row r="37715">
      <c r="L37715" s="13"/>
      <c r="M37715" s="14"/>
      <c r="N37715" s="14"/>
      <c r="O37715" s="14"/>
      <c r="P37715" s="13"/>
    </row>
    <row r="37716">
      <c r="L37716" s="13"/>
      <c r="M37716" s="14"/>
      <c r="N37716" s="14"/>
      <c r="O37716" s="14"/>
      <c r="P37716" s="13"/>
    </row>
    <row r="37717">
      <c r="L37717" s="13"/>
      <c r="M37717" s="14"/>
      <c r="N37717" s="14"/>
      <c r="O37717" s="14"/>
      <c r="P37717" s="13"/>
    </row>
    <row r="37718">
      <c r="L37718" s="13"/>
      <c r="M37718" s="14"/>
      <c r="N37718" s="14"/>
      <c r="O37718" s="14"/>
      <c r="P37718" s="13"/>
    </row>
    <row r="37719">
      <c r="L37719" s="13"/>
      <c r="M37719" s="14"/>
      <c r="N37719" s="14"/>
      <c r="O37719" s="14"/>
      <c r="P37719" s="13"/>
    </row>
    <row r="37720">
      <c r="L37720" s="13"/>
      <c r="M37720" s="14"/>
      <c r="N37720" s="14"/>
      <c r="O37720" s="14"/>
      <c r="P37720" s="13"/>
    </row>
    <row r="37721">
      <c r="L37721" s="13"/>
      <c r="M37721" s="14"/>
      <c r="N37721" s="14"/>
      <c r="O37721" s="14"/>
      <c r="P37721" s="13"/>
    </row>
    <row r="37722">
      <c r="L37722" s="13"/>
      <c r="M37722" s="14"/>
      <c r="N37722" s="14"/>
      <c r="O37722" s="14"/>
      <c r="P37722" s="13"/>
    </row>
    <row r="37723">
      <c r="L37723" s="13"/>
      <c r="M37723" s="14"/>
      <c r="N37723" s="14"/>
      <c r="O37723" s="14"/>
      <c r="P37723" s="13"/>
    </row>
    <row r="37724">
      <c r="L37724" s="13"/>
      <c r="M37724" s="14"/>
      <c r="N37724" s="14"/>
      <c r="O37724" s="14"/>
      <c r="P37724" s="13"/>
    </row>
    <row r="37725">
      <c r="L37725" s="13"/>
      <c r="M37725" s="14"/>
      <c r="N37725" s="14"/>
      <c r="O37725" s="14"/>
      <c r="P37725" s="13"/>
    </row>
    <row r="37726">
      <c r="L37726" s="13"/>
      <c r="M37726" s="14"/>
      <c r="N37726" s="14"/>
      <c r="O37726" s="14"/>
      <c r="P37726" s="13"/>
    </row>
    <row r="37727">
      <c r="L37727" s="13"/>
      <c r="M37727" s="14"/>
      <c r="N37727" s="14"/>
      <c r="O37727" s="14"/>
      <c r="P37727" s="13"/>
    </row>
    <row r="37728">
      <c r="L37728" s="13"/>
      <c r="M37728" s="14"/>
      <c r="N37728" s="14"/>
      <c r="O37728" s="14"/>
      <c r="P37728" s="13"/>
    </row>
    <row r="37729">
      <c r="L37729" s="13"/>
      <c r="M37729" s="14"/>
      <c r="N37729" s="14"/>
      <c r="O37729" s="14"/>
      <c r="P37729" s="13"/>
    </row>
    <row r="37730">
      <c r="L37730" s="13"/>
      <c r="M37730" s="14"/>
      <c r="N37730" s="14"/>
      <c r="O37730" s="14"/>
      <c r="P37730" s="13"/>
    </row>
    <row r="37731">
      <c r="L37731" s="13"/>
      <c r="M37731" s="14"/>
      <c r="N37731" s="14"/>
      <c r="O37731" s="14"/>
      <c r="P37731" s="13"/>
    </row>
    <row r="37732">
      <c r="L37732" s="13"/>
      <c r="M37732" s="14"/>
      <c r="N37732" s="14"/>
      <c r="O37732" s="14"/>
      <c r="P37732" s="13"/>
    </row>
    <row r="37733">
      <c r="L37733" s="13"/>
      <c r="M37733" s="14"/>
      <c r="N37733" s="14"/>
      <c r="O37733" s="14"/>
      <c r="P37733" s="13"/>
    </row>
    <row r="37734">
      <c r="L37734" s="13"/>
      <c r="M37734" s="14"/>
      <c r="N37734" s="14"/>
      <c r="O37734" s="14"/>
      <c r="P37734" s="13"/>
    </row>
    <row r="37735">
      <c r="L37735" s="13"/>
      <c r="M37735" s="14"/>
      <c r="N37735" s="14"/>
      <c r="O37735" s="14"/>
      <c r="P37735" s="13"/>
    </row>
    <row r="37736">
      <c r="L37736" s="13"/>
      <c r="M37736" s="14"/>
      <c r="N37736" s="14"/>
      <c r="O37736" s="14"/>
      <c r="P37736" s="13"/>
    </row>
    <row r="37737">
      <c r="L37737" s="13"/>
      <c r="M37737" s="14"/>
      <c r="N37737" s="14"/>
      <c r="O37737" s="14"/>
      <c r="P37737" s="13"/>
    </row>
    <row r="37738">
      <c r="L37738" s="13"/>
      <c r="M37738" s="14"/>
      <c r="N37738" s="14"/>
      <c r="O37738" s="14"/>
      <c r="P37738" s="13"/>
    </row>
    <row r="37739">
      <c r="L37739" s="13"/>
      <c r="M37739" s="14"/>
      <c r="N37739" s="14"/>
      <c r="O37739" s="14"/>
      <c r="P37739" s="13"/>
    </row>
    <row r="37740">
      <c r="L37740" s="13"/>
      <c r="M37740" s="14"/>
      <c r="N37740" s="14"/>
      <c r="O37740" s="14"/>
      <c r="P37740" s="13"/>
    </row>
    <row r="37741">
      <c r="L37741" s="13"/>
      <c r="M37741" s="14"/>
      <c r="N37741" s="14"/>
      <c r="O37741" s="14"/>
      <c r="P37741" s="13"/>
    </row>
    <row r="37742">
      <c r="L37742" s="13"/>
      <c r="M37742" s="14"/>
      <c r="N37742" s="14"/>
      <c r="O37742" s="14"/>
      <c r="P37742" s="13"/>
    </row>
    <row r="37743">
      <c r="L37743" s="13"/>
      <c r="M37743" s="14"/>
      <c r="N37743" s="14"/>
      <c r="O37743" s="14"/>
      <c r="P37743" s="13"/>
    </row>
    <row r="37744">
      <c r="L37744" s="13"/>
      <c r="M37744" s="14"/>
      <c r="N37744" s="14"/>
      <c r="O37744" s="14"/>
      <c r="P37744" s="13"/>
    </row>
    <row r="37745">
      <c r="L37745" s="13"/>
      <c r="M37745" s="14"/>
      <c r="N37745" s="14"/>
      <c r="O37745" s="14"/>
      <c r="P37745" s="13"/>
    </row>
    <row r="37746">
      <c r="L37746" s="13"/>
      <c r="M37746" s="14"/>
      <c r="N37746" s="14"/>
      <c r="O37746" s="14"/>
      <c r="P37746" s="13"/>
    </row>
    <row r="37747">
      <c r="L37747" s="13"/>
      <c r="M37747" s="14"/>
      <c r="N37747" s="14"/>
      <c r="O37747" s="14"/>
      <c r="P37747" s="13"/>
    </row>
    <row r="37748">
      <c r="L37748" s="13"/>
      <c r="M37748" s="14"/>
      <c r="N37748" s="14"/>
      <c r="O37748" s="14"/>
      <c r="P37748" s="13"/>
    </row>
    <row r="37749">
      <c r="L37749" s="13"/>
      <c r="M37749" s="14"/>
      <c r="N37749" s="14"/>
      <c r="O37749" s="14"/>
      <c r="P37749" s="13"/>
    </row>
    <row r="37750">
      <c r="L37750" s="13"/>
      <c r="M37750" s="14"/>
      <c r="N37750" s="14"/>
      <c r="O37750" s="14"/>
      <c r="P37750" s="13"/>
    </row>
    <row r="37751">
      <c r="L37751" s="13"/>
      <c r="M37751" s="14"/>
      <c r="N37751" s="14"/>
      <c r="O37751" s="14"/>
      <c r="P37751" s="13"/>
    </row>
    <row r="37752">
      <c r="L37752" s="13"/>
      <c r="M37752" s="14"/>
      <c r="N37752" s="14"/>
      <c r="O37752" s="14"/>
      <c r="P37752" s="13"/>
    </row>
    <row r="37753">
      <c r="L37753" s="13"/>
      <c r="M37753" s="14"/>
      <c r="N37753" s="14"/>
      <c r="O37753" s="14"/>
      <c r="P37753" s="13"/>
    </row>
    <row r="37754">
      <c r="L37754" s="13"/>
      <c r="M37754" s="14"/>
      <c r="N37754" s="14"/>
      <c r="O37754" s="14"/>
      <c r="P37754" s="13"/>
    </row>
    <row r="37755">
      <c r="L37755" s="13"/>
      <c r="M37755" s="14"/>
      <c r="N37755" s="14"/>
      <c r="O37755" s="14"/>
      <c r="P37755" s="13"/>
    </row>
    <row r="37756">
      <c r="L37756" s="13"/>
      <c r="M37756" s="14"/>
      <c r="N37756" s="14"/>
      <c r="O37756" s="14"/>
      <c r="P37756" s="13"/>
    </row>
    <row r="37757">
      <c r="L37757" s="13"/>
      <c r="M37757" s="14"/>
      <c r="N37757" s="14"/>
      <c r="O37757" s="14"/>
      <c r="P37757" s="13"/>
    </row>
    <row r="37758">
      <c r="L37758" s="13"/>
      <c r="M37758" s="14"/>
      <c r="N37758" s="14"/>
      <c r="O37758" s="14"/>
      <c r="P37758" s="13"/>
    </row>
    <row r="37759">
      <c r="L37759" s="13"/>
      <c r="M37759" s="14"/>
      <c r="N37759" s="14"/>
      <c r="O37759" s="14"/>
      <c r="P37759" s="13"/>
    </row>
    <row r="37760">
      <c r="L37760" s="13"/>
      <c r="M37760" s="14"/>
      <c r="N37760" s="14"/>
      <c r="O37760" s="14"/>
      <c r="P37760" s="13"/>
    </row>
    <row r="37761">
      <c r="L37761" s="13"/>
      <c r="M37761" s="14"/>
      <c r="N37761" s="14"/>
      <c r="O37761" s="14"/>
      <c r="P37761" s="13"/>
    </row>
    <row r="37762">
      <c r="L37762" s="13"/>
      <c r="M37762" s="14"/>
      <c r="N37762" s="14"/>
      <c r="O37762" s="14"/>
      <c r="P37762" s="13"/>
    </row>
    <row r="37763">
      <c r="L37763" s="13"/>
      <c r="M37763" s="14"/>
      <c r="N37763" s="14"/>
      <c r="O37763" s="14"/>
      <c r="P37763" s="13"/>
    </row>
    <row r="37764">
      <c r="L37764" s="13"/>
      <c r="M37764" s="14"/>
      <c r="N37764" s="14"/>
      <c r="O37764" s="14"/>
      <c r="P37764" s="13"/>
    </row>
    <row r="37765">
      <c r="L37765" s="13"/>
      <c r="M37765" s="14"/>
      <c r="N37765" s="14"/>
      <c r="O37765" s="14"/>
      <c r="P37765" s="13"/>
    </row>
    <row r="37766">
      <c r="L37766" s="13"/>
      <c r="M37766" s="14"/>
      <c r="N37766" s="14"/>
      <c r="O37766" s="14"/>
      <c r="P37766" s="13"/>
    </row>
    <row r="37767">
      <c r="L37767" s="13"/>
      <c r="M37767" s="14"/>
      <c r="N37767" s="14"/>
      <c r="O37767" s="14"/>
      <c r="P37767" s="13"/>
    </row>
    <row r="37768">
      <c r="L37768" s="13"/>
      <c r="M37768" s="14"/>
      <c r="N37768" s="14"/>
      <c r="O37768" s="14"/>
      <c r="P37768" s="13"/>
    </row>
    <row r="37769">
      <c r="L37769" s="13"/>
      <c r="M37769" s="14"/>
      <c r="N37769" s="14"/>
      <c r="O37769" s="14"/>
      <c r="P37769" s="13"/>
    </row>
    <row r="37770">
      <c r="L37770" s="13"/>
      <c r="M37770" s="14"/>
      <c r="N37770" s="14"/>
      <c r="O37770" s="14"/>
      <c r="P37770" s="13"/>
    </row>
    <row r="37771">
      <c r="L37771" s="13"/>
      <c r="M37771" s="14"/>
      <c r="N37771" s="14"/>
      <c r="O37771" s="14"/>
      <c r="P37771" s="13"/>
    </row>
    <row r="37772">
      <c r="L37772" s="13"/>
      <c r="M37772" s="14"/>
      <c r="N37772" s="14"/>
      <c r="O37772" s="14"/>
      <c r="P37772" s="13"/>
    </row>
    <row r="37773">
      <c r="L37773" s="13"/>
      <c r="M37773" s="14"/>
      <c r="N37773" s="14"/>
      <c r="O37773" s="14"/>
      <c r="P37773" s="13"/>
    </row>
    <row r="37774">
      <c r="L37774" s="13"/>
      <c r="M37774" s="14"/>
      <c r="N37774" s="14"/>
      <c r="O37774" s="14"/>
      <c r="P37774" s="13"/>
    </row>
    <row r="37775">
      <c r="L37775" s="13"/>
      <c r="M37775" s="14"/>
      <c r="N37775" s="14"/>
      <c r="O37775" s="14"/>
      <c r="P37775" s="13"/>
    </row>
    <row r="37776">
      <c r="L37776" s="13"/>
      <c r="M37776" s="14"/>
      <c r="N37776" s="14"/>
      <c r="O37776" s="14"/>
      <c r="P37776" s="13"/>
    </row>
    <row r="37777">
      <c r="L37777" s="13"/>
      <c r="M37777" s="14"/>
      <c r="N37777" s="14"/>
      <c r="O37777" s="14"/>
      <c r="P37777" s="13"/>
    </row>
    <row r="37778">
      <c r="L37778" s="13"/>
      <c r="M37778" s="14"/>
      <c r="N37778" s="14"/>
      <c r="O37778" s="14"/>
      <c r="P37778" s="13"/>
    </row>
    <row r="37779">
      <c r="L37779" s="13"/>
      <c r="M37779" s="14"/>
      <c r="N37779" s="14"/>
      <c r="O37779" s="14"/>
      <c r="P37779" s="13"/>
    </row>
    <row r="37780">
      <c r="L37780" s="13"/>
      <c r="M37780" s="14"/>
      <c r="N37780" s="14"/>
      <c r="O37780" s="14"/>
      <c r="P37780" s="13"/>
    </row>
    <row r="37781">
      <c r="L37781" s="13"/>
      <c r="M37781" s="14"/>
      <c r="N37781" s="14"/>
      <c r="O37781" s="14"/>
      <c r="P37781" s="13"/>
    </row>
    <row r="37782">
      <c r="L37782" s="13"/>
      <c r="M37782" s="14"/>
      <c r="N37782" s="14"/>
      <c r="O37782" s="14"/>
      <c r="P37782" s="13"/>
    </row>
    <row r="37783">
      <c r="L37783" s="13"/>
      <c r="M37783" s="14"/>
      <c r="N37783" s="14"/>
      <c r="O37783" s="14"/>
      <c r="P37783" s="13"/>
    </row>
    <row r="37784">
      <c r="L37784" s="13"/>
      <c r="M37784" s="14"/>
      <c r="N37784" s="14"/>
      <c r="O37784" s="14"/>
      <c r="P37784" s="13"/>
    </row>
    <row r="37785">
      <c r="L37785" s="13"/>
      <c r="M37785" s="14"/>
      <c r="N37785" s="14"/>
      <c r="O37785" s="14"/>
      <c r="P37785" s="13"/>
    </row>
    <row r="37786">
      <c r="L37786" s="13"/>
      <c r="M37786" s="14"/>
      <c r="N37786" s="14"/>
      <c r="O37786" s="14"/>
      <c r="P37786" s="13"/>
    </row>
    <row r="37787">
      <c r="L37787" s="13"/>
      <c r="M37787" s="14"/>
      <c r="N37787" s="14"/>
      <c r="O37787" s="14"/>
      <c r="P37787" s="13"/>
    </row>
    <row r="37788">
      <c r="L37788" s="13"/>
      <c r="M37788" s="14"/>
      <c r="N37788" s="14"/>
      <c r="O37788" s="14"/>
      <c r="P37788" s="13"/>
    </row>
    <row r="37789">
      <c r="L37789" s="13"/>
      <c r="M37789" s="14"/>
      <c r="N37789" s="14"/>
      <c r="O37789" s="14"/>
      <c r="P37789" s="13"/>
    </row>
    <row r="37790">
      <c r="L37790" s="13"/>
      <c r="M37790" s="14"/>
      <c r="N37790" s="14"/>
      <c r="O37790" s="14"/>
      <c r="P37790" s="13"/>
    </row>
    <row r="37791">
      <c r="L37791" s="13"/>
      <c r="M37791" s="14"/>
      <c r="N37791" s="14"/>
      <c r="O37791" s="14"/>
      <c r="P37791" s="13"/>
    </row>
    <row r="37792">
      <c r="L37792" s="13"/>
      <c r="M37792" s="14"/>
      <c r="N37792" s="14"/>
      <c r="O37792" s="14"/>
      <c r="P37792" s="13"/>
    </row>
    <row r="37793">
      <c r="L37793" s="13"/>
      <c r="M37793" s="14"/>
      <c r="N37793" s="14"/>
      <c r="O37793" s="14"/>
      <c r="P37793" s="13"/>
    </row>
    <row r="37794">
      <c r="L37794" s="13"/>
      <c r="M37794" s="14"/>
      <c r="N37794" s="14"/>
      <c r="O37794" s="14"/>
      <c r="P37794" s="13"/>
    </row>
    <row r="37795">
      <c r="L37795" s="13"/>
      <c r="M37795" s="14"/>
      <c r="N37795" s="14"/>
      <c r="O37795" s="14"/>
      <c r="P37795" s="13"/>
    </row>
    <row r="37796">
      <c r="L37796" s="13"/>
      <c r="M37796" s="14"/>
      <c r="N37796" s="14"/>
      <c r="O37796" s="14"/>
      <c r="P37796" s="13"/>
    </row>
    <row r="37797">
      <c r="L37797" s="13"/>
      <c r="M37797" s="14"/>
      <c r="N37797" s="14"/>
      <c r="O37797" s="14"/>
      <c r="P37797" s="13"/>
    </row>
    <row r="37798">
      <c r="L37798" s="13"/>
      <c r="M37798" s="14"/>
      <c r="N37798" s="14"/>
      <c r="O37798" s="14"/>
      <c r="P37798" s="13"/>
    </row>
    <row r="37799">
      <c r="L37799" s="13"/>
      <c r="M37799" s="14"/>
      <c r="N37799" s="14"/>
      <c r="O37799" s="14"/>
      <c r="P37799" s="13"/>
    </row>
    <row r="37800">
      <c r="L37800" s="13"/>
      <c r="M37800" s="14"/>
      <c r="N37800" s="14"/>
      <c r="O37800" s="14"/>
      <c r="P37800" s="13"/>
    </row>
    <row r="37801">
      <c r="L37801" s="13"/>
      <c r="M37801" s="14"/>
      <c r="N37801" s="14"/>
      <c r="O37801" s="14"/>
      <c r="P37801" s="13"/>
    </row>
    <row r="37802">
      <c r="L37802" s="13"/>
      <c r="M37802" s="14"/>
      <c r="N37802" s="14"/>
      <c r="O37802" s="14"/>
      <c r="P37802" s="13"/>
    </row>
    <row r="37803">
      <c r="L37803" s="13"/>
      <c r="M37803" s="14"/>
      <c r="N37803" s="14"/>
      <c r="O37803" s="14"/>
      <c r="P37803" s="13"/>
    </row>
    <row r="37804">
      <c r="L37804" s="13"/>
      <c r="M37804" s="14"/>
      <c r="N37804" s="14"/>
      <c r="O37804" s="14"/>
      <c r="P37804" s="13"/>
    </row>
    <row r="37805">
      <c r="L37805" s="13"/>
      <c r="M37805" s="14"/>
      <c r="N37805" s="14"/>
      <c r="O37805" s="14"/>
      <c r="P37805" s="13"/>
    </row>
    <row r="37806">
      <c r="L37806" s="13"/>
      <c r="M37806" s="14"/>
      <c r="N37806" s="14"/>
      <c r="O37806" s="14"/>
      <c r="P37806" s="13"/>
    </row>
    <row r="37807">
      <c r="L37807" s="13"/>
      <c r="M37807" s="14"/>
      <c r="N37807" s="14"/>
      <c r="O37807" s="14"/>
      <c r="P37807" s="13"/>
    </row>
    <row r="37808">
      <c r="L37808" s="13"/>
      <c r="M37808" s="14"/>
      <c r="N37808" s="14"/>
      <c r="O37808" s="14"/>
      <c r="P37808" s="13"/>
    </row>
    <row r="37809">
      <c r="L37809" s="13"/>
      <c r="M37809" s="14"/>
      <c r="N37809" s="14"/>
      <c r="O37809" s="14"/>
      <c r="P37809" s="13"/>
    </row>
    <row r="37810">
      <c r="L37810" s="13"/>
      <c r="M37810" s="14"/>
      <c r="N37810" s="14"/>
      <c r="O37810" s="14"/>
      <c r="P37810" s="13"/>
    </row>
    <row r="37811">
      <c r="L37811" s="13"/>
      <c r="M37811" s="14"/>
      <c r="N37811" s="14"/>
      <c r="O37811" s="14"/>
      <c r="P37811" s="13"/>
    </row>
    <row r="37812">
      <c r="L37812" s="13"/>
      <c r="M37812" s="14"/>
      <c r="N37812" s="14"/>
      <c r="O37812" s="14"/>
      <c r="P37812" s="13"/>
    </row>
    <row r="37813">
      <c r="L37813" s="13"/>
      <c r="M37813" s="14"/>
      <c r="N37813" s="14"/>
      <c r="O37813" s="14"/>
      <c r="P37813" s="13"/>
    </row>
    <row r="37814">
      <c r="L37814" s="13"/>
      <c r="M37814" s="14"/>
      <c r="N37814" s="14"/>
      <c r="O37814" s="14"/>
      <c r="P37814" s="13"/>
    </row>
    <row r="37815">
      <c r="L37815" s="13"/>
      <c r="M37815" s="14"/>
      <c r="N37815" s="14"/>
      <c r="O37815" s="14"/>
      <c r="P37815" s="13"/>
    </row>
    <row r="37816">
      <c r="L37816" s="13"/>
      <c r="M37816" s="14"/>
      <c r="N37816" s="14"/>
      <c r="O37816" s="14"/>
      <c r="P37816" s="13"/>
    </row>
    <row r="37817">
      <c r="L37817" s="13"/>
      <c r="M37817" s="14"/>
      <c r="N37817" s="14"/>
      <c r="O37817" s="14"/>
      <c r="P37817" s="13"/>
    </row>
    <row r="37818">
      <c r="L37818" s="13"/>
      <c r="M37818" s="14"/>
      <c r="N37818" s="14"/>
      <c r="O37818" s="14"/>
      <c r="P37818" s="13"/>
    </row>
    <row r="37819">
      <c r="L37819" s="13"/>
      <c r="M37819" s="14"/>
      <c r="N37819" s="14"/>
      <c r="O37819" s="14"/>
      <c r="P37819" s="13"/>
    </row>
    <row r="37820">
      <c r="L37820" s="13"/>
      <c r="M37820" s="14"/>
      <c r="N37820" s="14"/>
      <c r="O37820" s="14"/>
      <c r="P37820" s="13"/>
    </row>
    <row r="37821">
      <c r="L37821" s="13"/>
      <c r="M37821" s="14"/>
      <c r="N37821" s="14"/>
      <c r="O37821" s="14"/>
      <c r="P37821" s="13"/>
    </row>
    <row r="37822">
      <c r="L37822" s="13"/>
      <c r="M37822" s="14"/>
      <c r="N37822" s="14"/>
      <c r="O37822" s="14"/>
      <c r="P37822" s="13"/>
    </row>
    <row r="37823">
      <c r="L37823" s="13"/>
      <c r="M37823" s="14"/>
      <c r="N37823" s="14"/>
      <c r="O37823" s="14"/>
      <c r="P37823" s="13"/>
    </row>
    <row r="37824">
      <c r="L37824" s="13"/>
      <c r="M37824" s="14"/>
      <c r="N37824" s="14"/>
      <c r="O37824" s="14"/>
      <c r="P37824" s="13"/>
    </row>
    <row r="37825">
      <c r="L37825" s="13"/>
      <c r="M37825" s="14"/>
      <c r="N37825" s="14"/>
      <c r="O37825" s="14"/>
      <c r="P37825" s="13"/>
    </row>
    <row r="37826">
      <c r="L37826" s="13"/>
      <c r="M37826" s="14"/>
      <c r="N37826" s="14"/>
      <c r="O37826" s="14"/>
      <c r="P37826" s="13"/>
    </row>
    <row r="37827">
      <c r="L37827" s="13"/>
      <c r="M37827" s="14"/>
      <c r="N37827" s="14"/>
      <c r="O37827" s="14"/>
      <c r="P37827" s="13"/>
    </row>
    <row r="37828">
      <c r="L37828" s="13"/>
      <c r="M37828" s="14"/>
      <c r="N37828" s="14"/>
      <c r="O37828" s="14"/>
      <c r="P37828" s="13"/>
    </row>
    <row r="37829">
      <c r="L37829" s="13"/>
      <c r="M37829" s="14"/>
      <c r="N37829" s="14"/>
      <c r="O37829" s="14"/>
      <c r="P37829" s="13"/>
    </row>
    <row r="37830">
      <c r="L37830" s="13"/>
      <c r="M37830" s="14"/>
      <c r="N37830" s="14"/>
      <c r="O37830" s="14"/>
      <c r="P37830" s="13"/>
    </row>
    <row r="37831">
      <c r="L37831" s="13"/>
      <c r="M37831" s="14"/>
      <c r="N37831" s="14"/>
      <c r="O37831" s="14"/>
      <c r="P37831" s="13"/>
    </row>
    <row r="37832">
      <c r="L37832" s="13"/>
      <c r="M37832" s="14"/>
      <c r="N37832" s="14"/>
      <c r="O37832" s="14"/>
      <c r="P37832" s="13"/>
    </row>
    <row r="37833">
      <c r="L37833" s="13"/>
      <c r="M37833" s="14"/>
      <c r="N37833" s="14"/>
      <c r="O37833" s="14"/>
      <c r="P37833" s="13"/>
    </row>
    <row r="37834">
      <c r="L37834" s="13"/>
      <c r="M37834" s="14"/>
      <c r="N37834" s="14"/>
      <c r="O37834" s="14"/>
      <c r="P37834" s="13"/>
    </row>
    <row r="37835">
      <c r="L37835" s="13"/>
      <c r="M37835" s="14"/>
      <c r="N37835" s="14"/>
      <c r="O37835" s="14"/>
      <c r="P37835" s="13"/>
    </row>
    <row r="37836">
      <c r="L37836" s="13"/>
      <c r="M37836" s="14"/>
      <c r="N37836" s="14"/>
      <c r="O37836" s="14"/>
      <c r="P37836" s="13"/>
    </row>
    <row r="37837">
      <c r="L37837" s="13"/>
      <c r="M37837" s="14"/>
      <c r="N37837" s="14"/>
      <c r="O37837" s="14"/>
      <c r="P37837" s="13"/>
    </row>
    <row r="37838">
      <c r="L37838" s="13"/>
      <c r="M37838" s="14"/>
      <c r="N37838" s="14"/>
      <c r="O37838" s="14"/>
      <c r="P37838" s="13"/>
    </row>
    <row r="37839">
      <c r="L37839" s="13"/>
      <c r="M37839" s="14"/>
      <c r="N37839" s="14"/>
      <c r="O37839" s="14"/>
      <c r="P37839" s="13"/>
    </row>
    <row r="37840">
      <c r="L37840" s="13"/>
      <c r="M37840" s="14"/>
      <c r="N37840" s="14"/>
      <c r="O37840" s="14"/>
      <c r="P37840" s="13"/>
    </row>
    <row r="37841">
      <c r="L37841" s="13"/>
      <c r="M37841" s="14"/>
      <c r="N37841" s="14"/>
      <c r="O37841" s="14"/>
      <c r="P37841" s="13"/>
    </row>
    <row r="37842">
      <c r="L37842" s="13"/>
      <c r="M37842" s="14"/>
      <c r="N37842" s="14"/>
      <c r="O37842" s="14"/>
      <c r="P37842" s="13"/>
    </row>
    <row r="37843">
      <c r="L37843" s="13"/>
      <c r="M37843" s="14"/>
      <c r="N37843" s="14"/>
      <c r="O37843" s="14"/>
      <c r="P37843" s="13"/>
    </row>
    <row r="37844">
      <c r="L37844" s="13"/>
      <c r="M37844" s="14"/>
      <c r="N37844" s="14"/>
      <c r="O37844" s="14"/>
      <c r="P37844" s="13"/>
    </row>
    <row r="37845">
      <c r="L37845" s="13"/>
      <c r="M37845" s="14"/>
      <c r="N37845" s="14"/>
      <c r="O37845" s="14"/>
      <c r="P37845" s="13"/>
    </row>
    <row r="37846">
      <c r="L37846" s="13"/>
      <c r="M37846" s="14"/>
      <c r="N37846" s="14"/>
      <c r="O37846" s="14"/>
      <c r="P37846" s="13"/>
    </row>
    <row r="37847">
      <c r="L37847" s="13"/>
      <c r="M37847" s="14"/>
      <c r="N37847" s="14"/>
      <c r="O37847" s="14"/>
      <c r="P37847" s="13"/>
    </row>
    <row r="37848">
      <c r="L37848" s="13"/>
      <c r="M37848" s="14"/>
      <c r="N37848" s="14"/>
      <c r="O37848" s="14"/>
      <c r="P37848" s="13"/>
    </row>
    <row r="37849">
      <c r="L37849" s="13"/>
      <c r="M37849" s="14"/>
      <c r="N37849" s="14"/>
      <c r="O37849" s="14"/>
      <c r="P37849" s="13"/>
    </row>
    <row r="37850">
      <c r="L37850" s="13"/>
      <c r="M37850" s="14"/>
      <c r="N37850" s="14"/>
      <c r="O37850" s="14"/>
      <c r="P37850" s="13"/>
    </row>
    <row r="37851">
      <c r="L37851" s="13"/>
      <c r="M37851" s="14"/>
      <c r="N37851" s="14"/>
      <c r="O37851" s="14"/>
      <c r="P37851" s="13"/>
    </row>
    <row r="37852">
      <c r="L37852" s="13"/>
      <c r="M37852" s="14"/>
      <c r="N37852" s="14"/>
      <c r="O37852" s="14"/>
      <c r="P37852" s="13"/>
    </row>
    <row r="37853">
      <c r="L37853" s="13"/>
      <c r="M37853" s="14"/>
      <c r="N37853" s="14"/>
      <c r="O37853" s="14"/>
      <c r="P37853" s="13"/>
    </row>
    <row r="37854">
      <c r="L37854" s="13"/>
      <c r="M37854" s="14"/>
      <c r="N37854" s="14"/>
      <c r="O37854" s="14"/>
      <c r="P37854" s="13"/>
    </row>
    <row r="37855">
      <c r="L37855" s="13"/>
      <c r="M37855" s="14"/>
      <c r="N37855" s="14"/>
      <c r="O37855" s="14"/>
      <c r="P37855" s="13"/>
    </row>
    <row r="37856">
      <c r="L37856" s="13"/>
      <c r="M37856" s="14"/>
      <c r="N37856" s="14"/>
      <c r="O37856" s="14"/>
      <c r="P37856" s="13"/>
    </row>
    <row r="37857">
      <c r="L37857" s="13"/>
      <c r="M37857" s="14"/>
      <c r="N37857" s="14"/>
      <c r="O37857" s="14"/>
      <c r="P37857" s="13"/>
    </row>
    <row r="37858">
      <c r="L37858" s="13"/>
      <c r="M37858" s="14"/>
      <c r="N37858" s="14"/>
      <c r="O37858" s="14"/>
      <c r="P37858" s="13"/>
    </row>
    <row r="37859">
      <c r="L37859" s="13"/>
      <c r="M37859" s="14"/>
      <c r="N37859" s="14"/>
      <c r="O37859" s="14"/>
      <c r="P37859" s="13"/>
    </row>
    <row r="37860">
      <c r="L37860" s="13"/>
      <c r="M37860" s="14"/>
      <c r="N37860" s="14"/>
      <c r="O37860" s="14"/>
      <c r="P37860" s="13"/>
    </row>
    <row r="37861">
      <c r="L37861" s="13"/>
      <c r="M37861" s="14"/>
      <c r="N37861" s="14"/>
      <c r="O37861" s="14"/>
      <c r="P37861" s="13"/>
    </row>
    <row r="37862">
      <c r="L37862" s="13"/>
      <c r="M37862" s="14"/>
      <c r="N37862" s="14"/>
      <c r="O37862" s="14"/>
      <c r="P37862" s="13"/>
    </row>
    <row r="37863">
      <c r="L37863" s="13"/>
      <c r="M37863" s="14"/>
      <c r="N37863" s="14"/>
      <c r="O37863" s="14"/>
      <c r="P37863" s="13"/>
    </row>
    <row r="37864">
      <c r="L37864" s="13"/>
      <c r="M37864" s="14"/>
      <c r="N37864" s="14"/>
      <c r="O37864" s="14"/>
      <c r="P37864" s="13"/>
    </row>
    <row r="37865">
      <c r="L37865" s="13"/>
      <c r="M37865" s="14"/>
      <c r="N37865" s="14"/>
      <c r="O37865" s="14"/>
      <c r="P37865" s="13"/>
    </row>
    <row r="37866">
      <c r="L37866" s="13"/>
      <c r="M37866" s="14"/>
      <c r="N37866" s="14"/>
      <c r="O37866" s="14"/>
      <c r="P37866" s="13"/>
    </row>
    <row r="37867">
      <c r="L37867" s="13"/>
      <c r="M37867" s="14"/>
      <c r="N37867" s="14"/>
      <c r="O37867" s="14"/>
      <c r="P37867" s="13"/>
    </row>
    <row r="37868">
      <c r="L37868" s="13"/>
      <c r="M37868" s="14"/>
      <c r="N37868" s="14"/>
      <c r="O37868" s="14"/>
      <c r="P37868" s="13"/>
    </row>
    <row r="37869">
      <c r="L37869" s="13"/>
      <c r="M37869" s="14"/>
      <c r="N37869" s="14"/>
      <c r="O37869" s="14"/>
      <c r="P37869" s="13"/>
    </row>
    <row r="37870">
      <c r="L37870" s="13"/>
      <c r="M37870" s="14"/>
      <c r="N37870" s="14"/>
      <c r="O37870" s="14"/>
      <c r="P37870" s="13"/>
    </row>
    <row r="37871">
      <c r="L37871" s="13"/>
      <c r="M37871" s="14"/>
      <c r="N37871" s="14"/>
      <c r="O37871" s="14"/>
      <c r="P37871" s="13"/>
    </row>
    <row r="37872">
      <c r="L37872" s="13"/>
      <c r="M37872" s="14"/>
      <c r="N37872" s="14"/>
      <c r="O37872" s="14"/>
      <c r="P37872" s="13"/>
    </row>
    <row r="37873">
      <c r="L37873" s="13"/>
      <c r="M37873" s="14"/>
      <c r="N37873" s="14"/>
      <c r="O37873" s="14"/>
      <c r="P37873" s="13"/>
    </row>
    <row r="37874">
      <c r="L37874" s="13"/>
      <c r="M37874" s="14"/>
      <c r="N37874" s="14"/>
      <c r="O37874" s="14"/>
      <c r="P37874" s="13"/>
    </row>
    <row r="37875">
      <c r="L37875" s="13"/>
      <c r="M37875" s="14"/>
      <c r="N37875" s="14"/>
      <c r="O37875" s="14"/>
      <c r="P37875" s="13"/>
    </row>
    <row r="37876">
      <c r="L37876" s="13"/>
      <c r="M37876" s="14"/>
      <c r="N37876" s="14"/>
      <c r="O37876" s="14"/>
      <c r="P37876" s="13"/>
    </row>
    <row r="37877">
      <c r="L37877" s="13"/>
      <c r="M37877" s="14"/>
      <c r="N37877" s="14"/>
      <c r="O37877" s="14"/>
      <c r="P37877" s="13"/>
    </row>
    <row r="37878">
      <c r="L37878" s="13"/>
      <c r="M37878" s="14"/>
      <c r="N37878" s="14"/>
      <c r="O37878" s="14"/>
      <c r="P37878" s="13"/>
    </row>
    <row r="37879">
      <c r="L37879" s="13"/>
      <c r="M37879" s="14"/>
      <c r="N37879" s="14"/>
      <c r="O37879" s="14"/>
      <c r="P37879" s="13"/>
    </row>
    <row r="37880">
      <c r="L37880" s="13"/>
      <c r="M37880" s="14"/>
      <c r="N37880" s="14"/>
      <c r="O37880" s="14"/>
      <c r="P37880" s="13"/>
    </row>
    <row r="37881">
      <c r="L37881" s="13"/>
      <c r="M37881" s="14"/>
      <c r="N37881" s="14"/>
      <c r="O37881" s="14"/>
      <c r="P37881" s="13"/>
    </row>
    <row r="37882">
      <c r="L37882" s="13"/>
      <c r="M37882" s="14"/>
      <c r="N37882" s="14"/>
      <c r="O37882" s="14"/>
      <c r="P37882" s="13"/>
    </row>
    <row r="37883">
      <c r="L37883" s="13"/>
      <c r="M37883" s="14"/>
      <c r="N37883" s="14"/>
      <c r="O37883" s="14"/>
      <c r="P37883" s="13"/>
    </row>
    <row r="37884">
      <c r="L37884" s="13"/>
      <c r="M37884" s="14"/>
      <c r="N37884" s="14"/>
      <c r="O37884" s="14"/>
      <c r="P37884" s="13"/>
    </row>
    <row r="37885">
      <c r="L37885" s="13"/>
      <c r="M37885" s="14"/>
      <c r="N37885" s="14"/>
      <c r="O37885" s="14"/>
      <c r="P37885" s="13"/>
    </row>
    <row r="37886">
      <c r="L37886" s="13"/>
      <c r="M37886" s="14"/>
      <c r="N37886" s="14"/>
      <c r="O37886" s="14"/>
      <c r="P37886" s="13"/>
    </row>
    <row r="37887">
      <c r="L37887" s="13"/>
      <c r="M37887" s="14"/>
      <c r="N37887" s="14"/>
      <c r="O37887" s="14"/>
      <c r="P37887" s="13"/>
    </row>
    <row r="37888">
      <c r="L37888" s="13"/>
      <c r="M37888" s="14"/>
      <c r="N37888" s="14"/>
      <c r="O37888" s="14"/>
      <c r="P37888" s="13"/>
    </row>
    <row r="37889">
      <c r="L37889" s="13"/>
      <c r="M37889" s="14"/>
      <c r="N37889" s="14"/>
      <c r="O37889" s="14"/>
      <c r="P37889" s="13"/>
    </row>
    <row r="37890">
      <c r="L37890" s="13"/>
      <c r="M37890" s="14"/>
      <c r="N37890" s="14"/>
      <c r="O37890" s="14"/>
      <c r="P37890" s="13"/>
    </row>
    <row r="37891">
      <c r="L37891" s="13"/>
      <c r="M37891" s="14"/>
      <c r="N37891" s="14"/>
      <c r="O37891" s="14"/>
      <c r="P37891" s="13"/>
    </row>
    <row r="37892">
      <c r="L37892" s="13"/>
      <c r="M37892" s="14"/>
      <c r="N37892" s="14"/>
      <c r="O37892" s="14"/>
      <c r="P37892" s="13"/>
    </row>
    <row r="37893">
      <c r="L37893" s="13"/>
      <c r="M37893" s="14"/>
      <c r="N37893" s="14"/>
      <c r="O37893" s="14"/>
      <c r="P37893" s="13"/>
    </row>
    <row r="37894">
      <c r="L37894" s="13"/>
      <c r="M37894" s="14"/>
      <c r="N37894" s="14"/>
      <c r="O37894" s="14"/>
      <c r="P37894" s="13"/>
    </row>
    <row r="37895">
      <c r="L37895" s="13"/>
      <c r="M37895" s="14"/>
      <c r="N37895" s="14"/>
      <c r="O37895" s="14"/>
      <c r="P37895" s="13"/>
    </row>
    <row r="37896">
      <c r="L37896" s="13"/>
      <c r="M37896" s="14"/>
      <c r="N37896" s="14"/>
      <c r="O37896" s="14"/>
      <c r="P37896" s="13"/>
    </row>
    <row r="37897">
      <c r="L37897" s="13"/>
      <c r="M37897" s="14"/>
      <c r="N37897" s="14"/>
      <c r="O37897" s="14"/>
      <c r="P37897" s="13"/>
    </row>
    <row r="37898">
      <c r="L37898" s="13"/>
      <c r="M37898" s="14"/>
      <c r="N37898" s="14"/>
      <c r="O37898" s="14"/>
      <c r="P37898" s="13"/>
    </row>
    <row r="37899">
      <c r="L37899" s="13"/>
      <c r="M37899" s="14"/>
      <c r="N37899" s="14"/>
      <c r="O37899" s="14"/>
      <c r="P37899" s="13"/>
    </row>
    <row r="37900">
      <c r="L37900" s="13"/>
      <c r="M37900" s="14"/>
      <c r="N37900" s="14"/>
      <c r="O37900" s="14"/>
      <c r="P37900" s="13"/>
    </row>
    <row r="37901">
      <c r="L37901" s="13"/>
      <c r="M37901" s="14"/>
      <c r="N37901" s="14"/>
      <c r="O37901" s="14"/>
      <c r="P37901" s="13"/>
    </row>
    <row r="37902">
      <c r="L37902" s="13"/>
      <c r="M37902" s="14"/>
      <c r="N37902" s="14"/>
      <c r="O37902" s="14"/>
      <c r="P37902" s="13"/>
    </row>
    <row r="37903">
      <c r="L37903" s="13"/>
      <c r="M37903" s="14"/>
      <c r="N37903" s="14"/>
      <c r="O37903" s="14"/>
      <c r="P37903" s="13"/>
    </row>
    <row r="37904">
      <c r="L37904" s="13"/>
      <c r="M37904" s="14"/>
      <c r="N37904" s="14"/>
      <c r="O37904" s="14"/>
      <c r="P37904" s="13"/>
    </row>
    <row r="37905">
      <c r="L37905" s="13"/>
      <c r="M37905" s="14"/>
      <c r="N37905" s="14"/>
      <c r="O37905" s="14"/>
      <c r="P37905" s="13"/>
    </row>
    <row r="37906">
      <c r="L37906" s="13"/>
      <c r="M37906" s="14"/>
      <c r="N37906" s="14"/>
      <c r="O37906" s="14"/>
      <c r="P37906" s="13"/>
    </row>
    <row r="37907">
      <c r="L37907" s="13"/>
      <c r="M37907" s="14"/>
      <c r="N37907" s="14"/>
      <c r="O37907" s="14"/>
      <c r="P37907" s="13"/>
    </row>
    <row r="37908">
      <c r="L37908" s="13"/>
      <c r="M37908" s="14"/>
      <c r="N37908" s="14"/>
      <c r="O37908" s="14"/>
      <c r="P37908" s="13"/>
    </row>
    <row r="37909">
      <c r="L37909" s="13"/>
      <c r="M37909" s="14"/>
      <c r="N37909" s="14"/>
      <c r="O37909" s="14"/>
      <c r="P37909" s="13"/>
    </row>
    <row r="37910">
      <c r="L37910" s="13"/>
      <c r="M37910" s="14"/>
      <c r="N37910" s="14"/>
      <c r="O37910" s="14"/>
      <c r="P37910" s="13"/>
    </row>
    <row r="37911">
      <c r="L37911" s="13"/>
      <c r="M37911" s="14"/>
      <c r="N37911" s="14"/>
      <c r="O37911" s="14"/>
      <c r="P37911" s="13"/>
    </row>
    <row r="37912">
      <c r="L37912" s="13"/>
      <c r="M37912" s="14"/>
      <c r="N37912" s="14"/>
      <c r="O37912" s="14"/>
      <c r="P37912" s="13"/>
    </row>
    <row r="37913">
      <c r="L37913" s="13"/>
      <c r="M37913" s="14"/>
      <c r="N37913" s="14"/>
      <c r="O37913" s="14"/>
      <c r="P37913" s="13"/>
    </row>
    <row r="37914">
      <c r="L37914" s="13"/>
      <c r="M37914" s="14"/>
      <c r="N37914" s="14"/>
      <c r="O37914" s="14"/>
      <c r="P37914" s="13"/>
    </row>
    <row r="37915">
      <c r="L37915" s="13"/>
      <c r="M37915" s="14"/>
      <c r="N37915" s="14"/>
      <c r="O37915" s="14"/>
      <c r="P37915" s="13"/>
    </row>
    <row r="37916">
      <c r="L37916" s="13"/>
      <c r="M37916" s="14"/>
      <c r="N37916" s="14"/>
      <c r="O37916" s="14"/>
      <c r="P37916" s="13"/>
    </row>
    <row r="37917">
      <c r="L37917" s="13"/>
      <c r="M37917" s="14"/>
      <c r="N37917" s="14"/>
      <c r="O37917" s="14"/>
      <c r="P37917" s="13"/>
    </row>
    <row r="37918">
      <c r="L37918" s="13"/>
      <c r="M37918" s="14"/>
      <c r="N37918" s="14"/>
      <c r="O37918" s="14"/>
      <c r="P37918" s="13"/>
    </row>
    <row r="37919">
      <c r="L37919" s="13"/>
      <c r="M37919" s="14"/>
      <c r="N37919" s="14"/>
      <c r="O37919" s="14"/>
      <c r="P37919" s="13"/>
    </row>
    <row r="37920">
      <c r="L37920" s="13"/>
      <c r="M37920" s="14"/>
      <c r="N37920" s="14"/>
      <c r="O37920" s="14"/>
      <c r="P37920" s="13"/>
    </row>
    <row r="37921">
      <c r="L37921" s="13"/>
      <c r="M37921" s="14"/>
      <c r="N37921" s="14"/>
      <c r="O37921" s="14"/>
      <c r="P37921" s="13"/>
    </row>
    <row r="37922">
      <c r="L37922" s="13"/>
      <c r="M37922" s="14"/>
      <c r="N37922" s="14"/>
      <c r="O37922" s="14"/>
      <c r="P37922" s="13"/>
    </row>
    <row r="37923">
      <c r="L37923" s="13"/>
      <c r="M37923" s="14"/>
      <c r="N37923" s="14"/>
      <c r="O37923" s="14"/>
      <c r="P37923" s="13"/>
    </row>
    <row r="37924">
      <c r="L37924" s="13"/>
      <c r="M37924" s="14"/>
      <c r="N37924" s="14"/>
      <c r="O37924" s="14"/>
      <c r="P37924" s="13"/>
    </row>
    <row r="37925">
      <c r="L37925" s="13"/>
      <c r="M37925" s="14"/>
      <c r="N37925" s="14"/>
      <c r="O37925" s="14"/>
      <c r="P37925" s="13"/>
    </row>
    <row r="37926">
      <c r="L37926" s="13"/>
      <c r="M37926" s="14"/>
      <c r="N37926" s="14"/>
      <c r="O37926" s="14"/>
      <c r="P37926" s="13"/>
    </row>
    <row r="37927">
      <c r="L37927" s="13"/>
      <c r="M37927" s="14"/>
      <c r="N37927" s="14"/>
      <c r="O37927" s="14"/>
      <c r="P37927" s="13"/>
    </row>
    <row r="37928">
      <c r="L37928" s="13"/>
      <c r="M37928" s="14"/>
      <c r="N37928" s="14"/>
      <c r="O37928" s="14"/>
      <c r="P37928" s="13"/>
    </row>
    <row r="37929">
      <c r="L37929" s="13"/>
      <c r="M37929" s="14"/>
      <c r="N37929" s="14"/>
      <c r="O37929" s="14"/>
      <c r="P37929" s="13"/>
    </row>
    <row r="37930">
      <c r="L37930" s="13"/>
      <c r="M37930" s="14"/>
      <c r="N37930" s="14"/>
      <c r="O37930" s="14"/>
      <c r="P37930" s="13"/>
    </row>
    <row r="37931">
      <c r="L37931" s="13"/>
      <c r="M37931" s="14"/>
      <c r="N37931" s="14"/>
      <c r="O37931" s="14"/>
      <c r="P37931" s="13"/>
    </row>
    <row r="37932">
      <c r="L37932" s="13"/>
      <c r="M37932" s="14"/>
      <c r="N37932" s="14"/>
      <c r="O37932" s="14"/>
      <c r="P37932" s="13"/>
    </row>
    <row r="37933">
      <c r="L37933" s="13"/>
      <c r="M37933" s="14"/>
      <c r="N37933" s="14"/>
      <c r="O37933" s="14"/>
      <c r="P37933" s="13"/>
    </row>
    <row r="37934">
      <c r="L37934" s="13"/>
      <c r="M37934" s="14"/>
      <c r="N37934" s="14"/>
      <c r="O37934" s="14"/>
      <c r="P37934" s="13"/>
    </row>
    <row r="37935">
      <c r="L37935" s="13"/>
      <c r="M37935" s="14"/>
      <c r="N37935" s="14"/>
      <c r="O37935" s="14"/>
      <c r="P37935" s="13"/>
    </row>
    <row r="37936">
      <c r="L37936" s="13"/>
      <c r="M37936" s="14"/>
      <c r="N37936" s="14"/>
      <c r="O37936" s="14"/>
      <c r="P37936" s="13"/>
    </row>
    <row r="37937">
      <c r="L37937" s="13"/>
      <c r="M37937" s="14"/>
      <c r="N37937" s="14"/>
      <c r="O37937" s="14"/>
      <c r="P37937" s="13"/>
    </row>
    <row r="37938">
      <c r="L37938" s="13"/>
      <c r="M37938" s="14"/>
      <c r="N37938" s="14"/>
      <c r="O37938" s="14"/>
      <c r="P37938" s="13"/>
    </row>
    <row r="37939">
      <c r="L37939" s="13"/>
      <c r="M37939" s="14"/>
      <c r="N37939" s="14"/>
      <c r="O37939" s="14"/>
      <c r="P37939" s="13"/>
    </row>
    <row r="37940">
      <c r="L37940" s="13"/>
      <c r="M37940" s="14"/>
      <c r="N37940" s="14"/>
      <c r="O37940" s="14"/>
      <c r="P37940" s="13"/>
    </row>
    <row r="37941">
      <c r="L37941" s="13"/>
      <c r="M37941" s="14"/>
      <c r="N37941" s="14"/>
      <c r="O37941" s="14"/>
      <c r="P37941" s="13"/>
    </row>
    <row r="37942">
      <c r="L37942" s="13"/>
      <c r="M37942" s="14"/>
      <c r="N37942" s="14"/>
      <c r="O37942" s="14"/>
      <c r="P37942" s="13"/>
    </row>
    <row r="37943">
      <c r="L37943" s="13"/>
      <c r="M37943" s="14"/>
      <c r="N37943" s="14"/>
      <c r="O37943" s="14"/>
      <c r="P37943" s="13"/>
    </row>
    <row r="37944">
      <c r="L37944" s="13"/>
      <c r="M37944" s="14"/>
      <c r="N37944" s="14"/>
      <c r="O37944" s="14"/>
      <c r="P37944" s="13"/>
    </row>
    <row r="37945">
      <c r="L37945" s="13"/>
      <c r="M37945" s="14"/>
      <c r="N37945" s="14"/>
      <c r="O37945" s="14"/>
      <c r="P37945" s="13"/>
    </row>
    <row r="37946">
      <c r="L37946" s="13"/>
      <c r="M37946" s="14"/>
      <c r="N37946" s="14"/>
      <c r="O37946" s="14"/>
      <c r="P37946" s="13"/>
    </row>
    <row r="37947">
      <c r="L37947" s="13"/>
      <c r="M37947" s="14"/>
      <c r="N37947" s="14"/>
      <c r="O37947" s="14"/>
      <c r="P37947" s="13"/>
    </row>
    <row r="37948">
      <c r="L37948" s="13"/>
      <c r="M37948" s="14"/>
      <c r="N37948" s="14"/>
      <c r="O37948" s="14"/>
      <c r="P37948" s="13"/>
    </row>
    <row r="37949">
      <c r="L37949" s="13"/>
      <c r="M37949" s="14"/>
      <c r="N37949" s="14"/>
      <c r="O37949" s="14"/>
      <c r="P37949" s="13"/>
    </row>
    <row r="37950">
      <c r="L37950" s="13"/>
      <c r="M37950" s="14"/>
      <c r="N37950" s="14"/>
      <c r="O37950" s="14"/>
      <c r="P37950" s="13"/>
    </row>
    <row r="37951">
      <c r="L37951" s="13"/>
      <c r="M37951" s="14"/>
      <c r="N37951" s="14"/>
      <c r="O37951" s="14"/>
      <c r="P37951" s="13"/>
    </row>
    <row r="37952">
      <c r="L37952" s="13"/>
      <c r="M37952" s="14"/>
      <c r="N37952" s="14"/>
      <c r="O37952" s="14"/>
      <c r="P37952" s="13"/>
    </row>
    <row r="37953">
      <c r="L37953" s="13"/>
      <c r="M37953" s="14"/>
      <c r="N37953" s="14"/>
      <c r="O37953" s="14"/>
      <c r="P37953" s="13"/>
    </row>
    <row r="37954">
      <c r="L37954" s="13"/>
      <c r="M37954" s="14"/>
      <c r="N37954" s="14"/>
      <c r="O37954" s="14"/>
      <c r="P37954" s="13"/>
    </row>
    <row r="37955">
      <c r="L37955" s="13"/>
      <c r="M37955" s="14"/>
      <c r="N37955" s="14"/>
      <c r="O37955" s="14"/>
      <c r="P37955" s="13"/>
    </row>
    <row r="37956">
      <c r="L37956" s="13"/>
      <c r="M37956" s="14"/>
      <c r="N37956" s="14"/>
      <c r="O37956" s="14"/>
      <c r="P37956" s="13"/>
    </row>
    <row r="37957">
      <c r="L37957" s="13"/>
      <c r="M37957" s="14"/>
      <c r="N37957" s="14"/>
      <c r="O37957" s="14"/>
      <c r="P37957" s="13"/>
    </row>
    <row r="37958">
      <c r="L37958" s="13"/>
      <c r="M37958" s="14"/>
      <c r="N37958" s="14"/>
      <c r="O37958" s="14"/>
      <c r="P37958" s="13"/>
    </row>
    <row r="37959">
      <c r="L37959" s="13"/>
      <c r="M37959" s="14"/>
      <c r="N37959" s="14"/>
      <c r="O37959" s="14"/>
      <c r="P37959" s="13"/>
    </row>
    <row r="37960">
      <c r="L37960" s="13"/>
      <c r="M37960" s="14"/>
      <c r="N37960" s="14"/>
      <c r="O37960" s="14"/>
      <c r="P37960" s="13"/>
    </row>
    <row r="37961">
      <c r="L37961" s="13"/>
      <c r="M37961" s="14"/>
      <c r="N37961" s="14"/>
      <c r="O37961" s="14"/>
      <c r="P37961" s="13"/>
    </row>
    <row r="37962">
      <c r="L37962" s="13"/>
      <c r="M37962" s="14"/>
      <c r="N37962" s="14"/>
      <c r="O37962" s="14"/>
      <c r="P37962" s="13"/>
    </row>
    <row r="37963">
      <c r="L37963" s="13"/>
      <c r="M37963" s="14"/>
      <c r="N37963" s="14"/>
      <c r="O37963" s="14"/>
      <c r="P37963" s="13"/>
    </row>
    <row r="37964">
      <c r="L37964" s="13"/>
      <c r="M37964" s="14"/>
      <c r="N37964" s="14"/>
      <c r="O37964" s="14"/>
      <c r="P37964" s="13"/>
    </row>
    <row r="37965">
      <c r="L37965" s="13"/>
      <c r="M37965" s="14"/>
      <c r="N37965" s="14"/>
      <c r="O37965" s="14"/>
      <c r="P37965" s="13"/>
    </row>
    <row r="37966">
      <c r="L37966" s="13"/>
      <c r="M37966" s="14"/>
      <c r="N37966" s="14"/>
      <c r="O37966" s="14"/>
      <c r="P37966" s="13"/>
    </row>
    <row r="37967">
      <c r="L37967" s="13"/>
      <c r="M37967" s="14"/>
      <c r="N37967" s="14"/>
      <c r="O37967" s="14"/>
      <c r="P37967" s="13"/>
    </row>
    <row r="37968">
      <c r="L37968" s="13"/>
      <c r="M37968" s="14"/>
      <c r="N37968" s="14"/>
      <c r="O37968" s="14"/>
      <c r="P37968" s="13"/>
    </row>
    <row r="37969">
      <c r="L37969" s="13"/>
      <c r="M37969" s="14"/>
      <c r="N37969" s="14"/>
      <c r="O37969" s="14"/>
      <c r="P37969" s="13"/>
    </row>
    <row r="37970">
      <c r="L37970" s="13"/>
      <c r="M37970" s="14"/>
      <c r="N37970" s="14"/>
      <c r="O37970" s="14"/>
      <c r="P37970" s="13"/>
    </row>
    <row r="37971">
      <c r="L37971" s="13"/>
      <c r="M37971" s="14"/>
      <c r="N37971" s="14"/>
      <c r="O37971" s="14"/>
      <c r="P37971" s="13"/>
    </row>
    <row r="37972">
      <c r="L37972" s="13"/>
      <c r="M37972" s="14"/>
      <c r="N37972" s="14"/>
      <c r="O37972" s="14"/>
      <c r="P37972" s="13"/>
    </row>
    <row r="37973">
      <c r="L37973" s="13"/>
      <c r="M37973" s="14"/>
      <c r="N37973" s="14"/>
      <c r="O37973" s="14"/>
      <c r="P37973" s="13"/>
    </row>
    <row r="37974">
      <c r="L37974" s="13"/>
      <c r="M37974" s="14"/>
      <c r="N37974" s="14"/>
      <c r="O37974" s="14"/>
      <c r="P37974" s="13"/>
    </row>
    <row r="37975">
      <c r="L37975" s="13"/>
      <c r="M37975" s="14"/>
      <c r="N37975" s="14"/>
      <c r="O37975" s="14"/>
      <c r="P37975" s="13"/>
    </row>
    <row r="37976">
      <c r="L37976" s="13"/>
      <c r="M37976" s="14"/>
      <c r="N37976" s="14"/>
      <c r="O37976" s="14"/>
      <c r="P37976" s="13"/>
    </row>
    <row r="37977">
      <c r="L37977" s="13"/>
      <c r="M37977" s="14"/>
      <c r="N37977" s="14"/>
      <c r="O37977" s="14"/>
      <c r="P37977" s="13"/>
    </row>
    <row r="37978">
      <c r="L37978" s="13"/>
      <c r="M37978" s="14"/>
      <c r="N37978" s="14"/>
      <c r="O37978" s="14"/>
      <c r="P37978" s="13"/>
    </row>
    <row r="37979">
      <c r="L37979" s="13"/>
      <c r="M37979" s="14"/>
      <c r="N37979" s="14"/>
      <c r="O37979" s="14"/>
      <c r="P37979" s="13"/>
    </row>
    <row r="37980">
      <c r="L37980" s="13"/>
      <c r="M37980" s="14"/>
      <c r="N37980" s="14"/>
      <c r="O37980" s="14"/>
      <c r="P37980" s="13"/>
    </row>
    <row r="37981">
      <c r="L37981" s="13"/>
      <c r="M37981" s="14"/>
      <c r="N37981" s="14"/>
      <c r="O37981" s="14"/>
      <c r="P37981" s="13"/>
    </row>
    <row r="37982">
      <c r="L37982" s="13"/>
      <c r="M37982" s="14"/>
      <c r="N37982" s="14"/>
      <c r="O37982" s="14"/>
      <c r="P37982" s="13"/>
    </row>
    <row r="37983">
      <c r="L37983" s="13"/>
      <c r="M37983" s="14"/>
      <c r="N37983" s="14"/>
      <c r="O37983" s="14"/>
      <c r="P37983" s="13"/>
    </row>
    <row r="37984">
      <c r="L37984" s="13"/>
      <c r="M37984" s="14"/>
      <c r="N37984" s="14"/>
      <c r="O37984" s="14"/>
      <c r="P37984" s="13"/>
    </row>
    <row r="37985">
      <c r="L37985" s="13"/>
      <c r="M37985" s="14"/>
      <c r="N37985" s="14"/>
      <c r="O37985" s="14"/>
      <c r="P37985" s="13"/>
    </row>
    <row r="37986">
      <c r="L37986" s="13"/>
      <c r="M37986" s="14"/>
      <c r="N37986" s="14"/>
      <c r="O37986" s="14"/>
      <c r="P37986" s="13"/>
    </row>
    <row r="37987">
      <c r="L37987" s="13"/>
      <c r="M37987" s="14"/>
      <c r="N37987" s="14"/>
      <c r="O37987" s="14"/>
      <c r="P37987" s="13"/>
    </row>
    <row r="37988">
      <c r="L37988" s="13"/>
      <c r="M37988" s="14"/>
      <c r="N37988" s="14"/>
      <c r="O37988" s="14"/>
      <c r="P37988" s="13"/>
    </row>
    <row r="37989">
      <c r="L37989" s="13"/>
      <c r="M37989" s="14"/>
      <c r="N37989" s="14"/>
      <c r="O37989" s="14"/>
      <c r="P37989" s="13"/>
    </row>
    <row r="37990">
      <c r="L37990" s="13"/>
      <c r="M37990" s="14"/>
      <c r="N37990" s="14"/>
      <c r="O37990" s="14"/>
      <c r="P37990" s="13"/>
    </row>
    <row r="37991">
      <c r="L37991" s="13"/>
      <c r="M37991" s="14"/>
      <c r="N37991" s="14"/>
      <c r="O37991" s="14"/>
      <c r="P37991" s="13"/>
    </row>
    <row r="37992">
      <c r="L37992" s="13"/>
      <c r="M37992" s="14"/>
      <c r="N37992" s="14"/>
      <c r="O37992" s="14"/>
      <c r="P37992" s="13"/>
    </row>
    <row r="37993">
      <c r="L37993" s="13"/>
      <c r="M37993" s="14"/>
      <c r="N37993" s="14"/>
      <c r="O37993" s="14"/>
      <c r="P37993" s="13"/>
    </row>
    <row r="37994">
      <c r="L37994" s="13"/>
      <c r="M37994" s="14"/>
      <c r="N37994" s="14"/>
      <c r="O37994" s="14"/>
      <c r="P37994" s="13"/>
    </row>
    <row r="37995">
      <c r="L37995" s="13"/>
      <c r="M37995" s="14"/>
      <c r="N37995" s="14"/>
      <c r="O37995" s="14"/>
      <c r="P37995" s="13"/>
    </row>
    <row r="37996">
      <c r="L37996" s="13"/>
      <c r="M37996" s="14"/>
      <c r="N37996" s="14"/>
      <c r="O37996" s="14"/>
      <c r="P37996" s="13"/>
    </row>
    <row r="37997">
      <c r="L37997" s="13"/>
      <c r="M37997" s="14"/>
      <c r="N37997" s="14"/>
      <c r="O37997" s="14"/>
      <c r="P37997" s="13"/>
    </row>
    <row r="37998">
      <c r="L37998" s="13"/>
      <c r="M37998" s="14"/>
      <c r="N37998" s="14"/>
      <c r="O37998" s="14"/>
      <c r="P37998" s="13"/>
    </row>
    <row r="37999">
      <c r="L37999" s="13"/>
      <c r="M37999" s="14"/>
      <c r="N37999" s="14"/>
      <c r="O37999" s="14"/>
      <c r="P37999" s="13"/>
    </row>
    <row r="38000">
      <c r="L38000" s="13"/>
      <c r="M38000" s="14"/>
      <c r="N38000" s="14"/>
      <c r="O38000" s="14"/>
      <c r="P38000" s="13"/>
    </row>
    <row r="38001">
      <c r="L38001" s="13"/>
      <c r="M38001" s="14"/>
      <c r="N38001" s="14"/>
      <c r="O38001" s="14"/>
      <c r="P38001" s="13"/>
    </row>
    <row r="38002">
      <c r="L38002" s="13"/>
      <c r="M38002" s="14"/>
      <c r="N38002" s="14"/>
      <c r="O38002" s="14"/>
      <c r="P38002" s="13"/>
    </row>
    <row r="38003">
      <c r="L38003" s="13"/>
      <c r="M38003" s="14"/>
      <c r="N38003" s="14"/>
      <c r="O38003" s="14"/>
      <c r="P38003" s="13"/>
    </row>
    <row r="38004">
      <c r="L38004" s="13"/>
      <c r="M38004" s="14"/>
      <c r="N38004" s="14"/>
      <c r="O38004" s="14"/>
      <c r="P38004" s="13"/>
    </row>
    <row r="38005">
      <c r="L38005" s="13"/>
      <c r="M38005" s="14"/>
      <c r="N38005" s="14"/>
      <c r="O38005" s="14"/>
      <c r="P38005" s="13"/>
    </row>
    <row r="38006">
      <c r="L38006" s="13"/>
      <c r="M38006" s="14"/>
      <c r="N38006" s="14"/>
      <c r="O38006" s="14"/>
      <c r="P38006" s="13"/>
    </row>
    <row r="38007">
      <c r="L38007" s="13"/>
      <c r="M38007" s="14"/>
      <c r="N38007" s="14"/>
      <c r="O38007" s="14"/>
      <c r="P38007" s="13"/>
    </row>
    <row r="38008">
      <c r="L38008" s="13"/>
      <c r="M38008" s="14"/>
      <c r="N38008" s="14"/>
      <c r="O38008" s="14"/>
      <c r="P38008" s="13"/>
    </row>
    <row r="38009">
      <c r="L38009" s="13"/>
      <c r="M38009" s="14"/>
      <c r="N38009" s="14"/>
      <c r="O38009" s="14"/>
      <c r="P38009" s="13"/>
    </row>
    <row r="38010">
      <c r="L38010" s="13"/>
      <c r="M38010" s="14"/>
      <c r="N38010" s="14"/>
      <c r="O38010" s="14"/>
      <c r="P38010" s="13"/>
    </row>
    <row r="38011">
      <c r="L38011" s="13"/>
      <c r="M38011" s="14"/>
      <c r="N38011" s="14"/>
      <c r="O38011" s="14"/>
      <c r="P38011" s="13"/>
    </row>
    <row r="38012">
      <c r="L38012" s="13"/>
      <c r="M38012" s="14"/>
      <c r="N38012" s="14"/>
      <c r="O38012" s="14"/>
      <c r="P38012" s="13"/>
    </row>
    <row r="38013">
      <c r="L38013" s="13"/>
      <c r="M38013" s="14"/>
      <c r="N38013" s="14"/>
      <c r="O38013" s="14"/>
      <c r="P38013" s="13"/>
    </row>
    <row r="38014">
      <c r="L38014" s="13"/>
      <c r="M38014" s="14"/>
      <c r="N38014" s="14"/>
      <c r="O38014" s="14"/>
      <c r="P38014" s="13"/>
    </row>
    <row r="38015">
      <c r="L38015" s="13"/>
      <c r="M38015" s="14"/>
      <c r="N38015" s="14"/>
      <c r="O38015" s="14"/>
      <c r="P38015" s="13"/>
    </row>
    <row r="38016">
      <c r="L38016" s="13"/>
      <c r="M38016" s="14"/>
      <c r="N38016" s="14"/>
      <c r="O38016" s="14"/>
      <c r="P38016" s="13"/>
    </row>
    <row r="38017">
      <c r="L38017" s="13"/>
      <c r="M38017" s="14"/>
      <c r="N38017" s="14"/>
      <c r="O38017" s="14"/>
      <c r="P38017" s="13"/>
    </row>
    <row r="38018">
      <c r="L38018" s="13"/>
      <c r="M38018" s="14"/>
      <c r="N38018" s="14"/>
      <c r="O38018" s="14"/>
      <c r="P38018" s="13"/>
    </row>
    <row r="38019">
      <c r="L38019" s="13"/>
      <c r="M38019" s="14"/>
      <c r="N38019" s="14"/>
      <c r="O38019" s="14"/>
      <c r="P38019" s="13"/>
    </row>
    <row r="38020">
      <c r="L38020" s="13"/>
      <c r="M38020" s="14"/>
      <c r="N38020" s="14"/>
      <c r="O38020" s="14"/>
      <c r="P38020" s="13"/>
    </row>
    <row r="38021">
      <c r="L38021" s="13"/>
      <c r="M38021" s="14"/>
      <c r="N38021" s="14"/>
      <c r="O38021" s="14"/>
      <c r="P38021" s="13"/>
    </row>
    <row r="38022">
      <c r="L38022" s="13"/>
      <c r="M38022" s="14"/>
      <c r="N38022" s="14"/>
      <c r="O38022" s="14"/>
      <c r="P38022" s="13"/>
    </row>
    <row r="38023">
      <c r="L38023" s="13"/>
      <c r="M38023" s="14"/>
      <c r="N38023" s="14"/>
      <c r="O38023" s="14"/>
      <c r="P38023" s="13"/>
    </row>
    <row r="38024">
      <c r="L38024" s="13"/>
      <c r="M38024" s="14"/>
      <c r="N38024" s="14"/>
      <c r="O38024" s="14"/>
      <c r="P38024" s="13"/>
    </row>
    <row r="38025">
      <c r="L38025" s="13"/>
      <c r="M38025" s="14"/>
      <c r="N38025" s="14"/>
      <c r="O38025" s="14"/>
      <c r="P38025" s="13"/>
    </row>
    <row r="38026">
      <c r="L38026" s="13"/>
      <c r="M38026" s="14"/>
      <c r="N38026" s="14"/>
      <c r="O38026" s="14"/>
      <c r="P38026" s="13"/>
    </row>
    <row r="38027">
      <c r="L38027" s="13"/>
      <c r="M38027" s="14"/>
      <c r="N38027" s="14"/>
      <c r="O38027" s="14"/>
      <c r="P38027" s="13"/>
    </row>
    <row r="38028">
      <c r="L38028" s="13"/>
      <c r="M38028" s="14"/>
      <c r="N38028" s="14"/>
      <c r="O38028" s="14"/>
      <c r="P38028" s="13"/>
    </row>
    <row r="38029">
      <c r="L38029" s="13"/>
      <c r="M38029" s="14"/>
      <c r="N38029" s="14"/>
      <c r="O38029" s="14"/>
      <c r="P38029" s="13"/>
    </row>
    <row r="38030">
      <c r="L38030" s="13"/>
      <c r="M38030" s="14"/>
      <c r="N38030" s="14"/>
      <c r="O38030" s="14"/>
      <c r="P38030" s="13"/>
    </row>
    <row r="38031">
      <c r="L38031" s="13"/>
      <c r="M38031" s="14"/>
      <c r="N38031" s="14"/>
      <c r="O38031" s="14"/>
      <c r="P38031" s="13"/>
    </row>
    <row r="38032">
      <c r="L38032" s="13"/>
      <c r="M38032" s="14"/>
      <c r="N38032" s="14"/>
      <c r="O38032" s="14"/>
      <c r="P38032" s="13"/>
    </row>
    <row r="38033">
      <c r="L38033" s="13"/>
      <c r="M38033" s="14"/>
      <c r="N38033" s="14"/>
      <c r="O38033" s="14"/>
      <c r="P38033" s="13"/>
    </row>
    <row r="38034">
      <c r="L38034" s="13"/>
      <c r="M38034" s="14"/>
      <c r="N38034" s="14"/>
      <c r="O38034" s="14"/>
      <c r="P38034" s="13"/>
    </row>
    <row r="38035">
      <c r="L38035" s="13"/>
      <c r="M38035" s="14"/>
      <c r="N38035" s="14"/>
      <c r="O38035" s="14"/>
      <c r="P38035" s="13"/>
    </row>
    <row r="38036">
      <c r="L38036" s="13"/>
      <c r="M38036" s="14"/>
      <c r="N38036" s="14"/>
      <c r="O38036" s="14"/>
      <c r="P38036" s="13"/>
    </row>
    <row r="38037">
      <c r="L38037" s="13"/>
      <c r="M38037" s="14"/>
      <c r="N38037" s="14"/>
      <c r="O38037" s="14"/>
      <c r="P38037" s="13"/>
    </row>
    <row r="38038">
      <c r="L38038" s="13"/>
      <c r="M38038" s="14"/>
      <c r="N38038" s="14"/>
      <c r="O38038" s="14"/>
      <c r="P38038" s="13"/>
    </row>
    <row r="38039">
      <c r="L38039" s="13"/>
      <c r="M38039" s="14"/>
      <c r="N38039" s="14"/>
      <c r="O38039" s="14"/>
      <c r="P38039" s="13"/>
    </row>
    <row r="38040">
      <c r="L38040" s="13"/>
      <c r="M38040" s="14"/>
      <c r="N38040" s="14"/>
      <c r="O38040" s="14"/>
      <c r="P38040" s="13"/>
    </row>
    <row r="38041">
      <c r="L38041" s="13"/>
      <c r="M38041" s="14"/>
      <c r="N38041" s="14"/>
      <c r="O38041" s="14"/>
      <c r="P38041" s="13"/>
    </row>
    <row r="38042">
      <c r="L38042" s="13"/>
      <c r="M38042" s="14"/>
      <c r="N38042" s="14"/>
      <c r="O38042" s="14"/>
      <c r="P38042" s="13"/>
    </row>
    <row r="38043">
      <c r="L38043" s="13"/>
      <c r="M38043" s="14"/>
      <c r="N38043" s="14"/>
      <c r="O38043" s="14"/>
      <c r="P38043" s="13"/>
    </row>
    <row r="38044">
      <c r="L38044" s="13"/>
      <c r="M38044" s="14"/>
      <c r="N38044" s="14"/>
      <c r="O38044" s="14"/>
      <c r="P38044" s="13"/>
    </row>
    <row r="38045">
      <c r="L38045" s="13"/>
      <c r="M38045" s="14"/>
      <c r="N38045" s="14"/>
      <c r="O38045" s="14"/>
      <c r="P38045" s="13"/>
    </row>
    <row r="38046">
      <c r="L38046" s="13"/>
      <c r="M38046" s="14"/>
      <c r="N38046" s="14"/>
      <c r="O38046" s="14"/>
      <c r="P38046" s="13"/>
    </row>
    <row r="38047">
      <c r="L38047" s="13"/>
      <c r="M38047" s="14"/>
      <c r="N38047" s="14"/>
      <c r="O38047" s="14"/>
      <c r="P38047" s="13"/>
    </row>
    <row r="38048">
      <c r="L38048" s="13"/>
      <c r="M38048" s="14"/>
      <c r="N38048" s="14"/>
      <c r="O38048" s="14"/>
      <c r="P38048" s="13"/>
    </row>
    <row r="38049">
      <c r="L38049" s="13"/>
      <c r="M38049" s="14"/>
      <c r="N38049" s="14"/>
      <c r="O38049" s="14"/>
      <c r="P38049" s="13"/>
    </row>
    <row r="38050">
      <c r="L38050" s="13"/>
      <c r="M38050" s="14"/>
      <c r="N38050" s="14"/>
      <c r="O38050" s="14"/>
      <c r="P38050" s="13"/>
    </row>
    <row r="38051">
      <c r="L38051" s="13"/>
      <c r="M38051" s="14"/>
      <c r="N38051" s="14"/>
      <c r="O38051" s="14"/>
      <c r="P38051" s="13"/>
    </row>
    <row r="38052">
      <c r="L38052" s="13"/>
      <c r="M38052" s="14"/>
      <c r="N38052" s="14"/>
      <c r="O38052" s="14"/>
      <c r="P38052" s="13"/>
    </row>
    <row r="38053">
      <c r="L38053" s="13"/>
      <c r="M38053" s="14"/>
      <c r="N38053" s="14"/>
      <c r="O38053" s="14"/>
      <c r="P38053" s="13"/>
    </row>
    <row r="38054">
      <c r="L38054" s="13"/>
      <c r="M38054" s="14"/>
      <c r="N38054" s="14"/>
      <c r="O38054" s="14"/>
      <c r="P38054" s="13"/>
    </row>
    <row r="38055">
      <c r="L38055" s="13"/>
      <c r="M38055" s="14"/>
      <c r="N38055" s="14"/>
      <c r="O38055" s="14"/>
      <c r="P38055" s="13"/>
    </row>
    <row r="38056">
      <c r="L38056" s="13"/>
      <c r="M38056" s="14"/>
      <c r="N38056" s="14"/>
      <c r="O38056" s="14"/>
      <c r="P38056" s="13"/>
    </row>
    <row r="38057">
      <c r="L38057" s="13"/>
      <c r="M38057" s="14"/>
      <c r="N38057" s="14"/>
      <c r="O38057" s="14"/>
      <c r="P38057" s="13"/>
    </row>
    <row r="38058">
      <c r="L38058" s="13"/>
      <c r="M38058" s="14"/>
      <c r="N38058" s="14"/>
      <c r="O38058" s="14"/>
      <c r="P38058" s="13"/>
    </row>
    <row r="38059">
      <c r="L38059" s="13"/>
      <c r="M38059" s="14"/>
      <c r="N38059" s="14"/>
      <c r="O38059" s="14"/>
      <c r="P38059" s="13"/>
    </row>
    <row r="38060">
      <c r="L38060" s="13"/>
      <c r="M38060" s="14"/>
      <c r="N38060" s="14"/>
      <c r="O38060" s="14"/>
      <c r="P38060" s="13"/>
    </row>
    <row r="38061">
      <c r="L38061" s="13"/>
      <c r="M38061" s="14"/>
      <c r="N38061" s="14"/>
      <c r="O38061" s="14"/>
      <c r="P38061" s="13"/>
    </row>
    <row r="38062">
      <c r="L38062" s="13"/>
      <c r="M38062" s="14"/>
      <c r="N38062" s="14"/>
      <c r="O38062" s="14"/>
      <c r="P38062" s="13"/>
    </row>
    <row r="38063">
      <c r="L38063" s="13"/>
      <c r="M38063" s="14"/>
      <c r="N38063" s="14"/>
      <c r="O38063" s="14"/>
      <c r="P38063" s="13"/>
    </row>
    <row r="38064">
      <c r="L38064" s="13"/>
      <c r="M38064" s="14"/>
      <c r="N38064" s="14"/>
      <c r="O38064" s="14"/>
      <c r="P38064" s="13"/>
    </row>
    <row r="38065">
      <c r="L38065" s="13"/>
      <c r="M38065" s="14"/>
      <c r="N38065" s="14"/>
      <c r="O38065" s="14"/>
      <c r="P38065" s="13"/>
    </row>
    <row r="38066">
      <c r="L38066" s="13"/>
      <c r="M38066" s="14"/>
      <c r="N38066" s="14"/>
      <c r="O38066" s="14"/>
      <c r="P38066" s="13"/>
    </row>
    <row r="38067">
      <c r="L38067" s="13"/>
      <c r="M38067" s="14"/>
      <c r="N38067" s="14"/>
      <c r="O38067" s="14"/>
      <c r="P38067" s="13"/>
    </row>
    <row r="38068">
      <c r="L38068" s="13"/>
      <c r="M38068" s="14"/>
      <c r="N38068" s="14"/>
      <c r="O38068" s="14"/>
      <c r="P38068" s="13"/>
    </row>
    <row r="38069">
      <c r="L38069" s="13"/>
      <c r="M38069" s="14"/>
      <c r="N38069" s="14"/>
      <c r="O38069" s="14"/>
      <c r="P38069" s="13"/>
    </row>
    <row r="38070">
      <c r="L38070" s="13"/>
      <c r="M38070" s="14"/>
      <c r="N38070" s="14"/>
      <c r="O38070" s="14"/>
      <c r="P38070" s="13"/>
    </row>
    <row r="38071">
      <c r="L38071" s="13"/>
      <c r="M38071" s="14"/>
      <c r="N38071" s="14"/>
      <c r="O38071" s="14"/>
      <c r="P38071" s="13"/>
    </row>
    <row r="38072">
      <c r="L38072" s="13"/>
      <c r="M38072" s="14"/>
      <c r="N38072" s="14"/>
      <c r="O38072" s="14"/>
      <c r="P38072" s="13"/>
    </row>
    <row r="38073">
      <c r="L38073" s="13"/>
      <c r="M38073" s="14"/>
      <c r="N38073" s="14"/>
      <c r="O38073" s="14"/>
      <c r="P38073" s="13"/>
    </row>
    <row r="38074">
      <c r="L38074" s="13"/>
      <c r="M38074" s="14"/>
      <c r="N38074" s="14"/>
      <c r="O38074" s="14"/>
      <c r="P38074" s="13"/>
    </row>
    <row r="38075">
      <c r="L38075" s="13"/>
      <c r="M38075" s="14"/>
      <c r="N38075" s="14"/>
      <c r="O38075" s="14"/>
      <c r="P38075" s="13"/>
    </row>
    <row r="38076">
      <c r="L38076" s="13"/>
      <c r="M38076" s="14"/>
      <c r="N38076" s="14"/>
      <c r="O38076" s="14"/>
      <c r="P38076" s="13"/>
    </row>
    <row r="38077">
      <c r="L38077" s="13"/>
      <c r="M38077" s="14"/>
      <c r="N38077" s="14"/>
      <c r="O38077" s="14"/>
      <c r="P38077" s="13"/>
    </row>
    <row r="38078">
      <c r="L38078" s="13"/>
      <c r="M38078" s="14"/>
      <c r="N38078" s="14"/>
      <c r="O38078" s="14"/>
      <c r="P38078" s="13"/>
    </row>
    <row r="38079">
      <c r="L38079" s="13"/>
      <c r="M38079" s="14"/>
      <c r="N38079" s="14"/>
      <c r="O38079" s="14"/>
      <c r="P38079" s="13"/>
    </row>
    <row r="38080">
      <c r="L38080" s="13"/>
      <c r="M38080" s="14"/>
      <c r="N38080" s="14"/>
      <c r="O38080" s="14"/>
      <c r="P38080" s="13"/>
    </row>
    <row r="38081">
      <c r="L38081" s="13"/>
      <c r="M38081" s="14"/>
      <c r="N38081" s="14"/>
      <c r="O38081" s="14"/>
      <c r="P38081" s="13"/>
    </row>
    <row r="38082">
      <c r="L38082" s="13"/>
      <c r="M38082" s="14"/>
      <c r="N38082" s="14"/>
      <c r="O38082" s="14"/>
      <c r="P38082" s="13"/>
    </row>
    <row r="38083">
      <c r="L38083" s="13"/>
      <c r="M38083" s="14"/>
      <c r="N38083" s="14"/>
      <c r="O38083" s="14"/>
      <c r="P38083" s="13"/>
    </row>
    <row r="38084">
      <c r="L38084" s="13"/>
      <c r="M38084" s="14"/>
      <c r="N38084" s="14"/>
      <c r="O38084" s="14"/>
      <c r="P38084" s="13"/>
    </row>
    <row r="38085">
      <c r="L38085" s="13"/>
      <c r="M38085" s="14"/>
      <c r="N38085" s="14"/>
      <c r="O38085" s="14"/>
      <c r="P38085" s="13"/>
    </row>
    <row r="38086">
      <c r="L38086" s="13"/>
      <c r="M38086" s="14"/>
      <c r="N38086" s="14"/>
      <c r="O38086" s="14"/>
      <c r="P38086" s="13"/>
    </row>
    <row r="38087">
      <c r="L38087" s="13"/>
      <c r="M38087" s="14"/>
      <c r="N38087" s="14"/>
      <c r="O38087" s="14"/>
      <c r="P38087" s="13"/>
    </row>
    <row r="38088">
      <c r="L38088" s="13"/>
      <c r="M38088" s="14"/>
      <c r="N38088" s="14"/>
      <c r="O38088" s="14"/>
      <c r="P38088" s="13"/>
    </row>
    <row r="38089">
      <c r="L38089" s="13"/>
      <c r="M38089" s="14"/>
      <c r="N38089" s="14"/>
      <c r="O38089" s="14"/>
      <c r="P38089" s="13"/>
    </row>
    <row r="38090">
      <c r="L38090" s="13"/>
      <c r="M38090" s="14"/>
      <c r="N38090" s="14"/>
      <c r="O38090" s="14"/>
      <c r="P38090" s="13"/>
    </row>
    <row r="38091">
      <c r="L38091" s="13"/>
      <c r="M38091" s="14"/>
      <c r="N38091" s="14"/>
      <c r="O38091" s="14"/>
      <c r="P38091" s="13"/>
    </row>
    <row r="38092">
      <c r="L38092" s="13"/>
      <c r="M38092" s="14"/>
      <c r="N38092" s="14"/>
      <c r="O38092" s="14"/>
      <c r="P38092" s="13"/>
    </row>
    <row r="38093">
      <c r="L38093" s="13"/>
      <c r="M38093" s="14"/>
      <c r="N38093" s="14"/>
      <c r="O38093" s="14"/>
      <c r="P38093" s="13"/>
    </row>
    <row r="38094">
      <c r="L38094" s="13"/>
      <c r="M38094" s="14"/>
      <c r="N38094" s="14"/>
      <c r="O38094" s="14"/>
      <c r="P38094" s="13"/>
    </row>
    <row r="38095">
      <c r="L38095" s="13"/>
      <c r="M38095" s="14"/>
      <c r="N38095" s="14"/>
      <c r="O38095" s="14"/>
      <c r="P38095" s="13"/>
    </row>
    <row r="38096">
      <c r="L38096" s="13"/>
      <c r="M38096" s="14"/>
      <c r="N38096" s="14"/>
      <c r="O38096" s="14"/>
      <c r="P38096" s="13"/>
    </row>
    <row r="38097">
      <c r="L38097" s="13"/>
      <c r="M38097" s="14"/>
      <c r="N38097" s="14"/>
      <c r="O38097" s="14"/>
      <c r="P38097" s="13"/>
    </row>
    <row r="38098">
      <c r="L38098" s="13"/>
      <c r="M38098" s="14"/>
      <c r="N38098" s="14"/>
      <c r="O38098" s="14"/>
      <c r="P38098" s="13"/>
    </row>
    <row r="38099">
      <c r="L38099" s="13"/>
      <c r="M38099" s="14"/>
      <c r="N38099" s="14"/>
      <c r="O38099" s="14"/>
      <c r="P38099" s="13"/>
    </row>
    <row r="38100">
      <c r="L38100" s="13"/>
      <c r="M38100" s="14"/>
      <c r="N38100" s="14"/>
      <c r="O38100" s="14"/>
      <c r="P38100" s="13"/>
    </row>
    <row r="38101">
      <c r="L38101" s="13"/>
      <c r="M38101" s="14"/>
      <c r="N38101" s="14"/>
      <c r="O38101" s="14"/>
      <c r="P38101" s="13"/>
    </row>
    <row r="38102">
      <c r="L38102" s="13"/>
      <c r="M38102" s="14"/>
      <c r="N38102" s="14"/>
      <c r="O38102" s="14"/>
      <c r="P38102" s="13"/>
    </row>
    <row r="38103">
      <c r="L38103" s="13"/>
      <c r="M38103" s="14"/>
      <c r="N38103" s="14"/>
      <c r="O38103" s="14"/>
      <c r="P38103" s="13"/>
    </row>
    <row r="38104">
      <c r="L38104" s="13"/>
      <c r="M38104" s="14"/>
      <c r="N38104" s="14"/>
      <c r="O38104" s="14"/>
      <c r="P38104" s="13"/>
    </row>
    <row r="38105">
      <c r="L38105" s="13"/>
      <c r="M38105" s="14"/>
      <c r="N38105" s="14"/>
      <c r="O38105" s="14"/>
      <c r="P38105" s="13"/>
    </row>
    <row r="38106">
      <c r="L38106" s="13"/>
      <c r="M38106" s="14"/>
      <c r="N38106" s="14"/>
      <c r="O38106" s="14"/>
      <c r="P38106" s="13"/>
    </row>
    <row r="38107">
      <c r="L38107" s="13"/>
      <c r="M38107" s="14"/>
      <c r="N38107" s="14"/>
      <c r="O38107" s="14"/>
      <c r="P38107" s="13"/>
    </row>
    <row r="38108">
      <c r="L38108" s="13"/>
      <c r="M38108" s="14"/>
      <c r="N38108" s="14"/>
      <c r="O38108" s="14"/>
      <c r="P38108" s="13"/>
    </row>
    <row r="38109">
      <c r="L38109" s="13"/>
      <c r="M38109" s="14"/>
      <c r="N38109" s="14"/>
      <c r="O38109" s="14"/>
      <c r="P38109" s="13"/>
    </row>
    <row r="38110">
      <c r="L38110" s="13"/>
      <c r="M38110" s="14"/>
      <c r="N38110" s="14"/>
      <c r="O38110" s="14"/>
      <c r="P38110" s="13"/>
    </row>
    <row r="38111">
      <c r="L38111" s="13"/>
      <c r="M38111" s="14"/>
      <c r="N38111" s="14"/>
      <c r="O38111" s="14"/>
      <c r="P38111" s="13"/>
    </row>
    <row r="38112">
      <c r="L38112" s="13"/>
      <c r="M38112" s="14"/>
      <c r="N38112" s="14"/>
      <c r="O38112" s="14"/>
      <c r="P38112" s="13"/>
    </row>
    <row r="38113">
      <c r="L38113" s="13"/>
      <c r="M38113" s="14"/>
      <c r="N38113" s="14"/>
      <c r="O38113" s="14"/>
      <c r="P38113" s="13"/>
    </row>
    <row r="38114">
      <c r="L38114" s="13"/>
      <c r="M38114" s="14"/>
      <c r="N38114" s="14"/>
      <c r="O38114" s="14"/>
      <c r="P38114" s="13"/>
    </row>
    <row r="38115">
      <c r="L38115" s="13"/>
      <c r="M38115" s="14"/>
      <c r="N38115" s="14"/>
      <c r="O38115" s="14"/>
      <c r="P38115" s="13"/>
    </row>
    <row r="38116">
      <c r="L38116" s="13"/>
      <c r="M38116" s="14"/>
      <c r="N38116" s="14"/>
      <c r="O38116" s="14"/>
      <c r="P38116" s="13"/>
    </row>
    <row r="38117">
      <c r="L38117" s="13"/>
      <c r="M38117" s="14"/>
      <c r="N38117" s="14"/>
      <c r="O38117" s="14"/>
      <c r="P38117" s="13"/>
    </row>
    <row r="38118">
      <c r="L38118" s="13"/>
      <c r="M38118" s="14"/>
      <c r="N38118" s="14"/>
      <c r="O38118" s="14"/>
      <c r="P38118" s="13"/>
    </row>
    <row r="38119">
      <c r="L38119" s="13"/>
      <c r="M38119" s="14"/>
      <c r="N38119" s="14"/>
      <c r="O38119" s="14"/>
      <c r="P38119" s="13"/>
    </row>
    <row r="38120">
      <c r="L38120" s="13"/>
      <c r="M38120" s="14"/>
      <c r="N38120" s="14"/>
      <c r="O38120" s="14"/>
      <c r="P38120" s="13"/>
    </row>
    <row r="38121">
      <c r="L38121" s="13"/>
      <c r="M38121" s="14"/>
      <c r="N38121" s="14"/>
      <c r="O38121" s="14"/>
      <c r="P38121" s="13"/>
    </row>
    <row r="38122">
      <c r="L38122" s="13"/>
      <c r="M38122" s="14"/>
      <c r="N38122" s="14"/>
      <c r="O38122" s="14"/>
      <c r="P38122" s="13"/>
    </row>
    <row r="38123">
      <c r="L38123" s="13"/>
      <c r="M38123" s="14"/>
      <c r="N38123" s="14"/>
      <c r="O38123" s="14"/>
      <c r="P38123" s="13"/>
    </row>
    <row r="38124">
      <c r="L38124" s="13"/>
      <c r="M38124" s="14"/>
      <c r="N38124" s="14"/>
      <c r="O38124" s="14"/>
      <c r="P38124" s="13"/>
    </row>
    <row r="38125">
      <c r="L38125" s="13"/>
      <c r="M38125" s="14"/>
      <c r="N38125" s="14"/>
      <c r="O38125" s="14"/>
      <c r="P38125" s="13"/>
    </row>
    <row r="38126">
      <c r="L38126" s="13"/>
      <c r="M38126" s="14"/>
      <c r="N38126" s="14"/>
      <c r="O38126" s="14"/>
      <c r="P38126" s="13"/>
    </row>
    <row r="38127">
      <c r="L38127" s="13"/>
      <c r="M38127" s="14"/>
      <c r="N38127" s="14"/>
      <c r="O38127" s="14"/>
      <c r="P38127" s="13"/>
    </row>
    <row r="38128">
      <c r="L38128" s="13"/>
      <c r="M38128" s="14"/>
      <c r="N38128" s="14"/>
      <c r="O38128" s="14"/>
      <c r="P38128" s="13"/>
    </row>
    <row r="38129">
      <c r="L38129" s="13"/>
      <c r="M38129" s="14"/>
      <c r="N38129" s="14"/>
      <c r="O38129" s="14"/>
      <c r="P38129" s="13"/>
    </row>
    <row r="38130">
      <c r="L38130" s="13"/>
      <c r="M38130" s="14"/>
      <c r="N38130" s="14"/>
      <c r="O38130" s="14"/>
      <c r="P38130" s="13"/>
    </row>
    <row r="38131">
      <c r="L38131" s="13"/>
      <c r="M38131" s="14"/>
      <c r="N38131" s="14"/>
      <c r="O38131" s="14"/>
      <c r="P38131" s="13"/>
    </row>
    <row r="38132">
      <c r="L38132" s="13"/>
      <c r="M38132" s="14"/>
      <c r="N38132" s="14"/>
      <c r="O38132" s="14"/>
      <c r="P38132" s="13"/>
    </row>
    <row r="38133">
      <c r="L38133" s="13"/>
      <c r="M38133" s="14"/>
      <c r="N38133" s="14"/>
      <c r="O38133" s="14"/>
      <c r="P38133" s="13"/>
    </row>
    <row r="38134">
      <c r="L38134" s="13"/>
      <c r="M38134" s="14"/>
      <c r="N38134" s="14"/>
      <c r="O38134" s="14"/>
      <c r="P38134" s="13"/>
    </row>
    <row r="38135">
      <c r="L38135" s="13"/>
      <c r="M38135" s="14"/>
      <c r="N38135" s="14"/>
      <c r="O38135" s="14"/>
      <c r="P38135" s="13"/>
    </row>
    <row r="38136">
      <c r="L38136" s="13"/>
      <c r="M38136" s="14"/>
      <c r="N38136" s="14"/>
      <c r="O38136" s="14"/>
      <c r="P38136" s="13"/>
    </row>
    <row r="38137">
      <c r="L38137" s="13"/>
      <c r="M38137" s="14"/>
      <c r="N38137" s="14"/>
      <c r="O38137" s="14"/>
      <c r="P38137" s="13"/>
    </row>
    <row r="38138">
      <c r="L38138" s="13"/>
      <c r="M38138" s="14"/>
      <c r="N38138" s="14"/>
      <c r="O38138" s="14"/>
      <c r="P38138" s="13"/>
    </row>
    <row r="38139">
      <c r="L38139" s="13"/>
      <c r="M38139" s="14"/>
      <c r="N38139" s="14"/>
      <c r="O38139" s="14"/>
      <c r="P38139" s="13"/>
    </row>
    <row r="38140">
      <c r="L38140" s="13"/>
      <c r="M38140" s="14"/>
      <c r="N38140" s="14"/>
      <c r="O38140" s="14"/>
      <c r="P38140" s="13"/>
    </row>
    <row r="38141">
      <c r="L38141" s="13"/>
      <c r="M38141" s="14"/>
      <c r="N38141" s="14"/>
      <c r="O38141" s="14"/>
      <c r="P38141" s="13"/>
    </row>
    <row r="38142">
      <c r="L38142" s="13"/>
      <c r="M38142" s="14"/>
      <c r="N38142" s="14"/>
      <c r="O38142" s="14"/>
      <c r="P38142" s="13"/>
    </row>
    <row r="38143">
      <c r="L38143" s="13"/>
      <c r="M38143" s="14"/>
      <c r="N38143" s="14"/>
      <c r="O38143" s="14"/>
      <c r="P38143" s="13"/>
    </row>
    <row r="38144">
      <c r="L38144" s="13"/>
      <c r="M38144" s="14"/>
      <c r="N38144" s="14"/>
      <c r="O38144" s="14"/>
      <c r="P38144" s="13"/>
    </row>
    <row r="38145">
      <c r="L38145" s="13"/>
      <c r="M38145" s="14"/>
      <c r="N38145" s="14"/>
      <c r="O38145" s="14"/>
      <c r="P38145" s="13"/>
    </row>
    <row r="38146">
      <c r="L38146" s="13"/>
      <c r="M38146" s="14"/>
      <c r="N38146" s="14"/>
      <c r="O38146" s="14"/>
      <c r="P38146" s="13"/>
    </row>
    <row r="38147">
      <c r="L38147" s="13"/>
      <c r="M38147" s="14"/>
      <c r="N38147" s="14"/>
      <c r="O38147" s="14"/>
      <c r="P38147" s="13"/>
    </row>
    <row r="38148">
      <c r="L38148" s="13"/>
      <c r="M38148" s="14"/>
      <c r="N38148" s="14"/>
      <c r="O38148" s="14"/>
      <c r="P38148" s="13"/>
    </row>
    <row r="38149">
      <c r="L38149" s="13"/>
      <c r="M38149" s="14"/>
      <c r="N38149" s="14"/>
      <c r="O38149" s="14"/>
      <c r="P38149" s="13"/>
    </row>
    <row r="38150">
      <c r="L38150" s="13"/>
      <c r="M38150" s="14"/>
      <c r="N38150" s="14"/>
      <c r="O38150" s="14"/>
      <c r="P38150" s="13"/>
    </row>
    <row r="38151">
      <c r="L38151" s="13"/>
      <c r="M38151" s="14"/>
      <c r="N38151" s="14"/>
      <c r="O38151" s="14"/>
      <c r="P38151" s="13"/>
    </row>
    <row r="38152">
      <c r="L38152" s="13"/>
      <c r="M38152" s="14"/>
      <c r="N38152" s="14"/>
      <c r="O38152" s="14"/>
      <c r="P38152" s="13"/>
    </row>
    <row r="38153">
      <c r="L38153" s="13"/>
      <c r="M38153" s="14"/>
      <c r="N38153" s="14"/>
      <c r="O38153" s="14"/>
      <c r="P38153" s="13"/>
    </row>
    <row r="38154">
      <c r="L38154" s="13"/>
      <c r="M38154" s="14"/>
      <c r="N38154" s="14"/>
      <c r="O38154" s="14"/>
      <c r="P38154" s="13"/>
    </row>
    <row r="38155">
      <c r="L38155" s="13"/>
      <c r="M38155" s="14"/>
      <c r="N38155" s="14"/>
      <c r="O38155" s="14"/>
      <c r="P38155" s="13"/>
    </row>
    <row r="38156">
      <c r="L38156" s="13"/>
      <c r="M38156" s="14"/>
      <c r="N38156" s="14"/>
      <c r="O38156" s="14"/>
      <c r="P38156" s="13"/>
    </row>
    <row r="38157">
      <c r="L38157" s="13"/>
      <c r="M38157" s="14"/>
      <c r="N38157" s="14"/>
      <c r="O38157" s="14"/>
      <c r="P38157" s="13"/>
    </row>
    <row r="38158">
      <c r="L38158" s="13"/>
      <c r="M38158" s="14"/>
      <c r="N38158" s="14"/>
      <c r="O38158" s="14"/>
      <c r="P38158" s="13"/>
    </row>
    <row r="38159">
      <c r="L38159" s="13"/>
      <c r="M38159" s="14"/>
      <c r="N38159" s="14"/>
      <c r="O38159" s="14"/>
      <c r="P38159" s="13"/>
    </row>
    <row r="38160">
      <c r="L38160" s="13"/>
      <c r="M38160" s="14"/>
      <c r="N38160" s="14"/>
      <c r="O38160" s="14"/>
      <c r="P38160" s="13"/>
    </row>
    <row r="38161">
      <c r="L38161" s="13"/>
      <c r="M38161" s="14"/>
      <c r="N38161" s="14"/>
      <c r="O38161" s="14"/>
      <c r="P38161" s="13"/>
    </row>
    <row r="38162">
      <c r="L38162" s="13"/>
      <c r="M38162" s="14"/>
      <c r="N38162" s="14"/>
      <c r="O38162" s="14"/>
      <c r="P38162" s="13"/>
    </row>
    <row r="38163">
      <c r="L38163" s="13"/>
      <c r="M38163" s="14"/>
      <c r="N38163" s="14"/>
      <c r="O38163" s="14"/>
      <c r="P38163" s="13"/>
    </row>
    <row r="38164">
      <c r="L38164" s="13"/>
      <c r="M38164" s="14"/>
      <c r="N38164" s="14"/>
      <c r="O38164" s="14"/>
      <c r="P38164" s="13"/>
    </row>
    <row r="38165">
      <c r="L38165" s="13"/>
      <c r="M38165" s="14"/>
      <c r="N38165" s="14"/>
      <c r="O38165" s="14"/>
      <c r="P38165" s="13"/>
    </row>
    <row r="38166">
      <c r="L38166" s="13"/>
      <c r="M38166" s="14"/>
      <c r="N38166" s="14"/>
      <c r="O38166" s="14"/>
      <c r="P38166" s="13"/>
    </row>
    <row r="38167">
      <c r="L38167" s="13"/>
      <c r="M38167" s="14"/>
      <c r="N38167" s="14"/>
      <c r="O38167" s="14"/>
      <c r="P38167" s="13"/>
    </row>
    <row r="38168">
      <c r="L38168" s="13"/>
      <c r="M38168" s="14"/>
      <c r="N38168" s="14"/>
      <c r="O38168" s="14"/>
      <c r="P38168" s="13"/>
    </row>
    <row r="38169">
      <c r="L38169" s="13"/>
      <c r="M38169" s="14"/>
      <c r="N38169" s="14"/>
      <c r="O38169" s="14"/>
      <c r="P38169" s="13"/>
    </row>
    <row r="38170">
      <c r="L38170" s="13"/>
      <c r="M38170" s="14"/>
      <c r="N38170" s="14"/>
      <c r="O38170" s="14"/>
      <c r="P38170" s="13"/>
    </row>
    <row r="38171">
      <c r="L38171" s="13"/>
      <c r="M38171" s="14"/>
      <c r="N38171" s="14"/>
      <c r="O38171" s="14"/>
      <c r="P38171" s="13"/>
    </row>
    <row r="38172">
      <c r="L38172" s="13"/>
      <c r="M38172" s="14"/>
      <c r="N38172" s="14"/>
      <c r="O38172" s="14"/>
      <c r="P38172" s="13"/>
    </row>
    <row r="38173">
      <c r="L38173" s="13"/>
      <c r="M38173" s="14"/>
      <c r="N38173" s="14"/>
      <c r="O38173" s="14"/>
      <c r="P38173" s="13"/>
    </row>
    <row r="38174">
      <c r="L38174" s="13"/>
      <c r="M38174" s="14"/>
      <c r="N38174" s="14"/>
      <c r="O38174" s="14"/>
      <c r="P38174" s="13"/>
    </row>
    <row r="38175">
      <c r="L38175" s="13"/>
      <c r="M38175" s="14"/>
      <c r="N38175" s="14"/>
      <c r="O38175" s="14"/>
      <c r="P38175" s="13"/>
    </row>
    <row r="38176">
      <c r="L38176" s="13"/>
      <c r="M38176" s="14"/>
      <c r="N38176" s="14"/>
      <c r="O38176" s="14"/>
      <c r="P38176" s="13"/>
    </row>
    <row r="38177">
      <c r="L38177" s="13"/>
      <c r="M38177" s="14"/>
      <c r="N38177" s="14"/>
      <c r="O38177" s="14"/>
      <c r="P38177" s="13"/>
    </row>
    <row r="38178">
      <c r="L38178" s="13"/>
      <c r="M38178" s="14"/>
      <c r="N38178" s="14"/>
      <c r="O38178" s="14"/>
      <c r="P38178" s="13"/>
    </row>
    <row r="38179">
      <c r="L38179" s="13"/>
      <c r="M38179" s="14"/>
      <c r="N38179" s="14"/>
      <c r="O38179" s="14"/>
      <c r="P38179" s="13"/>
    </row>
    <row r="38180">
      <c r="L38180" s="13"/>
      <c r="M38180" s="14"/>
      <c r="N38180" s="14"/>
      <c r="O38180" s="14"/>
      <c r="P38180" s="13"/>
    </row>
    <row r="38181">
      <c r="L38181" s="13"/>
      <c r="M38181" s="14"/>
      <c r="N38181" s="14"/>
      <c r="O38181" s="14"/>
      <c r="P38181" s="13"/>
    </row>
    <row r="38182">
      <c r="L38182" s="13"/>
      <c r="M38182" s="14"/>
      <c r="N38182" s="14"/>
      <c r="O38182" s="14"/>
      <c r="P38182" s="13"/>
    </row>
    <row r="38183">
      <c r="L38183" s="13"/>
      <c r="M38183" s="14"/>
      <c r="N38183" s="14"/>
      <c r="O38183" s="14"/>
      <c r="P38183" s="13"/>
    </row>
    <row r="38184">
      <c r="L38184" s="13"/>
      <c r="M38184" s="14"/>
      <c r="N38184" s="14"/>
      <c r="O38184" s="14"/>
      <c r="P38184" s="13"/>
    </row>
    <row r="38185">
      <c r="L38185" s="13"/>
      <c r="M38185" s="14"/>
      <c r="N38185" s="14"/>
      <c r="O38185" s="14"/>
      <c r="P38185" s="13"/>
    </row>
    <row r="38186">
      <c r="L38186" s="13"/>
      <c r="M38186" s="14"/>
      <c r="N38186" s="14"/>
      <c r="O38186" s="14"/>
      <c r="P38186" s="13"/>
    </row>
    <row r="38187">
      <c r="L38187" s="13"/>
      <c r="M38187" s="14"/>
      <c r="N38187" s="14"/>
      <c r="O38187" s="14"/>
      <c r="P38187" s="13"/>
    </row>
    <row r="38188">
      <c r="L38188" s="13"/>
      <c r="M38188" s="14"/>
      <c r="N38188" s="14"/>
      <c r="O38188" s="14"/>
      <c r="P38188" s="13"/>
    </row>
    <row r="38189">
      <c r="L38189" s="13"/>
      <c r="M38189" s="14"/>
      <c r="N38189" s="14"/>
      <c r="O38189" s="14"/>
      <c r="P38189" s="13"/>
    </row>
    <row r="38190">
      <c r="L38190" s="13"/>
      <c r="M38190" s="14"/>
      <c r="N38190" s="14"/>
      <c r="O38190" s="14"/>
      <c r="P38190" s="13"/>
    </row>
    <row r="38191">
      <c r="L38191" s="13"/>
      <c r="M38191" s="14"/>
      <c r="N38191" s="14"/>
      <c r="O38191" s="14"/>
      <c r="P38191" s="13"/>
    </row>
    <row r="38192">
      <c r="L38192" s="13"/>
      <c r="M38192" s="14"/>
      <c r="N38192" s="14"/>
      <c r="O38192" s="14"/>
      <c r="P38192" s="13"/>
    </row>
    <row r="38193">
      <c r="L38193" s="13"/>
      <c r="M38193" s="14"/>
      <c r="N38193" s="14"/>
      <c r="O38193" s="14"/>
      <c r="P38193" s="13"/>
    </row>
    <row r="38194">
      <c r="L38194" s="13"/>
      <c r="M38194" s="14"/>
      <c r="N38194" s="14"/>
      <c r="O38194" s="14"/>
      <c r="P38194" s="13"/>
    </row>
    <row r="38195">
      <c r="L38195" s="13"/>
      <c r="M38195" s="14"/>
      <c r="N38195" s="14"/>
      <c r="O38195" s="14"/>
      <c r="P38195" s="13"/>
    </row>
    <row r="38196">
      <c r="L38196" s="13"/>
      <c r="M38196" s="14"/>
      <c r="N38196" s="14"/>
      <c r="O38196" s="14"/>
      <c r="P38196" s="13"/>
    </row>
    <row r="38197">
      <c r="L38197" s="13"/>
      <c r="M38197" s="14"/>
      <c r="N38197" s="14"/>
      <c r="O38197" s="14"/>
      <c r="P38197" s="13"/>
    </row>
    <row r="38198">
      <c r="L38198" s="13"/>
      <c r="M38198" s="14"/>
      <c r="N38198" s="14"/>
      <c r="O38198" s="14"/>
      <c r="P38198" s="13"/>
    </row>
    <row r="38199">
      <c r="L38199" s="13"/>
      <c r="M38199" s="14"/>
      <c r="N38199" s="14"/>
      <c r="O38199" s="14"/>
      <c r="P38199" s="13"/>
    </row>
    <row r="38200">
      <c r="L38200" s="13"/>
      <c r="M38200" s="14"/>
      <c r="N38200" s="14"/>
      <c r="O38200" s="14"/>
      <c r="P38200" s="13"/>
    </row>
    <row r="38201">
      <c r="L38201" s="13"/>
      <c r="M38201" s="14"/>
      <c r="N38201" s="14"/>
      <c r="O38201" s="14"/>
      <c r="P38201" s="13"/>
    </row>
    <row r="38202">
      <c r="L38202" s="13"/>
      <c r="M38202" s="14"/>
      <c r="N38202" s="14"/>
      <c r="O38202" s="14"/>
      <c r="P38202" s="13"/>
    </row>
    <row r="38203">
      <c r="L38203" s="13"/>
      <c r="M38203" s="14"/>
      <c r="N38203" s="14"/>
      <c r="O38203" s="14"/>
      <c r="P38203" s="13"/>
    </row>
    <row r="38204">
      <c r="L38204" s="13"/>
      <c r="M38204" s="14"/>
      <c r="N38204" s="14"/>
      <c r="O38204" s="14"/>
      <c r="P38204" s="13"/>
    </row>
    <row r="38205">
      <c r="L38205" s="13"/>
      <c r="M38205" s="14"/>
      <c r="N38205" s="14"/>
      <c r="O38205" s="14"/>
      <c r="P38205" s="13"/>
    </row>
    <row r="38206">
      <c r="L38206" s="13"/>
      <c r="M38206" s="14"/>
      <c r="N38206" s="14"/>
      <c r="O38206" s="14"/>
      <c r="P38206" s="13"/>
    </row>
    <row r="38207">
      <c r="L38207" s="13"/>
      <c r="M38207" s="14"/>
      <c r="N38207" s="14"/>
      <c r="O38207" s="14"/>
      <c r="P38207" s="13"/>
    </row>
    <row r="38208">
      <c r="L38208" s="13"/>
      <c r="M38208" s="14"/>
      <c r="N38208" s="14"/>
      <c r="O38208" s="14"/>
      <c r="P38208" s="13"/>
    </row>
    <row r="38209">
      <c r="L38209" s="13"/>
      <c r="M38209" s="14"/>
      <c r="N38209" s="14"/>
      <c r="O38209" s="14"/>
      <c r="P38209" s="13"/>
    </row>
    <row r="38210">
      <c r="L38210" s="13"/>
      <c r="M38210" s="14"/>
      <c r="N38210" s="14"/>
      <c r="O38210" s="14"/>
      <c r="P38210" s="13"/>
    </row>
    <row r="38211">
      <c r="L38211" s="13"/>
      <c r="M38211" s="14"/>
      <c r="N38211" s="14"/>
      <c r="O38211" s="14"/>
      <c r="P38211" s="13"/>
    </row>
    <row r="38212">
      <c r="L38212" s="13"/>
      <c r="M38212" s="14"/>
      <c r="N38212" s="14"/>
      <c r="O38212" s="14"/>
      <c r="P38212" s="13"/>
    </row>
    <row r="38213">
      <c r="L38213" s="13"/>
      <c r="M38213" s="14"/>
      <c r="N38213" s="14"/>
      <c r="O38213" s="14"/>
      <c r="P38213" s="13"/>
    </row>
    <row r="38214">
      <c r="L38214" s="13"/>
      <c r="M38214" s="14"/>
      <c r="N38214" s="14"/>
      <c r="O38214" s="14"/>
      <c r="P38214" s="13"/>
    </row>
    <row r="38215">
      <c r="L38215" s="13"/>
      <c r="M38215" s="14"/>
      <c r="N38215" s="14"/>
      <c r="O38215" s="14"/>
      <c r="P38215" s="13"/>
    </row>
    <row r="38216">
      <c r="L38216" s="13"/>
      <c r="M38216" s="14"/>
      <c r="N38216" s="14"/>
      <c r="O38216" s="14"/>
      <c r="P38216" s="13"/>
    </row>
    <row r="38217">
      <c r="L38217" s="13"/>
      <c r="M38217" s="14"/>
      <c r="N38217" s="14"/>
      <c r="O38217" s="14"/>
      <c r="P38217" s="13"/>
    </row>
    <row r="38218">
      <c r="L38218" s="13"/>
      <c r="M38218" s="14"/>
      <c r="N38218" s="14"/>
      <c r="O38218" s="14"/>
      <c r="P38218" s="13"/>
    </row>
    <row r="38219">
      <c r="L38219" s="13"/>
      <c r="M38219" s="14"/>
      <c r="N38219" s="14"/>
      <c r="O38219" s="14"/>
      <c r="P38219" s="13"/>
    </row>
    <row r="38220">
      <c r="L38220" s="13"/>
      <c r="M38220" s="14"/>
      <c r="N38220" s="14"/>
      <c r="O38220" s="14"/>
      <c r="P38220" s="13"/>
    </row>
    <row r="38221">
      <c r="L38221" s="13"/>
      <c r="M38221" s="14"/>
      <c r="N38221" s="14"/>
      <c r="O38221" s="14"/>
      <c r="P38221" s="13"/>
    </row>
    <row r="38222">
      <c r="L38222" s="13"/>
      <c r="M38222" s="14"/>
      <c r="N38222" s="14"/>
      <c r="O38222" s="14"/>
      <c r="P38222" s="13"/>
    </row>
    <row r="38223">
      <c r="L38223" s="13"/>
      <c r="M38223" s="14"/>
      <c r="N38223" s="14"/>
      <c r="O38223" s="14"/>
      <c r="P38223" s="13"/>
    </row>
    <row r="38224">
      <c r="L38224" s="13"/>
      <c r="M38224" s="14"/>
      <c r="N38224" s="14"/>
      <c r="O38224" s="14"/>
      <c r="P38224" s="13"/>
    </row>
    <row r="38225">
      <c r="L38225" s="13"/>
      <c r="M38225" s="14"/>
      <c r="N38225" s="14"/>
      <c r="O38225" s="14"/>
      <c r="P38225" s="13"/>
    </row>
    <row r="38226">
      <c r="L38226" s="13"/>
      <c r="M38226" s="14"/>
      <c r="N38226" s="14"/>
      <c r="O38226" s="14"/>
      <c r="P38226" s="13"/>
    </row>
    <row r="38227">
      <c r="L38227" s="13"/>
      <c r="M38227" s="14"/>
      <c r="N38227" s="14"/>
      <c r="O38227" s="14"/>
      <c r="P38227" s="13"/>
    </row>
    <row r="38228">
      <c r="L38228" s="13"/>
      <c r="M38228" s="14"/>
      <c r="N38228" s="14"/>
      <c r="O38228" s="14"/>
      <c r="P38228" s="13"/>
    </row>
    <row r="38229">
      <c r="L38229" s="13"/>
      <c r="M38229" s="14"/>
      <c r="N38229" s="14"/>
      <c r="O38229" s="14"/>
      <c r="P38229" s="13"/>
    </row>
    <row r="38230">
      <c r="L38230" s="13"/>
      <c r="M38230" s="14"/>
      <c r="N38230" s="14"/>
      <c r="O38230" s="14"/>
      <c r="P38230" s="13"/>
    </row>
    <row r="38231">
      <c r="L38231" s="13"/>
      <c r="M38231" s="14"/>
      <c r="N38231" s="14"/>
      <c r="O38231" s="14"/>
      <c r="P38231" s="13"/>
    </row>
    <row r="38232">
      <c r="L38232" s="13"/>
      <c r="M38232" s="14"/>
      <c r="N38232" s="14"/>
      <c r="O38232" s="14"/>
      <c r="P38232" s="13"/>
    </row>
    <row r="38233">
      <c r="L38233" s="13"/>
      <c r="M38233" s="14"/>
      <c r="N38233" s="14"/>
      <c r="O38233" s="14"/>
      <c r="P38233" s="13"/>
    </row>
    <row r="38234">
      <c r="L38234" s="13"/>
      <c r="M38234" s="14"/>
      <c r="N38234" s="14"/>
      <c r="O38234" s="14"/>
      <c r="P38234" s="13"/>
    </row>
    <row r="38235">
      <c r="L38235" s="13"/>
      <c r="M38235" s="14"/>
      <c r="N38235" s="14"/>
      <c r="O38235" s="14"/>
      <c r="P38235" s="13"/>
    </row>
    <row r="38236">
      <c r="L38236" s="13"/>
      <c r="M38236" s="14"/>
      <c r="N38236" s="14"/>
      <c r="O38236" s="14"/>
      <c r="P38236" s="13"/>
    </row>
    <row r="38237">
      <c r="L38237" s="13"/>
      <c r="M38237" s="14"/>
      <c r="N38237" s="14"/>
      <c r="O38237" s="14"/>
      <c r="P38237" s="13"/>
    </row>
    <row r="38238">
      <c r="L38238" s="13"/>
      <c r="M38238" s="14"/>
      <c r="N38238" s="14"/>
      <c r="O38238" s="14"/>
      <c r="P38238" s="13"/>
    </row>
    <row r="38239">
      <c r="L38239" s="13"/>
      <c r="M38239" s="14"/>
      <c r="N38239" s="14"/>
      <c r="O38239" s="14"/>
      <c r="P38239" s="13"/>
    </row>
    <row r="38240">
      <c r="L38240" s="13"/>
      <c r="M38240" s="14"/>
      <c r="N38240" s="14"/>
      <c r="O38240" s="14"/>
      <c r="P38240" s="13"/>
    </row>
    <row r="38241">
      <c r="L38241" s="13"/>
      <c r="M38241" s="14"/>
      <c r="N38241" s="14"/>
      <c r="O38241" s="14"/>
      <c r="P38241" s="13"/>
    </row>
    <row r="38242">
      <c r="L38242" s="13"/>
      <c r="M38242" s="14"/>
      <c r="N38242" s="14"/>
      <c r="O38242" s="14"/>
      <c r="P38242" s="13"/>
    </row>
    <row r="38243">
      <c r="L38243" s="13"/>
      <c r="M38243" s="14"/>
      <c r="N38243" s="14"/>
      <c r="O38243" s="14"/>
      <c r="P38243" s="13"/>
    </row>
    <row r="38244">
      <c r="L38244" s="13"/>
      <c r="M38244" s="14"/>
      <c r="N38244" s="14"/>
      <c r="O38244" s="14"/>
      <c r="P38244" s="13"/>
    </row>
    <row r="38245">
      <c r="L38245" s="13"/>
      <c r="M38245" s="14"/>
      <c r="N38245" s="14"/>
      <c r="O38245" s="14"/>
      <c r="P38245" s="13"/>
    </row>
    <row r="38246">
      <c r="L38246" s="13"/>
      <c r="M38246" s="14"/>
      <c r="N38246" s="14"/>
      <c r="O38246" s="14"/>
      <c r="P38246" s="13"/>
    </row>
    <row r="38247">
      <c r="L38247" s="13"/>
      <c r="M38247" s="14"/>
      <c r="N38247" s="14"/>
      <c r="O38247" s="14"/>
      <c r="P38247" s="13"/>
    </row>
    <row r="38248">
      <c r="L38248" s="13"/>
      <c r="M38248" s="14"/>
      <c r="N38248" s="14"/>
      <c r="O38248" s="14"/>
      <c r="P38248" s="13"/>
    </row>
    <row r="38249">
      <c r="L38249" s="13"/>
      <c r="M38249" s="14"/>
      <c r="N38249" s="14"/>
      <c r="O38249" s="14"/>
      <c r="P38249" s="13"/>
    </row>
    <row r="38250">
      <c r="L38250" s="13"/>
      <c r="M38250" s="14"/>
      <c r="N38250" s="14"/>
      <c r="O38250" s="14"/>
      <c r="P38250" s="13"/>
    </row>
    <row r="38251">
      <c r="L38251" s="13"/>
      <c r="M38251" s="14"/>
      <c r="N38251" s="14"/>
      <c r="O38251" s="14"/>
      <c r="P38251" s="13"/>
    </row>
    <row r="38252">
      <c r="L38252" s="13"/>
      <c r="M38252" s="14"/>
      <c r="N38252" s="14"/>
      <c r="O38252" s="14"/>
      <c r="P38252" s="13"/>
    </row>
    <row r="38253">
      <c r="L38253" s="13"/>
      <c r="M38253" s="14"/>
      <c r="N38253" s="14"/>
      <c r="O38253" s="14"/>
      <c r="P38253" s="13"/>
    </row>
    <row r="38254">
      <c r="L38254" s="13"/>
      <c r="M38254" s="14"/>
      <c r="N38254" s="14"/>
      <c r="O38254" s="14"/>
      <c r="P38254" s="13"/>
    </row>
    <row r="38255">
      <c r="L38255" s="13"/>
      <c r="M38255" s="14"/>
      <c r="N38255" s="14"/>
      <c r="O38255" s="14"/>
      <c r="P38255" s="13"/>
    </row>
    <row r="38256">
      <c r="L38256" s="13"/>
      <c r="M38256" s="14"/>
      <c r="N38256" s="14"/>
      <c r="O38256" s="14"/>
      <c r="P38256" s="13"/>
    </row>
    <row r="38257">
      <c r="L38257" s="13"/>
      <c r="M38257" s="14"/>
      <c r="N38257" s="14"/>
      <c r="O38257" s="14"/>
      <c r="P38257" s="13"/>
    </row>
    <row r="38258">
      <c r="L38258" s="13"/>
      <c r="M38258" s="14"/>
      <c r="N38258" s="14"/>
      <c r="O38258" s="14"/>
      <c r="P38258" s="13"/>
    </row>
    <row r="38259">
      <c r="L38259" s="13"/>
      <c r="M38259" s="14"/>
      <c r="N38259" s="14"/>
      <c r="O38259" s="14"/>
      <c r="P38259" s="13"/>
    </row>
    <row r="38260">
      <c r="L38260" s="13"/>
      <c r="M38260" s="14"/>
      <c r="N38260" s="14"/>
      <c r="O38260" s="14"/>
      <c r="P38260" s="13"/>
    </row>
    <row r="38261">
      <c r="L38261" s="13"/>
      <c r="M38261" s="14"/>
      <c r="N38261" s="14"/>
      <c r="O38261" s="14"/>
      <c r="P38261" s="13"/>
    </row>
    <row r="38262">
      <c r="L38262" s="13"/>
      <c r="M38262" s="14"/>
      <c r="N38262" s="14"/>
      <c r="O38262" s="14"/>
      <c r="P38262" s="13"/>
    </row>
    <row r="38263">
      <c r="L38263" s="13"/>
      <c r="M38263" s="14"/>
      <c r="N38263" s="14"/>
      <c r="O38263" s="14"/>
      <c r="P38263" s="13"/>
    </row>
    <row r="38264">
      <c r="L38264" s="13"/>
      <c r="M38264" s="14"/>
      <c r="N38264" s="14"/>
      <c r="O38264" s="14"/>
      <c r="P38264" s="13"/>
    </row>
    <row r="38265">
      <c r="L38265" s="13"/>
      <c r="M38265" s="14"/>
      <c r="N38265" s="14"/>
      <c r="O38265" s="14"/>
      <c r="P38265" s="13"/>
    </row>
    <row r="38266">
      <c r="L38266" s="13"/>
      <c r="M38266" s="14"/>
      <c r="N38266" s="14"/>
      <c r="O38266" s="14"/>
      <c r="P38266" s="13"/>
    </row>
    <row r="38267">
      <c r="L38267" s="13"/>
      <c r="M38267" s="14"/>
      <c r="N38267" s="14"/>
      <c r="O38267" s="14"/>
      <c r="P38267" s="13"/>
    </row>
    <row r="38268">
      <c r="L38268" s="13"/>
      <c r="M38268" s="14"/>
      <c r="N38268" s="14"/>
      <c r="O38268" s="14"/>
      <c r="P38268" s="13"/>
    </row>
    <row r="38269">
      <c r="L38269" s="13"/>
      <c r="M38269" s="14"/>
      <c r="N38269" s="14"/>
      <c r="O38269" s="14"/>
      <c r="P38269" s="13"/>
    </row>
    <row r="38270">
      <c r="L38270" s="13"/>
      <c r="M38270" s="14"/>
      <c r="N38270" s="14"/>
      <c r="O38270" s="14"/>
      <c r="P38270" s="13"/>
    </row>
    <row r="38271">
      <c r="L38271" s="13"/>
      <c r="M38271" s="14"/>
      <c r="N38271" s="14"/>
      <c r="O38271" s="14"/>
      <c r="P38271" s="13"/>
    </row>
    <row r="38272">
      <c r="L38272" s="13"/>
      <c r="M38272" s="14"/>
      <c r="N38272" s="14"/>
      <c r="O38272" s="14"/>
      <c r="P38272" s="13"/>
    </row>
    <row r="38273">
      <c r="L38273" s="13"/>
      <c r="M38273" s="14"/>
      <c r="N38273" s="14"/>
      <c r="O38273" s="14"/>
      <c r="P38273" s="13"/>
    </row>
    <row r="38274">
      <c r="L38274" s="13"/>
      <c r="M38274" s="14"/>
      <c r="N38274" s="14"/>
      <c r="O38274" s="14"/>
      <c r="P38274" s="13"/>
    </row>
    <row r="38275">
      <c r="L38275" s="13"/>
      <c r="M38275" s="14"/>
      <c r="N38275" s="14"/>
      <c r="O38275" s="14"/>
      <c r="P38275" s="13"/>
    </row>
    <row r="38276">
      <c r="L38276" s="13"/>
      <c r="M38276" s="14"/>
      <c r="N38276" s="14"/>
      <c r="O38276" s="14"/>
      <c r="P38276" s="13"/>
    </row>
    <row r="38277">
      <c r="L38277" s="13"/>
      <c r="M38277" s="14"/>
      <c r="N38277" s="14"/>
      <c r="O38277" s="14"/>
      <c r="P38277" s="13"/>
    </row>
    <row r="38278">
      <c r="L38278" s="13"/>
      <c r="M38278" s="14"/>
      <c r="N38278" s="14"/>
      <c r="O38278" s="14"/>
      <c r="P38278" s="13"/>
    </row>
    <row r="38279">
      <c r="L38279" s="13"/>
      <c r="M38279" s="14"/>
      <c r="N38279" s="14"/>
      <c r="O38279" s="14"/>
      <c r="P38279" s="13"/>
    </row>
    <row r="38280">
      <c r="L38280" s="13"/>
      <c r="M38280" s="14"/>
      <c r="N38280" s="14"/>
      <c r="O38280" s="14"/>
      <c r="P38280" s="13"/>
    </row>
    <row r="38281">
      <c r="L38281" s="13"/>
      <c r="M38281" s="14"/>
      <c r="N38281" s="14"/>
      <c r="O38281" s="14"/>
      <c r="P38281" s="13"/>
    </row>
    <row r="38282">
      <c r="L38282" s="13"/>
      <c r="M38282" s="14"/>
      <c r="N38282" s="14"/>
      <c r="O38282" s="14"/>
      <c r="P38282" s="13"/>
    </row>
    <row r="38283">
      <c r="L38283" s="13"/>
      <c r="M38283" s="14"/>
      <c r="N38283" s="14"/>
      <c r="O38283" s="14"/>
      <c r="P38283" s="13"/>
    </row>
    <row r="38284">
      <c r="L38284" s="13"/>
      <c r="M38284" s="14"/>
      <c r="N38284" s="14"/>
      <c r="O38284" s="14"/>
      <c r="P38284" s="13"/>
    </row>
    <row r="38285">
      <c r="L38285" s="13"/>
      <c r="M38285" s="14"/>
      <c r="N38285" s="14"/>
      <c r="O38285" s="14"/>
      <c r="P38285" s="13"/>
    </row>
    <row r="38286">
      <c r="L38286" s="13"/>
      <c r="M38286" s="14"/>
      <c r="N38286" s="14"/>
      <c r="O38286" s="14"/>
      <c r="P38286" s="13"/>
    </row>
    <row r="38287">
      <c r="L38287" s="13"/>
      <c r="M38287" s="14"/>
      <c r="N38287" s="14"/>
      <c r="O38287" s="14"/>
      <c r="P38287" s="13"/>
    </row>
    <row r="38288">
      <c r="L38288" s="13"/>
      <c r="M38288" s="14"/>
      <c r="N38288" s="14"/>
      <c r="O38288" s="14"/>
      <c r="P38288" s="13"/>
    </row>
    <row r="38289">
      <c r="L38289" s="13"/>
      <c r="M38289" s="14"/>
      <c r="N38289" s="14"/>
      <c r="O38289" s="14"/>
      <c r="P38289" s="13"/>
    </row>
    <row r="38290">
      <c r="L38290" s="13"/>
      <c r="M38290" s="14"/>
      <c r="N38290" s="14"/>
      <c r="O38290" s="14"/>
      <c r="P38290" s="13"/>
    </row>
    <row r="38291">
      <c r="L38291" s="13"/>
      <c r="M38291" s="14"/>
      <c r="N38291" s="14"/>
      <c r="O38291" s="14"/>
      <c r="P38291" s="13"/>
    </row>
    <row r="38292">
      <c r="L38292" s="13"/>
      <c r="M38292" s="14"/>
      <c r="N38292" s="14"/>
      <c r="O38292" s="14"/>
      <c r="P38292" s="13"/>
    </row>
    <row r="38293">
      <c r="L38293" s="13"/>
      <c r="M38293" s="14"/>
      <c r="N38293" s="14"/>
      <c r="O38293" s="14"/>
      <c r="P38293" s="13"/>
    </row>
    <row r="38294">
      <c r="L38294" s="13"/>
      <c r="M38294" s="14"/>
      <c r="N38294" s="14"/>
      <c r="O38294" s="14"/>
      <c r="P38294" s="13"/>
    </row>
    <row r="38295">
      <c r="L38295" s="13"/>
      <c r="M38295" s="14"/>
      <c r="N38295" s="14"/>
      <c r="O38295" s="14"/>
      <c r="P38295" s="13"/>
    </row>
    <row r="38296">
      <c r="L38296" s="13"/>
      <c r="M38296" s="14"/>
      <c r="N38296" s="14"/>
      <c r="O38296" s="14"/>
      <c r="P38296" s="13"/>
    </row>
    <row r="38297">
      <c r="L38297" s="13"/>
      <c r="M38297" s="14"/>
      <c r="N38297" s="14"/>
      <c r="O38297" s="14"/>
      <c r="P38297" s="13"/>
    </row>
    <row r="38298">
      <c r="L38298" s="13"/>
      <c r="M38298" s="14"/>
      <c r="N38298" s="14"/>
      <c r="O38298" s="14"/>
      <c r="P38298" s="13"/>
    </row>
    <row r="38299">
      <c r="L38299" s="13"/>
      <c r="M38299" s="14"/>
      <c r="N38299" s="14"/>
      <c r="O38299" s="14"/>
      <c r="P38299" s="13"/>
    </row>
    <row r="38300">
      <c r="L38300" s="13"/>
      <c r="M38300" s="14"/>
      <c r="N38300" s="14"/>
      <c r="O38300" s="14"/>
      <c r="P38300" s="13"/>
    </row>
    <row r="38301">
      <c r="L38301" s="13"/>
      <c r="M38301" s="14"/>
      <c r="N38301" s="14"/>
      <c r="O38301" s="14"/>
      <c r="P38301" s="13"/>
    </row>
    <row r="38302">
      <c r="L38302" s="13"/>
      <c r="M38302" s="14"/>
      <c r="N38302" s="14"/>
      <c r="O38302" s="14"/>
      <c r="P38302" s="13"/>
    </row>
    <row r="38303">
      <c r="L38303" s="13"/>
      <c r="M38303" s="14"/>
      <c r="N38303" s="14"/>
      <c r="O38303" s="14"/>
      <c r="P38303" s="13"/>
    </row>
    <row r="38304">
      <c r="L38304" s="13"/>
      <c r="M38304" s="14"/>
      <c r="N38304" s="14"/>
      <c r="O38304" s="14"/>
      <c r="P38304" s="13"/>
    </row>
    <row r="38305">
      <c r="L38305" s="13"/>
      <c r="M38305" s="14"/>
      <c r="N38305" s="14"/>
      <c r="O38305" s="14"/>
      <c r="P38305" s="13"/>
    </row>
    <row r="38306">
      <c r="L38306" s="13"/>
      <c r="M38306" s="14"/>
      <c r="N38306" s="14"/>
      <c r="O38306" s="14"/>
      <c r="P38306" s="13"/>
    </row>
    <row r="38307">
      <c r="L38307" s="13"/>
      <c r="M38307" s="14"/>
      <c r="N38307" s="14"/>
      <c r="O38307" s="14"/>
      <c r="P38307" s="13"/>
    </row>
    <row r="38308">
      <c r="L38308" s="13"/>
      <c r="M38308" s="14"/>
      <c r="N38308" s="14"/>
      <c r="O38308" s="14"/>
      <c r="P38308" s="13"/>
    </row>
    <row r="38309">
      <c r="L38309" s="13"/>
      <c r="M38309" s="14"/>
      <c r="N38309" s="14"/>
      <c r="O38309" s="14"/>
      <c r="P38309" s="13"/>
    </row>
    <row r="38310">
      <c r="L38310" s="13"/>
      <c r="M38310" s="14"/>
      <c r="N38310" s="14"/>
      <c r="O38310" s="14"/>
      <c r="P38310" s="13"/>
    </row>
    <row r="38311">
      <c r="L38311" s="13"/>
      <c r="M38311" s="14"/>
      <c r="N38311" s="14"/>
      <c r="O38311" s="14"/>
      <c r="P38311" s="13"/>
    </row>
    <row r="38312">
      <c r="L38312" s="13"/>
      <c r="M38312" s="14"/>
      <c r="N38312" s="14"/>
      <c r="O38312" s="14"/>
      <c r="P38312" s="13"/>
    </row>
    <row r="38313">
      <c r="L38313" s="13"/>
      <c r="M38313" s="14"/>
      <c r="N38313" s="14"/>
      <c r="O38313" s="14"/>
      <c r="P38313" s="13"/>
    </row>
    <row r="38314">
      <c r="L38314" s="13"/>
      <c r="M38314" s="14"/>
      <c r="N38314" s="14"/>
      <c r="O38314" s="14"/>
      <c r="P38314" s="13"/>
    </row>
    <row r="38315">
      <c r="L38315" s="13"/>
      <c r="M38315" s="14"/>
      <c r="N38315" s="14"/>
      <c r="O38315" s="14"/>
      <c r="P38315" s="13"/>
    </row>
    <row r="38316">
      <c r="L38316" s="13"/>
      <c r="M38316" s="14"/>
      <c r="N38316" s="14"/>
      <c r="O38316" s="14"/>
      <c r="P38316" s="13"/>
    </row>
    <row r="38317">
      <c r="L38317" s="13"/>
      <c r="M38317" s="14"/>
      <c r="N38317" s="14"/>
      <c r="O38317" s="14"/>
      <c r="P38317" s="13"/>
    </row>
    <row r="38318">
      <c r="L38318" s="13"/>
      <c r="M38318" s="14"/>
      <c r="N38318" s="14"/>
      <c r="O38318" s="14"/>
      <c r="P38318" s="13"/>
    </row>
    <row r="38319">
      <c r="L38319" s="13"/>
      <c r="M38319" s="14"/>
      <c r="N38319" s="14"/>
      <c r="O38319" s="14"/>
      <c r="P38319" s="13"/>
    </row>
    <row r="38320">
      <c r="L38320" s="13"/>
      <c r="M38320" s="14"/>
      <c r="N38320" s="14"/>
      <c r="O38320" s="14"/>
      <c r="P38320" s="13"/>
    </row>
    <row r="38321">
      <c r="L38321" s="13"/>
      <c r="M38321" s="14"/>
      <c r="N38321" s="14"/>
      <c r="O38321" s="14"/>
      <c r="P38321" s="13"/>
    </row>
    <row r="38322">
      <c r="L38322" s="13"/>
      <c r="M38322" s="14"/>
      <c r="N38322" s="14"/>
      <c r="O38322" s="14"/>
      <c r="P38322" s="13"/>
    </row>
    <row r="38323">
      <c r="L38323" s="13"/>
      <c r="M38323" s="14"/>
      <c r="N38323" s="14"/>
      <c r="O38323" s="14"/>
      <c r="P38323" s="13"/>
    </row>
    <row r="38324">
      <c r="L38324" s="13"/>
      <c r="M38324" s="14"/>
      <c r="N38324" s="14"/>
      <c r="O38324" s="14"/>
      <c r="P38324" s="13"/>
    </row>
    <row r="38325">
      <c r="L38325" s="13"/>
      <c r="M38325" s="14"/>
      <c r="N38325" s="14"/>
      <c r="O38325" s="14"/>
      <c r="P38325" s="13"/>
    </row>
    <row r="38326">
      <c r="L38326" s="13"/>
      <c r="M38326" s="14"/>
      <c r="N38326" s="14"/>
      <c r="O38326" s="14"/>
      <c r="P38326" s="13"/>
    </row>
    <row r="38327">
      <c r="L38327" s="13"/>
      <c r="M38327" s="14"/>
      <c r="N38327" s="14"/>
      <c r="O38327" s="14"/>
      <c r="P38327" s="13"/>
    </row>
    <row r="38328">
      <c r="L38328" s="13"/>
      <c r="M38328" s="14"/>
      <c r="N38328" s="14"/>
      <c r="O38328" s="14"/>
      <c r="P38328" s="13"/>
    </row>
    <row r="38329">
      <c r="L38329" s="13"/>
      <c r="M38329" s="14"/>
      <c r="N38329" s="14"/>
      <c r="O38329" s="14"/>
      <c r="P38329" s="13"/>
    </row>
    <row r="38330">
      <c r="L38330" s="13"/>
      <c r="M38330" s="14"/>
      <c r="N38330" s="14"/>
      <c r="O38330" s="14"/>
      <c r="P38330" s="13"/>
    </row>
    <row r="38331">
      <c r="L38331" s="13"/>
      <c r="M38331" s="14"/>
      <c r="N38331" s="14"/>
      <c r="O38331" s="14"/>
      <c r="P38331" s="13"/>
    </row>
    <row r="38332">
      <c r="L38332" s="13"/>
      <c r="M38332" s="14"/>
      <c r="N38332" s="14"/>
      <c r="O38332" s="14"/>
      <c r="P38332" s="13"/>
    </row>
    <row r="38333">
      <c r="L38333" s="13"/>
      <c r="M38333" s="14"/>
      <c r="N38333" s="14"/>
      <c r="O38333" s="14"/>
      <c r="P38333" s="13"/>
    </row>
    <row r="38334">
      <c r="L38334" s="13"/>
      <c r="M38334" s="14"/>
      <c r="N38334" s="14"/>
      <c r="O38334" s="14"/>
      <c r="P38334" s="13"/>
    </row>
    <row r="38335">
      <c r="L38335" s="13"/>
      <c r="M38335" s="14"/>
      <c r="N38335" s="14"/>
      <c r="O38335" s="14"/>
      <c r="P38335" s="13"/>
    </row>
    <row r="38336">
      <c r="L38336" s="13"/>
      <c r="M38336" s="14"/>
      <c r="N38336" s="14"/>
      <c r="O38336" s="14"/>
      <c r="P38336" s="13"/>
    </row>
    <row r="38337">
      <c r="L38337" s="13"/>
      <c r="M38337" s="14"/>
      <c r="N38337" s="14"/>
      <c r="O38337" s="14"/>
      <c r="P38337" s="13"/>
    </row>
    <row r="38338">
      <c r="L38338" s="13"/>
      <c r="M38338" s="14"/>
      <c r="N38338" s="14"/>
      <c r="O38338" s="14"/>
      <c r="P38338" s="13"/>
    </row>
    <row r="38339">
      <c r="L38339" s="13"/>
      <c r="M38339" s="14"/>
      <c r="N38339" s="14"/>
      <c r="O38339" s="14"/>
      <c r="P38339" s="13"/>
    </row>
    <row r="38340">
      <c r="L38340" s="13"/>
      <c r="M38340" s="14"/>
      <c r="N38340" s="14"/>
      <c r="O38340" s="14"/>
      <c r="P38340" s="13"/>
    </row>
    <row r="38341">
      <c r="L38341" s="13"/>
      <c r="M38341" s="14"/>
      <c r="N38341" s="14"/>
      <c r="O38341" s="14"/>
      <c r="P38341" s="13"/>
    </row>
    <row r="38342">
      <c r="L38342" s="13"/>
      <c r="M38342" s="14"/>
      <c r="N38342" s="14"/>
      <c r="O38342" s="14"/>
      <c r="P38342" s="13"/>
    </row>
    <row r="38343">
      <c r="L38343" s="13"/>
      <c r="M38343" s="14"/>
      <c r="N38343" s="14"/>
      <c r="O38343" s="14"/>
      <c r="P38343" s="13"/>
    </row>
    <row r="38344">
      <c r="L38344" s="13"/>
      <c r="M38344" s="14"/>
      <c r="N38344" s="14"/>
      <c r="O38344" s="14"/>
      <c r="P38344" s="13"/>
    </row>
    <row r="38345">
      <c r="L38345" s="13"/>
      <c r="M38345" s="14"/>
      <c r="N38345" s="14"/>
      <c r="O38345" s="14"/>
      <c r="P38345" s="13"/>
    </row>
    <row r="38346">
      <c r="L38346" s="13"/>
      <c r="M38346" s="14"/>
      <c r="N38346" s="14"/>
      <c r="O38346" s="14"/>
      <c r="P38346" s="13"/>
    </row>
    <row r="38347">
      <c r="L38347" s="13"/>
      <c r="M38347" s="14"/>
      <c r="N38347" s="14"/>
      <c r="O38347" s="14"/>
      <c r="P38347" s="13"/>
    </row>
    <row r="38348">
      <c r="L38348" s="13"/>
      <c r="M38348" s="14"/>
      <c r="N38348" s="14"/>
      <c r="O38348" s="14"/>
      <c r="P38348" s="13"/>
    </row>
    <row r="38349">
      <c r="L38349" s="13"/>
      <c r="M38349" s="14"/>
      <c r="N38349" s="14"/>
      <c r="O38349" s="14"/>
      <c r="P38349" s="13"/>
    </row>
    <row r="38350">
      <c r="L38350" s="13"/>
      <c r="M38350" s="14"/>
      <c r="N38350" s="14"/>
      <c r="O38350" s="14"/>
      <c r="P38350" s="13"/>
    </row>
    <row r="38351">
      <c r="L38351" s="13"/>
      <c r="M38351" s="14"/>
      <c r="N38351" s="14"/>
      <c r="O38351" s="14"/>
      <c r="P38351" s="13"/>
    </row>
    <row r="38352">
      <c r="L38352" s="13"/>
      <c r="M38352" s="14"/>
      <c r="N38352" s="14"/>
      <c r="O38352" s="14"/>
      <c r="P38352" s="13"/>
    </row>
    <row r="38353">
      <c r="L38353" s="13"/>
      <c r="M38353" s="14"/>
      <c r="N38353" s="14"/>
      <c r="O38353" s="14"/>
      <c r="P38353" s="13"/>
    </row>
    <row r="38354">
      <c r="L38354" s="13"/>
      <c r="M38354" s="14"/>
      <c r="N38354" s="14"/>
      <c r="O38354" s="14"/>
      <c r="P38354" s="13"/>
    </row>
    <row r="38355">
      <c r="L38355" s="13"/>
      <c r="M38355" s="14"/>
      <c r="N38355" s="14"/>
      <c r="O38355" s="14"/>
      <c r="P38355" s="13"/>
    </row>
    <row r="38356">
      <c r="L38356" s="13"/>
      <c r="M38356" s="14"/>
      <c r="N38356" s="14"/>
      <c r="O38356" s="14"/>
      <c r="P38356" s="13"/>
    </row>
    <row r="38357">
      <c r="L38357" s="13"/>
      <c r="M38357" s="14"/>
      <c r="N38357" s="14"/>
      <c r="O38357" s="14"/>
      <c r="P38357" s="13"/>
    </row>
    <row r="38358">
      <c r="L38358" s="13"/>
      <c r="M38358" s="14"/>
      <c r="N38358" s="14"/>
      <c r="O38358" s="14"/>
      <c r="P38358" s="13"/>
    </row>
    <row r="38359">
      <c r="L38359" s="13"/>
      <c r="M38359" s="14"/>
      <c r="N38359" s="14"/>
      <c r="O38359" s="14"/>
      <c r="P38359" s="13"/>
    </row>
    <row r="38360">
      <c r="L38360" s="13"/>
      <c r="M38360" s="14"/>
      <c r="N38360" s="14"/>
      <c r="O38360" s="14"/>
      <c r="P38360" s="13"/>
    </row>
    <row r="38361">
      <c r="L38361" s="13"/>
      <c r="M38361" s="14"/>
      <c r="N38361" s="14"/>
      <c r="O38361" s="14"/>
      <c r="P38361" s="13"/>
    </row>
    <row r="38362">
      <c r="L38362" s="13"/>
      <c r="M38362" s="14"/>
      <c r="N38362" s="14"/>
      <c r="O38362" s="14"/>
      <c r="P38362" s="13"/>
    </row>
    <row r="38363">
      <c r="L38363" s="13"/>
      <c r="M38363" s="14"/>
      <c r="N38363" s="14"/>
      <c r="O38363" s="14"/>
      <c r="P38363" s="13"/>
    </row>
    <row r="38364">
      <c r="L38364" s="13"/>
      <c r="M38364" s="14"/>
      <c r="N38364" s="14"/>
      <c r="O38364" s="14"/>
      <c r="P38364" s="13"/>
    </row>
    <row r="38365">
      <c r="L38365" s="13"/>
      <c r="M38365" s="14"/>
      <c r="N38365" s="14"/>
      <c r="O38365" s="14"/>
      <c r="P38365" s="13"/>
    </row>
    <row r="38366">
      <c r="L38366" s="13"/>
      <c r="M38366" s="14"/>
      <c r="N38366" s="14"/>
      <c r="O38366" s="14"/>
      <c r="P38366" s="13"/>
    </row>
    <row r="38367">
      <c r="L38367" s="13"/>
      <c r="M38367" s="14"/>
      <c r="N38367" s="14"/>
      <c r="O38367" s="14"/>
      <c r="P38367" s="13"/>
    </row>
    <row r="38368">
      <c r="L38368" s="13"/>
      <c r="M38368" s="14"/>
      <c r="N38368" s="14"/>
      <c r="O38368" s="14"/>
      <c r="P38368" s="13"/>
    </row>
    <row r="38369">
      <c r="L38369" s="13"/>
      <c r="M38369" s="14"/>
      <c r="N38369" s="14"/>
      <c r="O38369" s="14"/>
      <c r="P38369" s="13"/>
    </row>
    <row r="38370">
      <c r="L38370" s="13"/>
      <c r="M38370" s="14"/>
      <c r="N38370" s="14"/>
      <c r="O38370" s="14"/>
      <c r="P38370" s="13"/>
    </row>
    <row r="38371">
      <c r="L38371" s="13"/>
      <c r="M38371" s="14"/>
      <c r="N38371" s="14"/>
      <c r="O38371" s="14"/>
      <c r="P38371" s="13"/>
    </row>
    <row r="38372">
      <c r="L38372" s="13"/>
      <c r="M38372" s="14"/>
      <c r="N38372" s="14"/>
      <c r="O38372" s="14"/>
      <c r="P38372" s="13"/>
    </row>
    <row r="38373">
      <c r="L38373" s="13"/>
      <c r="M38373" s="14"/>
      <c r="N38373" s="14"/>
      <c r="O38373" s="14"/>
      <c r="P38373" s="13"/>
    </row>
    <row r="38374">
      <c r="L38374" s="13"/>
      <c r="M38374" s="14"/>
      <c r="N38374" s="14"/>
      <c r="O38374" s="14"/>
      <c r="P38374" s="13"/>
    </row>
    <row r="38375">
      <c r="L38375" s="13"/>
      <c r="M38375" s="14"/>
      <c r="N38375" s="14"/>
      <c r="O38375" s="14"/>
      <c r="P38375" s="13"/>
    </row>
    <row r="38376">
      <c r="L38376" s="13"/>
      <c r="M38376" s="14"/>
      <c r="N38376" s="14"/>
      <c r="O38376" s="14"/>
      <c r="P38376" s="13"/>
    </row>
    <row r="38377">
      <c r="L38377" s="13"/>
      <c r="M38377" s="14"/>
      <c r="N38377" s="14"/>
      <c r="O38377" s="14"/>
      <c r="P38377" s="13"/>
    </row>
    <row r="38378">
      <c r="L38378" s="13"/>
      <c r="M38378" s="14"/>
      <c r="N38378" s="14"/>
      <c r="O38378" s="14"/>
      <c r="P38378" s="13"/>
    </row>
    <row r="38379">
      <c r="L38379" s="13"/>
      <c r="M38379" s="14"/>
      <c r="N38379" s="14"/>
      <c r="O38379" s="14"/>
      <c r="P38379" s="13"/>
    </row>
    <row r="38380">
      <c r="L38380" s="13"/>
      <c r="M38380" s="14"/>
      <c r="N38380" s="14"/>
      <c r="O38380" s="14"/>
      <c r="P38380" s="13"/>
    </row>
    <row r="38381">
      <c r="L38381" s="13"/>
      <c r="M38381" s="14"/>
      <c r="N38381" s="14"/>
      <c r="O38381" s="14"/>
      <c r="P38381" s="13"/>
    </row>
    <row r="38382">
      <c r="L38382" s="13"/>
      <c r="M38382" s="14"/>
      <c r="N38382" s="14"/>
      <c r="O38382" s="14"/>
      <c r="P38382" s="13"/>
    </row>
    <row r="38383">
      <c r="L38383" s="13"/>
      <c r="M38383" s="14"/>
      <c r="N38383" s="14"/>
      <c r="O38383" s="14"/>
      <c r="P38383" s="13"/>
    </row>
    <row r="38384">
      <c r="L38384" s="13"/>
      <c r="M38384" s="14"/>
      <c r="N38384" s="14"/>
      <c r="O38384" s="14"/>
      <c r="P38384" s="13"/>
    </row>
    <row r="38385">
      <c r="L38385" s="13"/>
      <c r="M38385" s="14"/>
      <c r="N38385" s="14"/>
      <c r="O38385" s="14"/>
      <c r="P38385" s="13"/>
    </row>
    <row r="38386">
      <c r="L38386" s="13"/>
      <c r="M38386" s="14"/>
      <c r="N38386" s="14"/>
      <c r="O38386" s="14"/>
      <c r="P38386" s="13"/>
    </row>
    <row r="38387">
      <c r="L38387" s="13"/>
      <c r="M38387" s="14"/>
      <c r="N38387" s="14"/>
      <c r="O38387" s="14"/>
      <c r="P38387" s="13"/>
    </row>
    <row r="38388">
      <c r="L38388" s="13"/>
      <c r="M38388" s="14"/>
      <c r="N38388" s="14"/>
      <c r="O38388" s="14"/>
      <c r="P38388" s="13"/>
    </row>
    <row r="38389">
      <c r="L38389" s="13"/>
      <c r="M38389" s="14"/>
      <c r="N38389" s="14"/>
      <c r="O38389" s="14"/>
      <c r="P38389" s="13"/>
    </row>
    <row r="38390">
      <c r="L38390" s="13"/>
      <c r="M38390" s="14"/>
      <c r="N38390" s="14"/>
      <c r="O38390" s="14"/>
      <c r="P38390" s="13"/>
    </row>
    <row r="38391">
      <c r="L38391" s="13"/>
      <c r="M38391" s="14"/>
      <c r="N38391" s="14"/>
      <c r="O38391" s="14"/>
      <c r="P38391" s="13"/>
    </row>
    <row r="38392">
      <c r="L38392" s="13"/>
      <c r="M38392" s="14"/>
      <c r="N38392" s="14"/>
      <c r="O38392" s="14"/>
      <c r="P38392" s="13"/>
    </row>
    <row r="38393">
      <c r="L38393" s="13"/>
      <c r="M38393" s="14"/>
      <c r="N38393" s="14"/>
      <c r="O38393" s="14"/>
      <c r="P38393" s="13"/>
    </row>
    <row r="38394">
      <c r="L38394" s="13"/>
      <c r="M38394" s="14"/>
      <c r="N38394" s="14"/>
      <c r="O38394" s="14"/>
      <c r="P38394" s="13"/>
    </row>
    <row r="38395">
      <c r="L38395" s="13"/>
      <c r="M38395" s="14"/>
      <c r="N38395" s="14"/>
      <c r="O38395" s="14"/>
      <c r="P38395" s="13"/>
    </row>
    <row r="38396">
      <c r="L38396" s="13"/>
      <c r="M38396" s="14"/>
      <c r="N38396" s="14"/>
      <c r="O38396" s="14"/>
      <c r="P38396" s="13"/>
    </row>
    <row r="38397">
      <c r="L38397" s="13"/>
      <c r="M38397" s="14"/>
      <c r="N38397" s="14"/>
      <c r="O38397" s="14"/>
      <c r="P38397" s="13"/>
    </row>
    <row r="38398">
      <c r="L38398" s="13"/>
      <c r="M38398" s="14"/>
      <c r="N38398" s="14"/>
      <c r="O38398" s="14"/>
      <c r="P38398" s="13"/>
    </row>
    <row r="38399">
      <c r="L38399" s="13"/>
      <c r="M38399" s="14"/>
      <c r="N38399" s="14"/>
      <c r="O38399" s="14"/>
      <c r="P38399" s="13"/>
    </row>
    <row r="38400">
      <c r="L38400" s="13"/>
      <c r="M38400" s="14"/>
      <c r="N38400" s="14"/>
      <c r="O38400" s="14"/>
      <c r="P38400" s="13"/>
    </row>
    <row r="38401">
      <c r="L38401" s="13"/>
      <c r="M38401" s="14"/>
      <c r="N38401" s="14"/>
      <c r="O38401" s="14"/>
      <c r="P38401" s="13"/>
    </row>
    <row r="38402">
      <c r="L38402" s="13"/>
      <c r="M38402" s="14"/>
      <c r="N38402" s="14"/>
      <c r="O38402" s="14"/>
      <c r="P38402" s="13"/>
    </row>
    <row r="38403">
      <c r="L38403" s="13"/>
      <c r="M38403" s="14"/>
      <c r="N38403" s="14"/>
      <c r="O38403" s="14"/>
      <c r="P38403" s="13"/>
    </row>
    <row r="38404">
      <c r="L38404" s="13"/>
      <c r="M38404" s="14"/>
      <c r="N38404" s="14"/>
      <c r="O38404" s="14"/>
      <c r="P38404" s="13"/>
    </row>
    <row r="38405">
      <c r="L38405" s="13"/>
      <c r="M38405" s="14"/>
      <c r="N38405" s="14"/>
      <c r="O38405" s="14"/>
      <c r="P38405" s="13"/>
    </row>
    <row r="38406">
      <c r="L38406" s="13"/>
      <c r="M38406" s="14"/>
      <c r="N38406" s="14"/>
      <c r="O38406" s="14"/>
      <c r="P38406" s="13"/>
    </row>
    <row r="38407">
      <c r="L38407" s="13"/>
      <c r="M38407" s="14"/>
      <c r="N38407" s="14"/>
      <c r="O38407" s="14"/>
      <c r="P38407" s="13"/>
    </row>
    <row r="38408">
      <c r="L38408" s="13"/>
      <c r="M38408" s="14"/>
      <c r="N38408" s="14"/>
      <c r="O38408" s="14"/>
      <c r="P38408" s="13"/>
    </row>
    <row r="38409">
      <c r="L38409" s="13"/>
      <c r="M38409" s="14"/>
      <c r="N38409" s="14"/>
      <c r="O38409" s="14"/>
      <c r="P38409" s="13"/>
    </row>
    <row r="38410">
      <c r="L38410" s="13"/>
      <c r="M38410" s="14"/>
      <c r="N38410" s="14"/>
      <c r="O38410" s="14"/>
      <c r="P38410" s="13"/>
    </row>
    <row r="38411">
      <c r="L38411" s="13"/>
      <c r="M38411" s="14"/>
      <c r="N38411" s="14"/>
      <c r="O38411" s="14"/>
      <c r="P38411" s="13"/>
    </row>
    <row r="38412">
      <c r="L38412" s="13"/>
      <c r="M38412" s="14"/>
      <c r="N38412" s="14"/>
      <c r="O38412" s="14"/>
      <c r="P38412" s="13"/>
    </row>
    <row r="38413">
      <c r="L38413" s="13"/>
      <c r="M38413" s="14"/>
      <c r="N38413" s="14"/>
      <c r="O38413" s="14"/>
      <c r="P38413" s="13"/>
    </row>
    <row r="38414">
      <c r="L38414" s="13"/>
      <c r="M38414" s="14"/>
      <c r="N38414" s="14"/>
      <c r="O38414" s="14"/>
      <c r="P38414" s="13"/>
    </row>
    <row r="38415">
      <c r="L38415" s="13"/>
      <c r="M38415" s="14"/>
      <c r="N38415" s="14"/>
      <c r="O38415" s="14"/>
      <c r="P38415" s="13"/>
    </row>
    <row r="38416">
      <c r="L38416" s="13"/>
      <c r="M38416" s="14"/>
      <c r="N38416" s="14"/>
      <c r="O38416" s="14"/>
      <c r="P38416" s="13"/>
    </row>
    <row r="38417">
      <c r="L38417" s="13"/>
      <c r="M38417" s="14"/>
      <c r="N38417" s="14"/>
      <c r="O38417" s="14"/>
      <c r="P38417" s="13"/>
    </row>
    <row r="38418">
      <c r="L38418" s="13"/>
      <c r="M38418" s="14"/>
      <c r="N38418" s="14"/>
      <c r="O38418" s="14"/>
      <c r="P38418" s="13"/>
    </row>
    <row r="38419">
      <c r="L38419" s="13"/>
      <c r="M38419" s="14"/>
      <c r="N38419" s="14"/>
      <c r="O38419" s="14"/>
      <c r="P38419" s="13"/>
    </row>
    <row r="38420">
      <c r="L38420" s="13"/>
      <c r="M38420" s="14"/>
      <c r="N38420" s="14"/>
      <c r="O38420" s="14"/>
      <c r="P38420" s="13"/>
    </row>
    <row r="38421">
      <c r="L38421" s="13"/>
      <c r="M38421" s="14"/>
      <c r="N38421" s="14"/>
      <c r="O38421" s="14"/>
      <c r="P38421" s="13"/>
    </row>
    <row r="38422">
      <c r="L38422" s="13"/>
      <c r="M38422" s="14"/>
      <c r="N38422" s="14"/>
      <c r="O38422" s="14"/>
      <c r="P38422" s="13"/>
    </row>
    <row r="38423">
      <c r="L38423" s="13"/>
      <c r="M38423" s="14"/>
      <c r="N38423" s="14"/>
      <c r="O38423" s="14"/>
      <c r="P38423" s="13"/>
    </row>
    <row r="38424">
      <c r="L38424" s="13"/>
      <c r="M38424" s="14"/>
      <c r="N38424" s="14"/>
      <c r="O38424" s="14"/>
      <c r="P38424" s="13"/>
    </row>
    <row r="38425">
      <c r="L38425" s="13"/>
      <c r="M38425" s="14"/>
      <c r="N38425" s="14"/>
      <c r="O38425" s="14"/>
      <c r="P38425" s="13"/>
    </row>
    <row r="38426">
      <c r="L38426" s="13"/>
      <c r="M38426" s="14"/>
      <c r="N38426" s="14"/>
      <c r="O38426" s="14"/>
      <c r="P38426" s="13"/>
    </row>
    <row r="38427">
      <c r="L38427" s="13"/>
      <c r="M38427" s="14"/>
      <c r="N38427" s="14"/>
      <c r="O38427" s="14"/>
      <c r="P38427" s="13"/>
    </row>
    <row r="38428">
      <c r="L38428" s="13"/>
      <c r="M38428" s="14"/>
      <c r="N38428" s="14"/>
      <c r="O38428" s="14"/>
      <c r="P38428" s="13"/>
    </row>
    <row r="38429">
      <c r="L38429" s="13"/>
      <c r="M38429" s="14"/>
      <c r="N38429" s="14"/>
      <c r="O38429" s="14"/>
      <c r="P38429" s="13"/>
    </row>
    <row r="38430">
      <c r="L38430" s="13"/>
      <c r="M38430" s="14"/>
      <c r="N38430" s="14"/>
      <c r="O38430" s="14"/>
      <c r="P38430" s="13"/>
    </row>
    <row r="38431">
      <c r="L38431" s="13"/>
      <c r="M38431" s="14"/>
      <c r="N38431" s="14"/>
      <c r="O38431" s="14"/>
      <c r="P38431" s="13"/>
    </row>
    <row r="38432">
      <c r="L38432" s="13"/>
      <c r="M38432" s="14"/>
      <c r="N38432" s="14"/>
      <c r="O38432" s="14"/>
      <c r="P38432" s="13"/>
    </row>
    <row r="38433">
      <c r="L38433" s="13"/>
      <c r="M38433" s="14"/>
      <c r="N38433" s="14"/>
      <c r="O38433" s="14"/>
      <c r="P38433" s="13"/>
    </row>
    <row r="38434">
      <c r="L38434" s="13"/>
      <c r="M38434" s="14"/>
      <c r="N38434" s="14"/>
      <c r="O38434" s="14"/>
      <c r="P38434" s="13"/>
    </row>
    <row r="38435">
      <c r="L38435" s="13"/>
      <c r="M38435" s="14"/>
      <c r="N38435" s="14"/>
      <c r="O38435" s="14"/>
      <c r="P38435" s="13"/>
    </row>
    <row r="38436">
      <c r="L38436" s="13"/>
      <c r="M38436" s="14"/>
      <c r="N38436" s="14"/>
      <c r="O38436" s="14"/>
      <c r="P38436" s="13"/>
    </row>
    <row r="38437">
      <c r="L38437" s="13"/>
      <c r="M38437" s="14"/>
      <c r="N38437" s="14"/>
      <c r="O38437" s="14"/>
      <c r="P38437" s="13"/>
    </row>
    <row r="38438">
      <c r="L38438" s="13"/>
      <c r="M38438" s="14"/>
      <c r="N38438" s="14"/>
      <c r="O38438" s="14"/>
      <c r="P38438" s="13"/>
    </row>
    <row r="38439">
      <c r="L38439" s="13"/>
      <c r="M38439" s="14"/>
      <c r="N38439" s="14"/>
      <c r="O38439" s="14"/>
      <c r="P38439" s="13"/>
    </row>
    <row r="38440">
      <c r="L38440" s="13"/>
      <c r="M38440" s="14"/>
      <c r="N38440" s="14"/>
      <c r="O38440" s="14"/>
      <c r="P38440" s="13"/>
    </row>
    <row r="38441">
      <c r="L38441" s="13"/>
      <c r="M38441" s="14"/>
      <c r="N38441" s="14"/>
      <c r="O38441" s="14"/>
      <c r="P38441" s="13"/>
    </row>
    <row r="38442">
      <c r="L38442" s="13"/>
      <c r="M38442" s="14"/>
      <c r="N38442" s="14"/>
      <c r="O38442" s="14"/>
      <c r="P38442" s="13"/>
    </row>
    <row r="38443">
      <c r="L38443" s="13"/>
      <c r="M38443" s="14"/>
      <c r="N38443" s="14"/>
      <c r="O38443" s="14"/>
      <c r="P38443" s="13"/>
    </row>
    <row r="38444">
      <c r="L38444" s="13"/>
      <c r="M38444" s="14"/>
      <c r="N38444" s="14"/>
      <c r="O38444" s="14"/>
      <c r="P38444" s="13"/>
    </row>
    <row r="38445">
      <c r="L38445" s="13"/>
      <c r="M38445" s="14"/>
      <c r="N38445" s="14"/>
      <c r="O38445" s="14"/>
      <c r="P38445" s="13"/>
    </row>
    <row r="38446">
      <c r="L38446" s="13"/>
      <c r="M38446" s="14"/>
      <c r="N38446" s="14"/>
      <c r="O38446" s="14"/>
      <c r="P38446" s="13"/>
    </row>
    <row r="38447">
      <c r="L38447" s="13"/>
      <c r="M38447" s="14"/>
      <c r="N38447" s="14"/>
      <c r="O38447" s="14"/>
      <c r="P38447" s="13"/>
    </row>
    <row r="38448">
      <c r="L38448" s="13"/>
      <c r="M38448" s="14"/>
      <c r="N38448" s="14"/>
      <c r="O38448" s="14"/>
      <c r="P38448" s="13"/>
    </row>
    <row r="38449">
      <c r="L38449" s="13"/>
      <c r="M38449" s="14"/>
      <c r="N38449" s="14"/>
      <c r="O38449" s="14"/>
      <c r="P38449" s="13"/>
    </row>
    <row r="38450">
      <c r="L38450" s="13"/>
      <c r="M38450" s="14"/>
      <c r="N38450" s="14"/>
      <c r="O38450" s="14"/>
      <c r="P38450" s="13"/>
    </row>
    <row r="38451">
      <c r="L38451" s="13"/>
      <c r="M38451" s="14"/>
      <c r="N38451" s="14"/>
      <c r="O38451" s="14"/>
      <c r="P38451" s="13"/>
    </row>
    <row r="38452">
      <c r="L38452" s="13"/>
      <c r="M38452" s="14"/>
      <c r="N38452" s="14"/>
      <c r="O38452" s="14"/>
      <c r="P38452" s="13"/>
    </row>
    <row r="38453">
      <c r="L38453" s="13"/>
      <c r="M38453" s="14"/>
      <c r="N38453" s="14"/>
      <c r="O38453" s="14"/>
      <c r="P38453" s="13"/>
    </row>
    <row r="38454">
      <c r="L38454" s="13"/>
      <c r="M38454" s="14"/>
      <c r="N38454" s="14"/>
      <c r="O38454" s="14"/>
      <c r="P38454" s="13"/>
    </row>
    <row r="38455">
      <c r="L38455" s="13"/>
      <c r="M38455" s="14"/>
      <c r="N38455" s="14"/>
      <c r="O38455" s="14"/>
      <c r="P38455" s="13"/>
    </row>
    <row r="38456">
      <c r="L38456" s="13"/>
      <c r="M38456" s="14"/>
      <c r="N38456" s="14"/>
      <c r="O38456" s="14"/>
      <c r="P38456" s="13"/>
    </row>
    <row r="38457">
      <c r="L38457" s="13"/>
      <c r="M38457" s="14"/>
      <c r="N38457" s="14"/>
      <c r="O38457" s="14"/>
      <c r="P38457" s="13"/>
    </row>
    <row r="38458">
      <c r="L38458" s="13"/>
      <c r="M38458" s="14"/>
      <c r="N38458" s="14"/>
      <c r="O38458" s="14"/>
      <c r="P38458" s="13"/>
    </row>
    <row r="38459">
      <c r="L38459" s="13"/>
      <c r="M38459" s="14"/>
      <c r="N38459" s="14"/>
      <c r="O38459" s="14"/>
      <c r="P38459" s="13"/>
    </row>
    <row r="38460">
      <c r="L38460" s="13"/>
      <c r="M38460" s="14"/>
      <c r="N38460" s="14"/>
      <c r="O38460" s="14"/>
      <c r="P38460" s="13"/>
    </row>
    <row r="38461">
      <c r="L38461" s="13"/>
      <c r="M38461" s="14"/>
      <c r="N38461" s="14"/>
      <c r="O38461" s="14"/>
      <c r="P38461" s="13"/>
    </row>
    <row r="38462">
      <c r="L38462" s="13"/>
      <c r="M38462" s="14"/>
      <c r="N38462" s="14"/>
      <c r="O38462" s="14"/>
      <c r="P38462" s="13"/>
    </row>
    <row r="38463">
      <c r="L38463" s="13"/>
      <c r="M38463" s="14"/>
      <c r="N38463" s="14"/>
      <c r="O38463" s="14"/>
      <c r="P38463" s="13"/>
    </row>
    <row r="38464">
      <c r="L38464" s="13"/>
      <c r="M38464" s="14"/>
      <c r="N38464" s="14"/>
      <c r="O38464" s="14"/>
      <c r="P38464" s="13"/>
    </row>
    <row r="38465">
      <c r="L38465" s="13"/>
      <c r="M38465" s="14"/>
      <c r="N38465" s="14"/>
      <c r="O38465" s="14"/>
      <c r="P38465" s="13"/>
    </row>
    <row r="38466">
      <c r="L38466" s="13"/>
      <c r="M38466" s="14"/>
      <c r="N38466" s="14"/>
      <c r="O38466" s="14"/>
      <c r="P38466" s="13"/>
    </row>
    <row r="38467">
      <c r="L38467" s="13"/>
      <c r="M38467" s="14"/>
      <c r="N38467" s="14"/>
      <c r="O38467" s="14"/>
      <c r="P38467" s="13"/>
    </row>
    <row r="38468">
      <c r="L38468" s="13"/>
      <c r="M38468" s="14"/>
      <c r="N38468" s="14"/>
      <c r="O38468" s="14"/>
      <c r="P38468" s="13"/>
    </row>
    <row r="38469">
      <c r="L38469" s="13"/>
      <c r="M38469" s="14"/>
      <c r="N38469" s="14"/>
      <c r="O38469" s="14"/>
      <c r="P38469" s="13"/>
    </row>
    <row r="38470">
      <c r="L38470" s="13"/>
      <c r="M38470" s="14"/>
      <c r="N38470" s="14"/>
      <c r="O38470" s="14"/>
      <c r="P38470" s="13"/>
    </row>
    <row r="38471">
      <c r="L38471" s="13"/>
      <c r="M38471" s="14"/>
      <c r="N38471" s="14"/>
      <c r="O38471" s="14"/>
      <c r="P38471" s="13"/>
    </row>
    <row r="38472">
      <c r="L38472" s="13"/>
      <c r="M38472" s="14"/>
      <c r="N38472" s="14"/>
      <c r="O38472" s="14"/>
      <c r="P38472" s="13"/>
    </row>
    <row r="38473">
      <c r="L38473" s="13"/>
      <c r="M38473" s="14"/>
      <c r="N38473" s="14"/>
      <c r="O38473" s="14"/>
      <c r="P38473" s="13"/>
    </row>
    <row r="38474">
      <c r="L38474" s="13"/>
      <c r="M38474" s="14"/>
      <c r="N38474" s="14"/>
      <c r="O38474" s="14"/>
      <c r="P38474" s="13"/>
    </row>
    <row r="38475">
      <c r="L38475" s="13"/>
      <c r="M38475" s="14"/>
      <c r="N38475" s="14"/>
      <c r="O38475" s="14"/>
      <c r="P38475" s="13"/>
    </row>
    <row r="38476">
      <c r="L38476" s="13"/>
      <c r="M38476" s="14"/>
      <c r="N38476" s="14"/>
      <c r="O38476" s="14"/>
      <c r="P38476" s="13"/>
    </row>
    <row r="38477">
      <c r="L38477" s="13"/>
      <c r="M38477" s="14"/>
      <c r="N38477" s="14"/>
      <c r="O38477" s="14"/>
      <c r="P38477" s="13"/>
    </row>
    <row r="38478">
      <c r="L38478" s="13"/>
      <c r="M38478" s="14"/>
      <c r="N38478" s="14"/>
      <c r="O38478" s="14"/>
      <c r="P38478" s="13"/>
    </row>
    <row r="38479">
      <c r="L38479" s="13"/>
      <c r="M38479" s="14"/>
      <c r="N38479" s="14"/>
      <c r="O38479" s="14"/>
      <c r="P38479" s="13"/>
    </row>
    <row r="38480">
      <c r="L38480" s="13"/>
      <c r="M38480" s="14"/>
      <c r="N38480" s="14"/>
      <c r="O38480" s="14"/>
      <c r="P38480" s="13"/>
    </row>
    <row r="38481">
      <c r="L38481" s="13"/>
      <c r="M38481" s="14"/>
      <c r="N38481" s="14"/>
      <c r="O38481" s="14"/>
      <c r="P38481" s="13"/>
    </row>
    <row r="38482">
      <c r="L38482" s="13"/>
      <c r="M38482" s="14"/>
      <c r="N38482" s="14"/>
      <c r="O38482" s="14"/>
      <c r="P38482" s="13"/>
    </row>
    <row r="38483">
      <c r="L38483" s="13"/>
      <c r="M38483" s="14"/>
      <c r="N38483" s="14"/>
      <c r="O38483" s="14"/>
      <c r="P38483" s="13"/>
    </row>
    <row r="38484">
      <c r="L38484" s="13"/>
      <c r="M38484" s="14"/>
      <c r="N38484" s="14"/>
      <c r="O38484" s="14"/>
      <c r="P38484" s="13"/>
    </row>
    <row r="38485">
      <c r="L38485" s="13"/>
      <c r="M38485" s="14"/>
      <c r="N38485" s="14"/>
      <c r="O38485" s="14"/>
      <c r="P38485" s="13"/>
    </row>
    <row r="38486">
      <c r="L38486" s="13"/>
      <c r="M38486" s="14"/>
      <c r="N38486" s="14"/>
      <c r="O38486" s="14"/>
      <c r="P38486" s="13"/>
    </row>
    <row r="38487">
      <c r="L38487" s="13"/>
      <c r="M38487" s="14"/>
      <c r="N38487" s="14"/>
      <c r="O38487" s="14"/>
      <c r="P38487" s="13"/>
    </row>
    <row r="38488">
      <c r="L38488" s="13"/>
      <c r="M38488" s="14"/>
      <c r="N38488" s="14"/>
      <c r="O38488" s="14"/>
      <c r="P38488" s="13"/>
    </row>
    <row r="38489">
      <c r="L38489" s="13"/>
      <c r="M38489" s="14"/>
      <c r="N38489" s="14"/>
      <c r="O38489" s="14"/>
      <c r="P38489" s="13"/>
    </row>
    <row r="38490">
      <c r="L38490" s="13"/>
      <c r="M38490" s="14"/>
      <c r="N38490" s="14"/>
      <c r="O38490" s="14"/>
      <c r="P38490" s="13"/>
    </row>
    <row r="38491">
      <c r="L38491" s="13"/>
      <c r="M38491" s="14"/>
      <c r="N38491" s="14"/>
      <c r="O38491" s="14"/>
      <c r="P38491" s="13"/>
    </row>
    <row r="38492">
      <c r="L38492" s="13"/>
      <c r="M38492" s="14"/>
      <c r="N38492" s="14"/>
      <c r="O38492" s="14"/>
      <c r="P38492" s="13"/>
    </row>
    <row r="38493">
      <c r="L38493" s="13"/>
      <c r="M38493" s="14"/>
      <c r="N38493" s="14"/>
      <c r="O38493" s="14"/>
      <c r="P38493" s="13"/>
    </row>
    <row r="38494">
      <c r="L38494" s="13"/>
      <c r="M38494" s="14"/>
      <c r="N38494" s="14"/>
      <c r="O38494" s="14"/>
      <c r="P38494" s="13"/>
    </row>
    <row r="38495">
      <c r="L38495" s="13"/>
      <c r="M38495" s="14"/>
      <c r="N38495" s="14"/>
      <c r="O38495" s="14"/>
      <c r="P38495" s="13"/>
    </row>
    <row r="38496">
      <c r="L38496" s="13"/>
      <c r="M38496" s="14"/>
      <c r="N38496" s="14"/>
      <c r="O38496" s="14"/>
      <c r="P38496" s="13"/>
    </row>
    <row r="38497">
      <c r="L38497" s="13"/>
      <c r="M38497" s="14"/>
      <c r="N38497" s="14"/>
      <c r="O38497" s="14"/>
      <c r="P38497" s="13"/>
    </row>
    <row r="38498">
      <c r="L38498" s="13"/>
      <c r="M38498" s="14"/>
      <c r="N38498" s="14"/>
      <c r="O38498" s="14"/>
      <c r="P38498" s="13"/>
    </row>
    <row r="38499">
      <c r="L38499" s="13"/>
      <c r="M38499" s="14"/>
      <c r="N38499" s="14"/>
      <c r="O38499" s="14"/>
      <c r="P38499" s="13"/>
    </row>
    <row r="38500">
      <c r="L38500" s="13"/>
      <c r="M38500" s="14"/>
      <c r="N38500" s="14"/>
      <c r="O38500" s="14"/>
      <c r="P38500" s="13"/>
    </row>
    <row r="38501">
      <c r="L38501" s="13"/>
      <c r="M38501" s="14"/>
      <c r="N38501" s="14"/>
      <c r="O38501" s="14"/>
      <c r="P38501" s="13"/>
    </row>
    <row r="38502">
      <c r="L38502" s="13"/>
      <c r="M38502" s="14"/>
      <c r="N38502" s="14"/>
      <c r="O38502" s="14"/>
      <c r="P38502" s="13"/>
    </row>
    <row r="38503">
      <c r="L38503" s="13"/>
      <c r="M38503" s="14"/>
      <c r="N38503" s="14"/>
      <c r="O38503" s="14"/>
      <c r="P38503" s="13"/>
    </row>
    <row r="38504">
      <c r="L38504" s="13"/>
      <c r="M38504" s="14"/>
      <c r="N38504" s="14"/>
      <c r="O38504" s="14"/>
      <c r="P38504" s="13"/>
    </row>
    <row r="38505">
      <c r="L38505" s="13"/>
      <c r="M38505" s="14"/>
      <c r="N38505" s="14"/>
      <c r="O38505" s="14"/>
      <c r="P38505" s="13"/>
    </row>
    <row r="38506">
      <c r="L38506" s="13"/>
      <c r="M38506" s="14"/>
      <c r="N38506" s="14"/>
      <c r="O38506" s="14"/>
      <c r="P38506" s="13"/>
    </row>
    <row r="38507">
      <c r="L38507" s="13"/>
      <c r="M38507" s="14"/>
      <c r="N38507" s="14"/>
      <c r="O38507" s="14"/>
      <c r="P38507" s="13"/>
    </row>
    <row r="38508">
      <c r="L38508" s="13"/>
      <c r="M38508" s="14"/>
      <c r="N38508" s="14"/>
      <c r="O38508" s="14"/>
      <c r="P38508" s="13"/>
    </row>
    <row r="38509">
      <c r="L38509" s="13"/>
      <c r="M38509" s="14"/>
      <c r="N38509" s="14"/>
      <c r="O38509" s="14"/>
      <c r="P38509" s="13"/>
    </row>
    <row r="38510">
      <c r="L38510" s="13"/>
      <c r="M38510" s="14"/>
      <c r="N38510" s="14"/>
      <c r="O38510" s="14"/>
      <c r="P38510" s="13"/>
    </row>
    <row r="38511">
      <c r="L38511" s="13"/>
      <c r="M38511" s="14"/>
      <c r="N38511" s="14"/>
      <c r="O38511" s="14"/>
      <c r="P38511" s="13"/>
    </row>
    <row r="38512">
      <c r="L38512" s="13"/>
      <c r="M38512" s="14"/>
      <c r="N38512" s="14"/>
      <c r="O38512" s="14"/>
      <c r="P38512" s="13"/>
    </row>
    <row r="38513">
      <c r="L38513" s="13"/>
      <c r="M38513" s="14"/>
      <c r="N38513" s="14"/>
      <c r="O38513" s="14"/>
      <c r="P38513" s="13"/>
    </row>
    <row r="38514">
      <c r="L38514" s="13"/>
      <c r="M38514" s="14"/>
      <c r="N38514" s="14"/>
      <c r="O38514" s="14"/>
      <c r="P38514" s="13"/>
    </row>
    <row r="38515">
      <c r="L38515" s="13"/>
      <c r="M38515" s="14"/>
      <c r="N38515" s="14"/>
      <c r="O38515" s="14"/>
      <c r="P38515" s="13"/>
    </row>
    <row r="38516">
      <c r="L38516" s="13"/>
      <c r="M38516" s="14"/>
      <c r="N38516" s="14"/>
      <c r="O38516" s="14"/>
      <c r="P38516" s="13"/>
    </row>
    <row r="38517">
      <c r="L38517" s="13"/>
      <c r="M38517" s="14"/>
      <c r="N38517" s="14"/>
      <c r="O38517" s="14"/>
      <c r="P38517" s="13"/>
    </row>
    <row r="38518">
      <c r="L38518" s="13"/>
      <c r="M38518" s="14"/>
      <c r="N38518" s="14"/>
      <c r="O38518" s="14"/>
      <c r="P38518" s="13"/>
    </row>
    <row r="38519">
      <c r="L38519" s="13"/>
      <c r="M38519" s="14"/>
      <c r="N38519" s="14"/>
      <c r="O38519" s="14"/>
      <c r="P38519" s="13"/>
    </row>
    <row r="38520">
      <c r="L38520" s="13"/>
      <c r="M38520" s="14"/>
      <c r="N38520" s="14"/>
      <c r="O38520" s="14"/>
      <c r="P38520" s="13"/>
    </row>
    <row r="38521">
      <c r="L38521" s="13"/>
      <c r="M38521" s="14"/>
      <c r="N38521" s="14"/>
      <c r="O38521" s="14"/>
      <c r="P38521" s="13"/>
    </row>
    <row r="38522">
      <c r="L38522" s="13"/>
      <c r="M38522" s="14"/>
      <c r="N38522" s="14"/>
      <c r="O38522" s="14"/>
      <c r="P38522" s="13"/>
    </row>
    <row r="38523">
      <c r="L38523" s="13"/>
      <c r="M38523" s="14"/>
      <c r="N38523" s="14"/>
      <c r="O38523" s="14"/>
      <c r="P38523" s="13"/>
    </row>
    <row r="38524">
      <c r="L38524" s="13"/>
      <c r="M38524" s="14"/>
      <c r="N38524" s="14"/>
      <c r="O38524" s="14"/>
      <c r="P38524" s="13"/>
    </row>
    <row r="38525">
      <c r="L38525" s="13"/>
      <c r="M38525" s="14"/>
      <c r="N38525" s="14"/>
      <c r="O38525" s="14"/>
      <c r="P38525" s="13"/>
    </row>
    <row r="38526">
      <c r="L38526" s="13"/>
      <c r="M38526" s="14"/>
      <c r="N38526" s="14"/>
      <c r="O38526" s="14"/>
      <c r="P38526" s="13"/>
    </row>
    <row r="38527">
      <c r="L38527" s="13"/>
      <c r="M38527" s="14"/>
      <c r="N38527" s="14"/>
      <c r="O38527" s="14"/>
      <c r="P38527" s="13"/>
    </row>
    <row r="38528">
      <c r="L38528" s="13"/>
      <c r="M38528" s="14"/>
      <c r="N38528" s="14"/>
      <c r="O38528" s="14"/>
      <c r="P38528" s="13"/>
    </row>
    <row r="38529">
      <c r="L38529" s="13"/>
      <c r="M38529" s="14"/>
      <c r="N38529" s="14"/>
      <c r="O38529" s="14"/>
      <c r="P38529" s="13"/>
    </row>
    <row r="38530">
      <c r="L38530" s="13"/>
      <c r="M38530" s="14"/>
      <c r="N38530" s="14"/>
      <c r="O38530" s="14"/>
      <c r="P38530" s="13"/>
    </row>
    <row r="38531">
      <c r="L38531" s="13"/>
      <c r="M38531" s="14"/>
      <c r="N38531" s="14"/>
      <c r="O38531" s="14"/>
      <c r="P38531" s="13"/>
    </row>
    <row r="38532">
      <c r="L38532" s="13"/>
      <c r="M38532" s="14"/>
      <c r="N38532" s="14"/>
      <c r="O38532" s="14"/>
      <c r="P38532" s="13"/>
    </row>
    <row r="38533">
      <c r="L38533" s="13"/>
      <c r="M38533" s="14"/>
      <c r="N38533" s="14"/>
      <c r="O38533" s="14"/>
      <c r="P38533" s="13"/>
    </row>
    <row r="38534">
      <c r="L38534" s="13"/>
      <c r="M38534" s="14"/>
      <c r="N38534" s="14"/>
      <c r="O38534" s="14"/>
      <c r="P38534" s="13"/>
    </row>
    <row r="38535">
      <c r="L38535" s="13"/>
      <c r="M38535" s="14"/>
      <c r="N38535" s="14"/>
      <c r="O38535" s="14"/>
      <c r="P38535" s="13"/>
    </row>
    <row r="38536">
      <c r="L38536" s="13"/>
      <c r="M38536" s="14"/>
      <c r="N38536" s="14"/>
      <c r="O38536" s="14"/>
      <c r="P38536" s="13"/>
    </row>
    <row r="38537">
      <c r="L38537" s="13"/>
      <c r="M38537" s="14"/>
      <c r="N38537" s="14"/>
      <c r="O38537" s="14"/>
      <c r="P38537" s="13"/>
    </row>
    <row r="38538">
      <c r="L38538" s="13"/>
      <c r="M38538" s="14"/>
      <c r="N38538" s="14"/>
      <c r="O38538" s="14"/>
      <c r="P38538" s="13"/>
    </row>
    <row r="38539">
      <c r="L38539" s="13"/>
      <c r="M38539" s="14"/>
      <c r="N38539" s="14"/>
      <c r="O38539" s="14"/>
      <c r="P38539" s="13"/>
    </row>
    <row r="38540">
      <c r="L38540" s="13"/>
      <c r="M38540" s="14"/>
      <c r="N38540" s="14"/>
      <c r="O38540" s="14"/>
      <c r="P38540" s="13"/>
    </row>
    <row r="38541">
      <c r="L38541" s="13"/>
      <c r="M38541" s="14"/>
      <c r="N38541" s="14"/>
      <c r="O38541" s="14"/>
      <c r="P38541" s="13"/>
    </row>
    <row r="38542">
      <c r="L38542" s="13"/>
      <c r="M38542" s="14"/>
      <c r="N38542" s="14"/>
      <c r="O38542" s="14"/>
      <c r="P38542" s="13"/>
    </row>
    <row r="38543">
      <c r="L38543" s="13"/>
      <c r="M38543" s="14"/>
      <c r="N38543" s="14"/>
      <c r="O38543" s="14"/>
      <c r="P38543" s="13"/>
    </row>
    <row r="38544">
      <c r="L38544" s="13"/>
      <c r="M38544" s="14"/>
      <c r="N38544" s="14"/>
      <c r="O38544" s="14"/>
      <c r="P38544" s="13"/>
    </row>
    <row r="38545">
      <c r="L38545" s="13"/>
      <c r="M38545" s="14"/>
      <c r="N38545" s="14"/>
      <c r="O38545" s="14"/>
      <c r="P38545" s="13"/>
    </row>
    <row r="38546">
      <c r="L38546" s="13"/>
      <c r="M38546" s="14"/>
      <c r="N38546" s="14"/>
      <c r="O38546" s="14"/>
      <c r="P38546" s="13"/>
    </row>
    <row r="38547">
      <c r="L38547" s="13"/>
      <c r="M38547" s="14"/>
      <c r="N38547" s="14"/>
      <c r="O38547" s="14"/>
      <c r="P38547" s="13"/>
    </row>
    <row r="38548">
      <c r="L38548" s="13"/>
      <c r="M38548" s="14"/>
      <c r="N38548" s="14"/>
      <c r="O38548" s="14"/>
      <c r="P38548" s="13"/>
    </row>
    <row r="38549">
      <c r="L38549" s="13"/>
      <c r="M38549" s="14"/>
      <c r="N38549" s="14"/>
      <c r="O38549" s="14"/>
      <c r="P38549" s="13"/>
    </row>
    <row r="38550">
      <c r="L38550" s="13"/>
      <c r="M38550" s="14"/>
      <c r="N38550" s="14"/>
      <c r="O38550" s="14"/>
      <c r="P38550" s="13"/>
    </row>
    <row r="38551">
      <c r="L38551" s="13"/>
      <c r="M38551" s="14"/>
      <c r="N38551" s="14"/>
      <c r="O38551" s="14"/>
      <c r="P38551" s="13"/>
    </row>
    <row r="38552">
      <c r="L38552" s="13"/>
      <c r="M38552" s="14"/>
      <c r="N38552" s="14"/>
      <c r="O38552" s="14"/>
      <c r="P38552" s="13"/>
    </row>
    <row r="38553">
      <c r="L38553" s="13"/>
      <c r="M38553" s="14"/>
      <c r="N38553" s="14"/>
      <c r="O38553" s="14"/>
      <c r="P38553" s="13"/>
    </row>
    <row r="38554">
      <c r="L38554" s="13"/>
      <c r="M38554" s="14"/>
      <c r="N38554" s="14"/>
      <c r="O38554" s="14"/>
      <c r="P38554" s="13"/>
    </row>
    <row r="38555">
      <c r="L38555" s="13"/>
      <c r="M38555" s="14"/>
      <c r="N38555" s="14"/>
      <c r="O38555" s="14"/>
      <c r="P38555" s="13"/>
    </row>
    <row r="38556">
      <c r="L38556" s="13"/>
      <c r="M38556" s="14"/>
      <c r="N38556" s="14"/>
      <c r="O38556" s="14"/>
      <c r="P38556" s="13"/>
    </row>
    <row r="38557">
      <c r="L38557" s="13"/>
      <c r="M38557" s="14"/>
      <c r="N38557" s="14"/>
      <c r="O38557" s="14"/>
      <c r="P38557" s="13"/>
    </row>
    <row r="38558">
      <c r="L38558" s="13"/>
      <c r="M38558" s="14"/>
      <c r="N38558" s="14"/>
      <c r="O38558" s="14"/>
      <c r="P38558" s="13"/>
    </row>
    <row r="38559">
      <c r="L38559" s="13"/>
      <c r="M38559" s="14"/>
      <c r="N38559" s="14"/>
      <c r="O38559" s="14"/>
      <c r="P38559" s="13"/>
    </row>
    <row r="38560">
      <c r="L38560" s="13"/>
      <c r="M38560" s="14"/>
      <c r="N38560" s="14"/>
      <c r="O38560" s="14"/>
      <c r="P38560" s="13"/>
    </row>
    <row r="38561">
      <c r="L38561" s="13"/>
      <c r="M38561" s="14"/>
      <c r="N38561" s="14"/>
      <c r="O38561" s="14"/>
      <c r="P38561" s="13"/>
    </row>
    <row r="38562">
      <c r="L38562" s="13"/>
      <c r="M38562" s="14"/>
      <c r="N38562" s="14"/>
      <c r="O38562" s="14"/>
      <c r="P38562" s="13"/>
    </row>
    <row r="38563">
      <c r="L38563" s="13"/>
      <c r="M38563" s="14"/>
      <c r="N38563" s="14"/>
      <c r="O38563" s="14"/>
      <c r="P38563" s="13"/>
    </row>
    <row r="38564">
      <c r="L38564" s="13"/>
      <c r="M38564" s="14"/>
      <c r="N38564" s="14"/>
      <c r="O38564" s="14"/>
      <c r="P38564" s="13"/>
    </row>
    <row r="38565">
      <c r="L38565" s="13"/>
      <c r="M38565" s="14"/>
      <c r="N38565" s="14"/>
      <c r="O38565" s="14"/>
      <c r="P38565" s="13"/>
    </row>
    <row r="38566">
      <c r="L38566" s="13"/>
      <c r="M38566" s="14"/>
      <c r="N38566" s="14"/>
      <c r="O38566" s="14"/>
      <c r="P38566" s="13"/>
    </row>
    <row r="38567">
      <c r="L38567" s="13"/>
      <c r="M38567" s="14"/>
      <c r="N38567" s="14"/>
      <c r="O38567" s="14"/>
      <c r="P38567" s="13"/>
    </row>
    <row r="38568">
      <c r="L38568" s="13"/>
      <c r="M38568" s="14"/>
      <c r="N38568" s="14"/>
      <c r="O38568" s="14"/>
      <c r="P38568" s="13"/>
    </row>
    <row r="38569">
      <c r="L38569" s="13"/>
      <c r="M38569" s="14"/>
      <c r="N38569" s="14"/>
      <c r="O38569" s="14"/>
      <c r="P38569" s="13"/>
    </row>
    <row r="38570">
      <c r="L38570" s="13"/>
      <c r="M38570" s="14"/>
      <c r="N38570" s="14"/>
      <c r="O38570" s="14"/>
      <c r="P38570" s="13"/>
    </row>
    <row r="38571">
      <c r="L38571" s="13"/>
      <c r="M38571" s="14"/>
      <c r="N38571" s="14"/>
      <c r="O38571" s="14"/>
      <c r="P38571" s="13"/>
    </row>
    <row r="38572">
      <c r="L38572" s="13"/>
      <c r="M38572" s="14"/>
      <c r="N38572" s="14"/>
      <c r="O38572" s="14"/>
      <c r="P38572" s="13"/>
    </row>
    <row r="38573">
      <c r="L38573" s="13"/>
      <c r="M38573" s="14"/>
      <c r="N38573" s="14"/>
      <c r="O38573" s="14"/>
      <c r="P38573" s="13"/>
    </row>
    <row r="38574">
      <c r="L38574" s="13"/>
      <c r="M38574" s="14"/>
      <c r="N38574" s="14"/>
      <c r="O38574" s="14"/>
      <c r="P38574" s="13"/>
    </row>
    <row r="38575">
      <c r="L38575" s="13"/>
      <c r="M38575" s="14"/>
      <c r="N38575" s="14"/>
      <c r="O38575" s="14"/>
      <c r="P38575" s="13"/>
    </row>
    <row r="38576">
      <c r="L38576" s="13"/>
      <c r="M38576" s="14"/>
      <c r="N38576" s="14"/>
      <c r="O38576" s="14"/>
      <c r="P38576" s="13"/>
    </row>
    <row r="38577">
      <c r="L38577" s="13"/>
      <c r="M38577" s="14"/>
      <c r="N38577" s="14"/>
      <c r="O38577" s="14"/>
      <c r="P38577" s="13"/>
    </row>
    <row r="38578">
      <c r="L38578" s="13"/>
      <c r="M38578" s="14"/>
      <c r="N38578" s="14"/>
      <c r="O38578" s="14"/>
      <c r="P38578" s="13"/>
    </row>
    <row r="38579">
      <c r="L38579" s="13"/>
      <c r="M38579" s="14"/>
      <c r="N38579" s="14"/>
      <c r="O38579" s="14"/>
      <c r="P38579" s="13"/>
    </row>
    <row r="38580">
      <c r="L38580" s="13"/>
      <c r="M38580" s="14"/>
      <c r="N38580" s="14"/>
      <c r="O38580" s="14"/>
      <c r="P38580" s="13"/>
    </row>
    <row r="38581">
      <c r="L38581" s="13"/>
      <c r="M38581" s="14"/>
      <c r="N38581" s="14"/>
      <c r="O38581" s="14"/>
      <c r="P38581" s="13"/>
    </row>
    <row r="38582">
      <c r="L38582" s="13"/>
      <c r="M38582" s="14"/>
      <c r="N38582" s="14"/>
      <c r="O38582" s="14"/>
      <c r="P38582" s="13"/>
    </row>
    <row r="38583">
      <c r="L38583" s="13"/>
      <c r="M38583" s="14"/>
      <c r="N38583" s="14"/>
      <c r="O38583" s="14"/>
      <c r="P38583" s="13"/>
    </row>
    <row r="38584">
      <c r="L38584" s="13"/>
      <c r="M38584" s="14"/>
      <c r="N38584" s="14"/>
      <c r="O38584" s="14"/>
      <c r="P38584" s="13"/>
    </row>
    <row r="38585">
      <c r="L38585" s="13"/>
      <c r="M38585" s="14"/>
      <c r="N38585" s="14"/>
      <c r="O38585" s="14"/>
      <c r="P38585" s="13"/>
    </row>
    <row r="38586">
      <c r="L38586" s="13"/>
      <c r="M38586" s="14"/>
      <c r="N38586" s="14"/>
      <c r="O38586" s="14"/>
      <c r="P38586" s="13"/>
    </row>
    <row r="38587">
      <c r="L38587" s="13"/>
      <c r="M38587" s="14"/>
      <c r="N38587" s="14"/>
      <c r="O38587" s="14"/>
      <c r="P38587" s="13"/>
    </row>
    <row r="38588">
      <c r="L38588" s="13"/>
      <c r="M38588" s="14"/>
      <c r="N38588" s="14"/>
      <c r="O38588" s="14"/>
      <c r="P38588" s="13"/>
    </row>
    <row r="38589">
      <c r="L38589" s="13"/>
      <c r="M38589" s="14"/>
      <c r="N38589" s="14"/>
      <c r="O38589" s="14"/>
      <c r="P38589" s="13"/>
    </row>
    <row r="38590">
      <c r="L38590" s="13"/>
      <c r="M38590" s="14"/>
      <c r="N38590" s="14"/>
      <c r="O38590" s="14"/>
      <c r="P38590" s="13"/>
    </row>
    <row r="38591">
      <c r="L38591" s="13"/>
      <c r="M38591" s="14"/>
      <c r="N38591" s="14"/>
      <c r="O38591" s="14"/>
      <c r="P38591" s="13"/>
    </row>
    <row r="38592">
      <c r="L38592" s="13"/>
      <c r="M38592" s="14"/>
      <c r="N38592" s="14"/>
      <c r="O38592" s="14"/>
      <c r="P38592" s="13"/>
    </row>
    <row r="38593">
      <c r="L38593" s="13"/>
      <c r="M38593" s="14"/>
      <c r="N38593" s="14"/>
      <c r="O38593" s="14"/>
      <c r="P38593" s="13"/>
    </row>
    <row r="38594">
      <c r="L38594" s="13"/>
      <c r="M38594" s="14"/>
      <c r="N38594" s="14"/>
      <c r="O38594" s="14"/>
      <c r="P38594" s="13"/>
    </row>
    <row r="38595">
      <c r="L38595" s="13"/>
      <c r="M38595" s="14"/>
      <c r="N38595" s="14"/>
      <c r="O38595" s="14"/>
      <c r="P38595" s="13"/>
    </row>
    <row r="38596">
      <c r="L38596" s="13"/>
      <c r="M38596" s="14"/>
      <c r="N38596" s="14"/>
      <c r="O38596" s="14"/>
      <c r="P38596" s="13"/>
    </row>
    <row r="38597">
      <c r="L38597" s="13"/>
      <c r="M38597" s="14"/>
      <c r="N38597" s="14"/>
      <c r="O38597" s="14"/>
      <c r="P38597" s="13"/>
    </row>
    <row r="38598">
      <c r="L38598" s="13"/>
      <c r="M38598" s="14"/>
      <c r="N38598" s="14"/>
      <c r="O38598" s="14"/>
      <c r="P38598" s="13"/>
    </row>
    <row r="38599">
      <c r="L38599" s="13"/>
      <c r="M38599" s="14"/>
      <c r="N38599" s="14"/>
      <c r="O38599" s="14"/>
      <c r="P38599" s="13"/>
    </row>
    <row r="38600">
      <c r="L38600" s="13"/>
      <c r="M38600" s="14"/>
      <c r="N38600" s="14"/>
      <c r="O38600" s="14"/>
      <c r="P38600" s="13"/>
    </row>
    <row r="38601">
      <c r="L38601" s="13"/>
      <c r="M38601" s="14"/>
      <c r="N38601" s="14"/>
      <c r="O38601" s="14"/>
      <c r="P38601" s="13"/>
    </row>
    <row r="38602">
      <c r="L38602" s="13"/>
      <c r="M38602" s="14"/>
      <c r="N38602" s="14"/>
      <c r="O38602" s="14"/>
      <c r="P38602" s="13"/>
    </row>
    <row r="38603">
      <c r="L38603" s="13"/>
      <c r="M38603" s="14"/>
      <c r="N38603" s="14"/>
      <c r="O38603" s="14"/>
      <c r="P38603" s="13"/>
    </row>
    <row r="38604">
      <c r="L38604" s="13"/>
      <c r="M38604" s="14"/>
      <c r="N38604" s="14"/>
      <c r="O38604" s="14"/>
      <c r="P38604" s="13"/>
    </row>
    <row r="38605">
      <c r="L38605" s="13"/>
      <c r="M38605" s="14"/>
      <c r="N38605" s="14"/>
      <c r="O38605" s="14"/>
      <c r="P38605" s="13"/>
    </row>
    <row r="38606">
      <c r="L38606" s="13"/>
      <c r="M38606" s="14"/>
      <c r="N38606" s="14"/>
      <c r="O38606" s="14"/>
      <c r="P38606" s="13"/>
    </row>
    <row r="38607">
      <c r="L38607" s="13"/>
      <c r="M38607" s="14"/>
      <c r="N38607" s="14"/>
      <c r="O38607" s="14"/>
      <c r="P38607" s="13"/>
    </row>
    <row r="38608">
      <c r="L38608" s="13"/>
      <c r="M38608" s="14"/>
      <c r="N38608" s="14"/>
      <c r="O38608" s="14"/>
      <c r="P38608" s="13"/>
    </row>
    <row r="38609">
      <c r="L38609" s="13"/>
      <c r="M38609" s="14"/>
      <c r="N38609" s="14"/>
      <c r="O38609" s="14"/>
      <c r="P38609" s="13"/>
    </row>
    <row r="38610">
      <c r="L38610" s="13"/>
      <c r="M38610" s="14"/>
      <c r="N38610" s="14"/>
      <c r="O38610" s="14"/>
      <c r="P38610" s="13"/>
    </row>
    <row r="38611">
      <c r="L38611" s="13"/>
      <c r="M38611" s="14"/>
      <c r="N38611" s="14"/>
      <c r="O38611" s="14"/>
      <c r="P38611" s="13"/>
    </row>
    <row r="38612">
      <c r="L38612" s="13"/>
      <c r="M38612" s="14"/>
      <c r="N38612" s="14"/>
      <c r="O38612" s="14"/>
      <c r="P38612" s="13"/>
    </row>
    <row r="38613">
      <c r="L38613" s="13"/>
      <c r="M38613" s="14"/>
      <c r="N38613" s="14"/>
      <c r="O38613" s="14"/>
      <c r="P38613" s="13"/>
    </row>
    <row r="38614">
      <c r="L38614" s="13"/>
      <c r="M38614" s="14"/>
      <c r="N38614" s="14"/>
      <c r="O38614" s="14"/>
      <c r="P38614" s="13"/>
    </row>
    <row r="38615">
      <c r="L38615" s="13"/>
      <c r="M38615" s="14"/>
      <c r="N38615" s="14"/>
      <c r="O38615" s="14"/>
      <c r="P38615" s="13"/>
    </row>
    <row r="38616">
      <c r="L38616" s="13"/>
      <c r="M38616" s="14"/>
      <c r="N38616" s="14"/>
      <c r="O38616" s="14"/>
      <c r="P38616" s="13"/>
    </row>
    <row r="38617">
      <c r="L38617" s="13"/>
      <c r="M38617" s="14"/>
      <c r="N38617" s="14"/>
      <c r="O38617" s="14"/>
      <c r="P38617" s="13"/>
    </row>
    <row r="38618">
      <c r="L38618" s="13"/>
      <c r="M38618" s="14"/>
      <c r="N38618" s="14"/>
      <c r="O38618" s="14"/>
      <c r="P38618" s="13"/>
    </row>
    <row r="38619">
      <c r="L38619" s="13"/>
      <c r="M38619" s="14"/>
      <c r="N38619" s="14"/>
      <c r="O38619" s="14"/>
      <c r="P38619" s="13"/>
    </row>
    <row r="38620">
      <c r="L38620" s="13"/>
      <c r="M38620" s="14"/>
      <c r="N38620" s="14"/>
      <c r="O38620" s="14"/>
      <c r="P38620" s="13"/>
    </row>
    <row r="38621">
      <c r="L38621" s="13"/>
      <c r="M38621" s="14"/>
      <c r="N38621" s="14"/>
      <c r="O38621" s="14"/>
      <c r="P38621" s="13"/>
    </row>
    <row r="38622">
      <c r="L38622" s="13"/>
      <c r="M38622" s="14"/>
      <c r="N38622" s="14"/>
      <c r="O38622" s="14"/>
      <c r="P38622" s="13"/>
    </row>
    <row r="38623">
      <c r="L38623" s="13"/>
      <c r="M38623" s="14"/>
      <c r="N38623" s="14"/>
      <c r="O38623" s="14"/>
      <c r="P38623" s="13"/>
    </row>
    <row r="38624">
      <c r="L38624" s="13"/>
      <c r="M38624" s="14"/>
      <c r="N38624" s="14"/>
      <c r="O38624" s="14"/>
      <c r="P38624" s="13"/>
    </row>
    <row r="38625">
      <c r="L38625" s="13"/>
      <c r="M38625" s="14"/>
      <c r="N38625" s="14"/>
      <c r="O38625" s="14"/>
      <c r="P38625" s="13"/>
    </row>
    <row r="38626">
      <c r="L38626" s="13"/>
      <c r="M38626" s="14"/>
      <c r="N38626" s="14"/>
      <c r="O38626" s="14"/>
      <c r="P38626" s="13"/>
    </row>
    <row r="38627">
      <c r="L38627" s="13"/>
      <c r="M38627" s="14"/>
      <c r="N38627" s="14"/>
      <c r="O38627" s="14"/>
      <c r="P38627" s="13"/>
    </row>
    <row r="38628">
      <c r="L38628" s="13"/>
      <c r="M38628" s="14"/>
      <c r="N38628" s="14"/>
      <c r="O38628" s="14"/>
      <c r="P38628" s="13"/>
    </row>
    <row r="38629">
      <c r="L38629" s="13"/>
      <c r="M38629" s="14"/>
      <c r="N38629" s="14"/>
      <c r="O38629" s="14"/>
      <c r="P38629" s="13"/>
    </row>
    <row r="38630">
      <c r="L38630" s="13"/>
      <c r="M38630" s="14"/>
      <c r="N38630" s="14"/>
      <c r="O38630" s="14"/>
      <c r="P38630" s="13"/>
    </row>
    <row r="38631">
      <c r="L38631" s="13"/>
      <c r="M38631" s="14"/>
      <c r="N38631" s="14"/>
      <c r="O38631" s="14"/>
      <c r="P38631" s="13"/>
    </row>
    <row r="38632">
      <c r="L38632" s="13"/>
      <c r="M38632" s="14"/>
      <c r="N38632" s="14"/>
      <c r="O38632" s="14"/>
      <c r="P38632" s="13"/>
    </row>
    <row r="38633">
      <c r="L38633" s="13"/>
      <c r="M38633" s="14"/>
      <c r="N38633" s="14"/>
      <c r="O38633" s="14"/>
      <c r="P38633" s="13"/>
    </row>
    <row r="38634">
      <c r="L38634" s="13"/>
      <c r="M38634" s="14"/>
      <c r="N38634" s="14"/>
      <c r="O38634" s="14"/>
      <c r="P38634" s="13"/>
    </row>
    <row r="38635">
      <c r="L38635" s="13"/>
      <c r="M38635" s="14"/>
      <c r="N38635" s="14"/>
      <c r="O38635" s="14"/>
      <c r="P38635" s="13"/>
    </row>
    <row r="38636">
      <c r="L38636" s="13"/>
      <c r="M38636" s="14"/>
      <c r="N38636" s="14"/>
      <c r="O38636" s="14"/>
      <c r="P38636" s="13"/>
    </row>
    <row r="38637">
      <c r="L38637" s="13"/>
      <c r="M38637" s="14"/>
      <c r="N38637" s="14"/>
      <c r="O38637" s="14"/>
      <c r="P38637" s="13"/>
    </row>
    <row r="38638">
      <c r="L38638" s="13"/>
      <c r="M38638" s="14"/>
      <c r="N38638" s="14"/>
      <c r="O38638" s="14"/>
      <c r="P38638" s="13"/>
    </row>
    <row r="38639">
      <c r="L38639" s="13"/>
      <c r="M38639" s="14"/>
      <c r="N38639" s="14"/>
      <c r="O38639" s="14"/>
      <c r="P38639" s="13"/>
    </row>
    <row r="38640">
      <c r="L38640" s="13"/>
      <c r="M38640" s="14"/>
      <c r="N38640" s="14"/>
      <c r="O38640" s="14"/>
      <c r="P38640" s="13"/>
    </row>
    <row r="38641">
      <c r="L38641" s="13"/>
      <c r="M38641" s="14"/>
      <c r="N38641" s="14"/>
      <c r="O38641" s="14"/>
      <c r="P38641" s="13"/>
    </row>
    <row r="38642">
      <c r="L38642" s="13"/>
      <c r="M38642" s="14"/>
      <c r="N38642" s="14"/>
      <c r="O38642" s="14"/>
      <c r="P38642" s="13"/>
    </row>
    <row r="38643">
      <c r="L38643" s="13"/>
      <c r="M38643" s="14"/>
      <c r="N38643" s="14"/>
      <c r="O38643" s="14"/>
      <c r="P38643" s="13"/>
    </row>
    <row r="38644">
      <c r="L38644" s="13"/>
      <c r="M38644" s="14"/>
      <c r="N38644" s="14"/>
      <c r="O38644" s="14"/>
      <c r="P38644" s="13"/>
    </row>
    <row r="38645">
      <c r="L38645" s="13"/>
      <c r="M38645" s="14"/>
      <c r="N38645" s="14"/>
      <c r="O38645" s="14"/>
      <c r="P38645" s="13"/>
    </row>
    <row r="38646">
      <c r="L38646" s="13"/>
      <c r="M38646" s="14"/>
      <c r="N38646" s="14"/>
      <c r="O38646" s="14"/>
      <c r="P38646" s="13"/>
    </row>
    <row r="38647">
      <c r="L38647" s="13"/>
      <c r="M38647" s="14"/>
      <c r="N38647" s="14"/>
      <c r="O38647" s="14"/>
      <c r="P38647" s="13"/>
    </row>
    <row r="38648">
      <c r="L38648" s="13"/>
      <c r="M38648" s="14"/>
      <c r="N38648" s="14"/>
      <c r="O38648" s="14"/>
      <c r="P38648" s="13"/>
    </row>
    <row r="38649">
      <c r="L38649" s="13"/>
      <c r="M38649" s="14"/>
      <c r="N38649" s="14"/>
      <c r="O38649" s="14"/>
      <c r="P38649" s="13"/>
    </row>
    <row r="38650">
      <c r="L38650" s="13"/>
      <c r="M38650" s="14"/>
      <c r="N38650" s="14"/>
      <c r="O38650" s="14"/>
      <c r="P38650" s="13"/>
    </row>
    <row r="38651">
      <c r="L38651" s="13"/>
      <c r="M38651" s="14"/>
      <c r="N38651" s="14"/>
      <c r="O38651" s="14"/>
      <c r="P38651" s="13"/>
    </row>
    <row r="38652">
      <c r="L38652" s="13"/>
      <c r="M38652" s="14"/>
      <c r="N38652" s="14"/>
      <c r="O38652" s="14"/>
      <c r="P38652" s="13"/>
    </row>
    <row r="38653">
      <c r="L38653" s="13"/>
      <c r="M38653" s="14"/>
      <c r="N38653" s="14"/>
      <c r="O38653" s="14"/>
      <c r="P38653" s="13"/>
    </row>
    <row r="38654">
      <c r="L38654" s="13"/>
      <c r="M38654" s="14"/>
      <c r="N38654" s="14"/>
      <c r="O38654" s="14"/>
      <c r="P38654" s="13"/>
    </row>
    <row r="38655">
      <c r="L38655" s="13"/>
      <c r="M38655" s="14"/>
      <c r="N38655" s="14"/>
      <c r="O38655" s="14"/>
      <c r="P38655" s="13"/>
    </row>
    <row r="38656">
      <c r="L38656" s="13"/>
      <c r="M38656" s="14"/>
      <c r="N38656" s="14"/>
      <c r="O38656" s="14"/>
      <c r="P38656" s="13"/>
    </row>
    <row r="38657">
      <c r="L38657" s="13"/>
      <c r="M38657" s="14"/>
      <c r="N38657" s="14"/>
      <c r="O38657" s="14"/>
      <c r="P38657" s="13"/>
    </row>
    <row r="38658">
      <c r="L38658" s="13"/>
      <c r="M38658" s="14"/>
      <c r="N38658" s="14"/>
      <c r="O38658" s="14"/>
      <c r="P38658" s="13"/>
    </row>
    <row r="38659">
      <c r="L38659" s="13"/>
      <c r="M38659" s="14"/>
      <c r="N38659" s="14"/>
      <c r="O38659" s="14"/>
      <c r="P38659" s="13"/>
    </row>
    <row r="38660">
      <c r="L38660" s="13"/>
      <c r="M38660" s="14"/>
      <c r="N38660" s="14"/>
      <c r="O38660" s="14"/>
      <c r="P38660" s="13"/>
    </row>
    <row r="38661">
      <c r="L38661" s="13"/>
      <c r="M38661" s="14"/>
      <c r="N38661" s="14"/>
      <c r="O38661" s="14"/>
      <c r="P38661" s="13"/>
    </row>
    <row r="38662">
      <c r="L38662" s="13"/>
      <c r="M38662" s="14"/>
      <c r="N38662" s="14"/>
      <c r="O38662" s="14"/>
      <c r="P38662" s="13"/>
    </row>
    <row r="38663">
      <c r="L38663" s="13"/>
      <c r="M38663" s="14"/>
      <c r="N38663" s="14"/>
      <c r="O38663" s="14"/>
      <c r="P38663" s="13"/>
    </row>
    <row r="38664">
      <c r="L38664" s="13"/>
      <c r="M38664" s="14"/>
      <c r="N38664" s="14"/>
      <c r="O38664" s="14"/>
      <c r="P38664" s="13"/>
    </row>
    <row r="38665">
      <c r="L38665" s="13"/>
      <c r="M38665" s="14"/>
      <c r="N38665" s="14"/>
      <c r="O38665" s="14"/>
      <c r="P38665" s="13"/>
    </row>
    <row r="38666">
      <c r="L38666" s="13"/>
      <c r="M38666" s="14"/>
      <c r="N38666" s="14"/>
      <c r="O38666" s="14"/>
      <c r="P38666" s="13"/>
    </row>
    <row r="38667">
      <c r="L38667" s="13"/>
      <c r="M38667" s="14"/>
      <c r="N38667" s="14"/>
      <c r="O38667" s="14"/>
      <c r="P38667" s="13"/>
    </row>
    <row r="38668">
      <c r="L38668" s="13"/>
      <c r="M38668" s="14"/>
      <c r="N38668" s="14"/>
      <c r="O38668" s="14"/>
      <c r="P38668" s="13"/>
    </row>
    <row r="38669">
      <c r="L38669" s="13"/>
      <c r="M38669" s="14"/>
      <c r="N38669" s="14"/>
      <c r="O38669" s="14"/>
      <c r="P38669" s="13"/>
    </row>
    <row r="38670">
      <c r="L38670" s="13"/>
      <c r="M38670" s="14"/>
      <c r="N38670" s="14"/>
      <c r="O38670" s="14"/>
      <c r="P38670" s="13"/>
    </row>
    <row r="38671">
      <c r="L38671" s="13"/>
      <c r="M38671" s="14"/>
      <c r="N38671" s="14"/>
      <c r="O38671" s="14"/>
      <c r="P38671" s="13"/>
    </row>
    <row r="38672">
      <c r="L38672" s="13"/>
      <c r="M38672" s="14"/>
      <c r="N38672" s="14"/>
      <c r="O38672" s="14"/>
      <c r="P38672" s="13"/>
    </row>
    <row r="38673">
      <c r="L38673" s="13"/>
      <c r="M38673" s="14"/>
      <c r="N38673" s="14"/>
      <c r="O38673" s="14"/>
      <c r="P38673" s="13"/>
    </row>
    <row r="38674">
      <c r="L38674" s="13"/>
      <c r="M38674" s="14"/>
      <c r="N38674" s="14"/>
      <c r="O38674" s="14"/>
      <c r="P38674" s="13"/>
    </row>
    <row r="38675">
      <c r="L38675" s="13"/>
      <c r="M38675" s="14"/>
      <c r="N38675" s="14"/>
      <c r="O38675" s="14"/>
      <c r="P38675" s="13"/>
    </row>
    <row r="38676">
      <c r="L38676" s="13"/>
      <c r="M38676" s="14"/>
      <c r="N38676" s="14"/>
      <c r="O38676" s="14"/>
      <c r="P38676" s="13"/>
    </row>
    <row r="38677">
      <c r="L38677" s="13"/>
      <c r="M38677" s="14"/>
      <c r="N38677" s="14"/>
      <c r="O38677" s="14"/>
      <c r="P38677" s="13"/>
    </row>
    <row r="38678">
      <c r="L38678" s="13"/>
      <c r="M38678" s="14"/>
      <c r="N38678" s="14"/>
      <c r="O38678" s="14"/>
      <c r="P38678" s="13"/>
    </row>
    <row r="38679">
      <c r="L38679" s="13"/>
      <c r="M38679" s="14"/>
      <c r="N38679" s="14"/>
      <c r="O38679" s="14"/>
      <c r="P38679" s="13"/>
    </row>
    <row r="38680">
      <c r="L38680" s="13"/>
      <c r="M38680" s="14"/>
      <c r="N38680" s="14"/>
      <c r="O38680" s="14"/>
      <c r="P38680" s="13"/>
    </row>
    <row r="38681">
      <c r="L38681" s="13"/>
      <c r="M38681" s="14"/>
      <c r="N38681" s="14"/>
      <c r="O38681" s="14"/>
      <c r="P38681" s="13"/>
    </row>
    <row r="38682">
      <c r="L38682" s="13"/>
      <c r="M38682" s="14"/>
      <c r="N38682" s="14"/>
      <c r="O38682" s="14"/>
      <c r="P38682" s="13"/>
    </row>
    <row r="38683">
      <c r="L38683" s="13"/>
      <c r="M38683" s="14"/>
      <c r="N38683" s="14"/>
      <c r="O38683" s="14"/>
      <c r="P38683" s="13"/>
    </row>
    <row r="38684">
      <c r="L38684" s="13"/>
      <c r="M38684" s="14"/>
      <c r="N38684" s="14"/>
      <c r="O38684" s="14"/>
      <c r="P38684" s="13"/>
    </row>
    <row r="38685">
      <c r="L38685" s="13"/>
      <c r="M38685" s="14"/>
      <c r="N38685" s="14"/>
      <c r="O38685" s="14"/>
      <c r="P38685" s="13"/>
    </row>
    <row r="38686">
      <c r="L38686" s="13"/>
      <c r="M38686" s="14"/>
      <c r="N38686" s="14"/>
      <c r="O38686" s="14"/>
      <c r="P38686" s="13"/>
    </row>
    <row r="38687">
      <c r="L38687" s="13"/>
      <c r="M38687" s="14"/>
      <c r="N38687" s="14"/>
      <c r="O38687" s="14"/>
      <c r="P38687" s="13"/>
    </row>
    <row r="38688">
      <c r="L38688" s="13"/>
      <c r="M38688" s="14"/>
      <c r="N38688" s="14"/>
      <c r="O38688" s="14"/>
      <c r="P38688" s="13"/>
    </row>
    <row r="38689">
      <c r="L38689" s="13"/>
      <c r="M38689" s="14"/>
      <c r="N38689" s="14"/>
      <c r="O38689" s="14"/>
      <c r="P38689" s="13"/>
    </row>
    <row r="38690">
      <c r="L38690" s="13"/>
      <c r="M38690" s="14"/>
      <c r="N38690" s="14"/>
      <c r="O38690" s="14"/>
      <c r="P38690" s="13"/>
    </row>
    <row r="38691">
      <c r="L38691" s="13"/>
      <c r="M38691" s="14"/>
      <c r="N38691" s="14"/>
      <c r="O38691" s="14"/>
      <c r="P38691" s="13"/>
    </row>
    <row r="38692">
      <c r="L38692" s="13"/>
      <c r="M38692" s="14"/>
      <c r="N38692" s="14"/>
      <c r="O38692" s="14"/>
      <c r="P38692" s="13"/>
    </row>
    <row r="38693">
      <c r="L38693" s="13"/>
      <c r="M38693" s="14"/>
      <c r="N38693" s="14"/>
      <c r="O38693" s="14"/>
      <c r="P38693" s="13"/>
    </row>
    <row r="38694">
      <c r="L38694" s="13"/>
      <c r="M38694" s="14"/>
      <c r="N38694" s="14"/>
      <c r="O38694" s="14"/>
      <c r="P38694" s="13"/>
    </row>
    <row r="38695">
      <c r="L38695" s="13"/>
      <c r="M38695" s="14"/>
      <c r="N38695" s="14"/>
      <c r="O38695" s="14"/>
      <c r="P38695" s="13"/>
    </row>
    <row r="38696">
      <c r="L38696" s="13"/>
      <c r="M38696" s="14"/>
      <c r="N38696" s="14"/>
      <c r="O38696" s="14"/>
      <c r="P38696" s="13"/>
    </row>
    <row r="38697">
      <c r="L38697" s="13"/>
      <c r="M38697" s="14"/>
      <c r="N38697" s="14"/>
      <c r="O38697" s="14"/>
      <c r="P38697" s="13"/>
    </row>
    <row r="38698">
      <c r="L38698" s="13"/>
      <c r="M38698" s="14"/>
      <c r="N38698" s="14"/>
      <c r="O38698" s="14"/>
      <c r="P38698" s="13"/>
    </row>
    <row r="38699">
      <c r="L38699" s="13"/>
      <c r="M38699" s="14"/>
      <c r="N38699" s="14"/>
      <c r="O38699" s="14"/>
      <c r="P38699" s="13"/>
    </row>
    <row r="38700">
      <c r="L38700" s="13"/>
      <c r="M38700" s="14"/>
      <c r="N38700" s="14"/>
      <c r="O38700" s="14"/>
      <c r="P38700" s="13"/>
    </row>
    <row r="38701">
      <c r="L38701" s="13"/>
      <c r="M38701" s="14"/>
      <c r="N38701" s="14"/>
      <c r="O38701" s="14"/>
      <c r="P38701" s="13"/>
    </row>
    <row r="38702">
      <c r="L38702" s="13"/>
      <c r="M38702" s="14"/>
      <c r="N38702" s="14"/>
      <c r="O38702" s="14"/>
      <c r="P38702" s="13"/>
    </row>
    <row r="38703">
      <c r="L38703" s="13"/>
      <c r="M38703" s="14"/>
      <c r="N38703" s="14"/>
      <c r="O38703" s="14"/>
      <c r="P38703" s="13"/>
    </row>
    <row r="38704">
      <c r="L38704" s="13"/>
      <c r="M38704" s="14"/>
      <c r="N38704" s="14"/>
      <c r="O38704" s="14"/>
      <c r="P38704" s="13"/>
    </row>
    <row r="38705">
      <c r="L38705" s="13"/>
      <c r="M38705" s="14"/>
      <c r="N38705" s="14"/>
      <c r="O38705" s="14"/>
      <c r="P38705" s="13"/>
    </row>
    <row r="38706">
      <c r="L38706" s="13"/>
      <c r="M38706" s="14"/>
      <c r="N38706" s="14"/>
      <c r="O38706" s="14"/>
      <c r="P38706" s="13"/>
    </row>
    <row r="38707">
      <c r="L38707" s="13"/>
      <c r="M38707" s="14"/>
      <c r="N38707" s="14"/>
      <c r="O38707" s="14"/>
      <c r="P38707" s="13"/>
    </row>
    <row r="38708">
      <c r="L38708" s="13"/>
      <c r="M38708" s="14"/>
      <c r="N38708" s="14"/>
      <c r="O38708" s="14"/>
      <c r="P38708" s="13"/>
    </row>
    <row r="38709">
      <c r="L38709" s="13"/>
      <c r="M38709" s="14"/>
      <c r="N38709" s="14"/>
      <c r="O38709" s="14"/>
      <c r="P38709" s="13"/>
    </row>
    <row r="38710">
      <c r="L38710" s="13"/>
      <c r="M38710" s="14"/>
      <c r="N38710" s="14"/>
      <c r="O38710" s="14"/>
      <c r="P38710" s="13"/>
    </row>
    <row r="38711">
      <c r="L38711" s="13"/>
      <c r="M38711" s="14"/>
      <c r="N38711" s="14"/>
      <c r="O38711" s="14"/>
      <c r="P38711" s="13"/>
    </row>
    <row r="38712">
      <c r="L38712" s="13"/>
      <c r="M38712" s="14"/>
      <c r="N38712" s="14"/>
      <c r="O38712" s="14"/>
      <c r="P38712" s="13"/>
    </row>
    <row r="38713">
      <c r="L38713" s="13"/>
      <c r="M38713" s="14"/>
      <c r="N38713" s="14"/>
      <c r="O38713" s="14"/>
      <c r="P38713" s="13"/>
    </row>
    <row r="38714">
      <c r="L38714" s="13"/>
      <c r="M38714" s="14"/>
      <c r="N38714" s="14"/>
      <c r="O38714" s="14"/>
      <c r="P38714" s="13"/>
    </row>
    <row r="38715">
      <c r="L38715" s="13"/>
      <c r="M38715" s="14"/>
      <c r="N38715" s="14"/>
      <c r="O38715" s="14"/>
      <c r="P38715" s="13"/>
    </row>
    <row r="38716">
      <c r="L38716" s="13"/>
      <c r="M38716" s="14"/>
      <c r="N38716" s="14"/>
      <c r="O38716" s="14"/>
      <c r="P38716" s="13"/>
    </row>
    <row r="38717">
      <c r="L38717" s="13"/>
      <c r="M38717" s="14"/>
      <c r="N38717" s="14"/>
      <c r="O38717" s="14"/>
      <c r="P38717" s="13"/>
    </row>
    <row r="38718">
      <c r="L38718" s="13"/>
      <c r="M38718" s="14"/>
      <c r="N38718" s="14"/>
      <c r="O38718" s="14"/>
      <c r="P38718" s="13"/>
    </row>
    <row r="38719">
      <c r="L38719" s="13"/>
      <c r="M38719" s="14"/>
      <c r="N38719" s="14"/>
      <c r="O38719" s="14"/>
      <c r="P38719" s="13"/>
    </row>
    <row r="38720">
      <c r="L38720" s="13"/>
      <c r="M38720" s="14"/>
      <c r="N38720" s="14"/>
      <c r="O38720" s="14"/>
      <c r="P38720" s="13"/>
    </row>
    <row r="38721">
      <c r="L38721" s="13"/>
      <c r="M38721" s="14"/>
      <c r="N38721" s="14"/>
      <c r="O38721" s="14"/>
      <c r="P38721" s="13"/>
    </row>
    <row r="38722">
      <c r="L38722" s="13"/>
      <c r="M38722" s="14"/>
      <c r="N38722" s="14"/>
      <c r="O38722" s="14"/>
      <c r="P38722" s="13"/>
    </row>
    <row r="38723">
      <c r="L38723" s="13"/>
      <c r="M38723" s="14"/>
      <c r="N38723" s="14"/>
      <c r="O38723" s="14"/>
      <c r="P38723" s="13"/>
    </row>
    <row r="38724">
      <c r="L38724" s="13"/>
      <c r="M38724" s="14"/>
      <c r="N38724" s="14"/>
      <c r="O38724" s="14"/>
      <c r="P38724" s="13"/>
    </row>
    <row r="38725">
      <c r="L38725" s="13"/>
      <c r="M38725" s="14"/>
      <c r="N38725" s="14"/>
      <c r="O38725" s="14"/>
      <c r="P38725" s="13"/>
    </row>
    <row r="38726">
      <c r="L38726" s="13"/>
      <c r="M38726" s="14"/>
      <c r="N38726" s="14"/>
      <c r="O38726" s="14"/>
      <c r="P38726" s="13"/>
    </row>
    <row r="38727">
      <c r="L38727" s="13"/>
      <c r="M38727" s="14"/>
      <c r="N38727" s="14"/>
      <c r="O38727" s="14"/>
      <c r="P38727" s="13"/>
    </row>
    <row r="38728">
      <c r="L38728" s="13"/>
      <c r="M38728" s="14"/>
      <c r="N38728" s="14"/>
      <c r="O38728" s="14"/>
      <c r="P38728" s="13"/>
    </row>
    <row r="38729">
      <c r="L38729" s="13"/>
      <c r="M38729" s="14"/>
      <c r="N38729" s="14"/>
      <c r="O38729" s="14"/>
      <c r="P38729" s="13"/>
    </row>
    <row r="38730">
      <c r="L38730" s="13"/>
      <c r="M38730" s="14"/>
      <c r="N38730" s="14"/>
      <c r="O38730" s="14"/>
      <c r="P38730" s="13"/>
    </row>
    <row r="38731">
      <c r="L38731" s="13"/>
      <c r="M38731" s="14"/>
      <c r="N38731" s="14"/>
      <c r="O38731" s="14"/>
      <c r="P38731" s="13"/>
    </row>
    <row r="38732">
      <c r="L38732" s="13"/>
      <c r="M38732" s="14"/>
      <c r="N38732" s="14"/>
      <c r="O38732" s="14"/>
      <c r="P38732" s="13"/>
    </row>
    <row r="38733">
      <c r="L38733" s="13"/>
      <c r="M38733" s="14"/>
      <c r="N38733" s="14"/>
      <c r="O38733" s="14"/>
      <c r="P38733" s="13"/>
    </row>
    <row r="38734">
      <c r="L38734" s="13"/>
      <c r="M38734" s="14"/>
      <c r="N38734" s="14"/>
      <c r="O38734" s="14"/>
      <c r="P38734" s="13"/>
    </row>
    <row r="38735">
      <c r="L38735" s="13"/>
      <c r="M38735" s="14"/>
      <c r="N38735" s="14"/>
      <c r="O38735" s="14"/>
      <c r="P38735" s="13"/>
    </row>
    <row r="38736">
      <c r="L38736" s="13"/>
      <c r="M38736" s="14"/>
      <c r="N38736" s="14"/>
      <c r="O38736" s="14"/>
      <c r="P38736" s="13"/>
    </row>
    <row r="38737">
      <c r="L38737" s="13"/>
      <c r="M38737" s="14"/>
      <c r="N38737" s="14"/>
      <c r="O38737" s="14"/>
      <c r="P38737" s="13"/>
    </row>
    <row r="38738">
      <c r="L38738" s="13"/>
      <c r="M38738" s="14"/>
      <c r="N38738" s="14"/>
      <c r="O38738" s="14"/>
      <c r="P38738" s="13"/>
    </row>
    <row r="38739">
      <c r="L38739" s="13"/>
      <c r="M38739" s="14"/>
      <c r="N38739" s="14"/>
      <c r="O38739" s="14"/>
      <c r="P38739" s="13"/>
    </row>
    <row r="38740">
      <c r="L38740" s="13"/>
      <c r="M38740" s="14"/>
      <c r="N38740" s="14"/>
      <c r="O38740" s="14"/>
      <c r="P38740" s="13"/>
    </row>
    <row r="38741">
      <c r="L38741" s="13"/>
      <c r="M38741" s="14"/>
      <c r="N38741" s="14"/>
      <c r="O38741" s="14"/>
      <c r="P38741" s="13"/>
    </row>
    <row r="38742">
      <c r="L38742" s="13"/>
      <c r="M38742" s="14"/>
      <c r="N38742" s="14"/>
      <c r="O38742" s="14"/>
      <c r="P38742" s="13"/>
    </row>
    <row r="38743">
      <c r="L38743" s="13"/>
      <c r="M38743" s="14"/>
      <c r="N38743" s="14"/>
      <c r="O38743" s="14"/>
      <c r="P38743" s="13"/>
    </row>
    <row r="38744">
      <c r="L38744" s="13"/>
      <c r="M38744" s="14"/>
      <c r="N38744" s="14"/>
      <c r="O38744" s="14"/>
      <c r="P38744" s="13"/>
    </row>
    <row r="38745">
      <c r="L38745" s="13"/>
      <c r="M38745" s="14"/>
      <c r="N38745" s="14"/>
      <c r="O38745" s="14"/>
      <c r="P38745" s="13"/>
    </row>
    <row r="38746">
      <c r="L38746" s="13"/>
      <c r="M38746" s="14"/>
      <c r="N38746" s="14"/>
      <c r="O38746" s="14"/>
      <c r="P38746" s="13"/>
    </row>
    <row r="38747">
      <c r="L38747" s="13"/>
      <c r="M38747" s="14"/>
      <c r="N38747" s="14"/>
      <c r="O38747" s="14"/>
      <c r="P38747" s="13"/>
    </row>
    <row r="38748">
      <c r="L38748" s="13"/>
      <c r="M38748" s="14"/>
      <c r="N38748" s="14"/>
      <c r="O38748" s="14"/>
      <c r="P38748" s="13"/>
    </row>
    <row r="38749">
      <c r="L38749" s="13"/>
      <c r="M38749" s="14"/>
      <c r="N38749" s="14"/>
      <c r="O38749" s="14"/>
      <c r="P38749" s="13"/>
    </row>
    <row r="38750">
      <c r="L38750" s="13"/>
      <c r="M38750" s="14"/>
      <c r="N38750" s="14"/>
      <c r="O38750" s="14"/>
      <c r="P38750" s="13"/>
    </row>
    <row r="38751">
      <c r="L38751" s="13"/>
      <c r="M38751" s="14"/>
      <c r="N38751" s="14"/>
      <c r="O38751" s="14"/>
      <c r="P38751" s="13"/>
    </row>
    <row r="38752">
      <c r="L38752" s="13"/>
      <c r="M38752" s="14"/>
      <c r="N38752" s="14"/>
      <c r="O38752" s="14"/>
      <c r="P38752" s="13"/>
    </row>
    <row r="38753">
      <c r="L38753" s="13"/>
      <c r="M38753" s="14"/>
      <c r="N38753" s="14"/>
      <c r="O38753" s="14"/>
      <c r="P38753" s="13"/>
    </row>
    <row r="38754">
      <c r="L38754" s="13"/>
      <c r="M38754" s="14"/>
      <c r="N38754" s="14"/>
      <c r="O38754" s="14"/>
      <c r="P38754" s="13"/>
    </row>
    <row r="38755">
      <c r="L38755" s="13"/>
      <c r="M38755" s="14"/>
      <c r="N38755" s="14"/>
      <c r="O38755" s="14"/>
      <c r="P38755" s="13"/>
    </row>
    <row r="38756">
      <c r="L38756" s="13"/>
      <c r="M38756" s="14"/>
      <c r="N38756" s="14"/>
      <c r="O38756" s="14"/>
      <c r="P38756" s="13"/>
    </row>
    <row r="38757">
      <c r="L38757" s="13"/>
      <c r="M38757" s="14"/>
      <c r="N38757" s="14"/>
      <c r="O38757" s="14"/>
      <c r="P38757" s="13"/>
    </row>
    <row r="38758">
      <c r="L38758" s="13"/>
      <c r="M38758" s="14"/>
      <c r="N38758" s="14"/>
      <c r="O38758" s="14"/>
      <c r="P38758" s="13"/>
    </row>
    <row r="38759">
      <c r="L38759" s="13"/>
      <c r="M38759" s="14"/>
      <c r="N38759" s="14"/>
      <c r="O38759" s="14"/>
      <c r="P38759" s="13"/>
    </row>
    <row r="38760">
      <c r="L38760" s="13"/>
      <c r="M38760" s="14"/>
      <c r="N38760" s="14"/>
      <c r="O38760" s="14"/>
      <c r="P38760" s="13"/>
    </row>
    <row r="38761">
      <c r="L38761" s="13"/>
      <c r="M38761" s="14"/>
      <c r="N38761" s="14"/>
      <c r="O38761" s="14"/>
      <c r="P38761" s="13"/>
    </row>
    <row r="38762">
      <c r="L38762" s="13"/>
      <c r="M38762" s="14"/>
      <c r="N38762" s="14"/>
      <c r="O38762" s="14"/>
      <c r="P38762" s="13"/>
    </row>
    <row r="38763">
      <c r="L38763" s="13"/>
      <c r="M38763" s="14"/>
      <c r="N38763" s="14"/>
      <c r="O38763" s="14"/>
      <c r="P38763" s="13"/>
    </row>
    <row r="38764">
      <c r="L38764" s="13"/>
      <c r="M38764" s="14"/>
      <c r="N38764" s="14"/>
      <c r="O38764" s="14"/>
      <c r="P38764" s="13"/>
    </row>
    <row r="38765">
      <c r="L38765" s="13"/>
      <c r="M38765" s="14"/>
      <c r="N38765" s="14"/>
      <c r="O38765" s="14"/>
      <c r="P38765" s="13"/>
    </row>
    <row r="38766">
      <c r="L38766" s="13"/>
      <c r="M38766" s="14"/>
      <c r="N38766" s="14"/>
      <c r="O38766" s="14"/>
      <c r="P38766" s="13"/>
    </row>
    <row r="38767">
      <c r="L38767" s="13"/>
      <c r="M38767" s="14"/>
      <c r="N38767" s="14"/>
      <c r="O38767" s="14"/>
      <c r="P38767" s="13"/>
    </row>
    <row r="38768">
      <c r="L38768" s="13"/>
      <c r="M38768" s="14"/>
      <c r="N38768" s="14"/>
      <c r="O38768" s="14"/>
      <c r="P38768" s="13"/>
    </row>
    <row r="38769">
      <c r="L38769" s="13"/>
      <c r="M38769" s="14"/>
      <c r="N38769" s="14"/>
      <c r="O38769" s="14"/>
      <c r="P38769" s="13"/>
    </row>
    <row r="38770">
      <c r="L38770" s="13"/>
      <c r="M38770" s="14"/>
      <c r="N38770" s="14"/>
      <c r="O38770" s="14"/>
      <c r="P38770" s="13"/>
    </row>
    <row r="38771">
      <c r="L38771" s="13"/>
      <c r="M38771" s="14"/>
      <c r="N38771" s="14"/>
      <c r="O38771" s="14"/>
      <c r="P38771" s="13"/>
    </row>
    <row r="38772">
      <c r="L38772" s="13"/>
      <c r="M38772" s="14"/>
      <c r="N38772" s="14"/>
      <c r="O38772" s="14"/>
      <c r="P38772" s="13"/>
    </row>
    <row r="38773">
      <c r="L38773" s="13"/>
      <c r="M38773" s="14"/>
      <c r="N38773" s="14"/>
      <c r="O38773" s="14"/>
      <c r="P38773" s="13"/>
    </row>
    <row r="38774">
      <c r="L38774" s="13"/>
      <c r="M38774" s="14"/>
      <c r="N38774" s="14"/>
      <c r="O38774" s="14"/>
      <c r="P38774" s="13"/>
    </row>
    <row r="38775">
      <c r="L38775" s="13"/>
      <c r="M38775" s="14"/>
      <c r="N38775" s="14"/>
      <c r="O38775" s="14"/>
      <c r="P38775" s="13"/>
    </row>
    <row r="38776">
      <c r="L38776" s="13"/>
      <c r="M38776" s="14"/>
      <c r="N38776" s="14"/>
      <c r="O38776" s="14"/>
      <c r="P38776" s="13"/>
    </row>
    <row r="38777">
      <c r="L38777" s="13"/>
      <c r="M38777" s="14"/>
      <c r="N38777" s="14"/>
      <c r="O38777" s="14"/>
      <c r="P38777" s="13"/>
    </row>
    <row r="38778">
      <c r="L38778" s="13"/>
      <c r="M38778" s="14"/>
      <c r="N38778" s="14"/>
      <c r="O38778" s="14"/>
      <c r="P38778" s="13"/>
    </row>
    <row r="38779">
      <c r="L38779" s="13"/>
      <c r="M38779" s="14"/>
      <c r="N38779" s="14"/>
      <c r="O38779" s="14"/>
      <c r="P38779" s="13"/>
    </row>
    <row r="38780">
      <c r="L38780" s="13"/>
      <c r="M38780" s="14"/>
      <c r="N38780" s="14"/>
      <c r="O38780" s="14"/>
      <c r="P38780" s="13"/>
    </row>
    <row r="38781">
      <c r="L38781" s="13"/>
      <c r="M38781" s="14"/>
      <c r="N38781" s="14"/>
      <c r="O38781" s="14"/>
      <c r="P38781" s="13"/>
    </row>
    <row r="38782">
      <c r="L38782" s="13"/>
      <c r="M38782" s="14"/>
      <c r="N38782" s="14"/>
      <c r="O38782" s="14"/>
      <c r="P38782" s="13"/>
    </row>
    <row r="38783">
      <c r="L38783" s="13"/>
      <c r="M38783" s="14"/>
      <c r="N38783" s="14"/>
      <c r="O38783" s="14"/>
      <c r="P38783" s="13"/>
    </row>
    <row r="38784">
      <c r="L38784" s="13"/>
      <c r="M38784" s="14"/>
      <c r="N38784" s="14"/>
      <c r="O38784" s="14"/>
      <c r="P38784" s="13"/>
    </row>
    <row r="38785">
      <c r="L38785" s="13"/>
      <c r="M38785" s="14"/>
      <c r="N38785" s="14"/>
      <c r="O38785" s="14"/>
      <c r="P38785" s="13"/>
    </row>
    <row r="38786">
      <c r="L38786" s="13"/>
      <c r="M38786" s="14"/>
      <c r="N38786" s="14"/>
      <c r="O38786" s="14"/>
      <c r="P38786" s="13"/>
    </row>
    <row r="38787">
      <c r="L38787" s="13"/>
      <c r="M38787" s="14"/>
      <c r="N38787" s="14"/>
      <c r="O38787" s="14"/>
      <c r="P38787" s="13"/>
    </row>
    <row r="38788">
      <c r="L38788" s="13"/>
      <c r="M38788" s="14"/>
      <c r="N38788" s="14"/>
      <c r="O38788" s="14"/>
      <c r="P38788" s="13"/>
    </row>
    <row r="38789">
      <c r="L38789" s="13"/>
      <c r="M38789" s="14"/>
      <c r="N38789" s="14"/>
      <c r="O38789" s="14"/>
      <c r="P38789" s="13"/>
    </row>
    <row r="38790">
      <c r="L38790" s="13"/>
      <c r="M38790" s="14"/>
      <c r="N38790" s="14"/>
      <c r="O38790" s="14"/>
      <c r="P38790" s="13"/>
    </row>
    <row r="38791">
      <c r="L38791" s="13"/>
      <c r="M38791" s="14"/>
      <c r="N38791" s="14"/>
      <c r="O38791" s="14"/>
      <c r="P38791" s="13"/>
    </row>
    <row r="38792">
      <c r="L38792" s="13"/>
      <c r="M38792" s="14"/>
      <c r="N38792" s="14"/>
      <c r="O38792" s="14"/>
      <c r="P38792" s="13"/>
    </row>
    <row r="38793">
      <c r="L38793" s="13"/>
      <c r="M38793" s="14"/>
      <c r="N38793" s="14"/>
      <c r="O38793" s="14"/>
      <c r="P38793" s="13"/>
    </row>
    <row r="38794">
      <c r="L38794" s="13"/>
      <c r="M38794" s="14"/>
      <c r="N38794" s="14"/>
      <c r="O38794" s="14"/>
      <c r="P38794" s="13"/>
    </row>
    <row r="38795">
      <c r="L38795" s="13"/>
      <c r="M38795" s="14"/>
      <c r="N38795" s="14"/>
      <c r="O38795" s="14"/>
      <c r="P38795" s="13"/>
    </row>
    <row r="38796">
      <c r="L38796" s="13"/>
      <c r="M38796" s="14"/>
      <c r="N38796" s="14"/>
      <c r="O38796" s="14"/>
      <c r="P38796" s="13"/>
    </row>
    <row r="38797">
      <c r="L38797" s="13"/>
      <c r="M38797" s="14"/>
      <c r="N38797" s="14"/>
      <c r="O38797" s="14"/>
      <c r="P38797" s="13"/>
    </row>
    <row r="38798">
      <c r="L38798" s="13"/>
      <c r="M38798" s="14"/>
      <c r="N38798" s="14"/>
      <c r="O38798" s="14"/>
      <c r="P38798" s="13"/>
    </row>
    <row r="38799">
      <c r="L38799" s="13"/>
      <c r="M38799" s="14"/>
      <c r="N38799" s="14"/>
      <c r="O38799" s="14"/>
      <c r="P38799" s="13"/>
    </row>
    <row r="38800">
      <c r="L38800" s="13"/>
      <c r="M38800" s="14"/>
      <c r="N38800" s="14"/>
      <c r="O38800" s="14"/>
      <c r="P38800" s="13"/>
    </row>
    <row r="38801">
      <c r="L38801" s="13"/>
      <c r="M38801" s="14"/>
      <c r="N38801" s="14"/>
      <c r="O38801" s="14"/>
      <c r="P38801" s="13"/>
    </row>
    <row r="38802">
      <c r="L38802" s="13"/>
      <c r="M38802" s="14"/>
      <c r="N38802" s="14"/>
      <c r="O38802" s="14"/>
      <c r="P38802" s="13"/>
    </row>
    <row r="38803">
      <c r="L38803" s="13"/>
      <c r="M38803" s="14"/>
      <c r="N38803" s="14"/>
      <c r="O38803" s="14"/>
      <c r="P38803" s="13"/>
    </row>
    <row r="38804">
      <c r="L38804" s="13"/>
      <c r="M38804" s="14"/>
      <c r="N38804" s="14"/>
      <c r="O38804" s="14"/>
      <c r="P38804" s="13"/>
    </row>
    <row r="38805">
      <c r="L38805" s="13"/>
      <c r="M38805" s="14"/>
      <c r="N38805" s="14"/>
      <c r="O38805" s="14"/>
      <c r="P38805" s="13"/>
    </row>
    <row r="38806">
      <c r="L38806" s="13"/>
      <c r="M38806" s="14"/>
      <c r="N38806" s="14"/>
      <c r="O38806" s="14"/>
      <c r="P38806" s="13"/>
    </row>
    <row r="38807">
      <c r="L38807" s="13"/>
      <c r="M38807" s="14"/>
      <c r="N38807" s="14"/>
      <c r="O38807" s="14"/>
      <c r="P38807" s="13"/>
    </row>
    <row r="38808">
      <c r="L38808" s="13"/>
      <c r="M38808" s="14"/>
      <c r="N38808" s="14"/>
      <c r="O38808" s="14"/>
      <c r="P38808" s="13"/>
    </row>
    <row r="38809">
      <c r="L38809" s="13"/>
      <c r="M38809" s="14"/>
      <c r="N38809" s="14"/>
      <c r="O38809" s="14"/>
      <c r="P38809" s="13"/>
    </row>
    <row r="38810">
      <c r="L38810" s="13"/>
      <c r="M38810" s="14"/>
      <c r="N38810" s="14"/>
      <c r="O38810" s="14"/>
      <c r="P38810" s="13"/>
    </row>
    <row r="38811">
      <c r="L38811" s="13"/>
      <c r="M38811" s="14"/>
      <c r="N38811" s="14"/>
      <c r="O38811" s="14"/>
      <c r="P38811" s="13"/>
    </row>
    <row r="38812">
      <c r="L38812" s="13"/>
      <c r="M38812" s="14"/>
      <c r="N38812" s="14"/>
      <c r="O38812" s="14"/>
      <c r="P38812" s="13"/>
    </row>
    <row r="38813">
      <c r="L38813" s="13"/>
      <c r="M38813" s="14"/>
      <c r="N38813" s="14"/>
      <c r="O38813" s="14"/>
      <c r="P38813" s="13"/>
    </row>
    <row r="38814">
      <c r="L38814" s="13"/>
      <c r="M38814" s="14"/>
      <c r="N38814" s="14"/>
      <c r="O38814" s="14"/>
      <c r="P38814" s="13"/>
    </row>
    <row r="38815">
      <c r="L38815" s="13"/>
      <c r="M38815" s="14"/>
      <c r="N38815" s="14"/>
      <c r="O38815" s="14"/>
      <c r="P38815" s="13"/>
    </row>
    <row r="38816">
      <c r="L38816" s="13"/>
      <c r="M38816" s="14"/>
      <c r="N38816" s="14"/>
      <c r="O38816" s="14"/>
      <c r="P38816" s="13"/>
    </row>
    <row r="38817">
      <c r="L38817" s="13"/>
      <c r="M38817" s="14"/>
      <c r="N38817" s="14"/>
      <c r="O38817" s="14"/>
      <c r="P38817" s="13"/>
    </row>
    <row r="38818">
      <c r="L38818" s="13"/>
      <c r="M38818" s="14"/>
      <c r="N38818" s="14"/>
      <c r="O38818" s="14"/>
      <c r="P38818" s="13"/>
    </row>
    <row r="38819">
      <c r="L38819" s="13"/>
      <c r="M38819" s="14"/>
      <c r="N38819" s="14"/>
      <c r="O38819" s="14"/>
      <c r="P38819" s="13"/>
    </row>
    <row r="38820">
      <c r="L38820" s="13"/>
      <c r="M38820" s="14"/>
      <c r="N38820" s="14"/>
      <c r="O38820" s="14"/>
      <c r="P38820" s="13"/>
    </row>
    <row r="38821">
      <c r="L38821" s="13"/>
      <c r="M38821" s="14"/>
      <c r="N38821" s="14"/>
      <c r="O38821" s="14"/>
      <c r="P38821" s="13"/>
    </row>
    <row r="38822">
      <c r="L38822" s="13"/>
      <c r="M38822" s="14"/>
      <c r="N38822" s="14"/>
      <c r="O38822" s="14"/>
      <c r="P38822" s="13"/>
    </row>
    <row r="38823">
      <c r="L38823" s="13"/>
      <c r="M38823" s="14"/>
      <c r="N38823" s="14"/>
      <c r="O38823" s="14"/>
      <c r="P38823" s="13"/>
    </row>
    <row r="38824">
      <c r="L38824" s="13"/>
      <c r="M38824" s="14"/>
      <c r="N38824" s="14"/>
      <c r="O38824" s="14"/>
      <c r="P38824" s="13"/>
    </row>
    <row r="38825">
      <c r="L38825" s="13"/>
      <c r="M38825" s="14"/>
      <c r="N38825" s="14"/>
      <c r="O38825" s="14"/>
      <c r="P38825" s="13"/>
    </row>
    <row r="38826">
      <c r="L38826" s="13"/>
      <c r="M38826" s="14"/>
      <c r="N38826" s="14"/>
      <c r="O38826" s="14"/>
      <c r="P38826" s="13"/>
    </row>
    <row r="38827">
      <c r="L38827" s="13"/>
      <c r="M38827" s="14"/>
      <c r="N38827" s="14"/>
      <c r="O38827" s="14"/>
      <c r="P38827" s="13"/>
    </row>
    <row r="38828">
      <c r="L38828" s="13"/>
      <c r="M38828" s="14"/>
      <c r="N38828" s="14"/>
      <c r="O38828" s="14"/>
      <c r="P38828" s="13"/>
    </row>
    <row r="38829">
      <c r="L38829" s="13"/>
      <c r="M38829" s="14"/>
      <c r="N38829" s="14"/>
      <c r="O38829" s="14"/>
      <c r="P38829" s="13"/>
    </row>
    <row r="38830">
      <c r="L38830" s="13"/>
      <c r="M38830" s="14"/>
      <c r="N38830" s="14"/>
      <c r="O38830" s="14"/>
      <c r="P38830" s="13"/>
    </row>
    <row r="38831">
      <c r="L38831" s="13"/>
      <c r="M38831" s="14"/>
      <c r="N38831" s="14"/>
      <c r="O38831" s="14"/>
      <c r="P38831" s="13"/>
    </row>
    <row r="38832">
      <c r="L38832" s="13"/>
      <c r="M38832" s="14"/>
      <c r="N38832" s="14"/>
      <c r="O38832" s="14"/>
      <c r="P38832" s="13"/>
    </row>
    <row r="38833">
      <c r="L38833" s="13"/>
      <c r="M38833" s="14"/>
      <c r="N38833" s="14"/>
      <c r="O38833" s="14"/>
      <c r="P38833" s="13"/>
    </row>
    <row r="38834">
      <c r="L38834" s="13"/>
      <c r="M38834" s="14"/>
      <c r="N38834" s="14"/>
      <c r="O38834" s="14"/>
      <c r="P38834" s="13"/>
    </row>
    <row r="38835">
      <c r="L38835" s="13"/>
      <c r="M38835" s="14"/>
      <c r="N38835" s="14"/>
      <c r="O38835" s="14"/>
      <c r="P38835" s="13"/>
    </row>
    <row r="38836">
      <c r="L38836" s="13"/>
      <c r="M38836" s="14"/>
      <c r="N38836" s="14"/>
      <c r="O38836" s="14"/>
      <c r="P38836" s="13"/>
    </row>
    <row r="38837">
      <c r="L38837" s="13"/>
      <c r="M38837" s="14"/>
      <c r="N38837" s="14"/>
      <c r="O38837" s="14"/>
      <c r="P38837" s="13"/>
    </row>
    <row r="38838">
      <c r="L38838" s="13"/>
      <c r="M38838" s="14"/>
      <c r="N38838" s="14"/>
      <c r="O38838" s="14"/>
      <c r="P38838" s="13"/>
    </row>
    <row r="38839">
      <c r="L38839" s="13"/>
      <c r="M38839" s="14"/>
      <c r="N38839" s="14"/>
      <c r="O38839" s="14"/>
      <c r="P38839" s="13"/>
    </row>
    <row r="38840">
      <c r="L38840" s="13"/>
      <c r="M38840" s="14"/>
      <c r="N38840" s="14"/>
      <c r="O38840" s="14"/>
      <c r="P38840" s="13"/>
    </row>
    <row r="38841">
      <c r="L38841" s="13"/>
      <c r="M38841" s="14"/>
      <c r="N38841" s="14"/>
      <c r="O38841" s="14"/>
      <c r="P38841" s="13"/>
    </row>
    <row r="38842">
      <c r="L38842" s="13"/>
      <c r="M38842" s="14"/>
      <c r="N38842" s="14"/>
      <c r="O38842" s="14"/>
      <c r="P38842" s="13"/>
    </row>
    <row r="38843">
      <c r="L38843" s="13"/>
      <c r="M38843" s="14"/>
      <c r="N38843" s="14"/>
      <c r="O38843" s="14"/>
      <c r="P38843" s="13"/>
    </row>
    <row r="38844">
      <c r="L38844" s="13"/>
      <c r="M38844" s="14"/>
      <c r="N38844" s="14"/>
      <c r="O38844" s="14"/>
      <c r="P38844" s="13"/>
    </row>
    <row r="38845">
      <c r="L38845" s="13"/>
      <c r="M38845" s="14"/>
      <c r="N38845" s="14"/>
      <c r="O38845" s="14"/>
      <c r="P38845" s="13"/>
    </row>
    <row r="38846">
      <c r="L38846" s="13"/>
      <c r="M38846" s="14"/>
      <c r="N38846" s="14"/>
      <c r="O38846" s="14"/>
      <c r="P38846" s="13"/>
    </row>
    <row r="38847">
      <c r="L38847" s="13"/>
      <c r="M38847" s="14"/>
      <c r="N38847" s="14"/>
      <c r="O38847" s="14"/>
      <c r="P38847" s="13"/>
    </row>
    <row r="38848">
      <c r="L38848" s="13"/>
      <c r="M38848" s="14"/>
      <c r="N38848" s="14"/>
      <c r="O38848" s="14"/>
      <c r="P38848" s="13"/>
    </row>
    <row r="38849">
      <c r="L38849" s="13"/>
      <c r="M38849" s="14"/>
      <c r="N38849" s="14"/>
      <c r="O38849" s="14"/>
      <c r="P38849" s="13"/>
    </row>
    <row r="38850">
      <c r="L38850" s="13"/>
      <c r="M38850" s="14"/>
      <c r="N38850" s="14"/>
      <c r="O38850" s="14"/>
      <c r="P38850" s="13"/>
    </row>
    <row r="38851">
      <c r="L38851" s="13"/>
      <c r="M38851" s="14"/>
      <c r="N38851" s="14"/>
      <c r="O38851" s="14"/>
      <c r="P38851" s="13"/>
    </row>
    <row r="38852">
      <c r="L38852" s="13"/>
      <c r="M38852" s="14"/>
      <c r="N38852" s="14"/>
      <c r="O38852" s="14"/>
      <c r="P38852" s="13"/>
    </row>
    <row r="38853">
      <c r="L38853" s="13"/>
      <c r="M38853" s="14"/>
      <c r="N38853" s="14"/>
      <c r="O38853" s="14"/>
      <c r="P38853" s="13"/>
    </row>
    <row r="38854">
      <c r="L38854" s="13"/>
      <c r="M38854" s="14"/>
      <c r="N38854" s="14"/>
      <c r="O38854" s="14"/>
      <c r="P38854" s="13"/>
    </row>
    <row r="38855">
      <c r="L38855" s="13"/>
      <c r="M38855" s="14"/>
      <c r="N38855" s="14"/>
      <c r="O38855" s="14"/>
      <c r="P38855" s="13"/>
    </row>
    <row r="38856">
      <c r="L38856" s="13"/>
      <c r="M38856" s="14"/>
      <c r="N38856" s="14"/>
      <c r="O38856" s="14"/>
      <c r="P38856" s="13"/>
    </row>
    <row r="38857">
      <c r="L38857" s="13"/>
      <c r="M38857" s="14"/>
      <c r="N38857" s="14"/>
      <c r="O38857" s="14"/>
      <c r="P38857" s="13"/>
    </row>
    <row r="38858">
      <c r="L38858" s="13"/>
      <c r="M38858" s="14"/>
      <c r="N38858" s="14"/>
      <c r="O38858" s="14"/>
      <c r="P38858" s="13"/>
    </row>
    <row r="38859">
      <c r="L38859" s="13"/>
      <c r="M38859" s="14"/>
      <c r="N38859" s="14"/>
      <c r="O38859" s="14"/>
      <c r="P38859" s="13"/>
    </row>
    <row r="38860">
      <c r="L38860" s="13"/>
      <c r="M38860" s="14"/>
      <c r="N38860" s="14"/>
      <c r="O38860" s="14"/>
      <c r="P38860" s="13"/>
    </row>
    <row r="38861">
      <c r="L38861" s="13"/>
      <c r="M38861" s="14"/>
      <c r="N38861" s="14"/>
      <c r="O38861" s="14"/>
      <c r="P38861" s="13"/>
    </row>
    <row r="38862">
      <c r="L38862" s="13"/>
      <c r="M38862" s="14"/>
      <c r="N38862" s="14"/>
      <c r="O38862" s="14"/>
      <c r="P38862" s="13"/>
    </row>
    <row r="38863">
      <c r="L38863" s="13"/>
      <c r="M38863" s="14"/>
      <c r="N38863" s="14"/>
      <c r="O38863" s="14"/>
      <c r="P38863" s="13"/>
    </row>
    <row r="38864">
      <c r="L38864" s="13"/>
      <c r="M38864" s="14"/>
      <c r="N38864" s="14"/>
      <c r="O38864" s="14"/>
      <c r="P38864" s="13"/>
    </row>
    <row r="38865">
      <c r="L38865" s="13"/>
      <c r="M38865" s="14"/>
      <c r="N38865" s="14"/>
      <c r="O38865" s="14"/>
      <c r="P38865" s="13"/>
    </row>
    <row r="38866">
      <c r="L38866" s="13"/>
      <c r="M38866" s="14"/>
      <c r="N38866" s="14"/>
      <c r="O38866" s="14"/>
      <c r="P38866" s="13"/>
    </row>
    <row r="38867">
      <c r="L38867" s="13"/>
      <c r="M38867" s="14"/>
      <c r="N38867" s="14"/>
      <c r="O38867" s="14"/>
      <c r="P38867" s="13"/>
    </row>
    <row r="38868">
      <c r="L38868" s="13"/>
      <c r="M38868" s="14"/>
      <c r="N38868" s="14"/>
      <c r="O38868" s="14"/>
      <c r="P38868" s="13"/>
    </row>
    <row r="38869">
      <c r="L38869" s="13"/>
      <c r="M38869" s="14"/>
      <c r="N38869" s="14"/>
      <c r="O38869" s="14"/>
      <c r="P38869" s="13"/>
    </row>
    <row r="38870">
      <c r="L38870" s="13"/>
      <c r="M38870" s="14"/>
      <c r="N38870" s="14"/>
      <c r="O38870" s="14"/>
      <c r="P38870" s="13"/>
    </row>
    <row r="38871">
      <c r="L38871" s="13"/>
      <c r="M38871" s="14"/>
      <c r="N38871" s="14"/>
      <c r="O38871" s="14"/>
      <c r="P38871" s="13"/>
    </row>
    <row r="38872">
      <c r="L38872" s="13"/>
      <c r="M38872" s="14"/>
      <c r="N38872" s="14"/>
      <c r="O38872" s="14"/>
      <c r="P38872" s="13"/>
    </row>
    <row r="38873">
      <c r="L38873" s="13"/>
      <c r="M38873" s="14"/>
      <c r="N38873" s="14"/>
      <c r="O38873" s="14"/>
      <c r="P38873" s="13"/>
    </row>
    <row r="38874">
      <c r="L38874" s="13"/>
      <c r="M38874" s="14"/>
      <c r="N38874" s="14"/>
      <c r="O38874" s="14"/>
      <c r="P38874" s="13"/>
    </row>
    <row r="38875">
      <c r="L38875" s="13"/>
      <c r="M38875" s="14"/>
      <c r="N38875" s="14"/>
      <c r="O38875" s="14"/>
      <c r="P38875" s="13"/>
    </row>
    <row r="38876">
      <c r="L38876" s="13"/>
      <c r="M38876" s="14"/>
      <c r="N38876" s="14"/>
      <c r="O38876" s="14"/>
      <c r="P38876" s="13"/>
    </row>
    <row r="38877">
      <c r="L38877" s="13"/>
      <c r="M38877" s="14"/>
      <c r="N38877" s="14"/>
      <c r="O38877" s="14"/>
      <c r="P38877" s="13"/>
    </row>
    <row r="38878">
      <c r="L38878" s="13"/>
      <c r="M38878" s="14"/>
      <c r="N38878" s="14"/>
      <c r="O38878" s="14"/>
      <c r="P38878" s="13"/>
    </row>
    <row r="38879">
      <c r="L38879" s="13"/>
      <c r="M38879" s="14"/>
      <c r="N38879" s="14"/>
      <c r="O38879" s="14"/>
      <c r="P38879" s="13"/>
    </row>
    <row r="38880">
      <c r="L38880" s="13"/>
      <c r="M38880" s="14"/>
      <c r="N38880" s="14"/>
      <c r="O38880" s="14"/>
      <c r="P38880" s="13"/>
    </row>
    <row r="38881">
      <c r="L38881" s="13"/>
      <c r="M38881" s="14"/>
      <c r="N38881" s="14"/>
      <c r="O38881" s="14"/>
      <c r="P38881" s="13"/>
    </row>
    <row r="38882">
      <c r="L38882" s="13"/>
      <c r="M38882" s="14"/>
      <c r="N38882" s="14"/>
      <c r="O38882" s="14"/>
      <c r="P38882" s="13"/>
    </row>
    <row r="38883">
      <c r="L38883" s="13"/>
      <c r="M38883" s="14"/>
      <c r="N38883" s="14"/>
      <c r="O38883" s="14"/>
      <c r="P38883" s="13"/>
    </row>
    <row r="38884">
      <c r="L38884" s="13"/>
      <c r="M38884" s="14"/>
      <c r="N38884" s="14"/>
      <c r="O38884" s="14"/>
      <c r="P38884" s="13"/>
    </row>
    <row r="38885">
      <c r="L38885" s="13"/>
      <c r="M38885" s="14"/>
      <c r="N38885" s="14"/>
      <c r="O38885" s="14"/>
      <c r="P38885" s="13"/>
    </row>
    <row r="38886">
      <c r="L38886" s="13"/>
      <c r="M38886" s="14"/>
      <c r="N38886" s="14"/>
      <c r="O38886" s="14"/>
      <c r="P38886" s="13"/>
    </row>
    <row r="38887">
      <c r="L38887" s="13"/>
      <c r="M38887" s="14"/>
      <c r="N38887" s="14"/>
      <c r="O38887" s="14"/>
      <c r="P38887" s="13"/>
    </row>
    <row r="38888">
      <c r="L38888" s="13"/>
      <c r="M38888" s="14"/>
      <c r="N38888" s="14"/>
      <c r="O38888" s="14"/>
      <c r="P38888" s="13"/>
    </row>
    <row r="38889">
      <c r="L38889" s="13"/>
      <c r="M38889" s="14"/>
      <c r="N38889" s="14"/>
      <c r="O38889" s="14"/>
      <c r="P38889" s="13"/>
    </row>
    <row r="38890">
      <c r="L38890" s="13"/>
      <c r="M38890" s="14"/>
      <c r="N38890" s="14"/>
      <c r="O38890" s="14"/>
      <c r="P38890" s="13"/>
    </row>
    <row r="38891">
      <c r="L38891" s="13"/>
      <c r="M38891" s="14"/>
      <c r="N38891" s="14"/>
      <c r="O38891" s="14"/>
      <c r="P38891" s="13"/>
    </row>
    <row r="38892">
      <c r="L38892" s="13"/>
      <c r="M38892" s="14"/>
      <c r="N38892" s="14"/>
      <c r="O38892" s="14"/>
      <c r="P38892" s="13"/>
    </row>
    <row r="38893">
      <c r="L38893" s="13"/>
      <c r="M38893" s="14"/>
      <c r="N38893" s="14"/>
      <c r="O38893" s="14"/>
      <c r="P38893" s="13"/>
    </row>
    <row r="38894">
      <c r="L38894" s="13"/>
      <c r="M38894" s="14"/>
      <c r="N38894" s="14"/>
      <c r="O38894" s="14"/>
      <c r="P38894" s="13"/>
    </row>
    <row r="38895">
      <c r="L38895" s="13"/>
      <c r="M38895" s="14"/>
      <c r="N38895" s="14"/>
      <c r="O38895" s="14"/>
      <c r="P38895" s="13"/>
    </row>
    <row r="38896">
      <c r="L38896" s="13"/>
      <c r="M38896" s="14"/>
      <c r="N38896" s="14"/>
      <c r="O38896" s="14"/>
      <c r="P38896" s="13"/>
    </row>
    <row r="38897">
      <c r="L38897" s="13"/>
      <c r="M38897" s="14"/>
      <c r="N38897" s="14"/>
      <c r="O38897" s="14"/>
      <c r="P38897" s="13"/>
    </row>
    <row r="38898">
      <c r="L38898" s="13"/>
      <c r="M38898" s="14"/>
      <c r="N38898" s="14"/>
      <c r="O38898" s="14"/>
      <c r="P38898" s="13"/>
    </row>
    <row r="38899">
      <c r="L38899" s="13"/>
      <c r="M38899" s="14"/>
      <c r="N38899" s="14"/>
      <c r="O38899" s="14"/>
      <c r="P38899" s="13"/>
    </row>
    <row r="38900">
      <c r="L38900" s="13"/>
      <c r="M38900" s="14"/>
      <c r="N38900" s="14"/>
      <c r="O38900" s="14"/>
      <c r="P38900" s="13"/>
    </row>
    <row r="38901">
      <c r="L38901" s="13"/>
      <c r="M38901" s="14"/>
      <c r="N38901" s="14"/>
      <c r="O38901" s="14"/>
      <c r="P38901" s="13"/>
    </row>
    <row r="38902">
      <c r="L38902" s="13"/>
      <c r="M38902" s="14"/>
      <c r="N38902" s="14"/>
      <c r="O38902" s="14"/>
      <c r="P38902" s="13"/>
    </row>
    <row r="38903">
      <c r="L38903" s="13"/>
      <c r="M38903" s="14"/>
      <c r="N38903" s="14"/>
      <c r="O38903" s="14"/>
      <c r="P38903" s="13"/>
    </row>
    <row r="38904">
      <c r="L38904" s="13"/>
      <c r="M38904" s="14"/>
      <c r="N38904" s="14"/>
      <c r="O38904" s="14"/>
      <c r="P38904" s="13"/>
    </row>
    <row r="38905">
      <c r="L38905" s="13"/>
      <c r="M38905" s="14"/>
      <c r="N38905" s="14"/>
      <c r="O38905" s="14"/>
      <c r="P38905" s="13"/>
    </row>
    <row r="38906">
      <c r="L38906" s="13"/>
      <c r="M38906" s="14"/>
      <c r="N38906" s="14"/>
      <c r="O38906" s="14"/>
      <c r="P38906" s="13"/>
    </row>
    <row r="38907">
      <c r="L38907" s="13"/>
      <c r="M38907" s="14"/>
      <c r="N38907" s="14"/>
      <c r="O38907" s="14"/>
      <c r="P38907" s="13"/>
    </row>
    <row r="38908">
      <c r="L38908" s="13"/>
      <c r="M38908" s="14"/>
      <c r="N38908" s="14"/>
      <c r="O38908" s="14"/>
      <c r="P38908" s="13"/>
    </row>
    <row r="38909">
      <c r="L38909" s="13"/>
      <c r="M38909" s="14"/>
      <c r="N38909" s="14"/>
      <c r="O38909" s="14"/>
      <c r="P38909" s="13"/>
    </row>
    <row r="38910">
      <c r="L38910" s="13"/>
      <c r="M38910" s="14"/>
      <c r="N38910" s="14"/>
      <c r="O38910" s="14"/>
      <c r="P38910" s="13"/>
    </row>
    <row r="38911">
      <c r="L38911" s="13"/>
      <c r="M38911" s="14"/>
      <c r="N38911" s="14"/>
      <c r="O38911" s="14"/>
      <c r="P38911" s="13"/>
    </row>
    <row r="38912">
      <c r="L38912" s="13"/>
      <c r="M38912" s="14"/>
      <c r="N38912" s="14"/>
      <c r="O38912" s="14"/>
      <c r="P38912" s="13"/>
    </row>
    <row r="38913">
      <c r="L38913" s="13"/>
      <c r="M38913" s="14"/>
      <c r="N38913" s="14"/>
      <c r="O38913" s="14"/>
      <c r="P38913" s="13"/>
    </row>
    <row r="38914">
      <c r="L38914" s="13"/>
      <c r="M38914" s="14"/>
      <c r="N38914" s="14"/>
      <c r="O38914" s="14"/>
      <c r="P38914" s="13"/>
    </row>
    <row r="38915">
      <c r="L38915" s="13"/>
      <c r="M38915" s="14"/>
      <c r="N38915" s="14"/>
      <c r="O38915" s="14"/>
      <c r="P38915" s="13"/>
    </row>
    <row r="38916">
      <c r="L38916" s="13"/>
      <c r="M38916" s="14"/>
      <c r="N38916" s="14"/>
      <c r="O38916" s="14"/>
      <c r="P38916" s="13"/>
    </row>
    <row r="38917">
      <c r="L38917" s="13"/>
      <c r="M38917" s="14"/>
      <c r="N38917" s="14"/>
      <c r="O38917" s="14"/>
      <c r="P38917" s="13"/>
    </row>
    <row r="38918">
      <c r="L38918" s="13"/>
      <c r="M38918" s="14"/>
      <c r="N38918" s="14"/>
      <c r="O38918" s="14"/>
      <c r="P38918" s="13"/>
    </row>
    <row r="38919">
      <c r="L38919" s="13"/>
      <c r="M38919" s="14"/>
      <c r="N38919" s="14"/>
      <c r="O38919" s="14"/>
      <c r="P38919" s="13"/>
    </row>
    <row r="38920">
      <c r="L38920" s="13"/>
      <c r="M38920" s="14"/>
      <c r="N38920" s="14"/>
      <c r="O38920" s="14"/>
      <c r="P38920" s="13"/>
    </row>
    <row r="38921">
      <c r="L38921" s="13"/>
      <c r="M38921" s="14"/>
      <c r="N38921" s="14"/>
      <c r="O38921" s="14"/>
      <c r="P38921" s="13"/>
    </row>
    <row r="38922">
      <c r="L38922" s="13"/>
      <c r="M38922" s="14"/>
      <c r="N38922" s="14"/>
      <c r="O38922" s="14"/>
      <c r="P38922" s="13"/>
    </row>
    <row r="38923">
      <c r="L38923" s="13"/>
      <c r="M38923" s="14"/>
      <c r="N38923" s="14"/>
      <c r="O38923" s="14"/>
      <c r="P38923" s="13"/>
    </row>
    <row r="38924">
      <c r="L38924" s="13"/>
      <c r="M38924" s="14"/>
      <c r="N38924" s="14"/>
      <c r="O38924" s="14"/>
      <c r="P38924" s="13"/>
    </row>
    <row r="38925">
      <c r="L38925" s="13"/>
      <c r="M38925" s="14"/>
      <c r="N38925" s="14"/>
      <c r="O38925" s="14"/>
      <c r="P38925" s="13"/>
    </row>
    <row r="38926">
      <c r="L38926" s="13"/>
      <c r="M38926" s="14"/>
      <c r="N38926" s="14"/>
      <c r="O38926" s="14"/>
      <c r="P38926" s="13"/>
    </row>
    <row r="38927">
      <c r="L38927" s="13"/>
      <c r="M38927" s="14"/>
      <c r="N38927" s="14"/>
      <c r="O38927" s="14"/>
      <c r="P38927" s="13"/>
    </row>
    <row r="38928">
      <c r="L38928" s="13"/>
      <c r="M38928" s="14"/>
      <c r="N38928" s="14"/>
      <c r="O38928" s="14"/>
      <c r="P38928" s="13"/>
    </row>
    <row r="38929">
      <c r="L38929" s="13"/>
      <c r="M38929" s="14"/>
      <c r="N38929" s="14"/>
      <c r="O38929" s="14"/>
      <c r="P38929" s="13"/>
    </row>
    <row r="38930">
      <c r="L38930" s="13"/>
      <c r="M38930" s="14"/>
      <c r="N38930" s="14"/>
      <c r="O38930" s="14"/>
      <c r="P38930" s="13"/>
    </row>
    <row r="38931">
      <c r="L38931" s="13"/>
      <c r="M38931" s="14"/>
      <c r="N38931" s="14"/>
      <c r="O38931" s="14"/>
      <c r="P38931" s="13"/>
    </row>
    <row r="38932">
      <c r="L38932" s="13"/>
      <c r="M38932" s="14"/>
      <c r="N38932" s="14"/>
      <c r="O38932" s="14"/>
      <c r="P38932" s="13"/>
    </row>
    <row r="38933">
      <c r="L38933" s="13"/>
      <c r="M38933" s="14"/>
      <c r="N38933" s="14"/>
      <c r="O38933" s="14"/>
      <c r="P38933" s="13"/>
    </row>
    <row r="38934">
      <c r="L38934" s="13"/>
      <c r="M38934" s="14"/>
      <c r="N38934" s="14"/>
      <c r="O38934" s="14"/>
      <c r="P38934" s="13"/>
    </row>
    <row r="38935">
      <c r="L38935" s="13"/>
      <c r="M38935" s="14"/>
      <c r="N38935" s="14"/>
      <c r="O38935" s="14"/>
      <c r="P38935" s="13"/>
    </row>
    <row r="38936">
      <c r="L38936" s="13"/>
      <c r="M38936" s="14"/>
      <c r="N38936" s="14"/>
      <c r="O38936" s="14"/>
      <c r="P38936" s="13"/>
    </row>
    <row r="38937">
      <c r="L38937" s="13"/>
      <c r="M38937" s="14"/>
      <c r="N38937" s="14"/>
      <c r="O38937" s="14"/>
      <c r="P38937" s="13"/>
    </row>
    <row r="38938">
      <c r="L38938" s="13"/>
      <c r="M38938" s="14"/>
      <c r="N38938" s="14"/>
      <c r="O38938" s="14"/>
      <c r="P38938" s="13"/>
    </row>
    <row r="38939">
      <c r="L38939" s="13"/>
      <c r="M38939" s="14"/>
      <c r="N38939" s="14"/>
      <c r="O38939" s="14"/>
      <c r="P38939" s="13"/>
    </row>
    <row r="38940">
      <c r="L38940" s="13"/>
      <c r="M38940" s="14"/>
      <c r="N38940" s="14"/>
      <c r="O38940" s="14"/>
      <c r="P38940" s="13"/>
    </row>
    <row r="38941">
      <c r="L38941" s="13"/>
      <c r="M38941" s="14"/>
      <c r="N38941" s="14"/>
      <c r="O38941" s="14"/>
      <c r="P38941" s="13"/>
    </row>
    <row r="38942">
      <c r="L38942" s="13"/>
      <c r="M38942" s="14"/>
      <c r="N38942" s="14"/>
      <c r="O38942" s="14"/>
      <c r="P38942" s="13"/>
    </row>
    <row r="38943">
      <c r="L38943" s="13"/>
      <c r="M38943" s="14"/>
      <c r="N38943" s="14"/>
      <c r="O38943" s="14"/>
      <c r="P38943" s="13"/>
    </row>
    <row r="38944">
      <c r="L38944" s="13"/>
      <c r="M38944" s="14"/>
      <c r="N38944" s="14"/>
      <c r="O38944" s="14"/>
      <c r="P38944" s="13"/>
    </row>
    <row r="38945">
      <c r="L38945" s="13"/>
      <c r="M38945" s="14"/>
      <c r="N38945" s="14"/>
      <c r="O38945" s="14"/>
      <c r="P38945" s="13"/>
    </row>
    <row r="38946">
      <c r="L38946" s="13"/>
      <c r="M38946" s="14"/>
      <c r="N38946" s="14"/>
      <c r="O38946" s="14"/>
      <c r="P38946" s="13"/>
    </row>
    <row r="38947">
      <c r="L38947" s="13"/>
      <c r="M38947" s="14"/>
      <c r="N38947" s="14"/>
      <c r="O38947" s="14"/>
      <c r="P38947" s="13"/>
    </row>
    <row r="38948">
      <c r="L38948" s="13"/>
      <c r="M38948" s="14"/>
      <c r="N38948" s="14"/>
      <c r="O38948" s="14"/>
      <c r="P38948" s="13"/>
    </row>
    <row r="38949">
      <c r="L38949" s="13"/>
      <c r="M38949" s="14"/>
      <c r="N38949" s="14"/>
      <c r="O38949" s="14"/>
      <c r="P38949" s="13"/>
    </row>
    <row r="38950">
      <c r="L38950" s="13"/>
      <c r="M38950" s="14"/>
      <c r="N38950" s="14"/>
      <c r="O38950" s="14"/>
      <c r="P38950" s="13"/>
    </row>
    <row r="38951">
      <c r="L38951" s="13"/>
      <c r="M38951" s="14"/>
      <c r="N38951" s="14"/>
      <c r="O38951" s="14"/>
      <c r="P38951" s="13"/>
    </row>
    <row r="38952">
      <c r="L38952" s="13"/>
      <c r="M38952" s="14"/>
      <c r="N38952" s="14"/>
      <c r="O38952" s="14"/>
      <c r="P38952" s="13"/>
    </row>
    <row r="38953">
      <c r="L38953" s="13"/>
      <c r="M38953" s="14"/>
      <c r="N38953" s="14"/>
      <c r="O38953" s="14"/>
      <c r="P38953" s="13"/>
    </row>
    <row r="38954">
      <c r="L38954" s="13"/>
      <c r="M38954" s="14"/>
      <c r="N38954" s="14"/>
      <c r="O38954" s="14"/>
      <c r="P38954" s="13"/>
    </row>
    <row r="38955">
      <c r="L38955" s="13"/>
      <c r="M38955" s="14"/>
      <c r="N38955" s="14"/>
      <c r="O38955" s="14"/>
      <c r="P38955" s="13"/>
    </row>
    <row r="38956">
      <c r="L38956" s="13"/>
      <c r="M38956" s="14"/>
      <c r="N38956" s="14"/>
      <c r="O38956" s="14"/>
      <c r="P38956" s="13"/>
    </row>
    <row r="38957">
      <c r="L38957" s="13"/>
      <c r="M38957" s="14"/>
      <c r="N38957" s="14"/>
      <c r="O38957" s="14"/>
      <c r="P38957" s="13"/>
    </row>
    <row r="38958">
      <c r="L38958" s="13"/>
      <c r="M38958" s="14"/>
      <c r="N38958" s="14"/>
      <c r="O38958" s="14"/>
      <c r="P38958" s="13"/>
    </row>
    <row r="38959">
      <c r="L38959" s="13"/>
      <c r="M38959" s="14"/>
      <c r="N38959" s="14"/>
      <c r="O38959" s="14"/>
      <c r="P38959" s="13"/>
    </row>
    <row r="38960">
      <c r="L38960" s="13"/>
      <c r="M38960" s="14"/>
      <c r="N38960" s="14"/>
      <c r="O38960" s="14"/>
      <c r="P38960" s="13"/>
    </row>
    <row r="38961">
      <c r="L38961" s="13"/>
      <c r="M38961" s="14"/>
      <c r="N38961" s="14"/>
      <c r="O38961" s="14"/>
      <c r="P38961" s="13"/>
    </row>
    <row r="38962">
      <c r="L38962" s="13"/>
      <c r="M38962" s="14"/>
      <c r="N38962" s="14"/>
      <c r="O38962" s="14"/>
      <c r="P38962" s="13"/>
    </row>
    <row r="38963">
      <c r="L38963" s="13"/>
      <c r="M38963" s="14"/>
      <c r="N38963" s="14"/>
      <c r="O38963" s="14"/>
      <c r="P38963" s="13"/>
    </row>
    <row r="38964">
      <c r="L38964" s="13"/>
      <c r="M38964" s="14"/>
      <c r="N38964" s="14"/>
      <c r="O38964" s="14"/>
      <c r="P38964" s="13"/>
    </row>
    <row r="38965">
      <c r="L38965" s="13"/>
      <c r="M38965" s="14"/>
      <c r="N38965" s="14"/>
      <c r="O38965" s="14"/>
      <c r="P38965" s="13"/>
    </row>
    <row r="38966">
      <c r="L38966" s="13"/>
      <c r="M38966" s="14"/>
      <c r="N38966" s="14"/>
      <c r="O38966" s="14"/>
      <c r="P38966" s="13"/>
    </row>
    <row r="38967">
      <c r="L38967" s="13"/>
      <c r="M38967" s="14"/>
      <c r="N38967" s="14"/>
      <c r="O38967" s="14"/>
      <c r="P38967" s="13"/>
    </row>
    <row r="38968">
      <c r="L38968" s="13"/>
      <c r="M38968" s="14"/>
      <c r="N38968" s="14"/>
      <c r="O38968" s="14"/>
      <c r="P38968" s="13"/>
    </row>
    <row r="38969">
      <c r="L38969" s="13"/>
      <c r="M38969" s="14"/>
      <c r="N38969" s="14"/>
      <c r="O38969" s="14"/>
      <c r="P38969" s="13"/>
    </row>
    <row r="38970">
      <c r="L38970" s="13"/>
      <c r="M38970" s="14"/>
      <c r="N38970" s="14"/>
      <c r="O38970" s="14"/>
      <c r="P38970" s="13"/>
    </row>
    <row r="38971">
      <c r="L38971" s="13"/>
      <c r="M38971" s="14"/>
      <c r="N38971" s="14"/>
      <c r="O38971" s="14"/>
      <c r="P38971" s="13"/>
    </row>
    <row r="38972">
      <c r="L38972" s="13"/>
      <c r="M38972" s="14"/>
      <c r="N38972" s="14"/>
      <c r="O38972" s="14"/>
      <c r="P38972" s="13"/>
    </row>
    <row r="38973">
      <c r="L38973" s="13"/>
      <c r="M38973" s="14"/>
      <c r="N38973" s="14"/>
      <c r="O38973" s="14"/>
      <c r="P38973" s="13"/>
    </row>
    <row r="38974">
      <c r="L38974" s="13"/>
      <c r="M38974" s="14"/>
      <c r="N38974" s="14"/>
      <c r="O38974" s="14"/>
      <c r="P38974" s="13"/>
    </row>
    <row r="38975">
      <c r="L38975" s="13"/>
      <c r="M38975" s="14"/>
      <c r="N38975" s="14"/>
      <c r="O38975" s="14"/>
      <c r="P38975" s="13"/>
    </row>
    <row r="38976">
      <c r="L38976" s="13"/>
      <c r="M38976" s="14"/>
      <c r="N38976" s="14"/>
      <c r="O38976" s="14"/>
      <c r="P38976" s="13"/>
    </row>
    <row r="38977">
      <c r="L38977" s="13"/>
      <c r="M38977" s="14"/>
      <c r="N38977" s="14"/>
      <c r="O38977" s="14"/>
      <c r="P38977" s="13"/>
    </row>
    <row r="38978">
      <c r="L38978" s="13"/>
      <c r="M38978" s="14"/>
      <c r="N38978" s="14"/>
      <c r="O38978" s="14"/>
      <c r="P38978" s="13"/>
    </row>
    <row r="38979">
      <c r="L38979" s="13"/>
      <c r="M38979" s="14"/>
      <c r="N38979" s="14"/>
      <c r="O38979" s="14"/>
      <c r="P38979" s="13"/>
    </row>
    <row r="38980">
      <c r="L38980" s="13"/>
      <c r="M38980" s="14"/>
      <c r="N38980" s="14"/>
      <c r="O38980" s="14"/>
      <c r="P38980" s="13"/>
    </row>
    <row r="38981">
      <c r="L38981" s="13"/>
      <c r="M38981" s="14"/>
      <c r="N38981" s="14"/>
      <c r="O38981" s="14"/>
      <c r="P38981" s="13"/>
    </row>
    <row r="38982">
      <c r="L38982" s="13"/>
      <c r="M38982" s="14"/>
      <c r="N38982" s="14"/>
      <c r="O38982" s="14"/>
      <c r="P38982" s="13"/>
    </row>
    <row r="38983">
      <c r="L38983" s="13"/>
      <c r="M38983" s="14"/>
      <c r="N38983" s="14"/>
      <c r="O38983" s="14"/>
      <c r="P38983" s="13"/>
    </row>
    <row r="38984">
      <c r="L38984" s="13"/>
      <c r="M38984" s="14"/>
      <c r="N38984" s="14"/>
      <c r="O38984" s="14"/>
      <c r="P38984" s="13"/>
    </row>
    <row r="38985">
      <c r="L38985" s="13"/>
      <c r="M38985" s="14"/>
      <c r="N38985" s="14"/>
      <c r="O38985" s="14"/>
      <c r="P38985" s="13"/>
    </row>
    <row r="38986">
      <c r="L38986" s="13"/>
      <c r="M38986" s="14"/>
      <c r="N38986" s="14"/>
      <c r="O38986" s="14"/>
      <c r="P38986" s="13"/>
    </row>
    <row r="38987">
      <c r="L38987" s="13"/>
      <c r="M38987" s="14"/>
      <c r="N38987" s="14"/>
      <c r="O38987" s="14"/>
      <c r="P38987" s="13"/>
    </row>
    <row r="38988">
      <c r="L38988" s="13"/>
      <c r="M38988" s="14"/>
      <c r="N38988" s="14"/>
      <c r="O38988" s="14"/>
      <c r="P38988" s="13"/>
    </row>
    <row r="38989">
      <c r="L38989" s="13"/>
      <c r="M38989" s="14"/>
      <c r="N38989" s="14"/>
      <c r="O38989" s="14"/>
      <c r="P38989" s="13"/>
    </row>
    <row r="38990">
      <c r="L38990" s="13"/>
      <c r="M38990" s="14"/>
      <c r="N38990" s="14"/>
      <c r="O38990" s="14"/>
      <c r="P38990" s="13"/>
    </row>
    <row r="38991">
      <c r="L38991" s="13"/>
      <c r="M38991" s="14"/>
      <c r="N38991" s="14"/>
      <c r="O38991" s="14"/>
      <c r="P38991" s="13"/>
    </row>
    <row r="38992">
      <c r="L38992" s="13"/>
      <c r="M38992" s="14"/>
      <c r="N38992" s="14"/>
      <c r="O38992" s="14"/>
      <c r="P38992" s="13"/>
    </row>
    <row r="38993">
      <c r="L38993" s="13"/>
      <c r="M38993" s="14"/>
      <c r="N38993" s="14"/>
      <c r="O38993" s="14"/>
      <c r="P38993" s="13"/>
    </row>
    <row r="38994">
      <c r="L38994" s="13"/>
      <c r="M38994" s="14"/>
      <c r="N38994" s="14"/>
      <c r="O38994" s="14"/>
      <c r="P38994" s="13"/>
    </row>
    <row r="38995">
      <c r="L38995" s="13"/>
      <c r="M38995" s="14"/>
      <c r="N38995" s="14"/>
      <c r="O38995" s="14"/>
      <c r="P38995" s="13"/>
    </row>
    <row r="38996">
      <c r="L38996" s="13"/>
      <c r="M38996" s="14"/>
      <c r="N38996" s="14"/>
      <c r="O38996" s="14"/>
      <c r="P38996" s="13"/>
    </row>
    <row r="38997">
      <c r="L38997" s="13"/>
      <c r="M38997" s="14"/>
      <c r="N38997" s="14"/>
      <c r="O38997" s="14"/>
      <c r="P38997" s="13"/>
    </row>
    <row r="38998">
      <c r="L38998" s="13"/>
      <c r="M38998" s="14"/>
      <c r="N38998" s="14"/>
      <c r="O38998" s="14"/>
      <c r="P38998" s="13"/>
    </row>
    <row r="38999">
      <c r="L38999" s="13"/>
      <c r="M38999" s="14"/>
      <c r="N38999" s="14"/>
      <c r="O38999" s="14"/>
      <c r="P38999" s="13"/>
    </row>
    <row r="39000">
      <c r="L39000" s="13"/>
      <c r="M39000" s="14"/>
      <c r="N39000" s="14"/>
      <c r="O39000" s="14"/>
      <c r="P39000" s="13"/>
    </row>
    <row r="39001">
      <c r="L39001" s="13"/>
      <c r="M39001" s="14"/>
      <c r="N39001" s="14"/>
      <c r="O39001" s="14"/>
      <c r="P39001" s="13"/>
    </row>
    <row r="39002">
      <c r="L39002" s="13"/>
      <c r="M39002" s="14"/>
      <c r="N39002" s="14"/>
      <c r="O39002" s="14"/>
      <c r="P39002" s="13"/>
    </row>
    <row r="39003">
      <c r="L39003" s="13"/>
      <c r="M39003" s="14"/>
      <c r="N39003" s="14"/>
      <c r="O39003" s="14"/>
      <c r="P39003" s="13"/>
    </row>
    <row r="39004">
      <c r="L39004" s="13"/>
      <c r="M39004" s="14"/>
      <c r="N39004" s="14"/>
      <c r="O39004" s="14"/>
      <c r="P39004" s="13"/>
    </row>
    <row r="39005">
      <c r="L39005" s="13"/>
      <c r="M39005" s="14"/>
      <c r="N39005" s="14"/>
      <c r="O39005" s="14"/>
      <c r="P39005" s="13"/>
    </row>
    <row r="39006">
      <c r="L39006" s="13"/>
      <c r="M39006" s="14"/>
      <c r="N39006" s="14"/>
      <c r="O39006" s="14"/>
      <c r="P39006" s="13"/>
    </row>
    <row r="39007">
      <c r="L39007" s="13"/>
      <c r="M39007" s="14"/>
      <c r="N39007" s="14"/>
      <c r="O39007" s="14"/>
      <c r="P39007" s="13"/>
    </row>
    <row r="39008">
      <c r="L39008" s="13"/>
      <c r="M39008" s="14"/>
      <c r="N39008" s="14"/>
      <c r="O39008" s="14"/>
      <c r="P39008" s="13"/>
    </row>
    <row r="39009">
      <c r="L39009" s="13"/>
      <c r="M39009" s="14"/>
      <c r="N39009" s="14"/>
      <c r="O39009" s="14"/>
      <c r="P39009" s="13"/>
    </row>
    <row r="39010">
      <c r="L39010" s="13"/>
      <c r="M39010" s="14"/>
      <c r="N39010" s="14"/>
      <c r="O39010" s="14"/>
      <c r="P39010" s="13"/>
    </row>
    <row r="39011">
      <c r="L39011" s="13"/>
      <c r="M39011" s="14"/>
      <c r="N39011" s="14"/>
      <c r="O39011" s="14"/>
      <c r="P39011" s="13"/>
    </row>
    <row r="39012">
      <c r="L39012" s="13"/>
      <c r="M39012" s="14"/>
      <c r="N39012" s="14"/>
      <c r="O39012" s="14"/>
      <c r="P39012" s="13"/>
    </row>
    <row r="39013">
      <c r="L39013" s="13"/>
      <c r="M39013" s="14"/>
      <c r="N39013" s="14"/>
      <c r="O39013" s="14"/>
      <c r="P39013" s="13"/>
    </row>
    <row r="39014">
      <c r="L39014" s="13"/>
      <c r="M39014" s="14"/>
      <c r="N39014" s="14"/>
      <c r="O39014" s="14"/>
      <c r="P39014" s="13"/>
    </row>
    <row r="39015">
      <c r="L39015" s="13"/>
      <c r="M39015" s="14"/>
      <c r="N39015" s="14"/>
      <c r="O39015" s="14"/>
      <c r="P39015" s="13"/>
    </row>
    <row r="39016">
      <c r="L39016" s="13"/>
      <c r="M39016" s="14"/>
      <c r="N39016" s="14"/>
      <c r="O39016" s="14"/>
      <c r="P39016" s="13"/>
    </row>
    <row r="39017">
      <c r="L39017" s="13"/>
      <c r="M39017" s="14"/>
      <c r="N39017" s="14"/>
      <c r="O39017" s="14"/>
      <c r="P39017" s="13"/>
    </row>
    <row r="39018">
      <c r="L39018" s="13"/>
      <c r="M39018" s="14"/>
      <c r="N39018" s="14"/>
      <c r="O39018" s="14"/>
      <c r="P39018" s="13"/>
    </row>
    <row r="39019">
      <c r="L39019" s="13"/>
      <c r="M39019" s="14"/>
      <c r="N39019" s="14"/>
      <c r="O39019" s="14"/>
      <c r="P39019" s="13"/>
    </row>
    <row r="39020">
      <c r="L39020" s="13"/>
      <c r="M39020" s="14"/>
      <c r="N39020" s="14"/>
      <c r="O39020" s="14"/>
      <c r="P39020" s="13"/>
    </row>
    <row r="39021">
      <c r="L39021" s="13"/>
      <c r="M39021" s="14"/>
      <c r="N39021" s="14"/>
      <c r="O39021" s="14"/>
      <c r="P39021" s="13"/>
    </row>
    <row r="39022">
      <c r="L39022" s="13"/>
      <c r="M39022" s="14"/>
      <c r="N39022" s="14"/>
      <c r="O39022" s="14"/>
      <c r="P39022" s="13"/>
    </row>
    <row r="39023">
      <c r="L39023" s="13"/>
      <c r="M39023" s="14"/>
      <c r="N39023" s="14"/>
      <c r="O39023" s="14"/>
      <c r="P39023" s="13"/>
    </row>
    <row r="39024">
      <c r="L39024" s="13"/>
      <c r="M39024" s="14"/>
      <c r="N39024" s="14"/>
      <c r="O39024" s="14"/>
      <c r="P39024" s="13"/>
    </row>
    <row r="39025">
      <c r="L39025" s="13"/>
      <c r="M39025" s="14"/>
      <c r="N39025" s="14"/>
      <c r="O39025" s="14"/>
      <c r="P39025" s="13"/>
    </row>
    <row r="39026">
      <c r="L39026" s="13"/>
      <c r="M39026" s="14"/>
      <c r="N39026" s="14"/>
      <c r="O39026" s="14"/>
      <c r="P39026" s="13"/>
    </row>
    <row r="39027">
      <c r="L39027" s="13"/>
      <c r="M39027" s="14"/>
      <c r="N39027" s="14"/>
      <c r="O39027" s="14"/>
      <c r="P39027" s="13"/>
    </row>
    <row r="39028">
      <c r="L39028" s="13"/>
      <c r="M39028" s="14"/>
      <c r="N39028" s="14"/>
      <c r="O39028" s="14"/>
      <c r="P39028" s="13"/>
    </row>
    <row r="39029">
      <c r="L39029" s="13"/>
      <c r="M39029" s="14"/>
      <c r="N39029" s="14"/>
      <c r="O39029" s="14"/>
      <c r="P39029" s="13"/>
    </row>
    <row r="39030">
      <c r="L39030" s="13"/>
      <c r="M39030" s="14"/>
      <c r="N39030" s="14"/>
      <c r="O39030" s="14"/>
      <c r="P39030" s="13"/>
    </row>
    <row r="39031">
      <c r="L39031" s="13"/>
      <c r="M39031" s="14"/>
      <c r="N39031" s="14"/>
      <c r="O39031" s="14"/>
      <c r="P39031" s="13"/>
    </row>
    <row r="39032">
      <c r="L39032" s="13"/>
      <c r="M39032" s="14"/>
      <c r="N39032" s="14"/>
      <c r="O39032" s="14"/>
      <c r="P39032" s="13"/>
    </row>
    <row r="39033">
      <c r="L39033" s="13"/>
      <c r="M39033" s="14"/>
      <c r="N39033" s="14"/>
      <c r="O39033" s="14"/>
      <c r="P39033" s="13"/>
    </row>
    <row r="39034">
      <c r="L39034" s="13"/>
      <c r="M39034" s="14"/>
      <c r="N39034" s="14"/>
      <c r="O39034" s="14"/>
      <c r="P39034" s="13"/>
    </row>
    <row r="39035">
      <c r="L39035" s="13"/>
      <c r="M39035" s="14"/>
      <c r="N39035" s="14"/>
      <c r="O39035" s="14"/>
      <c r="P39035" s="13"/>
    </row>
    <row r="39036">
      <c r="L39036" s="13"/>
      <c r="M39036" s="14"/>
      <c r="N39036" s="14"/>
      <c r="O39036" s="14"/>
      <c r="P39036" s="13"/>
    </row>
    <row r="39037">
      <c r="L39037" s="13"/>
      <c r="M39037" s="14"/>
      <c r="N39037" s="14"/>
      <c r="O39037" s="14"/>
      <c r="P39037" s="13"/>
    </row>
    <row r="39038">
      <c r="L39038" s="13"/>
      <c r="M39038" s="14"/>
      <c r="N39038" s="14"/>
      <c r="O39038" s="14"/>
      <c r="P39038" s="13"/>
    </row>
    <row r="39039">
      <c r="L39039" s="13"/>
      <c r="M39039" s="14"/>
      <c r="N39039" s="14"/>
      <c r="O39039" s="14"/>
      <c r="P39039" s="13"/>
    </row>
    <row r="39040">
      <c r="L39040" s="13"/>
      <c r="M39040" s="14"/>
      <c r="N39040" s="14"/>
      <c r="O39040" s="14"/>
      <c r="P39040" s="13"/>
    </row>
    <row r="39041">
      <c r="L39041" s="13"/>
      <c r="M39041" s="14"/>
      <c r="N39041" s="14"/>
      <c r="O39041" s="14"/>
      <c r="P39041" s="13"/>
    </row>
    <row r="39042">
      <c r="L39042" s="13"/>
      <c r="M39042" s="14"/>
      <c r="N39042" s="14"/>
      <c r="O39042" s="14"/>
      <c r="P39042" s="13"/>
    </row>
    <row r="39043">
      <c r="L39043" s="13"/>
      <c r="M39043" s="14"/>
      <c r="N39043" s="14"/>
      <c r="O39043" s="14"/>
      <c r="P39043" s="13"/>
    </row>
    <row r="39044">
      <c r="L39044" s="13"/>
      <c r="M39044" s="14"/>
      <c r="N39044" s="14"/>
      <c r="O39044" s="14"/>
      <c r="P39044" s="13"/>
    </row>
    <row r="39045">
      <c r="L39045" s="13"/>
      <c r="M39045" s="14"/>
      <c r="N39045" s="14"/>
      <c r="O39045" s="14"/>
      <c r="P39045" s="13"/>
    </row>
    <row r="39046">
      <c r="L39046" s="13"/>
      <c r="M39046" s="14"/>
      <c r="N39046" s="14"/>
      <c r="O39046" s="14"/>
      <c r="P39046" s="13"/>
    </row>
    <row r="39047">
      <c r="L39047" s="13"/>
      <c r="M39047" s="14"/>
      <c r="N39047" s="14"/>
      <c r="O39047" s="14"/>
      <c r="P39047" s="13"/>
    </row>
    <row r="39048">
      <c r="L39048" s="13"/>
      <c r="M39048" s="14"/>
      <c r="N39048" s="14"/>
      <c r="O39048" s="14"/>
      <c r="P39048" s="13"/>
    </row>
    <row r="39049">
      <c r="L39049" s="13"/>
      <c r="M39049" s="14"/>
      <c r="N39049" s="14"/>
      <c r="O39049" s="14"/>
      <c r="P39049" s="13"/>
    </row>
    <row r="39050">
      <c r="L39050" s="13"/>
      <c r="M39050" s="14"/>
      <c r="N39050" s="14"/>
      <c r="O39050" s="14"/>
      <c r="P39050" s="13"/>
    </row>
    <row r="39051">
      <c r="L39051" s="13"/>
      <c r="M39051" s="14"/>
      <c r="N39051" s="14"/>
      <c r="O39051" s="14"/>
      <c r="P39051" s="13"/>
    </row>
    <row r="39052">
      <c r="L39052" s="13"/>
      <c r="M39052" s="14"/>
      <c r="N39052" s="14"/>
      <c r="O39052" s="14"/>
      <c r="P39052" s="13"/>
    </row>
    <row r="39053">
      <c r="L39053" s="13"/>
      <c r="M39053" s="14"/>
      <c r="N39053" s="14"/>
      <c r="O39053" s="14"/>
      <c r="P39053" s="13"/>
    </row>
    <row r="39054">
      <c r="L39054" s="13"/>
      <c r="M39054" s="14"/>
      <c r="N39054" s="14"/>
      <c r="O39054" s="14"/>
      <c r="P39054" s="13"/>
    </row>
    <row r="39055">
      <c r="L39055" s="13"/>
      <c r="M39055" s="14"/>
      <c r="N39055" s="14"/>
      <c r="O39055" s="14"/>
      <c r="P39055" s="13"/>
    </row>
    <row r="39056">
      <c r="L39056" s="13"/>
      <c r="M39056" s="14"/>
      <c r="N39056" s="14"/>
      <c r="O39056" s="14"/>
      <c r="P39056" s="13"/>
    </row>
    <row r="39057">
      <c r="L39057" s="13"/>
      <c r="M39057" s="14"/>
      <c r="N39057" s="14"/>
      <c r="O39057" s="14"/>
      <c r="P39057" s="13"/>
    </row>
    <row r="39058">
      <c r="L39058" s="13"/>
      <c r="M39058" s="14"/>
      <c r="N39058" s="14"/>
      <c r="O39058" s="14"/>
      <c r="P39058" s="13"/>
    </row>
    <row r="39059">
      <c r="L39059" s="13"/>
      <c r="M39059" s="14"/>
      <c r="N39059" s="14"/>
      <c r="O39059" s="14"/>
      <c r="P39059" s="13"/>
    </row>
    <row r="39060">
      <c r="L39060" s="13"/>
      <c r="M39060" s="14"/>
      <c r="N39060" s="14"/>
      <c r="O39060" s="14"/>
      <c r="P39060" s="13"/>
    </row>
    <row r="39061">
      <c r="L39061" s="13"/>
      <c r="M39061" s="14"/>
      <c r="N39061" s="14"/>
      <c r="O39061" s="14"/>
      <c r="P39061" s="13"/>
    </row>
    <row r="39062">
      <c r="L39062" s="13"/>
      <c r="M39062" s="14"/>
      <c r="N39062" s="14"/>
      <c r="O39062" s="14"/>
      <c r="P39062" s="13"/>
    </row>
    <row r="39063">
      <c r="L39063" s="13"/>
      <c r="M39063" s="14"/>
      <c r="N39063" s="14"/>
      <c r="O39063" s="14"/>
      <c r="P39063" s="13"/>
    </row>
    <row r="39064">
      <c r="L39064" s="13"/>
      <c r="M39064" s="14"/>
      <c r="N39064" s="14"/>
      <c r="O39064" s="14"/>
      <c r="P39064" s="13"/>
    </row>
    <row r="39065">
      <c r="L39065" s="13"/>
      <c r="M39065" s="14"/>
      <c r="N39065" s="14"/>
      <c r="O39065" s="14"/>
      <c r="P39065" s="13"/>
    </row>
    <row r="39066">
      <c r="L39066" s="13"/>
      <c r="M39066" s="14"/>
      <c r="N39066" s="14"/>
      <c r="O39066" s="14"/>
      <c r="P39066" s="13"/>
    </row>
    <row r="39067">
      <c r="L39067" s="13"/>
      <c r="M39067" s="14"/>
      <c r="N39067" s="14"/>
      <c r="O39067" s="14"/>
      <c r="P39067" s="13"/>
    </row>
    <row r="39068">
      <c r="L39068" s="13"/>
      <c r="M39068" s="14"/>
      <c r="N39068" s="14"/>
      <c r="O39068" s="14"/>
      <c r="P39068" s="13"/>
    </row>
    <row r="39069">
      <c r="L39069" s="13"/>
      <c r="M39069" s="14"/>
      <c r="N39069" s="14"/>
      <c r="O39069" s="14"/>
      <c r="P39069" s="13"/>
    </row>
    <row r="39070">
      <c r="L39070" s="13"/>
      <c r="M39070" s="14"/>
      <c r="N39070" s="14"/>
      <c r="O39070" s="14"/>
      <c r="P39070" s="13"/>
    </row>
    <row r="39071">
      <c r="L39071" s="13"/>
      <c r="M39071" s="14"/>
      <c r="N39071" s="14"/>
      <c r="O39071" s="14"/>
      <c r="P39071" s="13"/>
    </row>
    <row r="39072">
      <c r="L39072" s="13"/>
      <c r="M39072" s="14"/>
      <c r="N39072" s="14"/>
      <c r="O39072" s="14"/>
      <c r="P39072" s="13"/>
    </row>
    <row r="39073">
      <c r="L39073" s="13"/>
      <c r="M39073" s="14"/>
      <c r="N39073" s="14"/>
      <c r="O39073" s="14"/>
      <c r="P39073" s="13"/>
    </row>
    <row r="39074">
      <c r="L39074" s="13"/>
      <c r="M39074" s="14"/>
      <c r="N39074" s="14"/>
      <c r="O39074" s="14"/>
      <c r="P39074" s="13"/>
    </row>
    <row r="39075">
      <c r="L39075" s="13"/>
      <c r="M39075" s="14"/>
      <c r="N39075" s="14"/>
      <c r="O39075" s="14"/>
      <c r="P39075" s="13"/>
    </row>
    <row r="39076">
      <c r="L39076" s="13"/>
      <c r="M39076" s="14"/>
      <c r="N39076" s="14"/>
      <c r="O39076" s="14"/>
      <c r="P39076" s="13"/>
    </row>
    <row r="39077">
      <c r="L39077" s="13"/>
      <c r="M39077" s="14"/>
      <c r="N39077" s="14"/>
      <c r="O39077" s="14"/>
      <c r="P39077" s="13"/>
    </row>
    <row r="39078">
      <c r="L39078" s="13"/>
      <c r="M39078" s="14"/>
      <c r="N39078" s="14"/>
      <c r="O39078" s="14"/>
      <c r="P39078" s="13"/>
    </row>
    <row r="39079">
      <c r="L39079" s="13"/>
      <c r="M39079" s="14"/>
      <c r="N39079" s="14"/>
      <c r="O39079" s="14"/>
      <c r="P39079" s="13"/>
    </row>
    <row r="39080">
      <c r="L39080" s="13"/>
      <c r="M39080" s="14"/>
      <c r="N39080" s="14"/>
      <c r="O39080" s="14"/>
      <c r="P39080" s="13"/>
    </row>
    <row r="39081">
      <c r="L39081" s="13"/>
      <c r="M39081" s="14"/>
      <c r="N39081" s="14"/>
      <c r="O39081" s="14"/>
      <c r="P39081" s="13"/>
    </row>
    <row r="39082">
      <c r="L39082" s="13"/>
      <c r="M39082" s="14"/>
      <c r="N39082" s="14"/>
      <c r="O39082" s="14"/>
      <c r="P39082" s="13"/>
    </row>
    <row r="39083">
      <c r="L39083" s="13"/>
      <c r="M39083" s="14"/>
      <c r="N39083" s="14"/>
      <c r="O39083" s="14"/>
      <c r="P39083" s="13"/>
    </row>
    <row r="39084">
      <c r="L39084" s="13"/>
      <c r="M39084" s="14"/>
      <c r="N39084" s="14"/>
      <c r="O39084" s="14"/>
      <c r="P39084" s="13"/>
    </row>
    <row r="39085">
      <c r="L39085" s="13"/>
      <c r="M39085" s="14"/>
      <c r="N39085" s="14"/>
      <c r="O39085" s="14"/>
      <c r="P39085" s="13"/>
    </row>
    <row r="39086">
      <c r="L39086" s="13"/>
      <c r="M39086" s="14"/>
      <c r="N39086" s="14"/>
      <c r="O39086" s="14"/>
      <c r="P39086" s="13"/>
    </row>
    <row r="39087">
      <c r="L39087" s="13"/>
      <c r="M39087" s="14"/>
      <c r="N39087" s="14"/>
      <c r="O39087" s="14"/>
      <c r="P39087" s="13"/>
    </row>
    <row r="39088">
      <c r="L39088" s="13"/>
      <c r="M39088" s="14"/>
      <c r="N39088" s="14"/>
      <c r="O39088" s="14"/>
      <c r="P39088" s="13"/>
    </row>
    <row r="39089">
      <c r="L39089" s="13"/>
      <c r="M39089" s="14"/>
      <c r="N39089" s="14"/>
      <c r="O39089" s="14"/>
      <c r="P39089" s="13"/>
    </row>
    <row r="39090">
      <c r="L39090" s="13"/>
      <c r="M39090" s="14"/>
      <c r="N39090" s="14"/>
      <c r="O39090" s="14"/>
      <c r="P39090" s="13"/>
    </row>
    <row r="39091">
      <c r="L39091" s="13"/>
      <c r="M39091" s="14"/>
      <c r="N39091" s="14"/>
      <c r="O39091" s="14"/>
      <c r="P39091" s="13"/>
    </row>
    <row r="39092">
      <c r="L39092" s="13"/>
      <c r="M39092" s="14"/>
      <c r="N39092" s="14"/>
      <c r="O39092" s="14"/>
      <c r="P39092" s="13"/>
    </row>
    <row r="39093">
      <c r="L39093" s="13"/>
      <c r="M39093" s="14"/>
      <c r="N39093" s="14"/>
      <c r="O39093" s="14"/>
      <c r="P39093" s="13"/>
    </row>
    <row r="39094">
      <c r="L39094" s="13"/>
      <c r="M39094" s="14"/>
      <c r="N39094" s="14"/>
      <c r="O39094" s="14"/>
      <c r="P39094" s="13"/>
    </row>
    <row r="39095">
      <c r="L39095" s="13"/>
      <c r="M39095" s="14"/>
      <c r="N39095" s="14"/>
      <c r="O39095" s="14"/>
      <c r="P39095" s="13"/>
    </row>
    <row r="39096">
      <c r="L39096" s="13"/>
      <c r="M39096" s="14"/>
      <c r="N39096" s="14"/>
      <c r="O39096" s="14"/>
      <c r="P39096" s="13"/>
    </row>
    <row r="39097">
      <c r="L39097" s="13"/>
      <c r="M39097" s="14"/>
      <c r="N39097" s="14"/>
      <c r="O39097" s="14"/>
      <c r="P39097" s="13"/>
    </row>
    <row r="39098">
      <c r="L39098" s="13"/>
      <c r="M39098" s="14"/>
      <c r="N39098" s="14"/>
      <c r="O39098" s="14"/>
      <c r="P39098" s="13"/>
    </row>
    <row r="39099">
      <c r="L39099" s="13"/>
      <c r="M39099" s="14"/>
      <c r="N39099" s="14"/>
      <c r="O39099" s="14"/>
      <c r="P39099" s="13"/>
    </row>
    <row r="39100">
      <c r="L39100" s="13"/>
      <c r="M39100" s="14"/>
      <c r="N39100" s="14"/>
      <c r="O39100" s="14"/>
      <c r="P39100" s="13"/>
    </row>
    <row r="39101">
      <c r="L39101" s="13"/>
      <c r="M39101" s="14"/>
      <c r="N39101" s="14"/>
      <c r="O39101" s="14"/>
      <c r="P39101" s="13"/>
    </row>
    <row r="39102">
      <c r="L39102" s="13"/>
      <c r="M39102" s="14"/>
      <c r="N39102" s="14"/>
      <c r="O39102" s="14"/>
      <c r="P39102" s="13"/>
    </row>
    <row r="39103">
      <c r="L39103" s="13"/>
      <c r="M39103" s="14"/>
      <c r="N39103" s="14"/>
      <c r="O39103" s="14"/>
      <c r="P39103" s="13"/>
    </row>
    <row r="39104">
      <c r="L39104" s="13"/>
      <c r="M39104" s="14"/>
      <c r="N39104" s="14"/>
      <c r="O39104" s="14"/>
      <c r="P39104" s="13"/>
    </row>
    <row r="39105">
      <c r="L39105" s="13"/>
      <c r="M39105" s="14"/>
      <c r="N39105" s="14"/>
      <c r="O39105" s="14"/>
      <c r="P39105" s="13"/>
    </row>
    <row r="39106">
      <c r="L39106" s="13"/>
      <c r="M39106" s="14"/>
      <c r="N39106" s="14"/>
      <c r="O39106" s="14"/>
      <c r="P39106" s="13"/>
    </row>
    <row r="39107">
      <c r="L39107" s="13"/>
      <c r="M39107" s="14"/>
      <c r="N39107" s="14"/>
      <c r="O39107" s="14"/>
      <c r="P39107" s="13"/>
    </row>
    <row r="39108">
      <c r="L39108" s="13"/>
      <c r="M39108" s="14"/>
      <c r="N39108" s="14"/>
      <c r="O39108" s="14"/>
      <c r="P39108" s="13"/>
    </row>
    <row r="39109">
      <c r="L39109" s="13"/>
      <c r="M39109" s="14"/>
      <c r="N39109" s="14"/>
      <c r="O39109" s="14"/>
      <c r="P39109" s="13"/>
    </row>
    <row r="39110">
      <c r="L39110" s="13"/>
      <c r="M39110" s="14"/>
      <c r="N39110" s="14"/>
      <c r="O39110" s="14"/>
      <c r="P39110" s="13"/>
    </row>
    <row r="39111">
      <c r="L39111" s="13"/>
      <c r="M39111" s="14"/>
      <c r="N39111" s="14"/>
      <c r="O39111" s="14"/>
      <c r="P39111" s="13"/>
    </row>
    <row r="39112">
      <c r="L39112" s="13"/>
      <c r="M39112" s="14"/>
      <c r="N39112" s="14"/>
      <c r="O39112" s="14"/>
      <c r="P39112" s="13"/>
    </row>
    <row r="39113">
      <c r="L39113" s="13"/>
      <c r="M39113" s="14"/>
      <c r="N39113" s="14"/>
      <c r="O39113" s="14"/>
      <c r="P39113" s="13"/>
    </row>
    <row r="39114">
      <c r="L39114" s="13"/>
      <c r="M39114" s="14"/>
      <c r="N39114" s="14"/>
      <c r="O39114" s="14"/>
      <c r="P39114" s="13"/>
    </row>
    <row r="39115">
      <c r="L39115" s="13"/>
      <c r="M39115" s="14"/>
      <c r="N39115" s="14"/>
      <c r="O39115" s="14"/>
      <c r="P39115" s="13"/>
    </row>
    <row r="39116">
      <c r="L39116" s="13"/>
      <c r="M39116" s="14"/>
      <c r="N39116" s="14"/>
      <c r="O39116" s="14"/>
      <c r="P39116" s="13"/>
    </row>
    <row r="39117">
      <c r="L39117" s="13"/>
      <c r="M39117" s="14"/>
      <c r="N39117" s="14"/>
      <c r="O39117" s="14"/>
      <c r="P39117" s="13"/>
    </row>
    <row r="39118">
      <c r="L39118" s="13"/>
      <c r="M39118" s="14"/>
      <c r="N39118" s="14"/>
      <c r="O39118" s="14"/>
      <c r="P39118" s="13"/>
    </row>
    <row r="39119">
      <c r="L39119" s="13"/>
      <c r="M39119" s="14"/>
      <c r="N39119" s="14"/>
      <c r="O39119" s="14"/>
      <c r="P39119" s="13"/>
    </row>
    <row r="39120">
      <c r="L39120" s="13"/>
      <c r="M39120" s="14"/>
      <c r="N39120" s="14"/>
      <c r="O39120" s="14"/>
      <c r="P39120" s="13"/>
    </row>
    <row r="39121">
      <c r="L39121" s="13"/>
      <c r="M39121" s="14"/>
      <c r="N39121" s="14"/>
      <c r="O39121" s="14"/>
      <c r="P39121" s="13"/>
    </row>
    <row r="39122">
      <c r="L39122" s="13"/>
      <c r="M39122" s="14"/>
      <c r="N39122" s="14"/>
      <c r="O39122" s="14"/>
      <c r="P39122" s="13"/>
    </row>
    <row r="39123">
      <c r="L39123" s="13"/>
      <c r="M39123" s="14"/>
      <c r="N39123" s="14"/>
      <c r="O39123" s="14"/>
      <c r="P39123" s="13"/>
    </row>
    <row r="39124">
      <c r="L39124" s="13"/>
      <c r="M39124" s="14"/>
      <c r="N39124" s="14"/>
      <c r="O39124" s="14"/>
      <c r="P39124" s="13"/>
    </row>
    <row r="39125">
      <c r="L39125" s="13"/>
      <c r="M39125" s="14"/>
      <c r="N39125" s="14"/>
      <c r="O39125" s="14"/>
      <c r="P39125" s="13"/>
    </row>
    <row r="39126">
      <c r="L39126" s="13"/>
      <c r="M39126" s="14"/>
      <c r="N39126" s="14"/>
      <c r="O39126" s="14"/>
      <c r="P39126" s="13"/>
    </row>
    <row r="39127">
      <c r="L39127" s="13"/>
      <c r="M39127" s="14"/>
      <c r="N39127" s="14"/>
      <c r="O39127" s="14"/>
      <c r="P39127" s="13"/>
    </row>
    <row r="39128">
      <c r="L39128" s="13"/>
      <c r="M39128" s="14"/>
      <c r="N39128" s="14"/>
      <c r="O39128" s="14"/>
      <c r="P39128" s="13"/>
    </row>
    <row r="39129">
      <c r="L39129" s="13"/>
      <c r="M39129" s="14"/>
      <c r="N39129" s="14"/>
      <c r="O39129" s="14"/>
      <c r="P39129" s="13"/>
    </row>
    <row r="39130">
      <c r="L39130" s="13"/>
      <c r="M39130" s="14"/>
      <c r="N39130" s="14"/>
      <c r="O39130" s="14"/>
      <c r="P39130" s="13"/>
    </row>
    <row r="39131">
      <c r="L39131" s="13"/>
      <c r="M39131" s="14"/>
      <c r="N39131" s="14"/>
      <c r="O39131" s="14"/>
      <c r="P39131" s="13"/>
    </row>
    <row r="39132">
      <c r="L39132" s="13"/>
      <c r="M39132" s="14"/>
      <c r="N39132" s="14"/>
      <c r="O39132" s="14"/>
      <c r="P39132" s="13"/>
    </row>
    <row r="39133">
      <c r="L39133" s="13"/>
      <c r="M39133" s="14"/>
      <c r="N39133" s="14"/>
      <c r="O39133" s="14"/>
      <c r="P39133" s="13"/>
    </row>
    <row r="39134">
      <c r="L39134" s="13"/>
      <c r="M39134" s="14"/>
      <c r="N39134" s="14"/>
      <c r="O39134" s="14"/>
      <c r="P39134" s="13"/>
    </row>
    <row r="39135">
      <c r="L39135" s="13"/>
      <c r="M39135" s="14"/>
      <c r="N39135" s="14"/>
      <c r="O39135" s="14"/>
      <c r="P39135" s="13"/>
    </row>
    <row r="39136">
      <c r="L39136" s="13"/>
      <c r="M39136" s="14"/>
      <c r="N39136" s="14"/>
      <c r="O39136" s="14"/>
      <c r="P39136" s="13"/>
    </row>
    <row r="39137">
      <c r="L39137" s="13"/>
      <c r="M39137" s="14"/>
      <c r="N39137" s="14"/>
      <c r="O39137" s="14"/>
      <c r="P39137" s="13"/>
    </row>
    <row r="39138">
      <c r="L39138" s="13"/>
      <c r="M39138" s="14"/>
      <c r="N39138" s="14"/>
      <c r="O39138" s="14"/>
      <c r="P39138" s="13"/>
    </row>
    <row r="39139">
      <c r="L39139" s="13"/>
      <c r="M39139" s="14"/>
      <c r="N39139" s="14"/>
      <c r="O39139" s="14"/>
      <c r="P39139" s="13"/>
    </row>
    <row r="39140">
      <c r="L39140" s="13"/>
      <c r="M39140" s="14"/>
      <c r="N39140" s="14"/>
      <c r="O39140" s="14"/>
      <c r="P39140" s="13"/>
    </row>
    <row r="39141">
      <c r="L39141" s="13"/>
      <c r="M39141" s="14"/>
      <c r="N39141" s="14"/>
      <c r="O39141" s="14"/>
      <c r="P39141" s="13"/>
    </row>
    <row r="39142">
      <c r="L39142" s="13"/>
      <c r="M39142" s="14"/>
      <c r="N39142" s="14"/>
      <c r="O39142" s="14"/>
      <c r="P39142" s="13"/>
    </row>
    <row r="39143">
      <c r="L39143" s="13"/>
      <c r="M39143" s="14"/>
      <c r="N39143" s="14"/>
      <c r="O39143" s="14"/>
      <c r="P39143" s="13"/>
    </row>
    <row r="39144">
      <c r="L39144" s="13"/>
      <c r="M39144" s="14"/>
      <c r="N39144" s="14"/>
      <c r="O39144" s="14"/>
      <c r="P39144" s="13"/>
    </row>
    <row r="39145">
      <c r="L39145" s="13"/>
      <c r="M39145" s="14"/>
      <c r="N39145" s="14"/>
      <c r="O39145" s="14"/>
      <c r="P39145" s="13"/>
    </row>
    <row r="39146">
      <c r="L39146" s="13"/>
      <c r="M39146" s="14"/>
      <c r="N39146" s="14"/>
      <c r="O39146" s="14"/>
      <c r="P39146" s="13"/>
    </row>
    <row r="39147">
      <c r="L39147" s="13"/>
      <c r="M39147" s="14"/>
      <c r="N39147" s="14"/>
      <c r="O39147" s="14"/>
      <c r="P39147" s="13"/>
    </row>
    <row r="39148">
      <c r="L39148" s="13"/>
      <c r="M39148" s="14"/>
      <c r="N39148" s="14"/>
      <c r="O39148" s="14"/>
      <c r="P39148" s="13"/>
    </row>
    <row r="39149">
      <c r="L39149" s="13"/>
      <c r="M39149" s="14"/>
      <c r="N39149" s="14"/>
      <c r="O39149" s="14"/>
      <c r="P39149" s="13"/>
    </row>
    <row r="39150">
      <c r="L39150" s="13"/>
      <c r="M39150" s="14"/>
      <c r="N39150" s="14"/>
      <c r="O39150" s="14"/>
      <c r="P39150" s="13"/>
    </row>
    <row r="39151">
      <c r="L39151" s="13"/>
      <c r="M39151" s="14"/>
      <c r="N39151" s="14"/>
      <c r="O39151" s="14"/>
      <c r="P39151" s="13"/>
    </row>
    <row r="39152">
      <c r="L39152" s="13"/>
      <c r="M39152" s="14"/>
      <c r="N39152" s="14"/>
      <c r="O39152" s="14"/>
      <c r="P39152" s="13"/>
    </row>
    <row r="39153">
      <c r="L39153" s="13"/>
      <c r="M39153" s="14"/>
      <c r="N39153" s="14"/>
      <c r="O39153" s="14"/>
      <c r="P39153" s="13"/>
    </row>
    <row r="39154">
      <c r="L39154" s="13"/>
      <c r="M39154" s="14"/>
      <c r="N39154" s="14"/>
      <c r="O39154" s="14"/>
      <c r="P39154" s="13"/>
    </row>
    <row r="39155">
      <c r="L39155" s="13"/>
      <c r="M39155" s="14"/>
      <c r="N39155" s="14"/>
      <c r="O39155" s="14"/>
      <c r="P39155" s="13"/>
    </row>
    <row r="39156">
      <c r="L39156" s="13"/>
      <c r="M39156" s="14"/>
      <c r="N39156" s="14"/>
      <c r="O39156" s="14"/>
      <c r="P39156" s="13"/>
    </row>
    <row r="39157">
      <c r="L39157" s="13"/>
      <c r="M39157" s="14"/>
      <c r="N39157" s="14"/>
      <c r="O39157" s="14"/>
      <c r="P39157" s="13"/>
    </row>
    <row r="39158">
      <c r="L39158" s="13"/>
      <c r="M39158" s="14"/>
      <c r="N39158" s="14"/>
      <c r="O39158" s="14"/>
      <c r="P39158" s="13"/>
    </row>
    <row r="39159">
      <c r="L39159" s="13"/>
      <c r="M39159" s="14"/>
      <c r="N39159" s="14"/>
      <c r="O39159" s="14"/>
      <c r="P39159" s="13"/>
    </row>
    <row r="39160">
      <c r="L39160" s="13"/>
      <c r="M39160" s="14"/>
      <c r="N39160" s="14"/>
      <c r="O39160" s="14"/>
      <c r="P39160" s="13"/>
    </row>
    <row r="39161">
      <c r="L39161" s="13"/>
      <c r="M39161" s="14"/>
      <c r="N39161" s="14"/>
      <c r="O39161" s="14"/>
      <c r="P39161" s="13"/>
    </row>
    <row r="39162">
      <c r="L39162" s="13"/>
      <c r="M39162" s="14"/>
      <c r="N39162" s="14"/>
      <c r="O39162" s="14"/>
      <c r="P39162" s="13"/>
    </row>
    <row r="39163">
      <c r="L39163" s="13"/>
      <c r="M39163" s="14"/>
      <c r="N39163" s="14"/>
      <c r="O39163" s="14"/>
      <c r="P39163" s="13"/>
    </row>
    <row r="39164">
      <c r="L39164" s="13"/>
      <c r="M39164" s="14"/>
      <c r="N39164" s="14"/>
      <c r="O39164" s="14"/>
      <c r="P39164" s="13"/>
    </row>
    <row r="39165">
      <c r="L39165" s="13"/>
      <c r="M39165" s="14"/>
      <c r="N39165" s="14"/>
      <c r="O39165" s="14"/>
      <c r="P39165" s="13"/>
    </row>
    <row r="39166">
      <c r="L39166" s="13"/>
      <c r="M39166" s="14"/>
      <c r="N39166" s="14"/>
      <c r="O39166" s="14"/>
      <c r="P39166" s="13"/>
    </row>
    <row r="39167">
      <c r="L39167" s="13"/>
      <c r="M39167" s="14"/>
      <c r="N39167" s="14"/>
      <c r="O39167" s="14"/>
      <c r="P39167" s="13"/>
    </row>
    <row r="39168">
      <c r="L39168" s="13"/>
      <c r="M39168" s="14"/>
      <c r="N39168" s="14"/>
      <c r="O39168" s="14"/>
      <c r="P39168" s="13"/>
    </row>
    <row r="39169">
      <c r="L39169" s="13"/>
      <c r="M39169" s="14"/>
      <c r="N39169" s="14"/>
      <c r="O39169" s="14"/>
      <c r="P39169" s="13"/>
    </row>
    <row r="39170">
      <c r="L39170" s="13"/>
      <c r="M39170" s="14"/>
      <c r="N39170" s="14"/>
      <c r="O39170" s="14"/>
      <c r="P39170" s="13"/>
    </row>
    <row r="39171">
      <c r="L39171" s="13"/>
      <c r="M39171" s="14"/>
      <c r="N39171" s="14"/>
      <c r="O39171" s="14"/>
      <c r="P39171" s="13"/>
    </row>
    <row r="39172">
      <c r="L39172" s="13"/>
      <c r="M39172" s="14"/>
      <c r="N39172" s="14"/>
      <c r="O39172" s="14"/>
      <c r="P39172" s="13"/>
    </row>
    <row r="39173">
      <c r="L39173" s="13"/>
      <c r="M39173" s="14"/>
      <c r="N39173" s="14"/>
      <c r="O39173" s="14"/>
      <c r="P39173" s="13"/>
    </row>
    <row r="39174">
      <c r="L39174" s="13"/>
      <c r="M39174" s="14"/>
      <c r="N39174" s="14"/>
      <c r="O39174" s="14"/>
      <c r="P39174" s="13"/>
    </row>
    <row r="39175">
      <c r="L39175" s="13"/>
      <c r="M39175" s="14"/>
      <c r="N39175" s="14"/>
      <c r="O39175" s="14"/>
      <c r="P39175" s="13"/>
    </row>
    <row r="39176">
      <c r="L39176" s="13"/>
      <c r="M39176" s="14"/>
      <c r="N39176" s="14"/>
      <c r="O39176" s="14"/>
      <c r="P39176" s="13"/>
    </row>
    <row r="39177">
      <c r="L39177" s="13"/>
      <c r="M39177" s="14"/>
      <c r="N39177" s="14"/>
      <c r="O39177" s="14"/>
      <c r="P39177" s="13"/>
    </row>
    <row r="39178">
      <c r="L39178" s="13"/>
      <c r="M39178" s="14"/>
      <c r="N39178" s="14"/>
      <c r="O39178" s="14"/>
      <c r="P39178" s="13"/>
    </row>
    <row r="39179">
      <c r="L39179" s="13"/>
      <c r="M39179" s="14"/>
      <c r="N39179" s="14"/>
      <c r="O39179" s="14"/>
      <c r="P39179" s="13"/>
    </row>
    <row r="39180">
      <c r="L39180" s="13"/>
      <c r="M39180" s="14"/>
      <c r="N39180" s="14"/>
      <c r="O39180" s="14"/>
      <c r="P39180" s="13"/>
    </row>
    <row r="39181">
      <c r="L39181" s="13"/>
      <c r="M39181" s="14"/>
      <c r="N39181" s="14"/>
      <c r="O39181" s="14"/>
      <c r="P39181" s="13"/>
    </row>
    <row r="39182">
      <c r="L39182" s="13"/>
      <c r="M39182" s="14"/>
      <c r="N39182" s="14"/>
      <c r="O39182" s="14"/>
      <c r="P39182" s="13"/>
    </row>
    <row r="39183">
      <c r="L39183" s="13"/>
      <c r="M39183" s="14"/>
      <c r="N39183" s="14"/>
      <c r="O39183" s="14"/>
      <c r="P39183" s="13"/>
    </row>
    <row r="39184">
      <c r="L39184" s="13"/>
      <c r="M39184" s="14"/>
      <c r="N39184" s="14"/>
      <c r="O39184" s="14"/>
      <c r="P39184" s="13"/>
    </row>
    <row r="39185">
      <c r="L39185" s="13"/>
      <c r="M39185" s="14"/>
      <c r="N39185" s="14"/>
      <c r="O39185" s="14"/>
      <c r="P39185" s="13"/>
    </row>
    <row r="39186">
      <c r="L39186" s="13"/>
      <c r="M39186" s="14"/>
      <c r="N39186" s="14"/>
      <c r="O39186" s="14"/>
      <c r="P39186" s="13"/>
    </row>
    <row r="39187">
      <c r="L39187" s="13"/>
      <c r="M39187" s="14"/>
      <c r="N39187" s="14"/>
      <c r="O39187" s="14"/>
      <c r="P39187" s="13"/>
    </row>
    <row r="39188">
      <c r="L39188" s="13"/>
      <c r="M39188" s="14"/>
      <c r="N39188" s="14"/>
      <c r="O39188" s="14"/>
      <c r="P39188" s="13"/>
    </row>
    <row r="39189">
      <c r="L39189" s="13"/>
      <c r="M39189" s="14"/>
      <c r="N39189" s="14"/>
      <c r="O39189" s="14"/>
      <c r="P39189" s="13"/>
    </row>
    <row r="39190">
      <c r="L39190" s="13"/>
      <c r="M39190" s="14"/>
      <c r="N39190" s="14"/>
      <c r="O39190" s="14"/>
      <c r="P39190" s="13"/>
    </row>
    <row r="39191">
      <c r="L39191" s="13"/>
      <c r="M39191" s="14"/>
      <c r="N39191" s="14"/>
      <c r="O39191" s="14"/>
      <c r="P39191" s="13"/>
    </row>
    <row r="39192">
      <c r="L39192" s="13"/>
      <c r="M39192" s="14"/>
      <c r="N39192" s="14"/>
      <c r="O39192" s="14"/>
      <c r="P39192" s="13"/>
    </row>
    <row r="39193">
      <c r="L39193" s="13"/>
      <c r="M39193" s="14"/>
      <c r="N39193" s="14"/>
      <c r="O39193" s="14"/>
      <c r="P39193" s="13"/>
    </row>
    <row r="39194">
      <c r="L39194" s="13"/>
      <c r="M39194" s="14"/>
      <c r="N39194" s="14"/>
      <c r="O39194" s="14"/>
      <c r="P39194" s="13"/>
    </row>
    <row r="39195">
      <c r="L39195" s="13"/>
      <c r="M39195" s="14"/>
      <c r="N39195" s="14"/>
      <c r="O39195" s="14"/>
      <c r="P39195" s="13"/>
    </row>
    <row r="39196">
      <c r="L39196" s="13"/>
      <c r="M39196" s="14"/>
      <c r="N39196" s="14"/>
      <c r="O39196" s="14"/>
      <c r="P39196" s="13"/>
    </row>
    <row r="39197">
      <c r="L39197" s="13"/>
      <c r="M39197" s="14"/>
      <c r="N39197" s="14"/>
      <c r="O39197" s="14"/>
      <c r="P39197" s="13"/>
    </row>
    <row r="39198">
      <c r="L39198" s="13"/>
      <c r="M39198" s="14"/>
      <c r="N39198" s="14"/>
      <c r="O39198" s="14"/>
      <c r="P39198" s="13"/>
    </row>
    <row r="39199">
      <c r="L39199" s="13"/>
      <c r="M39199" s="14"/>
      <c r="N39199" s="14"/>
      <c r="O39199" s="14"/>
      <c r="P39199" s="13"/>
    </row>
    <row r="39200">
      <c r="L39200" s="13"/>
      <c r="M39200" s="14"/>
      <c r="N39200" s="14"/>
      <c r="O39200" s="14"/>
      <c r="P39200" s="13"/>
    </row>
    <row r="39201">
      <c r="L39201" s="13"/>
      <c r="M39201" s="14"/>
      <c r="N39201" s="14"/>
      <c r="O39201" s="14"/>
      <c r="P39201" s="13"/>
    </row>
    <row r="39202">
      <c r="L39202" s="13"/>
      <c r="M39202" s="14"/>
      <c r="N39202" s="14"/>
      <c r="O39202" s="14"/>
      <c r="P39202" s="13"/>
    </row>
    <row r="39203">
      <c r="L39203" s="13"/>
      <c r="M39203" s="14"/>
      <c r="N39203" s="14"/>
      <c r="O39203" s="14"/>
      <c r="P39203" s="13"/>
    </row>
    <row r="39204">
      <c r="L39204" s="13"/>
      <c r="M39204" s="14"/>
      <c r="N39204" s="14"/>
      <c r="O39204" s="14"/>
      <c r="P39204" s="13"/>
    </row>
    <row r="39205">
      <c r="L39205" s="13"/>
      <c r="M39205" s="14"/>
      <c r="N39205" s="14"/>
      <c r="O39205" s="14"/>
      <c r="P39205" s="13"/>
    </row>
    <row r="39206">
      <c r="L39206" s="13"/>
      <c r="M39206" s="14"/>
      <c r="N39206" s="14"/>
      <c r="O39206" s="14"/>
      <c r="P39206" s="13"/>
    </row>
    <row r="39207">
      <c r="L39207" s="13"/>
      <c r="M39207" s="14"/>
      <c r="N39207" s="14"/>
      <c r="O39207" s="14"/>
      <c r="P39207" s="13"/>
    </row>
    <row r="39208">
      <c r="L39208" s="13"/>
      <c r="M39208" s="14"/>
      <c r="N39208" s="14"/>
      <c r="O39208" s="14"/>
      <c r="P39208" s="13"/>
    </row>
    <row r="39209">
      <c r="L39209" s="13"/>
      <c r="M39209" s="14"/>
      <c r="N39209" s="14"/>
      <c r="O39209" s="14"/>
      <c r="P39209" s="13"/>
    </row>
    <row r="39210">
      <c r="L39210" s="13"/>
      <c r="M39210" s="14"/>
      <c r="N39210" s="14"/>
      <c r="O39210" s="14"/>
      <c r="P39210" s="13"/>
    </row>
    <row r="39211">
      <c r="L39211" s="13"/>
      <c r="M39211" s="14"/>
      <c r="N39211" s="14"/>
      <c r="O39211" s="14"/>
      <c r="P39211" s="13"/>
    </row>
    <row r="39212">
      <c r="L39212" s="13"/>
      <c r="M39212" s="14"/>
      <c r="N39212" s="14"/>
      <c r="O39212" s="14"/>
      <c r="P39212" s="13"/>
    </row>
    <row r="39213">
      <c r="L39213" s="13"/>
      <c r="M39213" s="14"/>
      <c r="N39213" s="14"/>
      <c r="O39213" s="14"/>
      <c r="P39213" s="13"/>
    </row>
    <row r="39214">
      <c r="L39214" s="13"/>
      <c r="M39214" s="14"/>
      <c r="N39214" s="14"/>
      <c r="O39214" s="14"/>
      <c r="P39214" s="13"/>
    </row>
    <row r="39215">
      <c r="L39215" s="13"/>
      <c r="M39215" s="14"/>
      <c r="N39215" s="14"/>
      <c r="O39215" s="14"/>
      <c r="P39215" s="13"/>
    </row>
    <row r="39216">
      <c r="L39216" s="13"/>
      <c r="M39216" s="14"/>
      <c r="N39216" s="14"/>
      <c r="O39216" s="14"/>
      <c r="P39216" s="13"/>
    </row>
    <row r="39217">
      <c r="L39217" s="13"/>
      <c r="M39217" s="14"/>
      <c r="N39217" s="14"/>
      <c r="O39217" s="14"/>
      <c r="P39217" s="13"/>
    </row>
    <row r="39218">
      <c r="L39218" s="13"/>
      <c r="M39218" s="14"/>
      <c r="N39218" s="14"/>
      <c r="O39218" s="14"/>
      <c r="P39218" s="13"/>
    </row>
    <row r="39219">
      <c r="L39219" s="13"/>
      <c r="M39219" s="14"/>
      <c r="N39219" s="14"/>
      <c r="O39219" s="14"/>
      <c r="P39219" s="13"/>
    </row>
    <row r="39220">
      <c r="L39220" s="13"/>
      <c r="M39220" s="14"/>
      <c r="N39220" s="14"/>
      <c r="O39220" s="14"/>
      <c r="P39220" s="13"/>
    </row>
    <row r="39221">
      <c r="L39221" s="13"/>
      <c r="M39221" s="14"/>
      <c r="N39221" s="14"/>
      <c r="O39221" s="14"/>
      <c r="P39221" s="13"/>
    </row>
    <row r="39222">
      <c r="L39222" s="13"/>
      <c r="M39222" s="14"/>
      <c r="N39222" s="14"/>
      <c r="O39222" s="14"/>
      <c r="P39222" s="13"/>
    </row>
    <row r="39223">
      <c r="L39223" s="13"/>
      <c r="M39223" s="14"/>
      <c r="N39223" s="14"/>
      <c r="O39223" s="14"/>
      <c r="P39223" s="13"/>
    </row>
    <row r="39224">
      <c r="L39224" s="13"/>
      <c r="M39224" s="14"/>
      <c r="N39224" s="14"/>
      <c r="O39224" s="14"/>
      <c r="P39224" s="13"/>
    </row>
    <row r="39225">
      <c r="L39225" s="13"/>
      <c r="M39225" s="14"/>
      <c r="N39225" s="14"/>
      <c r="O39225" s="14"/>
      <c r="P39225" s="13"/>
    </row>
    <row r="39226">
      <c r="L39226" s="13"/>
      <c r="M39226" s="14"/>
      <c r="N39226" s="14"/>
      <c r="O39226" s="14"/>
      <c r="P39226" s="13"/>
    </row>
    <row r="39227">
      <c r="L39227" s="13"/>
      <c r="M39227" s="14"/>
      <c r="N39227" s="14"/>
      <c r="O39227" s="14"/>
      <c r="P39227" s="13"/>
    </row>
    <row r="39228">
      <c r="L39228" s="13"/>
      <c r="M39228" s="14"/>
      <c r="N39228" s="14"/>
      <c r="O39228" s="14"/>
      <c r="P39228" s="13"/>
    </row>
    <row r="39229">
      <c r="L39229" s="13"/>
      <c r="M39229" s="14"/>
      <c r="N39229" s="14"/>
      <c r="O39229" s="14"/>
      <c r="P39229" s="13"/>
    </row>
    <row r="39230">
      <c r="L39230" s="13"/>
      <c r="M39230" s="14"/>
      <c r="N39230" s="14"/>
      <c r="O39230" s="14"/>
      <c r="P39230" s="13"/>
    </row>
    <row r="39231">
      <c r="L39231" s="13"/>
      <c r="M39231" s="14"/>
      <c r="N39231" s="14"/>
      <c r="O39231" s="14"/>
      <c r="P39231" s="13"/>
    </row>
    <row r="39232">
      <c r="L39232" s="13"/>
      <c r="M39232" s="14"/>
      <c r="N39232" s="14"/>
      <c r="O39232" s="14"/>
      <c r="P39232" s="13"/>
    </row>
    <row r="39233">
      <c r="L39233" s="13"/>
      <c r="M39233" s="14"/>
      <c r="N39233" s="14"/>
      <c r="O39233" s="14"/>
      <c r="P39233" s="13"/>
    </row>
    <row r="39234">
      <c r="L39234" s="13"/>
      <c r="M39234" s="14"/>
      <c r="N39234" s="14"/>
      <c r="O39234" s="14"/>
      <c r="P39234" s="13"/>
    </row>
    <row r="39235">
      <c r="L39235" s="13"/>
      <c r="M39235" s="14"/>
      <c r="N39235" s="14"/>
      <c r="O39235" s="14"/>
      <c r="P39235" s="13"/>
    </row>
    <row r="39236">
      <c r="L39236" s="13"/>
      <c r="M39236" s="14"/>
      <c r="N39236" s="14"/>
      <c r="O39236" s="14"/>
      <c r="P39236" s="13"/>
    </row>
    <row r="39237">
      <c r="L39237" s="13"/>
      <c r="M39237" s="14"/>
      <c r="N39237" s="14"/>
      <c r="O39237" s="14"/>
      <c r="P39237" s="13"/>
    </row>
    <row r="39238">
      <c r="L39238" s="13"/>
      <c r="M39238" s="14"/>
      <c r="N39238" s="14"/>
      <c r="O39238" s="14"/>
      <c r="P39238" s="13"/>
    </row>
    <row r="39239">
      <c r="L39239" s="13"/>
      <c r="M39239" s="14"/>
      <c r="N39239" s="14"/>
      <c r="O39239" s="14"/>
      <c r="P39239" s="13"/>
    </row>
    <row r="39240">
      <c r="L39240" s="13"/>
      <c r="M39240" s="14"/>
      <c r="N39240" s="14"/>
      <c r="O39240" s="14"/>
      <c r="P39240" s="13"/>
    </row>
    <row r="39241">
      <c r="L39241" s="13"/>
      <c r="M39241" s="14"/>
      <c r="N39241" s="14"/>
      <c r="O39241" s="14"/>
      <c r="P39241" s="13"/>
    </row>
    <row r="39242">
      <c r="L39242" s="13"/>
      <c r="M39242" s="14"/>
      <c r="N39242" s="14"/>
      <c r="O39242" s="14"/>
      <c r="P39242" s="13"/>
    </row>
    <row r="39243">
      <c r="L39243" s="13"/>
      <c r="M39243" s="14"/>
      <c r="N39243" s="14"/>
      <c r="O39243" s="14"/>
      <c r="P39243" s="13"/>
    </row>
    <row r="39244">
      <c r="L39244" s="13"/>
      <c r="M39244" s="14"/>
      <c r="N39244" s="14"/>
      <c r="O39244" s="14"/>
      <c r="P39244" s="13"/>
    </row>
    <row r="39245">
      <c r="L39245" s="13"/>
      <c r="M39245" s="14"/>
      <c r="N39245" s="14"/>
      <c r="O39245" s="14"/>
      <c r="P39245" s="13"/>
    </row>
    <row r="39246">
      <c r="L39246" s="13"/>
      <c r="M39246" s="14"/>
      <c r="N39246" s="14"/>
      <c r="O39246" s="14"/>
      <c r="P39246" s="13"/>
    </row>
    <row r="39247">
      <c r="L39247" s="13"/>
      <c r="M39247" s="14"/>
      <c r="N39247" s="14"/>
      <c r="O39247" s="14"/>
      <c r="P39247" s="13"/>
    </row>
    <row r="39248">
      <c r="L39248" s="13"/>
      <c r="M39248" s="14"/>
      <c r="N39248" s="14"/>
      <c r="O39248" s="14"/>
      <c r="P39248" s="13"/>
    </row>
    <row r="39249">
      <c r="L39249" s="13"/>
      <c r="M39249" s="14"/>
      <c r="N39249" s="14"/>
      <c r="O39249" s="14"/>
      <c r="P39249" s="13"/>
    </row>
    <row r="39250">
      <c r="L39250" s="13"/>
      <c r="M39250" s="14"/>
      <c r="N39250" s="14"/>
      <c r="O39250" s="14"/>
      <c r="P39250" s="13"/>
    </row>
    <row r="39251">
      <c r="L39251" s="13"/>
      <c r="M39251" s="14"/>
      <c r="N39251" s="14"/>
      <c r="O39251" s="14"/>
      <c r="P39251" s="13"/>
    </row>
    <row r="39252">
      <c r="L39252" s="13"/>
      <c r="M39252" s="14"/>
      <c r="N39252" s="14"/>
      <c r="O39252" s="14"/>
      <c r="P39252" s="13"/>
    </row>
    <row r="39253">
      <c r="L39253" s="13"/>
      <c r="M39253" s="14"/>
      <c r="N39253" s="14"/>
      <c r="O39253" s="14"/>
      <c r="P39253" s="13"/>
    </row>
    <row r="39254">
      <c r="L39254" s="13"/>
      <c r="M39254" s="14"/>
      <c r="N39254" s="14"/>
      <c r="O39254" s="14"/>
      <c r="P39254" s="13"/>
    </row>
    <row r="39255">
      <c r="L39255" s="13"/>
      <c r="M39255" s="14"/>
      <c r="N39255" s="14"/>
      <c r="O39255" s="14"/>
      <c r="P39255" s="13"/>
    </row>
    <row r="39256">
      <c r="L39256" s="13"/>
      <c r="M39256" s="14"/>
      <c r="N39256" s="14"/>
      <c r="O39256" s="14"/>
      <c r="P39256" s="13"/>
    </row>
    <row r="39257">
      <c r="L39257" s="13"/>
      <c r="M39257" s="14"/>
      <c r="N39257" s="14"/>
      <c r="O39257" s="14"/>
      <c r="P39257" s="13"/>
    </row>
    <row r="39258">
      <c r="L39258" s="13"/>
      <c r="M39258" s="14"/>
      <c r="N39258" s="14"/>
      <c r="O39258" s="14"/>
      <c r="P39258" s="13"/>
    </row>
    <row r="39259">
      <c r="L39259" s="13"/>
      <c r="M39259" s="14"/>
      <c r="N39259" s="14"/>
      <c r="O39259" s="14"/>
      <c r="P39259" s="13"/>
    </row>
    <row r="39260">
      <c r="L39260" s="13"/>
      <c r="M39260" s="14"/>
      <c r="N39260" s="14"/>
      <c r="O39260" s="14"/>
      <c r="P39260" s="13"/>
    </row>
    <row r="39261">
      <c r="L39261" s="13"/>
      <c r="M39261" s="14"/>
      <c r="N39261" s="14"/>
      <c r="O39261" s="14"/>
      <c r="P39261" s="13"/>
    </row>
    <row r="39262">
      <c r="L39262" s="13"/>
      <c r="M39262" s="14"/>
      <c r="N39262" s="14"/>
      <c r="O39262" s="14"/>
      <c r="P39262" s="13"/>
    </row>
    <row r="39263">
      <c r="L39263" s="13"/>
      <c r="M39263" s="14"/>
      <c r="N39263" s="14"/>
      <c r="O39263" s="14"/>
      <c r="P39263" s="13"/>
    </row>
    <row r="39264">
      <c r="L39264" s="13"/>
      <c r="M39264" s="14"/>
      <c r="N39264" s="14"/>
      <c r="O39264" s="14"/>
      <c r="P39264" s="13"/>
    </row>
    <row r="39265">
      <c r="L39265" s="13"/>
      <c r="M39265" s="14"/>
      <c r="N39265" s="14"/>
      <c r="O39265" s="14"/>
      <c r="P39265" s="13"/>
    </row>
    <row r="39266">
      <c r="L39266" s="13"/>
      <c r="M39266" s="14"/>
      <c r="N39266" s="14"/>
      <c r="O39266" s="14"/>
      <c r="P39266" s="13"/>
    </row>
    <row r="39267">
      <c r="L39267" s="13"/>
      <c r="M39267" s="14"/>
      <c r="N39267" s="14"/>
      <c r="O39267" s="14"/>
      <c r="P39267" s="13"/>
    </row>
    <row r="39268">
      <c r="L39268" s="13"/>
      <c r="M39268" s="14"/>
      <c r="N39268" s="14"/>
      <c r="O39268" s="14"/>
      <c r="P39268" s="13"/>
    </row>
    <row r="39269">
      <c r="L39269" s="13"/>
      <c r="M39269" s="14"/>
      <c r="N39269" s="14"/>
      <c r="O39269" s="14"/>
      <c r="P39269" s="13"/>
    </row>
    <row r="39270">
      <c r="L39270" s="13"/>
      <c r="M39270" s="14"/>
      <c r="N39270" s="14"/>
      <c r="O39270" s="14"/>
      <c r="P39270" s="13"/>
    </row>
    <row r="39271">
      <c r="L39271" s="13"/>
      <c r="M39271" s="14"/>
      <c r="N39271" s="14"/>
      <c r="O39271" s="14"/>
      <c r="P39271" s="13"/>
    </row>
    <row r="39272">
      <c r="L39272" s="13"/>
      <c r="M39272" s="14"/>
      <c r="N39272" s="14"/>
      <c r="O39272" s="14"/>
      <c r="P39272" s="13"/>
    </row>
    <row r="39273">
      <c r="L39273" s="13"/>
      <c r="M39273" s="14"/>
      <c r="N39273" s="14"/>
      <c r="O39273" s="14"/>
      <c r="P39273" s="13"/>
    </row>
    <row r="39274">
      <c r="L39274" s="13"/>
      <c r="M39274" s="14"/>
      <c r="N39274" s="14"/>
      <c r="O39274" s="14"/>
      <c r="P39274" s="13"/>
    </row>
    <row r="39275">
      <c r="L39275" s="13"/>
      <c r="M39275" s="14"/>
      <c r="N39275" s="14"/>
      <c r="O39275" s="14"/>
      <c r="P39275" s="13"/>
    </row>
    <row r="39276">
      <c r="L39276" s="13"/>
      <c r="M39276" s="14"/>
      <c r="N39276" s="14"/>
      <c r="O39276" s="14"/>
      <c r="P39276" s="13"/>
    </row>
    <row r="39277">
      <c r="L39277" s="13"/>
      <c r="M39277" s="14"/>
      <c r="N39277" s="14"/>
      <c r="O39277" s="14"/>
      <c r="P39277" s="13"/>
    </row>
    <row r="39278">
      <c r="L39278" s="13"/>
      <c r="M39278" s="14"/>
      <c r="N39278" s="14"/>
      <c r="O39278" s="14"/>
      <c r="P39278" s="13"/>
    </row>
    <row r="39279">
      <c r="L39279" s="13"/>
      <c r="M39279" s="14"/>
      <c r="N39279" s="14"/>
      <c r="O39279" s="14"/>
      <c r="P39279" s="13"/>
    </row>
    <row r="39280">
      <c r="L39280" s="13"/>
      <c r="M39280" s="14"/>
      <c r="N39280" s="14"/>
      <c r="O39280" s="14"/>
      <c r="P39280" s="13"/>
    </row>
    <row r="39281">
      <c r="L39281" s="13"/>
      <c r="M39281" s="14"/>
      <c r="N39281" s="14"/>
      <c r="O39281" s="14"/>
      <c r="P39281" s="13"/>
    </row>
    <row r="39282">
      <c r="L39282" s="13"/>
      <c r="M39282" s="14"/>
      <c r="N39282" s="14"/>
      <c r="O39282" s="14"/>
      <c r="P39282" s="13"/>
    </row>
    <row r="39283">
      <c r="L39283" s="13"/>
      <c r="M39283" s="14"/>
      <c r="N39283" s="14"/>
      <c r="O39283" s="14"/>
      <c r="P39283" s="13"/>
    </row>
    <row r="39284">
      <c r="L39284" s="13"/>
      <c r="M39284" s="14"/>
      <c r="N39284" s="14"/>
      <c r="O39284" s="14"/>
      <c r="P39284" s="13"/>
    </row>
    <row r="39285">
      <c r="L39285" s="13"/>
      <c r="M39285" s="14"/>
      <c r="N39285" s="14"/>
      <c r="O39285" s="14"/>
      <c r="P39285" s="13"/>
    </row>
    <row r="39286">
      <c r="L39286" s="13"/>
      <c r="M39286" s="14"/>
      <c r="N39286" s="14"/>
      <c r="O39286" s="14"/>
      <c r="P39286" s="13"/>
    </row>
    <row r="39287">
      <c r="L39287" s="13"/>
      <c r="M39287" s="14"/>
      <c r="N39287" s="14"/>
      <c r="O39287" s="14"/>
      <c r="P39287" s="13"/>
    </row>
    <row r="39288">
      <c r="L39288" s="13"/>
      <c r="M39288" s="14"/>
      <c r="N39288" s="14"/>
      <c r="O39288" s="14"/>
      <c r="P39288" s="13"/>
    </row>
    <row r="39289">
      <c r="L39289" s="13"/>
      <c r="M39289" s="14"/>
      <c r="N39289" s="14"/>
      <c r="O39289" s="14"/>
      <c r="P39289" s="13"/>
    </row>
    <row r="39290">
      <c r="L39290" s="13"/>
      <c r="M39290" s="14"/>
      <c r="N39290" s="14"/>
      <c r="O39290" s="14"/>
      <c r="P39290" s="13"/>
    </row>
    <row r="39291">
      <c r="L39291" s="13"/>
      <c r="M39291" s="14"/>
      <c r="N39291" s="14"/>
      <c r="O39291" s="14"/>
      <c r="P39291" s="13"/>
    </row>
    <row r="39292">
      <c r="L39292" s="13"/>
      <c r="M39292" s="14"/>
      <c r="N39292" s="14"/>
      <c r="O39292" s="14"/>
      <c r="P39292" s="13"/>
    </row>
    <row r="39293">
      <c r="L39293" s="13"/>
      <c r="M39293" s="14"/>
      <c r="N39293" s="14"/>
      <c r="O39293" s="14"/>
      <c r="P39293" s="13"/>
    </row>
    <row r="39294">
      <c r="L39294" s="13"/>
      <c r="M39294" s="14"/>
      <c r="N39294" s="14"/>
      <c r="O39294" s="14"/>
      <c r="P39294" s="13"/>
    </row>
    <row r="39295">
      <c r="L39295" s="13"/>
      <c r="M39295" s="14"/>
      <c r="N39295" s="14"/>
      <c r="O39295" s="14"/>
      <c r="P39295" s="13"/>
    </row>
    <row r="39296">
      <c r="L39296" s="13"/>
      <c r="M39296" s="14"/>
      <c r="N39296" s="14"/>
      <c r="O39296" s="14"/>
      <c r="P39296" s="13"/>
    </row>
    <row r="39297">
      <c r="L39297" s="13"/>
      <c r="M39297" s="14"/>
      <c r="N39297" s="14"/>
      <c r="O39297" s="14"/>
      <c r="P39297" s="13"/>
    </row>
    <row r="39298">
      <c r="L39298" s="13"/>
      <c r="M39298" s="14"/>
      <c r="N39298" s="14"/>
      <c r="O39298" s="14"/>
      <c r="P39298" s="13"/>
    </row>
    <row r="39299">
      <c r="L39299" s="13"/>
      <c r="M39299" s="14"/>
      <c r="N39299" s="14"/>
      <c r="O39299" s="14"/>
      <c r="P39299" s="13"/>
    </row>
    <row r="39300">
      <c r="L39300" s="13"/>
      <c r="M39300" s="14"/>
      <c r="N39300" s="14"/>
      <c r="O39300" s="14"/>
      <c r="P39300" s="13"/>
    </row>
    <row r="39301">
      <c r="L39301" s="13"/>
      <c r="M39301" s="14"/>
      <c r="N39301" s="14"/>
      <c r="O39301" s="14"/>
      <c r="P39301" s="13"/>
    </row>
    <row r="39302">
      <c r="L39302" s="13"/>
      <c r="M39302" s="14"/>
      <c r="N39302" s="14"/>
      <c r="O39302" s="14"/>
      <c r="P39302" s="13"/>
    </row>
    <row r="39303">
      <c r="L39303" s="13"/>
      <c r="M39303" s="14"/>
      <c r="N39303" s="14"/>
      <c r="O39303" s="14"/>
      <c r="P39303" s="13"/>
    </row>
    <row r="39304">
      <c r="L39304" s="13"/>
      <c r="M39304" s="14"/>
      <c r="N39304" s="14"/>
      <c r="O39304" s="14"/>
      <c r="P39304" s="13"/>
    </row>
    <row r="39305">
      <c r="L39305" s="13"/>
      <c r="M39305" s="14"/>
      <c r="N39305" s="14"/>
      <c r="O39305" s="14"/>
      <c r="P39305" s="13"/>
    </row>
    <row r="39306">
      <c r="L39306" s="13"/>
      <c r="M39306" s="14"/>
      <c r="N39306" s="14"/>
      <c r="O39306" s="14"/>
      <c r="P39306" s="13"/>
    </row>
    <row r="39307">
      <c r="L39307" s="13"/>
      <c r="M39307" s="14"/>
      <c r="N39307" s="14"/>
      <c r="O39307" s="14"/>
      <c r="P39307" s="13"/>
    </row>
    <row r="39308">
      <c r="L39308" s="13"/>
      <c r="M39308" s="14"/>
      <c r="N39308" s="14"/>
      <c r="O39308" s="14"/>
      <c r="P39308" s="13"/>
    </row>
    <row r="39309">
      <c r="L39309" s="13"/>
      <c r="M39309" s="14"/>
      <c r="N39309" s="14"/>
      <c r="O39309" s="14"/>
      <c r="P39309" s="13"/>
    </row>
    <row r="39310">
      <c r="L39310" s="13"/>
      <c r="M39310" s="14"/>
      <c r="N39310" s="14"/>
      <c r="O39310" s="14"/>
      <c r="P39310" s="13"/>
    </row>
    <row r="39311">
      <c r="L39311" s="13"/>
      <c r="M39311" s="14"/>
      <c r="N39311" s="14"/>
      <c r="O39311" s="14"/>
      <c r="P39311" s="13"/>
    </row>
    <row r="39312">
      <c r="L39312" s="13"/>
      <c r="M39312" s="14"/>
      <c r="N39312" s="14"/>
      <c r="O39312" s="14"/>
      <c r="P39312" s="13"/>
    </row>
    <row r="39313">
      <c r="L39313" s="13"/>
      <c r="M39313" s="14"/>
      <c r="N39313" s="14"/>
      <c r="O39313" s="14"/>
      <c r="P39313" s="13"/>
    </row>
    <row r="39314">
      <c r="L39314" s="13"/>
      <c r="M39314" s="14"/>
      <c r="N39314" s="14"/>
      <c r="O39314" s="14"/>
      <c r="P39314" s="13"/>
    </row>
    <row r="39315">
      <c r="L39315" s="13"/>
      <c r="M39315" s="14"/>
      <c r="N39315" s="14"/>
      <c r="O39315" s="14"/>
      <c r="P39315" s="13"/>
    </row>
    <row r="39316">
      <c r="L39316" s="13"/>
      <c r="M39316" s="14"/>
      <c r="N39316" s="14"/>
      <c r="O39316" s="14"/>
      <c r="P39316" s="13"/>
    </row>
    <row r="39317">
      <c r="L39317" s="13"/>
      <c r="M39317" s="14"/>
      <c r="N39317" s="14"/>
      <c r="O39317" s="14"/>
      <c r="P39317" s="13"/>
    </row>
    <row r="39318">
      <c r="L39318" s="13"/>
      <c r="M39318" s="14"/>
      <c r="N39318" s="14"/>
      <c r="O39318" s="14"/>
      <c r="P39318" s="13"/>
    </row>
    <row r="39319">
      <c r="L39319" s="13"/>
      <c r="M39319" s="14"/>
      <c r="N39319" s="14"/>
      <c r="O39319" s="14"/>
      <c r="P39319" s="13"/>
    </row>
    <row r="39320">
      <c r="L39320" s="13"/>
      <c r="M39320" s="14"/>
      <c r="N39320" s="14"/>
      <c r="O39320" s="14"/>
      <c r="P39320" s="13"/>
    </row>
    <row r="39321">
      <c r="L39321" s="13"/>
      <c r="M39321" s="14"/>
      <c r="N39321" s="14"/>
      <c r="O39321" s="14"/>
      <c r="P39321" s="13"/>
    </row>
    <row r="39322">
      <c r="L39322" s="13"/>
      <c r="M39322" s="14"/>
      <c r="N39322" s="14"/>
      <c r="O39322" s="14"/>
      <c r="P39322" s="13"/>
    </row>
    <row r="39323">
      <c r="L39323" s="13"/>
      <c r="M39323" s="14"/>
      <c r="N39323" s="14"/>
      <c r="O39323" s="14"/>
      <c r="P39323" s="13"/>
    </row>
    <row r="39324">
      <c r="L39324" s="13"/>
      <c r="M39324" s="14"/>
      <c r="N39324" s="14"/>
      <c r="O39324" s="14"/>
      <c r="P39324" s="13"/>
    </row>
    <row r="39325">
      <c r="L39325" s="13"/>
      <c r="M39325" s="14"/>
      <c r="N39325" s="14"/>
      <c r="O39325" s="14"/>
      <c r="P39325" s="13"/>
    </row>
    <row r="39326">
      <c r="L39326" s="13"/>
      <c r="M39326" s="14"/>
      <c r="N39326" s="14"/>
      <c r="O39326" s="14"/>
      <c r="P39326" s="13"/>
    </row>
    <row r="39327">
      <c r="L39327" s="13"/>
      <c r="M39327" s="14"/>
      <c r="N39327" s="14"/>
      <c r="O39327" s="14"/>
      <c r="P39327" s="13"/>
    </row>
    <row r="39328">
      <c r="L39328" s="13"/>
      <c r="M39328" s="14"/>
      <c r="N39328" s="14"/>
      <c r="O39328" s="14"/>
      <c r="P39328" s="13"/>
    </row>
    <row r="39329">
      <c r="L39329" s="13"/>
      <c r="M39329" s="14"/>
      <c r="N39329" s="14"/>
      <c r="O39329" s="14"/>
      <c r="P39329" s="13"/>
    </row>
    <row r="39330">
      <c r="L39330" s="13"/>
      <c r="M39330" s="14"/>
      <c r="N39330" s="14"/>
      <c r="O39330" s="14"/>
      <c r="P39330" s="13"/>
    </row>
    <row r="39331">
      <c r="L39331" s="13"/>
      <c r="M39331" s="14"/>
      <c r="N39331" s="14"/>
      <c r="O39331" s="14"/>
      <c r="P39331" s="13"/>
    </row>
    <row r="39332">
      <c r="L39332" s="13"/>
      <c r="M39332" s="14"/>
      <c r="N39332" s="14"/>
      <c r="O39332" s="14"/>
      <c r="P39332" s="13"/>
    </row>
    <row r="39333">
      <c r="L39333" s="13"/>
      <c r="M39333" s="14"/>
      <c r="N39333" s="14"/>
      <c r="O39333" s="14"/>
      <c r="P39333" s="13"/>
    </row>
    <row r="39334">
      <c r="L39334" s="13"/>
      <c r="M39334" s="14"/>
      <c r="N39334" s="14"/>
      <c r="O39334" s="14"/>
      <c r="P39334" s="13"/>
    </row>
    <row r="39335">
      <c r="L39335" s="13"/>
      <c r="M39335" s="14"/>
      <c r="N39335" s="14"/>
      <c r="O39335" s="14"/>
      <c r="P39335" s="13"/>
    </row>
    <row r="39336">
      <c r="L39336" s="13"/>
      <c r="M39336" s="14"/>
      <c r="N39336" s="14"/>
      <c r="O39336" s="14"/>
      <c r="P39336" s="13"/>
    </row>
    <row r="39337">
      <c r="L39337" s="13"/>
      <c r="M39337" s="14"/>
      <c r="N39337" s="14"/>
      <c r="O39337" s="14"/>
      <c r="P39337" s="13"/>
    </row>
    <row r="39338">
      <c r="L39338" s="13"/>
      <c r="M39338" s="14"/>
      <c r="N39338" s="14"/>
      <c r="O39338" s="14"/>
      <c r="P39338" s="13"/>
    </row>
    <row r="39339">
      <c r="L39339" s="13"/>
      <c r="M39339" s="14"/>
      <c r="N39339" s="14"/>
      <c r="O39339" s="14"/>
      <c r="P39339" s="13"/>
    </row>
    <row r="39340">
      <c r="L39340" s="13"/>
      <c r="M39340" s="14"/>
      <c r="N39340" s="14"/>
      <c r="O39340" s="14"/>
      <c r="P39340" s="13"/>
    </row>
    <row r="39341">
      <c r="L39341" s="13"/>
      <c r="M39341" s="14"/>
      <c r="N39341" s="14"/>
      <c r="O39341" s="14"/>
      <c r="P39341" s="13"/>
    </row>
    <row r="39342">
      <c r="L39342" s="13"/>
      <c r="M39342" s="14"/>
      <c r="N39342" s="14"/>
      <c r="O39342" s="14"/>
      <c r="P39342" s="13"/>
    </row>
    <row r="39343">
      <c r="L39343" s="13"/>
      <c r="M39343" s="14"/>
      <c r="N39343" s="14"/>
      <c r="O39343" s="14"/>
      <c r="P39343" s="13"/>
    </row>
    <row r="39344">
      <c r="L39344" s="13"/>
      <c r="M39344" s="14"/>
      <c r="N39344" s="14"/>
      <c r="O39344" s="14"/>
      <c r="P39344" s="13"/>
    </row>
    <row r="39345">
      <c r="L39345" s="13"/>
      <c r="M39345" s="14"/>
      <c r="N39345" s="14"/>
      <c r="O39345" s="14"/>
      <c r="P39345" s="13"/>
    </row>
    <row r="39346">
      <c r="L39346" s="13"/>
      <c r="M39346" s="14"/>
      <c r="N39346" s="14"/>
      <c r="O39346" s="14"/>
      <c r="P39346" s="13"/>
    </row>
    <row r="39347">
      <c r="L39347" s="13"/>
      <c r="M39347" s="14"/>
      <c r="N39347" s="14"/>
      <c r="O39347" s="14"/>
      <c r="P39347" s="13"/>
    </row>
    <row r="39348">
      <c r="L39348" s="13"/>
      <c r="M39348" s="14"/>
      <c r="N39348" s="14"/>
      <c r="O39348" s="14"/>
      <c r="P39348" s="13"/>
    </row>
    <row r="39349">
      <c r="L39349" s="13"/>
      <c r="M39349" s="14"/>
      <c r="N39349" s="14"/>
      <c r="O39349" s="14"/>
      <c r="P39349" s="13"/>
    </row>
    <row r="39350">
      <c r="L39350" s="13"/>
      <c r="M39350" s="14"/>
      <c r="N39350" s="14"/>
      <c r="O39350" s="14"/>
      <c r="P39350" s="13"/>
    </row>
    <row r="39351">
      <c r="L39351" s="13"/>
      <c r="M39351" s="14"/>
      <c r="N39351" s="14"/>
      <c r="O39351" s="14"/>
      <c r="P39351" s="13"/>
    </row>
    <row r="39352">
      <c r="L39352" s="13"/>
      <c r="M39352" s="14"/>
      <c r="N39352" s="14"/>
      <c r="O39352" s="14"/>
      <c r="P39352" s="13"/>
    </row>
    <row r="39353">
      <c r="L39353" s="13"/>
      <c r="M39353" s="14"/>
      <c r="N39353" s="14"/>
      <c r="O39353" s="14"/>
      <c r="P39353" s="13"/>
    </row>
    <row r="39354">
      <c r="L39354" s="13"/>
      <c r="M39354" s="14"/>
      <c r="N39354" s="14"/>
      <c r="O39354" s="14"/>
      <c r="P39354" s="13"/>
    </row>
    <row r="39355">
      <c r="L39355" s="13"/>
      <c r="M39355" s="14"/>
      <c r="N39355" s="14"/>
      <c r="O39355" s="14"/>
      <c r="P39355" s="13"/>
    </row>
    <row r="39356">
      <c r="L39356" s="13"/>
      <c r="M39356" s="14"/>
      <c r="N39356" s="14"/>
      <c r="O39356" s="14"/>
      <c r="P39356" s="13"/>
    </row>
    <row r="39357">
      <c r="L39357" s="13"/>
      <c r="M39357" s="14"/>
      <c r="N39357" s="14"/>
      <c r="O39357" s="14"/>
      <c r="P39357" s="13"/>
    </row>
    <row r="39358">
      <c r="L39358" s="13"/>
      <c r="M39358" s="14"/>
      <c r="N39358" s="14"/>
      <c r="O39358" s="14"/>
      <c r="P39358" s="13"/>
    </row>
    <row r="39359">
      <c r="L39359" s="13"/>
      <c r="M39359" s="14"/>
      <c r="N39359" s="14"/>
      <c r="O39359" s="14"/>
      <c r="P39359" s="13"/>
    </row>
    <row r="39360">
      <c r="L39360" s="13"/>
      <c r="M39360" s="14"/>
      <c r="N39360" s="14"/>
      <c r="O39360" s="14"/>
      <c r="P39360" s="13"/>
    </row>
    <row r="39361">
      <c r="L39361" s="13"/>
      <c r="M39361" s="14"/>
      <c r="N39361" s="14"/>
      <c r="O39361" s="14"/>
      <c r="P39361" s="13"/>
    </row>
    <row r="39362">
      <c r="L39362" s="13"/>
      <c r="M39362" s="14"/>
      <c r="N39362" s="14"/>
      <c r="O39362" s="14"/>
      <c r="P39362" s="13"/>
    </row>
    <row r="39363">
      <c r="L39363" s="13"/>
      <c r="M39363" s="14"/>
      <c r="N39363" s="14"/>
      <c r="O39363" s="14"/>
      <c r="P39363" s="13"/>
    </row>
    <row r="39364">
      <c r="L39364" s="13"/>
      <c r="M39364" s="14"/>
      <c r="N39364" s="14"/>
      <c r="O39364" s="14"/>
      <c r="P39364" s="13"/>
    </row>
    <row r="39365">
      <c r="L39365" s="13"/>
      <c r="M39365" s="14"/>
      <c r="N39365" s="14"/>
      <c r="O39365" s="14"/>
      <c r="P39365" s="13"/>
    </row>
    <row r="39366">
      <c r="L39366" s="13"/>
      <c r="M39366" s="14"/>
      <c r="N39366" s="14"/>
      <c r="O39366" s="14"/>
      <c r="P39366" s="13"/>
    </row>
    <row r="39367">
      <c r="L39367" s="13"/>
      <c r="M39367" s="14"/>
      <c r="N39367" s="14"/>
      <c r="O39367" s="14"/>
      <c r="P39367" s="13"/>
    </row>
    <row r="39368">
      <c r="L39368" s="13"/>
      <c r="M39368" s="14"/>
      <c r="N39368" s="14"/>
      <c r="O39368" s="14"/>
      <c r="P39368" s="13"/>
    </row>
    <row r="39369">
      <c r="L39369" s="13"/>
      <c r="M39369" s="14"/>
      <c r="N39369" s="14"/>
      <c r="O39369" s="14"/>
      <c r="P39369" s="13"/>
    </row>
    <row r="39370">
      <c r="L39370" s="13"/>
      <c r="M39370" s="14"/>
      <c r="N39370" s="14"/>
      <c r="O39370" s="14"/>
      <c r="P39370" s="13"/>
    </row>
    <row r="39371">
      <c r="L39371" s="13"/>
      <c r="M39371" s="14"/>
      <c r="N39371" s="14"/>
      <c r="O39371" s="14"/>
      <c r="P39371" s="13"/>
    </row>
    <row r="39372">
      <c r="L39372" s="13"/>
      <c r="M39372" s="14"/>
      <c r="N39372" s="14"/>
      <c r="O39372" s="14"/>
      <c r="P39372" s="13"/>
    </row>
    <row r="39373">
      <c r="L39373" s="13"/>
      <c r="M39373" s="14"/>
      <c r="N39373" s="14"/>
      <c r="O39373" s="14"/>
      <c r="P39373" s="13"/>
    </row>
    <row r="39374">
      <c r="L39374" s="13"/>
      <c r="M39374" s="14"/>
      <c r="N39374" s="14"/>
      <c r="O39374" s="14"/>
      <c r="P39374" s="13"/>
    </row>
    <row r="39375">
      <c r="L39375" s="13"/>
      <c r="M39375" s="14"/>
      <c r="N39375" s="14"/>
      <c r="O39375" s="14"/>
      <c r="P39375" s="13"/>
    </row>
    <row r="39376">
      <c r="L39376" s="13"/>
      <c r="M39376" s="14"/>
      <c r="N39376" s="14"/>
      <c r="O39376" s="14"/>
      <c r="P39376" s="13"/>
    </row>
    <row r="39377">
      <c r="L39377" s="13"/>
      <c r="M39377" s="14"/>
      <c r="N39377" s="14"/>
      <c r="O39377" s="14"/>
      <c r="P39377" s="13"/>
    </row>
    <row r="39378">
      <c r="L39378" s="13"/>
      <c r="M39378" s="14"/>
      <c r="N39378" s="14"/>
      <c r="O39378" s="14"/>
      <c r="P39378" s="13"/>
    </row>
    <row r="39379">
      <c r="L39379" s="13"/>
      <c r="M39379" s="14"/>
      <c r="N39379" s="14"/>
      <c r="O39379" s="14"/>
      <c r="P39379" s="13"/>
    </row>
    <row r="39380">
      <c r="L39380" s="13"/>
      <c r="M39380" s="14"/>
      <c r="N39380" s="14"/>
      <c r="O39380" s="14"/>
      <c r="P39380" s="13"/>
    </row>
    <row r="39381">
      <c r="L39381" s="13"/>
      <c r="M39381" s="14"/>
      <c r="N39381" s="14"/>
      <c r="O39381" s="14"/>
      <c r="P39381" s="13"/>
    </row>
    <row r="39382">
      <c r="L39382" s="13"/>
      <c r="M39382" s="14"/>
      <c r="N39382" s="14"/>
      <c r="O39382" s="14"/>
      <c r="P39382" s="13"/>
    </row>
    <row r="39383">
      <c r="L39383" s="13"/>
      <c r="M39383" s="14"/>
      <c r="N39383" s="14"/>
      <c r="O39383" s="14"/>
      <c r="P39383" s="13"/>
    </row>
    <row r="39384">
      <c r="L39384" s="13"/>
      <c r="M39384" s="14"/>
      <c r="N39384" s="14"/>
      <c r="O39384" s="14"/>
      <c r="P39384" s="13"/>
    </row>
    <row r="39385">
      <c r="L39385" s="13"/>
      <c r="M39385" s="14"/>
      <c r="N39385" s="14"/>
      <c r="O39385" s="14"/>
      <c r="P39385" s="13"/>
    </row>
    <row r="39386">
      <c r="L39386" s="13"/>
      <c r="M39386" s="14"/>
      <c r="N39386" s="14"/>
      <c r="O39386" s="14"/>
      <c r="P39386" s="13"/>
    </row>
    <row r="39387">
      <c r="L39387" s="13"/>
      <c r="M39387" s="14"/>
      <c r="N39387" s="14"/>
      <c r="O39387" s="14"/>
      <c r="P39387" s="13"/>
    </row>
    <row r="39388">
      <c r="L39388" s="13"/>
      <c r="M39388" s="14"/>
      <c r="N39388" s="14"/>
      <c r="O39388" s="14"/>
      <c r="P39388" s="13"/>
    </row>
    <row r="39389">
      <c r="L39389" s="13"/>
      <c r="M39389" s="14"/>
      <c r="N39389" s="14"/>
      <c r="O39389" s="14"/>
      <c r="P39389" s="13"/>
    </row>
    <row r="39390">
      <c r="L39390" s="13"/>
      <c r="M39390" s="14"/>
      <c r="N39390" s="14"/>
      <c r="O39390" s="14"/>
      <c r="P39390" s="13"/>
    </row>
    <row r="39391">
      <c r="L39391" s="13"/>
      <c r="M39391" s="14"/>
      <c r="N39391" s="14"/>
      <c r="O39391" s="14"/>
      <c r="P39391" s="13"/>
    </row>
    <row r="39392">
      <c r="L39392" s="13"/>
      <c r="M39392" s="14"/>
      <c r="N39392" s="14"/>
      <c r="O39392" s="14"/>
      <c r="P39392" s="13"/>
    </row>
    <row r="39393">
      <c r="L39393" s="13"/>
      <c r="M39393" s="14"/>
      <c r="N39393" s="14"/>
      <c r="O39393" s="14"/>
      <c r="P39393" s="13"/>
    </row>
    <row r="39394">
      <c r="L39394" s="13"/>
      <c r="M39394" s="14"/>
      <c r="N39394" s="14"/>
      <c r="O39394" s="14"/>
      <c r="P39394" s="13"/>
    </row>
    <row r="39395">
      <c r="L39395" s="13"/>
      <c r="M39395" s="14"/>
      <c r="N39395" s="14"/>
      <c r="O39395" s="14"/>
      <c r="P39395" s="13"/>
    </row>
    <row r="39396">
      <c r="L39396" s="13"/>
      <c r="M39396" s="14"/>
      <c r="N39396" s="14"/>
      <c r="O39396" s="14"/>
      <c r="P39396" s="13"/>
    </row>
    <row r="39397">
      <c r="L39397" s="13"/>
      <c r="M39397" s="14"/>
      <c r="N39397" s="14"/>
      <c r="O39397" s="14"/>
      <c r="P39397" s="13"/>
    </row>
    <row r="39398">
      <c r="L39398" s="13"/>
      <c r="M39398" s="14"/>
      <c r="N39398" s="14"/>
      <c r="O39398" s="14"/>
      <c r="P39398" s="13"/>
    </row>
    <row r="39399">
      <c r="L39399" s="13"/>
      <c r="M39399" s="14"/>
      <c r="N39399" s="14"/>
      <c r="O39399" s="14"/>
      <c r="P39399" s="13"/>
    </row>
    <row r="39400">
      <c r="L39400" s="13"/>
      <c r="M39400" s="14"/>
      <c r="N39400" s="14"/>
      <c r="O39400" s="14"/>
      <c r="P39400" s="13"/>
    </row>
    <row r="39401">
      <c r="L39401" s="13"/>
      <c r="M39401" s="14"/>
      <c r="N39401" s="14"/>
      <c r="O39401" s="14"/>
      <c r="P39401" s="13"/>
    </row>
    <row r="39402">
      <c r="L39402" s="13"/>
      <c r="M39402" s="14"/>
      <c r="N39402" s="14"/>
      <c r="O39402" s="14"/>
      <c r="P39402" s="13"/>
    </row>
    <row r="39403">
      <c r="L39403" s="13"/>
      <c r="M39403" s="14"/>
      <c r="N39403" s="14"/>
      <c r="O39403" s="14"/>
      <c r="P39403" s="13"/>
    </row>
    <row r="39404">
      <c r="L39404" s="13"/>
      <c r="M39404" s="14"/>
      <c r="N39404" s="14"/>
      <c r="O39404" s="14"/>
      <c r="P39404" s="13"/>
    </row>
    <row r="39405">
      <c r="L39405" s="13"/>
      <c r="M39405" s="14"/>
      <c r="N39405" s="14"/>
      <c r="O39405" s="14"/>
      <c r="P39405" s="13"/>
    </row>
    <row r="39406">
      <c r="L39406" s="13"/>
      <c r="M39406" s="14"/>
      <c r="N39406" s="14"/>
      <c r="O39406" s="14"/>
      <c r="P39406" s="13"/>
    </row>
    <row r="39407">
      <c r="L39407" s="13"/>
      <c r="M39407" s="14"/>
      <c r="N39407" s="14"/>
      <c r="O39407" s="14"/>
      <c r="P39407" s="13"/>
    </row>
    <row r="39408">
      <c r="L39408" s="13"/>
      <c r="M39408" s="14"/>
      <c r="N39408" s="14"/>
      <c r="O39408" s="14"/>
      <c r="P39408" s="13"/>
    </row>
    <row r="39409">
      <c r="L39409" s="13"/>
      <c r="M39409" s="14"/>
      <c r="N39409" s="14"/>
      <c r="O39409" s="14"/>
      <c r="P39409" s="13"/>
    </row>
    <row r="39410">
      <c r="L39410" s="13"/>
      <c r="M39410" s="14"/>
      <c r="N39410" s="14"/>
      <c r="O39410" s="14"/>
      <c r="P39410" s="13"/>
    </row>
    <row r="39411">
      <c r="L39411" s="13"/>
      <c r="M39411" s="14"/>
      <c r="N39411" s="14"/>
      <c r="O39411" s="14"/>
      <c r="P39411" s="13"/>
    </row>
    <row r="39412">
      <c r="L39412" s="13"/>
      <c r="M39412" s="14"/>
      <c r="N39412" s="14"/>
      <c r="O39412" s="14"/>
      <c r="P39412" s="13"/>
    </row>
    <row r="39413">
      <c r="L39413" s="13"/>
      <c r="M39413" s="14"/>
      <c r="N39413" s="14"/>
      <c r="O39413" s="14"/>
      <c r="P39413" s="13"/>
    </row>
    <row r="39414">
      <c r="L39414" s="13"/>
      <c r="M39414" s="14"/>
      <c r="N39414" s="14"/>
      <c r="O39414" s="14"/>
      <c r="P39414" s="13"/>
    </row>
    <row r="39415">
      <c r="L39415" s="13"/>
      <c r="M39415" s="14"/>
      <c r="N39415" s="14"/>
      <c r="O39415" s="14"/>
      <c r="P39415" s="13"/>
    </row>
    <row r="39416">
      <c r="L39416" s="13"/>
      <c r="M39416" s="14"/>
      <c r="N39416" s="14"/>
      <c r="O39416" s="14"/>
      <c r="P39416" s="13"/>
    </row>
    <row r="39417">
      <c r="L39417" s="13"/>
      <c r="M39417" s="14"/>
      <c r="N39417" s="14"/>
      <c r="O39417" s="14"/>
      <c r="P39417" s="13"/>
    </row>
    <row r="39418">
      <c r="L39418" s="13"/>
      <c r="M39418" s="14"/>
      <c r="N39418" s="14"/>
      <c r="O39418" s="14"/>
      <c r="P39418" s="13"/>
    </row>
    <row r="39419">
      <c r="L39419" s="13"/>
      <c r="M39419" s="14"/>
      <c r="N39419" s="14"/>
      <c r="O39419" s="14"/>
      <c r="P39419" s="13"/>
    </row>
    <row r="39420">
      <c r="L39420" s="13"/>
      <c r="M39420" s="14"/>
      <c r="N39420" s="14"/>
      <c r="O39420" s="14"/>
      <c r="P39420" s="13"/>
    </row>
    <row r="39421">
      <c r="L39421" s="13"/>
      <c r="M39421" s="14"/>
      <c r="N39421" s="14"/>
      <c r="O39421" s="14"/>
      <c r="P39421" s="13"/>
    </row>
    <row r="39422">
      <c r="L39422" s="13"/>
      <c r="M39422" s="14"/>
      <c r="N39422" s="14"/>
      <c r="O39422" s="14"/>
      <c r="P39422" s="13"/>
    </row>
    <row r="39423">
      <c r="L39423" s="13"/>
      <c r="M39423" s="14"/>
      <c r="N39423" s="14"/>
      <c r="O39423" s="14"/>
      <c r="P39423" s="13"/>
    </row>
    <row r="39424">
      <c r="L39424" s="13"/>
      <c r="M39424" s="14"/>
      <c r="N39424" s="14"/>
      <c r="O39424" s="14"/>
      <c r="P39424" s="13"/>
    </row>
    <row r="39425">
      <c r="L39425" s="13"/>
      <c r="M39425" s="14"/>
      <c r="N39425" s="14"/>
      <c r="O39425" s="14"/>
      <c r="P39425" s="13"/>
    </row>
    <row r="39426">
      <c r="L39426" s="13"/>
      <c r="M39426" s="14"/>
      <c r="N39426" s="14"/>
      <c r="O39426" s="14"/>
      <c r="P39426" s="13"/>
    </row>
    <row r="39427">
      <c r="L39427" s="13"/>
      <c r="M39427" s="14"/>
      <c r="N39427" s="14"/>
      <c r="O39427" s="14"/>
      <c r="P39427" s="13"/>
    </row>
    <row r="39428">
      <c r="L39428" s="13"/>
      <c r="M39428" s="14"/>
      <c r="N39428" s="14"/>
      <c r="O39428" s="14"/>
      <c r="P39428" s="13"/>
    </row>
    <row r="39429">
      <c r="L39429" s="13"/>
      <c r="M39429" s="14"/>
      <c r="N39429" s="14"/>
      <c r="O39429" s="14"/>
      <c r="P39429" s="13"/>
    </row>
    <row r="39430">
      <c r="L39430" s="13"/>
      <c r="M39430" s="14"/>
      <c r="N39430" s="14"/>
      <c r="O39430" s="14"/>
      <c r="P39430" s="13"/>
    </row>
    <row r="39431">
      <c r="L39431" s="13"/>
      <c r="M39431" s="14"/>
      <c r="N39431" s="14"/>
      <c r="O39431" s="14"/>
      <c r="P39431" s="13"/>
    </row>
    <row r="39432">
      <c r="L39432" s="13"/>
      <c r="M39432" s="14"/>
      <c r="N39432" s="14"/>
      <c r="O39432" s="14"/>
      <c r="P39432" s="13"/>
    </row>
    <row r="39433">
      <c r="L39433" s="13"/>
      <c r="M39433" s="14"/>
      <c r="N39433" s="14"/>
      <c r="O39433" s="14"/>
      <c r="P39433" s="13"/>
    </row>
    <row r="39434">
      <c r="L39434" s="13"/>
      <c r="M39434" s="14"/>
      <c r="N39434" s="14"/>
      <c r="O39434" s="14"/>
      <c r="P39434" s="13"/>
    </row>
    <row r="39435">
      <c r="L39435" s="13"/>
      <c r="M39435" s="14"/>
      <c r="N39435" s="14"/>
      <c r="O39435" s="14"/>
      <c r="P39435" s="13"/>
    </row>
    <row r="39436">
      <c r="L39436" s="13"/>
      <c r="M39436" s="14"/>
      <c r="N39436" s="14"/>
      <c r="O39436" s="14"/>
      <c r="P39436" s="13"/>
    </row>
    <row r="39437">
      <c r="L39437" s="13"/>
      <c r="M39437" s="14"/>
      <c r="N39437" s="14"/>
      <c r="O39437" s="14"/>
      <c r="P39437" s="13"/>
    </row>
    <row r="39438">
      <c r="L39438" s="13"/>
      <c r="M39438" s="14"/>
      <c r="N39438" s="14"/>
      <c r="O39438" s="14"/>
      <c r="P39438" s="13"/>
    </row>
    <row r="39439">
      <c r="L39439" s="13"/>
      <c r="M39439" s="14"/>
      <c r="N39439" s="14"/>
      <c r="O39439" s="14"/>
      <c r="P39439" s="13"/>
    </row>
    <row r="39440">
      <c r="L39440" s="13"/>
      <c r="M39440" s="14"/>
      <c r="N39440" s="14"/>
      <c r="O39440" s="14"/>
      <c r="P39440" s="13"/>
    </row>
    <row r="39441">
      <c r="L39441" s="13"/>
      <c r="M39441" s="14"/>
      <c r="N39441" s="14"/>
      <c r="O39441" s="14"/>
      <c r="P39441" s="13"/>
    </row>
    <row r="39442">
      <c r="L39442" s="13"/>
      <c r="M39442" s="14"/>
      <c r="N39442" s="14"/>
      <c r="O39442" s="14"/>
      <c r="P39442" s="13"/>
    </row>
    <row r="39443">
      <c r="L39443" s="13"/>
      <c r="M39443" s="14"/>
      <c r="N39443" s="14"/>
      <c r="O39443" s="14"/>
      <c r="P39443" s="13"/>
    </row>
    <row r="39444">
      <c r="L39444" s="13"/>
      <c r="M39444" s="14"/>
      <c r="N39444" s="14"/>
      <c r="O39444" s="14"/>
      <c r="P39444" s="13"/>
    </row>
    <row r="39445">
      <c r="L39445" s="13"/>
      <c r="M39445" s="14"/>
      <c r="N39445" s="14"/>
      <c r="O39445" s="14"/>
      <c r="P39445" s="13"/>
    </row>
    <row r="39446">
      <c r="L39446" s="13"/>
      <c r="M39446" s="14"/>
      <c r="N39446" s="14"/>
      <c r="O39446" s="14"/>
      <c r="P39446" s="13"/>
    </row>
    <row r="39447">
      <c r="L39447" s="13"/>
      <c r="M39447" s="14"/>
      <c r="N39447" s="14"/>
      <c r="O39447" s="14"/>
      <c r="P39447" s="13"/>
    </row>
    <row r="39448">
      <c r="L39448" s="13"/>
      <c r="M39448" s="14"/>
      <c r="N39448" s="14"/>
      <c r="O39448" s="14"/>
      <c r="P39448" s="13"/>
    </row>
    <row r="39449">
      <c r="L39449" s="13"/>
      <c r="M39449" s="14"/>
      <c r="N39449" s="14"/>
      <c r="O39449" s="14"/>
      <c r="P39449" s="13"/>
    </row>
    <row r="39450">
      <c r="L39450" s="13"/>
      <c r="M39450" s="14"/>
      <c r="N39450" s="14"/>
      <c r="O39450" s="14"/>
      <c r="P39450" s="13"/>
    </row>
    <row r="39451">
      <c r="L39451" s="13"/>
      <c r="M39451" s="14"/>
      <c r="N39451" s="14"/>
      <c r="O39451" s="14"/>
      <c r="P39451" s="13"/>
    </row>
    <row r="39452">
      <c r="L39452" s="13"/>
      <c r="M39452" s="14"/>
      <c r="N39452" s="14"/>
      <c r="O39452" s="14"/>
      <c r="P39452" s="13"/>
    </row>
    <row r="39453">
      <c r="L39453" s="13"/>
      <c r="M39453" s="14"/>
      <c r="N39453" s="14"/>
      <c r="O39453" s="14"/>
      <c r="P39453" s="13"/>
    </row>
    <row r="39454">
      <c r="L39454" s="13"/>
      <c r="M39454" s="14"/>
      <c r="N39454" s="14"/>
      <c r="O39454" s="14"/>
      <c r="P39454" s="13"/>
    </row>
    <row r="39455">
      <c r="L39455" s="13"/>
      <c r="M39455" s="14"/>
      <c r="N39455" s="14"/>
      <c r="O39455" s="14"/>
      <c r="P39455" s="13"/>
    </row>
    <row r="39456">
      <c r="L39456" s="13"/>
      <c r="M39456" s="14"/>
      <c r="N39456" s="14"/>
      <c r="O39456" s="14"/>
      <c r="P39456" s="13"/>
    </row>
    <row r="39457">
      <c r="L39457" s="13"/>
      <c r="M39457" s="14"/>
      <c r="N39457" s="14"/>
      <c r="O39457" s="14"/>
      <c r="P39457" s="13"/>
    </row>
    <row r="39458">
      <c r="L39458" s="13"/>
      <c r="M39458" s="14"/>
      <c r="N39458" s="14"/>
      <c r="O39458" s="14"/>
      <c r="P39458" s="13"/>
    </row>
    <row r="39459">
      <c r="L39459" s="13"/>
      <c r="M39459" s="14"/>
      <c r="N39459" s="14"/>
      <c r="O39459" s="14"/>
      <c r="P39459" s="13"/>
    </row>
    <row r="39460">
      <c r="L39460" s="13"/>
      <c r="M39460" s="14"/>
      <c r="N39460" s="14"/>
      <c r="O39460" s="14"/>
      <c r="P39460" s="13"/>
    </row>
    <row r="39461">
      <c r="L39461" s="13"/>
      <c r="M39461" s="14"/>
      <c r="N39461" s="14"/>
      <c r="O39461" s="14"/>
      <c r="P39461" s="13"/>
    </row>
    <row r="39462">
      <c r="L39462" s="13"/>
      <c r="M39462" s="14"/>
      <c r="N39462" s="14"/>
      <c r="O39462" s="14"/>
      <c r="P39462" s="13"/>
    </row>
    <row r="39463">
      <c r="L39463" s="13"/>
      <c r="M39463" s="14"/>
      <c r="N39463" s="14"/>
      <c r="O39463" s="14"/>
      <c r="P39463" s="13"/>
    </row>
    <row r="39464">
      <c r="L39464" s="13"/>
      <c r="M39464" s="14"/>
      <c r="N39464" s="14"/>
      <c r="O39464" s="14"/>
      <c r="P39464" s="13"/>
    </row>
    <row r="39465">
      <c r="L39465" s="13"/>
      <c r="M39465" s="14"/>
      <c r="N39465" s="14"/>
      <c r="O39465" s="14"/>
      <c r="P39465" s="13"/>
    </row>
    <row r="39466">
      <c r="L39466" s="13"/>
      <c r="M39466" s="14"/>
      <c r="N39466" s="14"/>
      <c r="O39466" s="14"/>
      <c r="P39466" s="13"/>
    </row>
    <row r="39467">
      <c r="L39467" s="13"/>
      <c r="M39467" s="14"/>
      <c r="N39467" s="14"/>
      <c r="O39467" s="14"/>
      <c r="P39467" s="13"/>
    </row>
    <row r="39468">
      <c r="L39468" s="13"/>
      <c r="M39468" s="14"/>
      <c r="N39468" s="14"/>
      <c r="O39468" s="14"/>
      <c r="P39468" s="13"/>
    </row>
    <row r="39469">
      <c r="L39469" s="13"/>
      <c r="M39469" s="14"/>
      <c r="N39469" s="14"/>
      <c r="O39469" s="14"/>
      <c r="P39469" s="13"/>
    </row>
    <row r="39470">
      <c r="L39470" s="13"/>
      <c r="M39470" s="14"/>
      <c r="N39470" s="14"/>
      <c r="O39470" s="14"/>
      <c r="P39470" s="13"/>
    </row>
    <row r="39471">
      <c r="L39471" s="13"/>
      <c r="M39471" s="14"/>
      <c r="N39471" s="14"/>
      <c r="O39471" s="14"/>
      <c r="P39471" s="13"/>
    </row>
    <row r="39472">
      <c r="L39472" s="13"/>
      <c r="M39472" s="14"/>
      <c r="N39472" s="14"/>
      <c r="O39472" s="14"/>
      <c r="P39472" s="13"/>
    </row>
    <row r="39473">
      <c r="L39473" s="13"/>
      <c r="M39473" s="14"/>
      <c r="N39473" s="14"/>
      <c r="O39473" s="14"/>
      <c r="P39473" s="13"/>
    </row>
    <row r="39474">
      <c r="L39474" s="13"/>
      <c r="M39474" s="14"/>
      <c r="N39474" s="14"/>
      <c r="O39474" s="14"/>
      <c r="P39474" s="13"/>
    </row>
    <row r="39475">
      <c r="L39475" s="13"/>
      <c r="M39475" s="14"/>
      <c r="N39475" s="14"/>
      <c r="O39475" s="14"/>
      <c r="P39475" s="13"/>
    </row>
    <row r="39476">
      <c r="L39476" s="13"/>
      <c r="M39476" s="14"/>
      <c r="N39476" s="14"/>
      <c r="O39476" s="14"/>
      <c r="P39476" s="13"/>
    </row>
    <row r="39477">
      <c r="L39477" s="13"/>
      <c r="M39477" s="14"/>
      <c r="N39477" s="14"/>
      <c r="O39477" s="14"/>
      <c r="P39477" s="13"/>
    </row>
    <row r="39478">
      <c r="L39478" s="13"/>
      <c r="M39478" s="14"/>
      <c r="N39478" s="14"/>
      <c r="O39478" s="14"/>
      <c r="P39478" s="13"/>
    </row>
    <row r="39479">
      <c r="L39479" s="13"/>
      <c r="M39479" s="14"/>
      <c r="N39479" s="14"/>
      <c r="O39479" s="14"/>
      <c r="P39479" s="13"/>
    </row>
    <row r="39480">
      <c r="L39480" s="13"/>
      <c r="M39480" s="14"/>
      <c r="N39480" s="14"/>
      <c r="O39480" s="14"/>
      <c r="P39480" s="13"/>
    </row>
    <row r="39481">
      <c r="L39481" s="13"/>
      <c r="M39481" s="14"/>
      <c r="N39481" s="14"/>
      <c r="O39481" s="14"/>
      <c r="P39481" s="13"/>
    </row>
    <row r="39482">
      <c r="L39482" s="13"/>
      <c r="M39482" s="14"/>
      <c r="N39482" s="14"/>
      <c r="O39482" s="14"/>
      <c r="P39482" s="13"/>
    </row>
    <row r="39483">
      <c r="L39483" s="13"/>
      <c r="M39483" s="14"/>
      <c r="N39483" s="14"/>
      <c r="O39483" s="14"/>
      <c r="P39483" s="13"/>
    </row>
    <row r="39484">
      <c r="L39484" s="13"/>
      <c r="M39484" s="14"/>
      <c r="N39484" s="14"/>
      <c r="O39484" s="14"/>
      <c r="P39484" s="13"/>
    </row>
    <row r="39485">
      <c r="L39485" s="13"/>
      <c r="M39485" s="14"/>
      <c r="N39485" s="14"/>
      <c r="O39485" s="14"/>
      <c r="P39485" s="13"/>
    </row>
    <row r="39486">
      <c r="L39486" s="13"/>
      <c r="M39486" s="14"/>
      <c r="N39486" s="14"/>
      <c r="O39486" s="14"/>
      <c r="P39486" s="13"/>
    </row>
    <row r="39487">
      <c r="L39487" s="13"/>
      <c r="M39487" s="14"/>
      <c r="N39487" s="14"/>
      <c r="O39487" s="14"/>
      <c r="P39487" s="13"/>
    </row>
    <row r="39488">
      <c r="L39488" s="13"/>
      <c r="M39488" s="14"/>
      <c r="N39488" s="14"/>
      <c r="O39488" s="14"/>
      <c r="P39488" s="13"/>
    </row>
    <row r="39489">
      <c r="L39489" s="13"/>
      <c r="M39489" s="14"/>
      <c r="N39489" s="14"/>
      <c r="O39489" s="14"/>
      <c r="P39489" s="13"/>
    </row>
    <row r="39490">
      <c r="L39490" s="13"/>
      <c r="M39490" s="14"/>
      <c r="N39490" s="14"/>
      <c r="O39490" s="14"/>
      <c r="P39490" s="13"/>
    </row>
    <row r="39491">
      <c r="L39491" s="13"/>
      <c r="M39491" s="14"/>
      <c r="N39491" s="14"/>
      <c r="O39491" s="14"/>
      <c r="P39491" s="13"/>
    </row>
    <row r="39492">
      <c r="L39492" s="13"/>
      <c r="M39492" s="14"/>
      <c r="N39492" s="14"/>
      <c r="O39492" s="14"/>
      <c r="P39492" s="13"/>
    </row>
    <row r="39493">
      <c r="L39493" s="13"/>
      <c r="M39493" s="14"/>
      <c r="N39493" s="14"/>
      <c r="O39493" s="14"/>
      <c r="P39493" s="13"/>
    </row>
    <row r="39494">
      <c r="L39494" s="13"/>
      <c r="M39494" s="14"/>
      <c r="N39494" s="14"/>
      <c r="O39494" s="14"/>
      <c r="P39494" s="13"/>
    </row>
    <row r="39495">
      <c r="L39495" s="13"/>
      <c r="M39495" s="14"/>
      <c r="N39495" s="14"/>
      <c r="O39495" s="14"/>
      <c r="P39495" s="13"/>
    </row>
    <row r="39496">
      <c r="L39496" s="13"/>
      <c r="M39496" s="14"/>
      <c r="N39496" s="14"/>
      <c r="O39496" s="14"/>
      <c r="P39496" s="13"/>
    </row>
    <row r="39497">
      <c r="L39497" s="13"/>
      <c r="M39497" s="14"/>
      <c r="N39497" s="14"/>
      <c r="O39497" s="14"/>
      <c r="P39497" s="13"/>
    </row>
    <row r="39498">
      <c r="L39498" s="13"/>
      <c r="M39498" s="14"/>
      <c r="N39498" s="14"/>
      <c r="O39498" s="14"/>
      <c r="P39498" s="13"/>
    </row>
    <row r="39499">
      <c r="L39499" s="13"/>
      <c r="M39499" s="14"/>
      <c r="N39499" s="14"/>
      <c r="O39499" s="14"/>
      <c r="P39499" s="13"/>
    </row>
    <row r="39500">
      <c r="L39500" s="13"/>
      <c r="M39500" s="14"/>
      <c r="N39500" s="14"/>
      <c r="O39500" s="14"/>
      <c r="P39500" s="13"/>
    </row>
    <row r="39501">
      <c r="L39501" s="13"/>
      <c r="M39501" s="14"/>
      <c r="N39501" s="14"/>
      <c r="O39501" s="14"/>
      <c r="P39501" s="13"/>
    </row>
    <row r="39502">
      <c r="L39502" s="13"/>
      <c r="M39502" s="14"/>
      <c r="N39502" s="14"/>
      <c r="O39502" s="14"/>
      <c r="P39502" s="13"/>
    </row>
    <row r="39503">
      <c r="L39503" s="13"/>
      <c r="M39503" s="14"/>
      <c r="N39503" s="14"/>
      <c r="O39503" s="14"/>
      <c r="P39503" s="13"/>
    </row>
    <row r="39504">
      <c r="L39504" s="13"/>
      <c r="M39504" s="14"/>
      <c r="N39504" s="14"/>
      <c r="O39504" s="14"/>
      <c r="P39504" s="13"/>
    </row>
    <row r="39505">
      <c r="L39505" s="13"/>
      <c r="M39505" s="14"/>
      <c r="N39505" s="14"/>
      <c r="O39505" s="14"/>
      <c r="P39505" s="13"/>
    </row>
    <row r="39506">
      <c r="L39506" s="13"/>
      <c r="M39506" s="14"/>
      <c r="N39506" s="14"/>
      <c r="O39506" s="14"/>
      <c r="P39506" s="13"/>
    </row>
    <row r="39507">
      <c r="L39507" s="13"/>
      <c r="M39507" s="14"/>
      <c r="N39507" s="14"/>
      <c r="O39507" s="14"/>
      <c r="P39507" s="13"/>
    </row>
    <row r="39508">
      <c r="L39508" s="13"/>
      <c r="M39508" s="14"/>
      <c r="N39508" s="14"/>
      <c r="O39508" s="14"/>
      <c r="P39508" s="13"/>
    </row>
    <row r="39509">
      <c r="L39509" s="13"/>
      <c r="M39509" s="14"/>
      <c r="N39509" s="14"/>
      <c r="O39509" s="14"/>
      <c r="P39509" s="13"/>
    </row>
    <row r="39510">
      <c r="L39510" s="13"/>
      <c r="M39510" s="14"/>
      <c r="N39510" s="14"/>
      <c r="O39510" s="14"/>
      <c r="P39510" s="13"/>
    </row>
    <row r="39511">
      <c r="L39511" s="13"/>
      <c r="M39511" s="14"/>
      <c r="N39511" s="14"/>
      <c r="O39511" s="14"/>
      <c r="P39511" s="13"/>
    </row>
    <row r="39512">
      <c r="L39512" s="13"/>
      <c r="M39512" s="14"/>
      <c r="N39512" s="14"/>
      <c r="O39512" s="14"/>
      <c r="P39512" s="13"/>
    </row>
    <row r="39513">
      <c r="L39513" s="13"/>
      <c r="M39513" s="14"/>
      <c r="N39513" s="14"/>
      <c r="O39513" s="14"/>
      <c r="P39513" s="13"/>
    </row>
    <row r="39514">
      <c r="L39514" s="13"/>
      <c r="M39514" s="14"/>
      <c r="N39514" s="14"/>
      <c r="O39514" s="14"/>
      <c r="P39514" s="13"/>
    </row>
    <row r="39515">
      <c r="L39515" s="13"/>
      <c r="M39515" s="14"/>
      <c r="N39515" s="14"/>
      <c r="O39515" s="14"/>
      <c r="P39515" s="13"/>
    </row>
    <row r="39516">
      <c r="L39516" s="13"/>
      <c r="M39516" s="14"/>
      <c r="N39516" s="14"/>
      <c r="O39516" s="14"/>
      <c r="P39516" s="13"/>
    </row>
    <row r="39517">
      <c r="L39517" s="13"/>
      <c r="M39517" s="14"/>
      <c r="N39517" s="14"/>
      <c r="O39517" s="14"/>
      <c r="P39517" s="13"/>
    </row>
    <row r="39518">
      <c r="L39518" s="13"/>
      <c r="M39518" s="14"/>
      <c r="N39518" s="14"/>
      <c r="O39518" s="14"/>
      <c r="P39518" s="13"/>
    </row>
    <row r="39519">
      <c r="L39519" s="13"/>
      <c r="M39519" s="14"/>
      <c r="N39519" s="14"/>
      <c r="O39519" s="14"/>
      <c r="P39519" s="13"/>
    </row>
    <row r="39520">
      <c r="L39520" s="13"/>
      <c r="M39520" s="14"/>
      <c r="N39520" s="14"/>
      <c r="O39520" s="14"/>
      <c r="P39520" s="13"/>
    </row>
    <row r="39521">
      <c r="L39521" s="13"/>
      <c r="M39521" s="14"/>
      <c r="N39521" s="14"/>
      <c r="O39521" s="14"/>
      <c r="P39521" s="13"/>
    </row>
    <row r="39522">
      <c r="L39522" s="13"/>
      <c r="M39522" s="14"/>
      <c r="N39522" s="14"/>
      <c r="O39522" s="14"/>
      <c r="P39522" s="13"/>
    </row>
    <row r="39523">
      <c r="L39523" s="13"/>
      <c r="M39523" s="14"/>
      <c r="N39523" s="14"/>
      <c r="O39523" s="14"/>
      <c r="P39523" s="13"/>
    </row>
    <row r="39524">
      <c r="L39524" s="13"/>
      <c r="M39524" s="14"/>
      <c r="N39524" s="14"/>
      <c r="O39524" s="14"/>
      <c r="P39524" s="13"/>
    </row>
    <row r="39525">
      <c r="L39525" s="13"/>
      <c r="M39525" s="14"/>
      <c r="N39525" s="14"/>
      <c r="O39525" s="14"/>
      <c r="P39525" s="13"/>
    </row>
    <row r="39526">
      <c r="L39526" s="13"/>
      <c r="M39526" s="14"/>
      <c r="N39526" s="14"/>
      <c r="O39526" s="14"/>
      <c r="P39526" s="13"/>
    </row>
    <row r="39527">
      <c r="L39527" s="13"/>
      <c r="M39527" s="14"/>
      <c r="N39527" s="14"/>
      <c r="O39527" s="14"/>
      <c r="P39527" s="13"/>
    </row>
    <row r="39528">
      <c r="L39528" s="13"/>
      <c r="M39528" s="14"/>
      <c r="N39528" s="14"/>
      <c r="O39528" s="14"/>
      <c r="P39528" s="13"/>
    </row>
    <row r="39529">
      <c r="L39529" s="13"/>
      <c r="M39529" s="14"/>
      <c r="N39529" s="14"/>
      <c r="O39529" s="14"/>
      <c r="P39529" s="13"/>
    </row>
    <row r="39530">
      <c r="L39530" s="13"/>
      <c r="M39530" s="14"/>
      <c r="N39530" s="14"/>
      <c r="O39530" s="14"/>
      <c r="P39530" s="13"/>
    </row>
    <row r="39531">
      <c r="L39531" s="13"/>
      <c r="M39531" s="14"/>
      <c r="N39531" s="14"/>
      <c r="O39531" s="14"/>
      <c r="P39531" s="13"/>
    </row>
    <row r="39532">
      <c r="L39532" s="13"/>
      <c r="M39532" s="14"/>
      <c r="N39532" s="14"/>
      <c r="O39532" s="14"/>
      <c r="P39532" s="13"/>
    </row>
    <row r="39533">
      <c r="L39533" s="13"/>
      <c r="M39533" s="14"/>
      <c r="N39533" s="14"/>
      <c r="O39533" s="14"/>
      <c r="P39533" s="13"/>
    </row>
    <row r="39534">
      <c r="L39534" s="13"/>
      <c r="M39534" s="14"/>
      <c r="N39534" s="14"/>
      <c r="O39534" s="14"/>
      <c r="P39534" s="13"/>
    </row>
    <row r="39535">
      <c r="L39535" s="13"/>
      <c r="M39535" s="14"/>
      <c r="N39535" s="14"/>
      <c r="O39535" s="14"/>
      <c r="P39535" s="13"/>
    </row>
    <row r="39536">
      <c r="L39536" s="13"/>
      <c r="M39536" s="14"/>
      <c r="N39536" s="14"/>
      <c r="O39536" s="14"/>
      <c r="P39536" s="13"/>
    </row>
    <row r="39537">
      <c r="L39537" s="13"/>
      <c r="M39537" s="14"/>
      <c r="N39537" s="14"/>
      <c r="O39537" s="14"/>
      <c r="P39537" s="13"/>
    </row>
    <row r="39538">
      <c r="L39538" s="13"/>
      <c r="M39538" s="14"/>
      <c r="N39538" s="14"/>
      <c r="O39538" s="14"/>
      <c r="P39538" s="13"/>
    </row>
    <row r="39539">
      <c r="L39539" s="13"/>
      <c r="M39539" s="14"/>
      <c r="N39539" s="14"/>
      <c r="O39539" s="14"/>
      <c r="P39539" s="13"/>
    </row>
    <row r="39540">
      <c r="L39540" s="13"/>
      <c r="M39540" s="14"/>
      <c r="N39540" s="14"/>
      <c r="O39540" s="14"/>
      <c r="P39540" s="13"/>
    </row>
    <row r="39541">
      <c r="L39541" s="13"/>
      <c r="M39541" s="14"/>
      <c r="N39541" s="14"/>
      <c r="O39541" s="14"/>
      <c r="P39541" s="13"/>
    </row>
    <row r="39542">
      <c r="L39542" s="13"/>
      <c r="M39542" s="14"/>
      <c r="N39542" s="14"/>
      <c r="O39542" s="14"/>
      <c r="P39542" s="13"/>
    </row>
    <row r="39543">
      <c r="L39543" s="13"/>
      <c r="M39543" s="14"/>
      <c r="N39543" s="14"/>
      <c r="O39543" s="14"/>
      <c r="P39543" s="13"/>
    </row>
    <row r="39544">
      <c r="L39544" s="13"/>
      <c r="M39544" s="14"/>
      <c r="N39544" s="14"/>
      <c r="O39544" s="14"/>
      <c r="P39544" s="13"/>
    </row>
    <row r="39545">
      <c r="L39545" s="13"/>
      <c r="M39545" s="14"/>
      <c r="N39545" s="14"/>
      <c r="O39545" s="14"/>
      <c r="P39545" s="13"/>
    </row>
    <row r="39546">
      <c r="L39546" s="13"/>
      <c r="M39546" s="14"/>
      <c r="N39546" s="14"/>
      <c r="O39546" s="14"/>
      <c r="P39546" s="13"/>
    </row>
    <row r="39547">
      <c r="L39547" s="13"/>
      <c r="M39547" s="14"/>
      <c r="N39547" s="14"/>
      <c r="O39547" s="14"/>
      <c r="P39547" s="13"/>
    </row>
    <row r="39548">
      <c r="L39548" s="13"/>
      <c r="M39548" s="14"/>
      <c r="N39548" s="14"/>
      <c r="O39548" s="14"/>
      <c r="P39548" s="13"/>
    </row>
    <row r="39549">
      <c r="L39549" s="13"/>
      <c r="M39549" s="14"/>
      <c r="N39549" s="14"/>
      <c r="O39549" s="14"/>
      <c r="P39549" s="13"/>
    </row>
    <row r="39550">
      <c r="L39550" s="13"/>
      <c r="M39550" s="14"/>
      <c r="N39550" s="14"/>
      <c r="O39550" s="14"/>
      <c r="P39550" s="13"/>
    </row>
    <row r="39551">
      <c r="L39551" s="13"/>
      <c r="M39551" s="14"/>
      <c r="N39551" s="14"/>
      <c r="O39551" s="14"/>
      <c r="P39551" s="13"/>
    </row>
    <row r="39552">
      <c r="L39552" s="13"/>
      <c r="M39552" s="14"/>
      <c r="N39552" s="14"/>
      <c r="O39552" s="14"/>
      <c r="P39552" s="13"/>
    </row>
    <row r="39553">
      <c r="L39553" s="13"/>
      <c r="M39553" s="14"/>
      <c r="N39553" s="14"/>
      <c r="O39553" s="14"/>
      <c r="P39553" s="13"/>
    </row>
    <row r="39554">
      <c r="L39554" s="13"/>
      <c r="M39554" s="14"/>
      <c r="N39554" s="14"/>
      <c r="O39554" s="14"/>
      <c r="P39554" s="13"/>
    </row>
    <row r="39555">
      <c r="L39555" s="13"/>
      <c r="M39555" s="14"/>
      <c r="N39555" s="14"/>
      <c r="O39555" s="14"/>
      <c r="P39555" s="13"/>
    </row>
    <row r="39556">
      <c r="L39556" s="13"/>
      <c r="M39556" s="14"/>
      <c r="N39556" s="14"/>
      <c r="O39556" s="14"/>
      <c r="P39556" s="13"/>
    </row>
    <row r="39557">
      <c r="L39557" s="13"/>
      <c r="M39557" s="14"/>
      <c r="N39557" s="14"/>
      <c r="O39557" s="14"/>
      <c r="P39557" s="13"/>
    </row>
    <row r="39558">
      <c r="L39558" s="13"/>
      <c r="M39558" s="14"/>
      <c r="N39558" s="14"/>
      <c r="O39558" s="14"/>
      <c r="P39558" s="13"/>
    </row>
    <row r="39559">
      <c r="L39559" s="13"/>
      <c r="M39559" s="14"/>
      <c r="N39559" s="14"/>
      <c r="O39559" s="14"/>
      <c r="P39559" s="13"/>
    </row>
    <row r="39560">
      <c r="L39560" s="13"/>
      <c r="M39560" s="14"/>
      <c r="N39560" s="14"/>
      <c r="O39560" s="14"/>
      <c r="P39560" s="13"/>
    </row>
    <row r="39561">
      <c r="L39561" s="13"/>
      <c r="M39561" s="14"/>
      <c r="N39561" s="14"/>
      <c r="O39561" s="14"/>
      <c r="P39561" s="13"/>
    </row>
    <row r="39562">
      <c r="L39562" s="13"/>
      <c r="M39562" s="14"/>
      <c r="N39562" s="14"/>
      <c r="O39562" s="14"/>
      <c r="P39562" s="13"/>
    </row>
    <row r="39563">
      <c r="L39563" s="13"/>
      <c r="M39563" s="14"/>
      <c r="N39563" s="14"/>
      <c r="O39563" s="14"/>
      <c r="P39563" s="13"/>
    </row>
    <row r="39564">
      <c r="L39564" s="13"/>
      <c r="M39564" s="14"/>
      <c r="N39564" s="14"/>
      <c r="O39564" s="14"/>
      <c r="P39564" s="13"/>
    </row>
    <row r="39565">
      <c r="L39565" s="13"/>
      <c r="M39565" s="14"/>
      <c r="N39565" s="14"/>
      <c r="O39565" s="14"/>
      <c r="P39565" s="13"/>
    </row>
    <row r="39566">
      <c r="L39566" s="13"/>
      <c r="M39566" s="14"/>
      <c r="N39566" s="14"/>
      <c r="O39566" s="14"/>
      <c r="P39566" s="13"/>
    </row>
    <row r="39567">
      <c r="L39567" s="13"/>
      <c r="M39567" s="14"/>
      <c r="N39567" s="14"/>
      <c r="O39567" s="14"/>
      <c r="P39567" s="13"/>
    </row>
    <row r="39568">
      <c r="L39568" s="13"/>
      <c r="M39568" s="14"/>
      <c r="N39568" s="14"/>
      <c r="O39568" s="14"/>
      <c r="P39568" s="13"/>
    </row>
    <row r="39569">
      <c r="L39569" s="13"/>
      <c r="M39569" s="14"/>
      <c r="N39569" s="14"/>
      <c r="O39569" s="14"/>
      <c r="P39569" s="13"/>
    </row>
    <row r="39570">
      <c r="L39570" s="13"/>
      <c r="M39570" s="14"/>
      <c r="N39570" s="14"/>
      <c r="O39570" s="14"/>
      <c r="P39570" s="13"/>
    </row>
    <row r="39571">
      <c r="L39571" s="13"/>
      <c r="M39571" s="14"/>
      <c r="N39571" s="14"/>
      <c r="O39571" s="14"/>
      <c r="P39571" s="13"/>
    </row>
    <row r="39572">
      <c r="L39572" s="13"/>
      <c r="M39572" s="14"/>
      <c r="N39572" s="14"/>
      <c r="O39572" s="14"/>
      <c r="P39572" s="13"/>
    </row>
    <row r="39573">
      <c r="L39573" s="13"/>
      <c r="M39573" s="14"/>
      <c r="N39573" s="14"/>
      <c r="O39573" s="14"/>
      <c r="P39573" s="13"/>
    </row>
    <row r="39574">
      <c r="L39574" s="13"/>
      <c r="M39574" s="14"/>
      <c r="N39574" s="14"/>
      <c r="O39574" s="14"/>
      <c r="P39574" s="13"/>
    </row>
    <row r="39575">
      <c r="L39575" s="13"/>
      <c r="M39575" s="14"/>
      <c r="N39575" s="14"/>
      <c r="O39575" s="14"/>
      <c r="P39575" s="13"/>
    </row>
    <row r="39576">
      <c r="L39576" s="13"/>
      <c r="M39576" s="14"/>
      <c r="N39576" s="14"/>
      <c r="O39576" s="14"/>
      <c r="P39576" s="13"/>
    </row>
    <row r="39577">
      <c r="L39577" s="13"/>
      <c r="M39577" s="14"/>
      <c r="N39577" s="14"/>
      <c r="O39577" s="14"/>
      <c r="P39577" s="13"/>
    </row>
    <row r="39578">
      <c r="L39578" s="13"/>
      <c r="M39578" s="14"/>
      <c r="N39578" s="14"/>
      <c r="O39578" s="14"/>
      <c r="P39578" s="13"/>
    </row>
    <row r="39579">
      <c r="L39579" s="13"/>
      <c r="M39579" s="14"/>
      <c r="N39579" s="14"/>
      <c r="O39579" s="14"/>
      <c r="P39579" s="13"/>
    </row>
    <row r="39580">
      <c r="L39580" s="13"/>
      <c r="M39580" s="14"/>
      <c r="N39580" s="14"/>
      <c r="O39580" s="14"/>
      <c r="P39580" s="13"/>
    </row>
    <row r="39581">
      <c r="L39581" s="13"/>
      <c r="M39581" s="14"/>
      <c r="N39581" s="14"/>
      <c r="O39581" s="14"/>
      <c r="P39581" s="13"/>
    </row>
    <row r="39582">
      <c r="L39582" s="13"/>
      <c r="M39582" s="14"/>
      <c r="N39582" s="14"/>
      <c r="O39582" s="14"/>
      <c r="P39582" s="13"/>
    </row>
    <row r="39583">
      <c r="L39583" s="13"/>
      <c r="M39583" s="14"/>
      <c r="N39583" s="14"/>
      <c r="O39583" s="14"/>
      <c r="P39583" s="13"/>
    </row>
    <row r="39584">
      <c r="L39584" s="13"/>
      <c r="M39584" s="14"/>
      <c r="N39584" s="14"/>
      <c r="O39584" s="14"/>
      <c r="P39584" s="13"/>
    </row>
    <row r="39585">
      <c r="L39585" s="13"/>
      <c r="M39585" s="14"/>
      <c r="N39585" s="14"/>
      <c r="O39585" s="14"/>
      <c r="P39585" s="13"/>
    </row>
    <row r="39586">
      <c r="L39586" s="13"/>
      <c r="M39586" s="14"/>
      <c r="N39586" s="14"/>
      <c r="O39586" s="14"/>
      <c r="P39586" s="13"/>
    </row>
    <row r="39587">
      <c r="L39587" s="13"/>
      <c r="M39587" s="14"/>
      <c r="N39587" s="14"/>
      <c r="O39587" s="14"/>
      <c r="P39587" s="13"/>
    </row>
    <row r="39588">
      <c r="L39588" s="13"/>
      <c r="M39588" s="14"/>
      <c r="N39588" s="14"/>
      <c r="O39588" s="14"/>
      <c r="P39588" s="13"/>
    </row>
    <row r="39589">
      <c r="L39589" s="13"/>
      <c r="M39589" s="14"/>
      <c r="N39589" s="14"/>
      <c r="O39589" s="14"/>
      <c r="P39589" s="13"/>
    </row>
    <row r="39590">
      <c r="L39590" s="13"/>
      <c r="M39590" s="14"/>
      <c r="N39590" s="14"/>
      <c r="O39590" s="14"/>
      <c r="P39590" s="13"/>
    </row>
    <row r="39591">
      <c r="L39591" s="13"/>
      <c r="M39591" s="14"/>
      <c r="N39591" s="14"/>
      <c r="O39591" s="14"/>
      <c r="P39591" s="13"/>
    </row>
    <row r="39592">
      <c r="L39592" s="13"/>
      <c r="M39592" s="14"/>
      <c r="N39592" s="14"/>
      <c r="O39592" s="14"/>
      <c r="P39592" s="13"/>
    </row>
    <row r="39593">
      <c r="L39593" s="13"/>
      <c r="M39593" s="14"/>
      <c r="N39593" s="14"/>
      <c r="O39593" s="14"/>
      <c r="P39593" s="13"/>
    </row>
    <row r="39594">
      <c r="L39594" s="13"/>
      <c r="M39594" s="14"/>
      <c r="N39594" s="14"/>
      <c r="O39594" s="14"/>
      <c r="P39594" s="13"/>
    </row>
    <row r="39595">
      <c r="L39595" s="13"/>
      <c r="M39595" s="14"/>
      <c r="N39595" s="14"/>
      <c r="O39595" s="14"/>
      <c r="P39595" s="13"/>
    </row>
    <row r="39596">
      <c r="L39596" s="13"/>
      <c r="M39596" s="14"/>
      <c r="N39596" s="14"/>
      <c r="O39596" s="14"/>
      <c r="P39596" s="13"/>
    </row>
    <row r="39597">
      <c r="L39597" s="13"/>
      <c r="M39597" s="14"/>
      <c r="N39597" s="14"/>
      <c r="O39597" s="14"/>
      <c r="P39597" s="13"/>
    </row>
    <row r="39598">
      <c r="L39598" s="13"/>
      <c r="M39598" s="14"/>
      <c r="N39598" s="14"/>
      <c r="O39598" s="14"/>
      <c r="P39598" s="13"/>
    </row>
    <row r="39599">
      <c r="L39599" s="13"/>
      <c r="M39599" s="14"/>
      <c r="N39599" s="14"/>
      <c r="O39599" s="14"/>
      <c r="P39599" s="13"/>
    </row>
    <row r="39600">
      <c r="L39600" s="13"/>
      <c r="M39600" s="14"/>
      <c r="N39600" s="14"/>
      <c r="O39600" s="14"/>
      <c r="P39600" s="13"/>
    </row>
    <row r="39601">
      <c r="L39601" s="13"/>
      <c r="M39601" s="14"/>
      <c r="N39601" s="14"/>
      <c r="O39601" s="14"/>
      <c r="P39601" s="13"/>
    </row>
    <row r="39602">
      <c r="L39602" s="13"/>
      <c r="M39602" s="14"/>
      <c r="N39602" s="14"/>
      <c r="O39602" s="14"/>
      <c r="P39602" s="13"/>
    </row>
    <row r="39603">
      <c r="L39603" s="13"/>
      <c r="M39603" s="14"/>
      <c r="N39603" s="14"/>
      <c r="O39603" s="14"/>
      <c r="P39603" s="13"/>
    </row>
    <row r="39604">
      <c r="L39604" s="13"/>
      <c r="M39604" s="14"/>
      <c r="N39604" s="14"/>
      <c r="O39604" s="14"/>
      <c r="P39604" s="13"/>
    </row>
    <row r="39605">
      <c r="L39605" s="13"/>
      <c r="M39605" s="14"/>
      <c r="N39605" s="14"/>
      <c r="O39605" s="14"/>
      <c r="P39605" s="13"/>
    </row>
    <row r="39606">
      <c r="L39606" s="13"/>
      <c r="M39606" s="14"/>
      <c r="N39606" s="14"/>
      <c r="O39606" s="14"/>
      <c r="P39606" s="13"/>
    </row>
    <row r="39607">
      <c r="L39607" s="13"/>
      <c r="M39607" s="14"/>
      <c r="N39607" s="14"/>
      <c r="O39607" s="14"/>
      <c r="P39607" s="13"/>
    </row>
    <row r="39608">
      <c r="L39608" s="13"/>
      <c r="M39608" s="14"/>
      <c r="N39608" s="14"/>
      <c r="O39608" s="14"/>
      <c r="P39608" s="13"/>
    </row>
    <row r="39609">
      <c r="L39609" s="13"/>
      <c r="M39609" s="14"/>
      <c r="N39609" s="14"/>
      <c r="O39609" s="14"/>
      <c r="P39609" s="13"/>
    </row>
    <row r="39610">
      <c r="L39610" s="13"/>
      <c r="M39610" s="14"/>
      <c r="N39610" s="14"/>
      <c r="O39610" s="14"/>
      <c r="P39610" s="13"/>
    </row>
    <row r="39611">
      <c r="L39611" s="13"/>
      <c r="M39611" s="14"/>
      <c r="N39611" s="14"/>
      <c r="O39611" s="14"/>
      <c r="P39611" s="13"/>
    </row>
    <row r="39612">
      <c r="L39612" s="13"/>
      <c r="M39612" s="14"/>
      <c r="N39612" s="14"/>
      <c r="O39612" s="14"/>
      <c r="P39612" s="13"/>
    </row>
    <row r="39613">
      <c r="L39613" s="13"/>
      <c r="M39613" s="14"/>
      <c r="N39613" s="14"/>
      <c r="O39613" s="14"/>
      <c r="P39613" s="13"/>
    </row>
    <row r="39614">
      <c r="L39614" s="13"/>
      <c r="M39614" s="14"/>
      <c r="N39614" s="14"/>
      <c r="O39614" s="14"/>
      <c r="P39614" s="13"/>
    </row>
    <row r="39615">
      <c r="L39615" s="13"/>
      <c r="M39615" s="14"/>
      <c r="N39615" s="14"/>
      <c r="O39615" s="14"/>
      <c r="P39615" s="13"/>
    </row>
    <row r="39616">
      <c r="L39616" s="13"/>
      <c r="M39616" s="14"/>
      <c r="N39616" s="14"/>
      <c r="O39616" s="14"/>
      <c r="P39616" s="13"/>
    </row>
    <row r="39617">
      <c r="L39617" s="13"/>
      <c r="M39617" s="14"/>
      <c r="N39617" s="14"/>
      <c r="O39617" s="14"/>
      <c r="P39617" s="13"/>
    </row>
    <row r="39618">
      <c r="L39618" s="13"/>
      <c r="M39618" s="14"/>
      <c r="N39618" s="14"/>
      <c r="O39618" s="14"/>
      <c r="P39618" s="13"/>
    </row>
    <row r="39619">
      <c r="L39619" s="13"/>
      <c r="M39619" s="14"/>
      <c r="N39619" s="14"/>
      <c r="O39619" s="14"/>
      <c r="P39619" s="13"/>
    </row>
    <row r="39620">
      <c r="L39620" s="13"/>
      <c r="M39620" s="14"/>
      <c r="N39620" s="14"/>
      <c r="O39620" s="14"/>
      <c r="P39620" s="13"/>
    </row>
    <row r="39621">
      <c r="L39621" s="13"/>
      <c r="M39621" s="14"/>
      <c r="N39621" s="14"/>
      <c r="O39621" s="14"/>
      <c r="P39621" s="13"/>
    </row>
    <row r="39622">
      <c r="L39622" s="13"/>
      <c r="M39622" s="14"/>
      <c r="N39622" s="14"/>
      <c r="O39622" s="14"/>
      <c r="P39622" s="13"/>
    </row>
    <row r="39623">
      <c r="L39623" s="13"/>
      <c r="M39623" s="14"/>
      <c r="N39623" s="14"/>
      <c r="O39623" s="14"/>
      <c r="P39623" s="13"/>
    </row>
    <row r="39624">
      <c r="L39624" s="13"/>
      <c r="M39624" s="14"/>
      <c r="N39624" s="14"/>
      <c r="O39624" s="14"/>
      <c r="P39624" s="13"/>
    </row>
    <row r="39625">
      <c r="L39625" s="13"/>
      <c r="M39625" s="14"/>
      <c r="N39625" s="14"/>
      <c r="O39625" s="14"/>
      <c r="P39625" s="13"/>
    </row>
    <row r="39626">
      <c r="L39626" s="13"/>
      <c r="M39626" s="14"/>
      <c r="N39626" s="14"/>
      <c r="O39626" s="14"/>
      <c r="P39626" s="13"/>
    </row>
    <row r="39627">
      <c r="L39627" s="13"/>
      <c r="M39627" s="14"/>
      <c r="N39627" s="14"/>
      <c r="O39627" s="14"/>
      <c r="P39627" s="13"/>
    </row>
    <row r="39628">
      <c r="L39628" s="13"/>
      <c r="M39628" s="14"/>
      <c r="N39628" s="14"/>
      <c r="O39628" s="14"/>
      <c r="P39628" s="13"/>
    </row>
    <row r="39629">
      <c r="L39629" s="13"/>
      <c r="M39629" s="14"/>
      <c r="N39629" s="14"/>
      <c r="O39629" s="14"/>
      <c r="P39629" s="13"/>
    </row>
    <row r="39630">
      <c r="L39630" s="13"/>
      <c r="M39630" s="14"/>
      <c r="N39630" s="14"/>
      <c r="O39630" s="14"/>
      <c r="P39630" s="13"/>
    </row>
    <row r="39631">
      <c r="L39631" s="13"/>
      <c r="M39631" s="14"/>
      <c r="N39631" s="14"/>
      <c r="O39631" s="14"/>
      <c r="P39631" s="13"/>
    </row>
    <row r="39632">
      <c r="L39632" s="13"/>
      <c r="M39632" s="14"/>
      <c r="N39632" s="14"/>
      <c r="O39632" s="14"/>
      <c r="P39632" s="13"/>
    </row>
    <row r="39633">
      <c r="L39633" s="13"/>
      <c r="M39633" s="14"/>
      <c r="N39633" s="14"/>
      <c r="O39633" s="14"/>
      <c r="P39633" s="13"/>
    </row>
    <row r="39634">
      <c r="L39634" s="13"/>
      <c r="M39634" s="14"/>
      <c r="N39634" s="14"/>
      <c r="O39634" s="14"/>
      <c r="P39634" s="13"/>
    </row>
    <row r="39635">
      <c r="L39635" s="13"/>
      <c r="M39635" s="14"/>
      <c r="N39635" s="14"/>
      <c r="O39635" s="14"/>
      <c r="P39635" s="13"/>
    </row>
    <row r="39636">
      <c r="L39636" s="13"/>
      <c r="M39636" s="14"/>
      <c r="N39636" s="14"/>
      <c r="O39636" s="14"/>
      <c r="P39636" s="13"/>
    </row>
    <row r="39637">
      <c r="L39637" s="13"/>
      <c r="M39637" s="14"/>
      <c r="N39637" s="14"/>
      <c r="O39637" s="14"/>
      <c r="P39637" s="13"/>
    </row>
    <row r="39638">
      <c r="L39638" s="13"/>
      <c r="M39638" s="14"/>
      <c r="N39638" s="14"/>
      <c r="O39638" s="14"/>
      <c r="P39638" s="13"/>
    </row>
    <row r="39639">
      <c r="L39639" s="13"/>
      <c r="M39639" s="14"/>
      <c r="N39639" s="14"/>
      <c r="O39639" s="14"/>
      <c r="P39639" s="13"/>
    </row>
    <row r="39640">
      <c r="L39640" s="13"/>
      <c r="M39640" s="14"/>
      <c r="N39640" s="14"/>
      <c r="O39640" s="14"/>
      <c r="P39640" s="13"/>
    </row>
    <row r="39641">
      <c r="L39641" s="13"/>
      <c r="M39641" s="14"/>
      <c r="N39641" s="14"/>
      <c r="O39641" s="14"/>
      <c r="P39641" s="13"/>
    </row>
    <row r="39642">
      <c r="L39642" s="13"/>
      <c r="M39642" s="14"/>
      <c r="N39642" s="14"/>
      <c r="O39642" s="14"/>
      <c r="P39642" s="13"/>
    </row>
    <row r="39643">
      <c r="L39643" s="13"/>
      <c r="M39643" s="14"/>
      <c r="N39643" s="14"/>
      <c r="O39643" s="14"/>
      <c r="P39643" s="13"/>
    </row>
    <row r="39644">
      <c r="L39644" s="13"/>
      <c r="M39644" s="14"/>
      <c r="N39644" s="14"/>
      <c r="O39644" s="14"/>
      <c r="P39644" s="13"/>
    </row>
    <row r="39645">
      <c r="L39645" s="13"/>
      <c r="M39645" s="14"/>
      <c r="N39645" s="14"/>
      <c r="O39645" s="14"/>
      <c r="P39645" s="13"/>
    </row>
    <row r="39646">
      <c r="L39646" s="13"/>
      <c r="M39646" s="14"/>
      <c r="N39646" s="14"/>
      <c r="O39646" s="14"/>
      <c r="P39646" s="13"/>
    </row>
    <row r="39647">
      <c r="L39647" s="13"/>
      <c r="M39647" s="14"/>
      <c r="N39647" s="14"/>
      <c r="O39647" s="14"/>
      <c r="P39647" s="13"/>
    </row>
    <row r="39648">
      <c r="L39648" s="13"/>
      <c r="M39648" s="14"/>
      <c r="N39648" s="14"/>
      <c r="O39648" s="14"/>
      <c r="P39648" s="13"/>
    </row>
    <row r="39649">
      <c r="L39649" s="13"/>
      <c r="M39649" s="14"/>
      <c r="N39649" s="14"/>
      <c r="O39649" s="14"/>
      <c r="P39649" s="13"/>
    </row>
    <row r="39650">
      <c r="L39650" s="13"/>
      <c r="M39650" s="14"/>
      <c r="N39650" s="14"/>
      <c r="O39650" s="14"/>
      <c r="P39650" s="13"/>
    </row>
    <row r="39651">
      <c r="L39651" s="13"/>
      <c r="M39651" s="14"/>
      <c r="N39651" s="14"/>
      <c r="O39651" s="14"/>
      <c r="P39651" s="13"/>
    </row>
    <row r="39652">
      <c r="L39652" s="13"/>
      <c r="M39652" s="14"/>
      <c r="N39652" s="14"/>
      <c r="O39652" s="14"/>
      <c r="P39652" s="13"/>
    </row>
    <row r="39653">
      <c r="L39653" s="13"/>
      <c r="M39653" s="14"/>
      <c r="N39653" s="14"/>
      <c r="O39653" s="14"/>
      <c r="P39653" s="13"/>
    </row>
    <row r="39654">
      <c r="L39654" s="13"/>
      <c r="M39654" s="14"/>
      <c r="N39654" s="14"/>
      <c r="O39654" s="14"/>
      <c r="P39654" s="13"/>
    </row>
    <row r="39655">
      <c r="L39655" s="13"/>
      <c r="M39655" s="14"/>
      <c r="N39655" s="14"/>
      <c r="O39655" s="14"/>
      <c r="P39655" s="13"/>
    </row>
    <row r="39656">
      <c r="L39656" s="13"/>
      <c r="M39656" s="14"/>
      <c r="N39656" s="14"/>
      <c r="O39656" s="14"/>
      <c r="P39656" s="13"/>
    </row>
    <row r="39657">
      <c r="L39657" s="13"/>
      <c r="M39657" s="14"/>
      <c r="N39657" s="14"/>
      <c r="O39657" s="14"/>
      <c r="P39657" s="13"/>
    </row>
    <row r="39658">
      <c r="L39658" s="13"/>
      <c r="M39658" s="14"/>
      <c r="N39658" s="14"/>
      <c r="O39658" s="14"/>
      <c r="P39658" s="13"/>
    </row>
    <row r="39659">
      <c r="L39659" s="13"/>
      <c r="M39659" s="14"/>
      <c r="N39659" s="14"/>
      <c r="O39659" s="14"/>
      <c r="P39659" s="13"/>
    </row>
    <row r="39660">
      <c r="L39660" s="13"/>
      <c r="M39660" s="14"/>
      <c r="N39660" s="14"/>
      <c r="O39660" s="14"/>
      <c r="P39660" s="13"/>
    </row>
    <row r="39661">
      <c r="L39661" s="13"/>
      <c r="M39661" s="14"/>
      <c r="N39661" s="14"/>
      <c r="O39661" s="14"/>
      <c r="P39661" s="13"/>
    </row>
    <row r="39662">
      <c r="L39662" s="13"/>
      <c r="M39662" s="14"/>
      <c r="N39662" s="14"/>
      <c r="O39662" s="14"/>
      <c r="P39662" s="13"/>
    </row>
    <row r="39663">
      <c r="L39663" s="13"/>
      <c r="M39663" s="14"/>
      <c r="N39663" s="14"/>
      <c r="O39663" s="14"/>
      <c r="P39663" s="13"/>
    </row>
    <row r="39664">
      <c r="L39664" s="13"/>
      <c r="M39664" s="14"/>
      <c r="N39664" s="14"/>
      <c r="O39664" s="14"/>
      <c r="P39664" s="13"/>
    </row>
    <row r="39665">
      <c r="L39665" s="13"/>
      <c r="M39665" s="14"/>
      <c r="N39665" s="14"/>
      <c r="O39665" s="14"/>
      <c r="P39665" s="13"/>
    </row>
    <row r="39666">
      <c r="L39666" s="13"/>
      <c r="M39666" s="14"/>
      <c r="N39666" s="14"/>
      <c r="O39666" s="14"/>
      <c r="P39666" s="13"/>
    </row>
    <row r="39667">
      <c r="L39667" s="13"/>
      <c r="M39667" s="14"/>
      <c r="N39667" s="14"/>
      <c r="O39667" s="14"/>
      <c r="P39667" s="13"/>
    </row>
    <row r="39668">
      <c r="L39668" s="13"/>
      <c r="M39668" s="14"/>
      <c r="N39668" s="14"/>
      <c r="O39668" s="14"/>
      <c r="P39668" s="13"/>
    </row>
    <row r="39669">
      <c r="L39669" s="13"/>
      <c r="M39669" s="14"/>
      <c r="N39669" s="14"/>
      <c r="O39669" s="14"/>
      <c r="P39669" s="13"/>
    </row>
    <row r="39670">
      <c r="L39670" s="13"/>
      <c r="M39670" s="14"/>
      <c r="N39670" s="14"/>
      <c r="O39670" s="14"/>
      <c r="P39670" s="13"/>
    </row>
    <row r="39671">
      <c r="L39671" s="13"/>
      <c r="M39671" s="14"/>
      <c r="N39671" s="14"/>
      <c r="O39671" s="14"/>
      <c r="P39671" s="13"/>
    </row>
    <row r="39672">
      <c r="L39672" s="13"/>
      <c r="M39672" s="14"/>
      <c r="N39672" s="14"/>
      <c r="O39672" s="14"/>
      <c r="P39672" s="13"/>
    </row>
    <row r="39673">
      <c r="L39673" s="13"/>
      <c r="M39673" s="14"/>
      <c r="N39673" s="14"/>
      <c r="O39673" s="14"/>
      <c r="P39673" s="13"/>
    </row>
    <row r="39674">
      <c r="L39674" s="13"/>
      <c r="M39674" s="14"/>
      <c r="N39674" s="14"/>
      <c r="O39674" s="14"/>
      <c r="P39674" s="13"/>
    </row>
    <row r="39675">
      <c r="L39675" s="13"/>
      <c r="M39675" s="14"/>
      <c r="N39675" s="14"/>
      <c r="O39675" s="14"/>
      <c r="P39675" s="13"/>
    </row>
    <row r="39676">
      <c r="L39676" s="13"/>
      <c r="M39676" s="14"/>
      <c r="N39676" s="14"/>
      <c r="O39676" s="14"/>
      <c r="P39676" s="13"/>
    </row>
    <row r="39677">
      <c r="L39677" s="13"/>
      <c r="M39677" s="14"/>
      <c r="N39677" s="14"/>
      <c r="O39677" s="14"/>
      <c r="P39677" s="13"/>
    </row>
    <row r="39678">
      <c r="L39678" s="13"/>
      <c r="M39678" s="14"/>
      <c r="N39678" s="14"/>
      <c r="O39678" s="14"/>
      <c r="P39678" s="13"/>
    </row>
    <row r="39679">
      <c r="L39679" s="13"/>
      <c r="M39679" s="14"/>
      <c r="N39679" s="14"/>
      <c r="O39679" s="14"/>
      <c r="P39679" s="13"/>
    </row>
    <row r="39680">
      <c r="L39680" s="13"/>
      <c r="M39680" s="14"/>
      <c r="N39680" s="14"/>
      <c r="O39680" s="14"/>
      <c r="P39680" s="13"/>
    </row>
    <row r="39681">
      <c r="L39681" s="13"/>
      <c r="M39681" s="14"/>
      <c r="N39681" s="14"/>
      <c r="O39681" s="14"/>
      <c r="P39681" s="13"/>
    </row>
    <row r="39682">
      <c r="L39682" s="13"/>
      <c r="M39682" s="14"/>
      <c r="N39682" s="14"/>
      <c r="O39682" s="14"/>
      <c r="P39682" s="13"/>
    </row>
    <row r="39683">
      <c r="L39683" s="13"/>
      <c r="M39683" s="14"/>
      <c r="N39683" s="14"/>
      <c r="O39683" s="14"/>
      <c r="P39683" s="13"/>
    </row>
    <row r="39684">
      <c r="L39684" s="13"/>
      <c r="M39684" s="14"/>
      <c r="N39684" s="14"/>
      <c r="O39684" s="14"/>
      <c r="P39684" s="13"/>
    </row>
    <row r="39685">
      <c r="L39685" s="13"/>
      <c r="M39685" s="14"/>
      <c r="N39685" s="14"/>
      <c r="O39685" s="14"/>
      <c r="P39685" s="13"/>
    </row>
    <row r="39686">
      <c r="L39686" s="13"/>
      <c r="M39686" s="14"/>
      <c r="N39686" s="14"/>
      <c r="O39686" s="14"/>
      <c r="P39686" s="13"/>
    </row>
    <row r="39687">
      <c r="L39687" s="13"/>
      <c r="M39687" s="14"/>
      <c r="N39687" s="14"/>
      <c r="O39687" s="14"/>
      <c r="P39687" s="13"/>
    </row>
    <row r="39688">
      <c r="L39688" s="13"/>
      <c r="M39688" s="14"/>
      <c r="N39688" s="14"/>
      <c r="O39688" s="14"/>
      <c r="P39688" s="13"/>
    </row>
    <row r="39689">
      <c r="L39689" s="13"/>
      <c r="M39689" s="14"/>
      <c r="N39689" s="14"/>
      <c r="O39689" s="14"/>
      <c r="P39689" s="13"/>
    </row>
    <row r="39690">
      <c r="L39690" s="13"/>
      <c r="M39690" s="14"/>
      <c r="N39690" s="14"/>
      <c r="O39690" s="14"/>
      <c r="P39690" s="13"/>
    </row>
    <row r="39691">
      <c r="L39691" s="13"/>
      <c r="M39691" s="14"/>
      <c r="N39691" s="14"/>
      <c r="O39691" s="14"/>
      <c r="P39691" s="13"/>
    </row>
    <row r="39692">
      <c r="L39692" s="13"/>
      <c r="M39692" s="14"/>
      <c r="N39692" s="14"/>
      <c r="O39692" s="14"/>
      <c r="P39692" s="13"/>
    </row>
    <row r="39693">
      <c r="L39693" s="13"/>
      <c r="M39693" s="14"/>
      <c r="N39693" s="14"/>
      <c r="O39693" s="14"/>
      <c r="P39693" s="13"/>
    </row>
    <row r="39694">
      <c r="L39694" s="13"/>
      <c r="M39694" s="14"/>
      <c r="N39694" s="14"/>
      <c r="O39694" s="14"/>
      <c r="P39694" s="13"/>
    </row>
    <row r="39695">
      <c r="L39695" s="13"/>
      <c r="M39695" s="14"/>
      <c r="N39695" s="14"/>
      <c r="O39695" s="14"/>
      <c r="P39695" s="13"/>
    </row>
    <row r="39696">
      <c r="L39696" s="13"/>
      <c r="M39696" s="14"/>
      <c r="N39696" s="14"/>
      <c r="O39696" s="14"/>
      <c r="P39696" s="13"/>
    </row>
    <row r="39697">
      <c r="L39697" s="13"/>
      <c r="M39697" s="14"/>
      <c r="N39697" s="14"/>
      <c r="O39697" s="14"/>
      <c r="P39697" s="13"/>
    </row>
    <row r="39698">
      <c r="L39698" s="13"/>
      <c r="M39698" s="14"/>
      <c r="N39698" s="14"/>
      <c r="O39698" s="14"/>
      <c r="P39698" s="13"/>
    </row>
    <row r="39699">
      <c r="L39699" s="13"/>
      <c r="M39699" s="14"/>
      <c r="N39699" s="14"/>
      <c r="O39699" s="14"/>
      <c r="P39699" s="13"/>
    </row>
    <row r="39700">
      <c r="L39700" s="13"/>
      <c r="M39700" s="14"/>
      <c r="N39700" s="14"/>
      <c r="O39700" s="14"/>
      <c r="P39700" s="13"/>
    </row>
    <row r="39701">
      <c r="L39701" s="13"/>
      <c r="M39701" s="14"/>
      <c r="N39701" s="14"/>
      <c r="O39701" s="14"/>
      <c r="P39701" s="13"/>
    </row>
    <row r="39702">
      <c r="L39702" s="13"/>
      <c r="M39702" s="14"/>
      <c r="N39702" s="14"/>
      <c r="O39702" s="14"/>
      <c r="P39702" s="13"/>
    </row>
    <row r="39703">
      <c r="L39703" s="13"/>
      <c r="M39703" s="14"/>
      <c r="N39703" s="14"/>
      <c r="O39703" s="14"/>
      <c r="P39703" s="13"/>
    </row>
    <row r="39704">
      <c r="L39704" s="13"/>
      <c r="M39704" s="14"/>
      <c r="N39704" s="14"/>
      <c r="O39704" s="14"/>
      <c r="P39704" s="13"/>
    </row>
    <row r="39705">
      <c r="L39705" s="13"/>
      <c r="M39705" s="14"/>
      <c r="N39705" s="14"/>
      <c r="O39705" s="14"/>
      <c r="P39705" s="13"/>
    </row>
    <row r="39706">
      <c r="L39706" s="13"/>
      <c r="M39706" s="14"/>
      <c r="N39706" s="14"/>
      <c r="O39706" s="14"/>
      <c r="P39706" s="13"/>
    </row>
    <row r="39707">
      <c r="L39707" s="13"/>
      <c r="M39707" s="14"/>
      <c r="N39707" s="14"/>
      <c r="O39707" s="14"/>
      <c r="P39707" s="13"/>
    </row>
    <row r="39708">
      <c r="L39708" s="13"/>
      <c r="M39708" s="14"/>
      <c r="N39708" s="14"/>
      <c r="O39708" s="14"/>
      <c r="P39708" s="13"/>
    </row>
    <row r="39709">
      <c r="L39709" s="13"/>
      <c r="M39709" s="14"/>
      <c r="N39709" s="14"/>
      <c r="O39709" s="14"/>
      <c r="P39709" s="13"/>
    </row>
    <row r="39710">
      <c r="L39710" s="13"/>
      <c r="M39710" s="14"/>
      <c r="N39710" s="14"/>
      <c r="O39710" s="14"/>
      <c r="P39710" s="13"/>
    </row>
    <row r="39711">
      <c r="L39711" s="13"/>
      <c r="M39711" s="14"/>
      <c r="N39711" s="14"/>
      <c r="O39711" s="14"/>
      <c r="P39711" s="13"/>
    </row>
    <row r="39712">
      <c r="L39712" s="13"/>
      <c r="M39712" s="14"/>
      <c r="N39712" s="14"/>
      <c r="O39712" s="14"/>
      <c r="P39712" s="13"/>
    </row>
    <row r="39713">
      <c r="L39713" s="13"/>
      <c r="M39713" s="14"/>
      <c r="N39713" s="14"/>
      <c r="O39713" s="14"/>
      <c r="P39713" s="13"/>
    </row>
    <row r="39714">
      <c r="L39714" s="13"/>
      <c r="M39714" s="14"/>
      <c r="N39714" s="14"/>
      <c r="O39714" s="14"/>
      <c r="P39714" s="13"/>
    </row>
    <row r="39715">
      <c r="L39715" s="13"/>
      <c r="M39715" s="14"/>
      <c r="N39715" s="14"/>
      <c r="O39715" s="14"/>
      <c r="P39715" s="13"/>
    </row>
    <row r="39716">
      <c r="L39716" s="13"/>
      <c r="M39716" s="14"/>
      <c r="N39716" s="14"/>
      <c r="O39716" s="14"/>
      <c r="P39716" s="13"/>
    </row>
    <row r="39717">
      <c r="L39717" s="13"/>
      <c r="M39717" s="14"/>
      <c r="N39717" s="14"/>
      <c r="O39717" s="14"/>
      <c r="P39717" s="13"/>
    </row>
    <row r="39718">
      <c r="L39718" s="13"/>
      <c r="M39718" s="14"/>
      <c r="N39718" s="14"/>
      <c r="O39718" s="14"/>
      <c r="P39718" s="13"/>
    </row>
    <row r="39719">
      <c r="L39719" s="13"/>
      <c r="M39719" s="14"/>
      <c r="N39719" s="14"/>
      <c r="O39719" s="14"/>
      <c r="P39719" s="13"/>
    </row>
    <row r="39720">
      <c r="L39720" s="13"/>
      <c r="M39720" s="14"/>
      <c r="N39720" s="14"/>
      <c r="O39720" s="14"/>
      <c r="P39720" s="13"/>
    </row>
    <row r="39721">
      <c r="L39721" s="13"/>
      <c r="M39721" s="14"/>
      <c r="N39721" s="14"/>
      <c r="O39721" s="14"/>
      <c r="P39721" s="13"/>
    </row>
    <row r="39722">
      <c r="L39722" s="13"/>
      <c r="M39722" s="14"/>
      <c r="N39722" s="14"/>
      <c r="O39722" s="14"/>
      <c r="P39722" s="13"/>
    </row>
    <row r="39723">
      <c r="L39723" s="13"/>
      <c r="M39723" s="14"/>
      <c r="N39723" s="14"/>
      <c r="O39723" s="14"/>
      <c r="P39723" s="13"/>
    </row>
    <row r="39724">
      <c r="L39724" s="13"/>
      <c r="M39724" s="14"/>
      <c r="N39724" s="14"/>
      <c r="O39724" s="14"/>
      <c r="P39724" s="13"/>
    </row>
    <row r="39725">
      <c r="L39725" s="13"/>
      <c r="M39725" s="14"/>
      <c r="N39725" s="14"/>
      <c r="O39725" s="14"/>
      <c r="P39725" s="13"/>
    </row>
    <row r="39726">
      <c r="L39726" s="13"/>
      <c r="M39726" s="14"/>
      <c r="N39726" s="14"/>
      <c r="O39726" s="14"/>
      <c r="P39726" s="13"/>
    </row>
    <row r="39727">
      <c r="L39727" s="13"/>
      <c r="M39727" s="14"/>
      <c r="N39727" s="14"/>
      <c r="O39727" s="14"/>
      <c r="P39727" s="13"/>
    </row>
    <row r="39728">
      <c r="L39728" s="13"/>
      <c r="M39728" s="14"/>
      <c r="N39728" s="14"/>
      <c r="O39728" s="14"/>
      <c r="P39728" s="13"/>
    </row>
    <row r="39729">
      <c r="L39729" s="13"/>
      <c r="M39729" s="14"/>
      <c r="N39729" s="14"/>
      <c r="O39729" s="14"/>
      <c r="P39729" s="13"/>
    </row>
    <row r="39730">
      <c r="L39730" s="13"/>
      <c r="M39730" s="14"/>
      <c r="N39730" s="14"/>
      <c r="O39730" s="14"/>
      <c r="P39730" s="13"/>
    </row>
    <row r="39731">
      <c r="L39731" s="13"/>
      <c r="M39731" s="14"/>
      <c r="N39731" s="14"/>
      <c r="O39731" s="14"/>
      <c r="P39731" s="13"/>
    </row>
    <row r="39732">
      <c r="L39732" s="13"/>
      <c r="M39732" s="14"/>
      <c r="N39732" s="14"/>
      <c r="O39732" s="14"/>
      <c r="P39732" s="13"/>
    </row>
    <row r="39733">
      <c r="L39733" s="13"/>
      <c r="M39733" s="14"/>
      <c r="N39733" s="14"/>
      <c r="O39733" s="14"/>
      <c r="P39733" s="13"/>
    </row>
    <row r="39734">
      <c r="L39734" s="13"/>
      <c r="M39734" s="14"/>
      <c r="N39734" s="14"/>
      <c r="O39734" s="14"/>
      <c r="P39734" s="13"/>
    </row>
    <row r="39735">
      <c r="L39735" s="13"/>
      <c r="M39735" s="14"/>
      <c r="N39735" s="14"/>
      <c r="O39735" s="14"/>
      <c r="P39735" s="13"/>
    </row>
    <row r="39736">
      <c r="L39736" s="13"/>
      <c r="M39736" s="14"/>
      <c r="N39736" s="14"/>
      <c r="O39736" s="14"/>
      <c r="P39736" s="13"/>
    </row>
    <row r="39737">
      <c r="L39737" s="13"/>
      <c r="M39737" s="14"/>
      <c r="N39737" s="14"/>
      <c r="O39737" s="14"/>
      <c r="P39737" s="13"/>
    </row>
    <row r="39738">
      <c r="L39738" s="13"/>
      <c r="M39738" s="14"/>
      <c r="N39738" s="14"/>
      <c r="O39738" s="14"/>
      <c r="P39738" s="13"/>
    </row>
    <row r="39739">
      <c r="L39739" s="13"/>
      <c r="M39739" s="14"/>
      <c r="N39739" s="14"/>
      <c r="O39739" s="14"/>
      <c r="P39739" s="13"/>
    </row>
    <row r="39740">
      <c r="L39740" s="13"/>
      <c r="M39740" s="14"/>
      <c r="N39740" s="14"/>
      <c r="O39740" s="14"/>
      <c r="P39740" s="13"/>
    </row>
    <row r="39741">
      <c r="L39741" s="13"/>
      <c r="M39741" s="14"/>
      <c r="N39741" s="14"/>
      <c r="O39741" s="14"/>
      <c r="P39741" s="13"/>
    </row>
    <row r="39742">
      <c r="L39742" s="13"/>
      <c r="M39742" s="14"/>
      <c r="N39742" s="14"/>
      <c r="O39742" s="14"/>
      <c r="P39742" s="13"/>
    </row>
    <row r="39743">
      <c r="L39743" s="13"/>
      <c r="M39743" s="14"/>
      <c r="N39743" s="14"/>
      <c r="O39743" s="14"/>
      <c r="P39743" s="13"/>
    </row>
    <row r="39744">
      <c r="L39744" s="13"/>
      <c r="M39744" s="14"/>
      <c r="N39744" s="14"/>
      <c r="O39744" s="14"/>
      <c r="P39744" s="13"/>
    </row>
    <row r="39745">
      <c r="L39745" s="13"/>
      <c r="M39745" s="14"/>
      <c r="N39745" s="14"/>
      <c r="O39745" s="14"/>
      <c r="P39745" s="13"/>
    </row>
    <row r="39746">
      <c r="L39746" s="13"/>
      <c r="M39746" s="14"/>
      <c r="N39746" s="14"/>
      <c r="O39746" s="14"/>
      <c r="P39746" s="13"/>
    </row>
    <row r="39747">
      <c r="L39747" s="13"/>
      <c r="M39747" s="14"/>
      <c r="N39747" s="14"/>
      <c r="O39747" s="14"/>
      <c r="P39747" s="13"/>
    </row>
    <row r="39748">
      <c r="L39748" s="13"/>
      <c r="M39748" s="14"/>
      <c r="N39748" s="14"/>
      <c r="O39748" s="14"/>
      <c r="P39748" s="13"/>
    </row>
    <row r="39749">
      <c r="L39749" s="13"/>
      <c r="M39749" s="14"/>
      <c r="N39749" s="14"/>
      <c r="O39749" s="14"/>
      <c r="P39749" s="13"/>
    </row>
    <row r="39750">
      <c r="L39750" s="13"/>
      <c r="M39750" s="14"/>
      <c r="N39750" s="14"/>
      <c r="O39750" s="14"/>
      <c r="P39750" s="13"/>
    </row>
    <row r="39751">
      <c r="L39751" s="13"/>
      <c r="M39751" s="14"/>
      <c r="N39751" s="14"/>
      <c r="O39751" s="14"/>
      <c r="P39751" s="13"/>
    </row>
    <row r="39752">
      <c r="L39752" s="13"/>
      <c r="M39752" s="14"/>
      <c r="N39752" s="14"/>
      <c r="O39752" s="14"/>
      <c r="P39752" s="13"/>
    </row>
    <row r="39753">
      <c r="L39753" s="13"/>
      <c r="M39753" s="14"/>
      <c r="N39753" s="14"/>
      <c r="O39753" s="14"/>
      <c r="P39753" s="13"/>
    </row>
    <row r="39754">
      <c r="L39754" s="13"/>
      <c r="M39754" s="14"/>
      <c r="N39754" s="14"/>
      <c r="O39754" s="14"/>
      <c r="P39754" s="13"/>
    </row>
    <row r="39755">
      <c r="L39755" s="13"/>
      <c r="M39755" s="14"/>
      <c r="N39755" s="14"/>
      <c r="O39755" s="14"/>
      <c r="P39755" s="13"/>
    </row>
    <row r="39756">
      <c r="L39756" s="13"/>
      <c r="M39756" s="14"/>
      <c r="N39756" s="14"/>
      <c r="O39756" s="14"/>
      <c r="P39756" s="13"/>
    </row>
    <row r="39757">
      <c r="L39757" s="13"/>
      <c r="M39757" s="14"/>
      <c r="N39757" s="14"/>
      <c r="O39757" s="14"/>
      <c r="P39757" s="13"/>
    </row>
    <row r="39758">
      <c r="L39758" s="13"/>
      <c r="M39758" s="14"/>
      <c r="N39758" s="14"/>
      <c r="O39758" s="14"/>
      <c r="P39758" s="13"/>
    </row>
    <row r="39759">
      <c r="L39759" s="13"/>
      <c r="M39759" s="14"/>
      <c r="N39759" s="14"/>
      <c r="O39759" s="14"/>
      <c r="P39759" s="13"/>
    </row>
    <row r="39760">
      <c r="L39760" s="13"/>
      <c r="M39760" s="14"/>
      <c r="N39760" s="14"/>
      <c r="O39760" s="14"/>
      <c r="P39760" s="13"/>
    </row>
    <row r="39761">
      <c r="L39761" s="13"/>
      <c r="M39761" s="14"/>
      <c r="N39761" s="14"/>
      <c r="O39761" s="14"/>
      <c r="P39761" s="13"/>
    </row>
    <row r="39762">
      <c r="L39762" s="13"/>
      <c r="M39762" s="14"/>
      <c r="N39762" s="14"/>
      <c r="O39762" s="14"/>
      <c r="P39762" s="13"/>
    </row>
    <row r="39763">
      <c r="L39763" s="13"/>
      <c r="M39763" s="14"/>
      <c r="N39763" s="14"/>
      <c r="O39763" s="14"/>
      <c r="P39763" s="13"/>
    </row>
    <row r="39764">
      <c r="L39764" s="13"/>
      <c r="M39764" s="14"/>
      <c r="N39764" s="14"/>
      <c r="O39764" s="14"/>
      <c r="P39764" s="13"/>
    </row>
    <row r="39765">
      <c r="L39765" s="13"/>
      <c r="M39765" s="14"/>
      <c r="N39765" s="14"/>
      <c r="O39765" s="14"/>
      <c r="P39765" s="13"/>
    </row>
    <row r="39766">
      <c r="L39766" s="13"/>
      <c r="M39766" s="14"/>
      <c r="N39766" s="14"/>
      <c r="O39766" s="14"/>
      <c r="P39766" s="13"/>
    </row>
    <row r="39767">
      <c r="L39767" s="13"/>
      <c r="M39767" s="14"/>
      <c r="N39767" s="14"/>
      <c r="O39767" s="14"/>
      <c r="P39767" s="13"/>
    </row>
    <row r="39768">
      <c r="L39768" s="13"/>
      <c r="M39768" s="14"/>
      <c r="N39768" s="14"/>
      <c r="O39768" s="14"/>
      <c r="P39768" s="13"/>
    </row>
    <row r="39769">
      <c r="L39769" s="13"/>
      <c r="M39769" s="14"/>
      <c r="N39769" s="14"/>
      <c r="O39769" s="14"/>
      <c r="P39769" s="13"/>
    </row>
    <row r="39770">
      <c r="L39770" s="13"/>
      <c r="M39770" s="14"/>
      <c r="N39770" s="14"/>
      <c r="O39770" s="14"/>
      <c r="P39770" s="13"/>
    </row>
    <row r="39771">
      <c r="L39771" s="13"/>
      <c r="M39771" s="14"/>
      <c r="N39771" s="14"/>
      <c r="O39771" s="14"/>
      <c r="P39771" s="13"/>
    </row>
    <row r="39772">
      <c r="L39772" s="13"/>
      <c r="M39772" s="14"/>
      <c r="N39772" s="14"/>
      <c r="O39772" s="14"/>
      <c r="P39772" s="13"/>
    </row>
    <row r="39773">
      <c r="L39773" s="13"/>
      <c r="M39773" s="14"/>
      <c r="N39773" s="14"/>
      <c r="O39773" s="14"/>
      <c r="P39773" s="13"/>
    </row>
    <row r="39774">
      <c r="L39774" s="13"/>
      <c r="M39774" s="14"/>
      <c r="N39774" s="14"/>
      <c r="O39774" s="14"/>
      <c r="P39774" s="13"/>
    </row>
    <row r="39775">
      <c r="L39775" s="13"/>
      <c r="M39775" s="14"/>
      <c r="N39775" s="14"/>
      <c r="O39775" s="14"/>
      <c r="P39775" s="13"/>
    </row>
    <row r="39776">
      <c r="L39776" s="13"/>
      <c r="M39776" s="14"/>
      <c r="N39776" s="14"/>
      <c r="O39776" s="14"/>
      <c r="P39776" s="13"/>
    </row>
    <row r="39777">
      <c r="L39777" s="13"/>
      <c r="M39777" s="14"/>
      <c r="N39777" s="14"/>
      <c r="O39777" s="14"/>
      <c r="P39777" s="13"/>
    </row>
    <row r="39778">
      <c r="L39778" s="13"/>
      <c r="M39778" s="14"/>
      <c r="N39778" s="14"/>
      <c r="O39778" s="14"/>
      <c r="P39778" s="13"/>
    </row>
    <row r="39779">
      <c r="L39779" s="13"/>
      <c r="M39779" s="14"/>
      <c r="N39779" s="14"/>
      <c r="O39779" s="14"/>
      <c r="P39779" s="13"/>
    </row>
    <row r="39780">
      <c r="L39780" s="13"/>
      <c r="M39780" s="14"/>
      <c r="N39780" s="14"/>
      <c r="O39780" s="14"/>
      <c r="P39780" s="13"/>
    </row>
    <row r="39781">
      <c r="L39781" s="13"/>
      <c r="M39781" s="14"/>
      <c r="N39781" s="14"/>
      <c r="O39781" s="14"/>
      <c r="P39781" s="13"/>
    </row>
    <row r="39782">
      <c r="L39782" s="13"/>
      <c r="M39782" s="14"/>
      <c r="N39782" s="14"/>
      <c r="O39782" s="14"/>
      <c r="P39782" s="13"/>
    </row>
    <row r="39783">
      <c r="L39783" s="13"/>
      <c r="M39783" s="14"/>
      <c r="N39783" s="14"/>
      <c r="O39783" s="14"/>
      <c r="P39783" s="13"/>
    </row>
    <row r="39784">
      <c r="L39784" s="13"/>
      <c r="M39784" s="14"/>
      <c r="N39784" s="14"/>
      <c r="O39784" s="14"/>
      <c r="P39784" s="13"/>
    </row>
    <row r="39785">
      <c r="L39785" s="13"/>
      <c r="M39785" s="14"/>
      <c r="N39785" s="14"/>
      <c r="O39785" s="14"/>
      <c r="P39785" s="13"/>
    </row>
    <row r="39786">
      <c r="L39786" s="13"/>
      <c r="M39786" s="14"/>
      <c r="N39786" s="14"/>
      <c r="O39786" s="14"/>
      <c r="P39786" s="13"/>
    </row>
    <row r="39787">
      <c r="L39787" s="13"/>
      <c r="M39787" s="14"/>
      <c r="N39787" s="14"/>
      <c r="O39787" s="14"/>
      <c r="P39787" s="13"/>
    </row>
    <row r="39788">
      <c r="L39788" s="13"/>
      <c r="M39788" s="14"/>
      <c r="N39788" s="14"/>
      <c r="O39788" s="14"/>
      <c r="P39788" s="13"/>
    </row>
    <row r="39789">
      <c r="L39789" s="13"/>
      <c r="M39789" s="14"/>
      <c r="N39789" s="14"/>
      <c r="O39789" s="14"/>
      <c r="P39789" s="13"/>
    </row>
    <row r="39790">
      <c r="L39790" s="13"/>
      <c r="M39790" s="14"/>
      <c r="N39790" s="14"/>
      <c r="O39790" s="14"/>
      <c r="P39790" s="13"/>
    </row>
    <row r="39791">
      <c r="L39791" s="13"/>
      <c r="M39791" s="14"/>
      <c r="N39791" s="14"/>
      <c r="O39791" s="14"/>
      <c r="P39791" s="13"/>
    </row>
    <row r="39792">
      <c r="L39792" s="13"/>
      <c r="M39792" s="14"/>
      <c r="N39792" s="14"/>
      <c r="O39792" s="14"/>
      <c r="P39792" s="13"/>
    </row>
    <row r="39793">
      <c r="L39793" s="13"/>
      <c r="M39793" s="14"/>
      <c r="N39793" s="14"/>
      <c r="O39793" s="14"/>
      <c r="P39793" s="13"/>
    </row>
    <row r="39794">
      <c r="L39794" s="13"/>
      <c r="M39794" s="14"/>
      <c r="N39794" s="14"/>
      <c r="O39794" s="14"/>
      <c r="P39794" s="13"/>
    </row>
    <row r="39795">
      <c r="L39795" s="13"/>
      <c r="M39795" s="14"/>
      <c r="N39795" s="14"/>
      <c r="O39795" s="14"/>
      <c r="P39795" s="13"/>
    </row>
    <row r="39796">
      <c r="L39796" s="13"/>
      <c r="M39796" s="14"/>
      <c r="N39796" s="14"/>
      <c r="O39796" s="14"/>
      <c r="P39796" s="13"/>
    </row>
    <row r="39797">
      <c r="L39797" s="13"/>
      <c r="M39797" s="14"/>
      <c r="N39797" s="14"/>
      <c r="O39797" s="14"/>
      <c r="P39797" s="13"/>
    </row>
    <row r="39798">
      <c r="L39798" s="13"/>
      <c r="M39798" s="14"/>
      <c r="N39798" s="14"/>
      <c r="O39798" s="14"/>
      <c r="P39798" s="13"/>
    </row>
    <row r="39799">
      <c r="L39799" s="13"/>
      <c r="M39799" s="14"/>
      <c r="N39799" s="14"/>
      <c r="O39799" s="14"/>
      <c r="P39799" s="13"/>
    </row>
    <row r="39800">
      <c r="L39800" s="13"/>
      <c r="M39800" s="14"/>
      <c r="N39800" s="14"/>
      <c r="O39800" s="14"/>
      <c r="P39800" s="13"/>
    </row>
    <row r="39801">
      <c r="L39801" s="13"/>
      <c r="M39801" s="14"/>
      <c r="N39801" s="14"/>
      <c r="O39801" s="14"/>
      <c r="P39801" s="13"/>
    </row>
    <row r="39802">
      <c r="L39802" s="13"/>
      <c r="M39802" s="14"/>
      <c r="N39802" s="14"/>
      <c r="O39802" s="14"/>
      <c r="P39802" s="13"/>
    </row>
    <row r="39803">
      <c r="L39803" s="13"/>
      <c r="M39803" s="14"/>
      <c r="N39803" s="14"/>
      <c r="O39803" s="14"/>
      <c r="P39803" s="13"/>
    </row>
    <row r="39804">
      <c r="L39804" s="13"/>
      <c r="M39804" s="14"/>
      <c r="N39804" s="14"/>
      <c r="O39804" s="14"/>
      <c r="P39804" s="13"/>
    </row>
    <row r="39805">
      <c r="L39805" s="13"/>
      <c r="M39805" s="14"/>
      <c r="N39805" s="14"/>
      <c r="O39805" s="14"/>
      <c r="P39805" s="13"/>
    </row>
    <row r="39806">
      <c r="L39806" s="13"/>
      <c r="M39806" s="14"/>
      <c r="N39806" s="14"/>
      <c r="O39806" s="14"/>
      <c r="P39806" s="13"/>
    </row>
    <row r="39807">
      <c r="L39807" s="13"/>
      <c r="M39807" s="14"/>
      <c r="N39807" s="14"/>
      <c r="O39807" s="14"/>
      <c r="P39807" s="13"/>
    </row>
    <row r="39808">
      <c r="L39808" s="13"/>
      <c r="M39808" s="14"/>
      <c r="N39808" s="14"/>
      <c r="O39808" s="14"/>
      <c r="P39808" s="13"/>
    </row>
    <row r="39809">
      <c r="L39809" s="13"/>
      <c r="M39809" s="14"/>
      <c r="N39809" s="14"/>
      <c r="O39809" s="14"/>
      <c r="P39809" s="13"/>
    </row>
    <row r="39810">
      <c r="L39810" s="13"/>
      <c r="M39810" s="14"/>
      <c r="N39810" s="14"/>
      <c r="O39810" s="14"/>
      <c r="P39810" s="13"/>
    </row>
    <row r="39811">
      <c r="L39811" s="13"/>
      <c r="M39811" s="14"/>
      <c r="N39811" s="14"/>
      <c r="O39811" s="14"/>
      <c r="P39811" s="13"/>
    </row>
    <row r="39812">
      <c r="L39812" s="13"/>
      <c r="M39812" s="14"/>
      <c r="N39812" s="14"/>
      <c r="O39812" s="14"/>
      <c r="P39812" s="13"/>
    </row>
    <row r="39813">
      <c r="L39813" s="13"/>
      <c r="M39813" s="14"/>
      <c r="N39813" s="14"/>
      <c r="O39813" s="14"/>
      <c r="P39813" s="13"/>
    </row>
    <row r="39814">
      <c r="L39814" s="13"/>
      <c r="M39814" s="14"/>
      <c r="N39814" s="14"/>
      <c r="O39814" s="14"/>
      <c r="P39814" s="13"/>
    </row>
    <row r="39815">
      <c r="L39815" s="13"/>
      <c r="M39815" s="14"/>
      <c r="N39815" s="14"/>
      <c r="O39815" s="14"/>
      <c r="P39815" s="13"/>
    </row>
    <row r="39816">
      <c r="L39816" s="13"/>
      <c r="M39816" s="14"/>
      <c r="N39816" s="14"/>
      <c r="O39816" s="14"/>
      <c r="P39816" s="13"/>
    </row>
    <row r="39817">
      <c r="L39817" s="13"/>
      <c r="M39817" s="14"/>
      <c r="N39817" s="14"/>
      <c r="O39817" s="14"/>
      <c r="P39817" s="13"/>
    </row>
    <row r="39818">
      <c r="L39818" s="13"/>
      <c r="M39818" s="14"/>
      <c r="N39818" s="14"/>
      <c r="O39818" s="14"/>
      <c r="P39818" s="13"/>
    </row>
    <row r="39819">
      <c r="L39819" s="13"/>
      <c r="M39819" s="14"/>
      <c r="N39819" s="14"/>
      <c r="O39819" s="14"/>
      <c r="P39819" s="13"/>
    </row>
    <row r="39820">
      <c r="L39820" s="13"/>
      <c r="M39820" s="14"/>
      <c r="N39820" s="14"/>
      <c r="O39820" s="14"/>
      <c r="P39820" s="13"/>
    </row>
    <row r="39821">
      <c r="L39821" s="13"/>
      <c r="M39821" s="14"/>
      <c r="N39821" s="14"/>
      <c r="O39821" s="14"/>
      <c r="P39821" s="13"/>
    </row>
    <row r="39822">
      <c r="L39822" s="13"/>
      <c r="M39822" s="14"/>
      <c r="N39822" s="14"/>
      <c r="O39822" s="14"/>
      <c r="P39822" s="13"/>
    </row>
    <row r="39823">
      <c r="L39823" s="13"/>
      <c r="M39823" s="14"/>
      <c r="N39823" s="14"/>
      <c r="O39823" s="14"/>
      <c r="P39823" s="13"/>
    </row>
    <row r="39824">
      <c r="L39824" s="13"/>
      <c r="M39824" s="14"/>
      <c r="N39824" s="14"/>
      <c r="O39824" s="14"/>
      <c r="P39824" s="13"/>
    </row>
    <row r="39825">
      <c r="L39825" s="13"/>
      <c r="M39825" s="14"/>
      <c r="N39825" s="14"/>
      <c r="O39825" s="14"/>
      <c r="P39825" s="13"/>
    </row>
    <row r="39826">
      <c r="L39826" s="13"/>
      <c r="M39826" s="14"/>
      <c r="N39826" s="14"/>
      <c r="O39826" s="14"/>
      <c r="P39826" s="13"/>
    </row>
    <row r="39827">
      <c r="L39827" s="13"/>
      <c r="M39827" s="14"/>
      <c r="N39827" s="14"/>
      <c r="O39827" s="14"/>
      <c r="P39827" s="13"/>
    </row>
    <row r="39828">
      <c r="L39828" s="13"/>
      <c r="M39828" s="14"/>
      <c r="N39828" s="14"/>
      <c r="O39828" s="14"/>
      <c r="P39828" s="13"/>
    </row>
    <row r="39829">
      <c r="L39829" s="13"/>
      <c r="M39829" s="14"/>
      <c r="N39829" s="14"/>
      <c r="O39829" s="14"/>
      <c r="P39829" s="13"/>
    </row>
    <row r="39830">
      <c r="L39830" s="13"/>
      <c r="M39830" s="14"/>
      <c r="N39830" s="14"/>
      <c r="O39830" s="14"/>
      <c r="P39830" s="13"/>
    </row>
    <row r="39831">
      <c r="L39831" s="13"/>
      <c r="M39831" s="14"/>
      <c r="N39831" s="14"/>
      <c r="O39831" s="14"/>
      <c r="P39831" s="13"/>
    </row>
    <row r="39832">
      <c r="L39832" s="13"/>
      <c r="M39832" s="14"/>
      <c r="N39832" s="14"/>
      <c r="O39832" s="14"/>
      <c r="P39832" s="13"/>
    </row>
    <row r="39833">
      <c r="L39833" s="13"/>
      <c r="M39833" s="14"/>
      <c r="N39833" s="14"/>
      <c r="O39833" s="14"/>
      <c r="P39833" s="13"/>
    </row>
    <row r="39834">
      <c r="L39834" s="13"/>
      <c r="M39834" s="14"/>
      <c r="N39834" s="14"/>
      <c r="O39834" s="14"/>
      <c r="P39834" s="13"/>
    </row>
    <row r="39835">
      <c r="L39835" s="13"/>
      <c r="M39835" s="14"/>
      <c r="N39835" s="14"/>
      <c r="O39835" s="14"/>
      <c r="P39835" s="13"/>
    </row>
    <row r="39836">
      <c r="L39836" s="13"/>
      <c r="M39836" s="14"/>
      <c r="N39836" s="14"/>
      <c r="O39836" s="14"/>
      <c r="P39836" s="13"/>
    </row>
    <row r="39837">
      <c r="L39837" s="13"/>
      <c r="M39837" s="14"/>
      <c r="N39837" s="14"/>
      <c r="O39837" s="14"/>
      <c r="P39837" s="13"/>
    </row>
    <row r="39838">
      <c r="L39838" s="13"/>
      <c r="M39838" s="14"/>
      <c r="N39838" s="14"/>
      <c r="O39838" s="14"/>
      <c r="P39838" s="13"/>
    </row>
    <row r="39839">
      <c r="L39839" s="13"/>
      <c r="M39839" s="14"/>
      <c r="N39839" s="14"/>
      <c r="O39839" s="14"/>
      <c r="P39839" s="13"/>
    </row>
    <row r="39840">
      <c r="L39840" s="13"/>
      <c r="M39840" s="14"/>
      <c r="N39840" s="14"/>
      <c r="O39840" s="14"/>
      <c r="P39840" s="13"/>
    </row>
    <row r="39841">
      <c r="L39841" s="13"/>
      <c r="M39841" s="14"/>
      <c r="N39841" s="14"/>
      <c r="O39841" s="14"/>
      <c r="P39841" s="13"/>
    </row>
    <row r="39842">
      <c r="L39842" s="13"/>
      <c r="M39842" s="14"/>
      <c r="N39842" s="14"/>
      <c r="O39842" s="14"/>
      <c r="P39842" s="13"/>
    </row>
    <row r="39843">
      <c r="L39843" s="13"/>
      <c r="M39843" s="14"/>
      <c r="N39843" s="14"/>
      <c r="O39843" s="14"/>
      <c r="P39843" s="13"/>
    </row>
    <row r="39844">
      <c r="L39844" s="13"/>
      <c r="M39844" s="14"/>
      <c r="N39844" s="14"/>
      <c r="O39844" s="14"/>
      <c r="P39844" s="13"/>
    </row>
    <row r="39845">
      <c r="L39845" s="13"/>
      <c r="M39845" s="14"/>
      <c r="N39845" s="14"/>
      <c r="O39845" s="14"/>
      <c r="P39845" s="13"/>
    </row>
    <row r="39846">
      <c r="L39846" s="13"/>
      <c r="M39846" s="14"/>
      <c r="N39846" s="14"/>
      <c r="O39846" s="14"/>
      <c r="P39846" s="13"/>
    </row>
    <row r="39847">
      <c r="L39847" s="13"/>
      <c r="M39847" s="14"/>
      <c r="N39847" s="14"/>
      <c r="O39847" s="14"/>
      <c r="P39847" s="13"/>
    </row>
    <row r="39848">
      <c r="L39848" s="13"/>
      <c r="M39848" s="14"/>
      <c r="N39848" s="14"/>
      <c r="O39848" s="14"/>
      <c r="P39848" s="13"/>
    </row>
    <row r="39849">
      <c r="L39849" s="13"/>
      <c r="M39849" s="14"/>
      <c r="N39849" s="14"/>
      <c r="O39849" s="14"/>
      <c r="P39849" s="13"/>
    </row>
    <row r="39850">
      <c r="L39850" s="13"/>
      <c r="M39850" s="14"/>
      <c r="N39850" s="14"/>
      <c r="O39850" s="14"/>
      <c r="P39850" s="13"/>
    </row>
    <row r="39851">
      <c r="L39851" s="13"/>
      <c r="M39851" s="14"/>
      <c r="N39851" s="14"/>
      <c r="O39851" s="14"/>
      <c r="P39851" s="13"/>
    </row>
    <row r="39852">
      <c r="L39852" s="13"/>
      <c r="M39852" s="14"/>
      <c r="N39852" s="14"/>
      <c r="O39852" s="14"/>
      <c r="P39852" s="13"/>
    </row>
    <row r="39853">
      <c r="L39853" s="13"/>
      <c r="M39853" s="14"/>
      <c r="N39853" s="14"/>
      <c r="O39853" s="14"/>
      <c r="P39853" s="13"/>
    </row>
    <row r="39854">
      <c r="L39854" s="13"/>
      <c r="M39854" s="14"/>
      <c r="N39854" s="14"/>
      <c r="O39854" s="14"/>
      <c r="P39854" s="13"/>
    </row>
    <row r="39855">
      <c r="L39855" s="13"/>
      <c r="M39855" s="14"/>
      <c r="N39855" s="14"/>
      <c r="O39855" s="14"/>
      <c r="P39855" s="13"/>
    </row>
    <row r="39856">
      <c r="L39856" s="13"/>
      <c r="M39856" s="14"/>
      <c r="N39856" s="14"/>
      <c r="O39856" s="14"/>
      <c r="P39856" s="13"/>
    </row>
    <row r="39857">
      <c r="L39857" s="13"/>
      <c r="M39857" s="14"/>
      <c r="N39857" s="14"/>
      <c r="O39857" s="14"/>
      <c r="P39857" s="13"/>
    </row>
    <row r="39858">
      <c r="L39858" s="13"/>
      <c r="M39858" s="14"/>
      <c r="N39858" s="14"/>
      <c r="O39858" s="14"/>
      <c r="P39858" s="13"/>
    </row>
    <row r="39859">
      <c r="L39859" s="13"/>
      <c r="M39859" s="14"/>
      <c r="N39859" s="14"/>
      <c r="O39859" s="14"/>
      <c r="P39859" s="13"/>
    </row>
    <row r="39860">
      <c r="L39860" s="13"/>
      <c r="M39860" s="14"/>
      <c r="N39860" s="14"/>
      <c r="O39860" s="14"/>
      <c r="P39860" s="13"/>
    </row>
    <row r="39861">
      <c r="L39861" s="13"/>
      <c r="M39861" s="14"/>
      <c r="N39861" s="14"/>
      <c r="O39861" s="14"/>
      <c r="P39861" s="13"/>
    </row>
    <row r="39862">
      <c r="L39862" s="13"/>
      <c r="M39862" s="14"/>
      <c r="N39862" s="14"/>
      <c r="O39862" s="14"/>
      <c r="P39862" s="13"/>
    </row>
    <row r="39863">
      <c r="L39863" s="13"/>
      <c r="M39863" s="14"/>
      <c r="N39863" s="14"/>
      <c r="O39863" s="14"/>
      <c r="P39863" s="13"/>
    </row>
    <row r="39864">
      <c r="L39864" s="13"/>
      <c r="M39864" s="14"/>
      <c r="N39864" s="14"/>
      <c r="O39864" s="14"/>
      <c r="P39864" s="13"/>
    </row>
    <row r="39865">
      <c r="L39865" s="13"/>
      <c r="M39865" s="14"/>
      <c r="N39865" s="14"/>
      <c r="O39865" s="14"/>
      <c r="P39865" s="13"/>
    </row>
    <row r="39866">
      <c r="L39866" s="13"/>
      <c r="M39866" s="14"/>
      <c r="N39866" s="14"/>
      <c r="O39866" s="14"/>
      <c r="P39866" s="13"/>
    </row>
    <row r="39867">
      <c r="L39867" s="13"/>
      <c r="M39867" s="14"/>
      <c r="N39867" s="14"/>
      <c r="O39867" s="14"/>
      <c r="P39867" s="13"/>
    </row>
    <row r="39868">
      <c r="L39868" s="13"/>
      <c r="M39868" s="14"/>
      <c r="N39868" s="14"/>
      <c r="O39868" s="14"/>
      <c r="P39868" s="13"/>
    </row>
    <row r="39869">
      <c r="L39869" s="13"/>
      <c r="M39869" s="14"/>
      <c r="N39869" s="14"/>
      <c r="O39869" s="14"/>
      <c r="P39869" s="13"/>
    </row>
    <row r="39870">
      <c r="L39870" s="13"/>
      <c r="M39870" s="14"/>
      <c r="N39870" s="14"/>
      <c r="O39870" s="14"/>
      <c r="P39870" s="13"/>
    </row>
    <row r="39871">
      <c r="L39871" s="13"/>
      <c r="M39871" s="14"/>
      <c r="N39871" s="14"/>
      <c r="O39871" s="14"/>
      <c r="P39871" s="13"/>
    </row>
    <row r="39872">
      <c r="L39872" s="13"/>
      <c r="M39872" s="14"/>
      <c r="N39872" s="14"/>
      <c r="O39872" s="14"/>
      <c r="P39872" s="13"/>
    </row>
    <row r="39873">
      <c r="L39873" s="13"/>
      <c r="M39873" s="14"/>
      <c r="N39873" s="14"/>
      <c r="O39873" s="14"/>
      <c r="P39873" s="13"/>
    </row>
    <row r="39874">
      <c r="L39874" s="13"/>
      <c r="M39874" s="14"/>
      <c r="N39874" s="14"/>
      <c r="O39874" s="14"/>
      <c r="P39874" s="13"/>
    </row>
    <row r="39875">
      <c r="L39875" s="13"/>
      <c r="M39875" s="14"/>
      <c r="N39875" s="14"/>
      <c r="O39875" s="14"/>
      <c r="P39875" s="13"/>
    </row>
    <row r="39876">
      <c r="L39876" s="13"/>
      <c r="M39876" s="14"/>
      <c r="N39876" s="14"/>
      <c r="O39876" s="14"/>
      <c r="P39876" s="13"/>
    </row>
    <row r="39877">
      <c r="L39877" s="13"/>
      <c r="M39877" s="14"/>
      <c r="N39877" s="14"/>
      <c r="O39877" s="14"/>
      <c r="P39877" s="13"/>
    </row>
    <row r="39878">
      <c r="L39878" s="13"/>
      <c r="M39878" s="14"/>
      <c r="N39878" s="14"/>
      <c r="O39878" s="14"/>
      <c r="P39878" s="13"/>
    </row>
    <row r="39879">
      <c r="L39879" s="13"/>
      <c r="M39879" s="14"/>
      <c r="N39879" s="14"/>
      <c r="O39879" s="14"/>
      <c r="P39879" s="13"/>
    </row>
    <row r="39880">
      <c r="L39880" s="13"/>
      <c r="M39880" s="14"/>
      <c r="N39880" s="14"/>
      <c r="O39880" s="14"/>
      <c r="P39880" s="13"/>
    </row>
    <row r="39881">
      <c r="L39881" s="13"/>
      <c r="M39881" s="14"/>
      <c r="N39881" s="14"/>
      <c r="O39881" s="14"/>
      <c r="P39881" s="13"/>
    </row>
    <row r="39882">
      <c r="L39882" s="13"/>
      <c r="M39882" s="14"/>
      <c r="N39882" s="14"/>
      <c r="O39882" s="14"/>
      <c r="P39882" s="13"/>
    </row>
    <row r="39883">
      <c r="L39883" s="13"/>
      <c r="M39883" s="14"/>
      <c r="N39883" s="14"/>
      <c r="O39883" s="14"/>
      <c r="P39883" s="13"/>
    </row>
    <row r="39884">
      <c r="L39884" s="13"/>
      <c r="M39884" s="14"/>
      <c r="N39884" s="14"/>
      <c r="O39884" s="14"/>
      <c r="P39884" s="13"/>
    </row>
    <row r="39885">
      <c r="L39885" s="13"/>
      <c r="M39885" s="14"/>
      <c r="N39885" s="14"/>
      <c r="O39885" s="14"/>
      <c r="P39885" s="13"/>
    </row>
    <row r="39886">
      <c r="L39886" s="13"/>
      <c r="M39886" s="14"/>
      <c r="N39886" s="14"/>
      <c r="O39886" s="14"/>
      <c r="P39886" s="13"/>
    </row>
    <row r="39887">
      <c r="L39887" s="13"/>
      <c r="M39887" s="14"/>
      <c r="N39887" s="14"/>
      <c r="O39887" s="14"/>
      <c r="P39887" s="13"/>
    </row>
    <row r="39888">
      <c r="L39888" s="13"/>
      <c r="M39888" s="14"/>
      <c r="N39888" s="14"/>
      <c r="O39888" s="14"/>
      <c r="P39888" s="13"/>
    </row>
    <row r="39889">
      <c r="L39889" s="13"/>
      <c r="M39889" s="14"/>
      <c r="N39889" s="14"/>
      <c r="O39889" s="14"/>
      <c r="P39889" s="13"/>
    </row>
    <row r="39890">
      <c r="L39890" s="13"/>
      <c r="M39890" s="14"/>
      <c r="N39890" s="14"/>
      <c r="O39890" s="14"/>
      <c r="P39890" s="13"/>
    </row>
    <row r="39891">
      <c r="L39891" s="13"/>
      <c r="M39891" s="14"/>
      <c r="N39891" s="14"/>
      <c r="O39891" s="14"/>
      <c r="P39891" s="13"/>
    </row>
    <row r="39892">
      <c r="L39892" s="13"/>
      <c r="M39892" s="14"/>
      <c r="N39892" s="14"/>
      <c r="O39892" s="14"/>
      <c r="P39892" s="13"/>
    </row>
    <row r="39893">
      <c r="L39893" s="13"/>
      <c r="M39893" s="14"/>
      <c r="N39893" s="14"/>
      <c r="O39893" s="14"/>
      <c r="P39893" s="13"/>
    </row>
    <row r="39894">
      <c r="L39894" s="13"/>
      <c r="M39894" s="14"/>
      <c r="N39894" s="14"/>
      <c r="O39894" s="14"/>
      <c r="P39894" s="13"/>
    </row>
    <row r="39895">
      <c r="L39895" s="13"/>
      <c r="M39895" s="14"/>
      <c r="N39895" s="14"/>
      <c r="O39895" s="14"/>
      <c r="P39895" s="13"/>
    </row>
    <row r="39896">
      <c r="L39896" s="13"/>
      <c r="M39896" s="14"/>
      <c r="N39896" s="14"/>
      <c r="O39896" s="14"/>
      <c r="P39896" s="13"/>
    </row>
    <row r="39897">
      <c r="L39897" s="13"/>
      <c r="M39897" s="14"/>
      <c r="N39897" s="14"/>
      <c r="O39897" s="14"/>
      <c r="P39897" s="13"/>
    </row>
    <row r="39898">
      <c r="L39898" s="13"/>
      <c r="M39898" s="14"/>
      <c r="N39898" s="14"/>
      <c r="O39898" s="14"/>
      <c r="P39898" s="13"/>
    </row>
    <row r="39899">
      <c r="L39899" s="13"/>
      <c r="M39899" s="14"/>
      <c r="N39899" s="14"/>
      <c r="O39899" s="14"/>
      <c r="P39899" s="13"/>
    </row>
    <row r="39900">
      <c r="L39900" s="13"/>
      <c r="M39900" s="14"/>
      <c r="N39900" s="14"/>
      <c r="O39900" s="14"/>
      <c r="P39900" s="13"/>
    </row>
    <row r="39901">
      <c r="L39901" s="13"/>
      <c r="M39901" s="14"/>
      <c r="N39901" s="14"/>
      <c r="O39901" s="14"/>
      <c r="P39901" s="13"/>
    </row>
    <row r="39902">
      <c r="L39902" s="13"/>
      <c r="M39902" s="14"/>
      <c r="N39902" s="14"/>
      <c r="O39902" s="14"/>
      <c r="P39902" s="13"/>
    </row>
    <row r="39903">
      <c r="L39903" s="13"/>
      <c r="M39903" s="14"/>
      <c r="N39903" s="14"/>
      <c r="O39903" s="14"/>
      <c r="P39903" s="13"/>
    </row>
    <row r="39904">
      <c r="L39904" s="13"/>
      <c r="M39904" s="14"/>
      <c r="N39904" s="14"/>
      <c r="O39904" s="14"/>
      <c r="P39904" s="13"/>
    </row>
    <row r="39905">
      <c r="L39905" s="13"/>
      <c r="M39905" s="14"/>
      <c r="N39905" s="14"/>
      <c r="O39905" s="14"/>
      <c r="P39905" s="13"/>
    </row>
    <row r="39906">
      <c r="L39906" s="13"/>
      <c r="M39906" s="14"/>
      <c r="N39906" s="14"/>
      <c r="O39906" s="14"/>
      <c r="P39906" s="13"/>
    </row>
    <row r="39907">
      <c r="L39907" s="13"/>
      <c r="M39907" s="14"/>
      <c r="N39907" s="14"/>
      <c r="O39907" s="14"/>
      <c r="P39907" s="13"/>
    </row>
    <row r="39908">
      <c r="L39908" s="13"/>
      <c r="M39908" s="14"/>
      <c r="N39908" s="14"/>
      <c r="O39908" s="14"/>
      <c r="P39908" s="13"/>
    </row>
    <row r="39909">
      <c r="L39909" s="13"/>
      <c r="M39909" s="14"/>
      <c r="N39909" s="14"/>
      <c r="O39909" s="14"/>
      <c r="P39909" s="13"/>
    </row>
    <row r="39910">
      <c r="L39910" s="13"/>
      <c r="M39910" s="14"/>
      <c r="N39910" s="14"/>
      <c r="O39910" s="14"/>
      <c r="P39910" s="13"/>
    </row>
    <row r="39911">
      <c r="L39911" s="13"/>
      <c r="M39911" s="14"/>
      <c r="N39911" s="14"/>
      <c r="O39911" s="14"/>
      <c r="P39911" s="13"/>
    </row>
    <row r="39912">
      <c r="L39912" s="13"/>
      <c r="M39912" s="14"/>
      <c r="N39912" s="14"/>
      <c r="O39912" s="14"/>
      <c r="P39912" s="13"/>
    </row>
    <row r="39913">
      <c r="L39913" s="13"/>
      <c r="M39913" s="14"/>
      <c r="N39913" s="14"/>
      <c r="O39913" s="14"/>
      <c r="P39913" s="13"/>
    </row>
    <row r="39914">
      <c r="L39914" s="13"/>
      <c r="M39914" s="14"/>
      <c r="N39914" s="14"/>
      <c r="O39914" s="14"/>
      <c r="P39914" s="13"/>
    </row>
    <row r="39915">
      <c r="L39915" s="13"/>
      <c r="M39915" s="14"/>
      <c r="N39915" s="14"/>
      <c r="O39915" s="14"/>
      <c r="P39915" s="13"/>
    </row>
    <row r="39916">
      <c r="L39916" s="13"/>
      <c r="M39916" s="14"/>
      <c r="N39916" s="14"/>
      <c r="O39916" s="14"/>
      <c r="P39916" s="13"/>
    </row>
    <row r="39917">
      <c r="L39917" s="13"/>
      <c r="M39917" s="14"/>
      <c r="N39917" s="14"/>
      <c r="O39917" s="14"/>
      <c r="P39917" s="13"/>
    </row>
    <row r="39918">
      <c r="L39918" s="13"/>
      <c r="M39918" s="14"/>
      <c r="N39918" s="14"/>
      <c r="O39918" s="14"/>
      <c r="P39918" s="13"/>
    </row>
    <row r="39919">
      <c r="L39919" s="13"/>
      <c r="M39919" s="14"/>
      <c r="N39919" s="14"/>
      <c r="O39919" s="14"/>
      <c r="P39919" s="13"/>
    </row>
    <row r="39920">
      <c r="L39920" s="13"/>
      <c r="M39920" s="14"/>
      <c r="N39920" s="14"/>
      <c r="O39920" s="14"/>
      <c r="P39920" s="13"/>
    </row>
    <row r="39921">
      <c r="L39921" s="13"/>
      <c r="M39921" s="14"/>
      <c r="N39921" s="14"/>
      <c r="O39921" s="14"/>
      <c r="P39921" s="13"/>
    </row>
    <row r="39922">
      <c r="L39922" s="13"/>
      <c r="M39922" s="14"/>
      <c r="N39922" s="14"/>
      <c r="O39922" s="14"/>
      <c r="P39922" s="13"/>
    </row>
    <row r="39923">
      <c r="L39923" s="13"/>
      <c r="M39923" s="14"/>
      <c r="N39923" s="14"/>
      <c r="O39923" s="14"/>
      <c r="P39923" s="13"/>
    </row>
    <row r="39924">
      <c r="L39924" s="13"/>
      <c r="M39924" s="14"/>
      <c r="N39924" s="14"/>
      <c r="O39924" s="14"/>
      <c r="P39924" s="13"/>
    </row>
    <row r="39925">
      <c r="L39925" s="13"/>
      <c r="M39925" s="14"/>
      <c r="N39925" s="14"/>
      <c r="O39925" s="14"/>
      <c r="P39925" s="13"/>
    </row>
    <row r="39926">
      <c r="L39926" s="13"/>
      <c r="M39926" s="14"/>
      <c r="N39926" s="14"/>
      <c r="O39926" s="14"/>
      <c r="P39926" s="13"/>
    </row>
    <row r="39927">
      <c r="L39927" s="13"/>
      <c r="M39927" s="14"/>
      <c r="N39927" s="14"/>
      <c r="O39927" s="14"/>
      <c r="P39927" s="13"/>
    </row>
    <row r="39928">
      <c r="L39928" s="13"/>
      <c r="M39928" s="14"/>
      <c r="N39928" s="14"/>
      <c r="O39928" s="14"/>
      <c r="P39928" s="13"/>
    </row>
    <row r="39929">
      <c r="L39929" s="13"/>
      <c r="M39929" s="14"/>
      <c r="N39929" s="14"/>
      <c r="O39929" s="14"/>
      <c r="P39929" s="13"/>
    </row>
    <row r="39930">
      <c r="L39930" s="13"/>
      <c r="M39930" s="14"/>
      <c r="N39930" s="14"/>
      <c r="O39930" s="14"/>
      <c r="P39930" s="13"/>
    </row>
    <row r="39931">
      <c r="L39931" s="13"/>
      <c r="M39931" s="14"/>
      <c r="N39931" s="14"/>
      <c r="O39931" s="14"/>
      <c r="P39931" s="13"/>
    </row>
    <row r="39932">
      <c r="L39932" s="13"/>
      <c r="M39932" s="14"/>
      <c r="N39932" s="14"/>
      <c r="O39932" s="14"/>
      <c r="P39932" s="13"/>
    </row>
    <row r="39933">
      <c r="L39933" s="13"/>
      <c r="M39933" s="14"/>
      <c r="N39933" s="14"/>
      <c r="O39933" s="14"/>
      <c r="P39933" s="13"/>
    </row>
    <row r="39934">
      <c r="L39934" s="13"/>
      <c r="M39934" s="14"/>
      <c r="N39934" s="14"/>
      <c r="O39934" s="14"/>
      <c r="P39934" s="13"/>
    </row>
    <row r="39935">
      <c r="L39935" s="13"/>
      <c r="M39935" s="14"/>
      <c r="N39935" s="14"/>
      <c r="O39935" s="14"/>
      <c r="P39935" s="13"/>
    </row>
    <row r="39936">
      <c r="L39936" s="13"/>
      <c r="M39936" s="14"/>
      <c r="N39936" s="14"/>
      <c r="O39936" s="14"/>
      <c r="P39936" s="13"/>
    </row>
    <row r="39937">
      <c r="L39937" s="13"/>
      <c r="M39937" s="14"/>
      <c r="N39937" s="14"/>
      <c r="O39937" s="14"/>
      <c r="P39937" s="13"/>
    </row>
    <row r="39938">
      <c r="L39938" s="13"/>
      <c r="M39938" s="14"/>
      <c r="N39938" s="14"/>
      <c r="O39938" s="14"/>
      <c r="P39938" s="13"/>
    </row>
    <row r="39939">
      <c r="L39939" s="13"/>
      <c r="M39939" s="14"/>
      <c r="N39939" s="14"/>
      <c r="O39939" s="14"/>
      <c r="P39939" s="13"/>
    </row>
    <row r="39940">
      <c r="L39940" s="13"/>
      <c r="M39940" s="14"/>
      <c r="N39940" s="14"/>
      <c r="O39940" s="14"/>
      <c r="P39940" s="13"/>
    </row>
    <row r="39941">
      <c r="L39941" s="13"/>
      <c r="M39941" s="14"/>
      <c r="N39941" s="14"/>
      <c r="O39941" s="14"/>
      <c r="P39941" s="13"/>
    </row>
    <row r="39942">
      <c r="L39942" s="13"/>
      <c r="M39942" s="14"/>
      <c r="N39942" s="14"/>
      <c r="O39942" s="14"/>
      <c r="P39942" s="13"/>
    </row>
    <row r="39943">
      <c r="L39943" s="13"/>
      <c r="M39943" s="14"/>
      <c r="N39943" s="14"/>
      <c r="O39943" s="14"/>
      <c r="P39943" s="13"/>
    </row>
    <row r="39944">
      <c r="L39944" s="13"/>
      <c r="M39944" s="14"/>
      <c r="N39944" s="14"/>
      <c r="O39944" s="14"/>
      <c r="P39944" s="13"/>
    </row>
    <row r="39945">
      <c r="L39945" s="13"/>
      <c r="M39945" s="14"/>
      <c r="N39945" s="14"/>
      <c r="O39945" s="14"/>
      <c r="P39945" s="13"/>
    </row>
    <row r="39946">
      <c r="L39946" s="13"/>
      <c r="M39946" s="14"/>
      <c r="N39946" s="14"/>
      <c r="O39946" s="14"/>
      <c r="P39946" s="13"/>
    </row>
    <row r="39947">
      <c r="L39947" s="13"/>
      <c r="M39947" s="14"/>
      <c r="N39947" s="14"/>
      <c r="O39947" s="14"/>
      <c r="P39947" s="13"/>
    </row>
    <row r="39948">
      <c r="L39948" s="13"/>
      <c r="M39948" s="14"/>
      <c r="N39948" s="14"/>
      <c r="O39948" s="14"/>
      <c r="P39948" s="13"/>
    </row>
    <row r="39949">
      <c r="L39949" s="13"/>
      <c r="M39949" s="14"/>
      <c r="N39949" s="14"/>
      <c r="O39949" s="14"/>
      <c r="P39949" s="13"/>
    </row>
    <row r="39950">
      <c r="L39950" s="13"/>
      <c r="M39950" s="14"/>
      <c r="N39950" s="14"/>
      <c r="O39950" s="14"/>
      <c r="P39950" s="13"/>
    </row>
    <row r="39951">
      <c r="L39951" s="13"/>
      <c r="M39951" s="14"/>
      <c r="N39951" s="14"/>
      <c r="O39951" s="14"/>
      <c r="P39951" s="13"/>
    </row>
    <row r="39952">
      <c r="L39952" s="13"/>
      <c r="M39952" s="14"/>
      <c r="N39952" s="14"/>
      <c r="O39952" s="14"/>
      <c r="P39952" s="13"/>
    </row>
    <row r="39953">
      <c r="L39953" s="13"/>
      <c r="M39953" s="14"/>
      <c r="N39953" s="14"/>
      <c r="O39953" s="14"/>
      <c r="P39953" s="13"/>
    </row>
    <row r="39954">
      <c r="L39954" s="13"/>
      <c r="M39954" s="14"/>
      <c r="N39954" s="14"/>
      <c r="O39954" s="14"/>
      <c r="P39954" s="13"/>
    </row>
    <row r="39955">
      <c r="L39955" s="13"/>
      <c r="M39955" s="14"/>
      <c r="N39955" s="14"/>
      <c r="O39955" s="14"/>
      <c r="P39955" s="13"/>
    </row>
    <row r="39956">
      <c r="L39956" s="13"/>
      <c r="M39956" s="14"/>
      <c r="N39956" s="14"/>
      <c r="O39956" s="14"/>
      <c r="P39956" s="13"/>
    </row>
    <row r="39957">
      <c r="L39957" s="13"/>
      <c r="M39957" s="14"/>
      <c r="N39957" s="14"/>
      <c r="O39957" s="14"/>
      <c r="P39957" s="13"/>
    </row>
    <row r="39958">
      <c r="L39958" s="13"/>
      <c r="M39958" s="14"/>
      <c r="N39958" s="14"/>
      <c r="O39958" s="14"/>
      <c r="P39958" s="13"/>
    </row>
    <row r="39959">
      <c r="L39959" s="13"/>
      <c r="M39959" s="14"/>
      <c r="N39959" s="14"/>
      <c r="O39959" s="14"/>
      <c r="P39959" s="13"/>
    </row>
    <row r="39960">
      <c r="L39960" s="13"/>
      <c r="M39960" s="14"/>
      <c r="N39960" s="14"/>
      <c r="O39960" s="14"/>
      <c r="P39960" s="13"/>
    </row>
    <row r="39961">
      <c r="L39961" s="13"/>
      <c r="M39961" s="14"/>
      <c r="N39961" s="14"/>
      <c r="O39961" s="14"/>
      <c r="P39961" s="13"/>
    </row>
    <row r="39962">
      <c r="L39962" s="13"/>
      <c r="M39962" s="14"/>
      <c r="N39962" s="14"/>
      <c r="O39962" s="14"/>
      <c r="P39962" s="13"/>
    </row>
    <row r="39963">
      <c r="L39963" s="13"/>
      <c r="M39963" s="14"/>
      <c r="N39963" s="14"/>
      <c r="O39963" s="14"/>
      <c r="P39963" s="13"/>
    </row>
    <row r="39964">
      <c r="L39964" s="13"/>
      <c r="M39964" s="14"/>
      <c r="N39964" s="14"/>
      <c r="O39964" s="14"/>
      <c r="P39964" s="13"/>
    </row>
    <row r="39965">
      <c r="L39965" s="13"/>
      <c r="M39965" s="14"/>
      <c r="N39965" s="14"/>
      <c r="O39965" s="14"/>
      <c r="P39965" s="13"/>
    </row>
    <row r="39966">
      <c r="L39966" s="13"/>
      <c r="M39966" s="14"/>
      <c r="N39966" s="14"/>
      <c r="O39966" s="14"/>
      <c r="P39966" s="13"/>
    </row>
    <row r="39967">
      <c r="L39967" s="13"/>
      <c r="M39967" s="14"/>
      <c r="N39967" s="14"/>
      <c r="O39967" s="14"/>
      <c r="P39967" s="13"/>
    </row>
    <row r="39968">
      <c r="L39968" s="13"/>
      <c r="M39968" s="14"/>
      <c r="N39968" s="14"/>
      <c r="O39968" s="14"/>
      <c r="P39968" s="13"/>
    </row>
    <row r="39969">
      <c r="L39969" s="13"/>
      <c r="M39969" s="14"/>
      <c r="N39969" s="14"/>
      <c r="O39969" s="14"/>
      <c r="P39969" s="13"/>
    </row>
    <row r="39970">
      <c r="L39970" s="13"/>
      <c r="M39970" s="14"/>
      <c r="N39970" s="14"/>
      <c r="O39970" s="14"/>
      <c r="P39970" s="13"/>
    </row>
    <row r="39971">
      <c r="L39971" s="13"/>
      <c r="M39971" s="14"/>
      <c r="N39971" s="14"/>
      <c r="O39971" s="14"/>
      <c r="P39971" s="13"/>
    </row>
    <row r="39972">
      <c r="L39972" s="13"/>
      <c r="M39972" s="14"/>
      <c r="N39972" s="14"/>
      <c r="O39972" s="14"/>
      <c r="P39972" s="13"/>
    </row>
    <row r="39973">
      <c r="L39973" s="13"/>
      <c r="M39973" s="14"/>
      <c r="N39973" s="14"/>
      <c r="O39973" s="14"/>
      <c r="P39973" s="13"/>
    </row>
    <row r="39974">
      <c r="L39974" s="13"/>
      <c r="M39974" s="14"/>
      <c r="N39974" s="14"/>
      <c r="O39974" s="14"/>
      <c r="P39974" s="13"/>
    </row>
    <row r="39975">
      <c r="L39975" s="13"/>
      <c r="M39975" s="14"/>
      <c r="N39975" s="14"/>
      <c r="O39975" s="14"/>
      <c r="P39975" s="13"/>
    </row>
    <row r="39976">
      <c r="L39976" s="13"/>
      <c r="M39976" s="14"/>
      <c r="N39976" s="14"/>
      <c r="O39976" s="14"/>
      <c r="P39976" s="13"/>
    </row>
    <row r="39977">
      <c r="L39977" s="13"/>
      <c r="M39977" s="14"/>
      <c r="N39977" s="14"/>
      <c r="O39977" s="14"/>
      <c r="P39977" s="13"/>
    </row>
    <row r="39978">
      <c r="L39978" s="13"/>
      <c r="M39978" s="14"/>
      <c r="N39978" s="14"/>
      <c r="O39978" s="14"/>
      <c r="P39978" s="13"/>
    </row>
    <row r="39979">
      <c r="L39979" s="13"/>
      <c r="M39979" s="14"/>
      <c r="N39979" s="14"/>
      <c r="O39979" s="14"/>
      <c r="P39979" s="13"/>
    </row>
    <row r="39980">
      <c r="L39980" s="13"/>
      <c r="M39980" s="14"/>
      <c r="N39980" s="14"/>
      <c r="O39980" s="14"/>
      <c r="P39980" s="13"/>
    </row>
    <row r="39981">
      <c r="L39981" s="13"/>
      <c r="M39981" s="14"/>
      <c r="N39981" s="14"/>
      <c r="O39981" s="14"/>
      <c r="P39981" s="13"/>
    </row>
    <row r="39982">
      <c r="L39982" s="13"/>
      <c r="M39982" s="14"/>
      <c r="N39982" s="14"/>
      <c r="O39982" s="14"/>
      <c r="P39982" s="13"/>
    </row>
    <row r="39983">
      <c r="L39983" s="13"/>
      <c r="M39983" s="14"/>
      <c r="N39983" s="14"/>
      <c r="O39983" s="14"/>
      <c r="P39983" s="13"/>
    </row>
    <row r="39984">
      <c r="L39984" s="13"/>
      <c r="M39984" s="14"/>
      <c r="N39984" s="14"/>
      <c r="O39984" s="14"/>
      <c r="P39984" s="13"/>
    </row>
    <row r="39985">
      <c r="L39985" s="13"/>
      <c r="M39985" s="14"/>
      <c r="N39985" s="14"/>
      <c r="O39985" s="14"/>
      <c r="P39985" s="13"/>
    </row>
    <row r="39986">
      <c r="L39986" s="13"/>
      <c r="M39986" s="14"/>
      <c r="N39986" s="14"/>
      <c r="O39986" s="14"/>
      <c r="P39986" s="13"/>
    </row>
    <row r="39987">
      <c r="L39987" s="13"/>
      <c r="M39987" s="14"/>
      <c r="N39987" s="14"/>
      <c r="O39987" s="14"/>
      <c r="P39987" s="13"/>
    </row>
    <row r="39988">
      <c r="L39988" s="13"/>
      <c r="M39988" s="14"/>
      <c r="N39988" s="14"/>
      <c r="O39988" s="14"/>
      <c r="P39988" s="13"/>
    </row>
    <row r="39989">
      <c r="L39989" s="13"/>
      <c r="M39989" s="14"/>
      <c r="N39989" s="14"/>
      <c r="O39989" s="14"/>
      <c r="P39989" s="13"/>
    </row>
    <row r="39990">
      <c r="L39990" s="13"/>
      <c r="M39990" s="14"/>
      <c r="N39990" s="14"/>
      <c r="O39990" s="14"/>
      <c r="P39990" s="13"/>
    </row>
    <row r="39991">
      <c r="L39991" s="13"/>
      <c r="M39991" s="14"/>
      <c r="N39991" s="14"/>
      <c r="O39991" s="14"/>
      <c r="P39991" s="13"/>
    </row>
    <row r="39992">
      <c r="L39992" s="13"/>
      <c r="M39992" s="14"/>
      <c r="N39992" s="14"/>
      <c r="O39992" s="14"/>
      <c r="P39992" s="13"/>
    </row>
    <row r="39993">
      <c r="L39993" s="13"/>
      <c r="M39993" s="14"/>
      <c r="N39993" s="14"/>
      <c r="O39993" s="14"/>
      <c r="P39993" s="13"/>
    </row>
    <row r="39994">
      <c r="L39994" s="13"/>
      <c r="M39994" s="14"/>
      <c r="N39994" s="14"/>
      <c r="O39994" s="14"/>
      <c r="P39994" s="13"/>
    </row>
    <row r="39995">
      <c r="L39995" s="13"/>
      <c r="M39995" s="14"/>
      <c r="N39995" s="14"/>
      <c r="O39995" s="14"/>
      <c r="P39995" s="13"/>
    </row>
    <row r="39996">
      <c r="L39996" s="13"/>
      <c r="M39996" s="14"/>
      <c r="N39996" s="14"/>
      <c r="O39996" s="14"/>
      <c r="P39996" s="13"/>
    </row>
    <row r="39997">
      <c r="L39997" s="13"/>
      <c r="M39997" s="14"/>
      <c r="N39997" s="14"/>
      <c r="O39997" s="14"/>
      <c r="P39997" s="13"/>
    </row>
    <row r="39998">
      <c r="L39998" s="13"/>
      <c r="M39998" s="14"/>
      <c r="N39998" s="14"/>
      <c r="O39998" s="14"/>
      <c r="P39998" s="13"/>
    </row>
    <row r="39999">
      <c r="L39999" s="13"/>
      <c r="M39999" s="14"/>
      <c r="N39999" s="14"/>
      <c r="O39999" s="14"/>
      <c r="P39999" s="13"/>
    </row>
    <row r="40000">
      <c r="L40000" s="13"/>
      <c r="M40000" s="14"/>
      <c r="N40000" s="14"/>
      <c r="O40000" s="14"/>
      <c r="P40000" s="13"/>
    </row>
    <row r="40001">
      <c r="L40001" s="13"/>
      <c r="M40001" s="14"/>
      <c r="N40001" s="14"/>
      <c r="O40001" s="14"/>
      <c r="P40001" s="13"/>
    </row>
    <row r="40002">
      <c r="L40002" s="13"/>
      <c r="M40002" s="14"/>
      <c r="N40002" s="14"/>
      <c r="O40002" s="14"/>
      <c r="P40002" s="13"/>
    </row>
    <row r="40003">
      <c r="L40003" s="13"/>
      <c r="M40003" s="14"/>
      <c r="N40003" s="14"/>
      <c r="O40003" s="14"/>
      <c r="P40003" s="13"/>
    </row>
    <row r="40004">
      <c r="L40004" s="13"/>
      <c r="M40004" s="14"/>
      <c r="N40004" s="14"/>
      <c r="O40004" s="14"/>
      <c r="P40004" s="13"/>
    </row>
    <row r="40005">
      <c r="L40005" s="13"/>
      <c r="M40005" s="14"/>
      <c r="N40005" s="14"/>
      <c r="O40005" s="14"/>
      <c r="P40005" s="13"/>
    </row>
    <row r="40006">
      <c r="L40006" s="13"/>
      <c r="M40006" s="14"/>
      <c r="N40006" s="14"/>
      <c r="O40006" s="14"/>
      <c r="P40006" s="13"/>
    </row>
    <row r="40007">
      <c r="L40007" s="13"/>
      <c r="M40007" s="14"/>
      <c r="N40007" s="14"/>
      <c r="O40007" s="14"/>
      <c r="P40007" s="13"/>
    </row>
    <row r="40008">
      <c r="L40008" s="13"/>
      <c r="M40008" s="14"/>
      <c r="N40008" s="14"/>
      <c r="O40008" s="14"/>
      <c r="P40008" s="13"/>
    </row>
    <row r="40009">
      <c r="L40009" s="13"/>
      <c r="M40009" s="14"/>
      <c r="N40009" s="14"/>
      <c r="O40009" s="14"/>
      <c r="P40009" s="13"/>
    </row>
    <row r="40010">
      <c r="L40010" s="13"/>
      <c r="M40010" s="14"/>
      <c r="N40010" s="14"/>
      <c r="O40010" s="14"/>
      <c r="P40010" s="13"/>
    </row>
    <row r="40011">
      <c r="L40011" s="13"/>
      <c r="M40011" s="14"/>
      <c r="N40011" s="14"/>
      <c r="O40011" s="14"/>
      <c r="P40011" s="13"/>
    </row>
    <row r="40012">
      <c r="L40012" s="13"/>
      <c r="M40012" s="14"/>
      <c r="N40012" s="14"/>
      <c r="O40012" s="14"/>
      <c r="P40012" s="13"/>
    </row>
    <row r="40013">
      <c r="L40013" s="13"/>
      <c r="M40013" s="14"/>
      <c r="N40013" s="14"/>
      <c r="O40013" s="14"/>
      <c r="P40013" s="13"/>
    </row>
    <row r="40014">
      <c r="L40014" s="13"/>
      <c r="M40014" s="14"/>
      <c r="N40014" s="14"/>
      <c r="O40014" s="14"/>
      <c r="P40014" s="13"/>
    </row>
    <row r="40015">
      <c r="L40015" s="13"/>
      <c r="M40015" s="14"/>
      <c r="N40015" s="14"/>
      <c r="O40015" s="14"/>
      <c r="P40015" s="13"/>
    </row>
    <row r="40016">
      <c r="L40016" s="13"/>
      <c r="M40016" s="14"/>
      <c r="N40016" s="14"/>
      <c r="O40016" s="14"/>
      <c r="P40016" s="13"/>
    </row>
    <row r="40017">
      <c r="L40017" s="13"/>
      <c r="M40017" s="14"/>
      <c r="N40017" s="14"/>
      <c r="O40017" s="14"/>
      <c r="P40017" s="13"/>
    </row>
    <row r="40018">
      <c r="L40018" s="13"/>
      <c r="M40018" s="14"/>
      <c r="N40018" s="14"/>
      <c r="O40018" s="14"/>
      <c r="P40018" s="13"/>
    </row>
    <row r="40019">
      <c r="L40019" s="13"/>
      <c r="M40019" s="14"/>
      <c r="N40019" s="14"/>
      <c r="O40019" s="14"/>
      <c r="P40019" s="13"/>
    </row>
    <row r="40020">
      <c r="L40020" s="13"/>
      <c r="M40020" s="14"/>
      <c r="N40020" s="14"/>
      <c r="O40020" s="14"/>
      <c r="P40020" s="13"/>
    </row>
    <row r="40021">
      <c r="L40021" s="13"/>
      <c r="M40021" s="14"/>
      <c r="N40021" s="14"/>
      <c r="O40021" s="14"/>
      <c r="P40021" s="13"/>
    </row>
    <row r="40022">
      <c r="L40022" s="13"/>
      <c r="M40022" s="14"/>
      <c r="N40022" s="14"/>
      <c r="O40022" s="14"/>
      <c r="P40022" s="13"/>
    </row>
    <row r="40023">
      <c r="L40023" s="13"/>
      <c r="M40023" s="14"/>
      <c r="N40023" s="14"/>
      <c r="O40023" s="14"/>
      <c r="P40023" s="13"/>
    </row>
    <row r="40024">
      <c r="L40024" s="13"/>
      <c r="M40024" s="14"/>
      <c r="N40024" s="14"/>
      <c r="O40024" s="14"/>
      <c r="P40024" s="13"/>
    </row>
    <row r="40025">
      <c r="L40025" s="13"/>
      <c r="M40025" s="14"/>
      <c r="N40025" s="14"/>
      <c r="O40025" s="14"/>
      <c r="P40025" s="13"/>
    </row>
    <row r="40026">
      <c r="L40026" s="13"/>
      <c r="M40026" s="14"/>
      <c r="N40026" s="14"/>
      <c r="O40026" s="14"/>
      <c r="P40026" s="13"/>
    </row>
    <row r="40027">
      <c r="L40027" s="13"/>
      <c r="M40027" s="14"/>
      <c r="N40027" s="14"/>
      <c r="O40027" s="14"/>
      <c r="P40027" s="13"/>
    </row>
    <row r="40028">
      <c r="L40028" s="13"/>
      <c r="M40028" s="14"/>
      <c r="N40028" s="14"/>
      <c r="O40028" s="14"/>
      <c r="P40028" s="13"/>
    </row>
    <row r="40029">
      <c r="L40029" s="13"/>
      <c r="M40029" s="14"/>
      <c r="N40029" s="14"/>
      <c r="O40029" s="14"/>
      <c r="P40029" s="13"/>
    </row>
    <row r="40030">
      <c r="L40030" s="13"/>
      <c r="M40030" s="14"/>
      <c r="N40030" s="14"/>
      <c r="O40030" s="14"/>
      <c r="P40030" s="13"/>
    </row>
    <row r="40031">
      <c r="L40031" s="13"/>
      <c r="M40031" s="14"/>
      <c r="N40031" s="14"/>
      <c r="O40031" s="14"/>
      <c r="P40031" s="13"/>
    </row>
    <row r="40032">
      <c r="L40032" s="13"/>
      <c r="M40032" s="14"/>
      <c r="N40032" s="14"/>
      <c r="O40032" s="14"/>
      <c r="P40032" s="13"/>
    </row>
    <row r="40033">
      <c r="L40033" s="13"/>
      <c r="M40033" s="14"/>
      <c r="N40033" s="14"/>
      <c r="O40033" s="14"/>
      <c r="P40033" s="13"/>
    </row>
    <row r="40034">
      <c r="L40034" s="13"/>
      <c r="M40034" s="14"/>
      <c r="N40034" s="14"/>
      <c r="O40034" s="14"/>
      <c r="P40034" s="13"/>
    </row>
    <row r="40035">
      <c r="L40035" s="13"/>
      <c r="M40035" s="14"/>
      <c r="N40035" s="14"/>
      <c r="O40035" s="14"/>
      <c r="P40035" s="13"/>
    </row>
    <row r="40036">
      <c r="L40036" s="13"/>
      <c r="M40036" s="14"/>
      <c r="N40036" s="14"/>
      <c r="O40036" s="14"/>
      <c r="P40036" s="13"/>
    </row>
    <row r="40037">
      <c r="L40037" s="13"/>
      <c r="M40037" s="14"/>
      <c r="N40037" s="14"/>
      <c r="O40037" s="14"/>
      <c r="P40037" s="13"/>
    </row>
    <row r="40038">
      <c r="L40038" s="13"/>
      <c r="M40038" s="14"/>
      <c r="N40038" s="14"/>
      <c r="O40038" s="14"/>
      <c r="P40038" s="13"/>
    </row>
    <row r="40039">
      <c r="L40039" s="13"/>
      <c r="M40039" s="14"/>
      <c r="N40039" s="14"/>
      <c r="O40039" s="14"/>
      <c r="P40039" s="13"/>
    </row>
    <row r="40040">
      <c r="L40040" s="13"/>
      <c r="M40040" s="14"/>
      <c r="N40040" s="14"/>
      <c r="O40040" s="14"/>
      <c r="P40040" s="13"/>
    </row>
    <row r="40041">
      <c r="L40041" s="13"/>
      <c r="M40041" s="14"/>
      <c r="N40041" s="14"/>
      <c r="O40041" s="14"/>
      <c r="P40041" s="13"/>
    </row>
    <row r="40042">
      <c r="L40042" s="13"/>
      <c r="M40042" s="14"/>
      <c r="N40042" s="14"/>
      <c r="O40042" s="14"/>
      <c r="P40042" s="13"/>
    </row>
    <row r="40043">
      <c r="L40043" s="13"/>
      <c r="M40043" s="14"/>
      <c r="N40043" s="14"/>
      <c r="O40043" s="14"/>
      <c r="P40043" s="13"/>
    </row>
    <row r="40044">
      <c r="L40044" s="13"/>
      <c r="M40044" s="14"/>
      <c r="N40044" s="14"/>
      <c r="O40044" s="14"/>
      <c r="P40044" s="13"/>
    </row>
    <row r="40045">
      <c r="L40045" s="13"/>
      <c r="M40045" s="14"/>
      <c r="N40045" s="14"/>
      <c r="O40045" s="14"/>
      <c r="P40045" s="13"/>
    </row>
    <row r="40046">
      <c r="L40046" s="13"/>
      <c r="M40046" s="14"/>
      <c r="N40046" s="14"/>
      <c r="O40046" s="14"/>
      <c r="P40046" s="13"/>
    </row>
    <row r="40047">
      <c r="L40047" s="13"/>
      <c r="M40047" s="14"/>
      <c r="N40047" s="14"/>
      <c r="O40047" s="14"/>
      <c r="P40047" s="13"/>
    </row>
    <row r="40048">
      <c r="L40048" s="13"/>
      <c r="M40048" s="14"/>
      <c r="N40048" s="14"/>
      <c r="O40048" s="14"/>
      <c r="P40048" s="13"/>
    </row>
    <row r="40049">
      <c r="L40049" s="13"/>
      <c r="M40049" s="14"/>
      <c r="N40049" s="14"/>
      <c r="O40049" s="14"/>
      <c r="P40049" s="13"/>
    </row>
    <row r="40050">
      <c r="L40050" s="13"/>
      <c r="M40050" s="14"/>
      <c r="N40050" s="14"/>
      <c r="O40050" s="14"/>
      <c r="P40050" s="13"/>
    </row>
    <row r="40051">
      <c r="L40051" s="13"/>
      <c r="M40051" s="14"/>
      <c r="N40051" s="14"/>
      <c r="O40051" s="14"/>
      <c r="P40051" s="13"/>
    </row>
    <row r="40052">
      <c r="L40052" s="13"/>
      <c r="M40052" s="14"/>
      <c r="N40052" s="14"/>
      <c r="O40052" s="14"/>
      <c r="P40052" s="13"/>
    </row>
    <row r="40053">
      <c r="L40053" s="13"/>
      <c r="M40053" s="14"/>
      <c r="N40053" s="14"/>
      <c r="O40053" s="14"/>
      <c r="P40053" s="13"/>
    </row>
    <row r="40054">
      <c r="L40054" s="13"/>
      <c r="M40054" s="14"/>
      <c r="N40054" s="14"/>
      <c r="O40054" s="14"/>
      <c r="P40054" s="13"/>
    </row>
    <row r="40055">
      <c r="L40055" s="13"/>
      <c r="M40055" s="14"/>
      <c r="N40055" s="14"/>
      <c r="O40055" s="14"/>
      <c r="P40055" s="13"/>
    </row>
    <row r="40056">
      <c r="L40056" s="13"/>
      <c r="M40056" s="14"/>
      <c r="N40056" s="14"/>
      <c r="O40056" s="14"/>
      <c r="P40056" s="13"/>
    </row>
    <row r="40057">
      <c r="L40057" s="13"/>
      <c r="M40057" s="14"/>
      <c r="N40057" s="14"/>
      <c r="O40057" s="14"/>
      <c r="P40057" s="13"/>
    </row>
    <row r="40058">
      <c r="L40058" s="13"/>
      <c r="M40058" s="14"/>
      <c r="N40058" s="14"/>
      <c r="O40058" s="14"/>
      <c r="P40058" s="13"/>
    </row>
    <row r="40059">
      <c r="L40059" s="13"/>
      <c r="M40059" s="14"/>
      <c r="N40059" s="14"/>
      <c r="O40059" s="14"/>
      <c r="P40059" s="13"/>
    </row>
    <row r="40060">
      <c r="L40060" s="13"/>
      <c r="M40060" s="14"/>
      <c r="N40060" s="14"/>
      <c r="O40060" s="14"/>
      <c r="P40060" s="13"/>
    </row>
    <row r="40061">
      <c r="L40061" s="13"/>
      <c r="M40061" s="14"/>
      <c r="N40061" s="14"/>
      <c r="O40061" s="14"/>
      <c r="P40061" s="13"/>
    </row>
    <row r="40062">
      <c r="L40062" s="13"/>
      <c r="M40062" s="14"/>
      <c r="N40062" s="14"/>
      <c r="O40062" s="14"/>
      <c r="P40062" s="13"/>
    </row>
    <row r="40063">
      <c r="L40063" s="13"/>
      <c r="M40063" s="14"/>
      <c r="N40063" s="14"/>
      <c r="O40063" s="14"/>
      <c r="P40063" s="13"/>
    </row>
    <row r="40064">
      <c r="L40064" s="13"/>
      <c r="M40064" s="14"/>
      <c r="N40064" s="14"/>
      <c r="O40064" s="14"/>
      <c r="P40064" s="13"/>
    </row>
    <row r="40065">
      <c r="L40065" s="13"/>
      <c r="M40065" s="14"/>
      <c r="N40065" s="14"/>
      <c r="O40065" s="14"/>
      <c r="P40065" s="13"/>
    </row>
    <row r="40066">
      <c r="L40066" s="13"/>
      <c r="M40066" s="14"/>
      <c r="N40066" s="14"/>
      <c r="O40066" s="14"/>
      <c r="P40066" s="13"/>
    </row>
    <row r="40067">
      <c r="L40067" s="13"/>
      <c r="M40067" s="14"/>
      <c r="N40067" s="14"/>
      <c r="O40067" s="14"/>
      <c r="P40067" s="13"/>
    </row>
    <row r="40068">
      <c r="L40068" s="13"/>
      <c r="M40068" s="14"/>
      <c r="N40068" s="14"/>
      <c r="O40068" s="14"/>
      <c r="P40068" s="13"/>
    </row>
    <row r="40069">
      <c r="L40069" s="13"/>
      <c r="M40069" s="14"/>
      <c r="N40069" s="14"/>
      <c r="O40069" s="14"/>
      <c r="P40069" s="13"/>
    </row>
    <row r="40070">
      <c r="L40070" s="13"/>
      <c r="M40070" s="14"/>
      <c r="N40070" s="14"/>
      <c r="O40070" s="14"/>
      <c r="P40070" s="13"/>
    </row>
    <row r="40071">
      <c r="L40071" s="13"/>
      <c r="M40071" s="14"/>
      <c r="N40071" s="14"/>
      <c r="O40071" s="14"/>
      <c r="P40071" s="13"/>
    </row>
    <row r="40072">
      <c r="L40072" s="13"/>
      <c r="M40072" s="14"/>
      <c r="N40072" s="14"/>
      <c r="O40072" s="14"/>
      <c r="P40072" s="13"/>
    </row>
    <row r="40073">
      <c r="L40073" s="13"/>
      <c r="M40073" s="14"/>
      <c r="N40073" s="14"/>
      <c r="O40073" s="14"/>
      <c r="P40073" s="13"/>
    </row>
    <row r="40074">
      <c r="L40074" s="13"/>
      <c r="M40074" s="14"/>
      <c r="N40074" s="14"/>
      <c r="O40074" s="14"/>
      <c r="P40074" s="13"/>
    </row>
    <row r="40075">
      <c r="L40075" s="13"/>
      <c r="M40075" s="14"/>
      <c r="N40075" s="14"/>
      <c r="O40075" s="14"/>
      <c r="P40075" s="13"/>
    </row>
    <row r="40076">
      <c r="L40076" s="13"/>
      <c r="M40076" s="14"/>
      <c r="N40076" s="14"/>
      <c r="O40076" s="14"/>
      <c r="P40076" s="13"/>
    </row>
    <row r="40077">
      <c r="L40077" s="13"/>
      <c r="M40077" s="14"/>
      <c r="N40077" s="14"/>
      <c r="O40077" s="14"/>
      <c r="P40077" s="13"/>
    </row>
    <row r="40078">
      <c r="L40078" s="13"/>
      <c r="M40078" s="14"/>
      <c r="N40078" s="14"/>
      <c r="O40078" s="14"/>
      <c r="P40078" s="13"/>
    </row>
    <row r="40079">
      <c r="L40079" s="13"/>
      <c r="M40079" s="14"/>
      <c r="N40079" s="14"/>
      <c r="O40079" s="14"/>
      <c r="P40079" s="13"/>
    </row>
    <row r="40080">
      <c r="L40080" s="13"/>
      <c r="M40080" s="14"/>
      <c r="N40080" s="14"/>
      <c r="O40080" s="14"/>
      <c r="P40080" s="13"/>
    </row>
    <row r="40081">
      <c r="L40081" s="13"/>
      <c r="M40081" s="14"/>
      <c r="N40081" s="14"/>
      <c r="O40081" s="14"/>
      <c r="P40081" s="13"/>
    </row>
    <row r="40082">
      <c r="L40082" s="13"/>
      <c r="M40082" s="14"/>
      <c r="N40082" s="14"/>
      <c r="O40082" s="14"/>
      <c r="P40082" s="13"/>
    </row>
    <row r="40083">
      <c r="L40083" s="13"/>
      <c r="M40083" s="14"/>
      <c r="N40083" s="14"/>
      <c r="O40083" s="14"/>
      <c r="P40083" s="13"/>
    </row>
    <row r="40084">
      <c r="L40084" s="13"/>
      <c r="M40084" s="14"/>
      <c r="N40084" s="14"/>
      <c r="O40084" s="14"/>
      <c r="P40084" s="13"/>
    </row>
    <row r="40085">
      <c r="L40085" s="13"/>
      <c r="M40085" s="14"/>
      <c r="N40085" s="14"/>
      <c r="O40085" s="14"/>
      <c r="P40085" s="13"/>
    </row>
    <row r="40086">
      <c r="L40086" s="13"/>
      <c r="M40086" s="14"/>
      <c r="N40086" s="14"/>
      <c r="O40086" s="14"/>
      <c r="P40086" s="13"/>
    </row>
    <row r="40087">
      <c r="L40087" s="13"/>
      <c r="M40087" s="14"/>
      <c r="N40087" s="14"/>
      <c r="O40087" s="14"/>
      <c r="P40087" s="13"/>
    </row>
    <row r="40088">
      <c r="L40088" s="13"/>
      <c r="M40088" s="14"/>
      <c r="N40088" s="14"/>
      <c r="O40088" s="14"/>
      <c r="P40088" s="13"/>
    </row>
    <row r="40089">
      <c r="L40089" s="13"/>
      <c r="M40089" s="14"/>
      <c r="N40089" s="14"/>
      <c r="O40089" s="14"/>
      <c r="P40089" s="13"/>
    </row>
    <row r="40090">
      <c r="L40090" s="13"/>
      <c r="M40090" s="14"/>
      <c r="N40090" s="14"/>
      <c r="O40090" s="14"/>
      <c r="P40090" s="13"/>
    </row>
    <row r="40091">
      <c r="L40091" s="13"/>
      <c r="M40091" s="14"/>
      <c r="N40091" s="14"/>
      <c r="O40091" s="14"/>
      <c r="P40091" s="13"/>
    </row>
    <row r="40092">
      <c r="L40092" s="13"/>
      <c r="M40092" s="14"/>
      <c r="N40092" s="14"/>
      <c r="O40092" s="14"/>
      <c r="P40092" s="13"/>
    </row>
    <row r="40093">
      <c r="L40093" s="13"/>
      <c r="M40093" s="14"/>
      <c r="N40093" s="14"/>
      <c r="O40093" s="14"/>
      <c r="P40093" s="13"/>
    </row>
    <row r="40094">
      <c r="L40094" s="13"/>
      <c r="M40094" s="14"/>
      <c r="N40094" s="14"/>
      <c r="O40094" s="14"/>
      <c r="P40094" s="13"/>
    </row>
    <row r="40095">
      <c r="L40095" s="13"/>
      <c r="M40095" s="14"/>
      <c r="N40095" s="14"/>
      <c r="O40095" s="14"/>
      <c r="P40095" s="13"/>
    </row>
    <row r="40096">
      <c r="L40096" s="13"/>
      <c r="M40096" s="14"/>
      <c r="N40096" s="14"/>
      <c r="O40096" s="14"/>
      <c r="P40096" s="13"/>
    </row>
    <row r="40097">
      <c r="L40097" s="13"/>
      <c r="M40097" s="14"/>
      <c r="N40097" s="14"/>
      <c r="O40097" s="14"/>
      <c r="P40097" s="13"/>
    </row>
    <row r="40098">
      <c r="L40098" s="13"/>
      <c r="M40098" s="14"/>
      <c r="N40098" s="14"/>
      <c r="O40098" s="14"/>
      <c r="P40098" s="13"/>
    </row>
    <row r="40099">
      <c r="L40099" s="13"/>
      <c r="M40099" s="14"/>
      <c r="N40099" s="14"/>
      <c r="O40099" s="14"/>
      <c r="P40099" s="13"/>
    </row>
    <row r="40100">
      <c r="L40100" s="13"/>
      <c r="M40100" s="14"/>
      <c r="N40100" s="14"/>
      <c r="O40100" s="14"/>
      <c r="P40100" s="13"/>
    </row>
    <row r="40101">
      <c r="L40101" s="13"/>
      <c r="M40101" s="14"/>
      <c r="N40101" s="14"/>
      <c r="O40101" s="14"/>
      <c r="P40101" s="13"/>
    </row>
    <row r="40102">
      <c r="L40102" s="13"/>
      <c r="M40102" s="14"/>
      <c r="N40102" s="14"/>
      <c r="O40102" s="14"/>
      <c r="P40102" s="13"/>
    </row>
    <row r="40103">
      <c r="L40103" s="13"/>
      <c r="M40103" s="14"/>
      <c r="N40103" s="14"/>
      <c r="O40103" s="14"/>
      <c r="P40103" s="13"/>
    </row>
    <row r="40104">
      <c r="L40104" s="13"/>
      <c r="M40104" s="14"/>
      <c r="N40104" s="14"/>
      <c r="O40104" s="14"/>
      <c r="P40104" s="13"/>
    </row>
    <row r="40105">
      <c r="L40105" s="13"/>
      <c r="M40105" s="14"/>
      <c r="N40105" s="14"/>
      <c r="O40105" s="14"/>
      <c r="P40105" s="13"/>
    </row>
    <row r="40106">
      <c r="L40106" s="13"/>
      <c r="M40106" s="14"/>
      <c r="N40106" s="14"/>
      <c r="O40106" s="14"/>
      <c r="P40106" s="13"/>
    </row>
    <row r="40107">
      <c r="L40107" s="13"/>
      <c r="M40107" s="14"/>
      <c r="N40107" s="14"/>
      <c r="O40107" s="14"/>
      <c r="P40107" s="13"/>
    </row>
    <row r="40108">
      <c r="L40108" s="13"/>
      <c r="M40108" s="14"/>
      <c r="N40108" s="14"/>
      <c r="O40108" s="14"/>
      <c r="P40108" s="13"/>
    </row>
    <row r="40109">
      <c r="L40109" s="13"/>
      <c r="M40109" s="14"/>
      <c r="N40109" s="14"/>
      <c r="O40109" s="14"/>
      <c r="P40109" s="13"/>
    </row>
    <row r="40110">
      <c r="L40110" s="13"/>
      <c r="M40110" s="14"/>
      <c r="N40110" s="14"/>
      <c r="O40110" s="14"/>
      <c r="P40110" s="13"/>
    </row>
    <row r="40111">
      <c r="L40111" s="13"/>
      <c r="M40111" s="14"/>
      <c r="N40111" s="14"/>
      <c r="O40111" s="14"/>
      <c r="P40111" s="13"/>
    </row>
    <row r="40112">
      <c r="L40112" s="13"/>
      <c r="M40112" s="14"/>
      <c r="N40112" s="14"/>
      <c r="O40112" s="14"/>
      <c r="P40112" s="13"/>
    </row>
    <row r="40113">
      <c r="L40113" s="13"/>
      <c r="M40113" s="14"/>
      <c r="N40113" s="14"/>
      <c r="O40113" s="14"/>
      <c r="P40113" s="13"/>
    </row>
    <row r="40114">
      <c r="L40114" s="13"/>
      <c r="M40114" s="14"/>
      <c r="N40114" s="14"/>
      <c r="O40114" s="14"/>
      <c r="P40114" s="13"/>
    </row>
    <row r="40115">
      <c r="L40115" s="13"/>
      <c r="M40115" s="14"/>
      <c r="N40115" s="14"/>
      <c r="O40115" s="14"/>
      <c r="P40115" s="13"/>
    </row>
    <row r="40116">
      <c r="L40116" s="13"/>
      <c r="M40116" s="14"/>
      <c r="N40116" s="14"/>
      <c r="O40116" s="14"/>
      <c r="P40116" s="13"/>
    </row>
    <row r="40117">
      <c r="L40117" s="13"/>
      <c r="M40117" s="14"/>
      <c r="N40117" s="14"/>
      <c r="O40117" s="14"/>
      <c r="P40117" s="13"/>
    </row>
    <row r="40118">
      <c r="L40118" s="13"/>
      <c r="M40118" s="14"/>
      <c r="N40118" s="14"/>
      <c r="O40118" s="14"/>
      <c r="P40118" s="13"/>
    </row>
    <row r="40119">
      <c r="L40119" s="13"/>
      <c r="M40119" s="14"/>
      <c r="N40119" s="14"/>
      <c r="O40119" s="14"/>
      <c r="P40119" s="13"/>
    </row>
    <row r="40120">
      <c r="L40120" s="13"/>
      <c r="M40120" s="14"/>
      <c r="N40120" s="14"/>
      <c r="O40120" s="14"/>
      <c r="P40120" s="13"/>
    </row>
    <row r="40121">
      <c r="L40121" s="13"/>
      <c r="M40121" s="14"/>
      <c r="N40121" s="14"/>
      <c r="O40121" s="14"/>
      <c r="P40121" s="13"/>
    </row>
    <row r="40122">
      <c r="L40122" s="13"/>
      <c r="M40122" s="14"/>
      <c r="N40122" s="14"/>
      <c r="O40122" s="14"/>
      <c r="P40122" s="13"/>
    </row>
    <row r="40123">
      <c r="L40123" s="13"/>
      <c r="M40123" s="14"/>
      <c r="N40123" s="14"/>
      <c r="O40123" s="14"/>
      <c r="P40123" s="13"/>
    </row>
    <row r="40124">
      <c r="L40124" s="13"/>
      <c r="M40124" s="14"/>
      <c r="N40124" s="14"/>
      <c r="O40124" s="14"/>
      <c r="P40124" s="13"/>
    </row>
    <row r="40125">
      <c r="L40125" s="13"/>
      <c r="M40125" s="14"/>
      <c r="N40125" s="14"/>
      <c r="O40125" s="14"/>
      <c r="P40125" s="13"/>
    </row>
    <row r="40126">
      <c r="L40126" s="13"/>
      <c r="M40126" s="14"/>
      <c r="N40126" s="14"/>
      <c r="O40126" s="14"/>
      <c r="P40126" s="13"/>
    </row>
    <row r="40127">
      <c r="L40127" s="13"/>
      <c r="M40127" s="14"/>
      <c r="N40127" s="14"/>
      <c r="O40127" s="14"/>
      <c r="P40127" s="13"/>
    </row>
    <row r="40128">
      <c r="L40128" s="13"/>
      <c r="M40128" s="14"/>
      <c r="N40128" s="14"/>
      <c r="O40128" s="14"/>
      <c r="P40128" s="13"/>
    </row>
    <row r="40129">
      <c r="L40129" s="13"/>
      <c r="M40129" s="14"/>
      <c r="N40129" s="14"/>
      <c r="O40129" s="14"/>
      <c r="P40129" s="13"/>
    </row>
    <row r="40130">
      <c r="L40130" s="13"/>
      <c r="M40130" s="14"/>
      <c r="N40130" s="14"/>
      <c r="O40130" s="14"/>
      <c r="P40130" s="13"/>
    </row>
    <row r="40131">
      <c r="L40131" s="13"/>
      <c r="M40131" s="14"/>
      <c r="N40131" s="14"/>
      <c r="O40131" s="14"/>
      <c r="P40131" s="13"/>
    </row>
    <row r="40132">
      <c r="L40132" s="13"/>
      <c r="M40132" s="14"/>
      <c r="N40132" s="14"/>
      <c r="O40132" s="14"/>
      <c r="P40132" s="13"/>
    </row>
    <row r="40133">
      <c r="L40133" s="13"/>
      <c r="M40133" s="14"/>
      <c r="N40133" s="14"/>
      <c r="O40133" s="14"/>
      <c r="P40133" s="13"/>
    </row>
    <row r="40134">
      <c r="L40134" s="13"/>
      <c r="M40134" s="14"/>
      <c r="N40134" s="14"/>
      <c r="O40134" s="14"/>
      <c r="P40134" s="13"/>
    </row>
    <row r="40135">
      <c r="L40135" s="13"/>
      <c r="M40135" s="14"/>
      <c r="N40135" s="14"/>
      <c r="O40135" s="14"/>
      <c r="P40135" s="13"/>
    </row>
    <row r="40136">
      <c r="L40136" s="13"/>
      <c r="M40136" s="14"/>
      <c r="N40136" s="14"/>
      <c r="O40136" s="14"/>
      <c r="P40136" s="13"/>
    </row>
    <row r="40137">
      <c r="L40137" s="13"/>
      <c r="M40137" s="14"/>
      <c r="N40137" s="14"/>
      <c r="O40137" s="14"/>
      <c r="P40137" s="13"/>
    </row>
    <row r="40138">
      <c r="L40138" s="13"/>
      <c r="M40138" s="14"/>
      <c r="N40138" s="14"/>
      <c r="O40138" s="14"/>
      <c r="P40138" s="13"/>
    </row>
    <row r="40139">
      <c r="L40139" s="13"/>
      <c r="M40139" s="14"/>
      <c r="N40139" s="14"/>
      <c r="O40139" s="14"/>
      <c r="P40139" s="13"/>
    </row>
    <row r="40140">
      <c r="L40140" s="13"/>
      <c r="M40140" s="14"/>
      <c r="N40140" s="14"/>
      <c r="O40140" s="14"/>
      <c r="P40140" s="13"/>
    </row>
    <row r="40141">
      <c r="L40141" s="13"/>
      <c r="M40141" s="14"/>
      <c r="N40141" s="14"/>
      <c r="O40141" s="14"/>
      <c r="P40141" s="13"/>
    </row>
    <row r="40142">
      <c r="L40142" s="13"/>
      <c r="M40142" s="14"/>
      <c r="N40142" s="14"/>
      <c r="O40142" s="14"/>
      <c r="P40142" s="13"/>
    </row>
    <row r="40143">
      <c r="L40143" s="13"/>
      <c r="M40143" s="14"/>
      <c r="N40143" s="14"/>
      <c r="O40143" s="14"/>
      <c r="P40143" s="13"/>
    </row>
    <row r="40144">
      <c r="L40144" s="13"/>
      <c r="M40144" s="14"/>
      <c r="N40144" s="14"/>
      <c r="O40144" s="14"/>
      <c r="P40144" s="13"/>
    </row>
    <row r="40145">
      <c r="L40145" s="13"/>
      <c r="M40145" s="14"/>
      <c r="N40145" s="14"/>
      <c r="O40145" s="14"/>
      <c r="P40145" s="13"/>
    </row>
    <row r="40146">
      <c r="L40146" s="13"/>
      <c r="M40146" s="14"/>
      <c r="N40146" s="14"/>
      <c r="O40146" s="14"/>
      <c r="P40146" s="13"/>
    </row>
    <row r="40147">
      <c r="L40147" s="13"/>
      <c r="M40147" s="14"/>
      <c r="N40147" s="14"/>
      <c r="O40147" s="14"/>
      <c r="P40147" s="13"/>
    </row>
    <row r="40148">
      <c r="L40148" s="13"/>
      <c r="M40148" s="14"/>
      <c r="N40148" s="14"/>
      <c r="O40148" s="14"/>
      <c r="P40148" s="13"/>
    </row>
    <row r="40149">
      <c r="L40149" s="13"/>
      <c r="M40149" s="14"/>
      <c r="N40149" s="14"/>
      <c r="O40149" s="14"/>
      <c r="P40149" s="13"/>
    </row>
    <row r="40150">
      <c r="L40150" s="13"/>
      <c r="M40150" s="14"/>
      <c r="N40150" s="14"/>
      <c r="O40150" s="14"/>
      <c r="P40150" s="13"/>
    </row>
    <row r="40151">
      <c r="L40151" s="13"/>
      <c r="M40151" s="14"/>
      <c r="N40151" s="14"/>
      <c r="O40151" s="14"/>
      <c r="P40151" s="13"/>
    </row>
    <row r="40152">
      <c r="L40152" s="13"/>
      <c r="M40152" s="14"/>
      <c r="N40152" s="14"/>
      <c r="O40152" s="14"/>
      <c r="P40152" s="13"/>
    </row>
    <row r="40153">
      <c r="L40153" s="13"/>
      <c r="M40153" s="14"/>
      <c r="N40153" s="14"/>
      <c r="O40153" s="14"/>
      <c r="P40153" s="13"/>
    </row>
    <row r="40154">
      <c r="L40154" s="13"/>
      <c r="M40154" s="14"/>
      <c r="N40154" s="14"/>
      <c r="O40154" s="14"/>
      <c r="P40154" s="13"/>
    </row>
    <row r="40155">
      <c r="L40155" s="13"/>
      <c r="M40155" s="14"/>
      <c r="N40155" s="14"/>
      <c r="O40155" s="14"/>
      <c r="P40155" s="13"/>
    </row>
    <row r="40156">
      <c r="L40156" s="13"/>
      <c r="M40156" s="14"/>
      <c r="N40156" s="14"/>
      <c r="O40156" s="14"/>
      <c r="P40156" s="13"/>
    </row>
    <row r="40157">
      <c r="L40157" s="13"/>
      <c r="M40157" s="14"/>
      <c r="N40157" s="14"/>
      <c r="O40157" s="14"/>
      <c r="P40157" s="13"/>
    </row>
    <row r="40158">
      <c r="L40158" s="13"/>
      <c r="M40158" s="14"/>
      <c r="N40158" s="14"/>
      <c r="O40158" s="14"/>
      <c r="P40158" s="13"/>
    </row>
    <row r="40159">
      <c r="L40159" s="13"/>
      <c r="M40159" s="14"/>
      <c r="N40159" s="14"/>
      <c r="O40159" s="14"/>
      <c r="P40159" s="13"/>
    </row>
    <row r="40160">
      <c r="L40160" s="13"/>
      <c r="M40160" s="14"/>
      <c r="N40160" s="14"/>
      <c r="O40160" s="14"/>
      <c r="P40160" s="13"/>
    </row>
    <row r="40161">
      <c r="L40161" s="13"/>
      <c r="M40161" s="14"/>
      <c r="N40161" s="14"/>
      <c r="O40161" s="14"/>
      <c r="P40161" s="13"/>
    </row>
    <row r="40162">
      <c r="L40162" s="13"/>
      <c r="M40162" s="14"/>
      <c r="N40162" s="14"/>
      <c r="O40162" s="14"/>
      <c r="P40162" s="13"/>
    </row>
    <row r="40163">
      <c r="L40163" s="13"/>
      <c r="M40163" s="14"/>
      <c r="N40163" s="14"/>
      <c r="O40163" s="14"/>
      <c r="P40163" s="13"/>
    </row>
    <row r="40164">
      <c r="L40164" s="13"/>
      <c r="M40164" s="14"/>
      <c r="N40164" s="14"/>
      <c r="O40164" s="14"/>
      <c r="P40164" s="13"/>
    </row>
    <row r="40165">
      <c r="L40165" s="13"/>
      <c r="M40165" s="14"/>
      <c r="N40165" s="14"/>
      <c r="O40165" s="14"/>
      <c r="P40165" s="13"/>
    </row>
    <row r="40166">
      <c r="L40166" s="13"/>
      <c r="M40166" s="14"/>
      <c r="N40166" s="14"/>
      <c r="O40166" s="14"/>
      <c r="P40166" s="13"/>
    </row>
    <row r="40167">
      <c r="L40167" s="13"/>
      <c r="M40167" s="14"/>
      <c r="N40167" s="14"/>
      <c r="O40167" s="14"/>
      <c r="P40167" s="13"/>
    </row>
    <row r="40168">
      <c r="L40168" s="13"/>
      <c r="M40168" s="14"/>
      <c r="N40168" s="14"/>
      <c r="O40168" s="14"/>
      <c r="P40168" s="13"/>
    </row>
    <row r="40169">
      <c r="L40169" s="13"/>
      <c r="M40169" s="14"/>
      <c r="N40169" s="14"/>
      <c r="O40169" s="14"/>
      <c r="P40169" s="13"/>
    </row>
    <row r="40170">
      <c r="L40170" s="13"/>
      <c r="M40170" s="14"/>
      <c r="N40170" s="14"/>
      <c r="O40170" s="14"/>
      <c r="P40170" s="13"/>
    </row>
    <row r="40171">
      <c r="L40171" s="13"/>
      <c r="M40171" s="14"/>
      <c r="N40171" s="14"/>
      <c r="O40171" s="14"/>
      <c r="P40171" s="13"/>
    </row>
    <row r="40172">
      <c r="L40172" s="13"/>
      <c r="M40172" s="14"/>
      <c r="N40172" s="14"/>
      <c r="O40172" s="14"/>
      <c r="P40172" s="13"/>
    </row>
    <row r="40173">
      <c r="L40173" s="13"/>
      <c r="M40173" s="14"/>
      <c r="N40173" s="14"/>
      <c r="O40173" s="14"/>
      <c r="P40173" s="13"/>
    </row>
    <row r="40174">
      <c r="L40174" s="13"/>
      <c r="M40174" s="14"/>
      <c r="N40174" s="14"/>
      <c r="O40174" s="14"/>
      <c r="P40174" s="13"/>
    </row>
    <row r="40175">
      <c r="L40175" s="13"/>
      <c r="M40175" s="14"/>
      <c r="N40175" s="14"/>
      <c r="O40175" s="14"/>
      <c r="P40175" s="13"/>
    </row>
    <row r="40176">
      <c r="L40176" s="13"/>
      <c r="M40176" s="14"/>
      <c r="N40176" s="14"/>
      <c r="O40176" s="14"/>
      <c r="P40176" s="13"/>
    </row>
    <row r="40177">
      <c r="L40177" s="13"/>
      <c r="M40177" s="14"/>
      <c r="N40177" s="14"/>
      <c r="O40177" s="14"/>
      <c r="P40177" s="13"/>
    </row>
    <row r="40178">
      <c r="L40178" s="13"/>
      <c r="M40178" s="14"/>
      <c r="N40178" s="14"/>
      <c r="O40178" s="14"/>
      <c r="P40178" s="13"/>
    </row>
    <row r="40179">
      <c r="L40179" s="13"/>
      <c r="M40179" s="14"/>
      <c r="N40179" s="14"/>
      <c r="O40179" s="14"/>
      <c r="P40179" s="13"/>
    </row>
    <row r="40180">
      <c r="L40180" s="13"/>
      <c r="M40180" s="14"/>
      <c r="N40180" s="14"/>
      <c r="O40180" s="14"/>
      <c r="P40180" s="13"/>
    </row>
    <row r="40181">
      <c r="L40181" s="13"/>
      <c r="M40181" s="14"/>
      <c r="N40181" s="14"/>
      <c r="O40181" s="14"/>
      <c r="P40181" s="13"/>
    </row>
    <row r="40182">
      <c r="L40182" s="13"/>
      <c r="M40182" s="14"/>
      <c r="N40182" s="14"/>
      <c r="O40182" s="14"/>
      <c r="P40182" s="13"/>
    </row>
    <row r="40183">
      <c r="L40183" s="13"/>
      <c r="M40183" s="14"/>
      <c r="N40183" s="14"/>
      <c r="O40183" s="14"/>
      <c r="P40183" s="13"/>
    </row>
    <row r="40184">
      <c r="L40184" s="13"/>
      <c r="M40184" s="14"/>
      <c r="N40184" s="14"/>
      <c r="O40184" s="14"/>
      <c r="P40184" s="13"/>
    </row>
    <row r="40185">
      <c r="L40185" s="13"/>
      <c r="M40185" s="14"/>
      <c r="N40185" s="14"/>
      <c r="O40185" s="14"/>
      <c r="P40185" s="13"/>
    </row>
    <row r="40186">
      <c r="L40186" s="13"/>
      <c r="M40186" s="14"/>
      <c r="N40186" s="14"/>
      <c r="O40186" s="14"/>
      <c r="P40186" s="13"/>
    </row>
    <row r="40187">
      <c r="L40187" s="13"/>
      <c r="M40187" s="14"/>
      <c r="N40187" s="14"/>
      <c r="O40187" s="14"/>
      <c r="P40187" s="13"/>
    </row>
    <row r="40188">
      <c r="L40188" s="13"/>
      <c r="M40188" s="14"/>
      <c r="N40188" s="14"/>
      <c r="O40188" s="14"/>
      <c r="P40188" s="13"/>
    </row>
    <row r="40189">
      <c r="L40189" s="13"/>
      <c r="M40189" s="14"/>
      <c r="N40189" s="14"/>
      <c r="O40189" s="14"/>
      <c r="P40189" s="13"/>
    </row>
    <row r="40190">
      <c r="L40190" s="13"/>
      <c r="M40190" s="14"/>
      <c r="N40190" s="14"/>
      <c r="O40190" s="14"/>
      <c r="P40190" s="13"/>
    </row>
    <row r="40191">
      <c r="L40191" s="13"/>
      <c r="M40191" s="14"/>
      <c r="N40191" s="14"/>
      <c r="O40191" s="14"/>
      <c r="P40191" s="13"/>
    </row>
    <row r="40192">
      <c r="L40192" s="13"/>
      <c r="M40192" s="14"/>
      <c r="N40192" s="14"/>
      <c r="O40192" s="14"/>
      <c r="P40192" s="13"/>
    </row>
    <row r="40193">
      <c r="L40193" s="13"/>
      <c r="M40193" s="14"/>
      <c r="N40193" s="14"/>
      <c r="O40193" s="14"/>
      <c r="P40193" s="13"/>
    </row>
    <row r="40194">
      <c r="L40194" s="13"/>
      <c r="M40194" s="14"/>
      <c r="N40194" s="14"/>
      <c r="O40194" s="14"/>
      <c r="P40194" s="13"/>
    </row>
    <row r="40195">
      <c r="L40195" s="13"/>
      <c r="M40195" s="14"/>
      <c r="N40195" s="14"/>
      <c r="O40195" s="14"/>
      <c r="P40195" s="13"/>
    </row>
    <row r="40196">
      <c r="L40196" s="13"/>
      <c r="M40196" s="14"/>
      <c r="N40196" s="14"/>
      <c r="O40196" s="14"/>
      <c r="P40196" s="13"/>
    </row>
    <row r="40197">
      <c r="L40197" s="13"/>
      <c r="M40197" s="14"/>
      <c r="N40197" s="14"/>
      <c r="O40197" s="14"/>
      <c r="P40197" s="13"/>
    </row>
    <row r="40198">
      <c r="L40198" s="13"/>
      <c r="M40198" s="14"/>
      <c r="N40198" s="14"/>
      <c r="O40198" s="14"/>
      <c r="P40198" s="13"/>
    </row>
    <row r="40199">
      <c r="L40199" s="13"/>
      <c r="M40199" s="14"/>
      <c r="N40199" s="14"/>
      <c r="O40199" s="14"/>
      <c r="P40199" s="13"/>
    </row>
    <row r="40200">
      <c r="L40200" s="13"/>
      <c r="M40200" s="14"/>
      <c r="N40200" s="14"/>
      <c r="O40200" s="14"/>
      <c r="P40200" s="13"/>
    </row>
    <row r="40201">
      <c r="L40201" s="13"/>
      <c r="M40201" s="14"/>
      <c r="N40201" s="14"/>
      <c r="O40201" s="14"/>
      <c r="P40201" s="13"/>
    </row>
    <row r="40202">
      <c r="L40202" s="13"/>
      <c r="M40202" s="14"/>
      <c r="N40202" s="14"/>
      <c r="O40202" s="14"/>
      <c r="P40202" s="13"/>
    </row>
    <row r="40203">
      <c r="L40203" s="13"/>
      <c r="M40203" s="14"/>
      <c r="N40203" s="14"/>
      <c r="O40203" s="14"/>
      <c r="P40203" s="13"/>
    </row>
    <row r="40204">
      <c r="L40204" s="13"/>
      <c r="M40204" s="14"/>
      <c r="N40204" s="14"/>
      <c r="O40204" s="14"/>
      <c r="P40204" s="13"/>
    </row>
    <row r="40205">
      <c r="L40205" s="13"/>
      <c r="M40205" s="14"/>
      <c r="N40205" s="14"/>
      <c r="O40205" s="14"/>
      <c r="P40205" s="13"/>
    </row>
    <row r="40206">
      <c r="L40206" s="13"/>
      <c r="M40206" s="14"/>
      <c r="N40206" s="14"/>
      <c r="O40206" s="14"/>
      <c r="P40206" s="13"/>
    </row>
    <row r="40207">
      <c r="L40207" s="13"/>
      <c r="M40207" s="14"/>
      <c r="N40207" s="14"/>
      <c r="O40207" s="14"/>
      <c r="P40207" s="13"/>
    </row>
    <row r="40208">
      <c r="L40208" s="13"/>
      <c r="M40208" s="14"/>
      <c r="N40208" s="14"/>
      <c r="O40208" s="14"/>
      <c r="P40208" s="13"/>
    </row>
    <row r="40209">
      <c r="L40209" s="13"/>
      <c r="M40209" s="14"/>
      <c r="N40209" s="14"/>
      <c r="O40209" s="14"/>
      <c r="P40209" s="13"/>
    </row>
    <row r="40210">
      <c r="L40210" s="13"/>
      <c r="M40210" s="14"/>
      <c r="N40210" s="14"/>
      <c r="O40210" s="14"/>
      <c r="P40210" s="13"/>
    </row>
    <row r="40211">
      <c r="L40211" s="13"/>
      <c r="M40211" s="14"/>
      <c r="N40211" s="14"/>
      <c r="O40211" s="14"/>
      <c r="P40211" s="13"/>
    </row>
    <row r="40212">
      <c r="L40212" s="13"/>
      <c r="M40212" s="14"/>
      <c r="N40212" s="14"/>
      <c r="O40212" s="14"/>
      <c r="P40212" s="13"/>
    </row>
    <row r="40213">
      <c r="L40213" s="13"/>
      <c r="M40213" s="14"/>
      <c r="N40213" s="14"/>
      <c r="O40213" s="14"/>
      <c r="P40213" s="13"/>
    </row>
    <row r="40214">
      <c r="L40214" s="13"/>
      <c r="M40214" s="14"/>
      <c r="N40214" s="14"/>
      <c r="O40214" s="14"/>
      <c r="P40214" s="13"/>
    </row>
    <row r="40215">
      <c r="L40215" s="13"/>
      <c r="M40215" s="14"/>
      <c r="N40215" s="14"/>
      <c r="O40215" s="14"/>
      <c r="P40215" s="13"/>
    </row>
    <row r="40216">
      <c r="L40216" s="13"/>
      <c r="M40216" s="14"/>
      <c r="N40216" s="14"/>
      <c r="O40216" s="14"/>
      <c r="P40216" s="13"/>
    </row>
    <row r="40217">
      <c r="L40217" s="13"/>
      <c r="M40217" s="14"/>
      <c r="N40217" s="14"/>
      <c r="O40217" s="14"/>
      <c r="P40217" s="13"/>
    </row>
    <row r="40218">
      <c r="L40218" s="13"/>
      <c r="M40218" s="14"/>
      <c r="N40218" s="14"/>
      <c r="O40218" s="14"/>
      <c r="P40218" s="13"/>
    </row>
    <row r="40219">
      <c r="L40219" s="13"/>
      <c r="M40219" s="14"/>
      <c r="N40219" s="14"/>
      <c r="O40219" s="14"/>
      <c r="P40219" s="13"/>
    </row>
    <row r="40220">
      <c r="L40220" s="13"/>
      <c r="M40220" s="14"/>
      <c r="N40220" s="14"/>
      <c r="O40220" s="14"/>
      <c r="P40220" s="13"/>
    </row>
    <row r="40221">
      <c r="L40221" s="13"/>
      <c r="M40221" s="14"/>
      <c r="N40221" s="14"/>
      <c r="O40221" s="14"/>
      <c r="P40221" s="13"/>
    </row>
    <row r="40222">
      <c r="L40222" s="13"/>
      <c r="M40222" s="14"/>
      <c r="N40222" s="14"/>
      <c r="O40222" s="14"/>
      <c r="P40222" s="13"/>
    </row>
    <row r="40223">
      <c r="L40223" s="13"/>
      <c r="M40223" s="14"/>
      <c r="N40223" s="14"/>
      <c r="O40223" s="14"/>
      <c r="P40223" s="13"/>
    </row>
    <row r="40224">
      <c r="L40224" s="13"/>
      <c r="M40224" s="14"/>
      <c r="N40224" s="14"/>
      <c r="O40224" s="14"/>
      <c r="P40224" s="13"/>
    </row>
    <row r="40225">
      <c r="L40225" s="13"/>
      <c r="M40225" s="14"/>
      <c r="N40225" s="14"/>
      <c r="O40225" s="14"/>
      <c r="P40225" s="13"/>
    </row>
    <row r="40226">
      <c r="L40226" s="13"/>
      <c r="M40226" s="14"/>
      <c r="N40226" s="14"/>
      <c r="O40226" s="14"/>
      <c r="P40226" s="13"/>
    </row>
    <row r="40227">
      <c r="L40227" s="13"/>
      <c r="M40227" s="14"/>
      <c r="N40227" s="14"/>
      <c r="O40227" s="14"/>
      <c r="P40227" s="13"/>
    </row>
    <row r="40228">
      <c r="L40228" s="13"/>
      <c r="M40228" s="14"/>
      <c r="N40228" s="14"/>
      <c r="O40228" s="14"/>
      <c r="P40228" s="13"/>
    </row>
    <row r="40229">
      <c r="L40229" s="13"/>
      <c r="M40229" s="14"/>
      <c r="N40229" s="14"/>
      <c r="O40229" s="14"/>
      <c r="P40229" s="13"/>
    </row>
    <row r="40230">
      <c r="L40230" s="13"/>
      <c r="M40230" s="14"/>
      <c r="N40230" s="14"/>
      <c r="O40230" s="14"/>
      <c r="P40230" s="13"/>
    </row>
    <row r="40231">
      <c r="L40231" s="13"/>
      <c r="M40231" s="14"/>
      <c r="N40231" s="14"/>
      <c r="O40231" s="14"/>
      <c r="P40231" s="13"/>
    </row>
    <row r="40232">
      <c r="L40232" s="13"/>
      <c r="M40232" s="14"/>
      <c r="N40232" s="14"/>
      <c r="O40232" s="14"/>
      <c r="P40232" s="13"/>
    </row>
    <row r="40233">
      <c r="L40233" s="13"/>
      <c r="M40233" s="14"/>
      <c r="N40233" s="14"/>
      <c r="O40233" s="14"/>
      <c r="P40233" s="13"/>
    </row>
    <row r="40234">
      <c r="L40234" s="13"/>
      <c r="M40234" s="14"/>
      <c r="N40234" s="14"/>
      <c r="O40234" s="14"/>
      <c r="P40234" s="13"/>
    </row>
    <row r="40235">
      <c r="L40235" s="13"/>
      <c r="M40235" s="14"/>
      <c r="N40235" s="14"/>
      <c r="O40235" s="14"/>
      <c r="P40235" s="13"/>
    </row>
    <row r="40236">
      <c r="L40236" s="13"/>
      <c r="M40236" s="14"/>
      <c r="N40236" s="14"/>
      <c r="O40236" s="14"/>
      <c r="P40236" s="13"/>
    </row>
    <row r="40237">
      <c r="L40237" s="13"/>
      <c r="M40237" s="14"/>
      <c r="N40237" s="14"/>
      <c r="O40237" s="14"/>
      <c r="P40237" s="13"/>
    </row>
    <row r="40238">
      <c r="L40238" s="13"/>
      <c r="M40238" s="14"/>
      <c r="N40238" s="14"/>
      <c r="O40238" s="14"/>
      <c r="P40238" s="13"/>
    </row>
    <row r="40239">
      <c r="L40239" s="13"/>
      <c r="M40239" s="14"/>
      <c r="N40239" s="14"/>
      <c r="O40239" s="14"/>
      <c r="P40239" s="13"/>
    </row>
    <row r="40240">
      <c r="L40240" s="13"/>
      <c r="M40240" s="14"/>
      <c r="N40240" s="14"/>
      <c r="O40240" s="14"/>
      <c r="P40240" s="13"/>
    </row>
    <row r="40241">
      <c r="L40241" s="13"/>
      <c r="M40241" s="14"/>
      <c r="N40241" s="14"/>
      <c r="O40241" s="14"/>
      <c r="P40241" s="13"/>
    </row>
    <row r="40242">
      <c r="L40242" s="13"/>
      <c r="M40242" s="14"/>
      <c r="N40242" s="14"/>
      <c r="O40242" s="14"/>
      <c r="P40242" s="13"/>
    </row>
    <row r="40243">
      <c r="L40243" s="13"/>
      <c r="M40243" s="14"/>
      <c r="N40243" s="14"/>
      <c r="O40243" s="14"/>
      <c r="P40243" s="13"/>
    </row>
    <row r="40244">
      <c r="L40244" s="13"/>
      <c r="M40244" s="14"/>
      <c r="N40244" s="14"/>
      <c r="O40244" s="14"/>
      <c r="P40244" s="13"/>
    </row>
    <row r="40245">
      <c r="L40245" s="13"/>
      <c r="M40245" s="14"/>
      <c r="N40245" s="14"/>
      <c r="O40245" s="14"/>
      <c r="P40245" s="13"/>
    </row>
    <row r="40246">
      <c r="L40246" s="13"/>
      <c r="M40246" s="14"/>
      <c r="N40246" s="14"/>
      <c r="O40246" s="14"/>
      <c r="P40246" s="13"/>
    </row>
    <row r="40247">
      <c r="L40247" s="13"/>
      <c r="M40247" s="14"/>
      <c r="N40247" s="14"/>
      <c r="O40247" s="14"/>
      <c r="P40247" s="13"/>
    </row>
    <row r="40248">
      <c r="L40248" s="13"/>
      <c r="M40248" s="14"/>
      <c r="N40248" s="14"/>
      <c r="O40248" s="14"/>
      <c r="P40248" s="13"/>
    </row>
    <row r="40249">
      <c r="L40249" s="13"/>
      <c r="M40249" s="14"/>
      <c r="N40249" s="14"/>
      <c r="O40249" s="14"/>
      <c r="P40249" s="13"/>
    </row>
    <row r="40250">
      <c r="L40250" s="13"/>
      <c r="M40250" s="14"/>
      <c r="N40250" s="14"/>
      <c r="O40250" s="14"/>
      <c r="P40250" s="13"/>
    </row>
    <row r="40251">
      <c r="L40251" s="13"/>
      <c r="M40251" s="14"/>
      <c r="N40251" s="14"/>
      <c r="O40251" s="14"/>
      <c r="P40251" s="13"/>
    </row>
    <row r="40252">
      <c r="L40252" s="13"/>
      <c r="M40252" s="14"/>
      <c r="N40252" s="14"/>
      <c r="O40252" s="14"/>
      <c r="P40252" s="13"/>
    </row>
    <row r="40253">
      <c r="L40253" s="13"/>
      <c r="M40253" s="14"/>
      <c r="N40253" s="14"/>
      <c r="O40253" s="14"/>
      <c r="P40253" s="13"/>
    </row>
    <row r="40254">
      <c r="L40254" s="13"/>
      <c r="M40254" s="14"/>
      <c r="N40254" s="14"/>
      <c r="O40254" s="14"/>
      <c r="P40254" s="13"/>
    </row>
    <row r="40255">
      <c r="L40255" s="13"/>
      <c r="M40255" s="14"/>
      <c r="N40255" s="14"/>
      <c r="O40255" s="14"/>
      <c r="P40255" s="13"/>
    </row>
    <row r="40256">
      <c r="L40256" s="13"/>
      <c r="M40256" s="14"/>
      <c r="N40256" s="14"/>
      <c r="O40256" s="14"/>
      <c r="P40256" s="13"/>
    </row>
    <row r="40257">
      <c r="L40257" s="13"/>
      <c r="M40257" s="14"/>
      <c r="N40257" s="14"/>
      <c r="O40257" s="14"/>
      <c r="P40257" s="13"/>
    </row>
    <row r="40258">
      <c r="L40258" s="13"/>
      <c r="M40258" s="14"/>
      <c r="N40258" s="14"/>
      <c r="O40258" s="14"/>
      <c r="P40258" s="13"/>
    </row>
    <row r="40259">
      <c r="L40259" s="13"/>
      <c r="M40259" s="14"/>
      <c r="N40259" s="14"/>
      <c r="O40259" s="14"/>
      <c r="P40259" s="13"/>
    </row>
    <row r="40260">
      <c r="L40260" s="13"/>
      <c r="M40260" s="14"/>
      <c r="N40260" s="14"/>
      <c r="O40260" s="14"/>
      <c r="P40260" s="13"/>
    </row>
    <row r="40261">
      <c r="L40261" s="13"/>
      <c r="M40261" s="14"/>
      <c r="N40261" s="14"/>
      <c r="O40261" s="14"/>
      <c r="P40261" s="13"/>
    </row>
    <row r="40262">
      <c r="L40262" s="13"/>
      <c r="M40262" s="14"/>
      <c r="N40262" s="14"/>
      <c r="O40262" s="14"/>
      <c r="P40262" s="13"/>
    </row>
    <row r="40263">
      <c r="L40263" s="13"/>
      <c r="M40263" s="14"/>
      <c r="N40263" s="14"/>
      <c r="O40263" s="14"/>
      <c r="P40263" s="13"/>
    </row>
    <row r="40264">
      <c r="L40264" s="13"/>
      <c r="M40264" s="14"/>
      <c r="N40264" s="14"/>
      <c r="O40264" s="14"/>
      <c r="P40264" s="13"/>
    </row>
    <row r="40265">
      <c r="L40265" s="13"/>
      <c r="M40265" s="14"/>
      <c r="N40265" s="14"/>
      <c r="O40265" s="14"/>
      <c r="P40265" s="13"/>
    </row>
    <row r="40266">
      <c r="L40266" s="13"/>
      <c r="M40266" s="14"/>
      <c r="N40266" s="14"/>
      <c r="O40266" s="14"/>
      <c r="P40266" s="13"/>
    </row>
    <row r="40267">
      <c r="L40267" s="13"/>
      <c r="M40267" s="14"/>
      <c r="N40267" s="14"/>
      <c r="O40267" s="14"/>
      <c r="P40267" s="13"/>
    </row>
    <row r="40268">
      <c r="L40268" s="13"/>
      <c r="M40268" s="14"/>
      <c r="N40268" s="14"/>
      <c r="O40268" s="14"/>
      <c r="P40268" s="13"/>
    </row>
    <row r="40269">
      <c r="L40269" s="13"/>
      <c r="M40269" s="14"/>
      <c r="N40269" s="14"/>
      <c r="O40269" s="14"/>
      <c r="P40269" s="13"/>
    </row>
    <row r="40270">
      <c r="L40270" s="13"/>
      <c r="M40270" s="14"/>
      <c r="N40270" s="14"/>
      <c r="O40270" s="14"/>
      <c r="P40270" s="13"/>
    </row>
    <row r="40271">
      <c r="L40271" s="13"/>
      <c r="M40271" s="14"/>
      <c r="N40271" s="14"/>
      <c r="O40271" s="14"/>
      <c r="P40271" s="13"/>
    </row>
    <row r="40272">
      <c r="L40272" s="13"/>
      <c r="M40272" s="14"/>
      <c r="N40272" s="14"/>
      <c r="O40272" s="14"/>
      <c r="P40272" s="13"/>
    </row>
    <row r="40273">
      <c r="L40273" s="13"/>
      <c r="M40273" s="14"/>
      <c r="N40273" s="14"/>
      <c r="O40273" s="14"/>
      <c r="P40273" s="13"/>
    </row>
    <row r="40274">
      <c r="L40274" s="13"/>
      <c r="M40274" s="14"/>
      <c r="N40274" s="14"/>
      <c r="O40274" s="14"/>
      <c r="P40274" s="13"/>
    </row>
    <row r="40275">
      <c r="L40275" s="13"/>
      <c r="M40275" s="14"/>
      <c r="N40275" s="14"/>
      <c r="O40275" s="14"/>
      <c r="P40275" s="13"/>
    </row>
    <row r="40276">
      <c r="L40276" s="13"/>
      <c r="M40276" s="14"/>
      <c r="N40276" s="14"/>
      <c r="O40276" s="14"/>
      <c r="P40276" s="13"/>
    </row>
    <row r="40277">
      <c r="L40277" s="13"/>
      <c r="M40277" s="14"/>
      <c r="N40277" s="14"/>
      <c r="O40277" s="14"/>
      <c r="P40277" s="13"/>
    </row>
    <row r="40278">
      <c r="L40278" s="13"/>
      <c r="M40278" s="14"/>
      <c r="N40278" s="14"/>
      <c r="O40278" s="14"/>
      <c r="P40278" s="13"/>
    </row>
    <row r="40279">
      <c r="L40279" s="13"/>
      <c r="M40279" s="14"/>
      <c r="N40279" s="14"/>
      <c r="O40279" s="14"/>
      <c r="P40279" s="13"/>
    </row>
    <row r="40280">
      <c r="L40280" s="13"/>
      <c r="M40280" s="14"/>
      <c r="N40280" s="14"/>
      <c r="O40280" s="14"/>
      <c r="P40280" s="13"/>
    </row>
    <row r="40281">
      <c r="L40281" s="13"/>
      <c r="M40281" s="14"/>
      <c r="N40281" s="14"/>
      <c r="O40281" s="14"/>
      <c r="P40281" s="13"/>
    </row>
    <row r="40282">
      <c r="L40282" s="13"/>
      <c r="M40282" s="14"/>
      <c r="N40282" s="14"/>
      <c r="O40282" s="14"/>
      <c r="P40282" s="13"/>
    </row>
    <row r="40283">
      <c r="L40283" s="13"/>
      <c r="M40283" s="14"/>
      <c r="N40283" s="14"/>
      <c r="O40283" s="14"/>
      <c r="P40283" s="13"/>
    </row>
    <row r="40284">
      <c r="L40284" s="13"/>
      <c r="M40284" s="14"/>
      <c r="N40284" s="14"/>
      <c r="O40284" s="14"/>
      <c r="P40284" s="13"/>
    </row>
    <row r="40285">
      <c r="L40285" s="13"/>
      <c r="M40285" s="14"/>
      <c r="N40285" s="14"/>
      <c r="O40285" s="14"/>
      <c r="P40285" s="13"/>
    </row>
    <row r="40286">
      <c r="L40286" s="13"/>
      <c r="M40286" s="14"/>
      <c r="N40286" s="14"/>
      <c r="O40286" s="14"/>
      <c r="P40286" s="13"/>
    </row>
    <row r="40287">
      <c r="L40287" s="13"/>
      <c r="M40287" s="14"/>
      <c r="N40287" s="14"/>
      <c r="O40287" s="14"/>
      <c r="P40287" s="13"/>
    </row>
    <row r="40288">
      <c r="L40288" s="13"/>
      <c r="M40288" s="14"/>
      <c r="N40288" s="14"/>
      <c r="O40288" s="14"/>
      <c r="P40288" s="13"/>
    </row>
    <row r="40289">
      <c r="L40289" s="13"/>
      <c r="M40289" s="14"/>
      <c r="N40289" s="14"/>
      <c r="O40289" s="14"/>
      <c r="P40289" s="13"/>
    </row>
    <row r="40290">
      <c r="L40290" s="13"/>
      <c r="M40290" s="14"/>
      <c r="N40290" s="14"/>
      <c r="O40290" s="14"/>
      <c r="P40290" s="13"/>
    </row>
    <row r="40291">
      <c r="L40291" s="13"/>
      <c r="M40291" s="14"/>
      <c r="N40291" s="14"/>
      <c r="O40291" s="14"/>
      <c r="P40291" s="13"/>
    </row>
    <row r="40292">
      <c r="L40292" s="13"/>
      <c r="M40292" s="14"/>
      <c r="N40292" s="14"/>
      <c r="O40292" s="14"/>
      <c r="P40292" s="13"/>
    </row>
    <row r="40293">
      <c r="L40293" s="13"/>
      <c r="M40293" s="14"/>
      <c r="N40293" s="14"/>
      <c r="O40293" s="14"/>
      <c r="P40293" s="13"/>
    </row>
    <row r="40294">
      <c r="L40294" s="13"/>
      <c r="M40294" s="14"/>
      <c r="N40294" s="14"/>
      <c r="O40294" s="14"/>
      <c r="P40294" s="13"/>
    </row>
    <row r="40295">
      <c r="L40295" s="13"/>
      <c r="M40295" s="14"/>
      <c r="N40295" s="14"/>
      <c r="O40295" s="14"/>
      <c r="P40295" s="13"/>
    </row>
    <row r="40296">
      <c r="L40296" s="13"/>
      <c r="M40296" s="14"/>
      <c r="N40296" s="14"/>
      <c r="O40296" s="14"/>
      <c r="P40296" s="13"/>
    </row>
    <row r="40297">
      <c r="L40297" s="13"/>
      <c r="M40297" s="14"/>
      <c r="N40297" s="14"/>
      <c r="O40297" s="14"/>
      <c r="P40297" s="13"/>
    </row>
    <row r="40298">
      <c r="L40298" s="13"/>
      <c r="M40298" s="14"/>
      <c r="N40298" s="14"/>
      <c r="O40298" s="14"/>
      <c r="P40298" s="13"/>
    </row>
    <row r="40299">
      <c r="L40299" s="13"/>
      <c r="M40299" s="14"/>
      <c r="N40299" s="14"/>
      <c r="O40299" s="14"/>
      <c r="P40299" s="13"/>
    </row>
    <row r="40300">
      <c r="L40300" s="13"/>
      <c r="M40300" s="14"/>
      <c r="N40300" s="14"/>
      <c r="O40300" s="14"/>
      <c r="P40300" s="13"/>
    </row>
    <row r="40301">
      <c r="L40301" s="13"/>
      <c r="M40301" s="14"/>
      <c r="N40301" s="14"/>
      <c r="O40301" s="14"/>
      <c r="P40301" s="13"/>
    </row>
    <row r="40302">
      <c r="L40302" s="13"/>
      <c r="M40302" s="14"/>
      <c r="N40302" s="14"/>
      <c r="O40302" s="14"/>
      <c r="P40302" s="13"/>
    </row>
    <row r="40303">
      <c r="L40303" s="13"/>
      <c r="M40303" s="14"/>
      <c r="N40303" s="14"/>
      <c r="O40303" s="14"/>
      <c r="P40303" s="13"/>
    </row>
    <row r="40304">
      <c r="L40304" s="13"/>
      <c r="M40304" s="14"/>
      <c r="N40304" s="14"/>
      <c r="O40304" s="14"/>
      <c r="P40304" s="13"/>
    </row>
    <row r="40305">
      <c r="L40305" s="13"/>
      <c r="M40305" s="14"/>
      <c r="N40305" s="14"/>
      <c r="O40305" s="14"/>
      <c r="P40305" s="13"/>
    </row>
    <row r="40306">
      <c r="L40306" s="13"/>
      <c r="M40306" s="14"/>
      <c r="N40306" s="14"/>
      <c r="O40306" s="14"/>
      <c r="P40306" s="13"/>
    </row>
    <row r="40307">
      <c r="L40307" s="13"/>
      <c r="M40307" s="14"/>
      <c r="N40307" s="14"/>
      <c r="O40307" s="14"/>
      <c r="P40307" s="13"/>
    </row>
    <row r="40308">
      <c r="L40308" s="13"/>
      <c r="M40308" s="14"/>
      <c r="N40308" s="14"/>
      <c r="O40308" s="14"/>
      <c r="P40308" s="13"/>
    </row>
    <row r="40309">
      <c r="L40309" s="13"/>
      <c r="M40309" s="14"/>
      <c r="N40309" s="14"/>
      <c r="O40309" s="14"/>
      <c r="P40309" s="13"/>
    </row>
    <row r="40310">
      <c r="L40310" s="13"/>
      <c r="M40310" s="14"/>
      <c r="N40310" s="14"/>
      <c r="O40310" s="14"/>
      <c r="P40310" s="13"/>
    </row>
    <row r="40311">
      <c r="L40311" s="13"/>
      <c r="M40311" s="14"/>
      <c r="N40311" s="14"/>
      <c r="O40311" s="14"/>
      <c r="P40311" s="13"/>
    </row>
    <row r="40312">
      <c r="L40312" s="13"/>
      <c r="M40312" s="14"/>
      <c r="N40312" s="14"/>
      <c r="O40312" s="14"/>
      <c r="P40312" s="13"/>
    </row>
    <row r="40313">
      <c r="L40313" s="13"/>
      <c r="M40313" s="14"/>
      <c r="N40313" s="14"/>
      <c r="O40313" s="14"/>
      <c r="P40313" s="13"/>
    </row>
    <row r="40314">
      <c r="L40314" s="13"/>
      <c r="M40314" s="14"/>
      <c r="N40314" s="14"/>
      <c r="O40314" s="14"/>
      <c r="P40314" s="13"/>
    </row>
    <row r="40315">
      <c r="L40315" s="13"/>
      <c r="M40315" s="14"/>
      <c r="N40315" s="14"/>
      <c r="O40315" s="14"/>
      <c r="P40315" s="13"/>
    </row>
    <row r="40316">
      <c r="L40316" s="13"/>
      <c r="M40316" s="14"/>
      <c r="N40316" s="14"/>
      <c r="O40316" s="14"/>
      <c r="P40316" s="13"/>
    </row>
    <row r="40317">
      <c r="L40317" s="13"/>
      <c r="M40317" s="14"/>
      <c r="N40317" s="14"/>
      <c r="O40317" s="14"/>
      <c r="P40317" s="13"/>
    </row>
    <row r="40318">
      <c r="L40318" s="13"/>
      <c r="M40318" s="14"/>
      <c r="N40318" s="14"/>
      <c r="O40318" s="14"/>
      <c r="P40318" s="13"/>
    </row>
    <row r="40319">
      <c r="L40319" s="13"/>
      <c r="M40319" s="14"/>
      <c r="N40319" s="14"/>
      <c r="O40319" s="14"/>
      <c r="P40319" s="13"/>
    </row>
    <row r="40320">
      <c r="L40320" s="13"/>
      <c r="M40320" s="14"/>
      <c r="N40320" s="14"/>
      <c r="O40320" s="14"/>
      <c r="P40320" s="13"/>
    </row>
    <row r="40321">
      <c r="L40321" s="13"/>
      <c r="M40321" s="14"/>
      <c r="N40321" s="14"/>
      <c r="O40321" s="14"/>
      <c r="P40321" s="13"/>
    </row>
    <row r="40322">
      <c r="L40322" s="13"/>
      <c r="M40322" s="14"/>
      <c r="N40322" s="14"/>
      <c r="O40322" s="14"/>
      <c r="P40322" s="13"/>
    </row>
    <row r="40323">
      <c r="L40323" s="13"/>
      <c r="M40323" s="14"/>
      <c r="N40323" s="14"/>
      <c r="O40323" s="14"/>
      <c r="P40323" s="13"/>
    </row>
    <row r="40324">
      <c r="L40324" s="13"/>
      <c r="M40324" s="14"/>
      <c r="N40324" s="14"/>
      <c r="O40324" s="14"/>
      <c r="P40324" s="13"/>
    </row>
    <row r="40325">
      <c r="L40325" s="13"/>
      <c r="M40325" s="14"/>
      <c r="N40325" s="14"/>
      <c r="O40325" s="14"/>
      <c r="P40325" s="13"/>
    </row>
    <row r="40326">
      <c r="L40326" s="13"/>
      <c r="M40326" s="14"/>
      <c r="N40326" s="14"/>
      <c r="O40326" s="14"/>
      <c r="P40326" s="13"/>
    </row>
    <row r="40327">
      <c r="L40327" s="13"/>
      <c r="M40327" s="14"/>
      <c r="N40327" s="14"/>
      <c r="O40327" s="14"/>
      <c r="P40327" s="13"/>
    </row>
    <row r="40328">
      <c r="L40328" s="13"/>
      <c r="M40328" s="14"/>
      <c r="N40328" s="14"/>
      <c r="O40328" s="14"/>
      <c r="P40328" s="13"/>
    </row>
    <row r="40329">
      <c r="L40329" s="13"/>
      <c r="M40329" s="14"/>
      <c r="N40329" s="14"/>
      <c r="O40329" s="14"/>
      <c r="P40329" s="13"/>
    </row>
    <row r="40330">
      <c r="L40330" s="13"/>
      <c r="M40330" s="14"/>
      <c r="N40330" s="14"/>
      <c r="O40330" s="14"/>
      <c r="P40330" s="13"/>
    </row>
    <row r="40331">
      <c r="L40331" s="13"/>
      <c r="M40331" s="14"/>
      <c r="N40331" s="14"/>
      <c r="O40331" s="14"/>
      <c r="P40331" s="13"/>
    </row>
    <row r="40332">
      <c r="L40332" s="13"/>
      <c r="M40332" s="14"/>
      <c r="N40332" s="14"/>
      <c r="O40332" s="14"/>
      <c r="P40332" s="13"/>
    </row>
    <row r="40333">
      <c r="L40333" s="13"/>
      <c r="M40333" s="14"/>
      <c r="N40333" s="14"/>
      <c r="O40333" s="14"/>
      <c r="P40333" s="13"/>
    </row>
    <row r="40334">
      <c r="L40334" s="13"/>
      <c r="M40334" s="14"/>
      <c r="N40334" s="14"/>
      <c r="O40334" s="14"/>
      <c r="P40334" s="13"/>
    </row>
    <row r="40335">
      <c r="L40335" s="13"/>
      <c r="M40335" s="14"/>
      <c r="N40335" s="14"/>
      <c r="O40335" s="14"/>
      <c r="P40335" s="13"/>
    </row>
    <row r="40336">
      <c r="L40336" s="13"/>
      <c r="M40336" s="14"/>
      <c r="N40336" s="14"/>
      <c r="O40336" s="14"/>
      <c r="P40336" s="13"/>
    </row>
    <row r="40337">
      <c r="L40337" s="13"/>
      <c r="M40337" s="14"/>
      <c r="N40337" s="14"/>
      <c r="O40337" s="14"/>
      <c r="P40337" s="13"/>
    </row>
    <row r="40338">
      <c r="L40338" s="13"/>
      <c r="M40338" s="14"/>
      <c r="N40338" s="14"/>
      <c r="O40338" s="14"/>
      <c r="P40338" s="13"/>
    </row>
    <row r="40339">
      <c r="L40339" s="13"/>
      <c r="M40339" s="14"/>
      <c r="N40339" s="14"/>
      <c r="O40339" s="14"/>
      <c r="P40339" s="13"/>
    </row>
    <row r="40340">
      <c r="L40340" s="13"/>
      <c r="M40340" s="14"/>
      <c r="N40340" s="14"/>
      <c r="O40340" s="14"/>
      <c r="P40340" s="13"/>
    </row>
    <row r="40341">
      <c r="L40341" s="13"/>
      <c r="M40341" s="14"/>
      <c r="N40341" s="14"/>
      <c r="O40341" s="14"/>
      <c r="P40341" s="13"/>
    </row>
    <row r="40342">
      <c r="L40342" s="13"/>
      <c r="M40342" s="14"/>
      <c r="N40342" s="14"/>
      <c r="O40342" s="14"/>
      <c r="P40342" s="13"/>
    </row>
    <row r="40343">
      <c r="L40343" s="13"/>
      <c r="M40343" s="14"/>
      <c r="N40343" s="14"/>
      <c r="O40343" s="14"/>
      <c r="P40343" s="13"/>
    </row>
    <row r="40344">
      <c r="L40344" s="13"/>
      <c r="M40344" s="14"/>
      <c r="N40344" s="14"/>
      <c r="O40344" s="14"/>
      <c r="P40344" s="13"/>
    </row>
    <row r="40345">
      <c r="L40345" s="13"/>
      <c r="M40345" s="14"/>
      <c r="N40345" s="14"/>
      <c r="O40345" s="14"/>
      <c r="P40345" s="13"/>
    </row>
    <row r="40346">
      <c r="L40346" s="13"/>
      <c r="M40346" s="14"/>
      <c r="N40346" s="14"/>
      <c r="O40346" s="14"/>
      <c r="P40346" s="13"/>
    </row>
    <row r="40347">
      <c r="L40347" s="13"/>
      <c r="M40347" s="14"/>
      <c r="N40347" s="14"/>
      <c r="O40347" s="14"/>
      <c r="P40347" s="13"/>
    </row>
    <row r="40348">
      <c r="L40348" s="13"/>
      <c r="M40348" s="14"/>
      <c r="N40348" s="14"/>
      <c r="O40348" s="14"/>
      <c r="P40348" s="13"/>
    </row>
    <row r="40349">
      <c r="L40349" s="13"/>
      <c r="M40349" s="14"/>
      <c r="N40349" s="14"/>
      <c r="O40349" s="14"/>
      <c r="P40349" s="13"/>
    </row>
    <row r="40350">
      <c r="L40350" s="13"/>
      <c r="M40350" s="14"/>
      <c r="N40350" s="14"/>
      <c r="O40350" s="14"/>
      <c r="P40350" s="13"/>
    </row>
    <row r="40351">
      <c r="L40351" s="13"/>
      <c r="M40351" s="14"/>
      <c r="N40351" s="14"/>
      <c r="O40351" s="14"/>
      <c r="P40351" s="13"/>
    </row>
    <row r="40352">
      <c r="L40352" s="13"/>
      <c r="M40352" s="14"/>
      <c r="N40352" s="14"/>
      <c r="O40352" s="14"/>
      <c r="P40352" s="13"/>
    </row>
    <row r="40353">
      <c r="L40353" s="13"/>
      <c r="M40353" s="14"/>
      <c r="N40353" s="14"/>
      <c r="O40353" s="14"/>
      <c r="P40353" s="13"/>
    </row>
    <row r="40354">
      <c r="L40354" s="13"/>
      <c r="M40354" s="14"/>
      <c r="N40354" s="14"/>
      <c r="O40354" s="14"/>
      <c r="P40354" s="13"/>
    </row>
    <row r="40355">
      <c r="L40355" s="13"/>
      <c r="M40355" s="14"/>
      <c r="N40355" s="14"/>
      <c r="O40355" s="14"/>
      <c r="P40355" s="13"/>
    </row>
    <row r="40356">
      <c r="L40356" s="13"/>
      <c r="M40356" s="14"/>
      <c r="N40356" s="14"/>
      <c r="O40356" s="14"/>
      <c r="P40356" s="13"/>
    </row>
    <row r="40357">
      <c r="L40357" s="13"/>
      <c r="M40357" s="14"/>
      <c r="N40357" s="14"/>
      <c r="O40357" s="14"/>
      <c r="P40357" s="13"/>
    </row>
    <row r="40358">
      <c r="L40358" s="13"/>
      <c r="M40358" s="14"/>
      <c r="N40358" s="14"/>
      <c r="O40358" s="14"/>
      <c r="P40358" s="13"/>
    </row>
    <row r="40359">
      <c r="L40359" s="13"/>
      <c r="M40359" s="14"/>
      <c r="N40359" s="14"/>
      <c r="O40359" s="14"/>
      <c r="P40359" s="13"/>
    </row>
    <row r="40360">
      <c r="L40360" s="13"/>
      <c r="M40360" s="14"/>
      <c r="N40360" s="14"/>
      <c r="O40360" s="14"/>
      <c r="P40360" s="13"/>
    </row>
    <row r="40361">
      <c r="L40361" s="13"/>
      <c r="M40361" s="14"/>
      <c r="N40361" s="14"/>
      <c r="O40361" s="14"/>
      <c r="P40361" s="13"/>
    </row>
    <row r="40362">
      <c r="L40362" s="13"/>
      <c r="M40362" s="14"/>
      <c r="N40362" s="14"/>
      <c r="O40362" s="14"/>
      <c r="P40362" s="13"/>
    </row>
    <row r="40363">
      <c r="L40363" s="13"/>
      <c r="M40363" s="14"/>
      <c r="N40363" s="14"/>
      <c r="O40363" s="14"/>
      <c r="P40363" s="13"/>
    </row>
    <row r="40364">
      <c r="L40364" s="13"/>
      <c r="M40364" s="14"/>
      <c r="N40364" s="14"/>
      <c r="O40364" s="14"/>
      <c r="P40364" s="13"/>
    </row>
    <row r="40365">
      <c r="L40365" s="13"/>
      <c r="M40365" s="14"/>
      <c r="N40365" s="14"/>
      <c r="O40365" s="14"/>
      <c r="P40365" s="13"/>
    </row>
    <row r="40366">
      <c r="L40366" s="13"/>
      <c r="M40366" s="14"/>
      <c r="N40366" s="14"/>
      <c r="O40366" s="14"/>
      <c r="P40366" s="13"/>
    </row>
    <row r="40367">
      <c r="L40367" s="13"/>
      <c r="M40367" s="14"/>
      <c r="N40367" s="14"/>
      <c r="O40367" s="14"/>
      <c r="P40367" s="13"/>
    </row>
    <row r="40368">
      <c r="L40368" s="13"/>
      <c r="M40368" s="14"/>
      <c r="N40368" s="14"/>
      <c r="O40368" s="14"/>
      <c r="P40368" s="13"/>
    </row>
    <row r="40369">
      <c r="L40369" s="13"/>
      <c r="M40369" s="14"/>
      <c r="N40369" s="14"/>
      <c r="O40369" s="14"/>
      <c r="P40369" s="13"/>
    </row>
    <row r="40370">
      <c r="L40370" s="13"/>
      <c r="M40370" s="14"/>
      <c r="N40370" s="14"/>
      <c r="O40370" s="14"/>
      <c r="P40370" s="13"/>
    </row>
    <row r="40371">
      <c r="L40371" s="13"/>
      <c r="M40371" s="14"/>
      <c r="N40371" s="14"/>
      <c r="O40371" s="14"/>
      <c r="P40371" s="13"/>
    </row>
    <row r="40372">
      <c r="L40372" s="13"/>
      <c r="M40372" s="14"/>
      <c r="N40372" s="14"/>
      <c r="O40372" s="14"/>
      <c r="P40372" s="13"/>
    </row>
    <row r="40373">
      <c r="L40373" s="13"/>
      <c r="M40373" s="14"/>
      <c r="N40373" s="14"/>
      <c r="O40373" s="14"/>
      <c r="P40373" s="13"/>
    </row>
    <row r="40374">
      <c r="L40374" s="13"/>
      <c r="M40374" s="14"/>
      <c r="N40374" s="14"/>
      <c r="O40374" s="14"/>
      <c r="P40374" s="13"/>
    </row>
    <row r="40375">
      <c r="L40375" s="13"/>
      <c r="M40375" s="14"/>
      <c r="N40375" s="14"/>
      <c r="O40375" s="14"/>
      <c r="P40375" s="13"/>
    </row>
    <row r="40376">
      <c r="L40376" s="13"/>
      <c r="M40376" s="14"/>
      <c r="N40376" s="14"/>
      <c r="O40376" s="14"/>
      <c r="P40376" s="13"/>
    </row>
    <row r="40377">
      <c r="L40377" s="13"/>
      <c r="M40377" s="14"/>
      <c r="N40377" s="14"/>
      <c r="O40377" s="14"/>
      <c r="P40377" s="13"/>
    </row>
    <row r="40378">
      <c r="L40378" s="13"/>
      <c r="M40378" s="14"/>
      <c r="N40378" s="14"/>
      <c r="O40378" s="14"/>
      <c r="P40378" s="13"/>
    </row>
    <row r="40379">
      <c r="L40379" s="13"/>
      <c r="M40379" s="14"/>
      <c r="N40379" s="14"/>
      <c r="O40379" s="14"/>
      <c r="P40379" s="13"/>
    </row>
    <row r="40380">
      <c r="L40380" s="13"/>
      <c r="M40380" s="14"/>
      <c r="N40380" s="14"/>
      <c r="O40380" s="14"/>
      <c r="P40380" s="13"/>
    </row>
    <row r="40381">
      <c r="L40381" s="13"/>
      <c r="M40381" s="14"/>
      <c r="N40381" s="14"/>
      <c r="O40381" s="14"/>
      <c r="P40381" s="13"/>
    </row>
    <row r="40382">
      <c r="L40382" s="13"/>
      <c r="M40382" s="14"/>
      <c r="N40382" s="14"/>
      <c r="O40382" s="14"/>
      <c r="P40382" s="13"/>
    </row>
    <row r="40383">
      <c r="L40383" s="13"/>
      <c r="M40383" s="14"/>
      <c r="N40383" s="14"/>
      <c r="O40383" s="14"/>
      <c r="P40383" s="13"/>
    </row>
    <row r="40384">
      <c r="L40384" s="13"/>
      <c r="M40384" s="14"/>
      <c r="N40384" s="14"/>
      <c r="O40384" s="14"/>
      <c r="P40384" s="13"/>
    </row>
    <row r="40385">
      <c r="L40385" s="13"/>
      <c r="M40385" s="14"/>
      <c r="N40385" s="14"/>
      <c r="O40385" s="14"/>
      <c r="P40385" s="13"/>
    </row>
    <row r="40386">
      <c r="L40386" s="13"/>
      <c r="M40386" s="14"/>
      <c r="N40386" s="14"/>
      <c r="O40386" s="14"/>
      <c r="P40386" s="13"/>
    </row>
    <row r="40387">
      <c r="L40387" s="13"/>
      <c r="M40387" s="14"/>
      <c r="N40387" s="14"/>
      <c r="O40387" s="14"/>
      <c r="P40387" s="13"/>
    </row>
    <row r="40388">
      <c r="L40388" s="13"/>
      <c r="M40388" s="14"/>
      <c r="N40388" s="14"/>
      <c r="O40388" s="14"/>
      <c r="P40388" s="13"/>
    </row>
    <row r="40389">
      <c r="L40389" s="13"/>
      <c r="M40389" s="14"/>
      <c r="N40389" s="14"/>
      <c r="O40389" s="14"/>
      <c r="P40389" s="13"/>
    </row>
    <row r="40390">
      <c r="L40390" s="13"/>
      <c r="M40390" s="14"/>
      <c r="N40390" s="14"/>
      <c r="O40390" s="14"/>
      <c r="P40390" s="13"/>
    </row>
    <row r="40391">
      <c r="L40391" s="13"/>
      <c r="M40391" s="14"/>
      <c r="N40391" s="14"/>
      <c r="O40391" s="14"/>
      <c r="P40391" s="13"/>
    </row>
    <row r="40392">
      <c r="L40392" s="13"/>
      <c r="M40392" s="14"/>
      <c r="N40392" s="14"/>
      <c r="O40392" s="14"/>
      <c r="P40392" s="13"/>
    </row>
    <row r="40393">
      <c r="L40393" s="13"/>
      <c r="M40393" s="14"/>
      <c r="N40393" s="14"/>
      <c r="O40393" s="14"/>
      <c r="P40393" s="13"/>
    </row>
    <row r="40394">
      <c r="L40394" s="13"/>
      <c r="M40394" s="14"/>
      <c r="N40394" s="14"/>
      <c r="O40394" s="14"/>
      <c r="P40394" s="13"/>
    </row>
    <row r="40395">
      <c r="L40395" s="13"/>
      <c r="M40395" s="14"/>
      <c r="N40395" s="14"/>
      <c r="O40395" s="14"/>
      <c r="P40395" s="13"/>
    </row>
    <row r="40396">
      <c r="L40396" s="13"/>
      <c r="M40396" s="14"/>
      <c r="N40396" s="14"/>
      <c r="O40396" s="14"/>
      <c r="P40396" s="13"/>
    </row>
    <row r="40397">
      <c r="L40397" s="13"/>
      <c r="M40397" s="14"/>
      <c r="N40397" s="14"/>
      <c r="O40397" s="14"/>
      <c r="P40397" s="13"/>
    </row>
    <row r="40398">
      <c r="L40398" s="13"/>
      <c r="M40398" s="14"/>
      <c r="N40398" s="14"/>
      <c r="O40398" s="14"/>
      <c r="P40398" s="13"/>
    </row>
    <row r="40399">
      <c r="L40399" s="13"/>
      <c r="M40399" s="14"/>
      <c r="N40399" s="14"/>
      <c r="O40399" s="14"/>
      <c r="P40399" s="13"/>
    </row>
    <row r="40400">
      <c r="L40400" s="13"/>
      <c r="M40400" s="14"/>
      <c r="N40400" s="14"/>
      <c r="O40400" s="14"/>
      <c r="P40400" s="13"/>
    </row>
    <row r="40401">
      <c r="L40401" s="13"/>
      <c r="M40401" s="14"/>
      <c r="N40401" s="14"/>
      <c r="O40401" s="14"/>
      <c r="P40401" s="13"/>
    </row>
    <row r="40402">
      <c r="L40402" s="13"/>
      <c r="M40402" s="14"/>
      <c r="N40402" s="14"/>
      <c r="O40402" s="14"/>
      <c r="P40402" s="13"/>
    </row>
    <row r="40403">
      <c r="L40403" s="13"/>
      <c r="M40403" s="14"/>
      <c r="N40403" s="14"/>
      <c r="O40403" s="14"/>
      <c r="P40403" s="13"/>
    </row>
    <row r="40404">
      <c r="L40404" s="13"/>
      <c r="M40404" s="14"/>
      <c r="N40404" s="14"/>
      <c r="O40404" s="14"/>
      <c r="P40404" s="13"/>
    </row>
    <row r="40405">
      <c r="L40405" s="13"/>
      <c r="M40405" s="14"/>
      <c r="N40405" s="14"/>
      <c r="O40405" s="14"/>
      <c r="P40405" s="13"/>
    </row>
    <row r="40406">
      <c r="L40406" s="13"/>
      <c r="M40406" s="14"/>
      <c r="N40406" s="14"/>
      <c r="O40406" s="14"/>
      <c r="P40406" s="13"/>
    </row>
    <row r="40407">
      <c r="L40407" s="13"/>
      <c r="M40407" s="14"/>
      <c r="N40407" s="14"/>
      <c r="O40407" s="14"/>
      <c r="P40407" s="13"/>
    </row>
    <row r="40408">
      <c r="L40408" s="13"/>
      <c r="M40408" s="14"/>
      <c r="N40408" s="14"/>
      <c r="O40408" s="14"/>
      <c r="P40408" s="13"/>
    </row>
    <row r="40409">
      <c r="L40409" s="13"/>
      <c r="M40409" s="14"/>
      <c r="N40409" s="14"/>
      <c r="O40409" s="14"/>
      <c r="P40409" s="13"/>
    </row>
    <row r="40410">
      <c r="L40410" s="13"/>
      <c r="M40410" s="14"/>
      <c r="N40410" s="14"/>
      <c r="O40410" s="14"/>
      <c r="P40410" s="13"/>
    </row>
    <row r="40411">
      <c r="L40411" s="13"/>
      <c r="M40411" s="14"/>
      <c r="N40411" s="14"/>
      <c r="O40411" s="14"/>
      <c r="P40411" s="13"/>
    </row>
    <row r="40412">
      <c r="L40412" s="13"/>
      <c r="M40412" s="14"/>
      <c r="N40412" s="14"/>
      <c r="O40412" s="14"/>
      <c r="P40412" s="13"/>
    </row>
    <row r="40413">
      <c r="L40413" s="13"/>
      <c r="M40413" s="14"/>
      <c r="N40413" s="14"/>
      <c r="O40413" s="14"/>
      <c r="P40413" s="13"/>
    </row>
    <row r="40414">
      <c r="L40414" s="13"/>
      <c r="M40414" s="14"/>
      <c r="N40414" s="14"/>
      <c r="O40414" s="14"/>
      <c r="P40414" s="13"/>
    </row>
    <row r="40415">
      <c r="L40415" s="13"/>
      <c r="M40415" s="14"/>
      <c r="N40415" s="14"/>
      <c r="O40415" s="14"/>
      <c r="P40415" s="13"/>
    </row>
    <row r="40416">
      <c r="L40416" s="13"/>
      <c r="M40416" s="14"/>
      <c r="N40416" s="14"/>
      <c r="O40416" s="14"/>
      <c r="P40416" s="13"/>
    </row>
    <row r="40417">
      <c r="L40417" s="13"/>
      <c r="M40417" s="14"/>
      <c r="N40417" s="14"/>
      <c r="O40417" s="14"/>
      <c r="P40417" s="13"/>
    </row>
    <row r="40418">
      <c r="L40418" s="13"/>
      <c r="M40418" s="14"/>
      <c r="N40418" s="14"/>
      <c r="O40418" s="14"/>
      <c r="P40418" s="13"/>
    </row>
    <row r="40419">
      <c r="L40419" s="13"/>
      <c r="M40419" s="14"/>
      <c r="N40419" s="14"/>
      <c r="O40419" s="14"/>
      <c r="P40419" s="13"/>
    </row>
    <row r="40420">
      <c r="L40420" s="13"/>
      <c r="M40420" s="14"/>
      <c r="N40420" s="14"/>
      <c r="O40420" s="14"/>
      <c r="P40420" s="13"/>
    </row>
    <row r="40421">
      <c r="L40421" s="13"/>
      <c r="M40421" s="14"/>
      <c r="N40421" s="14"/>
      <c r="O40421" s="14"/>
      <c r="P40421" s="13"/>
    </row>
    <row r="40422">
      <c r="L40422" s="13"/>
      <c r="M40422" s="14"/>
      <c r="N40422" s="14"/>
      <c r="O40422" s="14"/>
      <c r="P40422" s="13"/>
    </row>
    <row r="40423">
      <c r="L40423" s="13"/>
      <c r="M40423" s="14"/>
      <c r="N40423" s="14"/>
      <c r="O40423" s="14"/>
      <c r="P40423" s="13"/>
    </row>
    <row r="40424">
      <c r="L40424" s="13"/>
      <c r="M40424" s="14"/>
      <c r="N40424" s="14"/>
      <c r="O40424" s="14"/>
      <c r="P40424" s="13"/>
    </row>
    <row r="40425">
      <c r="L40425" s="13"/>
      <c r="M40425" s="14"/>
      <c r="N40425" s="14"/>
      <c r="O40425" s="14"/>
      <c r="P40425" s="13"/>
    </row>
    <row r="40426">
      <c r="L40426" s="13"/>
      <c r="M40426" s="14"/>
      <c r="N40426" s="14"/>
      <c r="O40426" s="14"/>
      <c r="P40426" s="13"/>
    </row>
    <row r="40427">
      <c r="L40427" s="13"/>
      <c r="M40427" s="14"/>
      <c r="N40427" s="14"/>
      <c r="O40427" s="14"/>
      <c r="P40427" s="13"/>
    </row>
    <row r="40428">
      <c r="L40428" s="13"/>
      <c r="M40428" s="14"/>
      <c r="N40428" s="14"/>
      <c r="O40428" s="14"/>
      <c r="P40428" s="13"/>
    </row>
    <row r="40429">
      <c r="L40429" s="13"/>
      <c r="M40429" s="14"/>
      <c r="N40429" s="14"/>
      <c r="O40429" s="14"/>
      <c r="P40429" s="13"/>
    </row>
    <row r="40430">
      <c r="L40430" s="13"/>
      <c r="M40430" s="14"/>
      <c r="N40430" s="14"/>
      <c r="O40430" s="14"/>
      <c r="P40430" s="13"/>
    </row>
    <row r="40431">
      <c r="L40431" s="13"/>
      <c r="M40431" s="14"/>
      <c r="N40431" s="14"/>
      <c r="O40431" s="14"/>
      <c r="P40431" s="13"/>
    </row>
    <row r="40432">
      <c r="L40432" s="13"/>
      <c r="M40432" s="14"/>
      <c r="N40432" s="14"/>
      <c r="O40432" s="14"/>
      <c r="P40432" s="13"/>
    </row>
    <row r="40433">
      <c r="L40433" s="13"/>
      <c r="M40433" s="14"/>
      <c r="N40433" s="14"/>
      <c r="O40433" s="14"/>
      <c r="P40433" s="13"/>
    </row>
    <row r="40434">
      <c r="L40434" s="13"/>
      <c r="M40434" s="14"/>
      <c r="N40434" s="14"/>
      <c r="O40434" s="14"/>
      <c r="P40434" s="13"/>
    </row>
    <row r="40435">
      <c r="L40435" s="13"/>
      <c r="M40435" s="14"/>
      <c r="N40435" s="14"/>
      <c r="O40435" s="14"/>
      <c r="P40435" s="13"/>
    </row>
    <row r="40436">
      <c r="L40436" s="13"/>
      <c r="M40436" s="14"/>
      <c r="N40436" s="14"/>
      <c r="O40436" s="14"/>
      <c r="P40436" s="13"/>
    </row>
    <row r="40437">
      <c r="L40437" s="13"/>
      <c r="M40437" s="14"/>
      <c r="N40437" s="14"/>
      <c r="O40437" s="14"/>
      <c r="P40437" s="13"/>
    </row>
    <row r="40438">
      <c r="L40438" s="13"/>
      <c r="M40438" s="14"/>
      <c r="N40438" s="14"/>
      <c r="O40438" s="14"/>
      <c r="P40438" s="13"/>
    </row>
    <row r="40439">
      <c r="L40439" s="13"/>
      <c r="M40439" s="14"/>
      <c r="N40439" s="14"/>
      <c r="O40439" s="14"/>
      <c r="P40439" s="13"/>
    </row>
    <row r="40440">
      <c r="L40440" s="13"/>
      <c r="M40440" s="14"/>
      <c r="N40440" s="14"/>
      <c r="O40440" s="14"/>
      <c r="P40440" s="13"/>
    </row>
    <row r="40441">
      <c r="L40441" s="13"/>
      <c r="M40441" s="14"/>
      <c r="N40441" s="14"/>
      <c r="O40441" s="14"/>
      <c r="P40441" s="13"/>
    </row>
    <row r="40442">
      <c r="L40442" s="13"/>
      <c r="M40442" s="14"/>
      <c r="N40442" s="14"/>
      <c r="O40442" s="14"/>
      <c r="P40442" s="13"/>
    </row>
    <row r="40443">
      <c r="L40443" s="13"/>
      <c r="M40443" s="14"/>
      <c r="N40443" s="14"/>
      <c r="O40443" s="14"/>
      <c r="P40443" s="13"/>
    </row>
    <row r="40444">
      <c r="L40444" s="13"/>
      <c r="M40444" s="14"/>
      <c r="N40444" s="14"/>
      <c r="O40444" s="14"/>
      <c r="P40444" s="13"/>
    </row>
    <row r="40445">
      <c r="L40445" s="13"/>
      <c r="M40445" s="14"/>
      <c r="N40445" s="14"/>
      <c r="O40445" s="14"/>
      <c r="P40445" s="13"/>
    </row>
    <row r="40446">
      <c r="L40446" s="13"/>
      <c r="M40446" s="14"/>
      <c r="N40446" s="14"/>
      <c r="O40446" s="14"/>
      <c r="P40446" s="13"/>
    </row>
    <row r="40447">
      <c r="L40447" s="13"/>
      <c r="M40447" s="14"/>
      <c r="N40447" s="14"/>
      <c r="O40447" s="14"/>
      <c r="P40447" s="13"/>
    </row>
    <row r="40448">
      <c r="L40448" s="13"/>
      <c r="M40448" s="14"/>
      <c r="N40448" s="14"/>
      <c r="O40448" s="14"/>
      <c r="P40448" s="13"/>
    </row>
    <row r="40449">
      <c r="L40449" s="13"/>
      <c r="M40449" s="14"/>
      <c r="N40449" s="14"/>
      <c r="O40449" s="14"/>
      <c r="P40449" s="13"/>
    </row>
    <row r="40450">
      <c r="L40450" s="13"/>
      <c r="M40450" s="14"/>
      <c r="N40450" s="14"/>
      <c r="O40450" s="14"/>
      <c r="P40450" s="13"/>
    </row>
    <row r="40451">
      <c r="L40451" s="13"/>
      <c r="M40451" s="14"/>
      <c r="N40451" s="14"/>
      <c r="O40451" s="14"/>
      <c r="P40451" s="13"/>
    </row>
    <row r="40452">
      <c r="L40452" s="13"/>
      <c r="M40452" s="14"/>
      <c r="N40452" s="14"/>
      <c r="O40452" s="14"/>
      <c r="P40452" s="13"/>
    </row>
    <row r="40453">
      <c r="L40453" s="13"/>
      <c r="M40453" s="14"/>
      <c r="N40453" s="14"/>
      <c r="O40453" s="14"/>
      <c r="P40453" s="13"/>
    </row>
    <row r="40454">
      <c r="L40454" s="13"/>
      <c r="M40454" s="14"/>
      <c r="N40454" s="14"/>
      <c r="O40454" s="14"/>
      <c r="P40454" s="13"/>
    </row>
    <row r="40455">
      <c r="L40455" s="13"/>
      <c r="M40455" s="14"/>
      <c r="N40455" s="14"/>
      <c r="O40455" s="14"/>
      <c r="P40455" s="13"/>
    </row>
    <row r="40456">
      <c r="L40456" s="13"/>
      <c r="M40456" s="14"/>
      <c r="N40456" s="14"/>
      <c r="O40456" s="14"/>
      <c r="P40456" s="13"/>
    </row>
    <row r="40457">
      <c r="L40457" s="13"/>
      <c r="M40457" s="14"/>
      <c r="N40457" s="14"/>
      <c r="O40457" s="14"/>
      <c r="P40457" s="13"/>
    </row>
    <row r="40458">
      <c r="L40458" s="13"/>
      <c r="M40458" s="14"/>
      <c r="N40458" s="14"/>
      <c r="O40458" s="14"/>
      <c r="P40458" s="13"/>
    </row>
    <row r="40459">
      <c r="L40459" s="13"/>
      <c r="M40459" s="14"/>
      <c r="N40459" s="14"/>
      <c r="O40459" s="14"/>
      <c r="P40459" s="13"/>
    </row>
    <row r="40460">
      <c r="L40460" s="13"/>
      <c r="M40460" s="14"/>
      <c r="N40460" s="14"/>
      <c r="O40460" s="14"/>
      <c r="P40460" s="13"/>
    </row>
    <row r="40461">
      <c r="L40461" s="13"/>
      <c r="M40461" s="14"/>
      <c r="N40461" s="14"/>
      <c r="O40461" s="14"/>
      <c r="P40461" s="13"/>
    </row>
    <row r="40462">
      <c r="L40462" s="13"/>
      <c r="M40462" s="14"/>
      <c r="N40462" s="14"/>
      <c r="O40462" s="14"/>
      <c r="P40462" s="13"/>
    </row>
    <row r="40463">
      <c r="L40463" s="13"/>
      <c r="M40463" s="14"/>
      <c r="N40463" s="14"/>
      <c r="O40463" s="14"/>
      <c r="P40463" s="13"/>
    </row>
    <row r="40464">
      <c r="L40464" s="13"/>
      <c r="M40464" s="14"/>
      <c r="N40464" s="14"/>
      <c r="O40464" s="14"/>
      <c r="P40464" s="13"/>
    </row>
    <row r="40465">
      <c r="L40465" s="13"/>
      <c r="M40465" s="14"/>
      <c r="N40465" s="14"/>
      <c r="O40465" s="14"/>
      <c r="P40465" s="13"/>
    </row>
    <row r="40466">
      <c r="L40466" s="13"/>
      <c r="M40466" s="14"/>
      <c r="N40466" s="14"/>
      <c r="O40466" s="14"/>
      <c r="P40466" s="13"/>
    </row>
    <row r="40467">
      <c r="L40467" s="13"/>
      <c r="M40467" s="14"/>
      <c r="N40467" s="14"/>
      <c r="O40467" s="14"/>
      <c r="P40467" s="13"/>
    </row>
    <row r="40468">
      <c r="L40468" s="13"/>
      <c r="M40468" s="14"/>
      <c r="N40468" s="14"/>
      <c r="O40468" s="14"/>
      <c r="P40468" s="13"/>
    </row>
    <row r="40469">
      <c r="L40469" s="13"/>
      <c r="M40469" s="14"/>
      <c r="N40469" s="14"/>
      <c r="O40469" s="14"/>
      <c r="P40469" s="13"/>
    </row>
    <row r="40470">
      <c r="L40470" s="13"/>
      <c r="M40470" s="14"/>
      <c r="N40470" s="14"/>
      <c r="O40470" s="14"/>
      <c r="P40470" s="13"/>
    </row>
    <row r="40471">
      <c r="L40471" s="13"/>
      <c r="M40471" s="14"/>
      <c r="N40471" s="14"/>
      <c r="O40471" s="14"/>
      <c r="P40471" s="13"/>
    </row>
    <row r="40472">
      <c r="L40472" s="13"/>
      <c r="M40472" s="14"/>
      <c r="N40472" s="14"/>
      <c r="O40472" s="14"/>
      <c r="P40472" s="13"/>
    </row>
    <row r="40473">
      <c r="L40473" s="13"/>
      <c r="M40473" s="14"/>
      <c r="N40473" s="14"/>
      <c r="O40473" s="14"/>
      <c r="P40473" s="13"/>
    </row>
    <row r="40474">
      <c r="L40474" s="13"/>
      <c r="M40474" s="14"/>
      <c r="N40474" s="14"/>
      <c r="O40474" s="14"/>
      <c r="P40474" s="13"/>
    </row>
    <row r="40475">
      <c r="L40475" s="13"/>
      <c r="M40475" s="14"/>
      <c r="N40475" s="14"/>
      <c r="O40475" s="14"/>
      <c r="P40475" s="13"/>
    </row>
    <row r="40476">
      <c r="L40476" s="13"/>
      <c r="M40476" s="14"/>
      <c r="N40476" s="14"/>
      <c r="O40476" s="14"/>
      <c r="P40476" s="13"/>
    </row>
    <row r="40477">
      <c r="L40477" s="13"/>
      <c r="M40477" s="14"/>
      <c r="N40477" s="14"/>
      <c r="O40477" s="14"/>
      <c r="P40477" s="13"/>
    </row>
    <row r="40478">
      <c r="L40478" s="13"/>
      <c r="M40478" s="14"/>
      <c r="N40478" s="14"/>
      <c r="O40478" s="14"/>
      <c r="P40478" s="13"/>
    </row>
    <row r="40479">
      <c r="L40479" s="13"/>
      <c r="M40479" s="14"/>
      <c r="N40479" s="14"/>
      <c r="O40479" s="14"/>
      <c r="P40479" s="13"/>
    </row>
    <row r="40480">
      <c r="L40480" s="13"/>
      <c r="M40480" s="14"/>
      <c r="N40480" s="14"/>
      <c r="O40480" s="14"/>
      <c r="P40480" s="13"/>
    </row>
    <row r="40481">
      <c r="L40481" s="13"/>
      <c r="M40481" s="14"/>
      <c r="N40481" s="14"/>
      <c r="O40481" s="14"/>
      <c r="P40481" s="13"/>
    </row>
    <row r="40482">
      <c r="L40482" s="13"/>
      <c r="M40482" s="14"/>
      <c r="N40482" s="14"/>
      <c r="O40482" s="14"/>
      <c r="P40482" s="13"/>
    </row>
    <row r="40483">
      <c r="L40483" s="13"/>
      <c r="M40483" s="14"/>
      <c r="N40483" s="14"/>
      <c r="O40483" s="14"/>
      <c r="P40483" s="13"/>
    </row>
    <row r="40484">
      <c r="L40484" s="13"/>
      <c r="M40484" s="14"/>
      <c r="N40484" s="14"/>
      <c r="O40484" s="14"/>
      <c r="P40484" s="13"/>
    </row>
    <row r="40485">
      <c r="L40485" s="13"/>
      <c r="M40485" s="14"/>
      <c r="N40485" s="14"/>
      <c r="O40485" s="14"/>
      <c r="P40485" s="13"/>
    </row>
    <row r="40486">
      <c r="L40486" s="13"/>
      <c r="M40486" s="14"/>
      <c r="N40486" s="14"/>
      <c r="O40486" s="14"/>
      <c r="P40486" s="13"/>
    </row>
    <row r="40487">
      <c r="L40487" s="13"/>
      <c r="M40487" s="14"/>
      <c r="N40487" s="14"/>
      <c r="O40487" s="14"/>
      <c r="P40487" s="13"/>
    </row>
    <row r="40488">
      <c r="L40488" s="13"/>
      <c r="M40488" s="14"/>
      <c r="N40488" s="14"/>
      <c r="O40488" s="14"/>
      <c r="P40488" s="13"/>
    </row>
    <row r="40489">
      <c r="L40489" s="13"/>
      <c r="M40489" s="14"/>
      <c r="N40489" s="14"/>
      <c r="O40489" s="14"/>
      <c r="P40489" s="13"/>
    </row>
    <row r="40490">
      <c r="L40490" s="13"/>
      <c r="M40490" s="14"/>
      <c r="N40490" s="14"/>
      <c r="O40490" s="14"/>
      <c r="P40490" s="13"/>
    </row>
    <row r="40491">
      <c r="L40491" s="13"/>
      <c r="M40491" s="14"/>
      <c r="N40491" s="14"/>
      <c r="O40491" s="14"/>
      <c r="P40491" s="13"/>
    </row>
    <row r="40492">
      <c r="L40492" s="13"/>
      <c r="M40492" s="14"/>
      <c r="N40492" s="14"/>
      <c r="O40492" s="14"/>
      <c r="P40492" s="13"/>
    </row>
    <row r="40493">
      <c r="L40493" s="13"/>
      <c r="M40493" s="14"/>
      <c r="N40493" s="14"/>
      <c r="O40493" s="14"/>
      <c r="P40493" s="13"/>
    </row>
    <row r="40494">
      <c r="L40494" s="13"/>
      <c r="M40494" s="14"/>
      <c r="N40494" s="14"/>
      <c r="O40494" s="14"/>
      <c r="P40494" s="13"/>
    </row>
    <row r="40495">
      <c r="L40495" s="13"/>
      <c r="M40495" s="14"/>
      <c r="N40495" s="14"/>
      <c r="O40495" s="14"/>
      <c r="P40495" s="13"/>
    </row>
    <row r="40496">
      <c r="L40496" s="13"/>
      <c r="M40496" s="14"/>
      <c r="N40496" s="14"/>
      <c r="O40496" s="14"/>
      <c r="P40496" s="13"/>
    </row>
    <row r="40497">
      <c r="L40497" s="13"/>
      <c r="M40497" s="14"/>
      <c r="N40497" s="14"/>
      <c r="O40497" s="14"/>
      <c r="P40497" s="13"/>
    </row>
    <row r="40498">
      <c r="L40498" s="13"/>
      <c r="M40498" s="14"/>
      <c r="N40498" s="14"/>
      <c r="O40498" s="14"/>
      <c r="P40498" s="13"/>
    </row>
    <row r="40499">
      <c r="L40499" s="13"/>
      <c r="M40499" s="14"/>
      <c r="N40499" s="14"/>
      <c r="O40499" s="14"/>
      <c r="P40499" s="13"/>
    </row>
    <row r="40500">
      <c r="L40500" s="13"/>
      <c r="M40500" s="14"/>
      <c r="N40500" s="14"/>
      <c r="O40500" s="14"/>
      <c r="P40500" s="13"/>
    </row>
    <row r="40501">
      <c r="L40501" s="13"/>
      <c r="M40501" s="14"/>
      <c r="N40501" s="14"/>
      <c r="O40501" s="14"/>
      <c r="P40501" s="13"/>
    </row>
    <row r="40502">
      <c r="L40502" s="13"/>
      <c r="M40502" s="14"/>
      <c r="N40502" s="14"/>
      <c r="O40502" s="14"/>
      <c r="P40502" s="13"/>
    </row>
    <row r="40503">
      <c r="L40503" s="13"/>
      <c r="M40503" s="14"/>
      <c r="N40503" s="14"/>
      <c r="O40503" s="14"/>
      <c r="P40503" s="13"/>
    </row>
    <row r="40504">
      <c r="L40504" s="13"/>
      <c r="M40504" s="14"/>
      <c r="N40504" s="14"/>
      <c r="O40504" s="14"/>
      <c r="P40504" s="13"/>
    </row>
    <row r="40505">
      <c r="L40505" s="13"/>
      <c r="M40505" s="14"/>
      <c r="N40505" s="14"/>
      <c r="O40505" s="14"/>
      <c r="P40505" s="13"/>
    </row>
    <row r="40506">
      <c r="L40506" s="13"/>
      <c r="M40506" s="14"/>
      <c r="N40506" s="14"/>
      <c r="O40506" s="14"/>
      <c r="P40506" s="13"/>
    </row>
    <row r="40507">
      <c r="L40507" s="13"/>
      <c r="M40507" s="14"/>
      <c r="N40507" s="14"/>
      <c r="O40507" s="14"/>
      <c r="P40507" s="13"/>
    </row>
    <row r="40508">
      <c r="L40508" s="13"/>
      <c r="M40508" s="14"/>
      <c r="N40508" s="14"/>
      <c r="O40508" s="14"/>
      <c r="P40508" s="13"/>
    </row>
    <row r="40509">
      <c r="L40509" s="13"/>
      <c r="M40509" s="14"/>
      <c r="N40509" s="14"/>
      <c r="O40509" s="14"/>
      <c r="P40509" s="13"/>
    </row>
    <row r="40510">
      <c r="L40510" s="13"/>
      <c r="M40510" s="14"/>
      <c r="N40510" s="14"/>
      <c r="O40510" s="14"/>
      <c r="P40510" s="13"/>
    </row>
    <row r="40511">
      <c r="L40511" s="13"/>
      <c r="M40511" s="14"/>
      <c r="N40511" s="14"/>
      <c r="O40511" s="14"/>
      <c r="P40511" s="13"/>
    </row>
    <row r="40512">
      <c r="L40512" s="13"/>
      <c r="M40512" s="14"/>
      <c r="N40512" s="14"/>
      <c r="O40512" s="14"/>
      <c r="P40512" s="13"/>
    </row>
    <row r="40513">
      <c r="L40513" s="13"/>
      <c r="M40513" s="14"/>
      <c r="N40513" s="14"/>
      <c r="O40513" s="14"/>
      <c r="P40513" s="13"/>
    </row>
    <row r="40514">
      <c r="L40514" s="13"/>
      <c r="M40514" s="14"/>
      <c r="N40514" s="14"/>
      <c r="O40514" s="14"/>
      <c r="P40514" s="13"/>
    </row>
    <row r="40515">
      <c r="L40515" s="13"/>
      <c r="M40515" s="14"/>
      <c r="N40515" s="14"/>
      <c r="O40515" s="14"/>
      <c r="P40515" s="13"/>
    </row>
    <row r="40516">
      <c r="L40516" s="13"/>
      <c r="M40516" s="14"/>
      <c r="N40516" s="14"/>
      <c r="O40516" s="14"/>
      <c r="P40516" s="13"/>
    </row>
    <row r="40517">
      <c r="L40517" s="13"/>
      <c r="M40517" s="14"/>
      <c r="N40517" s="14"/>
      <c r="O40517" s="14"/>
      <c r="P40517" s="13"/>
    </row>
    <row r="40518">
      <c r="L40518" s="13"/>
      <c r="M40518" s="14"/>
      <c r="N40518" s="14"/>
      <c r="O40518" s="14"/>
      <c r="P40518" s="13"/>
    </row>
    <row r="40519">
      <c r="L40519" s="13"/>
      <c r="M40519" s="14"/>
      <c r="N40519" s="14"/>
      <c r="O40519" s="14"/>
      <c r="P40519" s="13"/>
    </row>
    <row r="40520">
      <c r="L40520" s="13"/>
      <c r="M40520" s="14"/>
      <c r="N40520" s="14"/>
      <c r="O40520" s="14"/>
      <c r="P40520" s="13"/>
    </row>
    <row r="40521">
      <c r="L40521" s="13"/>
      <c r="M40521" s="14"/>
      <c r="N40521" s="14"/>
      <c r="O40521" s="14"/>
      <c r="P40521" s="13"/>
    </row>
    <row r="40522">
      <c r="L40522" s="13"/>
      <c r="M40522" s="14"/>
      <c r="N40522" s="14"/>
      <c r="O40522" s="14"/>
      <c r="P40522" s="13"/>
    </row>
    <row r="40523">
      <c r="L40523" s="13"/>
      <c r="M40523" s="14"/>
      <c r="N40523" s="14"/>
      <c r="O40523" s="14"/>
      <c r="P40523" s="13"/>
    </row>
    <row r="40524">
      <c r="L40524" s="13"/>
      <c r="M40524" s="14"/>
      <c r="N40524" s="14"/>
      <c r="O40524" s="14"/>
      <c r="P40524" s="13"/>
    </row>
    <row r="40525">
      <c r="L40525" s="13"/>
      <c r="M40525" s="14"/>
      <c r="N40525" s="14"/>
      <c r="O40525" s="14"/>
      <c r="P40525" s="13"/>
    </row>
    <row r="40526">
      <c r="L40526" s="13"/>
      <c r="M40526" s="14"/>
      <c r="N40526" s="14"/>
      <c r="O40526" s="14"/>
      <c r="P40526" s="13"/>
    </row>
    <row r="40527">
      <c r="L40527" s="13"/>
      <c r="M40527" s="14"/>
      <c r="N40527" s="14"/>
      <c r="O40527" s="14"/>
      <c r="P40527" s="13"/>
    </row>
    <row r="40528">
      <c r="L40528" s="13"/>
      <c r="M40528" s="14"/>
      <c r="N40528" s="14"/>
      <c r="O40528" s="14"/>
      <c r="P40528" s="13"/>
    </row>
    <row r="40529">
      <c r="L40529" s="13"/>
      <c r="M40529" s="14"/>
      <c r="N40529" s="14"/>
      <c r="O40529" s="14"/>
      <c r="P40529" s="13"/>
    </row>
    <row r="40530">
      <c r="L40530" s="13"/>
      <c r="M40530" s="14"/>
      <c r="N40530" s="14"/>
      <c r="O40530" s="14"/>
      <c r="P40530" s="13"/>
    </row>
    <row r="40531">
      <c r="L40531" s="13"/>
      <c r="M40531" s="14"/>
      <c r="N40531" s="14"/>
      <c r="O40531" s="14"/>
      <c r="P40531" s="13"/>
    </row>
    <row r="40532">
      <c r="L40532" s="13"/>
      <c r="M40532" s="14"/>
      <c r="N40532" s="14"/>
      <c r="O40532" s="14"/>
      <c r="P40532" s="13"/>
    </row>
    <row r="40533">
      <c r="L40533" s="13"/>
      <c r="M40533" s="14"/>
      <c r="N40533" s="14"/>
      <c r="O40533" s="14"/>
      <c r="P40533" s="13"/>
    </row>
    <row r="40534">
      <c r="L40534" s="13"/>
      <c r="M40534" s="14"/>
      <c r="N40534" s="14"/>
      <c r="O40534" s="14"/>
      <c r="P40534" s="13"/>
    </row>
    <row r="40535">
      <c r="L40535" s="13"/>
      <c r="M40535" s="14"/>
      <c r="N40535" s="14"/>
      <c r="O40535" s="14"/>
      <c r="P40535" s="13"/>
    </row>
    <row r="40536">
      <c r="L40536" s="13"/>
      <c r="M40536" s="14"/>
      <c r="N40536" s="14"/>
      <c r="O40536" s="14"/>
      <c r="P40536" s="13"/>
    </row>
    <row r="40537">
      <c r="L40537" s="13"/>
      <c r="M40537" s="14"/>
      <c r="N40537" s="14"/>
      <c r="O40537" s="14"/>
      <c r="P40537" s="13"/>
    </row>
    <row r="40538">
      <c r="L40538" s="13"/>
      <c r="M40538" s="14"/>
      <c r="N40538" s="14"/>
      <c r="O40538" s="14"/>
      <c r="P40538" s="13"/>
    </row>
    <row r="40539">
      <c r="L40539" s="13"/>
      <c r="M40539" s="14"/>
      <c r="N40539" s="14"/>
      <c r="O40539" s="14"/>
      <c r="P40539" s="13"/>
    </row>
    <row r="40540">
      <c r="L40540" s="13"/>
      <c r="M40540" s="14"/>
      <c r="N40540" s="14"/>
      <c r="O40540" s="14"/>
      <c r="P40540" s="13"/>
    </row>
    <row r="40541">
      <c r="L40541" s="13"/>
      <c r="M40541" s="14"/>
      <c r="N40541" s="14"/>
      <c r="O40541" s="14"/>
      <c r="P40541" s="13"/>
    </row>
    <row r="40542">
      <c r="L40542" s="13"/>
      <c r="M40542" s="14"/>
      <c r="N40542" s="14"/>
      <c r="O40542" s="14"/>
      <c r="P40542" s="13"/>
    </row>
    <row r="40543">
      <c r="L40543" s="13"/>
      <c r="M40543" s="14"/>
      <c r="N40543" s="14"/>
      <c r="O40543" s="14"/>
      <c r="P40543" s="13"/>
    </row>
    <row r="40544">
      <c r="L40544" s="13"/>
      <c r="M40544" s="14"/>
      <c r="N40544" s="14"/>
      <c r="O40544" s="14"/>
      <c r="P40544" s="13"/>
    </row>
    <row r="40545">
      <c r="L40545" s="13"/>
      <c r="M40545" s="14"/>
      <c r="N40545" s="14"/>
      <c r="O40545" s="14"/>
      <c r="P40545" s="13"/>
    </row>
    <row r="40546">
      <c r="L40546" s="13"/>
      <c r="M40546" s="14"/>
      <c r="N40546" s="14"/>
      <c r="O40546" s="14"/>
      <c r="P40546" s="13"/>
    </row>
    <row r="40547">
      <c r="L40547" s="13"/>
      <c r="M40547" s="14"/>
      <c r="N40547" s="14"/>
      <c r="O40547" s="14"/>
      <c r="P40547" s="13"/>
    </row>
    <row r="40548">
      <c r="L40548" s="13"/>
      <c r="M40548" s="14"/>
      <c r="N40548" s="14"/>
      <c r="O40548" s="14"/>
      <c r="P40548" s="13"/>
    </row>
    <row r="40549">
      <c r="L40549" s="13"/>
      <c r="M40549" s="14"/>
      <c r="N40549" s="14"/>
      <c r="O40549" s="14"/>
      <c r="P40549" s="13"/>
    </row>
    <row r="40550">
      <c r="L40550" s="13"/>
      <c r="M40550" s="14"/>
      <c r="N40550" s="14"/>
      <c r="O40550" s="14"/>
      <c r="P40550" s="13"/>
    </row>
    <row r="40551">
      <c r="L40551" s="13"/>
      <c r="M40551" s="14"/>
      <c r="N40551" s="14"/>
      <c r="O40551" s="14"/>
      <c r="P40551" s="13"/>
    </row>
    <row r="40552">
      <c r="L40552" s="13"/>
      <c r="M40552" s="14"/>
      <c r="N40552" s="14"/>
      <c r="O40552" s="14"/>
      <c r="P40552" s="13"/>
    </row>
    <row r="40553">
      <c r="L40553" s="13"/>
      <c r="M40553" s="14"/>
      <c r="N40553" s="14"/>
      <c r="O40553" s="14"/>
      <c r="P40553" s="13"/>
    </row>
    <row r="40554">
      <c r="L40554" s="13"/>
      <c r="M40554" s="14"/>
      <c r="N40554" s="14"/>
      <c r="O40554" s="14"/>
      <c r="P40554" s="13"/>
    </row>
    <row r="40555">
      <c r="L40555" s="13"/>
      <c r="M40555" s="14"/>
      <c r="N40555" s="14"/>
      <c r="O40555" s="14"/>
      <c r="P40555" s="13"/>
    </row>
    <row r="40556">
      <c r="L40556" s="13"/>
      <c r="M40556" s="14"/>
      <c r="N40556" s="14"/>
      <c r="O40556" s="14"/>
      <c r="P40556" s="13"/>
    </row>
    <row r="40557">
      <c r="L40557" s="13"/>
      <c r="M40557" s="14"/>
      <c r="N40557" s="14"/>
      <c r="O40557" s="14"/>
      <c r="P40557" s="13"/>
    </row>
    <row r="40558">
      <c r="L40558" s="13"/>
      <c r="M40558" s="14"/>
      <c r="N40558" s="14"/>
      <c r="O40558" s="14"/>
      <c r="P40558" s="13"/>
    </row>
    <row r="40559">
      <c r="L40559" s="13"/>
      <c r="M40559" s="14"/>
      <c r="N40559" s="14"/>
      <c r="O40559" s="14"/>
      <c r="P40559" s="13"/>
    </row>
    <row r="40560">
      <c r="L40560" s="13"/>
      <c r="M40560" s="14"/>
      <c r="N40560" s="14"/>
      <c r="O40560" s="14"/>
      <c r="P40560" s="13"/>
    </row>
    <row r="40561">
      <c r="L40561" s="13"/>
      <c r="M40561" s="14"/>
      <c r="N40561" s="14"/>
      <c r="O40561" s="14"/>
      <c r="P40561" s="13"/>
    </row>
    <row r="40562">
      <c r="L40562" s="13"/>
      <c r="M40562" s="14"/>
      <c r="N40562" s="14"/>
      <c r="O40562" s="14"/>
      <c r="P40562" s="13"/>
    </row>
    <row r="40563">
      <c r="L40563" s="13"/>
      <c r="M40563" s="14"/>
      <c r="N40563" s="14"/>
      <c r="O40563" s="14"/>
      <c r="P40563" s="13"/>
    </row>
    <row r="40564">
      <c r="L40564" s="13"/>
      <c r="M40564" s="14"/>
      <c r="N40564" s="14"/>
      <c r="O40564" s="14"/>
      <c r="P40564" s="13"/>
    </row>
    <row r="40565">
      <c r="L40565" s="13"/>
      <c r="M40565" s="14"/>
      <c r="N40565" s="14"/>
      <c r="O40565" s="14"/>
      <c r="P40565" s="13"/>
    </row>
    <row r="40566">
      <c r="L40566" s="13"/>
      <c r="M40566" s="14"/>
      <c r="N40566" s="14"/>
      <c r="O40566" s="14"/>
      <c r="P40566" s="13"/>
    </row>
    <row r="40567">
      <c r="L40567" s="13"/>
      <c r="M40567" s="14"/>
      <c r="N40567" s="14"/>
      <c r="O40567" s="14"/>
      <c r="P40567" s="13"/>
    </row>
    <row r="40568">
      <c r="L40568" s="13"/>
      <c r="M40568" s="14"/>
      <c r="N40568" s="14"/>
      <c r="O40568" s="14"/>
      <c r="P40568" s="13"/>
    </row>
    <row r="40569">
      <c r="L40569" s="13"/>
      <c r="M40569" s="14"/>
      <c r="N40569" s="14"/>
      <c r="O40569" s="14"/>
      <c r="P40569" s="13"/>
    </row>
    <row r="40570">
      <c r="L40570" s="13"/>
      <c r="M40570" s="14"/>
      <c r="N40570" s="14"/>
      <c r="O40570" s="14"/>
      <c r="P40570" s="13"/>
    </row>
    <row r="40571">
      <c r="L40571" s="13"/>
      <c r="M40571" s="14"/>
      <c r="N40571" s="14"/>
      <c r="O40571" s="14"/>
      <c r="P40571" s="13"/>
    </row>
    <row r="40572">
      <c r="L40572" s="13"/>
      <c r="M40572" s="14"/>
      <c r="N40572" s="14"/>
      <c r="O40572" s="14"/>
      <c r="P40572" s="13"/>
    </row>
    <row r="40573">
      <c r="L40573" s="13"/>
      <c r="M40573" s="14"/>
      <c r="N40573" s="14"/>
      <c r="O40573" s="14"/>
      <c r="P40573" s="13"/>
    </row>
    <row r="40574">
      <c r="L40574" s="13"/>
      <c r="M40574" s="14"/>
      <c r="N40574" s="14"/>
      <c r="O40574" s="14"/>
      <c r="P40574" s="13"/>
    </row>
    <row r="40575">
      <c r="L40575" s="13"/>
      <c r="M40575" s="14"/>
      <c r="N40575" s="14"/>
      <c r="O40575" s="14"/>
      <c r="P40575" s="13"/>
    </row>
    <row r="40576">
      <c r="L40576" s="13"/>
      <c r="M40576" s="14"/>
      <c r="N40576" s="14"/>
      <c r="O40576" s="14"/>
      <c r="P40576" s="13"/>
    </row>
    <row r="40577">
      <c r="L40577" s="13"/>
      <c r="M40577" s="14"/>
      <c r="N40577" s="14"/>
      <c r="O40577" s="14"/>
      <c r="P40577" s="13"/>
    </row>
    <row r="40578">
      <c r="L40578" s="13"/>
      <c r="M40578" s="14"/>
      <c r="N40578" s="14"/>
      <c r="O40578" s="14"/>
      <c r="P40578" s="13"/>
    </row>
    <row r="40579">
      <c r="L40579" s="13"/>
      <c r="M40579" s="14"/>
      <c r="N40579" s="14"/>
      <c r="O40579" s="14"/>
      <c r="P40579" s="13"/>
    </row>
    <row r="40580">
      <c r="L40580" s="13"/>
      <c r="M40580" s="14"/>
      <c r="N40580" s="14"/>
      <c r="O40580" s="14"/>
      <c r="P40580" s="13"/>
    </row>
    <row r="40581">
      <c r="L40581" s="13"/>
      <c r="M40581" s="14"/>
      <c r="N40581" s="14"/>
      <c r="O40581" s="14"/>
      <c r="P40581" s="13"/>
    </row>
    <row r="40582">
      <c r="L40582" s="13"/>
      <c r="M40582" s="14"/>
      <c r="N40582" s="14"/>
      <c r="O40582" s="14"/>
      <c r="P40582" s="13"/>
    </row>
    <row r="40583">
      <c r="L40583" s="13"/>
      <c r="M40583" s="14"/>
      <c r="N40583" s="14"/>
      <c r="O40583" s="14"/>
      <c r="P40583" s="13"/>
    </row>
    <row r="40584">
      <c r="L40584" s="13"/>
      <c r="M40584" s="14"/>
      <c r="N40584" s="14"/>
      <c r="O40584" s="14"/>
      <c r="P40584" s="13"/>
    </row>
    <row r="40585">
      <c r="L40585" s="13"/>
      <c r="M40585" s="14"/>
      <c r="N40585" s="14"/>
      <c r="O40585" s="14"/>
      <c r="P40585" s="13"/>
    </row>
    <row r="40586">
      <c r="L40586" s="13"/>
      <c r="M40586" s="14"/>
      <c r="N40586" s="14"/>
      <c r="O40586" s="14"/>
      <c r="P40586" s="13"/>
    </row>
    <row r="40587">
      <c r="L40587" s="13"/>
      <c r="M40587" s="14"/>
      <c r="N40587" s="14"/>
      <c r="O40587" s="14"/>
      <c r="P40587" s="13"/>
    </row>
    <row r="40588">
      <c r="L40588" s="13"/>
      <c r="M40588" s="14"/>
      <c r="N40588" s="14"/>
      <c r="O40588" s="14"/>
      <c r="P40588" s="13"/>
    </row>
    <row r="40589">
      <c r="L40589" s="13"/>
      <c r="M40589" s="14"/>
      <c r="N40589" s="14"/>
      <c r="O40589" s="14"/>
      <c r="P40589" s="13"/>
    </row>
    <row r="40590">
      <c r="L40590" s="13"/>
      <c r="M40590" s="14"/>
      <c r="N40590" s="14"/>
      <c r="O40590" s="14"/>
      <c r="P40590" s="13"/>
    </row>
    <row r="40591">
      <c r="L40591" s="13"/>
      <c r="M40591" s="14"/>
      <c r="N40591" s="14"/>
      <c r="O40591" s="14"/>
      <c r="P40591" s="13"/>
    </row>
    <row r="40592">
      <c r="L40592" s="13"/>
      <c r="M40592" s="14"/>
      <c r="N40592" s="14"/>
      <c r="O40592" s="14"/>
      <c r="P40592" s="13"/>
    </row>
    <row r="40593">
      <c r="L40593" s="13"/>
      <c r="M40593" s="14"/>
      <c r="N40593" s="14"/>
      <c r="O40593" s="14"/>
      <c r="P40593" s="13"/>
    </row>
    <row r="40594">
      <c r="L40594" s="13"/>
      <c r="M40594" s="14"/>
      <c r="N40594" s="14"/>
      <c r="O40594" s="14"/>
      <c r="P40594" s="13"/>
    </row>
    <row r="40595">
      <c r="L40595" s="13"/>
      <c r="M40595" s="14"/>
      <c r="N40595" s="14"/>
      <c r="O40595" s="14"/>
      <c r="P40595" s="13"/>
    </row>
    <row r="40596">
      <c r="L40596" s="13"/>
      <c r="M40596" s="14"/>
      <c r="N40596" s="14"/>
      <c r="O40596" s="14"/>
      <c r="P40596" s="13"/>
    </row>
    <row r="40597">
      <c r="L40597" s="13"/>
      <c r="M40597" s="14"/>
      <c r="N40597" s="14"/>
      <c r="O40597" s="14"/>
      <c r="P40597" s="13"/>
    </row>
    <row r="40598">
      <c r="L40598" s="13"/>
      <c r="M40598" s="14"/>
      <c r="N40598" s="14"/>
      <c r="O40598" s="14"/>
      <c r="P40598" s="13"/>
    </row>
    <row r="40599">
      <c r="L40599" s="13"/>
      <c r="M40599" s="14"/>
      <c r="N40599" s="14"/>
      <c r="O40599" s="14"/>
      <c r="P40599" s="13"/>
    </row>
    <row r="40600">
      <c r="L40600" s="13"/>
      <c r="M40600" s="14"/>
      <c r="N40600" s="14"/>
      <c r="O40600" s="14"/>
      <c r="P40600" s="13"/>
    </row>
    <row r="40601">
      <c r="L40601" s="13"/>
      <c r="M40601" s="14"/>
      <c r="N40601" s="14"/>
      <c r="O40601" s="14"/>
      <c r="P40601" s="13"/>
    </row>
    <row r="40602">
      <c r="L40602" s="13"/>
      <c r="M40602" s="14"/>
      <c r="N40602" s="14"/>
      <c r="O40602" s="14"/>
      <c r="P40602" s="13"/>
    </row>
    <row r="40603">
      <c r="L40603" s="13"/>
      <c r="M40603" s="14"/>
      <c r="N40603" s="14"/>
      <c r="O40603" s="14"/>
      <c r="P40603" s="13"/>
    </row>
    <row r="40604">
      <c r="L40604" s="13"/>
      <c r="M40604" s="14"/>
      <c r="N40604" s="14"/>
      <c r="O40604" s="14"/>
      <c r="P40604" s="13"/>
    </row>
    <row r="40605">
      <c r="L40605" s="13"/>
      <c r="M40605" s="14"/>
      <c r="N40605" s="14"/>
      <c r="O40605" s="14"/>
      <c r="P40605" s="13"/>
    </row>
    <row r="40606">
      <c r="L40606" s="13"/>
      <c r="M40606" s="14"/>
      <c r="N40606" s="14"/>
      <c r="O40606" s="14"/>
      <c r="P40606" s="13"/>
    </row>
    <row r="40607">
      <c r="L40607" s="13"/>
      <c r="M40607" s="14"/>
      <c r="N40607" s="14"/>
      <c r="O40607" s="14"/>
      <c r="P40607" s="13"/>
    </row>
    <row r="40608">
      <c r="L40608" s="13"/>
      <c r="M40608" s="14"/>
      <c r="N40608" s="14"/>
      <c r="O40608" s="14"/>
      <c r="P40608" s="13"/>
    </row>
    <row r="40609">
      <c r="L40609" s="13"/>
      <c r="M40609" s="14"/>
      <c r="N40609" s="14"/>
      <c r="O40609" s="14"/>
      <c r="P40609" s="13"/>
    </row>
    <row r="40610">
      <c r="L40610" s="13"/>
      <c r="M40610" s="14"/>
      <c r="N40610" s="14"/>
      <c r="O40610" s="14"/>
      <c r="P40610" s="13"/>
    </row>
    <row r="40611">
      <c r="L40611" s="13"/>
      <c r="M40611" s="14"/>
      <c r="N40611" s="14"/>
      <c r="O40611" s="14"/>
      <c r="P40611" s="13"/>
    </row>
    <row r="40612">
      <c r="L40612" s="13"/>
      <c r="M40612" s="14"/>
      <c r="N40612" s="14"/>
      <c r="O40612" s="14"/>
      <c r="P40612" s="13"/>
    </row>
    <row r="40613">
      <c r="L40613" s="13"/>
      <c r="M40613" s="14"/>
      <c r="N40613" s="14"/>
      <c r="O40613" s="14"/>
      <c r="P40613" s="13"/>
    </row>
    <row r="40614">
      <c r="L40614" s="13"/>
      <c r="M40614" s="14"/>
      <c r="N40614" s="14"/>
      <c r="O40614" s="14"/>
      <c r="P40614" s="13"/>
    </row>
    <row r="40615">
      <c r="L40615" s="13"/>
      <c r="M40615" s="14"/>
      <c r="N40615" s="14"/>
      <c r="O40615" s="14"/>
      <c r="P40615" s="13"/>
    </row>
    <row r="40616">
      <c r="L40616" s="13"/>
      <c r="M40616" s="14"/>
      <c r="N40616" s="14"/>
      <c r="O40616" s="14"/>
      <c r="P40616" s="13"/>
    </row>
    <row r="40617">
      <c r="L40617" s="13"/>
      <c r="M40617" s="14"/>
      <c r="N40617" s="14"/>
      <c r="O40617" s="14"/>
      <c r="P40617" s="13"/>
    </row>
    <row r="40618">
      <c r="L40618" s="13"/>
      <c r="M40618" s="14"/>
      <c r="N40618" s="14"/>
      <c r="O40618" s="14"/>
      <c r="P40618" s="13"/>
    </row>
    <row r="40619">
      <c r="L40619" s="13"/>
      <c r="M40619" s="14"/>
      <c r="N40619" s="14"/>
      <c r="O40619" s="14"/>
      <c r="P40619" s="13"/>
    </row>
    <row r="40620">
      <c r="L40620" s="13"/>
      <c r="M40620" s="14"/>
      <c r="N40620" s="14"/>
      <c r="O40620" s="14"/>
      <c r="P40620" s="13"/>
    </row>
    <row r="40621">
      <c r="L40621" s="13"/>
      <c r="M40621" s="14"/>
      <c r="N40621" s="14"/>
      <c r="O40621" s="14"/>
      <c r="P40621" s="13"/>
    </row>
    <row r="40622">
      <c r="L40622" s="13"/>
      <c r="M40622" s="14"/>
      <c r="N40622" s="14"/>
      <c r="O40622" s="14"/>
      <c r="P40622" s="13"/>
    </row>
    <row r="40623">
      <c r="L40623" s="13"/>
      <c r="M40623" s="14"/>
      <c r="N40623" s="14"/>
      <c r="O40623" s="14"/>
      <c r="P40623" s="13"/>
    </row>
    <row r="40624">
      <c r="L40624" s="13"/>
      <c r="M40624" s="14"/>
      <c r="N40624" s="14"/>
      <c r="O40624" s="14"/>
      <c r="P40624" s="13"/>
    </row>
    <row r="40625">
      <c r="L40625" s="13"/>
      <c r="M40625" s="14"/>
      <c r="N40625" s="14"/>
      <c r="O40625" s="14"/>
      <c r="P40625" s="13"/>
    </row>
    <row r="40626">
      <c r="L40626" s="13"/>
      <c r="M40626" s="14"/>
      <c r="N40626" s="14"/>
      <c r="O40626" s="14"/>
      <c r="P40626" s="13"/>
    </row>
    <row r="40627">
      <c r="L40627" s="13"/>
      <c r="M40627" s="14"/>
      <c r="N40627" s="14"/>
      <c r="O40627" s="14"/>
      <c r="P40627" s="13"/>
    </row>
    <row r="40628">
      <c r="L40628" s="13"/>
      <c r="M40628" s="14"/>
      <c r="N40628" s="14"/>
      <c r="O40628" s="14"/>
      <c r="P40628" s="13"/>
    </row>
    <row r="40629">
      <c r="L40629" s="13"/>
      <c r="M40629" s="14"/>
      <c r="N40629" s="14"/>
      <c r="O40629" s="14"/>
      <c r="P40629" s="13"/>
    </row>
    <row r="40630">
      <c r="L40630" s="13"/>
      <c r="M40630" s="14"/>
      <c r="N40630" s="14"/>
      <c r="O40630" s="14"/>
      <c r="P40630" s="13"/>
    </row>
    <row r="40631">
      <c r="L40631" s="13"/>
      <c r="M40631" s="14"/>
      <c r="N40631" s="14"/>
      <c r="O40631" s="14"/>
      <c r="P40631" s="13"/>
    </row>
    <row r="40632">
      <c r="L40632" s="13"/>
      <c r="M40632" s="14"/>
      <c r="N40632" s="14"/>
      <c r="O40632" s="14"/>
      <c r="P40632" s="13"/>
    </row>
    <row r="40633">
      <c r="L40633" s="13"/>
      <c r="M40633" s="14"/>
      <c r="N40633" s="14"/>
      <c r="O40633" s="14"/>
      <c r="P40633" s="13"/>
    </row>
    <row r="40634">
      <c r="L40634" s="13"/>
      <c r="M40634" s="14"/>
      <c r="N40634" s="14"/>
      <c r="O40634" s="14"/>
      <c r="P40634" s="13"/>
    </row>
    <row r="40635">
      <c r="L40635" s="13"/>
      <c r="M40635" s="14"/>
      <c r="N40635" s="14"/>
      <c r="O40635" s="14"/>
      <c r="P40635" s="13"/>
    </row>
    <row r="40636">
      <c r="L40636" s="13"/>
      <c r="M40636" s="14"/>
      <c r="N40636" s="14"/>
      <c r="O40636" s="14"/>
      <c r="P40636" s="13"/>
    </row>
    <row r="40637">
      <c r="L40637" s="13"/>
      <c r="M40637" s="14"/>
      <c r="N40637" s="14"/>
      <c r="O40637" s="14"/>
      <c r="P40637" s="13"/>
    </row>
    <row r="40638">
      <c r="L40638" s="13"/>
      <c r="M40638" s="14"/>
      <c r="N40638" s="14"/>
      <c r="O40638" s="14"/>
      <c r="P40638" s="13"/>
    </row>
    <row r="40639">
      <c r="L40639" s="13"/>
      <c r="M40639" s="14"/>
      <c r="N40639" s="14"/>
      <c r="O40639" s="14"/>
      <c r="P40639" s="13"/>
    </row>
    <row r="40640">
      <c r="L40640" s="13"/>
      <c r="M40640" s="14"/>
      <c r="N40640" s="14"/>
      <c r="O40640" s="14"/>
      <c r="P40640" s="13"/>
    </row>
    <row r="40641">
      <c r="L40641" s="13"/>
      <c r="M40641" s="14"/>
      <c r="N40641" s="14"/>
      <c r="O40641" s="14"/>
      <c r="P40641" s="13"/>
    </row>
    <row r="40642">
      <c r="L40642" s="13"/>
      <c r="M40642" s="14"/>
      <c r="N40642" s="14"/>
      <c r="O40642" s="14"/>
      <c r="P40642" s="13"/>
    </row>
    <row r="40643">
      <c r="L40643" s="13"/>
      <c r="M40643" s="14"/>
      <c r="N40643" s="14"/>
      <c r="O40643" s="14"/>
      <c r="P40643" s="13"/>
    </row>
    <row r="40644">
      <c r="L40644" s="13"/>
      <c r="M40644" s="14"/>
      <c r="N40644" s="14"/>
      <c r="O40644" s="14"/>
      <c r="P40644" s="13"/>
    </row>
    <row r="40645">
      <c r="L40645" s="13"/>
      <c r="M40645" s="14"/>
      <c r="N40645" s="14"/>
      <c r="O40645" s="14"/>
      <c r="P40645" s="13"/>
    </row>
    <row r="40646">
      <c r="L40646" s="13"/>
      <c r="M40646" s="14"/>
      <c r="N40646" s="14"/>
      <c r="O40646" s="14"/>
      <c r="P40646" s="13"/>
    </row>
    <row r="40647">
      <c r="L40647" s="13"/>
      <c r="M40647" s="14"/>
      <c r="N40647" s="14"/>
      <c r="O40647" s="14"/>
      <c r="P40647" s="13"/>
    </row>
    <row r="40648">
      <c r="L40648" s="13"/>
      <c r="M40648" s="14"/>
      <c r="N40648" s="14"/>
      <c r="O40648" s="14"/>
      <c r="P40648" s="13"/>
    </row>
    <row r="40649">
      <c r="L40649" s="13"/>
      <c r="M40649" s="14"/>
      <c r="N40649" s="14"/>
      <c r="O40649" s="14"/>
      <c r="P40649" s="13"/>
    </row>
    <row r="40650">
      <c r="L40650" s="13"/>
      <c r="M40650" s="14"/>
      <c r="N40650" s="14"/>
      <c r="O40650" s="14"/>
      <c r="P40650" s="13"/>
    </row>
    <row r="40651">
      <c r="L40651" s="13"/>
      <c r="M40651" s="14"/>
      <c r="N40651" s="14"/>
      <c r="O40651" s="14"/>
      <c r="P40651" s="13"/>
    </row>
    <row r="40652">
      <c r="L40652" s="13"/>
      <c r="M40652" s="14"/>
      <c r="N40652" s="14"/>
      <c r="O40652" s="14"/>
      <c r="P40652" s="13"/>
    </row>
    <row r="40653">
      <c r="L40653" s="13"/>
      <c r="M40653" s="14"/>
      <c r="N40653" s="14"/>
      <c r="O40653" s="14"/>
      <c r="P40653" s="13"/>
    </row>
    <row r="40654">
      <c r="L40654" s="13"/>
      <c r="M40654" s="14"/>
      <c r="N40654" s="14"/>
      <c r="O40654" s="14"/>
      <c r="P40654" s="13"/>
    </row>
    <row r="40655">
      <c r="L40655" s="13"/>
      <c r="M40655" s="14"/>
      <c r="N40655" s="14"/>
      <c r="O40655" s="14"/>
      <c r="P40655" s="13"/>
    </row>
    <row r="40656">
      <c r="L40656" s="13"/>
      <c r="M40656" s="14"/>
      <c r="N40656" s="14"/>
      <c r="O40656" s="14"/>
      <c r="P40656" s="13"/>
    </row>
    <row r="40657">
      <c r="L40657" s="13"/>
      <c r="M40657" s="14"/>
      <c r="N40657" s="14"/>
      <c r="O40657" s="14"/>
      <c r="P40657" s="13"/>
    </row>
    <row r="40658">
      <c r="L40658" s="13"/>
      <c r="M40658" s="14"/>
      <c r="N40658" s="14"/>
      <c r="O40658" s="14"/>
      <c r="P40658" s="13"/>
    </row>
    <row r="40659">
      <c r="L40659" s="13"/>
      <c r="M40659" s="14"/>
      <c r="N40659" s="14"/>
      <c r="O40659" s="14"/>
      <c r="P40659" s="13"/>
    </row>
    <row r="40660">
      <c r="L40660" s="13"/>
      <c r="M40660" s="14"/>
      <c r="N40660" s="14"/>
      <c r="O40660" s="14"/>
      <c r="P40660" s="13"/>
    </row>
    <row r="40661">
      <c r="L40661" s="13"/>
      <c r="M40661" s="14"/>
      <c r="N40661" s="14"/>
      <c r="O40661" s="14"/>
      <c r="P40661" s="13"/>
    </row>
    <row r="40662">
      <c r="L40662" s="13"/>
      <c r="M40662" s="14"/>
      <c r="N40662" s="14"/>
      <c r="O40662" s="14"/>
      <c r="P40662" s="13"/>
    </row>
    <row r="40663">
      <c r="L40663" s="13"/>
      <c r="M40663" s="14"/>
      <c r="N40663" s="14"/>
      <c r="O40663" s="14"/>
      <c r="P40663" s="13"/>
    </row>
    <row r="40664">
      <c r="L40664" s="13"/>
      <c r="M40664" s="14"/>
      <c r="N40664" s="14"/>
      <c r="O40664" s="14"/>
      <c r="P40664" s="13"/>
    </row>
    <row r="40665">
      <c r="L40665" s="13"/>
      <c r="M40665" s="14"/>
      <c r="N40665" s="14"/>
      <c r="O40665" s="14"/>
      <c r="P40665" s="13"/>
    </row>
    <row r="40666">
      <c r="L40666" s="13"/>
      <c r="M40666" s="14"/>
      <c r="N40666" s="14"/>
      <c r="O40666" s="14"/>
      <c r="P40666" s="13"/>
    </row>
    <row r="40667">
      <c r="L40667" s="13"/>
      <c r="M40667" s="14"/>
      <c r="N40667" s="14"/>
      <c r="O40667" s="14"/>
      <c r="P40667" s="13"/>
    </row>
    <row r="40668">
      <c r="L40668" s="13"/>
      <c r="M40668" s="14"/>
      <c r="N40668" s="14"/>
      <c r="O40668" s="14"/>
      <c r="P40668" s="13"/>
    </row>
    <row r="40669">
      <c r="L40669" s="13"/>
      <c r="M40669" s="14"/>
      <c r="N40669" s="14"/>
      <c r="O40669" s="14"/>
      <c r="P40669" s="13"/>
    </row>
    <row r="40670">
      <c r="L40670" s="13"/>
      <c r="M40670" s="14"/>
      <c r="N40670" s="14"/>
      <c r="O40670" s="14"/>
      <c r="P40670" s="13"/>
    </row>
    <row r="40671">
      <c r="L40671" s="13"/>
      <c r="M40671" s="14"/>
      <c r="N40671" s="14"/>
      <c r="O40671" s="14"/>
      <c r="P40671" s="13"/>
    </row>
    <row r="40672">
      <c r="L40672" s="13"/>
      <c r="M40672" s="14"/>
      <c r="N40672" s="14"/>
      <c r="O40672" s="14"/>
      <c r="P40672" s="13"/>
    </row>
    <row r="40673">
      <c r="L40673" s="13"/>
      <c r="M40673" s="14"/>
      <c r="N40673" s="14"/>
      <c r="O40673" s="14"/>
      <c r="P40673" s="13"/>
    </row>
    <row r="40674">
      <c r="L40674" s="13"/>
      <c r="M40674" s="14"/>
      <c r="N40674" s="14"/>
      <c r="O40674" s="14"/>
      <c r="P40674" s="13"/>
    </row>
    <row r="40675">
      <c r="L40675" s="13"/>
      <c r="M40675" s="14"/>
      <c r="N40675" s="14"/>
      <c r="O40675" s="14"/>
      <c r="P40675" s="13"/>
    </row>
    <row r="40676">
      <c r="L40676" s="13"/>
      <c r="M40676" s="14"/>
      <c r="N40676" s="14"/>
      <c r="O40676" s="14"/>
      <c r="P40676" s="13"/>
    </row>
    <row r="40677">
      <c r="L40677" s="13"/>
      <c r="M40677" s="14"/>
      <c r="N40677" s="14"/>
      <c r="O40677" s="14"/>
      <c r="P40677" s="13"/>
    </row>
    <row r="40678">
      <c r="L40678" s="13"/>
      <c r="M40678" s="14"/>
      <c r="N40678" s="14"/>
      <c r="O40678" s="14"/>
      <c r="P40678" s="13"/>
    </row>
    <row r="40679">
      <c r="L40679" s="13"/>
      <c r="M40679" s="14"/>
      <c r="N40679" s="14"/>
      <c r="O40679" s="14"/>
      <c r="P40679" s="13"/>
    </row>
    <row r="40680">
      <c r="L40680" s="13"/>
      <c r="M40680" s="14"/>
      <c r="N40680" s="14"/>
      <c r="O40680" s="14"/>
      <c r="P40680" s="13"/>
    </row>
    <row r="40681">
      <c r="L40681" s="13"/>
      <c r="M40681" s="14"/>
      <c r="N40681" s="14"/>
      <c r="O40681" s="14"/>
      <c r="P40681" s="13"/>
    </row>
    <row r="40682">
      <c r="L40682" s="13"/>
      <c r="M40682" s="14"/>
      <c r="N40682" s="14"/>
      <c r="O40682" s="14"/>
      <c r="P40682" s="13"/>
    </row>
    <row r="40683">
      <c r="L40683" s="13"/>
      <c r="M40683" s="14"/>
      <c r="N40683" s="14"/>
      <c r="O40683" s="14"/>
      <c r="P40683" s="13"/>
    </row>
    <row r="40684">
      <c r="L40684" s="13"/>
      <c r="M40684" s="14"/>
      <c r="N40684" s="14"/>
      <c r="O40684" s="14"/>
      <c r="P40684" s="13"/>
    </row>
    <row r="40685">
      <c r="L40685" s="13"/>
      <c r="M40685" s="14"/>
      <c r="N40685" s="14"/>
      <c r="O40685" s="14"/>
      <c r="P40685" s="13"/>
    </row>
    <row r="40686">
      <c r="L40686" s="13"/>
      <c r="M40686" s="14"/>
      <c r="N40686" s="14"/>
      <c r="O40686" s="14"/>
      <c r="P40686" s="13"/>
    </row>
    <row r="40687">
      <c r="L40687" s="13"/>
      <c r="M40687" s="14"/>
      <c r="N40687" s="14"/>
      <c r="O40687" s="14"/>
      <c r="P40687" s="13"/>
    </row>
    <row r="40688">
      <c r="L40688" s="13"/>
      <c r="M40688" s="14"/>
      <c r="N40688" s="14"/>
      <c r="O40688" s="14"/>
      <c r="P40688" s="13"/>
    </row>
    <row r="40689">
      <c r="L40689" s="13"/>
      <c r="M40689" s="14"/>
      <c r="N40689" s="14"/>
      <c r="O40689" s="14"/>
      <c r="P40689" s="13"/>
    </row>
    <row r="40690">
      <c r="L40690" s="13"/>
      <c r="M40690" s="14"/>
      <c r="N40690" s="14"/>
      <c r="O40690" s="14"/>
      <c r="P40690" s="13"/>
    </row>
    <row r="40691">
      <c r="L40691" s="13"/>
      <c r="M40691" s="14"/>
      <c r="N40691" s="14"/>
      <c r="O40691" s="14"/>
      <c r="P40691" s="13"/>
    </row>
    <row r="40692">
      <c r="L40692" s="13"/>
      <c r="M40692" s="14"/>
      <c r="N40692" s="14"/>
      <c r="O40692" s="14"/>
      <c r="P40692" s="13"/>
    </row>
    <row r="40693">
      <c r="L40693" s="13"/>
      <c r="M40693" s="14"/>
      <c r="N40693" s="14"/>
      <c r="O40693" s="14"/>
      <c r="P40693" s="13"/>
    </row>
    <row r="40694">
      <c r="L40694" s="13"/>
      <c r="M40694" s="14"/>
      <c r="N40694" s="14"/>
      <c r="O40694" s="14"/>
      <c r="P40694" s="13"/>
    </row>
    <row r="40695">
      <c r="L40695" s="13"/>
      <c r="M40695" s="14"/>
      <c r="N40695" s="14"/>
      <c r="O40695" s="14"/>
      <c r="P40695" s="13"/>
    </row>
    <row r="40696">
      <c r="L40696" s="13"/>
      <c r="M40696" s="14"/>
      <c r="N40696" s="14"/>
      <c r="O40696" s="14"/>
      <c r="P40696" s="13"/>
    </row>
    <row r="40697">
      <c r="L40697" s="13"/>
      <c r="M40697" s="14"/>
      <c r="N40697" s="14"/>
      <c r="O40697" s="14"/>
      <c r="P40697" s="13"/>
    </row>
    <row r="40698">
      <c r="L40698" s="13"/>
      <c r="M40698" s="14"/>
      <c r="N40698" s="14"/>
      <c r="O40698" s="14"/>
      <c r="P40698" s="13"/>
    </row>
    <row r="40699">
      <c r="L40699" s="13"/>
      <c r="M40699" s="14"/>
      <c r="N40699" s="14"/>
      <c r="O40699" s="14"/>
      <c r="P40699" s="13"/>
    </row>
    <row r="40700">
      <c r="L40700" s="13"/>
      <c r="M40700" s="14"/>
      <c r="N40700" s="14"/>
      <c r="O40700" s="14"/>
      <c r="P40700" s="13"/>
    </row>
    <row r="40701">
      <c r="L40701" s="13"/>
      <c r="M40701" s="14"/>
      <c r="N40701" s="14"/>
      <c r="O40701" s="14"/>
      <c r="P40701" s="13"/>
    </row>
    <row r="40702">
      <c r="L40702" s="13"/>
      <c r="M40702" s="14"/>
      <c r="N40702" s="14"/>
      <c r="O40702" s="14"/>
      <c r="P40702" s="13"/>
    </row>
    <row r="40703">
      <c r="L40703" s="13"/>
      <c r="M40703" s="14"/>
      <c r="N40703" s="14"/>
      <c r="O40703" s="14"/>
      <c r="P40703" s="13"/>
    </row>
    <row r="40704">
      <c r="L40704" s="13"/>
      <c r="M40704" s="14"/>
      <c r="N40704" s="14"/>
      <c r="O40704" s="14"/>
      <c r="P40704" s="13"/>
    </row>
    <row r="40705">
      <c r="L40705" s="13"/>
      <c r="M40705" s="14"/>
      <c r="N40705" s="14"/>
      <c r="O40705" s="14"/>
      <c r="P40705" s="13"/>
    </row>
    <row r="40706">
      <c r="L40706" s="13"/>
      <c r="M40706" s="14"/>
      <c r="N40706" s="14"/>
      <c r="O40706" s="14"/>
      <c r="P40706" s="13"/>
    </row>
    <row r="40707">
      <c r="L40707" s="13"/>
      <c r="M40707" s="14"/>
      <c r="N40707" s="14"/>
      <c r="O40707" s="14"/>
      <c r="P40707" s="13"/>
    </row>
    <row r="40708">
      <c r="L40708" s="13"/>
      <c r="M40708" s="14"/>
      <c r="N40708" s="14"/>
      <c r="O40708" s="14"/>
      <c r="P40708" s="13"/>
    </row>
    <row r="40709">
      <c r="L40709" s="13"/>
      <c r="M40709" s="14"/>
      <c r="N40709" s="14"/>
      <c r="O40709" s="14"/>
      <c r="P40709" s="13"/>
    </row>
    <row r="40710">
      <c r="L40710" s="13"/>
      <c r="M40710" s="14"/>
      <c r="N40710" s="14"/>
      <c r="O40710" s="14"/>
      <c r="P40710" s="13"/>
    </row>
    <row r="40711">
      <c r="L40711" s="13"/>
      <c r="M40711" s="14"/>
      <c r="N40711" s="14"/>
      <c r="O40711" s="14"/>
      <c r="P40711" s="13"/>
    </row>
    <row r="40712">
      <c r="L40712" s="13"/>
      <c r="M40712" s="14"/>
      <c r="N40712" s="14"/>
      <c r="O40712" s="14"/>
      <c r="P40712" s="13"/>
    </row>
    <row r="40713">
      <c r="L40713" s="13"/>
      <c r="M40713" s="14"/>
      <c r="N40713" s="14"/>
      <c r="O40713" s="14"/>
      <c r="P40713" s="13"/>
    </row>
    <row r="40714">
      <c r="L40714" s="13"/>
      <c r="M40714" s="14"/>
      <c r="N40714" s="14"/>
      <c r="O40714" s="14"/>
      <c r="P40714" s="13"/>
    </row>
    <row r="40715">
      <c r="L40715" s="13"/>
      <c r="M40715" s="14"/>
      <c r="N40715" s="14"/>
      <c r="O40715" s="14"/>
      <c r="P40715" s="13"/>
    </row>
    <row r="40716">
      <c r="L40716" s="13"/>
      <c r="M40716" s="14"/>
      <c r="N40716" s="14"/>
      <c r="O40716" s="14"/>
      <c r="P40716" s="13"/>
    </row>
    <row r="40717">
      <c r="L40717" s="13"/>
      <c r="M40717" s="14"/>
      <c r="N40717" s="14"/>
      <c r="O40717" s="14"/>
      <c r="P40717" s="13"/>
    </row>
    <row r="40718">
      <c r="L40718" s="13"/>
      <c r="M40718" s="14"/>
      <c r="N40718" s="14"/>
      <c r="O40718" s="14"/>
      <c r="P40718" s="13"/>
    </row>
    <row r="40719">
      <c r="L40719" s="13"/>
      <c r="M40719" s="14"/>
      <c r="N40719" s="14"/>
      <c r="O40719" s="14"/>
      <c r="P40719" s="13"/>
    </row>
    <row r="40720">
      <c r="L40720" s="13"/>
      <c r="M40720" s="14"/>
      <c r="N40720" s="14"/>
      <c r="O40720" s="14"/>
      <c r="P40720" s="13"/>
    </row>
    <row r="40721">
      <c r="L40721" s="13"/>
      <c r="M40721" s="14"/>
      <c r="N40721" s="14"/>
      <c r="O40721" s="14"/>
      <c r="P40721" s="13"/>
    </row>
    <row r="40722">
      <c r="L40722" s="13"/>
      <c r="M40722" s="14"/>
      <c r="N40722" s="14"/>
      <c r="O40722" s="14"/>
      <c r="P40722" s="13"/>
    </row>
    <row r="40723">
      <c r="L40723" s="13"/>
      <c r="M40723" s="14"/>
      <c r="N40723" s="14"/>
      <c r="O40723" s="14"/>
      <c r="P40723" s="13"/>
    </row>
    <row r="40724">
      <c r="L40724" s="13"/>
      <c r="M40724" s="14"/>
      <c r="N40724" s="14"/>
      <c r="O40724" s="14"/>
      <c r="P40724" s="13"/>
    </row>
    <row r="40725">
      <c r="L40725" s="13"/>
      <c r="M40725" s="14"/>
      <c r="N40725" s="14"/>
      <c r="O40725" s="14"/>
      <c r="P40725" s="13"/>
    </row>
    <row r="40726">
      <c r="L40726" s="13"/>
      <c r="M40726" s="14"/>
      <c r="N40726" s="14"/>
      <c r="O40726" s="14"/>
      <c r="P40726" s="13"/>
    </row>
    <row r="40727">
      <c r="L40727" s="13"/>
      <c r="M40727" s="14"/>
      <c r="N40727" s="14"/>
      <c r="O40727" s="14"/>
      <c r="P40727" s="13"/>
    </row>
    <row r="40728">
      <c r="L40728" s="13"/>
      <c r="M40728" s="14"/>
      <c r="N40728" s="14"/>
      <c r="O40728" s="14"/>
      <c r="P40728" s="13"/>
    </row>
    <row r="40729">
      <c r="L40729" s="13"/>
      <c r="M40729" s="14"/>
      <c r="N40729" s="14"/>
      <c r="O40729" s="14"/>
      <c r="P40729" s="13"/>
    </row>
    <row r="40730">
      <c r="L40730" s="13"/>
      <c r="M40730" s="14"/>
      <c r="N40730" s="14"/>
      <c r="O40730" s="14"/>
      <c r="P40730" s="13"/>
    </row>
    <row r="40731">
      <c r="L40731" s="13"/>
      <c r="M40731" s="14"/>
      <c r="N40731" s="14"/>
      <c r="O40731" s="14"/>
      <c r="P40731" s="13"/>
    </row>
    <row r="40732">
      <c r="L40732" s="13"/>
      <c r="M40732" s="14"/>
      <c r="N40732" s="14"/>
      <c r="O40732" s="14"/>
      <c r="P40732" s="13"/>
    </row>
    <row r="40733">
      <c r="L40733" s="13"/>
      <c r="M40733" s="14"/>
      <c r="N40733" s="14"/>
      <c r="O40733" s="14"/>
      <c r="P40733" s="13"/>
    </row>
    <row r="40734">
      <c r="L40734" s="13"/>
      <c r="M40734" s="14"/>
      <c r="N40734" s="14"/>
      <c r="O40734" s="14"/>
      <c r="P40734" s="13"/>
    </row>
    <row r="40735">
      <c r="L40735" s="13"/>
      <c r="M40735" s="14"/>
      <c r="N40735" s="14"/>
      <c r="O40735" s="14"/>
      <c r="P40735" s="13"/>
    </row>
    <row r="40736">
      <c r="L40736" s="13"/>
      <c r="M40736" s="14"/>
      <c r="N40736" s="14"/>
      <c r="O40736" s="14"/>
      <c r="P40736" s="13"/>
    </row>
    <row r="40737">
      <c r="L40737" s="13"/>
      <c r="M40737" s="14"/>
      <c r="N40737" s="14"/>
      <c r="O40737" s="14"/>
      <c r="P40737" s="13"/>
    </row>
    <row r="40738">
      <c r="L40738" s="13"/>
      <c r="M40738" s="14"/>
      <c r="N40738" s="14"/>
      <c r="O40738" s="14"/>
      <c r="P40738" s="13"/>
    </row>
    <row r="40739">
      <c r="L40739" s="13"/>
      <c r="M40739" s="14"/>
      <c r="N40739" s="14"/>
      <c r="O40739" s="14"/>
      <c r="P40739" s="13"/>
    </row>
    <row r="40740">
      <c r="L40740" s="13"/>
      <c r="M40740" s="14"/>
      <c r="N40740" s="14"/>
      <c r="O40740" s="14"/>
      <c r="P40740" s="13"/>
    </row>
    <row r="40741">
      <c r="L40741" s="13"/>
      <c r="M40741" s="14"/>
      <c r="N40741" s="14"/>
      <c r="O40741" s="14"/>
      <c r="P40741" s="13"/>
    </row>
    <row r="40742">
      <c r="L40742" s="13"/>
      <c r="M40742" s="14"/>
      <c r="N40742" s="14"/>
      <c r="O40742" s="14"/>
      <c r="P40742" s="13"/>
    </row>
    <row r="40743">
      <c r="L40743" s="13"/>
      <c r="M40743" s="14"/>
      <c r="N40743" s="14"/>
      <c r="O40743" s="14"/>
      <c r="P40743" s="13"/>
    </row>
    <row r="40744">
      <c r="L40744" s="13"/>
      <c r="M40744" s="14"/>
      <c r="N40744" s="14"/>
      <c r="O40744" s="14"/>
      <c r="P40744" s="13"/>
    </row>
    <row r="40745">
      <c r="L40745" s="13"/>
      <c r="M40745" s="14"/>
      <c r="N40745" s="14"/>
      <c r="O40745" s="14"/>
      <c r="P40745" s="13"/>
    </row>
    <row r="40746">
      <c r="L40746" s="13"/>
      <c r="M40746" s="14"/>
      <c r="N40746" s="14"/>
      <c r="O40746" s="14"/>
      <c r="P40746" s="13"/>
    </row>
    <row r="40747">
      <c r="L40747" s="13"/>
      <c r="M40747" s="14"/>
      <c r="N40747" s="14"/>
      <c r="O40747" s="14"/>
      <c r="P40747" s="13"/>
    </row>
    <row r="40748">
      <c r="L40748" s="13"/>
      <c r="M40748" s="14"/>
      <c r="N40748" s="14"/>
      <c r="O40748" s="14"/>
      <c r="P40748" s="13"/>
    </row>
    <row r="40749">
      <c r="L40749" s="13"/>
      <c r="M40749" s="14"/>
      <c r="N40749" s="14"/>
      <c r="O40749" s="14"/>
      <c r="P40749" s="13"/>
    </row>
    <row r="40750">
      <c r="L40750" s="13"/>
      <c r="M40750" s="14"/>
      <c r="N40750" s="14"/>
      <c r="O40750" s="14"/>
      <c r="P40750" s="13"/>
    </row>
    <row r="40751">
      <c r="L40751" s="13"/>
      <c r="M40751" s="14"/>
      <c r="N40751" s="14"/>
      <c r="O40751" s="14"/>
      <c r="P40751" s="13"/>
    </row>
    <row r="40752">
      <c r="L40752" s="13"/>
      <c r="M40752" s="14"/>
      <c r="N40752" s="14"/>
      <c r="O40752" s="14"/>
      <c r="P40752" s="13"/>
    </row>
    <row r="40753">
      <c r="L40753" s="13"/>
      <c r="M40753" s="14"/>
      <c r="N40753" s="14"/>
      <c r="O40753" s="14"/>
      <c r="P40753" s="13"/>
    </row>
    <row r="40754">
      <c r="L40754" s="13"/>
      <c r="M40754" s="14"/>
      <c r="N40754" s="14"/>
      <c r="O40754" s="14"/>
      <c r="P40754" s="13"/>
    </row>
    <row r="40755">
      <c r="L40755" s="13"/>
      <c r="M40755" s="14"/>
      <c r="N40755" s="14"/>
      <c r="O40755" s="14"/>
      <c r="P40755" s="13"/>
    </row>
    <row r="40756">
      <c r="L40756" s="13"/>
      <c r="M40756" s="14"/>
      <c r="N40756" s="14"/>
      <c r="O40756" s="14"/>
      <c r="P40756" s="13"/>
    </row>
    <row r="40757">
      <c r="L40757" s="13"/>
      <c r="M40757" s="14"/>
      <c r="N40757" s="14"/>
      <c r="O40757" s="14"/>
      <c r="P40757" s="13"/>
    </row>
    <row r="40758">
      <c r="L40758" s="13"/>
      <c r="M40758" s="14"/>
      <c r="N40758" s="14"/>
      <c r="O40758" s="14"/>
      <c r="P40758" s="13"/>
    </row>
    <row r="40759">
      <c r="L40759" s="13"/>
      <c r="M40759" s="14"/>
      <c r="N40759" s="14"/>
      <c r="O40759" s="14"/>
      <c r="P40759" s="13"/>
    </row>
    <row r="40760">
      <c r="L40760" s="13"/>
      <c r="M40760" s="14"/>
      <c r="N40760" s="14"/>
      <c r="O40760" s="14"/>
      <c r="P40760" s="13"/>
    </row>
    <row r="40761">
      <c r="L40761" s="13"/>
      <c r="M40761" s="14"/>
      <c r="N40761" s="14"/>
      <c r="O40761" s="14"/>
      <c r="P40761" s="13"/>
    </row>
    <row r="40762">
      <c r="L40762" s="13"/>
      <c r="M40762" s="14"/>
      <c r="N40762" s="14"/>
      <c r="O40762" s="14"/>
      <c r="P40762" s="13"/>
    </row>
    <row r="40763">
      <c r="L40763" s="13"/>
      <c r="M40763" s="14"/>
      <c r="N40763" s="14"/>
      <c r="O40763" s="14"/>
      <c r="P40763" s="13"/>
    </row>
    <row r="40764">
      <c r="L40764" s="13"/>
      <c r="M40764" s="14"/>
      <c r="N40764" s="14"/>
      <c r="O40764" s="14"/>
      <c r="P40764" s="13"/>
    </row>
    <row r="40765">
      <c r="L40765" s="13"/>
      <c r="M40765" s="14"/>
      <c r="N40765" s="14"/>
      <c r="O40765" s="14"/>
      <c r="P40765" s="13"/>
    </row>
    <row r="40766">
      <c r="L40766" s="13"/>
      <c r="M40766" s="14"/>
      <c r="N40766" s="14"/>
      <c r="O40766" s="14"/>
      <c r="P40766" s="13"/>
    </row>
    <row r="40767">
      <c r="L40767" s="13"/>
      <c r="M40767" s="14"/>
      <c r="N40767" s="14"/>
      <c r="O40767" s="14"/>
      <c r="P40767" s="13"/>
    </row>
    <row r="40768">
      <c r="L40768" s="13"/>
      <c r="M40768" s="14"/>
      <c r="N40768" s="14"/>
      <c r="O40768" s="14"/>
      <c r="P40768" s="13"/>
    </row>
    <row r="40769">
      <c r="L40769" s="13"/>
      <c r="M40769" s="14"/>
      <c r="N40769" s="14"/>
      <c r="O40769" s="14"/>
      <c r="P40769" s="13"/>
    </row>
    <row r="40770">
      <c r="L40770" s="13"/>
      <c r="M40770" s="14"/>
      <c r="N40770" s="14"/>
      <c r="O40770" s="14"/>
      <c r="P40770" s="13"/>
    </row>
    <row r="40771">
      <c r="L40771" s="13"/>
      <c r="M40771" s="14"/>
      <c r="N40771" s="14"/>
      <c r="O40771" s="14"/>
      <c r="P40771" s="13"/>
    </row>
    <row r="40772">
      <c r="L40772" s="13"/>
      <c r="M40772" s="14"/>
      <c r="N40772" s="14"/>
      <c r="O40772" s="14"/>
      <c r="P40772" s="13"/>
    </row>
    <row r="40773">
      <c r="L40773" s="13"/>
      <c r="M40773" s="14"/>
      <c r="N40773" s="14"/>
      <c r="O40773" s="14"/>
      <c r="P40773" s="13"/>
    </row>
    <row r="40774">
      <c r="L40774" s="13"/>
      <c r="M40774" s="14"/>
      <c r="N40774" s="14"/>
      <c r="O40774" s="14"/>
      <c r="P40774" s="13"/>
    </row>
    <row r="40775">
      <c r="L40775" s="13"/>
      <c r="M40775" s="14"/>
      <c r="N40775" s="14"/>
      <c r="O40775" s="14"/>
      <c r="P40775" s="13"/>
    </row>
    <row r="40776">
      <c r="L40776" s="13"/>
      <c r="M40776" s="14"/>
      <c r="N40776" s="14"/>
      <c r="O40776" s="14"/>
      <c r="P40776" s="13"/>
    </row>
    <row r="40777">
      <c r="L40777" s="13"/>
      <c r="M40777" s="14"/>
      <c r="N40777" s="14"/>
      <c r="O40777" s="14"/>
      <c r="P40777" s="13"/>
    </row>
    <row r="40778">
      <c r="L40778" s="13"/>
      <c r="M40778" s="14"/>
      <c r="N40778" s="14"/>
      <c r="O40778" s="14"/>
      <c r="P40778" s="13"/>
    </row>
    <row r="40779">
      <c r="L40779" s="13"/>
      <c r="M40779" s="14"/>
      <c r="N40779" s="14"/>
      <c r="O40779" s="14"/>
      <c r="P40779" s="13"/>
    </row>
    <row r="40780">
      <c r="L40780" s="13"/>
      <c r="M40780" s="14"/>
      <c r="N40780" s="14"/>
      <c r="O40780" s="14"/>
      <c r="P40780" s="13"/>
    </row>
    <row r="40781">
      <c r="L40781" s="13"/>
      <c r="M40781" s="14"/>
      <c r="N40781" s="14"/>
      <c r="O40781" s="14"/>
      <c r="P40781" s="13"/>
    </row>
    <row r="40782">
      <c r="L40782" s="13"/>
      <c r="M40782" s="14"/>
      <c r="N40782" s="14"/>
      <c r="O40782" s="14"/>
      <c r="P40782" s="13"/>
    </row>
    <row r="40783">
      <c r="L40783" s="13"/>
      <c r="M40783" s="14"/>
      <c r="N40783" s="14"/>
      <c r="O40783" s="14"/>
      <c r="P40783" s="13"/>
    </row>
    <row r="40784">
      <c r="L40784" s="13"/>
      <c r="M40784" s="14"/>
      <c r="N40784" s="14"/>
      <c r="O40784" s="14"/>
      <c r="P40784" s="13"/>
    </row>
    <row r="40785">
      <c r="L40785" s="13"/>
      <c r="M40785" s="14"/>
      <c r="N40785" s="14"/>
      <c r="O40785" s="14"/>
      <c r="P40785" s="13"/>
    </row>
    <row r="40786">
      <c r="L40786" s="13"/>
      <c r="M40786" s="14"/>
      <c r="N40786" s="14"/>
      <c r="O40786" s="14"/>
      <c r="P40786" s="13"/>
    </row>
    <row r="40787">
      <c r="L40787" s="13"/>
      <c r="M40787" s="14"/>
      <c r="N40787" s="14"/>
      <c r="O40787" s="14"/>
      <c r="P40787" s="13"/>
    </row>
    <row r="40788">
      <c r="L40788" s="13"/>
      <c r="M40788" s="14"/>
      <c r="N40788" s="14"/>
      <c r="O40788" s="14"/>
      <c r="P40788" s="13"/>
    </row>
    <row r="40789">
      <c r="L40789" s="13"/>
      <c r="M40789" s="14"/>
      <c r="N40789" s="14"/>
      <c r="O40789" s="14"/>
      <c r="P40789" s="13"/>
    </row>
    <row r="40790">
      <c r="L40790" s="13"/>
      <c r="M40790" s="14"/>
      <c r="N40790" s="14"/>
      <c r="O40790" s="14"/>
      <c r="P40790" s="13"/>
    </row>
    <row r="40791">
      <c r="L40791" s="13"/>
      <c r="M40791" s="14"/>
      <c r="N40791" s="14"/>
      <c r="O40791" s="14"/>
      <c r="P40791" s="13"/>
    </row>
    <row r="40792">
      <c r="L40792" s="13"/>
      <c r="M40792" s="14"/>
      <c r="N40792" s="14"/>
      <c r="O40792" s="14"/>
      <c r="P40792" s="13"/>
    </row>
    <row r="40793">
      <c r="L40793" s="13"/>
      <c r="M40793" s="14"/>
      <c r="N40793" s="14"/>
      <c r="O40793" s="14"/>
      <c r="P40793" s="13"/>
    </row>
    <row r="40794">
      <c r="L40794" s="13"/>
      <c r="M40794" s="14"/>
      <c r="N40794" s="14"/>
      <c r="O40794" s="14"/>
      <c r="P40794" s="13"/>
    </row>
    <row r="40795">
      <c r="L40795" s="13"/>
      <c r="M40795" s="14"/>
      <c r="N40795" s="14"/>
      <c r="O40795" s="14"/>
      <c r="P40795" s="13"/>
    </row>
    <row r="40796">
      <c r="L40796" s="13"/>
      <c r="M40796" s="14"/>
      <c r="N40796" s="14"/>
      <c r="O40796" s="14"/>
      <c r="P40796" s="13"/>
    </row>
    <row r="40797">
      <c r="L40797" s="13"/>
      <c r="M40797" s="14"/>
      <c r="N40797" s="14"/>
      <c r="O40797" s="14"/>
      <c r="P40797" s="13"/>
    </row>
    <row r="40798">
      <c r="L40798" s="13"/>
      <c r="M40798" s="14"/>
      <c r="N40798" s="14"/>
      <c r="O40798" s="14"/>
      <c r="P40798" s="13"/>
    </row>
    <row r="40799">
      <c r="L40799" s="13"/>
      <c r="M40799" s="14"/>
      <c r="N40799" s="14"/>
      <c r="O40799" s="14"/>
      <c r="P40799" s="13"/>
    </row>
    <row r="40800">
      <c r="L40800" s="13"/>
      <c r="M40800" s="14"/>
      <c r="N40800" s="14"/>
      <c r="O40800" s="14"/>
      <c r="P40800" s="13"/>
    </row>
    <row r="40801">
      <c r="L40801" s="13"/>
      <c r="M40801" s="14"/>
      <c r="N40801" s="14"/>
      <c r="O40801" s="14"/>
      <c r="P40801" s="13"/>
    </row>
    <row r="40802">
      <c r="L40802" s="13"/>
      <c r="M40802" s="14"/>
      <c r="N40802" s="14"/>
      <c r="O40802" s="14"/>
      <c r="P40802" s="13"/>
    </row>
    <row r="40803">
      <c r="L40803" s="13"/>
      <c r="M40803" s="14"/>
      <c r="N40803" s="14"/>
      <c r="O40803" s="14"/>
      <c r="P40803" s="13"/>
    </row>
    <row r="40804">
      <c r="L40804" s="13"/>
      <c r="M40804" s="14"/>
      <c r="N40804" s="14"/>
      <c r="O40804" s="14"/>
      <c r="P40804" s="13"/>
    </row>
    <row r="40805">
      <c r="L40805" s="13"/>
      <c r="M40805" s="14"/>
      <c r="N40805" s="14"/>
      <c r="O40805" s="14"/>
      <c r="P40805" s="13"/>
    </row>
    <row r="40806">
      <c r="L40806" s="13"/>
      <c r="M40806" s="14"/>
      <c r="N40806" s="14"/>
      <c r="O40806" s="14"/>
      <c r="P40806" s="13"/>
    </row>
    <row r="40807">
      <c r="L40807" s="13"/>
      <c r="M40807" s="14"/>
      <c r="N40807" s="14"/>
      <c r="O40807" s="14"/>
      <c r="P40807" s="13"/>
    </row>
    <row r="40808">
      <c r="L40808" s="13"/>
      <c r="M40808" s="14"/>
      <c r="N40808" s="14"/>
      <c r="O40808" s="14"/>
      <c r="P40808" s="13"/>
    </row>
    <row r="40809">
      <c r="L40809" s="13"/>
      <c r="M40809" s="14"/>
      <c r="N40809" s="14"/>
      <c r="O40809" s="14"/>
      <c r="P40809" s="13"/>
    </row>
    <row r="40810">
      <c r="L40810" s="13"/>
      <c r="M40810" s="14"/>
      <c r="N40810" s="14"/>
      <c r="O40810" s="14"/>
      <c r="P40810" s="13"/>
    </row>
    <row r="40811">
      <c r="L40811" s="13"/>
      <c r="M40811" s="14"/>
      <c r="N40811" s="14"/>
      <c r="O40811" s="14"/>
      <c r="P40811" s="13"/>
    </row>
    <row r="40812">
      <c r="L40812" s="13"/>
      <c r="M40812" s="14"/>
      <c r="N40812" s="14"/>
      <c r="O40812" s="14"/>
      <c r="P40812" s="13"/>
    </row>
    <row r="40813">
      <c r="L40813" s="13"/>
      <c r="M40813" s="14"/>
      <c r="N40813" s="14"/>
      <c r="O40813" s="14"/>
      <c r="P40813" s="13"/>
    </row>
    <row r="40814">
      <c r="L40814" s="13"/>
      <c r="M40814" s="14"/>
      <c r="N40814" s="14"/>
      <c r="O40814" s="14"/>
      <c r="P40814" s="13"/>
    </row>
    <row r="40815">
      <c r="L40815" s="13"/>
      <c r="M40815" s="14"/>
      <c r="N40815" s="14"/>
      <c r="O40815" s="14"/>
      <c r="P40815" s="13"/>
    </row>
    <row r="40816">
      <c r="L40816" s="13"/>
      <c r="M40816" s="14"/>
      <c r="N40816" s="14"/>
      <c r="O40816" s="14"/>
      <c r="P40816" s="13"/>
    </row>
    <row r="40817">
      <c r="L40817" s="13"/>
      <c r="M40817" s="14"/>
      <c r="N40817" s="14"/>
      <c r="O40817" s="14"/>
      <c r="P40817" s="13"/>
    </row>
    <row r="40818">
      <c r="L40818" s="13"/>
      <c r="M40818" s="14"/>
      <c r="N40818" s="14"/>
      <c r="O40818" s="14"/>
      <c r="P40818" s="13"/>
    </row>
    <row r="40819">
      <c r="L40819" s="13"/>
      <c r="M40819" s="14"/>
      <c r="N40819" s="14"/>
      <c r="O40819" s="14"/>
      <c r="P40819" s="13"/>
    </row>
    <row r="40820">
      <c r="L40820" s="13"/>
      <c r="M40820" s="14"/>
      <c r="N40820" s="14"/>
      <c r="O40820" s="14"/>
      <c r="P40820" s="13"/>
    </row>
    <row r="40821">
      <c r="L40821" s="13"/>
      <c r="M40821" s="14"/>
      <c r="N40821" s="14"/>
      <c r="O40821" s="14"/>
      <c r="P40821" s="13"/>
    </row>
    <row r="40822">
      <c r="L40822" s="13"/>
      <c r="M40822" s="14"/>
      <c r="N40822" s="14"/>
      <c r="O40822" s="14"/>
      <c r="P40822" s="13"/>
    </row>
    <row r="40823">
      <c r="L40823" s="13"/>
      <c r="M40823" s="14"/>
      <c r="N40823" s="14"/>
      <c r="O40823" s="14"/>
      <c r="P40823" s="13"/>
    </row>
    <row r="40824">
      <c r="L40824" s="13"/>
      <c r="M40824" s="14"/>
      <c r="N40824" s="14"/>
      <c r="O40824" s="14"/>
      <c r="P40824" s="13"/>
    </row>
    <row r="40825">
      <c r="L40825" s="13"/>
      <c r="M40825" s="14"/>
      <c r="N40825" s="14"/>
      <c r="O40825" s="14"/>
      <c r="P40825" s="13"/>
    </row>
    <row r="40826">
      <c r="L40826" s="13"/>
      <c r="M40826" s="14"/>
      <c r="N40826" s="14"/>
      <c r="O40826" s="14"/>
      <c r="P40826" s="13"/>
    </row>
    <row r="40827">
      <c r="L40827" s="13"/>
      <c r="M40827" s="14"/>
      <c r="N40827" s="14"/>
      <c r="O40827" s="14"/>
      <c r="P40827" s="13"/>
    </row>
    <row r="40828">
      <c r="L40828" s="13"/>
      <c r="M40828" s="14"/>
      <c r="N40828" s="14"/>
      <c r="O40828" s="14"/>
      <c r="P40828" s="13"/>
    </row>
    <row r="40829">
      <c r="L40829" s="13"/>
      <c r="M40829" s="14"/>
      <c r="N40829" s="14"/>
      <c r="O40829" s="14"/>
      <c r="P40829" s="13"/>
    </row>
    <row r="40830">
      <c r="L40830" s="13"/>
      <c r="M40830" s="14"/>
      <c r="N40830" s="14"/>
      <c r="O40830" s="14"/>
      <c r="P40830" s="13"/>
    </row>
    <row r="40831">
      <c r="L40831" s="13"/>
      <c r="M40831" s="14"/>
      <c r="N40831" s="14"/>
      <c r="O40831" s="14"/>
      <c r="P40831" s="13"/>
    </row>
    <row r="40832">
      <c r="L40832" s="13"/>
      <c r="M40832" s="14"/>
      <c r="N40832" s="14"/>
      <c r="O40832" s="14"/>
      <c r="P40832" s="13"/>
    </row>
    <row r="40833">
      <c r="L40833" s="13"/>
      <c r="M40833" s="14"/>
      <c r="N40833" s="14"/>
      <c r="O40833" s="14"/>
      <c r="P40833" s="13"/>
    </row>
    <row r="40834">
      <c r="L40834" s="13"/>
      <c r="M40834" s="14"/>
      <c r="N40834" s="14"/>
      <c r="O40834" s="14"/>
      <c r="P40834" s="13"/>
    </row>
    <row r="40835">
      <c r="L40835" s="13"/>
      <c r="M40835" s="14"/>
      <c r="N40835" s="14"/>
      <c r="O40835" s="14"/>
      <c r="P40835" s="13"/>
    </row>
    <row r="40836">
      <c r="L40836" s="13"/>
      <c r="M40836" s="14"/>
      <c r="N40836" s="14"/>
      <c r="O40836" s="14"/>
      <c r="P40836" s="13"/>
    </row>
    <row r="40837">
      <c r="L40837" s="13"/>
      <c r="M40837" s="14"/>
      <c r="N40837" s="14"/>
      <c r="O40837" s="14"/>
      <c r="P40837" s="13"/>
    </row>
    <row r="40838">
      <c r="L40838" s="13"/>
      <c r="M40838" s="14"/>
      <c r="N40838" s="14"/>
      <c r="O40838" s="14"/>
      <c r="P40838" s="13"/>
    </row>
    <row r="40839">
      <c r="L40839" s="13"/>
      <c r="M40839" s="14"/>
      <c r="N40839" s="14"/>
      <c r="O40839" s="14"/>
      <c r="P40839" s="13"/>
    </row>
    <row r="40840">
      <c r="L40840" s="13"/>
      <c r="M40840" s="14"/>
      <c r="N40840" s="14"/>
      <c r="O40840" s="14"/>
      <c r="P40840" s="13"/>
    </row>
    <row r="40841">
      <c r="L40841" s="13"/>
      <c r="M40841" s="14"/>
      <c r="N40841" s="14"/>
      <c r="O40841" s="14"/>
      <c r="P40841" s="13"/>
    </row>
    <row r="40842">
      <c r="L40842" s="13"/>
      <c r="M40842" s="14"/>
      <c r="N40842" s="14"/>
      <c r="O40842" s="14"/>
      <c r="P40842" s="13"/>
    </row>
    <row r="40843">
      <c r="L40843" s="13"/>
      <c r="M40843" s="14"/>
      <c r="N40843" s="14"/>
      <c r="O40843" s="14"/>
      <c r="P40843" s="13"/>
    </row>
    <row r="40844">
      <c r="L40844" s="13"/>
      <c r="M40844" s="14"/>
      <c r="N40844" s="14"/>
      <c r="O40844" s="14"/>
      <c r="P40844" s="13"/>
    </row>
    <row r="40845">
      <c r="L40845" s="13"/>
      <c r="M40845" s="14"/>
      <c r="N40845" s="14"/>
      <c r="O40845" s="14"/>
      <c r="P40845" s="13"/>
    </row>
    <row r="40846">
      <c r="L40846" s="13"/>
      <c r="M40846" s="14"/>
      <c r="N40846" s="14"/>
      <c r="O40846" s="14"/>
      <c r="P40846" s="13"/>
    </row>
    <row r="40847">
      <c r="L40847" s="13"/>
      <c r="M40847" s="14"/>
      <c r="N40847" s="14"/>
      <c r="O40847" s="14"/>
      <c r="P40847" s="13"/>
    </row>
    <row r="40848">
      <c r="L40848" s="13"/>
      <c r="M40848" s="14"/>
      <c r="N40848" s="14"/>
      <c r="O40848" s="14"/>
      <c r="P40848" s="13"/>
    </row>
    <row r="40849">
      <c r="L40849" s="13"/>
      <c r="M40849" s="14"/>
      <c r="N40849" s="14"/>
      <c r="O40849" s="14"/>
      <c r="P40849" s="13"/>
    </row>
    <row r="40850">
      <c r="L40850" s="13"/>
      <c r="M40850" s="14"/>
      <c r="N40850" s="14"/>
      <c r="O40850" s="14"/>
      <c r="P40850" s="13"/>
    </row>
    <row r="40851">
      <c r="L40851" s="13"/>
      <c r="M40851" s="14"/>
      <c r="N40851" s="14"/>
      <c r="O40851" s="14"/>
      <c r="P40851" s="13"/>
    </row>
    <row r="40852">
      <c r="L40852" s="13"/>
      <c r="M40852" s="14"/>
      <c r="N40852" s="14"/>
      <c r="O40852" s="14"/>
      <c r="P40852" s="13"/>
    </row>
    <row r="40853">
      <c r="L40853" s="13"/>
      <c r="M40853" s="14"/>
      <c r="N40853" s="14"/>
      <c r="O40853" s="14"/>
      <c r="P40853" s="13"/>
    </row>
    <row r="40854">
      <c r="L40854" s="13"/>
      <c r="M40854" s="14"/>
      <c r="N40854" s="14"/>
      <c r="O40854" s="14"/>
      <c r="P40854" s="13"/>
    </row>
    <row r="40855">
      <c r="L40855" s="13"/>
      <c r="M40855" s="14"/>
      <c r="N40855" s="14"/>
      <c r="O40855" s="14"/>
      <c r="P40855" s="13"/>
    </row>
    <row r="40856">
      <c r="L40856" s="13"/>
      <c r="M40856" s="14"/>
      <c r="N40856" s="14"/>
      <c r="O40856" s="14"/>
      <c r="P40856" s="13"/>
    </row>
    <row r="40857">
      <c r="L40857" s="13"/>
      <c r="M40857" s="14"/>
      <c r="N40857" s="14"/>
      <c r="O40857" s="14"/>
      <c r="P40857" s="13"/>
    </row>
    <row r="40858">
      <c r="L40858" s="13"/>
      <c r="M40858" s="14"/>
      <c r="N40858" s="14"/>
      <c r="O40858" s="14"/>
      <c r="P40858" s="13"/>
    </row>
    <row r="40859">
      <c r="L40859" s="13"/>
      <c r="M40859" s="14"/>
      <c r="N40859" s="14"/>
      <c r="O40859" s="14"/>
      <c r="P40859" s="13"/>
    </row>
    <row r="40860">
      <c r="L40860" s="13"/>
      <c r="M40860" s="14"/>
      <c r="N40860" s="14"/>
      <c r="O40860" s="14"/>
      <c r="P40860" s="13"/>
    </row>
    <row r="40861">
      <c r="L40861" s="13"/>
      <c r="M40861" s="14"/>
      <c r="N40861" s="14"/>
      <c r="O40861" s="14"/>
      <c r="P40861" s="13"/>
    </row>
    <row r="40862">
      <c r="L40862" s="13"/>
      <c r="M40862" s="14"/>
      <c r="N40862" s="14"/>
      <c r="O40862" s="14"/>
      <c r="P40862" s="13"/>
    </row>
    <row r="40863">
      <c r="L40863" s="13"/>
      <c r="M40863" s="14"/>
      <c r="N40863" s="14"/>
      <c r="O40863" s="14"/>
      <c r="P40863" s="13"/>
    </row>
    <row r="40864">
      <c r="L40864" s="13"/>
      <c r="M40864" s="14"/>
      <c r="N40864" s="14"/>
      <c r="O40864" s="14"/>
      <c r="P40864" s="13"/>
    </row>
    <row r="40865">
      <c r="L40865" s="13"/>
      <c r="M40865" s="14"/>
      <c r="N40865" s="14"/>
      <c r="O40865" s="14"/>
      <c r="P40865" s="13"/>
    </row>
    <row r="40866">
      <c r="L40866" s="13"/>
      <c r="M40866" s="14"/>
      <c r="N40866" s="14"/>
      <c r="O40866" s="14"/>
      <c r="P40866" s="13"/>
    </row>
    <row r="40867">
      <c r="L40867" s="13"/>
      <c r="M40867" s="14"/>
      <c r="N40867" s="14"/>
      <c r="O40867" s="14"/>
      <c r="P40867" s="13"/>
    </row>
    <row r="40868">
      <c r="L40868" s="13"/>
      <c r="M40868" s="14"/>
      <c r="N40868" s="14"/>
      <c r="O40868" s="14"/>
      <c r="P40868" s="13"/>
    </row>
    <row r="40869">
      <c r="L40869" s="13"/>
      <c r="M40869" s="14"/>
      <c r="N40869" s="14"/>
      <c r="O40869" s="14"/>
      <c r="P40869" s="13"/>
    </row>
    <row r="40870">
      <c r="L40870" s="13"/>
      <c r="M40870" s="14"/>
      <c r="N40870" s="14"/>
      <c r="O40870" s="14"/>
      <c r="P40870" s="13"/>
    </row>
    <row r="40871">
      <c r="L40871" s="13"/>
      <c r="M40871" s="14"/>
      <c r="N40871" s="14"/>
      <c r="O40871" s="14"/>
      <c r="P40871" s="13"/>
    </row>
    <row r="40872">
      <c r="L40872" s="13"/>
      <c r="M40872" s="14"/>
      <c r="N40872" s="14"/>
      <c r="O40872" s="14"/>
      <c r="P40872" s="13"/>
    </row>
    <row r="40873">
      <c r="L40873" s="13"/>
      <c r="M40873" s="14"/>
      <c r="N40873" s="14"/>
      <c r="O40873" s="14"/>
      <c r="P40873" s="13"/>
    </row>
    <row r="40874">
      <c r="L40874" s="13"/>
      <c r="M40874" s="14"/>
      <c r="N40874" s="14"/>
      <c r="O40874" s="14"/>
      <c r="P40874" s="13"/>
    </row>
    <row r="40875">
      <c r="L40875" s="13"/>
      <c r="M40875" s="14"/>
      <c r="N40875" s="14"/>
      <c r="O40875" s="14"/>
      <c r="P40875" s="13"/>
    </row>
    <row r="40876">
      <c r="L40876" s="13"/>
      <c r="M40876" s="14"/>
      <c r="N40876" s="14"/>
      <c r="O40876" s="14"/>
      <c r="P40876" s="13"/>
    </row>
    <row r="40877">
      <c r="L40877" s="13"/>
      <c r="M40877" s="14"/>
      <c r="N40877" s="14"/>
      <c r="O40877" s="14"/>
      <c r="P40877" s="13"/>
    </row>
    <row r="40878">
      <c r="L40878" s="13"/>
      <c r="M40878" s="14"/>
      <c r="N40878" s="14"/>
      <c r="O40878" s="14"/>
      <c r="P40878" s="13"/>
    </row>
    <row r="40879">
      <c r="L40879" s="13"/>
      <c r="M40879" s="14"/>
      <c r="N40879" s="14"/>
      <c r="O40879" s="14"/>
      <c r="P40879" s="13"/>
    </row>
    <row r="40880">
      <c r="L40880" s="13"/>
      <c r="M40880" s="14"/>
      <c r="N40880" s="14"/>
      <c r="O40880" s="14"/>
      <c r="P40880" s="13"/>
    </row>
    <row r="40881">
      <c r="L40881" s="13"/>
      <c r="M40881" s="14"/>
      <c r="N40881" s="14"/>
      <c r="O40881" s="14"/>
      <c r="P40881" s="13"/>
    </row>
    <row r="40882">
      <c r="L40882" s="13"/>
      <c r="M40882" s="14"/>
      <c r="N40882" s="14"/>
      <c r="O40882" s="14"/>
      <c r="P40882" s="13"/>
    </row>
    <row r="40883">
      <c r="L40883" s="13"/>
      <c r="M40883" s="14"/>
      <c r="N40883" s="14"/>
      <c r="O40883" s="14"/>
      <c r="P40883" s="13"/>
    </row>
    <row r="40884">
      <c r="L40884" s="13"/>
      <c r="M40884" s="14"/>
      <c r="N40884" s="14"/>
      <c r="O40884" s="14"/>
      <c r="P40884" s="13"/>
    </row>
    <row r="40885">
      <c r="L40885" s="13"/>
      <c r="M40885" s="14"/>
      <c r="N40885" s="14"/>
      <c r="O40885" s="14"/>
      <c r="P40885" s="13"/>
    </row>
    <row r="40886">
      <c r="L40886" s="13"/>
      <c r="M40886" s="14"/>
      <c r="N40886" s="14"/>
      <c r="O40886" s="14"/>
      <c r="P40886" s="13"/>
    </row>
    <row r="40887">
      <c r="L40887" s="13"/>
      <c r="M40887" s="14"/>
      <c r="N40887" s="14"/>
      <c r="O40887" s="14"/>
      <c r="P40887" s="13"/>
    </row>
    <row r="40888">
      <c r="L40888" s="13"/>
      <c r="M40888" s="14"/>
      <c r="N40888" s="14"/>
      <c r="O40888" s="14"/>
      <c r="P40888" s="13"/>
    </row>
    <row r="40889">
      <c r="L40889" s="13"/>
      <c r="M40889" s="14"/>
      <c r="N40889" s="14"/>
      <c r="O40889" s="14"/>
      <c r="P40889" s="13"/>
    </row>
    <row r="40890">
      <c r="L40890" s="13"/>
      <c r="M40890" s="14"/>
      <c r="N40890" s="14"/>
      <c r="O40890" s="14"/>
      <c r="P40890" s="13"/>
    </row>
    <row r="40891">
      <c r="L40891" s="13"/>
      <c r="M40891" s="14"/>
      <c r="N40891" s="14"/>
      <c r="O40891" s="14"/>
      <c r="P40891" s="13"/>
    </row>
    <row r="40892">
      <c r="L40892" s="13"/>
      <c r="M40892" s="14"/>
      <c r="N40892" s="14"/>
      <c r="O40892" s="14"/>
      <c r="P40892" s="13"/>
    </row>
    <row r="40893">
      <c r="L40893" s="13"/>
      <c r="M40893" s="14"/>
      <c r="N40893" s="14"/>
      <c r="O40893" s="14"/>
      <c r="P40893" s="13"/>
    </row>
    <row r="40894">
      <c r="L40894" s="13"/>
      <c r="M40894" s="14"/>
      <c r="N40894" s="14"/>
      <c r="O40894" s="14"/>
      <c r="P40894" s="13"/>
    </row>
    <row r="40895">
      <c r="L40895" s="13"/>
      <c r="M40895" s="14"/>
      <c r="N40895" s="14"/>
      <c r="O40895" s="14"/>
      <c r="P40895" s="13"/>
    </row>
    <row r="40896">
      <c r="L40896" s="13"/>
      <c r="M40896" s="14"/>
      <c r="N40896" s="14"/>
      <c r="O40896" s="14"/>
      <c r="P40896" s="13"/>
    </row>
    <row r="40897">
      <c r="L40897" s="13"/>
      <c r="M40897" s="14"/>
      <c r="N40897" s="14"/>
      <c r="O40897" s="14"/>
      <c r="P40897" s="13"/>
    </row>
    <row r="40898">
      <c r="L40898" s="13"/>
      <c r="M40898" s="14"/>
      <c r="N40898" s="14"/>
      <c r="O40898" s="14"/>
      <c r="P40898" s="13"/>
    </row>
    <row r="40899">
      <c r="L40899" s="13"/>
      <c r="M40899" s="14"/>
      <c r="N40899" s="14"/>
      <c r="O40899" s="14"/>
      <c r="P40899" s="13"/>
    </row>
    <row r="40900">
      <c r="L40900" s="13"/>
      <c r="M40900" s="14"/>
      <c r="N40900" s="14"/>
      <c r="O40900" s="14"/>
      <c r="P40900" s="13"/>
    </row>
    <row r="40901">
      <c r="L40901" s="13"/>
      <c r="M40901" s="14"/>
      <c r="N40901" s="14"/>
      <c r="O40901" s="14"/>
      <c r="P40901" s="13"/>
    </row>
    <row r="40902">
      <c r="L40902" s="13"/>
      <c r="M40902" s="14"/>
      <c r="N40902" s="14"/>
      <c r="O40902" s="14"/>
      <c r="P40902" s="13"/>
    </row>
    <row r="40903">
      <c r="L40903" s="13"/>
      <c r="M40903" s="14"/>
      <c r="N40903" s="14"/>
      <c r="O40903" s="14"/>
      <c r="P40903" s="13"/>
    </row>
    <row r="40904">
      <c r="L40904" s="13"/>
      <c r="M40904" s="14"/>
      <c r="N40904" s="14"/>
      <c r="O40904" s="14"/>
      <c r="P40904" s="13"/>
    </row>
    <row r="40905">
      <c r="L40905" s="13"/>
      <c r="M40905" s="14"/>
      <c r="N40905" s="14"/>
      <c r="O40905" s="14"/>
      <c r="P40905" s="13"/>
    </row>
    <row r="40906">
      <c r="L40906" s="13"/>
      <c r="M40906" s="14"/>
      <c r="N40906" s="14"/>
      <c r="O40906" s="14"/>
      <c r="P40906" s="13"/>
    </row>
    <row r="40907">
      <c r="L40907" s="13"/>
      <c r="M40907" s="14"/>
      <c r="N40907" s="14"/>
      <c r="O40907" s="14"/>
      <c r="P40907" s="13"/>
    </row>
    <row r="40908">
      <c r="L40908" s="13"/>
      <c r="M40908" s="14"/>
      <c r="N40908" s="14"/>
      <c r="O40908" s="14"/>
      <c r="P40908" s="13"/>
    </row>
    <row r="40909">
      <c r="L40909" s="13"/>
      <c r="M40909" s="14"/>
      <c r="N40909" s="14"/>
      <c r="O40909" s="14"/>
      <c r="P40909" s="13"/>
    </row>
    <row r="40910">
      <c r="L40910" s="13"/>
      <c r="M40910" s="14"/>
      <c r="N40910" s="14"/>
      <c r="O40910" s="14"/>
      <c r="P40910" s="13"/>
    </row>
    <row r="40911">
      <c r="L40911" s="13"/>
      <c r="M40911" s="14"/>
      <c r="N40911" s="14"/>
      <c r="O40911" s="14"/>
      <c r="P40911" s="13"/>
    </row>
    <row r="40912">
      <c r="L40912" s="13"/>
      <c r="M40912" s="14"/>
      <c r="N40912" s="14"/>
      <c r="O40912" s="14"/>
      <c r="P40912" s="13"/>
    </row>
    <row r="40913">
      <c r="L40913" s="13"/>
      <c r="M40913" s="14"/>
      <c r="N40913" s="14"/>
      <c r="O40913" s="14"/>
      <c r="P40913" s="13"/>
    </row>
    <row r="40914">
      <c r="L40914" s="13"/>
      <c r="M40914" s="14"/>
      <c r="N40914" s="14"/>
      <c r="O40914" s="14"/>
      <c r="P40914" s="13"/>
    </row>
    <row r="40915">
      <c r="L40915" s="13"/>
      <c r="M40915" s="14"/>
      <c r="N40915" s="14"/>
      <c r="O40915" s="14"/>
      <c r="P40915" s="13"/>
    </row>
    <row r="40916">
      <c r="L40916" s="13"/>
      <c r="M40916" s="14"/>
      <c r="N40916" s="14"/>
      <c r="O40916" s="14"/>
      <c r="P40916" s="13"/>
    </row>
    <row r="40917">
      <c r="L40917" s="13"/>
      <c r="M40917" s="14"/>
      <c r="N40917" s="14"/>
      <c r="O40917" s="14"/>
      <c r="P40917" s="13"/>
    </row>
    <row r="40918">
      <c r="L40918" s="13"/>
      <c r="M40918" s="14"/>
      <c r="N40918" s="14"/>
      <c r="O40918" s="14"/>
      <c r="P40918" s="13"/>
    </row>
    <row r="40919">
      <c r="L40919" s="13"/>
      <c r="M40919" s="14"/>
      <c r="N40919" s="14"/>
      <c r="O40919" s="14"/>
      <c r="P40919" s="13"/>
    </row>
    <row r="40920">
      <c r="L40920" s="13"/>
      <c r="M40920" s="14"/>
      <c r="N40920" s="14"/>
      <c r="O40920" s="14"/>
      <c r="P40920" s="13"/>
    </row>
    <row r="40921">
      <c r="L40921" s="13"/>
      <c r="M40921" s="14"/>
      <c r="N40921" s="14"/>
      <c r="O40921" s="14"/>
      <c r="P40921" s="13"/>
    </row>
    <row r="40922">
      <c r="L40922" s="13"/>
      <c r="M40922" s="14"/>
      <c r="N40922" s="14"/>
      <c r="O40922" s="14"/>
      <c r="P40922" s="13"/>
    </row>
    <row r="40923">
      <c r="L40923" s="13"/>
      <c r="M40923" s="14"/>
      <c r="N40923" s="14"/>
      <c r="O40923" s="14"/>
      <c r="P40923" s="13"/>
    </row>
    <row r="40924">
      <c r="L40924" s="13"/>
      <c r="M40924" s="14"/>
      <c r="N40924" s="14"/>
      <c r="O40924" s="14"/>
      <c r="P40924" s="13"/>
    </row>
    <row r="40925">
      <c r="L40925" s="13"/>
      <c r="M40925" s="14"/>
      <c r="N40925" s="14"/>
      <c r="O40925" s="14"/>
      <c r="P40925" s="13"/>
    </row>
    <row r="40926">
      <c r="L40926" s="13"/>
      <c r="M40926" s="14"/>
      <c r="N40926" s="14"/>
      <c r="O40926" s="14"/>
      <c r="P40926" s="13"/>
    </row>
    <row r="40927">
      <c r="L40927" s="13"/>
      <c r="M40927" s="14"/>
      <c r="N40927" s="14"/>
      <c r="O40927" s="14"/>
      <c r="P40927" s="13"/>
    </row>
    <row r="40928">
      <c r="L40928" s="13"/>
      <c r="M40928" s="14"/>
      <c r="N40928" s="14"/>
      <c r="O40928" s="14"/>
      <c r="P40928" s="13"/>
    </row>
    <row r="40929">
      <c r="L40929" s="13"/>
      <c r="M40929" s="14"/>
      <c r="N40929" s="14"/>
      <c r="O40929" s="14"/>
      <c r="P40929" s="13"/>
    </row>
    <row r="40930">
      <c r="L40930" s="13"/>
      <c r="M40930" s="14"/>
      <c r="N40930" s="14"/>
      <c r="O40930" s="14"/>
      <c r="P40930" s="13"/>
    </row>
    <row r="40931">
      <c r="L40931" s="13"/>
      <c r="M40931" s="14"/>
      <c r="N40931" s="14"/>
      <c r="O40931" s="14"/>
      <c r="P40931" s="13"/>
    </row>
    <row r="40932">
      <c r="L40932" s="13"/>
      <c r="M40932" s="14"/>
      <c r="N40932" s="14"/>
      <c r="O40932" s="14"/>
      <c r="P40932" s="13"/>
    </row>
    <row r="40933">
      <c r="L40933" s="13"/>
      <c r="M40933" s="14"/>
      <c r="N40933" s="14"/>
      <c r="O40933" s="14"/>
      <c r="P40933" s="13"/>
    </row>
    <row r="40934">
      <c r="L40934" s="13"/>
      <c r="M40934" s="14"/>
      <c r="N40934" s="14"/>
      <c r="O40934" s="14"/>
      <c r="P40934" s="13"/>
    </row>
    <row r="40935">
      <c r="L40935" s="13"/>
      <c r="M40935" s="14"/>
      <c r="N40935" s="14"/>
      <c r="O40935" s="14"/>
      <c r="P40935" s="13"/>
    </row>
    <row r="40936">
      <c r="L40936" s="13"/>
      <c r="M40936" s="14"/>
      <c r="N40936" s="14"/>
      <c r="O40936" s="14"/>
      <c r="P40936" s="13"/>
    </row>
    <row r="40937">
      <c r="L40937" s="13"/>
      <c r="M40937" s="14"/>
      <c r="N40937" s="14"/>
      <c r="O40937" s="14"/>
      <c r="P40937" s="13"/>
    </row>
    <row r="40938">
      <c r="L40938" s="13"/>
      <c r="M40938" s="14"/>
      <c r="N40938" s="14"/>
      <c r="O40938" s="14"/>
      <c r="P40938" s="13"/>
    </row>
    <row r="40939">
      <c r="L40939" s="13"/>
      <c r="M40939" s="14"/>
      <c r="N40939" s="14"/>
      <c r="O40939" s="14"/>
      <c r="P40939" s="13"/>
    </row>
    <row r="40940">
      <c r="L40940" s="13"/>
      <c r="M40940" s="14"/>
      <c r="N40940" s="14"/>
      <c r="O40940" s="14"/>
      <c r="P40940" s="13"/>
    </row>
    <row r="40941">
      <c r="L40941" s="13"/>
      <c r="M40941" s="14"/>
      <c r="N40941" s="14"/>
      <c r="O40941" s="14"/>
      <c r="P40941" s="13"/>
    </row>
    <row r="40942">
      <c r="L40942" s="13"/>
      <c r="M40942" s="14"/>
      <c r="N40942" s="14"/>
      <c r="O40942" s="14"/>
      <c r="P40942" s="13"/>
    </row>
    <row r="40943">
      <c r="L40943" s="13"/>
      <c r="M40943" s="14"/>
      <c r="N40943" s="14"/>
      <c r="O40943" s="14"/>
      <c r="P40943" s="13"/>
    </row>
    <row r="40944">
      <c r="L40944" s="13"/>
      <c r="M40944" s="14"/>
      <c r="N40944" s="14"/>
      <c r="O40944" s="14"/>
      <c r="P40944" s="13"/>
    </row>
    <row r="40945">
      <c r="L40945" s="13"/>
      <c r="M40945" s="14"/>
      <c r="N40945" s="14"/>
      <c r="O40945" s="14"/>
      <c r="P40945" s="13"/>
    </row>
    <row r="40946">
      <c r="L40946" s="13"/>
      <c r="M40946" s="14"/>
      <c r="N40946" s="14"/>
      <c r="O40946" s="14"/>
      <c r="P40946" s="13"/>
    </row>
    <row r="40947">
      <c r="L40947" s="13"/>
      <c r="M40947" s="14"/>
      <c r="N40947" s="14"/>
      <c r="O40947" s="14"/>
      <c r="P40947" s="13"/>
    </row>
    <row r="40948">
      <c r="L40948" s="13"/>
      <c r="M40948" s="14"/>
      <c r="N40948" s="14"/>
      <c r="O40948" s="14"/>
      <c r="P40948" s="13"/>
    </row>
    <row r="40949">
      <c r="L40949" s="13"/>
      <c r="M40949" s="14"/>
      <c r="N40949" s="14"/>
      <c r="O40949" s="14"/>
      <c r="P40949" s="13"/>
    </row>
    <row r="40950">
      <c r="L40950" s="13"/>
      <c r="M40950" s="14"/>
      <c r="N40950" s="14"/>
      <c r="O40950" s="14"/>
      <c r="P40950" s="13"/>
    </row>
    <row r="40951">
      <c r="L40951" s="13"/>
      <c r="M40951" s="14"/>
      <c r="N40951" s="14"/>
      <c r="O40951" s="14"/>
      <c r="P40951" s="13"/>
    </row>
    <row r="40952">
      <c r="L40952" s="13"/>
      <c r="M40952" s="14"/>
      <c r="N40952" s="14"/>
      <c r="O40952" s="14"/>
      <c r="P40952" s="13"/>
    </row>
    <row r="40953">
      <c r="L40953" s="13"/>
      <c r="M40953" s="14"/>
      <c r="N40953" s="14"/>
      <c r="O40953" s="14"/>
      <c r="P40953" s="13"/>
    </row>
    <row r="40954">
      <c r="L40954" s="13"/>
      <c r="M40954" s="14"/>
      <c r="N40954" s="14"/>
      <c r="O40954" s="14"/>
      <c r="P40954" s="13"/>
    </row>
    <row r="40955">
      <c r="L40955" s="13"/>
      <c r="M40955" s="14"/>
      <c r="N40955" s="14"/>
      <c r="O40955" s="14"/>
      <c r="P40955" s="13"/>
    </row>
    <row r="40956">
      <c r="L40956" s="13"/>
      <c r="M40956" s="14"/>
      <c r="N40956" s="14"/>
      <c r="O40956" s="14"/>
      <c r="P40956" s="13"/>
    </row>
    <row r="40957">
      <c r="L40957" s="13"/>
      <c r="M40957" s="14"/>
      <c r="N40957" s="14"/>
      <c r="O40957" s="14"/>
      <c r="P40957" s="13"/>
    </row>
    <row r="40958">
      <c r="L40958" s="13"/>
      <c r="M40958" s="14"/>
      <c r="N40958" s="14"/>
      <c r="O40958" s="14"/>
      <c r="P40958" s="13"/>
    </row>
    <row r="40959">
      <c r="L40959" s="13"/>
      <c r="M40959" s="14"/>
      <c r="N40959" s="14"/>
      <c r="O40959" s="14"/>
      <c r="P40959" s="13"/>
    </row>
    <row r="40960">
      <c r="L40960" s="13"/>
      <c r="M40960" s="14"/>
      <c r="N40960" s="14"/>
      <c r="O40960" s="14"/>
      <c r="P40960" s="13"/>
    </row>
    <row r="40961">
      <c r="L40961" s="13"/>
      <c r="M40961" s="14"/>
      <c r="N40961" s="14"/>
      <c r="O40961" s="14"/>
      <c r="P40961" s="13"/>
    </row>
    <row r="40962">
      <c r="L40962" s="13"/>
      <c r="M40962" s="14"/>
      <c r="N40962" s="14"/>
      <c r="O40962" s="14"/>
      <c r="P40962" s="13"/>
    </row>
    <row r="40963">
      <c r="L40963" s="13"/>
      <c r="M40963" s="14"/>
      <c r="N40963" s="14"/>
      <c r="O40963" s="14"/>
      <c r="P40963" s="13"/>
    </row>
    <row r="40964">
      <c r="L40964" s="13"/>
      <c r="M40964" s="14"/>
      <c r="N40964" s="14"/>
      <c r="O40964" s="14"/>
      <c r="P40964" s="13"/>
    </row>
    <row r="40965">
      <c r="L40965" s="13"/>
      <c r="M40965" s="14"/>
      <c r="N40965" s="14"/>
      <c r="O40965" s="14"/>
      <c r="P40965" s="13"/>
    </row>
    <row r="40966">
      <c r="L40966" s="13"/>
      <c r="M40966" s="14"/>
      <c r="N40966" s="14"/>
      <c r="O40966" s="14"/>
      <c r="P40966" s="13"/>
    </row>
    <row r="40967">
      <c r="L40967" s="13"/>
      <c r="M40967" s="14"/>
      <c r="N40967" s="14"/>
      <c r="O40967" s="14"/>
      <c r="P40967" s="13"/>
    </row>
    <row r="40968">
      <c r="L40968" s="13"/>
      <c r="M40968" s="14"/>
      <c r="N40968" s="14"/>
      <c r="O40968" s="14"/>
      <c r="P40968" s="13"/>
    </row>
    <row r="40969">
      <c r="L40969" s="13"/>
      <c r="M40969" s="14"/>
      <c r="N40969" s="14"/>
      <c r="O40969" s="14"/>
      <c r="P40969" s="13"/>
    </row>
    <row r="40970">
      <c r="L40970" s="13"/>
      <c r="M40970" s="14"/>
      <c r="N40970" s="14"/>
      <c r="O40970" s="14"/>
      <c r="P40970" s="13"/>
    </row>
    <row r="40971">
      <c r="L40971" s="13"/>
      <c r="M40971" s="14"/>
      <c r="N40971" s="14"/>
      <c r="O40971" s="14"/>
      <c r="P40971" s="13"/>
    </row>
    <row r="40972">
      <c r="L40972" s="13"/>
      <c r="M40972" s="14"/>
      <c r="N40972" s="14"/>
      <c r="O40972" s="14"/>
      <c r="P40972" s="13"/>
    </row>
    <row r="40973">
      <c r="L40973" s="13"/>
      <c r="M40973" s="14"/>
      <c r="N40973" s="14"/>
      <c r="O40973" s="14"/>
      <c r="P40973" s="13"/>
    </row>
    <row r="40974">
      <c r="L40974" s="13"/>
      <c r="M40974" s="14"/>
      <c r="N40974" s="14"/>
      <c r="O40974" s="14"/>
      <c r="P40974" s="13"/>
    </row>
    <row r="40975">
      <c r="L40975" s="13"/>
      <c r="M40975" s="14"/>
      <c r="N40975" s="14"/>
      <c r="O40975" s="14"/>
      <c r="P40975" s="13"/>
    </row>
    <row r="40976">
      <c r="L40976" s="13"/>
      <c r="M40976" s="14"/>
      <c r="N40976" s="14"/>
      <c r="O40976" s="14"/>
      <c r="P40976" s="13"/>
    </row>
    <row r="40977">
      <c r="L40977" s="13"/>
      <c r="M40977" s="14"/>
      <c r="N40977" s="14"/>
      <c r="O40977" s="14"/>
      <c r="P40977" s="13"/>
    </row>
    <row r="40978">
      <c r="L40978" s="13"/>
      <c r="M40978" s="14"/>
      <c r="N40978" s="14"/>
      <c r="O40978" s="14"/>
      <c r="P40978" s="13"/>
    </row>
    <row r="40979">
      <c r="L40979" s="13"/>
      <c r="M40979" s="14"/>
      <c r="N40979" s="14"/>
      <c r="O40979" s="14"/>
      <c r="P40979" s="13"/>
    </row>
    <row r="40980">
      <c r="L40980" s="13"/>
      <c r="M40980" s="14"/>
      <c r="N40980" s="14"/>
      <c r="O40980" s="14"/>
      <c r="P40980" s="13"/>
    </row>
    <row r="40981">
      <c r="L40981" s="13"/>
      <c r="M40981" s="14"/>
      <c r="N40981" s="14"/>
      <c r="O40981" s="14"/>
      <c r="P40981" s="13"/>
    </row>
    <row r="40982">
      <c r="L40982" s="13"/>
      <c r="M40982" s="14"/>
      <c r="N40982" s="14"/>
      <c r="O40982" s="14"/>
      <c r="P40982" s="13"/>
    </row>
    <row r="40983">
      <c r="L40983" s="13"/>
      <c r="M40983" s="14"/>
      <c r="N40983" s="14"/>
      <c r="O40983" s="14"/>
      <c r="P40983" s="13"/>
    </row>
    <row r="40984">
      <c r="L40984" s="13"/>
      <c r="M40984" s="14"/>
      <c r="N40984" s="14"/>
      <c r="O40984" s="14"/>
      <c r="P40984" s="13"/>
    </row>
    <row r="40985">
      <c r="L40985" s="13"/>
      <c r="M40985" s="14"/>
      <c r="N40985" s="14"/>
      <c r="O40985" s="14"/>
      <c r="P40985" s="13"/>
    </row>
    <row r="40986">
      <c r="L40986" s="13"/>
      <c r="M40986" s="14"/>
      <c r="N40986" s="14"/>
      <c r="O40986" s="14"/>
      <c r="P40986" s="13"/>
    </row>
    <row r="40987">
      <c r="L40987" s="13"/>
      <c r="M40987" s="14"/>
      <c r="N40987" s="14"/>
      <c r="O40987" s="14"/>
      <c r="P40987" s="13"/>
    </row>
    <row r="40988">
      <c r="L40988" s="13"/>
      <c r="M40988" s="14"/>
      <c r="N40988" s="14"/>
      <c r="O40988" s="14"/>
      <c r="P40988" s="13"/>
    </row>
    <row r="40989">
      <c r="L40989" s="13"/>
      <c r="M40989" s="14"/>
      <c r="N40989" s="14"/>
      <c r="O40989" s="14"/>
      <c r="P40989" s="13"/>
    </row>
    <row r="40990">
      <c r="L40990" s="13"/>
      <c r="M40990" s="14"/>
      <c r="N40990" s="14"/>
      <c r="O40990" s="14"/>
      <c r="P40990" s="13"/>
    </row>
    <row r="40991">
      <c r="L40991" s="13"/>
      <c r="M40991" s="14"/>
      <c r="N40991" s="14"/>
      <c r="O40991" s="14"/>
      <c r="P40991" s="13"/>
    </row>
    <row r="40992">
      <c r="L40992" s="13"/>
      <c r="M40992" s="14"/>
      <c r="N40992" s="14"/>
      <c r="O40992" s="14"/>
      <c r="P40992" s="13"/>
    </row>
    <row r="40993">
      <c r="L40993" s="13"/>
      <c r="M40993" s="14"/>
      <c r="N40993" s="14"/>
      <c r="O40993" s="14"/>
      <c r="P40993" s="13"/>
    </row>
    <row r="40994">
      <c r="L40994" s="13"/>
      <c r="M40994" s="14"/>
      <c r="N40994" s="14"/>
      <c r="O40994" s="14"/>
      <c r="P40994" s="13"/>
    </row>
    <row r="40995">
      <c r="L40995" s="13"/>
      <c r="M40995" s="14"/>
      <c r="N40995" s="14"/>
      <c r="O40995" s="14"/>
      <c r="P40995" s="13"/>
    </row>
    <row r="40996">
      <c r="L40996" s="13"/>
      <c r="M40996" s="14"/>
      <c r="N40996" s="14"/>
      <c r="O40996" s="14"/>
      <c r="P40996" s="13"/>
    </row>
    <row r="40997">
      <c r="L40997" s="13"/>
      <c r="M40997" s="14"/>
      <c r="N40997" s="14"/>
      <c r="O40997" s="14"/>
      <c r="P40997" s="13"/>
    </row>
    <row r="40998">
      <c r="L40998" s="13"/>
      <c r="M40998" s="14"/>
      <c r="N40998" s="14"/>
      <c r="O40998" s="14"/>
      <c r="P40998" s="13"/>
    </row>
    <row r="40999">
      <c r="L40999" s="13"/>
      <c r="M40999" s="14"/>
      <c r="N40999" s="14"/>
      <c r="O40999" s="14"/>
      <c r="P40999" s="13"/>
    </row>
    <row r="41000">
      <c r="L41000" s="13"/>
      <c r="M41000" s="14"/>
      <c r="N41000" s="14"/>
      <c r="O41000" s="14"/>
      <c r="P41000" s="13"/>
    </row>
    <row r="41001">
      <c r="L41001" s="13"/>
      <c r="M41001" s="14"/>
      <c r="N41001" s="14"/>
      <c r="O41001" s="14"/>
      <c r="P41001" s="13"/>
    </row>
    <row r="41002">
      <c r="L41002" s="13"/>
      <c r="M41002" s="14"/>
      <c r="N41002" s="14"/>
      <c r="O41002" s="14"/>
      <c r="P41002" s="13"/>
    </row>
    <row r="41003">
      <c r="L41003" s="13"/>
      <c r="M41003" s="14"/>
      <c r="N41003" s="14"/>
      <c r="O41003" s="14"/>
      <c r="P41003" s="13"/>
    </row>
    <row r="41004">
      <c r="L41004" s="13"/>
      <c r="M41004" s="14"/>
      <c r="N41004" s="14"/>
      <c r="O41004" s="14"/>
      <c r="P41004" s="13"/>
    </row>
    <row r="41005">
      <c r="L41005" s="13"/>
      <c r="M41005" s="14"/>
      <c r="N41005" s="14"/>
      <c r="O41005" s="14"/>
      <c r="P41005" s="13"/>
    </row>
    <row r="41006">
      <c r="L41006" s="13"/>
      <c r="M41006" s="14"/>
      <c r="N41006" s="14"/>
      <c r="O41006" s="14"/>
      <c r="P41006" s="13"/>
    </row>
    <row r="41007">
      <c r="L41007" s="13"/>
      <c r="M41007" s="14"/>
      <c r="N41007" s="14"/>
      <c r="O41007" s="14"/>
      <c r="P41007" s="13"/>
    </row>
    <row r="41008">
      <c r="L41008" s="13"/>
      <c r="M41008" s="14"/>
      <c r="N41008" s="14"/>
      <c r="O41008" s="14"/>
      <c r="P41008" s="13"/>
    </row>
    <row r="41009">
      <c r="L41009" s="13"/>
      <c r="M41009" s="14"/>
      <c r="N41009" s="14"/>
      <c r="O41009" s="14"/>
      <c r="P41009" s="13"/>
    </row>
    <row r="41010">
      <c r="L41010" s="13"/>
      <c r="M41010" s="14"/>
      <c r="N41010" s="14"/>
      <c r="O41010" s="14"/>
      <c r="P41010" s="13"/>
    </row>
    <row r="41011">
      <c r="L41011" s="13"/>
      <c r="M41011" s="14"/>
      <c r="N41011" s="14"/>
      <c r="O41011" s="14"/>
      <c r="P41011" s="13"/>
    </row>
    <row r="41012">
      <c r="L41012" s="13"/>
      <c r="M41012" s="14"/>
      <c r="N41012" s="14"/>
      <c r="O41012" s="14"/>
      <c r="P41012" s="13"/>
    </row>
    <row r="41013">
      <c r="L41013" s="13"/>
      <c r="M41013" s="14"/>
      <c r="N41013" s="14"/>
      <c r="O41013" s="14"/>
      <c r="P41013" s="13"/>
    </row>
    <row r="41014">
      <c r="L41014" s="13"/>
      <c r="M41014" s="14"/>
      <c r="N41014" s="14"/>
      <c r="O41014" s="14"/>
      <c r="P41014" s="13"/>
    </row>
    <row r="41015">
      <c r="L41015" s="13"/>
      <c r="M41015" s="14"/>
      <c r="N41015" s="14"/>
      <c r="O41015" s="14"/>
      <c r="P41015" s="13"/>
    </row>
    <row r="41016">
      <c r="L41016" s="13"/>
      <c r="M41016" s="14"/>
      <c r="N41016" s="14"/>
      <c r="O41016" s="14"/>
      <c r="P41016" s="13"/>
    </row>
    <row r="41017">
      <c r="L41017" s="13"/>
      <c r="M41017" s="14"/>
      <c r="N41017" s="14"/>
      <c r="O41017" s="14"/>
      <c r="P41017" s="13"/>
    </row>
    <row r="41018">
      <c r="L41018" s="13"/>
      <c r="M41018" s="14"/>
      <c r="N41018" s="14"/>
      <c r="O41018" s="14"/>
      <c r="P41018" s="13"/>
    </row>
    <row r="41019">
      <c r="L41019" s="13"/>
      <c r="M41019" s="14"/>
      <c r="N41019" s="14"/>
      <c r="O41019" s="14"/>
      <c r="P41019" s="13"/>
    </row>
    <row r="41020">
      <c r="L41020" s="13"/>
      <c r="M41020" s="14"/>
      <c r="N41020" s="14"/>
      <c r="O41020" s="14"/>
      <c r="P41020" s="13"/>
    </row>
    <row r="41021">
      <c r="L41021" s="13"/>
      <c r="M41021" s="14"/>
      <c r="N41021" s="14"/>
      <c r="O41021" s="14"/>
      <c r="P41021" s="13"/>
    </row>
    <row r="41022">
      <c r="L41022" s="13"/>
      <c r="M41022" s="14"/>
      <c r="N41022" s="14"/>
      <c r="O41022" s="14"/>
      <c r="P41022" s="13"/>
    </row>
    <row r="41023">
      <c r="L41023" s="13"/>
      <c r="M41023" s="14"/>
      <c r="N41023" s="14"/>
      <c r="O41023" s="14"/>
      <c r="P41023" s="13"/>
    </row>
    <row r="41024">
      <c r="L41024" s="13"/>
      <c r="M41024" s="14"/>
      <c r="N41024" s="14"/>
      <c r="O41024" s="14"/>
      <c r="P41024" s="13"/>
    </row>
    <row r="41025">
      <c r="L41025" s="13"/>
      <c r="M41025" s="14"/>
      <c r="N41025" s="14"/>
      <c r="O41025" s="14"/>
      <c r="P41025" s="13"/>
    </row>
    <row r="41026">
      <c r="L41026" s="13"/>
      <c r="M41026" s="14"/>
      <c r="N41026" s="14"/>
      <c r="O41026" s="14"/>
      <c r="P41026" s="13"/>
    </row>
    <row r="41027">
      <c r="L41027" s="13"/>
      <c r="M41027" s="14"/>
      <c r="N41027" s="14"/>
      <c r="O41027" s="14"/>
      <c r="P41027" s="13"/>
    </row>
    <row r="41028">
      <c r="L41028" s="13"/>
      <c r="M41028" s="14"/>
      <c r="N41028" s="14"/>
      <c r="O41028" s="14"/>
      <c r="P41028" s="13"/>
    </row>
    <row r="41029">
      <c r="L41029" s="13"/>
      <c r="M41029" s="14"/>
      <c r="N41029" s="14"/>
      <c r="O41029" s="14"/>
      <c r="P41029" s="13"/>
    </row>
    <row r="41030">
      <c r="L41030" s="13"/>
      <c r="M41030" s="14"/>
      <c r="N41030" s="14"/>
      <c r="O41030" s="14"/>
      <c r="P41030" s="13"/>
    </row>
    <row r="41031">
      <c r="L41031" s="13"/>
      <c r="M41031" s="14"/>
      <c r="N41031" s="14"/>
      <c r="O41031" s="14"/>
      <c r="P41031" s="13"/>
    </row>
    <row r="41032">
      <c r="L41032" s="13"/>
      <c r="M41032" s="14"/>
      <c r="N41032" s="14"/>
      <c r="O41032" s="14"/>
      <c r="P41032" s="13"/>
    </row>
    <row r="41033">
      <c r="L41033" s="13"/>
      <c r="M41033" s="14"/>
      <c r="N41033" s="14"/>
      <c r="O41033" s="14"/>
      <c r="P41033" s="13"/>
    </row>
    <row r="41034">
      <c r="L41034" s="13"/>
      <c r="M41034" s="14"/>
      <c r="N41034" s="14"/>
      <c r="O41034" s="14"/>
      <c r="P41034" s="13"/>
    </row>
    <row r="41035">
      <c r="L41035" s="13"/>
      <c r="M41035" s="14"/>
      <c r="N41035" s="14"/>
      <c r="O41035" s="14"/>
      <c r="P41035" s="13"/>
    </row>
    <row r="41036">
      <c r="L41036" s="13"/>
      <c r="M41036" s="14"/>
      <c r="N41036" s="14"/>
      <c r="O41036" s="14"/>
      <c r="P41036" s="13"/>
    </row>
    <row r="41037">
      <c r="L41037" s="13"/>
      <c r="M41037" s="14"/>
      <c r="N41037" s="14"/>
      <c r="O41037" s="14"/>
      <c r="P41037" s="13"/>
    </row>
    <row r="41038">
      <c r="L41038" s="13"/>
      <c r="M41038" s="14"/>
      <c r="N41038" s="14"/>
      <c r="O41038" s="14"/>
      <c r="P41038" s="13"/>
    </row>
    <row r="41039">
      <c r="L41039" s="13"/>
      <c r="M41039" s="14"/>
      <c r="N41039" s="14"/>
      <c r="O41039" s="14"/>
      <c r="P41039" s="13"/>
    </row>
    <row r="41040">
      <c r="L41040" s="13"/>
      <c r="M41040" s="14"/>
      <c r="N41040" s="14"/>
      <c r="O41040" s="14"/>
      <c r="P41040" s="13"/>
    </row>
    <row r="41041">
      <c r="L41041" s="13"/>
      <c r="M41041" s="14"/>
      <c r="N41041" s="14"/>
      <c r="O41041" s="14"/>
      <c r="P41041" s="13"/>
    </row>
    <row r="41042">
      <c r="L41042" s="13"/>
      <c r="M41042" s="14"/>
      <c r="N41042" s="14"/>
      <c r="O41042" s="14"/>
      <c r="P41042" s="13"/>
    </row>
    <row r="41043">
      <c r="L41043" s="13"/>
      <c r="M41043" s="14"/>
      <c r="N41043" s="14"/>
      <c r="O41043" s="14"/>
      <c r="P41043" s="13"/>
    </row>
    <row r="41044">
      <c r="L41044" s="13"/>
      <c r="M41044" s="14"/>
      <c r="N41044" s="14"/>
      <c r="O41044" s="14"/>
      <c r="P41044" s="13"/>
    </row>
    <row r="41045">
      <c r="L41045" s="13"/>
      <c r="M41045" s="14"/>
      <c r="N41045" s="14"/>
      <c r="O41045" s="14"/>
      <c r="P41045" s="13"/>
    </row>
    <row r="41046">
      <c r="L41046" s="13"/>
      <c r="M41046" s="14"/>
      <c r="N41046" s="14"/>
      <c r="O41046" s="14"/>
      <c r="P41046" s="13"/>
    </row>
    <row r="41047">
      <c r="L41047" s="13"/>
      <c r="M41047" s="14"/>
      <c r="N41047" s="14"/>
      <c r="O41047" s="14"/>
      <c r="P41047" s="13"/>
    </row>
    <row r="41048">
      <c r="L41048" s="13"/>
      <c r="M41048" s="14"/>
      <c r="N41048" s="14"/>
      <c r="O41048" s="14"/>
      <c r="P41048" s="13"/>
    </row>
    <row r="41049">
      <c r="L41049" s="13"/>
      <c r="M41049" s="14"/>
      <c r="N41049" s="14"/>
      <c r="O41049" s="14"/>
      <c r="P41049" s="13"/>
    </row>
    <row r="41050">
      <c r="L41050" s="13"/>
      <c r="M41050" s="14"/>
      <c r="N41050" s="14"/>
      <c r="O41050" s="14"/>
      <c r="P41050" s="13"/>
    </row>
    <row r="41051">
      <c r="L41051" s="13"/>
      <c r="M41051" s="14"/>
      <c r="N41051" s="14"/>
      <c r="O41051" s="14"/>
      <c r="P41051" s="13"/>
    </row>
    <row r="41052">
      <c r="L41052" s="13"/>
      <c r="M41052" s="14"/>
      <c r="N41052" s="14"/>
      <c r="O41052" s="14"/>
      <c r="P41052" s="13"/>
    </row>
    <row r="41053">
      <c r="L41053" s="13"/>
      <c r="M41053" s="14"/>
      <c r="N41053" s="14"/>
      <c r="O41053" s="14"/>
      <c r="P41053" s="13"/>
    </row>
    <row r="41054">
      <c r="L41054" s="13"/>
      <c r="M41054" s="14"/>
      <c r="N41054" s="14"/>
      <c r="O41054" s="14"/>
      <c r="P41054" s="13"/>
    </row>
    <row r="41055">
      <c r="L41055" s="13"/>
      <c r="M41055" s="14"/>
      <c r="N41055" s="14"/>
      <c r="O41055" s="14"/>
      <c r="P41055" s="13"/>
    </row>
    <row r="41056">
      <c r="L41056" s="13"/>
      <c r="M41056" s="14"/>
      <c r="N41056" s="14"/>
      <c r="O41056" s="14"/>
      <c r="P41056" s="13"/>
    </row>
    <row r="41057">
      <c r="L41057" s="13"/>
      <c r="M41057" s="14"/>
      <c r="N41057" s="14"/>
      <c r="O41057" s="14"/>
      <c r="P41057" s="13"/>
    </row>
    <row r="41058">
      <c r="L41058" s="13"/>
      <c r="M41058" s="14"/>
      <c r="N41058" s="14"/>
      <c r="O41058" s="14"/>
      <c r="P41058" s="13"/>
    </row>
    <row r="41059">
      <c r="L41059" s="13"/>
      <c r="M41059" s="14"/>
      <c r="N41059" s="14"/>
      <c r="O41059" s="14"/>
      <c r="P41059" s="13"/>
    </row>
    <row r="41060">
      <c r="L41060" s="13"/>
      <c r="M41060" s="14"/>
      <c r="N41060" s="14"/>
      <c r="O41060" s="14"/>
      <c r="P41060" s="13"/>
    </row>
    <row r="41061">
      <c r="L41061" s="13"/>
      <c r="M41061" s="14"/>
      <c r="N41061" s="14"/>
      <c r="O41061" s="14"/>
      <c r="P41061" s="13"/>
    </row>
    <row r="41062">
      <c r="L41062" s="13"/>
      <c r="M41062" s="14"/>
      <c r="N41062" s="14"/>
      <c r="O41062" s="14"/>
      <c r="P41062" s="13"/>
    </row>
    <row r="41063">
      <c r="L41063" s="13"/>
      <c r="M41063" s="14"/>
      <c r="N41063" s="14"/>
      <c r="O41063" s="14"/>
      <c r="P41063" s="13"/>
    </row>
    <row r="41064">
      <c r="L41064" s="13"/>
      <c r="M41064" s="14"/>
      <c r="N41064" s="14"/>
      <c r="O41064" s="14"/>
      <c r="P41064" s="13"/>
    </row>
    <row r="41065">
      <c r="L41065" s="13"/>
      <c r="M41065" s="14"/>
      <c r="N41065" s="14"/>
      <c r="O41065" s="14"/>
      <c r="P41065" s="13"/>
    </row>
    <row r="41066">
      <c r="L41066" s="13"/>
      <c r="M41066" s="14"/>
      <c r="N41066" s="14"/>
      <c r="O41066" s="14"/>
      <c r="P41066" s="13"/>
    </row>
    <row r="41067">
      <c r="L41067" s="13"/>
      <c r="M41067" s="14"/>
      <c r="N41067" s="14"/>
      <c r="O41067" s="14"/>
      <c r="P41067" s="13"/>
    </row>
    <row r="41068">
      <c r="L41068" s="13"/>
      <c r="M41068" s="14"/>
      <c r="N41068" s="14"/>
      <c r="O41068" s="14"/>
      <c r="P41068" s="13"/>
    </row>
    <row r="41069">
      <c r="L41069" s="13"/>
      <c r="M41069" s="14"/>
      <c r="N41069" s="14"/>
      <c r="O41069" s="14"/>
      <c r="P41069" s="13"/>
    </row>
    <row r="41070">
      <c r="L41070" s="13"/>
      <c r="M41070" s="14"/>
      <c r="N41070" s="14"/>
      <c r="O41070" s="14"/>
      <c r="P41070" s="13"/>
    </row>
    <row r="41071">
      <c r="L41071" s="13"/>
      <c r="M41071" s="14"/>
      <c r="N41071" s="14"/>
      <c r="O41071" s="14"/>
      <c r="P41071" s="13"/>
    </row>
    <row r="41072">
      <c r="L41072" s="13"/>
      <c r="M41072" s="14"/>
      <c r="N41072" s="14"/>
      <c r="O41072" s="14"/>
      <c r="P41072" s="13"/>
    </row>
    <row r="41073">
      <c r="L41073" s="13"/>
      <c r="M41073" s="14"/>
      <c r="N41073" s="14"/>
      <c r="O41073" s="14"/>
      <c r="P41073" s="13"/>
    </row>
    <row r="41074">
      <c r="L41074" s="13"/>
      <c r="M41074" s="14"/>
      <c r="N41074" s="14"/>
      <c r="O41074" s="14"/>
      <c r="P41074" s="13"/>
    </row>
    <row r="41075">
      <c r="L41075" s="13"/>
      <c r="M41075" s="14"/>
      <c r="N41075" s="14"/>
      <c r="O41075" s="14"/>
      <c r="P41075" s="13"/>
    </row>
    <row r="41076">
      <c r="L41076" s="13"/>
      <c r="M41076" s="14"/>
      <c r="N41076" s="14"/>
      <c r="O41076" s="14"/>
      <c r="P41076" s="13"/>
    </row>
    <row r="41077">
      <c r="L41077" s="13"/>
      <c r="M41077" s="14"/>
      <c r="N41077" s="14"/>
      <c r="O41077" s="14"/>
      <c r="P41077" s="13"/>
    </row>
    <row r="41078">
      <c r="L41078" s="13"/>
      <c r="M41078" s="14"/>
      <c r="N41078" s="14"/>
      <c r="O41078" s="14"/>
      <c r="P41078" s="13"/>
    </row>
    <row r="41079">
      <c r="L41079" s="13"/>
      <c r="M41079" s="14"/>
      <c r="N41079" s="14"/>
      <c r="O41079" s="14"/>
      <c r="P41079" s="13"/>
    </row>
    <row r="41080">
      <c r="L41080" s="13"/>
      <c r="M41080" s="14"/>
      <c r="N41080" s="14"/>
      <c r="O41080" s="14"/>
      <c r="P41080" s="13"/>
    </row>
    <row r="41081">
      <c r="L41081" s="13"/>
      <c r="M41081" s="14"/>
      <c r="N41081" s="14"/>
      <c r="O41081" s="14"/>
      <c r="P41081" s="13"/>
    </row>
    <row r="41082">
      <c r="L41082" s="13"/>
      <c r="M41082" s="14"/>
      <c r="N41082" s="14"/>
      <c r="O41082" s="14"/>
      <c r="P41082" s="13"/>
    </row>
    <row r="41083">
      <c r="L41083" s="13"/>
      <c r="M41083" s="14"/>
      <c r="N41083" s="14"/>
      <c r="O41083" s="14"/>
      <c r="P41083" s="13"/>
    </row>
    <row r="41084">
      <c r="L41084" s="13"/>
      <c r="M41084" s="14"/>
      <c r="N41084" s="14"/>
      <c r="O41084" s="14"/>
      <c r="P41084" s="13"/>
    </row>
    <row r="41085">
      <c r="L41085" s="13"/>
      <c r="M41085" s="14"/>
      <c r="N41085" s="14"/>
      <c r="O41085" s="14"/>
      <c r="P41085" s="13"/>
    </row>
    <row r="41086">
      <c r="L41086" s="13"/>
      <c r="M41086" s="14"/>
      <c r="N41086" s="14"/>
      <c r="O41086" s="14"/>
      <c r="P41086" s="13"/>
    </row>
    <row r="41087">
      <c r="L41087" s="13"/>
      <c r="M41087" s="14"/>
      <c r="N41087" s="14"/>
      <c r="O41087" s="14"/>
      <c r="P41087" s="13"/>
    </row>
    <row r="41088">
      <c r="L41088" s="13"/>
      <c r="M41088" s="14"/>
      <c r="N41088" s="14"/>
      <c r="O41088" s="14"/>
      <c r="P41088" s="13"/>
    </row>
    <row r="41089">
      <c r="L41089" s="13"/>
      <c r="M41089" s="14"/>
      <c r="N41089" s="14"/>
      <c r="O41089" s="14"/>
      <c r="P41089" s="13"/>
    </row>
    <row r="41090">
      <c r="L41090" s="13"/>
      <c r="M41090" s="14"/>
      <c r="N41090" s="14"/>
      <c r="O41090" s="14"/>
      <c r="P41090" s="13"/>
    </row>
    <row r="41091">
      <c r="L41091" s="13"/>
      <c r="M41091" s="14"/>
      <c r="N41091" s="14"/>
      <c r="O41091" s="14"/>
      <c r="P41091" s="13"/>
    </row>
    <row r="41092">
      <c r="L41092" s="13"/>
      <c r="M41092" s="14"/>
      <c r="N41092" s="14"/>
      <c r="O41092" s="14"/>
      <c r="P41092" s="13"/>
    </row>
    <row r="41093">
      <c r="L41093" s="13"/>
      <c r="M41093" s="14"/>
      <c r="N41093" s="14"/>
      <c r="O41093" s="14"/>
      <c r="P41093" s="13"/>
    </row>
    <row r="41094">
      <c r="L41094" s="13"/>
      <c r="M41094" s="14"/>
      <c r="N41094" s="14"/>
      <c r="O41094" s="14"/>
      <c r="P41094" s="13"/>
    </row>
    <row r="41095">
      <c r="L41095" s="13"/>
      <c r="M41095" s="14"/>
      <c r="N41095" s="14"/>
      <c r="O41095" s="14"/>
      <c r="P41095" s="13"/>
    </row>
    <row r="41096">
      <c r="L41096" s="13"/>
      <c r="M41096" s="14"/>
      <c r="N41096" s="14"/>
      <c r="O41096" s="14"/>
      <c r="P41096" s="13"/>
    </row>
    <row r="41097">
      <c r="L41097" s="13"/>
      <c r="M41097" s="14"/>
      <c r="N41097" s="14"/>
      <c r="O41097" s="14"/>
      <c r="P41097" s="13"/>
    </row>
    <row r="41098">
      <c r="L41098" s="13"/>
      <c r="M41098" s="14"/>
      <c r="N41098" s="14"/>
      <c r="O41098" s="14"/>
      <c r="P41098" s="13"/>
    </row>
    <row r="41099">
      <c r="L41099" s="13"/>
      <c r="M41099" s="14"/>
      <c r="N41099" s="14"/>
      <c r="O41099" s="14"/>
      <c r="P41099" s="13"/>
    </row>
    <row r="41100">
      <c r="L41100" s="13"/>
      <c r="M41100" s="14"/>
      <c r="N41100" s="14"/>
      <c r="O41100" s="14"/>
      <c r="P41100" s="13"/>
    </row>
    <row r="41101">
      <c r="L41101" s="13"/>
      <c r="M41101" s="14"/>
      <c r="N41101" s="14"/>
      <c r="O41101" s="14"/>
      <c r="P41101" s="13"/>
    </row>
    <row r="41102">
      <c r="L41102" s="13"/>
      <c r="M41102" s="14"/>
      <c r="N41102" s="14"/>
      <c r="O41102" s="14"/>
      <c r="P41102" s="13"/>
    </row>
    <row r="41103">
      <c r="L41103" s="13"/>
      <c r="M41103" s="14"/>
      <c r="N41103" s="14"/>
      <c r="O41103" s="14"/>
      <c r="P41103" s="13"/>
    </row>
    <row r="41104">
      <c r="L41104" s="13"/>
      <c r="M41104" s="14"/>
      <c r="N41104" s="14"/>
      <c r="O41104" s="14"/>
      <c r="P41104" s="13"/>
    </row>
    <row r="41105">
      <c r="L41105" s="13"/>
      <c r="M41105" s="14"/>
      <c r="N41105" s="14"/>
      <c r="O41105" s="14"/>
      <c r="P41105" s="13"/>
    </row>
    <row r="41106">
      <c r="L41106" s="13"/>
      <c r="M41106" s="14"/>
      <c r="N41106" s="14"/>
      <c r="O41106" s="14"/>
      <c r="P41106" s="13"/>
    </row>
    <row r="41107">
      <c r="L41107" s="13"/>
      <c r="M41107" s="14"/>
      <c r="N41107" s="14"/>
      <c r="O41107" s="14"/>
      <c r="P41107" s="13"/>
    </row>
    <row r="41108">
      <c r="L41108" s="13"/>
      <c r="M41108" s="14"/>
      <c r="N41108" s="14"/>
      <c r="O41108" s="14"/>
      <c r="P41108" s="13"/>
    </row>
    <row r="41109">
      <c r="L41109" s="13"/>
      <c r="M41109" s="14"/>
      <c r="N41109" s="14"/>
      <c r="O41109" s="14"/>
      <c r="P41109" s="13"/>
    </row>
    <row r="41110">
      <c r="L41110" s="13"/>
      <c r="M41110" s="14"/>
      <c r="N41110" s="14"/>
      <c r="O41110" s="14"/>
      <c r="P41110" s="13"/>
    </row>
    <row r="41111">
      <c r="L41111" s="13"/>
      <c r="M41111" s="14"/>
      <c r="N41111" s="14"/>
      <c r="O41111" s="14"/>
      <c r="P41111" s="13"/>
    </row>
    <row r="41112">
      <c r="L41112" s="13"/>
      <c r="M41112" s="14"/>
      <c r="N41112" s="14"/>
      <c r="O41112" s="14"/>
      <c r="P41112" s="13"/>
    </row>
    <row r="41113">
      <c r="L41113" s="13"/>
      <c r="M41113" s="14"/>
      <c r="N41113" s="14"/>
      <c r="O41113" s="14"/>
      <c r="P41113" s="13"/>
    </row>
    <row r="41114">
      <c r="L41114" s="13"/>
      <c r="M41114" s="14"/>
      <c r="N41114" s="14"/>
      <c r="O41114" s="14"/>
      <c r="P41114" s="13"/>
    </row>
    <row r="41115">
      <c r="L41115" s="13"/>
      <c r="M41115" s="14"/>
      <c r="N41115" s="14"/>
      <c r="O41115" s="14"/>
      <c r="P41115" s="13"/>
    </row>
    <row r="41116">
      <c r="L41116" s="13"/>
      <c r="M41116" s="14"/>
      <c r="N41116" s="14"/>
      <c r="O41116" s="14"/>
      <c r="P41116" s="13"/>
    </row>
    <row r="41117">
      <c r="L41117" s="13"/>
      <c r="M41117" s="14"/>
      <c r="N41117" s="14"/>
      <c r="O41117" s="14"/>
      <c r="P41117" s="13"/>
    </row>
    <row r="41118">
      <c r="L41118" s="13"/>
      <c r="M41118" s="14"/>
      <c r="N41118" s="14"/>
      <c r="O41118" s="14"/>
      <c r="P41118" s="13"/>
    </row>
    <row r="41119">
      <c r="L41119" s="13"/>
      <c r="M41119" s="14"/>
      <c r="N41119" s="14"/>
      <c r="O41119" s="14"/>
      <c r="P41119" s="13"/>
    </row>
    <row r="41120">
      <c r="L41120" s="13"/>
      <c r="M41120" s="14"/>
      <c r="N41120" s="14"/>
      <c r="O41120" s="14"/>
      <c r="P41120" s="13"/>
    </row>
    <row r="41121">
      <c r="L41121" s="13"/>
      <c r="M41121" s="14"/>
      <c r="N41121" s="14"/>
      <c r="O41121" s="14"/>
      <c r="P41121" s="13"/>
    </row>
    <row r="41122">
      <c r="L41122" s="13"/>
      <c r="M41122" s="14"/>
      <c r="N41122" s="14"/>
      <c r="O41122" s="14"/>
      <c r="P41122" s="13"/>
    </row>
    <row r="41123">
      <c r="L41123" s="13"/>
      <c r="M41123" s="14"/>
      <c r="N41123" s="14"/>
      <c r="O41123" s="14"/>
      <c r="P41123" s="13"/>
    </row>
    <row r="41124">
      <c r="L41124" s="13"/>
      <c r="M41124" s="14"/>
      <c r="N41124" s="14"/>
      <c r="O41124" s="14"/>
      <c r="P41124" s="13"/>
    </row>
    <row r="41125">
      <c r="L41125" s="13"/>
      <c r="M41125" s="14"/>
      <c r="N41125" s="14"/>
      <c r="O41125" s="14"/>
      <c r="P41125" s="13"/>
    </row>
    <row r="41126">
      <c r="L41126" s="13"/>
      <c r="M41126" s="14"/>
      <c r="N41126" s="14"/>
      <c r="O41126" s="14"/>
      <c r="P41126" s="13"/>
    </row>
    <row r="41127">
      <c r="L41127" s="13"/>
      <c r="M41127" s="14"/>
      <c r="N41127" s="14"/>
      <c r="O41127" s="14"/>
      <c r="P41127" s="13"/>
    </row>
    <row r="41128">
      <c r="L41128" s="13"/>
      <c r="M41128" s="14"/>
      <c r="N41128" s="14"/>
      <c r="O41128" s="14"/>
      <c r="P41128" s="13"/>
    </row>
    <row r="41129">
      <c r="L41129" s="13"/>
      <c r="M41129" s="14"/>
      <c r="N41129" s="14"/>
      <c r="O41129" s="14"/>
      <c r="P41129" s="13"/>
    </row>
    <row r="41130">
      <c r="L41130" s="13"/>
      <c r="M41130" s="14"/>
      <c r="N41130" s="14"/>
      <c r="O41130" s="14"/>
      <c r="P41130" s="13"/>
    </row>
    <row r="41131">
      <c r="L41131" s="13"/>
      <c r="M41131" s="14"/>
      <c r="N41131" s="14"/>
      <c r="O41131" s="14"/>
      <c r="P41131" s="13"/>
    </row>
    <row r="41132">
      <c r="L41132" s="13"/>
      <c r="M41132" s="14"/>
      <c r="N41132" s="14"/>
      <c r="O41132" s="14"/>
      <c r="P41132" s="13"/>
    </row>
    <row r="41133">
      <c r="L41133" s="13"/>
      <c r="M41133" s="14"/>
      <c r="N41133" s="14"/>
      <c r="O41133" s="14"/>
      <c r="P41133" s="13"/>
    </row>
    <row r="41134">
      <c r="L41134" s="13"/>
      <c r="M41134" s="14"/>
      <c r="N41134" s="14"/>
      <c r="O41134" s="14"/>
      <c r="P41134" s="13"/>
    </row>
    <row r="41135">
      <c r="L41135" s="13"/>
      <c r="M41135" s="14"/>
      <c r="N41135" s="14"/>
      <c r="O41135" s="14"/>
      <c r="P41135" s="13"/>
    </row>
    <row r="41136">
      <c r="L41136" s="13"/>
      <c r="M41136" s="14"/>
      <c r="N41136" s="14"/>
      <c r="O41136" s="14"/>
      <c r="P41136" s="13"/>
    </row>
    <row r="41137">
      <c r="L41137" s="13"/>
      <c r="M41137" s="14"/>
      <c r="N41137" s="14"/>
      <c r="O41137" s="14"/>
      <c r="P41137" s="13"/>
    </row>
    <row r="41138">
      <c r="L41138" s="13"/>
      <c r="M41138" s="14"/>
      <c r="N41138" s="14"/>
      <c r="O41138" s="14"/>
      <c r="P41138" s="13"/>
    </row>
    <row r="41139">
      <c r="L41139" s="13"/>
      <c r="M41139" s="14"/>
      <c r="N41139" s="14"/>
      <c r="O41139" s="14"/>
      <c r="P41139" s="13"/>
    </row>
    <row r="41140">
      <c r="L41140" s="13"/>
      <c r="M41140" s="14"/>
      <c r="N41140" s="14"/>
      <c r="O41140" s="14"/>
      <c r="P41140" s="13"/>
    </row>
    <row r="41141">
      <c r="L41141" s="13"/>
      <c r="M41141" s="14"/>
      <c r="N41141" s="14"/>
      <c r="O41141" s="14"/>
      <c r="P41141" s="13"/>
    </row>
    <row r="41142">
      <c r="L41142" s="13"/>
      <c r="M41142" s="14"/>
      <c r="N41142" s="14"/>
      <c r="O41142" s="14"/>
      <c r="P41142" s="13"/>
    </row>
    <row r="41143">
      <c r="L41143" s="13"/>
      <c r="M41143" s="14"/>
      <c r="N41143" s="14"/>
      <c r="O41143" s="14"/>
      <c r="P41143" s="13"/>
    </row>
    <row r="41144">
      <c r="L41144" s="13"/>
      <c r="M41144" s="14"/>
      <c r="N41144" s="14"/>
      <c r="O41144" s="14"/>
      <c r="P41144" s="13"/>
    </row>
    <row r="41145">
      <c r="L41145" s="13"/>
      <c r="M41145" s="14"/>
      <c r="N41145" s="14"/>
      <c r="O41145" s="14"/>
      <c r="P41145" s="13"/>
    </row>
    <row r="41146">
      <c r="L41146" s="13"/>
      <c r="M41146" s="14"/>
      <c r="N41146" s="14"/>
      <c r="O41146" s="14"/>
      <c r="P41146" s="13"/>
    </row>
    <row r="41147">
      <c r="L41147" s="13"/>
      <c r="M41147" s="14"/>
      <c r="N41147" s="14"/>
      <c r="O41147" s="14"/>
      <c r="P41147" s="13"/>
    </row>
    <row r="41148">
      <c r="L41148" s="13"/>
      <c r="M41148" s="14"/>
      <c r="N41148" s="14"/>
      <c r="O41148" s="14"/>
      <c r="P41148" s="13"/>
    </row>
    <row r="41149">
      <c r="L41149" s="13"/>
      <c r="M41149" s="14"/>
      <c r="N41149" s="14"/>
      <c r="O41149" s="14"/>
      <c r="P41149" s="13"/>
    </row>
    <row r="41150">
      <c r="L41150" s="13"/>
      <c r="M41150" s="14"/>
      <c r="N41150" s="14"/>
      <c r="O41150" s="14"/>
      <c r="P41150" s="13"/>
    </row>
    <row r="41151">
      <c r="L41151" s="13"/>
      <c r="M41151" s="14"/>
      <c r="N41151" s="14"/>
      <c r="O41151" s="14"/>
      <c r="P41151" s="13"/>
    </row>
    <row r="41152">
      <c r="L41152" s="13"/>
      <c r="M41152" s="14"/>
      <c r="N41152" s="14"/>
      <c r="O41152" s="14"/>
      <c r="P41152" s="13"/>
    </row>
    <row r="41153">
      <c r="L41153" s="13"/>
      <c r="M41153" s="14"/>
      <c r="N41153" s="14"/>
      <c r="O41153" s="14"/>
      <c r="P41153" s="13"/>
    </row>
    <row r="41154">
      <c r="L41154" s="13"/>
      <c r="M41154" s="14"/>
      <c r="N41154" s="14"/>
      <c r="O41154" s="14"/>
      <c r="P41154" s="13"/>
    </row>
    <row r="41155">
      <c r="L41155" s="13"/>
      <c r="M41155" s="14"/>
      <c r="N41155" s="14"/>
      <c r="O41155" s="14"/>
      <c r="P41155" s="13"/>
    </row>
    <row r="41156">
      <c r="L41156" s="13"/>
      <c r="M41156" s="14"/>
      <c r="N41156" s="14"/>
      <c r="O41156" s="14"/>
      <c r="P41156" s="13"/>
    </row>
    <row r="41157">
      <c r="L41157" s="13"/>
      <c r="M41157" s="14"/>
      <c r="N41157" s="14"/>
      <c r="O41157" s="14"/>
      <c r="P41157" s="13"/>
    </row>
    <row r="41158">
      <c r="L41158" s="13"/>
      <c r="M41158" s="14"/>
      <c r="N41158" s="14"/>
      <c r="O41158" s="14"/>
      <c r="P41158" s="13"/>
    </row>
    <row r="41159">
      <c r="L41159" s="13"/>
      <c r="M41159" s="14"/>
      <c r="N41159" s="14"/>
      <c r="O41159" s="14"/>
      <c r="P41159" s="13"/>
    </row>
    <row r="41160">
      <c r="L41160" s="13"/>
      <c r="M41160" s="14"/>
      <c r="N41160" s="14"/>
      <c r="O41160" s="14"/>
      <c r="P41160" s="13"/>
    </row>
    <row r="41161">
      <c r="L41161" s="13"/>
      <c r="M41161" s="14"/>
      <c r="N41161" s="14"/>
      <c r="O41161" s="14"/>
      <c r="P41161" s="13"/>
    </row>
    <row r="41162">
      <c r="L41162" s="13"/>
      <c r="M41162" s="14"/>
      <c r="N41162" s="14"/>
      <c r="O41162" s="14"/>
      <c r="P41162" s="13"/>
    </row>
    <row r="41163">
      <c r="L41163" s="13"/>
      <c r="M41163" s="14"/>
      <c r="N41163" s="14"/>
      <c r="O41163" s="14"/>
      <c r="P41163" s="13"/>
    </row>
    <row r="41164">
      <c r="L41164" s="13"/>
      <c r="M41164" s="14"/>
      <c r="N41164" s="14"/>
      <c r="O41164" s="14"/>
      <c r="P41164" s="13"/>
    </row>
    <row r="41165">
      <c r="L41165" s="13"/>
      <c r="M41165" s="14"/>
      <c r="N41165" s="14"/>
      <c r="O41165" s="14"/>
      <c r="P41165" s="13"/>
    </row>
    <row r="41166">
      <c r="L41166" s="13"/>
      <c r="M41166" s="14"/>
      <c r="N41166" s="14"/>
      <c r="O41166" s="14"/>
      <c r="P41166" s="13"/>
    </row>
    <row r="41167">
      <c r="L41167" s="13"/>
      <c r="M41167" s="14"/>
      <c r="N41167" s="14"/>
      <c r="O41167" s="14"/>
      <c r="P41167" s="13"/>
    </row>
    <row r="41168">
      <c r="L41168" s="13"/>
      <c r="M41168" s="14"/>
      <c r="N41168" s="14"/>
      <c r="O41168" s="14"/>
      <c r="P41168" s="13"/>
    </row>
    <row r="41169">
      <c r="L41169" s="13"/>
      <c r="M41169" s="14"/>
      <c r="N41169" s="14"/>
      <c r="O41169" s="14"/>
      <c r="P41169" s="13"/>
    </row>
    <row r="41170">
      <c r="L41170" s="13"/>
      <c r="M41170" s="14"/>
      <c r="N41170" s="14"/>
      <c r="O41170" s="14"/>
      <c r="P41170" s="13"/>
    </row>
    <row r="41171">
      <c r="L41171" s="13"/>
      <c r="M41171" s="14"/>
      <c r="N41171" s="14"/>
      <c r="O41171" s="14"/>
      <c r="P41171" s="13"/>
    </row>
    <row r="41172">
      <c r="L41172" s="13"/>
      <c r="M41172" s="14"/>
      <c r="N41172" s="14"/>
      <c r="O41172" s="14"/>
      <c r="P41172" s="13"/>
    </row>
    <row r="41173">
      <c r="L41173" s="13"/>
      <c r="M41173" s="14"/>
      <c r="N41173" s="14"/>
      <c r="O41173" s="14"/>
      <c r="P41173" s="13"/>
    </row>
    <row r="41174">
      <c r="L41174" s="13"/>
      <c r="M41174" s="14"/>
      <c r="N41174" s="14"/>
      <c r="O41174" s="14"/>
      <c r="P41174" s="13"/>
    </row>
    <row r="41175">
      <c r="L41175" s="13"/>
      <c r="M41175" s="14"/>
      <c r="N41175" s="14"/>
      <c r="O41175" s="14"/>
      <c r="P41175" s="13"/>
    </row>
    <row r="41176">
      <c r="L41176" s="13"/>
      <c r="M41176" s="14"/>
      <c r="N41176" s="14"/>
      <c r="O41176" s="14"/>
      <c r="P41176" s="13"/>
    </row>
    <row r="41177">
      <c r="L41177" s="13"/>
      <c r="M41177" s="14"/>
      <c r="N41177" s="14"/>
      <c r="O41177" s="14"/>
      <c r="P41177" s="13"/>
    </row>
    <row r="41178">
      <c r="L41178" s="13"/>
      <c r="M41178" s="14"/>
      <c r="N41178" s="14"/>
      <c r="O41178" s="14"/>
      <c r="P41178" s="13"/>
    </row>
    <row r="41179">
      <c r="L41179" s="13"/>
      <c r="M41179" s="14"/>
      <c r="N41179" s="14"/>
      <c r="O41179" s="14"/>
      <c r="P41179" s="13"/>
    </row>
    <row r="41180">
      <c r="L41180" s="13"/>
      <c r="M41180" s="14"/>
      <c r="N41180" s="14"/>
      <c r="O41180" s="14"/>
      <c r="P41180" s="13"/>
    </row>
    <row r="41181">
      <c r="L41181" s="13"/>
      <c r="M41181" s="14"/>
      <c r="N41181" s="14"/>
      <c r="O41181" s="14"/>
      <c r="P41181" s="13"/>
    </row>
    <row r="41182">
      <c r="L41182" s="13"/>
      <c r="M41182" s="14"/>
      <c r="N41182" s="14"/>
      <c r="O41182" s="14"/>
      <c r="P41182" s="13"/>
    </row>
    <row r="41183">
      <c r="L41183" s="13"/>
      <c r="M41183" s="14"/>
      <c r="N41183" s="14"/>
      <c r="O41183" s="14"/>
      <c r="P41183" s="13"/>
    </row>
    <row r="41184">
      <c r="L41184" s="13"/>
      <c r="M41184" s="14"/>
      <c r="N41184" s="14"/>
      <c r="O41184" s="14"/>
      <c r="P41184" s="13"/>
    </row>
    <row r="41185">
      <c r="L41185" s="13"/>
      <c r="M41185" s="14"/>
      <c r="N41185" s="14"/>
      <c r="O41185" s="14"/>
      <c r="P41185" s="13"/>
    </row>
    <row r="41186">
      <c r="L41186" s="13"/>
      <c r="M41186" s="14"/>
      <c r="N41186" s="14"/>
      <c r="O41186" s="14"/>
      <c r="P41186" s="13"/>
    </row>
    <row r="41187">
      <c r="L41187" s="13"/>
      <c r="M41187" s="14"/>
      <c r="N41187" s="14"/>
      <c r="O41187" s="14"/>
      <c r="P41187" s="13"/>
    </row>
    <row r="41188">
      <c r="L41188" s="13"/>
      <c r="M41188" s="14"/>
      <c r="N41188" s="14"/>
      <c r="O41188" s="14"/>
      <c r="P41188" s="13"/>
    </row>
    <row r="41189">
      <c r="L41189" s="13"/>
      <c r="M41189" s="14"/>
      <c r="N41189" s="14"/>
      <c r="O41189" s="14"/>
      <c r="P41189" s="13"/>
    </row>
    <row r="41190">
      <c r="L41190" s="13"/>
      <c r="M41190" s="14"/>
      <c r="N41190" s="14"/>
      <c r="O41190" s="14"/>
      <c r="P41190" s="13"/>
    </row>
    <row r="41191">
      <c r="L41191" s="13"/>
      <c r="M41191" s="14"/>
      <c r="N41191" s="14"/>
      <c r="O41191" s="14"/>
      <c r="P41191" s="13"/>
    </row>
    <row r="41192">
      <c r="L41192" s="13"/>
      <c r="M41192" s="14"/>
      <c r="N41192" s="14"/>
      <c r="O41192" s="14"/>
      <c r="P41192" s="13"/>
    </row>
    <row r="41193">
      <c r="L41193" s="13"/>
      <c r="M41193" s="14"/>
      <c r="N41193" s="14"/>
      <c r="O41193" s="14"/>
      <c r="P41193" s="13"/>
    </row>
    <row r="41194">
      <c r="L41194" s="13"/>
      <c r="M41194" s="14"/>
      <c r="N41194" s="14"/>
      <c r="O41194" s="14"/>
      <c r="P41194" s="13"/>
    </row>
    <row r="41195">
      <c r="L41195" s="13"/>
      <c r="M41195" s="14"/>
      <c r="N41195" s="14"/>
      <c r="O41195" s="14"/>
      <c r="P41195" s="13"/>
    </row>
    <row r="41196">
      <c r="L41196" s="13"/>
      <c r="M41196" s="14"/>
      <c r="N41196" s="14"/>
      <c r="O41196" s="14"/>
      <c r="P41196" s="13"/>
    </row>
    <row r="41197">
      <c r="L41197" s="13"/>
      <c r="M41197" s="14"/>
      <c r="N41197" s="14"/>
      <c r="O41197" s="14"/>
      <c r="P41197" s="13"/>
    </row>
    <row r="41198">
      <c r="L41198" s="13"/>
      <c r="M41198" s="14"/>
      <c r="N41198" s="14"/>
      <c r="O41198" s="14"/>
      <c r="P41198" s="13"/>
    </row>
    <row r="41199">
      <c r="L41199" s="13"/>
      <c r="M41199" s="14"/>
      <c r="N41199" s="14"/>
      <c r="O41199" s="14"/>
      <c r="P41199" s="13"/>
    </row>
    <row r="41200">
      <c r="L41200" s="13"/>
      <c r="M41200" s="14"/>
      <c r="N41200" s="14"/>
      <c r="O41200" s="14"/>
      <c r="P41200" s="13"/>
    </row>
    <row r="41201">
      <c r="L41201" s="13"/>
      <c r="M41201" s="14"/>
      <c r="N41201" s="14"/>
      <c r="O41201" s="14"/>
      <c r="P41201" s="13"/>
    </row>
    <row r="41202">
      <c r="L41202" s="13"/>
      <c r="M41202" s="14"/>
      <c r="N41202" s="14"/>
      <c r="O41202" s="14"/>
      <c r="P41202" s="13"/>
    </row>
    <row r="41203">
      <c r="L41203" s="13"/>
      <c r="M41203" s="14"/>
      <c r="N41203" s="14"/>
      <c r="O41203" s="14"/>
      <c r="P41203" s="13"/>
    </row>
    <row r="41204">
      <c r="L41204" s="13"/>
      <c r="M41204" s="14"/>
      <c r="N41204" s="14"/>
      <c r="O41204" s="14"/>
      <c r="P41204" s="13"/>
    </row>
    <row r="41205">
      <c r="L41205" s="13"/>
      <c r="M41205" s="14"/>
      <c r="N41205" s="14"/>
      <c r="O41205" s="14"/>
      <c r="P41205" s="13"/>
    </row>
    <row r="41206">
      <c r="L41206" s="13"/>
      <c r="M41206" s="14"/>
      <c r="N41206" s="14"/>
      <c r="O41206" s="14"/>
      <c r="P41206" s="13"/>
    </row>
    <row r="41207">
      <c r="L41207" s="13"/>
      <c r="M41207" s="14"/>
      <c r="N41207" s="14"/>
      <c r="O41207" s="14"/>
      <c r="P41207" s="13"/>
    </row>
    <row r="41208">
      <c r="L41208" s="13"/>
      <c r="M41208" s="14"/>
      <c r="N41208" s="14"/>
      <c r="O41208" s="14"/>
      <c r="P41208" s="13"/>
    </row>
    <row r="41209">
      <c r="L41209" s="13"/>
      <c r="M41209" s="14"/>
      <c r="N41209" s="14"/>
      <c r="O41209" s="14"/>
      <c r="P41209" s="13"/>
    </row>
    <row r="41210">
      <c r="L41210" s="13"/>
      <c r="M41210" s="14"/>
      <c r="N41210" s="14"/>
      <c r="O41210" s="14"/>
      <c r="P41210" s="13"/>
    </row>
    <row r="41211">
      <c r="L41211" s="13"/>
      <c r="M41211" s="14"/>
      <c r="N41211" s="14"/>
      <c r="O41211" s="14"/>
      <c r="P41211" s="13"/>
    </row>
    <row r="41212">
      <c r="L41212" s="13"/>
      <c r="M41212" s="14"/>
      <c r="N41212" s="14"/>
      <c r="O41212" s="14"/>
      <c r="P41212" s="13"/>
    </row>
    <row r="41213">
      <c r="L41213" s="13"/>
      <c r="M41213" s="14"/>
      <c r="N41213" s="14"/>
      <c r="O41213" s="14"/>
      <c r="P41213" s="13"/>
    </row>
    <row r="41214">
      <c r="L41214" s="13"/>
      <c r="M41214" s="14"/>
      <c r="N41214" s="14"/>
      <c r="O41214" s="14"/>
      <c r="P41214" s="13"/>
    </row>
    <row r="41215">
      <c r="L41215" s="13"/>
      <c r="M41215" s="14"/>
      <c r="N41215" s="14"/>
      <c r="O41215" s="14"/>
      <c r="P41215" s="13"/>
    </row>
    <row r="41216">
      <c r="L41216" s="13"/>
      <c r="M41216" s="14"/>
      <c r="N41216" s="14"/>
      <c r="O41216" s="14"/>
      <c r="P41216" s="13"/>
    </row>
    <row r="41217">
      <c r="L41217" s="13"/>
      <c r="M41217" s="14"/>
      <c r="N41217" s="14"/>
      <c r="O41217" s="14"/>
      <c r="P41217" s="13"/>
    </row>
    <row r="41218">
      <c r="L41218" s="13"/>
      <c r="M41218" s="14"/>
      <c r="N41218" s="14"/>
      <c r="O41218" s="14"/>
      <c r="P41218" s="13"/>
    </row>
    <row r="41219">
      <c r="L41219" s="13"/>
      <c r="M41219" s="14"/>
      <c r="N41219" s="14"/>
      <c r="O41219" s="14"/>
      <c r="P41219" s="13"/>
    </row>
    <row r="41220">
      <c r="L41220" s="13"/>
      <c r="M41220" s="14"/>
      <c r="N41220" s="14"/>
      <c r="O41220" s="14"/>
      <c r="P41220" s="13"/>
    </row>
    <row r="41221">
      <c r="L41221" s="13"/>
      <c r="M41221" s="14"/>
      <c r="N41221" s="14"/>
      <c r="O41221" s="14"/>
      <c r="P41221" s="13"/>
    </row>
    <row r="41222">
      <c r="L41222" s="13"/>
      <c r="M41222" s="14"/>
      <c r="N41222" s="14"/>
      <c r="O41222" s="14"/>
      <c r="P41222" s="13"/>
    </row>
    <row r="41223">
      <c r="L41223" s="13"/>
      <c r="M41223" s="14"/>
      <c r="N41223" s="14"/>
      <c r="O41223" s="14"/>
      <c r="P41223" s="13"/>
    </row>
    <row r="41224">
      <c r="L41224" s="13"/>
      <c r="M41224" s="14"/>
      <c r="N41224" s="14"/>
      <c r="O41224" s="14"/>
      <c r="P41224" s="13"/>
    </row>
    <row r="41225">
      <c r="L41225" s="13"/>
      <c r="M41225" s="14"/>
      <c r="N41225" s="14"/>
      <c r="O41225" s="14"/>
      <c r="P41225" s="13"/>
    </row>
    <row r="41226">
      <c r="L41226" s="13"/>
      <c r="M41226" s="14"/>
      <c r="N41226" s="14"/>
      <c r="O41226" s="14"/>
      <c r="P41226" s="13"/>
    </row>
    <row r="41227">
      <c r="L41227" s="13"/>
      <c r="M41227" s="14"/>
      <c r="N41227" s="14"/>
      <c r="O41227" s="14"/>
      <c r="P41227" s="13"/>
    </row>
    <row r="41228">
      <c r="L41228" s="13"/>
      <c r="M41228" s="14"/>
      <c r="N41228" s="14"/>
      <c r="O41228" s="14"/>
      <c r="P41228" s="13"/>
    </row>
    <row r="41229">
      <c r="L41229" s="13"/>
      <c r="M41229" s="14"/>
      <c r="N41229" s="14"/>
      <c r="O41229" s="14"/>
      <c r="P41229" s="13"/>
    </row>
    <row r="41230">
      <c r="L41230" s="13"/>
      <c r="M41230" s="14"/>
      <c r="N41230" s="14"/>
      <c r="O41230" s="14"/>
      <c r="P41230" s="13"/>
    </row>
    <row r="41231">
      <c r="L41231" s="13"/>
      <c r="M41231" s="14"/>
      <c r="N41231" s="14"/>
      <c r="O41231" s="14"/>
      <c r="P41231" s="13"/>
    </row>
    <row r="41232">
      <c r="L41232" s="13"/>
      <c r="M41232" s="14"/>
      <c r="N41232" s="14"/>
      <c r="O41232" s="14"/>
      <c r="P41232" s="13"/>
    </row>
    <row r="41233">
      <c r="L41233" s="13"/>
      <c r="M41233" s="14"/>
      <c r="N41233" s="14"/>
      <c r="O41233" s="14"/>
      <c r="P41233" s="13"/>
    </row>
    <row r="41234">
      <c r="L41234" s="13"/>
      <c r="M41234" s="14"/>
      <c r="N41234" s="14"/>
      <c r="O41234" s="14"/>
      <c r="P41234" s="13"/>
    </row>
    <row r="41235">
      <c r="L41235" s="13"/>
      <c r="M41235" s="14"/>
      <c r="N41235" s="14"/>
      <c r="O41235" s="14"/>
      <c r="P41235" s="13"/>
    </row>
    <row r="41236">
      <c r="L41236" s="13"/>
      <c r="M41236" s="14"/>
      <c r="N41236" s="14"/>
      <c r="O41236" s="14"/>
      <c r="P41236" s="13"/>
    </row>
    <row r="41237">
      <c r="L41237" s="13"/>
      <c r="M41237" s="14"/>
      <c r="N41237" s="14"/>
      <c r="O41237" s="14"/>
      <c r="P41237" s="13"/>
    </row>
    <row r="41238">
      <c r="L41238" s="13"/>
      <c r="M41238" s="14"/>
      <c r="N41238" s="14"/>
      <c r="O41238" s="14"/>
      <c r="P41238" s="13"/>
    </row>
    <row r="41239">
      <c r="L41239" s="13"/>
      <c r="M41239" s="14"/>
      <c r="N41239" s="14"/>
      <c r="O41239" s="14"/>
      <c r="P41239" s="13"/>
    </row>
    <row r="41240">
      <c r="L41240" s="13"/>
      <c r="M41240" s="14"/>
      <c r="N41240" s="14"/>
      <c r="O41240" s="14"/>
      <c r="P41240" s="13"/>
    </row>
    <row r="41241">
      <c r="L41241" s="13"/>
      <c r="M41241" s="14"/>
      <c r="N41241" s="14"/>
      <c r="O41241" s="14"/>
      <c r="P41241" s="13"/>
    </row>
    <row r="41242">
      <c r="L41242" s="13"/>
      <c r="M41242" s="14"/>
      <c r="N41242" s="14"/>
      <c r="O41242" s="14"/>
      <c r="P41242" s="13"/>
    </row>
    <row r="41243">
      <c r="L41243" s="13"/>
      <c r="M41243" s="14"/>
      <c r="N41243" s="14"/>
      <c r="O41243" s="14"/>
      <c r="P41243" s="13"/>
    </row>
    <row r="41244">
      <c r="L41244" s="13"/>
      <c r="M41244" s="14"/>
      <c r="N41244" s="14"/>
      <c r="O41244" s="14"/>
      <c r="P41244" s="13"/>
    </row>
    <row r="41245">
      <c r="L41245" s="13"/>
      <c r="M41245" s="14"/>
      <c r="N41245" s="14"/>
      <c r="O41245" s="14"/>
      <c r="P41245" s="13"/>
    </row>
    <row r="41246">
      <c r="L41246" s="13"/>
      <c r="M41246" s="14"/>
      <c r="N41246" s="14"/>
      <c r="O41246" s="14"/>
      <c r="P41246" s="13"/>
    </row>
    <row r="41247">
      <c r="L41247" s="13"/>
      <c r="M41247" s="14"/>
      <c r="N41247" s="14"/>
      <c r="O41247" s="14"/>
      <c r="P41247" s="13"/>
    </row>
    <row r="41248">
      <c r="L41248" s="13"/>
      <c r="M41248" s="14"/>
      <c r="N41248" s="14"/>
      <c r="O41248" s="14"/>
      <c r="P41248" s="13"/>
    </row>
    <row r="41249">
      <c r="L41249" s="13"/>
      <c r="M41249" s="14"/>
      <c r="N41249" s="14"/>
      <c r="O41249" s="14"/>
      <c r="P41249" s="13"/>
    </row>
    <row r="41250">
      <c r="L41250" s="13"/>
      <c r="M41250" s="14"/>
      <c r="N41250" s="14"/>
      <c r="O41250" s="14"/>
      <c r="P41250" s="13"/>
    </row>
    <row r="41251">
      <c r="L41251" s="13"/>
      <c r="M41251" s="14"/>
      <c r="N41251" s="14"/>
      <c r="O41251" s="14"/>
      <c r="P41251" s="13"/>
    </row>
    <row r="41252">
      <c r="L41252" s="13"/>
      <c r="M41252" s="14"/>
      <c r="N41252" s="14"/>
      <c r="O41252" s="14"/>
      <c r="P41252" s="13"/>
    </row>
    <row r="41253">
      <c r="L41253" s="13"/>
      <c r="M41253" s="14"/>
      <c r="N41253" s="14"/>
      <c r="O41253" s="14"/>
      <c r="P41253" s="13"/>
    </row>
    <row r="41254">
      <c r="L41254" s="13"/>
      <c r="M41254" s="14"/>
      <c r="N41254" s="14"/>
      <c r="O41254" s="14"/>
      <c r="P41254" s="13"/>
    </row>
    <row r="41255">
      <c r="L41255" s="13"/>
      <c r="M41255" s="14"/>
      <c r="N41255" s="14"/>
      <c r="O41255" s="14"/>
      <c r="P41255" s="13"/>
    </row>
    <row r="41256">
      <c r="L41256" s="13"/>
      <c r="M41256" s="14"/>
      <c r="N41256" s="14"/>
      <c r="O41256" s="14"/>
      <c r="P41256" s="13"/>
    </row>
    <row r="41257">
      <c r="L41257" s="13"/>
      <c r="M41257" s="14"/>
      <c r="N41257" s="14"/>
      <c r="O41257" s="14"/>
      <c r="P41257" s="13"/>
    </row>
    <row r="41258">
      <c r="L41258" s="13"/>
      <c r="M41258" s="14"/>
      <c r="N41258" s="14"/>
      <c r="O41258" s="14"/>
      <c r="P41258" s="13"/>
    </row>
    <row r="41259">
      <c r="L41259" s="13"/>
      <c r="M41259" s="14"/>
      <c r="N41259" s="14"/>
      <c r="O41259" s="14"/>
      <c r="P41259" s="13"/>
    </row>
    <row r="41260">
      <c r="L41260" s="13"/>
      <c r="M41260" s="14"/>
      <c r="N41260" s="14"/>
      <c r="O41260" s="14"/>
      <c r="P41260" s="13"/>
    </row>
    <row r="41261">
      <c r="L41261" s="13"/>
      <c r="M41261" s="14"/>
      <c r="N41261" s="14"/>
      <c r="O41261" s="14"/>
      <c r="P41261" s="13"/>
    </row>
    <row r="41262">
      <c r="L41262" s="13"/>
      <c r="M41262" s="14"/>
      <c r="N41262" s="14"/>
      <c r="O41262" s="14"/>
      <c r="P41262" s="13"/>
    </row>
    <row r="41263">
      <c r="L41263" s="13"/>
      <c r="M41263" s="14"/>
      <c r="N41263" s="14"/>
      <c r="O41263" s="14"/>
      <c r="P41263" s="13"/>
    </row>
    <row r="41264">
      <c r="L41264" s="13"/>
      <c r="M41264" s="14"/>
      <c r="N41264" s="14"/>
      <c r="O41264" s="14"/>
      <c r="P41264" s="13"/>
    </row>
    <row r="41265">
      <c r="L41265" s="13"/>
      <c r="M41265" s="14"/>
      <c r="N41265" s="14"/>
      <c r="O41265" s="14"/>
      <c r="P41265" s="13"/>
    </row>
    <row r="41266">
      <c r="L41266" s="13"/>
      <c r="M41266" s="14"/>
      <c r="N41266" s="14"/>
      <c r="O41266" s="14"/>
      <c r="P41266" s="13"/>
    </row>
    <row r="41267">
      <c r="L41267" s="13"/>
      <c r="M41267" s="14"/>
      <c r="N41267" s="14"/>
      <c r="O41267" s="14"/>
      <c r="P41267" s="13"/>
    </row>
    <row r="41268">
      <c r="L41268" s="13"/>
      <c r="M41268" s="14"/>
      <c r="N41268" s="14"/>
      <c r="O41268" s="14"/>
      <c r="P41268" s="13"/>
    </row>
    <row r="41269">
      <c r="L41269" s="13"/>
      <c r="M41269" s="14"/>
      <c r="N41269" s="14"/>
      <c r="O41269" s="14"/>
      <c r="P41269" s="13"/>
    </row>
    <row r="41270">
      <c r="L41270" s="13"/>
      <c r="M41270" s="14"/>
      <c r="N41270" s="14"/>
      <c r="O41270" s="14"/>
      <c r="P41270" s="13"/>
    </row>
    <row r="41271">
      <c r="L41271" s="13"/>
      <c r="M41271" s="14"/>
      <c r="N41271" s="14"/>
      <c r="O41271" s="14"/>
      <c r="P41271" s="13"/>
    </row>
    <row r="41272">
      <c r="L41272" s="13"/>
      <c r="M41272" s="14"/>
      <c r="N41272" s="14"/>
      <c r="O41272" s="14"/>
      <c r="P41272" s="13"/>
    </row>
    <row r="41273">
      <c r="L41273" s="13"/>
      <c r="M41273" s="14"/>
      <c r="N41273" s="14"/>
      <c r="O41273" s="14"/>
      <c r="P41273" s="13"/>
    </row>
    <row r="41274">
      <c r="L41274" s="13"/>
      <c r="M41274" s="14"/>
      <c r="N41274" s="14"/>
      <c r="O41274" s="14"/>
      <c r="P41274" s="13"/>
    </row>
    <row r="41275">
      <c r="L41275" s="13"/>
      <c r="M41275" s="14"/>
      <c r="N41275" s="14"/>
      <c r="O41275" s="14"/>
      <c r="P41275" s="13"/>
    </row>
    <row r="41276">
      <c r="L41276" s="13"/>
      <c r="M41276" s="14"/>
      <c r="N41276" s="14"/>
      <c r="O41276" s="14"/>
      <c r="P41276" s="13"/>
    </row>
    <row r="41277">
      <c r="L41277" s="13"/>
      <c r="M41277" s="14"/>
      <c r="N41277" s="14"/>
      <c r="O41277" s="14"/>
      <c r="P41277" s="13"/>
    </row>
    <row r="41278">
      <c r="L41278" s="13"/>
      <c r="M41278" s="14"/>
      <c r="N41278" s="14"/>
      <c r="O41278" s="14"/>
      <c r="P41278" s="13"/>
    </row>
    <row r="41279">
      <c r="L41279" s="13"/>
      <c r="M41279" s="14"/>
      <c r="N41279" s="14"/>
      <c r="O41279" s="14"/>
      <c r="P41279" s="13"/>
    </row>
    <row r="41280">
      <c r="L41280" s="13"/>
      <c r="M41280" s="14"/>
      <c r="N41280" s="14"/>
      <c r="O41280" s="14"/>
      <c r="P41280" s="13"/>
    </row>
    <row r="41281">
      <c r="L41281" s="13"/>
      <c r="M41281" s="14"/>
      <c r="N41281" s="14"/>
      <c r="O41281" s="14"/>
      <c r="P41281" s="13"/>
    </row>
    <row r="41282">
      <c r="L41282" s="13"/>
      <c r="M41282" s="14"/>
      <c r="N41282" s="14"/>
      <c r="O41282" s="14"/>
      <c r="P41282" s="13"/>
    </row>
    <row r="41283">
      <c r="L41283" s="13"/>
      <c r="M41283" s="14"/>
      <c r="N41283" s="14"/>
      <c r="O41283" s="14"/>
      <c r="P41283" s="13"/>
    </row>
    <row r="41284">
      <c r="L41284" s="13"/>
      <c r="M41284" s="14"/>
      <c r="N41284" s="14"/>
      <c r="O41284" s="14"/>
      <c r="P41284" s="13"/>
    </row>
    <row r="41285">
      <c r="L41285" s="13"/>
      <c r="M41285" s="14"/>
      <c r="N41285" s="14"/>
      <c r="O41285" s="14"/>
      <c r="P41285" s="13"/>
    </row>
    <row r="41286">
      <c r="L41286" s="13"/>
      <c r="M41286" s="14"/>
      <c r="N41286" s="14"/>
      <c r="O41286" s="14"/>
      <c r="P41286" s="13"/>
    </row>
    <row r="41287">
      <c r="L41287" s="13"/>
      <c r="M41287" s="14"/>
      <c r="N41287" s="14"/>
      <c r="O41287" s="14"/>
      <c r="P41287" s="13"/>
    </row>
    <row r="41288">
      <c r="L41288" s="13"/>
      <c r="M41288" s="14"/>
      <c r="N41288" s="14"/>
      <c r="O41288" s="14"/>
      <c r="P41288" s="13"/>
    </row>
    <row r="41289">
      <c r="L41289" s="13"/>
      <c r="M41289" s="14"/>
      <c r="N41289" s="14"/>
      <c r="O41289" s="14"/>
      <c r="P41289" s="13"/>
    </row>
    <row r="41290">
      <c r="L41290" s="13"/>
      <c r="M41290" s="14"/>
      <c r="N41290" s="14"/>
      <c r="O41290" s="14"/>
      <c r="P41290" s="13"/>
    </row>
    <row r="41291">
      <c r="L41291" s="13"/>
      <c r="M41291" s="14"/>
      <c r="N41291" s="14"/>
      <c r="O41291" s="14"/>
      <c r="P41291" s="13"/>
    </row>
    <row r="41292">
      <c r="L41292" s="13"/>
      <c r="M41292" s="14"/>
      <c r="N41292" s="14"/>
      <c r="O41292" s="14"/>
      <c r="P41292" s="13"/>
    </row>
    <row r="41293">
      <c r="L41293" s="13"/>
      <c r="M41293" s="14"/>
      <c r="N41293" s="14"/>
      <c r="O41293" s="14"/>
      <c r="P41293" s="13"/>
    </row>
    <row r="41294">
      <c r="L41294" s="13"/>
      <c r="M41294" s="14"/>
      <c r="N41294" s="14"/>
      <c r="O41294" s="14"/>
      <c r="P41294" s="13"/>
    </row>
    <row r="41295">
      <c r="L41295" s="13"/>
      <c r="M41295" s="14"/>
      <c r="N41295" s="14"/>
      <c r="O41295" s="14"/>
      <c r="P41295" s="13"/>
    </row>
    <row r="41296">
      <c r="L41296" s="13"/>
      <c r="M41296" s="14"/>
      <c r="N41296" s="14"/>
      <c r="O41296" s="14"/>
      <c r="P41296" s="13"/>
    </row>
    <row r="41297">
      <c r="L41297" s="13"/>
      <c r="M41297" s="14"/>
      <c r="N41297" s="14"/>
      <c r="O41297" s="14"/>
      <c r="P41297" s="13"/>
    </row>
    <row r="41298">
      <c r="L41298" s="13"/>
      <c r="M41298" s="14"/>
      <c r="N41298" s="14"/>
      <c r="O41298" s="14"/>
      <c r="P41298" s="13"/>
    </row>
    <row r="41299">
      <c r="L41299" s="13"/>
      <c r="M41299" s="14"/>
      <c r="N41299" s="14"/>
      <c r="O41299" s="14"/>
      <c r="P41299" s="13"/>
    </row>
    <row r="41300">
      <c r="L41300" s="13"/>
      <c r="M41300" s="14"/>
      <c r="N41300" s="14"/>
      <c r="O41300" s="14"/>
      <c r="P41300" s="13"/>
    </row>
    <row r="41301">
      <c r="L41301" s="13"/>
      <c r="M41301" s="14"/>
      <c r="N41301" s="14"/>
      <c r="O41301" s="14"/>
      <c r="P41301" s="13"/>
    </row>
    <row r="41302">
      <c r="L41302" s="13"/>
      <c r="M41302" s="14"/>
      <c r="N41302" s="14"/>
      <c r="O41302" s="14"/>
      <c r="P41302" s="13"/>
    </row>
    <row r="41303">
      <c r="L41303" s="13"/>
      <c r="M41303" s="14"/>
      <c r="N41303" s="14"/>
      <c r="O41303" s="14"/>
      <c r="P41303" s="13"/>
    </row>
    <row r="41304">
      <c r="L41304" s="13"/>
      <c r="M41304" s="14"/>
      <c r="N41304" s="14"/>
      <c r="O41304" s="14"/>
      <c r="P41304" s="13"/>
    </row>
    <row r="41305">
      <c r="L41305" s="13"/>
      <c r="M41305" s="14"/>
      <c r="N41305" s="14"/>
      <c r="O41305" s="14"/>
      <c r="P41305" s="13"/>
    </row>
    <row r="41306">
      <c r="L41306" s="13"/>
      <c r="M41306" s="14"/>
      <c r="N41306" s="14"/>
      <c r="O41306" s="14"/>
      <c r="P41306" s="13"/>
    </row>
    <row r="41307">
      <c r="L41307" s="13"/>
      <c r="M41307" s="14"/>
      <c r="N41307" s="14"/>
      <c r="O41307" s="14"/>
      <c r="P41307" s="13"/>
    </row>
    <row r="41308">
      <c r="L41308" s="13"/>
      <c r="M41308" s="14"/>
      <c r="N41308" s="14"/>
      <c r="O41308" s="14"/>
      <c r="P41308" s="13"/>
    </row>
    <row r="41309">
      <c r="L41309" s="13"/>
      <c r="M41309" s="14"/>
      <c r="N41309" s="14"/>
      <c r="O41309" s="14"/>
      <c r="P41309" s="13"/>
    </row>
    <row r="41310">
      <c r="L41310" s="13"/>
      <c r="M41310" s="14"/>
      <c r="N41310" s="14"/>
      <c r="O41310" s="14"/>
      <c r="P41310" s="13"/>
    </row>
    <row r="41311">
      <c r="L41311" s="13"/>
      <c r="M41311" s="14"/>
      <c r="N41311" s="14"/>
      <c r="O41311" s="14"/>
      <c r="P41311" s="13"/>
    </row>
    <row r="41312">
      <c r="L41312" s="13"/>
      <c r="M41312" s="14"/>
      <c r="N41312" s="14"/>
      <c r="O41312" s="14"/>
      <c r="P41312" s="13"/>
    </row>
    <row r="41313">
      <c r="L41313" s="13"/>
      <c r="M41313" s="14"/>
      <c r="N41313" s="14"/>
      <c r="O41313" s="14"/>
      <c r="P41313" s="13"/>
    </row>
    <row r="41314">
      <c r="L41314" s="13"/>
      <c r="M41314" s="14"/>
      <c r="N41314" s="14"/>
      <c r="O41314" s="14"/>
      <c r="P41314" s="13"/>
    </row>
    <row r="41315">
      <c r="L41315" s="13"/>
      <c r="M41315" s="14"/>
      <c r="N41315" s="14"/>
      <c r="O41315" s="14"/>
      <c r="P41315" s="13"/>
    </row>
    <row r="41316">
      <c r="L41316" s="13"/>
      <c r="M41316" s="14"/>
      <c r="N41316" s="14"/>
      <c r="O41316" s="14"/>
      <c r="P41316" s="13"/>
    </row>
    <row r="41317">
      <c r="L41317" s="13"/>
      <c r="M41317" s="14"/>
      <c r="N41317" s="14"/>
      <c r="O41317" s="14"/>
      <c r="P41317" s="13"/>
    </row>
    <row r="41318">
      <c r="L41318" s="13"/>
      <c r="M41318" s="14"/>
      <c r="N41318" s="14"/>
      <c r="O41318" s="14"/>
      <c r="P41318" s="13"/>
    </row>
    <row r="41319">
      <c r="L41319" s="13"/>
      <c r="M41319" s="14"/>
      <c r="N41319" s="14"/>
      <c r="O41319" s="14"/>
      <c r="P41319" s="13"/>
    </row>
    <row r="41320">
      <c r="L41320" s="13"/>
      <c r="M41320" s="14"/>
      <c r="N41320" s="14"/>
      <c r="O41320" s="14"/>
      <c r="P41320" s="13"/>
    </row>
    <row r="41321">
      <c r="L41321" s="13"/>
      <c r="M41321" s="14"/>
      <c r="N41321" s="14"/>
      <c r="O41321" s="14"/>
      <c r="P41321" s="13"/>
    </row>
    <row r="41322">
      <c r="L41322" s="13"/>
      <c r="M41322" s="14"/>
      <c r="N41322" s="14"/>
      <c r="O41322" s="14"/>
      <c r="P41322" s="13"/>
    </row>
    <row r="41323">
      <c r="L41323" s="13"/>
      <c r="M41323" s="14"/>
      <c r="N41323" s="14"/>
      <c r="O41323" s="14"/>
      <c r="P41323" s="13"/>
    </row>
    <row r="41324">
      <c r="L41324" s="13"/>
      <c r="M41324" s="14"/>
      <c r="N41324" s="14"/>
      <c r="O41324" s="14"/>
      <c r="P41324" s="13"/>
    </row>
    <row r="41325">
      <c r="L41325" s="13"/>
      <c r="M41325" s="14"/>
      <c r="N41325" s="14"/>
      <c r="O41325" s="14"/>
      <c r="P41325" s="13"/>
    </row>
    <row r="41326">
      <c r="L41326" s="13"/>
      <c r="M41326" s="14"/>
      <c r="N41326" s="14"/>
      <c r="O41326" s="14"/>
      <c r="P41326" s="13"/>
    </row>
    <row r="41327">
      <c r="L41327" s="13"/>
      <c r="M41327" s="14"/>
      <c r="N41327" s="14"/>
      <c r="O41327" s="14"/>
      <c r="P41327" s="13"/>
    </row>
    <row r="41328">
      <c r="L41328" s="13"/>
      <c r="M41328" s="14"/>
      <c r="N41328" s="14"/>
      <c r="O41328" s="14"/>
      <c r="P41328" s="13"/>
    </row>
    <row r="41329">
      <c r="L41329" s="13"/>
      <c r="M41329" s="14"/>
      <c r="N41329" s="14"/>
      <c r="O41329" s="14"/>
      <c r="P41329" s="13"/>
    </row>
    <row r="41330">
      <c r="L41330" s="13"/>
      <c r="M41330" s="14"/>
      <c r="N41330" s="14"/>
      <c r="O41330" s="14"/>
      <c r="P41330" s="13"/>
    </row>
    <row r="41331">
      <c r="L41331" s="13"/>
      <c r="M41331" s="14"/>
      <c r="N41331" s="14"/>
      <c r="O41331" s="14"/>
      <c r="P41331" s="13"/>
    </row>
    <row r="41332">
      <c r="L41332" s="13"/>
      <c r="M41332" s="14"/>
      <c r="N41332" s="14"/>
      <c r="O41332" s="14"/>
      <c r="P41332" s="13"/>
    </row>
    <row r="41333">
      <c r="L41333" s="13"/>
      <c r="M41333" s="14"/>
      <c r="N41333" s="14"/>
      <c r="O41333" s="14"/>
      <c r="P41333" s="13"/>
    </row>
    <row r="41334">
      <c r="L41334" s="13"/>
      <c r="M41334" s="14"/>
      <c r="N41334" s="14"/>
      <c r="O41334" s="14"/>
      <c r="P41334" s="13"/>
    </row>
    <row r="41335">
      <c r="L41335" s="13"/>
      <c r="M41335" s="14"/>
      <c r="N41335" s="14"/>
      <c r="O41335" s="14"/>
      <c r="P41335" s="13"/>
    </row>
    <row r="41336">
      <c r="L41336" s="13"/>
      <c r="M41336" s="14"/>
      <c r="N41336" s="14"/>
      <c r="O41336" s="14"/>
      <c r="P41336" s="13"/>
    </row>
    <row r="41337">
      <c r="L41337" s="13"/>
      <c r="M41337" s="14"/>
      <c r="N41337" s="14"/>
      <c r="O41337" s="14"/>
      <c r="P41337" s="13"/>
    </row>
    <row r="41338">
      <c r="L41338" s="13"/>
      <c r="M41338" s="14"/>
      <c r="N41338" s="14"/>
      <c r="O41338" s="14"/>
      <c r="P41338" s="13"/>
    </row>
    <row r="41339">
      <c r="L41339" s="13"/>
      <c r="M41339" s="14"/>
      <c r="N41339" s="14"/>
      <c r="O41339" s="14"/>
      <c r="P41339" s="13"/>
    </row>
    <row r="41340">
      <c r="L41340" s="13"/>
      <c r="M41340" s="14"/>
      <c r="N41340" s="14"/>
      <c r="O41340" s="14"/>
      <c r="P41340" s="13"/>
    </row>
    <row r="41341">
      <c r="L41341" s="13"/>
      <c r="M41341" s="14"/>
      <c r="N41341" s="14"/>
      <c r="O41341" s="14"/>
      <c r="P41341" s="13"/>
    </row>
    <row r="41342">
      <c r="L41342" s="13"/>
      <c r="M41342" s="14"/>
      <c r="N41342" s="14"/>
      <c r="O41342" s="14"/>
      <c r="P41342" s="13"/>
    </row>
    <row r="41343">
      <c r="L41343" s="13"/>
      <c r="M41343" s="14"/>
      <c r="N41343" s="14"/>
      <c r="O41343" s="14"/>
      <c r="P41343" s="13"/>
    </row>
    <row r="41344">
      <c r="L41344" s="13"/>
      <c r="M41344" s="14"/>
      <c r="N41344" s="14"/>
      <c r="O41344" s="14"/>
      <c r="P41344" s="13"/>
    </row>
    <row r="41345">
      <c r="L41345" s="13"/>
      <c r="M41345" s="14"/>
      <c r="N41345" s="14"/>
      <c r="O41345" s="14"/>
      <c r="P41345" s="13"/>
    </row>
    <row r="41346">
      <c r="L41346" s="13"/>
      <c r="M41346" s="14"/>
      <c r="N41346" s="14"/>
      <c r="O41346" s="14"/>
      <c r="P41346" s="13"/>
    </row>
    <row r="41347">
      <c r="L41347" s="13"/>
      <c r="M41347" s="14"/>
      <c r="N41347" s="14"/>
      <c r="O41347" s="14"/>
      <c r="P41347" s="13"/>
    </row>
    <row r="41348">
      <c r="L41348" s="13"/>
      <c r="M41348" s="14"/>
      <c r="N41348" s="14"/>
      <c r="O41348" s="14"/>
      <c r="P41348" s="13"/>
    </row>
    <row r="41349">
      <c r="L41349" s="13"/>
      <c r="M41349" s="14"/>
      <c r="N41349" s="14"/>
      <c r="O41349" s="14"/>
      <c r="P41349" s="13"/>
    </row>
    <row r="41350">
      <c r="L41350" s="13"/>
      <c r="M41350" s="14"/>
      <c r="N41350" s="14"/>
      <c r="O41350" s="14"/>
      <c r="P41350" s="13"/>
    </row>
    <row r="41351">
      <c r="L41351" s="13"/>
      <c r="M41351" s="14"/>
      <c r="N41351" s="14"/>
      <c r="O41351" s="14"/>
      <c r="P41351" s="13"/>
    </row>
    <row r="41352">
      <c r="L41352" s="13"/>
      <c r="M41352" s="14"/>
      <c r="N41352" s="14"/>
      <c r="O41352" s="14"/>
      <c r="P41352" s="13"/>
    </row>
    <row r="41353">
      <c r="L41353" s="13"/>
      <c r="M41353" s="14"/>
      <c r="N41353" s="14"/>
      <c r="O41353" s="14"/>
      <c r="P41353" s="13"/>
    </row>
    <row r="41354">
      <c r="L41354" s="13"/>
      <c r="M41354" s="14"/>
      <c r="N41354" s="14"/>
      <c r="O41354" s="14"/>
      <c r="P41354" s="13"/>
    </row>
    <row r="41355">
      <c r="L41355" s="13"/>
      <c r="M41355" s="14"/>
      <c r="N41355" s="14"/>
      <c r="O41355" s="14"/>
      <c r="P41355" s="13"/>
    </row>
    <row r="41356">
      <c r="L41356" s="13"/>
      <c r="M41356" s="14"/>
      <c r="N41356" s="14"/>
      <c r="O41356" s="14"/>
      <c r="P41356" s="13"/>
    </row>
    <row r="41357">
      <c r="L41357" s="13"/>
      <c r="M41357" s="14"/>
      <c r="N41357" s="14"/>
      <c r="O41357" s="14"/>
      <c r="P41357" s="13"/>
    </row>
    <row r="41358">
      <c r="L41358" s="13"/>
      <c r="M41358" s="14"/>
      <c r="N41358" s="14"/>
      <c r="O41358" s="14"/>
      <c r="P41358" s="13"/>
    </row>
    <row r="41359">
      <c r="L41359" s="13"/>
      <c r="M41359" s="14"/>
      <c r="N41359" s="14"/>
      <c r="O41359" s="14"/>
      <c r="P41359" s="13"/>
    </row>
    <row r="41360">
      <c r="L41360" s="13"/>
      <c r="M41360" s="14"/>
      <c r="N41360" s="14"/>
      <c r="O41360" s="14"/>
      <c r="P41360" s="13"/>
    </row>
    <row r="41361">
      <c r="L41361" s="13"/>
      <c r="M41361" s="14"/>
      <c r="N41361" s="14"/>
      <c r="O41361" s="14"/>
      <c r="P41361" s="13"/>
    </row>
    <row r="41362">
      <c r="L41362" s="13"/>
      <c r="M41362" s="14"/>
      <c r="N41362" s="14"/>
      <c r="O41362" s="14"/>
      <c r="P41362" s="13"/>
    </row>
    <row r="41363">
      <c r="L41363" s="13"/>
      <c r="M41363" s="14"/>
      <c r="N41363" s="14"/>
      <c r="O41363" s="14"/>
      <c r="P41363" s="13"/>
    </row>
    <row r="41364">
      <c r="L41364" s="13"/>
      <c r="M41364" s="14"/>
      <c r="N41364" s="14"/>
      <c r="O41364" s="14"/>
      <c r="P41364" s="13"/>
    </row>
    <row r="41365">
      <c r="L41365" s="13"/>
      <c r="M41365" s="14"/>
      <c r="N41365" s="14"/>
      <c r="O41365" s="14"/>
      <c r="P41365" s="13"/>
    </row>
    <row r="41366">
      <c r="L41366" s="13"/>
      <c r="M41366" s="14"/>
      <c r="N41366" s="14"/>
      <c r="O41366" s="14"/>
      <c r="P41366" s="13"/>
    </row>
    <row r="41367">
      <c r="L41367" s="13"/>
      <c r="M41367" s="14"/>
      <c r="N41367" s="14"/>
      <c r="O41367" s="14"/>
      <c r="P41367" s="13"/>
    </row>
    <row r="41368">
      <c r="L41368" s="13"/>
      <c r="M41368" s="14"/>
      <c r="N41368" s="14"/>
      <c r="O41368" s="14"/>
      <c r="P41368" s="13"/>
    </row>
    <row r="41369">
      <c r="L41369" s="13"/>
      <c r="M41369" s="14"/>
      <c r="N41369" s="14"/>
      <c r="O41369" s="14"/>
      <c r="P41369" s="13"/>
    </row>
    <row r="41370">
      <c r="L41370" s="13"/>
      <c r="M41370" s="14"/>
      <c r="N41370" s="14"/>
      <c r="O41370" s="14"/>
      <c r="P41370" s="13"/>
    </row>
    <row r="41371">
      <c r="L41371" s="13"/>
      <c r="M41371" s="14"/>
      <c r="N41371" s="14"/>
      <c r="O41371" s="14"/>
      <c r="P41371" s="13"/>
    </row>
    <row r="41372">
      <c r="L41372" s="13"/>
      <c r="M41372" s="14"/>
      <c r="N41372" s="14"/>
      <c r="O41372" s="14"/>
      <c r="P41372" s="13"/>
    </row>
    <row r="41373">
      <c r="L41373" s="13"/>
      <c r="M41373" s="14"/>
      <c r="N41373" s="14"/>
      <c r="O41373" s="14"/>
      <c r="P41373" s="13"/>
    </row>
    <row r="41374">
      <c r="L41374" s="13"/>
      <c r="M41374" s="14"/>
      <c r="N41374" s="14"/>
      <c r="O41374" s="14"/>
      <c r="P41374" s="13"/>
    </row>
    <row r="41375">
      <c r="L41375" s="13"/>
      <c r="M41375" s="14"/>
      <c r="N41375" s="14"/>
      <c r="O41375" s="14"/>
      <c r="P41375" s="13"/>
    </row>
    <row r="41376">
      <c r="L41376" s="13"/>
      <c r="M41376" s="14"/>
      <c r="N41376" s="14"/>
      <c r="O41376" s="14"/>
      <c r="P41376" s="13"/>
    </row>
    <row r="41377">
      <c r="L41377" s="13"/>
      <c r="M41377" s="14"/>
      <c r="N41377" s="14"/>
      <c r="O41377" s="14"/>
      <c r="P41377" s="13"/>
    </row>
    <row r="41378">
      <c r="L41378" s="13"/>
      <c r="M41378" s="14"/>
      <c r="N41378" s="14"/>
      <c r="O41378" s="14"/>
      <c r="P41378" s="13"/>
    </row>
    <row r="41379">
      <c r="L41379" s="13"/>
      <c r="M41379" s="14"/>
      <c r="N41379" s="14"/>
      <c r="O41379" s="14"/>
      <c r="P41379" s="13"/>
    </row>
    <row r="41380">
      <c r="L41380" s="13"/>
      <c r="M41380" s="14"/>
      <c r="N41380" s="14"/>
      <c r="O41380" s="14"/>
      <c r="P41380" s="13"/>
    </row>
    <row r="41381">
      <c r="L41381" s="13"/>
      <c r="M41381" s="14"/>
      <c r="N41381" s="14"/>
      <c r="O41381" s="14"/>
      <c r="P41381" s="13"/>
    </row>
    <row r="41382">
      <c r="L41382" s="13"/>
      <c r="M41382" s="14"/>
      <c r="N41382" s="14"/>
      <c r="O41382" s="14"/>
      <c r="P41382" s="13"/>
    </row>
    <row r="41383">
      <c r="L41383" s="13"/>
      <c r="M41383" s="14"/>
      <c r="N41383" s="14"/>
      <c r="O41383" s="14"/>
      <c r="P41383" s="13"/>
    </row>
    <row r="41384">
      <c r="L41384" s="13"/>
      <c r="M41384" s="14"/>
      <c r="N41384" s="14"/>
      <c r="O41384" s="14"/>
      <c r="P41384" s="13"/>
    </row>
    <row r="41385">
      <c r="L41385" s="13"/>
      <c r="M41385" s="14"/>
      <c r="N41385" s="14"/>
      <c r="O41385" s="14"/>
      <c r="P41385" s="13"/>
    </row>
    <row r="41386">
      <c r="L41386" s="13"/>
      <c r="M41386" s="14"/>
      <c r="N41386" s="14"/>
      <c r="O41386" s="14"/>
      <c r="P41386" s="13"/>
    </row>
    <row r="41387">
      <c r="L41387" s="13"/>
      <c r="M41387" s="14"/>
      <c r="N41387" s="14"/>
      <c r="O41387" s="14"/>
      <c r="P41387" s="13"/>
    </row>
    <row r="41388">
      <c r="L41388" s="13"/>
      <c r="M41388" s="14"/>
      <c r="N41388" s="14"/>
      <c r="O41388" s="14"/>
      <c r="P41388" s="13"/>
    </row>
    <row r="41389">
      <c r="L41389" s="13"/>
      <c r="M41389" s="14"/>
      <c r="N41389" s="14"/>
      <c r="O41389" s="14"/>
      <c r="P41389" s="13"/>
    </row>
    <row r="41390">
      <c r="L41390" s="13"/>
      <c r="M41390" s="14"/>
      <c r="N41390" s="14"/>
      <c r="O41390" s="14"/>
      <c r="P41390" s="13"/>
    </row>
    <row r="41391">
      <c r="L41391" s="13"/>
      <c r="M41391" s="14"/>
      <c r="N41391" s="14"/>
      <c r="O41391" s="14"/>
      <c r="P41391" s="13"/>
    </row>
    <row r="41392">
      <c r="L41392" s="13"/>
      <c r="M41392" s="14"/>
      <c r="N41392" s="14"/>
      <c r="O41392" s="14"/>
      <c r="P41392" s="13"/>
    </row>
    <row r="41393">
      <c r="L41393" s="13"/>
      <c r="M41393" s="14"/>
      <c r="N41393" s="14"/>
      <c r="O41393" s="14"/>
      <c r="P41393" s="13"/>
    </row>
    <row r="41394">
      <c r="L41394" s="13"/>
      <c r="M41394" s="14"/>
      <c r="N41394" s="14"/>
      <c r="O41394" s="14"/>
      <c r="P41394" s="13"/>
    </row>
    <row r="41395">
      <c r="L41395" s="13"/>
      <c r="M41395" s="14"/>
      <c r="N41395" s="14"/>
      <c r="O41395" s="14"/>
      <c r="P41395" s="13"/>
    </row>
    <row r="41396">
      <c r="L41396" s="13"/>
      <c r="M41396" s="14"/>
      <c r="N41396" s="14"/>
      <c r="O41396" s="14"/>
      <c r="P41396" s="13"/>
    </row>
    <row r="41397">
      <c r="L41397" s="13"/>
      <c r="M41397" s="14"/>
      <c r="N41397" s="14"/>
      <c r="O41397" s="14"/>
      <c r="P41397" s="13"/>
    </row>
    <row r="41398">
      <c r="L41398" s="13"/>
      <c r="M41398" s="14"/>
      <c r="N41398" s="14"/>
      <c r="O41398" s="14"/>
      <c r="P41398" s="13"/>
    </row>
    <row r="41399">
      <c r="L41399" s="13"/>
      <c r="M41399" s="14"/>
      <c r="N41399" s="14"/>
      <c r="O41399" s="14"/>
      <c r="P41399" s="13"/>
    </row>
    <row r="41400">
      <c r="L41400" s="13"/>
      <c r="M41400" s="14"/>
      <c r="N41400" s="14"/>
      <c r="O41400" s="14"/>
      <c r="P41400" s="13"/>
    </row>
    <row r="41401">
      <c r="L41401" s="13"/>
      <c r="M41401" s="14"/>
      <c r="N41401" s="14"/>
      <c r="O41401" s="14"/>
      <c r="P41401" s="13"/>
    </row>
    <row r="41402">
      <c r="L41402" s="13"/>
      <c r="M41402" s="14"/>
      <c r="N41402" s="14"/>
      <c r="O41402" s="14"/>
      <c r="P41402" s="13"/>
    </row>
    <row r="41403">
      <c r="L41403" s="13"/>
      <c r="M41403" s="14"/>
      <c r="N41403" s="14"/>
      <c r="O41403" s="14"/>
      <c r="P41403" s="13"/>
    </row>
    <row r="41404">
      <c r="L41404" s="13"/>
      <c r="M41404" s="14"/>
      <c r="N41404" s="14"/>
      <c r="O41404" s="14"/>
      <c r="P41404" s="13"/>
    </row>
    <row r="41405">
      <c r="L41405" s="13"/>
      <c r="M41405" s="14"/>
      <c r="N41405" s="14"/>
      <c r="O41405" s="14"/>
      <c r="P41405" s="13"/>
    </row>
    <row r="41406">
      <c r="L41406" s="13"/>
      <c r="M41406" s="14"/>
      <c r="N41406" s="14"/>
      <c r="O41406" s="14"/>
      <c r="P41406" s="13"/>
    </row>
    <row r="41407">
      <c r="L41407" s="13"/>
      <c r="M41407" s="14"/>
      <c r="N41407" s="14"/>
      <c r="O41407" s="14"/>
      <c r="P41407" s="13"/>
    </row>
    <row r="41408">
      <c r="L41408" s="13"/>
      <c r="M41408" s="14"/>
      <c r="N41408" s="14"/>
      <c r="O41408" s="14"/>
      <c r="P41408" s="13"/>
    </row>
    <row r="41409">
      <c r="L41409" s="13"/>
      <c r="M41409" s="14"/>
      <c r="N41409" s="14"/>
      <c r="O41409" s="14"/>
      <c r="P41409" s="13"/>
    </row>
    <row r="41410">
      <c r="L41410" s="13"/>
      <c r="M41410" s="14"/>
      <c r="N41410" s="14"/>
      <c r="O41410" s="14"/>
      <c r="P41410" s="13"/>
    </row>
    <row r="41411">
      <c r="L41411" s="13"/>
      <c r="M41411" s="14"/>
      <c r="N41411" s="14"/>
      <c r="O41411" s="14"/>
      <c r="P41411" s="13"/>
    </row>
    <row r="41412">
      <c r="L41412" s="13"/>
      <c r="M41412" s="14"/>
      <c r="N41412" s="14"/>
      <c r="O41412" s="14"/>
      <c r="P41412" s="13"/>
    </row>
    <row r="41413">
      <c r="L41413" s="13"/>
      <c r="M41413" s="14"/>
      <c r="N41413" s="14"/>
      <c r="O41413" s="14"/>
      <c r="P41413" s="13"/>
    </row>
    <row r="41414">
      <c r="L41414" s="13"/>
      <c r="M41414" s="14"/>
      <c r="N41414" s="14"/>
      <c r="O41414" s="14"/>
      <c r="P41414" s="13"/>
    </row>
    <row r="41415">
      <c r="L41415" s="13"/>
      <c r="M41415" s="14"/>
      <c r="N41415" s="14"/>
      <c r="O41415" s="14"/>
      <c r="P41415" s="13"/>
    </row>
    <row r="41416">
      <c r="L41416" s="13"/>
      <c r="M41416" s="14"/>
      <c r="N41416" s="14"/>
      <c r="O41416" s="14"/>
      <c r="P41416" s="13"/>
    </row>
    <row r="41417">
      <c r="L41417" s="13"/>
      <c r="M41417" s="14"/>
      <c r="N41417" s="14"/>
      <c r="O41417" s="14"/>
      <c r="P41417" s="13"/>
    </row>
    <row r="41418">
      <c r="L41418" s="13"/>
      <c r="M41418" s="14"/>
      <c r="N41418" s="14"/>
      <c r="O41418" s="14"/>
      <c r="P41418" s="13"/>
    </row>
    <row r="41419">
      <c r="L41419" s="13"/>
      <c r="M41419" s="14"/>
      <c r="N41419" s="14"/>
      <c r="O41419" s="14"/>
      <c r="P41419" s="13"/>
    </row>
    <row r="41420">
      <c r="L41420" s="13"/>
      <c r="M41420" s="14"/>
      <c r="N41420" s="14"/>
      <c r="O41420" s="14"/>
      <c r="P41420" s="13"/>
    </row>
    <row r="41421">
      <c r="L41421" s="13"/>
      <c r="M41421" s="14"/>
      <c r="N41421" s="14"/>
      <c r="O41421" s="14"/>
      <c r="P41421" s="13"/>
    </row>
    <row r="41422">
      <c r="L41422" s="13"/>
      <c r="M41422" s="14"/>
      <c r="N41422" s="14"/>
      <c r="O41422" s="14"/>
      <c r="P41422" s="13"/>
    </row>
    <row r="41423">
      <c r="L41423" s="13"/>
      <c r="M41423" s="14"/>
      <c r="N41423" s="14"/>
      <c r="O41423" s="14"/>
      <c r="P41423" s="13"/>
    </row>
    <row r="41424">
      <c r="L41424" s="13"/>
      <c r="M41424" s="14"/>
      <c r="N41424" s="14"/>
      <c r="O41424" s="14"/>
      <c r="P41424" s="13"/>
    </row>
    <row r="41425">
      <c r="L41425" s="13"/>
      <c r="M41425" s="14"/>
      <c r="N41425" s="14"/>
      <c r="O41425" s="14"/>
      <c r="P41425" s="13"/>
    </row>
    <row r="41426">
      <c r="L41426" s="13"/>
      <c r="M41426" s="14"/>
      <c r="N41426" s="14"/>
      <c r="O41426" s="14"/>
      <c r="P41426" s="13"/>
    </row>
    <row r="41427">
      <c r="L41427" s="13"/>
      <c r="M41427" s="14"/>
      <c r="N41427" s="14"/>
      <c r="O41427" s="14"/>
      <c r="P41427" s="13"/>
    </row>
    <row r="41428">
      <c r="L41428" s="13"/>
      <c r="M41428" s="14"/>
      <c r="N41428" s="14"/>
      <c r="O41428" s="14"/>
      <c r="P41428" s="13"/>
    </row>
    <row r="41429">
      <c r="L41429" s="13"/>
      <c r="M41429" s="14"/>
      <c r="N41429" s="14"/>
      <c r="O41429" s="14"/>
      <c r="P41429" s="13"/>
    </row>
    <row r="41430">
      <c r="L41430" s="13"/>
      <c r="M41430" s="14"/>
      <c r="N41430" s="14"/>
      <c r="O41430" s="14"/>
      <c r="P41430" s="13"/>
    </row>
    <row r="41431">
      <c r="L41431" s="13"/>
      <c r="M41431" s="14"/>
      <c r="N41431" s="14"/>
      <c r="O41431" s="14"/>
      <c r="P41431" s="13"/>
    </row>
    <row r="41432">
      <c r="L41432" s="13"/>
      <c r="M41432" s="14"/>
      <c r="N41432" s="14"/>
      <c r="O41432" s="14"/>
      <c r="P41432" s="13"/>
    </row>
    <row r="41433">
      <c r="L41433" s="13"/>
      <c r="M41433" s="14"/>
      <c r="N41433" s="14"/>
      <c r="O41433" s="14"/>
      <c r="P41433" s="13"/>
    </row>
    <row r="41434">
      <c r="L41434" s="13"/>
      <c r="M41434" s="14"/>
      <c r="N41434" s="14"/>
      <c r="O41434" s="14"/>
      <c r="P41434" s="13"/>
    </row>
    <row r="41435">
      <c r="L41435" s="13"/>
      <c r="M41435" s="14"/>
      <c r="N41435" s="14"/>
      <c r="O41435" s="14"/>
      <c r="P41435" s="13"/>
    </row>
    <row r="41436">
      <c r="L41436" s="13"/>
      <c r="M41436" s="14"/>
      <c r="N41436" s="14"/>
      <c r="O41436" s="14"/>
      <c r="P41436" s="13"/>
    </row>
    <row r="41437">
      <c r="L41437" s="13"/>
      <c r="M41437" s="14"/>
      <c r="N41437" s="14"/>
      <c r="O41437" s="14"/>
      <c r="P41437" s="13"/>
    </row>
    <row r="41438">
      <c r="L41438" s="13"/>
      <c r="M41438" s="14"/>
      <c r="N41438" s="14"/>
      <c r="O41438" s="14"/>
      <c r="P41438" s="13"/>
    </row>
    <row r="41439">
      <c r="L41439" s="13"/>
      <c r="M41439" s="14"/>
      <c r="N41439" s="14"/>
      <c r="O41439" s="14"/>
      <c r="P41439" s="13"/>
    </row>
    <row r="41440">
      <c r="L41440" s="13"/>
      <c r="M41440" s="14"/>
      <c r="N41440" s="14"/>
      <c r="O41440" s="14"/>
      <c r="P41440" s="13"/>
    </row>
    <row r="41441">
      <c r="L41441" s="13"/>
      <c r="M41441" s="14"/>
      <c r="N41441" s="14"/>
      <c r="O41441" s="14"/>
      <c r="P41441" s="13"/>
    </row>
    <row r="41442">
      <c r="L41442" s="13"/>
      <c r="M41442" s="14"/>
      <c r="N41442" s="14"/>
      <c r="O41442" s="14"/>
      <c r="P41442" s="13"/>
    </row>
    <row r="41443">
      <c r="L41443" s="13"/>
      <c r="M41443" s="14"/>
      <c r="N41443" s="14"/>
      <c r="O41443" s="14"/>
      <c r="P41443" s="13"/>
    </row>
    <row r="41444">
      <c r="L41444" s="13"/>
      <c r="M41444" s="14"/>
      <c r="N41444" s="14"/>
      <c r="O41444" s="14"/>
      <c r="P41444" s="13"/>
    </row>
    <row r="41445">
      <c r="L41445" s="13"/>
      <c r="M41445" s="14"/>
      <c r="N41445" s="14"/>
      <c r="O41445" s="14"/>
      <c r="P41445" s="13"/>
    </row>
    <row r="41446">
      <c r="L41446" s="13"/>
      <c r="M41446" s="14"/>
      <c r="N41446" s="14"/>
      <c r="O41446" s="14"/>
      <c r="P41446" s="13"/>
    </row>
    <row r="41447">
      <c r="L41447" s="13"/>
      <c r="M41447" s="14"/>
      <c r="N41447" s="14"/>
      <c r="O41447" s="14"/>
      <c r="P41447" s="13"/>
    </row>
    <row r="41448">
      <c r="L41448" s="13"/>
      <c r="M41448" s="14"/>
      <c r="N41448" s="14"/>
      <c r="O41448" s="14"/>
      <c r="P41448" s="13"/>
    </row>
    <row r="41449">
      <c r="L41449" s="13"/>
      <c r="M41449" s="14"/>
      <c r="N41449" s="14"/>
      <c r="O41449" s="14"/>
      <c r="P41449" s="13"/>
    </row>
    <row r="41450">
      <c r="L41450" s="13"/>
      <c r="M41450" s="14"/>
      <c r="N41450" s="14"/>
      <c r="O41450" s="14"/>
      <c r="P41450" s="13"/>
    </row>
    <row r="41451">
      <c r="L41451" s="13"/>
      <c r="M41451" s="14"/>
      <c r="N41451" s="14"/>
      <c r="O41451" s="14"/>
      <c r="P41451" s="13"/>
    </row>
    <row r="41452">
      <c r="L41452" s="13"/>
      <c r="M41452" s="14"/>
      <c r="N41452" s="14"/>
      <c r="O41452" s="14"/>
      <c r="P41452" s="13"/>
    </row>
    <row r="41453">
      <c r="L41453" s="13"/>
      <c r="M41453" s="14"/>
      <c r="N41453" s="14"/>
      <c r="O41453" s="14"/>
      <c r="P41453" s="13"/>
    </row>
    <row r="41454">
      <c r="L41454" s="13"/>
      <c r="M41454" s="14"/>
      <c r="N41454" s="14"/>
      <c r="O41454" s="14"/>
      <c r="P41454" s="13"/>
    </row>
    <row r="41455">
      <c r="L41455" s="13"/>
      <c r="M41455" s="14"/>
      <c r="N41455" s="14"/>
      <c r="O41455" s="14"/>
      <c r="P41455" s="13"/>
    </row>
    <row r="41456">
      <c r="L41456" s="13"/>
      <c r="M41456" s="14"/>
      <c r="N41456" s="14"/>
      <c r="O41456" s="14"/>
      <c r="P41456" s="13"/>
    </row>
    <row r="41457">
      <c r="L41457" s="13"/>
      <c r="M41457" s="14"/>
      <c r="N41457" s="14"/>
      <c r="O41457" s="14"/>
      <c r="P41457" s="13"/>
    </row>
    <row r="41458">
      <c r="L41458" s="13"/>
      <c r="M41458" s="14"/>
      <c r="N41458" s="14"/>
      <c r="O41458" s="14"/>
      <c r="P41458" s="13"/>
    </row>
    <row r="41459">
      <c r="L41459" s="13"/>
      <c r="M41459" s="14"/>
      <c r="N41459" s="14"/>
      <c r="O41459" s="14"/>
      <c r="P41459" s="13"/>
    </row>
    <row r="41460">
      <c r="L41460" s="13"/>
      <c r="M41460" s="14"/>
      <c r="N41460" s="14"/>
      <c r="O41460" s="14"/>
      <c r="P41460" s="13"/>
    </row>
    <row r="41461">
      <c r="L41461" s="13"/>
      <c r="M41461" s="14"/>
      <c r="N41461" s="14"/>
      <c r="O41461" s="14"/>
      <c r="P41461" s="13"/>
    </row>
    <row r="41462">
      <c r="L41462" s="13"/>
      <c r="M41462" s="14"/>
      <c r="N41462" s="14"/>
      <c r="O41462" s="14"/>
      <c r="P41462" s="13"/>
    </row>
    <row r="41463">
      <c r="L41463" s="13"/>
      <c r="M41463" s="14"/>
      <c r="N41463" s="14"/>
      <c r="O41463" s="14"/>
      <c r="P41463" s="13"/>
    </row>
    <row r="41464">
      <c r="L41464" s="13"/>
      <c r="M41464" s="14"/>
      <c r="N41464" s="14"/>
      <c r="O41464" s="14"/>
      <c r="P41464" s="13"/>
    </row>
    <row r="41465">
      <c r="L41465" s="13"/>
      <c r="M41465" s="14"/>
      <c r="N41465" s="14"/>
      <c r="O41465" s="14"/>
      <c r="P41465" s="13"/>
    </row>
    <row r="41466">
      <c r="L41466" s="13"/>
      <c r="M41466" s="14"/>
      <c r="N41466" s="14"/>
      <c r="O41466" s="14"/>
      <c r="P41466" s="13"/>
    </row>
    <row r="41467">
      <c r="L41467" s="13"/>
      <c r="M41467" s="14"/>
      <c r="N41467" s="14"/>
      <c r="O41467" s="14"/>
      <c r="P41467" s="13"/>
    </row>
    <row r="41468">
      <c r="L41468" s="13"/>
      <c r="M41468" s="14"/>
      <c r="N41468" s="14"/>
      <c r="O41468" s="14"/>
      <c r="P41468" s="13"/>
    </row>
    <row r="41469">
      <c r="L41469" s="13"/>
      <c r="M41469" s="14"/>
      <c r="N41469" s="14"/>
      <c r="O41469" s="14"/>
      <c r="P41469" s="13"/>
    </row>
    <row r="41470">
      <c r="L41470" s="13"/>
      <c r="M41470" s="14"/>
      <c r="N41470" s="14"/>
      <c r="O41470" s="14"/>
      <c r="P41470" s="13"/>
    </row>
    <row r="41471">
      <c r="L41471" s="13"/>
      <c r="M41471" s="14"/>
      <c r="N41471" s="14"/>
      <c r="O41471" s="14"/>
      <c r="P41471" s="13"/>
    </row>
    <row r="41472">
      <c r="L41472" s="13"/>
      <c r="M41472" s="14"/>
      <c r="N41472" s="14"/>
      <c r="O41472" s="14"/>
      <c r="P41472" s="13"/>
    </row>
    <row r="41473">
      <c r="L41473" s="13"/>
      <c r="M41473" s="14"/>
      <c r="N41473" s="14"/>
      <c r="O41473" s="14"/>
      <c r="P41473" s="13"/>
    </row>
    <row r="41474">
      <c r="L41474" s="13"/>
      <c r="M41474" s="14"/>
      <c r="N41474" s="14"/>
      <c r="O41474" s="14"/>
      <c r="P41474" s="13"/>
    </row>
    <row r="41475">
      <c r="L41475" s="13"/>
      <c r="M41475" s="14"/>
      <c r="N41475" s="14"/>
      <c r="O41475" s="14"/>
      <c r="P41475" s="13"/>
    </row>
    <row r="41476">
      <c r="L41476" s="13"/>
      <c r="M41476" s="14"/>
      <c r="N41476" s="14"/>
      <c r="O41476" s="14"/>
      <c r="P41476" s="13"/>
    </row>
    <row r="41477">
      <c r="L41477" s="13"/>
      <c r="M41477" s="14"/>
      <c r="N41477" s="14"/>
      <c r="O41477" s="14"/>
      <c r="P41477" s="13"/>
    </row>
    <row r="41478">
      <c r="L41478" s="13"/>
      <c r="M41478" s="14"/>
      <c r="N41478" s="14"/>
      <c r="O41478" s="14"/>
      <c r="P41478" s="13"/>
    </row>
    <row r="41479">
      <c r="L41479" s="13"/>
      <c r="M41479" s="14"/>
      <c r="N41479" s="14"/>
      <c r="O41479" s="14"/>
      <c r="P41479" s="13"/>
    </row>
    <row r="41480">
      <c r="L41480" s="13"/>
      <c r="M41480" s="14"/>
      <c r="N41480" s="14"/>
      <c r="O41480" s="14"/>
      <c r="P41480" s="13"/>
    </row>
    <row r="41481">
      <c r="L41481" s="13"/>
      <c r="M41481" s="14"/>
      <c r="N41481" s="14"/>
      <c r="O41481" s="14"/>
      <c r="P41481" s="13"/>
    </row>
    <row r="41482">
      <c r="L41482" s="13"/>
      <c r="M41482" s="14"/>
      <c r="N41482" s="14"/>
      <c r="O41482" s="14"/>
      <c r="P41482" s="13"/>
    </row>
    <row r="41483">
      <c r="L41483" s="13"/>
      <c r="M41483" s="14"/>
      <c r="N41483" s="14"/>
      <c r="O41483" s="14"/>
      <c r="P41483" s="13"/>
    </row>
    <row r="41484">
      <c r="L41484" s="13"/>
      <c r="M41484" s="14"/>
      <c r="N41484" s="14"/>
      <c r="O41484" s="14"/>
      <c r="P41484" s="13"/>
    </row>
    <row r="41485">
      <c r="L41485" s="13"/>
      <c r="M41485" s="14"/>
      <c r="N41485" s="14"/>
      <c r="O41485" s="14"/>
      <c r="P41485" s="13"/>
    </row>
    <row r="41486">
      <c r="L41486" s="13"/>
      <c r="M41486" s="14"/>
      <c r="N41486" s="14"/>
      <c r="O41486" s="14"/>
      <c r="P41486" s="13"/>
    </row>
    <row r="41487">
      <c r="L41487" s="13"/>
      <c r="M41487" s="14"/>
      <c r="N41487" s="14"/>
      <c r="O41487" s="14"/>
      <c r="P41487" s="13"/>
    </row>
    <row r="41488">
      <c r="L41488" s="13"/>
      <c r="M41488" s="14"/>
      <c r="N41488" s="14"/>
      <c r="O41488" s="14"/>
      <c r="P41488" s="13"/>
    </row>
    <row r="41489">
      <c r="L41489" s="13"/>
      <c r="M41489" s="14"/>
      <c r="N41489" s="14"/>
      <c r="O41489" s="14"/>
      <c r="P41489" s="13"/>
    </row>
    <row r="41490">
      <c r="L41490" s="13"/>
      <c r="M41490" s="14"/>
      <c r="N41490" s="14"/>
      <c r="O41490" s="14"/>
      <c r="P41490" s="13"/>
    </row>
    <row r="41491">
      <c r="L41491" s="13"/>
      <c r="M41491" s="14"/>
      <c r="N41491" s="14"/>
      <c r="O41491" s="14"/>
      <c r="P41491" s="13"/>
    </row>
    <row r="41492">
      <c r="L41492" s="13"/>
      <c r="M41492" s="14"/>
      <c r="N41492" s="14"/>
      <c r="O41492" s="14"/>
      <c r="P41492" s="13"/>
    </row>
    <row r="41493">
      <c r="L41493" s="13"/>
      <c r="M41493" s="14"/>
      <c r="N41493" s="14"/>
      <c r="O41493" s="14"/>
      <c r="P41493" s="13"/>
    </row>
    <row r="41494">
      <c r="L41494" s="13"/>
      <c r="M41494" s="14"/>
      <c r="N41494" s="14"/>
      <c r="O41494" s="14"/>
      <c r="P41494" s="13"/>
    </row>
    <row r="41495">
      <c r="L41495" s="13"/>
      <c r="M41495" s="14"/>
      <c r="N41495" s="14"/>
      <c r="O41495" s="14"/>
      <c r="P41495" s="13"/>
    </row>
    <row r="41496">
      <c r="L41496" s="13"/>
      <c r="M41496" s="14"/>
      <c r="N41496" s="14"/>
      <c r="O41496" s="14"/>
      <c r="P41496" s="13"/>
    </row>
    <row r="41497">
      <c r="L41497" s="13"/>
      <c r="M41497" s="14"/>
      <c r="N41497" s="14"/>
      <c r="O41497" s="14"/>
      <c r="P41497" s="13"/>
    </row>
    <row r="41498">
      <c r="L41498" s="13"/>
      <c r="M41498" s="14"/>
      <c r="N41498" s="14"/>
      <c r="O41498" s="14"/>
      <c r="P41498" s="13"/>
    </row>
    <row r="41499">
      <c r="L41499" s="13"/>
      <c r="M41499" s="14"/>
      <c r="N41499" s="14"/>
      <c r="O41499" s="14"/>
      <c r="P41499" s="13"/>
    </row>
    <row r="41500">
      <c r="L41500" s="13"/>
      <c r="M41500" s="14"/>
      <c r="N41500" s="14"/>
      <c r="O41500" s="14"/>
      <c r="P41500" s="13"/>
    </row>
    <row r="41501">
      <c r="L41501" s="13"/>
      <c r="M41501" s="14"/>
      <c r="N41501" s="14"/>
      <c r="O41501" s="14"/>
      <c r="P41501" s="13"/>
    </row>
    <row r="41502">
      <c r="L41502" s="13"/>
      <c r="M41502" s="14"/>
      <c r="N41502" s="14"/>
      <c r="O41502" s="14"/>
      <c r="P41502" s="13"/>
    </row>
    <row r="41503">
      <c r="L41503" s="13"/>
      <c r="M41503" s="14"/>
      <c r="N41503" s="14"/>
      <c r="O41503" s="14"/>
      <c r="P41503" s="13"/>
    </row>
    <row r="41504">
      <c r="L41504" s="13"/>
      <c r="M41504" s="14"/>
      <c r="N41504" s="14"/>
      <c r="O41504" s="14"/>
      <c r="P41504" s="13"/>
    </row>
    <row r="41505">
      <c r="L41505" s="13"/>
      <c r="M41505" s="14"/>
      <c r="N41505" s="14"/>
      <c r="O41505" s="14"/>
      <c r="P41505" s="13"/>
    </row>
    <row r="41506">
      <c r="L41506" s="13"/>
      <c r="M41506" s="14"/>
      <c r="N41506" s="14"/>
      <c r="O41506" s="14"/>
      <c r="P41506" s="13"/>
    </row>
    <row r="41507">
      <c r="L41507" s="13"/>
      <c r="M41507" s="14"/>
      <c r="N41507" s="14"/>
      <c r="O41507" s="14"/>
      <c r="P41507" s="13"/>
    </row>
    <row r="41508">
      <c r="L41508" s="13"/>
      <c r="M41508" s="14"/>
      <c r="N41508" s="14"/>
      <c r="O41508" s="14"/>
      <c r="P41508" s="13"/>
    </row>
    <row r="41509">
      <c r="L41509" s="13"/>
      <c r="M41509" s="14"/>
      <c r="N41509" s="14"/>
      <c r="O41509" s="14"/>
      <c r="P41509" s="13"/>
    </row>
    <row r="41510">
      <c r="L41510" s="13"/>
      <c r="M41510" s="14"/>
      <c r="N41510" s="14"/>
      <c r="O41510" s="14"/>
      <c r="P41510" s="13"/>
    </row>
    <row r="41511">
      <c r="L41511" s="13"/>
      <c r="M41511" s="14"/>
      <c r="N41511" s="14"/>
      <c r="O41511" s="14"/>
      <c r="P41511" s="13"/>
    </row>
    <row r="41512">
      <c r="L41512" s="13"/>
      <c r="M41512" s="14"/>
      <c r="N41512" s="14"/>
      <c r="O41512" s="14"/>
      <c r="P41512" s="13"/>
    </row>
    <row r="41513">
      <c r="L41513" s="13"/>
      <c r="M41513" s="14"/>
      <c r="N41513" s="14"/>
      <c r="O41513" s="14"/>
      <c r="P41513" s="13"/>
    </row>
    <row r="41514">
      <c r="L41514" s="13"/>
      <c r="M41514" s="14"/>
      <c r="N41514" s="14"/>
      <c r="O41514" s="14"/>
      <c r="P41514" s="13"/>
    </row>
    <row r="41515">
      <c r="L41515" s="13"/>
      <c r="M41515" s="14"/>
      <c r="N41515" s="14"/>
      <c r="O41515" s="14"/>
      <c r="P41515" s="13"/>
    </row>
    <row r="41516">
      <c r="L41516" s="13"/>
      <c r="M41516" s="14"/>
      <c r="N41516" s="14"/>
      <c r="O41516" s="14"/>
      <c r="P41516" s="13"/>
    </row>
    <row r="41517">
      <c r="L41517" s="13"/>
      <c r="M41517" s="14"/>
      <c r="N41517" s="14"/>
      <c r="O41517" s="14"/>
      <c r="P41517" s="13"/>
    </row>
    <row r="41518">
      <c r="L41518" s="13"/>
      <c r="M41518" s="14"/>
      <c r="N41518" s="14"/>
      <c r="O41518" s="14"/>
      <c r="P41518" s="13"/>
    </row>
    <row r="41519">
      <c r="L41519" s="13"/>
      <c r="M41519" s="14"/>
      <c r="N41519" s="14"/>
      <c r="O41519" s="14"/>
      <c r="P41519" s="13"/>
    </row>
    <row r="41520">
      <c r="L41520" s="13"/>
      <c r="M41520" s="14"/>
      <c r="N41520" s="14"/>
      <c r="O41520" s="14"/>
      <c r="P41520" s="13"/>
    </row>
    <row r="41521">
      <c r="L41521" s="13"/>
      <c r="M41521" s="14"/>
      <c r="N41521" s="14"/>
      <c r="O41521" s="14"/>
      <c r="P41521" s="13"/>
    </row>
    <row r="41522">
      <c r="L41522" s="13"/>
      <c r="M41522" s="14"/>
      <c r="N41522" s="14"/>
      <c r="O41522" s="14"/>
      <c r="P41522" s="13"/>
    </row>
    <row r="41523">
      <c r="L41523" s="13"/>
      <c r="M41523" s="14"/>
      <c r="N41523" s="14"/>
      <c r="O41523" s="14"/>
      <c r="P41523" s="13"/>
    </row>
    <row r="41524">
      <c r="L41524" s="13"/>
      <c r="M41524" s="14"/>
      <c r="N41524" s="14"/>
      <c r="O41524" s="14"/>
      <c r="P41524" s="13"/>
    </row>
    <row r="41525">
      <c r="L41525" s="13"/>
      <c r="M41525" s="14"/>
      <c r="N41525" s="14"/>
      <c r="O41525" s="14"/>
      <c r="P41525" s="13"/>
    </row>
    <row r="41526">
      <c r="L41526" s="13"/>
      <c r="M41526" s="14"/>
      <c r="N41526" s="14"/>
      <c r="O41526" s="14"/>
      <c r="P41526" s="13"/>
    </row>
    <row r="41527">
      <c r="L41527" s="13"/>
      <c r="M41527" s="14"/>
      <c r="N41527" s="14"/>
      <c r="O41527" s="14"/>
      <c r="P41527" s="13"/>
    </row>
    <row r="41528">
      <c r="L41528" s="13"/>
      <c r="M41528" s="14"/>
      <c r="N41528" s="14"/>
      <c r="O41528" s="14"/>
      <c r="P41528" s="13"/>
    </row>
    <row r="41529">
      <c r="L41529" s="13"/>
      <c r="M41529" s="14"/>
      <c r="N41529" s="14"/>
      <c r="O41529" s="14"/>
      <c r="P41529" s="13"/>
    </row>
    <row r="41530">
      <c r="L41530" s="13"/>
      <c r="M41530" s="14"/>
      <c r="N41530" s="14"/>
      <c r="O41530" s="14"/>
      <c r="P41530" s="13"/>
    </row>
    <row r="41531">
      <c r="L41531" s="13"/>
      <c r="M41531" s="14"/>
      <c r="N41531" s="14"/>
      <c r="O41531" s="14"/>
      <c r="P41531" s="13"/>
    </row>
    <row r="41532">
      <c r="L41532" s="13"/>
      <c r="M41532" s="14"/>
      <c r="N41532" s="14"/>
      <c r="O41532" s="14"/>
      <c r="P41532" s="13"/>
    </row>
    <row r="41533">
      <c r="L41533" s="13"/>
      <c r="M41533" s="14"/>
      <c r="N41533" s="14"/>
      <c r="O41533" s="14"/>
      <c r="P41533" s="13"/>
    </row>
    <row r="41534">
      <c r="L41534" s="13"/>
      <c r="M41534" s="14"/>
      <c r="N41534" s="14"/>
      <c r="O41534" s="14"/>
      <c r="P41534" s="13"/>
    </row>
    <row r="41535">
      <c r="L41535" s="13"/>
      <c r="M41535" s="14"/>
      <c r="N41535" s="14"/>
      <c r="O41535" s="14"/>
      <c r="P41535" s="13"/>
    </row>
    <row r="41536">
      <c r="L41536" s="13"/>
      <c r="M41536" s="14"/>
      <c r="N41536" s="14"/>
      <c r="O41536" s="14"/>
      <c r="P41536" s="13"/>
    </row>
    <row r="41537">
      <c r="L41537" s="13"/>
      <c r="M41537" s="14"/>
      <c r="N41537" s="14"/>
      <c r="O41537" s="14"/>
      <c r="P41537" s="13"/>
    </row>
    <row r="41538">
      <c r="L41538" s="13"/>
      <c r="M41538" s="14"/>
      <c r="N41538" s="14"/>
      <c r="O41538" s="14"/>
      <c r="P41538" s="13"/>
    </row>
    <row r="41539">
      <c r="L41539" s="13"/>
      <c r="M41539" s="14"/>
      <c r="N41539" s="14"/>
      <c r="O41539" s="14"/>
      <c r="P41539" s="13"/>
    </row>
    <row r="41540">
      <c r="L41540" s="13"/>
      <c r="M41540" s="14"/>
      <c r="N41540" s="14"/>
      <c r="O41540" s="14"/>
      <c r="P41540" s="13"/>
    </row>
    <row r="41541">
      <c r="L41541" s="13"/>
      <c r="M41541" s="14"/>
      <c r="N41541" s="14"/>
      <c r="O41541" s="14"/>
      <c r="P41541" s="13"/>
    </row>
    <row r="41542">
      <c r="L41542" s="13"/>
      <c r="M41542" s="14"/>
      <c r="N41542" s="14"/>
      <c r="O41542" s="14"/>
      <c r="P41542" s="13"/>
    </row>
    <row r="41543">
      <c r="L41543" s="13"/>
      <c r="M41543" s="14"/>
      <c r="N41543" s="14"/>
      <c r="O41543" s="14"/>
      <c r="P41543" s="13"/>
    </row>
    <row r="41544">
      <c r="L41544" s="13"/>
      <c r="M41544" s="14"/>
      <c r="N41544" s="14"/>
      <c r="O41544" s="14"/>
      <c r="P41544" s="13"/>
    </row>
    <row r="41545">
      <c r="L41545" s="13"/>
      <c r="M41545" s="14"/>
      <c r="N41545" s="14"/>
      <c r="O41545" s="14"/>
      <c r="P41545" s="13"/>
    </row>
    <row r="41546">
      <c r="L41546" s="13"/>
      <c r="M41546" s="14"/>
      <c r="N41546" s="14"/>
      <c r="O41546" s="14"/>
      <c r="P41546" s="13"/>
    </row>
    <row r="41547">
      <c r="L41547" s="13"/>
      <c r="M41547" s="14"/>
      <c r="N41547" s="14"/>
      <c r="O41547" s="14"/>
      <c r="P41547" s="13"/>
    </row>
    <row r="41548">
      <c r="L41548" s="13"/>
      <c r="M41548" s="14"/>
      <c r="N41548" s="14"/>
      <c r="O41548" s="14"/>
      <c r="P41548" s="13"/>
    </row>
    <row r="41549">
      <c r="L41549" s="13"/>
      <c r="M41549" s="14"/>
      <c r="N41549" s="14"/>
      <c r="O41549" s="14"/>
      <c r="P41549" s="13"/>
    </row>
    <row r="41550">
      <c r="L41550" s="13"/>
      <c r="M41550" s="14"/>
      <c r="N41550" s="14"/>
      <c r="O41550" s="14"/>
      <c r="P41550" s="13"/>
    </row>
    <row r="41551">
      <c r="L41551" s="13"/>
      <c r="M41551" s="14"/>
      <c r="N41551" s="14"/>
      <c r="O41551" s="14"/>
      <c r="P41551" s="13"/>
    </row>
    <row r="41552">
      <c r="L41552" s="13"/>
      <c r="M41552" s="14"/>
      <c r="N41552" s="14"/>
      <c r="O41552" s="14"/>
      <c r="P41552" s="13"/>
    </row>
    <row r="41553">
      <c r="L41553" s="13"/>
      <c r="M41553" s="14"/>
      <c r="N41553" s="14"/>
      <c r="O41553" s="14"/>
      <c r="P41553" s="13"/>
    </row>
    <row r="41554">
      <c r="L41554" s="13"/>
      <c r="M41554" s="14"/>
      <c r="N41554" s="14"/>
      <c r="O41554" s="14"/>
      <c r="P41554" s="13"/>
    </row>
    <row r="41555">
      <c r="L41555" s="13"/>
      <c r="M41555" s="14"/>
      <c r="N41555" s="14"/>
      <c r="O41555" s="14"/>
      <c r="P41555" s="13"/>
    </row>
    <row r="41556">
      <c r="L41556" s="13"/>
      <c r="M41556" s="14"/>
      <c r="N41556" s="14"/>
      <c r="O41556" s="14"/>
      <c r="P41556" s="13"/>
    </row>
    <row r="41557">
      <c r="L41557" s="13"/>
      <c r="M41557" s="14"/>
      <c r="N41557" s="14"/>
      <c r="O41557" s="14"/>
      <c r="P41557" s="13"/>
    </row>
    <row r="41558">
      <c r="L41558" s="13"/>
      <c r="M41558" s="14"/>
      <c r="N41558" s="14"/>
      <c r="O41558" s="14"/>
      <c r="P41558" s="13"/>
    </row>
    <row r="41559">
      <c r="L41559" s="13"/>
      <c r="M41559" s="14"/>
      <c r="N41559" s="14"/>
      <c r="O41559" s="14"/>
      <c r="P41559" s="13"/>
    </row>
    <row r="41560">
      <c r="L41560" s="13"/>
      <c r="M41560" s="14"/>
      <c r="N41560" s="14"/>
      <c r="O41560" s="14"/>
      <c r="P41560" s="13"/>
    </row>
    <row r="41561">
      <c r="L41561" s="13"/>
      <c r="M41561" s="14"/>
      <c r="N41561" s="14"/>
      <c r="O41561" s="14"/>
      <c r="P41561" s="13"/>
    </row>
    <row r="41562">
      <c r="L41562" s="13"/>
      <c r="M41562" s="14"/>
      <c r="N41562" s="14"/>
      <c r="O41562" s="14"/>
      <c r="P41562" s="13"/>
    </row>
    <row r="41563">
      <c r="L41563" s="13"/>
      <c r="M41563" s="14"/>
      <c r="N41563" s="14"/>
      <c r="O41563" s="14"/>
      <c r="P41563" s="13"/>
    </row>
    <row r="41564">
      <c r="L41564" s="13"/>
      <c r="M41564" s="14"/>
      <c r="N41564" s="14"/>
      <c r="O41564" s="14"/>
      <c r="P41564" s="13"/>
    </row>
    <row r="41565">
      <c r="L41565" s="13"/>
      <c r="M41565" s="14"/>
      <c r="N41565" s="14"/>
      <c r="O41565" s="14"/>
      <c r="P41565" s="13"/>
    </row>
    <row r="41566">
      <c r="L41566" s="13"/>
      <c r="M41566" s="14"/>
      <c r="N41566" s="14"/>
      <c r="O41566" s="14"/>
      <c r="P41566" s="13"/>
    </row>
    <row r="41567">
      <c r="L41567" s="13"/>
      <c r="M41567" s="14"/>
      <c r="N41567" s="14"/>
      <c r="O41567" s="14"/>
      <c r="P41567" s="13"/>
    </row>
    <row r="41568">
      <c r="L41568" s="13"/>
      <c r="M41568" s="14"/>
      <c r="N41568" s="14"/>
      <c r="O41568" s="14"/>
      <c r="P41568" s="13"/>
    </row>
    <row r="41569">
      <c r="L41569" s="13"/>
      <c r="M41569" s="14"/>
      <c r="N41569" s="14"/>
      <c r="O41569" s="14"/>
      <c r="P41569" s="13"/>
    </row>
    <row r="41570">
      <c r="L41570" s="13"/>
      <c r="M41570" s="14"/>
      <c r="N41570" s="14"/>
      <c r="O41570" s="14"/>
      <c r="P41570" s="13"/>
    </row>
    <row r="41571">
      <c r="L41571" s="13"/>
      <c r="M41571" s="14"/>
      <c r="N41571" s="14"/>
      <c r="O41571" s="14"/>
      <c r="P41571" s="13"/>
    </row>
    <row r="41572">
      <c r="L41572" s="13"/>
      <c r="M41572" s="14"/>
      <c r="N41572" s="14"/>
      <c r="O41572" s="14"/>
      <c r="P41572" s="13"/>
    </row>
    <row r="41573">
      <c r="L41573" s="13"/>
      <c r="M41573" s="14"/>
      <c r="N41573" s="14"/>
      <c r="O41573" s="14"/>
      <c r="P41573" s="13"/>
    </row>
    <row r="41574">
      <c r="L41574" s="13"/>
      <c r="M41574" s="14"/>
      <c r="N41574" s="14"/>
      <c r="O41574" s="14"/>
      <c r="P41574" s="13"/>
    </row>
    <row r="41575">
      <c r="L41575" s="13"/>
      <c r="M41575" s="14"/>
      <c r="N41575" s="14"/>
      <c r="O41575" s="14"/>
      <c r="P41575" s="13"/>
    </row>
    <row r="41576">
      <c r="L41576" s="13"/>
      <c r="M41576" s="14"/>
      <c r="N41576" s="14"/>
      <c r="O41576" s="14"/>
      <c r="P41576" s="13"/>
    </row>
    <row r="41577">
      <c r="L41577" s="13"/>
      <c r="M41577" s="14"/>
      <c r="N41577" s="14"/>
      <c r="O41577" s="14"/>
      <c r="P41577" s="13"/>
    </row>
    <row r="41578">
      <c r="L41578" s="13"/>
      <c r="M41578" s="14"/>
      <c r="N41578" s="14"/>
      <c r="O41578" s="14"/>
      <c r="P41578" s="13"/>
    </row>
    <row r="41579">
      <c r="L41579" s="13"/>
      <c r="M41579" s="14"/>
      <c r="N41579" s="14"/>
      <c r="O41579" s="14"/>
      <c r="P41579" s="13"/>
    </row>
    <row r="41580">
      <c r="L41580" s="13"/>
      <c r="M41580" s="14"/>
      <c r="N41580" s="14"/>
      <c r="O41580" s="14"/>
      <c r="P41580" s="13"/>
    </row>
    <row r="41581">
      <c r="L41581" s="13"/>
      <c r="M41581" s="14"/>
      <c r="N41581" s="14"/>
      <c r="O41581" s="14"/>
      <c r="P41581" s="13"/>
    </row>
    <row r="41582">
      <c r="L41582" s="13"/>
      <c r="M41582" s="14"/>
      <c r="N41582" s="14"/>
      <c r="O41582" s="14"/>
      <c r="P41582" s="13"/>
    </row>
    <row r="41583">
      <c r="L41583" s="13"/>
      <c r="M41583" s="14"/>
      <c r="N41583" s="14"/>
      <c r="O41583" s="14"/>
      <c r="P41583" s="13"/>
    </row>
    <row r="41584">
      <c r="L41584" s="13"/>
      <c r="M41584" s="14"/>
      <c r="N41584" s="14"/>
      <c r="O41584" s="14"/>
      <c r="P41584" s="13"/>
    </row>
    <row r="41585">
      <c r="L41585" s="13"/>
      <c r="M41585" s="14"/>
      <c r="N41585" s="14"/>
      <c r="O41585" s="14"/>
      <c r="P41585" s="13"/>
    </row>
    <row r="41586">
      <c r="L41586" s="13"/>
      <c r="M41586" s="14"/>
      <c r="N41586" s="14"/>
      <c r="O41586" s="14"/>
      <c r="P41586" s="13"/>
    </row>
    <row r="41587">
      <c r="L41587" s="13"/>
      <c r="M41587" s="14"/>
      <c r="N41587" s="14"/>
      <c r="O41587" s="14"/>
      <c r="P41587" s="13"/>
    </row>
    <row r="41588">
      <c r="L41588" s="13"/>
      <c r="M41588" s="14"/>
      <c r="N41588" s="14"/>
      <c r="O41588" s="14"/>
      <c r="P41588" s="13"/>
    </row>
    <row r="41589">
      <c r="L41589" s="13"/>
      <c r="M41589" s="14"/>
      <c r="N41589" s="14"/>
      <c r="O41589" s="14"/>
      <c r="P41589" s="13"/>
    </row>
    <row r="41590">
      <c r="L41590" s="13"/>
      <c r="M41590" s="14"/>
      <c r="N41590" s="14"/>
      <c r="O41590" s="14"/>
      <c r="P41590" s="13"/>
    </row>
    <row r="41591">
      <c r="L41591" s="13"/>
      <c r="M41591" s="14"/>
      <c r="N41591" s="14"/>
      <c r="O41591" s="14"/>
      <c r="P41591" s="13"/>
    </row>
    <row r="41592">
      <c r="L41592" s="13"/>
      <c r="M41592" s="14"/>
      <c r="N41592" s="14"/>
      <c r="O41592" s="14"/>
      <c r="P41592" s="13"/>
    </row>
    <row r="41593">
      <c r="L41593" s="13"/>
      <c r="M41593" s="14"/>
      <c r="N41593" s="14"/>
      <c r="O41593" s="14"/>
      <c r="P41593" s="13"/>
    </row>
    <row r="41594">
      <c r="L41594" s="13"/>
      <c r="M41594" s="14"/>
      <c r="N41594" s="14"/>
      <c r="O41594" s="14"/>
      <c r="P41594" s="13"/>
    </row>
    <row r="41595">
      <c r="L41595" s="13"/>
      <c r="M41595" s="14"/>
      <c r="N41595" s="14"/>
      <c r="O41595" s="14"/>
      <c r="P41595" s="13"/>
    </row>
    <row r="41596">
      <c r="L41596" s="13"/>
      <c r="M41596" s="14"/>
      <c r="N41596" s="14"/>
      <c r="O41596" s="14"/>
      <c r="P41596" s="13"/>
    </row>
    <row r="41597">
      <c r="L41597" s="13"/>
      <c r="M41597" s="14"/>
      <c r="N41597" s="14"/>
      <c r="O41597" s="14"/>
      <c r="P41597" s="13"/>
    </row>
    <row r="41598">
      <c r="L41598" s="13"/>
      <c r="M41598" s="14"/>
      <c r="N41598" s="14"/>
      <c r="O41598" s="14"/>
      <c r="P41598" s="13"/>
    </row>
    <row r="41599">
      <c r="L41599" s="13"/>
      <c r="M41599" s="14"/>
      <c r="N41599" s="14"/>
      <c r="O41599" s="14"/>
      <c r="P41599" s="13"/>
    </row>
    <row r="41600">
      <c r="L41600" s="13"/>
      <c r="M41600" s="14"/>
      <c r="N41600" s="14"/>
      <c r="O41600" s="14"/>
      <c r="P41600" s="13"/>
    </row>
    <row r="41601">
      <c r="L41601" s="13"/>
      <c r="M41601" s="14"/>
      <c r="N41601" s="14"/>
      <c r="O41601" s="14"/>
      <c r="P41601" s="13"/>
    </row>
    <row r="41602">
      <c r="L41602" s="13"/>
      <c r="M41602" s="14"/>
      <c r="N41602" s="14"/>
      <c r="O41602" s="14"/>
      <c r="P41602" s="13"/>
    </row>
    <row r="41603">
      <c r="L41603" s="13"/>
      <c r="M41603" s="14"/>
      <c r="N41603" s="14"/>
      <c r="O41603" s="14"/>
      <c r="P41603" s="13"/>
    </row>
    <row r="41604">
      <c r="L41604" s="13"/>
      <c r="M41604" s="14"/>
      <c r="N41604" s="14"/>
      <c r="O41604" s="14"/>
      <c r="P41604" s="13"/>
    </row>
    <row r="41605">
      <c r="L41605" s="13"/>
      <c r="M41605" s="14"/>
      <c r="N41605" s="14"/>
      <c r="O41605" s="14"/>
      <c r="P41605" s="13"/>
    </row>
    <row r="41606">
      <c r="L41606" s="13"/>
      <c r="M41606" s="14"/>
      <c r="N41606" s="14"/>
      <c r="O41606" s="14"/>
      <c r="P41606" s="13"/>
    </row>
    <row r="41607">
      <c r="L41607" s="13"/>
      <c r="M41607" s="14"/>
      <c r="N41607" s="14"/>
      <c r="O41607" s="14"/>
      <c r="P41607" s="13"/>
    </row>
    <row r="41608">
      <c r="L41608" s="13"/>
      <c r="M41608" s="14"/>
      <c r="N41608" s="14"/>
      <c r="O41608" s="14"/>
      <c r="P41608" s="13"/>
    </row>
    <row r="41609">
      <c r="L41609" s="13"/>
      <c r="M41609" s="14"/>
      <c r="N41609" s="14"/>
      <c r="O41609" s="14"/>
      <c r="P41609" s="13"/>
    </row>
    <row r="41610">
      <c r="L41610" s="13"/>
      <c r="M41610" s="14"/>
      <c r="N41610" s="14"/>
      <c r="O41610" s="14"/>
      <c r="P41610" s="13"/>
    </row>
    <row r="41611">
      <c r="L41611" s="13"/>
      <c r="M41611" s="14"/>
      <c r="N41611" s="14"/>
      <c r="O41611" s="14"/>
      <c r="P41611" s="13"/>
    </row>
    <row r="41612">
      <c r="L41612" s="13"/>
      <c r="M41612" s="14"/>
      <c r="N41612" s="14"/>
      <c r="O41612" s="14"/>
      <c r="P41612" s="13"/>
    </row>
    <row r="41613">
      <c r="L41613" s="13"/>
      <c r="M41613" s="14"/>
      <c r="N41613" s="14"/>
      <c r="O41613" s="14"/>
      <c r="P41613" s="13"/>
    </row>
    <row r="41614">
      <c r="L41614" s="13"/>
      <c r="M41614" s="14"/>
      <c r="N41614" s="14"/>
      <c r="O41614" s="14"/>
      <c r="P41614" s="13"/>
    </row>
    <row r="41615">
      <c r="L41615" s="13"/>
      <c r="M41615" s="14"/>
      <c r="N41615" s="14"/>
      <c r="O41615" s="14"/>
      <c r="P41615" s="13"/>
    </row>
    <row r="41616">
      <c r="L41616" s="13"/>
      <c r="M41616" s="14"/>
      <c r="N41616" s="14"/>
      <c r="O41616" s="14"/>
      <c r="P41616" s="13"/>
    </row>
    <row r="41617">
      <c r="L41617" s="13"/>
      <c r="M41617" s="14"/>
      <c r="N41617" s="14"/>
      <c r="O41617" s="14"/>
      <c r="P41617" s="13"/>
    </row>
    <row r="41618">
      <c r="L41618" s="13"/>
      <c r="M41618" s="14"/>
      <c r="N41618" s="14"/>
      <c r="O41618" s="14"/>
      <c r="P41618" s="13"/>
    </row>
    <row r="41619">
      <c r="L41619" s="13"/>
      <c r="M41619" s="14"/>
      <c r="N41619" s="14"/>
      <c r="O41619" s="14"/>
      <c r="P41619" s="13"/>
    </row>
    <row r="41620">
      <c r="L41620" s="13"/>
      <c r="M41620" s="14"/>
      <c r="N41620" s="14"/>
      <c r="O41620" s="14"/>
      <c r="P41620" s="13"/>
    </row>
    <row r="41621">
      <c r="L41621" s="13"/>
      <c r="M41621" s="14"/>
      <c r="N41621" s="14"/>
      <c r="O41621" s="14"/>
      <c r="P41621" s="13"/>
    </row>
    <row r="41622">
      <c r="L41622" s="13"/>
      <c r="M41622" s="14"/>
      <c r="N41622" s="14"/>
      <c r="O41622" s="14"/>
      <c r="P41622" s="13"/>
    </row>
    <row r="41623">
      <c r="L41623" s="13"/>
      <c r="M41623" s="14"/>
      <c r="N41623" s="14"/>
      <c r="O41623" s="14"/>
      <c r="P41623" s="13"/>
    </row>
    <row r="41624">
      <c r="L41624" s="13"/>
      <c r="M41624" s="14"/>
      <c r="N41624" s="14"/>
      <c r="O41624" s="14"/>
      <c r="P41624" s="13"/>
    </row>
    <row r="41625">
      <c r="L41625" s="13"/>
      <c r="M41625" s="14"/>
      <c r="N41625" s="14"/>
      <c r="O41625" s="14"/>
      <c r="P41625" s="13"/>
    </row>
    <row r="41626">
      <c r="L41626" s="13"/>
      <c r="M41626" s="14"/>
      <c r="N41626" s="14"/>
      <c r="O41626" s="14"/>
      <c r="P41626" s="13"/>
    </row>
    <row r="41627">
      <c r="L41627" s="13"/>
      <c r="M41627" s="14"/>
      <c r="N41627" s="14"/>
      <c r="O41627" s="14"/>
      <c r="P41627" s="13"/>
    </row>
    <row r="41628">
      <c r="L41628" s="13"/>
      <c r="M41628" s="14"/>
      <c r="N41628" s="14"/>
      <c r="O41628" s="14"/>
      <c r="P41628" s="13"/>
    </row>
    <row r="41629">
      <c r="L41629" s="13"/>
      <c r="M41629" s="14"/>
      <c r="N41629" s="14"/>
      <c r="O41629" s="14"/>
      <c r="P41629" s="13"/>
    </row>
    <row r="41630">
      <c r="L41630" s="13"/>
      <c r="M41630" s="14"/>
      <c r="N41630" s="14"/>
      <c r="O41630" s="14"/>
      <c r="P41630" s="13"/>
    </row>
    <row r="41631">
      <c r="L41631" s="13"/>
      <c r="M41631" s="14"/>
      <c r="N41631" s="14"/>
      <c r="O41631" s="14"/>
      <c r="P41631" s="13"/>
    </row>
    <row r="41632">
      <c r="L41632" s="13"/>
      <c r="M41632" s="14"/>
      <c r="N41632" s="14"/>
      <c r="O41632" s="14"/>
      <c r="P41632" s="13"/>
    </row>
    <row r="41633">
      <c r="L41633" s="13"/>
      <c r="M41633" s="14"/>
      <c r="N41633" s="14"/>
      <c r="O41633" s="14"/>
      <c r="P41633" s="13"/>
    </row>
    <row r="41634">
      <c r="L41634" s="13"/>
      <c r="M41634" s="14"/>
      <c r="N41634" s="14"/>
      <c r="O41634" s="14"/>
      <c r="P41634" s="13"/>
    </row>
    <row r="41635">
      <c r="L41635" s="13"/>
      <c r="M41635" s="14"/>
      <c r="N41635" s="14"/>
      <c r="O41635" s="14"/>
      <c r="P41635" s="13"/>
    </row>
    <row r="41636">
      <c r="L41636" s="13"/>
      <c r="M41636" s="14"/>
      <c r="N41636" s="14"/>
      <c r="O41636" s="14"/>
      <c r="P41636" s="13"/>
    </row>
    <row r="41637">
      <c r="L41637" s="13"/>
      <c r="M41637" s="14"/>
      <c r="N41637" s="14"/>
      <c r="O41637" s="14"/>
      <c r="P41637" s="13"/>
    </row>
    <row r="41638">
      <c r="L41638" s="13"/>
      <c r="M41638" s="14"/>
      <c r="N41638" s="14"/>
      <c r="O41638" s="14"/>
      <c r="P41638" s="13"/>
    </row>
    <row r="41639">
      <c r="L41639" s="13"/>
      <c r="M41639" s="14"/>
      <c r="N41639" s="14"/>
      <c r="O41639" s="14"/>
      <c r="P41639" s="13"/>
    </row>
    <row r="41640">
      <c r="L41640" s="13"/>
      <c r="M41640" s="14"/>
      <c r="N41640" s="14"/>
      <c r="O41640" s="14"/>
      <c r="P41640" s="13"/>
    </row>
    <row r="41641">
      <c r="L41641" s="13"/>
      <c r="M41641" s="14"/>
      <c r="N41641" s="14"/>
      <c r="O41641" s="14"/>
      <c r="P41641" s="13"/>
    </row>
    <row r="41642">
      <c r="L41642" s="13"/>
      <c r="M41642" s="14"/>
      <c r="N41642" s="14"/>
      <c r="O41642" s="14"/>
      <c r="P41642" s="13"/>
    </row>
    <row r="41643">
      <c r="L41643" s="13"/>
      <c r="M41643" s="14"/>
      <c r="N41643" s="14"/>
      <c r="O41643" s="14"/>
      <c r="P41643" s="13"/>
    </row>
    <row r="41644">
      <c r="L41644" s="13"/>
      <c r="M41644" s="14"/>
      <c r="N41644" s="14"/>
      <c r="O41644" s="14"/>
      <c r="P41644" s="13"/>
    </row>
    <row r="41645">
      <c r="L41645" s="13"/>
      <c r="M41645" s="14"/>
      <c r="N41645" s="14"/>
      <c r="O41645" s="14"/>
      <c r="P41645" s="13"/>
    </row>
    <row r="41646">
      <c r="L41646" s="13"/>
      <c r="M41646" s="14"/>
      <c r="N41646" s="14"/>
      <c r="O41646" s="14"/>
      <c r="P41646" s="13"/>
    </row>
    <row r="41647">
      <c r="L41647" s="13"/>
      <c r="M41647" s="14"/>
      <c r="N41647" s="14"/>
      <c r="O41647" s="14"/>
      <c r="P41647" s="13"/>
    </row>
    <row r="41648">
      <c r="L41648" s="13"/>
      <c r="M41648" s="14"/>
      <c r="N41648" s="14"/>
      <c r="O41648" s="14"/>
      <c r="P41648" s="13"/>
    </row>
    <row r="41649">
      <c r="L41649" s="13"/>
      <c r="M41649" s="14"/>
      <c r="N41649" s="14"/>
      <c r="O41649" s="14"/>
      <c r="P41649" s="13"/>
    </row>
    <row r="41650">
      <c r="L41650" s="13"/>
      <c r="M41650" s="14"/>
      <c r="N41650" s="14"/>
      <c r="O41650" s="14"/>
      <c r="P41650" s="13"/>
    </row>
    <row r="41651">
      <c r="L41651" s="13"/>
      <c r="M41651" s="14"/>
      <c r="N41651" s="14"/>
      <c r="O41651" s="14"/>
      <c r="P41651" s="13"/>
    </row>
    <row r="41652">
      <c r="L41652" s="13"/>
      <c r="M41652" s="14"/>
      <c r="N41652" s="14"/>
      <c r="O41652" s="14"/>
      <c r="P41652" s="13"/>
    </row>
    <row r="41653">
      <c r="L41653" s="13"/>
      <c r="M41653" s="14"/>
      <c r="N41653" s="14"/>
      <c r="O41653" s="14"/>
      <c r="P41653" s="13"/>
    </row>
    <row r="41654">
      <c r="L41654" s="13"/>
      <c r="M41654" s="14"/>
      <c r="N41654" s="14"/>
      <c r="O41654" s="14"/>
      <c r="P41654" s="13"/>
    </row>
    <row r="41655">
      <c r="L41655" s="13"/>
      <c r="M41655" s="14"/>
      <c r="N41655" s="14"/>
      <c r="O41655" s="14"/>
      <c r="P41655" s="13"/>
    </row>
    <row r="41656">
      <c r="L41656" s="13"/>
      <c r="M41656" s="14"/>
      <c r="N41656" s="14"/>
      <c r="O41656" s="14"/>
      <c r="P41656" s="13"/>
    </row>
    <row r="41657">
      <c r="L41657" s="13"/>
      <c r="M41657" s="14"/>
      <c r="N41657" s="14"/>
      <c r="O41657" s="14"/>
      <c r="P41657" s="13"/>
    </row>
    <row r="41658">
      <c r="L41658" s="13"/>
      <c r="M41658" s="14"/>
      <c r="N41658" s="14"/>
      <c r="O41658" s="14"/>
      <c r="P41658" s="13"/>
    </row>
    <row r="41659">
      <c r="L41659" s="13"/>
      <c r="M41659" s="14"/>
      <c r="N41659" s="14"/>
      <c r="O41659" s="14"/>
      <c r="P41659" s="13"/>
    </row>
    <row r="41660">
      <c r="L41660" s="13"/>
      <c r="M41660" s="14"/>
      <c r="N41660" s="14"/>
      <c r="O41660" s="14"/>
      <c r="P41660" s="13"/>
    </row>
    <row r="41661">
      <c r="L41661" s="13"/>
      <c r="M41661" s="14"/>
      <c r="N41661" s="14"/>
      <c r="O41661" s="14"/>
      <c r="P41661" s="13"/>
    </row>
    <row r="41662">
      <c r="L41662" s="13"/>
      <c r="M41662" s="14"/>
      <c r="N41662" s="14"/>
      <c r="O41662" s="14"/>
      <c r="P41662" s="13"/>
    </row>
    <row r="41663">
      <c r="L41663" s="13"/>
      <c r="M41663" s="14"/>
      <c r="N41663" s="14"/>
      <c r="O41663" s="14"/>
      <c r="P41663" s="13"/>
    </row>
    <row r="41664">
      <c r="L41664" s="13"/>
      <c r="M41664" s="14"/>
      <c r="N41664" s="14"/>
      <c r="O41664" s="14"/>
      <c r="P41664" s="13"/>
    </row>
    <row r="41665">
      <c r="L41665" s="13"/>
      <c r="M41665" s="14"/>
      <c r="N41665" s="14"/>
      <c r="O41665" s="14"/>
      <c r="P41665" s="13"/>
    </row>
    <row r="41666">
      <c r="L41666" s="13"/>
      <c r="M41666" s="14"/>
      <c r="N41666" s="14"/>
      <c r="O41666" s="14"/>
      <c r="P41666" s="13"/>
    </row>
    <row r="41667">
      <c r="L41667" s="13"/>
      <c r="M41667" s="14"/>
      <c r="N41667" s="14"/>
      <c r="O41667" s="14"/>
      <c r="P41667" s="13"/>
    </row>
    <row r="41668">
      <c r="L41668" s="13"/>
      <c r="M41668" s="14"/>
      <c r="N41668" s="14"/>
      <c r="O41668" s="14"/>
      <c r="P41668" s="13"/>
    </row>
    <row r="41669">
      <c r="L41669" s="13"/>
      <c r="M41669" s="14"/>
      <c r="N41669" s="14"/>
      <c r="O41669" s="14"/>
      <c r="P41669" s="13"/>
    </row>
    <row r="41670">
      <c r="L41670" s="13"/>
      <c r="M41670" s="14"/>
      <c r="N41670" s="14"/>
      <c r="O41670" s="14"/>
      <c r="P41670" s="13"/>
    </row>
    <row r="41671">
      <c r="L41671" s="13"/>
      <c r="M41671" s="14"/>
      <c r="N41671" s="14"/>
      <c r="O41671" s="14"/>
      <c r="P41671" s="13"/>
    </row>
    <row r="41672">
      <c r="L41672" s="13"/>
      <c r="M41672" s="14"/>
      <c r="N41672" s="14"/>
      <c r="O41672" s="14"/>
      <c r="P41672" s="13"/>
    </row>
    <row r="41673">
      <c r="L41673" s="13"/>
      <c r="M41673" s="14"/>
      <c r="N41673" s="14"/>
      <c r="O41673" s="14"/>
      <c r="P41673" s="13"/>
    </row>
    <row r="41674">
      <c r="L41674" s="13"/>
      <c r="M41674" s="14"/>
      <c r="N41674" s="14"/>
      <c r="O41674" s="14"/>
      <c r="P41674" s="13"/>
    </row>
    <row r="41675">
      <c r="L41675" s="13"/>
      <c r="M41675" s="14"/>
      <c r="N41675" s="14"/>
      <c r="O41675" s="14"/>
      <c r="P41675" s="13"/>
    </row>
    <row r="41676">
      <c r="L41676" s="13"/>
      <c r="M41676" s="14"/>
      <c r="N41676" s="14"/>
      <c r="O41676" s="14"/>
      <c r="P41676" s="13"/>
    </row>
    <row r="41677">
      <c r="L41677" s="13"/>
      <c r="M41677" s="14"/>
      <c r="N41677" s="14"/>
      <c r="O41677" s="14"/>
      <c r="P41677" s="13"/>
    </row>
    <row r="41678">
      <c r="L41678" s="13"/>
      <c r="M41678" s="14"/>
      <c r="N41678" s="14"/>
      <c r="O41678" s="14"/>
      <c r="P41678" s="13"/>
    </row>
    <row r="41679">
      <c r="L41679" s="13"/>
      <c r="M41679" s="14"/>
      <c r="N41679" s="14"/>
      <c r="O41679" s="14"/>
      <c r="P41679" s="13"/>
    </row>
    <row r="41680">
      <c r="L41680" s="13"/>
      <c r="M41680" s="14"/>
      <c r="N41680" s="14"/>
      <c r="O41680" s="14"/>
      <c r="P41680" s="13"/>
    </row>
    <row r="41681">
      <c r="L41681" s="13"/>
      <c r="M41681" s="14"/>
      <c r="N41681" s="14"/>
      <c r="O41681" s="14"/>
      <c r="P41681" s="13"/>
    </row>
    <row r="41682">
      <c r="L41682" s="13"/>
      <c r="M41682" s="14"/>
      <c r="N41682" s="14"/>
      <c r="O41682" s="14"/>
      <c r="P41682" s="13"/>
    </row>
    <row r="41683">
      <c r="L41683" s="13"/>
      <c r="M41683" s="14"/>
      <c r="N41683" s="14"/>
      <c r="O41683" s="14"/>
      <c r="P41683" s="13"/>
    </row>
    <row r="41684">
      <c r="L41684" s="13"/>
      <c r="M41684" s="14"/>
      <c r="N41684" s="14"/>
      <c r="O41684" s="14"/>
      <c r="P41684" s="13"/>
    </row>
    <row r="41685">
      <c r="L41685" s="13"/>
      <c r="M41685" s="14"/>
      <c r="N41685" s="14"/>
      <c r="O41685" s="14"/>
      <c r="P41685" s="13"/>
    </row>
    <row r="41686">
      <c r="L41686" s="13"/>
      <c r="M41686" s="14"/>
      <c r="N41686" s="14"/>
      <c r="O41686" s="14"/>
      <c r="P41686" s="13"/>
    </row>
    <row r="41687">
      <c r="L41687" s="13"/>
      <c r="M41687" s="14"/>
      <c r="N41687" s="14"/>
      <c r="O41687" s="14"/>
      <c r="P41687" s="13"/>
    </row>
    <row r="41688">
      <c r="L41688" s="13"/>
      <c r="M41688" s="14"/>
      <c r="N41688" s="14"/>
      <c r="O41688" s="14"/>
      <c r="P41688" s="13"/>
    </row>
    <row r="41689">
      <c r="L41689" s="13"/>
      <c r="M41689" s="14"/>
      <c r="N41689" s="14"/>
      <c r="O41689" s="14"/>
      <c r="P41689" s="13"/>
    </row>
    <row r="41690">
      <c r="L41690" s="13"/>
      <c r="M41690" s="14"/>
      <c r="N41690" s="14"/>
      <c r="O41690" s="14"/>
      <c r="P41690" s="13"/>
    </row>
    <row r="41691">
      <c r="L41691" s="13"/>
      <c r="M41691" s="14"/>
      <c r="N41691" s="14"/>
      <c r="O41691" s="14"/>
      <c r="P41691" s="13"/>
    </row>
    <row r="41692">
      <c r="L41692" s="13"/>
      <c r="M41692" s="14"/>
      <c r="N41692" s="14"/>
      <c r="O41692" s="14"/>
      <c r="P41692" s="13"/>
    </row>
    <row r="41693">
      <c r="L41693" s="13"/>
      <c r="M41693" s="14"/>
      <c r="N41693" s="14"/>
      <c r="O41693" s="14"/>
      <c r="P41693" s="13"/>
    </row>
    <row r="41694">
      <c r="L41694" s="13"/>
      <c r="M41694" s="14"/>
      <c r="N41694" s="14"/>
      <c r="O41694" s="14"/>
      <c r="P41694" s="13"/>
    </row>
    <row r="41695">
      <c r="L41695" s="13"/>
      <c r="M41695" s="14"/>
      <c r="N41695" s="14"/>
      <c r="O41695" s="14"/>
      <c r="P41695" s="13"/>
    </row>
    <row r="41696">
      <c r="L41696" s="13"/>
      <c r="M41696" s="14"/>
      <c r="N41696" s="14"/>
      <c r="O41696" s="14"/>
      <c r="P41696" s="13"/>
    </row>
    <row r="41697">
      <c r="L41697" s="13"/>
      <c r="M41697" s="14"/>
      <c r="N41697" s="14"/>
      <c r="O41697" s="14"/>
      <c r="P41697" s="13"/>
    </row>
    <row r="41698">
      <c r="L41698" s="13"/>
      <c r="M41698" s="14"/>
      <c r="N41698" s="14"/>
      <c r="O41698" s="14"/>
      <c r="P41698" s="13"/>
    </row>
    <row r="41699">
      <c r="L41699" s="13"/>
      <c r="M41699" s="14"/>
      <c r="N41699" s="14"/>
      <c r="O41699" s="14"/>
      <c r="P41699" s="13"/>
    </row>
    <row r="41700">
      <c r="L41700" s="13"/>
      <c r="M41700" s="14"/>
      <c r="N41700" s="14"/>
      <c r="O41700" s="14"/>
      <c r="P41700" s="13"/>
    </row>
    <row r="41701">
      <c r="L41701" s="13"/>
      <c r="M41701" s="14"/>
      <c r="N41701" s="14"/>
      <c r="O41701" s="14"/>
      <c r="P41701" s="13"/>
    </row>
    <row r="41702">
      <c r="L41702" s="13"/>
      <c r="M41702" s="14"/>
      <c r="N41702" s="14"/>
      <c r="O41702" s="14"/>
      <c r="P41702" s="13"/>
    </row>
    <row r="41703">
      <c r="L41703" s="13"/>
      <c r="M41703" s="14"/>
      <c r="N41703" s="14"/>
      <c r="O41703" s="14"/>
      <c r="P41703" s="13"/>
    </row>
    <row r="41704">
      <c r="L41704" s="13"/>
      <c r="M41704" s="14"/>
      <c r="N41704" s="14"/>
      <c r="O41704" s="14"/>
      <c r="P41704" s="13"/>
    </row>
    <row r="41705">
      <c r="L41705" s="13"/>
      <c r="M41705" s="14"/>
      <c r="N41705" s="14"/>
      <c r="O41705" s="14"/>
      <c r="P41705" s="13"/>
    </row>
    <row r="41706">
      <c r="L41706" s="13"/>
      <c r="M41706" s="14"/>
      <c r="N41706" s="14"/>
      <c r="O41706" s="14"/>
      <c r="P41706" s="13"/>
    </row>
    <row r="41707">
      <c r="L41707" s="13"/>
      <c r="M41707" s="14"/>
      <c r="N41707" s="14"/>
      <c r="O41707" s="14"/>
      <c r="P41707" s="13"/>
    </row>
    <row r="41708">
      <c r="L41708" s="13"/>
      <c r="M41708" s="14"/>
      <c r="N41708" s="14"/>
      <c r="O41708" s="14"/>
      <c r="P41708" s="13"/>
    </row>
    <row r="41709">
      <c r="L41709" s="13"/>
      <c r="M41709" s="14"/>
      <c r="N41709" s="14"/>
      <c r="O41709" s="14"/>
      <c r="P41709" s="13"/>
    </row>
    <row r="41710">
      <c r="L41710" s="13"/>
      <c r="M41710" s="14"/>
      <c r="N41710" s="14"/>
      <c r="O41710" s="14"/>
      <c r="P41710" s="13"/>
    </row>
    <row r="41711">
      <c r="L41711" s="13"/>
      <c r="M41711" s="14"/>
      <c r="N41711" s="14"/>
      <c r="O41711" s="14"/>
      <c r="P41711" s="13"/>
    </row>
    <row r="41712">
      <c r="L41712" s="13"/>
      <c r="M41712" s="14"/>
      <c r="N41712" s="14"/>
      <c r="O41712" s="14"/>
      <c r="P41712" s="13"/>
    </row>
    <row r="41713">
      <c r="L41713" s="13"/>
      <c r="M41713" s="14"/>
      <c r="N41713" s="14"/>
      <c r="O41713" s="14"/>
      <c r="P41713" s="13"/>
    </row>
    <row r="41714">
      <c r="L41714" s="13"/>
      <c r="M41714" s="14"/>
      <c r="N41714" s="14"/>
      <c r="O41714" s="14"/>
      <c r="P41714" s="13"/>
    </row>
    <row r="41715">
      <c r="L41715" s="13"/>
      <c r="M41715" s="14"/>
      <c r="N41715" s="14"/>
      <c r="O41715" s="14"/>
      <c r="P41715" s="13"/>
    </row>
    <row r="41716">
      <c r="L41716" s="13"/>
      <c r="M41716" s="14"/>
      <c r="N41716" s="14"/>
      <c r="O41716" s="14"/>
      <c r="P41716" s="13"/>
    </row>
    <row r="41717">
      <c r="L41717" s="13"/>
      <c r="M41717" s="14"/>
      <c r="N41717" s="14"/>
      <c r="O41717" s="14"/>
      <c r="P41717" s="13"/>
    </row>
    <row r="41718">
      <c r="L41718" s="13"/>
      <c r="M41718" s="14"/>
      <c r="N41718" s="14"/>
      <c r="O41718" s="14"/>
      <c r="P41718" s="13"/>
    </row>
    <row r="41719">
      <c r="L41719" s="13"/>
      <c r="M41719" s="14"/>
      <c r="N41719" s="14"/>
      <c r="O41719" s="14"/>
      <c r="P41719" s="13"/>
    </row>
    <row r="41720">
      <c r="L41720" s="13"/>
      <c r="M41720" s="14"/>
      <c r="N41720" s="14"/>
      <c r="O41720" s="14"/>
      <c r="P41720" s="13"/>
    </row>
    <row r="41721">
      <c r="L41721" s="13"/>
      <c r="M41721" s="14"/>
      <c r="N41721" s="14"/>
      <c r="O41721" s="14"/>
      <c r="P41721" s="13"/>
    </row>
    <row r="41722">
      <c r="L41722" s="13"/>
      <c r="M41722" s="14"/>
      <c r="N41722" s="14"/>
      <c r="O41722" s="14"/>
      <c r="P41722" s="13"/>
    </row>
    <row r="41723">
      <c r="L41723" s="13"/>
      <c r="M41723" s="14"/>
      <c r="N41723" s="14"/>
      <c r="O41723" s="14"/>
      <c r="P41723" s="13"/>
    </row>
    <row r="41724">
      <c r="L41724" s="13"/>
      <c r="M41724" s="14"/>
      <c r="N41724" s="14"/>
      <c r="O41724" s="14"/>
      <c r="P41724" s="13"/>
    </row>
    <row r="41725">
      <c r="L41725" s="13"/>
      <c r="M41725" s="14"/>
      <c r="N41725" s="14"/>
      <c r="O41725" s="14"/>
      <c r="P41725" s="13"/>
    </row>
    <row r="41726">
      <c r="L41726" s="13"/>
      <c r="M41726" s="14"/>
      <c r="N41726" s="14"/>
      <c r="O41726" s="14"/>
      <c r="P41726" s="13"/>
    </row>
    <row r="41727">
      <c r="L41727" s="13"/>
      <c r="M41727" s="14"/>
      <c r="N41727" s="14"/>
      <c r="O41727" s="14"/>
      <c r="P41727" s="13"/>
    </row>
    <row r="41728">
      <c r="L41728" s="13"/>
      <c r="M41728" s="14"/>
      <c r="N41728" s="14"/>
      <c r="O41728" s="14"/>
      <c r="P41728" s="13"/>
    </row>
    <row r="41729">
      <c r="L41729" s="13"/>
      <c r="M41729" s="14"/>
      <c r="N41729" s="14"/>
      <c r="O41729" s="14"/>
      <c r="P41729" s="13"/>
    </row>
    <row r="41730">
      <c r="L41730" s="13"/>
      <c r="M41730" s="14"/>
      <c r="N41730" s="14"/>
      <c r="O41730" s="14"/>
      <c r="P41730" s="13"/>
    </row>
    <row r="41731">
      <c r="L41731" s="13"/>
      <c r="M41731" s="14"/>
      <c r="N41731" s="14"/>
      <c r="O41731" s="14"/>
      <c r="P41731" s="13"/>
    </row>
    <row r="41732">
      <c r="L41732" s="13"/>
      <c r="M41732" s="14"/>
      <c r="N41732" s="14"/>
      <c r="O41732" s="14"/>
      <c r="P41732" s="13"/>
    </row>
    <row r="41733">
      <c r="L41733" s="13"/>
      <c r="M41733" s="14"/>
      <c r="N41733" s="14"/>
      <c r="O41733" s="14"/>
      <c r="P41733" s="13"/>
    </row>
    <row r="41734">
      <c r="L41734" s="13"/>
      <c r="M41734" s="14"/>
      <c r="N41734" s="14"/>
      <c r="O41734" s="14"/>
      <c r="P41734" s="13"/>
    </row>
    <row r="41735">
      <c r="L41735" s="13"/>
      <c r="M41735" s="14"/>
      <c r="N41735" s="14"/>
      <c r="O41735" s="14"/>
      <c r="P41735" s="13"/>
    </row>
    <row r="41736">
      <c r="L41736" s="13"/>
      <c r="M41736" s="14"/>
      <c r="N41736" s="14"/>
      <c r="O41736" s="14"/>
      <c r="P41736" s="13"/>
    </row>
    <row r="41737">
      <c r="L41737" s="13"/>
      <c r="M41737" s="14"/>
      <c r="N41737" s="14"/>
      <c r="O41737" s="14"/>
      <c r="P41737" s="13"/>
    </row>
    <row r="41738">
      <c r="L41738" s="13"/>
      <c r="M41738" s="14"/>
      <c r="N41738" s="14"/>
      <c r="O41738" s="14"/>
      <c r="P41738" s="13"/>
    </row>
    <row r="41739">
      <c r="L41739" s="13"/>
      <c r="M41739" s="14"/>
      <c r="N41739" s="14"/>
      <c r="O41739" s="14"/>
      <c r="P41739" s="13"/>
    </row>
    <row r="41740">
      <c r="L41740" s="13"/>
      <c r="M41740" s="14"/>
      <c r="N41740" s="14"/>
      <c r="O41740" s="14"/>
      <c r="P41740" s="13"/>
    </row>
    <row r="41741">
      <c r="L41741" s="13"/>
      <c r="M41741" s="14"/>
      <c r="N41741" s="14"/>
      <c r="O41741" s="14"/>
      <c r="P41741" s="13"/>
    </row>
    <row r="41742">
      <c r="L41742" s="13"/>
      <c r="M41742" s="14"/>
      <c r="N41742" s="14"/>
      <c r="O41742" s="14"/>
      <c r="P41742" s="13"/>
    </row>
    <row r="41743">
      <c r="L41743" s="13"/>
      <c r="M41743" s="14"/>
      <c r="N41743" s="14"/>
      <c r="O41743" s="14"/>
      <c r="P41743" s="13"/>
    </row>
    <row r="41744">
      <c r="L41744" s="13"/>
      <c r="M41744" s="14"/>
      <c r="N41744" s="14"/>
      <c r="O41744" s="14"/>
      <c r="P41744" s="13"/>
    </row>
    <row r="41745">
      <c r="L41745" s="13"/>
      <c r="M41745" s="14"/>
      <c r="N41745" s="14"/>
      <c r="O41745" s="14"/>
      <c r="P41745" s="13"/>
    </row>
    <row r="41746">
      <c r="L41746" s="13"/>
      <c r="M41746" s="14"/>
      <c r="N41746" s="14"/>
      <c r="O41746" s="14"/>
      <c r="P41746" s="13"/>
    </row>
    <row r="41747">
      <c r="L41747" s="13"/>
      <c r="M41747" s="14"/>
      <c r="N41747" s="14"/>
      <c r="O41747" s="14"/>
      <c r="P41747" s="13"/>
    </row>
    <row r="41748">
      <c r="L41748" s="13"/>
      <c r="M41748" s="14"/>
      <c r="N41748" s="14"/>
      <c r="O41748" s="14"/>
      <c r="P41748" s="13"/>
    </row>
    <row r="41749">
      <c r="L41749" s="13"/>
      <c r="M41749" s="14"/>
      <c r="N41749" s="14"/>
      <c r="O41749" s="14"/>
      <c r="P41749" s="13"/>
    </row>
    <row r="41750">
      <c r="L41750" s="13"/>
      <c r="M41750" s="14"/>
      <c r="N41750" s="14"/>
      <c r="O41750" s="14"/>
      <c r="P41750" s="13"/>
    </row>
    <row r="41751">
      <c r="L41751" s="13"/>
      <c r="M41751" s="14"/>
      <c r="N41751" s="14"/>
      <c r="O41751" s="14"/>
      <c r="P41751" s="13"/>
    </row>
    <row r="41752">
      <c r="L41752" s="13"/>
      <c r="M41752" s="14"/>
      <c r="N41752" s="14"/>
      <c r="O41752" s="14"/>
      <c r="P41752" s="13"/>
    </row>
    <row r="41753">
      <c r="L41753" s="13"/>
      <c r="M41753" s="14"/>
      <c r="N41753" s="14"/>
      <c r="O41753" s="14"/>
      <c r="P41753" s="13"/>
    </row>
    <row r="41754">
      <c r="L41754" s="13"/>
      <c r="M41754" s="14"/>
      <c r="N41754" s="14"/>
      <c r="O41754" s="14"/>
      <c r="P41754" s="13"/>
    </row>
    <row r="41755">
      <c r="L41755" s="13"/>
      <c r="M41755" s="14"/>
      <c r="N41755" s="14"/>
      <c r="O41755" s="14"/>
      <c r="P41755" s="13"/>
    </row>
    <row r="41756">
      <c r="L41756" s="13"/>
      <c r="M41756" s="14"/>
      <c r="N41756" s="14"/>
      <c r="O41756" s="14"/>
      <c r="P41756" s="13"/>
    </row>
    <row r="41757">
      <c r="L41757" s="13"/>
      <c r="M41757" s="14"/>
      <c r="N41757" s="14"/>
      <c r="O41757" s="14"/>
      <c r="P41757" s="13"/>
    </row>
    <row r="41758">
      <c r="L41758" s="13"/>
      <c r="M41758" s="14"/>
      <c r="N41758" s="14"/>
      <c r="O41758" s="14"/>
      <c r="P41758" s="13"/>
    </row>
    <row r="41759">
      <c r="L41759" s="13"/>
      <c r="M41759" s="14"/>
      <c r="N41759" s="14"/>
      <c r="O41759" s="14"/>
      <c r="P41759" s="13"/>
    </row>
    <row r="41760">
      <c r="L41760" s="13"/>
      <c r="M41760" s="14"/>
      <c r="N41760" s="14"/>
      <c r="O41760" s="14"/>
      <c r="P41760" s="13"/>
    </row>
    <row r="41761">
      <c r="L41761" s="13"/>
      <c r="M41761" s="14"/>
      <c r="N41761" s="14"/>
      <c r="O41761" s="14"/>
      <c r="P41761" s="13"/>
    </row>
    <row r="41762">
      <c r="L41762" s="13"/>
      <c r="M41762" s="14"/>
      <c r="N41762" s="14"/>
      <c r="O41762" s="14"/>
      <c r="P41762" s="13"/>
    </row>
    <row r="41763">
      <c r="L41763" s="13"/>
      <c r="M41763" s="14"/>
      <c r="N41763" s="14"/>
      <c r="O41763" s="14"/>
      <c r="P41763" s="13"/>
    </row>
    <row r="41764">
      <c r="L41764" s="13"/>
      <c r="M41764" s="14"/>
      <c r="N41764" s="14"/>
      <c r="O41764" s="14"/>
      <c r="P41764" s="13"/>
    </row>
    <row r="41765">
      <c r="L41765" s="13"/>
      <c r="M41765" s="14"/>
      <c r="N41765" s="14"/>
      <c r="O41765" s="14"/>
      <c r="P41765" s="13"/>
    </row>
    <row r="41766">
      <c r="L41766" s="13"/>
      <c r="M41766" s="14"/>
      <c r="N41766" s="14"/>
      <c r="O41766" s="14"/>
      <c r="P41766" s="13"/>
    </row>
    <row r="41767">
      <c r="L41767" s="13"/>
      <c r="M41767" s="14"/>
      <c r="N41767" s="14"/>
      <c r="O41767" s="14"/>
      <c r="P41767" s="13"/>
    </row>
    <row r="41768">
      <c r="L41768" s="13"/>
      <c r="M41768" s="14"/>
      <c r="N41768" s="14"/>
      <c r="O41768" s="14"/>
      <c r="P41768" s="13"/>
    </row>
    <row r="41769">
      <c r="L41769" s="13"/>
      <c r="M41769" s="14"/>
      <c r="N41769" s="14"/>
      <c r="O41769" s="14"/>
      <c r="P41769" s="13"/>
    </row>
    <row r="41770">
      <c r="L41770" s="13"/>
      <c r="M41770" s="14"/>
      <c r="N41770" s="14"/>
      <c r="O41770" s="14"/>
      <c r="P41770" s="13"/>
    </row>
    <row r="41771">
      <c r="L41771" s="13"/>
      <c r="M41771" s="14"/>
      <c r="N41771" s="14"/>
      <c r="O41771" s="14"/>
      <c r="P41771" s="13"/>
    </row>
    <row r="41772">
      <c r="L41772" s="13"/>
      <c r="M41772" s="14"/>
      <c r="N41772" s="14"/>
      <c r="O41772" s="14"/>
      <c r="P41772" s="13"/>
    </row>
    <row r="41773">
      <c r="L41773" s="13"/>
      <c r="M41773" s="14"/>
      <c r="N41773" s="14"/>
      <c r="O41773" s="14"/>
      <c r="P41773" s="13"/>
    </row>
    <row r="41774">
      <c r="L41774" s="13"/>
      <c r="M41774" s="14"/>
      <c r="N41774" s="14"/>
      <c r="O41774" s="14"/>
      <c r="P41774" s="13"/>
    </row>
    <row r="41775">
      <c r="L41775" s="13"/>
      <c r="M41775" s="14"/>
      <c r="N41775" s="14"/>
      <c r="O41775" s="14"/>
      <c r="P41775" s="13"/>
    </row>
    <row r="41776">
      <c r="L41776" s="13"/>
      <c r="M41776" s="14"/>
      <c r="N41776" s="14"/>
      <c r="O41776" s="14"/>
      <c r="P41776" s="13"/>
    </row>
    <row r="41777">
      <c r="L41777" s="13"/>
      <c r="M41777" s="14"/>
      <c r="N41777" s="14"/>
      <c r="O41777" s="14"/>
      <c r="P41777" s="13"/>
    </row>
    <row r="41778">
      <c r="L41778" s="13"/>
      <c r="M41778" s="14"/>
      <c r="N41778" s="14"/>
      <c r="O41778" s="14"/>
      <c r="P41778" s="13"/>
    </row>
    <row r="41779">
      <c r="L41779" s="13"/>
      <c r="M41779" s="14"/>
      <c r="N41779" s="14"/>
      <c r="O41779" s="14"/>
      <c r="P41779" s="13"/>
    </row>
    <row r="41780">
      <c r="L41780" s="13"/>
      <c r="M41780" s="14"/>
      <c r="N41780" s="14"/>
      <c r="O41780" s="14"/>
      <c r="P41780" s="13"/>
    </row>
    <row r="41781">
      <c r="L41781" s="13"/>
      <c r="M41781" s="14"/>
      <c r="N41781" s="14"/>
      <c r="O41781" s="14"/>
      <c r="P41781" s="13"/>
    </row>
    <row r="41782">
      <c r="L41782" s="13"/>
      <c r="M41782" s="14"/>
      <c r="N41782" s="14"/>
      <c r="O41782" s="14"/>
      <c r="P41782" s="13"/>
    </row>
    <row r="41783">
      <c r="L41783" s="13"/>
      <c r="M41783" s="14"/>
      <c r="N41783" s="14"/>
      <c r="O41783" s="14"/>
      <c r="P41783" s="13"/>
    </row>
    <row r="41784">
      <c r="L41784" s="13"/>
      <c r="M41784" s="14"/>
      <c r="N41784" s="14"/>
      <c r="O41784" s="14"/>
      <c r="P41784" s="13"/>
    </row>
    <row r="41785">
      <c r="L41785" s="13"/>
      <c r="M41785" s="14"/>
      <c r="N41785" s="14"/>
      <c r="O41785" s="14"/>
      <c r="P41785" s="13"/>
    </row>
    <row r="41786">
      <c r="L41786" s="13"/>
      <c r="M41786" s="14"/>
      <c r="N41786" s="14"/>
      <c r="O41786" s="14"/>
      <c r="P41786" s="13"/>
    </row>
    <row r="41787">
      <c r="L41787" s="13"/>
      <c r="M41787" s="14"/>
      <c r="N41787" s="14"/>
      <c r="O41787" s="14"/>
      <c r="P41787" s="13"/>
    </row>
    <row r="41788">
      <c r="L41788" s="13"/>
      <c r="M41788" s="14"/>
      <c r="N41788" s="14"/>
      <c r="O41788" s="14"/>
      <c r="P41788" s="13"/>
    </row>
    <row r="41789">
      <c r="L41789" s="13"/>
      <c r="M41789" s="14"/>
      <c r="N41789" s="14"/>
      <c r="O41789" s="14"/>
      <c r="P41789" s="13"/>
    </row>
    <row r="41790">
      <c r="L41790" s="13"/>
      <c r="M41790" s="14"/>
      <c r="N41790" s="14"/>
      <c r="O41790" s="14"/>
      <c r="P41790" s="13"/>
    </row>
    <row r="41791">
      <c r="L41791" s="13"/>
      <c r="M41791" s="14"/>
      <c r="N41791" s="14"/>
      <c r="O41791" s="14"/>
      <c r="P41791" s="13"/>
    </row>
    <row r="41792">
      <c r="L41792" s="13"/>
      <c r="M41792" s="14"/>
      <c r="N41792" s="14"/>
      <c r="O41792" s="14"/>
      <c r="P41792" s="13"/>
    </row>
    <row r="41793">
      <c r="L41793" s="13"/>
      <c r="M41793" s="14"/>
      <c r="N41793" s="14"/>
      <c r="O41793" s="14"/>
      <c r="P41793" s="13"/>
    </row>
    <row r="41794">
      <c r="L41794" s="13"/>
      <c r="M41794" s="14"/>
      <c r="N41794" s="14"/>
      <c r="O41794" s="14"/>
      <c r="P41794" s="13"/>
    </row>
    <row r="41795">
      <c r="L41795" s="13"/>
      <c r="M41795" s="14"/>
      <c r="N41795" s="14"/>
      <c r="O41795" s="14"/>
      <c r="P41795" s="13"/>
    </row>
    <row r="41796">
      <c r="L41796" s="13"/>
      <c r="M41796" s="14"/>
      <c r="N41796" s="14"/>
      <c r="O41796" s="14"/>
      <c r="P41796" s="13"/>
    </row>
    <row r="41797">
      <c r="L41797" s="13"/>
      <c r="M41797" s="14"/>
      <c r="N41797" s="14"/>
      <c r="O41797" s="14"/>
      <c r="P41797" s="13"/>
    </row>
    <row r="41798">
      <c r="L41798" s="13"/>
      <c r="M41798" s="14"/>
      <c r="N41798" s="14"/>
      <c r="O41798" s="14"/>
      <c r="P41798" s="13"/>
    </row>
    <row r="41799">
      <c r="L41799" s="13"/>
      <c r="M41799" s="14"/>
      <c r="N41799" s="14"/>
      <c r="O41799" s="14"/>
      <c r="P41799" s="13"/>
    </row>
    <row r="41800">
      <c r="L41800" s="13"/>
      <c r="M41800" s="14"/>
      <c r="N41800" s="14"/>
      <c r="O41800" s="14"/>
      <c r="P41800" s="13"/>
    </row>
    <row r="41801">
      <c r="L41801" s="13"/>
      <c r="M41801" s="14"/>
      <c r="N41801" s="14"/>
      <c r="O41801" s="14"/>
      <c r="P41801" s="13"/>
    </row>
    <row r="41802">
      <c r="L41802" s="13"/>
      <c r="M41802" s="14"/>
      <c r="N41802" s="14"/>
      <c r="O41802" s="14"/>
      <c r="P41802" s="13"/>
    </row>
    <row r="41803">
      <c r="L41803" s="13"/>
      <c r="M41803" s="14"/>
      <c r="N41803" s="14"/>
      <c r="O41803" s="14"/>
      <c r="P41803" s="13"/>
    </row>
    <row r="41804">
      <c r="L41804" s="13"/>
      <c r="M41804" s="14"/>
      <c r="N41804" s="14"/>
      <c r="O41804" s="14"/>
      <c r="P41804" s="13"/>
    </row>
    <row r="41805">
      <c r="L41805" s="13"/>
      <c r="M41805" s="14"/>
      <c r="N41805" s="14"/>
      <c r="O41805" s="14"/>
      <c r="P41805" s="13"/>
    </row>
    <row r="41806">
      <c r="L41806" s="13"/>
      <c r="M41806" s="14"/>
      <c r="N41806" s="14"/>
      <c r="O41806" s="14"/>
      <c r="P41806" s="13"/>
    </row>
    <row r="41807">
      <c r="L41807" s="13"/>
      <c r="M41807" s="14"/>
      <c r="N41807" s="14"/>
      <c r="O41807" s="14"/>
      <c r="P41807" s="13"/>
    </row>
    <row r="41808">
      <c r="L41808" s="13"/>
      <c r="M41808" s="14"/>
      <c r="N41808" s="14"/>
      <c r="O41808" s="14"/>
      <c r="P41808" s="13"/>
    </row>
    <row r="41809">
      <c r="L41809" s="13"/>
      <c r="M41809" s="14"/>
      <c r="N41809" s="14"/>
      <c r="O41809" s="14"/>
      <c r="P41809" s="13"/>
    </row>
    <row r="41810">
      <c r="L41810" s="13"/>
      <c r="M41810" s="14"/>
      <c r="N41810" s="14"/>
      <c r="O41810" s="14"/>
      <c r="P41810" s="13"/>
    </row>
    <row r="41811">
      <c r="L41811" s="13"/>
      <c r="M41811" s="14"/>
      <c r="N41811" s="14"/>
      <c r="O41811" s="14"/>
      <c r="P41811" s="13"/>
    </row>
    <row r="41812">
      <c r="L41812" s="13"/>
      <c r="M41812" s="14"/>
      <c r="N41812" s="14"/>
      <c r="O41812" s="14"/>
      <c r="P41812" s="13"/>
    </row>
    <row r="41813">
      <c r="L41813" s="13"/>
      <c r="M41813" s="14"/>
      <c r="N41813" s="14"/>
      <c r="O41813" s="14"/>
      <c r="P41813" s="13"/>
    </row>
    <row r="41814">
      <c r="L41814" s="13"/>
      <c r="M41814" s="14"/>
      <c r="N41814" s="14"/>
      <c r="O41814" s="14"/>
      <c r="P41814" s="13"/>
    </row>
    <row r="41815">
      <c r="L41815" s="13"/>
      <c r="M41815" s="14"/>
      <c r="N41815" s="14"/>
      <c r="O41815" s="14"/>
      <c r="P41815" s="13"/>
    </row>
    <row r="41816">
      <c r="L41816" s="13"/>
      <c r="M41816" s="14"/>
      <c r="N41816" s="14"/>
      <c r="O41816" s="14"/>
      <c r="P41816" s="13"/>
    </row>
    <row r="41817">
      <c r="L41817" s="13"/>
      <c r="M41817" s="14"/>
      <c r="N41817" s="14"/>
      <c r="O41817" s="14"/>
      <c r="P41817" s="13"/>
    </row>
    <row r="41818">
      <c r="L41818" s="13"/>
      <c r="M41818" s="14"/>
      <c r="N41818" s="14"/>
      <c r="O41818" s="14"/>
      <c r="P41818" s="13"/>
    </row>
    <row r="41819">
      <c r="L41819" s="13"/>
      <c r="M41819" s="14"/>
      <c r="N41819" s="14"/>
      <c r="O41819" s="14"/>
      <c r="P41819" s="13"/>
    </row>
    <row r="41820">
      <c r="L41820" s="13"/>
      <c r="M41820" s="14"/>
      <c r="N41820" s="14"/>
      <c r="O41820" s="14"/>
      <c r="P41820" s="13"/>
    </row>
    <row r="41821">
      <c r="L41821" s="13"/>
      <c r="M41821" s="14"/>
      <c r="N41821" s="14"/>
      <c r="O41821" s="14"/>
      <c r="P41821" s="13"/>
    </row>
    <row r="41822">
      <c r="L41822" s="13"/>
      <c r="M41822" s="14"/>
      <c r="N41822" s="14"/>
      <c r="O41822" s="14"/>
      <c r="P41822" s="13"/>
    </row>
    <row r="41823">
      <c r="L41823" s="13"/>
      <c r="M41823" s="14"/>
      <c r="N41823" s="14"/>
      <c r="O41823" s="14"/>
      <c r="P41823" s="13"/>
    </row>
    <row r="41824">
      <c r="L41824" s="13"/>
      <c r="M41824" s="14"/>
      <c r="N41824" s="14"/>
      <c r="O41824" s="14"/>
      <c r="P41824" s="13"/>
    </row>
    <row r="41825">
      <c r="L41825" s="13"/>
      <c r="M41825" s="14"/>
      <c r="N41825" s="14"/>
      <c r="O41825" s="14"/>
      <c r="P41825" s="13"/>
    </row>
    <row r="41826">
      <c r="L41826" s="13"/>
      <c r="M41826" s="14"/>
      <c r="N41826" s="14"/>
      <c r="O41826" s="14"/>
      <c r="P41826" s="13"/>
    </row>
    <row r="41827">
      <c r="L41827" s="13"/>
      <c r="M41827" s="14"/>
      <c r="N41827" s="14"/>
      <c r="O41827" s="14"/>
      <c r="P41827" s="13"/>
    </row>
    <row r="41828">
      <c r="L41828" s="13"/>
      <c r="M41828" s="14"/>
      <c r="N41828" s="14"/>
      <c r="O41828" s="14"/>
      <c r="P41828" s="13"/>
    </row>
    <row r="41829">
      <c r="L41829" s="13"/>
      <c r="M41829" s="14"/>
      <c r="N41829" s="14"/>
      <c r="O41829" s="14"/>
      <c r="P41829" s="13"/>
    </row>
    <row r="41830">
      <c r="L41830" s="13"/>
      <c r="M41830" s="14"/>
      <c r="N41830" s="14"/>
      <c r="O41830" s="14"/>
      <c r="P41830" s="13"/>
    </row>
    <row r="41831">
      <c r="L41831" s="13"/>
      <c r="M41831" s="14"/>
      <c r="N41831" s="14"/>
      <c r="O41831" s="14"/>
      <c r="P41831" s="13"/>
    </row>
    <row r="41832">
      <c r="L41832" s="13"/>
      <c r="M41832" s="14"/>
      <c r="N41832" s="14"/>
      <c r="O41832" s="14"/>
      <c r="P41832" s="13"/>
    </row>
    <row r="41833">
      <c r="L41833" s="13"/>
      <c r="M41833" s="14"/>
      <c r="N41833" s="14"/>
      <c r="O41833" s="14"/>
      <c r="P41833" s="13"/>
    </row>
    <row r="41834">
      <c r="L41834" s="13"/>
      <c r="M41834" s="14"/>
      <c r="N41834" s="14"/>
      <c r="O41834" s="14"/>
      <c r="P41834" s="13"/>
    </row>
    <row r="41835">
      <c r="L41835" s="13"/>
      <c r="M41835" s="14"/>
      <c r="N41835" s="14"/>
      <c r="O41835" s="14"/>
      <c r="P41835" s="13"/>
    </row>
    <row r="41836">
      <c r="L41836" s="13"/>
      <c r="M41836" s="14"/>
      <c r="N41836" s="14"/>
      <c r="O41836" s="14"/>
      <c r="P41836" s="13"/>
    </row>
    <row r="41837">
      <c r="L41837" s="13"/>
      <c r="M41837" s="14"/>
      <c r="N41837" s="14"/>
      <c r="O41837" s="14"/>
      <c r="P41837" s="13"/>
    </row>
    <row r="41838">
      <c r="L41838" s="13"/>
      <c r="M41838" s="14"/>
      <c r="N41838" s="14"/>
      <c r="O41838" s="14"/>
      <c r="P41838" s="13"/>
    </row>
    <row r="41839">
      <c r="L41839" s="13"/>
      <c r="M41839" s="14"/>
      <c r="N41839" s="14"/>
      <c r="O41839" s="14"/>
      <c r="P41839" s="13"/>
    </row>
    <row r="41840">
      <c r="L41840" s="13"/>
      <c r="M41840" s="14"/>
      <c r="N41840" s="14"/>
      <c r="O41840" s="14"/>
      <c r="P41840" s="13"/>
    </row>
    <row r="41841">
      <c r="L41841" s="13"/>
      <c r="M41841" s="14"/>
      <c r="N41841" s="14"/>
      <c r="O41841" s="14"/>
      <c r="P41841" s="13"/>
    </row>
    <row r="41842">
      <c r="L41842" s="13"/>
      <c r="M41842" s="14"/>
      <c r="N41842" s="14"/>
      <c r="O41842" s="14"/>
      <c r="P41842" s="13"/>
    </row>
    <row r="41843">
      <c r="L41843" s="13"/>
      <c r="M41843" s="14"/>
      <c r="N41843" s="14"/>
      <c r="O41843" s="14"/>
      <c r="P41843" s="13"/>
    </row>
    <row r="41844">
      <c r="L41844" s="13"/>
      <c r="M41844" s="14"/>
      <c r="N41844" s="14"/>
      <c r="O41844" s="14"/>
      <c r="P41844" s="13"/>
    </row>
    <row r="41845">
      <c r="L41845" s="13"/>
      <c r="M41845" s="14"/>
      <c r="N41845" s="14"/>
      <c r="O41845" s="14"/>
      <c r="P41845" s="13"/>
    </row>
    <row r="41846">
      <c r="L41846" s="13"/>
      <c r="M41846" s="14"/>
      <c r="N41846" s="14"/>
      <c r="O41846" s="14"/>
      <c r="P41846" s="13"/>
    </row>
    <row r="41847">
      <c r="L41847" s="13"/>
      <c r="M41847" s="14"/>
      <c r="N41847" s="14"/>
      <c r="O41847" s="14"/>
      <c r="P41847" s="13"/>
    </row>
    <row r="41848">
      <c r="L41848" s="13"/>
      <c r="M41848" s="14"/>
      <c r="N41848" s="14"/>
      <c r="O41848" s="14"/>
      <c r="P41848" s="13"/>
    </row>
    <row r="41849">
      <c r="L41849" s="13"/>
      <c r="M41849" s="14"/>
      <c r="N41849" s="14"/>
      <c r="O41849" s="14"/>
      <c r="P41849" s="13"/>
    </row>
    <row r="41850">
      <c r="L41850" s="13"/>
      <c r="M41850" s="14"/>
      <c r="N41850" s="14"/>
      <c r="O41850" s="14"/>
      <c r="P41850" s="13"/>
    </row>
    <row r="41851">
      <c r="L41851" s="13"/>
      <c r="M41851" s="14"/>
      <c r="N41851" s="14"/>
      <c r="O41851" s="14"/>
      <c r="P41851" s="13"/>
    </row>
    <row r="41852">
      <c r="L41852" s="13"/>
      <c r="M41852" s="14"/>
      <c r="N41852" s="14"/>
      <c r="O41852" s="14"/>
      <c r="P41852" s="13"/>
    </row>
    <row r="41853">
      <c r="L41853" s="13"/>
      <c r="M41853" s="14"/>
      <c r="N41853" s="14"/>
      <c r="O41853" s="14"/>
      <c r="P41853" s="13"/>
    </row>
    <row r="41854">
      <c r="L41854" s="13"/>
      <c r="M41854" s="14"/>
      <c r="N41854" s="14"/>
      <c r="O41854" s="14"/>
      <c r="P41854" s="13"/>
    </row>
    <row r="41855">
      <c r="L41855" s="13"/>
      <c r="M41855" s="14"/>
      <c r="N41855" s="14"/>
      <c r="O41855" s="14"/>
      <c r="P41855" s="13"/>
    </row>
    <row r="41856">
      <c r="L41856" s="13"/>
      <c r="M41856" s="14"/>
      <c r="N41856" s="14"/>
      <c r="O41856" s="14"/>
      <c r="P41856" s="13"/>
    </row>
    <row r="41857">
      <c r="L41857" s="13"/>
      <c r="M41857" s="14"/>
      <c r="N41857" s="14"/>
      <c r="O41857" s="14"/>
      <c r="P41857" s="13"/>
    </row>
    <row r="41858">
      <c r="L41858" s="13"/>
      <c r="M41858" s="14"/>
      <c r="N41858" s="14"/>
      <c r="O41858" s="14"/>
      <c r="P41858" s="13"/>
    </row>
    <row r="41859">
      <c r="L41859" s="13"/>
      <c r="M41859" s="14"/>
      <c r="N41859" s="14"/>
      <c r="O41859" s="14"/>
      <c r="P41859" s="13"/>
    </row>
    <row r="41860">
      <c r="L41860" s="13"/>
      <c r="M41860" s="14"/>
      <c r="N41860" s="14"/>
      <c r="O41860" s="14"/>
      <c r="P41860" s="13"/>
    </row>
    <row r="41861">
      <c r="L41861" s="13"/>
      <c r="M41861" s="14"/>
      <c r="N41861" s="14"/>
      <c r="O41861" s="14"/>
      <c r="P41861" s="13"/>
    </row>
    <row r="41862">
      <c r="L41862" s="13"/>
      <c r="M41862" s="14"/>
      <c r="N41862" s="14"/>
      <c r="O41862" s="14"/>
      <c r="P41862" s="13"/>
    </row>
    <row r="41863">
      <c r="L41863" s="13"/>
      <c r="M41863" s="14"/>
      <c r="N41863" s="14"/>
      <c r="O41863" s="14"/>
      <c r="P41863" s="13"/>
    </row>
    <row r="41864">
      <c r="L41864" s="13"/>
      <c r="M41864" s="14"/>
      <c r="N41864" s="14"/>
      <c r="O41864" s="14"/>
      <c r="P41864" s="13"/>
    </row>
    <row r="41865">
      <c r="L41865" s="13"/>
      <c r="M41865" s="14"/>
      <c r="N41865" s="14"/>
      <c r="O41865" s="14"/>
      <c r="P41865" s="13"/>
    </row>
    <row r="41866">
      <c r="L41866" s="13"/>
      <c r="M41866" s="14"/>
      <c r="N41866" s="14"/>
      <c r="O41866" s="14"/>
      <c r="P41866" s="13"/>
    </row>
    <row r="41867">
      <c r="L41867" s="13"/>
      <c r="M41867" s="14"/>
      <c r="N41867" s="14"/>
      <c r="O41867" s="14"/>
      <c r="P41867" s="13"/>
    </row>
    <row r="41868">
      <c r="L41868" s="13"/>
      <c r="M41868" s="14"/>
      <c r="N41868" s="14"/>
      <c r="O41868" s="14"/>
      <c r="P41868" s="13"/>
    </row>
    <row r="41869">
      <c r="L41869" s="13"/>
      <c r="M41869" s="14"/>
      <c r="N41869" s="14"/>
      <c r="O41869" s="14"/>
      <c r="P41869" s="13"/>
    </row>
    <row r="41870">
      <c r="L41870" s="13"/>
      <c r="M41870" s="14"/>
      <c r="N41870" s="14"/>
      <c r="O41870" s="14"/>
      <c r="P41870" s="13"/>
    </row>
    <row r="41871">
      <c r="L41871" s="13"/>
      <c r="M41871" s="14"/>
      <c r="N41871" s="14"/>
      <c r="O41871" s="14"/>
      <c r="P41871" s="13"/>
    </row>
    <row r="41872">
      <c r="L41872" s="13"/>
      <c r="M41872" s="14"/>
      <c r="N41872" s="14"/>
      <c r="O41872" s="14"/>
      <c r="P41872" s="13"/>
    </row>
    <row r="41873">
      <c r="L41873" s="13"/>
      <c r="M41873" s="14"/>
      <c r="N41873" s="14"/>
      <c r="O41873" s="14"/>
      <c r="P41873" s="13"/>
    </row>
    <row r="41874">
      <c r="L41874" s="13"/>
      <c r="M41874" s="14"/>
      <c r="N41874" s="14"/>
      <c r="O41874" s="14"/>
      <c r="P41874" s="13"/>
    </row>
    <row r="41875">
      <c r="L41875" s="13"/>
      <c r="M41875" s="14"/>
      <c r="N41875" s="14"/>
      <c r="O41875" s="14"/>
      <c r="P41875" s="13"/>
    </row>
    <row r="41876">
      <c r="L41876" s="13"/>
      <c r="M41876" s="14"/>
      <c r="N41876" s="14"/>
      <c r="O41876" s="14"/>
      <c r="P41876" s="13"/>
    </row>
    <row r="41877">
      <c r="L41877" s="13"/>
      <c r="M41877" s="14"/>
      <c r="N41877" s="14"/>
      <c r="O41877" s="14"/>
      <c r="P41877" s="13"/>
    </row>
    <row r="41878">
      <c r="L41878" s="13"/>
      <c r="M41878" s="14"/>
      <c r="N41878" s="14"/>
      <c r="O41878" s="14"/>
      <c r="P41878" s="13"/>
    </row>
    <row r="41879">
      <c r="L41879" s="13"/>
      <c r="M41879" s="14"/>
      <c r="N41879" s="14"/>
      <c r="O41879" s="14"/>
      <c r="P41879" s="13"/>
    </row>
    <row r="41880">
      <c r="L41880" s="13"/>
      <c r="M41880" s="14"/>
      <c r="N41880" s="14"/>
      <c r="O41880" s="14"/>
      <c r="P41880" s="13"/>
    </row>
    <row r="41881">
      <c r="L41881" s="13"/>
      <c r="M41881" s="14"/>
      <c r="N41881" s="14"/>
      <c r="O41881" s="14"/>
      <c r="P41881" s="13"/>
    </row>
    <row r="41882">
      <c r="L41882" s="13"/>
      <c r="M41882" s="14"/>
      <c r="N41882" s="14"/>
      <c r="O41882" s="14"/>
      <c r="P41882" s="13"/>
    </row>
    <row r="41883">
      <c r="L41883" s="13"/>
      <c r="M41883" s="14"/>
      <c r="N41883" s="14"/>
      <c r="O41883" s="14"/>
      <c r="P41883" s="13"/>
    </row>
    <row r="41884">
      <c r="L41884" s="13"/>
      <c r="M41884" s="14"/>
      <c r="N41884" s="14"/>
      <c r="O41884" s="14"/>
      <c r="P41884" s="13"/>
    </row>
    <row r="41885">
      <c r="L41885" s="13"/>
      <c r="M41885" s="14"/>
      <c r="N41885" s="14"/>
      <c r="O41885" s="14"/>
      <c r="P41885" s="13"/>
    </row>
    <row r="41886">
      <c r="L41886" s="13"/>
      <c r="M41886" s="14"/>
      <c r="N41886" s="14"/>
      <c r="O41886" s="14"/>
      <c r="P41886" s="13"/>
    </row>
    <row r="41887">
      <c r="L41887" s="13"/>
      <c r="M41887" s="14"/>
      <c r="N41887" s="14"/>
      <c r="O41887" s="14"/>
      <c r="P41887" s="13"/>
    </row>
    <row r="41888">
      <c r="L41888" s="13"/>
      <c r="M41888" s="14"/>
      <c r="N41888" s="14"/>
      <c r="O41888" s="14"/>
      <c r="P41888" s="13"/>
    </row>
    <row r="41889">
      <c r="L41889" s="13"/>
      <c r="M41889" s="14"/>
      <c r="N41889" s="14"/>
      <c r="O41889" s="14"/>
      <c r="P41889" s="13"/>
    </row>
    <row r="41890">
      <c r="L41890" s="13"/>
      <c r="M41890" s="14"/>
      <c r="N41890" s="14"/>
      <c r="O41890" s="14"/>
      <c r="P41890" s="13"/>
    </row>
    <row r="41891">
      <c r="L41891" s="13"/>
      <c r="M41891" s="14"/>
      <c r="N41891" s="14"/>
      <c r="O41891" s="14"/>
      <c r="P41891" s="13"/>
    </row>
    <row r="41892">
      <c r="L41892" s="13"/>
      <c r="M41892" s="14"/>
      <c r="N41892" s="14"/>
      <c r="O41892" s="14"/>
      <c r="P41892" s="13"/>
    </row>
    <row r="41893">
      <c r="L41893" s="13"/>
      <c r="M41893" s="14"/>
      <c r="N41893" s="14"/>
      <c r="O41893" s="14"/>
      <c r="P41893" s="13"/>
    </row>
    <row r="41894">
      <c r="L41894" s="13"/>
      <c r="M41894" s="14"/>
      <c r="N41894" s="14"/>
      <c r="O41894" s="14"/>
      <c r="P41894" s="13"/>
    </row>
    <row r="41895">
      <c r="L41895" s="13"/>
      <c r="M41895" s="14"/>
      <c r="N41895" s="14"/>
      <c r="O41895" s="14"/>
      <c r="P41895" s="13"/>
    </row>
    <row r="41896">
      <c r="L41896" s="13"/>
      <c r="M41896" s="14"/>
      <c r="N41896" s="14"/>
      <c r="O41896" s="14"/>
      <c r="P41896" s="13"/>
    </row>
    <row r="41897">
      <c r="L41897" s="13"/>
      <c r="M41897" s="14"/>
      <c r="N41897" s="14"/>
      <c r="O41897" s="14"/>
      <c r="P41897" s="13"/>
    </row>
    <row r="41898">
      <c r="L41898" s="13"/>
      <c r="M41898" s="14"/>
      <c r="N41898" s="14"/>
      <c r="O41898" s="14"/>
      <c r="P41898" s="13"/>
    </row>
    <row r="41899">
      <c r="L41899" s="13"/>
      <c r="M41899" s="14"/>
      <c r="N41899" s="14"/>
      <c r="O41899" s="14"/>
      <c r="P41899" s="13"/>
    </row>
    <row r="41900">
      <c r="L41900" s="13"/>
      <c r="M41900" s="14"/>
      <c r="N41900" s="14"/>
      <c r="O41900" s="14"/>
      <c r="P41900" s="13"/>
    </row>
    <row r="41901">
      <c r="L41901" s="13"/>
      <c r="M41901" s="14"/>
      <c r="N41901" s="14"/>
      <c r="O41901" s="14"/>
      <c r="P41901" s="13"/>
    </row>
    <row r="41902">
      <c r="L41902" s="13"/>
      <c r="M41902" s="14"/>
      <c r="N41902" s="14"/>
      <c r="O41902" s="14"/>
      <c r="P41902" s="13"/>
    </row>
    <row r="41903">
      <c r="L41903" s="13"/>
      <c r="M41903" s="14"/>
      <c r="N41903" s="14"/>
      <c r="O41903" s="14"/>
      <c r="P41903" s="13"/>
    </row>
    <row r="41904">
      <c r="L41904" s="13"/>
      <c r="M41904" s="14"/>
      <c r="N41904" s="14"/>
      <c r="O41904" s="14"/>
      <c r="P41904" s="13"/>
    </row>
    <row r="41905">
      <c r="L41905" s="13"/>
      <c r="M41905" s="14"/>
      <c r="N41905" s="14"/>
      <c r="O41905" s="14"/>
      <c r="P41905" s="13"/>
    </row>
    <row r="41906">
      <c r="L41906" s="13"/>
      <c r="M41906" s="14"/>
      <c r="N41906" s="14"/>
      <c r="O41906" s="14"/>
      <c r="P41906" s="13"/>
    </row>
    <row r="41907">
      <c r="L41907" s="13"/>
      <c r="M41907" s="14"/>
      <c r="N41907" s="14"/>
      <c r="O41907" s="14"/>
      <c r="P41907" s="13"/>
    </row>
    <row r="41908">
      <c r="L41908" s="13"/>
      <c r="M41908" s="14"/>
      <c r="N41908" s="14"/>
      <c r="O41908" s="14"/>
      <c r="P41908" s="13"/>
    </row>
    <row r="41909">
      <c r="L41909" s="13"/>
      <c r="M41909" s="14"/>
      <c r="N41909" s="14"/>
      <c r="O41909" s="14"/>
      <c r="P41909" s="13"/>
    </row>
    <row r="41910">
      <c r="L41910" s="13"/>
      <c r="M41910" s="14"/>
      <c r="N41910" s="14"/>
      <c r="O41910" s="14"/>
      <c r="P41910" s="13"/>
    </row>
    <row r="41911">
      <c r="L41911" s="13"/>
      <c r="M41911" s="14"/>
      <c r="N41911" s="14"/>
      <c r="O41911" s="14"/>
      <c r="P41911" s="13"/>
    </row>
    <row r="41912">
      <c r="L41912" s="13"/>
      <c r="M41912" s="14"/>
      <c r="N41912" s="14"/>
      <c r="O41912" s="14"/>
      <c r="P41912" s="13"/>
    </row>
    <row r="41913">
      <c r="L41913" s="13"/>
      <c r="M41913" s="14"/>
      <c r="N41913" s="14"/>
      <c r="O41913" s="14"/>
      <c r="P41913" s="13"/>
    </row>
    <row r="41914">
      <c r="L41914" s="13"/>
      <c r="M41914" s="14"/>
      <c r="N41914" s="14"/>
      <c r="O41914" s="14"/>
      <c r="P41914" s="13"/>
    </row>
    <row r="41915">
      <c r="L41915" s="13"/>
      <c r="M41915" s="14"/>
      <c r="N41915" s="14"/>
      <c r="O41915" s="14"/>
      <c r="P41915" s="13"/>
    </row>
    <row r="41916">
      <c r="L41916" s="13"/>
      <c r="M41916" s="14"/>
      <c r="N41916" s="14"/>
      <c r="O41916" s="14"/>
      <c r="P41916" s="13"/>
    </row>
    <row r="41917">
      <c r="L41917" s="13"/>
      <c r="M41917" s="14"/>
      <c r="N41917" s="14"/>
      <c r="O41917" s="14"/>
      <c r="P41917" s="13"/>
    </row>
    <row r="41918">
      <c r="L41918" s="13"/>
      <c r="M41918" s="14"/>
      <c r="N41918" s="14"/>
      <c r="O41918" s="14"/>
      <c r="P41918" s="13"/>
    </row>
    <row r="41919">
      <c r="L41919" s="13"/>
      <c r="M41919" s="14"/>
      <c r="N41919" s="14"/>
      <c r="O41919" s="14"/>
      <c r="P41919" s="13"/>
    </row>
    <row r="41920">
      <c r="L41920" s="13"/>
      <c r="M41920" s="14"/>
      <c r="N41920" s="14"/>
      <c r="O41920" s="14"/>
      <c r="P41920" s="13"/>
    </row>
    <row r="41921">
      <c r="L41921" s="13"/>
      <c r="M41921" s="14"/>
      <c r="N41921" s="14"/>
      <c r="O41921" s="14"/>
      <c r="P41921" s="13"/>
    </row>
    <row r="41922">
      <c r="L41922" s="13"/>
      <c r="M41922" s="14"/>
      <c r="N41922" s="14"/>
      <c r="O41922" s="14"/>
      <c r="P41922" s="13"/>
    </row>
    <row r="41923">
      <c r="L41923" s="13"/>
      <c r="M41923" s="14"/>
      <c r="N41923" s="14"/>
      <c r="O41923" s="14"/>
      <c r="P41923" s="13"/>
    </row>
    <row r="41924">
      <c r="L41924" s="13"/>
      <c r="M41924" s="14"/>
      <c r="N41924" s="14"/>
      <c r="O41924" s="14"/>
      <c r="P41924" s="13"/>
    </row>
    <row r="41925">
      <c r="L41925" s="13"/>
      <c r="M41925" s="14"/>
      <c r="N41925" s="14"/>
      <c r="O41925" s="14"/>
      <c r="P41925" s="13"/>
    </row>
    <row r="41926">
      <c r="L41926" s="13"/>
      <c r="M41926" s="14"/>
      <c r="N41926" s="14"/>
      <c r="O41926" s="14"/>
      <c r="P41926" s="13"/>
    </row>
    <row r="41927">
      <c r="L41927" s="13"/>
      <c r="M41927" s="14"/>
      <c r="N41927" s="14"/>
      <c r="O41927" s="14"/>
      <c r="P41927" s="13"/>
    </row>
    <row r="41928">
      <c r="L41928" s="13"/>
      <c r="M41928" s="14"/>
      <c r="N41928" s="14"/>
      <c r="O41928" s="14"/>
      <c r="P41928" s="13"/>
    </row>
    <row r="41929">
      <c r="L41929" s="13"/>
      <c r="M41929" s="14"/>
      <c r="N41929" s="14"/>
      <c r="O41929" s="14"/>
      <c r="P41929" s="13"/>
    </row>
    <row r="41930">
      <c r="L41930" s="13"/>
      <c r="M41930" s="14"/>
      <c r="N41930" s="14"/>
      <c r="O41930" s="14"/>
      <c r="P41930" s="13"/>
    </row>
    <row r="41931">
      <c r="L41931" s="13"/>
      <c r="M41931" s="14"/>
      <c r="N41931" s="14"/>
      <c r="O41931" s="14"/>
      <c r="P41931" s="13"/>
    </row>
    <row r="41932">
      <c r="L41932" s="13"/>
      <c r="M41932" s="14"/>
      <c r="N41932" s="14"/>
      <c r="O41932" s="14"/>
      <c r="P41932" s="13"/>
    </row>
    <row r="41933">
      <c r="L41933" s="13"/>
      <c r="M41933" s="14"/>
      <c r="N41933" s="14"/>
      <c r="O41933" s="14"/>
      <c r="P41933" s="13"/>
    </row>
    <row r="41934">
      <c r="L41934" s="13"/>
      <c r="M41934" s="14"/>
      <c r="N41934" s="14"/>
      <c r="O41934" s="14"/>
      <c r="P41934" s="13"/>
    </row>
    <row r="41935">
      <c r="L41935" s="13"/>
      <c r="M41935" s="14"/>
      <c r="N41935" s="14"/>
      <c r="O41935" s="14"/>
      <c r="P41935" s="13"/>
    </row>
    <row r="41936">
      <c r="L41936" s="13"/>
      <c r="M41936" s="14"/>
      <c r="N41936" s="14"/>
      <c r="O41936" s="14"/>
      <c r="P41936" s="13"/>
    </row>
    <row r="41937">
      <c r="L41937" s="13"/>
      <c r="M41937" s="14"/>
      <c r="N41937" s="14"/>
      <c r="O41937" s="14"/>
      <c r="P41937" s="13"/>
    </row>
    <row r="41938">
      <c r="L41938" s="13"/>
      <c r="M41938" s="14"/>
      <c r="N41938" s="14"/>
      <c r="O41938" s="14"/>
      <c r="P41938" s="13"/>
    </row>
    <row r="41939">
      <c r="L41939" s="13"/>
      <c r="M41939" s="14"/>
      <c r="N41939" s="14"/>
      <c r="O41939" s="14"/>
      <c r="P41939" s="13"/>
    </row>
    <row r="41940">
      <c r="L41940" s="13"/>
      <c r="M41940" s="14"/>
      <c r="N41940" s="14"/>
      <c r="O41940" s="14"/>
      <c r="P41940" s="13"/>
    </row>
    <row r="41941">
      <c r="L41941" s="13"/>
      <c r="M41941" s="14"/>
      <c r="N41941" s="14"/>
      <c r="O41941" s="14"/>
      <c r="P41941" s="13"/>
    </row>
    <row r="41942">
      <c r="L41942" s="13"/>
      <c r="M41942" s="14"/>
      <c r="N41942" s="14"/>
      <c r="O41942" s="14"/>
      <c r="P41942" s="13"/>
    </row>
    <row r="41943">
      <c r="L41943" s="13"/>
      <c r="M41943" s="14"/>
      <c r="N41943" s="14"/>
      <c r="O41943" s="14"/>
      <c r="P41943" s="13"/>
    </row>
    <row r="41944">
      <c r="L41944" s="13"/>
      <c r="M41944" s="14"/>
      <c r="N41944" s="14"/>
      <c r="O41944" s="14"/>
      <c r="P41944" s="13"/>
    </row>
    <row r="41945">
      <c r="L41945" s="13"/>
      <c r="M41945" s="14"/>
      <c r="N41945" s="14"/>
      <c r="O41945" s="14"/>
      <c r="P41945" s="13"/>
    </row>
    <row r="41946">
      <c r="L41946" s="13"/>
      <c r="M41946" s="14"/>
      <c r="N41946" s="14"/>
      <c r="O41946" s="14"/>
      <c r="P41946" s="13"/>
    </row>
    <row r="41947">
      <c r="L41947" s="13"/>
      <c r="M41947" s="14"/>
      <c r="N41947" s="14"/>
      <c r="O41947" s="14"/>
      <c r="P41947" s="13"/>
    </row>
    <row r="41948">
      <c r="L41948" s="13"/>
      <c r="M41948" s="14"/>
      <c r="N41948" s="14"/>
      <c r="O41948" s="14"/>
      <c r="P41948" s="13"/>
    </row>
    <row r="41949">
      <c r="L41949" s="13"/>
      <c r="M41949" s="14"/>
      <c r="N41949" s="14"/>
      <c r="O41949" s="14"/>
      <c r="P41949" s="13"/>
    </row>
    <row r="41950">
      <c r="L41950" s="13"/>
      <c r="M41950" s="14"/>
      <c r="N41950" s="14"/>
      <c r="O41950" s="14"/>
      <c r="P41950" s="13"/>
    </row>
    <row r="41951">
      <c r="L41951" s="13"/>
      <c r="M41951" s="14"/>
      <c r="N41951" s="14"/>
      <c r="O41951" s="14"/>
      <c r="P41951" s="13"/>
    </row>
    <row r="41952">
      <c r="L41952" s="13"/>
      <c r="M41952" s="14"/>
      <c r="N41952" s="14"/>
      <c r="O41952" s="14"/>
      <c r="P41952" s="13"/>
    </row>
    <row r="41953">
      <c r="L41953" s="13"/>
      <c r="M41953" s="14"/>
      <c r="N41953" s="14"/>
      <c r="O41953" s="14"/>
      <c r="P41953" s="13"/>
    </row>
    <row r="41954">
      <c r="L41954" s="13"/>
      <c r="M41954" s="14"/>
      <c r="N41954" s="14"/>
      <c r="O41954" s="14"/>
      <c r="P41954" s="13"/>
    </row>
    <row r="41955">
      <c r="L41955" s="13"/>
      <c r="M41955" s="14"/>
      <c r="N41955" s="14"/>
      <c r="O41955" s="14"/>
      <c r="P41955" s="13"/>
    </row>
    <row r="41956">
      <c r="L41956" s="13"/>
      <c r="M41956" s="14"/>
      <c r="N41956" s="14"/>
      <c r="O41956" s="14"/>
      <c r="P41956" s="13"/>
    </row>
    <row r="41957">
      <c r="L41957" s="13"/>
      <c r="M41957" s="14"/>
      <c r="N41957" s="14"/>
      <c r="O41957" s="14"/>
      <c r="P41957" s="13"/>
    </row>
    <row r="41958">
      <c r="L41958" s="13"/>
      <c r="M41958" s="14"/>
      <c r="N41958" s="14"/>
      <c r="O41958" s="14"/>
      <c r="P41958" s="13"/>
    </row>
    <row r="41959">
      <c r="L41959" s="13"/>
      <c r="M41959" s="14"/>
      <c r="N41959" s="14"/>
      <c r="O41959" s="14"/>
      <c r="P41959" s="13"/>
    </row>
    <row r="41960">
      <c r="L41960" s="13"/>
      <c r="M41960" s="14"/>
      <c r="N41960" s="14"/>
      <c r="O41960" s="14"/>
      <c r="P41960" s="13"/>
    </row>
    <row r="41961">
      <c r="L41961" s="13"/>
      <c r="M41961" s="14"/>
      <c r="N41961" s="14"/>
      <c r="O41961" s="14"/>
      <c r="P41961" s="13"/>
    </row>
    <row r="41962">
      <c r="L41962" s="13"/>
      <c r="M41962" s="14"/>
      <c r="N41962" s="14"/>
      <c r="O41962" s="14"/>
      <c r="P41962" s="13"/>
    </row>
    <row r="41963">
      <c r="L41963" s="13"/>
      <c r="M41963" s="14"/>
      <c r="N41963" s="14"/>
      <c r="O41963" s="14"/>
      <c r="P41963" s="13"/>
    </row>
    <row r="41964">
      <c r="L41964" s="13"/>
      <c r="M41964" s="14"/>
      <c r="N41964" s="14"/>
      <c r="O41964" s="14"/>
      <c r="P41964" s="13"/>
    </row>
    <row r="41965">
      <c r="L41965" s="13"/>
      <c r="M41965" s="14"/>
      <c r="N41965" s="14"/>
      <c r="O41965" s="14"/>
      <c r="P41965" s="13"/>
    </row>
    <row r="41966">
      <c r="L41966" s="13"/>
      <c r="M41966" s="14"/>
      <c r="N41966" s="14"/>
      <c r="O41966" s="14"/>
      <c r="P41966" s="13"/>
    </row>
    <row r="41967">
      <c r="L41967" s="13"/>
      <c r="M41967" s="14"/>
      <c r="N41967" s="14"/>
      <c r="O41967" s="14"/>
      <c r="P41967" s="13"/>
    </row>
    <row r="41968">
      <c r="L41968" s="13"/>
      <c r="M41968" s="14"/>
      <c r="N41968" s="14"/>
      <c r="O41968" s="14"/>
      <c r="P41968" s="13"/>
    </row>
    <row r="41969">
      <c r="L41969" s="13"/>
      <c r="M41969" s="14"/>
      <c r="N41969" s="14"/>
      <c r="O41969" s="14"/>
      <c r="P41969" s="13"/>
    </row>
    <row r="41970">
      <c r="L41970" s="13"/>
      <c r="M41970" s="14"/>
      <c r="N41970" s="14"/>
      <c r="O41970" s="14"/>
      <c r="P41970" s="13"/>
    </row>
    <row r="41971">
      <c r="L41971" s="13"/>
      <c r="M41971" s="14"/>
      <c r="N41971" s="14"/>
      <c r="O41971" s="14"/>
      <c r="P41971" s="13"/>
    </row>
    <row r="41972">
      <c r="L41972" s="13"/>
      <c r="M41972" s="14"/>
      <c r="N41972" s="14"/>
      <c r="O41972" s="14"/>
      <c r="P41972" s="13"/>
    </row>
    <row r="41973">
      <c r="L41973" s="13"/>
      <c r="M41973" s="14"/>
      <c r="N41973" s="14"/>
      <c r="O41973" s="14"/>
      <c r="P41973" s="13"/>
    </row>
    <row r="41974">
      <c r="L41974" s="13"/>
      <c r="M41974" s="14"/>
      <c r="N41974" s="14"/>
      <c r="O41974" s="14"/>
      <c r="P41974" s="13"/>
    </row>
    <row r="41975">
      <c r="L41975" s="13"/>
      <c r="M41975" s="14"/>
      <c r="N41975" s="14"/>
      <c r="O41975" s="14"/>
      <c r="P41975" s="13"/>
    </row>
    <row r="41976">
      <c r="L41976" s="13"/>
      <c r="M41976" s="14"/>
      <c r="N41976" s="14"/>
      <c r="O41976" s="14"/>
      <c r="P41976" s="13"/>
    </row>
    <row r="41977">
      <c r="L41977" s="13"/>
      <c r="M41977" s="14"/>
      <c r="N41977" s="14"/>
      <c r="O41977" s="14"/>
      <c r="P41977" s="13"/>
    </row>
    <row r="41978">
      <c r="L41978" s="13"/>
      <c r="M41978" s="14"/>
      <c r="N41978" s="14"/>
      <c r="O41978" s="14"/>
      <c r="P41978" s="13"/>
    </row>
    <row r="41979">
      <c r="L41979" s="13"/>
      <c r="M41979" s="14"/>
      <c r="N41979" s="14"/>
      <c r="O41979" s="14"/>
      <c r="P41979" s="13"/>
    </row>
    <row r="41980">
      <c r="L41980" s="13"/>
      <c r="M41980" s="14"/>
      <c r="N41980" s="14"/>
      <c r="O41980" s="14"/>
      <c r="P41980" s="13"/>
    </row>
    <row r="41981">
      <c r="L41981" s="13"/>
      <c r="M41981" s="14"/>
      <c r="N41981" s="14"/>
      <c r="O41981" s="14"/>
      <c r="P41981" s="13"/>
    </row>
    <row r="41982">
      <c r="L41982" s="13"/>
      <c r="M41982" s="14"/>
      <c r="N41982" s="14"/>
      <c r="O41982" s="14"/>
      <c r="P41982" s="13"/>
    </row>
    <row r="41983">
      <c r="L41983" s="13"/>
      <c r="M41983" s="14"/>
      <c r="N41983" s="14"/>
      <c r="O41983" s="14"/>
      <c r="P41983" s="13"/>
    </row>
    <row r="41984">
      <c r="L41984" s="13"/>
      <c r="M41984" s="14"/>
      <c r="N41984" s="14"/>
      <c r="O41984" s="14"/>
      <c r="P41984" s="13"/>
    </row>
    <row r="41985">
      <c r="L41985" s="13"/>
      <c r="M41985" s="14"/>
      <c r="N41985" s="14"/>
      <c r="O41985" s="14"/>
      <c r="P41985" s="13"/>
    </row>
    <row r="41986">
      <c r="L41986" s="13"/>
      <c r="M41986" s="14"/>
      <c r="N41986" s="14"/>
      <c r="O41986" s="14"/>
      <c r="P41986" s="13"/>
    </row>
    <row r="41987">
      <c r="L41987" s="13"/>
      <c r="M41987" s="14"/>
      <c r="N41987" s="14"/>
      <c r="O41987" s="14"/>
      <c r="P41987" s="13"/>
    </row>
    <row r="41988">
      <c r="L41988" s="13"/>
      <c r="M41988" s="14"/>
      <c r="N41988" s="14"/>
      <c r="O41988" s="14"/>
      <c r="P41988" s="13"/>
    </row>
    <row r="41989">
      <c r="L41989" s="13"/>
      <c r="M41989" s="14"/>
      <c r="N41989" s="14"/>
      <c r="O41989" s="14"/>
      <c r="P41989" s="13"/>
    </row>
    <row r="41990">
      <c r="L41990" s="13"/>
      <c r="M41990" s="14"/>
      <c r="N41990" s="14"/>
      <c r="O41990" s="14"/>
      <c r="P41990" s="13"/>
    </row>
    <row r="41991">
      <c r="L41991" s="13"/>
      <c r="M41991" s="14"/>
      <c r="N41991" s="14"/>
      <c r="O41991" s="14"/>
      <c r="P41991" s="13"/>
    </row>
    <row r="41992">
      <c r="L41992" s="13"/>
      <c r="M41992" s="14"/>
      <c r="N41992" s="14"/>
      <c r="O41992" s="14"/>
      <c r="P41992" s="13"/>
    </row>
    <row r="41993">
      <c r="L41993" s="13"/>
      <c r="M41993" s="14"/>
      <c r="N41993" s="14"/>
      <c r="O41993" s="14"/>
      <c r="P41993" s="13"/>
    </row>
    <row r="41994">
      <c r="L41994" s="13"/>
      <c r="M41994" s="14"/>
      <c r="N41994" s="14"/>
      <c r="O41994" s="14"/>
      <c r="P41994" s="13"/>
    </row>
    <row r="41995">
      <c r="L41995" s="13"/>
      <c r="M41995" s="14"/>
      <c r="N41995" s="14"/>
      <c r="O41995" s="14"/>
      <c r="P41995" s="13"/>
    </row>
    <row r="41996">
      <c r="L41996" s="13"/>
      <c r="M41996" s="14"/>
      <c r="N41996" s="14"/>
      <c r="O41996" s="14"/>
      <c r="P41996" s="13"/>
    </row>
    <row r="41997">
      <c r="L41997" s="13"/>
      <c r="M41997" s="14"/>
      <c r="N41997" s="14"/>
      <c r="O41997" s="14"/>
      <c r="P41997" s="13"/>
    </row>
    <row r="41998">
      <c r="L41998" s="13"/>
      <c r="M41998" s="14"/>
      <c r="N41998" s="14"/>
      <c r="O41998" s="14"/>
      <c r="P41998" s="13"/>
    </row>
    <row r="41999">
      <c r="L41999" s="13"/>
      <c r="M41999" s="14"/>
      <c r="N41999" s="14"/>
      <c r="O41999" s="14"/>
      <c r="P41999" s="13"/>
    </row>
    <row r="42000">
      <c r="L42000" s="13"/>
      <c r="M42000" s="14"/>
      <c r="N42000" s="14"/>
      <c r="O42000" s="14"/>
      <c r="P42000" s="13"/>
    </row>
    <row r="42001">
      <c r="L42001" s="13"/>
      <c r="M42001" s="14"/>
      <c r="N42001" s="14"/>
      <c r="O42001" s="14"/>
      <c r="P42001" s="13"/>
    </row>
    <row r="42002">
      <c r="L42002" s="13"/>
      <c r="M42002" s="14"/>
      <c r="N42002" s="14"/>
      <c r="O42002" s="14"/>
      <c r="P42002" s="13"/>
    </row>
    <row r="42003">
      <c r="L42003" s="13"/>
      <c r="M42003" s="14"/>
      <c r="N42003" s="14"/>
      <c r="O42003" s="14"/>
      <c r="P42003" s="13"/>
    </row>
    <row r="42004">
      <c r="L42004" s="13"/>
      <c r="M42004" s="14"/>
      <c r="N42004" s="14"/>
      <c r="O42004" s="14"/>
      <c r="P42004" s="13"/>
    </row>
    <row r="42005">
      <c r="L42005" s="13"/>
      <c r="M42005" s="14"/>
      <c r="N42005" s="14"/>
      <c r="O42005" s="14"/>
      <c r="P42005" s="13"/>
    </row>
    <row r="42006">
      <c r="L42006" s="13"/>
      <c r="M42006" s="14"/>
      <c r="N42006" s="14"/>
      <c r="O42006" s="14"/>
      <c r="P42006" s="13"/>
    </row>
    <row r="42007">
      <c r="L42007" s="13"/>
      <c r="M42007" s="14"/>
      <c r="N42007" s="14"/>
      <c r="O42007" s="14"/>
      <c r="P42007" s="13"/>
    </row>
    <row r="42008">
      <c r="L42008" s="13"/>
      <c r="M42008" s="14"/>
      <c r="N42008" s="14"/>
      <c r="O42008" s="14"/>
      <c r="P42008" s="13"/>
    </row>
    <row r="42009">
      <c r="L42009" s="13"/>
      <c r="M42009" s="14"/>
      <c r="N42009" s="14"/>
      <c r="O42009" s="14"/>
      <c r="P42009" s="13"/>
    </row>
    <row r="42010">
      <c r="L42010" s="13"/>
      <c r="M42010" s="14"/>
      <c r="N42010" s="14"/>
      <c r="O42010" s="14"/>
      <c r="P42010" s="13"/>
    </row>
    <row r="42011">
      <c r="L42011" s="13"/>
      <c r="M42011" s="14"/>
      <c r="N42011" s="14"/>
      <c r="O42011" s="14"/>
      <c r="P42011" s="13"/>
    </row>
    <row r="42012">
      <c r="L42012" s="13"/>
      <c r="M42012" s="14"/>
      <c r="N42012" s="14"/>
      <c r="O42012" s="14"/>
      <c r="P42012" s="13"/>
    </row>
    <row r="42013">
      <c r="L42013" s="13"/>
      <c r="M42013" s="14"/>
      <c r="N42013" s="14"/>
      <c r="O42013" s="14"/>
      <c r="P42013" s="13"/>
    </row>
    <row r="42014">
      <c r="L42014" s="13"/>
      <c r="M42014" s="14"/>
      <c r="N42014" s="14"/>
      <c r="O42014" s="14"/>
      <c r="P42014" s="13"/>
    </row>
    <row r="42015">
      <c r="L42015" s="13"/>
      <c r="M42015" s="14"/>
      <c r="N42015" s="14"/>
      <c r="O42015" s="14"/>
      <c r="P42015" s="13"/>
    </row>
    <row r="42016">
      <c r="L42016" s="13"/>
      <c r="M42016" s="14"/>
      <c r="N42016" s="14"/>
      <c r="O42016" s="14"/>
      <c r="P42016" s="13"/>
    </row>
    <row r="42017">
      <c r="L42017" s="13"/>
      <c r="M42017" s="14"/>
      <c r="N42017" s="14"/>
      <c r="O42017" s="14"/>
      <c r="P42017" s="13"/>
    </row>
    <row r="42018">
      <c r="L42018" s="13"/>
      <c r="M42018" s="14"/>
      <c r="N42018" s="14"/>
      <c r="O42018" s="14"/>
      <c r="P42018" s="13"/>
    </row>
    <row r="42019">
      <c r="L42019" s="13"/>
      <c r="M42019" s="14"/>
      <c r="N42019" s="14"/>
      <c r="O42019" s="14"/>
      <c r="P42019" s="13"/>
    </row>
    <row r="42020">
      <c r="L42020" s="13"/>
      <c r="M42020" s="14"/>
      <c r="N42020" s="14"/>
      <c r="O42020" s="14"/>
      <c r="P42020" s="13"/>
    </row>
    <row r="42021">
      <c r="L42021" s="13"/>
      <c r="M42021" s="14"/>
      <c r="N42021" s="14"/>
      <c r="O42021" s="14"/>
      <c r="P42021" s="13"/>
    </row>
    <row r="42022">
      <c r="L42022" s="13"/>
      <c r="M42022" s="14"/>
      <c r="N42022" s="14"/>
      <c r="O42022" s="14"/>
      <c r="P42022" s="13"/>
    </row>
    <row r="42023">
      <c r="L42023" s="13"/>
      <c r="M42023" s="14"/>
      <c r="N42023" s="14"/>
      <c r="O42023" s="14"/>
      <c r="P42023" s="13"/>
    </row>
    <row r="42024">
      <c r="L42024" s="13"/>
      <c r="M42024" s="14"/>
      <c r="N42024" s="14"/>
      <c r="O42024" s="14"/>
      <c r="P42024" s="13"/>
    </row>
    <row r="42025">
      <c r="L42025" s="13"/>
      <c r="M42025" s="14"/>
      <c r="N42025" s="14"/>
      <c r="O42025" s="14"/>
      <c r="P42025" s="13"/>
    </row>
    <row r="42026">
      <c r="L42026" s="13"/>
      <c r="M42026" s="14"/>
      <c r="N42026" s="14"/>
      <c r="O42026" s="14"/>
      <c r="P42026" s="13"/>
    </row>
    <row r="42027">
      <c r="L42027" s="13"/>
      <c r="M42027" s="14"/>
      <c r="N42027" s="14"/>
      <c r="O42027" s="14"/>
      <c r="P42027" s="13"/>
    </row>
    <row r="42028">
      <c r="L42028" s="13"/>
      <c r="M42028" s="14"/>
      <c r="N42028" s="14"/>
      <c r="O42028" s="14"/>
      <c r="P42028" s="13"/>
    </row>
    <row r="42029">
      <c r="L42029" s="13"/>
      <c r="M42029" s="14"/>
      <c r="N42029" s="14"/>
      <c r="O42029" s="14"/>
      <c r="P42029" s="13"/>
    </row>
    <row r="42030">
      <c r="L42030" s="13"/>
      <c r="M42030" s="14"/>
      <c r="N42030" s="14"/>
      <c r="O42030" s="14"/>
      <c r="P42030" s="13"/>
    </row>
    <row r="42031">
      <c r="L42031" s="13"/>
      <c r="M42031" s="14"/>
      <c r="N42031" s="14"/>
      <c r="O42031" s="14"/>
      <c r="P42031" s="13"/>
    </row>
    <row r="42032">
      <c r="L42032" s="13"/>
      <c r="M42032" s="14"/>
      <c r="N42032" s="14"/>
      <c r="O42032" s="14"/>
      <c r="P42032" s="13"/>
    </row>
    <row r="42033">
      <c r="L42033" s="13"/>
      <c r="M42033" s="14"/>
      <c r="N42033" s="14"/>
      <c r="O42033" s="14"/>
      <c r="P42033" s="13"/>
    </row>
    <row r="42034">
      <c r="L42034" s="13"/>
      <c r="M42034" s="14"/>
      <c r="N42034" s="14"/>
      <c r="O42034" s="14"/>
      <c r="P42034" s="13"/>
    </row>
    <row r="42035">
      <c r="L42035" s="13"/>
      <c r="M42035" s="14"/>
      <c r="N42035" s="14"/>
      <c r="O42035" s="14"/>
      <c r="P42035" s="13"/>
    </row>
    <row r="42036">
      <c r="L42036" s="13"/>
      <c r="M42036" s="14"/>
      <c r="N42036" s="14"/>
      <c r="O42036" s="14"/>
      <c r="P42036" s="13"/>
    </row>
    <row r="42037">
      <c r="L42037" s="13"/>
      <c r="M42037" s="14"/>
      <c r="N42037" s="14"/>
      <c r="O42037" s="14"/>
      <c r="P42037" s="13"/>
    </row>
    <row r="42038">
      <c r="L42038" s="13"/>
      <c r="M42038" s="14"/>
      <c r="N42038" s="14"/>
      <c r="O42038" s="14"/>
      <c r="P42038" s="13"/>
    </row>
    <row r="42039">
      <c r="L42039" s="13"/>
      <c r="M42039" s="14"/>
      <c r="N42039" s="14"/>
      <c r="O42039" s="14"/>
      <c r="P42039" s="13"/>
    </row>
    <row r="42040">
      <c r="L42040" s="13"/>
      <c r="M42040" s="14"/>
      <c r="N42040" s="14"/>
      <c r="O42040" s="14"/>
      <c r="P42040" s="13"/>
    </row>
    <row r="42041">
      <c r="L42041" s="13"/>
      <c r="M42041" s="14"/>
      <c r="N42041" s="14"/>
      <c r="O42041" s="14"/>
      <c r="P42041" s="13"/>
    </row>
    <row r="42042">
      <c r="L42042" s="13"/>
      <c r="M42042" s="14"/>
      <c r="N42042" s="14"/>
      <c r="O42042" s="14"/>
      <c r="P42042" s="13"/>
    </row>
    <row r="42043">
      <c r="L42043" s="13"/>
      <c r="M42043" s="14"/>
      <c r="N42043" s="14"/>
      <c r="O42043" s="14"/>
      <c r="P42043" s="13"/>
    </row>
    <row r="42044">
      <c r="L42044" s="13"/>
      <c r="M42044" s="14"/>
      <c r="N42044" s="14"/>
      <c r="O42044" s="14"/>
      <c r="P42044" s="13"/>
    </row>
    <row r="42045">
      <c r="L42045" s="13"/>
      <c r="M42045" s="14"/>
      <c r="N42045" s="14"/>
      <c r="O42045" s="14"/>
      <c r="P42045" s="13"/>
    </row>
    <row r="42046">
      <c r="L42046" s="13"/>
      <c r="M42046" s="14"/>
      <c r="N42046" s="14"/>
      <c r="O42046" s="14"/>
      <c r="P42046" s="13"/>
    </row>
    <row r="42047">
      <c r="L42047" s="13"/>
      <c r="M42047" s="14"/>
      <c r="N42047" s="14"/>
      <c r="O42047" s="14"/>
      <c r="P42047" s="13"/>
    </row>
    <row r="42048">
      <c r="L42048" s="13"/>
      <c r="M42048" s="14"/>
      <c r="N42048" s="14"/>
      <c r="O42048" s="14"/>
      <c r="P42048" s="13"/>
    </row>
    <row r="42049">
      <c r="L42049" s="13"/>
      <c r="M42049" s="14"/>
      <c r="N42049" s="14"/>
      <c r="O42049" s="14"/>
      <c r="P42049" s="13"/>
    </row>
    <row r="42050">
      <c r="L42050" s="13"/>
      <c r="M42050" s="14"/>
      <c r="N42050" s="14"/>
      <c r="O42050" s="14"/>
      <c r="P42050" s="13"/>
    </row>
    <row r="42051">
      <c r="L42051" s="13"/>
      <c r="M42051" s="14"/>
      <c r="N42051" s="14"/>
      <c r="O42051" s="14"/>
      <c r="P42051" s="13"/>
    </row>
    <row r="42052">
      <c r="L42052" s="13"/>
      <c r="M42052" s="14"/>
      <c r="N42052" s="14"/>
      <c r="O42052" s="14"/>
      <c r="P42052" s="13"/>
    </row>
    <row r="42053">
      <c r="L42053" s="13"/>
      <c r="M42053" s="14"/>
      <c r="N42053" s="14"/>
      <c r="O42053" s="14"/>
      <c r="P42053" s="13"/>
    </row>
    <row r="42054">
      <c r="L42054" s="13"/>
      <c r="M42054" s="14"/>
      <c r="N42054" s="14"/>
      <c r="O42054" s="14"/>
      <c r="P42054" s="13"/>
    </row>
    <row r="42055">
      <c r="L42055" s="13"/>
      <c r="M42055" s="14"/>
      <c r="N42055" s="14"/>
      <c r="O42055" s="14"/>
      <c r="P42055" s="13"/>
    </row>
    <row r="42056">
      <c r="L42056" s="13"/>
      <c r="M42056" s="14"/>
      <c r="N42056" s="14"/>
      <c r="O42056" s="14"/>
      <c r="P42056" s="13"/>
    </row>
    <row r="42057">
      <c r="L42057" s="13"/>
      <c r="M42057" s="14"/>
      <c r="N42057" s="14"/>
      <c r="O42057" s="14"/>
      <c r="P42057" s="13"/>
    </row>
    <row r="42058">
      <c r="L42058" s="13"/>
      <c r="M42058" s="14"/>
      <c r="N42058" s="14"/>
      <c r="O42058" s="14"/>
      <c r="P42058" s="13"/>
    </row>
    <row r="42059">
      <c r="L42059" s="13"/>
      <c r="M42059" s="14"/>
      <c r="N42059" s="14"/>
      <c r="O42059" s="14"/>
      <c r="P42059" s="13"/>
    </row>
    <row r="42060">
      <c r="L42060" s="13"/>
      <c r="M42060" s="14"/>
      <c r="N42060" s="14"/>
      <c r="O42060" s="14"/>
      <c r="P42060" s="13"/>
    </row>
    <row r="42061">
      <c r="L42061" s="13"/>
      <c r="M42061" s="14"/>
      <c r="N42061" s="14"/>
      <c r="O42061" s="14"/>
      <c r="P42061" s="13"/>
    </row>
    <row r="42062">
      <c r="L42062" s="13"/>
      <c r="M42062" s="14"/>
      <c r="N42062" s="14"/>
      <c r="O42062" s="14"/>
      <c r="P42062" s="13"/>
    </row>
    <row r="42063">
      <c r="L42063" s="13"/>
      <c r="M42063" s="14"/>
      <c r="N42063" s="14"/>
      <c r="O42063" s="14"/>
      <c r="P42063" s="13"/>
    </row>
    <row r="42064">
      <c r="L42064" s="13"/>
      <c r="M42064" s="14"/>
      <c r="N42064" s="14"/>
      <c r="O42064" s="14"/>
      <c r="P42064" s="13"/>
    </row>
    <row r="42065">
      <c r="L42065" s="13"/>
      <c r="M42065" s="14"/>
      <c r="N42065" s="14"/>
      <c r="O42065" s="14"/>
      <c r="P42065" s="13"/>
    </row>
    <row r="42066">
      <c r="L42066" s="13"/>
      <c r="M42066" s="14"/>
      <c r="N42066" s="14"/>
      <c r="O42066" s="14"/>
      <c r="P42066" s="13"/>
    </row>
    <row r="42067">
      <c r="L42067" s="13"/>
      <c r="M42067" s="14"/>
      <c r="N42067" s="14"/>
      <c r="O42067" s="14"/>
      <c r="P42067" s="13"/>
    </row>
    <row r="42068">
      <c r="L42068" s="13"/>
      <c r="M42068" s="14"/>
      <c r="N42068" s="14"/>
      <c r="O42068" s="14"/>
      <c r="P42068" s="13"/>
    </row>
    <row r="42069">
      <c r="L42069" s="13"/>
      <c r="M42069" s="14"/>
      <c r="N42069" s="14"/>
      <c r="O42069" s="14"/>
      <c r="P42069" s="13"/>
    </row>
    <row r="42070">
      <c r="L42070" s="13"/>
      <c r="M42070" s="14"/>
      <c r="N42070" s="14"/>
      <c r="O42070" s="14"/>
      <c r="P42070" s="13"/>
    </row>
    <row r="42071">
      <c r="L42071" s="13"/>
      <c r="M42071" s="14"/>
      <c r="N42071" s="14"/>
      <c r="O42071" s="14"/>
      <c r="P42071" s="13"/>
    </row>
    <row r="42072">
      <c r="L42072" s="13"/>
      <c r="M42072" s="14"/>
      <c r="N42072" s="14"/>
      <c r="O42072" s="14"/>
      <c r="P42072" s="13"/>
    </row>
    <row r="42073">
      <c r="L42073" s="13"/>
      <c r="M42073" s="14"/>
      <c r="N42073" s="14"/>
      <c r="O42073" s="14"/>
      <c r="P42073" s="13"/>
    </row>
    <row r="42074">
      <c r="L42074" s="13"/>
      <c r="M42074" s="14"/>
      <c r="N42074" s="14"/>
      <c r="O42074" s="14"/>
      <c r="P42074" s="13"/>
    </row>
    <row r="42075">
      <c r="L42075" s="13"/>
      <c r="M42075" s="14"/>
      <c r="N42075" s="14"/>
      <c r="O42075" s="14"/>
      <c r="P42075" s="13"/>
    </row>
    <row r="42076">
      <c r="L42076" s="13"/>
      <c r="M42076" s="14"/>
      <c r="N42076" s="14"/>
      <c r="O42076" s="14"/>
      <c r="P42076" s="13"/>
    </row>
    <row r="42077">
      <c r="L42077" s="13"/>
      <c r="M42077" s="14"/>
      <c r="N42077" s="14"/>
      <c r="O42077" s="14"/>
      <c r="P42077" s="13"/>
    </row>
    <row r="42078">
      <c r="L42078" s="13"/>
      <c r="M42078" s="14"/>
      <c r="N42078" s="14"/>
      <c r="O42078" s="14"/>
      <c r="P42078" s="13"/>
    </row>
    <row r="42079">
      <c r="L42079" s="13"/>
      <c r="M42079" s="14"/>
      <c r="N42079" s="14"/>
      <c r="O42079" s="14"/>
      <c r="P42079" s="13"/>
    </row>
    <row r="42080">
      <c r="L42080" s="13"/>
      <c r="M42080" s="14"/>
      <c r="N42080" s="14"/>
      <c r="O42080" s="14"/>
      <c r="P42080" s="13"/>
    </row>
    <row r="42081">
      <c r="L42081" s="13"/>
      <c r="M42081" s="14"/>
      <c r="N42081" s="14"/>
      <c r="O42081" s="14"/>
      <c r="P42081" s="13"/>
    </row>
    <row r="42082">
      <c r="L42082" s="13"/>
      <c r="M42082" s="14"/>
      <c r="N42082" s="14"/>
      <c r="O42082" s="14"/>
      <c r="P42082" s="13"/>
    </row>
    <row r="42083">
      <c r="L42083" s="13"/>
      <c r="M42083" s="14"/>
      <c r="N42083" s="14"/>
      <c r="O42083" s="14"/>
      <c r="P42083" s="13"/>
    </row>
    <row r="42084">
      <c r="L42084" s="13"/>
      <c r="M42084" s="14"/>
      <c r="N42084" s="14"/>
      <c r="O42084" s="14"/>
      <c r="P42084" s="13"/>
    </row>
    <row r="42085">
      <c r="L42085" s="13"/>
      <c r="M42085" s="14"/>
      <c r="N42085" s="14"/>
      <c r="O42085" s="14"/>
      <c r="P42085" s="13"/>
    </row>
    <row r="42086">
      <c r="L42086" s="13"/>
      <c r="M42086" s="14"/>
      <c r="N42086" s="14"/>
      <c r="O42086" s="14"/>
      <c r="P42086" s="13"/>
    </row>
    <row r="42087">
      <c r="L42087" s="13"/>
      <c r="M42087" s="14"/>
      <c r="N42087" s="14"/>
      <c r="O42087" s="14"/>
      <c r="P42087" s="13"/>
    </row>
    <row r="42088">
      <c r="L42088" s="13"/>
      <c r="M42088" s="14"/>
      <c r="N42088" s="14"/>
      <c r="O42088" s="14"/>
      <c r="P42088" s="13"/>
    </row>
    <row r="42089">
      <c r="L42089" s="13"/>
      <c r="M42089" s="14"/>
      <c r="N42089" s="14"/>
      <c r="O42089" s="14"/>
      <c r="P42089" s="13"/>
    </row>
    <row r="42090">
      <c r="L42090" s="13"/>
      <c r="M42090" s="14"/>
      <c r="N42090" s="14"/>
      <c r="O42090" s="14"/>
      <c r="P42090" s="13"/>
    </row>
    <row r="42091">
      <c r="L42091" s="13"/>
      <c r="M42091" s="14"/>
      <c r="N42091" s="14"/>
      <c r="O42091" s="14"/>
      <c r="P42091" s="13"/>
    </row>
    <row r="42092">
      <c r="L42092" s="13"/>
      <c r="M42092" s="14"/>
      <c r="N42092" s="14"/>
      <c r="O42092" s="14"/>
      <c r="P42092" s="13"/>
    </row>
    <row r="42093">
      <c r="L42093" s="13"/>
      <c r="M42093" s="14"/>
      <c r="N42093" s="14"/>
      <c r="O42093" s="14"/>
      <c r="P42093" s="13"/>
    </row>
    <row r="42094">
      <c r="L42094" s="13"/>
      <c r="M42094" s="14"/>
      <c r="N42094" s="14"/>
      <c r="O42094" s="14"/>
      <c r="P42094" s="13"/>
    </row>
    <row r="42095">
      <c r="L42095" s="13"/>
      <c r="M42095" s="14"/>
      <c r="N42095" s="14"/>
      <c r="O42095" s="14"/>
      <c r="P42095" s="13"/>
    </row>
    <row r="42096">
      <c r="L42096" s="13"/>
      <c r="M42096" s="14"/>
      <c r="N42096" s="14"/>
      <c r="O42096" s="14"/>
      <c r="P42096" s="13"/>
    </row>
    <row r="42097">
      <c r="L42097" s="13"/>
      <c r="M42097" s="14"/>
      <c r="N42097" s="14"/>
      <c r="O42097" s="14"/>
      <c r="P42097" s="13"/>
    </row>
    <row r="42098">
      <c r="L42098" s="13"/>
      <c r="M42098" s="14"/>
      <c r="N42098" s="14"/>
      <c r="O42098" s="14"/>
      <c r="P42098" s="13"/>
    </row>
    <row r="42099">
      <c r="L42099" s="13"/>
      <c r="M42099" s="14"/>
      <c r="N42099" s="14"/>
      <c r="O42099" s="14"/>
      <c r="P42099" s="13"/>
    </row>
    <row r="42100">
      <c r="L42100" s="13"/>
      <c r="M42100" s="14"/>
      <c r="N42100" s="14"/>
      <c r="O42100" s="14"/>
      <c r="P42100" s="13"/>
    </row>
    <row r="42101">
      <c r="L42101" s="13"/>
      <c r="M42101" s="14"/>
      <c r="N42101" s="14"/>
      <c r="O42101" s="14"/>
      <c r="P42101" s="13"/>
    </row>
    <row r="42102">
      <c r="L42102" s="13"/>
      <c r="M42102" s="14"/>
      <c r="N42102" s="14"/>
      <c r="O42102" s="14"/>
      <c r="P42102" s="13"/>
    </row>
    <row r="42103">
      <c r="L42103" s="13"/>
      <c r="M42103" s="14"/>
      <c r="N42103" s="14"/>
      <c r="O42103" s="14"/>
      <c r="P42103" s="13"/>
    </row>
    <row r="42104">
      <c r="L42104" s="13"/>
      <c r="M42104" s="14"/>
      <c r="N42104" s="14"/>
      <c r="O42104" s="14"/>
      <c r="P42104" s="13"/>
    </row>
    <row r="42105">
      <c r="L42105" s="13"/>
      <c r="M42105" s="14"/>
      <c r="N42105" s="14"/>
      <c r="O42105" s="14"/>
      <c r="P42105" s="13"/>
    </row>
    <row r="42106">
      <c r="L42106" s="13"/>
      <c r="M42106" s="14"/>
      <c r="N42106" s="14"/>
      <c r="O42106" s="14"/>
      <c r="P42106" s="13"/>
    </row>
    <row r="42107">
      <c r="L42107" s="13"/>
      <c r="M42107" s="14"/>
      <c r="N42107" s="14"/>
      <c r="O42107" s="14"/>
      <c r="P42107" s="13"/>
    </row>
    <row r="42108">
      <c r="L42108" s="13"/>
      <c r="M42108" s="14"/>
      <c r="N42108" s="14"/>
      <c r="O42108" s="14"/>
      <c r="P42108" s="13"/>
    </row>
    <row r="42109">
      <c r="L42109" s="13"/>
      <c r="M42109" s="14"/>
      <c r="N42109" s="14"/>
      <c r="O42109" s="14"/>
      <c r="P42109" s="13"/>
    </row>
    <row r="42110">
      <c r="L42110" s="13"/>
      <c r="M42110" s="14"/>
      <c r="N42110" s="14"/>
      <c r="O42110" s="14"/>
      <c r="P42110" s="13"/>
    </row>
    <row r="42111">
      <c r="L42111" s="13"/>
      <c r="M42111" s="14"/>
      <c r="N42111" s="14"/>
      <c r="O42111" s="14"/>
      <c r="P42111" s="13"/>
    </row>
    <row r="42112">
      <c r="L42112" s="13"/>
      <c r="M42112" s="14"/>
      <c r="N42112" s="14"/>
      <c r="O42112" s="14"/>
      <c r="P42112" s="13"/>
    </row>
    <row r="42113">
      <c r="L42113" s="13"/>
      <c r="M42113" s="14"/>
      <c r="N42113" s="14"/>
      <c r="O42113" s="14"/>
      <c r="P42113" s="13"/>
    </row>
    <row r="42114">
      <c r="L42114" s="13"/>
      <c r="M42114" s="14"/>
      <c r="N42114" s="14"/>
      <c r="O42114" s="14"/>
      <c r="P42114" s="13"/>
    </row>
    <row r="42115">
      <c r="L42115" s="13"/>
      <c r="M42115" s="14"/>
      <c r="N42115" s="14"/>
      <c r="O42115" s="14"/>
      <c r="P42115" s="13"/>
    </row>
    <row r="42116">
      <c r="L42116" s="13"/>
      <c r="M42116" s="14"/>
      <c r="N42116" s="14"/>
      <c r="O42116" s="14"/>
      <c r="P42116" s="13"/>
    </row>
    <row r="42117">
      <c r="L42117" s="13"/>
      <c r="M42117" s="14"/>
      <c r="N42117" s="14"/>
      <c r="O42117" s="14"/>
      <c r="P42117" s="13"/>
    </row>
    <row r="42118">
      <c r="L42118" s="13"/>
      <c r="M42118" s="14"/>
      <c r="N42118" s="14"/>
      <c r="O42118" s="14"/>
      <c r="P42118" s="13"/>
    </row>
    <row r="42119">
      <c r="L42119" s="13"/>
      <c r="M42119" s="14"/>
      <c r="N42119" s="14"/>
      <c r="O42119" s="14"/>
      <c r="P42119" s="13"/>
    </row>
    <row r="42120">
      <c r="L42120" s="13"/>
      <c r="M42120" s="14"/>
      <c r="N42120" s="14"/>
      <c r="O42120" s="14"/>
      <c r="P42120" s="13"/>
    </row>
    <row r="42121">
      <c r="L42121" s="13"/>
      <c r="M42121" s="14"/>
      <c r="N42121" s="14"/>
      <c r="O42121" s="14"/>
      <c r="P42121" s="13"/>
    </row>
    <row r="42122">
      <c r="L42122" s="13"/>
      <c r="M42122" s="14"/>
      <c r="N42122" s="14"/>
      <c r="O42122" s="14"/>
      <c r="P42122" s="13"/>
    </row>
    <row r="42123">
      <c r="L42123" s="13"/>
      <c r="M42123" s="14"/>
      <c r="N42123" s="14"/>
      <c r="O42123" s="14"/>
      <c r="P42123" s="13"/>
    </row>
    <row r="42124">
      <c r="L42124" s="13"/>
      <c r="M42124" s="14"/>
      <c r="N42124" s="14"/>
      <c r="O42124" s="14"/>
      <c r="P42124" s="13"/>
    </row>
    <row r="42125">
      <c r="L42125" s="13"/>
      <c r="M42125" s="14"/>
      <c r="N42125" s="14"/>
      <c r="O42125" s="14"/>
      <c r="P42125" s="13"/>
    </row>
    <row r="42126">
      <c r="L42126" s="13"/>
      <c r="M42126" s="14"/>
      <c r="N42126" s="14"/>
      <c r="O42126" s="14"/>
      <c r="P42126" s="13"/>
    </row>
    <row r="42127">
      <c r="L42127" s="13"/>
      <c r="M42127" s="14"/>
      <c r="N42127" s="14"/>
      <c r="O42127" s="14"/>
      <c r="P42127" s="13"/>
    </row>
    <row r="42128">
      <c r="L42128" s="13"/>
      <c r="M42128" s="14"/>
      <c r="N42128" s="14"/>
      <c r="O42128" s="14"/>
      <c r="P42128" s="13"/>
    </row>
    <row r="42129">
      <c r="L42129" s="13"/>
      <c r="M42129" s="14"/>
      <c r="N42129" s="14"/>
      <c r="O42129" s="14"/>
      <c r="P42129" s="13"/>
    </row>
    <row r="42130">
      <c r="L42130" s="13"/>
      <c r="M42130" s="14"/>
      <c r="N42130" s="14"/>
      <c r="O42130" s="14"/>
      <c r="P42130" s="13"/>
    </row>
    <row r="42131">
      <c r="L42131" s="13"/>
      <c r="M42131" s="14"/>
      <c r="N42131" s="14"/>
      <c r="O42131" s="14"/>
      <c r="P42131" s="13"/>
    </row>
    <row r="42132">
      <c r="L42132" s="13"/>
      <c r="M42132" s="14"/>
      <c r="N42132" s="14"/>
      <c r="O42132" s="14"/>
      <c r="P42132" s="13"/>
    </row>
    <row r="42133">
      <c r="L42133" s="13"/>
      <c r="M42133" s="14"/>
      <c r="N42133" s="14"/>
      <c r="O42133" s="14"/>
      <c r="P42133" s="13"/>
    </row>
    <row r="42134">
      <c r="L42134" s="13"/>
      <c r="M42134" s="14"/>
      <c r="N42134" s="14"/>
      <c r="O42134" s="14"/>
      <c r="P42134" s="13"/>
    </row>
    <row r="42135">
      <c r="L42135" s="13"/>
      <c r="M42135" s="14"/>
      <c r="N42135" s="14"/>
      <c r="O42135" s="14"/>
      <c r="P42135" s="13"/>
    </row>
    <row r="42136">
      <c r="L42136" s="13"/>
      <c r="M42136" s="14"/>
      <c r="N42136" s="14"/>
      <c r="O42136" s="14"/>
      <c r="P42136" s="13"/>
    </row>
    <row r="42137">
      <c r="L42137" s="13"/>
      <c r="M42137" s="14"/>
      <c r="N42137" s="14"/>
      <c r="O42137" s="14"/>
      <c r="P42137" s="13"/>
    </row>
    <row r="42138">
      <c r="L42138" s="13"/>
      <c r="M42138" s="14"/>
      <c r="N42138" s="14"/>
      <c r="O42138" s="14"/>
      <c r="P42138" s="13"/>
    </row>
    <row r="42139">
      <c r="L42139" s="13"/>
      <c r="M42139" s="14"/>
      <c r="N42139" s="14"/>
      <c r="O42139" s="14"/>
      <c r="P42139" s="13"/>
    </row>
    <row r="42140">
      <c r="L42140" s="13"/>
      <c r="M42140" s="14"/>
      <c r="N42140" s="14"/>
      <c r="O42140" s="14"/>
      <c r="P42140" s="13"/>
    </row>
    <row r="42141">
      <c r="L42141" s="13"/>
      <c r="M42141" s="14"/>
      <c r="N42141" s="14"/>
      <c r="O42141" s="14"/>
      <c r="P42141" s="13"/>
    </row>
    <row r="42142">
      <c r="L42142" s="13"/>
      <c r="M42142" s="14"/>
      <c r="N42142" s="14"/>
      <c r="O42142" s="14"/>
      <c r="P42142" s="13"/>
    </row>
    <row r="42143">
      <c r="L42143" s="13"/>
      <c r="M42143" s="14"/>
      <c r="N42143" s="14"/>
      <c r="O42143" s="14"/>
      <c r="P42143" s="13"/>
    </row>
    <row r="42144">
      <c r="L42144" s="13"/>
      <c r="M42144" s="14"/>
      <c r="N42144" s="14"/>
      <c r="O42144" s="14"/>
      <c r="P42144" s="13"/>
    </row>
    <row r="42145">
      <c r="L42145" s="13"/>
      <c r="M42145" s="14"/>
      <c r="N42145" s="14"/>
      <c r="O42145" s="14"/>
      <c r="P42145" s="13"/>
    </row>
    <row r="42146">
      <c r="L42146" s="13"/>
      <c r="M42146" s="14"/>
      <c r="N42146" s="14"/>
      <c r="O42146" s="14"/>
      <c r="P42146" s="13"/>
    </row>
    <row r="42147">
      <c r="L42147" s="13"/>
      <c r="M42147" s="14"/>
      <c r="N42147" s="14"/>
      <c r="O42147" s="14"/>
      <c r="P42147" s="13"/>
    </row>
    <row r="42148">
      <c r="L42148" s="13"/>
      <c r="M42148" s="14"/>
      <c r="N42148" s="14"/>
      <c r="O42148" s="14"/>
      <c r="P42148" s="13"/>
    </row>
    <row r="42149">
      <c r="L42149" s="13"/>
      <c r="M42149" s="14"/>
      <c r="N42149" s="14"/>
      <c r="O42149" s="14"/>
      <c r="P42149" s="13"/>
    </row>
    <row r="42150">
      <c r="L42150" s="13"/>
      <c r="M42150" s="14"/>
      <c r="N42150" s="14"/>
      <c r="O42150" s="14"/>
      <c r="P42150" s="13"/>
    </row>
    <row r="42151">
      <c r="L42151" s="13"/>
      <c r="M42151" s="14"/>
      <c r="N42151" s="14"/>
      <c r="O42151" s="14"/>
      <c r="P42151" s="13"/>
    </row>
    <row r="42152">
      <c r="L42152" s="13"/>
      <c r="M42152" s="14"/>
      <c r="N42152" s="14"/>
      <c r="O42152" s="14"/>
      <c r="P42152" s="13"/>
    </row>
    <row r="42153">
      <c r="L42153" s="13"/>
      <c r="M42153" s="14"/>
      <c r="N42153" s="14"/>
      <c r="O42153" s="14"/>
      <c r="P42153" s="13"/>
    </row>
    <row r="42154">
      <c r="L42154" s="13"/>
      <c r="M42154" s="14"/>
      <c r="N42154" s="14"/>
      <c r="O42154" s="14"/>
      <c r="P42154" s="13"/>
    </row>
    <row r="42155">
      <c r="L42155" s="13"/>
      <c r="M42155" s="14"/>
      <c r="N42155" s="14"/>
      <c r="O42155" s="14"/>
      <c r="P42155" s="13"/>
    </row>
    <row r="42156">
      <c r="L42156" s="13"/>
      <c r="M42156" s="14"/>
      <c r="N42156" s="14"/>
      <c r="O42156" s="14"/>
      <c r="P42156" s="13"/>
    </row>
    <row r="42157">
      <c r="L42157" s="13"/>
      <c r="M42157" s="14"/>
      <c r="N42157" s="14"/>
      <c r="O42157" s="14"/>
      <c r="P42157" s="13"/>
    </row>
    <row r="42158">
      <c r="L42158" s="13"/>
      <c r="M42158" s="14"/>
      <c r="N42158" s="14"/>
      <c r="O42158" s="14"/>
      <c r="P42158" s="13"/>
    </row>
    <row r="42159">
      <c r="L42159" s="13"/>
      <c r="M42159" s="14"/>
      <c r="N42159" s="14"/>
      <c r="O42159" s="14"/>
      <c r="P42159" s="13"/>
    </row>
    <row r="42160">
      <c r="L42160" s="13"/>
      <c r="M42160" s="14"/>
      <c r="N42160" s="14"/>
      <c r="O42160" s="14"/>
      <c r="P42160" s="13"/>
    </row>
    <row r="42161">
      <c r="L42161" s="13"/>
      <c r="M42161" s="14"/>
      <c r="N42161" s="14"/>
      <c r="O42161" s="14"/>
      <c r="P42161" s="13"/>
    </row>
    <row r="42162">
      <c r="L42162" s="13"/>
      <c r="M42162" s="14"/>
      <c r="N42162" s="14"/>
      <c r="O42162" s="14"/>
      <c r="P42162" s="13"/>
    </row>
    <row r="42163">
      <c r="L42163" s="13"/>
      <c r="M42163" s="14"/>
      <c r="N42163" s="14"/>
      <c r="O42163" s="14"/>
      <c r="P42163" s="13"/>
    </row>
    <row r="42164">
      <c r="L42164" s="13"/>
      <c r="M42164" s="14"/>
      <c r="N42164" s="14"/>
      <c r="O42164" s="14"/>
      <c r="P42164" s="13"/>
    </row>
    <row r="42165">
      <c r="L42165" s="13"/>
      <c r="M42165" s="14"/>
      <c r="N42165" s="14"/>
      <c r="O42165" s="14"/>
      <c r="P42165" s="13"/>
    </row>
    <row r="42166">
      <c r="L42166" s="13"/>
      <c r="M42166" s="14"/>
      <c r="N42166" s="14"/>
      <c r="O42166" s="14"/>
      <c r="P42166" s="13"/>
    </row>
    <row r="42167">
      <c r="L42167" s="13"/>
      <c r="M42167" s="14"/>
      <c r="N42167" s="14"/>
      <c r="O42167" s="14"/>
      <c r="P42167" s="13"/>
    </row>
    <row r="42168">
      <c r="L42168" s="13"/>
      <c r="M42168" s="14"/>
      <c r="N42168" s="14"/>
      <c r="O42168" s="14"/>
      <c r="P42168" s="13"/>
    </row>
    <row r="42169">
      <c r="L42169" s="13"/>
      <c r="M42169" s="14"/>
      <c r="N42169" s="14"/>
      <c r="O42169" s="14"/>
      <c r="P42169" s="13"/>
    </row>
    <row r="42170">
      <c r="L42170" s="13"/>
      <c r="M42170" s="14"/>
      <c r="N42170" s="14"/>
      <c r="O42170" s="14"/>
      <c r="P42170" s="13"/>
    </row>
    <row r="42171">
      <c r="L42171" s="13"/>
      <c r="M42171" s="14"/>
      <c r="N42171" s="14"/>
      <c r="O42171" s="14"/>
      <c r="P42171" s="13"/>
    </row>
    <row r="42172">
      <c r="L42172" s="13"/>
      <c r="M42172" s="14"/>
      <c r="N42172" s="14"/>
      <c r="O42172" s="14"/>
      <c r="P42172" s="13"/>
    </row>
    <row r="42173">
      <c r="L42173" s="13"/>
      <c r="M42173" s="14"/>
      <c r="N42173" s="14"/>
      <c r="O42173" s="14"/>
      <c r="P42173" s="13"/>
    </row>
    <row r="42174">
      <c r="L42174" s="13"/>
      <c r="M42174" s="14"/>
      <c r="N42174" s="14"/>
      <c r="O42174" s="14"/>
      <c r="P42174" s="13"/>
    </row>
    <row r="42175">
      <c r="L42175" s="13"/>
      <c r="M42175" s="14"/>
      <c r="N42175" s="14"/>
      <c r="O42175" s="14"/>
      <c r="P42175" s="13"/>
    </row>
    <row r="42176">
      <c r="L42176" s="13"/>
      <c r="M42176" s="14"/>
      <c r="N42176" s="14"/>
      <c r="O42176" s="14"/>
      <c r="P42176" s="13"/>
    </row>
    <row r="42177">
      <c r="L42177" s="13"/>
      <c r="M42177" s="14"/>
      <c r="N42177" s="14"/>
      <c r="O42177" s="14"/>
      <c r="P42177" s="13"/>
    </row>
    <row r="42178">
      <c r="L42178" s="13"/>
      <c r="M42178" s="14"/>
      <c r="N42178" s="14"/>
      <c r="O42178" s="14"/>
      <c r="P42178" s="13"/>
    </row>
    <row r="42179">
      <c r="L42179" s="13"/>
      <c r="M42179" s="14"/>
      <c r="N42179" s="14"/>
      <c r="O42179" s="14"/>
      <c r="P42179" s="13"/>
    </row>
    <row r="42180">
      <c r="L42180" s="13"/>
      <c r="M42180" s="14"/>
      <c r="N42180" s="14"/>
      <c r="O42180" s="14"/>
      <c r="P42180" s="13"/>
    </row>
    <row r="42181">
      <c r="L42181" s="13"/>
      <c r="M42181" s="14"/>
      <c r="N42181" s="14"/>
      <c r="O42181" s="14"/>
      <c r="P42181" s="13"/>
    </row>
    <row r="42182">
      <c r="L42182" s="13"/>
      <c r="M42182" s="14"/>
      <c r="N42182" s="14"/>
      <c r="O42182" s="14"/>
      <c r="P42182" s="13"/>
    </row>
    <row r="42183">
      <c r="L42183" s="13"/>
      <c r="M42183" s="14"/>
      <c r="N42183" s="14"/>
      <c r="O42183" s="14"/>
      <c r="P42183" s="13"/>
    </row>
    <row r="42184">
      <c r="L42184" s="13"/>
      <c r="M42184" s="14"/>
      <c r="N42184" s="14"/>
      <c r="O42184" s="14"/>
      <c r="P42184" s="13"/>
    </row>
    <row r="42185">
      <c r="L42185" s="13"/>
      <c r="M42185" s="14"/>
      <c r="N42185" s="14"/>
      <c r="O42185" s="14"/>
      <c r="P42185" s="13"/>
    </row>
    <row r="42186">
      <c r="L42186" s="13"/>
      <c r="M42186" s="14"/>
      <c r="N42186" s="14"/>
      <c r="O42186" s="14"/>
      <c r="P42186" s="13"/>
    </row>
    <row r="42187">
      <c r="L42187" s="13"/>
      <c r="M42187" s="14"/>
      <c r="N42187" s="14"/>
      <c r="O42187" s="14"/>
      <c r="P42187" s="13"/>
    </row>
    <row r="42188">
      <c r="L42188" s="13"/>
      <c r="M42188" s="14"/>
      <c r="N42188" s="14"/>
      <c r="O42188" s="14"/>
      <c r="P42188" s="13"/>
    </row>
    <row r="42189">
      <c r="L42189" s="13"/>
      <c r="M42189" s="14"/>
      <c r="N42189" s="14"/>
      <c r="O42189" s="14"/>
      <c r="P42189" s="13"/>
    </row>
    <row r="42190">
      <c r="L42190" s="13"/>
      <c r="M42190" s="14"/>
      <c r="N42190" s="14"/>
      <c r="O42190" s="14"/>
      <c r="P42190" s="13"/>
    </row>
    <row r="42191">
      <c r="L42191" s="13"/>
      <c r="M42191" s="14"/>
      <c r="N42191" s="14"/>
      <c r="O42191" s="14"/>
      <c r="P42191" s="13"/>
    </row>
    <row r="42192">
      <c r="L42192" s="13"/>
      <c r="M42192" s="14"/>
      <c r="N42192" s="14"/>
      <c r="O42192" s="14"/>
      <c r="P42192" s="13"/>
    </row>
    <row r="42193">
      <c r="L42193" s="13"/>
      <c r="M42193" s="14"/>
      <c r="N42193" s="14"/>
      <c r="O42193" s="14"/>
      <c r="P42193" s="13"/>
    </row>
    <row r="42194">
      <c r="L42194" s="13"/>
      <c r="M42194" s="14"/>
      <c r="N42194" s="14"/>
      <c r="O42194" s="14"/>
      <c r="P42194" s="13"/>
    </row>
    <row r="42195">
      <c r="L42195" s="13"/>
      <c r="M42195" s="14"/>
      <c r="N42195" s="14"/>
      <c r="O42195" s="14"/>
      <c r="P42195" s="13"/>
    </row>
    <row r="42196">
      <c r="L42196" s="13"/>
      <c r="M42196" s="14"/>
      <c r="N42196" s="14"/>
      <c r="O42196" s="14"/>
      <c r="P42196" s="13"/>
    </row>
    <row r="42197">
      <c r="L42197" s="13"/>
      <c r="M42197" s="14"/>
      <c r="N42197" s="14"/>
      <c r="O42197" s="14"/>
      <c r="P42197" s="13"/>
    </row>
    <row r="42198">
      <c r="L42198" s="13"/>
      <c r="M42198" s="14"/>
      <c r="N42198" s="14"/>
      <c r="O42198" s="14"/>
      <c r="P42198" s="13"/>
    </row>
    <row r="42199">
      <c r="L42199" s="13"/>
      <c r="M42199" s="14"/>
      <c r="N42199" s="14"/>
      <c r="O42199" s="14"/>
      <c r="P42199" s="13"/>
    </row>
    <row r="42200">
      <c r="L42200" s="13"/>
      <c r="M42200" s="14"/>
      <c r="N42200" s="14"/>
      <c r="O42200" s="14"/>
      <c r="P42200" s="13"/>
    </row>
    <row r="42201">
      <c r="L42201" s="13"/>
      <c r="M42201" s="14"/>
      <c r="N42201" s="14"/>
      <c r="O42201" s="14"/>
      <c r="P42201" s="13"/>
    </row>
    <row r="42202">
      <c r="L42202" s="13"/>
      <c r="M42202" s="14"/>
      <c r="N42202" s="14"/>
      <c r="O42202" s="14"/>
      <c r="P42202" s="13"/>
    </row>
    <row r="42203">
      <c r="L42203" s="13"/>
      <c r="M42203" s="14"/>
      <c r="N42203" s="14"/>
      <c r="O42203" s="14"/>
      <c r="P42203" s="13"/>
    </row>
    <row r="42204">
      <c r="L42204" s="13"/>
      <c r="M42204" s="14"/>
      <c r="N42204" s="14"/>
      <c r="O42204" s="14"/>
      <c r="P42204" s="13"/>
    </row>
    <row r="42205">
      <c r="L42205" s="13"/>
      <c r="M42205" s="14"/>
      <c r="N42205" s="14"/>
      <c r="O42205" s="14"/>
      <c r="P42205" s="13"/>
    </row>
    <row r="42206">
      <c r="L42206" s="13"/>
      <c r="M42206" s="14"/>
      <c r="N42206" s="14"/>
      <c r="O42206" s="14"/>
      <c r="P42206" s="13"/>
    </row>
    <row r="42207">
      <c r="L42207" s="13"/>
      <c r="M42207" s="14"/>
      <c r="N42207" s="14"/>
      <c r="O42207" s="14"/>
      <c r="P42207" s="13"/>
    </row>
    <row r="42208">
      <c r="L42208" s="13"/>
      <c r="M42208" s="14"/>
      <c r="N42208" s="14"/>
      <c r="O42208" s="14"/>
      <c r="P42208" s="13"/>
    </row>
    <row r="42209">
      <c r="L42209" s="13"/>
      <c r="M42209" s="14"/>
      <c r="N42209" s="14"/>
      <c r="O42209" s="14"/>
      <c r="P42209" s="13"/>
    </row>
    <row r="42210">
      <c r="L42210" s="13"/>
      <c r="M42210" s="14"/>
      <c r="N42210" s="14"/>
      <c r="O42210" s="14"/>
      <c r="P42210" s="13"/>
    </row>
    <row r="42211">
      <c r="L42211" s="13"/>
      <c r="M42211" s="14"/>
      <c r="N42211" s="14"/>
      <c r="O42211" s="14"/>
      <c r="P42211" s="13"/>
    </row>
    <row r="42212">
      <c r="L42212" s="13"/>
      <c r="M42212" s="14"/>
      <c r="N42212" s="14"/>
      <c r="O42212" s="14"/>
      <c r="P42212" s="13"/>
    </row>
    <row r="42213">
      <c r="L42213" s="13"/>
      <c r="M42213" s="14"/>
      <c r="N42213" s="14"/>
      <c r="O42213" s="14"/>
      <c r="P42213" s="13"/>
    </row>
    <row r="42214">
      <c r="L42214" s="13"/>
      <c r="M42214" s="14"/>
      <c r="N42214" s="14"/>
      <c r="O42214" s="14"/>
      <c r="P42214" s="13"/>
    </row>
    <row r="42215">
      <c r="L42215" s="13"/>
      <c r="M42215" s="14"/>
      <c r="N42215" s="14"/>
      <c r="O42215" s="14"/>
      <c r="P42215" s="13"/>
    </row>
    <row r="42216">
      <c r="L42216" s="13"/>
      <c r="M42216" s="14"/>
      <c r="N42216" s="14"/>
      <c r="O42216" s="14"/>
      <c r="P42216" s="13"/>
    </row>
    <row r="42217">
      <c r="L42217" s="13"/>
      <c r="M42217" s="14"/>
      <c r="N42217" s="14"/>
      <c r="O42217" s="14"/>
      <c r="P42217" s="13"/>
    </row>
    <row r="42218">
      <c r="L42218" s="13"/>
      <c r="M42218" s="14"/>
      <c r="N42218" s="14"/>
      <c r="O42218" s="14"/>
      <c r="P42218" s="13"/>
    </row>
    <row r="42219">
      <c r="L42219" s="13"/>
      <c r="M42219" s="14"/>
      <c r="N42219" s="14"/>
      <c r="O42219" s="14"/>
      <c r="P42219" s="13"/>
    </row>
    <row r="42220">
      <c r="L42220" s="13"/>
      <c r="M42220" s="14"/>
      <c r="N42220" s="14"/>
      <c r="O42220" s="14"/>
      <c r="P42220" s="13"/>
    </row>
    <row r="42221">
      <c r="L42221" s="13"/>
      <c r="M42221" s="14"/>
      <c r="N42221" s="14"/>
      <c r="O42221" s="14"/>
      <c r="P42221" s="13"/>
    </row>
    <row r="42222">
      <c r="L42222" s="13"/>
      <c r="M42222" s="14"/>
      <c r="N42222" s="14"/>
      <c r="O42222" s="14"/>
      <c r="P42222" s="13"/>
    </row>
    <row r="42223">
      <c r="L42223" s="13"/>
      <c r="M42223" s="14"/>
      <c r="N42223" s="14"/>
      <c r="O42223" s="14"/>
      <c r="P42223" s="13"/>
    </row>
    <row r="42224">
      <c r="L42224" s="13"/>
      <c r="M42224" s="14"/>
      <c r="N42224" s="14"/>
      <c r="O42224" s="14"/>
      <c r="P42224" s="13"/>
    </row>
    <row r="42225">
      <c r="L42225" s="13"/>
      <c r="M42225" s="14"/>
      <c r="N42225" s="14"/>
      <c r="O42225" s="14"/>
      <c r="P42225" s="13"/>
    </row>
    <row r="42226">
      <c r="L42226" s="13"/>
      <c r="M42226" s="14"/>
      <c r="N42226" s="14"/>
      <c r="O42226" s="14"/>
      <c r="P42226" s="13"/>
    </row>
    <row r="42227">
      <c r="L42227" s="13"/>
      <c r="M42227" s="14"/>
      <c r="N42227" s="14"/>
      <c r="O42227" s="14"/>
      <c r="P42227" s="13"/>
    </row>
    <row r="42228">
      <c r="L42228" s="13"/>
      <c r="M42228" s="14"/>
      <c r="N42228" s="14"/>
      <c r="O42228" s="14"/>
      <c r="P42228" s="13"/>
    </row>
    <row r="42229">
      <c r="L42229" s="13"/>
      <c r="M42229" s="14"/>
      <c r="N42229" s="14"/>
      <c r="O42229" s="14"/>
      <c r="P42229" s="13"/>
    </row>
    <row r="42230">
      <c r="L42230" s="13"/>
      <c r="M42230" s="14"/>
      <c r="N42230" s="14"/>
      <c r="O42230" s="14"/>
      <c r="P42230" s="13"/>
    </row>
    <row r="42231">
      <c r="L42231" s="13"/>
      <c r="M42231" s="14"/>
      <c r="N42231" s="14"/>
      <c r="O42231" s="14"/>
      <c r="P42231" s="13"/>
    </row>
    <row r="42232">
      <c r="L42232" s="13"/>
      <c r="M42232" s="14"/>
      <c r="N42232" s="14"/>
      <c r="O42232" s="14"/>
      <c r="P42232" s="13"/>
    </row>
    <row r="42233">
      <c r="L42233" s="13"/>
      <c r="M42233" s="14"/>
      <c r="N42233" s="14"/>
      <c r="O42233" s="14"/>
      <c r="P42233" s="13"/>
    </row>
    <row r="42234">
      <c r="L42234" s="13"/>
      <c r="M42234" s="14"/>
      <c r="N42234" s="14"/>
      <c r="O42234" s="14"/>
      <c r="P42234" s="13"/>
    </row>
    <row r="42235">
      <c r="L42235" s="13"/>
      <c r="M42235" s="14"/>
      <c r="N42235" s="14"/>
      <c r="O42235" s="14"/>
      <c r="P42235" s="13"/>
    </row>
    <row r="42236">
      <c r="L42236" s="13"/>
      <c r="M42236" s="14"/>
      <c r="N42236" s="14"/>
      <c r="O42236" s="14"/>
      <c r="P42236" s="13"/>
    </row>
    <row r="42237">
      <c r="L42237" s="13"/>
      <c r="M42237" s="14"/>
      <c r="N42237" s="14"/>
      <c r="O42237" s="14"/>
      <c r="P42237" s="13"/>
    </row>
    <row r="42238">
      <c r="L42238" s="13"/>
      <c r="M42238" s="14"/>
      <c r="N42238" s="14"/>
      <c r="O42238" s="14"/>
      <c r="P42238" s="13"/>
    </row>
    <row r="42239">
      <c r="L42239" s="13"/>
      <c r="M42239" s="14"/>
      <c r="N42239" s="14"/>
      <c r="O42239" s="14"/>
      <c r="P42239" s="13"/>
    </row>
    <row r="42240">
      <c r="L42240" s="13"/>
      <c r="M42240" s="14"/>
      <c r="N42240" s="14"/>
      <c r="O42240" s="14"/>
      <c r="P42240" s="13"/>
    </row>
    <row r="42241">
      <c r="L42241" s="13"/>
      <c r="M42241" s="14"/>
      <c r="N42241" s="14"/>
      <c r="O42241" s="14"/>
      <c r="P42241" s="13"/>
    </row>
    <row r="42242">
      <c r="L42242" s="13"/>
      <c r="M42242" s="14"/>
      <c r="N42242" s="14"/>
      <c r="O42242" s="14"/>
      <c r="P42242" s="13"/>
    </row>
    <row r="42243">
      <c r="L42243" s="13"/>
      <c r="M42243" s="14"/>
      <c r="N42243" s="14"/>
      <c r="O42243" s="14"/>
      <c r="P42243" s="13"/>
    </row>
    <row r="42244">
      <c r="L42244" s="13"/>
      <c r="M42244" s="14"/>
      <c r="N42244" s="14"/>
      <c r="O42244" s="14"/>
      <c r="P42244" s="13"/>
    </row>
    <row r="42245">
      <c r="L42245" s="13"/>
      <c r="M42245" s="14"/>
      <c r="N42245" s="14"/>
      <c r="O42245" s="14"/>
      <c r="P42245" s="13"/>
    </row>
    <row r="42246">
      <c r="L42246" s="13"/>
      <c r="M42246" s="14"/>
      <c r="N42246" s="14"/>
      <c r="O42246" s="14"/>
      <c r="P42246" s="13"/>
    </row>
    <row r="42247">
      <c r="L42247" s="13"/>
      <c r="M42247" s="14"/>
      <c r="N42247" s="14"/>
      <c r="O42247" s="14"/>
      <c r="P42247" s="13"/>
    </row>
    <row r="42248">
      <c r="L42248" s="13"/>
      <c r="M42248" s="14"/>
      <c r="N42248" s="14"/>
      <c r="O42248" s="14"/>
      <c r="P42248" s="13"/>
    </row>
    <row r="42249">
      <c r="L42249" s="13"/>
      <c r="M42249" s="14"/>
      <c r="N42249" s="14"/>
      <c r="O42249" s="14"/>
      <c r="P42249" s="13"/>
    </row>
    <row r="42250">
      <c r="L42250" s="13"/>
      <c r="M42250" s="14"/>
      <c r="N42250" s="14"/>
      <c r="O42250" s="14"/>
      <c r="P42250" s="13"/>
    </row>
    <row r="42251">
      <c r="L42251" s="13"/>
      <c r="M42251" s="14"/>
      <c r="N42251" s="14"/>
      <c r="O42251" s="14"/>
      <c r="P42251" s="13"/>
    </row>
    <row r="42252">
      <c r="L42252" s="13"/>
      <c r="M42252" s="14"/>
      <c r="N42252" s="14"/>
      <c r="O42252" s="14"/>
      <c r="P42252" s="13"/>
    </row>
    <row r="42253">
      <c r="L42253" s="13"/>
      <c r="M42253" s="14"/>
      <c r="N42253" s="14"/>
      <c r="O42253" s="14"/>
      <c r="P42253" s="13"/>
    </row>
    <row r="42254">
      <c r="L42254" s="13"/>
      <c r="M42254" s="14"/>
      <c r="N42254" s="14"/>
      <c r="O42254" s="14"/>
      <c r="P42254" s="13"/>
    </row>
    <row r="42255">
      <c r="L42255" s="13"/>
      <c r="M42255" s="14"/>
      <c r="N42255" s="14"/>
      <c r="O42255" s="14"/>
      <c r="P42255" s="13"/>
    </row>
    <row r="42256">
      <c r="L42256" s="13"/>
      <c r="M42256" s="14"/>
      <c r="N42256" s="14"/>
      <c r="O42256" s="14"/>
      <c r="P42256" s="13"/>
    </row>
    <row r="42257">
      <c r="L42257" s="13"/>
      <c r="M42257" s="14"/>
      <c r="N42257" s="14"/>
      <c r="O42257" s="14"/>
      <c r="P42257" s="13"/>
    </row>
    <row r="42258">
      <c r="L42258" s="13"/>
      <c r="M42258" s="14"/>
      <c r="N42258" s="14"/>
      <c r="O42258" s="14"/>
      <c r="P42258" s="13"/>
    </row>
    <row r="42259">
      <c r="L42259" s="13"/>
      <c r="M42259" s="14"/>
      <c r="N42259" s="14"/>
      <c r="O42259" s="14"/>
      <c r="P42259" s="13"/>
    </row>
    <row r="42260">
      <c r="L42260" s="13"/>
      <c r="M42260" s="14"/>
      <c r="N42260" s="14"/>
      <c r="O42260" s="14"/>
      <c r="P42260" s="13"/>
    </row>
    <row r="42261">
      <c r="L42261" s="13"/>
      <c r="M42261" s="14"/>
      <c r="N42261" s="14"/>
      <c r="O42261" s="14"/>
      <c r="P42261" s="13"/>
    </row>
    <row r="42262">
      <c r="L42262" s="13"/>
      <c r="M42262" s="14"/>
      <c r="N42262" s="14"/>
      <c r="O42262" s="14"/>
      <c r="P42262" s="13"/>
    </row>
    <row r="42263">
      <c r="L42263" s="13"/>
      <c r="M42263" s="14"/>
      <c r="N42263" s="14"/>
      <c r="O42263" s="14"/>
      <c r="P42263" s="13"/>
    </row>
    <row r="42264">
      <c r="L42264" s="13"/>
      <c r="M42264" s="14"/>
      <c r="N42264" s="14"/>
      <c r="O42264" s="14"/>
      <c r="P42264" s="13"/>
    </row>
    <row r="42265">
      <c r="L42265" s="13"/>
      <c r="M42265" s="14"/>
      <c r="N42265" s="14"/>
      <c r="O42265" s="14"/>
      <c r="P42265" s="13"/>
    </row>
    <row r="42266">
      <c r="L42266" s="13"/>
      <c r="M42266" s="14"/>
      <c r="N42266" s="14"/>
      <c r="O42266" s="14"/>
      <c r="P42266" s="13"/>
    </row>
    <row r="42267">
      <c r="L42267" s="13"/>
      <c r="M42267" s="14"/>
      <c r="N42267" s="14"/>
      <c r="O42267" s="14"/>
      <c r="P42267" s="13"/>
    </row>
    <row r="42268">
      <c r="L42268" s="13"/>
      <c r="M42268" s="14"/>
      <c r="N42268" s="14"/>
      <c r="O42268" s="14"/>
      <c r="P42268" s="13"/>
    </row>
    <row r="42269">
      <c r="L42269" s="13"/>
      <c r="M42269" s="14"/>
      <c r="N42269" s="14"/>
      <c r="O42269" s="14"/>
      <c r="P42269" s="13"/>
    </row>
    <row r="42270">
      <c r="L42270" s="13"/>
      <c r="M42270" s="14"/>
      <c r="N42270" s="14"/>
      <c r="O42270" s="14"/>
      <c r="P42270" s="13"/>
    </row>
    <row r="42271">
      <c r="L42271" s="13"/>
      <c r="M42271" s="14"/>
      <c r="N42271" s="14"/>
      <c r="O42271" s="14"/>
      <c r="P42271" s="13"/>
    </row>
    <row r="42272">
      <c r="L42272" s="13"/>
      <c r="M42272" s="14"/>
      <c r="N42272" s="14"/>
      <c r="O42272" s="14"/>
      <c r="P42272" s="13"/>
    </row>
    <row r="42273">
      <c r="L42273" s="13"/>
      <c r="M42273" s="14"/>
      <c r="N42273" s="14"/>
      <c r="O42273" s="14"/>
      <c r="P42273" s="13"/>
    </row>
    <row r="42274">
      <c r="L42274" s="13"/>
      <c r="M42274" s="14"/>
      <c r="N42274" s="14"/>
      <c r="O42274" s="14"/>
      <c r="P42274" s="13"/>
    </row>
    <row r="42275">
      <c r="L42275" s="13"/>
      <c r="M42275" s="14"/>
      <c r="N42275" s="14"/>
      <c r="O42275" s="14"/>
      <c r="P42275" s="13"/>
    </row>
    <row r="42276">
      <c r="L42276" s="13"/>
      <c r="M42276" s="14"/>
      <c r="N42276" s="14"/>
      <c r="O42276" s="14"/>
      <c r="P42276" s="13"/>
    </row>
    <row r="42277">
      <c r="L42277" s="13"/>
      <c r="M42277" s="14"/>
      <c r="N42277" s="14"/>
      <c r="O42277" s="14"/>
      <c r="P42277" s="13"/>
    </row>
    <row r="42278">
      <c r="L42278" s="13"/>
      <c r="M42278" s="14"/>
      <c r="N42278" s="14"/>
      <c r="O42278" s="14"/>
      <c r="P42278" s="13"/>
    </row>
    <row r="42279">
      <c r="L42279" s="13"/>
      <c r="M42279" s="14"/>
      <c r="N42279" s="14"/>
      <c r="O42279" s="14"/>
      <c r="P42279" s="13"/>
    </row>
    <row r="42280">
      <c r="L42280" s="13"/>
      <c r="M42280" s="14"/>
      <c r="N42280" s="14"/>
      <c r="O42280" s="14"/>
      <c r="P42280" s="13"/>
    </row>
    <row r="42281">
      <c r="L42281" s="13"/>
      <c r="M42281" s="14"/>
      <c r="N42281" s="14"/>
      <c r="O42281" s="14"/>
      <c r="P42281" s="13"/>
    </row>
    <row r="42282">
      <c r="L42282" s="13"/>
      <c r="M42282" s="14"/>
      <c r="N42282" s="14"/>
      <c r="O42282" s="14"/>
      <c r="P42282" s="13"/>
    </row>
    <row r="42283">
      <c r="L42283" s="13"/>
      <c r="M42283" s="14"/>
      <c r="N42283" s="14"/>
      <c r="O42283" s="14"/>
      <c r="P42283" s="13"/>
    </row>
    <row r="42284">
      <c r="L42284" s="13"/>
      <c r="M42284" s="14"/>
      <c r="N42284" s="14"/>
      <c r="O42284" s="14"/>
      <c r="P42284" s="13"/>
    </row>
    <row r="42285">
      <c r="L42285" s="13"/>
      <c r="M42285" s="14"/>
      <c r="N42285" s="14"/>
      <c r="O42285" s="14"/>
      <c r="P42285" s="13"/>
    </row>
    <row r="42286">
      <c r="L42286" s="13"/>
      <c r="M42286" s="14"/>
      <c r="N42286" s="14"/>
      <c r="O42286" s="14"/>
      <c r="P42286" s="13"/>
    </row>
    <row r="42287">
      <c r="L42287" s="13"/>
      <c r="M42287" s="14"/>
      <c r="N42287" s="14"/>
      <c r="O42287" s="14"/>
      <c r="P42287" s="13"/>
    </row>
    <row r="42288">
      <c r="L42288" s="13"/>
      <c r="M42288" s="14"/>
      <c r="N42288" s="14"/>
      <c r="O42288" s="14"/>
      <c r="P42288" s="13"/>
    </row>
    <row r="42289">
      <c r="L42289" s="13"/>
      <c r="M42289" s="14"/>
      <c r="N42289" s="14"/>
      <c r="O42289" s="14"/>
      <c r="P42289" s="13"/>
    </row>
    <row r="42290">
      <c r="L42290" s="13"/>
      <c r="M42290" s="14"/>
      <c r="N42290" s="14"/>
      <c r="O42290" s="14"/>
      <c r="P42290" s="13"/>
    </row>
    <row r="42291">
      <c r="L42291" s="13"/>
      <c r="M42291" s="14"/>
      <c r="N42291" s="14"/>
      <c r="O42291" s="14"/>
      <c r="P42291" s="13"/>
    </row>
    <row r="42292">
      <c r="L42292" s="13"/>
      <c r="M42292" s="14"/>
      <c r="N42292" s="14"/>
      <c r="O42292" s="14"/>
      <c r="P42292" s="13"/>
    </row>
    <row r="42293">
      <c r="L42293" s="13"/>
      <c r="M42293" s="14"/>
      <c r="N42293" s="14"/>
      <c r="O42293" s="14"/>
      <c r="P42293" s="13"/>
    </row>
    <row r="42294">
      <c r="L42294" s="13"/>
      <c r="M42294" s="14"/>
      <c r="N42294" s="14"/>
      <c r="O42294" s="14"/>
      <c r="P42294" s="13"/>
    </row>
    <row r="42295">
      <c r="L42295" s="13"/>
      <c r="M42295" s="14"/>
      <c r="N42295" s="14"/>
      <c r="O42295" s="14"/>
      <c r="P42295" s="13"/>
    </row>
    <row r="42296">
      <c r="L42296" s="13"/>
      <c r="M42296" s="14"/>
      <c r="N42296" s="14"/>
      <c r="O42296" s="14"/>
      <c r="P42296" s="13"/>
    </row>
    <row r="42297">
      <c r="L42297" s="13"/>
      <c r="M42297" s="14"/>
      <c r="N42297" s="14"/>
      <c r="O42297" s="14"/>
      <c r="P42297" s="13"/>
    </row>
    <row r="42298">
      <c r="L42298" s="13"/>
      <c r="M42298" s="14"/>
      <c r="N42298" s="14"/>
      <c r="O42298" s="14"/>
      <c r="P42298" s="13"/>
    </row>
    <row r="42299">
      <c r="L42299" s="13"/>
      <c r="M42299" s="14"/>
      <c r="N42299" s="14"/>
      <c r="O42299" s="14"/>
      <c r="P42299" s="13"/>
    </row>
    <row r="42300">
      <c r="L42300" s="13"/>
      <c r="M42300" s="14"/>
      <c r="N42300" s="14"/>
      <c r="O42300" s="14"/>
      <c r="P42300" s="13"/>
    </row>
    <row r="42301">
      <c r="L42301" s="13"/>
      <c r="M42301" s="14"/>
      <c r="N42301" s="14"/>
      <c r="O42301" s="14"/>
      <c r="P42301" s="13"/>
    </row>
    <row r="42302">
      <c r="L42302" s="13"/>
      <c r="M42302" s="14"/>
      <c r="N42302" s="14"/>
      <c r="O42302" s="14"/>
      <c r="P42302" s="13"/>
    </row>
    <row r="42303">
      <c r="L42303" s="13"/>
      <c r="M42303" s="14"/>
      <c r="N42303" s="14"/>
      <c r="O42303" s="14"/>
      <c r="P42303" s="13"/>
    </row>
    <row r="42304">
      <c r="L42304" s="13"/>
      <c r="M42304" s="14"/>
      <c r="N42304" s="14"/>
      <c r="O42304" s="14"/>
      <c r="P42304" s="13"/>
    </row>
    <row r="42305">
      <c r="L42305" s="13"/>
      <c r="M42305" s="14"/>
      <c r="N42305" s="14"/>
      <c r="O42305" s="14"/>
      <c r="P42305" s="13"/>
    </row>
    <row r="42306">
      <c r="L42306" s="13"/>
      <c r="M42306" s="14"/>
      <c r="N42306" s="14"/>
      <c r="O42306" s="14"/>
      <c r="P42306" s="13"/>
    </row>
    <row r="42307">
      <c r="L42307" s="13"/>
      <c r="M42307" s="14"/>
      <c r="N42307" s="14"/>
      <c r="O42307" s="14"/>
      <c r="P42307" s="13"/>
    </row>
    <row r="42308">
      <c r="L42308" s="13"/>
      <c r="M42308" s="14"/>
      <c r="N42308" s="14"/>
      <c r="O42308" s="14"/>
      <c r="P42308" s="13"/>
    </row>
    <row r="42309">
      <c r="L42309" s="13"/>
      <c r="M42309" s="14"/>
      <c r="N42309" s="14"/>
      <c r="O42309" s="14"/>
      <c r="P42309" s="13"/>
    </row>
    <row r="42310">
      <c r="L42310" s="13"/>
      <c r="M42310" s="14"/>
      <c r="N42310" s="14"/>
      <c r="O42310" s="14"/>
      <c r="P42310" s="13"/>
    </row>
    <row r="42311">
      <c r="L42311" s="13"/>
      <c r="M42311" s="14"/>
      <c r="N42311" s="14"/>
      <c r="O42311" s="14"/>
      <c r="P42311" s="13"/>
    </row>
    <row r="42312">
      <c r="L42312" s="13"/>
      <c r="M42312" s="14"/>
      <c r="N42312" s="14"/>
      <c r="O42312" s="14"/>
      <c r="P42312" s="13"/>
    </row>
    <row r="42313">
      <c r="L42313" s="13"/>
      <c r="M42313" s="14"/>
      <c r="N42313" s="14"/>
      <c r="O42313" s="14"/>
      <c r="P42313" s="13"/>
    </row>
    <row r="42314">
      <c r="L42314" s="13"/>
      <c r="M42314" s="14"/>
      <c r="N42314" s="14"/>
      <c r="O42314" s="14"/>
      <c r="P42314" s="13"/>
    </row>
    <row r="42315">
      <c r="L42315" s="13"/>
      <c r="M42315" s="14"/>
      <c r="N42315" s="14"/>
      <c r="O42315" s="14"/>
      <c r="P42315" s="13"/>
    </row>
    <row r="42316">
      <c r="L42316" s="13"/>
      <c r="M42316" s="14"/>
      <c r="N42316" s="14"/>
      <c r="O42316" s="14"/>
      <c r="P42316" s="13"/>
    </row>
    <row r="42317">
      <c r="L42317" s="13"/>
      <c r="M42317" s="14"/>
      <c r="N42317" s="14"/>
      <c r="O42317" s="14"/>
      <c r="P42317" s="13"/>
    </row>
    <row r="42318">
      <c r="L42318" s="13"/>
      <c r="M42318" s="14"/>
      <c r="N42318" s="14"/>
      <c r="O42318" s="14"/>
      <c r="P42318" s="13"/>
    </row>
    <row r="42319">
      <c r="L42319" s="13"/>
      <c r="M42319" s="14"/>
      <c r="N42319" s="14"/>
      <c r="O42319" s="14"/>
      <c r="P42319" s="13"/>
    </row>
    <row r="42320">
      <c r="L42320" s="13"/>
      <c r="M42320" s="14"/>
      <c r="N42320" s="14"/>
      <c r="O42320" s="14"/>
      <c r="P42320" s="13"/>
    </row>
    <row r="42321">
      <c r="L42321" s="13"/>
      <c r="M42321" s="14"/>
      <c r="N42321" s="14"/>
      <c r="O42321" s="14"/>
      <c r="P42321" s="13"/>
    </row>
    <row r="42322">
      <c r="L42322" s="13"/>
      <c r="M42322" s="14"/>
      <c r="N42322" s="14"/>
      <c r="O42322" s="14"/>
      <c r="P42322" s="13"/>
    </row>
    <row r="42323">
      <c r="L42323" s="13"/>
      <c r="M42323" s="14"/>
      <c r="N42323" s="14"/>
      <c r="O42323" s="14"/>
      <c r="P42323" s="13"/>
    </row>
    <row r="42324">
      <c r="L42324" s="13"/>
      <c r="M42324" s="14"/>
      <c r="N42324" s="14"/>
      <c r="O42324" s="14"/>
      <c r="P42324" s="13"/>
    </row>
    <row r="42325">
      <c r="L42325" s="13"/>
      <c r="M42325" s="14"/>
      <c r="N42325" s="14"/>
      <c r="O42325" s="14"/>
      <c r="P42325" s="13"/>
    </row>
    <row r="42326">
      <c r="L42326" s="13"/>
      <c r="M42326" s="14"/>
      <c r="N42326" s="14"/>
      <c r="O42326" s="14"/>
      <c r="P42326" s="13"/>
    </row>
    <row r="42327">
      <c r="L42327" s="13"/>
      <c r="M42327" s="14"/>
      <c r="N42327" s="14"/>
      <c r="O42327" s="14"/>
      <c r="P42327" s="13"/>
    </row>
    <row r="42328">
      <c r="L42328" s="13"/>
      <c r="M42328" s="14"/>
      <c r="N42328" s="14"/>
      <c r="O42328" s="14"/>
      <c r="P42328" s="13"/>
    </row>
    <row r="42329">
      <c r="L42329" s="13"/>
      <c r="M42329" s="14"/>
      <c r="N42329" s="14"/>
      <c r="O42329" s="14"/>
      <c r="P42329" s="13"/>
    </row>
    <row r="42330">
      <c r="L42330" s="13"/>
      <c r="M42330" s="14"/>
      <c r="N42330" s="14"/>
      <c r="O42330" s="14"/>
      <c r="P42330" s="13"/>
    </row>
    <row r="42331">
      <c r="L42331" s="13"/>
      <c r="M42331" s="14"/>
      <c r="N42331" s="14"/>
      <c r="O42331" s="14"/>
      <c r="P42331" s="13"/>
    </row>
    <row r="42332">
      <c r="L42332" s="13"/>
      <c r="M42332" s="14"/>
      <c r="N42332" s="14"/>
      <c r="O42332" s="14"/>
      <c r="P42332" s="13"/>
    </row>
    <row r="42333">
      <c r="L42333" s="13"/>
      <c r="M42333" s="14"/>
      <c r="N42333" s="14"/>
      <c r="O42333" s="14"/>
      <c r="P42333" s="13"/>
    </row>
    <row r="42334">
      <c r="L42334" s="13"/>
      <c r="M42334" s="14"/>
      <c r="N42334" s="14"/>
      <c r="O42334" s="14"/>
      <c r="P42334" s="13"/>
    </row>
    <row r="42335">
      <c r="L42335" s="13"/>
      <c r="M42335" s="14"/>
      <c r="N42335" s="14"/>
      <c r="O42335" s="14"/>
      <c r="P42335" s="13"/>
    </row>
    <row r="42336">
      <c r="L42336" s="13"/>
      <c r="M42336" s="14"/>
      <c r="N42336" s="14"/>
      <c r="O42336" s="14"/>
      <c r="P42336" s="13"/>
    </row>
    <row r="42337">
      <c r="L42337" s="13"/>
      <c r="M42337" s="14"/>
      <c r="N42337" s="14"/>
      <c r="O42337" s="14"/>
      <c r="P42337" s="13"/>
    </row>
    <row r="42338">
      <c r="L42338" s="13"/>
      <c r="M42338" s="14"/>
      <c r="N42338" s="14"/>
      <c r="O42338" s="14"/>
      <c r="P42338" s="13"/>
    </row>
    <row r="42339">
      <c r="L42339" s="13"/>
      <c r="M42339" s="14"/>
      <c r="N42339" s="14"/>
      <c r="O42339" s="14"/>
      <c r="P42339" s="13"/>
    </row>
    <row r="42340">
      <c r="L42340" s="13"/>
      <c r="M42340" s="14"/>
      <c r="N42340" s="14"/>
      <c r="O42340" s="14"/>
      <c r="P42340" s="13"/>
    </row>
    <row r="42341">
      <c r="L42341" s="13"/>
      <c r="M42341" s="14"/>
      <c r="N42341" s="14"/>
      <c r="O42341" s="14"/>
      <c r="P42341" s="13"/>
    </row>
    <row r="42342">
      <c r="L42342" s="13"/>
      <c r="M42342" s="14"/>
      <c r="N42342" s="14"/>
      <c r="O42342" s="14"/>
      <c r="P42342" s="13"/>
    </row>
    <row r="42343">
      <c r="L42343" s="13"/>
      <c r="M42343" s="14"/>
      <c r="N42343" s="14"/>
      <c r="O42343" s="14"/>
      <c r="P42343" s="13"/>
    </row>
    <row r="42344">
      <c r="L42344" s="13"/>
      <c r="M42344" s="14"/>
      <c r="N42344" s="14"/>
      <c r="O42344" s="14"/>
      <c r="P42344" s="13"/>
    </row>
    <row r="42345">
      <c r="L42345" s="13"/>
      <c r="M42345" s="14"/>
      <c r="N42345" s="14"/>
      <c r="O42345" s="14"/>
      <c r="P42345" s="13"/>
    </row>
    <row r="42346">
      <c r="L42346" s="13"/>
      <c r="M42346" s="14"/>
      <c r="N42346" s="14"/>
      <c r="O42346" s="14"/>
      <c r="P42346" s="13"/>
    </row>
    <row r="42347">
      <c r="L42347" s="13"/>
      <c r="M42347" s="14"/>
      <c r="N42347" s="14"/>
      <c r="O42347" s="14"/>
      <c r="P42347" s="13"/>
    </row>
    <row r="42348">
      <c r="L42348" s="13"/>
      <c r="M42348" s="14"/>
      <c r="N42348" s="14"/>
      <c r="O42348" s="14"/>
      <c r="P42348" s="13"/>
    </row>
    <row r="42349">
      <c r="L42349" s="13"/>
      <c r="M42349" s="14"/>
      <c r="N42349" s="14"/>
      <c r="O42349" s="14"/>
      <c r="P42349" s="13"/>
    </row>
    <row r="42350">
      <c r="L42350" s="13"/>
      <c r="M42350" s="14"/>
      <c r="N42350" s="14"/>
      <c r="O42350" s="14"/>
      <c r="P42350" s="13"/>
    </row>
    <row r="42351">
      <c r="L42351" s="13"/>
      <c r="M42351" s="14"/>
      <c r="N42351" s="14"/>
      <c r="O42351" s="14"/>
      <c r="P42351" s="13"/>
    </row>
    <row r="42352">
      <c r="L42352" s="13"/>
      <c r="M42352" s="14"/>
      <c r="N42352" s="14"/>
      <c r="O42352" s="14"/>
      <c r="P42352" s="13"/>
    </row>
    <row r="42353">
      <c r="L42353" s="13"/>
      <c r="M42353" s="14"/>
      <c r="N42353" s="14"/>
      <c r="O42353" s="14"/>
      <c r="P42353" s="13"/>
    </row>
    <row r="42354">
      <c r="L42354" s="13"/>
      <c r="M42354" s="14"/>
      <c r="N42354" s="14"/>
      <c r="O42354" s="14"/>
      <c r="P42354" s="13"/>
    </row>
    <row r="42355">
      <c r="L42355" s="13"/>
      <c r="M42355" s="14"/>
      <c r="N42355" s="14"/>
      <c r="O42355" s="14"/>
      <c r="P42355" s="13"/>
    </row>
    <row r="42356">
      <c r="L42356" s="13"/>
      <c r="M42356" s="14"/>
      <c r="N42356" s="14"/>
      <c r="O42356" s="14"/>
      <c r="P42356" s="13"/>
    </row>
    <row r="42357">
      <c r="L42357" s="13"/>
      <c r="M42357" s="14"/>
      <c r="N42357" s="14"/>
      <c r="O42357" s="14"/>
      <c r="P42357" s="13"/>
    </row>
    <row r="42358">
      <c r="L42358" s="13"/>
      <c r="M42358" s="14"/>
      <c r="N42358" s="14"/>
      <c r="O42358" s="14"/>
      <c r="P42358" s="13"/>
    </row>
    <row r="42359">
      <c r="L42359" s="13"/>
      <c r="M42359" s="14"/>
      <c r="N42359" s="14"/>
      <c r="O42359" s="14"/>
      <c r="P42359" s="13"/>
    </row>
    <row r="42360">
      <c r="L42360" s="13"/>
      <c r="M42360" s="14"/>
      <c r="N42360" s="14"/>
      <c r="O42360" s="14"/>
      <c r="P42360" s="13"/>
    </row>
    <row r="42361">
      <c r="L42361" s="13"/>
      <c r="M42361" s="14"/>
      <c r="N42361" s="14"/>
      <c r="O42361" s="14"/>
      <c r="P42361" s="13"/>
    </row>
    <row r="42362">
      <c r="L42362" s="13"/>
      <c r="M42362" s="14"/>
      <c r="N42362" s="14"/>
      <c r="O42362" s="14"/>
      <c r="P42362" s="13"/>
    </row>
    <row r="42363">
      <c r="L42363" s="13"/>
      <c r="M42363" s="14"/>
      <c r="N42363" s="14"/>
      <c r="O42363" s="14"/>
      <c r="P42363" s="13"/>
    </row>
    <row r="42364">
      <c r="L42364" s="13"/>
      <c r="M42364" s="14"/>
      <c r="N42364" s="14"/>
      <c r="O42364" s="14"/>
      <c r="P42364" s="13"/>
    </row>
    <row r="42365">
      <c r="L42365" s="13"/>
      <c r="M42365" s="14"/>
      <c r="N42365" s="14"/>
      <c r="O42365" s="14"/>
      <c r="P42365" s="13"/>
    </row>
    <row r="42366">
      <c r="L42366" s="13"/>
      <c r="M42366" s="14"/>
      <c r="N42366" s="14"/>
      <c r="O42366" s="14"/>
      <c r="P42366" s="13"/>
    </row>
    <row r="42367">
      <c r="L42367" s="13"/>
      <c r="M42367" s="14"/>
      <c r="N42367" s="14"/>
      <c r="O42367" s="14"/>
      <c r="P42367" s="13"/>
    </row>
    <row r="42368">
      <c r="L42368" s="13"/>
      <c r="M42368" s="14"/>
      <c r="N42368" s="14"/>
      <c r="O42368" s="14"/>
      <c r="P42368" s="13"/>
    </row>
    <row r="42369">
      <c r="L42369" s="13"/>
      <c r="M42369" s="14"/>
      <c r="N42369" s="14"/>
      <c r="O42369" s="14"/>
      <c r="P42369" s="13"/>
    </row>
    <row r="42370">
      <c r="L42370" s="13"/>
      <c r="M42370" s="14"/>
      <c r="N42370" s="14"/>
      <c r="O42370" s="14"/>
      <c r="P42370" s="13"/>
    </row>
    <row r="42371">
      <c r="L42371" s="13"/>
      <c r="M42371" s="14"/>
      <c r="N42371" s="14"/>
      <c r="O42371" s="14"/>
      <c r="P42371" s="13"/>
    </row>
    <row r="42372">
      <c r="L42372" s="13"/>
      <c r="M42372" s="14"/>
      <c r="N42372" s="14"/>
      <c r="O42372" s="14"/>
      <c r="P42372" s="13"/>
    </row>
    <row r="42373">
      <c r="L42373" s="13"/>
      <c r="M42373" s="14"/>
      <c r="N42373" s="14"/>
      <c r="O42373" s="14"/>
      <c r="P42373" s="13"/>
    </row>
    <row r="42374">
      <c r="L42374" s="13"/>
      <c r="M42374" s="14"/>
      <c r="N42374" s="14"/>
      <c r="O42374" s="14"/>
      <c r="P42374" s="13"/>
    </row>
    <row r="42375">
      <c r="L42375" s="13"/>
      <c r="M42375" s="14"/>
      <c r="N42375" s="14"/>
      <c r="O42375" s="14"/>
      <c r="P42375" s="13"/>
    </row>
    <row r="42376">
      <c r="L42376" s="13"/>
      <c r="M42376" s="14"/>
      <c r="N42376" s="14"/>
      <c r="O42376" s="14"/>
      <c r="P42376" s="13"/>
    </row>
    <row r="42377">
      <c r="L42377" s="13"/>
      <c r="M42377" s="14"/>
      <c r="N42377" s="14"/>
      <c r="O42377" s="14"/>
      <c r="P42377" s="13"/>
    </row>
    <row r="42378">
      <c r="L42378" s="13"/>
      <c r="M42378" s="14"/>
      <c r="N42378" s="14"/>
      <c r="O42378" s="14"/>
      <c r="P42378" s="13"/>
    </row>
    <row r="42379">
      <c r="L42379" s="13"/>
      <c r="M42379" s="14"/>
      <c r="N42379" s="14"/>
      <c r="O42379" s="14"/>
      <c r="P42379" s="13"/>
    </row>
    <row r="42380">
      <c r="L42380" s="13"/>
      <c r="M42380" s="14"/>
      <c r="N42380" s="14"/>
      <c r="O42380" s="14"/>
      <c r="P42380" s="13"/>
    </row>
    <row r="42381">
      <c r="L42381" s="13"/>
      <c r="M42381" s="14"/>
      <c r="N42381" s="14"/>
      <c r="O42381" s="14"/>
      <c r="P42381" s="13"/>
    </row>
    <row r="42382">
      <c r="L42382" s="13"/>
      <c r="M42382" s="14"/>
      <c r="N42382" s="14"/>
      <c r="O42382" s="14"/>
      <c r="P42382" s="13"/>
    </row>
    <row r="42383">
      <c r="L42383" s="13"/>
      <c r="M42383" s="14"/>
      <c r="N42383" s="14"/>
      <c r="O42383" s="14"/>
      <c r="P42383" s="13"/>
    </row>
    <row r="42384">
      <c r="L42384" s="13"/>
      <c r="M42384" s="14"/>
      <c r="N42384" s="14"/>
      <c r="O42384" s="14"/>
      <c r="P42384" s="13"/>
    </row>
    <row r="42385">
      <c r="L42385" s="13"/>
      <c r="M42385" s="14"/>
      <c r="N42385" s="14"/>
      <c r="O42385" s="14"/>
      <c r="P42385" s="13"/>
    </row>
    <row r="42386">
      <c r="L42386" s="13"/>
      <c r="M42386" s="14"/>
      <c r="N42386" s="14"/>
      <c r="O42386" s="14"/>
      <c r="P42386" s="13"/>
    </row>
    <row r="42387">
      <c r="L42387" s="13"/>
      <c r="M42387" s="14"/>
      <c r="N42387" s="14"/>
      <c r="O42387" s="14"/>
      <c r="P42387" s="13"/>
    </row>
    <row r="42388">
      <c r="L42388" s="13"/>
      <c r="M42388" s="14"/>
      <c r="N42388" s="14"/>
      <c r="O42388" s="14"/>
      <c r="P42388" s="13"/>
    </row>
    <row r="42389">
      <c r="L42389" s="13"/>
      <c r="M42389" s="14"/>
      <c r="N42389" s="14"/>
      <c r="O42389" s="14"/>
      <c r="P42389" s="13"/>
    </row>
    <row r="42390">
      <c r="L42390" s="13"/>
      <c r="M42390" s="14"/>
      <c r="N42390" s="14"/>
      <c r="O42390" s="14"/>
      <c r="P42390" s="13"/>
    </row>
    <row r="42391">
      <c r="L42391" s="13"/>
      <c r="M42391" s="14"/>
      <c r="N42391" s="14"/>
      <c r="O42391" s="14"/>
      <c r="P42391" s="13"/>
    </row>
    <row r="42392">
      <c r="L42392" s="13"/>
      <c r="M42392" s="14"/>
      <c r="N42392" s="14"/>
      <c r="O42392" s="14"/>
      <c r="P42392" s="13"/>
    </row>
    <row r="42393">
      <c r="L42393" s="13"/>
      <c r="M42393" s="14"/>
      <c r="N42393" s="14"/>
      <c r="O42393" s="14"/>
      <c r="P42393" s="13"/>
    </row>
    <row r="42394">
      <c r="L42394" s="13"/>
      <c r="M42394" s="14"/>
      <c r="N42394" s="14"/>
      <c r="O42394" s="14"/>
      <c r="P42394" s="13"/>
    </row>
    <row r="42395">
      <c r="L42395" s="13"/>
      <c r="M42395" s="14"/>
      <c r="N42395" s="14"/>
      <c r="O42395" s="14"/>
      <c r="P42395" s="13"/>
    </row>
    <row r="42396">
      <c r="L42396" s="13"/>
      <c r="M42396" s="14"/>
      <c r="N42396" s="14"/>
      <c r="O42396" s="14"/>
      <c r="P42396" s="13"/>
    </row>
    <row r="42397">
      <c r="L42397" s="13"/>
      <c r="M42397" s="14"/>
      <c r="N42397" s="14"/>
      <c r="O42397" s="14"/>
      <c r="P42397" s="13"/>
    </row>
    <row r="42398">
      <c r="L42398" s="13"/>
      <c r="M42398" s="14"/>
      <c r="N42398" s="14"/>
      <c r="O42398" s="14"/>
      <c r="P42398" s="13"/>
    </row>
    <row r="42399">
      <c r="L42399" s="13"/>
      <c r="M42399" s="14"/>
      <c r="N42399" s="14"/>
      <c r="O42399" s="14"/>
      <c r="P42399" s="13"/>
    </row>
    <row r="42400">
      <c r="L42400" s="13"/>
      <c r="M42400" s="14"/>
      <c r="N42400" s="14"/>
      <c r="O42400" s="14"/>
      <c r="P42400" s="13"/>
    </row>
    <row r="42401">
      <c r="L42401" s="13"/>
      <c r="M42401" s="14"/>
      <c r="N42401" s="14"/>
      <c r="O42401" s="14"/>
      <c r="P42401" s="13"/>
    </row>
    <row r="42402">
      <c r="L42402" s="13"/>
      <c r="M42402" s="14"/>
      <c r="N42402" s="14"/>
      <c r="O42402" s="14"/>
      <c r="P42402" s="13"/>
    </row>
    <row r="42403">
      <c r="L42403" s="13"/>
      <c r="M42403" s="14"/>
      <c r="N42403" s="14"/>
      <c r="O42403" s="14"/>
      <c r="P42403" s="13"/>
    </row>
    <row r="42404">
      <c r="L42404" s="13"/>
      <c r="M42404" s="14"/>
      <c r="N42404" s="14"/>
      <c r="O42404" s="14"/>
      <c r="P42404" s="13"/>
    </row>
    <row r="42405">
      <c r="L42405" s="13"/>
      <c r="M42405" s="14"/>
      <c r="N42405" s="14"/>
      <c r="O42405" s="14"/>
      <c r="P42405" s="13"/>
    </row>
    <row r="42406">
      <c r="L42406" s="13"/>
      <c r="M42406" s="14"/>
      <c r="N42406" s="14"/>
      <c r="O42406" s="14"/>
      <c r="P42406" s="13"/>
    </row>
    <row r="42407">
      <c r="L42407" s="13"/>
      <c r="M42407" s="14"/>
      <c r="N42407" s="14"/>
      <c r="O42407" s="14"/>
      <c r="P42407" s="13"/>
    </row>
    <row r="42408">
      <c r="L42408" s="13"/>
      <c r="M42408" s="14"/>
      <c r="N42408" s="14"/>
      <c r="O42408" s="14"/>
      <c r="P42408" s="13"/>
    </row>
    <row r="42409">
      <c r="L42409" s="13"/>
      <c r="M42409" s="14"/>
      <c r="N42409" s="14"/>
      <c r="O42409" s="14"/>
      <c r="P42409" s="13"/>
    </row>
    <row r="42410">
      <c r="L42410" s="13"/>
      <c r="M42410" s="14"/>
      <c r="N42410" s="14"/>
      <c r="O42410" s="14"/>
      <c r="P42410" s="13"/>
    </row>
    <row r="42411">
      <c r="L42411" s="13"/>
      <c r="M42411" s="14"/>
      <c r="N42411" s="14"/>
      <c r="O42411" s="14"/>
      <c r="P42411" s="13"/>
    </row>
    <row r="42412">
      <c r="L42412" s="13"/>
      <c r="M42412" s="14"/>
      <c r="N42412" s="14"/>
      <c r="O42412" s="14"/>
      <c r="P42412" s="13"/>
    </row>
    <row r="42413">
      <c r="L42413" s="13"/>
      <c r="M42413" s="14"/>
      <c r="N42413" s="14"/>
      <c r="O42413" s="14"/>
      <c r="P42413" s="13"/>
    </row>
    <row r="42414">
      <c r="L42414" s="13"/>
      <c r="M42414" s="14"/>
      <c r="N42414" s="14"/>
      <c r="O42414" s="14"/>
      <c r="P42414" s="13"/>
    </row>
    <row r="42415">
      <c r="L42415" s="13"/>
      <c r="M42415" s="14"/>
      <c r="N42415" s="14"/>
      <c r="O42415" s="14"/>
      <c r="P42415" s="13"/>
    </row>
    <row r="42416">
      <c r="L42416" s="13"/>
      <c r="M42416" s="14"/>
      <c r="N42416" s="14"/>
      <c r="O42416" s="14"/>
      <c r="P42416" s="13"/>
    </row>
    <row r="42417">
      <c r="L42417" s="13"/>
      <c r="M42417" s="14"/>
      <c r="N42417" s="14"/>
      <c r="O42417" s="14"/>
      <c r="P42417" s="13"/>
    </row>
    <row r="42418">
      <c r="L42418" s="13"/>
      <c r="M42418" s="14"/>
      <c r="N42418" s="14"/>
      <c r="O42418" s="14"/>
      <c r="P42418" s="13"/>
    </row>
    <row r="42419">
      <c r="L42419" s="13"/>
      <c r="M42419" s="14"/>
      <c r="N42419" s="14"/>
      <c r="O42419" s="14"/>
      <c r="P42419" s="13"/>
    </row>
    <row r="42420">
      <c r="L42420" s="13"/>
      <c r="M42420" s="14"/>
      <c r="N42420" s="14"/>
      <c r="O42420" s="14"/>
      <c r="P42420" s="13"/>
    </row>
    <row r="42421">
      <c r="L42421" s="13"/>
      <c r="M42421" s="14"/>
      <c r="N42421" s="14"/>
      <c r="O42421" s="14"/>
      <c r="P42421" s="13"/>
    </row>
    <row r="42422">
      <c r="L42422" s="13"/>
      <c r="M42422" s="14"/>
      <c r="N42422" s="14"/>
      <c r="O42422" s="14"/>
      <c r="P42422" s="13"/>
    </row>
    <row r="42423">
      <c r="L42423" s="13"/>
      <c r="M42423" s="14"/>
      <c r="N42423" s="14"/>
      <c r="O42423" s="14"/>
      <c r="P42423" s="13"/>
    </row>
    <row r="42424">
      <c r="L42424" s="13"/>
      <c r="M42424" s="14"/>
      <c r="N42424" s="14"/>
      <c r="O42424" s="14"/>
      <c r="P42424" s="13"/>
    </row>
    <row r="42425">
      <c r="L42425" s="13"/>
      <c r="M42425" s="14"/>
      <c r="N42425" s="14"/>
      <c r="O42425" s="14"/>
      <c r="P42425" s="13"/>
    </row>
    <row r="42426">
      <c r="L42426" s="13"/>
      <c r="M42426" s="14"/>
      <c r="N42426" s="14"/>
      <c r="O42426" s="14"/>
      <c r="P42426" s="13"/>
    </row>
    <row r="42427">
      <c r="L42427" s="13"/>
      <c r="M42427" s="14"/>
      <c r="N42427" s="14"/>
      <c r="O42427" s="14"/>
      <c r="P42427" s="13"/>
    </row>
    <row r="42428">
      <c r="L42428" s="13"/>
      <c r="M42428" s="14"/>
      <c r="N42428" s="14"/>
      <c r="O42428" s="14"/>
      <c r="P42428" s="13"/>
    </row>
    <row r="42429">
      <c r="L42429" s="13"/>
      <c r="M42429" s="14"/>
      <c r="N42429" s="14"/>
      <c r="O42429" s="14"/>
      <c r="P42429" s="13"/>
    </row>
    <row r="42430">
      <c r="L42430" s="13"/>
      <c r="M42430" s="14"/>
      <c r="N42430" s="14"/>
      <c r="O42430" s="14"/>
      <c r="P42430" s="13"/>
    </row>
    <row r="42431">
      <c r="L42431" s="13"/>
      <c r="M42431" s="14"/>
      <c r="N42431" s="14"/>
      <c r="O42431" s="14"/>
      <c r="P42431" s="13"/>
    </row>
    <row r="42432">
      <c r="L42432" s="13"/>
      <c r="M42432" s="14"/>
      <c r="N42432" s="14"/>
      <c r="O42432" s="14"/>
      <c r="P42432" s="13"/>
    </row>
    <row r="42433">
      <c r="L42433" s="13"/>
      <c r="M42433" s="14"/>
      <c r="N42433" s="14"/>
      <c r="O42433" s="14"/>
      <c r="P42433" s="13"/>
    </row>
    <row r="42434">
      <c r="L42434" s="13"/>
      <c r="M42434" s="14"/>
      <c r="N42434" s="14"/>
      <c r="O42434" s="14"/>
      <c r="P42434" s="13"/>
    </row>
    <row r="42435">
      <c r="L42435" s="13"/>
      <c r="M42435" s="14"/>
      <c r="N42435" s="14"/>
      <c r="O42435" s="14"/>
      <c r="P42435" s="13"/>
    </row>
    <row r="42436">
      <c r="L42436" s="13"/>
      <c r="M42436" s="14"/>
      <c r="N42436" s="14"/>
      <c r="O42436" s="14"/>
      <c r="P42436" s="13"/>
    </row>
    <row r="42437">
      <c r="L42437" s="13"/>
      <c r="M42437" s="14"/>
      <c r="N42437" s="14"/>
      <c r="O42437" s="14"/>
      <c r="P42437" s="13"/>
    </row>
    <row r="42438">
      <c r="L42438" s="13"/>
      <c r="M42438" s="14"/>
      <c r="N42438" s="14"/>
      <c r="O42438" s="14"/>
      <c r="P42438" s="13"/>
    </row>
    <row r="42439">
      <c r="L42439" s="13"/>
      <c r="M42439" s="14"/>
      <c r="N42439" s="14"/>
      <c r="O42439" s="14"/>
      <c r="P42439" s="13"/>
    </row>
    <row r="42440">
      <c r="L42440" s="13"/>
      <c r="M42440" s="14"/>
      <c r="N42440" s="14"/>
      <c r="O42440" s="14"/>
      <c r="P42440" s="13"/>
    </row>
    <row r="42441">
      <c r="L42441" s="13"/>
      <c r="M42441" s="14"/>
      <c r="N42441" s="14"/>
      <c r="O42441" s="14"/>
      <c r="P42441" s="13"/>
    </row>
    <row r="42442">
      <c r="L42442" s="13"/>
      <c r="M42442" s="14"/>
      <c r="N42442" s="14"/>
      <c r="O42442" s="14"/>
      <c r="P42442" s="13"/>
    </row>
    <row r="42443">
      <c r="L42443" s="13"/>
      <c r="M42443" s="14"/>
      <c r="N42443" s="14"/>
      <c r="O42443" s="14"/>
      <c r="P42443" s="13"/>
    </row>
    <row r="42444">
      <c r="L42444" s="13"/>
      <c r="M42444" s="14"/>
      <c r="N42444" s="14"/>
      <c r="O42444" s="14"/>
      <c r="P42444" s="13"/>
    </row>
    <row r="42445">
      <c r="L42445" s="13"/>
      <c r="M42445" s="14"/>
      <c r="N42445" s="14"/>
      <c r="O42445" s="14"/>
      <c r="P42445" s="13"/>
    </row>
    <row r="42446">
      <c r="L42446" s="13"/>
      <c r="M42446" s="14"/>
      <c r="N42446" s="14"/>
      <c r="O42446" s="14"/>
      <c r="P42446" s="13"/>
    </row>
    <row r="42447">
      <c r="L42447" s="13"/>
      <c r="M42447" s="14"/>
      <c r="N42447" s="14"/>
      <c r="O42447" s="14"/>
      <c r="P42447" s="13"/>
    </row>
    <row r="42448">
      <c r="L42448" s="13"/>
      <c r="M42448" s="14"/>
      <c r="N42448" s="14"/>
      <c r="O42448" s="14"/>
      <c r="P42448" s="13"/>
    </row>
    <row r="42449">
      <c r="L42449" s="13"/>
      <c r="M42449" s="14"/>
      <c r="N42449" s="14"/>
      <c r="O42449" s="14"/>
      <c r="P42449" s="13"/>
    </row>
    <row r="42450">
      <c r="L42450" s="13"/>
      <c r="M42450" s="14"/>
      <c r="N42450" s="14"/>
      <c r="O42450" s="14"/>
      <c r="P42450" s="13"/>
    </row>
    <row r="42451">
      <c r="L42451" s="13"/>
      <c r="M42451" s="14"/>
      <c r="N42451" s="14"/>
      <c r="O42451" s="14"/>
      <c r="P42451" s="13"/>
    </row>
    <row r="42452">
      <c r="L42452" s="13"/>
      <c r="M42452" s="14"/>
      <c r="N42452" s="14"/>
      <c r="O42452" s="14"/>
      <c r="P42452" s="13"/>
    </row>
    <row r="42453">
      <c r="L42453" s="13"/>
      <c r="M42453" s="14"/>
      <c r="N42453" s="14"/>
      <c r="O42453" s="14"/>
      <c r="P42453" s="13"/>
    </row>
    <row r="42454">
      <c r="L42454" s="13"/>
      <c r="M42454" s="14"/>
      <c r="N42454" s="14"/>
      <c r="O42454" s="14"/>
      <c r="P42454" s="13"/>
    </row>
    <row r="42455">
      <c r="L42455" s="13"/>
      <c r="M42455" s="14"/>
      <c r="N42455" s="14"/>
      <c r="O42455" s="14"/>
      <c r="P42455" s="13"/>
    </row>
    <row r="42456">
      <c r="L42456" s="13"/>
      <c r="M42456" s="14"/>
      <c r="N42456" s="14"/>
      <c r="O42456" s="14"/>
      <c r="P42456" s="13"/>
    </row>
    <row r="42457">
      <c r="L42457" s="13"/>
      <c r="M42457" s="14"/>
      <c r="N42457" s="14"/>
      <c r="O42457" s="14"/>
      <c r="P42457" s="13"/>
    </row>
    <row r="42458">
      <c r="L42458" s="13"/>
      <c r="M42458" s="14"/>
      <c r="N42458" s="14"/>
      <c r="O42458" s="14"/>
      <c r="P42458" s="13"/>
    </row>
    <row r="42459">
      <c r="L42459" s="13"/>
      <c r="M42459" s="14"/>
      <c r="N42459" s="14"/>
      <c r="O42459" s="14"/>
      <c r="P42459" s="13"/>
    </row>
    <row r="42460">
      <c r="L42460" s="13"/>
      <c r="M42460" s="14"/>
      <c r="N42460" s="14"/>
      <c r="O42460" s="14"/>
      <c r="P42460" s="13"/>
    </row>
    <row r="42461">
      <c r="L42461" s="13"/>
      <c r="M42461" s="14"/>
      <c r="N42461" s="14"/>
      <c r="O42461" s="14"/>
      <c r="P42461" s="13"/>
    </row>
    <row r="42462">
      <c r="L42462" s="13"/>
      <c r="M42462" s="14"/>
      <c r="N42462" s="14"/>
      <c r="O42462" s="14"/>
      <c r="P42462" s="13"/>
    </row>
    <row r="42463">
      <c r="L42463" s="13"/>
      <c r="M42463" s="14"/>
      <c r="N42463" s="14"/>
      <c r="O42463" s="14"/>
      <c r="P42463" s="13"/>
    </row>
    <row r="42464">
      <c r="L42464" s="13"/>
      <c r="M42464" s="14"/>
      <c r="N42464" s="14"/>
      <c r="O42464" s="14"/>
      <c r="P42464" s="13"/>
    </row>
    <row r="42465">
      <c r="L42465" s="13"/>
      <c r="M42465" s="14"/>
      <c r="N42465" s="14"/>
      <c r="O42465" s="14"/>
      <c r="P42465" s="13"/>
    </row>
    <row r="42466">
      <c r="L42466" s="13"/>
      <c r="M42466" s="14"/>
      <c r="N42466" s="14"/>
      <c r="O42466" s="14"/>
      <c r="P42466" s="13"/>
    </row>
    <row r="42467">
      <c r="L42467" s="13"/>
      <c r="M42467" s="14"/>
      <c r="N42467" s="14"/>
      <c r="O42467" s="14"/>
      <c r="P42467" s="13"/>
    </row>
    <row r="42468">
      <c r="L42468" s="13"/>
      <c r="M42468" s="14"/>
      <c r="N42468" s="14"/>
      <c r="O42468" s="14"/>
      <c r="P42468" s="13"/>
    </row>
    <row r="42469">
      <c r="L42469" s="13"/>
      <c r="M42469" s="14"/>
      <c r="N42469" s="14"/>
      <c r="O42469" s="14"/>
      <c r="P42469" s="13"/>
    </row>
    <row r="42470">
      <c r="L42470" s="13"/>
      <c r="M42470" s="14"/>
      <c r="N42470" s="14"/>
      <c r="O42470" s="14"/>
      <c r="P42470" s="13"/>
    </row>
    <row r="42471">
      <c r="L42471" s="13"/>
      <c r="M42471" s="14"/>
      <c r="N42471" s="14"/>
      <c r="O42471" s="14"/>
      <c r="P42471" s="13"/>
    </row>
    <row r="42472">
      <c r="L42472" s="13"/>
      <c r="M42472" s="14"/>
      <c r="N42472" s="14"/>
      <c r="O42472" s="14"/>
      <c r="P42472" s="13"/>
    </row>
    <row r="42473">
      <c r="L42473" s="13"/>
      <c r="M42473" s="14"/>
      <c r="N42473" s="14"/>
      <c r="O42473" s="14"/>
      <c r="P42473" s="13"/>
    </row>
    <row r="42474">
      <c r="L42474" s="13"/>
      <c r="M42474" s="14"/>
      <c r="N42474" s="14"/>
      <c r="O42474" s="14"/>
      <c r="P42474" s="13"/>
    </row>
    <row r="42475">
      <c r="L42475" s="13"/>
      <c r="M42475" s="14"/>
      <c r="N42475" s="14"/>
      <c r="O42475" s="14"/>
      <c r="P42475" s="13"/>
    </row>
    <row r="42476">
      <c r="L42476" s="13"/>
      <c r="M42476" s="14"/>
      <c r="N42476" s="14"/>
      <c r="O42476" s="14"/>
      <c r="P42476" s="13"/>
    </row>
    <row r="42477">
      <c r="L42477" s="13"/>
      <c r="M42477" s="14"/>
      <c r="N42477" s="14"/>
      <c r="O42477" s="14"/>
      <c r="P42477" s="13"/>
    </row>
    <row r="42478">
      <c r="L42478" s="13"/>
      <c r="M42478" s="14"/>
      <c r="N42478" s="14"/>
      <c r="O42478" s="14"/>
      <c r="P42478" s="13"/>
    </row>
    <row r="42479">
      <c r="L42479" s="13"/>
      <c r="M42479" s="14"/>
      <c r="N42479" s="14"/>
      <c r="O42479" s="14"/>
      <c r="P42479" s="13"/>
    </row>
    <row r="42480">
      <c r="L42480" s="13"/>
      <c r="M42480" s="14"/>
      <c r="N42480" s="14"/>
      <c r="O42480" s="14"/>
      <c r="P42480" s="13"/>
    </row>
    <row r="42481">
      <c r="L42481" s="13"/>
      <c r="M42481" s="14"/>
      <c r="N42481" s="14"/>
      <c r="O42481" s="14"/>
      <c r="P42481" s="13"/>
    </row>
    <row r="42482">
      <c r="L42482" s="13"/>
      <c r="M42482" s="14"/>
      <c r="N42482" s="14"/>
      <c r="O42482" s="14"/>
      <c r="P42482" s="13"/>
    </row>
    <row r="42483">
      <c r="L42483" s="13"/>
      <c r="M42483" s="14"/>
      <c r="N42483" s="14"/>
      <c r="O42483" s="14"/>
      <c r="P42483" s="13"/>
    </row>
    <row r="42484">
      <c r="L42484" s="13"/>
      <c r="M42484" s="14"/>
      <c r="N42484" s="14"/>
      <c r="O42484" s="14"/>
      <c r="P42484" s="13"/>
    </row>
    <row r="42485">
      <c r="L42485" s="13"/>
      <c r="M42485" s="14"/>
      <c r="N42485" s="14"/>
      <c r="O42485" s="14"/>
      <c r="P42485" s="13"/>
    </row>
    <row r="42486">
      <c r="L42486" s="13"/>
      <c r="M42486" s="14"/>
      <c r="N42486" s="14"/>
      <c r="O42486" s="14"/>
      <c r="P42486" s="13"/>
    </row>
    <row r="42487">
      <c r="L42487" s="13"/>
      <c r="M42487" s="14"/>
      <c r="N42487" s="14"/>
      <c r="O42487" s="14"/>
      <c r="P42487" s="13"/>
    </row>
    <row r="42488">
      <c r="L42488" s="13"/>
      <c r="M42488" s="14"/>
      <c r="N42488" s="14"/>
      <c r="O42488" s="14"/>
      <c r="P42488" s="13"/>
    </row>
    <row r="42489">
      <c r="L42489" s="13"/>
      <c r="M42489" s="14"/>
      <c r="N42489" s="14"/>
      <c r="O42489" s="14"/>
      <c r="P42489" s="13"/>
    </row>
    <row r="42490">
      <c r="L42490" s="13"/>
      <c r="M42490" s="14"/>
      <c r="N42490" s="14"/>
      <c r="O42490" s="14"/>
      <c r="P42490" s="13"/>
    </row>
    <row r="42491">
      <c r="L42491" s="13"/>
      <c r="M42491" s="14"/>
      <c r="N42491" s="14"/>
      <c r="O42491" s="14"/>
      <c r="P42491" s="13"/>
    </row>
    <row r="42492">
      <c r="L42492" s="13"/>
      <c r="M42492" s="14"/>
      <c r="N42492" s="14"/>
      <c r="O42492" s="14"/>
      <c r="P42492" s="13"/>
    </row>
    <row r="42493">
      <c r="L42493" s="13"/>
      <c r="M42493" s="14"/>
      <c r="N42493" s="14"/>
      <c r="O42493" s="14"/>
      <c r="P42493" s="13"/>
    </row>
    <row r="42494">
      <c r="L42494" s="13"/>
      <c r="M42494" s="14"/>
      <c r="N42494" s="14"/>
      <c r="O42494" s="14"/>
      <c r="P42494" s="13"/>
    </row>
    <row r="42495">
      <c r="L42495" s="13"/>
      <c r="M42495" s="14"/>
      <c r="N42495" s="14"/>
      <c r="O42495" s="14"/>
      <c r="P42495" s="13"/>
    </row>
    <row r="42496">
      <c r="L42496" s="13"/>
      <c r="M42496" s="14"/>
      <c r="N42496" s="14"/>
      <c r="O42496" s="14"/>
      <c r="P42496" s="13"/>
    </row>
    <row r="42497">
      <c r="L42497" s="13"/>
      <c r="M42497" s="14"/>
      <c r="N42497" s="14"/>
      <c r="O42497" s="14"/>
      <c r="P42497" s="13"/>
    </row>
    <row r="42498">
      <c r="L42498" s="13"/>
      <c r="M42498" s="14"/>
      <c r="N42498" s="14"/>
      <c r="O42498" s="14"/>
      <c r="P42498" s="13"/>
    </row>
    <row r="42499">
      <c r="L42499" s="13"/>
      <c r="M42499" s="14"/>
      <c r="N42499" s="14"/>
      <c r="O42499" s="14"/>
      <c r="P42499" s="13"/>
    </row>
    <row r="42500">
      <c r="L42500" s="13"/>
      <c r="M42500" s="14"/>
      <c r="N42500" s="14"/>
      <c r="O42500" s="14"/>
      <c r="P42500" s="13"/>
    </row>
    <row r="42501">
      <c r="L42501" s="13"/>
      <c r="M42501" s="14"/>
      <c r="N42501" s="14"/>
      <c r="O42501" s="14"/>
      <c r="P42501" s="13"/>
    </row>
    <row r="42502">
      <c r="L42502" s="13"/>
      <c r="M42502" s="14"/>
      <c r="N42502" s="14"/>
      <c r="O42502" s="14"/>
      <c r="P42502" s="13"/>
    </row>
    <row r="42503">
      <c r="L42503" s="13"/>
      <c r="M42503" s="14"/>
      <c r="N42503" s="14"/>
      <c r="O42503" s="14"/>
      <c r="P42503" s="13"/>
    </row>
    <row r="42504">
      <c r="L42504" s="13"/>
      <c r="M42504" s="14"/>
      <c r="N42504" s="14"/>
      <c r="O42504" s="14"/>
      <c r="P42504" s="13"/>
    </row>
    <row r="42505">
      <c r="L42505" s="13"/>
      <c r="M42505" s="14"/>
      <c r="N42505" s="14"/>
      <c r="O42505" s="14"/>
      <c r="P42505" s="13"/>
    </row>
    <row r="42506">
      <c r="L42506" s="13"/>
      <c r="M42506" s="14"/>
      <c r="N42506" s="14"/>
      <c r="O42506" s="14"/>
      <c r="P42506" s="13"/>
    </row>
    <row r="42507">
      <c r="L42507" s="13"/>
      <c r="M42507" s="14"/>
      <c r="N42507" s="14"/>
      <c r="O42507" s="14"/>
      <c r="P42507" s="13"/>
    </row>
    <row r="42508">
      <c r="L42508" s="13"/>
      <c r="M42508" s="14"/>
      <c r="N42508" s="14"/>
      <c r="O42508" s="14"/>
      <c r="P42508" s="13"/>
    </row>
    <row r="42509">
      <c r="L42509" s="13"/>
      <c r="M42509" s="14"/>
      <c r="N42509" s="14"/>
      <c r="O42509" s="14"/>
      <c r="P42509" s="13"/>
    </row>
    <row r="42510">
      <c r="L42510" s="13"/>
      <c r="M42510" s="14"/>
      <c r="N42510" s="14"/>
      <c r="O42510" s="14"/>
      <c r="P42510" s="13"/>
    </row>
    <row r="42511">
      <c r="L42511" s="13"/>
      <c r="M42511" s="14"/>
      <c r="N42511" s="14"/>
      <c r="O42511" s="14"/>
      <c r="P42511" s="13"/>
    </row>
    <row r="42512">
      <c r="L42512" s="13"/>
      <c r="M42512" s="14"/>
      <c r="N42512" s="14"/>
      <c r="O42512" s="14"/>
      <c r="P42512" s="13"/>
    </row>
    <row r="42513">
      <c r="L42513" s="13"/>
      <c r="M42513" s="14"/>
      <c r="N42513" s="14"/>
      <c r="O42513" s="14"/>
      <c r="P42513" s="13"/>
    </row>
    <row r="42514">
      <c r="L42514" s="13"/>
      <c r="M42514" s="14"/>
      <c r="N42514" s="14"/>
      <c r="O42514" s="14"/>
      <c r="P42514" s="13"/>
    </row>
    <row r="42515">
      <c r="L42515" s="13"/>
      <c r="M42515" s="14"/>
      <c r="N42515" s="14"/>
      <c r="O42515" s="14"/>
      <c r="P42515" s="13"/>
    </row>
    <row r="42516">
      <c r="L42516" s="13"/>
      <c r="M42516" s="14"/>
      <c r="N42516" s="14"/>
      <c r="O42516" s="14"/>
      <c r="P42516" s="13"/>
    </row>
    <row r="42517">
      <c r="L42517" s="13"/>
      <c r="M42517" s="14"/>
      <c r="N42517" s="14"/>
      <c r="O42517" s="14"/>
      <c r="P42517" s="13"/>
    </row>
    <row r="42518">
      <c r="L42518" s="13"/>
      <c r="M42518" s="14"/>
      <c r="N42518" s="14"/>
      <c r="O42518" s="14"/>
      <c r="P42518" s="13"/>
    </row>
    <row r="42519">
      <c r="L42519" s="13"/>
      <c r="M42519" s="14"/>
      <c r="N42519" s="14"/>
      <c r="O42519" s="14"/>
      <c r="P42519" s="13"/>
    </row>
    <row r="42520">
      <c r="L42520" s="13"/>
      <c r="M42520" s="14"/>
      <c r="N42520" s="14"/>
      <c r="O42520" s="14"/>
      <c r="P42520" s="13"/>
    </row>
    <row r="42521">
      <c r="L42521" s="13"/>
      <c r="M42521" s="14"/>
      <c r="N42521" s="14"/>
      <c r="O42521" s="14"/>
      <c r="P42521" s="13"/>
    </row>
    <row r="42522">
      <c r="L42522" s="13"/>
      <c r="M42522" s="14"/>
      <c r="N42522" s="14"/>
      <c r="O42522" s="14"/>
      <c r="P42522" s="13"/>
    </row>
    <row r="42523">
      <c r="L42523" s="13"/>
      <c r="M42523" s="14"/>
      <c r="N42523" s="14"/>
      <c r="O42523" s="14"/>
      <c r="P42523" s="13"/>
    </row>
    <row r="42524">
      <c r="L42524" s="13"/>
      <c r="M42524" s="14"/>
      <c r="N42524" s="14"/>
      <c r="O42524" s="14"/>
      <c r="P42524" s="13"/>
    </row>
    <row r="42525">
      <c r="L42525" s="13"/>
      <c r="M42525" s="14"/>
      <c r="N42525" s="14"/>
      <c r="O42525" s="14"/>
      <c r="P42525" s="13"/>
    </row>
    <row r="42526">
      <c r="L42526" s="13"/>
      <c r="M42526" s="14"/>
      <c r="N42526" s="14"/>
      <c r="O42526" s="14"/>
      <c r="P42526" s="13"/>
    </row>
    <row r="42527">
      <c r="L42527" s="13"/>
      <c r="M42527" s="14"/>
      <c r="N42527" s="14"/>
      <c r="O42527" s="14"/>
      <c r="P42527" s="13"/>
    </row>
    <row r="42528">
      <c r="L42528" s="13"/>
      <c r="M42528" s="14"/>
      <c r="N42528" s="14"/>
      <c r="O42528" s="14"/>
      <c r="P42528" s="13"/>
    </row>
    <row r="42529">
      <c r="L42529" s="13"/>
      <c r="M42529" s="14"/>
      <c r="N42529" s="14"/>
      <c r="O42529" s="14"/>
      <c r="P42529" s="13"/>
    </row>
    <row r="42530">
      <c r="L42530" s="13"/>
      <c r="M42530" s="14"/>
      <c r="N42530" s="14"/>
      <c r="O42530" s="14"/>
      <c r="P42530" s="13"/>
    </row>
    <row r="42531">
      <c r="L42531" s="13"/>
      <c r="M42531" s="14"/>
      <c r="N42531" s="14"/>
      <c r="O42531" s="14"/>
      <c r="P42531" s="13"/>
    </row>
    <row r="42532">
      <c r="L42532" s="13"/>
      <c r="M42532" s="14"/>
      <c r="N42532" s="14"/>
      <c r="O42532" s="14"/>
      <c r="P42532" s="13"/>
    </row>
    <row r="42533">
      <c r="L42533" s="13"/>
      <c r="M42533" s="14"/>
      <c r="N42533" s="14"/>
      <c r="O42533" s="14"/>
      <c r="P42533" s="13"/>
    </row>
    <row r="42534">
      <c r="L42534" s="13"/>
      <c r="M42534" s="14"/>
      <c r="N42534" s="14"/>
      <c r="O42534" s="14"/>
      <c r="P42534" s="13"/>
    </row>
    <row r="42535">
      <c r="L42535" s="13"/>
      <c r="M42535" s="14"/>
      <c r="N42535" s="14"/>
      <c r="O42535" s="14"/>
      <c r="P42535" s="13"/>
    </row>
    <row r="42536">
      <c r="L42536" s="13"/>
      <c r="M42536" s="14"/>
      <c r="N42536" s="14"/>
      <c r="O42536" s="14"/>
      <c r="P42536" s="13"/>
    </row>
    <row r="42537">
      <c r="L42537" s="13"/>
      <c r="M42537" s="14"/>
      <c r="N42537" s="14"/>
      <c r="O42537" s="14"/>
      <c r="P42537" s="13"/>
    </row>
    <row r="42538">
      <c r="L42538" s="13"/>
      <c r="M42538" s="14"/>
      <c r="N42538" s="14"/>
      <c r="O42538" s="14"/>
      <c r="P42538" s="13"/>
    </row>
    <row r="42539">
      <c r="L42539" s="13"/>
      <c r="M42539" s="14"/>
      <c r="N42539" s="14"/>
      <c r="O42539" s="14"/>
      <c r="P42539" s="13"/>
    </row>
    <row r="42540">
      <c r="L42540" s="13"/>
      <c r="M42540" s="14"/>
      <c r="N42540" s="14"/>
      <c r="O42540" s="14"/>
      <c r="P42540" s="13"/>
    </row>
    <row r="42541">
      <c r="L42541" s="13"/>
      <c r="M42541" s="14"/>
      <c r="N42541" s="14"/>
      <c r="O42541" s="14"/>
      <c r="P42541" s="13"/>
    </row>
    <row r="42542">
      <c r="L42542" s="13"/>
      <c r="M42542" s="14"/>
      <c r="N42542" s="14"/>
      <c r="O42542" s="14"/>
      <c r="P42542" s="13"/>
    </row>
    <row r="42543">
      <c r="L42543" s="13"/>
      <c r="M42543" s="14"/>
      <c r="N42543" s="14"/>
      <c r="O42543" s="14"/>
      <c r="P42543" s="13"/>
    </row>
    <row r="42544">
      <c r="L42544" s="13"/>
      <c r="M42544" s="14"/>
      <c r="N42544" s="14"/>
      <c r="O42544" s="14"/>
      <c r="P42544" s="13"/>
    </row>
    <row r="42545">
      <c r="L42545" s="13"/>
      <c r="M42545" s="14"/>
      <c r="N42545" s="14"/>
      <c r="O42545" s="14"/>
      <c r="P42545" s="13"/>
    </row>
    <row r="42546">
      <c r="L42546" s="13"/>
      <c r="M42546" s="14"/>
      <c r="N42546" s="14"/>
      <c r="O42546" s="14"/>
      <c r="P42546" s="13"/>
    </row>
    <row r="42547">
      <c r="L42547" s="13"/>
      <c r="M42547" s="14"/>
      <c r="N42547" s="14"/>
      <c r="O42547" s="14"/>
      <c r="P42547" s="13"/>
    </row>
    <row r="42548">
      <c r="L42548" s="13"/>
      <c r="M42548" s="14"/>
      <c r="N42548" s="14"/>
      <c r="O42548" s="14"/>
      <c r="P42548" s="13"/>
    </row>
    <row r="42549">
      <c r="L42549" s="13"/>
      <c r="M42549" s="14"/>
      <c r="N42549" s="14"/>
      <c r="O42549" s="14"/>
      <c r="P42549" s="13"/>
    </row>
    <row r="42550">
      <c r="L42550" s="13"/>
      <c r="M42550" s="14"/>
      <c r="N42550" s="14"/>
      <c r="O42550" s="14"/>
      <c r="P42550" s="13"/>
    </row>
    <row r="42551">
      <c r="L42551" s="13"/>
      <c r="M42551" s="14"/>
      <c r="N42551" s="14"/>
      <c r="O42551" s="14"/>
      <c r="P42551" s="13"/>
    </row>
    <row r="42552">
      <c r="L42552" s="13"/>
      <c r="M42552" s="14"/>
      <c r="N42552" s="14"/>
      <c r="O42552" s="14"/>
      <c r="P42552" s="13"/>
    </row>
    <row r="42553">
      <c r="L42553" s="13"/>
      <c r="M42553" s="14"/>
      <c r="N42553" s="14"/>
      <c r="O42553" s="14"/>
      <c r="P42553" s="13"/>
    </row>
    <row r="42554">
      <c r="L42554" s="13"/>
      <c r="M42554" s="14"/>
      <c r="N42554" s="14"/>
      <c r="O42554" s="14"/>
      <c r="P42554" s="13"/>
    </row>
    <row r="42555">
      <c r="L42555" s="13"/>
      <c r="M42555" s="14"/>
      <c r="N42555" s="14"/>
      <c r="O42555" s="14"/>
      <c r="P42555" s="13"/>
    </row>
    <row r="42556">
      <c r="L42556" s="13"/>
      <c r="M42556" s="14"/>
      <c r="N42556" s="14"/>
      <c r="O42556" s="14"/>
      <c r="P42556" s="13"/>
    </row>
    <row r="42557">
      <c r="L42557" s="13"/>
      <c r="M42557" s="14"/>
      <c r="N42557" s="14"/>
      <c r="O42557" s="14"/>
      <c r="P42557" s="13"/>
    </row>
    <row r="42558">
      <c r="L42558" s="13"/>
      <c r="M42558" s="14"/>
      <c r="N42558" s="14"/>
      <c r="O42558" s="14"/>
      <c r="P42558" s="13"/>
    </row>
    <row r="42559">
      <c r="L42559" s="13"/>
      <c r="M42559" s="14"/>
      <c r="N42559" s="14"/>
      <c r="O42559" s="14"/>
      <c r="P42559" s="13"/>
    </row>
    <row r="42560">
      <c r="L42560" s="13"/>
      <c r="M42560" s="14"/>
      <c r="N42560" s="14"/>
      <c r="O42560" s="14"/>
      <c r="P42560" s="13"/>
    </row>
    <row r="42561">
      <c r="L42561" s="13"/>
      <c r="M42561" s="14"/>
      <c r="N42561" s="14"/>
      <c r="O42561" s="14"/>
      <c r="P42561" s="13"/>
    </row>
    <row r="42562">
      <c r="L42562" s="13"/>
      <c r="M42562" s="14"/>
      <c r="N42562" s="14"/>
      <c r="O42562" s="14"/>
      <c r="P42562" s="13"/>
    </row>
    <row r="42563">
      <c r="L42563" s="13"/>
      <c r="M42563" s="14"/>
      <c r="N42563" s="14"/>
      <c r="O42563" s="14"/>
      <c r="P42563" s="13"/>
    </row>
    <row r="42564">
      <c r="L42564" s="13"/>
      <c r="M42564" s="14"/>
      <c r="N42564" s="14"/>
      <c r="O42564" s="14"/>
      <c r="P42564" s="13"/>
    </row>
    <row r="42565">
      <c r="L42565" s="13"/>
      <c r="M42565" s="14"/>
      <c r="N42565" s="14"/>
      <c r="O42565" s="14"/>
      <c r="P42565" s="13"/>
    </row>
    <row r="42566">
      <c r="L42566" s="13"/>
      <c r="M42566" s="14"/>
      <c r="N42566" s="14"/>
      <c r="O42566" s="14"/>
      <c r="P42566" s="13"/>
    </row>
    <row r="42567">
      <c r="L42567" s="13"/>
      <c r="M42567" s="14"/>
      <c r="N42567" s="14"/>
      <c r="O42567" s="14"/>
      <c r="P42567" s="13"/>
    </row>
    <row r="42568">
      <c r="L42568" s="13"/>
      <c r="M42568" s="14"/>
      <c r="N42568" s="14"/>
      <c r="O42568" s="14"/>
      <c r="P42568" s="13"/>
    </row>
    <row r="42569">
      <c r="L42569" s="13"/>
      <c r="M42569" s="14"/>
      <c r="N42569" s="14"/>
      <c r="O42569" s="14"/>
      <c r="P42569" s="13"/>
    </row>
    <row r="42570">
      <c r="L42570" s="13"/>
      <c r="M42570" s="14"/>
      <c r="N42570" s="14"/>
      <c r="O42570" s="14"/>
      <c r="P42570" s="13"/>
    </row>
    <row r="42571">
      <c r="L42571" s="13"/>
      <c r="M42571" s="14"/>
      <c r="N42571" s="14"/>
      <c r="O42571" s="14"/>
      <c r="P42571" s="13"/>
    </row>
    <row r="42572">
      <c r="L42572" s="13"/>
      <c r="M42572" s="14"/>
      <c r="N42572" s="14"/>
      <c r="O42572" s="14"/>
      <c r="P42572" s="13"/>
    </row>
    <row r="42573">
      <c r="L42573" s="13"/>
      <c r="M42573" s="14"/>
      <c r="N42573" s="14"/>
      <c r="O42573" s="14"/>
      <c r="P42573" s="13"/>
    </row>
    <row r="42574">
      <c r="L42574" s="13"/>
      <c r="M42574" s="14"/>
      <c r="N42574" s="14"/>
      <c r="O42574" s="14"/>
      <c r="P42574" s="13"/>
    </row>
    <row r="42575">
      <c r="L42575" s="13"/>
      <c r="M42575" s="14"/>
      <c r="N42575" s="14"/>
      <c r="O42575" s="14"/>
      <c r="P42575" s="13"/>
    </row>
    <row r="42576">
      <c r="L42576" s="13"/>
      <c r="M42576" s="14"/>
      <c r="N42576" s="14"/>
      <c r="O42576" s="14"/>
      <c r="P42576" s="13"/>
    </row>
    <row r="42577">
      <c r="L42577" s="13"/>
      <c r="M42577" s="14"/>
      <c r="N42577" s="14"/>
      <c r="O42577" s="14"/>
      <c r="P42577" s="13"/>
    </row>
    <row r="42578">
      <c r="L42578" s="13"/>
      <c r="M42578" s="14"/>
      <c r="N42578" s="14"/>
      <c r="O42578" s="14"/>
      <c r="P42578" s="13"/>
    </row>
    <row r="42579">
      <c r="L42579" s="13"/>
      <c r="M42579" s="14"/>
      <c r="N42579" s="14"/>
      <c r="O42579" s="14"/>
      <c r="P42579" s="13"/>
    </row>
    <row r="42580">
      <c r="L42580" s="13"/>
      <c r="M42580" s="14"/>
      <c r="N42580" s="14"/>
      <c r="O42580" s="14"/>
      <c r="P42580" s="13"/>
    </row>
    <row r="42581">
      <c r="L42581" s="13"/>
      <c r="M42581" s="14"/>
      <c r="N42581" s="14"/>
      <c r="O42581" s="14"/>
      <c r="P42581" s="13"/>
    </row>
    <row r="42582">
      <c r="L42582" s="13"/>
      <c r="M42582" s="14"/>
      <c r="N42582" s="14"/>
      <c r="O42582" s="14"/>
      <c r="P42582" s="13"/>
    </row>
    <row r="42583">
      <c r="L42583" s="13"/>
      <c r="M42583" s="14"/>
      <c r="N42583" s="14"/>
      <c r="O42583" s="14"/>
      <c r="P42583" s="13"/>
    </row>
    <row r="42584">
      <c r="L42584" s="13"/>
      <c r="M42584" s="14"/>
      <c r="N42584" s="14"/>
      <c r="O42584" s="14"/>
      <c r="P42584" s="13"/>
    </row>
    <row r="42585">
      <c r="L42585" s="13"/>
      <c r="M42585" s="14"/>
      <c r="N42585" s="14"/>
      <c r="O42585" s="14"/>
      <c r="P42585" s="13"/>
    </row>
    <row r="42586">
      <c r="L42586" s="13"/>
      <c r="M42586" s="14"/>
      <c r="N42586" s="14"/>
      <c r="O42586" s="14"/>
      <c r="P42586" s="13"/>
    </row>
    <row r="42587">
      <c r="L42587" s="13"/>
      <c r="M42587" s="14"/>
      <c r="N42587" s="14"/>
      <c r="O42587" s="14"/>
      <c r="P42587" s="13"/>
    </row>
    <row r="42588">
      <c r="L42588" s="13"/>
      <c r="M42588" s="14"/>
      <c r="N42588" s="14"/>
      <c r="O42588" s="14"/>
      <c r="P42588" s="13"/>
    </row>
    <row r="42589">
      <c r="L42589" s="13"/>
      <c r="M42589" s="14"/>
      <c r="N42589" s="14"/>
      <c r="O42589" s="14"/>
      <c r="P42589" s="13"/>
    </row>
    <row r="42590">
      <c r="L42590" s="13"/>
      <c r="M42590" s="14"/>
      <c r="N42590" s="14"/>
      <c r="O42590" s="14"/>
      <c r="P42590" s="13"/>
    </row>
    <row r="42591">
      <c r="L42591" s="13"/>
      <c r="M42591" s="14"/>
      <c r="N42591" s="14"/>
      <c r="O42591" s="14"/>
      <c r="P42591" s="13"/>
    </row>
    <row r="42592">
      <c r="L42592" s="13"/>
      <c r="M42592" s="14"/>
      <c r="N42592" s="14"/>
      <c r="O42592" s="14"/>
      <c r="P42592" s="13"/>
    </row>
    <row r="42593">
      <c r="L42593" s="13"/>
      <c r="M42593" s="14"/>
      <c r="N42593" s="14"/>
      <c r="O42593" s="14"/>
      <c r="P42593" s="13"/>
    </row>
    <row r="42594">
      <c r="L42594" s="13"/>
      <c r="M42594" s="14"/>
      <c r="N42594" s="14"/>
      <c r="O42594" s="14"/>
      <c r="P42594" s="13"/>
    </row>
    <row r="42595">
      <c r="L42595" s="13"/>
      <c r="M42595" s="14"/>
      <c r="N42595" s="14"/>
      <c r="O42595" s="14"/>
      <c r="P42595" s="13"/>
    </row>
    <row r="42596">
      <c r="L42596" s="13"/>
      <c r="M42596" s="14"/>
      <c r="N42596" s="14"/>
      <c r="O42596" s="14"/>
      <c r="P42596" s="13"/>
    </row>
    <row r="42597">
      <c r="L42597" s="13"/>
      <c r="M42597" s="14"/>
      <c r="N42597" s="14"/>
      <c r="O42597" s="14"/>
      <c r="P42597" s="13"/>
    </row>
    <row r="42598">
      <c r="L42598" s="13"/>
      <c r="M42598" s="14"/>
      <c r="N42598" s="14"/>
      <c r="O42598" s="14"/>
      <c r="P42598" s="13"/>
    </row>
    <row r="42599">
      <c r="L42599" s="13"/>
      <c r="M42599" s="14"/>
      <c r="N42599" s="14"/>
      <c r="O42599" s="14"/>
      <c r="P42599" s="13"/>
    </row>
    <row r="42600">
      <c r="L42600" s="13"/>
      <c r="M42600" s="14"/>
      <c r="N42600" s="14"/>
      <c r="O42600" s="14"/>
      <c r="P42600" s="13"/>
    </row>
    <row r="42601">
      <c r="L42601" s="13"/>
      <c r="M42601" s="14"/>
      <c r="N42601" s="14"/>
      <c r="O42601" s="14"/>
      <c r="P42601" s="13"/>
    </row>
    <row r="42602">
      <c r="L42602" s="13"/>
      <c r="M42602" s="14"/>
      <c r="N42602" s="14"/>
      <c r="O42602" s="14"/>
      <c r="P42602" s="13"/>
    </row>
    <row r="42603">
      <c r="L42603" s="13"/>
      <c r="M42603" s="14"/>
      <c r="N42603" s="14"/>
      <c r="O42603" s="14"/>
      <c r="P42603" s="13"/>
    </row>
    <row r="42604">
      <c r="L42604" s="13"/>
      <c r="M42604" s="14"/>
      <c r="N42604" s="14"/>
      <c r="O42604" s="14"/>
      <c r="P42604" s="13"/>
    </row>
    <row r="42605">
      <c r="L42605" s="13"/>
      <c r="M42605" s="14"/>
      <c r="N42605" s="14"/>
      <c r="O42605" s="14"/>
      <c r="P42605" s="13"/>
    </row>
    <row r="42606">
      <c r="L42606" s="13"/>
      <c r="M42606" s="14"/>
      <c r="N42606" s="14"/>
      <c r="O42606" s="14"/>
      <c r="P42606" s="13"/>
    </row>
    <row r="42607">
      <c r="L42607" s="13"/>
      <c r="M42607" s="14"/>
      <c r="N42607" s="14"/>
      <c r="O42607" s="14"/>
      <c r="P42607" s="13"/>
    </row>
    <row r="42608">
      <c r="L42608" s="13"/>
      <c r="M42608" s="14"/>
      <c r="N42608" s="14"/>
      <c r="O42608" s="14"/>
      <c r="P42608" s="13"/>
    </row>
    <row r="42609">
      <c r="L42609" s="13"/>
      <c r="M42609" s="14"/>
      <c r="N42609" s="14"/>
      <c r="O42609" s="14"/>
      <c r="P42609" s="13"/>
    </row>
    <row r="42610">
      <c r="L42610" s="13"/>
      <c r="M42610" s="14"/>
      <c r="N42610" s="14"/>
      <c r="O42610" s="14"/>
      <c r="P42610" s="13"/>
    </row>
    <row r="42611">
      <c r="L42611" s="13"/>
      <c r="M42611" s="14"/>
      <c r="N42611" s="14"/>
      <c r="O42611" s="14"/>
      <c r="P42611" s="13"/>
    </row>
    <row r="42612">
      <c r="L42612" s="13"/>
      <c r="M42612" s="14"/>
      <c r="N42612" s="14"/>
      <c r="O42612" s="14"/>
      <c r="P42612" s="13"/>
    </row>
    <row r="42613">
      <c r="L42613" s="13"/>
      <c r="M42613" s="14"/>
      <c r="N42613" s="14"/>
      <c r="O42613" s="14"/>
      <c r="P42613" s="13"/>
    </row>
    <row r="42614">
      <c r="L42614" s="13"/>
      <c r="M42614" s="14"/>
      <c r="N42614" s="14"/>
      <c r="O42614" s="14"/>
      <c r="P42614" s="13"/>
    </row>
    <row r="42615">
      <c r="L42615" s="13"/>
      <c r="M42615" s="14"/>
      <c r="N42615" s="14"/>
      <c r="O42615" s="14"/>
      <c r="P42615" s="13"/>
    </row>
    <row r="42616">
      <c r="L42616" s="13"/>
      <c r="M42616" s="14"/>
      <c r="N42616" s="14"/>
      <c r="O42616" s="14"/>
      <c r="P42616" s="13"/>
    </row>
    <row r="42617">
      <c r="L42617" s="13"/>
      <c r="M42617" s="14"/>
      <c r="N42617" s="14"/>
      <c r="O42617" s="14"/>
      <c r="P42617" s="13"/>
    </row>
    <row r="42618">
      <c r="L42618" s="13"/>
      <c r="M42618" s="14"/>
      <c r="N42618" s="14"/>
      <c r="O42618" s="14"/>
      <c r="P42618" s="13"/>
    </row>
    <row r="42619">
      <c r="L42619" s="13"/>
      <c r="M42619" s="14"/>
      <c r="N42619" s="14"/>
      <c r="O42619" s="14"/>
      <c r="P42619" s="13"/>
    </row>
    <row r="42620">
      <c r="L42620" s="13"/>
      <c r="M42620" s="14"/>
      <c r="N42620" s="14"/>
      <c r="O42620" s="14"/>
      <c r="P42620" s="13"/>
    </row>
    <row r="42621">
      <c r="L42621" s="13"/>
      <c r="M42621" s="14"/>
      <c r="N42621" s="14"/>
      <c r="O42621" s="14"/>
      <c r="P42621" s="13"/>
    </row>
    <row r="42622">
      <c r="L42622" s="13"/>
      <c r="M42622" s="14"/>
      <c r="N42622" s="14"/>
      <c r="O42622" s="14"/>
      <c r="P42622" s="13"/>
    </row>
    <row r="42623">
      <c r="L42623" s="13"/>
      <c r="M42623" s="14"/>
      <c r="N42623" s="14"/>
      <c r="O42623" s="14"/>
      <c r="P42623" s="13"/>
    </row>
    <row r="42624">
      <c r="L42624" s="13"/>
      <c r="M42624" s="14"/>
      <c r="N42624" s="14"/>
      <c r="O42624" s="14"/>
      <c r="P42624" s="13"/>
    </row>
    <row r="42625">
      <c r="L42625" s="13"/>
      <c r="M42625" s="14"/>
      <c r="N42625" s="14"/>
      <c r="O42625" s="14"/>
      <c r="P42625" s="13"/>
    </row>
    <row r="42626">
      <c r="L42626" s="13"/>
      <c r="M42626" s="14"/>
      <c r="N42626" s="14"/>
      <c r="O42626" s="14"/>
      <c r="P42626" s="13"/>
    </row>
    <row r="42627">
      <c r="L42627" s="13"/>
      <c r="M42627" s="14"/>
      <c r="N42627" s="14"/>
      <c r="O42627" s="14"/>
      <c r="P42627" s="13"/>
    </row>
    <row r="42628">
      <c r="L42628" s="13"/>
      <c r="M42628" s="14"/>
      <c r="N42628" s="14"/>
      <c r="O42628" s="14"/>
      <c r="P42628" s="13"/>
    </row>
    <row r="42629">
      <c r="L42629" s="13"/>
      <c r="M42629" s="14"/>
      <c r="N42629" s="14"/>
      <c r="O42629" s="14"/>
      <c r="P42629" s="13"/>
    </row>
    <row r="42630">
      <c r="L42630" s="13"/>
      <c r="M42630" s="14"/>
      <c r="N42630" s="14"/>
      <c r="O42630" s="14"/>
      <c r="P42630" s="13"/>
    </row>
    <row r="42631">
      <c r="L42631" s="13"/>
      <c r="M42631" s="14"/>
      <c r="N42631" s="14"/>
      <c r="O42631" s="14"/>
      <c r="P42631" s="13"/>
    </row>
    <row r="42632">
      <c r="L42632" s="13"/>
      <c r="M42632" s="14"/>
      <c r="N42632" s="14"/>
      <c r="O42632" s="14"/>
      <c r="P42632" s="13"/>
    </row>
    <row r="42633">
      <c r="L42633" s="13"/>
      <c r="M42633" s="14"/>
      <c r="N42633" s="14"/>
      <c r="O42633" s="14"/>
      <c r="P42633" s="13"/>
    </row>
    <row r="42634">
      <c r="L42634" s="13"/>
      <c r="M42634" s="14"/>
      <c r="N42634" s="14"/>
      <c r="O42634" s="14"/>
      <c r="P42634" s="13"/>
    </row>
    <row r="42635">
      <c r="L42635" s="13"/>
      <c r="M42635" s="14"/>
      <c r="N42635" s="14"/>
      <c r="O42635" s="14"/>
      <c r="P42635" s="13"/>
    </row>
    <row r="42636">
      <c r="L42636" s="13"/>
      <c r="M42636" s="14"/>
      <c r="N42636" s="14"/>
      <c r="O42636" s="14"/>
      <c r="P42636" s="13"/>
    </row>
    <row r="42637">
      <c r="L42637" s="13"/>
      <c r="M42637" s="14"/>
      <c r="N42637" s="14"/>
      <c r="O42637" s="14"/>
      <c r="P42637" s="13"/>
    </row>
    <row r="42638">
      <c r="L42638" s="13"/>
      <c r="M42638" s="14"/>
      <c r="N42638" s="14"/>
      <c r="O42638" s="14"/>
      <c r="P42638" s="13"/>
    </row>
    <row r="42639">
      <c r="L42639" s="13"/>
      <c r="M42639" s="14"/>
      <c r="N42639" s="14"/>
      <c r="O42639" s="14"/>
      <c r="P42639" s="13"/>
    </row>
    <row r="42640">
      <c r="L42640" s="13"/>
      <c r="M42640" s="14"/>
      <c r="N42640" s="14"/>
      <c r="O42640" s="14"/>
      <c r="P42640" s="13"/>
    </row>
    <row r="42641">
      <c r="L42641" s="13"/>
      <c r="M42641" s="14"/>
      <c r="N42641" s="14"/>
      <c r="O42641" s="14"/>
      <c r="P42641" s="13"/>
    </row>
    <row r="42642">
      <c r="L42642" s="13"/>
      <c r="M42642" s="14"/>
      <c r="N42642" s="14"/>
      <c r="O42642" s="14"/>
      <c r="P42642" s="13"/>
    </row>
    <row r="42643">
      <c r="L42643" s="13"/>
      <c r="M42643" s="14"/>
      <c r="N42643" s="14"/>
      <c r="O42643" s="14"/>
      <c r="P42643" s="13"/>
    </row>
    <row r="42644">
      <c r="L42644" s="13"/>
      <c r="M42644" s="14"/>
      <c r="N42644" s="14"/>
      <c r="O42644" s="14"/>
      <c r="P42644" s="13"/>
    </row>
    <row r="42645">
      <c r="L42645" s="13"/>
      <c r="M42645" s="14"/>
      <c r="N42645" s="14"/>
      <c r="O42645" s="14"/>
      <c r="P42645" s="13"/>
    </row>
    <row r="42646">
      <c r="L42646" s="13"/>
      <c r="M42646" s="14"/>
      <c r="N42646" s="14"/>
      <c r="O42646" s="14"/>
      <c r="P42646" s="13"/>
    </row>
    <row r="42647">
      <c r="L42647" s="13"/>
      <c r="M42647" s="14"/>
      <c r="N42647" s="14"/>
      <c r="O42647" s="14"/>
      <c r="P42647" s="13"/>
    </row>
    <row r="42648">
      <c r="L42648" s="13"/>
      <c r="M42648" s="14"/>
      <c r="N42648" s="14"/>
      <c r="O42648" s="14"/>
      <c r="P42648" s="13"/>
    </row>
    <row r="42649">
      <c r="L42649" s="13"/>
      <c r="M42649" s="14"/>
      <c r="N42649" s="14"/>
      <c r="O42649" s="14"/>
      <c r="P42649" s="13"/>
    </row>
    <row r="42650">
      <c r="L42650" s="13"/>
      <c r="M42650" s="14"/>
      <c r="N42650" s="14"/>
      <c r="O42650" s="14"/>
      <c r="P42650" s="13"/>
    </row>
    <row r="42651">
      <c r="L42651" s="13"/>
      <c r="M42651" s="14"/>
      <c r="N42651" s="14"/>
      <c r="O42651" s="14"/>
      <c r="P42651" s="13"/>
    </row>
    <row r="42652">
      <c r="L42652" s="13"/>
      <c r="M42652" s="14"/>
      <c r="N42652" s="14"/>
      <c r="O42652" s="14"/>
      <c r="P42652" s="13"/>
    </row>
    <row r="42653">
      <c r="L42653" s="13"/>
      <c r="M42653" s="14"/>
      <c r="N42653" s="14"/>
      <c r="O42653" s="14"/>
      <c r="P42653" s="13"/>
    </row>
    <row r="42654">
      <c r="L42654" s="13"/>
      <c r="M42654" s="14"/>
      <c r="N42654" s="14"/>
      <c r="O42654" s="14"/>
      <c r="P42654" s="13"/>
    </row>
    <row r="42655">
      <c r="L42655" s="13"/>
      <c r="M42655" s="14"/>
      <c r="N42655" s="14"/>
      <c r="O42655" s="14"/>
      <c r="P42655" s="13"/>
    </row>
    <row r="42656">
      <c r="L42656" s="13"/>
      <c r="M42656" s="14"/>
      <c r="N42656" s="14"/>
      <c r="O42656" s="14"/>
      <c r="P42656" s="13"/>
    </row>
    <row r="42657">
      <c r="L42657" s="13"/>
      <c r="M42657" s="14"/>
      <c r="N42657" s="14"/>
      <c r="O42657" s="14"/>
      <c r="P42657" s="13"/>
    </row>
    <row r="42658">
      <c r="L42658" s="13"/>
      <c r="M42658" s="14"/>
      <c r="N42658" s="14"/>
      <c r="O42658" s="14"/>
      <c r="P42658" s="13"/>
    </row>
    <row r="42659">
      <c r="L42659" s="13"/>
      <c r="M42659" s="14"/>
      <c r="N42659" s="14"/>
      <c r="O42659" s="14"/>
      <c r="P42659" s="13"/>
    </row>
    <row r="42660">
      <c r="L42660" s="13"/>
      <c r="M42660" s="14"/>
      <c r="N42660" s="14"/>
      <c r="O42660" s="14"/>
      <c r="P42660" s="13"/>
    </row>
    <row r="42661">
      <c r="L42661" s="13"/>
      <c r="M42661" s="14"/>
      <c r="N42661" s="14"/>
      <c r="O42661" s="14"/>
      <c r="P42661" s="13"/>
    </row>
    <row r="42662">
      <c r="L42662" s="13"/>
      <c r="M42662" s="14"/>
      <c r="N42662" s="14"/>
      <c r="O42662" s="14"/>
      <c r="P42662" s="13"/>
    </row>
    <row r="42663">
      <c r="L42663" s="13"/>
      <c r="M42663" s="14"/>
      <c r="N42663" s="14"/>
      <c r="O42663" s="14"/>
      <c r="P42663" s="13"/>
    </row>
    <row r="42664">
      <c r="L42664" s="13"/>
      <c r="M42664" s="14"/>
      <c r="N42664" s="14"/>
      <c r="O42664" s="14"/>
      <c r="P42664" s="13"/>
    </row>
    <row r="42665">
      <c r="L42665" s="13"/>
      <c r="M42665" s="14"/>
      <c r="N42665" s="14"/>
      <c r="O42665" s="14"/>
      <c r="P42665" s="13"/>
    </row>
    <row r="42666">
      <c r="L42666" s="13"/>
      <c r="M42666" s="14"/>
      <c r="N42666" s="14"/>
      <c r="O42666" s="14"/>
      <c r="P42666" s="13"/>
    </row>
    <row r="42667">
      <c r="L42667" s="13"/>
      <c r="M42667" s="14"/>
      <c r="N42667" s="14"/>
      <c r="O42667" s="14"/>
      <c r="P42667" s="13"/>
    </row>
    <row r="42668">
      <c r="L42668" s="13"/>
      <c r="M42668" s="14"/>
      <c r="N42668" s="14"/>
      <c r="O42668" s="14"/>
      <c r="P42668" s="13"/>
    </row>
    <row r="42669">
      <c r="L42669" s="13"/>
      <c r="M42669" s="14"/>
      <c r="N42669" s="14"/>
      <c r="O42669" s="14"/>
      <c r="P42669" s="13"/>
    </row>
    <row r="42670">
      <c r="L42670" s="13"/>
      <c r="M42670" s="14"/>
      <c r="N42670" s="14"/>
      <c r="O42670" s="14"/>
      <c r="P42670" s="13"/>
    </row>
    <row r="42671">
      <c r="L42671" s="13"/>
      <c r="M42671" s="14"/>
      <c r="N42671" s="14"/>
      <c r="O42671" s="14"/>
      <c r="P42671" s="13"/>
    </row>
    <row r="42672">
      <c r="L42672" s="13"/>
      <c r="M42672" s="14"/>
      <c r="N42672" s="14"/>
      <c r="O42672" s="14"/>
      <c r="P42672" s="13"/>
    </row>
    <row r="42673">
      <c r="L42673" s="13"/>
      <c r="M42673" s="14"/>
      <c r="N42673" s="14"/>
      <c r="O42673" s="14"/>
      <c r="P42673" s="13"/>
    </row>
    <row r="42674">
      <c r="L42674" s="13"/>
      <c r="M42674" s="14"/>
      <c r="N42674" s="14"/>
      <c r="O42674" s="14"/>
      <c r="P42674" s="13"/>
    </row>
    <row r="42675">
      <c r="L42675" s="13"/>
      <c r="M42675" s="14"/>
      <c r="N42675" s="14"/>
      <c r="O42675" s="14"/>
      <c r="P42675" s="13"/>
    </row>
    <row r="42676">
      <c r="L42676" s="13"/>
      <c r="M42676" s="14"/>
      <c r="N42676" s="14"/>
      <c r="O42676" s="14"/>
      <c r="P42676" s="13"/>
    </row>
    <row r="42677">
      <c r="L42677" s="13"/>
      <c r="M42677" s="14"/>
      <c r="N42677" s="14"/>
      <c r="O42677" s="14"/>
      <c r="P42677" s="13"/>
    </row>
    <row r="42678">
      <c r="L42678" s="13"/>
      <c r="M42678" s="14"/>
      <c r="N42678" s="14"/>
      <c r="O42678" s="14"/>
      <c r="P42678" s="13"/>
    </row>
    <row r="42679">
      <c r="L42679" s="13"/>
      <c r="M42679" s="14"/>
      <c r="N42679" s="14"/>
      <c r="O42679" s="14"/>
      <c r="P42679" s="13"/>
    </row>
    <row r="42680">
      <c r="L42680" s="13"/>
      <c r="M42680" s="14"/>
      <c r="N42680" s="14"/>
      <c r="O42680" s="14"/>
      <c r="P42680" s="13"/>
    </row>
    <row r="42681">
      <c r="L42681" s="13"/>
      <c r="M42681" s="14"/>
      <c r="N42681" s="14"/>
      <c r="O42681" s="14"/>
      <c r="P42681" s="13"/>
    </row>
    <row r="42682">
      <c r="L42682" s="13"/>
      <c r="M42682" s="14"/>
      <c r="N42682" s="14"/>
      <c r="O42682" s="14"/>
      <c r="P42682" s="13"/>
    </row>
    <row r="42683">
      <c r="L42683" s="13"/>
      <c r="M42683" s="14"/>
      <c r="N42683" s="14"/>
      <c r="O42683" s="14"/>
      <c r="P42683" s="13"/>
    </row>
    <row r="42684">
      <c r="L42684" s="13"/>
      <c r="M42684" s="14"/>
      <c r="N42684" s="14"/>
      <c r="O42684" s="14"/>
      <c r="P42684" s="13"/>
    </row>
    <row r="42685">
      <c r="L42685" s="13"/>
      <c r="M42685" s="14"/>
      <c r="N42685" s="14"/>
      <c r="O42685" s="14"/>
      <c r="P42685" s="13"/>
    </row>
    <row r="42686">
      <c r="L42686" s="13"/>
      <c r="M42686" s="14"/>
      <c r="N42686" s="14"/>
      <c r="O42686" s="14"/>
      <c r="P42686" s="13"/>
    </row>
    <row r="42687">
      <c r="L42687" s="13"/>
      <c r="M42687" s="14"/>
      <c r="N42687" s="14"/>
      <c r="O42687" s="14"/>
      <c r="P42687" s="13"/>
    </row>
    <row r="42688">
      <c r="L42688" s="13"/>
      <c r="M42688" s="14"/>
      <c r="N42688" s="14"/>
      <c r="O42688" s="14"/>
      <c r="P42688" s="13"/>
    </row>
    <row r="42689">
      <c r="L42689" s="13"/>
      <c r="M42689" s="14"/>
      <c r="N42689" s="14"/>
      <c r="O42689" s="14"/>
      <c r="P42689" s="13"/>
    </row>
    <row r="42690">
      <c r="L42690" s="13"/>
      <c r="M42690" s="14"/>
      <c r="N42690" s="14"/>
      <c r="O42690" s="14"/>
      <c r="P42690" s="13"/>
    </row>
    <row r="42691">
      <c r="L42691" s="13"/>
      <c r="M42691" s="14"/>
      <c r="N42691" s="14"/>
      <c r="O42691" s="14"/>
      <c r="P42691" s="13"/>
    </row>
    <row r="42692">
      <c r="L42692" s="13"/>
      <c r="M42692" s="14"/>
      <c r="N42692" s="14"/>
      <c r="O42692" s="14"/>
      <c r="P42692" s="13"/>
    </row>
    <row r="42693">
      <c r="L42693" s="13"/>
      <c r="M42693" s="14"/>
      <c r="N42693" s="14"/>
      <c r="O42693" s="14"/>
      <c r="P42693" s="13"/>
    </row>
    <row r="42694">
      <c r="L42694" s="13"/>
      <c r="M42694" s="14"/>
      <c r="N42694" s="14"/>
      <c r="O42694" s="14"/>
      <c r="P42694" s="13"/>
    </row>
    <row r="42695">
      <c r="L42695" s="13"/>
      <c r="M42695" s="14"/>
      <c r="N42695" s="14"/>
      <c r="O42695" s="14"/>
      <c r="P42695" s="13"/>
    </row>
    <row r="42696">
      <c r="L42696" s="13"/>
      <c r="M42696" s="14"/>
      <c r="N42696" s="14"/>
      <c r="O42696" s="14"/>
      <c r="P42696" s="13"/>
    </row>
    <row r="42697">
      <c r="L42697" s="13"/>
      <c r="M42697" s="14"/>
      <c r="N42697" s="14"/>
      <c r="O42697" s="14"/>
      <c r="P42697" s="13"/>
    </row>
    <row r="42698">
      <c r="L42698" s="13"/>
      <c r="M42698" s="14"/>
      <c r="N42698" s="14"/>
      <c r="O42698" s="14"/>
      <c r="P42698" s="13"/>
    </row>
    <row r="42699">
      <c r="L42699" s="13"/>
      <c r="M42699" s="14"/>
      <c r="N42699" s="14"/>
      <c r="O42699" s="14"/>
      <c r="P42699" s="13"/>
    </row>
    <row r="42700">
      <c r="L42700" s="13"/>
      <c r="M42700" s="14"/>
      <c r="N42700" s="14"/>
      <c r="O42700" s="14"/>
      <c r="P42700" s="13"/>
    </row>
    <row r="42701">
      <c r="L42701" s="13"/>
      <c r="M42701" s="14"/>
      <c r="N42701" s="14"/>
      <c r="O42701" s="14"/>
      <c r="P42701" s="13"/>
    </row>
    <row r="42702">
      <c r="L42702" s="13"/>
      <c r="M42702" s="14"/>
      <c r="N42702" s="14"/>
      <c r="O42702" s="14"/>
      <c r="P42702" s="13"/>
    </row>
    <row r="42703">
      <c r="L42703" s="13"/>
      <c r="M42703" s="14"/>
      <c r="N42703" s="14"/>
      <c r="O42703" s="14"/>
      <c r="P42703" s="13"/>
    </row>
    <row r="42704">
      <c r="L42704" s="13"/>
      <c r="M42704" s="14"/>
      <c r="N42704" s="14"/>
      <c r="O42704" s="14"/>
      <c r="P42704" s="13"/>
    </row>
    <row r="42705">
      <c r="L42705" s="13"/>
      <c r="M42705" s="14"/>
      <c r="N42705" s="14"/>
      <c r="O42705" s="14"/>
      <c r="P42705" s="13"/>
    </row>
    <row r="42706">
      <c r="L42706" s="13"/>
      <c r="M42706" s="14"/>
      <c r="N42706" s="14"/>
      <c r="O42706" s="14"/>
      <c r="P42706" s="13"/>
    </row>
    <row r="42707">
      <c r="L42707" s="13"/>
      <c r="M42707" s="14"/>
      <c r="N42707" s="14"/>
      <c r="O42707" s="14"/>
      <c r="P42707" s="13"/>
    </row>
    <row r="42708">
      <c r="L42708" s="13"/>
      <c r="M42708" s="14"/>
      <c r="N42708" s="14"/>
      <c r="O42708" s="14"/>
      <c r="P42708" s="13"/>
    </row>
    <row r="42709">
      <c r="L42709" s="13"/>
      <c r="M42709" s="14"/>
      <c r="N42709" s="14"/>
      <c r="O42709" s="14"/>
      <c r="P42709" s="13"/>
    </row>
    <row r="42710">
      <c r="L42710" s="13"/>
      <c r="M42710" s="14"/>
      <c r="N42710" s="14"/>
      <c r="O42710" s="14"/>
      <c r="P42710" s="13"/>
    </row>
    <row r="42711">
      <c r="L42711" s="13"/>
      <c r="M42711" s="14"/>
      <c r="N42711" s="14"/>
      <c r="O42711" s="14"/>
      <c r="P42711" s="13"/>
    </row>
    <row r="42712">
      <c r="L42712" s="13"/>
      <c r="M42712" s="14"/>
      <c r="N42712" s="14"/>
      <c r="O42712" s="14"/>
      <c r="P42712" s="13"/>
    </row>
    <row r="42713">
      <c r="L42713" s="13"/>
      <c r="M42713" s="14"/>
      <c r="N42713" s="14"/>
      <c r="O42713" s="14"/>
      <c r="P42713" s="13"/>
    </row>
    <row r="42714">
      <c r="L42714" s="13"/>
      <c r="M42714" s="14"/>
      <c r="N42714" s="14"/>
      <c r="O42714" s="14"/>
      <c r="P42714" s="13"/>
    </row>
    <row r="42715">
      <c r="L42715" s="13"/>
      <c r="M42715" s="14"/>
      <c r="N42715" s="14"/>
      <c r="O42715" s="14"/>
      <c r="P42715" s="13"/>
    </row>
    <row r="42716">
      <c r="L42716" s="13"/>
      <c r="M42716" s="14"/>
      <c r="N42716" s="14"/>
      <c r="O42716" s="14"/>
      <c r="P42716" s="13"/>
    </row>
    <row r="42717">
      <c r="L42717" s="13"/>
      <c r="M42717" s="14"/>
      <c r="N42717" s="14"/>
      <c r="O42717" s="14"/>
      <c r="P42717" s="13"/>
    </row>
    <row r="42718">
      <c r="L42718" s="13"/>
      <c r="M42718" s="14"/>
      <c r="N42718" s="14"/>
      <c r="O42718" s="14"/>
      <c r="P42718" s="13"/>
    </row>
    <row r="42719">
      <c r="L42719" s="13"/>
      <c r="M42719" s="14"/>
      <c r="N42719" s="14"/>
      <c r="O42719" s="14"/>
      <c r="P42719" s="13"/>
    </row>
    <row r="42720">
      <c r="L42720" s="13"/>
      <c r="M42720" s="14"/>
      <c r="N42720" s="14"/>
      <c r="O42720" s="14"/>
      <c r="P42720" s="13"/>
    </row>
    <row r="42721">
      <c r="L42721" s="13"/>
      <c r="M42721" s="14"/>
      <c r="N42721" s="14"/>
      <c r="O42721" s="14"/>
      <c r="P42721" s="13"/>
    </row>
    <row r="42722">
      <c r="L42722" s="13"/>
      <c r="M42722" s="14"/>
      <c r="N42722" s="14"/>
      <c r="O42722" s="14"/>
      <c r="P42722" s="13"/>
    </row>
    <row r="42723">
      <c r="L42723" s="13"/>
      <c r="M42723" s="14"/>
      <c r="N42723" s="14"/>
      <c r="O42723" s="14"/>
      <c r="P42723" s="13"/>
    </row>
    <row r="42724">
      <c r="L42724" s="13"/>
      <c r="M42724" s="14"/>
      <c r="N42724" s="14"/>
      <c r="O42724" s="14"/>
      <c r="P42724" s="13"/>
    </row>
    <row r="42725">
      <c r="L42725" s="13"/>
      <c r="M42725" s="14"/>
      <c r="N42725" s="14"/>
      <c r="O42725" s="14"/>
      <c r="P42725" s="13"/>
    </row>
    <row r="42726">
      <c r="L42726" s="13"/>
      <c r="M42726" s="14"/>
      <c r="N42726" s="14"/>
      <c r="O42726" s="14"/>
      <c r="P42726" s="13"/>
    </row>
    <row r="42727">
      <c r="L42727" s="13"/>
      <c r="M42727" s="14"/>
      <c r="N42727" s="14"/>
      <c r="O42727" s="14"/>
      <c r="P42727" s="13"/>
    </row>
    <row r="42728">
      <c r="L42728" s="13"/>
      <c r="M42728" s="14"/>
      <c r="N42728" s="14"/>
      <c r="O42728" s="14"/>
      <c r="P42728" s="13"/>
    </row>
    <row r="42729">
      <c r="L42729" s="13"/>
      <c r="M42729" s="14"/>
      <c r="N42729" s="14"/>
      <c r="O42729" s="14"/>
      <c r="P42729" s="13"/>
    </row>
    <row r="42730">
      <c r="L42730" s="13"/>
      <c r="M42730" s="14"/>
      <c r="N42730" s="14"/>
      <c r="O42730" s="14"/>
      <c r="P42730" s="13"/>
    </row>
    <row r="42731">
      <c r="L42731" s="13"/>
      <c r="M42731" s="14"/>
      <c r="N42731" s="14"/>
      <c r="O42731" s="14"/>
      <c r="P42731" s="13"/>
    </row>
    <row r="42732">
      <c r="L42732" s="13"/>
      <c r="M42732" s="14"/>
      <c r="N42732" s="14"/>
      <c r="O42732" s="14"/>
      <c r="P42732" s="13"/>
    </row>
    <row r="42733">
      <c r="L42733" s="13"/>
      <c r="M42733" s="14"/>
      <c r="N42733" s="14"/>
      <c r="O42733" s="14"/>
      <c r="P42733" s="13"/>
    </row>
    <row r="42734">
      <c r="L42734" s="13"/>
      <c r="M42734" s="14"/>
      <c r="N42734" s="14"/>
      <c r="O42734" s="14"/>
      <c r="P42734" s="13"/>
    </row>
    <row r="42735">
      <c r="L42735" s="13"/>
      <c r="M42735" s="14"/>
      <c r="N42735" s="14"/>
      <c r="O42735" s="14"/>
      <c r="P42735" s="13"/>
    </row>
    <row r="42736">
      <c r="L42736" s="13"/>
      <c r="M42736" s="14"/>
      <c r="N42736" s="14"/>
      <c r="O42736" s="14"/>
      <c r="P42736" s="13"/>
    </row>
    <row r="42737">
      <c r="L42737" s="13"/>
      <c r="M42737" s="14"/>
      <c r="N42737" s="14"/>
      <c r="O42737" s="14"/>
      <c r="P42737" s="13"/>
    </row>
    <row r="42738">
      <c r="L42738" s="13"/>
      <c r="M42738" s="14"/>
      <c r="N42738" s="14"/>
      <c r="O42738" s="14"/>
      <c r="P42738" s="13"/>
    </row>
    <row r="42739">
      <c r="L42739" s="13"/>
      <c r="M42739" s="14"/>
      <c r="N42739" s="14"/>
      <c r="O42739" s="14"/>
      <c r="P42739" s="13"/>
    </row>
    <row r="42740">
      <c r="L42740" s="13"/>
      <c r="M42740" s="14"/>
      <c r="N42740" s="14"/>
      <c r="O42740" s="14"/>
      <c r="P42740" s="13"/>
    </row>
    <row r="42741">
      <c r="L42741" s="13"/>
      <c r="M42741" s="14"/>
      <c r="N42741" s="14"/>
      <c r="O42741" s="14"/>
      <c r="P42741" s="13"/>
    </row>
    <row r="42742">
      <c r="L42742" s="13"/>
      <c r="M42742" s="14"/>
      <c r="N42742" s="14"/>
      <c r="O42742" s="14"/>
      <c r="P42742" s="13"/>
    </row>
    <row r="42743">
      <c r="L42743" s="13"/>
      <c r="M42743" s="14"/>
      <c r="N42743" s="14"/>
      <c r="O42743" s="14"/>
      <c r="P42743" s="13"/>
    </row>
    <row r="42744">
      <c r="L42744" s="13"/>
      <c r="M42744" s="14"/>
      <c r="N42744" s="14"/>
      <c r="O42744" s="14"/>
      <c r="P42744" s="13"/>
    </row>
    <row r="42745">
      <c r="L42745" s="13"/>
      <c r="M42745" s="14"/>
      <c r="N42745" s="14"/>
      <c r="O42745" s="14"/>
      <c r="P42745" s="13"/>
    </row>
    <row r="42746">
      <c r="L42746" s="13"/>
      <c r="M42746" s="14"/>
      <c r="N42746" s="14"/>
      <c r="O42746" s="14"/>
      <c r="P42746" s="13"/>
    </row>
    <row r="42747">
      <c r="L42747" s="13"/>
      <c r="M42747" s="14"/>
      <c r="N42747" s="14"/>
      <c r="O42747" s="14"/>
      <c r="P42747" s="13"/>
    </row>
    <row r="42748">
      <c r="L42748" s="13"/>
      <c r="M42748" s="14"/>
      <c r="N42748" s="14"/>
      <c r="O42748" s="14"/>
      <c r="P42748" s="13"/>
    </row>
    <row r="42749">
      <c r="L42749" s="13"/>
      <c r="M42749" s="14"/>
      <c r="N42749" s="14"/>
      <c r="O42749" s="14"/>
      <c r="P42749" s="13"/>
    </row>
    <row r="42750">
      <c r="L42750" s="13"/>
      <c r="M42750" s="14"/>
      <c r="N42750" s="14"/>
      <c r="O42750" s="14"/>
      <c r="P42750" s="13"/>
    </row>
    <row r="42751">
      <c r="L42751" s="13"/>
      <c r="M42751" s="14"/>
      <c r="N42751" s="14"/>
      <c r="O42751" s="14"/>
      <c r="P42751" s="13"/>
    </row>
    <row r="42752">
      <c r="L42752" s="13"/>
      <c r="M42752" s="14"/>
      <c r="N42752" s="14"/>
      <c r="O42752" s="14"/>
      <c r="P42752" s="13"/>
    </row>
    <row r="42753">
      <c r="L42753" s="13"/>
      <c r="M42753" s="14"/>
      <c r="N42753" s="14"/>
      <c r="O42753" s="14"/>
      <c r="P42753" s="13"/>
    </row>
    <row r="42754">
      <c r="L42754" s="13"/>
      <c r="M42754" s="14"/>
      <c r="N42754" s="14"/>
      <c r="O42754" s="14"/>
      <c r="P42754" s="13"/>
    </row>
    <row r="42755">
      <c r="L42755" s="13"/>
      <c r="M42755" s="14"/>
      <c r="N42755" s="14"/>
      <c r="O42755" s="14"/>
      <c r="P42755" s="13"/>
    </row>
    <row r="42756">
      <c r="L42756" s="13"/>
      <c r="M42756" s="14"/>
      <c r="N42756" s="14"/>
      <c r="O42756" s="14"/>
      <c r="P42756" s="13"/>
    </row>
    <row r="42757">
      <c r="L42757" s="13"/>
      <c r="M42757" s="14"/>
      <c r="N42757" s="14"/>
      <c r="O42757" s="14"/>
      <c r="P42757" s="13"/>
    </row>
    <row r="42758">
      <c r="L42758" s="13"/>
      <c r="M42758" s="14"/>
      <c r="N42758" s="14"/>
      <c r="O42758" s="14"/>
      <c r="P42758" s="13"/>
    </row>
    <row r="42759">
      <c r="L42759" s="13"/>
      <c r="M42759" s="14"/>
      <c r="N42759" s="14"/>
      <c r="O42759" s="14"/>
      <c r="P42759" s="13"/>
    </row>
    <row r="42760">
      <c r="L42760" s="13"/>
      <c r="M42760" s="14"/>
      <c r="N42760" s="14"/>
      <c r="O42760" s="14"/>
      <c r="P42760" s="13"/>
    </row>
    <row r="42761">
      <c r="L42761" s="13"/>
      <c r="M42761" s="14"/>
      <c r="N42761" s="14"/>
      <c r="O42761" s="14"/>
      <c r="P42761" s="13"/>
    </row>
    <row r="42762">
      <c r="L42762" s="13"/>
      <c r="M42762" s="14"/>
      <c r="N42762" s="14"/>
      <c r="O42762" s="14"/>
      <c r="P42762" s="13"/>
    </row>
    <row r="42763">
      <c r="L42763" s="13"/>
      <c r="M42763" s="14"/>
      <c r="N42763" s="14"/>
      <c r="O42763" s="14"/>
      <c r="P42763" s="13"/>
    </row>
    <row r="42764">
      <c r="L42764" s="13"/>
      <c r="M42764" s="14"/>
      <c r="N42764" s="14"/>
      <c r="O42764" s="14"/>
      <c r="P42764" s="13"/>
    </row>
    <row r="42765">
      <c r="L42765" s="13"/>
      <c r="M42765" s="14"/>
      <c r="N42765" s="14"/>
      <c r="O42765" s="14"/>
      <c r="P42765" s="13"/>
    </row>
    <row r="42766">
      <c r="L42766" s="13"/>
      <c r="M42766" s="14"/>
      <c r="N42766" s="14"/>
      <c r="O42766" s="14"/>
      <c r="P42766" s="13"/>
    </row>
    <row r="42767">
      <c r="L42767" s="13"/>
      <c r="M42767" s="14"/>
      <c r="N42767" s="14"/>
      <c r="O42767" s="14"/>
      <c r="P42767" s="13"/>
    </row>
    <row r="42768">
      <c r="L42768" s="13"/>
      <c r="M42768" s="14"/>
      <c r="N42768" s="14"/>
      <c r="O42768" s="14"/>
      <c r="P42768" s="13"/>
    </row>
    <row r="42769">
      <c r="L42769" s="13"/>
      <c r="M42769" s="14"/>
      <c r="N42769" s="14"/>
      <c r="O42769" s="14"/>
      <c r="P42769" s="13"/>
    </row>
    <row r="42770">
      <c r="L42770" s="13"/>
      <c r="M42770" s="14"/>
      <c r="N42770" s="14"/>
      <c r="O42770" s="14"/>
      <c r="P42770" s="13"/>
    </row>
    <row r="42771">
      <c r="L42771" s="13"/>
      <c r="M42771" s="14"/>
      <c r="N42771" s="14"/>
      <c r="O42771" s="14"/>
      <c r="P42771" s="13"/>
    </row>
    <row r="42772">
      <c r="L42772" s="13"/>
      <c r="M42772" s="14"/>
      <c r="N42772" s="14"/>
      <c r="O42772" s="14"/>
      <c r="P42772" s="13"/>
    </row>
    <row r="42773">
      <c r="L42773" s="13"/>
      <c r="M42773" s="14"/>
      <c r="N42773" s="14"/>
      <c r="O42773" s="14"/>
      <c r="P42773" s="13"/>
    </row>
    <row r="42774">
      <c r="L42774" s="13"/>
      <c r="M42774" s="14"/>
      <c r="N42774" s="14"/>
      <c r="O42774" s="14"/>
      <c r="P42774" s="13"/>
    </row>
    <row r="42775">
      <c r="L42775" s="13"/>
      <c r="M42775" s="14"/>
      <c r="N42775" s="14"/>
      <c r="O42775" s="14"/>
      <c r="P42775" s="13"/>
    </row>
    <row r="42776">
      <c r="L42776" s="13"/>
      <c r="M42776" s="14"/>
      <c r="N42776" s="14"/>
      <c r="O42776" s="14"/>
      <c r="P42776" s="13"/>
    </row>
    <row r="42777">
      <c r="L42777" s="13"/>
      <c r="M42777" s="14"/>
      <c r="N42777" s="14"/>
      <c r="O42777" s="14"/>
      <c r="P42777" s="13"/>
    </row>
    <row r="42778">
      <c r="L42778" s="13"/>
      <c r="M42778" s="14"/>
      <c r="N42778" s="14"/>
      <c r="O42778" s="14"/>
      <c r="P42778" s="13"/>
    </row>
    <row r="42779">
      <c r="L42779" s="13"/>
      <c r="M42779" s="14"/>
      <c r="N42779" s="14"/>
      <c r="O42779" s="14"/>
      <c r="P42779" s="13"/>
    </row>
    <row r="42780">
      <c r="L42780" s="13"/>
      <c r="M42780" s="14"/>
      <c r="N42780" s="14"/>
      <c r="O42780" s="14"/>
      <c r="P42780" s="13"/>
    </row>
    <row r="42781">
      <c r="L42781" s="13"/>
      <c r="M42781" s="14"/>
      <c r="N42781" s="14"/>
      <c r="O42781" s="14"/>
      <c r="P42781" s="13"/>
    </row>
    <row r="42782">
      <c r="L42782" s="13"/>
      <c r="M42782" s="14"/>
      <c r="N42782" s="14"/>
      <c r="O42782" s="14"/>
      <c r="P42782" s="13"/>
    </row>
    <row r="42783">
      <c r="L42783" s="13"/>
      <c r="M42783" s="14"/>
      <c r="N42783" s="14"/>
      <c r="O42783" s="14"/>
      <c r="P42783" s="13"/>
    </row>
    <row r="42784">
      <c r="L42784" s="13"/>
      <c r="M42784" s="14"/>
      <c r="N42784" s="14"/>
      <c r="O42784" s="14"/>
      <c r="P42784" s="13"/>
    </row>
    <row r="42785">
      <c r="L42785" s="13"/>
      <c r="M42785" s="14"/>
      <c r="N42785" s="14"/>
      <c r="O42785" s="14"/>
      <c r="P42785" s="13"/>
    </row>
    <row r="42786">
      <c r="L42786" s="13"/>
      <c r="M42786" s="14"/>
      <c r="N42786" s="14"/>
      <c r="O42786" s="14"/>
      <c r="P42786" s="13"/>
    </row>
    <row r="42787">
      <c r="L42787" s="13"/>
      <c r="M42787" s="14"/>
      <c r="N42787" s="14"/>
      <c r="O42787" s="14"/>
      <c r="P42787" s="13"/>
    </row>
    <row r="42788">
      <c r="L42788" s="13"/>
      <c r="M42788" s="14"/>
      <c r="N42788" s="14"/>
      <c r="O42788" s="14"/>
      <c r="P42788" s="13"/>
    </row>
    <row r="42789">
      <c r="L42789" s="13"/>
      <c r="M42789" s="14"/>
      <c r="N42789" s="14"/>
      <c r="O42789" s="14"/>
      <c r="P42789" s="13"/>
    </row>
    <row r="42790">
      <c r="L42790" s="13"/>
      <c r="M42790" s="14"/>
      <c r="N42790" s="14"/>
      <c r="O42790" s="14"/>
      <c r="P42790" s="13"/>
    </row>
    <row r="42791">
      <c r="L42791" s="13"/>
      <c r="M42791" s="14"/>
      <c r="N42791" s="14"/>
      <c r="O42791" s="14"/>
      <c r="P42791" s="13"/>
    </row>
    <row r="42792">
      <c r="L42792" s="13"/>
      <c r="M42792" s="14"/>
      <c r="N42792" s="14"/>
      <c r="O42792" s="14"/>
      <c r="P42792" s="13"/>
    </row>
    <row r="42793">
      <c r="L42793" s="13"/>
      <c r="M42793" s="14"/>
      <c r="N42793" s="14"/>
      <c r="O42793" s="14"/>
      <c r="P42793" s="13"/>
    </row>
    <row r="42794">
      <c r="L42794" s="13"/>
      <c r="M42794" s="14"/>
      <c r="N42794" s="14"/>
      <c r="O42794" s="14"/>
      <c r="P42794" s="13"/>
    </row>
    <row r="42795">
      <c r="L42795" s="13"/>
      <c r="M42795" s="14"/>
      <c r="N42795" s="14"/>
      <c r="O42795" s="14"/>
      <c r="P42795" s="13"/>
    </row>
    <row r="42796">
      <c r="L42796" s="13"/>
      <c r="M42796" s="14"/>
      <c r="N42796" s="14"/>
      <c r="O42796" s="14"/>
      <c r="P42796" s="13"/>
    </row>
    <row r="42797">
      <c r="L42797" s="13"/>
      <c r="M42797" s="14"/>
      <c r="N42797" s="14"/>
      <c r="O42797" s="14"/>
      <c r="P42797" s="13"/>
    </row>
    <row r="42798">
      <c r="L42798" s="13"/>
      <c r="M42798" s="14"/>
      <c r="N42798" s="14"/>
      <c r="O42798" s="14"/>
      <c r="P42798" s="13"/>
    </row>
    <row r="42799">
      <c r="L42799" s="13"/>
      <c r="M42799" s="14"/>
      <c r="N42799" s="14"/>
      <c r="O42799" s="14"/>
      <c r="P42799" s="13"/>
    </row>
    <row r="42800">
      <c r="L42800" s="13"/>
      <c r="M42800" s="14"/>
      <c r="N42800" s="14"/>
      <c r="O42800" s="14"/>
      <c r="P42800" s="13"/>
    </row>
    <row r="42801">
      <c r="L42801" s="13"/>
      <c r="M42801" s="14"/>
      <c r="N42801" s="14"/>
      <c r="O42801" s="14"/>
      <c r="P42801" s="13"/>
    </row>
    <row r="42802">
      <c r="L42802" s="13"/>
      <c r="M42802" s="14"/>
      <c r="N42802" s="14"/>
      <c r="O42802" s="14"/>
      <c r="P42802" s="13"/>
    </row>
    <row r="42803">
      <c r="L42803" s="13"/>
      <c r="M42803" s="14"/>
      <c r="N42803" s="14"/>
      <c r="O42803" s="14"/>
      <c r="P42803" s="13"/>
    </row>
    <row r="42804">
      <c r="L42804" s="13"/>
      <c r="M42804" s="14"/>
      <c r="N42804" s="14"/>
      <c r="O42804" s="14"/>
      <c r="P42804" s="13"/>
    </row>
    <row r="42805">
      <c r="L42805" s="13"/>
      <c r="M42805" s="14"/>
      <c r="N42805" s="14"/>
      <c r="O42805" s="14"/>
      <c r="P42805" s="13"/>
    </row>
    <row r="42806">
      <c r="L42806" s="13"/>
      <c r="M42806" s="14"/>
      <c r="N42806" s="14"/>
      <c r="O42806" s="14"/>
      <c r="P42806" s="13"/>
    </row>
    <row r="42807">
      <c r="L42807" s="13"/>
      <c r="M42807" s="14"/>
      <c r="N42807" s="14"/>
      <c r="O42807" s="14"/>
      <c r="P42807" s="13"/>
    </row>
    <row r="42808">
      <c r="L42808" s="13"/>
      <c r="M42808" s="14"/>
      <c r="N42808" s="14"/>
      <c r="O42808" s="14"/>
      <c r="P42808" s="13"/>
    </row>
    <row r="42809">
      <c r="L42809" s="13"/>
      <c r="M42809" s="14"/>
      <c r="N42809" s="14"/>
      <c r="O42809" s="14"/>
      <c r="P42809" s="13"/>
    </row>
    <row r="42810">
      <c r="L42810" s="13"/>
      <c r="M42810" s="14"/>
      <c r="N42810" s="14"/>
      <c r="O42810" s="14"/>
      <c r="P42810" s="13"/>
    </row>
    <row r="42811">
      <c r="L42811" s="13"/>
      <c r="M42811" s="14"/>
      <c r="N42811" s="14"/>
      <c r="O42811" s="14"/>
      <c r="P42811" s="13"/>
    </row>
    <row r="42812">
      <c r="L42812" s="13"/>
      <c r="M42812" s="14"/>
      <c r="N42812" s="14"/>
      <c r="O42812" s="14"/>
      <c r="P42812" s="13"/>
    </row>
    <row r="42813">
      <c r="L42813" s="13"/>
      <c r="M42813" s="14"/>
      <c r="N42813" s="14"/>
      <c r="O42813" s="14"/>
      <c r="P42813" s="13"/>
    </row>
    <row r="42814">
      <c r="L42814" s="13"/>
      <c r="M42814" s="14"/>
      <c r="N42814" s="14"/>
      <c r="O42814" s="14"/>
      <c r="P42814" s="13"/>
    </row>
    <row r="42815">
      <c r="L42815" s="13"/>
      <c r="M42815" s="14"/>
      <c r="N42815" s="14"/>
      <c r="O42815" s="14"/>
      <c r="P42815" s="13"/>
    </row>
    <row r="42816">
      <c r="L42816" s="13"/>
      <c r="M42816" s="14"/>
      <c r="N42816" s="14"/>
      <c r="O42816" s="14"/>
      <c r="P42816" s="13"/>
    </row>
    <row r="42817">
      <c r="L42817" s="13"/>
      <c r="M42817" s="14"/>
      <c r="N42817" s="14"/>
      <c r="O42817" s="14"/>
      <c r="P42817" s="13"/>
    </row>
    <row r="42818">
      <c r="L42818" s="13"/>
      <c r="M42818" s="14"/>
      <c r="N42818" s="14"/>
      <c r="O42818" s="14"/>
      <c r="P42818" s="13"/>
    </row>
    <row r="42819">
      <c r="L42819" s="13"/>
      <c r="M42819" s="14"/>
      <c r="N42819" s="14"/>
      <c r="O42819" s="14"/>
      <c r="P42819" s="13"/>
    </row>
    <row r="42820">
      <c r="L42820" s="13"/>
      <c r="M42820" s="14"/>
      <c r="N42820" s="14"/>
      <c r="O42820" s="14"/>
      <c r="P42820" s="13"/>
    </row>
    <row r="42821">
      <c r="L42821" s="13"/>
      <c r="M42821" s="14"/>
      <c r="N42821" s="14"/>
      <c r="O42821" s="14"/>
      <c r="P42821" s="13"/>
    </row>
    <row r="42822">
      <c r="L42822" s="13"/>
      <c r="M42822" s="14"/>
      <c r="N42822" s="14"/>
      <c r="O42822" s="14"/>
      <c r="P42822" s="13"/>
    </row>
    <row r="42823">
      <c r="L42823" s="13"/>
      <c r="M42823" s="14"/>
      <c r="N42823" s="14"/>
      <c r="O42823" s="14"/>
      <c r="P42823" s="13"/>
    </row>
    <row r="42824">
      <c r="L42824" s="13"/>
      <c r="M42824" s="14"/>
      <c r="N42824" s="14"/>
      <c r="O42824" s="14"/>
      <c r="P42824" s="13"/>
    </row>
    <row r="42825">
      <c r="L42825" s="13"/>
      <c r="M42825" s="14"/>
      <c r="N42825" s="14"/>
      <c r="O42825" s="14"/>
      <c r="P42825" s="13"/>
    </row>
    <row r="42826">
      <c r="L42826" s="13"/>
      <c r="M42826" s="14"/>
      <c r="N42826" s="14"/>
      <c r="O42826" s="14"/>
      <c r="P42826" s="13"/>
    </row>
    <row r="42827">
      <c r="L42827" s="13"/>
      <c r="M42827" s="14"/>
      <c r="N42827" s="14"/>
      <c r="O42827" s="14"/>
      <c r="P42827" s="13"/>
    </row>
    <row r="42828">
      <c r="L42828" s="13"/>
      <c r="M42828" s="14"/>
      <c r="N42828" s="14"/>
      <c r="O42828" s="14"/>
      <c r="P42828" s="13"/>
    </row>
    <row r="42829">
      <c r="L42829" s="13"/>
      <c r="M42829" s="14"/>
      <c r="N42829" s="14"/>
      <c r="O42829" s="14"/>
      <c r="P42829" s="13"/>
    </row>
    <row r="42830">
      <c r="L42830" s="13"/>
      <c r="M42830" s="14"/>
      <c r="N42830" s="14"/>
      <c r="O42830" s="14"/>
      <c r="P42830" s="13"/>
    </row>
    <row r="42831">
      <c r="L42831" s="13"/>
      <c r="M42831" s="14"/>
      <c r="N42831" s="14"/>
      <c r="O42831" s="14"/>
      <c r="P42831" s="13"/>
    </row>
    <row r="42832">
      <c r="L42832" s="13"/>
      <c r="M42832" s="14"/>
      <c r="N42832" s="14"/>
      <c r="O42832" s="14"/>
      <c r="P42832" s="13"/>
    </row>
    <row r="42833">
      <c r="L42833" s="13"/>
      <c r="M42833" s="14"/>
      <c r="N42833" s="14"/>
      <c r="O42833" s="14"/>
      <c r="P42833" s="13"/>
    </row>
    <row r="42834">
      <c r="L42834" s="13"/>
      <c r="M42834" s="14"/>
      <c r="N42834" s="14"/>
      <c r="O42834" s="14"/>
      <c r="P42834" s="13"/>
    </row>
    <row r="42835">
      <c r="L42835" s="13"/>
      <c r="M42835" s="14"/>
      <c r="N42835" s="14"/>
      <c r="O42835" s="14"/>
      <c r="P42835" s="13"/>
    </row>
    <row r="42836">
      <c r="L42836" s="13"/>
      <c r="M42836" s="14"/>
      <c r="N42836" s="14"/>
      <c r="O42836" s="14"/>
      <c r="P42836" s="13"/>
    </row>
    <row r="42837">
      <c r="L42837" s="13"/>
      <c r="M42837" s="14"/>
      <c r="N42837" s="14"/>
      <c r="O42837" s="14"/>
      <c r="P42837" s="13"/>
    </row>
    <row r="42838">
      <c r="L42838" s="13"/>
      <c r="M42838" s="14"/>
      <c r="N42838" s="14"/>
      <c r="O42838" s="14"/>
      <c r="P42838" s="13"/>
    </row>
    <row r="42839">
      <c r="L42839" s="13"/>
      <c r="M42839" s="14"/>
      <c r="N42839" s="14"/>
      <c r="O42839" s="14"/>
      <c r="P42839" s="13"/>
    </row>
    <row r="42840">
      <c r="L42840" s="13"/>
      <c r="M42840" s="14"/>
      <c r="N42840" s="14"/>
      <c r="O42840" s="14"/>
      <c r="P42840" s="13"/>
    </row>
    <row r="42841">
      <c r="L42841" s="13"/>
      <c r="M42841" s="14"/>
      <c r="N42841" s="14"/>
      <c r="O42841" s="14"/>
      <c r="P42841" s="13"/>
    </row>
    <row r="42842">
      <c r="L42842" s="13"/>
      <c r="M42842" s="14"/>
      <c r="N42842" s="14"/>
      <c r="O42842" s="14"/>
      <c r="P42842" s="13"/>
    </row>
    <row r="42843">
      <c r="L42843" s="13"/>
      <c r="M42843" s="14"/>
      <c r="N42843" s="14"/>
      <c r="O42843" s="14"/>
      <c r="P42843" s="13"/>
    </row>
    <row r="42844">
      <c r="L42844" s="13"/>
      <c r="M42844" s="14"/>
      <c r="N42844" s="14"/>
      <c r="O42844" s="14"/>
      <c r="P42844" s="13"/>
    </row>
    <row r="42845">
      <c r="L42845" s="13"/>
      <c r="M42845" s="14"/>
      <c r="N42845" s="14"/>
      <c r="O42845" s="14"/>
      <c r="P42845" s="13"/>
    </row>
    <row r="42846">
      <c r="L42846" s="13"/>
      <c r="M42846" s="14"/>
      <c r="N42846" s="14"/>
      <c r="O42846" s="14"/>
      <c r="P42846" s="13"/>
    </row>
    <row r="42847">
      <c r="L42847" s="13"/>
      <c r="M42847" s="14"/>
      <c r="N42847" s="14"/>
      <c r="O42847" s="14"/>
      <c r="P42847" s="13"/>
    </row>
    <row r="42848">
      <c r="L42848" s="13"/>
      <c r="M42848" s="14"/>
      <c r="N42848" s="14"/>
      <c r="O42848" s="14"/>
      <c r="P42848" s="13"/>
    </row>
    <row r="42849">
      <c r="L42849" s="13"/>
      <c r="M42849" s="14"/>
      <c r="N42849" s="14"/>
      <c r="O42849" s="14"/>
      <c r="P42849" s="13"/>
    </row>
    <row r="42850">
      <c r="L42850" s="13"/>
      <c r="M42850" s="14"/>
      <c r="N42850" s="14"/>
      <c r="O42850" s="14"/>
      <c r="P42850" s="13"/>
    </row>
    <row r="42851">
      <c r="L42851" s="13"/>
      <c r="M42851" s="14"/>
      <c r="N42851" s="14"/>
      <c r="O42851" s="14"/>
      <c r="P42851" s="13"/>
    </row>
    <row r="42852">
      <c r="L42852" s="13"/>
      <c r="M42852" s="14"/>
      <c r="N42852" s="14"/>
      <c r="O42852" s="14"/>
      <c r="P42852" s="13"/>
    </row>
    <row r="42853">
      <c r="L42853" s="13"/>
      <c r="M42853" s="14"/>
      <c r="N42853" s="14"/>
      <c r="O42853" s="14"/>
      <c r="P42853" s="13"/>
    </row>
    <row r="42854">
      <c r="L42854" s="13"/>
      <c r="M42854" s="14"/>
      <c r="N42854" s="14"/>
      <c r="O42854" s="14"/>
      <c r="P42854" s="13"/>
    </row>
    <row r="42855">
      <c r="L42855" s="13"/>
      <c r="M42855" s="14"/>
      <c r="N42855" s="14"/>
      <c r="O42855" s="14"/>
      <c r="P42855" s="13"/>
    </row>
    <row r="42856">
      <c r="L42856" s="13"/>
      <c r="M42856" s="14"/>
      <c r="N42856" s="14"/>
      <c r="O42856" s="14"/>
      <c r="P42856" s="13"/>
    </row>
    <row r="42857">
      <c r="L42857" s="13"/>
      <c r="M42857" s="14"/>
      <c r="N42857" s="14"/>
      <c r="O42857" s="14"/>
      <c r="P42857" s="13"/>
    </row>
    <row r="42858">
      <c r="L42858" s="13"/>
      <c r="M42858" s="14"/>
      <c r="N42858" s="14"/>
      <c r="O42858" s="14"/>
      <c r="P42858" s="13"/>
    </row>
    <row r="42859">
      <c r="L42859" s="13"/>
      <c r="M42859" s="14"/>
      <c r="N42859" s="14"/>
      <c r="O42859" s="14"/>
      <c r="P42859" s="13"/>
    </row>
    <row r="42860">
      <c r="L42860" s="13"/>
      <c r="M42860" s="14"/>
      <c r="N42860" s="14"/>
      <c r="O42860" s="14"/>
      <c r="P42860" s="13"/>
    </row>
    <row r="42861">
      <c r="L42861" s="13"/>
      <c r="M42861" s="14"/>
      <c r="N42861" s="14"/>
      <c r="O42861" s="14"/>
      <c r="P42861" s="13"/>
    </row>
    <row r="42862">
      <c r="L42862" s="13"/>
      <c r="M42862" s="14"/>
      <c r="N42862" s="14"/>
      <c r="O42862" s="14"/>
      <c r="P42862" s="13"/>
    </row>
    <row r="42863">
      <c r="L42863" s="13"/>
      <c r="M42863" s="14"/>
      <c r="N42863" s="14"/>
      <c r="O42863" s="14"/>
      <c r="P42863" s="13"/>
    </row>
    <row r="42864">
      <c r="L42864" s="13"/>
      <c r="M42864" s="14"/>
      <c r="N42864" s="14"/>
      <c r="O42864" s="14"/>
      <c r="P42864" s="13"/>
    </row>
    <row r="42865">
      <c r="L42865" s="13"/>
      <c r="M42865" s="14"/>
      <c r="N42865" s="14"/>
      <c r="O42865" s="14"/>
      <c r="P42865" s="13"/>
    </row>
    <row r="42866">
      <c r="L42866" s="13"/>
      <c r="M42866" s="14"/>
      <c r="N42866" s="14"/>
      <c r="O42866" s="14"/>
      <c r="P42866" s="13"/>
    </row>
    <row r="42867">
      <c r="L42867" s="13"/>
      <c r="M42867" s="14"/>
      <c r="N42867" s="14"/>
      <c r="O42867" s="14"/>
      <c r="P42867" s="13"/>
    </row>
    <row r="42868">
      <c r="L42868" s="13"/>
      <c r="M42868" s="14"/>
      <c r="N42868" s="14"/>
      <c r="O42868" s="14"/>
      <c r="P42868" s="13"/>
    </row>
    <row r="42869">
      <c r="L42869" s="13"/>
      <c r="M42869" s="14"/>
      <c r="N42869" s="14"/>
      <c r="O42869" s="14"/>
      <c r="P42869" s="13"/>
    </row>
    <row r="42870">
      <c r="L42870" s="13"/>
      <c r="M42870" s="14"/>
      <c r="N42870" s="14"/>
      <c r="O42870" s="14"/>
      <c r="P42870" s="13"/>
    </row>
    <row r="42871">
      <c r="L42871" s="13"/>
      <c r="M42871" s="14"/>
      <c r="N42871" s="14"/>
      <c r="O42871" s="14"/>
      <c r="P42871" s="13"/>
    </row>
    <row r="42872">
      <c r="L42872" s="13"/>
      <c r="M42872" s="14"/>
      <c r="N42872" s="14"/>
      <c r="O42872" s="14"/>
      <c r="P42872" s="13"/>
    </row>
    <row r="42873">
      <c r="L42873" s="13"/>
      <c r="M42873" s="14"/>
      <c r="N42873" s="14"/>
      <c r="O42873" s="14"/>
      <c r="P42873" s="13"/>
    </row>
    <row r="42874">
      <c r="L42874" s="13"/>
      <c r="M42874" s="14"/>
      <c r="N42874" s="14"/>
      <c r="O42874" s="14"/>
      <c r="P42874" s="13"/>
    </row>
    <row r="42875">
      <c r="L42875" s="13"/>
      <c r="M42875" s="14"/>
      <c r="N42875" s="14"/>
      <c r="O42875" s="14"/>
      <c r="P42875" s="13"/>
    </row>
    <row r="42876">
      <c r="L42876" s="13"/>
      <c r="M42876" s="14"/>
      <c r="N42876" s="14"/>
      <c r="O42876" s="14"/>
      <c r="P42876" s="13"/>
    </row>
    <row r="42877">
      <c r="L42877" s="13"/>
      <c r="M42877" s="14"/>
      <c r="N42877" s="14"/>
      <c r="O42877" s="14"/>
      <c r="P42877" s="13"/>
    </row>
    <row r="42878">
      <c r="L42878" s="13"/>
      <c r="M42878" s="14"/>
      <c r="N42878" s="14"/>
      <c r="O42878" s="14"/>
      <c r="P42878" s="13"/>
    </row>
    <row r="42879">
      <c r="L42879" s="13"/>
      <c r="M42879" s="14"/>
      <c r="N42879" s="14"/>
      <c r="O42879" s="14"/>
      <c r="P42879" s="13"/>
    </row>
    <row r="42880">
      <c r="L42880" s="13"/>
      <c r="M42880" s="14"/>
      <c r="N42880" s="14"/>
      <c r="O42880" s="14"/>
      <c r="P42880" s="13"/>
    </row>
    <row r="42881">
      <c r="L42881" s="13"/>
      <c r="M42881" s="14"/>
      <c r="N42881" s="14"/>
      <c r="O42881" s="14"/>
      <c r="P42881" s="13"/>
    </row>
    <row r="42882">
      <c r="L42882" s="13"/>
      <c r="M42882" s="14"/>
      <c r="N42882" s="14"/>
      <c r="O42882" s="14"/>
      <c r="P42882" s="13"/>
    </row>
    <row r="42883">
      <c r="L42883" s="13"/>
      <c r="M42883" s="14"/>
      <c r="N42883" s="14"/>
      <c r="O42883" s="14"/>
      <c r="P42883" s="13"/>
    </row>
    <row r="42884">
      <c r="L42884" s="13"/>
      <c r="M42884" s="14"/>
      <c r="N42884" s="14"/>
      <c r="O42884" s="14"/>
      <c r="P42884" s="13"/>
    </row>
    <row r="42885">
      <c r="L42885" s="13"/>
      <c r="M42885" s="14"/>
      <c r="N42885" s="14"/>
      <c r="O42885" s="14"/>
      <c r="P42885" s="13"/>
    </row>
    <row r="42886">
      <c r="L42886" s="13"/>
      <c r="M42886" s="14"/>
      <c r="N42886" s="14"/>
      <c r="O42886" s="14"/>
      <c r="P42886" s="13"/>
    </row>
    <row r="42887">
      <c r="L42887" s="13"/>
      <c r="M42887" s="14"/>
      <c r="N42887" s="14"/>
      <c r="O42887" s="14"/>
      <c r="P42887" s="13"/>
    </row>
    <row r="42888">
      <c r="L42888" s="13"/>
      <c r="M42888" s="14"/>
      <c r="N42888" s="14"/>
      <c r="O42888" s="14"/>
      <c r="P42888" s="13"/>
    </row>
    <row r="42889">
      <c r="L42889" s="13"/>
      <c r="M42889" s="14"/>
      <c r="N42889" s="14"/>
      <c r="O42889" s="14"/>
      <c r="P42889" s="13"/>
    </row>
    <row r="42890">
      <c r="L42890" s="13"/>
      <c r="M42890" s="14"/>
      <c r="N42890" s="14"/>
      <c r="O42890" s="14"/>
      <c r="P42890" s="13"/>
    </row>
    <row r="42891">
      <c r="L42891" s="13"/>
      <c r="M42891" s="14"/>
      <c r="N42891" s="14"/>
      <c r="O42891" s="14"/>
      <c r="P42891" s="13"/>
    </row>
    <row r="42892">
      <c r="L42892" s="13"/>
      <c r="M42892" s="14"/>
      <c r="N42892" s="14"/>
      <c r="O42892" s="14"/>
      <c r="P42892" s="13"/>
    </row>
    <row r="42893">
      <c r="L42893" s="13"/>
      <c r="M42893" s="14"/>
      <c r="N42893" s="14"/>
      <c r="O42893" s="14"/>
      <c r="P42893" s="13"/>
    </row>
    <row r="42894">
      <c r="L42894" s="13"/>
      <c r="M42894" s="14"/>
      <c r="N42894" s="14"/>
      <c r="O42894" s="14"/>
      <c r="P42894" s="13"/>
    </row>
    <row r="42895">
      <c r="L42895" s="13"/>
      <c r="M42895" s="14"/>
      <c r="N42895" s="14"/>
      <c r="O42895" s="14"/>
      <c r="P42895" s="13"/>
    </row>
    <row r="42896">
      <c r="L42896" s="13"/>
      <c r="M42896" s="14"/>
      <c r="N42896" s="14"/>
      <c r="O42896" s="14"/>
      <c r="P42896" s="13"/>
    </row>
    <row r="42897">
      <c r="L42897" s="13"/>
      <c r="M42897" s="14"/>
      <c r="N42897" s="14"/>
      <c r="O42897" s="14"/>
      <c r="P42897" s="13"/>
    </row>
    <row r="42898">
      <c r="L42898" s="13"/>
      <c r="M42898" s="14"/>
      <c r="N42898" s="14"/>
      <c r="O42898" s="14"/>
      <c r="P42898" s="13"/>
    </row>
    <row r="42899">
      <c r="L42899" s="13"/>
      <c r="M42899" s="14"/>
      <c r="N42899" s="14"/>
      <c r="O42899" s="14"/>
      <c r="P42899" s="13"/>
    </row>
    <row r="42900">
      <c r="L42900" s="13"/>
      <c r="M42900" s="14"/>
      <c r="N42900" s="14"/>
      <c r="O42900" s="14"/>
      <c r="P42900" s="13"/>
    </row>
    <row r="42901">
      <c r="L42901" s="13"/>
      <c r="M42901" s="14"/>
      <c r="N42901" s="14"/>
      <c r="O42901" s="14"/>
      <c r="P42901" s="13"/>
    </row>
    <row r="42902">
      <c r="L42902" s="13"/>
      <c r="M42902" s="14"/>
      <c r="N42902" s="14"/>
      <c r="O42902" s="14"/>
      <c r="P42902" s="13"/>
    </row>
    <row r="42903">
      <c r="L42903" s="13"/>
      <c r="M42903" s="14"/>
      <c r="N42903" s="14"/>
      <c r="O42903" s="14"/>
      <c r="P42903" s="13"/>
    </row>
    <row r="42904">
      <c r="L42904" s="13"/>
      <c r="M42904" s="14"/>
      <c r="N42904" s="14"/>
      <c r="O42904" s="14"/>
      <c r="P42904" s="13"/>
    </row>
    <row r="42905">
      <c r="L42905" s="13"/>
      <c r="M42905" s="14"/>
      <c r="N42905" s="14"/>
      <c r="O42905" s="14"/>
      <c r="P42905" s="13"/>
    </row>
    <row r="42906">
      <c r="L42906" s="13"/>
      <c r="M42906" s="14"/>
      <c r="N42906" s="14"/>
      <c r="O42906" s="14"/>
      <c r="P42906" s="13"/>
    </row>
    <row r="42907">
      <c r="L42907" s="13"/>
      <c r="M42907" s="14"/>
      <c r="N42907" s="14"/>
      <c r="O42907" s="14"/>
      <c r="P42907" s="13"/>
    </row>
    <row r="42908">
      <c r="L42908" s="13"/>
      <c r="M42908" s="14"/>
      <c r="N42908" s="14"/>
      <c r="O42908" s="14"/>
      <c r="P42908" s="13"/>
    </row>
    <row r="42909">
      <c r="L42909" s="13"/>
      <c r="M42909" s="14"/>
      <c r="N42909" s="14"/>
      <c r="O42909" s="14"/>
      <c r="P42909" s="13"/>
    </row>
    <row r="42910">
      <c r="L42910" s="13"/>
      <c r="M42910" s="14"/>
      <c r="N42910" s="14"/>
      <c r="O42910" s="14"/>
      <c r="P42910" s="13"/>
    </row>
    <row r="42911">
      <c r="L42911" s="13"/>
      <c r="M42911" s="14"/>
      <c r="N42911" s="14"/>
      <c r="O42911" s="14"/>
      <c r="P42911" s="13"/>
    </row>
    <row r="42912">
      <c r="L42912" s="13"/>
      <c r="M42912" s="14"/>
      <c r="N42912" s="14"/>
      <c r="O42912" s="14"/>
      <c r="P42912" s="13"/>
    </row>
    <row r="42913">
      <c r="L42913" s="13"/>
      <c r="M42913" s="14"/>
      <c r="N42913" s="14"/>
      <c r="O42913" s="14"/>
      <c r="P42913" s="13"/>
    </row>
    <row r="42914">
      <c r="L42914" s="13"/>
      <c r="M42914" s="14"/>
      <c r="N42914" s="14"/>
      <c r="O42914" s="14"/>
      <c r="P42914" s="13"/>
    </row>
    <row r="42915">
      <c r="L42915" s="13"/>
      <c r="M42915" s="14"/>
      <c r="N42915" s="14"/>
      <c r="O42915" s="14"/>
      <c r="P42915" s="13"/>
    </row>
    <row r="42916">
      <c r="L42916" s="13"/>
      <c r="M42916" s="14"/>
      <c r="N42916" s="14"/>
      <c r="O42916" s="14"/>
      <c r="P42916" s="13"/>
    </row>
    <row r="42917">
      <c r="L42917" s="13"/>
      <c r="M42917" s="14"/>
      <c r="N42917" s="14"/>
      <c r="O42917" s="14"/>
      <c r="P42917" s="13"/>
    </row>
    <row r="42918">
      <c r="L42918" s="13"/>
      <c r="M42918" s="14"/>
      <c r="N42918" s="14"/>
      <c r="O42918" s="14"/>
      <c r="P42918" s="13"/>
    </row>
    <row r="42919">
      <c r="L42919" s="13"/>
      <c r="M42919" s="14"/>
      <c r="N42919" s="14"/>
      <c r="O42919" s="14"/>
      <c r="P42919" s="13"/>
    </row>
    <row r="42920">
      <c r="L42920" s="13"/>
      <c r="M42920" s="14"/>
      <c r="N42920" s="14"/>
      <c r="O42920" s="14"/>
      <c r="P42920" s="13"/>
    </row>
    <row r="42921">
      <c r="L42921" s="13"/>
      <c r="M42921" s="14"/>
      <c r="N42921" s="14"/>
      <c r="O42921" s="14"/>
      <c r="P42921" s="13"/>
    </row>
    <row r="42922">
      <c r="L42922" s="13"/>
      <c r="M42922" s="14"/>
      <c r="N42922" s="14"/>
      <c r="O42922" s="14"/>
      <c r="P42922" s="13"/>
    </row>
    <row r="42923">
      <c r="L42923" s="13"/>
      <c r="M42923" s="14"/>
      <c r="N42923" s="14"/>
      <c r="O42923" s="14"/>
      <c r="P42923" s="13"/>
    </row>
    <row r="42924">
      <c r="L42924" s="13"/>
      <c r="M42924" s="14"/>
      <c r="N42924" s="14"/>
      <c r="O42924" s="14"/>
      <c r="P42924" s="13"/>
    </row>
    <row r="42925">
      <c r="L42925" s="13"/>
      <c r="M42925" s="14"/>
      <c r="N42925" s="14"/>
      <c r="O42925" s="14"/>
      <c r="P42925" s="13"/>
    </row>
    <row r="42926">
      <c r="L42926" s="13"/>
      <c r="M42926" s="14"/>
      <c r="N42926" s="14"/>
      <c r="O42926" s="14"/>
      <c r="P42926" s="13"/>
    </row>
    <row r="42927">
      <c r="L42927" s="13"/>
      <c r="M42927" s="14"/>
      <c r="N42927" s="14"/>
      <c r="O42927" s="14"/>
      <c r="P42927" s="13"/>
    </row>
    <row r="42928">
      <c r="L42928" s="13"/>
      <c r="M42928" s="14"/>
      <c r="N42928" s="14"/>
      <c r="O42928" s="14"/>
      <c r="P42928" s="13"/>
    </row>
    <row r="42929">
      <c r="L42929" s="13"/>
      <c r="M42929" s="14"/>
      <c r="N42929" s="14"/>
      <c r="O42929" s="14"/>
      <c r="P42929" s="13"/>
    </row>
    <row r="42930">
      <c r="L42930" s="13"/>
      <c r="M42930" s="14"/>
      <c r="N42930" s="14"/>
      <c r="O42930" s="14"/>
      <c r="P42930" s="13"/>
    </row>
    <row r="42931">
      <c r="L42931" s="13"/>
      <c r="M42931" s="14"/>
      <c r="N42931" s="14"/>
      <c r="O42931" s="14"/>
      <c r="P42931" s="13"/>
    </row>
    <row r="42932">
      <c r="L42932" s="13"/>
      <c r="M42932" s="14"/>
      <c r="N42932" s="14"/>
      <c r="O42932" s="14"/>
      <c r="P42932" s="13"/>
    </row>
    <row r="42933">
      <c r="L42933" s="13"/>
      <c r="M42933" s="14"/>
      <c r="N42933" s="14"/>
      <c r="O42933" s="14"/>
      <c r="P42933" s="13"/>
    </row>
    <row r="42934">
      <c r="L42934" s="13"/>
      <c r="M42934" s="14"/>
      <c r="N42934" s="14"/>
      <c r="O42934" s="14"/>
      <c r="P42934" s="13"/>
    </row>
    <row r="42935">
      <c r="L42935" s="13"/>
      <c r="M42935" s="14"/>
      <c r="N42935" s="14"/>
      <c r="O42935" s="14"/>
      <c r="P42935" s="13"/>
    </row>
    <row r="42936">
      <c r="L42936" s="13"/>
      <c r="M42936" s="14"/>
      <c r="N42936" s="14"/>
      <c r="O42936" s="14"/>
      <c r="P42936" s="13"/>
    </row>
    <row r="42937">
      <c r="L42937" s="13"/>
      <c r="M42937" s="14"/>
      <c r="N42937" s="14"/>
      <c r="O42937" s="14"/>
      <c r="P42937" s="13"/>
    </row>
    <row r="42938">
      <c r="L42938" s="13"/>
      <c r="M42938" s="14"/>
      <c r="N42938" s="14"/>
      <c r="O42938" s="14"/>
      <c r="P42938" s="13"/>
    </row>
    <row r="42939">
      <c r="L42939" s="13"/>
      <c r="M42939" s="14"/>
      <c r="N42939" s="14"/>
      <c r="O42939" s="14"/>
      <c r="P42939" s="13"/>
    </row>
    <row r="42940">
      <c r="L42940" s="13"/>
      <c r="M42940" s="14"/>
      <c r="N42940" s="14"/>
      <c r="O42940" s="14"/>
      <c r="P42940" s="13"/>
    </row>
    <row r="42941">
      <c r="L42941" s="13"/>
      <c r="M42941" s="14"/>
      <c r="N42941" s="14"/>
      <c r="O42941" s="14"/>
      <c r="P42941" s="13"/>
    </row>
    <row r="42942">
      <c r="L42942" s="13"/>
      <c r="M42942" s="14"/>
      <c r="N42942" s="14"/>
      <c r="O42942" s="14"/>
      <c r="P42942" s="13"/>
    </row>
    <row r="42943">
      <c r="L42943" s="13"/>
      <c r="M42943" s="14"/>
      <c r="N42943" s="14"/>
      <c r="O42943" s="14"/>
      <c r="P42943" s="13"/>
    </row>
    <row r="42944">
      <c r="L42944" s="13"/>
      <c r="M42944" s="14"/>
      <c r="N42944" s="14"/>
      <c r="O42944" s="14"/>
      <c r="P42944" s="13"/>
    </row>
    <row r="42945">
      <c r="L42945" s="13"/>
      <c r="M42945" s="14"/>
      <c r="N42945" s="14"/>
      <c r="O42945" s="14"/>
      <c r="P42945" s="13"/>
    </row>
    <row r="42946">
      <c r="L42946" s="13"/>
      <c r="M42946" s="14"/>
      <c r="N42946" s="14"/>
      <c r="O42946" s="14"/>
      <c r="P42946" s="13"/>
    </row>
    <row r="42947">
      <c r="L42947" s="13"/>
      <c r="M42947" s="14"/>
      <c r="N42947" s="14"/>
      <c r="O42947" s="14"/>
      <c r="P42947" s="13"/>
    </row>
    <row r="42948">
      <c r="L42948" s="13"/>
      <c r="M42948" s="14"/>
      <c r="N42948" s="14"/>
      <c r="O42948" s="14"/>
      <c r="P42948" s="13"/>
    </row>
    <row r="42949">
      <c r="L42949" s="13"/>
      <c r="M42949" s="14"/>
      <c r="N42949" s="14"/>
      <c r="O42949" s="14"/>
      <c r="P42949" s="13"/>
    </row>
    <row r="42950">
      <c r="L42950" s="13"/>
      <c r="M42950" s="14"/>
      <c r="N42950" s="14"/>
      <c r="O42950" s="14"/>
      <c r="P42950" s="13"/>
    </row>
    <row r="42951">
      <c r="L42951" s="13"/>
      <c r="M42951" s="14"/>
      <c r="N42951" s="14"/>
      <c r="O42951" s="14"/>
      <c r="P42951" s="13"/>
    </row>
    <row r="42952">
      <c r="L42952" s="13"/>
      <c r="M42952" s="14"/>
      <c r="N42952" s="14"/>
      <c r="O42952" s="14"/>
      <c r="P42952" s="13"/>
    </row>
    <row r="42953">
      <c r="L42953" s="13"/>
      <c r="M42953" s="14"/>
      <c r="N42953" s="14"/>
      <c r="O42953" s="14"/>
      <c r="P42953" s="13"/>
    </row>
    <row r="42954">
      <c r="L42954" s="13"/>
      <c r="M42954" s="14"/>
      <c r="N42954" s="14"/>
      <c r="O42954" s="14"/>
      <c r="P42954" s="13"/>
    </row>
    <row r="42955">
      <c r="L42955" s="13"/>
      <c r="M42955" s="14"/>
      <c r="N42955" s="14"/>
      <c r="O42955" s="14"/>
      <c r="P42955" s="13"/>
    </row>
    <row r="42956">
      <c r="L42956" s="13"/>
      <c r="M42956" s="14"/>
      <c r="N42956" s="14"/>
      <c r="O42956" s="14"/>
      <c r="P42956" s="13"/>
    </row>
    <row r="42957">
      <c r="L42957" s="13"/>
      <c r="M42957" s="14"/>
      <c r="N42957" s="14"/>
      <c r="O42957" s="14"/>
      <c r="P42957" s="13"/>
    </row>
    <row r="42958">
      <c r="L42958" s="13"/>
      <c r="M42958" s="14"/>
      <c r="N42958" s="14"/>
      <c r="O42958" s="14"/>
      <c r="P42958" s="13"/>
    </row>
    <row r="42959">
      <c r="L42959" s="13"/>
      <c r="M42959" s="14"/>
      <c r="N42959" s="14"/>
      <c r="O42959" s="14"/>
      <c r="P42959" s="13"/>
    </row>
    <row r="42960">
      <c r="L42960" s="13"/>
      <c r="M42960" s="14"/>
      <c r="N42960" s="14"/>
      <c r="O42960" s="14"/>
      <c r="P42960" s="13"/>
    </row>
    <row r="42961">
      <c r="L42961" s="13"/>
      <c r="M42961" s="14"/>
      <c r="N42961" s="14"/>
      <c r="O42961" s="14"/>
      <c r="P42961" s="13"/>
    </row>
    <row r="42962">
      <c r="L42962" s="13"/>
      <c r="M42962" s="14"/>
      <c r="N42962" s="14"/>
      <c r="O42962" s="14"/>
      <c r="P42962" s="13"/>
    </row>
    <row r="42963">
      <c r="L42963" s="13"/>
      <c r="M42963" s="14"/>
      <c r="N42963" s="14"/>
      <c r="O42963" s="14"/>
      <c r="P42963" s="13"/>
    </row>
    <row r="42964">
      <c r="L42964" s="13"/>
      <c r="M42964" s="14"/>
      <c r="N42964" s="14"/>
      <c r="O42964" s="14"/>
      <c r="P42964" s="13"/>
    </row>
    <row r="42965">
      <c r="L42965" s="13"/>
      <c r="M42965" s="14"/>
      <c r="N42965" s="14"/>
      <c r="O42965" s="14"/>
      <c r="P42965" s="13"/>
    </row>
    <row r="42966">
      <c r="L42966" s="13"/>
      <c r="M42966" s="14"/>
      <c r="N42966" s="14"/>
      <c r="O42966" s="14"/>
      <c r="P42966" s="13"/>
    </row>
    <row r="42967">
      <c r="L42967" s="13"/>
      <c r="M42967" s="14"/>
      <c r="N42967" s="14"/>
      <c r="O42967" s="14"/>
      <c r="P42967" s="13"/>
    </row>
    <row r="42968">
      <c r="L42968" s="13"/>
      <c r="M42968" s="14"/>
      <c r="N42968" s="14"/>
      <c r="O42968" s="14"/>
      <c r="P42968" s="13"/>
    </row>
    <row r="42969">
      <c r="L42969" s="13"/>
      <c r="M42969" s="14"/>
      <c r="N42969" s="14"/>
      <c r="O42969" s="14"/>
      <c r="P42969" s="13"/>
    </row>
    <row r="42970">
      <c r="L42970" s="13"/>
      <c r="M42970" s="14"/>
      <c r="N42970" s="14"/>
      <c r="O42970" s="14"/>
      <c r="P42970" s="13"/>
    </row>
    <row r="42971">
      <c r="L42971" s="13"/>
      <c r="M42971" s="14"/>
      <c r="N42971" s="14"/>
      <c r="O42971" s="14"/>
      <c r="P42971" s="13"/>
    </row>
    <row r="42972">
      <c r="L42972" s="13"/>
      <c r="M42972" s="14"/>
      <c r="N42972" s="14"/>
      <c r="O42972" s="14"/>
      <c r="P42972" s="13"/>
    </row>
    <row r="42973">
      <c r="L42973" s="13"/>
      <c r="M42973" s="14"/>
      <c r="N42973" s="14"/>
      <c r="O42973" s="14"/>
      <c r="P42973" s="13"/>
    </row>
    <row r="42974">
      <c r="L42974" s="13"/>
      <c r="M42974" s="14"/>
      <c r="N42974" s="14"/>
      <c r="O42974" s="14"/>
      <c r="P42974" s="13"/>
    </row>
    <row r="42975">
      <c r="L42975" s="13"/>
      <c r="M42975" s="14"/>
      <c r="N42975" s="14"/>
      <c r="O42975" s="14"/>
      <c r="P42975" s="13"/>
    </row>
    <row r="42976">
      <c r="L42976" s="13"/>
      <c r="M42976" s="14"/>
      <c r="N42976" s="14"/>
      <c r="O42976" s="14"/>
      <c r="P42976" s="13"/>
    </row>
    <row r="42977">
      <c r="L42977" s="13"/>
      <c r="M42977" s="14"/>
      <c r="N42977" s="14"/>
      <c r="O42977" s="14"/>
      <c r="P42977" s="13"/>
    </row>
    <row r="42978">
      <c r="L42978" s="13"/>
      <c r="M42978" s="14"/>
      <c r="N42978" s="14"/>
      <c r="O42978" s="14"/>
      <c r="P42978" s="13"/>
    </row>
    <row r="42979">
      <c r="L42979" s="13"/>
      <c r="M42979" s="14"/>
      <c r="N42979" s="14"/>
      <c r="O42979" s="14"/>
      <c r="P42979" s="13"/>
    </row>
    <row r="42980">
      <c r="L42980" s="13"/>
      <c r="M42980" s="14"/>
      <c r="N42980" s="14"/>
      <c r="O42980" s="14"/>
      <c r="P42980" s="13"/>
    </row>
    <row r="42981">
      <c r="L42981" s="13"/>
      <c r="M42981" s="14"/>
      <c r="N42981" s="14"/>
      <c r="O42981" s="14"/>
      <c r="P42981" s="13"/>
    </row>
    <row r="42982">
      <c r="L42982" s="13"/>
      <c r="M42982" s="14"/>
      <c r="N42982" s="14"/>
      <c r="O42982" s="14"/>
      <c r="P42982" s="13"/>
    </row>
    <row r="42983">
      <c r="L42983" s="13"/>
      <c r="M42983" s="14"/>
      <c r="N42983" s="14"/>
      <c r="O42983" s="14"/>
      <c r="P42983" s="13"/>
    </row>
    <row r="42984">
      <c r="L42984" s="13"/>
      <c r="M42984" s="14"/>
      <c r="N42984" s="14"/>
      <c r="O42984" s="14"/>
      <c r="P42984" s="13"/>
    </row>
    <row r="42985">
      <c r="L42985" s="13"/>
      <c r="M42985" s="14"/>
      <c r="N42985" s="14"/>
      <c r="O42985" s="14"/>
      <c r="P42985" s="13"/>
    </row>
    <row r="42986">
      <c r="L42986" s="13"/>
      <c r="M42986" s="14"/>
      <c r="N42986" s="14"/>
      <c r="O42986" s="14"/>
      <c r="P42986" s="13"/>
    </row>
    <row r="42987">
      <c r="L42987" s="13"/>
      <c r="M42987" s="14"/>
      <c r="N42987" s="14"/>
      <c r="O42987" s="14"/>
      <c r="P42987" s="13"/>
    </row>
    <row r="42988">
      <c r="L42988" s="13"/>
      <c r="M42988" s="14"/>
      <c r="N42988" s="14"/>
      <c r="O42988" s="14"/>
      <c r="P42988" s="13"/>
    </row>
    <row r="42989">
      <c r="L42989" s="13"/>
      <c r="M42989" s="14"/>
      <c r="N42989" s="14"/>
      <c r="O42989" s="14"/>
      <c r="P42989" s="13"/>
    </row>
    <row r="42990">
      <c r="L42990" s="13"/>
      <c r="M42990" s="14"/>
      <c r="N42990" s="14"/>
      <c r="O42990" s="14"/>
      <c r="P42990" s="13"/>
    </row>
    <row r="42991">
      <c r="L42991" s="13"/>
      <c r="M42991" s="14"/>
      <c r="N42991" s="14"/>
      <c r="O42991" s="14"/>
      <c r="P42991" s="13"/>
    </row>
    <row r="42992">
      <c r="L42992" s="13"/>
      <c r="M42992" s="14"/>
      <c r="N42992" s="14"/>
      <c r="O42992" s="14"/>
      <c r="P42992" s="13"/>
    </row>
    <row r="42993">
      <c r="L42993" s="13"/>
      <c r="M42993" s="14"/>
      <c r="N42993" s="14"/>
      <c r="O42993" s="14"/>
      <c r="P42993" s="13"/>
    </row>
    <row r="42994">
      <c r="L42994" s="13"/>
      <c r="M42994" s="14"/>
      <c r="N42994" s="14"/>
      <c r="O42994" s="14"/>
      <c r="P42994" s="13"/>
    </row>
    <row r="42995">
      <c r="L42995" s="13"/>
      <c r="M42995" s="14"/>
      <c r="N42995" s="14"/>
      <c r="O42995" s="14"/>
      <c r="P42995" s="13"/>
    </row>
    <row r="42996">
      <c r="L42996" s="13"/>
      <c r="M42996" s="14"/>
      <c r="N42996" s="14"/>
      <c r="O42996" s="14"/>
      <c r="P42996" s="13"/>
    </row>
    <row r="42997">
      <c r="L42997" s="13"/>
      <c r="M42997" s="14"/>
      <c r="N42997" s="14"/>
      <c r="O42997" s="14"/>
      <c r="P42997" s="13"/>
    </row>
    <row r="42998">
      <c r="L42998" s="13"/>
      <c r="M42998" s="14"/>
      <c r="N42998" s="14"/>
      <c r="O42998" s="14"/>
      <c r="P42998" s="13"/>
    </row>
    <row r="42999">
      <c r="L42999" s="13"/>
      <c r="M42999" s="14"/>
      <c r="N42999" s="14"/>
      <c r="O42999" s="14"/>
      <c r="P42999" s="13"/>
    </row>
    <row r="43000">
      <c r="L43000" s="13"/>
      <c r="M43000" s="14"/>
      <c r="N43000" s="14"/>
      <c r="O43000" s="14"/>
      <c r="P43000" s="13"/>
    </row>
    <row r="43001">
      <c r="L43001" s="13"/>
      <c r="M43001" s="14"/>
      <c r="N43001" s="14"/>
      <c r="O43001" s="14"/>
      <c r="P43001" s="13"/>
    </row>
    <row r="43002">
      <c r="L43002" s="13"/>
      <c r="M43002" s="14"/>
      <c r="N43002" s="14"/>
      <c r="O43002" s="14"/>
      <c r="P43002" s="13"/>
    </row>
    <row r="43003">
      <c r="L43003" s="13"/>
      <c r="M43003" s="14"/>
      <c r="N43003" s="14"/>
      <c r="O43003" s="14"/>
      <c r="P43003" s="13"/>
    </row>
    <row r="43004">
      <c r="L43004" s="13"/>
      <c r="M43004" s="14"/>
      <c r="N43004" s="14"/>
      <c r="O43004" s="14"/>
      <c r="P43004" s="13"/>
    </row>
    <row r="43005">
      <c r="L43005" s="13"/>
      <c r="M43005" s="14"/>
      <c r="N43005" s="14"/>
      <c r="O43005" s="14"/>
      <c r="P43005" s="13"/>
    </row>
    <row r="43006">
      <c r="L43006" s="13"/>
      <c r="M43006" s="14"/>
      <c r="N43006" s="14"/>
      <c r="O43006" s="14"/>
      <c r="P43006" s="13"/>
    </row>
    <row r="43007">
      <c r="L43007" s="13"/>
      <c r="M43007" s="14"/>
      <c r="N43007" s="14"/>
      <c r="O43007" s="14"/>
      <c r="P43007" s="13"/>
    </row>
    <row r="43008">
      <c r="L43008" s="13"/>
      <c r="M43008" s="14"/>
      <c r="N43008" s="14"/>
      <c r="O43008" s="14"/>
      <c r="P43008" s="13"/>
    </row>
    <row r="43009">
      <c r="L43009" s="13"/>
      <c r="M43009" s="14"/>
      <c r="N43009" s="14"/>
      <c r="O43009" s="14"/>
      <c r="P43009" s="13"/>
    </row>
    <row r="43010">
      <c r="L43010" s="13"/>
      <c r="M43010" s="14"/>
      <c r="N43010" s="14"/>
      <c r="O43010" s="14"/>
      <c r="P43010" s="13"/>
    </row>
    <row r="43011">
      <c r="L43011" s="13"/>
      <c r="M43011" s="14"/>
      <c r="N43011" s="14"/>
      <c r="O43011" s="14"/>
      <c r="P43011" s="13"/>
    </row>
    <row r="43012">
      <c r="L43012" s="13"/>
      <c r="M43012" s="14"/>
      <c r="N43012" s="14"/>
      <c r="O43012" s="14"/>
      <c r="P43012" s="13"/>
    </row>
    <row r="43013">
      <c r="L43013" s="13"/>
      <c r="M43013" s="14"/>
      <c r="N43013" s="14"/>
      <c r="O43013" s="14"/>
      <c r="P43013" s="13"/>
    </row>
    <row r="43014">
      <c r="L43014" s="13"/>
      <c r="M43014" s="14"/>
      <c r="N43014" s="14"/>
      <c r="O43014" s="14"/>
      <c r="P43014" s="13"/>
    </row>
    <row r="43015">
      <c r="L43015" s="13"/>
      <c r="M43015" s="14"/>
      <c r="N43015" s="14"/>
      <c r="O43015" s="14"/>
      <c r="P43015" s="13"/>
    </row>
    <row r="43016">
      <c r="L43016" s="13"/>
      <c r="M43016" s="14"/>
      <c r="N43016" s="14"/>
      <c r="O43016" s="14"/>
      <c r="P43016" s="13"/>
    </row>
    <row r="43017">
      <c r="L43017" s="13"/>
      <c r="M43017" s="14"/>
      <c r="N43017" s="14"/>
      <c r="O43017" s="14"/>
      <c r="P43017" s="13"/>
    </row>
    <row r="43018">
      <c r="L43018" s="13"/>
      <c r="M43018" s="14"/>
      <c r="N43018" s="14"/>
      <c r="O43018" s="14"/>
      <c r="P43018" s="13"/>
    </row>
    <row r="43019">
      <c r="L43019" s="13"/>
      <c r="M43019" s="14"/>
      <c r="N43019" s="14"/>
      <c r="O43019" s="14"/>
      <c r="P43019" s="13"/>
    </row>
    <row r="43020">
      <c r="L43020" s="13"/>
      <c r="M43020" s="14"/>
      <c r="N43020" s="14"/>
      <c r="O43020" s="14"/>
      <c r="P43020" s="13"/>
    </row>
    <row r="43021">
      <c r="L43021" s="13"/>
      <c r="M43021" s="14"/>
      <c r="N43021" s="14"/>
      <c r="O43021" s="14"/>
      <c r="P43021" s="13"/>
    </row>
    <row r="43022">
      <c r="L43022" s="13"/>
      <c r="M43022" s="14"/>
      <c r="N43022" s="14"/>
      <c r="O43022" s="14"/>
      <c r="P43022" s="13"/>
    </row>
    <row r="43023">
      <c r="L43023" s="13"/>
      <c r="M43023" s="14"/>
      <c r="N43023" s="14"/>
      <c r="O43023" s="14"/>
      <c r="P43023" s="13"/>
    </row>
    <row r="43024">
      <c r="L43024" s="13"/>
      <c r="M43024" s="14"/>
      <c r="N43024" s="14"/>
      <c r="O43024" s="14"/>
      <c r="P43024" s="13"/>
    </row>
    <row r="43025">
      <c r="L43025" s="13"/>
      <c r="M43025" s="14"/>
      <c r="N43025" s="14"/>
      <c r="O43025" s="14"/>
      <c r="P43025" s="13"/>
    </row>
    <row r="43026">
      <c r="L43026" s="13"/>
      <c r="M43026" s="14"/>
      <c r="N43026" s="14"/>
      <c r="O43026" s="14"/>
      <c r="P43026" s="13"/>
    </row>
    <row r="43027">
      <c r="L43027" s="13"/>
      <c r="M43027" s="14"/>
      <c r="N43027" s="14"/>
      <c r="O43027" s="14"/>
      <c r="P43027" s="13"/>
    </row>
    <row r="43028">
      <c r="L43028" s="13"/>
      <c r="M43028" s="14"/>
      <c r="N43028" s="14"/>
      <c r="O43028" s="14"/>
      <c r="P43028" s="13"/>
    </row>
    <row r="43029">
      <c r="L43029" s="13"/>
      <c r="M43029" s="14"/>
      <c r="N43029" s="14"/>
      <c r="O43029" s="14"/>
      <c r="P43029" s="13"/>
    </row>
    <row r="43030">
      <c r="L43030" s="13"/>
      <c r="M43030" s="14"/>
      <c r="N43030" s="14"/>
      <c r="O43030" s="14"/>
      <c r="P43030" s="13"/>
    </row>
    <row r="43031">
      <c r="L43031" s="13"/>
      <c r="M43031" s="14"/>
      <c r="N43031" s="14"/>
      <c r="O43031" s="14"/>
      <c r="P43031" s="13"/>
    </row>
    <row r="43032">
      <c r="L43032" s="13"/>
      <c r="M43032" s="14"/>
      <c r="N43032" s="14"/>
      <c r="O43032" s="14"/>
      <c r="P43032" s="13"/>
    </row>
    <row r="43033">
      <c r="L43033" s="13"/>
      <c r="M43033" s="14"/>
      <c r="N43033" s="14"/>
      <c r="O43033" s="14"/>
      <c r="P43033" s="13"/>
    </row>
    <row r="43034">
      <c r="L43034" s="13"/>
      <c r="M43034" s="14"/>
      <c r="N43034" s="14"/>
      <c r="O43034" s="14"/>
      <c r="P43034" s="13"/>
    </row>
    <row r="43035">
      <c r="L43035" s="13"/>
      <c r="M43035" s="14"/>
      <c r="N43035" s="14"/>
      <c r="O43035" s="14"/>
      <c r="P43035" s="13"/>
    </row>
    <row r="43036">
      <c r="L43036" s="13"/>
      <c r="M43036" s="14"/>
      <c r="N43036" s="14"/>
      <c r="O43036" s="14"/>
      <c r="P43036" s="13"/>
    </row>
    <row r="43037">
      <c r="L43037" s="13"/>
      <c r="M43037" s="14"/>
      <c r="N43037" s="14"/>
      <c r="O43037" s="14"/>
      <c r="P43037" s="13"/>
    </row>
    <row r="43038">
      <c r="L43038" s="13"/>
      <c r="M43038" s="14"/>
      <c r="N43038" s="14"/>
      <c r="O43038" s="14"/>
      <c r="P43038" s="13"/>
    </row>
    <row r="43039">
      <c r="L43039" s="13"/>
      <c r="M43039" s="14"/>
      <c r="N43039" s="14"/>
      <c r="O43039" s="14"/>
      <c r="P43039" s="13"/>
    </row>
    <row r="43040">
      <c r="L43040" s="13"/>
      <c r="M43040" s="14"/>
      <c r="N43040" s="14"/>
      <c r="O43040" s="14"/>
      <c r="P43040" s="13"/>
    </row>
    <row r="43041">
      <c r="L43041" s="13"/>
      <c r="M43041" s="14"/>
      <c r="N43041" s="14"/>
      <c r="O43041" s="14"/>
      <c r="P43041" s="13"/>
    </row>
    <row r="43042">
      <c r="L43042" s="13"/>
      <c r="M43042" s="14"/>
      <c r="N43042" s="14"/>
      <c r="O43042" s="14"/>
      <c r="P43042" s="13"/>
    </row>
    <row r="43043">
      <c r="L43043" s="13"/>
      <c r="M43043" s="14"/>
      <c r="N43043" s="14"/>
      <c r="O43043" s="14"/>
      <c r="P43043" s="13"/>
    </row>
    <row r="43044">
      <c r="L43044" s="13"/>
      <c r="M43044" s="14"/>
      <c r="N43044" s="14"/>
      <c r="O43044" s="14"/>
      <c r="P43044" s="13"/>
    </row>
    <row r="43045">
      <c r="L43045" s="13"/>
      <c r="M43045" s="14"/>
      <c r="N43045" s="14"/>
      <c r="O43045" s="14"/>
      <c r="P43045" s="13"/>
    </row>
    <row r="43046">
      <c r="L43046" s="13"/>
      <c r="M43046" s="14"/>
      <c r="N43046" s="14"/>
      <c r="O43046" s="14"/>
      <c r="P43046" s="13"/>
    </row>
    <row r="43047">
      <c r="L43047" s="13"/>
      <c r="M43047" s="14"/>
      <c r="N43047" s="14"/>
      <c r="O43047" s="14"/>
      <c r="P43047" s="13"/>
    </row>
    <row r="43048">
      <c r="L43048" s="13"/>
      <c r="M43048" s="14"/>
      <c r="N43048" s="14"/>
      <c r="O43048" s="14"/>
      <c r="P43048" s="13"/>
    </row>
    <row r="43049">
      <c r="L43049" s="13"/>
      <c r="M43049" s="14"/>
      <c r="N43049" s="14"/>
      <c r="O43049" s="14"/>
      <c r="P43049" s="13"/>
    </row>
    <row r="43050">
      <c r="L43050" s="13"/>
      <c r="M43050" s="14"/>
      <c r="N43050" s="14"/>
      <c r="O43050" s="14"/>
      <c r="P43050" s="13"/>
    </row>
    <row r="43051">
      <c r="L43051" s="13"/>
      <c r="M43051" s="14"/>
      <c r="N43051" s="14"/>
      <c r="O43051" s="14"/>
      <c r="P43051" s="13"/>
    </row>
    <row r="43052">
      <c r="L43052" s="13"/>
      <c r="M43052" s="14"/>
      <c r="N43052" s="14"/>
      <c r="O43052" s="14"/>
      <c r="P43052" s="13"/>
    </row>
    <row r="43053">
      <c r="L43053" s="13"/>
      <c r="M43053" s="14"/>
      <c r="N43053" s="14"/>
      <c r="O43053" s="14"/>
      <c r="P43053" s="13"/>
    </row>
    <row r="43054">
      <c r="L43054" s="13"/>
      <c r="M43054" s="14"/>
      <c r="N43054" s="14"/>
      <c r="O43054" s="14"/>
      <c r="P43054" s="13"/>
    </row>
    <row r="43055">
      <c r="L43055" s="13"/>
      <c r="M43055" s="14"/>
      <c r="N43055" s="14"/>
      <c r="O43055" s="14"/>
      <c r="P43055" s="13"/>
    </row>
    <row r="43056">
      <c r="L43056" s="13"/>
      <c r="M43056" s="14"/>
      <c r="N43056" s="14"/>
      <c r="O43056" s="14"/>
      <c r="P43056" s="13"/>
    </row>
    <row r="43057">
      <c r="L43057" s="13"/>
      <c r="M43057" s="14"/>
      <c r="N43057" s="14"/>
      <c r="O43057" s="14"/>
      <c r="P43057" s="13"/>
    </row>
    <row r="43058">
      <c r="L43058" s="13"/>
      <c r="M43058" s="14"/>
      <c r="N43058" s="14"/>
      <c r="O43058" s="14"/>
      <c r="P43058" s="13"/>
    </row>
    <row r="43059">
      <c r="L43059" s="13"/>
      <c r="M43059" s="14"/>
      <c r="N43059" s="14"/>
      <c r="O43059" s="14"/>
      <c r="P43059" s="13"/>
    </row>
    <row r="43060">
      <c r="L43060" s="13"/>
      <c r="M43060" s="14"/>
      <c r="N43060" s="14"/>
      <c r="O43060" s="14"/>
      <c r="P43060" s="13"/>
    </row>
    <row r="43061">
      <c r="L43061" s="13"/>
      <c r="M43061" s="14"/>
      <c r="N43061" s="14"/>
      <c r="O43061" s="14"/>
      <c r="P43061" s="13"/>
    </row>
    <row r="43062">
      <c r="L43062" s="13"/>
      <c r="M43062" s="14"/>
      <c r="N43062" s="14"/>
      <c r="O43062" s="14"/>
      <c r="P43062" s="13"/>
    </row>
    <row r="43063">
      <c r="L43063" s="13"/>
      <c r="M43063" s="14"/>
      <c r="N43063" s="14"/>
      <c r="O43063" s="14"/>
      <c r="P43063" s="13"/>
    </row>
    <row r="43064">
      <c r="L43064" s="13"/>
      <c r="M43064" s="14"/>
      <c r="N43064" s="14"/>
      <c r="O43064" s="14"/>
      <c r="P43064" s="13"/>
    </row>
    <row r="43065">
      <c r="L43065" s="13"/>
      <c r="M43065" s="14"/>
      <c r="N43065" s="14"/>
      <c r="O43065" s="14"/>
      <c r="P43065" s="13"/>
    </row>
    <row r="43066">
      <c r="L43066" s="13"/>
      <c r="M43066" s="14"/>
      <c r="N43066" s="14"/>
      <c r="O43066" s="14"/>
      <c r="P43066" s="13"/>
    </row>
    <row r="43067">
      <c r="L43067" s="13"/>
      <c r="M43067" s="14"/>
      <c r="N43067" s="14"/>
      <c r="O43067" s="14"/>
      <c r="P43067" s="13"/>
    </row>
    <row r="43068">
      <c r="L43068" s="13"/>
      <c r="M43068" s="14"/>
      <c r="N43068" s="14"/>
      <c r="O43068" s="14"/>
      <c r="P43068" s="13"/>
    </row>
    <row r="43069">
      <c r="L43069" s="13"/>
      <c r="M43069" s="14"/>
      <c r="N43069" s="14"/>
      <c r="O43069" s="14"/>
      <c r="P43069" s="13"/>
    </row>
    <row r="43070">
      <c r="L43070" s="13"/>
      <c r="M43070" s="14"/>
      <c r="N43070" s="14"/>
      <c r="O43070" s="14"/>
      <c r="P43070" s="13"/>
    </row>
    <row r="43071">
      <c r="L43071" s="13"/>
      <c r="M43071" s="14"/>
      <c r="N43071" s="14"/>
      <c r="O43071" s="14"/>
      <c r="P43071" s="13"/>
    </row>
    <row r="43072">
      <c r="L43072" s="13"/>
      <c r="M43072" s="14"/>
      <c r="N43072" s="14"/>
      <c r="O43072" s="14"/>
      <c r="P43072" s="13"/>
    </row>
    <row r="43073">
      <c r="L43073" s="13"/>
      <c r="M43073" s="14"/>
      <c r="N43073" s="14"/>
      <c r="O43073" s="14"/>
      <c r="P43073" s="13"/>
    </row>
    <row r="43074">
      <c r="L43074" s="13"/>
      <c r="M43074" s="14"/>
      <c r="N43074" s="14"/>
      <c r="O43074" s="14"/>
      <c r="P43074" s="13"/>
    </row>
    <row r="43075">
      <c r="L43075" s="13"/>
      <c r="M43075" s="14"/>
      <c r="N43075" s="14"/>
      <c r="O43075" s="14"/>
      <c r="P43075" s="13"/>
    </row>
    <row r="43076">
      <c r="L43076" s="13"/>
      <c r="M43076" s="14"/>
      <c r="N43076" s="14"/>
      <c r="O43076" s="14"/>
      <c r="P43076" s="13"/>
    </row>
    <row r="43077">
      <c r="L43077" s="13"/>
      <c r="M43077" s="14"/>
      <c r="N43077" s="14"/>
      <c r="O43077" s="14"/>
      <c r="P43077" s="13"/>
    </row>
    <row r="43078">
      <c r="L43078" s="13"/>
      <c r="M43078" s="14"/>
      <c r="N43078" s="14"/>
      <c r="O43078" s="14"/>
      <c r="P43078" s="13"/>
    </row>
    <row r="43079">
      <c r="L43079" s="13"/>
      <c r="M43079" s="14"/>
      <c r="N43079" s="14"/>
      <c r="O43079" s="14"/>
      <c r="P43079" s="13"/>
    </row>
    <row r="43080">
      <c r="L43080" s="13"/>
      <c r="M43080" s="14"/>
      <c r="N43080" s="14"/>
      <c r="O43080" s="14"/>
      <c r="P43080" s="13"/>
    </row>
    <row r="43081">
      <c r="L43081" s="13"/>
      <c r="M43081" s="14"/>
      <c r="N43081" s="14"/>
      <c r="O43081" s="14"/>
      <c r="P43081" s="13"/>
    </row>
    <row r="43082">
      <c r="L43082" s="13"/>
      <c r="M43082" s="14"/>
      <c r="N43082" s="14"/>
      <c r="O43082" s="14"/>
      <c r="P43082" s="13"/>
    </row>
    <row r="43083">
      <c r="L43083" s="13"/>
      <c r="M43083" s="14"/>
      <c r="N43083" s="14"/>
      <c r="O43083" s="14"/>
      <c r="P43083" s="13"/>
    </row>
    <row r="43084">
      <c r="L43084" s="13"/>
      <c r="M43084" s="14"/>
      <c r="N43084" s="14"/>
      <c r="O43084" s="14"/>
      <c r="P43084" s="13"/>
    </row>
    <row r="43085">
      <c r="L43085" s="13"/>
      <c r="M43085" s="14"/>
      <c r="N43085" s="14"/>
      <c r="O43085" s="14"/>
      <c r="P43085" s="13"/>
    </row>
    <row r="43086">
      <c r="L43086" s="13"/>
      <c r="M43086" s="14"/>
      <c r="N43086" s="14"/>
      <c r="O43086" s="14"/>
      <c r="P43086" s="13"/>
    </row>
    <row r="43087">
      <c r="L43087" s="13"/>
      <c r="M43087" s="14"/>
      <c r="N43087" s="14"/>
      <c r="O43087" s="14"/>
      <c r="P43087" s="13"/>
    </row>
    <row r="43088">
      <c r="L43088" s="13"/>
      <c r="M43088" s="14"/>
      <c r="N43088" s="14"/>
      <c r="O43088" s="14"/>
      <c r="P43088" s="13"/>
    </row>
    <row r="43089">
      <c r="L43089" s="13"/>
      <c r="M43089" s="14"/>
      <c r="N43089" s="14"/>
      <c r="O43089" s="14"/>
      <c r="P43089" s="13"/>
    </row>
    <row r="43090">
      <c r="L43090" s="13"/>
      <c r="M43090" s="14"/>
      <c r="N43090" s="14"/>
      <c r="O43090" s="14"/>
      <c r="P43090" s="13"/>
    </row>
    <row r="43091">
      <c r="L43091" s="13"/>
      <c r="M43091" s="14"/>
      <c r="N43091" s="14"/>
      <c r="O43091" s="14"/>
      <c r="P43091" s="13"/>
    </row>
    <row r="43092">
      <c r="L43092" s="13"/>
      <c r="M43092" s="14"/>
      <c r="N43092" s="14"/>
      <c r="O43092" s="14"/>
      <c r="P43092" s="13"/>
    </row>
    <row r="43093">
      <c r="L43093" s="13"/>
      <c r="M43093" s="14"/>
      <c r="N43093" s="14"/>
      <c r="O43093" s="14"/>
      <c r="P43093" s="13"/>
    </row>
    <row r="43094">
      <c r="L43094" s="13"/>
      <c r="M43094" s="14"/>
      <c r="N43094" s="14"/>
      <c r="O43094" s="14"/>
      <c r="P43094" s="13"/>
    </row>
    <row r="43095">
      <c r="L43095" s="13"/>
      <c r="M43095" s="14"/>
      <c r="N43095" s="14"/>
      <c r="O43095" s="14"/>
      <c r="P43095" s="13"/>
    </row>
    <row r="43096">
      <c r="L43096" s="13"/>
      <c r="M43096" s="14"/>
      <c r="N43096" s="14"/>
      <c r="O43096" s="14"/>
      <c r="P43096" s="13"/>
    </row>
    <row r="43097">
      <c r="L43097" s="13"/>
      <c r="M43097" s="14"/>
      <c r="N43097" s="14"/>
      <c r="O43097" s="14"/>
      <c r="P43097" s="13"/>
    </row>
    <row r="43098">
      <c r="L43098" s="13"/>
      <c r="M43098" s="14"/>
      <c r="N43098" s="14"/>
      <c r="O43098" s="14"/>
      <c r="P43098" s="13"/>
    </row>
    <row r="43099">
      <c r="L43099" s="13"/>
      <c r="M43099" s="14"/>
      <c r="N43099" s="14"/>
      <c r="O43099" s="14"/>
      <c r="P43099" s="13"/>
    </row>
    <row r="43100">
      <c r="L43100" s="13"/>
      <c r="M43100" s="14"/>
      <c r="N43100" s="14"/>
      <c r="O43100" s="14"/>
      <c r="P43100" s="13"/>
    </row>
    <row r="43101">
      <c r="L43101" s="13"/>
      <c r="M43101" s="14"/>
      <c r="N43101" s="14"/>
      <c r="O43101" s="14"/>
      <c r="P43101" s="13"/>
    </row>
    <row r="43102">
      <c r="L43102" s="13"/>
      <c r="M43102" s="14"/>
      <c r="N43102" s="14"/>
      <c r="O43102" s="14"/>
      <c r="P43102" s="13"/>
    </row>
    <row r="43103">
      <c r="L43103" s="13"/>
      <c r="M43103" s="14"/>
      <c r="N43103" s="14"/>
      <c r="O43103" s="14"/>
      <c r="P43103" s="13"/>
    </row>
    <row r="43104">
      <c r="L43104" s="13"/>
      <c r="M43104" s="14"/>
      <c r="N43104" s="14"/>
      <c r="O43104" s="14"/>
      <c r="P43104" s="13"/>
    </row>
    <row r="43105">
      <c r="L43105" s="13"/>
      <c r="M43105" s="14"/>
      <c r="N43105" s="14"/>
      <c r="O43105" s="14"/>
      <c r="P43105" s="13"/>
    </row>
    <row r="43106">
      <c r="L43106" s="13"/>
      <c r="M43106" s="14"/>
      <c r="N43106" s="14"/>
      <c r="O43106" s="14"/>
      <c r="P43106" s="13"/>
    </row>
    <row r="43107">
      <c r="L43107" s="13"/>
      <c r="M43107" s="14"/>
      <c r="N43107" s="14"/>
      <c r="O43107" s="14"/>
      <c r="P43107" s="13"/>
    </row>
    <row r="43108">
      <c r="L43108" s="13"/>
      <c r="M43108" s="14"/>
      <c r="N43108" s="14"/>
      <c r="O43108" s="14"/>
      <c r="P43108" s="13"/>
    </row>
    <row r="43109">
      <c r="L43109" s="13"/>
      <c r="M43109" s="14"/>
      <c r="N43109" s="14"/>
      <c r="O43109" s="14"/>
      <c r="P43109" s="13"/>
    </row>
    <row r="43110">
      <c r="L43110" s="13"/>
      <c r="M43110" s="14"/>
      <c r="N43110" s="14"/>
      <c r="O43110" s="14"/>
      <c r="P43110" s="13"/>
    </row>
    <row r="43111">
      <c r="L43111" s="13"/>
      <c r="M43111" s="14"/>
      <c r="N43111" s="14"/>
      <c r="O43111" s="14"/>
      <c r="P43111" s="13"/>
    </row>
    <row r="43112">
      <c r="L43112" s="13"/>
      <c r="M43112" s="14"/>
      <c r="N43112" s="14"/>
      <c r="O43112" s="14"/>
      <c r="P43112" s="13"/>
    </row>
    <row r="43113">
      <c r="L43113" s="13"/>
      <c r="M43113" s="14"/>
      <c r="N43113" s="14"/>
      <c r="O43113" s="14"/>
      <c r="P43113" s="13"/>
    </row>
    <row r="43114">
      <c r="L43114" s="13"/>
      <c r="M43114" s="14"/>
      <c r="N43114" s="14"/>
      <c r="O43114" s="14"/>
      <c r="P43114" s="13"/>
    </row>
    <row r="43115">
      <c r="L43115" s="13"/>
      <c r="M43115" s="14"/>
      <c r="N43115" s="14"/>
      <c r="O43115" s="14"/>
      <c r="P43115" s="13"/>
    </row>
    <row r="43116">
      <c r="L43116" s="13"/>
      <c r="M43116" s="14"/>
      <c r="N43116" s="14"/>
      <c r="O43116" s="14"/>
      <c r="P43116" s="13"/>
    </row>
    <row r="43117">
      <c r="L43117" s="13"/>
      <c r="M43117" s="14"/>
      <c r="N43117" s="14"/>
      <c r="O43117" s="14"/>
      <c r="P43117" s="13"/>
    </row>
    <row r="43118">
      <c r="L43118" s="13"/>
      <c r="M43118" s="14"/>
      <c r="N43118" s="14"/>
      <c r="O43118" s="14"/>
      <c r="P43118" s="13"/>
    </row>
    <row r="43119">
      <c r="L43119" s="13"/>
      <c r="M43119" s="14"/>
      <c r="N43119" s="14"/>
      <c r="O43119" s="14"/>
      <c r="P43119" s="13"/>
    </row>
    <row r="43120">
      <c r="L43120" s="13"/>
      <c r="M43120" s="14"/>
      <c r="N43120" s="14"/>
      <c r="O43120" s="14"/>
      <c r="P43120" s="13"/>
    </row>
    <row r="43121">
      <c r="L43121" s="13"/>
      <c r="M43121" s="14"/>
      <c r="N43121" s="14"/>
      <c r="O43121" s="14"/>
      <c r="P43121" s="13"/>
    </row>
    <row r="43122">
      <c r="L43122" s="13"/>
      <c r="M43122" s="14"/>
      <c r="N43122" s="14"/>
      <c r="O43122" s="14"/>
      <c r="P43122" s="13"/>
    </row>
    <row r="43123">
      <c r="L43123" s="13"/>
      <c r="M43123" s="14"/>
      <c r="N43123" s="14"/>
      <c r="O43123" s="14"/>
      <c r="P43123" s="13"/>
    </row>
    <row r="43124">
      <c r="L43124" s="13"/>
      <c r="M43124" s="14"/>
      <c r="N43124" s="14"/>
      <c r="O43124" s="14"/>
      <c r="P43124" s="13"/>
    </row>
    <row r="43125">
      <c r="L43125" s="13"/>
      <c r="M43125" s="14"/>
      <c r="N43125" s="14"/>
      <c r="O43125" s="14"/>
      <c r="P43125" s="13"/>
    </row>
    <row r="43126">
      <c r="L43126" s="13"/>
      <c r="M43126" s="14"/>
      <c r="N43126" s="14"/>
      <c r="O43126" s="14"/>
      <c r="P43126" s="13"/>
    </row>
    <row r="43127">
      <c r="L43127" s="13"/>
      <c r="M43127" s="14"/>
      <c r="N43127" s="14"/>
      <c r="O43127" s="14"/>
      <c r="P43127" s="13"/>
    </row>
    <row r="43128">
      <c r="L43128" s="13"/>
      <c r="M43128" s="14"/>
      <c r="N43128" s="14"/>
      <c r="O43128" s="14"/>
      <c r="P43128" s="13"/>
    </row>
    <row r="43129">
      <c r="L43129" s="13"/>
      <c r="M43129" s="14"/>
      <c r="N43129" s="14"/>
      <c r="O43129" s="14"/>
      <c r="P43129" s="13"/>
    </row>
    <row r="43130">
      <c r="L43130" s="13"/>
      <c r="M43130" s="14"/>
      <c r="N43130" s="14"/>
      <c r="O43130" s="14"/>
      <c r="P43130" s="13"/>
    </row>
    <row r="43131">
      <c r="L43131" s="13"/>
      <c r="M43131" s="14"/>
      <c r="N43131" s="14"/>
      <c r="O43131" s="14"/>
      <c r="P43131" s="13"/>
    </row>
    <row r="43132">
      <c r="L43132" s="13"/>
      <c r="M43132" s="14"/>
      <c r="N43132" s="14"/>
      <c r="O43132" s="14"/>
      <c r="P43132" s="13"/>
    </row>
    <row r="43133">
      <c r="L43133" s="13"/>
      <c r="M43133" s="14"/>
      <c r="N43133" s="14"/>
      <c r="O43133" s="14"/>
      <c r="P43133" s="13"/>
    </row>
    <row r="43134">
      <c r="L43134" s="13"/>
      <c r="M43134" s="14"/>
      <c r="N43134" s="14"/>
      <c r="O43134" s="14"/>
      <c r="P43134" s="13"/>
    </row>
    <row r="43135">
      <c r="L43135" s="13"/>
      <c r="M43135" s="14"/>
      <c r="N43135" s="14"/>
      <c r="O43135" s="14"/>
      <c r="P43135" s="13"/>
    </row>
    <row r="43136">
      <c r="L43136" s="13"/>
      <c r="M43136" s="14"/>
      <c r="N43136" s="14"/>
      <c r="O43136" s="14"/>
      <c r="P43136" s="13"/>
    </row>
    <row r="43137">
      <c r="L43137" s="13"/>
      <c r="M43137" s="14"/>
      <c r="N43137" s="14"/>
      <c r="O43137" s="14"/>
      <c r="P43137" s="13"/>
    </row>
    <row r="43138">
      <c r="L43138" s="13"/>
      <c r="M43138" s="14"/>
      <c r="N43138" s="14"/>
      <c r="O43138" s="14"/>
      <c r="P43138" s="13"/>
    </row>
    <row r="43139">
      <c r="L43139" s="13"/>
      <c r="M43139" s="14"/>
      <c r="N43139" s="14"/>
      <c r="O43139" s="14"/>
      <c r="P43139" s="13"/>
    </row>
    <row r="43140">
      <c r="L43140" s="13"/>
      <c r="M43140" s="14"/>
      <c r="N43140" s="14"/>
      <c r="O43140" s="14"/>
      <c r="P43140" s="13"/>
    </row>
    <row r="43141">
      <c r="L43141" s="13"/>
      <c r="M43141" s="14"/>
      <c r="N43141" s="14"/>
      <c r="O43141" s="14"/>
      <c r="P43141" s="13"/>
    </row>
    <row r="43142">
      <c r="L43142" s="13"/>
      <c r="M43142" s="14"/>
      <c r="N43142" s="14"/>
      <c r="O43142" s="14"/>
      <c r="P43142" s="13"/>
    </row>
    <row r="43143">
      <c r="L43143" s="13"/>
      <c r="M43143" s="14"/>
      <c r="N43143" s="14"/>
      <c r="O43143" s="14"/>
      <c r="P43143" s="13"/>
    </row>
    <row r="43144">
      <c r="L43144" s="13"/>
      <c r="M43144" s="14"/>
      <c r="N43144" s="14"/>
      <c r="O43144" s="14"/>
      <c r="P43144" s="13"/>
    </row>
    <row r="43145">
      <c r="L43145" s="13"/>
      <c r="M43145" s="14"/>
      <c r="N43145" s="14"/>
      <c r="O43145" s="14"/>
      <c r="P43145" s="13"/>
    </row>
    <row r="43146">
      <c r="L43146" s="13"/>
      <c r="M43146" s="14"/>
      <c r="N43146" s="14"/>
      <c r="O43146" s="14"/>
      <c r="P43146" s="13"/>
    </row>
    <row r="43147">
      <c r="L43147" s="13"/>
      <c r="M43147" s="14"/>
      <c r="N43147" s="14"/>
      <c r="O43147" s="14"/>
      <c r="P43147" s="13"/>
    </row>
    <row r="43148">
      <c r="L43148" s="13"/>
      <c r="M43148" s="14"/>
      <c r="N43148" s="14"/>
      <c r="O43148" s="14"/>
      <c r="P43148" s="13"/>
    </row>
    <row r="43149">
      <c r="L43149" s="13"/>
      <c r="M43149" s="14"/>
      <c r="N43149" s="14"/>
      <c r="O43149" s="14"/>
      <c r="P43149" s="13"/>
    </row>
    <row r="43150">
      <c r="L43150" s="13"/>
      <c r="M43150" s="14"/>
      <c r="N43150" s="14"/>
      <c r="O43150" s="14"/>
      <c r="P43150" s="13"/>
    </row>
    <row r="43151">
      <c r="L43151" s="13"/>
      <c r="M43151" s="14"/>
      <c r="N43151" s="14"/>
      <c r="O43151" s="14"/>
      <c r="P43151" s="13"/>
    </row>
    <row r="43152">
      <c r="L43152" s="13"/>
      <c r="M43152" s="14"/>
      <c r="N43152" s="14"/>
      <c r="O43152" s="14"/>
      <c r="P43152" s="13"/>
    </row>
    <row r="43153">
      <c r="L43153" s="13"/>
      <c r="M43153" s="14"/>
      <c r="N43153" s="14"/>
      <c r="O43153" s="14"/>
      <c r="P43153" s="13"/>
    </row>
    <row r="43154">
      <c r="L43154" s="13"/>
      <c r="M43154" s="14"/>
      <c r="N43154" s="14"/>
      <c r="O43154" s="14"/>
      <c r="P43154" s="13"/>
    </row>
    <row r="43155">
      <c r="L43155" s="13"/>
      <c r="M43155" s="14"/>
      <c r="N43155" s="14"/>
      <c r="O43155" s="14"/>
      <c r="P43155" s="13"/>
    </row>
    <row r="43156">
      <c r="L43156" s="13"/>
      <c r="M43156" s="14"/>
      <c r="N43156" s="14"/>
      <c r="O43156" s="14"/>
      <c r="P43156" s="13"/>
    </row>
    <row r="43157">
      <c r="L43157" s="13"/>
      <c r="M43157" s="14"/>
      <c r="N43157" s="14"/>
      <c r="O43157" s="14"/>
      <c r="P43157" s="13"/>
    </row>
    <row r="43158">
      <c r="L43158" s="13"/>
      <c r="M43158" s="14"/>
      <c r="N43158" s="14"/>
      <c r="O43158" s="14"/>
      <c r="P43158" s="13"/>
    </row>
    <row r="43159">
      <c r="L43159" s="13"/>
      <c r="M43159" s="14"/>
      <c r="N43159" s="14"/>
      <c r="O43159" s="14"/>
      <c r="P43159" s="13"/>
    </row>
    <row r="43160">
      <c r="L43160" s="13"/>
      <c r="M43160" s="14"/>
      <c r="N43160" s="14"/>
      <c r="O43160" s="14"/>
      <c r="P43160" s="13"/>
    </row>
    <row r="43161">
      <c r="L43161" s="13"/>
      <c r="M43161" s="14"/>
      <c r="N43161" s="14"/>
      <c r="O43161" s="14"/>
      <c r="P43161" s="13"/>
    </row>
    <row r="43162">
      <c r="L43162" s="13"/>
      <c r="M43162" s="14"/>
      <c r="N43162" s="14"/>
      <c r="O43162" s="14"/>
      <c r="P43162" s="13"/>
    </row>
    <row r="43163">
      <c r="L43163" s="13"/>
      <c r="M43163" s="14"/>
      <c r="N43163" s="14"/>
      <c r="O43163" s="14"/>
      <c r="P43163" s="13"/>
    </row>
    <row r="43164">
      <c r="L43164" s="13"/>
      <c r="M43164" s="14"/>
      <c r="N43164" s="14"/>
      <c r="O43164" s="14"/>
      <c r="P43164" s="13"/>
    </row>
    <row r="43165">
      <c r="L43165" s="13"/>
      <c r="M43165" s="14"/>
      <c r="N43165" s="14"/>
      <c r="O43165" s="14"/>
      <c r="P43165" s="13"/>
    </row>
    <row r="43166">
      <c r="L43166" s="13"/>
      <c r="M43166" s="14"/>
      <c r="N43166" s="14"/>
      <c r="O43166" s="14"/>
      <c r="P43166" s="13"/>
    </row>
    <row r="43167">
      <c r="L43167" s="13"/>
      <c r="M43167" s="14"/>
      <c r="N43167" s="14"/>
      <c r="O43167" s="14"/>
      <c r="P43167" s="13"/>
    </row>
    <row r="43168">
      <c r="L43168" s="13"/>
      <c r="M43168" s="14"/>
      <c r="N43168" s="14"/>
      <c r="O43168" s="14"/>
      <c r="P43168" s="13"/>
    </row>
    <row r="43169">
      <c r="L43169" s="13"/>
      <c r="M43169" s="14"/>
      <c r="N43169" s="14"/>
      <c r="O43169" s="14"/>
      <c r="P43169" s="13"/>
    </row>
    <row r="43170">
      <c r="L43170" s="13"/>
      <c r="M43170" s="14"/>
      <c r="N43170" s="14"/>
      <c r="O43170" s="14"/>
      <c r="P43170" s="13"/>
    </row>
    <row r="43171">
      <c r="L43171" s="13"/>
      <c r="M43171" s="14"/>
      <c r="N43171" s="14"/>
      <c r="O43171" s="14"/>
      <c r="P43171" s="13"/>
    </row>
    <row r="43172">
      <c r="L43172" s="13"/>
      <c r="M43172" s="14"/>
      <c r="N43172" s="14"/>
      <c r="O43172" s="14"/>
      <c r="P43172" s="13"/>
    </row>
    <row r="43173">
      <c r="L43173" s="13"/>
      <c r="M43173" s="14"/>
      <c r="N43173" s="14"/>
      <c r="O43173" s="14"/>
      <c r="P43173" s="13"/>
    </row>
    <row r="43174">
      <c r="L43174" s="13"/>
      <c r="M43174" s="14"/>
      <c r="N43174" s="14"/>
      <c r="O43174" s="14"/>
      <c r="P43174" s="13"/>
    </row>
    <row r="43175">
      <c r="L43175" s="13"/>
      <c r="M43175" s="14"/>
      <c r="N43175" s="14"/>
      <c r="O43175" s="14"/>
      <c r="P43175" s="13"/>
    </row>
    <row r="43176">
      <c r="L43176" s="13"/>
      <c r="M43176" s="14"/>
      <c r="N43176" s="14"/>
      <c r="O43176" s="14"/>
      <c r="P43176" s="13"/>
    </row>
    <row r="43177">
      <c r="L43177" s="13"/>
      <c r="M43177" s="14"/>
      <c r="N43177" s="14"/>
      <c r="O43177" s="14"/>
      <c r="P43177" s="13"/>
    </row>
    <row r="43178">
      <c r="L43178" s="13"/>
      <c r="M43178" s="14"/>
      <c r="N43178" s="14"/>
      <c r="O43178" s="14"/>
      <c r="P43178" s="13"/>
    </row>
    <row r="43179">
      <c r="L43179" s="13"/>
      <c r="M43179" s="14"/>
      <c r="N43179" s="14"/>
      <c r="O43179" s="14"/>
      <c r="P43179" s="13"/>
    </row>
    <row r="43180">
      <c r="L43180" s="13"/>
      <c r="M43180" s="14"/>
      <c r="N43180" s="14"/>
      <c r="O43180" s="14"/>
      <c r="P43180" s="13"/>
    </row>
    <row r="43181">
      <c r="L43181" s="13"/>
      <c r="M43181" s="14"/>
      <c r="N43181" s="14"/>
      <c r="O43181" s="14"/>
      <c r="P43181" s="13"/>
    </row>
    <row r="43182">
      <c r="L43182" s="13"/>
      <c r="M43182" s="14"/>
      <c r="N43182" s="14"/>
      <c r="O43182" s="14"/>
      <c r="P43182" s="13"/>
    </row>
    <row r="43183">
      <c r="L43183" s="13"/>
      <c r="M43183" s="14"/>
      <c r="N43183" s="14"/>
      <c r="O43183" s="14"/>
      <c r="P43183" s="13"/>
    </row>
    <row r="43184">
      <c r="L43184" s="13"/>
      <c r="M43184" s="14"/>
      <c r="N43184" s="14"/>
      <c r="O43184" s="14"/>
      <c r="P43184" s="13"/>
    </row>
    <row r="43185">
      <c r="L43185" s="13"/>
      <c r="M43185" s="14"/>
      <c r="N43185" s="14"/>
      <c r="O43185" s="14"/>
      <c r="P43185" s="13"/>
    </row>
    <row r="43186">
      <c r="L43186" s="13"/>
      <c r="M43186" s="14"/>
      <c r="N43186" s="14"/>
      <c r="O43186" s="14"/>
      <c r="P43186" s="13"/>
    </row>
    <row r="43187">
      <c r="L43187" s="13"/>
      <c r="M43187" s="14"/>
      <c r="N43187" s="14"/>
      <c r="O43187" s="14"/>
      <c r="P43187" s="13"/>
    </row>
    <row r="43188">
      <c r="L43188" s="13"/>
      <c r="M43188" s="14"/>
      <c r="N43188" s="14"/>
      <c r="O43188" s="14"/>
      <c r="P43188" s="13"/>
    </row>
    <row r="43189">
      <c r="L43189" s="13"/>
      <c r="M43189" s="14"/>
      <c r="N43189" s="14"/>
      <c r="O43189" s="14"/>
      <c r="P43189" s="13"/>
    </row>
    <row r="43190">
      <c r="L43190" s="13"/>
      <c r="M43190" s="14"/>
      <c r="N43190" s="14"/>
      <c r="O43190" s="14"/>
      <c r="P43190" s="13"/>
    </row>
    <row r="43191">
      <c r="L43191" s="13"/>
      <c r="M43191" s="14"/>
      <c r="N43191" s="14"/>
      <c r="O43191" s="14"/>
      <c r="P43191" s="13"/>
    </row>
    <row r="43192">
      <c r="L43192" s="13"/>
      <c r="M43192" s="14"/>
      <c r="N43192" s="14"/>
      <c r="O43192" s="14"/>
      <c r="P43192" s="13"/>
    </row>
    <row r="43193">
      <c r="L43193" s="13"/>
      <c r="M43193" s="14"/>
      <c r="N43193" s="14"/>
      <c r="O43193" s="14"/>
      <c r="P43193" s="13"/>
    </row>
    <row r="43194">
      <c r="L43194" s="13"/>
      <c r="M43194" s="14"/>
      <c r="N43194" s="14"/>
      <c r="O43194" s="14"/>
      <c r="P43194" s="13"/>
    </row>
    <row r="43195">
      <c r="L43195" s="13"/>
      <c r="M43195" s="14"/>
      <c r="N43195" s="14"/>
      <c r="O43195" s="14"/>
      <c r="P43195" s="13"/>
    </row>
    <row r="43196">
      <c r="L43196" s="13"/>
      <c r="M43196" s="14"/>
      <c r="N43196" s="14"/>
      <c r="O43196" s="14"/>
      <c r="P43196" s="13"/>
    </row>
    <row r="43197">
      <c r="L43197" s="13"/>
      <c r="M43197" s="14"/>
      <c r="N43197" s="14"/>
      <c r="O43197" s="14"/>
      <c r="P43197" s="13"/>
    </row>
    <row r="43198">
      <c r="L43198" s="13"/>
      <c r="M43198" s="14"/>
      <c r="N43198" s="14"/>
      <c r="O43198" s="14"/>
      <c r="P43198" s="13"/>
    </row>
    <row r="43199">
      <c r="L43199" s="13"/>
      <c r="M43199" s="14"/>
      <c r="N43199" s="14"/>
      <c r="O43199" s="14"/>
      <c r="P43199" s="13"/>
    </row>
    <row r="43200">
      <c r="L43200" s="13"/>
      <c r="M43200" s="14"/>
      <c r="N43200" s="14"/>
      <c r="O43200" s="14"/>
      <c r="P43200" s="13"/>
    </row>
    <row r="43201">
      <c r="L43201" s="13"/>
      <c r="M43201" s="14"/>
      <c r="N43201" s="14"/>
      <c r="O43201" s="14"/>
      <c r="P43201" s="13"/>
    </row>
    <row r="43202">
      <c r="L43202" s="13"/>
      <c r="M43202" s="14"/>
      <c r="N43202" s="14"/>
      <c r="O43202" s="14"/>
      <c r="P43202" s="13"/>
    </row>
    <row r="43203">
      <c r="L43203" s="13"/>
      <c r="M43203" s="14"/>
      <c r="N43203" s="14"/>
      <c r="O43203" s="14"/>
      <c r="P43203" s="13"/>
    </row>
    <row r="43204">
      <c r="L43204" s="13"/>
      <c r="M43204" s="14"/>
      <c r="N43204" s="14"/>
      <c r="O43204" s="14"/>
      <c r="P43204" s="13"/>
    </row>
    <row r="43205">
      <c r="L43205" s="13"/>
      <c r="M43205" s="14"/>
      <c r="N43205" s="14"/>
      <c r="O43205" s="14"/>
      <c r="P43205" s="13"/>
    </row>
    <row r="43206">
      <c r="L43206" s="13"/>
      <c r="M43206" s="14"/>
      <c r="N43206" s="14"/>
      <c r="O43206" s="14"/>
      <c r="P43206" s="13"/>
    </row>
    <row r="43207">
      <c r="L43207" s="13"/>
      <c r="M43207" s="14"/>
      <c r="N43207" s="14"/>
      <c r="O43207" s="14"/>
      <c r="P43207" s="13"/>
    </row>
    <row r="43208">
      <c r="L43208" s="13"/>
      <c r="M43208" s="14"/>
      <c r="N43208" s="14"/>
      <c r="O43208" s="14"/>
      <c r="P43208" s="13"/>
    </row>
    <row r="43209">
      <c r="L43209" s="13"/>
      <c r="M43209" s="14"/>
      <c r="N43209" s="14"/>
      <c r="O43209" s="14"/>
      <c r="P43209" s="13"/>
    </row>
    <row r="43210">
      <c r="L43210" s="13"/>
      <c r="M43210" s="14"/>
      <c r="N43210" s="14"/>
      <c r="O43210" s="14"/>
      <c r="P43210" s="13"/>
    </row>
    <row r="43211">
      <c r="L43211" s="13"/>
      <c r="M43211" s="14"/>
      <c r="N43211" s="14"/>
      <c r="O43211" s="14"/>
      <c r="P43211" s="13"/>
    </row>
    <row r="43212">
      <c r="L43212" s="13"/>
      <c r="M43212" s="14"/>
      <c r="N43212" s="14"/>
      <c r="O43212" s="14"/>
      <c r="P43212" s="13"/>
    </row>
    <row r="43213">
      <c r="L43213" s="13"/>
      <c r="M43213" s="14"/>
      <c r="N43213" s="14"/>
      <c r="O43213" s="14"/>
      <c r="P43213" s="13"/>
    </row>
    <row r="43214">
      <c r="L43214" s="13"/>
      <c r="M43214" s="14"/>
      <c r="N43214" s="14"/>
      <c r="O43214" s="14"/>
      <c r="P43214" s="13"/>
    </row>
    <row r="43215">
      <c r="L43215" s="13"/>
      <c r="M43215" s="14"/>
      <c r="N43215" s="14"/>
      <c r="O43215" s="14"/>
      <c r="P43215" s="13"/>
    </row>
    <row r="43216">
      <c r="L43216" s="13"/>
      <c r="M43216" s="14"/>
      <c r="N43216" s="14"/>
      <c r="O43216" s="14"/>
      <c r="P43216" s="13"/>
    </row>
    <row r="43217">
      <c r="L43217" s="13"/>
      <c r="M43217" s="14"/>
      <c r="N43217" s="14"/>
      <c r="O43217" s="14"/>
      <c r="P43217" s="13"/>
    </row>
    <row r="43218">
      <c r="L43218" s="13"/>
      <c r="M43218" s="14"/>
      <c r="N43218" s="14"/>
      <c r="O43218" s="14"/>
      <c r="P43218" s="13"/>
    </row>
    <row r="43219">
      <c r="L43219" s="13"/>
      <c r="M43219" s="14"/>
      <c r="N43219" s="14"/>
      <c r="O43219" s="14"/>
      <c r="P43219" s="13"/>
    </row>
    <row r="43220">
      <c r="L43220" s="13"/>
      <c r="M43220" s="14"/>
      <c r="N43220" s="14"/>
      <c r="O43220" s="14"/>
      <c r="P43220" s="13"/>
    </row>
    <row r="43221">
      <c r="L43221" s="13"/>
      <c r="M43221" s="14"/>
      <c r="N43221" s="14"/>
      <c r="O43221" s="14"/>
      <c r="P43221" s="13"/>
    </row>
    <row r="43222">
      <c r="L43222" s="13"/>
      <c r="M43222" s="14"/>
      <c r="N43222" s="14"/>
      <c r="O43222" s="14"/>
      <c r="P43222" s="13"/>
    </row>
    <row r="43223">
      <c r="L43223" s="13"/>
      <c r="M43223" s="14"/>
      <c r="N43223" s="14"/>
      <c r="O43223" s="14"/>
      <c r="P43223" s="13"/>
    </row>
    <row r="43224">
      <c r="L43224" s="13"/>
      <c r="M43224" s="14"/>
      <c r="N43224" s="14"/>
      <c r="O43224" s="14"/>
      <c r="P43224" s="13"/>
    </row>
    <row r="43225">
      <c r="L43225" s="13"/>
      <c r="M43225" s="14"/>
      <c r="N43225" s="14"/>
      <c r="O43225" s="14"/>
      <c r="P43225" s="13"/>
    </row>
    <row r="43226">
      <c r="L43226" s="13"/>
      <c r="M43226" s="14"/>
      <c r="N43226" s="14"/>
      <c r="O43226" s="14"/>
      <c r="P43226" s="13"/>
    </row>
    <row r="43227">
      <c r="L43227" s="13"/>
      <c r="M43227" s="14"/>
      <c r="N43227" s="14"/>
      <c r="O43227" s="14"/>
      <c r="P43227" s="13"/>
    </row>
    <row r="43228">
      <c r="L43228" s="13"/>
      <c r="M43228" s="14"/>
      <c r="N43228" s="14"/>
      <c r="O43228" s="14"/>
      <c r="P43228" s="13"/>
    </row>
    <row r="43229">
      <c r="L43229" s="13"/>
      <c r="M43229" s="14"/>
      <c r="N43229" s="14"/>
      <c r="O43229" s="14"/>
      <c r="P43229" s="13"/>
    </row>
    <row r="43230">
      <c r="L43230" s="13"/>
      <c r="M43230" s="14"/>
      <c r="N43230" s="14"/>
      <c r="O43230" s="14"/>
      <c r="P43230" s="13"/>
    </row>
    <row r="43231">
      <c r="L43231" s="13"/>
      <c r="M43231" s="14"/>
      <c r="N43231" s="14"/>
      <c r="O43231" s="14"/>
      <c r="P43231" s="13"/>
    </row>
    <row r="43232">
      <c r="L43232" s="13"/>
      <c r="M43232" s="14"/>
      <c r="N43232" s="14"/>
      <c r="O43232" s="14"/>
      <c r="P43232" s="13"/>
    </row>
    <row r="43233">
      <c r="L43233" s="13"/>
      <c r="M43233" s="14"/>
      <c r="N43233" s="14"/>
      <c r="O43233" s="14"/>
      <c r="P43233" s="13"/>
    </row>
    <row r="43234">
      <c r="L43234" s="13"/>
      <c r="M43234" s="14"/>
      <c r="N43234" s="14"/>
      <c r="O43234" s="14"/>
      <c r="P43234" s="13"/>
    </row>
    <row r="43235">
      <c r="L43235" s="13"/>
      <c r="M43235" s="14"/>
      <c r="N43235" s="14"/>
      <c r="O43235" s="14"/>
      <c r="P43235" s="13"/>
    </row>
    <row r="43236">
      <c r="L43236" s="13"/>
      <c r="M43236" s="14"/>
      <c r="N43236" s="14"/>
      <c r="O43236" s="14"/>
      <c r="P43236" s="13"/>
    </row>
    <row r="43237">
      <c r="L43237" s="13"/>
      <c r="M43237" s="14"/>
      <c r="N43237" s="14"/>
      <c r="O43237" s="14"/>
      <c r="P43237" s="13"/>
    </row>
    <row r="43238">
      <c r="L43238" s="13"/>
      <c r="M43238" s="14"/>
      <c r="N43238" s="14"/>
      <c r="O43238" s="14"/>
      <c r="P43238" s="13"/>
    </row>
    <row r="43239">
      <c r="L43239" s="13"/>
      <c r="M43239" s="14"/>
      <c r="N43239" s="14"/>
      <c r="O43239" s="14"/>
      <c r="P43239" s="13"/>
    </row>
    <row r="43240">
      <c r="L43240" s="13"/>
      <c r="M43240" s="14"/>
      <c r="N43240" s="14"/>
      <c r="O43240" s="14"/>
      <c r="P43240" s="13"/>
    </row>
    <row r="43241">
      <c r="L43241" s="13"/>
      <c r="M43241" s="14"/>
      <c r="N43241" s="14"/>
      <c r="O43241" s="14"/>
      <c r="P43241" s="13"/>
    </row>
    <row r="43242">
      <c r="L43242" s="13"/>
      <c r="M43242" s="14"/>
      <c r="N43242" s="14"/>
      <c r="O43242" s="14"/>
      <c r="P43242" s="13"/>
    </row>
    <row r="43243">
      <c r="L43243" s="13"/>
      <c r="M43243" s="14"/>
      <c r="N43243" s="14"/>
      <c r="O43243" s="14"/>
      <c r="P43243" s="13"/>
    </row>
    <row r="43244">
      <c r="L43244" s="13"/>
      <c r="M43244" s="14"/>
      <c r="N43244" s="14"/>
      <c r="O43244" s="14"/>
      <c r="P43244" s="13"/>
    </row>
    <row r="43245">
      <c r="L43245" s="13"/>
      <c r="M43245" s="14"/>
      <c r="N43245" s="14"/>
      <c r="O43245" s="14"/>
      <c r="P43245" s="13"/>
    </row>
    <row r="43246">
      <c r="L43246" s="13"/>
      <c r="M43246" s="14"/>
      <c r="N43246" s="14"/>
      <c r="O43246" s="14"/>
      <c r="P43246" s="13"/>
    </row>
    <row r="43247">
      <c r="L43247" s="13"/>
      <c r="M43247" s="14"/>
      <c r="N43247" s="14"/>
      <c r="O43247" s="14"/>
      <c r="P43247" s="13"/>
    </row>
    <row r="43248">
      <c r="L43248" s="13"/>
      <c r="M43248" s="14"/>
      <c r="N43248" s="14"/>
      <c r="O43248" s="14"/>
      <c r="P43248" s="13"/>
    </row>
    <row r="43249">
      <c r="L43249" s="13"/>
      <c r="M43249" s="14"/>
      <c r="N43249" s="14"/>
      <c r="O43249" s="14"/>
      <c r="P43249" s="13"/>
    </row>
    <row r="43250">
      <c r="L43250" s="13"/>
      <c r="M43250" s="14"/>
      <c r="N43250" s="14"/>
      <c r="O43250" s="14"/>
      <c r="P43250" s="13"/>
    </row>
    <row r="43251">
      <c r="L43251" s="13"/>
      <c r="M43251" s="14"/>
      <c r="N43251" s="14"/>
      <c r="O43251" s="14"/>
      <c r="P43251" s="13"/>
    </row>
    <row r="43252">
      <c r="L43252" s="13"/>
      <c r="M43252" s="14"/>
      <c r="N43252" s="14"/>
      <c r="O43252" s="14"/>
      <c r="P43252" s="13"/>
    </row>
    <row r="43253">
      <c r="L43253" s="13"/>
      <c r="M43253" s="14"/>
      <c r="N43253" s="14"/>
      <c r="O43253" s="14"/>
      <c r="P43253" s="13"/>
    </row>
    <row r="43254">
      <c r="L43254" s="13"/>
      <c r="M43254" s="14"/>
      <c r="N43254" s="14"/>
      <c r="O43254" s="14"/>
      <c r="P43254" s="13"/>
    </row>
    <row r="43255">
      <c r="L43255" s="13"/>
      <c r="M43255" s="14"/>
      <c r="N43255" s="14"/>
      <c r="O43255" s="14"/>
      <c r="P43255" s="13"/>
    </row>
    <row r="43256">
      <c r="L43256" s="13"/>
      <c r="M43256" s="14"/>
      <c r="N43256" s="14"/>
      <c r="O43256" s="14"/>
      <c r="P43256" s="13"/>
    </row>
    <row r="43257">
      <c r="L43257" s="13"/>
      <c r="M43257" s="14"/>
      <c r="N43257" s="14"/>
      <c r="O43257" s="14"/>
      <c r="P43257" s="13"/>
    </row>
    <row r="43258">
      <c r="L43258" s="13"/>
      <c r="M43258" s="14"/>
      <c r="N43258" s="14"/>
      <c r="O43258" s="14"/>
      <c r="P43258" s="13"/>
    </row>
    <row r="43259">
      <c r="L43259" s="13"/>
      <c r="M43259" s="14"/>
      <c r="N43259" s="14"/>
      <c r="O43259" s="14"/>
      <c r="P43259" s="13"/>
    </row>
    <row r="43260">
      <c r="L43260" s="13"/>
      <c r="M43260" s="14"/>
      <c r="N43260" s="14"/>
      <c r="O43260" s="14"/>
      <c r="P43260" s="13"/>
    </row>
    <row r="43261">
      <c r="L43261" s="13"/>
      <c r="M43261" s="14"/>
      <c r="N43261" s="14"/>
      <c r="O43261" s="14"/>
      <c r="P43261" s="13"/>
    </row>
    <row r="43262">
      <c r="L43262" s="13"/>
      <c r="M43262" s="14"/>
      <c r="N43262" s="14"/>
      <c r="O43262" s="14"/>
      <c r="P43262" s="13"/>
    </row>
    <row r="43263">
      <c r="L43263" s="13"/>
      <c r="M43263" s="14"/>
      <c r="N43263" s="14"/>
      <c r="O43263" s="14"/>
      <c r="P43263" s="13"/>
    </row>
    <row r="43264">
      <c r="L43264" s="13"/>
      <c r="M43264" s="14"/>
      <c r="N43264" s="14"/>
      <c r="O43264" s="14"/>
      <c r="P43264" s="13"/>
    </row>
    <row r="43265">
      <c r="L43265" s="13"/>
      <c r="M43265" s="14"/>
      <c r="N43265" s="14"/>
      <c r="O43265" s="14"/>
      <c r="P43265" s="13"/>
    </row>
    <row r="43266">
      <c r="L43266" s="13"/>
      <c r="M43266" s="14"/>
      <c r="N43266" s="14"/>
      <c r="O43266" s="14"/>
      <c r="P43266" s="13"/>
    </row>
    <row r="43267">
      <c r="L43267" s="13"/>
      <c r="M43267" s="14"/>
      <c r="N43267" s="14"/>
      <c r="O43267" s="14"/>
      <c r="P43267" s="13"/>
    </row>
    <row r="43268">
      <c r="L43268" s="13"/>
      <c r="M43268" s="14"/>
      <c r="N43268" s="14"/>
      <c r="O43268" s="14"/>
      <c r="P43268" s="13"/>
    </row>
    <row r="43269">
      <c r="L43269" s="13"/>
      <c r="M43269" s="14"/>
      <c r="N43269" s="14"/>
      <c r="O43269" s="14"/>
      <c r="P43269" s="13"/>
    </row>
    <row r="43270">
      <c r="L43270" s="13"/>
      <c r="M43270" s="14"/>
      <c r="N43270" s="14"/>
      <c r="O43270" s="14"/>
      <c r="P43270" s="13"/>
    </row>
    <row r="43271">
      <c r="L43271" s="13"/>
      <c r="M43271" s="14"/>
      <c r="N43271" s="14"/>
      <c r="O43271" s="14"/>
      <c r="P43271" s="13"/>
    </row>
    <row r="43272">
      <c r="L43272" s="13"/>
      <c r="M43272" s="14"/>
      <c r="N43272" s="14"/>
      <c r="O43272" s="14"/>
      <c r="P43272" s="13"/>
    </row>
    <row r="43273">
      <c r="L43273" s="13"/>
      <c r="M43273" s="14"/>
      <c r="N43273" s="14"/>
      <c r="O43273" s="14"/>
      <c r="P43273" s="13"/>
    </row>
    <row r="43274">
      <c r="L43274" s="13"/>
      <c r="M43274" s="14"/>
      <c r="N43274" s="14"/>
      <c r="O43274" s="14"/>
      <c r="P43274" s="13"/>
    </row>
    <row r="43275">
      <c r="L43275" s="13"/>
      <c r="M43275" s="14"/>
      <c r="N43275" s="14"/>
      <c r="O43275" s="14"/>
      <c r="P43275" s="13"/>
    </row>
    <row r="43276">
      <c r="L43276" s="13"/>
      <c r="M43276" s="14"/>
      <c r="N43276" s="14"/>
      <c r="O43276" s="14"/>
      <c r="P43276" s="13"/>
    </row>
    <row r="43277">
      <c r="L43277" s="13"/>
      <c r="M43277" s="14"/>
      <c r="N43277" s="14"/>
      <c r="O43277" s="14"/>
      <c r="P43277" s="13"/>
    </row>
    <row r="43278">
      <c r="L43278" s="13"/>
      <c r="M43278" s="14"/>
      <c r="N43278" s="14"/>
      <c r="O43278" s="14"/>
      <c r="P43278" s="13"/>
    </row>
    <row r="43279">
      <c r="L43279" s="13"/>
      <c r="M43279" s="14"/>
      <c r="N43279" s="14"/>
      <c r="O43279" s="14"/>
      <c r="P43279" s="13"/>
    </row>
    <row r="43280">
      <c r="L43280" s="13"/>
      <c r="M43280" s="14"/>
      <c r="N43280" s="14"/>
      <c r="O43280" s="14"/>
      <c r="P43280" s="13"/>
    </row>
    <row r="43281">
      <c r="L43281" s="13"/>
      <c r="M43281" s="14"/>
      <c r="N43281" s="14"/>
      <c r="O43281" s="14"/>
      <c r="P43281" s="13"/>
    </row>
    <row r="43282">
      <c r="L43282" s="13"/>
      <c r="M43282" s="14"/>
      <c r="N43282" s="14"/>
      <c r="O43282" s="14"/>
      <c r="P43282" s="13"/>
    </row>
    <row r="43283">
      <c r="L43283" s="13"/>
      <c r="M43283" s="14"/>
      <c r="N43283" s="14"/>
      <c r="O43283" s="14"/>
      <c r="P43283" s="13"/>
    </row>
    <row r="43284">
      <c r="L43284" s="13"/>
      <c r="M43284" s="14"/>
      <c r="N43284" s="14"/>
      <c r="O43284" s="14"/>
      <c r="P43284" s="13"/>
    </row>
    <row r="43285">
      <c r="L43285" s="13"/>
      <c r="M43285" s="14"/>
      <c r="N43285" s="14"/>
      <c r="O43285" s="14"/>
      <c r="P43285" s="13"/>
    </row>
    <row r="43286">
      <c r="L43286" s="13"/>
      <c r="M43286" s="14"/>
      <c r="N43286" s="14"/>
      <c r="O43286" s="14"/>
      <c r="P43286" s="13"/>
    </row>
    <row r="43287">
      <c r="L43287" s="13"/>
      <c r="M43287" s="14"/>
      <c r="N43287" s="14"/>
      <c r="O43287" s="14"/>
      <c r="P43287" s="13"/>
    </row>
    <row r="43288">
      <c r="L43288" s="13"/>
      <c r="M43288" s="14"/>
      <c r="N43288" s="14"/>
      <c r="O43288" s="14"/>
      <c r="P43288" s="13"/>
    </row>
    <row r="43289">
      <c r="L43289" s="13"/>
      <c r="M43289" s="14"/>
      <c r="N43289" s="14"/>
      <c r="O43289" s="14"/>
      <c r="P43289" s="13"/>
    </row>
    <row r="43290">
      <c r="L43290" s="13"/>
      <c r="M43290" s="14"/>
      <c r="N43290" s="14"/>
      <c r="O43290" s="14"/>
      <c r="P43290" s="13"/>
    </row>
    <row r="43291">
      <c r="L43291" s="13"/>
      <c r="M43291" s="14"/>
      <c r="N43291" s="14"/>
      <c r="O43291" s="14"/>
      <c r="P43291" s="13"/>
    </row>
    <row r="43292">
      <c r="L43292" s="13"/>
      <c r="M43292" s="14"/>
      <c r="N43292" s="14"/>
      <c r="O43292" s="14"/>
      <c r="P43292" s="13"/>
    </row>
    <row r="43293">
      <c r="L43293" s="13"/>
      <c r="M43293" s="14"/>
      <c r="N43293" s="14"/>
      <c r="O43293" s="14"/>
      <c r="P43293" s="13"/>
    </row>
    <row r="43294">
      <c r="L43294" s="13"/>
      <c r="M43294" s="14"/>
      <c r="N43294" s="14"/>
      <c r="O43294" s="14"/>
      <c r="P43294" s="13"/>
    </row>
    <row r="43295">
      <c r="L43295" s="13"/>
      <c r="M43295" s="14"/>
      <c r="N43295" s="14"/>
      <c r="O43295" s="14"/>
      <c r="P43295" s="13"/>
    </row>
    <row r="43296">
      <c r="L43296" s="13"/>
      <c r="M43296" s="14"/>
      <c r="N43296" s="14"/>
      <c r="O43296" s="14"/>
      <c r="P43296" s="13"/>
    </row>
    <row r="43297">
      <c r="L43297" s="13"/>
      <c r="M43297" s="14"/>
      <c r="N43297" s="14"/>
      <c r="O43297" s="14"/>
      <c r="P43297" s="13"/>
    </row>
    <row r="43298">
      <c r="L43298" s="13"/>
      <c r="M43298" s="14"/>
      <c r="N43298" s="14"/>
      <c r="O43298" s="14"/>
      <c r="P43298" s="13"/>
    </row>
    <row r="43299">
      <c r="L43299" s="13"/>
      <c r="M43299" s="14"/>
      <c r="N43299" s="14"/>
      <c r="O43299" s="14"/>
      <c r="P43299" s="13"/>
    </row>
    <row r="43300">
      <c r="L43300" s="13"/>
      <c r="M43300" s="14"/>
      <c r="N43300" s="14"/>
      <c r="O43300" s="14"/>
      <c r="P43300" s="13"/>
    </row>
    <row r="43301">
      <c r="L43301" s="13"/>
      <c r="M43301" s="14"/>
      <c r="N43301" s="14"/>
      <c r="O43301" s="14"/>
      <c r="P43301" s="13"/>
    </row>
    <row r="43302">
      <c r="L43302" s="13"/>
      <c r="M43302" s="14"/>
      <c r="N43302" s="14"/>
      <c r="O43302" s="14"/>
      <c r="P43302" s="13"/>
    </row>
    <row r="43303">
      <c r="L43303" s="13"/>
      <c r="M43303" s="14"/>
      <c r="N43303" s="14"/>
      <c r="O43303" s="14"/>
      <c r="P43303" s="13"/>
    </row>
    <row r="43304">
      <c r="L43304" s="13"/>
      <c r="M43304" s="14"/>
      <c r="N43304" s="14"/>
      <c r="O43304" s="14"/>
      <c r="P43304" s="13"/>
    </row>
    <row r="43305">
      <c r="L43305" s="13"/>
      <c r="M43305" s="14"/>
      <c r="N43305" s="14"/>
      <c r="O43305" s="14"/>
      <c r="P43305" s="13"/>
    </row>
    <row r="43306">
      <c r="L43306" s="13"/>
      <c r="M43306" s="14"/>
      <c r="N43306" s="14"/>
      <c r="O43306" s="14"/>
      <c r="P43306" s="13"/>
    </row>
    <row r="43307">
      <c r="L43307" s="13"/>
      <c r="M43307" s="14"/>
      <c r="N43307" s="14"/>
      <c r="O43307" s="14"/>
      <c r="P43307" s="13"/>
    </row>
    <row r="43308">
      <c r="L43308" s="13"/>
      <c r="M43308" s="14"/>
      <c r="N43308" s="14"/>
      <c r="O43308" s="14"/>
      <c r="P43308" s="13"/>
    </row>
    <row r="43309">
      <c r="L43309" s="13"/>
      <c r="M43309" s="14"/>
      <c r="N43309" s="14"/>
      <c r="O43309" s="14"/>
      <c r="P43309" s="13"/>
    </row>
    <row r="43310">
      <c r="L43310" s="13"/>
      <c r="M43310" s="14"/>
      <c r="N43310" s="14"/>
      <c r="O43310" s="14"/>
      <c r="P43310" s="13"/>
    </row>
    <row r="43311">
      <c r="L43311" s="13"/>
      <c r="M43311" s="14"/>
      <c r="N43311" s="14"/>
      <c r="O43311" s="14"/>
      <c r="P43311" s="13"/>
    </row>
    <row r="43312">
      <c r="L43312" s="13"/>
      <c r="M43312" s="14"/>
      <c r="N43312" s="14"/>
      <c r="O43312" s="14"/>
      <c r="P43312" s="13"/>
    </row>
    <row r="43313">
      <c r="L43313" s="13"/>
      <c r="M43313" s="14"/>
      <c r="N43313" s="14"/>
      <c r="O43313" s="14"/>
      <c r="P43313" s="13"/>
    </row>
    <row r="43314">
      <c r="L43314" s="13"/>
      <c r="M43314" s="14"/>
      <c r="N43314" s="14"/>
      <c r="O43314" s="14"/>
      <c r="P43314" s="13"/>
    </row>
    <row r="43315">
      <c r="L43315" s="13"/>
      <c r="M43315" s="14"/>
      <c r="N43315" s="14"/>
      <c r="O43315" s="14"/>
      <c r="P43315" s="13"/>
    </row>
    <row r="43316">
      <c r="L43316" s="13"/>
      <c r="M43316" s="14"/>
      <c r="N43316" s="14"/>
      <c r="O43316" s="14"/>
      <c r="P43316" s="13"/>
    </row>
    <row r="43317">
      <c r="L43317" s="13"/>
      <c r="M43317" s="14"/>
      <c r="N43317" s="14"/>
      <c r="O43317" s="14"/>
      <c r="P43317" s="13"/>
    </row>
    <row r="43318">
      <c r="L43318" s="13"/>
      <c r="M43318" s="14"/>
      <c r="N43318" s="14"/>
      <c r="O43318" s="14"/>
      <c r="P43318" s="13"/>
    </row>
    <row r="43319">
      <c r="L43319" s="13"/>
      <c r="M43319" s="14"/>
      <c r="N43319" s="14"/>
      <c r="O43319" s="14"/>
      <c r="P43319" s="13"/>
    </row>
    <row r="43320">
      <c r="L43320" s="13"/>
      <c r="M43320" s="14"/>
      <c r="N43320" s="14"/>
      <c r="O43320" s="14"/>
      <c r="P43320" s="13"/>
    </row>
    <row r="43321">
      <c r="L43321" s="13"/>
      <c r="M43321" s="14"/>
      <c r="N43321" s="14"/>
      <c r="O43321" s="14"/>
      <c r="P43321" s="13"/>
    </row>
    <row r="43322">
      <c r="L43322" s="13"/>
      <c r="M43322" s="14"/>
      <c r="N43322" s="14"/>
      <c r="O43322" s="14"/>
      <c r="P43322" s="13"/>
    </row>
    <row r="43323">
      <c r="L43323" s="13"/>
      <c r="M43323" s="14"/>
      <c r="N43323" s="14"/>
      <c r="O43323" s="14"/>
      <c r="P43323" s="13"/>
    </row>
    <row r="43324">
      <c r="L43324" s="13"/>
      <c r="M43324" s="14"/>
      <c r="N43324" s="14"/>
      <c r="O43324" s="14"/>
      <c r="P43324" s="13"/>
    </row>
    <row r="43325">
      <c r="L43325" s="13"/>
      <c r="M43325" s="14"/>
      <c r="N43325" s="14"/>
      <c r="O43325" s="14"/>
      <c r="P43325" s="13"/>
    </row>
    <row r="43326">
      <c r="L43326" s="13"/>
      <c r="M43326" s="14"/>
      <c r="N43326" s="14"/>
      <c r="O43326" s="14"/>
      <c r="P43326" s="13"/>
    </row>
    <row r="43327">
      <c r="L43327" s="13"/>
      <c r="M43327" s="14"/>
      <c r="N43327" s="14"/>
      <c r="O43327" s="14"/>
      <c r="P43327" s="13"/>
    </row>
    <row r="43328">
      <c r="L43328" s="13"/>
      <c r="M43328" s="14"/>
      <c r="N43328" s="14"/>
      <c r="O43328" s="14"/>
      <c r="P43328" s="13"/>
    </row>
    <row r="43329">
      <c r="L43329" s="13"/>
      <c r="M43329" s="14"/>
      <c r="N43329" s="14"/>
      <c r="O43329" s="14"/>
      <c r="P43329" s="13"/>
    </row>
    <row r="43330">
      <c r="L43330" s="13"/>
      <c r="M43330" s="14"/>
      <c r="N43330" s="14"/>
      <c r="O43330" s="14"/>
      <c r="P43330" s="13"/>
    </row>
    <row r="43331">
      <c r="L43331" s="13"/>
      <c r="M43331" s="14"/>
      <c r="N43331" s="14"/>
      <c r="O43331" s="14"/>
      <c r="P43331" s="13"/>
    </row>
    <row r="43332">
      <c r="L43332" s="13"/>
      <c r="M43332" s="14"/>
      <c r="N43332" s="14"/>
      <c r="O43332" s="14"/>
      <c r="P43332" s="13"/>
    </row>
    <row r="43333">
      <c r="L43333" s="13"/>
      <c r="M43333" s="14"/>
      <c r="N43333" s="14"/>
      <c r="O43333" s="14"/>
      <c r="P43333" s="13"/>
    </row>
    <row r="43334">
      <c r="L43334" s="13"/>
      <c r="M43334" s="14"/>
      <c r="N43334" s="14"/>
      <c r="O43334" s="14"/>
      <c r="P43334" s="13"/>
    </row>
    <row r="43335">
      <c r="L43335" s="13"/>
      <c r="M43335" s="14"/>
      <c r="N43335" s="14"/>
      <c r="O43335" s="14"/>
      <c r="P43335" s="13"/>
    </row>
    <row r="43336">
      <c r="L43336" s="13"/>
      <c r="M43336" s="14"/>
      <c r="N43336" s="14"/>
      <c r="O43336" s="14"/>
      <c r="P43336" s="13"/>
    </row>
    <row r="43337">
      <c r="L43337" s="13"/>
      <c r="M43337" s="14"/>
      <c r="N43337" s="14"/>
      <c r="O43337" s="14"/>
      <c r="P43337" s="13"/>
    </row>
    <row r="43338">
      <c r="L43338" s="13"/>
      <c r="M43338" s="14"/>
      <c r="N43338" s="14"/>
      <c r="O43338" s="14"/>
      <c r="P43338" s="13"/>
    </row>
    <row r="43339">
      <c r="L43339" s="13"/>
      <c r="M43339" s="14"/>
      <c r="N43339" s="14"/>
      <c r="O43339" s="14"/>
      <c r="P43339" s="13"/>
    </row>
    <row r="43340">
      <c r="L43340" s="13"/>
      <c r="M43340" s="14"/>
      <c r="N43340" s="14"/>
      <c r="O43340" s="14"/>
      <c r="P43340" s="13"/>
    </row>
    <row r="43341">
      <c r="L43341" s="13"/>
      <c r="M43341" s="14"/>
      <c r="N43341" s="14"/>
      <c r="O43341" s="14"/>
      <c r="P43341" s="13"/>
    </row>
    <row r="43342">
      <c r="L43342" s="13"/>
      <c r="M43342" s="14"/>
      <c r="N43342" s="14"/>
      <c r="O43342" s="14"/>
      <c r="P43342" s="13"/>
    </row>
    <row r="43343">
      <c r="L43343" s="13"/>
      <c r="M43343" s="14"/>
      <c r="N43343" s="14"/>
      <c r="O43343" s="14"/>
      <c r="P43343" s="13"/>
    </row>
    <row r="43344">
      <c r="L43344" s="13"/>
      <c r="M43344" s="14"/>
      <c r="N43344" s="14"/>
      <c r="O43344" s="14"/>
      <c r="P43344" s="13"/>
    </row>
    <row r="43345">
      <c r="L43345" s="13"/>
      <c r="M43345" s="14"/>
      <c r="N43345" s="14"/>
      <c r="O43345" s="14"/>
      <c r="P43345" s="13"/>
    </row>
    <row r="43346">
      <c r="L43346" s="13"/>
      <c r="M43346" s="14"/>
      <c r="N43346" s="14"/>
      <c r="O43346" s="14"/>
      <c r="P43346" s="13"/>
    </row>
    <row r="43347">
      <c r="L43347" s="13"/>
      <c r="M43347" s="14"/>
      <c r="N43347" s="14"/>
      <c r="O43347" s="14"/>
      <c r="P43347" s="13"/>
    </row>
    <row r="43348">
      <c r="L43348" s="13"/>
      <c r="M43348" s="14"/>
      <c r="N43348" s="14"/>
      <c r="O43348" s="14"/>
      <c r="P43348" s="13"/>
    </row>
    <row r="43349">
      <c r="L43349" s="13"/>
      <c r="M43349" s="14"/>
      <c r="N43349" s="14"/>
      <c r="O43349" s="14"/>
      <c r="P43349" s="13"/>
    </row>
    <row r="43350">
      <c r="L43350" s="13"/>
      <c r="M43350" s="14"/>
      <c r="N43350" s="14"/>
      <c r="O43350" s="14"/>
      <c r="P43350" s="13"/>
    </row>
    <row r="43351">
      <c r="L43351" s="13"/>
      <c r="M43351" s="14"/>
      <c r="N43351" s="14"/>
      <c r="O43351" s="14"/>
      <c r="P43351" s="13"/>
    </row>
    <row r="43352">
      <c r="L43352" s="13"/>
      <c r="M43352" s="14"/>
      <c r="N43352" s="14"/>
      <c r="O43352" s="14"/>
      <c r="P43352" s="13"/>
    </row>
    <row r="43353">
      <c r="L43353" s="13"/>
      <c r="M43353" s="14"/>
      <c r="N43353" s="14"/>
      <c r="O43353" s="14"/>
      <c r="P43353" s="13"/>
    </row>
    <row r="43354">
      <c r="L43354" s="13"/>
      <c r="M43354" s="14"/>
      <c r="N43354" s="14"/>
      <c r="O43354" s="14"/>
      <c r="P43354" s="13"/>
    </row>
    <row r="43355">
      <c r="L43355" s="13"/>
      <c r="M43355" s="14"/>
      <c r="N43355" s="14"/>
      <c r="O43355" s="14"/>
      <c r="P43355" s="13"/>
    </row>
    <row r="43356">
      <c r="L43356" s="13"/>
      <c r="M43356" s="14"/>
      <c r="N43356" s="14"/>
      <c r="O43356" s="14"/>
      <c r="P43356" s="13"/>
    </row>
    <row r="43357">
      <c r="L43357" s="13"/>
      <c r="M43357" s="14"/>
      <c r="N43357" s="14"/>
      <c r="O43357" s="14"/>
      <c r="P43357" s="13"/>
    </row>
    <row r="43358">
      <c r="L43358" s="13"/>
      <c r="M43358" s="14"/>
      <c r="N43358" s="14"/>
      <c r="O43358" s="14"/>
      <c r="P43358" s="13"/>
    </row>
    <row r="43359">
      <c r="L43359" s="13"/>
      <c r="M43359" s="14"/>
      <c r="N43359" s="14"/>
      <c r="O43359" s="14"/>
      <c r="P43359" s="13"/>
    </row>
    <row r="43360">
      <c r="L43360" s="13"/>
      <c r="M43360" s="14"/>
      <c r="N43360" s="14"/>
      <c r="O43360" s="14"/>
      <c r="P43360" s="13"/>
    </row>
    <row r="43361">
      <c r="L43361" s="13"/>
      <c r="M43361" s="14"/>
      <c r="N43361" s="14"/>
      <c r="O43361" s="14"/>
      <c r="P43361" s="13"/>
    </row>
    <row r="43362">
      <c r="L43362" s="13"/>
      <c r="M43362" s="14"/>
      <c r="N43362" s="14"/>
      <c r="O43362" s="14"/>
      <c r="P43362" s="13"/>
    </row>
    <row r="43363">
      <c r="L43363" s="13"/>
      <c r="M43363" s="14"/>
      <c r="N43363" s="14"/>
      <c r="O43363" s="14"/>
      <c r="P43363" s="13"/>
    </row>
    <row r="43364">
      <c r="L43364" s="13"/>
      <c r="M43364" s="14"/>
      <c r="N43364" s="14"/>
      <c r="O43364" s="14"/>
      <c r="P43364" s="13"/>
    </row>
    <row r="43365">
      <c r="L43365" s="13"/>
      <c r="M43365" s="14"/>
      <c r="N43365" s="14"/>
      <c r="O43365" s="14"/>
      <c r="P43365" s="13"/>
    </row>
    <row r="43366">
      <c r="L43366" s="13"/>
      <c r="M43366" s="14"/>
      <c r="N43366" s="14"/>
      <c r="O43366" s="14"/>
      <c r="P43366" s="13"/>
    </row>
    <row r="43367">
      <c r="L43367" s="13"/>
      <c r="M43367" s="14"/>
      <c r="N43367" s="14"/>
      <c r="O43367" s="14"/>
      <c r="P43367" s="13"/>
    </row>
    <row r="43368">
      <c r="L43368" s="13"/>
      <c r="M43368" s="14"/>
      <c r="N43368" s="14"/>
      <c r="O43368" s="14"/>
      <c r="P43368" s="13"/>
    </row>
    <row r="43369">
      <c r="L43369" s="13"/>
      <c r="M43369" s="14"/>
      <c r="N43369" s="14"/>
      <c r="O43369" s="14"/>
      <c r="P43369" s="13"/>
    </row>
    <row r="43370">
      <c r="L43370" s="13"/>
      <c r="M43370" s="14"/>
      <c r="N43370" s="14"/>
      <c r="O43370" s="14"/>
      <c r="P43370" s="13"/>
    </row>
    <row r="43371">
      <c r="L43371" s="13"/>
      <c r="M43371" s="14"/>
      <c r="N43371" s="14"/>
      <c r="O43371" s="14"/>
      <c r="P43371" s="13"/>
    </row>
    <row r="43372">
      <c r="L43372" s="13"/>
      <c r="M43372" s="14"/>
      <c r="N43372" s="14"/>
      <c r="O43372" s="14"/>
      <c r="P43372" s="13"/>
    </row>
    <row r="43373">
      <c r="L43373" s="13"/>
      <c r="M43373" s="14"/>
      <c r="N43373" s="14"/>
      <c r="O43373" s="14"/>
      <c r="P43373" s="13"/>
    </row>
    <row r="43374">
      <c r="L43374" s="13"/>
      <c r="M43374" s="14"/>
      <c r="N43374" s="14"/>
      <c r="O43374" s="14"/>
      <c r="P43374" s="13"/>
    </row>
    <row r="43375">
      <c r="L43375" s="13"/>
      <c r="M43375" s="14"/>
      <c r="N43375" s="14"/>
      <c r="O43375" s="14"/>
      <c r="P43375" s="13"/>
    </row>
    <row r="43376">
      <c r="L43376" s="13"/>
      <c r="M43376" s="14"/>
      <c r="N43376" s="14"/>
      <c r="O43376" s="14"/>
      <c r="P43376" s="13"/>
    </row>
    <row r="43377">
      <c r="L43377" s="13"/>
      <c r="M43377" s="14"/>
      <c r="N43377" s="14"/>
      <c r="O43377" s="14"/>
      <c r="P43377" s="13"/>
    </row>
    <row r="43378">
      <c r="L43378" s="13"/>
      <c r="M43378" s="14"/>
      <c r="N43378" s="14"/>
      <c r="O43378" s="14"/>
      <c r="P43378" s="13"/>
    </row>
    <row r="43379">
      <c r="L43379" s="13"/>
      <c r="M43379" s="14"/>
      <c r="N43379" s="14"/>
      <c r="O43379" s="14"/>
      <c r="P43379" s="13"/>
    </row>
    <row r="43380">
      <c r="L43380" s="13"/>
      <c r="M43380" s="14"/>
      <c r="N43380" s="14"/>
      <c r="O43380" s="14"/>
      <c r="P43380" s="13"/>
    </row>
    <row r="43381">
      <c r="L43381" s="13"/>
      <c r="M43381" s="14"/>
      <c r="N43381" s="14"/>
      <c r="O43381" s="14"/>
      <c r="P43381" s="13"/>
    </row>
    <row r="43382">
      <c r="L43382" s="13"/>
      <c r="M43382" s="14"/>
      <c r="N43382" s="14"/>
      <c r="O43382" s="14"/>
      <c r="P43382" s="13"/>
    </row>
    <row r="43383">
      <c r="L43383" s="13"/>
      <c r="M43383" s="14"/>
      <c r="N43383" s="14"/>
      <c r="O43383" s="14"/>
      <c r="P43383" s="13"/>
    </row>
    <row r="43384">
      <c r="L43384" s="13"/>
      <c r="M43384" s="14"/>
      <c r="N43384" s="14"/>
      <c r="O43384" s="14"/>
      <c r="P43384" s="13"/>
    </row>
    <row r="43385">
      <c r="L43385" s="13"/>
      <c r="M43385" s="14"/>
      <c r="N43385" s="14"/>
      <c r="O43385" s="14"/>
      <c r="P43385" s="13"/>
    </row>
    <row r="43386">
      <c r="L43386" s="13"/>
      <c r="M43386" s="14"/>
      <c r="N43386" s="14"/>
      <c r="O43386" s="14"/>
      <c r="P43386" s="13"/>
    </row>
    <row r="43387">
      <c r="L43387" s="13"/>
      <c r="M43387" s="14"/>
      <c r="N43387" s="14"/>
      <c r="O43387" s="14"/>
      <c r="P43387" s="13"/>
    </row>
    <row r="43388">
      <c r="L43388" s="13"/>
      <c r="M43388" s="14"/>
      <c r="N43388" s="14"/>
      <c r="O43388" s="14"/>
      <c r="P43388" s="13"/>
    </row>
    <row r="43389">
      <c r="L43389" s="13"/>
      <c r="M43389" s="14"/>
      <c r="N43389" s="14"/>
      <c r="O43389" s="14"/>
      <c r="P43389" s="13"/>
    </row>
    <row r="43390">
      <c r="L43390" s="13"/>
      <c r="M43390" s="14"/>
      <c r="N43390" s="14"/>
      <c r="O43390" s="14"/>
      <c r="P43390" s="13"/>
    </row>
    <row r="43391">
      <c r="L43391" s="13"/>
      <c r="M43391" s="14"/>
      <c r="N43391" s="14"/>
      <c r="O43391" s="14"/>
      <c r="P43391" s="13"/>
    </row>
    <row r="43392">
      <c r="L43392" s="13"/>
      <c r="M43392" s="14"/>
      <c r="N43392" s="14"/>
      <c r="O43392" s="14"/>
      <c r="P43392" s="13"/>
    </row>
    <row r="43393">
      <c r="L43393" s="13"/>
      <c r="M43393" s="14"/>
      <c r="N43393" s="14"/>
      <c r="O43393" s="14"/>
      <c r="P43393" s="13"/>
    </row>
    <row r="43394">
      <c r="L43394" s="13"/>
      <c r="M43394" s="14"/>
      <c r="N43394" s="14"/>
      <c r="O43394" s="14"/>
      <c r="P43394" s="13"/>
    </row>
    <row r="43395">
      <c r="L43395" s="13"/>
      <c r="M43395" s="14"/>
      <c r="N43395" s="14"/>
      <c r="O43395" s="14"/>
      <c r="P43395" s="13"/>
    </row>
    <row r="43396">
      <c r="L43396" s="13"/>
      <c r="M43396" s="14"/>
      <c r="N43396" s="14"/>
      <c r="O43396" s="14"/>
      <c r="P43396" s="13"/>
    </row>
    <row r="43397">
      <c r="L43397" s="13"/>
      <c r="M43397" s="14"/>
      <c r="N43397" s="14"/>
      <c r="O43397" s="14"/>
      <c r="P43397" s="13"/>
    </row>
    <row r="43398">
      <c r="L43398" s="13"/>
      <c r="M43398" s="14"/>
      <c r="N43398" s="14"/>
      <c r="O43398" s="14"/>
      <c r="P43398" s="13"/>
    </row>
    <row r="43399">
      <c r="L43399" s="13"/>
      <c r="M43399" s="14"/>
      <c r="N43399" s="14"/>
      <c r="O43399" s="14"/>
      <c r="P43399" s="13"/>
    </row>
    <row r="43400">
      <c r="L43400" s="13"/>
      <c r="M43400" s="14"/>
      <c r="N43400" s="14"/>
      <c r="O43400" s="14"/>
      <c r="P43400" s="13"/>
    </row>
    <row r="43401">
      <c r="L43401" s="13"/>
      <c r="M43401" s="14"/>
      <c r="N43401" s="14"/>
      <c r="O43401" s="14"/>
      <c r="P43401" s="13"/>
    </row>
    <row r="43402">
      <c r="L43402" s="13"/>
      <c r="M43402" s="14"/>
      <c r="N43402" s="14"/>
      <c r="O43402" s="14"/>
      <c r="P43402" s="13"/>
    </row>
    <row r="43403">
      <c r="L43403" s="13"/>
      <c r="M43403" s="14"/>
      <c r="N43403" s="14"/>
      <c r="O43403" s="14"/>
      <c r="P43403" s="13"/>
    </row>
    <row r="43404">
      <c r="L43404" s="13"/>
      <c r="M43404" s="14"/>
      <c r="N43404" s="14"/>
      <c r="O43404" s="14"/>
      <c r="P43404" s="13"/>
    </row>
    <row r="43405">
      <c r="L43405" s="13"/>
      <c r="M43405" s="14"/>
      <c r="N43405" s="14"/>
      <c r="O43405" s="14"/>
      <c r="P43405" s="13"/>
    </row>
    <row r="43406">
      <c r="L43406" s="13"/>
      <c r="M43406" s="14"/>
      <c r="N43406" s="14"/>
      <c r="O43406" s="14"/>
      <c r="P43406" s="13"/>
    </row>
    <row r="43407">
      <c r="L43407" s="13"/>
      <c r="M43407" s="14"/>
      <c r="N43407" s="14"/>
      <c r="O43407" s="14"/>
      <c r="P43407" s="13"/>
    </row>
    <row r="43408">
      <c r="L43408" s="13"/>
      <c r="M43408" s="14"/>
      <c r="N43408" s="14"/>
      <c r="O43408" s="14"/>
      <c r="P43408" s="13"/>
    </row>
    <row r="43409">
      <c r="L43409" s="13"/>
      <c r="M43409" s="14"/>
      <c r="N43409" s="14"/>
      <c r="O43409" s="14"/>
      <c r="P43409" s="13"/>
    </row>
    <row r="43410">
      <c r="L43410" s="13"/>
      <c r="M43410" s="14"/>
      <c r="N43410" s="14"/>
      <c r="O43410" s="14"/>
      <c r="P43410" s="13"/>
    </row>
    <row r="43411">
      <c r="L43411" s="13"/>
      <c r="M43411" s="14"/>
      <c r="N43411" s="14"/>
      <c r="O43411" s="14"/>
      <c r="P43411" s="13"/>
    </row>
    <row r="43412">
      <c r="L43412" s="13"/>
      <c r="M43412" s="14"/>
      <c r="N43412" s="14"/>
      <c r="O43412" s="14"/>
      <c r="P43412" s="13"/>
    </row>
    <row r="43413">
      <c r="L43413" s="13"/>
      <c r="M43413" s="14"/>
      <c r="N43413" s="14"/>
      <c r="O43413" s="14"/>
      <c r="P43413" s="13"/>
    </row>
    <row r="43414">
      <c r="L43414" s="13"/>
      <c r="M43414" s="14"/>
      <c r="N43414" s="14"/>
      <c r="O43414" s="14"/>
      <c r="P43414" s="13"/>
    </row>
    <row r="43415">
      <c r="L43415" s="13"/>
      <c r="M43415" s="14"/>
      <c r="N43415" s="14"/>
      <c r="O43415" s="14"/>
      <c r="P43415" s="13"/>
    </row>
    <row r="43416">
      <c r="L43416" s="13"/>
      <c r="M43416" s="14"/>
      <c r="N43416" s="14"/>
      <c r="O43416" s="14"/>
      <c r="P43416" s="13"/>
    </row>
    <row r="43417">
      <c r="L43417" s="13"/>
      <c r="M43417" s="14"/>
      <c r="N43417" s="14"/>
      <c r="O43417" s="14"/>
      <c r="P43417" s="13"/>
    </row>
    <row r="43418">
      <c r="L43418" s="13"/>
      <c r="M43418" s="14"/>
      <c r="N43418" s="14"/>
      <c r="O43418" s="14"/>
      <c r="P43418" s="13"/>
    </row>
    <row r="43419">
      <c r="L43419" s="13"/>
      <c r="M43419" s="14"/>
      <c r="N43419" s="14"/>
      <c r="O43419" s="14"/>
      <c r="P43419" s="13"/>
    </row>
    <row r="43420">
      <c r="L43420" s="13"/>
      <c r="M43420" s="14"/>
      <c r="N43420" s="14"/>
      <c r="O43420" s="14"/>
      <c r="P43420" s="13"/>
    </row>
    <row r="43421">
      <c r="L43421" s="13"/>
      <c r="M43421" s="14"/>
      <c r="N43421" s="14"/>
      <c r="O43421" s="14"/>
      <c r="P43421" s="13"/>
    </row>
    <row r="43422">
      <c r="L43422" s="13"/>
      <c r="M43422" s="14"/>
      <c r="N43422" s="14"/>
      <c r="O43422" s="14"/>
      <c r="P43422" s="13"/>
    </row>
    <row r="43423">
      <c r="L43423" s="13"/>
      <c r="M43423" s="14"/>
      <c r="N43423" s="14"/>
      <c r="O43423" s="14"/>
      <c r="P43423" s="13"/>
    </row>
    <row r="43424">
      <c r="L43424" s="13"/>
      <c r="M43424" s="14"/>
      <c r="N43424" s="14"/>
      <c r="O43424" s="14"/>
      <c r="P43424" s="13"/>
    </row>
    <row r="43425">
      <c r="L43425" s="13"/>
      <c r="M43425" s="14"/>
      <c r="N43425" s="14"/>
      <c r="O43425" s="14"/>
      <c r="P43425" s="13"/>
    </row>
    <row r="43426">
      <c r="L43426" s="13"/>
      <c r="M43426" s="14"/>
      <c r="N43426" s="14"/>
      <c r="O43426" s="14"/>
      <c r="P43426" s="13"/>
    </row>
    <row r="43427">
      <c r="L43427" s="13"/>
      <c r="M43427" s="14"/>
      <c r="N43427" s="14"/>
      <c r="O43427" s="14"/>
      <c r="P43427" s="13"/>
    </row>
    <row r="43428">
      <c r="L43428" s="13"/>
      <c r="M43428" s="14"/>
      <c r="N43428" s="14"/>
      <c r="O43428" s="14"/>
      <c r="P43428" s="13"/>
    </row>
    <row r="43429">
      <c r="L43429" s="13"/>
      <c r="M43429" s="14"/>
      <c r="N43429" s="14"/>
      <c r="O43429" s="14"/>
      <c r="P43429" s="13"/>
    </row>
    <row r="43430">
      <c r="L43430" s="13"/>
      <c r="M43430" s="14"/>
      <c r="N43430" s="14"/>
      <c r="O43430" s="14"/>
      <c r="P43430" s="13"/>
    </row>
    <row r="43431">
      <c r="L43431" s="13"/>
      <c r="M43431" s="14"/>
      <c r="N43431" s="14"/>
      <c r="O43431" s="14"/>
      <c r="P43431" s="13"/>
    </row>
    <row r="43432">
      <c r="L43432" s="13"/>
      <c r="M43432" s="14"/>
      <c r="N43432" s="14"/>
      <c r="O43432" s="14"/>
      <c r="P43432" s="13"/>
    </row>
    <row r="43433">
      <c r="L43433" s="13"/>
      <c r="M43433" s="14"/>
      <c r="N43433" s="14"/>
      <c r="O43433" s="14"/>
      <c r="P43433" s="13"/>
    </row>
    <row r="43434">
      <c r="L43434" s="13"/>
      <c r="M43434" s="14"/>
      <c r="N43434" s="14"/>
      <c r="O43434" s="14"/>
      <c r="P43434" s="13"/>
    </row>
    <row r="43435">
      <c r="L43435" s="13"/>
      <c r="M43435" s="14"/>
      <c r="N43435" s="14"/>
      <c r="O43435" s="14"/>
      <c r="P43435" s="13"/>
    </row>
    <row r="43436">
      <c r="L43436" s="13"/>
      <c r="M43436" s="14"/>
      <c r="N43436" s="14"/>
      <c r="O43436" s="14"/>
      <c r="P43436" s="13"/>
    </row>
    <row r="43437">
      <c r="L43437" s="13"/>
      <c r="M43437" s="14"/>
      <c r="N43437" s="14"/>
      <c r="O43437" s="14"/>
      <c r="P43437" s="13"/>
    </row>
    <row r="43438">
      <c r="L43438" s="13"/>
      <c r="M43438" s="14"/>
      <c r="N43438" s="14"/>
      <c r="O43438" s="14"/>
      <c r="P43438" s="13"/>
    </row>
    <row r="43439">
      <c r="L43439" s="13"/>
      <c r="M43439" s="14"/>
      <c r="N43439" s="14"/>
      <c r="O43439" s="14"/>
      <c r="P43439" s="13"/>
    </row>
    <row r="43440">
      <c r="L43440" s="13"/>
      <c r="M43440" s="14"/>
      <c r="N43440" s="14"/>
      <c r="O43440" s="14"/>
      <c r="P43440" s="13"/>
    </row>
    <row r="43441">
      <c r="L43441" s="13"/>
      <c r="M43441" s="14"/>
      <c r="N43441" s="14"/>
      <c r="O43441" s="14"/>
      <c r="P43441" s="13"/>
    </row>
    <row r="43442">
      <c r="L43442" s="13"/>
      <c r="M43442" s="14"/>
      <c r="N43442" s="14"/>
      <c r="O43442" s="14"/>
      <c r="P43442" s="13"/>
    </row>
    <row r="43443">
      <c r="L43443" s="13"/>
      <c r="M43443" s="14"/>
      <c r="N43443" s="14"/>
      <c r="O43443" s="14"/>
      <c r="P43443" s="13"/>
    </row>
    <row r="43444">
      <c r="L43444" s="13"/>
      <c r="M43444" s="14"/>
      <c r="N43444" s="14"/>
      <c r="O43444" s="14"/>
      <c r="P43444" s="13"/>
    </row>
    <row r="43445">
      <c r="L43445" s="13"/>
      <c r="M43445" s="14"/>
      <c r="N43445" s="14"/>
      <c r="O43445" s="14"/>
      <c r="P43445" s="13"/>
    </row>
    <row r="43446">
      <c r="L43446" s="13"/>
      <c r="M43446" s="14"/>
      <c r="N43446" s="14"/>
      <c r="O43446" s="14"/>
      <c r="P43446" s="13"/>
    </row>
    <row r="43447">
      <c r="L43447" s="13"/>
      <c r="M43447" s="14"/>
      <c r="N43447" s="14"/>
      <c r="O43447" s="14"/>
      <c r="P43447" s="13"/>
    </row>
    <row r="43448">
      <c r="L43448" s="13"/>
      <c r="M43448" s="14"/>
      <c r="N43448" s="14"/>
      <c r="O43448" s="14"/>
      <c r="P43448" s="13"/>
    </row>
    <row r="43449">
      <c r="L43449" s="13"/>
      <c r="M43449" s="14"/>
      <c r="N43449" s="14"/>
      <c r="O43449" s="14"/>
      <c r="P43449" s="13"/>
    </row>
    <row r="43450">
      <c r="L43450" s="13"/>
      <c r="M43450" s="14"/>
      <c r="N43450" s="14"/>
      <c r="O43450" s="14"/>
      <c r="P43450" s="13"/>
    </row>
    <row r="43451">
      <c r="L43451" s="13"/>
      <c r="M43451" s="14"/>
      <c r="N43451" s="14"/>
      <c r="O43451" s="14"/>
      <c r="P43451" s="13"/>
    </row>
    <row r="43452">
      <c r="L43452" s="13"/>
      <c r="M43452" s="14"/>
      <c r="N43452" s="14"/>
      <c r="O43452" s="14"/>
      <c r="P43452" s="13"/>
    </row>
    <row r="43453">
      <c r="L43453" s="13"/>
      <c r="M43453" s="14"/>
      <c r="N43453" s="14"/>
      <c r="O43453" s="14"/>
      <c r="P43453" s="13"/>
    </row>
    <row r="43454">
      <c r="L43454" s="13"/>
      <c r="M43454" s="14"/>
      <c r="N43454" s="14"/>
      <c r="O43454" s="14"/>
      <c r="P43454" s="13"/>
    </row>
    <row r="43455">
      <c r="L43455" s="13"/>
      <c r="M43455" s="14"/>
      <c r="N43455" s="14"/>
      <c r="O43455" s="14"/>
      <c r="P43455" s="13"/>
    </row>
    <row r="43456">
      <c r="L43456" s="13"/>
      <c r="M43456" s="14"/>
      <c r="N43456" s="14"/>
      <c r="O43456" s="14"/>
      <c r="P43456" s="13"/>
    </row>
    <row r="43457">
      <c r="L43457" s="13"/>
      <c r="M43457" s="14"/>
      <c r="N43457" s="14"/>
      <c r="O43457" s="14"/>
      <c r="P43457" s="13"/>
    </row>
    <row r="43458">
      <c r="L43458" s="13"/>
      <c r="M43458" s="14"/>
      <c r="N43458" s="14"/>
      <c r="O43458" s="14"/>
      <c r="P43458" s="13"/>
    </row>
    <row r="43459">
      <c r="L43459" s="13"/>
      <c r="M43459" s="14"/>
      <c r="N43459" s="14"/>
      <c r="O43459" s="14"/>
      <c r="P43459" s="13"/>
    </row>
    <row r="43460">
      <c r="L43460" s="13"/>
      <c r="M43460" s="14"/>
      <c r="N43460" s="14"/>
      <c r="O43460" s="14"/>
      <c r="P43460" s="13"/>
    </row>
    <row r="43461">
      <c r="L43461" s="13"/>
      <c r="M43461" s="14"/>
      <c r="N43461" s="14"/>
      <c r="O43461" s="14"/>
      <c r="P43461" s="13"/>
    </row>
    <row r="43462">
      <c r="L43462" s="13"/>
      <c r="M43462" s="14"/>
      <c r="N43462" s="14"/>
      <c r="O43462" s="14"/>
      <c r="P43462" s="13"/>
    </row>
    <row r="43463">
      <c r="L43463" s="13"/>
      <c r="M43463" s="14"/>
      <c r="N43463" s="14"/>
      <c r="O43463" s="14"/>
      <c r="P43463" s="13"/>
    </row>
    <row r="43464">
      <c r="L43464" s="13"/>
      <c r="M43464" s="14"/>
      <c r="N43464" s="14"/>
      <c r="O43464" s="14"/>
      <c r="P43464" s="13"/>
    </row>
    <row r="43465">
      <c r="L43465" s="13"/>
      <c r="M43465" s="14"/>
      <c r="N43465" s="14"/>
      <c r="O43465" s="14"/>
      <c r="P43465" s="13"/>
    </row>
    <row r="43466">
      <c r="L43466" s="13"/>
      <c r="M43466" s="14"/>
      <c r="N43466" s="14"/>
      <c r="O43466" s="14"/>
      <c r="P43466" s="13"/>
    </row>
    <row r="43467">
      <c r="L43467" s="13"/>
      <c r="M43467" s="14"/>
      <c r="N43467" s="14"/>
      <c r="O43467" s="14"/>
      <c r="P43467" s="13"/>
    </row>
    <row r="43468">
      <c r="L43468" s="13"/>
      <c r="M43468" s="14"/>
      <c r="N43468" s="14"/>
      <c r="O43468" s="14"/>
      <c r="P43468" s="13"/>
    </row>
    <row r="43469">
      <c r="L43469" s="13"/>
      <c r="M43469" s="14"/>
      <c r="N43469" s="14"/>
      <c r="O43469" s="14"/>
      <c r="P43469" s="13"/>
    </row>
    <row r="43470">
      <c r="L43470" s="13"/>
      <c r="M43470" s="14"/>
      <c r="N43470" s="14"/>
      <c r="O43470" s="14"/>
      <c r="P43470" s="13"/>
    </row>
    <row r="43471">
      <c r="L43471" s="13"/>
      <c r="M43471" s="14"/>
      <c r="N43471" s="14"/>
      <c r="O43471" s="14"/>
      <c r="P43471" s="13"/>
    </row>
    <row r="43472">
      <c r="L43472" s="13"/>
      <c r="M43472" s="14"/>
      <c r="N43472" s="14"/>
      <c r="O43472" s="14"/>
      <c r="P43472" s="13"/>
    </row>
    <row r="43473">
      <c r="L43473" s="13"/>
      <c r="M43473" s="14"/>
      <c r="N43473" s="14"/>
      <c r="O43473" s="14"/>
      <c r="P43473" s="13"/>
    </row>
    <row r="43474">
      <c r="L43474" s="13"/>
      <c r="M43474" s="14"/>
      <c r="N43474" s="14"/>
      <c r="O43474" s="14"/>
      <c r="P43474" s="13"/>
    </row>
    <row r="43475">
      <c r="L43475" s="13"/>
      <c r="M43475" s="14"/>
      <c r="N43475" s="14"/>
      <c r="O43475" s="14"/>
      <c r="P43475" s="13"/>
    </row>
    <row r="43476">
      <c r="L43476" s="13"/>
      <c r="M43476" s="14"/>
      <c r="N43476" s="14"/>
      <c r="O43476" s="14"/>
      <c r="P43476" s="13"/>
    </row>
    <row r="43477">
      <c r="L43477" s="13"/>
      <c r="M43477" s="14"/>
      <c r="N43477" s="14"/>
      <c r="O43477" s="14"/>
      <c r="P43477" s="13"/>
    </row>
    <row r="43478">
      <c r="L43478" s="13"/>
      <c r="M43478" s="14"/>
      <c r="N43478" s="14"/>
      <c r="O43478" s="14"/>
      <c r="P43478" s="13"/>
    </row>
    <row r="43479">
      <c r="L43479" s="13"/>
      <c r="M43479" s="14"/>
      <c r="N43479" s="14"/>
      <c r="O43479" s="14"/>
      <c r="P43479" s="13"/>
    </row>
    <row r="43480">
      <c r="L43480" s="13"/>
      <c r="M43480" s="14"/>
      <c r="N43480" s="14"/>
      <c r="O43480" s="14"/>
      <c r="P43480" s="13"/>
    </row>
    <row r="43481">
      <c r="L43481" s="13"/>
      <c r="M43481" s="14"/>
      <c r="N43481" s="14"/>
      <c r="O43481" s="14"/>
      <c r="P43481" s="13"/>
    </row>
    <row r="43482">
      <c r="L43482" s="13"/>
      <c r="M43482" s="14"/>
      <c r="N43482" s="14"/>
      <c r="O43482" s="14"/>
      <c r="P43482" s="13"/>
    </row>
    <row r="43483">
      <c r="L43483" s="13"/>
      <c r="M43483" s="14"/>
      <c r="N43483" s="14"/>
      <c r="O43483" s="14"/>
      <c r="P43483" s="13"/>
    </row>
    <row r="43484">
      <c r="L43484" s="13"/>
      <c r="M43484" s="14"/>
      <c r="N43484" s="14"/>
      <c r="O43484" s="14"/>
      <c r="P43484" s="13"/>
    </row>
    <row r="43485">
      <c r="L43485" s="13"/>
      <c r="M43485" s="14"/>
      <c r="N43485" s="14"/>
      <c r="O43485" s="14"/>
      <c r="P43485" s="13"/>
    </row>
    <row r="43486">
      <c r="L43486" s="13"/>
      <c r="M43486" s="14"/>
      <c r="N43486" s="14"/>
      <c r="O43486" s="14"/>
      <c r="P43486" s="13"/>
    </row>
    <row r="43487">
      <c r="L43487" s="13"/>
      <c r="M43487" s="14"/>
      <c r="N43487" s="14"/>
      <c r="O43487" s="14"/>
      <c r="P43487" s="13"/>
    </row>
    <row r="43488">
      <c r="L43488" s="13"/>
      <c r="M43488" s="14"/>
      <c r="N43488" s="14"/>
      <c r="O43488" s="14"/>
      <c r="P43488" s="13"/>
    </row>
    <row r="43489">
      <c r="L43489" s="13"/>
      <c r="M43489" s="14"/>
      <c r="N43489" s="14"/>
      <c r="O43489" s="14"/>
      <c r="P43489" s="13"/>
    </row>
    <row r="43490">
      <c r="L43490" s="13"/>
      <c r="M43490" s="14"/>
      <c r="N43490" s="14"/>
      <c r="O43490" s="14"/>
      <c r="P43490" s="13"/>
    </row>
    <row r="43491">
      <c r="L43491" s="13"/>
      <c r="M43491" s="14"/>
      <c r="N43491" s="14"/>
      <c r="O43491" s="14"/>
      <c r="P43491" s="13"/>
    </row>
    <row r="43492">
      <c r="L43492" s="13"/>
      <c r="M43492" s="14"/>
      <c r="N43492" s="14"/>
      <c r="O43492" s="14"/>
      <c r="P43492" s="13"/>
    </row>
    <row r="43493">
      <c r="L43493" s="13"/>
      <c r="M43493" s="14"/>
      <c r="N43493" s="14"/>
      <c r="O43493" s="14"/>
      <c r="P43493" s="13"/>
    </row>
    <row r="43494">
      <c r="L43494" s="13"/>
      <c r="M43494" s="14"/>
      <c r="N43494" s="14"/>
      <c r="O43494" s="14"/>
      <c r="P43494" s="13"/>
    </row>
    <row r="43495">
      <c r="L43495" s="13"/>
      <c r="M43495" s="14"/>
      <c r="N43495" s="14"/>
      <c r="O43495" s="14"/>
      <c r="P43495" s="13"/>
    </row>
    <row r="43496">
      <c r="L43496" s="13"/>
      <c r="M43496" s="14"/>
      <c r="N43496" s="14"/>
      <c r="O43496" s="14"/>
      <c r="P43496" s="13"/>
    </row>
    <row r="43497">
      <c r="L43497" s="13"/>
      <c r="M43497" s="14"/>
      <c r="N43497" s="14"/>
      <c r="O43497" s="14"/>
      <c r="P43497" s="13"/>
    </row>
    <row r="43498">
      <c r="L43498" s="13"/>
      <c r="M43498" s="14"/>
      <c r="N43498" s="14"/>
      <c r="O43498" s="14"/>
      <c r="P43498" s="13"/>
    </row>
    <row r="43499">
      <c r="L43499" s="13"/>
      <c r="M43499" s="14"/>
      <c r="N43499" s="14"/>
      <c r="O43499" s="14"/>
      <c r="P43499" s="13"/>
    </row>
    <row r="43500">
      <c r="L43500" s="13"/>
      <c r="M43500" s="14"/>
      <c r="N43500" s="14"/>
      <c r="O43500" s="14"/>
      <c r="P43500" s="13"/>
    </row>
    <row r="43501">
      <c r="L43501" s="13"/>
      <c r="M43501" s="14"/>
      <c r="N43501" s="14"/>
      <c r="O43501" s="14"/>
      <c r="P43501" s="13"/>
    </row>
    <row r="43502">
      <c r="L43502" s="13"/>
      <c r="M43502" s="14"/>
      <c r="N43502" s="14"/>
      <c r="O43502" s="14"/>
      <c r="P43502" s="13"/>
    </row>
    <row r="43503">
      <c r="L43503" s="13"/>
      <c r="M43503" s="14"/>
      <c r="N43503" s="14"/>
      <c r="O43503" s="14"/>
      <c r="P43503" s="13"/>
    </row>
    <row r="43504">
      <c r="L43504" s="13"/>
      <c r="M43504" s="14"/>
      <c r="N43504" s="14"/>
      <c r="O43504" s="14"/>
      <c r="P43504" s="13"/>
    </row>
    <row r="43505">
      <c r="L43505" s="13"/>
      <c r="M43505" s="14"/>
      <c r="N43505" s="14"/>
      <c r="O43505" s="14"/>
      <c r="P43505" s="13"/>
    </row>
    <row r="43506">
      <c r="L43506" s="13"/>
      <c r="M43506" s="14"/>
      <c r="N43506" s="14"/>
      <c r="O43506" s="14"/>
      <c r="P43506" s="13"/>
    </row>
    <row r="43507">
      <c r="L43507" s="13"/>
      <c r="M43507" s="14"/>
      <c r="N43507" s="14"/>
      <c r="O43507" s="14"/>
      <c r="P43507" s="13"/>
    </row>
    <row r="43508">
      <c r="L43508" s="13"/>
      <c r="M43508" s="14"/>
      <c r="N43508" s="14"/>
      <c r="O43508" s="14"/>
      <c r="P43508" s="13"/>
    </row>
    <row r="43509">
      <c r="L43509" s="13"/>
      <c r="M43509" s="14"/>
      <c r="N43509" s="14"/>
      <c r="O43509" s="14"/>
      <c r="P43509" s="13"/>
    </row>
    <row r="43510">
      <c r="L43510" s="13"/>
      <c r="M43510" s="14"/>
      <c r="N43510" s="14"/>
      <c r="O43510" s="14"/>
      <c r="P43510" s="13"/>
    </row>
    <row r="43511">
      <c r="L43511" s="13"/>
      <c r="M43511" s="14"/>
      <c r="N43511" s="14"/>
      <c r="O43511" s="14"/>
      <c r="P43511" s="13"/>
    </row>
    <row r="43512">
      <c r="L43512" s="13"/>
      <c r="M43512" s="14"/>
      <c r="N43512" s="14"/>
      <c r="O43512" s="14"/>
      <c r="P43512" s="13"/>
    </row>
    <row r="43513">
      <c r="L43513" s="13"/>
      <c r="M43513" s="14"/>
      <c r="N43513" s="14"/>
      <c r="O43513" s="14"/>
      <c r="P43513" s="13"/>
    </row>
    <row r="43514">
      <c r="L43514" s="13"/>
      <c r="M43514" s="14"/>
      <c r="N43514" s="14"/>
      <c r="O43514" s="14"/>
      <c r="P43514" s="13"/>
    </row>
    <row r="43515">
      <c r="L43515" s="13"/>
      <c r="M43515" s="14"/>
      <c r="N43515" s="14"/>
      <c r="O43515" s="14"/>
      <c r="P43515" s="13"/>
    </row>
    <row r="43516">
      <c r="L43516" s="13"/>
      <c r="M43516" s="14"/>
      <c r="N43516" s="14"/>
      <c r="O43516" s="14"/>
      <c r="P43516" s="13"/>
    </row>
    <row r="43517">
      <c r="L43517" s="13"/>
      <c r="M43517" s="14"/>
      <c r="N43517" s="14"/>
      <c r="O43517" s="14"/>
      <c r="P43517" s="13"/>
    </row>
    <row r="43518">
      <c r="L43518" s="13"/>
      <c r="M43518" s="14"/>
      <c r="N43518" s="14"/>
      <c r="O43518" s="14"/>
      <c r="P43518" s="13"/>
    </row>
    <row r="43519">
      <c r="L43519" s="13"/>
      <c r="M43519" s="14"/>
      <c r="N43519" s="14"/>
      <c r="O43519" s="14"/>
      <c r="P43519" s="13"/>
    </row>
    <row r="43520">
      <c r="L43520" s="13"/>
      <c r="M43520" s="14"/>
      <c r="N43520" s="14"/>
      <c r="O43520" s="14"/>
      <c r="P43520" s="13"/>
    </row>
    <row r="43521">
      <c r="L43521" s="13"/>
      <c r="M43521" s="14"/>
      <c r="N43521" s="14"/>
      <c r="O43521" s="14"/>
      <c r="P43521" s="13"/>
    </row>
    <row r="43522">
      <c r="L43522" s="13"/>
      <c r="M43522" s="14"/>
      <c r="N43522" s="14"/>
      <c r="O43522" s="14"/>
      <c r="P43522" s="13"/>
    </row>
    <row r="43523">
      <c r="L43523" s="13"/>
      <c r="M43523" s="14"/>
      <c r="N43523" s="14"/>
      <c r="O43523" s="14"/>
      <c r="P43523" s="13"/>
    </row>
    <row r="43524">
      <c r="L43524" s="13"/>
      <c r="M43524" s="14"/>
      <c r="N43524" s="14"/>
      <c r="O43524" s="14"/>
      <c r="P43524" s="13"/>
    </row>
    <row r="43525">
      <c r="L43525" s="13"/>
      <c r="M43525" s="14"/>
      <c r="N43525" s="14"/>
      <c r="O43525" s="14"/>
      <c r="P43525" s="13"/>
    </row>
    <row r="43526">
      <c r="L43526" s="13"/>
      <c r="M43526" s="14"/>
      <c r="N43526" s="14"/>
      <c r="O43526" s="14"/>
      <c r="P43526" s="13"/>
    </row>
    <row r="43527">
      <c r="L43527" s="13"/>
      <c r="M43527" s="14"/>
      <c r="N43527" s="14"/>
      <c r="O43527" s="14"/>
      <c r="P43527" s="13"/>
    </row>
    <row r="43528">
      <c r="L43528" s="13"/>
      <c r="M43528" s="14"/>
      <c r="N43528" s="14"/>
      <c r="O43528" s="14"/>
      <c r="P43528" s="13"/>
    </row>
    <row r="43529">
      <c r="L43529" s="13"/>
      <c r="M43529" s="14"/>
      <c r="N43529" s="14"/>
      <c r="O43529" s="14"/>
      <c r="P43529" s="13"/>
    </row>
    <row r="43530">
      <c r="L43530" s="13"/>
      <c r="M43530" s="14"/>
      <c r="N43530" s="14"/>
      <c r="O43530" s="14"/>
      <c r="P43530" s="13"/>
    </row>
    <row r="43531">
      <c r="L43531" s="13"/>
      <c r="M43531" s="14"/>
      <c r="N43531" s="14"/>
      <c r="O43531" s="14"/>
      <c r="P43531" s="13"/>
    </row>
    <row r="43532">
      <c r="L43532" s="13"/>
      <c r="M43532" s="14"/>
      <c r="N43532" s="14"/>
      <c r="O43532" s="14"/>
      <c r="P43532" s="13"/>
    </row>
    <row r="43533">
      <c r="L43533" s="13"/>
      <c r="M43533" s="14"/>
      <c r="N43533" s="14"/>
      <c r="O43533" s="14"/>
      <c r="P43533" s="13"/>
    </row>
    <row r="43534">
      <c r="L43534" s="13"/>
      <c r="M43534" s="14"/>
      <c r="N43534" s="14"/>
      <c r="O43534" s="14"/>
      <c r="P43534" s="13"/>
    </row>
    <row r="43535">
      <c r="L43535" s="13"/>
      <c r="M43535" s="14"/>
      <c r="N43535" s="14"/>
      <c r="O43535" s="14"/>
      <c r="P43535" s="13"/>
    </row>
    <row r="43536">
      <c r="L43536" s="13"/>
      <c r="M43536" s="14"/>
      <c r="N43536" s="14"/>
      <c r="O43536" s="14"/>
      <c r="P43536" s="13"/>
    </row>
    <row r="43537">
      <c r="L43537" s="13"/>
      <c r="M43537" s="14"/>
      <c r="N43537" s="14"/>
      <c r="O43537" s="14"/>
      <c r="P43537" s="13"/>
    </row>
    <row r="43538">
      <c r="L43538" s="13"/>
      <c r="M43538" s="14"/>
      <c r="N43538" s="14"/>
      <c r="O43538" s="14"/>
      <c r="P43538" s="13"/>
    </row>
    <row r="43539">
      <c r="L43539" s="13"/>
      <c r="M43539" s="14"/>
      <c r="N43539" s="14"/>
      <c r="O43539" s="14"/>
      <c r="P43539" s="13"/>
    </row>
    <row r="43540">
      <c r="L43540" s="13"/>
      <c r="M43540" s="14"/>
      <c r="N43540" s="14"/>
      <c r="O43540" s="14"/>
      <c r="P43540" s="13"/>
    </row>
    <row r="43541">
      <c r="L43541" s="13"/>
      <c r="M43541" s="14"/>
      <c r="N43541" s="14"/>
      <c r="O43541" s="14"/>
      <c r="P43541" s="13"/>
    </row>
    <row r="43542">
      <c r="L43542" s="13"/>
      <c r="M43542" s="14"/>
      <c r="N43542" s="14"/>
      <c r="O43542" s="14"/>
      <c r="P43542" s="13"/>
    </row>
    <row r="43543">
      <c r="L43543" s="13"/>
      <c r="M43543" s="14"/>
      <c r="N43543" s="14"/>
      <c r="O43543" s="14"/>
      <c r="P43543" s="13"/>
    </row>
    <row r="43544">
      <c r="L43544" s="13"/>
      <c r="M43544" s="14"/>
      <c r="N43544" s="14"/>
      <c r="O43544" s="14"/>
      <c r="P43544" s="13"/>
    </row>
    <row r="43545">
      <c r="L43545" s="13"/>
      <c r="M43545" s="14"/>
      <c r="N43545" s="14"/>
      <c r="O43545" s="14"/>
      <c r="P43545" s="13"/>
    </row>
    <row r="43546">
      <c r="L43546" s="13"/>
      <c r="M43546" s="14"/>
      <c r="N43546" s="14"/>
      <c r="O43546" s="14"/>
      <c r="P43546" s="13"/>
    </row>
    <row r="43547">
      <c r="L43547" s="13"/>
      <c r="M43547" s="14"/>
      <c r="N43547" s="14"/>
      <c r="O43547" s="14"/>
      <c r="P43547" s="13"/>
    </row>
    <row r="43548">
      <c r="L43548" s="13"/>
      <c r="M43548" s="14"/>
      <c r="N43548" s="14"/>
      <c r="O43548" s="14"/>
      <c r="P43548" s="13"/>
    </row>
    <row r="43549">
      <c r="L43549" s="13"/>
      <c r="M43549" s="14"/>
      <c r="N43549" s="14"/>
      <c r="O43549" s="14"/>
      <c r="P43549" s="13"/>
    </row>
    <row r="43550">
      <c r="L43550" s="13"/>
      <c r="M43550" s="14"/>
      <c r="N43550" s="14"/>
      <c r="O43550" s="14"/>
      <c r="P43550" s="13"/>
    </row>
    <row r="43551">
      <c r="L43551" s="13"/>
      <c r="M43551" s="14"/>
      <c r="N43551" s="14"/>
      <c r="O43551" s="14"/>
      <c r="P43551" s="13"/>
    </row>
    <row r="43552">
      <c r="L43552" s="13"/>
      <c r="M43552" s="14"/>
      <c r="N43552" s="14"/>
      <c r="O43552" s="14"/>
      <c r="P43552" s="13"/>
    </row>
    <row r="43553">
      <c r="L43553" s="13"/>
      <c r="M43553" s="14"/>
      <c r="N43553" s="14"/>
      <c r="O43553" s="14"/>
      <c r="P43553" s="13"/>
    </row>
    <row r="43554">
      <c r="L43554" s="13"/>
      <c r="M43554" s="14"/>
      <c r="N43554" s="14"/>
      <c r="O43554" s="14"/>
      <c r="P43554" s="13"/>
    </row>
    <row r="43555">
      <c r="L43555" s="13"/>
      <c r="M43555" s="14"/>
      <c r="N43555" s="14"/>
      <c r="O43555" s="14"/>
      <c r="P43555" s="13"/>
    </row>
    <row r="43556">
      <c r="L43556" s="13"/>
      <c r="M43556" s="14"/>
      <c r="N43556" s="14"/>
      <c r="O43556" s="14"/>
      <c r="P43556" s="13"/>
    </row>
    <row r="43557">
      <c r="L43557" s="13"/>
      <c r="M43557" s="14"/>
      <c r="N43557" s="14"/>
      <c r="O43557" s="14"/>
      <c r="P43557" s="13"/>
    </row>
    <row r="43558">
      <c r="L43558" s="13"/>
      <c r="M43558" s="14"/>
      <c r="N43558" s="14"/>
      <c r="O43558" s="14"/>
      <c r="P43558" s="13"/>
    </row>
    <row r="43559">
      <c r="L43559" s="13"/>
      <c r="M43559" s="14"/>
      <c r="N43559" s="14"/>
      <c r="O43559" s="14"/>
      <c r="P43559" s="13"/>
    </row>
    <row r="43560">
      <c r="L43560" s="13"/>
      <c r="M43560" s="14"/>
      <c r="N43560" s="14"/>
      <c r="O43560" s="14"/>
      <c r="P43560" s="13"/>
    </row>
    <row r="43561">
      <c r="L43561" s="13"/>
      <c r="M43561" s="14"/>
      <c r="N43561" s="14"/>
      <c r="O43561" s="14"/>
      <c r="P43561" s="13"/>
    </row>
    <row r="43562">
      <c r="L43562" s="13"/>
      <c r="M43562" s="14"/>
      <c r="N43562" s="14"/>
      <c r="O43562" s="14"/>
      <c r="P43562" s="13"/>
    </row>
    <row r="43563">
      <c r="L43563" s="13"/>
      <c r="M43563" s="14"/>
      <c r="N43563" s="14"/>
      <c r="O43563" s="14"/>
      <c r="P43563" s="13"/>
    </row>
    <row r="43564">
      <c r="L43564" s="13"/>
      <c r="M43564" s="14"/>
      <c r="N43564" s="14"/>
      <c r="O43564" s="14"/>
      <c r="P43564" s="13"/>
    </row>
    <row r="43565">
      <c r="L43565" s="13"/>
      <c r="M43565" s="14"/>
      <c r="N43565" s="14"/>
      <c r="O43565" s="14"/>
      <c r="P43565" s="13"/>
    </row>
    <row r="43566">
      <c r="L43566" s="13"/>
      <c r="M43566" s="14"/>
      <c r="N43566" s="14"/>
      <c r="O43566" s="14"/>
      <c r="P43566" s="13"/>
    </row>
    <row r="43567">
      <c r="L43567" s="13"/>
      <c r="M43567" s="14"/>
      <c r="N43567" s="14"/>
      <c r="O43567" s="14"/>
      <c r="P43567" s="13"/>
    </row>
    <row r="43568">
      <c r="L43568" s="13"/>
      <c r="M43568" s="14"/>
      <c r="N43568" s="14"/>
      <c r="O43568" s="14"/>
      <c r="P43568" s="13"/>
    </row>
    <row r="43569">
      <c r="L43569" s="13"/>
      <c r="M43569" s="14"/>
      <c r="N43569" s="14"/>
      <c r="O43569" s="14"/>
      <c r="P43569" s="13"/>
    </row>
    <row r="43570">
      <c r="L43570" s="13"/>
      <c r="M43570" s="14"/>
      <c r="N43570" s="14"/>
      <c r="O43570" s="14"/>
      <c r="P43570" s="13"/>
    </row>
    <row r="43571">
      <c r="L43571" s="13"/>
      <c r="M43571" s="14"/>
      <c r="N43571" s="14"/>
      <c r="O43571" s="14"/>
      <c r="P43571" s="13"/>
    </row>
    <row r="43572">
      <c r="L43572" s="13"/>
      <c r="M43572" s="14"/>
      <c r="N43572" s="14"/>
      <c r="O43572" s="14"/>
      <c r="P43572" s="13"/>
    </row>
    <row r="43573">
      <c r="L43573" s="13"/>
      <c r="M43573" s="14"/>
      <c r="N43573" s="14"/>
      <c r="O43573" s="14"/>
      <c r="P43573" s="13"/>
    </row>
    <row r="43574">
      <c r="L43574" s="13"/>
      <c r="M43574" s="14"/>
      <c r="N43574" s="14"/>
      <c r="O43574" s="14"/>
      <c r="P43574" s="13"/>
    </row>
    <row r="43575">
      <c r="L43575" s="13"/>
      <c r="M43575" s="14"/>
      <c r="N43575" s="14"/>
      <c r="O43575" s="14"/>
      <c r="P43575" s="13"/>
    </row>
    <row r="43576">
      <c r="L43576" s="13"/>
      <c r="M43576" s="14"/>
      <c r="N43576" s="14"/>
      <c r="O43576" s="14"/>
      <c r="P43576" s="13"/>
    </row>
    <row r="43577">
      <c r="L43577" s="13"/>
      <c r="M43577" s="14"/>
      <c r="N43577" s="14"/>
      <c r="O43577" s="14"/>
      <c r="P43577" s="13"/>
    </row>
    <row r="43578">
      <c r="L43578" s="13"/>
      <c r="M43578" s="14"/>
      <c r="N43578" s="14"/>
      <c r="O43578" s="14"/>
      <c r="P43578" s="13"/>
    </row>
    <row r="43579">
      <c r="L43579" s="13"/>
      <c r="M43579" s="14"/>
      <c r="N43579" s="14"/>
      <c r="O43579" s="14"/>
      <c r="P43579" s="13"/>
    </row>
    <row r="43580">
      <c r="L43580" s="13"/>
      <c r="M43580" s="14"/>
      <c r="N43580" s="14"/>
      <c r="O43580" s="14"/>
      <c r="P43580" s="13"/>
    </row>
    <row r="43581">
      <c r="L43581" s="13"/>
      <c r="M43581" s="14"/>
      <c r="N43581" s="14"/>
      <c r="O43581" s="14"/>
      <c r="P43581" s="13"/>
    </row>
    <row r="43582">
      <c r="L43582" s="13"/>
      <c r="M43582" s="14"/>
      <c r="N43582" s="14"/>
      <c r="O43582" s="14"/>
      <c r="P43582" s="13"/>
    </row>
    <row r="43583">
      <c r="L43583" s="13"/>
      <c r="M43583" s="14"/>
      <c r="N43583" s="14"/>
      <c r="O43583" s="14"/>
      <c r="P43583" s="13"/>
    </row>
    <row r="43584">
      <c r="L43584" s="13"/>
      <c r="M43584" s="14"/>
      <c r="N43584" s="14"/>
      <c r="O43584" s="14"/>
      <c r="P43584" s="13"/>
    </row>
    <row r="43585">
      <c r="L43585" s="13"/>
      <c r="M43585" s="14"/>
      <c r="N43585" s="14"/>
      <c r="O43585" s="14"/>
      <c r="P43585" s="13"/>
    </row>
    <row r="43586">
      <c r="L43586" s="13"/>
      <c r="M43586" s="14"/>
      <c r="N43586" s="14"/>
      <c r="O43586" s="14"/>
      <c r="P43586" s="13"/>
    </row>
    <row r="43587">
      <c r="L43587" s="13"/>
      <c r="M43587" s="14"/>
      <c r="N43587" s="14"/>
      <c r="O43587" s="14"/>
      <c r="P43587" s="13"/>
    </row>
    <row r="43588">
      <c r="L43588" s="13"/>
      <c r="M43588" s="14"/>
      <c r="N43588" s="14"/>
      <c r="O43588" s="14"/>
      <c r="P43588" s="13"/>
    </row>
    <row r="43589">
      <c r="L43589" s="13"/>
      <c r="M43589" s="14"/>
      <c r="N43589" s="14"/>
      <c r="O43589" s="14"/>
      <c r="P43589" s="13"/>
    </row>
    <row r="43590">
      <c r="L43590" s="13"/>
      <c r="M43590" s="14"/>
      <c r="N43590" s="14"/>
      <c r="O43590" s="14"/>
      <c r="P43590" s="13"/>
    </row>
    <row r="43591">
      <c r="L43591" s="13"/>
      <c r="M43591" s="14"/>
      <c r="N43591" s="14"/>
      <c r="O43591" s="14"/>
      <c r="P43591" s="13"/>
    </row>
    <row r="43592">
      <c r="L43592" s="13"/>
      <c r="M43592" s="14"/>
      <c r="N43592" s="14"/>
      <c r="O43592" s="14"/>
      <c r="P43592" s="13"/>
    </row>
    <row r="43593">
      <c r="L43593" s="13"/>
      <c r="M43593" s="14"/>
      <c r="N43593" s="14"/>
      <c r="O43593" s="14"/>
      <c r="P43593" s="13"/>
    </row>
    <row r="43594">
      <c r="L43594" s="13"/>
      <c r="M43594" s="14"/>
      <c r="N43594" s="14"/>
      <c r="O43594" s="14"/>
      <c r="P43594" s="13"/>
    </row>
    <row r="43595">
      <c r="L43595" s="13"/>
      <c r="M43595" s="14"/>
      <c r="N43595" s="14"/>
      <c r="O43595" s="14"/>
      <c r="P43595" s="13"/>
    </row>
    <row r="43596">
      <c r="L43596" s="13"/>
      <c r="M43596" s="14"/>
      <c r="N43596" s="14"/>
      <c r="O43596" s="14"/>
      <c r="P43596" s="13"/>
    </row>
    <row r="43597">
      <c r="L43597" s="13"/>
      <c r="M43597" s="14"/>
      <c r="N43597" s="14"/>
      <c r="O43597" s="14"/>
      <c r="P43597" s="13"/>
    </row>
    <row r="43598">
      <c r="L43598" s="13"/>
      <c r="M43598" s="14"/>
      <c r="N43598" s="14"/>
      <c r="O43598" s="14"/>
      <c r="P43598" s="13"/>
    </row>
    <row r="43599">
      <c r="L43599" s="13"/>
      <c r="M43599" s="14"/>
      <c r="N43599" s="14"/>
      <c r="O43599" s="14"/>
      <c r="P43599" s="13"/>
    </row>
    <row r="43600">
      <c r="L43600" s="13"/>
      <c r="M43600" s="14"/>
      <c r="N43600" s="14"/>
      <c r="O43600" s="14"/>
      <c r="P43600" s="13"/>
    </row>
    <row r="43601">
      <c r="L43601" s="13"/>
      <c r="M43601" s="14"/>
      <c r="N43601" s="14"/>
      <c r="O43601" s="14"/>
      <c r="P43601" s="13"/>
    </row>
    <row r="43602">
      <c r="L43602" s="13"/>
      <c r="M43602" s="14"/>
      <c r="N43602" s="14"/>
      <c r="O43602" s="14"/>
      <c r="P43602" s="13"/>
    </row>
    <row r="43603">
      <c r="L43603" s="13"/>
      <c r="M43603" s="14"/>
      <c r="N43603" s="14"/>
      <c r="O43603" s="14"/>
      <c r="P43603" s="13"/>
    </row>
    <row r="43604">
      <c r="L43604" s="13"/>
      <c r="M43604" s="14"/>
      <c r="N43604" s="14"/>
      <c r="O43604" s="14"/>
      <c r="P43604" s="13"/>
    </row>
    <row r="43605">
      <c r="L43605" s="13"/>
      <c r="M43605" s="14"/>
      <c r="N43605" s="14"/>
      <c r="O43605" s="14"/>
      <c r="P43605" s="13"/>
    </row>
    <row r="43606">
      <c r="L43606" s="13"/>
      <c r="M43606" s="14"/>
      <c r="N43606" s="14"/>
      <c r="O43606" s="14"/>
      <c r="P43606" s="13"/>
    </row>
    <row r="43607">
      <c r="L43607" s="13"/>
      <c r="M43607" s="14"/>
      <c r="N43607" s="14"/>
      <c r="O43607" s="14"/>
      <c r="P43607" s="13"/>
    </row>
    <row r="43608">
      <c r="L43608" s="13"/>
      <c r="M43608" s="14"/>
      <c r="N43608" s="14"/>
      <c r="O43608" s="14"/>
      <c r="P43608" s="13"/>
    </row>
    <row r="43609">
      <c r="L43609" s="13"/>
      <c r="M43609" s="14"/>
      <c r="N43609" s="14"/>
      <c r="O43609" s="14"/>
      <c r="P43609" s="13"/>
    </row>
    <row r="43610">
      <c r="L43610" s="13"/>
      <c r="M43610" s="14"/>
      <c r="N43610" s="14"/>
      <c r="O43610" s="14"/>
      <c r="P43610" s="13"/>
    </row>
    <row r="43611">
      <c r="L43611" s="13"/>
      <c r="M43611" s="14"/>
      <c r="N43611" s="14"/>
      <c r="O43611" s="14"/>
      <c r="P43611" s="13"/>
    </row>
    <row r="43612">
      <c r="L43612" s="13"/>
      <c r="M43612" s="14"/>
      <c r="N43612" s="14"/>
      <c r="O43612" s="14"/>
      <c r="P43612" s="13"/>
    </row>
    <row r="43613">
      <c r="L43613" s="13"/>
      <c r="M43613" s="14"/>
      <c r="N43613" s="14"/>
      <c r="O43613" s="14"/>
      <c r="P43613" s="13"/>
    </row>
    <row r="43614">
      <c r="L43614" s="13"/>
      <c r="M43614" s="14"/>
      <c r="N43614" s="14"/>
      <c r="O43614" s="14"/>
      <c r="P43614" s="13"/>
    </row>
    <row r="43615">
      <c r="L43615" s="13"/>
      <c r="M43615" s="14"/>
      <c r="N43615" s="14"/>
      <c r="O43615" s="14"/>
      <c r="P43615" s="13"/>
    </row>
    <row r="43616">
      <c r="L43616" s="13"/>
      <c r="M43616" s="14"/>
      <c r="N43616" s="14"/>
      <c r="O43616" s="14"/>
      <c r="P43616" s="13"/>
    </row>
    <row r="43617">
      <c r="L43617" s="13"/>
      <c r="M43617" s="14"/>
      <c r="N43617" s="14"/>
      <c r="O43617" s="14"/>
      <c r="P43617" s="13"/>
    </row>
    <row r="43618">
      <c r="L43618" s="13"/>
      <c r="M43618" s="14"/>
      <c r="N43618" s="14"/>
      <c r="O43618" s="14"/>
      <c r="P43618" s="13"/>
    </row>
    <row r="43619">
      <c r="L43619" s="13"/>
      <c r="M43619" s="14"/>
      <c r="N43619" s="14"/>
      <c r="O43619" s="14"/>
      <c r="P43619" s="13"/>
    </row>
    <row r="43620">
      <c r="L43620" s="13"/>
      <c r="M43620" s="14"/>
      <c r="N43620" s="14"/>
      <c r="O43620" s="14"/>
      <c r="P43620" s="13"/>
    </row>
    <row r="43621">
      <c r="L43621" s="13"/>
      <c r="M43621" s="14"/>
      <c r="N43621" s="14"/>
      <c r="O43621" s="14"/>
      <c r="P43621" s="13"/>
    </row>
    <row r="43622">
      <c r="L43622" s="13"/>
      <c r="M43622" s="14"/>
      <c r="N43622" s="14"/>
      <c r="O43622" s="14"/>
      <c r="P43622" s="13"/>
    </row>
    <row r="43623">
      <c r="L43623" s="13"/>
      <c r="M43623" s="14"/>
      <c r="N43623" s="14"/>
      <c r="O43623" s="14"/>
      <c r="P43623" s="13"/>
    </row>
    <row r="43624">
      <c r="L43624" s="13"/>
      <c r="M43624" s="14"/>
      <c r="N43624" s="14"/>
      <c r="O43624" s="14"/>
      <c r="P43624" s="13"/>
    </row>
    <row r="43625">
      <c r="L43625" s="13"/>
      <c r="M43625" s="14"/>
      <c r="N43625" s="14"/>
      <c r="O43625" s="14"/>
      <c r="P43625" s="13"/>
    </row>
    <row r="43626">
      <c r="L43626" s="13"/>
      <c r="M43626" s="14"/>
      <c r="N43626" s="14"/>
      <c r="O43626" s="14"/>
      <c r="P43626" s="13"/>
    </row>
    <row r="43627">
      <c r="L43627" s="13"/>
      <c r="M43627" s="14"/>
      <c r="N43627" s="14"/>
      <c r="O43627" s="14"/>
      <c r="P43627" s="13"/>
    </row>
    <row r="43628">
      <c r="L43628" s="13"/>
      <c r="M43628" s="14"/>
      <c r="N43628" s="14"/>
      <c r="O43628" s="14"/>
      <c r="P43628" s="13"/>
    </row>
    <row r="43629">
      <c r="L43629" s="13"/>
      <c r="M43629" s="14"/>
      <c r="N43629" s="14"/>
      <c r="O43629" s="14"/>
      <c r="P43629" s="13"/>
    </row>
    <row r="43630">
      <c r="L43630" s="13"/>
      <c r="M43630" s="14"/>
      <c r="N43630" s="14"/>
      <c r="O43630" s="14"/>
      <c r="P43630" s="13"/>
    </row>
    <row r="43631">
      <c r="L43631" s="13"/>
      <c r="M43631" s="14"/>
      <c r="N43631" s="14"/>
      <c r="O43631" s="14"/>
      <c r="P43631" s="13"/>
    </row>
    <row r="43632">
      <c r="L43632" s="13"/>
      <c r="M43632" s="14"/>
      <c r="N43632" s="14"/>
      <c r="O43632" s="14"/>
      <c r="P43632" s="13"/>
    </row>
    <row r="43633">
      <c r="L43633" s="13"/>
      <c r="M43633" s="14"/>
      <c r="N43633" s="14"/>
      <c r="O43633" s="14"/>
      <c r="P43633" s="13"/>
    </row>
    <row r="43634">
      <c r="L43634" s="13"/>
      <c r="M43634" s="14"/>
      <c r="N43634" s="14"/>
      <c r="O43634" s="14"/>
      <c r="P43634" s="13"/>
    </row>
    <row r="43635">
      <c r="L43635" s="13"/>
      <c r="M43635" s="14"/>
      <c r="N43635" s="14"/>
      <c r="O43635" s="14"/>
      <c r="P43635" s="13"/>
    </row>
    <row r="43636">
      <c r="L43636" s="13"/>
      <c r="M43636" s="14"/>
      <c r="N43636" s="14"/>
      <c r="O43636" s="14"/>
      <c r="P43636" s="13"/>
    </row>
    <row r="43637">
      <c r="L43637" s="13"/>
      <c r="M43637" s="14"/>
      <c r="N43637" s="14"/>
      <c r="O43637" s="14"/>
      <c r="P43637" s="13"/>
    </row>
    <row r="43638">
      <c r="L43638" s="13"/>
      <c r="M43638" s="14"/>
      <c r="N43638" s="14"/>
      <c r="O43638" s="14"/>
      <c r="P43638" s="13"/>
    </row>
    <row r="43639">
      <c r="L43639" s="13"/>
      <c r="M43639" s="14"/>
      <c r="N43639" s="14"/>
      <c r="O43639" s="14"/>
      <c r="P43639" s="13"/>
    </row>
    <row r="43640">
      <c r="L43640" s="13"/>
      <c r="M43640" s="14"/>
      <c r="N43640" s="14"/>
      <c r="O43640" s="14"/>
      <c r="P43640" s="13"/>
    </row>
    <row r="43641">
      <c r="L43641" s="13"/>
      <c r="M43641" s="14"/>
      <c r="N43641" s="14"/>
      <c r="O43641" s="14"/>
      <c r="P43641" s="13"/>
    </row>
    <row r="43642">
      <c r="L43642" s="13"/>
      <c r="M43642" s="14"/>
      <c r="N43642" s="14"/>
      <c r="O43642" s="14"/>
      <c r="P43642" s="13"/>
    </row>
    <row r="43643">
      <c r="L43643" s="13"/>
      <c r="M43643" s="14"/>
      <c r="N43643" s="14"/>
      <c r="O43643" s="14"/>
      <c r="P43643" s="13"/>
    </row>
    <row r="43644">
      <c r="L43644" s="13"/>
      <c r="M43644" s="14"/>
      <c r="N43644" s="14"/>
      <c r="O43644" s="14"/>
      <c r="P43644" s="13"/>
    </row>
    <row r="43645">
      <c r="L43645" s="13"/>
      <c r="M43645" s="14"/>
      <c r="N43645" s="14"/>
      <c r="O43645" s="14"/>
      <c r="P43645" s="13"/>
    </row>
    <row r="43646">
      <c r="L43646" s="13"/>
      <c r="M43646" s="14"/>
      <c r="N43646" s="14"/>
      <c r="O43646" s="14"/>
      <c r="P43646" s="13"/>
    </row>
    <row r="43647">
      <c r="L43647" s="13"/>
      <c r="M43647" s="14"/>
      <c r="N43647" s="14"/>
      <c r="O43647" s="14"/>
      <c r="P43647" s="13"/>
    </row>
    <row r="43648">
      <c r="L43648" s="13"/>
      <c r="M43648" s="14"/>
      <c r="N43648" s="14"/>
      <c r="O43648" s="14"/>
      <c r="P43648" s="13"/>
    </row>
    <row r="43649">
      <c r="L43649" s="13"/>
      <c r="M43649" s="14"/>
      <c r="N43649" s="14"/>
      <c r="O43649" s="14"/>
      <c r="P43649" s="13"/>
    </row>
    <row r="43650">
      <c r="L43650" s="13"/>
      <c r="M43650" s="14"/>
      <c r="N43650" s="14"/>
      <c r="O43650" s="14"/>
      <c r="P43650" s="13"/>
    </row>
    <row r="43651">
      <c r="L43651" s="13"/>
      <c r="M43651" s="14"/>
      <c r="N43651" s="14"/>
      <c r="O43651" s="14"/>
      <c r="P43651" s="13"/>
    </row>
    <row r="43652">
      <c r="L43652" s="13"/>
      <c r="M43652" s="14"/>
      <c r="N43652" s="14"/>
      <c r="O43652" s="14"/>
      <c r="P43652" s="13"/>
    </row>
    <row r="43653">
      <c r="L43653" s="13"/>
      <c r="M43653" s="14"/>
      <c r="N43653" s="14"/>
      <c r="O43653" s="14"/>
      <c r="P43653" s="13"/>
    </row>
    <row r="43654">
      <c r="L43654" s="13"/>
      <c r="M43654" s="14"/>
      <c r="N43654" s="14"/>
      <c r="O43654" s="14"/>
      <c r="P43654" s="13"/>
    </row>
    <row r="43655">
      <c r="L43655" s="13"/>
      <c r="M43655" s="14"/>
      <c r="N43655" s="14"/>
      <c r="O43655" s="14"/>
      <c r="P43655" s="13"/>
    </row>
    <row r="43656">
      <c r="L43656" s="13"/>
      <c r="M43656" s="14"/>
      <c r="N43656" s="14"/>
      <c r="O43656" s="14"/>
      <c r="P43656" s="13"/>
    </row>
    <row r="43657">
      <c r="L43657" s="13"/>
      <c r="M43657" s="14"/>
      <c r="N43657" s="14"/>
      <c r="O43657" s="14"/>
      <c r="P43657" s="13"/>
    </row>
    <row r="43658">
      <c r="L43658" s="13"/>
      <c r="M43658" s="14"/>
      <c r="N43658" s="14"/>
      <c r="O43658" s="14"/>
      <c r="P43658" s="13"/>
    </row>
    <row r="43659">
      <c r="L43659" s="13"/>
      <c r="M43659" s="14"/>
      <c r="N43659" s="14"/>
      <c r="O43659" s="14"/>
      <c r="P43659" s="13"/>
    </row>
    <row r="43660">
      <c r="L43660" s="13"/>
      <c r="M43660" s="14"/>
      <c r="N43660" s="14"/>
      <c r="O43660" s="14"/>
      <c r="P43660" s="13"/>
    </row>
    <row r="43661">
      <c r="L43661" s="13"/>
      <c r="M43661" s="14"/>
      <c r="N43661" s="14"/>
      <c r="O43661" s="14"/>
      <c r="P43661" s="13"/>
    </row>
    <row r="43662">
      <c r="L43662" s="13"/>
      <c r="M43662" s="14"/>
      <c r="N43662" s="14"/>
      <c r="O43662" s="14"/>
      <c r="P43662" s="13"/>
    </row>
    <row r="43663">
      <c r="L43663" s="13"/>
      <c r="M43663" s="14"/>
      <c r="N43663" s="14"/>
      <c r="O43663" s="14"/>
      <c r="P43663" s="13"/>
    </row>
    <row r="43664">
      <c r="L43664" s="13"/>
      <c r="M43664" s="14"/>
      <c r="N43664" s="14"/>
      <c r="O43664" s="14"/>
      <c r="P43664" s="13"/>
    </row>
    <row r="43665">
      <c r="L43665" s="13"/>
      <c r="M43665" s="14"/>
      <c r="N43665" s="14"/>
      <c r="O43665" s="14"/>
      <c r="P43665" s="13"/>
    </row>
    <row r="43666">
      <c r="L43666" s="13"/>
      <c r="M43666" s="14"/>
      <c r="N43666" s="14"/>
      <c r="O43666" s="14"/>
      <c r="P43666" s="13"/>
    </row>
    <row r="43667">
      <c r="L43667" s="13"/>
      <c r="M43667" s="14"/>
      <c r="N43667" s="14"/>
      <c r="O43667" s="14"/>
      <c r="P43667" s="13"/>
    </row>
    <row r="43668">
      <c r="L43668" s="13"/>
      <c r="M43668" s="14"/>
      <c r="N43668" s="14"/>
      <c r="O43668" s="14"/>
      <c r="P43668" s="13"/>
    </row>
    <row r="43669">
      <c r="L43669" s="13"/>
      <c r="M43669" s="14"/>
      <c r="N43669" s="14"/>
      <c r="O43669" s="14"/>
      <c r="P43669" s="13"/>
    </row>
    <row r="43670">
      <c r="L43670" s="13"/>
      <c r="M43670" s="14"/>
      <c r="N43670" s="14"/>
      <c r="O43670" s="14"/>
      <c r="P43670" s="13"/>
    </row>
    <row r="43671">
      <c r="L43671" s="13"/>
      <c r="M43671" s="14"/>
      <c r="N43671" s="14"/>
      <c r="O43671" s="14"/>
      <c r="P43671" s="13"/>
    </row>
    <row r="43672">
      <c r="L43672" s="13"/>
      <c r="M43672" s="14"/>
      <c r="N43672" s="14"/>
      <c r="O43672" s="14"/>
      <c r="P43672" s="13"/>
    </row>
    <row r="43673">
      <c r="L43673" s="13"/>
      <c r="M43673" s="14"/>
      <c r="N43673" s="14"/>
      <c r="O43673" s="14"/>
      <c r="P43673" s="13"/>
    </row>
    <row r="43674">
      <c r="L43674" s="13"/>
      <c r="M43674" s="14"/>
      <c r="N43674" s="14"/>
      <c r="O43674" s="14"/>
      <c r="P43674" s="13"/>
    </row>
    <row r="43675">
      <c r="L43675" s="13"/>
      <c r="M43675" s="14"/>
      <c r="N43675" s="14"/>
      <c r="O43675" s="14"/>
      <c r="P43675" s="13"/>
    </row>
    <row r="43676">
      <c r="L43676" s="13"/>
      <c r="M43676" s="14"/>
      <c r="N43676" s="14"/>
      <c r="O43676" s="14"/>
      <c r="P43676" s="13"/>
    </row>
    <row r="43677">
      <c r="L43677" s="13"/>
      <c r="M43677" s="14"/>
      <c r="N43677" s="14"/>
      <c r="O43677" s="14"/>
      <c r="P43677" s="13"/>
    </row>
    <row r="43678">
      <c r="L43678" s="13"/>
      <c r="M43678" s="14"/>
      <c r="N43678" s="14"/>
      <c r="O43678" s="14"/>
      <c r="P43678" s="13"/>
    </row>
    <row r="43679">
      <c r="L43679" s="13"/>
      <c r="M43679" s="14"/>
      <c r="N43679" s="14"/>
      <c r="O43679" s="14"/>
      <c r="P43679" s="13"/>
    </row>
    <row r="43680">
      <c r="L43680" s="13"/>
      <c r="M43680" s="14"/>
      <c r="N43680" s="14"/>
      <c r="O43680" s="14"/>
      <c r="P43680" s="13"/>
    </row>
    <row r="43681">
      <c r="L43681" s="13"/>
      <c r="M43681" s="14"/>
      <c r="N43681" s="14"/>
      <c r="O43681" s="14"/>
      <c r="P43681" s="13"/>
    </row>
    <row r="43682">
      <c r="L43682" s="13"/>
      <c r="M43682" s="14"/>
      <c r="N43682" s="14"/>
      <c r="O43682" s="14"/>
      <c r="P43682" s="13"/>
    </row>
    <row r="43683">
      <c r="L43683" s="13"/>
      <c r="M43683" s="14"/>
      <c r="N43683" s="14"/>
      <c r="O43683" s="14"/>
      <c r="P43683" s="13"/>
    </row>
    <row r="43684">
      <c r="L43684" s="13"/>
      <c r="M43684" s="14"/>
      <c r="N43684" s="14"/>
      <c r="O43684" s="14"/>
      <c r="P43684" s="13"/>
    </row>
    <row r="43685">
      <c r="L43685" s="13"/>
      <c r="M43685" s="14"/>
      <c r="N43685" s="14"/>
      <c r="O43685" s="14"/>
      <c r="P43685" s="13"/>
    </row>
    <row r="43686">
      <c r="L43686" s="13"/>
      <c r="M43686" s="14"/>
      <c r="N43686" s="14"/>
      <c r="O43686" s="14"/>
      <c r="P43686" s="13"/>
    </row>
    <row r="43687">
      <c r="L43687" s="13"/>
      <c r="M43687" s="14"/>
      <c r="N43687" s="14"/>
      <c r="O43687" s="14"/>
      <c r="P43687" s="13"/>
    </row>
    <row r="43688">
      <c r="L43688" s="13"/>
      <c r="M43688" s="14"/>
      <c r="N43688" s="14"/>
      <c r="O43688" s="14"/>
      <c r="P43688" s="13"/>
    </row>
    <row r="43689">
      <c r="L43689" s="13"/>
      <c r="M43689" s="14"/>
      <c r="N43689" s="14"/>
      <c r="O43689" s="14"/>
      <c r="P43689" s="13"/>
    </row>
    <row r="43690">
      <c r="L43690" s="13"/>
      <c r="M43690" s="14"/>
      <c r="N43690" s="14"/>
      <c r="O43690" s="14"/>
      <c r="P43690" s="13"/>
    </row>
    <row r="43691">
      <c r="L43691" s="13"/>
      <c r="M43691" s="14"/>
      <c r="N43691" s="14"/>
      <c r="O43691" s="14"/>
      <c r="P43691" s="13"/>
    </row>
    <row r="43692">
      <c r="L43692" s="13"/>
      <c r="M43692" s="14"/>
      <c r="N43692" s="14"/>
      <c r="O43692" s="14"/>
      <c r="P43692" s="13"/>
    </row>
    <row r="43693">
      <c r="L43693" s="13"/>
      <c r="M43693" s="14"/>
      <c r="N43693" s="14"/>
      <c r="O43693" s="14"/>
      <c r="P43693" s="13"/>
    </row>
    <row r="43694">
      <c r="L43694" s="13"/>
      <c r="M43694" s="14"/>
      <c r="N43694" s="14"/>
      <c r="O43694" s="14"/>
      <c r="P43694" s="13"/>
    </row>
    <row r="43695">
      <c r="L43695" s="13"/>
      <c r="M43695" s="14"/>
      <c r="N43695" s="14"/>
      <c r="O43695" s="14"/>
      <c r="P43695" s="13"/>
    </row>
    <row r="43696">
      <c r="L43696" s="13"/>
      <c r="M43696" s="14"/>
      <c r="N43696" s="14"/>
      <c r="O43696" s="14"/>
      <c r="P43696" s="13"/>
    </row>
    <row r="43697">
      <c r="L43697" s="13"/>
      <c r="M43697" s="14"/>
      <c r="N43697" s="14"/>
      <c r="O43697" s="14"/>
      <c r="P43697" s="13"/>
    </row>
    <row r="43698">
      <c r="L43698" s="13"/>
      <c r="M43698" s="14"/>
      <c r="N43698" s="14"/>
      <c r="O43698" s="14"/>
      <c r="P43698" s="13"/>
    </row>
    <row r="43699">
      <c r="L43699" s="13"/>
      <c r="M43699" s="14"/>
      <c r="N43699" s="14"/>
      <c r="O43699" s="14"/>
      <c r="P43699" s="13"/>
    </row>
    <row r="43700">
      <c r="L43700" s="13"/>
      <c r="M43700" s="14"/>
      <c r="N43700" s="14"/>
      <c r="O43700" s="14"/>
      <c r="P43700" s="13"/>
    </row>
    <row r="43701">
      <c r="L43701" s="13"/>
      <c r="M43701" s="14"/>
      <c r="N43701" s="14"/>
      <c r="O43701" s="14"/>
      <c r="P43701" s="13"/>
    </row>
    <row r="43702">
      <c r="L43702" s="13"/>
      <c r="M43702" s="14"/>
      <c r="N43702" s="14"/>
      <c r="O43702" s="14"/>
      <c r="P43702" s="13"/>
    </row>
    <row r="43703">
      <c r="L43703" s="13"/>
      <c r="M43703" s="14"/>
      <c r="N43703" s="14"/>
      <c r="O43703" s="14"/>
      <c r="P43703" s="13"/>
    </row>
    <row r="43704">
      <c r="L43704" s="13"/>
      <c r="M43704" s="14"/>
      <c r="N43704" s="14"/>
      <c r="O43704" s="14"/>
      <c r="P43704" s="13"/>
    </row>
    <row r="43705">
      <c r="L43705" s="13"/>
      <c r="M43705" s="14"/>
      <c r="N43705" s="14"/>
      <c r="O43705" s="14"/>
      <c r="P43705" s="13"/>
    </row>
    <row r="43706">
      <c r="L43706" s="13"/>
      <c r="M43706" s="14"/>
      <c r="N43706" s="14"/>
      <c r="O43706" s="14"/>
      <c r="P43706" s="13"/>
    </row>
    <row r="43707">
      <c r="L43707" s="13"/>
      <c r="M43707" s="14"/>
      <c r="N43707" s="14"/>
      <c r="O43707" s="14"/>
      <c r="P43707" s="13"/>
    </row>
    <row r="43708">
      <c r="L43708" s="13"/>
      <c r="M43708" s="14"/>
      <c r="N43708" s="14"/>
      <c r="O43708" s="14"/>
      <c r="P43708" s="13"/>
    </row>
    <row r="43709">
      <c r="L43709" s="13"/>
      <c r="M43709" s="14"/>
      <c r="N43709" s="14"/>
      <c r="O43709" s="14"/>
      <c r="P43709" s="13"/>
    </row>
    <row r="43710">
      <c r="L43710" s="13"/>
      <c r="M43710" s="14"/>
      <c r="N43710" s="14"/>
      <c r="O43710" s="14"/>
      <c r="P43710" s="13"/>
    </row>
    <row r="43711">
      <c r="L43711" s="13"/>
      <c r="M43711" s="14"/>
      <c r="N43711" s="14"/>
      <c r="O43711" s="14"/>
      <c r="P43711" s="13"/>
    </row>
    <row r="43712">
      <c r="L43712" s="13"/>
      <c r="M43712" s="14"/>
      <c r="N43712" s="14"/>
      <c r="O43712" s="14"/>
      <c r="P43712" s="13"/>
    </row>
    <row r="43713">
      <c r="L43713" s="13"/>
      <c r="M43713" s="14"/>
      <c r="N43713" s="14"/>
      <c r="O43713" s="14"/>
      <c r="P43713" s="13"/>
    </row>
    <row r="43714">
      <c r="L43714" s="13"/>
      <c r="M43714" s="14"/>
      <c r="N43714" s="14"/>
      <c r="O43714" s="14"/>
      <c r="P43714" s="13"/>
    </row>
    <row r="43715">
      <c r="L43715" s="13"/>
      <c r="M43715" s="14"/>
      <c r="N43715" s="14"/>
      <c r="O43715" s="14"/>
      <c r="P43715" s="13"/>
    </row>
    <row r="43716">
      <c r="L43716" s="13"/>
      <c r="M43716" s="14"/>
      <c r="N43716" s="14"/>
      <c r="O43716" s="14"/>
      <c r="P43716" s="13"/>
    </row>
    <row r="43717">
      <c r="L43717" s="13"/>
      <c r="M43717" s="14"/>
      <c r="N43717" s="14"/>
      <c r="O43717" s="14"/>
      <c r="P43717" s="13"/>
    </row>
    <row r="43718">
      <c r="L43718" s="13"/>
      <c r="M43718" s="14"/>
      <c r="N43718" s="14"/>
      <c r="O43718" s="14"/>
      <c r="P43718" s="13"/>
    </row>
    <row r="43719">
      <c r="L43719" s="13"/>
      <c r="M43719" s="14"/>
      <c r="N43719" s="14"/>
      <c r="O43719" s="14"/>
      <c r="P43719" s="13"/>
    </row>
    <row r="43720">
      <c r="L43720" s="13"/>
      <c r="M43720" s="14"/>
      <c r="N43720" s="14"/>
      <c r="O43720" s="14"/>
      <c r="P43720" s="13"/>
    </row>
    <row r="43721">
      <c r="L43721" s="13"/>
      <c r="M43721" s="14"/>
      <c r="N43721" s="14"/>
      <c r="O43721" s="14"/>
      <c r="P43721" s="13"/>
    </row>
    <row r="43722">
      <c r="L43722" s="13"/>
      <c r="M43722" s="14"/>
      <c r="N43722" s="14"/>
      <c r="O43722" s="14"/>
      <c r="P43722" s="13"/>
    </row>
    <row r="43723">
      <c r="L43723" s="13"/>
      <c r="M43723" s="14"/>
      <c r="N43723" s="14"/>
      <c r="O43723" s="14"/>
      <c r="P43723" s="13"/>
    </row>
    <row r="43724">
      <c r="L43724" s="13"/>
      <c r="M43724" s="14"/>
      <c r="N43724" s="14"/>
      <c r="O43724" s="14"/>
      <c r="P43724" s="13"/>
    </row>
    <row r="43725">
      <c r="L43725" s="13"/>
      <c r="M43725" s="14"/>
      <c r="N43725" s="14"/>
      <c r="O43725" s="14"/>
      <c r="P43725" s="13"/>
    </row>
    <row r="43726">
      <c r="L43726" s="13"/>
      <c r="M43726" s="14"/>
      <c r="N43726" s="14"/>
      <c r="O43726" s="14"/>
      <c r="P43726" s="13"/>
    </row>
    <row r="43727">
      <c r="L43727" s="13"/>
      <c r="M43727" s="14"/>
      <c r="N43727" s="14"/>
      <c r="O43727" s="14"/>
      <c r="P43727" s="13"/>
    </row>
    <row r="43728">
      <c r="L43728" s="13"/>
      <c r="M43728" s="14"/>
      <c r="N43728" s="14"/>
      <c r="O43728" s="14"/>
      <c r="P43728" s="13"/>
    </row>
    <row r="43729">
      <c r="L43729" s="13"/>
      <c r="M43729" s="14"/>
      <c r="N43729" s="14"/>
      <c r="O43729" s="14"/>
      <c r="P43729" s="13"/>
    </row>
    <row r="43730">
      <c r="L43730" s="13"/>
      <c r="M43730" s="14"/>
      <c r="N43730" s="14"/>
      <c r="O43730" s="14"/>
      <c r="P43730" s="13"/>
    </row>
    <row r="43731">
      <c r="L43731" s="13"/>
      <c r="M43731" s="14"/>
      <c r="N43731" s="14"/>
      <c r="O43731" s="14"/>
      <c r="P43731" s="13"/>
    </row>
    <row r="43732">
      <c r="L43732" s="13"/>
      <c r="M43732" s="14"/>
      <c r="N43732" s="14"/>
      <c r="O43732" s="14"/>
      <c r="P43732" s="13"/>
    </row>
    <row r="43733">
      <c r="L43733" s="13"/>
      <c r="M43733" s="14"/>
      <c r="N43733" s="14"/>
      <c r="O43733" s="14"/>
      <c r="P43733" s="13"/>
    </row>
    <row r="43734">
      <c r="L43734" s="13"/>
      <c r="M43734" s="14"/>
      <c r="N43734" s="14"/>
      <c r="O43734" s="14"/>
      <c r="P43734" s="13"/>
    </row>
    <row r="43735">
      <c r="L43735" s="13"/>
      <c r="M43735" s="14"/>
      <c r="N43735" s="14"/>
      <c r="O43735" s="14"/>
      <c r="P43735" s="13"/>
    </row>
    <row r="43736">
      <c r="L43736" s="13"/>
      <c r="M43736" s="14"/>
      <c r="N43736" s="14"/>
      <c r="O43736" s="14"/>
      <c r="P43736" s="13"/>
    </row>
    <row r="43737">
      <c r="L43737" s="13"/>
      <c r="M43737" s="14"/>
      <c r="N43737" s="14"/>
      <c r="O43737" s="14"/>
      <c r="P43737" s="13"/>
    </row>
    <row r="43738">
      <c r="L43738" s="13"/>
      <c r="M43738" s="14"/>
      <c r="N43738" s="14"/>
      <c r="O43738" s="14"/>
      <c r="P43738" s="13"/>
    </row>
    <row r="43739">
      <c r="L43739" s="13"/>
      <c r="M43739" s="14"/>
      <c r="N43739" s="14"/>
      <c r="O43739" s="14"/>
      <c r="P43739" s="13"/>
    </row>
    <row r="43740">
      <c r="L43740" s="13"/>
      <c r="M43740" s="14"/>
      <c r="N43740" s="14"/>
      <c r="O43740" s="14"/>
      <c r="P43740" s="13"/>
    </row>
    <row r="43741">
      <c r="L43741" s="13"/>
      <c r="M43741" s="14"/>
      <c r="N43741" s="14"/>
      <c r="O43741" s="14"/>
      <c r="P43741" s="13"/>
    </row>
    <row r="43742">
      <c r="L43742" s="13"/>
      <c r="M43742" s="14"/>
      <c r="N43742" s="14"/>
      <c r="O43742" s="14"/>
      <c r="P43742" s="13"/>
    </row>
    <row r="43743">
      <c r="L43743" s="13"/>
      <c r="M43743" s="14"/>
      <c r="N43743" s="14"/>
      <c r="O43743" s="14"/>
      <c r="P43743" s="13"/>
    </row>
    <row r="43744">
      <c r="L43744" s="13"/>
      <c r="M43744" s="14"/>
      <c r="N43744" s="14"/>
      <c r="O43744" s="14"/>
      <c r="P43744" s="13"/>
    </row>
    <row r="43745">
      <c r="L43745" s="13"/>
      <c r="M43745" s="14"/>
      <c r="N43745" s="14"/>
      <c r="O43745" s="14"/>
      <c r="P43745" s="13"/>
    </row>
    <row r="43746">
      <c r="L43746" s="13"/>
      <c r="M43746" s="14"/>
      <c r="N43746" s="14"/>
      <c r="O43746" s="14"/>
      <c r="P43746" s="13"/>
    </row>
    <row r="43747">
      <c r="L43747" s="13"/>
      <c r="M43747" s="14"/>
      <c r="N43747" s="14"/>
      <c r="O43747" s="14"/>
      <c r="P43747" s="13"/>
    </row>
    <row r="43748">
      <c r="L43748" s="13"/>
      <c r="M43748" s="14"/>
      <c r="N43748" s="14"/>
      <c r="O43748" s="14"/>
      <c r="P43748" s="13"/>
    </row>
    <row r="43749">
      <c r="L43749" s="13"/>
      <c r="M43749" s="14"/>
      <c r="N43749" s="14"/>
      <c r="O43749" s="14"/>
      <c r="P43749" s="13"/>
    </row>
    <row r="43750">
      <c r="L43750" s="13"/>
      <c r="M43750" s="14"/>
      <c r="N43750" s="14"/>
      <c r="O43750" s="14"/>
      <c r="P43750" s="13"/>
    </row>
    <row r="43751">
      <c r="L43751" s="13"/>
      <c r="M43751" s="14"/>
      <c r="N43751" s="14"/>
      <c r="O43751" s="14"/>
      <c r="P43751" s="13"/>
    </row>
    <row r="43752">
      <c r="L43752" s="13"/>
      <c r="M43752" s="14"/>
      <c r="N43752" s="14"/>
      <c r="O43752" s="14"/>
      <c r="P43752" s="13"/>
    </row>
    <row r="43753">
      <c r="L43753" s="13"/>
      <c r="M43753" s="14"/>
      <c r="N43753" s="14"/>
      <c r="O43753" s="14"/>
      <c r="P43753" s="13"/>
    </row>
    <row r="43754">
      <c r="L43754" s="13"/>
      <c r="M43754" s="14"/>
      <c r="N43754" s="14"/>
      <c r="O43754" s="14"/>
      <c r="P43754" s="13"/>
    </row>
    <row r="43755">
      <c r="L43755" s="13"/>
      <c r="M43755" s="14"/>
      <c r="N43755" s="14"/>
      <c r="O43755" s="14"/>
      <c r="P43755" s="13"/>
    </row>
    <row r="43756">
      <c r="L43756" s="13"/>
      <c r="M43756" s="14"/>
      <c r="N43756" s="14"/>
      <c r="O43756" s="14"/>
      <c r="P43756" s="13"/>
    </row>
    <row r="43757">
      <c r="L43757" s="13"/>
      <c r="M43757" s="14"/>
      <c r="N43757" s="14"/>
      <c r="O43757" s="14"/>
      <c r="P43757" s="13"/>
    </row>
    <row r="43758">
      <c r="L43758" s="13"/>
      <c r="M43758" s="14"/>
      <c r="N43758" s="14"/>
      <c r="O43758" s="14"/>
      <c r="P43758" s="13"/>
    </row>
    <row r="43759">
      <c r="L43759" s="13"/>
      <c r="M43759" s="14"/>
      <c r="N43759" s="14"/>
      <c r="O43759" s="14"/>
      <c r="P43759" s="13"/>
    </row>
    <row r="43760">
      <c r="L43760" s="13"/>
      <c r="M43760" s="14"/>
      <c r="N43760" s="14"/>
      <c r="O43760" s="14"/>
      <c r="P43760" s="13"/>
    </row>
    <row r="43761">
      <c r="L43761" s="13"/>
      <c r="M43761" s="14"/>
      <c r="N43761" s="14"/>
      <c r="O43761" s="14"/>
      <c r="P43761" s="13"/>
    </row>
    <row r="43762">
      <c r="L43762" s="13"/>
      <c r="M43762" s="14"/>
      <c r="N43762" s="14"/>
      <c r="O43762" s="14"/>
      <c r="P43762" s="13"/>
    </row>
    <row r="43763">
      <c r="L43763" s="13"/>
      <c r="M43763" s="14"/>
      <c r="N43763" s="14"/>
      <c r="O43763" s="14"/>
      <c r="P43763" s="13"/>
    </row>
    <row r="43764">
      <c r="L43764" s="13"/>
      <c r="M43764" s="14"/>
      <c r="N43764" s="14"/>
      <c r="O43764" s="14"/>
      <c r="P43764" s="13"/>
    </row>
    <row r="43765">
      <c r="L43765" s="13"/>
      <c r="M43765" s="14"/>
      <c r="N43765" s="14"/>
      <c r="O43765" s="14"/>
      <c r="P43765" s="13"/>
    </row>
    <row r="43766">
      <c r="L43766" s="13"/>
      <c r="M43766" s="14"/>
      <c r="N43766" s="14"/>
      <c r="O43766" s="14"/>
      <c r="P43766" s="13"/>
    </row>
    <row r="43767">
      <c r="L43767" s="13"/>
      <c r="M43767" s="14"/>
      <c r="N43767" s="14"/>
      <c r="O43767" s="14"/>
      <c r="P43767" s="13"/>
    </row>
    <row r="43768">
      <c r="L43768" s="13"/>
      <c r="M43768" s="14"/>
      <c r="N43768" s="14"/>
      <c r="O43768" s="14"/>
      <c r="P43768" s="13"/>
    </row>
    <row r="43769">
      <c r="L43769" s="13"/>
      <c r="M43769" s="14"/>
      <c r="N43769" s="14"/>
      <c r="O43769" s="14"/>
      <c r="P43769" s="13"/>
    </row>
    <row r="43770">
      <c r="L43770" s="13"/>
      <c r="M43770" s="14"/>
      <c r="N43770" s="14"/>
      <c r="O43770" s="14"/>
      <c r="P43770" s="13"/>
    </row>
    <row r="43771">
      <c r="L43771" s="13"/>
      <c r="M43771" s="14"/>
      <c r="N43771" s="14"/>
      <c r="O43771" s="14"/>
      <c r="P43771" s="13"/>
    </row>
    <row r="43772">
      <c r="L43772" s="13"/>
      <c r="M43772" s="14"/>
      <c r="N43772" s="14"/>
      <c r="O43772" s="14"/>
      <c r="P43772" s="13"/>
    </row>
    <row r="43773">
      <c r="L43773" s="13"/>
      <c r="M43773" s="14"/>
      <c r="N43773" s="14"/>
      <c r="O43773" s="14"/>
      <c r="P43773" s="13"/>
    </row>
    <row r="43774">
      <c r="L43774" s="13"/>
      <c r="M43774" s="14"/>
      <c r="N43774" s="14"/>
      <c r="O43774" s="14"/>
      <c r="P43774" s="13"/>
    </row>
    <row r="43775">
      <c r="L43775" s="13"/>
      <c r="M43775" s="14"/>
      <c r="N43775" s="14"/>
      <c r="O43775" s="14"/>
      <c r="P43775" s="13"/>
    </row>
    <row r="43776">
      <c r="L43776" s="13"/>
      <c r="M43776" s="14"/>
      <c r="N43776" s="14"/>
      <c r="O43776" s="14"/>
      <c r="P43776" s="13"/>
    </row>
    <row r="43777">
      <c r="L43777" s="13"/>
      <c r="M43777" s="14"/>
      <c r="N43777" s="14"/>
      <c r="O43777" s="14"/>
      <c r="P43777" s="13"/>
    </row>
    <row r="43778">
      <c r="L43778" s="13"/>
      <c r="M43778" s="14"/>
      <c r="N43778" s="14"/>
      <c r="O43778" s="14"/>
      <c r="P43778" s="13"/>
    </row>
    <row r="43779">
      <c r="L43779" s="13"/>
      <c r="M43779" s="14"/>
      <c r="N43779" s="14"/>
      <c r="O43779" s="14"/>
      <c r="P43779" s="13"/>
    </row>
    <row r="43780">
      <c r="L43780" s="13"/>
      <c r="M43780" s="14"/>
      <c r="N43780" s="14"/>
      <c r="O43780" s="14"/>
      <c r="P43780" s="13"/>
    </row>
    <row r="43781">
      <c r="L43781" s="13"/>
      <c r="M43781" s="14"/>
      <c r="N43781" s="14"/>
      <c r="O43781" s="14"/>
      <c r="P43781" s="13"/>
    </row>
    <row r="43782">
      <c r="L43782" s="13"/>
      <c r="M43782" s="14"/>
      <c r="N43782" s="14"/>
      <c r="O43782" s="14"/>
      <c r="P43782" s="13"/>
    </row>
    <row r="43783">
      <c r="L43783" s="13"/>
      <c r="M43783" s="14"/>
      <c r="N43783" s="14"/>
      <c r="O43783" s="14"/>
      <c r="P43783" s="13"/>
    </row>
    <row r="43784">
      <c r="L43784" s="13"/>
      <c r="M43784" s="14"/>
      <c r="N43784" s="14"/>
      <c r="O43784" s="14"/>
      <c r="P43784" s="13"/>
    </row>
    <row r="43785">
      <c r="L43785" s="13"/>
      <c r="M43785" s="14"/>
      <c r="N43785" s="14"/>
      <c r="O43785" s="14"/>
      <c r="P43785" s="13"/>
    </row>
    <row r="43786">
      <c r="L43786" s="13"/>
      <c r="M43786" s="14"/>
      <c r="N43786" s="14"/>
      <c r="O43786" s="14"/>
      <c r="P43786" s="13"/>
    </row>
    <row r="43787">
      <c r="L43787" s="13"/>
      <c r="M43787" s="14"/>
      <c r="N43787" s="14"/>
      <c r="O43787" s="14"/>
      <c r="P43787" s="13"/>
    </row>
    <row r="43788">
      <c r="L43788" s="13"/>
      <c r="M43788" s="14"/>
      <c r="N43788" s="14"/>
      <c r="O43788" s="14"/>
      <c r="P43788" s="13"/>
    </row>
    <row r="43789">
      <c r="L43789" s="13"/>
      <c r="M43789" s="14"/>
      <c r="N43789" s="14"/>
      <c r="O43789" s="14"/>
      <c r="P43789" s="13"/>
    </row>
    <row r="43790">
      <c r="L43790" s="13"/>
      <c r="M43790" s="14"/>
      <c r="N43790" s="14"/>
      <c r="O43790" s="14"/>
      <c r="P43790" s="13"/>
    </row>
    <row r="43791">
      <c r="L43791" s="13"/>
      <c r="M43791" s="14"/>
      <c r="N43791" s="14"/>
      <c r="O43791" s="14"/>
      <c r="P43791" s="13"/>
    </row>
    <row r="43792">
      <c r="L43792" s="13"/>
      <c r="M43792" s="14"/>
      <c r="N43792" s="14"/>
      <c r="O43792" s="14"/>
      <c r="P43792" s="13"/>
    </row>
    <row r="43793">
      <c r="L43793" s="13"/>
      <c r="M43793" s="14"/>
      <c r="N43793" s="14"/>
      <c r="O43793" s="14"/>
      <c r="P43793" s="13"/>
    </row>
    <row r="43794">
      <c r="L43794" s="13"/>
      <c r="M43794" s="14"/>
      <c r="N43794" s="14"/>
      <c r="O43794" s="14"/>
      <c r="P43794" s="13"/>
    </row>
    <row r="43795">
      <c r="L43795" s="13"/>
      <c r="M43795" s="14"/>
      <c r="N43795" s="14"/>
      <c r="O43795" s="14"/>
      <c r="P43795" s="13"/>
    </row>
    <row r="43796">
      <c r="L43796" s="13"/>
      <c r="M43796" s="14"/>
      <c r="N43796" s="14"/>
      <c r="O43796" s="14"/>
      <c r="P43796" s="13"/>
    </row>
    <row r="43797">
      <c r="L43797" s="13"/>
      <c r="M43797" s="14"/>
      <c r="N43797" s="14"/>
      <c r="O43797" s="14"/>
      <c r="P43797" s="13"/>
    </row>
    <row r="43798">
      <c r="L43798" s="13"/>
      <c r="M43798" s="14"/>
      <c r="N43798" s="14"/>
      <c r="O43798" s="14"/>
      <c r="P43798" s="13"/>
    </row>
    <row r="43799">
      <c r="L43799" s="13"/>
      <c r="M43799" s="14"/>
      <c r="N43799" s="14"/>
      <c r="O43799" s="14"/>
      <c r="P43799" s="13"/>
    </row>
    <row r="43800">
      <c r="L43800" s="13"/>
      <c r="M43800" s="14"/>
      <c r="N43800" s="14"/>
      <c r="O43800" s="14"/>
      <c r="P43800" s="13"/>
    </row>
    <row r="43801">
      <c r="L43801" s="13"/>
      <c r="M43801" s="14"/>
      <c r="N43801" s="14"/>
      <c r="O43801" s="14"/>
      <c r="P43801" s="13"/>
    </row>
    <row r="43802">
      <c r="L43802" s="13"/>
      <c r="M43802" s="14"/>
      <c r="N43802" s="14"/>
      <c r="O43802" s="14"/>
      <c r="P43802" s="13"/>
    </row>
    <row r="43803">
      <c r="L43803" s="13"/>
      <c r="M43803" s="14"/>
      <c r="N43803" s="14"/>
      <c r="O43803" s="14"/>
      <c r="P43803" s="13"/>
    </row>
    <row r="43804">
      <c r="L43804" s="13"/>
      <c r="M43804" s="14"/>
      <c r="N43804" s="14"/>
      <c r="O43804" s="14"/>
      <c r="P43804" s="13"/>
    </row>
    <row r="43805">
      <c r="L43805" s="13"/>
      <c r="M43805" s="14"/>
      <c r="N43805" s="14"/>
      <c r="O43805" s="14"/>
      <c r="P43805" s="13"/>
    </row>
    <row r="43806">
      <c r="L43806" s="13"/>
      <c r="M43806" s="14"/>
      <c r="N43806" s="14"/>
      <c r="O43806" s="14"/>
      <c r="P43806" s="13"/>
    </row>
    <row r="43807">
      <c r="L43807" s="13"/>
      <c r="M43807" s="14"/>
      <c r="N43807" s="14"/>
      <c r="O43807" s="14"/>
      <c r="P43807" s="13"/>
    </row>
    <row r="43808">
      <c r="L43808" s="13"/>
      <c r="M43808" s="14"/>
      <c r="N43808" s="14"/>
      <c r="O43808" s="14"/>
      <c r="P43808" s="13"/>
    </row>
    <row r="43809">
      <c r="L43809" s="13"/>
      <c r="M43809" s="14"/>
      <c r="N43809" s="14"/>
      <c r="O43809" s="14"/>
      <c r="P43809" s="13"/>
    </row>
    <row r="43810">
      <c r="L43810" s="13"/>
      <c r="M43810" s="14"/>
      <c r="N43810" s="14"/>
      <c r="O43810" s="14"/>
      <c r="P43810" s="13"/>
    </row>
    <row r="43811">
      <c r="L43811" s="13"/>
      <c r="M43811" s="14"/>
      <c r="N43811" s="14"/>
      <c r="O43811" s="14"/>
      <c r="P43811" s="13"/>
    </row>
    <row r="43812">
      <c r="L43812" s="13"/>
      <c r="M43812" s="14"/>
      <c r="N43812" s="14"/>
      <c r="O43812" s="14"/>
      <c r="P43812" s="13"/>
    </row>
    <row r="43813">
      <c r="L43813" s="13"/>
      <c r="M43813" s="14"/>
      <c r="N43813" s="14"/>
      <c r="O43813" s="14"/>
      <c r="P43813" s="13"/>
    </row>
    <row r="43814">
      <c r="L43814" s="13"/>
      <c r="M43814" s="14"/>
      <c r="N43814" s="14"/>
      <c r="O43814" s="14"/>
      <c r="P43814" s="13"/>
    </row>
    <row r="43815">
      <c r="L43815" s="13"/>
      <c r="M43815" s="14"/>
      <c r="N43815" s="14"/>
      <c r="O43815" s="14"/>
      <c r="P43815" s="13"/>
    </row>
    <row r="43816">
      <c r="L43816" s="13"/>
      <c r="M43816" s="14"/>
      <c r="N43816" s="14"/>
      <c r="O43816" s="14"/>
      <c r="P43816" s="13"/>
    </row>
    <row r="43817">
      <c r="L43817" s="13"/>
      <c r="M43817" s="14"/>
      <c r="N43817" s="14"/>
      <c r="O43817" s="14"/>
      <c r="P43817" s="13"/>
    </row>
    <row r="43818">
      <c r="L43818" s="13"/>
      <c r="M43818" s="14"/>
      <c r="N43818" s="14"/>
      <c r="O43818" s="14"/>
      <c r="P43818" s="13"/>
    </row>
    <row r="43819">
      <c r="L43819" s="13"/>
      <c r="M43819" s="14"/>
      <c r="N43819" s="14"/>
      <c r="O43819" s="14"/>
      <c r="P43819" s="13"/>
    </row>
    <row r="43820">
      <c r="L43820" s="13"/>
      <c r="M43820" s="14"/>
      <c r="N43820" s="14"/>
      <c r="O43820" s="14"/>
      <c r="P43820" s="13"/>
    </row>
    <row r="43821">
      <c r="L43821" s="13"/>
      <c r="M43821" s="14"/>
      <c r="N43821" s="14"/>
      <c r="O43821" s="14"/>
      <c r="P43821" s="13"/>
    </row>
    <row r="43822">
      <c r="L43822" s="13"/>
      <c r="M43822" s="14"/>
      <c r="N43822" s="14"/>
      <c r="O43822" s="14"/>
      <c r="P43822" s="13"/>
    </row>
    <row r="43823">
      <c r="L43823" s="13"/>
      <c r="M43823" s="14"/>
      <c r="N43823" s="14"/>
      <c r="O43823" s="14"/>
      <c r="P43823" s="13"/>
    </row>
    <row r="43824">
      <c r="L43824" s="13"/>
      <c r="M43824" s="14"/>
      <c r="N43824" s="14"/>
      <c r="O43824" s="14"/>
      <c r="P43824" s="13"/>
    </row>
    <row r="43825">
      <c r="L43825" s="13"/>
      <c r="M43825" s="14"/>
      <c r="N43825" s="14"/>
      <c r="O43825" s="14"/>
      <c r="P43825" s="13"/>
    </row>
    <row r="43826">
      <c r="L43826" s="13"/>
      <c r="M43826" s="14"/>
      <c r="N43826" s="14"/>
      <c r="O43826" s="14"/>
      <c r="P43826" s="13"/>
    </row>
    <row r="43827">
      <c r="L43827" s="13"/>
      <c r="M43827" s="14"/>
      <c r="N43827" s="14"/>
      <c r="O43827" s="14"/>
      <c r="P43827" s="13"/>
    </row>
    <row r="43828">
      <c r="L43828" s="13"/>
      <c r="M43828" s="14"/>
      <c r="N43828" s="14"/>
      <c r="O43828" s="14"/>
      <c r="P43828" s="13"/>
    </row>
    <row r="43829">
      <c r="L43829" s="13"/>
      <c r="M43829" s="14"/>
      <c r="N43829" s="14"/>
      <c r="O43829" s="14"/>
      <c r="P43829" s="13"/>
    </row>
    <row r="43830">
      <c r="L43830" s="13"/>
      <c r="M43830" s="14"/>
      <c r="N43830" s="14"/>
      <c r="O43830" s="14"/>
      <c r="P43830" s="13"/>
    </row>
    <row r="43831">
      <c r="L43831" s="13"/>
      <c r="M43831" s="14"/>
      <c r="N43831" s="14"/>
      <c r="O43831" s="14"/>
      <c r="P43831" s="13"/>
    </row>
    <row r="43832">
      <c r="L43832" s="13"/>
      <c r="M43832" s="14"/>
      <c r="N43832" s="14"/>
      <c r="O43832" s="14"/>
      <c r="P43832" s="13"/>
    </row>
    <row r="43833">
      <c r="L43833" s="13"/>
      <c r="M43833" s="14"/>
      <c r="N43833" s="14"/>
      <c r="O43833" s="14"/>
      <c r="P43833" s="13"/>
    </row>
    <row r="43834">
      <c r="L43834" s="13"/>
      <c r="M43834" s="14"/>
      <c r="N43834" s="14"/>
      <c r="O43834" s="14"/>
      <c r="P43834" s="13"/>
    </row>
    <row r="43835">
      <c r="L43835" s="13"/>
      <c r="M43835" s="14"/>
      <c r="N43835" s="14"/>
      <c r="O43835" s="14"/>
      <c r="P43835" s="13"/>
    </row>
    <row r="43836">
      <c r="L43836" s="13"/>
      <c r="M43836" s="14"/>
      <c r="N43836" s="14"/>
      <c r="O43836" s="14"/>
      <c r="P43836" s="13"/>
    </row>
    <row r="43837">
      <c r="L43837" s="13"/>
      <c r="M43837" s="14"/>
      <c r="N43837" s="14"/>
      <c r="O43837" s="14"/>
      <c r="P43837" s="13"/>
    </row>
    <row r="43838">
      <c r="L43838" s="13"/>
      <c r="M43838" s="14"/>
      <c r="N43838" s="14"/>
      <c r="O43838" s="14"/>
      <c r="P43838" s="13"/>
    </row>
    <row r="43839">
      <c r="L43839" s="13"/>
      <c r="M43839" s="14"/>
      <c r="N43839" s="14"/>
      <c r="O43839" s="14"/>
      <c r="P43839" s="13"/>
    </row>
    <row r="43840">
      <c r="L43840" s="13"/>
      <c r="M43840" s="14"/>
      <c r="N43840" s="14"/>
      <c r="O43840" s="14"/>
      <c r="P43840" s="13"/>
    </row>
    <row r="43841">
      <c r="L43841" s="13"/>
      <c r="M43841" s="14"/>
      <c r="N43841" s="14"/>
      <c r="O43841" s="14"/>
      <c r="P43841" s="13"/>
    </row>
    <row r="43842">
      <c r="L43842" s="13"/>
      <c r="M43842" s="14"/>
      <c r="N43842" s="14"/>
      <c r="O43842" s="14"/>
      <c r="P43842" s="13"/>
    </row>
    <row r="43843">
      <c r="L43843" s="13"/>
      <c r="M43843" s="14"/>
      <c r="N43843" s="14"/>
      <c r="O43843" s="14"/>
      <c r="P43843" s="13"/>
    </row>
    <row r="43844">
      <c r="L43844" s="13"/>
      <c r="M43844" s="14"/>
      <c r="N43844" s="14"/>
      <c r="O43844" s="14"/>
      <c r="P43844" s="13"/>
    </row>
    <row r="43845">
      <c r="L43845" s="13"/>
      <c r="M43845" s="14"/>
      <c r="N43845" s="14"/>
      <c r="O43845" s="14"/>
      <c r="P43845" s="13"/>
    </row>
    <row r="43846">
      <c r="L43846" s="13"/>
      <c r="M43846" s="14"/>
      <c r="N43846" s="14"/>
      <c r="O43846" s="14"/>
      <c r="P43846" s="13"/>
    </row>
    <row r="43847">
      <c r="L43847" s="13"/>
      <c r="M43847" s="14"/>
      <c r="N43847" s="14"/>
      <c r="O43847" s="14"/>
      <c r="P43847" s="13"/>
    </row>
    <row r="43848">
      <c r="L43848" s="13"/>
      <c r="M43848" s="14"/>
      <c r="N43848" s="14"/>
      <c r="O43848" s="14"/>
      <c r="P43848" s="13"/>
    </row>
    <row r="43849">
      <c r="L43849" s="13"/>
      <c r="M43849" s="14"/>
      <c r="N43849" s="14"/>
      <c r="O43849" s="14"/>
      <c r="P43849" s="13"/>
    </row>
    <row r="43850">
      <c r="L43850" s="13"/>
      <c r="M43850" s="14"/>
      <c r="N43850" s="14"/>
      <c r="O43850" s="14"/>
      <c r="P43850" s="13"/>
    </row>
    <row r="43851">
      <c r="L43851" s="13"/>
      <c r="M43851" s="14"/>
      <c r="N43851" s="14"/>
      <c r="O43851" s="14"/>
      <c r="P43851" s="13"/>
    </row>
    <row r="43852">
      <c r="L43852" s="13"/>
      <c r="M43852" s="14"/>
      <c r="N43852" s="14"/>
      <c r="O43852" s="14"/>
      <c r="P43852" s="13"/>
    </row>
    <row r="43853">
      <c r="L43853" s="13"/>
      <c r="M43853" s="14"/>
      <c r="N43853" s="14"/>
      <c r="O43853" s="14"/>
      <c r="P43853" s="13"/>
    </row>
    <row r="43854">
      <c r="L43854" s="13"/>
      <c r="M43854" s="14"/>
      <c r="N43854" s="14"/>
      <c r="O43854" s="14"/>
      <c r="P43854" s="13"/>
    </row>
    <row r="43855">
      <c r="L43855" s="13"/>
      <c r="M43855" s="14"/>
      <c r="N43855" s="14"/>
      <c r="O43855" s="14"/>
      <c r="P43855" s="13"/>
    </row>
    <row r="43856">
      <c r="L43856" s="13"/>
      <c r="M43856" s="14"/>
      <c r="N43856" s="14"/>
      <c r="O43856" s="14"/>
      <c r="P43856" s="13"/>
    </row>
    <row r="43857">
      <c r="L43857" s="13"/>
      <c r="M43857" s="14"/>
      <c r="N43857" s="14"/>
      <c r="O43857" s="14"/>
      <c r="P43857" s="13"/>
    </row>
    <row r="43858">
      <c r="L43858" s="13"/>
      <c r="M43858" s="14"/>
      <c r="N43858" s="14"/>
      <c r="O43858" s="14"/>
      <c r="P43858" s="13"/>
    </row>
    <row r="43859">
      <c r="L43859" s="13"/>
      <c r="M43859" s="14"/>
      <c r="N43859" s="14"/>
      <c r="O43859" s="14"/>
      <c r="P43859" s="13"/>
    </row>
    <row r="43860">
      <c r="L43860" s="13"/>
      <c r="M43860" s="14"/>
      <c r="N43860" s="14"/>
      <c r="O43860" s="14"/>
      <c r="P43860" s="13"/>
    </row>
    <row r="43861">
      <c r="L43861" s="13"/>
      <c r="M43861" s="14"/>
      <c r="N43861" s="14"/>
      <c r="O43861" s="14"/>
      <c r="P43861" s="13"/>
    </row>
    <row r="43862">
      <c r="L43862" s="13"/>
      <c r="M43862" s="14"/>
      <c r="N43862" s="14"/>
      <c r="O43862" s="14"/>
      <c r="P43862" s="13"/>
    </row>
    <row r="43863">
      <c r="L43863" s="13"/>
      <c r="M43863" s="14"/>
      <c r="N43863" s="14"/>
      <c r="O43863" s="14"/>
      <c r="P43863" s="13"/>
    </row>
    <row r="43864">
      <c r="L43864" s="13"/>
      <c r="M43864" s="14"/>
      <c r="N43864" s="14"/>
      <c r="O43864" s="14"/>
      <c r="P43864" s="13"/>
    </row>
    <row r="43865">
      <c r="L43865" s="13"/>
      <c r="M43865" s="14"/>
      <c r="N43865" s="14"/>
      <c r="O43865" s="14"/>
      <c r="P43865" s="13"/>
    </row>
    <row r="43866">
      <c r="L43866" s="13"/>
      <c r="M43866" s="14"/>
      <c r="N43866" s="14"/>
      <c r="O43866" s="14"/>
      <c r="P43866" s="13"/>
    </row>
    <row r="43867">
      <c r="L43867" s="13"/>
      <c r="M43867" s="14"/>
      <c r="N43867" s="14"/>
      <c r="O43867" s="14"/>
      <c r="P43867" s="13"/>
    </row>
    <row r="43868">
      <c r="L43868" s="13"/>
      <c r="M43868" s="14"/>
      <c r="N43868" s="14"/>
      <c r="O43868" s="14"/>
      <c r="P43868" s="13"/>
    </row>
    <row r="43869">
      <c r="L43869" s="13"/>
      <c r="M43869" s="14"/>
      <c r="N43869" s="14"/>
      <c r="O43869" s="14"/>
      <c r="P43869" s="13"/>
    </row>
    <row r="43870">
      <c r="L43870" s="13"/>
      <c r="M43870" s="14"/>
      <c r="N43870" s="14"/>
      <c r="O43870" s="14"/>
      <c r="P43870" s="13"/>
    </row>
    <row r="43871">
      <c r="L43871" s="13"/>
      <c r="M43871" s="14"/>
      <c r="N43871" s="14"/>
      <c r="O43871" s="14"/>
      <c r="P43871" s="13"/>
    </row>
    <row r="43872">
      <c r="L43872" s="13"/>
      <c r="M43872" s="14"/>
      <c r="N43872" s="14"/>
      <c r="O43872" s="14"/>
      <c r="P43872" s="13"/>
    </row>
    <row r="43873">
      <c r="L43873" s="13"/>
      <c r="M43873" s="14"/>
      <c r="N43873" s="14"/>
      <c r="O43873" s="14"/>
      <c r="P43873" s="13"/>
    </row>
    <row r="43874">
      <c r="L43874" s="13"/>
      <c r="M43874" s="14"/>
      <c r="N43874" s="14"/>
      <c r="O43874" s="14"/>
      <c r="P43874" s="13"/>
    </row>
    <row r="43875">
      <c r="L43875" s="13"/>
      <c r="M43875" s="14"/>
      <c r="N43875" s="14"/>
      <c r="O43875" s="14"/>
      <c r="P43875" s="13"/>
    </row>
    <row r="43876">
      <c r="L43876" s="13"/>
      <c r="M43876" s="14"/>
      <c r="N43876" s="14"/>
      <c r="O43876" s="14"/>
      <c r="P43876" s="13"/>
    </row>
    <row r="43877">
      <c r="L43877" s="13"/>
      <c r="M43877" s="14"/>
      <c r="N43877" s="14"/>
      <c r="O43877" s="14"/>
      <c r="P43877" s="13"/>
    </row>
    <row r="43878">
      <c r="L43878" s="13"/>
      <c r="M43878" s="14"/>
      <c r="N43878" s="14"/>
      <c r="O43878" s="14"/>
      <c r="P43878" s="13"/>
    </row>
    <row r="43879">
      <c r="L43879" s="13"/>
      <c r="M43879" s="14"/>
      <c r="N43879" s="14"/>
      <c r="O43879" s="14"/>
      <c r="P43879" s="13"/>
    </row>
    <row r="43880">
      <c r="L43880" s="13"/>
      <c r="M43880" s="14"/>
      <c r="N43880" s="14"/>
      <c r="O43880" s="14"/>
      <c r="P43880" s="13"/>
    </row>
    <row r="43881">
      <c r="L43881" s="13"/>
      <c r="M43881" s="14"/>
      <c r="N43881" s="14"/>
      <c r="O43881" s="14"/>
      <c r="P43881" s="13"/>
    </row>
    <row r="43882">
      <c r="L43882" s="13"/>
      <c r="M43882" s="14"/>
      <c r="N43882" s="14"/>
      <c r="O43882" s="14"/>
      <c r="P43882" s="13"/>
    </row>
    <row r="43883">
      <c r="L43883" s="13"/>
      <c r="M43883" s="14"/>
      <c r="N43883" s="14"/>
      <c r="O43883" s="14"/>
      <c r="P43883" s="13"/>
    </row>
    <row r="43884">
      <c r="L43884" s="13"/>
      <c r="M43884" s="14"/>
      <c r="N43884" s="14"/>
      <c r="O43884" s="14"/>
      <c r="P43884" s="13"/>
    </row>
    <row r="43885">
      <c r="L43885" s="13"/>
      <c r="M43885" s="14"/>
      <c r="N43885" s="14"/>
      <c r="O43885" s="14"/>
      <c r="P43885" s="13"/>
    </row>
    <row r="43886">
      <c r="L43886" s="13"/>
      <c r="M43886" s="14"/>
      <c r="N43886" s="14"/>
      <c r="O43886" s="14"/>
      <c r="P43886" s="13"/>
    </row>
    <row r="43887">
      <c r="L43887" s="13"/>
      <c r="M43887" s="14"/>
      <c r="N43887" s="14"/>
      <c r="O43887" s="14"/>
      <c r="P43887" s="13"/>
    </row>
    <row r="43888">
      <c r="L43888" s="13"/>
      <c r="M43888" s="14"/>
      <c r="N43888" s="14"/>
      <c r="O43888" s="14"/>
      <c r="P43888" s="13"/>
    </row>
    <row r="43889">
      <c r="L43889" s="13"/>
      <c r="M43889" s="14"/>
      <c r="N43889" s="14"/>
      <c r="O43889" s="14"/>
      <c r="P43889" s="13"/>
    </row>
    <row r="43890">
      <c r="L43890" s="13"/>
      <c r="M43890" s="14"/>
      <c r="N43890" s="14"/>
      <c r="O43890" s="14"/>
      <c r="P43890" s="13"/>
    </row>
    <row r="43891">
      <c r="L43891" s="13"/>
      <c r="M43891" s="14"/>
      <c r="N43891" s="14"/>
      <c r="O43891" s="14"/>
      <c r="P43891" s="13"/>
    </row>
    <row r="43892">
      <c r="L43892" s="13"/>
      <c r="M43892" s="14"/>
      <c r="N43892" s="14"/>
      <c r="O43892" s="14"/>
      <c r="P43892" s="13"/>
    </row>
    <row r="43893">
      <c r="L43893" s="13"/>
      <c r="M43893" s="14"/>
      <c r="N43893" s="14"/>
      <c r="O43893" s="14"/>
      <c r="P43893" s="13"/>
    </row>
    <row r="43894">
      <c r="L43894" s="13"/>
      <c r="M43894" s="14"/>
      <c r="N43894" s="14"/>
      <c r="O43894" s="14"/>
      <c r="P43894" s="13"/>
    </row>
    <row r="43895">
      <c r="L43895" s="13"/>
      <c r="M43895" s="14"/>
      <c r="N43895" s="14"/>
      <c r="O43895" s="14"/>
      <c r="P43895" s="13"/>
    </row>
    <row r="43896">
      <c r="L43896" s="13"/>
      <c r="M43896" s="14"/>
      <c r="N43896" s="14"/>
      <c r="O43896" s="14"/>
      <c r="P43896" s="13"/>
    </row>
    <row r="43897">
      <c r="L43897" s="13"/>
      <c r="M43897" s="14"/>
      <c r="N43897" s="14"/>
      <c r="O43897" s="14"/>
      <c r="P43897" s="13"/>
    </row>
    <row r="43898">
      <c r="L43898" s="13"/>
      <c r="M43898" s="14"/>
      <c r="N43898" s="14"/>
      <c r="O43898" s="14"/>
      <c r="P43898" s="13"/>
    </row>
    <row r="43899">
      <c r="L43899" s="13"/>
      <c r="M43899" s="14"/>
      <c r="N43899" s="14"/>
      <c r="O43899" s="14"/>
      <c r="P43899" s="13"/>
    </row>
    <row r="43900">
      <c r="L43900" s="13"/>
      <c r="M43900" s="14"/>
      <c r="N43900" s="14"/>
      <c r="O43900" s="14"/>
      <c r="P43900" s="13"/>
    </row>
    <row r="43901">
      <c r="L43901" s="13"/>
      <c r="M43901" s="14"/>
      <c r="N43901" s="14"/>
      <c r="O43901" s="14"/>
      <c r="P43901" s="13"/>
    </row>
    <row r="43902">
      <c r="L43902" s="13"/>
      <c r="M43902" s="14"/>
      <c r="N43902" s="14"/>
      <c r="O43902" s="14"/>
      <c r="P43902" s="13"/>
    </row>
    <row r="43903">
      <c r="L43903" s="13"/>
      <c r="M43903" s="14"/>
      <c r="N43903" s="14"/>
      <c r="O43903" s="14"/>
      <c r="P43903" s="13"/>
    </row>
    <row r="43904">
      <c r="L43904" s="13"/>
      <c r="M43904" s="14"/>
      <c r="N43904" s="14"/>
      <c r="O43904" s="14"/>
      <c r="P43904" s="13"/>
    </row>
    <row r="43905">
      <c r="L43905" s="13"/>
      <c r="M43905" s="14"/>
      <c r="N43905" s="14"/>
      <c r="O43905" s="14"/>
      <c r="P43905" s="13"/>
    </row>
    <row r="43906">
      <c r="L43906" s="13"/>
      <c r="M43906" s="14"/>
      <c r="N43906" s="14"/>
      <c r="O43906" s="14"/>
      <c r="P43906" s="13"/>
    </row>
    <row r="43907">
      <c r="L43907" s="13"/>
      <c r="M43907" s="14"/>
      <c r="N43907" s="14"/>
      <c r="O43907" s="14"/>
      <c r="P43907" s="13"/>
    </row>
    <row r="43908">
      <c r="L43908" s="13"/>
      <c r="M43908" s="14"/>
      <c r="N43908" s="14"/>
      <c r="O43908" s="14"/>
      <c r="P43908" s="13"/>
    </row>
    <row r="43909">
      <c r="L43909" s="13"/>
      <c r="M43909" s="14"/>
      <c r="N43909" s="14"/>
      <c r="O43909" s="14"/>
      <c r="P43909" s="13"/>
    </row>
    <row r="43910">
      <c r="L43910" s="13"/>
      <c r="M43910" s="14"/>
      <c r="N43910" s="14"/>
      <c r="O43910" s="14"/>
      <c r="P43910" s="13"/>
    </row>
    <row r="43911">
      <c r="L43911" s="13"/>
      <c r="M43911" s="14"/>
      <c r="N43911" s="14"/>
      <c r="O43911" s="14"/>
      <c r="P43911" s="13"/>
    </row>
    <row r="43912">
      <c r="L43912" s="13"/>
      <c r="M43912" s="14"/>
      <c r="N43912" s="14"/>
      <c r="O43912" s="14"/>
      <c r="P43912" s="13"/>
    </row>
    <row r="43913">
      <c r="L43913" s="13"/>
      <c r="M43913" s="14"/>
      <c r="N43913" s="14"/>
      <c r="O43913" s="14"/>
      <c r="P43913" s="13"/>
    </row>
    <row r="43914">
      <c r="L43914" s="13"/>
      <c r="M43914" s="14"/>
      <c r="N43914" s="14"/>
      <c r="O43914" s="14"/>
      <c r="P43914" s="13"/>
    </row>
    <row r="43915">
      <c r="L43915" s="13"/>
      <c r="M43915" s="14"/>
      <c r="N43915" s="14"/>
      <c r="O43915" s="14"/>
      <c r="P43915" s="13"/>
    </row>
    <row r="43916">
      <c r="L43916" s="13"/>
      <c r="M43916" s="14"/>
      <c r="N43916" s="14"/>
      <c r="O43916" s="14"/>
      <c r="P43916" s="13"/>
    </row>
    <row r="43917">
      <c r="L43917" s="13"/>
      <c r="M43917" s="14"/>
      <c r="N43917" s="14"/>
      <c r="O43917" s="14"/>
      <c r="P43917" s="13"/>
    </row>
    <row r="43918">
      <c r="L43918" s="13"/>
      <c r="M43918" s="14"/>
      <c r="N43918" s="14"/>
      <c r="O43918" s="14"/>
      <c r="P43918" s="13"/>
    </row>
    <row r="43919">
      <c r="L43919" s="13"/>
      <c r="M43919" s="14"/>
      <c r="N43919" s="14"/>
      <c r="O43919" s="14"/>
      <c r="P43919" s="13"/>
    </row>
    <row r="43920">
      <c r="L43920" s="13"/>
      <c r="M43920" s="14"/>
      <c r="N43920" s="14"/>
      <c r="O43920" s="14"/>
      <c r="P43920" s="13"/>
    </row>
    <row r="43921">
      <c r="L43921" s="13"/>
      <c r="M43921" s="14"/>
      <c r="N43921" s="14"/>
      <c r="O43921" s="14"/>
      <c r="P43921" s="13"/>
    </row>
    <row r="43922">
      <c r="L43922" s="13"/>
      <c r="M43922" s="14"/>
      <c r="N43922" s="14"/>
      <c r="O43922" s="14"/>
      <c r="P43922" s="13"/>
    </row>
    <row r="43923">
      <c r="L43923" s="13"/>
      <c r="M43923" s="14"/>
      <c r="N43923" s="14"/>
      <c r="O43923" s="14"/>
      <c r="P43923" s="13"/>
    </row>
    <row r="43924">
      <c r="L43924" s="13"/>
      <c r="M43924" s="14"/>
      <c r="N43924" s="14"/>
      <c r="O43924" s="14"/>
      <c r="P43924" s="13"/>
    </row>
    <row r="43925">
      <c r="L43925" s="13"/>
      <c r="M43925" s="14"/>
      <c r="N43925" s="14"/>
      <c r="O43925" s="14"/>
      <c r="P43925" s="13"/>
    </row>
    <row r="43926">
      <c r="L43926" s="13"/>
      <c r="M43926" s="14"/>
      <c r="N43926" s="14"/>
      <c r="O43926" s="14"/>
      <c r="P43926" s="13"/>
    </row>
    <row r="43927">
      <c r="L43927" s="13"/>
      <c r="M43927" s="14"/>
      <c r="N43927" s="14"/>
      <c r="O43927" s="14"/>
      <c r="P43927" s="13"/>
    </row>
    <row r="43928">
      <c r="L43928" s="13"/>
      <c r="M43928" s="14"/>
      <c r="N43928" s="14"/>
      <c r="O43928" s="14"/>
      <c r="P43928" s="13"/>
    </row>
    <row r="43929">
      <c r="L43929" s="13"/>
      <c r="M43929" s="14"/>
      <c r="N43929" s="14"/>
      <c r="O43929" s="14"/>
      <c r="P43929" s="13"/>
    </row>
    <row r="43930">
      <c r="L43930" s="13"/>
      <c r="M43930" s="14"/>
      <c r="N43930" s="14"/>
      <c r="O43930" s="14"/>
      <c r="P43930" s="13"/>
    </row>
    <row r="43931">
      <c r="L43931" s="13"/>
      <c r="M43931" s="14"/>
      <c r="N43931" s="14"/>
      <c r="O43931" s="14"/>
      <c r="P43931" s="13"/>
    </row>
    <row r="43932">
      <c r="L43932" s="13"/>
      <c r="M43932" s="14"/>
      <c r="N43932" s="14"/>
      <c r="O43932" s="14"/>
      <c r="P43932" s="13"/>
    </row>
    <row r="43933">
      <c r="L43933" s="13"/>
      <c r="M43933" s="14"/>
      <c r="N43933" s="14"/>
      <c r="O43933" s="14"/>
      <c r="P43933" s="13"/>
    </row>
    <row r="43934">
      <c r="L43934" s="13"/>
      <c r="M43934" s="14"/>
      <c r="N43934" s="14"/>
      <c r="O43934" s="14"/>
      <c r="P43934" s="13"/>
    </row>
    <row r="43935">
      <c r="L43935" s="13"/>
      <c r="M43935" s="14"/>
      <c r="N43935" s="14"/>
      <c r="O43935" s="14"/>
      <c r="P43935" s="13"/>
    </row>
    <row r="43936">
      <c r="L43936" s="13"/>
      <c r="M43936" s="14"/>
      <c r="N43936" s="14"/>
      <c r="O43936" s="14"/>
      <c r="P43936" s="13"/>
    </row>
    <row r="43937">
      <c r="L43937" s="13"/>
      <c r="M43937" s="14"/>
      <c r="N43937" s="14"/>
      <c r="O43937" s="14"/>
      <c r="P43937" s="13"/>
    </row>
    <row r="43938">
      <c r="L43938" s="13"/>
      <c r="M43938" s="14"/>
      <c r="N43938" s="14"/>
      <c r="O43938" s="14"/>
      <c r="P43938" s="13"/>
    </row>
    <row r="43939">
      <c r="L43939" s="13"/>
      <c r="M43939" s="14"/>
      <c r="N43939" s="14"/>
      <c r="O43939" s="14"/>
      <c r="P43939" s="13"/>
    </row>
    <row r="43940">
      <c r="L43940" s="13"/>
      <c r="M43940" s="14"/>
      <c r="N43940" s="14"/>
      <c r="O43940" s="14"/>
      <c r="P43940" s="13"/>
    </row>
    <row r="43941">
      <c r="L43941" s="13"/>
      <c r="M43941" s="14"/>
      <c r="N43941" s="14"/>
      <c r="O43941" s="14"/>
      <c r="P43941" s="13"/>
    </row>
    <row r="43942">
      <c r="L43942" s="13"/>
      <c r="M43942" s="14"/>
      <c r="N43942" s="14"/>
      <c r="O43942" s="14"/>
      <c r="P43942" s="13"/>
    </row>
    <row r="43943">
      <c r="L43943" s="13"/>
      <c r="M43943" s="14"/>
      <c r="N43943" s="14"/>
      <c r="O43943" s="14"/>
      <c r="P43943" s="13"/>
    </row>
    <row r="43944">
      <c r="L43944" s="13"/>
      <c r="M43944" s="14"/>
      <c r="N43944" s="14"/>
      <c r="O43944" s="14"/>
      <c r="P43944" s="13"/>
    </row>
    <row r="43945">
      <c r="L43945" s="13"/>
      <c r="M43945" s="14"/>
      <c r="N43945" s="14"/>
      <c r="O43945" s="14"/>
      <c r="P43945" s="13"/>
    </row>
    <row r="43946">
      <c r="L43946" s="13"/>
      <c r="M43946" s="14"/>
      <c r="N43946" s="14"/>
      <c r="O43946" s="14"/>
      <c r="P43946" s="13"/>
    </row>
    <row r="43947">
      <c r="L43947" s="13"/>
      <c r="M43947" s="14"/>
      <c r="N43947" s="14"/>
      <c r="O43947" s="14"/>
      <c r="P43947" s="13"/>
    </row>
    <row r="43948">
      <c r="L43948" s="13"/>
      <c r="M43948" s="14"/>
      <c r="N43948" s="14"/>
      <c r="O43948" s="14"/>
      <c r="P43948" s="13"/>
    </row>
    <row r="43949">
      <c r="L43949" s="13"/>
      <c r="M43949" s="14"/>
      <c r="N43949" s="14"/>
      <c r="O43949" s="14"/>
      <c r="P43949" s="13"/>
    </row>
    <row r="43950">
      <c r="L43950" s="13"/>
      <c r="M43950" s="14"/>
      <c r="N43950" s="14"/>
      <c r="O43950" s="14"/>
      <c r="P43950" s="13"/>
    </row>
    <row r="43951">
      <c r="L43951" s="13"/>
      <c r="M43951" s="14"/>
      <c r="N43951" s="14"/>
      <c r="O43951" s="14"/>
      <c r="P43951" s="13"/>
    </row>
    <row r="43952">
      <c r="L43952" s="13"/>
      <c r="M43952" s="14"/>
      <c r="N43952" s="14"/>
      <c r="O43952" s="14"/>
      <c r="P43952" s="13"/>
    </row>
    <row r="43953">
      <c r="L43953" s="13"/>
      <c r="M43953" s="14"/>
      <c r="N43953" s="14"/>
      <c r="O43953" s="14"/>
      <c r="P43953" s="13"/>
    </row>
    <row r="43954">
      <c r="L43954" s="13"/>
      <c r="M43954" s="14"/>
      <c r="N43954" s="14"/>
      <c r="O43954" s="14"/>
      <c r="P43954" s="13"/>
    </row>
    <row r="43955">
      <c r="L43955" s="13"/>
      <c r="M43955" s="14"/>
      <c r="N43955" s="14"/>
      <c r="O43955" s="14"/>
      <c r="P43955" s="13"/>
    </row>
    <row r="43956">
      <c r="L43956" s="13"/>
      <c r="M43956" s="14"/>
      <c r="N43956" s="14"/>
      <c r="O43956" s="14"/>
      <c r="P43956" s="13"/>
    </row>
    <row r="43957">
      <c r="L43957" s="13"/>
      <c r="M43957" s="14"/>
      <c r="N43957" s="14"/>
      <c r="O43957" s="14"/>
      <c r="P43957" s="13"/>
    </row>
    <row r="43958">
      <c r="L43958" s="13"/>
      <c r="M43958" s="14"/>
      <c r="N43958" s="14"/>
      <c r="O43958" s="14"/>
      <c r="P43958" s="13"/>
    </row>
    <row r="43959">
      <c r="L43959" s="13"/>
      <c r="M43959" s="14"/>
      <c r="N43959" s="14"/>
      <c r="O43959" s="14"/>
      <c r="P43959" s="13"/>
    </row>
    <row r="43960">
      <c r="L43960" s="13"/>
      <c r="M43960" s="14"/>
      <c r="N43960" s="14"/>
      <c r="O43960" s="14"/>
      <c r="P43960" s="13"/>
    </row>
    <row r="43961">
      <c r="L43961" s="13"/>
      <c r="M43961" s="14"/>
      <c r="N43961" s="14"/>
      <c r="O43961" s="14"/>
      <c r="P43961" s="13"/>
    </row>
    <row r="43962">
      <c r="L43962" s="13"/>
      <c r="M43962" s="14"/>
      <c r="N43962" s="14"/>
      <c r="O43962" s="14"/>
      <c r="P43962" s="13"/>
    </row>
    <row r="43963">
      <c r="L43963" s="13"/>
      <c r="M43963" s="14"/>
      <c r="N43963" s="14"/>
      <c r="O43963" s="14"/>
      <c r="P43963" s="13"/>
    </row>
    <row r="43964">
      <c r="L43964" s="13"/>
      <c r="M43964" s="14"/>
      <c r="N43964" s="14"/>
      <c r="O43964" s="14"/>
      <c r="P43964" s="13"/>
    </row>
    <row r="43965">
      <c r="L43965" s="13"/>
      <c r="M43965" s="14"/>
      <c r="N43965" s="14"/>
      <c r="O43965" s="14"/>
      <c r="P43965" s="13"/>
    </row>
    <row r="43966">
      <c r="L43966" s="13"/>
      <c r="M43966" s="14"/>
      <c r="N43966" s="14"/>
      <c r="O43966" s="14"/>
      <c r="P43966" s="13"/>
    </row>
    <row r="43967">
      <c r="L43967" s="13"/>
      <c r="M43967" s="14"/>
      <c r="N43967" s="14"/>
      <c r="O43967" s="14"/>
      <c r="P43967" s="13"/>
    </row>
    <row r="43968">
      <c r="L43968" s="13"/>
      <c r="M43968" s="14"/>
      <c r="N43968" s="14"/>
      <c r="O43968" s="14"/>
      <c r="P43968" s="13"/>
    </row>
    <row r="43969">
      <c r="L43969" s="13"/>
      <c r="M43969" s="14"/>
      <c r="N43969" s="14"/>
      <c r="O43969" s="14"/>
      <c r="P43969" s="13"/>
    </row>
    <row r="43970">
      <c r="L43970" s="13"/>
      <c r="M43970" s="14"/>
      <c r="N43970" s="14"/>
      <c r="O43970" s="14"/>
      <c r="P43970" s="13"/>
    </row>
    <row r="43971">
      <c r="L43971" s="13"/>
      <c r="M43971" s="14"/>
      <c r="N43971" s="14"/>
      <c r="O43971" s="14"/>
      <c r="P43971" s="13"/>
    </row>
    <row r="43972">
      <c r="L43972" s="13"/>
      <c r="M43972" s="14"/>
      <c r="N43972" s="14"/>
      <c r="O43972" s="14"/>
      <c r="P43972" s="13"/>
    </row>
    <row r="43973">
      <c r="L43973" s="13"/>
      <c r="M43973" s="14"/>
      <c r="N43973" s="14"/>
      <c r="O43973" s="14"/>
      <c r="P43973" s="13"/>
    </row>
    <row r="43974">
      <c r="L43974" s="13"/>
      <c r="M43974" s="14"/>
      <c r="N43974" s="14"/>
      <c r="O43974" s="14"/>
      <c r="P43974" s="13"/>
    </row>
    <row r="43975">
      <c r="L43975" s="13"/>
      <c r="M43975" s="14"/>
      <c r="N43975" s="14"/>
      <c r="O43975" s="14"/>
      <c r="P43975" s="13"/>
    </row>
    <row r="43976">
      <c r="L43976" s="13"/>
      <c r="M43976" s="14"/>
      <c r="N43976" s="14"/>
      <c r="O43976" s="14"/>
      <c r="P43976" s="13"/>
    </row>
    <row r="43977">
      <c r="L43977" s="13"/>
      <c r="M43977" s="14"/>
      <c r="N43977" s="14"/>
      <c r="O43977" s="14"/>
      <c r="P43977" s="13"/>
    </row>
    <row r="43978">
      <c r="L43978" s="13"/>
      <c r="M43978" s="14"/>
      <c r="N43978" s="14"/>
      <c r="O43978" s="14"/>
      <c r="P43978" s="13"/>
    </row>
    <row r="43979">
      <c r="L43979" s="13"/>
      <c r="M43979" s="14"/>
      <c r="N43979" s="14"/>
      <c r="O43979" s="14"/>
      <c r="P43979" s="13"/>
    </row>
    <row r="43980">
      <c r="L43980" s="13"/>
      <c r="M43980" s="14"/>
      <c r="N43980" s="14"/>
      <c r="O43980" s="14"/>
      <c r="P43980" s="13"/>
    </row>
    <row r="43981">
      <c r="L43981" s="13"/>
      <c r="M43981" s="14"/>
      <c r="N43981" s="14"/>
      <c r="O43981" s="14"/>
      <c r="P43981" s="13"/>
    </row>
    <row r="43982">
      <c r="L43982" s="13"/>
      <c r="M43982" s="14"/>
      <c r="N43982" s="14"/>
      <c r="O43982" s="14"/>
      <c r="P43982" s="13"/>
    </row>
    <row r="43983">
      <c r="L43983" s="13"/>
      <c r="M43983" s="14"/>
      <c r="N43983" s="14"/>
      <c r="O43983" s="14"/>
      <c r="P43983" s="13"/>
    </row>
    <row r="43984">
      <c r="L43984" s="13"/>
      <c r="M43984" s="14"/>
      <c r="N43984" s="14"/>
      <c r="O43984" s="14"/>
      <c r="P43984" s="13"/>
    </row>
    <row r="43985">
      <c r="L43985" s="13"/>
      <c r="M43985" s="14"/>
      <c r="N43985" s="14"/>
      <c r="O43985" s="14"/>
      <c r="P43985" s="13"/>
    </row>
    <row r="43986">
      <c r="L43986" s="13"/>
      <c r="M43986" s="14"/>
      <c r="N43986" s="14"/>
      <c r="O43986" s="14"/>
      <c r="P43986" s="13"/>
    </row>
    <row r="43987">
      <c r="L43987" s="13"/>
      <c r="M43987" s="14"/>
      <c r="N43987" s="14"/>
      <c r="O43987" s="14"/>
      <c r="P43987" s="13"/>
    </row>
    <row r="43988">
      <c r="L43988" s="13"/>
      <c r="M43988" s="14"/>
      <c r="N43988" s="14"/>
      <c r="O43988" s="14"/>
      <c r="P43988" s="13"/>
    </row>
    <row r="43989">
      <c r="L43989" s="13"/>
      <c r="M43989" s="14"/>
      <c r="N43989" s="14"/>
      <c r="O43989" s="14"/>
      <c r="P43989" s="13"/>
    </row>
    <row r="43990">
      <c r="L43990" s="13"/>
      <c r="M43990" s="14"/>
      <c r="N43990" s="14"/>
      <c r="O43990" s="14"/>
      <c r="P43990" s="13"/>
    </row>
    <row r="43991">
      <c r="L43991" s="13"/>
      <c r="M43991" s="14"/>
      <c r="N43991" s="14"/>
      <c r="O43991" s="14"/>
      <c r="P43991" s="13"/>
    </row>
    <row r="43992">
      <c r="L43992" s="13"/>
      <c r="M43992" s="14"/>
      <c r="N43992" s="14"/>
      <c r="O43992" s="14"/>
      <c r="P43992" s="13"/>
    </row>
    <row r="43993">
      <c r="L43993" s="13"/>
      <c r="M43993" s="14"/>
      <c r="N43993" s="14"/>
      <c r="O43993" s="14"/>
      <c r="P43993" s="13"/>
    </row>
    <row r="43994">
      <c r="L43994" s="13"/>
      <c r="M43994" s="14"/>
      <c r="N43994" s="14"/>
      <c r="O43994" s="14"/>
      <c r="P43994" s="13"/>
    </row>
    <row r="43995">
      <c r="L43995" s="13"/>
      <c r="M43995" s="14"/>
      <c r="N43995" s="14"/>
      <c r="O43995" s="14"/>
      <c r="P43995" s="13"/>
    </row>
    <row r="43996">
      <c r="L43996" s="13"/>
      <c r="M43996" s="14"/>
      <c r="N43996" s="14"/>
      <c r="O43996" s="14"/>
      <c r="P43996" s="13"/>
    </row>
    <row r="43997">
      <c r="L43997" s="13"/>
      <c r="M43997" s="14"/>
      <c r="N43997" s="14"/>
      <c r="O43997" s="14"/>
      <c r="P43997" s="13"/>
    </row>
    <row r="43998">
      <c r="L43998" s="13"/>
      <c r="M43998" s="14"/>
      <c r="N43998" s="14"/>
      <c r="O43998" s="14"/>
      <c r="P43998" s="13"/>
    </row>
    <row r="43999">
      <c r="L43999" s="13"/>
      <c r="M43999" s="14"/>
      <c r="N43999" s="14"/>
      <c r="O43999" s="14"/>
      <c r="P43999" s="13"/>
    </row>
    <row r="44000">
      <c r="L44000" s="13"/>
      <c r="M44000" s="14"/>
      <c r="N44000" s="14"/>
      <c r="O44000" s="14"/>
      <c r="P44000" s="13"/>
    </row>
    <row r="44001">
      <c r="L44001" s="13"/>
      <c r="M44001" s="14"/>
      <c r="N44001" s="14"/>
      <c r="O44001" s="14"/>
      <c r="P44001" s="13"/>
    </row>
    <row r="44002">
      <c r="L44002" s="13"/>
      <c r="M44002" s="14"/>
      <c r="N44002" s="14"/>
      <c r="O44002" s="14"/>
      <c r="P44002" s="13"/>
    </row>
    <row r="44003">
      <c r="L44003" s="13"/>
      <c r="M44003" s="14"/>
      <c r="N44003" s="14"/>
      <c r="O44003" s="14"/>
      <c r="P44003" s="13"/>
    </row>
    <row r="44004">
      <c r="L44004" s="13"/>
      <c r="M44004" s="14"/>
      <c r="N44004" s="14"/>
      <c r="O44004" s="14"/>
      <c r="P44004" s="13"/>
    </row>
    <row r="44005">
      <c r="L44005" s="13"/>
      <c r="M44005" s="14"/>
      <c r="N44005" s="14"/>
      <c r="O44005" s="14"/>
      <c r="P44005" s="13"/>
    </row>
    <row r="44006">
      <c r="L44006" s="13"/>
      <c r="M44006" s="14"/>
      <c r="N44006" s="14"/>
      <c r="O44006" s="14"/>
      <c r="P44006" s="13"/>
    </row>
    <row r="44007">
      <c r="L44007" s="13"/>
      <c r="M44007" s="14"/>
      <c r="N44007" s="14"/>
      <c r="O44007" s="14"/>
      <c r="P44007" s="13"/>
    </row>
    <row r="44008">
      <c r="L44008" s="13"/>
      <c r="M44008" s="14"/>
      <c r="N44008" s="14"/>
      <c r="O44008" s="14"/>
      <c r="P44008" s="13"/>
    </row>
    <row r="44009">
      <c r="L44009" s="13"/>
      <c r="M44009" s="14"/>
      <c r="N44009" s="14"/>
      <c r="O44009" s="14"/>
      <c r="P44009" s="13"/>
    </row>
    <row r="44010">
      <c r="L44010" s="13"/>
      <c r="M44010" s="14"/>
      <c r="N44010" s="14"/>
      <c r="O44010" s="14"/>
      <c r="P44010" s="13"/>
    </row>
    <row r="44011">
      <c r="L44011" s="13"/>
      <c r="M44011" s="14"/>
      <c r="N44011" s="14"/>
      <c r="O44011" s="14"/>
      <c r="P44011" s="13"/>
    </row>
    <row r="44012">
      <c r="L44012" s="13"/>
      <c r="M44012" s="14"/>
      <c r="N44012" s="14"/>
      <c r="O44012" s="14"/>
      <c r="P44012" s="13"/>
    </row>
    <row r="44013">
      <c r="L44013" s="13"/>
      <c r="M44013" s="14"/>
      <c r="N44013" s="14"/>
      <c r="O44013" s="14"/>
      <c r="P44013" s="13"/>
    </row>
    <row r="44014">
      <c r="L44014" s="13"/>
      <c r="M44014" s="14"/>
      <c r="N44014" s="14"/>
      <c r="O44014" s="14"/>
      <c r="P44014" s="13"/>
    </row>
    <row r="44015">
      <c r="L44015" s="13"/>
      <c r="M44015" s="14"/>
      <c r="N44015" s="14"/>
      <c r="O44015" s="14"/>
      <c r="P44015" s="13"/>
    </row>
    <row r="44016">
      <c r="L44016" s="13"/>
      <c r="M44016" s="14"/>
      <c r="N44016" s="14"/>
      <c r="O44016" s="14"/>
      <c r="P44016" s="13"/>
    </row>
    <row r="44017">
      <c r="L44017" s="13"/>
      <c r="M44017" s="14"/>
      <c r="N44017" s="14"/>
      <c r="O44017" s="14"/>
      <c r="P44017" s="13"/>
    </row>
    <row r="44018">
      <c r="L44018" s="13"/>
      <c r="M44018" s="14"/>
      <c r="N44018" s="14"/>
      <c r="O44018" s="14"/>
      <c r="P44018" s="13"/>
    </row>
    <row r="44019">
      <c r="L44019" s="13"/>
      <c r="M44019" s="14"/>
      <c r="N44019" s="14"/>
      <c r="O44019" s="14"/>
      <c r="P44019" s="13"/>
    </row>
    <row r="44020">
      <c r="L44020" s="13"/>
      <c r="M44020" s="14"/>
      <c r="N44020" s="14"/>
      <c r="O44020" s="14"/>
      <c r="P44020" s="13"/>
    </row>
    <row r="44021">
      <c r="L44021" s="13"/>
      <c r="M44021" s="14"/>
      <c r="N44021" s="14"/>
      <c r="O44021" s="14"/>
      <c r="P44021" s="13"/>
    </row>
    <row r="44022">
      <c r="L44022" s="13"/>
      <c r="M44022" s="14"/>
      <c r="N44022" s="14"/>
      <c r="O44022" s="14"/>
      <c r="P44022" s="13"/>
    </row>
    <row r="44023">
      <c r="L44023" s="13"/>
      <c r="M44023" s="14"/>
      <c r="N44023" s="14"/>
      <c r="O44023" s="14"/>
      <c r="P44023" s="13"/>
    </row>
    <row r="44024">
      <c r="L44024" s="13"/>
      <c r="M44024" s="14"/>
      <c r="N44024" s="14"/>
      <c r="O44024" s="14"/>
      <c r="P44024" s="13"/>
    </row>
    <row r="44025">
      <c r="L44025" s="13"/>
      <c r="M44025" s="14"/>
      <c r="N44025" s="14"/>
      <c r="O44025" s="14"/>
      <c r="P44025" s="13"/>
    </row>
    <row r="44026">
      <c r="L44026" s="13"/>
      <c r="M44026" s="14"/>
      <c r="N44026" s="14"/>
      <c r="O44026" s="14"/>
      <c r="P44026" s="13"/>
    </row>
    <row r="44027">
      <c r="L44027" s="13"/>
      <c r="M44027" s="14"/>
      <c r="N44027" s="14"/>
      <c r="O44027" s="14"/>
      <c r="P44027" s="13"/>
    </row>
    <row r="44028">
      <c r="L44028" s="13"/>
      <c r="M44028" s="14"/>
      <c r="N44028" s="14"/>
      <c r="O44028" s="14"/>
      <c r="P44028" s="13"/>
    </row>
    <row r="44029">
      <c r="L44029" s="13"/>
      <c r="M44029" s="14"/>
      <c r="N44029" s="14"/>
      <c r="O44029" s="14"/>
      <c r="P44029" s="13"/>
    </row>
    <row r="44030">
      <c r="L44030" s="13"/>
      <c r="M44030" s="14"/>
      <c r="N44030" s="14"/>
      <c r="O44030" s="14"/>
      <c r="P44030" s="13"/>
    </row>
    <row r="44031">
      <c r="L44031" s="13"/>
      <c r="M44031" s="14"/>
      <c r="N44031" s="14"/>
      <c r="O44031" s="14"/>
      <c r="P44031" s="13"/>
    </row>
    <row r="44032">
      <c r="L44032" s="13"/>
      <c r="M44032" s="14"/>
      <c r="N44032" s="14"/>
      <c r="O44032" s="14"/>
      <c r="P44032" s="13"/>
    </row>
    <row r="44033">
      <c r="L44033" s="13"/>
      <c r="M44033" s="14"/>
      <c r="N44033" s="14"/>
      <c r="O44033" s="14"/>
      <c r="P44033" s="13"/>
    </row>
    <row r="44034">
      <c r="L44034" s="13"/>
      <c r="M44034" s="14"/>
      <c r="N44034" s="14"/>
      <c r="O44034" s="14"/>
      <c r="P44034" s="13"/>
    </row>
    <row r="44035">
      <c r="L44035" s="13"/>
      <c r="M44035" s="14"/>
      <c r="N44035" s="14"/>
      <c r="O44035" s="14"/>
      <c r="P44035" s="13"/>
    </row>
    <row r="44036">
      <c r="L44036" s="13"/>
      <c r="M44036" s="14"/>
      <c r="N44036" s="14"/>
      <c r="O44036" s="14"/>
      <c r="P44036" s="13"/>
    </row>
    <row r="44037">
      <c r="L44037" s="13"/>
      <c r="M44037" s="14"/>
      <c r="N44037" s="14"/>
      <c r="O44037" s="14"/>
      <c r="P44037" s="13"/>
    </row>
    <row r="44038">
      <c r="L44038" s="13"/>
      <c r="M44038" s="14"/>
      <c r="N44038" s="14"/>
      <c r="O44038" s="14"/>
      <c r="P44038" s="13"/>
    </row>
    <row r="44039">
      <c r="L44039" s="13"/>
      <c r="M44039" s="14"/>
      <c r="N44039" s="14"/>
      <c r="O44039" s="14"/>
      <c r="P44039" s="13"/>
    </row>
    <row r="44040">
      <c r="L44040" s="13"/>
      <c r="M44040" s="14"/>
      <c r="N44040" s="14"/>
      <c r="O44040" s="14"/>
      <c r="P44040" s="13"/>
    </row>
    <row r="44041">
      <c r="L44041" s="13"/>
      <c r="M44041" s="14"/>
      <c r="N44041" s="14"/>
      <c r="O44041" s="14"/>
      <c r="P44041" s="13"/>
    </row>
    <row r="44042">
      <c r="L44042" s="13"/>
      <c r="M44042" s="14"/>
      <c r="N44042" s="14"/>
      <c r="O44042" s="14"/>
      <c r="P44042" s="13"/>
    </row>
    <row r="44043">
      <c r="L44043" s="13"/>
      <c r="M44043" s="14"/>
      <c r="N44043" s="14"/>
      <c r="O44043" s="14"/>
      <c r="P44043" s="13"/>
    </row>
    <row r="44044">
      <c r="L44044" s="13"/>
      <c r="M44044" s="14"/>
      <c r="N44044" s="14"/>
      <c r="O44044" s="14"/>
      <c r="P44044" s="13"/>
    </row>
    <row r="44045">
      <c r="L44045" s="13"/>
      <c r="M44045" s="14"/>
      <c r="N44045" s="14"/>
      <c r="O44045" s="14"/>
      <c r="P44045" s="13"/>
    </row>
    <row r="44046">
      <c r="L44046" s="13"/>
      <c r="M44046" s="14"/>
      <c r="N44046" s="14"/>
      <c r="O44046" s="14"/>
      <c r="P44046" s="13"/>
    </row>
    <row r="44047">
      <c r="L44047" s="13"/>
      <c r="M44047" s="14"/>
      <c r="N44047" s="14"/>
      <c r="O44047" s="14"/>
      <c r="P44047" s="13"/>
    </row>
    <row r="44048">
      <c r="L44048" s="13"/>
      <c r="M44048" s="14"/>
      <c r="N44048" s="14"/>
      <c r="O44048" s="14"/>
      <c r="P44048" s="13"/>
    </row>
    <row r="44049">
      <c r="L44049" s="13"/>
      <c r="M44049" s="14"/>
      <c r="N44049" s="14"/>
      <c r="O44049" s="14"/>
      <c r="P44049" s="13"/>
    </row>
    <row r="44050">
      <c r="L44050" s="13"/>
      <c r="M44050" s="14"/>
      <c r="N44050" s="14"/>
      <c r="O44050" s="14"/>
      <c r="P44050" s="13"/>
    </row>
    <row r="44051">
      <c r="L44051" s="13"/>
      <c r="M44051" s="14"/>
      <c r="N44051" s="14"/>
      <c r="O44051" s="14"/>
      <c r="P44051" s="13"/>
    </row>
    <row r="44052">
      <c r="L44052" s="13"/>
      <c r="M44052" s="14"/>
      <c r="N44052" s="14"/>
      <c r="O44052" s="14"/>
      <c r="P44052" s="13"/>
    </row>
    <row r="44053">
      <c r="L44053" s="13"/>
      <c r="M44053" s="14"/>
      <c r="N44053" s="14"/>
      <c r="O44053" s="14"/>
      <c r="P44053" s="13"/>
    </row>
    <row r="44054">
      <c r="L44054" s="13"/>
      <c r="M44054" s="14"/>
      <c r="N44054" s="14"/>
      <c r="O44054" s="14"/>
      <c r="P44054" s="13"/>
    </row>
    <row r="44055">
      <c r="L44055" s="13"/>
      <c r="M44055" s="14"/>
      <c r="N44055" s="14"/>
      <c r="O44055" s="14"/>
      <c r="P44055" s="13"/>
    </row>
    <row r="44056">
      <c r="L44056" s="13"/>
      <c r="M44056" s="14"/>
      <c r="N44056" s="14"/>
      <c r="O44056" s="14"/>
      <c r="P44056" s="13"/>
    </row>
    <row r="44057">
      <c r="L44057" s="13"/>
      <c r="M44057" s="14"/>
      <c r="N44057" s="14"/>
      <c r="O44057" s="14"/>
      <c r="P44057" s="13"/>
    </row>
    <row r="44058">
      <c r="L44058" s="13"/>
      <c r="M44058" s="14"/>
      <c r="N44058" s="14"/>
      <c r="O44058" s="14"/>
      <c r="P44058" s="13"/>
    </row>
    <row r="44059">
      <c r="L44059" s="13"/>
      <c r="M44059" s="14"/>
      <c r="N44059" s="14"/>
      <c r="O44059" s="14"/>
      <c r="P44059" s="13"/>
    </row>
    <row r="44060">
      <c r="L44060" s="13"/>
      <c r="M44060" s="14"/>
      <c r="N44060" s="14"/>
      <c r="O44060" s="14"/>
      <c r="P44060" s="13"/>
    </row>
    <row r="44061">
      <c r="L44061" s="13"/>
      <c r="M44061" s="14"/>
      <c r="N44061" s="14"/>
      <c r="O44061" s="14"/>
      <c r="P44061" s="13"/>
    </row>
    <row r="44062">
      <c r="L44062" s="13"/>
      <c r="M44062" s="14"/>
      <c r="N44062" s="14"/>
      <c r="O44062" s="14"/>
      <c r="P44062" s="13"/>
    </row>
    <row r="44063">
      <c r="L44063" s="13"/>
      <c r="M44063" s="14"/>
      <c r="N44063" s="14"/>
      <c r="O44063" s="14"/>
      <c r="P44063" s="13"/>
    </row>
    <row r="44064">
      <c r="L44064" s="13"/>
      <c r="M44064" s="14"/>
      <c r="N44064" s="14"/>
      <c r="O44064" s="14"/>
      <c r="P44064" s="13"/>
    </row>
    <row r="44065">
      <c r="L44065" s="13"/>
      <c r="M44065" s="14"/>
      <c r="N44065" s="14"/>
      <c r="O44065" s="14"/>
      <c r="P44065" s="13"/>
    </row>
    <row r="44066">
      <c r="L44066" s="13"/>
      <c r="M44066" s="14"/>
      <c r="N44066" s="14"/>
      <c r="O44066" s="14"/>
      <c r="P44066" s="13"/>
    </row>
    <row r="44067">
      <c r="L44067" s="13"/>
      <c r="M44067" s="14"/>
      <c r="N44067" s="14"/>
      <c r="O44067" s="14"/>
      <c r="P44067" s="13"/>
    </row>
    <row r="44068">
      <c r="L44068" s="13"/>
      <c r="M44068" s="14"/>
      <c r="N44068" s="14"/>
      <c r="O44068" s="14"/>
      <c r="P44068" s="13"/>
    </row>
    <row r="44069">
      <c r="L44069" s="13"/>
      <c r="M44069" s="14"/>
      <c r="N44069" s="14"/>
      <c r="O44069" s="14"/>
      <c r="P44069" s="13"/>
    </row>
    <row r="44070">
      <c r="L44070" s="13"/>
      <c r="M44070" s="14"/>
      <c r="N44070" s="14"/>
      <c r="O44070" s="14"/>
      <c r="P44070" s="13"/>
    </row>
    <row r="44071">
      <c r="L44071" s="13"/>
      <c r="M44071" s="14"/>
      <c r="N44071" s="14"/>
      <c r="O44071" s="14"/>
      <c r="P44071" s="13"/>
    </row>
    <row r="44072">
      <c r="L44072" s="13"/>
      <c r="M44072" s="14"/>
      <c r="N44072" s="14"/>
      <c r="O44072" s="14"/>
      <c r="P44072" s="13"/>
    </row>
    <row r="44073">
      <c r="L44073" s="13"/>
      <c r="M44073" s="14"/>
      <c r="N44073" s="14"/>
      <c r="O44073" s="14"/>
      <c r="P44073" s="13"/>
    </row>
    <row r="44074">
      <c r="L44074" s="13"/>
      <c r="M44074" s="14"/>
      <c r="N44074" s="14"/>
      <c r="O44074" s="14"/>
      <c r="P44074" s="13"/>
    </row>
    <row r="44075">
      <c r="L44075" s="13"/>
      <c r="M44075" s="14"/>
      <c r="N44075" s="14"/>
      <c r="O44075" s="14"/>
      <c r="P44075" s="13"/>
    </row>
    <row r="44076">
      <c r="L44076" s="13"/>
      <c r="M44076" s="14"/>
      <c r="N44076" s="14"/>
      <c r="O44076" s="14"/>
      <c r="P44076" s="13"/>
    </row>
    <row r="44077">
      <c r="L44077" s="13"/>
      <c r="M44077" s="14"/>
      <c r="N44077" s="14"/>
      <c r="O44077" s="14"/>
      <c r="P44077" s="13"/>
    </row>
    <row r="44078">
      <c r="L44078" s="13"/>
      <c r="M44078" s="14"/>
      <c r="N44078" s="14"/>
      <c r="O44078" s="14"/>
      <c r="P44078" s="13"/>
    </row>
    <row r="44079">
      <c r="L44079" s="13"/>
      <c r="M44079" s="14"/>
      <c r="N44079" s="14"/>
      <c r="O44079" s="14"/>
      <c r="P44079" s="13"/>
    </row>
    <row r="44080">
      <c r="L44080" s="13"/>
      <c r="M44080" s="14"/>
      <c r="N44080" s="14"/>
      <c r="O44080" s="14"/>
      <c r="P44080" s="13"/>
    </row>
    <row r="44081">
      <c r="L44081" s="13"/>
      <c r="M44081" s="14"/>
      <c r="N44081" s="14"/>
      <c r="O44081" s="14"/>
      <c r="P44081" s="13"/>
    </row>
    <row r="44082">
      <c r="L44082" s="13"/>
      <c r="M44082" s="14"/>
      <c r="N44082" s="14"/>
      <c r="O44082" s="14"/>
      <c r="P44082" s="13"/>
    </row>
    <row r="44083">
      <c r="L44083" s="13"/>
      <c r="M44083" s="14"/>
      <c r="N44083" s="14"/>
      <c r="O44083" s="14"/>
      <c r="P44083" s="13"/>
    </row>
    <row r="44084">
      <c r="L44084" s="13"/>
      <c r="M44084" s="14"/>
      <c r="N44084" s="14"/>
      <c r="O44084" s="14"/>
      <c r="P44084" s="13"/>
    </row>
    <row r="44085">
      <c r="L44085" s="13"/>
      <c r="M44085" s="14"/>
      <c r="N44085" s="14"/>
      <c r="O44085" s="14"/>
      <c r="P44085" s="13"/>
    </row>
    <row r="44086">
      <c r="L44086" s="13"/>
      <c r="M44086" s="14"/>
      <c r="N44086" s="14"/>
      <c r="O44086" s="14"/>
      <c r="P44086" s="13"/>
    </row>
    <row r="44087">
      <c r="L44087" s="13"/>
      <c r="M44087" s="14"/>
      <c r="N44087" s="14"/>
      <c r="O44087" s="14"/>
      <c r="P44087" s="13"/>
    </row>
    <row r="44088">
      <c r="L44088" s="13"/>
      <c r="M44088" s="14"/>
      <c r="N44088" s="14"/>
      <c r="O44088" s="14"/>
      <c r="P44088" s="13"/>
    </row>
    <row r="44089">
      <c r="L44089" s="13"/>
      <c r="M44089" s="14"/>
      <c r="N44089" s="14"/>
      <c r="O44089" s="14"/>
      <c r="P44089" s="13"/>
    </row>
    <row r="44090">
      <c r="L44090" s="13"/>
      <c r="M44090" s="14"/>
      <c r="N44090" s="14"/>
      <c r="O44090" s="14"/>
      <c r="P44090" s="13"/>
    </row>
    <row r="44091">
      <c r="L44091" s="13"/>
      <c r="M44091" s="14"/>
      <c r="N44091" s="14"/>
      <c r="O44091" s="14"/>
      <c r="P44091" s="13"/>
    </row>
    <row r="44092">
      <c r="L44092" s="13"/>
      <c r="M44092" s="14"/>
      <c r="N44092" s="14"/>
      <c r="O44092" s="14"/>
      <c r="P44092" s="13"/>
    </row>
    <row r="44093">
      <c r="L44093" s="13"/>
      <c r="M44093" s="14"/>
      <c r="N44093" s="14"/>
      <c r="O44093" s="14"/>
      <c r="P44093" s="13"/>
    </row>
    <row r="44094">
      <c r="L44094" s="13"/>
      <c r="M44094" s="14"/>
      <c r="N44094" s="14"/>
      <c r="O44094" s="14"/>
      <c r="P44094" s="13"/>
    </row>
    <row r="44095">
      <c r="L44095" s="13"/>
      <c r="M44095" s="14"/>
      <c r="N44095" s="14"/>
      <c r="O44095" s="14"/>
      <c r="P44095" s="13"/>
    </row>
    <row r="44096">
      <c r="L44096" s="13"/>
      <c r="M44096" s="14"/>
      <c r="N44096" s="14"/>
      <c r="O44096" s="14"/>
      <c r="P44096" s="13"/>
    </row>
    <row r="44097">
      <c r="L44097" s="13"/>
      <c r="M44097" s="14"/>
      <c r="N44097" s="14"/>
      <c r="O44097" s="14"/>
      <c r="P44097" s="13"/>
    </row>
    <row r="44098">
      <c r="L44098" s="13"/>
      <c r="M44098" s="14"/>
      <c r="N44098" s="14"/>
      <c r="O44098" s="14"/>
      <c r="P44098" s="13"/>
    </row>
    <row r="44099">
      <c r="L44099" s="13"/>
      <c r="M44099" s="14"/>
      <c r="N44099" s="14"/>
      <c r="O44099" s="14"/>
      <c r="P44099" s="13"/>
    </row>
    <row r="44100">
      <c r="L44100" s="13"/>
      <c r="M44100" s="14"/>
      <c r="N44100" s="14"/>
      <c r="O44100" s="14"/>
      <c r="P44100" s="13"/>
    </row>
    <row r="44101">
      <c r="L44101" s="13"/>
      <c r="M44101" s="14"/>
      <c r="N44101" s="14"/>
      <c r="O44101" s="14"/>
      <c r="P44101" s="13"/>
    </row>
    <row r="44102">
      <c r="L44102" s="13"/>
      <c r="M44102" s="14"/>
      <c r="N44102" s="14"/>
      <c r="O44102" s="14"/>
      <c r="P44102" s="13"/>
    </row>
    <row r="44103">
      <c r="L44103" s="13"/>
      <c r="M44103" s="14"/>
      <c r="N44103" s="14"/>
      <c r="O44103" s="14"/>
      <c r="P44103" s="13"/>
    </row>
    <row r="44104">
      <c r="L44104" s="13"/>
      <c r="M44104" s="14"/>
      <c r="N44104" s="14"/>
      <c r="O44104" s="14"/>
      <c r="P44104" s="13"/>
    </row>
    <row r="44105">
      <c r="L44105" s="13"/>
      <c r="M44105" s="14"/>
      <c r="N44105" s="14"/>
      <c r="O44105" s="14"/>
      <c r="P44105" s="13"/>
    </row>
    <row r="44106">
      <c r="L44106" s="13"/>
      <c r="M44106" s="14"/>
      <c r="N44106" s="14"/>
      <c r="O44106" s="14"/>
      <c r="P44106" s="13"/>
    </row>
    <row r="44107">
      <c r="L44107" s="13"/>
      <c r="M44107" s="14"/>
      <c r="N44107" s="14"/>
      <c r="O44107" s="14"/>
      <c r="P44107" s="13"/>
    </row>
    <row r="44108">
      <c r="L44108" s="13"/>
      <c r="M44108" s="14"/>
      <c r="N44108" s="14"/>
      <c r="O44108" s="14"/>
      <c r="P44108" s="13"/>
    </row>
    <row r="44109">
      <c r="L44109" s="13"/>
      <c r="M44109" s="14"/>
      <c r="N44109" s="14"/>
      <c r="O44109" s="14"/>
      <c r="P44109" s="13"/>
    </row>
    <row r="44110">
      <c r="L44110" s="13"/>
      <c r="M44110" s="14"/>
      <c r="N44110" s="14"/>
      <c r="O44110" s="14"/>
      <c r="P44110" s="13"/>
    </row>
    <row r="44111">
      <c r="L44111" s="13"/>
      <c r="M44111" s="14"/>
      <c r="N44111" s="14"/>
      <c r="O44111" s="14"/>
      <c r="P44111" s="13"/>
    </row>
    <row r="44112">
      <c r="L44112" s="13"/>
      <c r="M44112" s="14"/>
      <c r="N44112" s="14"/>
      <c r="O44112" s="14"/>
      <c r="P44112" s="13"/>
    </row>
    <row r="44113">
      <c r="L44113" s="13"/>
      <c r="M44113" s="14"/>
      <c r="N44113" s="14"/>
      <c r="O44113" s="14"/>
      <c r="P44113" s="13"/>
    </row>
    <row r="44114">
      <c r="L44114" s="13"/>
      <c r="M44114" s="14"/>
      <c r="N44114" s="14"/>
      <c r="O44114" s="14"/>
      <c r="P44114" s="13"/>
    </row>
    <row r="44115">
      <c r="L44115" s="13"/>
      <c r="M44115" s="14"/>
      <c r="N44115" s="14"/>
      <c r="O44115" s="14"/>
      <c r="P44115" s="13"/>
    </row>
    <row r="44116">
      <c r="L44116" s="13"/>
      <c r="M44116" s="14"/>
      <c r="N44116" s="14"/>
      <c r="O44116" s="14"/>
      <c r="P44116" s="13"/>
    </row>
    <row r="44117">
      <c r="L44117" s="13"/>
      <c r="M44117" s="14"/>
      <c r="N44117" s="14"/>
      <c r="O44117" s="14"/>
      <c r="P44117" s="13"/>
    </row>
    <row r="44118">
      <c r="L44118" s="13"/>
      <c r="M44118" s="14"/>
      <c r="N44118" s="14"/>
      <c r="O44118" s="14"/>
      <c r="P44118" s="13"/>
    </row>
    <row r="44119">
      <c r="L44119" s="13"/>
      <c r="M44119" s="14"/>
      <c r="N44119" s="14"/>
      <c r="O44119" s="14"/>
      <c r="P44119" s="13"/>
    </row>
    <row r="44120">
      <c r="L44120" s="13"/>
      <c r="M44120" s="14"/>
      <c r="N44120" s="14"/>
      <c r="O44120" s="14"/>
      <c r="P44120" s="13"/>
    </row>
    <row r="44121">
      <c r="L44121" s="13"/>
      <c r="M44121" s="14"/>
      <c r="N44121" s="14"/>
      <c r="O44121" s="14"/>
      <c r="P44121" s="13"/>
    </row>
    <row r="44122">
      <c r="L44122" s="13"/>
      <c r="M44122" s="14"/>
      <c r="N44122" s="14"/>
      <c r="O44122" s="14"/>
      <c r="P44122" s="13"/>
    </row>
    <row r="44123">
      <c r="L44123" s="13"/>
      <c r="M44123" s="14"/>
      <c r="N44123" s="14"/>
      <c r="O44123" s="14"/>
      <c r="P44123" s="13"/>
    </row>
    <row r="44124">
      <c r="L44124" s="13"/>
      <c r="M44124" s="14"/>
      <c r="N44124" s="14"/>
      <c r="O44124" s="14"/>
      <c r="P44124" s="13"/>
    </row>
    <row r="44125">
      <c r="L44125" s="13"/>
      <c r="M44125" s="14"/>
      <c r="N44125" s="14"/>
      <c r="O44125" s="14"/>
      <c r="P44125" s="13"/>
    </row>
    <row r="44126">
      <c r="L44126" s="13"/>
      <c r="M44126" s="14"/>
      <c r="N44126" s="14"/>
      <c r="O44126" s="14"/>
      <c r="P44126" s="13"/>
    </row>
    <row r="44127">
      <c r="L44127" s="13"/>
      <c r="M44127" s="14"/>
      <c r="N44127" s="14"/>
      <c r="O44127" s="14"/>
      <c r="P44127" s="13"/>
    </row>
    <row r="44128">
      <c r="L44128" s="13"/>
      <c r="M44128" s="14"/>
      <c r="N44128" s="14"/>
      <c r="O44128" s="14"/>
      <c r="P44128" s="13"/>
    </row>
    <row r="44129">
      <c r="L44129" s="13"/>
      <c r="M44129" s="14"/>
      <c r="N44129" s="14"/>
      <c r="O44129" s="14"/>
      <c r="P44129" s="13"/>
    </row>
    <row r="44130">
      <c r="L44130" s="13"/>
      <c r="M44130" s="14"/>
      <c r="N44130" s="14"/>
      <c r="O44130" s="14"/>
      <c r="P44130" s="13"/>
    </row>
    <row r="44131">
      <c r="L44131" s="13"/>
      <c r="M44131" s="14"/>
      <c r="N44131" s="14"/>
      <c r="O44131" s="14"/>
      <c r="P44131" s="13"/>
    </row>
    <row r="44132">
      <c r="L44132" s="13"/>
      <c r="M44132" s="14"/>
      <c r="N44132" s="14"/>
      <c r="O44132" s="14"/>
      <c r="P44132" s="13"/>
    </row>
    <row r="44133">
      <c r="L44133" s="13"/>
      <c r="M44133" s="14"/>
      <c r="N44133" s="14"/>
      <c r="O44133" s="14"/>
      <c r="P44133" s="13"/>
    </row>
    <row r="44134">
      <c r="L44134" s="13"/>
      <c r="M44134" s="14"/>
      <c r="N44134" s="14"/>
      <c r="O44134" s="14"/>
      <c r="P44134" s="13"/>
    </row>
    <row r="44135">
      <c r="L44135" s="13"/>
      <c r="M44135" s="14"/>
      <c r="N44135" s="14"/>
      <c r="O44135" s="14"/>
      <c r="P44135" s="13"/>
    </row>
    <row r="44136">
      <c r="L44136" s="13"/>
      <c r="M44136" s="14"/>
      <c r="N44136" s="14"/>
      <c r="O44136" s="14"/>
      <c r="P44136" s="13"/>
    </row>
    <row r="44137">
      <c r="L44137" s="13"/>
      <c r="M44137" s="14"/>
      <c r="N44137" s="14"/>
      <c r="O44137" s="14"/>
      <c r="P44137" s="13"/>
    </row>
    <row r="44138">
      <c r="L44138" s="13"/>
      <c r="M44138" s="14"/>
      <c r="N44138" s="14"/>
      <c r="O44138" s="14"/>
      <c r="P44138" s="13"/>
    </row>
    <row r="44139">
      <c r="L44139" s="13"/>
      <c r="M44139" s="14"/>
      <c r="N44139" s="14"/>
      <c r="O44139" s="14"/>
      <c r="P44139" s="13"/>
    </row>
    <row r="44140">
      <c r="L44140" s="13"/>
      <c r="M44140" s="14"/>
      <c r="N44140" s="14"/>
      <c r="O44140" s="14"/>
      <c r="P44140" s="13"/>
    </row>
    <row r="44141">
      <c r="L44141" s="13"/>
      <c r="M44141" s="14"/>
      <c r="N44141" s="14"/>
      <c r="O44141" s="14"/>
      <c r="P44141" s="13"/>
    </row>
    <row r="44142">
      <c r="L44142" s="13"/>
      <c r="M44142" s="14"/>
      <c r="N44142" s="14"/>
      <c r="O44142" s="14"/>
      <c r="P44142" s="13"/>
    </row>
    <row r="44143">
      <c r="L44143" s="13"/>
      <c r="M44143" s="14"/>
      <c r="N44143" s="14"/>
      <c r="O44143" s="14"/>
      <c r="P44143" s="13"/>
    </row>
    <row r="44144">
      <c r="L44144" s="13"/>
      <c r="M44144" s="14"/>
      <c r="N44144" s="14"/>
      <c r="O44144" s="14"/>
      <c r="P44144" s="13"/>
    </row>
    <row r="44145">
      <c r="L44145" s="13"/>
      <c r="M44145" s="14"/>
      <c r="N44145" s="14"/>
      <c r="O44145" s="14"/>
      <c r="P44145" s="13"/>
    </row>
    <row r="44146">
      <c r="L44146" s="13"/>
      <c r="M44146" s="14"/>
      <c r="N44146" s="14"/>
      <c r="O44146" s="14"/>
      <c r="P44146" s="13"/>
    </row>
    <row r="44147">
      <c r="L44147" s="13"/>
      <c r="M44147" s="14"/>
      <c r="N44147" s="14"/>
      <c r="O44147" s="14"/>
      <c r="P44147" s="13"/>
    </row>
    <row r="44148">
      <c r="L44148" s="13"/>
      <c r="M44148" s="14"/>
      <c r="N44148" s="14"/>
      <c r="O44148" s="14"/>
      <c r="P44148" s="13"/>
    </row>
    <row r="44149">
      <c r="L44149" s="13"/>
      <c r="M44149" s="14"/>
      <c r="N44149" s="14"/>
      <c r="O44149" s="14"/>
      <c r="P44149" s="13"/>
    </row>
    <row r="44150">
      <c r="L44150" s="13"/>
      <c r="M44150" s="14"/>
      <c r="N44150" s="14"/>
      <c r="O44150" s="14"/>
      <c r="P44150" s="13"/>
    </row>
    <row r="44151">
      <c r="L44151" s="13"/>
      <c r="M44151" s="14"/>
      <c r="N44151" s="14"/>
      <c r="O44151" s="14"/>
      <c r="P44151" s="13"/>
    </row>
    <row r="44152">
      <c r="L44152" s="13"/>
      <c r="M44152" s="14"/>
      <c r="N44152" s="14"/>
      <c r="O44152" s="14"/>
      <c r="P44152" s="13"/>
    </row>
    <row r="44153">
      <c r="L44153" s="13"/>
      <c r="M44153" s="14"/>
      <c r="N44153" s="14"/>
      <c r="O44153" s="14"/>
      <c r="P44153" s="13"/>
    </row>
    <row r="44154">
      <c r="L44154" s="13"/>
      <c r="M44154" s="14"/>
      <c r="N44154" s="14"/>
      <c r="O44154" s="14"/>
      <c r="P44154" s="13"/>
    </row>
    <row r="44155">
      <c r="L44155" s="13"/>
      <c r="M44155" s="14"/>
      <c r="N44155" s="14"/>
      <c r="O44155" s="14"/>
      <c r="P44155" s="13"/>
    </row>
    <row r="44156">
      <c r="L44156" s="13"/>
      <c r="M44156" s="14"/>
      <c r="N44156" s="14"/>
      <c r="O44156" s="14"/>
      <c r="P44156" s="13"/>
    </row>
    <row r="44157">
      <c r="L44157" s="13"/>
      <c r="M44157" s="14"/>
      <c r="N44157" s="14"/>
      <c r="O44157" s="14"/>
      <c r="P44157" s="13"/>
    </row>
    <row r="44158">
      <c r="L44158" s="13"/>
      <c r="M44158" s="14"/>
      <c r="N44158" s="14"/>
      <c r="O44158" s="14"/>
      <c r="P44158" s="13"/>
    </row>
    <row r="44159">
      <c r="L44159" s="13"/>
      <c r="M44159" s="14"/>
      <c r="N44159" s="14"/>
      <c r="O44159" s="14"/>
      <c r="P44159" s="13"/>
    </row>
    <row r="44160">
      <c r="L44160" s="13"/>
      <c r="M44160" s="14"/>
      <c r="N44160" s="14"/>
      <c r="O44160" s="14"/>
      <c r="P44160" s="13"/>
    </row>
    <row r="44161">
      <c r="L44161" s="13"/>
      <c r="M44161" s="14"/>
      <c r="N44161" s="14"/>
      <c r="O44161" s="14"/>
      <c r="P44161" s="13"/>
    </row>
    <row r="44162">
      <c r="L44162" s="13"/>
      <c r="M44162" s="14"/>
      <c r="N44162" s="14"/>
      <c r="O44162" s="14"/>
      <c r="P44162" s="13"/>
    </row>
    <row r="44163">
      <c r="L44163" s="13"/>
      <c r="M44163" s="14"/>
      <c r="N44163" s="14"/>
      <c r="O44163" s="14"/>
      <c r="P44163" s="13"/>
    </row>
    <row r="44164">
      <c r="L44164" s="13"/>
      <c r="M44164" s="14"/>
      <c r="N44164" s="14"/>
      <c r="O44164" s="14"/>
      <c r="P44164" s="13"/>
    </row>
    <row r="44165">
      <c r="L44165" s="13"/>
      <c r="M44165" s="14"/>
      <c r="N44165" s="14"/>
      <c r="O44165" s="14"/>
      <c r="P44165" s="13"/>
    </row>
    <row r="44166">
      <c r="L44166" s="13"/>
      <c r="M44166" s="14"/>
      <c r="N44166" s="14"/>
      <c r="O44166" s="14"/>
      <c r="P44166" s="13"/>
    </row>
    <row r="44167">
      <c r="L44167" s="13"/>
      <c r="M44167" s="14"/>
      <c r="N44167" s="14"/>
      <c r="O44167" s="14"/>
      <c r="P44167" s="13"/>
    </row>
    <row r="44168">
      <c r="L44168" s="13"/>
      <c r="M44168" s="14"/>
      <c r="N44168" s="14"/>
      <c r="O44168" s="14"/>
      <c r="P44168" s="13"/>
    </row>
    <row r="44169">
      <c r="L44169" s="13"/>
      <c r="M44169" s="14"/>
      <c r="N44169" s="14"/>
      <c r="O44169" s="14"/>
      <c r="P44169" s="13"/>
    </row>
    <row r="44170">
      <c r="L44170" s="13"/>
      <c r="M44170" s="14"/>
      <c r="N44170" s="14"/>
      <c r="O44170" s="14"/>
      <c r="P44170" s="13"/>
    </row>
    <row r="44171">
      <c r="L44171" s="13"/>
      <c r="M44171" s="14"/>
      <c r="N44171" s="14"/>
      <c r="O44171" s="14"/>
      <c r="P44171" s="13"/>
    </row>
    <row r="44172">
      <c r="L44172" s="13"/>
      <c r="M44172" s="14"/>
      <c r="N44172" s="14"/>
      <c r="O44172" s="14"/>
      <c r="P44172" s="13"/>
    </row>
    <row r="44173">
      <c r="L44173" s="13"/>
      <c r="M44173" s="14"/>
      <c r="N44173" s="14"/>
      <c r="O44173" s="14"/>
      <c r="P44173" s="13"/>
    </row>
    <row r="44174">
      <c r="L44174" s="13"/>
      <c r="M44174" s="14"/>
      <c r="N44174" s="14"/>
      <c r="O44174" s="14"/>
      <c r="P44174" s="13"/>
    </row>
    <row r="44175">
      <c r="L44175" s="13"/>
      <c r="M44175" s="14"/>
      <c r="N44175" s="14"/>
      <c r="O44175" s="14"/>
      <c r="P44175" s="13"/>
    </row>
    <row r="44176">
      <c r="L44176" s="13"/>
      <c r="M44176" s="14"/>
      <c r="N44176" s="14"/>
      <c r="O44176" s="14"/>
      <c r="P44176" s="13"/>
    </row>
    <row r="44177">
      <c r="L44177" s="13"/>
      <c r="M44177" s="14"/>
      <c r="N44177" s="14"/>
      <c r="O44177" s="14"/>
      <c r="P44177" s="13"/>
    </row>
    <row r="44178">
      <c r="L44178" s="13"/>
      <c r="M44178" s="14"/>
      <c r="N44178" s="14"/>
      <c r="O44178" s="14"/>
      <c r="P44178" s="13"/>
    </row>
    <row r="44179">
      <c r="L44179" s="13"/>
      <c r="M44179" s="14"/>
      <c r="N44179" s="14"/>
      <c r="O44179" s="14"/>
      <c r="P44179" s="13"/>
    </row>
    <row r="44180">
      <c r="L44180" s="13"/>
      <c r="M44180" s="14"/>
      <c r="N44180" s="14"/>
      <c r="O44180" s="14"/>
      <c r="P44180" s="13"/>
    </row>
    <row r="44181">
      <c r="L44181" s="13"/>
      <c r="M44181" s="14"/>
      <c r="N44181" s="14"/>
      <c r="O44181" s="14"/>
      <c r="P44181" s="13"/>
    </row>
    <row r="44182">
      <c r="L44182" s="13"/>
      <c r="M44182" s="14"/>
      <c r="N44182" s="14"/>
      <c r="O44182" s="14"/>
      <c r="P44182" s="13"/>
    </row>
    <row r="44183">
      <c r="L44183" s="13"/>
      <c r="M44183" s="14"/>
      <c r="N44183" s="14"/>
      <c r="O44183" s="14"/>
      <c r="P44183" s="13"/>
    </row>
    <row r="44184">
      <c r="L44184" s="13"/>
      <c r="M44184" s="14"/>
      <c r="N44184" s="14"/>
      <c r="O44184" s="14"/>
      <c r="P44184" s="13"/>
    </row>
    <row r="44185">
      <c r="L44185" s="13"/>
      <c r="M44185" s="14"/>
      <c r="N44185" s="14"/>
      <c r="O44185" s="14"/>
      <c r="P44185" s="13"/>
    </row>
    <row r="44186">
      <c r="L44186" s="13"/>
      <c r="M44186" s="14"/>
      <c r="N44186" s="14"/>
      <c r="O44186" s="14"/>
      <c r="P44186" s="13"/>
    </row>
    <row r="44187">
      <c r="L44187" s="13"/>
      <c r="M44187" s="14"/>
      <c r="N44187" s="14"/>
      <c r="O44187" s="14"/>
      <c r="P44187" s="13"/>
    </row>
    <row r="44188">
      <c r="L44188" s="13"/>
      <c r="M44188" s="14"/>
      <c r="N44188" s="14"/>
      <c r="O44188" s="14"/>
      <c r="P44188" s="13"/>
    </row>
    <row r="44189">
      <c r="L44189" s="13"/>
      <c r="M44189" s="14"/>
      <c r="N44189" s="14"/>
      <c r="O44189" s="14"/>
      <c r="P44189" s="13"/>
    </row>
    <row r="44190">
      <c r="L44190" s="13"/>
      <c r="M44190" s="14"/>
      <c r="N44190" s="14"/>
      <c r="O44190" s="14"/>
      <c r="P44190" s="13"/>
    </row>
    <row r="44191">
      <c r="L44191" s="13"/>
      <c r="M44191" s="14"/>
      <c r="N44191" s="14"/>
      <c r="O44191" s="14"/>
      <c r="P44191" s="13"/>
    </row>
    <row r="44192">
      <c r="L44192" s="13"/>
      <c r="M44192" s="14"/>
      <c r="N44192" s="14"/>
      <c r="O44192" s="14"/>
      <c r="P44192" s="13"/>
    </row>
    <row r="44193">
      <c r="L44193" s="13"/>
      <c r="M44193" s="14"/>
      <c r="N44193" s="14"/>
      <c r="O44193" s="14"/>
      <c r="P44193" s="13"/>
    </row>
    <row r="44194">
      <c r="L44194" s="13"/>
      <c r="M44194" s="14"/>
      <c r="N44194" s="14"/>
      <c r="O44194" s="14"/>
      <c r="P44194" s="13"/>
    </row>
    <row r="44195">
      <c r="L44195" s="13"/>
      <c r="M44195" s="14"/>
      <c r="N44195" s="14"/>
      <c r="O44195" s="14"/>
      <c r="P44195" s="13"/>
    </row>
    <row r="44196">
      <c r="L44196" s="13"/>
      <c r="M44196" s="14"/>
      <c r="N44196" s="14"/>
      <c r="O44196" s="14"/>
      <c r="P44196" s="13"/>
    </row>
    <row r="44197">
      <c r="L44197" s="13"/>
      <c r="M44197" s="14"/>
      <c r="N44197" s="14"/>
      <c r="O44197" s="14"/>
      <c r="P44197" s="13"/>
    </row>
    <row r="44198">
      <c r="L44198" s="13"/>
      <c r="M44198" s="14"/>
      <c r="N44198" s="14"/>
      <c r="O44198" s="14"/>
      <c r="P44198" s="13"/>
    </row>
    <row r="44199">
      <c r="L44199" s="13"/>
      <c r="M44199" s="14"/>
      <c r="N44199" s="14"/>
      <c r="O44199" s="14"/>
      <c r="P44199" s="13"/>
    </row>
    <row r="44200">
      <c r="L44200" s="13"/>
      <c r="M44200" s="14"/>
      <c r="N44200" s="14"/>
      <c r="O44200" s="14"/>
      <c r="P44200" s="13"/>
    </row>
    <row r="44201">
      <c r="L44201" s="13"/>
      <c r="M44201" s="14"/>
      <c r="N44201" s="14"/>
      <c r="O44201" s="14"/>
      <c r="P44201" s="13"/>
    </row>
    <row r="44202">
      <c r="L44202" s="13"/>
      <c r="M44202" s="14"/>
      <c r="N44202" s="14"/>
      <c r="O44202" s="14"/>
      <c r="P44202" s="13"/>
    </row>
    <row r="44203">
      <c r="L44203" s="13"/>
      <c r="M44203" s="14"/>
      <c r="N44203" s="14"/>
      <c r="O44203" s="14"/>
      <c r="P44203" s="13"/>
    </row>
    <row r="44204">
      <c r="L44204" s="13"/>
      <c r="M44204" s="14"/>
      <c r="N44204" s="14"/>
      <c r="O44204" s="14"/>
      <c r="P44204" s="13"/>
    </row>
    <row r="44205">
      <c r="L44205" s="13"/>
      <c r="M44205" s="14"/>
      <c r="N44205" s="14"/>
      <c r="O44205" s="14"/>
      <c r="P44205" s="13"/>
    </row>
    <row r="44206">
      <c r="L44206" s="13"/>
      <c r="M44206" s="14"/>
      <c r="N44206" s="14"/>
      <c r="O44206" s="14"/>
      <c r="P44206" s="13"/>
    </row>
    <row r="44207">
      <c r="L44207" s="13"/>
      <c r="M44207" s="14"/>
      <c r="N44207" s="14"/>
      <c r="O44207" s="14"/>
      <c r="P44207" s="13"/>
    </row>
    <row r="44208">
      <c r="L44208" s="13"/>
      <c r="M44208" s="14"/>
      <c r="N44208" s="14"/>
      <c r="O44208" s="14"/>
      <c r="P44208" s="13"/>
    </row>
    <row r="44209">
      <c r="L44209" s="13"/>
      <c r="M44209" s="14"/>
      <c r="N44209" s="14"/>
      <c r="O44209" s="14"/>
      <c r="P44209" s="13"/>
    </row>
    <row r="44210">
      <c r="L44210" s="13"/>
      <c r="M44210" s="14"/>
      <c r="N44210" s="14"/>
      <c r="O44210" s="14"/>
      <c r="P44210" s="13"/>
    </row>
    <row r="44211">
      <c r="L44211" s="13"/>
      <c r="M44211" s="14"/>
      <c r="N44211" s="14"/>
      <c r="O44211" s="14"/>
      <c r="P44211" s="13"/>
    </row>
    <row r="44212">
      <c r="L44212" s="13"/>
      <c r="M44212" s="14"/>
      <c r="N44212" s="14"/>
      <c r="O44212" s="14"/>
      <c r="P44212" s="13"/>
    </row>
    <row r="44213">
      <c r="L44213" s="13"/>
      <c r="M44213" s="14"/>
      <c r="N44213" s="14"/>
      <c r="O44213" s="14"/>
      <c r="P44213" s="13"/>
    </row>
    <row r="44214">
      <c r="L44214" s="13"/>
      <c r="M44214" s="14"/>
      <c r="N44214" s="14"/>
      <c r="O44214" s="14"/>
      <c r="P44214" s="13"/>
    </row>
    <row r="44215">
      <c r="L44215" s="13"/>
      <c r="M44215" s="14"/>
      <c r="N44215" s="14"/>
      <c r="O44215" s="14"/>
      <c r="P44215" s="13"/>
    </row>
    <row r="44216">
      <c r="L44216" s="13"/>
      <c r="M44216" s="14"/>
      <c r="N44216" s="14"/>
      <c r="O44216" s="14"/>
      <c r="P44216" s="13"/>
    </row>
    <row r="44217">
      <c r="L44217" s="13"/>
      <c r="M44217" s="14"/>
      <c r="N44217" s="14"/>
      <c r="O44217" s="14"/>
      <c r="P44217" s="13"/>
    </row>
    <row r="44218">
      <c r="L44218" s="13"/>
      <c r="M44218" s="14"/>
      <c r="N44218" s="14"/>
      <c r="O44218" s="14"/>
      <c r="P44218" s="13"/>
    </row>
    <row r="44219">
      <c r="L44219" s="13"/>
      <c r="M44219" s="14"/>
      <c r="N44219" s="14"/>
      <c r="O44219" s="14"/>
      <c r="P44219" s="13"/>
    </row>
    <row r="44220">
      <c r="L44220" s="13"/>
      <c r="M44220" s="14"/>
      <c r="N44220" s="14"/>
      <c r="O44220" s="14"/>
      <c r="P44220" s="13"/>
    </row>
    <row r="44221">
      <c r="L44221" s="13"/>
      <c r="M44221" s="14"/>
      <c r="N44221" s="14"/>
      <c r="O44221" s="14"/>
      <c r="P44221" s="13"/>
    </row>
    <row r="44222">
      <c r="L44222" s="13"/>
      <c r="M44222" s="14"/>
      <c r="N44222" s="14"/>
      <c r="O44222" s="14"/>
      <c r="P44222" s="13"/>
    </row>
    <row r="44223">
      <c r="L44223" s="13"/>
      <c r="M44223" s="14"/>
      <c r="N44223" s="14"/>
      <c r="O44223" s="14"/>
      <c r="P44223" s="13"/>
    </row>
    <row r="44224">
      <c r="L44224" s="13"/>
      <c r="M44224" s="14"/>
      <c r="N44224" s="14"/>
      <c r="O44224" s="14"/>
      <c r="P44224" s="13"/>
    </row>
    <row r="44225">
      <c r="L44225" s="13"/>
      <c r="M44225" s="14"/>
      <c r="N44225" s="14"/>
      <c r="O44225" s="14"/>
      <c r="P44225" s="13"/>
    </row>
    <row r="44226">
      <c r="L44226" s="13"/>
      <c r="M44226" s="14"/>
      <c r="N44226" s="14"/>
      <c r="O44226" s="14"/>
      <c r="P44226" s="13"/>
    </row>
    <row r="44227">
      <c r="L44227" s="13"/>
      <c r="M44227" s="14"/>
      <c r="N44227" s="14"/>
      <c r="O44227" s="14"/>
      <c r="P44227" s="13"/>
    </row>
    <row r="44228">
      <c r="L44228" s="13"/>
      <c r="M44228" s="14"/>
      <c r="N44228" s="14"/>
      <c r="O44228" s="14"/>
      <c r="P44228" s="13"/>
    </row>
    <row r="44229">
      <c r="L44229" s="13"/>
      <c r="M44229" s="14"/>
      <c r="N44229" s="14"/>
      <c r="O44229" s="14"/>
      <c r="P44229" s="13"/>
    </row>
    <row r="44230">
      <c r="L44230" s="13"/>
      <c r="M44230" s="14"/>
      <c r="N44230" s="14"/>
      <c r="O44230" s="14"/>
      <c r="P44230" s="13"/>
    </row>
    <row r="44231">
      <c r="L44231" s="13"/>
      <c r="M44231" s="14"/>
      <c r="N44231" s="14"/>
      <c r="O44231" s="14"/>
      <c r="P44231" s="13"/>
    </row>
    <row r="44232">
      <c r="L44232" s="13"/>
      <c r="M44232" s="14"/>
      <c r="N44232" s="14"/>
      <c r="O44232" s="14"/>
      <c r="P44232" s="13"/>
    </row>
    <row r="44233">
      <c r="L44233" s="13"/>
      <c r="M44233" s="14"/>
      <c r="N44233" s="14"/>
      <c r="O44233" s="14"/>
      <c r="P44233" s="13"/>
    </row>
    <row r="44234">
      <c r="L44234" s="13"/>
      <c r="M44234" s="14"/>
      <c r="N44234" s="14"/>
      <c r="O44234" s="14"/>
      <c r="P44234" s="13"/>
    </row>
    <row r="44235">
      <c r="L44235" s="13"/>
      <c r="M44235" s="14"/>
      <c r="N44235" s="14"/>
      <c r="O44235" s="14"/>
      <c r="P44235" s="13"/>
    </row>
    <row r="44236">
      <c r="L44236" s="13"/>
      <c r="M44236" s="14"/>
      <c r="N44236" s="14"/>
      <c r="O44236" s="14"/>
      <c r="P44236" s="13"/>
    </row>
    <row r="44237">
      <c r="L44237" s="13"/>
      <c r="M44237" s="14"/>
      <c r="N44237" s="14"/>
      <c r="O44237" s="14"/>
      <c r="P44237" s="13"/>
    </row>
    <row r="44238">
      <c r="L44238" s="13"/>
      <c r="M44238" s="14"/>
      <c r="N44238" s="14"/>
      <c r="O44238" s="14"/>
      <c r="P44238" s="13"/>
    </row>
    <row r="44239">
      <c r="L44239" s="13"/>
      <c r="M44239" s="14"/>
      <c r="N44239" s="14"/>
      <c r="O44239" s="14"/>
      <c r="P44239" s="13"/>
    </row>
    <row r="44240">
      <c r="L44240" s="13"/>
      <c r="M44240" s="14"/>
      <c r="N44240" s="14"/>
      <c r="O44240" s="14"/>
      <c r="P44240" s="13"/>
    </row>
    <row r="44241">
      <c r="L44241" s="13"/>
      <c r="M44241" s="14"/>
      <c r="N44241" s="14"/>
      <c r="O44241" s="14"/>
      <c r="P44241" s="13"/>
    </row>
    <row r="44242">
      <c r="L44242" s="13"/>
      <c r="M44242" s="14"/>
      <c r="N44242" s="14"/>
      <c r="O44242" s="14"/>
      <c r="P44242" s="13"/>
    </row>
    <row r="44243">
      <c r="L44243" s="13"/>
      <c r="M44243" s="14"/>
      <c r="N44243" s="14"/>
      <c r="O44243" s="14"/>
      <c r="P44243" s="13"/>
    </row>
    <row r="44244">
      <c r="L44244" s="13"/>
      <c r="M44244" s="14"/>
      <c r="N44244" s="14"/>
      <c r="O44244" s="14"/>
      <c r="P44244" s="13"/>
    </row>
    <row r="44245">
      <c r="L44245" s="13"/>
      <c r="M44245" s="14"/>
      <c r="N44245" s="14"/>
      <c r="O44245" s="14"/>
      <c r="P44245" s="13"/>
    </row>
    <row r="44246">
      <c r="L44246" s="13"/>
      <c r="M44246" s="14"/>
      <c r="N44246" s="14"/>
      <c r="O44246" s="14"/>
      <c r="P44246" s="13"/>
    </row>
    <row r="44247">
      <c r="L44247" s="13"/>
      <c r="M44247" s="14"/>
      <c r="N44247" s="14"/>
      <c r="O44247" s="14"/>
      <c r="P44247" s="13"/>
    </row>
    <row r="44248">
      <c r="L44248" s="13"/>
      <c r="M44248" s="14"/>
      <c r="N44248" s="14"/>
      <c r="O44248" s="14"/>
      <c r="P44248" s="13"/>
    </row>
    <row r="44249">
      <c r="L44249" s="13"/>
      <c r="M44249" s="14"/>
      <c r="N44249" s="14"/>
      <c r="O44249" s="14"/>
      <c r="P44249" s="13"/>
    </row>
    <row r="44250">
      <c r="L44250" s="13"/>
      <c r="M44250" s="14"/>
      <c r="N44250" s="14"/>
      <c r="O44250" s="14"/>
      <c r="P44250" s="13"/>
    </row>
    <row r="44251">
      <c r="L44251" s="13"/>
      <c r="M44251" s="14"/>
      <c r="N44251" s="14"/>
      <c r="O44251" s="14"/>
      <c r="P44251" s="13"/>
    </row>
    <row r="44252">
      <c r="L44252" s="13"/>
      <c r="M44252" s="14"/>
      <c r="N44252" s="14"/>
      <c r="O44252" s="14"/>
      <c r="P44252" s="13"/>
    </row>
    <row r="44253">
      <c r="L44253" s="13"/>
      <c r="M44253" s="14"/>
      <c r="N44253" s="14"/>
      <c r="O44253" s="14"/>
      <c r="P44253" s="13"/>
    </row>
    <row r="44254">
      <c r="L44254" s="13"/>
      <c r="M44254" s="14"/>
      <c r="N44254" s="14"/>
      <c r="O44254" s="14"/>
      <c r="P44254" s="13"/>
    </row>
    <row r="44255">
      <c r="L44255" s="13"/>
      <c r="M44255" s="14"/>
      <c r="N44255" s="14"/>
      <c r="O44255" s="14"/>
      <c r="P44255" s="13"/>
    </row>
    <row r="44256">
      <c r="L44256" s="13"/>
      <c r="M44256" s="14"/>
      <c r="N44256" s="14"/>
      <c r="O44256" s="14"/>
      <c r="P44256" s="13"/>
    </row>
    <row r="44257">
      <c r="L44257" s="13"/>
      <c r="M44257" s="14"/>
      <c r="N44257" s="14"/>
      <c r="O44257" s="14"/>
      <c r="P44257" s="13"/>
    </row>
    <row r="44258">
      <c r="L44258" s="13"/>
      <c r="M44258" s="14"/>
      <c r="N44258" s="14"/>
      <c r="O44258" s="14"/>
      <c r="P44258" s="13"/>
    </row>
    <row r="44259">
      <c r="L44259" s="13"/>
      <c r="M44259" s="14"/>
      <c r="N44259" s="14"/>
      <c r="O44259" s="14"/>
      <c r="P44259" s="13"/>
    </row>
    <row r="44260">
      <c r="L44260" s="13"/>
      <c r="M44260" s="14"/>
      <c r="N44260" s="14"/>
      <c r="O44260" s="14"/>
      <c r="P44260" s="13"/>
    </row>
    <row r="44261">
      <c r="L44261" s="13"/>
      <c r="M44261" s="14"/>
      <c r="N44261" s="14"/>
      <c r="O44261" s="14"/>
      <c r="P44261" s="13"/>
    </row>
    <row r="44262">
      <c r="L44262" s="13"/>
      <c r="M44262" s="14"/>
      <c r="N44262" s="14"/>
      <c r="O44262" s="14"/>
      <c r="P44262" s="13"/>
    </row>
    <row r="44263">
      <c r="L44263" s="13"/>
      <c r="M44263" s="14"/>
      <c r="N44263" s="14"/>
      <c r="O44263" s="14"/>
      <c r="P44263" s="13"/>
    </row>
    <row r="44264">
      <c r="L44264" s="13"/>
      <c r="M44264" s="14"/>
      <c r="N44264" s="14"/>
      <c r="O44264" s="14"/>
      <c r="P44264" s="13"/>
    </row>
    <row r="44265">
      <c r="L44265" s="13"/>
      <c r="M44265" s="14"/>
      <c r="N44265" s="14"/>
      <c r="O44265" s="14"/>
      <c r="P44265" s="13"/>
    </row>
    <row r="44266">
      <c r="L44266" s="13"/>
      <c r="M44266" s="14"/>
      <c r="N44266" s="14"/>
      <c r="O44266" s="14"/>
      <c r="P44266" s="13"/>
    </row>
    <row r="44267">
      <c r="L44267" s="13"/>
      <c r="M44267" s="14"/>
      <c r="N44267" s="14"/>
      <c r="O44267" s="14"/>
      <c r="P44267" s="13"/>
    </row>
    <row r="44268">
      <c r="L44268" s="13"/>
      <c r="M44268" s="14"/>
      <c r="N44268" s="14"/>
      <c r="O44268" s="14"/>
      <c r="P44268" s="13"/>
    </row>
    <row r="44269">
      <c r="L44269" s="13"/>
      <c r="M44269" s="14"/>
      <c r="N44269" s="14"/>
      <c r="O44269" s="14"/>
      <c r="P44269" s="13"/>
    </row>
    <row r="44270">
      <c r="L44270" s="13"/>
      <c r="M44270" s="14"/>
      <c r="N44270" s="14"/>
      <c r="O44270" s="14"/>
      <c r="P44270" s="13"/>
    </row>
    <row r="44271">
      <c r="L44271" s="13"/>
      <c r="M44271" s="14"/>
      <c r="N44271" s="14"/>
      <c r="O44271" s="14"/>
      <c r="P44271" s="13"/>
    </row>
    <row r="44272">
      <c r="L44272" s="13"/>
      <c r="M44272" s="14"/>
      <c r="N44272" s="14"/>
      <c r="O44272" s="14"/>
      <c r="P44272" s="13"/>
    </row>
    <row r="44273">
      <c r="L44273" s="13"/>
      <c r="M44273" s="14"/>
      <c r="N44273" s="14"/>
      <c r="O44273" s="14"/>
      <c r="P44273" s="13"/>
    </row>
    <row r="44274">
      <c r="L44274" s="13"/>
      <c r="M44274" s="14"/>
      <c r="N44274" s="14"/>
      <c r="O44274" s="14"/>
      <c r="P44274" s="13"/>
    </row>
    <row r="44275">
      <c r="L44275" s="13"/>
      <c r="M44275" s="14"/>
      <c r="N44275" s="14"/>
      <c r="O44275" s="14"/>
      <c r="P44275" s="13"/>
    </row>
    <row r="44276">
      <c r="L44276" s="13"/>
      <c r="M44276" s="14"/>
      <c r="N44276" s="14"/>
      <c r="O44276" s="14"/>
      <c r="P44276" s="13"/>
    </row>
    <row r="44277">
      <c r="L44277" s="13"/>
      <c r="M44277" s="14"/>
      <c r="N44277" s="14"/>
      <c r="O44277" s="14"/>
      <c r="P44277" s="13"/>
    </row>
    <row r="44278">
      <c r="L44278" s="13"/>
      <c r="M44278" s="14"/>
      <c r="N44278" s="14"/>
      <c r="O44278" s="14"/>
      <c r="P44278" s="13"/>
    </row>
    <row r="44279">
      <c r="L44279" s="13"/>
      <c r="M44279" s="14"/>
      <c r="N44279" s="14"/>
      <c r="O44279" s="14"/>
      <c r="P44279" s="13"/>
    </row>
    <row r="44280">
      <c r="L44280" s="13"/>
      <c r="M44280" s="14"/>
      <c r="N44280" s="14"/>
      <c r="O44280" s="14"/>
      <c r="P44280" s="13"/>
    </row>
    <row r="44281">
      <c r="L44281" s="13"/>
      <c r="M44281" s="14"/>
      <c r="N44281" s="14"/>
      <c r="O44281" s="14"/>
      <c r="P44281" s="13"/>
    </row>
    <row r="44282">
      <c r="L44282" s="13"/>
      <c r="M44282" s="14"/>
      <c r="N44282" s="14"/>
      <c r="O44282" s="14"/>
      <c r="P44282" s="13"/>
    </row>
    <row r="44283">
      <c r="L44283" s="13"/>
      <c r="M44283" s="14"/>
      <c r="N44283" s="14"/>
      <c r="O44283" s="14"/>
      <c r="P44283" s="13"/>
    </row>
    <row r="44284">
      <c r="L44284" s="13"/>
      <c r="M44284" s="14"/>
      <c r="N44284" s="14"/>
      <c r="O44284" s="14"/>
      <c r="P44284" s="13"/>
    </row>
    <row r="44285">
      <c r="L44285" s="13"/>
      <c r="M44285" s="14"/>
      <c r="N44285" s="14"/>
      <c r="O44285" s="14"/>
      <c r="P44285" s="13"/>
    </row>
    <row r="44286">
      <c r="L44286" s="13"/>
      <c r="M44286" s="14"/>
      <c r="N44286" s="14"/>
      <c r="O44286" s="14"/>
      <c r="P44286" s="13"/>
    </row>
    <row r="44287">
      <c r="L44287" s="13"/>
      <c r="M44287" s="14"/>
      <c r="N44287" s="14"/>
      <c r="O44287" s="14"/>
      <c r="P44287" s="13"/>
    </row>
    <row r="44288">
      <c r="L44288" s="13"/>
      <c r="M44288" s="14"/>
      <c r="N44288" s="14"/>
      <c r="O44288" s="14"/>
      <c r="P44288" s="13"/>
    </row>
    <row r="44289">
      <c r="L44289" s="13"/>
      <c r="M44289" s="14"/>
      <c r="N44289" s="14"/>
      <c r="O44289" s="14"/>
      <c r="P44289" s="13"/>
    </row>
    <row r="44290">
      <c r="L44290" s="13"/>
      <c r="M44290" s="14"/>
      <c r="N44290" s="14"/>
      <c r="O44290" s="14"/>
      <c r="P44290" s="13"/>
    </row>
    <row r="44291">
      <c r="L44291" s="13"/>
      <c r="M44291" s="14"/>
      <c r="N44291" s="14"/>
      <c r="O44291" s="14"/>
      <c r="P44291" s="13"/>
    </row>
    <row r="44292">
      <c r="L44292" s="13"/>
      <c r="M44292" s="14"/>
      <c r="N44292" s="14"/>
      <c r="O44292" s="14"/>
      <c r="P44292" s="13"/>
    </row>
    <row r="44293">
      <c r="L44293" s="13"/>
      <c r="M44293" s="14"/>
      <c r="N44293" s="14"/>
      <c r="O44293" s="14"/>
      <c r="P44293" s="13"/>
    </row>
    <row r="44294">
      <c r="L44294" s="13"/>
      <c r="M44294" s="14"/>
      <c r="N44294" s="14"/>
      <c r="O44294" s="14"/>
      <c r="P44294" s="13"/>
    </row>
    <row r="44295">
      <c r="L44295" s="13"/>
      <c r="M44295" s="14"/>
      <c r="N44295" s="14"/>
      <c r="O44295" s="14"/>
      <c r="P44295" s="13"/>
    </row>
    <row r="44296">
      <c r="L44296" s="13"/>
      <c r="M44296" s="14"/>
      <c r="N44296" s="14"/>
      <c r="O44296" s="14"/>
      <c r="P44296" s="13"/>
    </row>
    <row r="44297">
      <c r="L44297" s="13"/>
      <c r="M44297" s="14"/>
      <c r="N44297" s="14"/>
      <c r="O44297" s="14"/>
      <c r="P44297" s="13"/>
    </row>
    <row r="44298">
      <c r="L44298" s="13"/>
      <c r="M44298" s="14"/>
      <c r="N44298" s="14"/>
      <c r="O44298" s="14"/>
      <c r="P44298" s="13"/>
    </row>
    <row r="44299">
      <c r="L44299" s="13"/>
      <c r="M44299" s="14"/>
      <c r="N44299" s="14"/>
      <c r="O44299" s="14"/>
      <c r="P44299" s="13"/>
    </row>
    <row r="44300">
      <c r="L44300" s="13"/>
      <c r="M44300" s="14"/>
      <c r="N44300" s="14"/>
      <c r="O44300" s="14"/>
      <c r="P44300" s="13"/>
    </row>
    <row r="44301">
      <c r="L44301" s="13"/>
      <c r="M44301" s="14"/>
      <c r="N44301" s="14"/>
      <c r="O44301" s="14"/>
      <c r="P44301" s="13"/>
    </row>
    <row r="44302">
      <c r="L44302" s="13"/>
      <c r="M44302" s="14"/>
      <c r="N44302" s="14"/>
      <c r="O44302" s="14"/>
      <c r="P44302" s="13"/>
    </row>
    <row r="44303">
      <c r="L44303" s="13"/>
      <c r="M44303" s="14"/>
      <c r="N44303" s="14"/>
      <c r="O44303" s="14"/>
      <c r="P44303" s="13"/>
    </row>
    <row r="44304">
      <c r="L44304" s="13"/>
      <c r="M44304" s="14"/>
      <c r="N44304" s="14"/>
      <c r="O44304" s="14"/>
      <c r="P44304" s="13"/>
    </row>
    <row r="44305">
      <c r="L44305" s="13"/>
      <c r="M44305" s="14"/>
      <c r="N44305" s="14"/>
      <c r="O44305" s="14"/>
      <c r="P44305" s="13"/>
    </row>
    <row r="44306">
      <c r="L44306" s="13"/>
      <c r="M44306" s="14"/>
      <c r="N44306" s="14"/>
      <c r="O44306" s="14"/>
      <c r="P44306" s="13"/>
    </row>
    <row r="44307">
      <c r="L44307" s="13"/>
      <c r="M44307" s="14"/>
      <c r="N44307" s="14"/>
      <c r="O44307" s="14"/>
      <c r="P44307" s="13"/>
    </row>
    <row r="44308">
      <c r="L44308" s="13"/>
      <c r="M44308" s="14"/>
      <c r="N44308" s="14"/>
      <c r="O44308" s="14"/>
      <c r="P44308" s="13"/>
    </row>
    <row r="44309">
      <c r="L44309" s="13"/>
      <c r="M44309" s="14"/>
      <c r="N44309" s="14"/>
      <c r="O44309" s="14"/>
      <c r="P44309" s="13"/>
    </row>
    <row r="44310">
      <c r="L44310" s="13"/>
      <c r="M44310" s="14"/>
      <c r="N44310" s="14"/>
      <c r="O44310" s="14"/>
      <c r="P44310" s="13"/>
    </row>
    <row r="44311">
      <c r="L44311" s="13"/>
      <c r="M44311" s="14"/>
      <c r="N44311" s="14"/>
      <c r="O44311" s="14"/>
      <c r="P44311" s="13"/>
    </row>
    <row r="44312">
      <c r="L44312" s="13"/>
      <c r="M44312" s="14"/>
      <c r="N44312" s="14"/>
      <c r="O44312" s="14"/>
      <c r="P44312" s="13"/>
    </row>
    <row r="44313">
      <c r="L44313" s="13"/>
      <c r="M44313" s="14"/>
      <c r="N44313" s="14"/>
      <c r="O44313" s="14"/>
      <c r="P44313" s="13"/>
    </row>
    <row r="44314">
      <c r="L44314" s="13"/>
      <c r="M44314" s="14"/>
      <c r="N44314" s="14"/>
      <c r="O44314" s="14"/>
      <c r="P44314" s="13"/>
    </row>
    <row r="44315">
      <c r="L44315" s="13"/>
      <c r="M44315" s="14"/>
      <c r="N44315" s="14"/>
      <c r="O44315" s="14"/>
      <c r="P44315" s="13"/>
    </row>
    <row r="44316">
      <c r="L44316" s="13"/>
      <c r="M44316" s="14"/>
      <c r="N44316" s="14"/>
      <c r="O44316" s="14"/>
      <c r="P44316" s="13"/>
    </row>
    <row r="44317">
      <c r="L44317" s="13"/>
      <c r="M44317" s="14"/>
      <c r="N44317" s="14"/>
      <c r="O44317" s="14"/>
      <c r="P44317" s="13"/>
    </row>
    <row r="44318">
      <c r="L44318" s="13"/>
      <c r="M44318" s="14"/>
      <c r="N44318" s="14"/>
      <c r="O44318" s="14"/>
      <c r="P44318" s="13"/>
    </row>
    <row r="44319">
      <c r="L44319" s="13"/>
      <c r="M44319" s="14"/>
      <c r="N44319" s="14"/>
      <c r="O44319" s="14"/>
      <c r="P44319" s="13"/>
    </row>
    <row r="44320">
      <c r="L44320" s="13"/>
      <c r="M44320" s="14"/>
      <c r="N44320" s="14"/>
      <c r="O44320" s="14"/>
      <c r="P44320" s="13"/>
    </row>
    <row r="44321">
      <c r="L44321" s="13"/>
      <c r="M44321" s="14"/>
      <c r="N44321" s="14"/>
      <c r="O44321" s="14"/>
      <c r="P44321" s="13"/>
    </row>
    <row r="44322">
      <c r="L44322" s="13"/>
      <c r="M44322" s="14"/>
      <c r="N44322" s="14"/>
      <c r="O44322" s="14"/>
      <c r="P44322" s="13"/>
    </row>
    <row r="44323">
      <c r="L44323" s="13"/>
      <c r="M44323" s="14"/>
      <c r="N44323" s="14"/>
      <c r="O44323" s="14"/>
      <c r="P44323" s="13"/>
    </row>
    <row r="44324">
      <c r="L44324" s="13"/>
      <c r="M44324" s="14"/>
      <c r="N44324" s="14"/>
      <c r="O44324" s="14"/>
      <c r="P44324" s="13"/>
    </row>
    <row r="44325">
      <c r="L44325" s="13"/>
      <c r="M44325" s="14"/>
      <c r="N44325" s="14"/>
      <c r="O44325" s="14"/>
      <c r="P44325" s="13"/>
    </row>
    <row r="44326">
      <c r="L44326" s="13"/>
      <c r="M44326" s="14"/>
      <c r="N44326" s="14"/>
      <c r="O44326" s="14"/>
      <c r="P44326" s="13"/>
    </row>
    <row r="44327">
      <c r="L44327" s="13"/>
      <c r="M44327" s="14"/>
      <c r="N44327" s="14"/>
      <c r="O44327" s="14"/>
      <c r="P44327" s="13"/>
    </row>
    <row r="44328">
      <c r="L44328" s="13"/>
      <c r="M44328" s="14"/>
      <c r="N44328" s="14"/>
      <c r="O44328" s="14"/>
      <c r="P44328" s="13"/>
    </row>
    <row r="44329">
      <c r="L44329" s="13"/>
      <c r="M44329" s="14"/>
      <c r="N44329" s="14"/>
      <c r="O44329" s="14"/>
      <c r="P44329" s="13"/>
    </row>
    <row r="44330">
      <c r="L44330" s="13"/>
      <c r="M44330" s="14"/>
      <c r="N44330" s="14"/>
      <c r="O44330" s="14"/>
      <c r="P44330" s="13"/>
    </row>
    <row r="44331">
      <c r="L44331" s="13"/>
      <c r="M44331" s="14"/>
      <c r="N44331" s="14"/>
      <c r="O44331" s="14"/>
      <c r="P44331" s="13"/>
    </row>
    <row r="44332">
      <c r="L44332" s="13"/>
      <c r="M44332" s="14"/>
      <c r="N44332" s="14"/>
      <c r="O44332" s="14"/>
      <c r="P44332" s="13"/>
    </row>
    <row r="44333">
      <c r="L44333" s="13"/>
      <c r="M44333" s="14"/>
      <c r="N44333" s="14"/>
      <c r="O44333" s="14"/>
      <c r="P44333" s="13"/>
    </row>
    <row r="44334">
      <c r="L44334" s="13"/>
      <c r="M44334" s="14"/>
      <c r="N44334" s="14"/>
      <c r="O44334" s="14"/>
      <c r="P44334" s="13"/>
    </row>
    <row r="44335">
      <c r="L44335" s="13"/>
      <c r="M44335" s="14"/>
      <c r="N44335" s="14"/>
      <c r="O44335" s="14"/>
      <c r="P44335" s="13"/>
    </row>
    <row r="44336">
      <c r="L44336" s="13"/>
      <c r="M44336" s="14"/>
      <c r="N44336" s="14"/>
      <c r="O44336" s="14"/>
      <c r="P44336" s="13"/>
    </row>
    <row r="44337">
      <c r="L44337" s="13"/>
      <c r="M44337" s="14"/>
      <c r="N44337" s="14"/>
      <c r="O44337" s="14"/>
      <c r="P44337" s="13"/>
    </row>
    <row r="44338">
      <c r="L44338" s="13"/>
      <c r="M44338" s="14"/>
      <c r="N44338" s="14"/>
      <c r="O44338" s="14"/>
      <c r="P44338" s="13"/>
    </row>
    <row r="44339">
      <c r="L44339" s="13"/>
      <c r="M44339" s="14"/>
      <c r="N44339" s="14"/>
      <c r="O44339" s="14"/>
      <c r="P44339" s="13"/>
    </row>
    <row r="44340">
      <c r="L44340" s="13"/>
      <c r="M44340" s="14"/>
      <c r="N44340" s="14"/>
      <c r="O44340" s="14"/>
      <c r="P44340" s="13"/>
    </row>
    <row r="44341">
      <c r="L44341" s="13"/>
      <c r="M44341" s="14"/>
      <c r="N44341" s="14"/>
      <c r="O44341" s="14"/>
      <c r="P44341" s="13"/>
    </row>
    <row r="44342">
      <c r="L44342" s="13"/>
      <c r="M44342" s="14"/>
      <c r="N44342" s="14"/>
      <c r="O44342" s="14"/>
      <c r="P44342" s="13"/>
    </row>
    <row r="44343">
      <c r="L44343" s="13"/>
      <c r="M44343" s="14"/>
      <c r="N44343" s="14"/>
      <c r="O44343" s="14"/>
      <c r="P44343" s="13"/>
    </row>
    <row r="44344">
      <c r="L44344" s="13"/>
      <c r="M44344" s="14"/>
      <c r="N44344" s="14"/>
      <c r="O44344" s="14"/>
      <c r="P44344" s="13"/>
    </row>
    <row r="44345">
      <c r="L44345" s="13"/>
      <c r="M44345" s="14"/>
      <c r="N44345" s="14"/>
      <c r="O44345" s="14"/>
      <c r="P44345" s="13"/>
    </row>
    <row r="44346">
      <c r="L44346" s="13"/>
      <c r="M44346" s="14"/>
      <c r="N44346" s="14"/>
      <c r="O44346" s="14"/>
      <c r="P44346" s="13"/>
    </row>
    <row r="44347">
      <c r="L44347" s="13"/>
      <c r="M44347" s="14"/>
      <c r="N44347" s="14"/>
      <c r="O44347" s="14"/>
      <c r="P44347" s="13"/>
    </row>
    <row r="44348">
      <c r="L44348" s="13"/>
      <c r="M44348" s="14"/>
      <c r="N44348" s="14"/>
      <c r="O44348" s="14"/>
      <c r="P44348" s="13"/>
    </row>
    <row r="44349">
      <c r="L44349" s="13"/>
      <c r="M44349" s="14"/>
      <c r="N44349" s="14"/>
      <c r="O44349" s="14"/>
      <c r="P44349" s="13"/>
    </row>
    <row r="44350">
      <c r="L44350" s="13"/>
      <c r="M44350" s="14"/>
      <c r="N44350" s="14"/>
      <c r="O44350" s="14"/>
      <c r="P44350" s="13"/>
    </row>
    <row r="44351">
      <c r="L44351" s="13"/>
      <c r="M44351" s="14"/>
      <c r="N44351" s="14"/>
      <c r="O44351" s="14"/>
      <c r="P44351" s="13"/>
    </row>
    <row r="44352">
      <c r="L44352" s="13"/>
      <c r="M44352" s="14"/>
      <c r="N44352" s="14"/>
      <c r="O44352" s="14"/>
      <c r="P44352" s="13"/>
    </row>
    <row r="44353">
      <c r="L44353" s="13"/>
      <c r="M44353" s="14"/>
      <c r="N44353" s="14"/>
      <c r="O44353" s="14"/>
      <c r="P44353" s="13"/>
    </row>
    <row r="44354">
      <c r="L44354" s="13"/>
      <c r="M44354" s="14"/>
      <c r="N44354" s="14"/>
      <c r="O44354" s="14"/>
      <c r="P44354" s="13"/>
    </row>
    <row r="44355">
      <c r="L44355" s="13"/>
      <c r="M44355" s="14"/>
      <c r="N44355" s="14"/>
      <c r="O44355" s="14"/>
      <c r="P44355" s="13"/>
    </row>
    <row r="44356">
      <c r="L44356" s="13"/>
      <c r="M44356" s="14"/>
      <c r="N44356" s="14"/>
      <c r="O44356" s="14"/>
      <c r="P44356" s="13"/>
    </row>
    <row r="44357">
      <c r="L44357" s="13"/>
      <c r="M44357" s="14"/>
      <c r="N44357" s="14"/>
      <c r="O44357" s="14"/>
      <c r="P44357" s="13"/>
    </row>
    <row r="44358">
      <c r="L44358" s="13"/>
      <c r="M44358" s="14"/>
      <c r="N44358" s="14"/>
      <c r="O44358" s="14"/>
      <c r="P44358" s="13"/>
    </row>
    <row r="44359">
      <c r="L44359" s="13"/>
      <c r="M44359" s="14"/>
      <c r="N44359" s="14"/>
      <c r="O44359" s="14"/>
      <c r="P44359" s="13"/>
    </row>
    <row r="44360">
      <c r="L44360" s="13"/>
      <c r="M44360" s="14"/>
      <c r="N44360" s="14"/>
      <c r="O44360" s="14"/>
      <c r="P44360" s="13"/>
    </row>
    <row r="44361">
      <c r="L44361" s="13"/>
      <c r="M44361" s="14"/>
      <c r="N44361" s="14"/>
      <c r="O44361" s="14"/>
      <c r="P44361" s="13"/>
    </row>
    <row r="44362">
      <c r="L44362" s="13"/>
      <c r="M44362" s="14"/>
      <c r="N44362" s="14"/>
      <c r="O44362" s="14"/>
      <c r="P44362" s="13"/>
    </row>
    <row r="44363">
      <c r="L44363" s="13"/>
      <c r="M44363" s="14"/>
      <c r="N44363" s="14"/>
      <c r="O44363" s="14"/>
      <c r="P44363" s="13"/>
    </row>
    <row r="44364">
      <c r="L44364" s="13"/>
      <c r="M44364" s="14"/>
      <c r="N44364" s="14"/>
      <c r="O44364" s="14"/>
      <c r="P44364" s="13"/>
    </row>
    <row r="44365">
      <c r="L44365" s="13"/>
      <c r="M44365" s="14"/>
      <c r="N44365" s="14"/>
      <c r="O44365" s="14"/>
      <c r="P44365" s="13"/>
    </row>
    <row r="44366">
      <c r="L44366" s="13"/>
      <c r="M44366" s="14"/>
      <c r="N44366" s="14"/>
      <c r="O44366" s="14"/>
      <c r="P44366" s="13"/>
    </row>
    <row r="44367">
      <c r="L44367" s="13"/>
      <c r="M44367" s="14"/>
      <c r="N44367" s="14"/>
      <c r="O44367" s="14"/>
      <c r="P44367" s="13"/>
    </row>
    <row r="44368">
      <c r="L44368" s="13"/>
      <c r="M44368" s="14"/>
      <c r="N44368" s="14"/>
      <c r="O44368" s="14"/>
      <c r="P44368" s="13"/>
    </row>
    <row r="44369">
      <c r="L44369" s="13"/>
      <c r="M44369" s="14"/>
      <c r="N44369" s="14"/>
      <c r="O44369" s="14"/>
      <c r="P44369" s="13"/>
    </row>
    <row r="44370">
      <c r="L44370" s="13"/>
      <c r="M44370" s="14"/>
      <c r="N44370" s="14"/>
      <c r="O44370" s="14"/>
      <c r="P44370" s="13"/>
    </row>
    <row r="44371">
      <c r="L44371" s="13"/>
      <c r="M44371" s="14"/>
      <c r="N44371" s="14"/>
      <c r="O44371" s="14"/>
      <c r="P44371" s="13"/>
    </row>
    <row r="44372">
      <c r="L44372" s="13"/>
      <c r="M44372" s="14"/>
      <c r="N44372" s="14"/>
      <c r="O44372" s="14"/>
      <c r="P44372" s="13"/>
    </row>
    <row r="44373">
      <c r="L44373" s="13"/>
      <c r="M44373" s="14"/>
      <c r="N44373" s="14"/>
      <c r="O44373" s="14"/>
      <c r="P44373" s="13"/>
    </row>
    <row r="44374">
      <c r="L44374" s="13"/>
      <c r="M44374" s="14"/>
      <c r="N44374" s="14"/>
      <c r="O44374" s="14"/>
      <c r="P44374" s="13"/>
    </row>
    <row r="44375">
      <c r="L44375" s="13"/>
      <c r="M44375" s="14"/>
      <c r="N44375" s="14"/>
      <c r="O44375" s="14"/>
      <c r="P44375" s="13"/>
    </row>
    <row r="44376">
      <c r="L44376" s="13"/>
      <c r="M44376" s="14"/>
      <c r="N44376" s="14"/>
      <c r="O44376" s="14"/>
      <c r="P44376" s="13"/>
    </row>
    <row r="44377">
      <c r="L44377" s="13"/>
      <c r="M44377" s="14"/>
      <c r="N44377" s="14"/>
      <c r="O44377" s="14"/>
      <c r="P44377" s="13"/>
    </row>
    <row r="44378">
      <c r="L44378" s="13"/>
      <c r="M44378" s="14"/>
      <c r="N44378" s="14"/>
      <c r="O44378" s="14"/>
      <c r="P44378" s="13"/>
    </row>
    <row r="44379">
      <c r="L44379" s="13"/>
      <c r="M44379" s="14"/>
      <c r="N44379" s="14"/>
      <c r="O44379" s="14"/>
      <c r="P44379" s="13"/>
    </row>
    <row r="44380">
      <c r="L44380" s="13"/>
      <c r="M44380" s="14"/>
      <c r="N44380" s="14"/>
      <c r="O44380" s="14"/>
      <c r="P44380" s="13"/>
    </row>
    <row r="44381">
      <c r="L44381" s="13"/>
      <c r="M44381" s="14"/>
      <c r="N44381" s="14"/>
      <c r="O44381" s="14"/>
      <c r="P44381" s="13"/>
    </row>
    <row r="44382">
      <c r="L44382" s="13"/>
      <c r="M44382" s="14"/>
      <c r="N44382" s="14"/>
      <c r="O44382" s="14"/>
      <c r="P44382" s="13"/>
    </row>
    <row r="44383">
      <c r="L44383" s="13"/>
      <c r="M44383" s="14"/>
      <c r="N44383" s="14"/>
      <c r="O44383" s="14"/>
      <c r="P44383" s="13"/>
    </row>
    <row r="44384">
      <c r="L44384" s="13"/>
      <c r="M44384" s="14"/>
      <c r="N44384" s="14"/>
      <c r="O44384" s="14"/>
      <c r="P44384" s="13"/>
    </row>
    <row r="44385">
      <c r="L44385" s="13"/>
      <c r="M44385" s="14"/>
      <c r="N44385" s="14"/>
      <c r="O44385" s="14"/>
      <c r="P44385" s="13"/>
    </row>
    <row r="44386">
      <c r="L44386" s="13"/>
      <c r="M44386" s="14"/>
      <c r="N44386" s="14"/>
      <c r="O44386" s="14"/>
      <c r="P44386" s="13"/>
    </row>
    <row r="44387">
      <c r="L44387" s="13"/>
      <c r="M44387" s="14"/>
      <c r="N44387" s="14"/>
      <c r="O44387" s="14"/>
      <c r="P44387" s="13"/>
    </row>
    <row r="44388">
      <c r="L44388" s="13"/>
      <c r="M44388" s="14"/>
      <c r="N44388" s="14"/>
      <c r="O44388" s="14"/>
      <c r="P44388" s="13"/>
    </row>
    <row r="44389">
      <c r="L44389" s="13"/>
      <c r="M44389" s="14"/>
      <c r="N44389" s="14"/>
      <c r="O44389" s="14"/>
      <c r="P44389" s="13"/>
    </row>
    <row r="44390">
      <c r="L44390" s="13"/>
      <c r="M44390" s="14"/>
      <c r="N44390" s="14"/>
      <c r="O44390" s="14"/>
      <c r="P44390" s="13"/>
    </row>
    <row r="44391">
      <c r="L44391" s="13"/>
      <c r="M44391" s="14"/>
      <c r="N44391" s="14"/>
      <c r="O44391" s="14"/>
      <c r="P44391" s="13"/>
    </row>
    <row r="44392">
      <c r="L44392" s="13"/>
      <c r="M44392" s="14"/>
      <c r="N44392" s="14"/>
      <c r="O44392" s="14"/>
      <c r="P44392" s="13"/>
    </row>
    <row r="44393">
      <c r="L44393" s="13"/>
      <c r="M44393" s="14"/>
      <c r="N44393" s="14"/>
      <c r="O44393" s="14"/>
      <c r="P44393" s="13"/>
    </row>
    <row r="44394">
      <c r="L44394" s="13"/>
      <c r="M44394" s="14"/>
      <c r="N44394" s="14"/>
      <c r="O44394" s="14"/>
      <c r="P44394" s="13"/>
    </row>
    <row r="44395">
      <c r="L44395" s="13"/>
      <c r="M44395" s="14"/>
      <c r="N44395" s="14"/>
      <c r="O44395" s="14"/>
      <c r="P44395" s="13"/>
    </row>
    <row r="44396">
      <c r="L44396" s="13"/>
      <c r="M44396" s="14"/>
      <c r="N44396" s="14"/>
      <c r="O44396" s="14"/>
      <c r="P44396" s="13"/>
    </row>
    <row r="44397">
      <c r="L44397" s="13"/>
      <c r="M44397" s="14"/>
      <c r="N44397" s="14"/>
      <c r="O44397" s="14"/>
      <c r="P44397" s="13"/>
    </row>
    <row r="44398">
      <c r="L44398" s="13"/>
      <c r="M44398" s="14"/>
      <c r="N44398" s="14"/>
      <c r="O44398" s="14"/>
      <c r="P44398" s="13"/>
    </row>
    <row r="44399">
      <c r="L44399" s="13"/>
      <c r="M44399" s="14"/>
      <c r="N44399" s="14"/>
      <c r="O44399" s="14"/>
      <c r="P44399" s="13"/>
    </row>
    <row r="44400">
      <c r="L44400" s="13"/>
      <c r="M44400" s="14"/>
      <c r="N44400" s="14"/>
      <c r="O44400" s="14"/>
      <c r="P44400" s="13"/>
    </row>
    <row r="44401">
      <c r="L44401" s="13"/>
      <c r="M44401" s="14"/>
      <c r="N44401" s="14"/>
      <c r="O44401" s="14"/>
      <c r="P44401" s="13"/>
    </row>
    <row r="44402">
      <c r="L44402" s="13"/>
      <c r="M44402" s="14"/>
      <c r="N44402" s="14"/>
      <c r="O44402" s="14"/>
      <c r="P44402" s="13"/>
    </row>
    <row r="44403">
      <c r="L44403" s="13"/>
      <c r="M44403" s="14"/>
      <c r="N44403" s="14"/>
      <c r="O44403" s="14"/>
      <c r="P44403" s="13"/>
    </row>
    <row r="44404">
      <c r="L44404" s="13"/>
      <c r="M44404" s="14"/>
      <c r="N44404" s="14"/>
      <c r="O44404" s="14"/>
      <c r="P44404" s="13"/>
    </row>
    <row r="44405">
      <c r="L44405" s="13"/>
      <c r="M44405" s="14"/>
      <c r="N44405" s="14"/>
      <c r="O44405" s="14"/>
      <c r="P44405" s="13"/>
    </row>
    <row r="44406">
      <c r="L44406" s="13"/>
      <c r="M44406" s="14"/>
      <c r="N44406" s="14"/>
      <c r="O44406" s="14"/>
      <c r="P44406" s="13"/>
    </row>
    <row r="44407">
      <c r="L44407" s="13"/>
      <c r="M44407" s="14"/>
      <c r="N44407" s="14"/>
      <c r="O44407" s="14"/>
      <c r="P44407" s="13"/>
    </row>
    <row r="44408">
      <c r="L44408" s="13"/>
      <c r="M44408" s="14"/>
      <c r="N44408" s="14"/>
      <c r="O44408" s="14"/>
      <c r="P44408" s="13"/>
    </row>
    <row r="44409">
      <c r="L44409" s="13"/>
      <c r="M44409" s="14"/>
      <c r="N44409" s="14"/>
      <c r="O44409" s="14"/>
      <c r="P44409" s="13"/>
    </row>
    <row r="44410">
      <c r="L44410" s="13"/>
      <c r="M44410" s="14"/>
      <c r="N44410" s="14"/>
      <c r="O44410" s="14"/>
      <c r="P44410" s="13"/>
    </row>
    <row r="44411">
      <c r="L44411" s="13"/>
      <c r="M44411" s="14"/>
      <c r="N44411" s="14"/>
      <c r="O44411" s="14"/>
      <c r="P44411" s="13"/>
    </row>
    <row r="44412">
      <c r="L44412" s="13"/>
      <c r="M44412" s="14"/>
      <c r="N44412" s="14"/>
      <c r="O44412" s="14"/>
      <c r="P44412" s="13"/>
    </row>
    <row r="44413">
      <c r="L44413" s="13"/>
      <c r="M44413" s="14"/>
      <c r="N44413" s="14"/>
      <c r="O44413" s="14"/>
      <c r="P44413" s="13"/>
    </row>
    <row r="44414">
      <c r="L44414" s="13"/>
      <c r="M44414" s="14"/>
      <c r="N44414" s="14"/>
      <c r="O44414" s="14"/>
      <c r="P44414" s="13"/>
    </row>
    <row r="44415">
      <c r="L44415" s="13"/>
      <c r="M44415" s="14"/>
      <c r="N44415" s="14"/>
      <c r="O44415" s="14"/>
      <c r="P44415" s="13"/>
    </row>
    <row r="44416">
      <c r="L44416" s="13"/>
      <c r="M44416" s="14"/>
      <c r="N44416" s="14"/>
      <c r="O44416" s="14"/>
      <c r="P44416" s="13"/>
    </row>
    <row r="44417">
      <c r="L44417" s="13"/>
      <c r="M44417" s="14"/>
      <c r="N44417" s="14"/>
      <c r="O44417" s="14"/>
      <c r="P44417" s="13"/>
    </row>
    <row r="44418">
      <c r="L44418" s="13"/>
      <c r="M44418" s="14"/>
      <c r="N44418" s="14"/>
      <c r="O44418" s="14"/>
      <c r="P44418" s="13"/>
    </row>
    <row r="44419">
      <c r="L44419" s="13"/>
      <c r="M44419" s="14"/>
      <c r="N44419" s="14"/>
      <c r="O44419" s="14"/>
      <c r="P44419" s="13"/>
    </row>
    <row r="44420">
      <c r="L44420" s="13"/>
      <c r="M44420" s="14"/>
      <c r="N44420" s="14"/>
      <c r="O44420" s="14"/>
      <c r="P44420" s="13"/>
    </row>
    <row r="44421">
      <c r="L44421" s="13"/>
      <c r="M44421" s="14"/>
      <c r="N44421" s="14"/>
      <c r="O44421" s="14"/>
      <c r="P44421" s="13"/>
    </row>
    <row r="44422">
      <c r="L44422" s="13"/>
      <c r="M44422" s="14"/>
      <c r="N44422" s="14"/>
      <c r="O44422" s="14"/>
      <c r="P44422" s="13"/>
    </row>
    <row r="44423">
      <c r="L44423" s="13"/>
      <c r="M44423" s="14"/>
      <c r="N44423" s="14"/>
      <c r="O44423" s="14"/>
      <c r="P44423" s="13"/>
    </row>
    <row r="44424">
      <c r="L44424" s="13"/>
      <c r="M44424" s="14"/>
      <c r="N44424" s="14"/>
      <c r="O44424" s="14"/>
      <c r="P44424" s="13"/>
    </row>
    <row r="44425">
      <c r="L44425" s="13"/>
      <c r="M44425" s="14"/>
      <c r="N44425" s="14"/>
      <c r="O44425" s="14"/>
      <c r="P44425" s="13"/>
    </row>
    <row r="44426">
      <c r="L44426" s="13"/>
      <c r="M44426" s="14"/>
      <c r="N44426" s="14"/>
      <c r="O44426" s="14"/>
      <c r="P44426" s="13"/>
    </row>
    <row r="44427">
      <c r="L44427" s="13"/>
      <c r="M44427" s="14"/>
      <c r="N44427" s="14"/>
      <c r="O44427" s="14"/>
      <c r="P44427" s="13"/>
    </row>
    <row r="44428">
      <c r="L44428" s="13"/>
      <c r="M44428" s="14"/>
      <c r="N44428" s="14"/>
      <c r="O44428" s="14"/>
      <c r="P44428" s="13"/>
    </row>
    <row r="44429">
      <c r="L44429" s="13"/>
      <c r="M44429" s="14"/>
      <c r="N44429" s="14"/>
      <c r="O44429" s="14"/>
      <c r="P44429" s="13"/>
    </row>
    <row r="44430">
      <c r="L44430" s="13"/>
      <c r="M44430" s="14"/>
      <c r="N44430" s="14"/>
      <c r="O44430" s="14"/>
      <c r="P44430" s="13"/>
    </row>
    <row r="44431">
      <c r="L44431" s="13"/>
      <c r="M44431" s="14"/>
      <c r="N44431" s="14"/>
      <c r="O44431" s="14"/>
      <c r="P44431" s="13"/>
    </row>
    <row r="44432">
      <c r="L44432" s="13"/>
      <c r="M44432" s="14"/>
      <c r="N44432" s="14"/>
      <c r="O44432" s="14"/>
      <c r="P44432" s="13"/>
    </row>
    <row r="44433">
      <c r="L44433" s="13"/>
      <c r="M44433" s="14"/>
      <c r="N44433" s="14"/>
      <c r="O44433" s="14"/>
      <c r="P44433" s="13"/>
    </row>
    <row r="44434">
      <c r="L44434" s="13"/>
      <c r="M44434" s="14"/>
      <c r="N44434" s="14"/>
      <c r="O44434" s="14"/>
      <c r="P44434" s="13"/>
    </row>
    <row r="44435">
      <c r="L44435" s="13"/>
      <c r="M44435" s="14"/>
      <c r="N44435" s="14"/>
      <c r="O44435" s="14"/>
      <c r="P44435" s="13"/>
    </row>
    <row r="44436">
      <c r="L44436" s="13"/>
      <c r="M44436" s="14"/>
      <c r="N44436" s="14"/>
      <c r="O44436" s="14"/>
      <c r="P44436" s="13"/>
    </row>
    <row r="44437">
      <c r="L44437" s="13"/>
      <c r="M44437" s="14"/>
      <c r="N44437" s="14"/>
      <c r="O44437" s="14"/>
      <c r="P44437" s="13"/>
    </row>
    <row r="44438">
      <c r="L44438" s="13"/>
      <c r="M44438" s="14"/>
      <c r="N44438" s="14"/>
      <c r="O44438" s="14"/>
      <c r="P44438" s="13"/>
    </row>
    <row r="44439">
      <c r="L44439" s="13"/>
      <c r="M44439" s="14"/>
      <c r="N44439" s="14"/>
      <c r="O44439" s="14"/>
      <c r="P44439" s="13"/>
    </row>
    <row r="44440">
      <c r="L44440" s="13"/>
      <c r="M44440" s="14"/>
      <c r="N44440" s="14"/>
      <c r="O44440" s="14"/>
      <c r="P44440" s="13"/>
    </row>
    <row r="44441">
      <c r="L44441" s="13"/>
      <c r="M44441" s="14"/>
      <c r="N44441" s="14"/>
      <c r="O44441" s="14"/>
      <c r="P44441" s="13"/>
    </row>
    <row r="44442">
      <c r="L44442" s="13"/>
      <c r="M44442" s="14"/>
      <c r="N44442" s="14"/>
      <c r="O44442" s="14"/>
      <c r="P44442" s="13"/>
    </row>
    <row r="44443">
      <c r="L44443" s="13"/>
      <c r="M44443" s="14"/>
      <c r="N44443" s="14"/>
      <c r="O44443" s="14"/>
      <c r="P44443" s="13"/>
    </row>
    <row r="44444">
      <c r="L44444" s="13"/>
      <c r="M44444" s="14"/>
      <c r="N44444" s="14"/>
      <c r="O44444" s="14"/>
      <c r="P44444" s="13"/>
    </row>
    <row r="44445">
      <c r="L44445" s="13"/>
      <c r="M44445" s="14"/>
      <c r="N44445" s="14"/>
      <c r="O44445" s="14"/>
      <c r="P44445" s="13"/>
    </row>
    <row r="44446">
      <c r="L44446" s="13"/>
      <c r="M44446" s="14"/>
      <c r="N44446" s="14"/>
      <c r="O44446" s="14"/>
      <c r="P44446" s="13"/>
    </row>
    <row r="44447">
      <c r="L44447" s="13"/>
      <c r="M44447" s="14"/>
      <c r="N44447" s="14"/>
      <c r="O44447" s="14"/>
      <c r="P44447" s="13"/>
    </row>
    <row r="44448">
      <c r="L44448" s="13"/>
      <c r="M44448" s="14"/>
      <c r="N44448" s="14"/>
      <c r="O44448" s="14"/>
      <c r="P44448" s="13"/>
    </row>
    <row r="44449">
      <c r="L44449" s="13"/>
      <c r="M44449" s="14"/>
      <c r="N44449" s="14"/>
      <c r="O44449" s="14"/>
      <c r="P44449" s="13"/>
    </row>
    <row r="44450">
      <c r="L44450" s="13"/>
      <c r="M44450" s="14"/>
      <c r="N44450" s="14"/>
      <c r="O44450" s="14"/>
      <c r="P44450" s="13"/>
    </row>
    <row r="44451">
      <c r="L44451" s="13"/>
      <c r="M44451" s="14"/>
      <c r="N44451" s="14"/>
      <c r="O44451" s="14"/>
      <c r="P44451" s="13"/>
    </row>
    <row r="44452">
      <c r="L44452" s="13"/>
      <c r="M44452" s="14"/>
      <c r="N44452" s="14"/>
      <c r="O44452" s="14"/>
      <c r="P44452" s="13"/>
    </row>
    <row r="44453">
      <c r="L44453" s="13"/>
      <c r="M44453" s="14"/>
      <c r="N44453" s="14"/>
      <c r="O44453" s="14"/>
      <c r="P44453" s="13"/>
    </row>
    <row r="44454">
      <c r="L44454" s="13"/>
      <c r="M44454" s="14"/>
      <c r="N44454" s="14"/>
      <c r="O44454" s="14"/>
      <c r="P44454" s="13"/>
    </row>
    <row r="44455">
      <c r="L44455" s="13"/>
      <c r="M44455" s="14"/>
      <c r="N44455" s="14"/>
      <c r="O44455" s="14"/>
      <c r="P44455" s="13"/>
    </row>
    <row r="44456">
      <c r="L44456" s="13"/>
      <c r="M44456" s="14"/>
      <c r="N44456" s="14"/>
      <c r="O44456" s="14"/>
      <c r="P44456" s="13"/>
    </row>
    <row r="44457">
      <c r="L44457" s="13"/>
      <c r="M44457" s="14"/>
      <c r="N44457" s="14"/>
      <c r="O44457" s="14"/>
      <c r="P44457" s="13"/>
    </row>
    <row r="44458">
      <c r="L44458" s="13"/>
      <c r="M44458" s="14"/>
      <c r="N44458" s="14"/>
      <c r="O44458" s="14"/>
      <c r="P44458" s="13"/>
    </row>
    <row r="44459">
      <c r="L44459" s="13"/>
      <c r="M44459" s="14"/>
      <c r="N44459" s="14"/>
      <c r="O44459" s="14"/>
      <c r="P44459" s="13"/>
    </row>
    <row r="44460">
      <c r="L44460" s="13"/>
      <c r="M44460" s="14"/>
      <c r="N44460" s="14"/>
      <c r="O44460" s="14"/>
      <c r="P44460" s="13"/>
    </row>
    <row r="44461">
      <c r="L44461" s="13"/>
      <c r="M44461" s="14"/>
      <c r="N44461" s="14"/>
      <c r="O44461" s="14"/>
      <c r="P44461" s="13"/>
    </row>
    <row r="44462">
      <c r="L44462" s="13"/>
      <c r="M44462" s="14"/>
      <c r="N44462" s="14"/>
      <c r="O44462" s="14"/>
      <c r="P44462" s="13"/>
    </row>
    <row r="44463">
      <c r="L44463" s="13"/>
      <c r="M44463" s="14"/>
      <c r="N44463" s="14"/>
      <c r="O44463" s="14"/>
      <c r="P44463" s="13"/>
    </row>
    <row r="44464">
      <c r="L44464" s="13"/>
      <c r="M44464" s="14"/>
      <c r="N44464" s="14"/>
      <c r="O44464" s="14"/>
      <c r="P44464" s="13"/>
    </row>
    <row r="44465">
      <c r="L44465" s="13"/>
      <c r="M44465" s="14"/>
      <c r="N44465" s="14"/>
      <c r="O44465" s="14"/>
      <c r="P44465" s="13"/>
    </row>
    <row r="44466">
      <c r="L44466" s="13"/>
      <c r="M44466" s="14"/>
      <c r="N44466" s="14"/>
      <c r="O44466" s="14"/>
      <c r="P44466" s="13"/>
    </row>
    <row r="44467">
      <c r="L44467" s="13"/>
      <c r="M44467" s="14"/>
      <c r="N44467" s="14"/>
      <c r="O44467" s="14"/>
      <c r="P44467" s="13"/>
    </row>
    <row r="44468">
      <c r="L44468" s="13"/>
      <c r="M44468" s="14"/>
      <c r="N44468" s="14"/>
      <c r="O44468" s="14"/>
      <c r="P44468" s="13"/>
    </row>
    <row r="44469">
      <c r="L44469" s="13"/>
      <c r="M44469" s="14"/>
      <c r="N44469" s="14"/>
      <c r="O44469" s="14"/>
      <c r="P44469" s="13"/>
    </row>
    <row r="44470">
      <c r="L44470" s="13"/>
      <c r="M44470" s="14"/>
      <c r="N44470" s="14"/>
      <c r="O44470" s="14"/>
      <c r="P44470" s="13"/>
    </row>
    <row r="44471">
      <c r="L44471" s="13"/>
      <c r="M44471" s="14"/>
      <c r="N44471" s="14"/>
      <c r="O44471" s="14"/>
      <c r="P44471" s="13"/>
    </row>
    <row r="44472">
      <c r="L44472" s="13"/>
      <c r="M44472" s="14"/>
      <c r="N44472" s="14"/>
      <c r="O44472" s="14"/>
      <c r="P44472" s="13"/>
    </row>
    <row r="44473">
      <c r="L44473" s="13"/>
      <c r="M44473" s="14"/>
      <c r="N44473" s="14"/>
      <c r="O44473" s="14"/>
      <c r="P44473" s="13"/>
    </row>
    <row r="44474">
      <c r="L44474" s="13"/>
      <c r="M44474" s="14"/>
      <c r="N44474" s="14"/>
      <c r="O44474" s="14"/>
      <c r="P44474" s="13"/>
    </row>
    <row r="44475">
      <c r="L44475" s="13"/>
      <c r="M44475" s="14"/>
      <c r="N44475" s="14"/>
      <c r="O44475" s="14"/>
      <c r="P44475" s="13"/>
    </row>
    <row r="44476">
      <c r="L44476" s="13"/>
      <c r="M44476" s="14"/>
      <c r="N44476" s="14"/>
      <c r="O44476" s="14"/>
      <c r="P44476" s="13"/>
    </row>
    <row r="44477">
      <c r="L44477" s="13"/>
      <c r="M44477" s="14"/>
      <c r="N44477" s="14"/>
      <c r="O44477" s="14"/>
      <c r="P44477" s="13"/>
    </row>
    <row r="44478">
      <c r="L44478" s="13"/>
      <c r="M44478" s="14"/>
      <c r="N44478" s="14"/>
      <c r="O44478" s="14"/>
      <c r="P44478" s="13"/>
    </row>
    <row r="44479">
      <c r="L44479" s="13"/>
      <c r="M44479" s="14"/>
      <c r="N44479" s="14"/>
      <c r="O44479" s="14"/>
      <c r="P44479" s="13"/>
    </row>
    <row r="44480">
      <c r="L44480" s="13"/>
      <c r="M44480" s="14"/>
      <c r="N44480" s="14"/>
      <c r="O44480" s="14"/>
      <c r="P44480" s="13"/>
    </row>
    <row r="44481">
      <c r="L44481" s="13"/>
      <c r="M44481" s="14"/>
      <c r="N44481" s="14"/>
      <c r="O44481" s="14"/>
      <c r="P44481" s="13"/>
    </row>
    <row r="44482">
      <c r="L44482" s="13"/>
      <c r="M44482" s="14"/>
      <c r="N44482" s="14"/>
      <c r="O44482" s="14"/>
      <c r="P44482" s="13"/>
    </row>
    <row r="44483">
      <c r="L44483" s="13"/>
      <c r="M44483" s="14"/>
      <c r="N44483" s="14"/>
      <c r="O44483" s="14"/>
      <c r="P44483" s="13"/>
    </row>
    <row r="44484">
      <c r="L44484" s="13"/>
      <c r="M44484" s="14"/>
      <c r="N44484" s="14"/>
      <c r="O44484" s="14"/>
      <c r="P44484" s="13"/>
    </row>
    <row r="44485">
      <c r="L44485" s="13"/>
      <c r="M44485" s="14"/>
      <c r="N44485" s="14"/>
      <c r="O44485" s="14"/>
      <c r="P44485" s="13"/>
    </row>
    <row r="44486">
      <c r="L44486" s="13"/>
      <c r="M44486" s="14"/>
      <c r="N44486" s="14"/>
      <c r="O44486" s="14"/>
      <c r="P44486" s="13"/>
    </row>
    <row r="44487">
      <c r="L44487" s="13"/>
      <c r="M44487" s="14"/>
      <c r="N44487" s="14"/>
      <c r="O44487" s="14"/>
      <c r="P44487" s="13"/>
    </row>
    <row r="44488">
      <c r="L44488" s="13"/>
      <c r="M44488" s="14"/>
      <c r="N44488" s="14"/>
      <c r="O44488" s="14"/>
      <c r="P44488" s="13"/>
    </row>
    <row r="44489">
      <c r="L44489" s="13"/>
      <c r="M44489" s="14"/>
      <c r="N44489" s="14"/>
      <c r="O44489" s="14"/>
      <c r="P44489" s="13"/>
    </row>
    <row r="44490">
      <c r="L44490" s="13"/>
      <c r="M44490" s="14"/>
      <c r="N44490" s="14"/>
      <c r="O44490" s="14"/>
      <c r="P44490" s="13"/>
    </row>
    <row r="44491">
      <c r="L44491" s="13"/>
      <c r="M44491" s="14"/>
      <c r="N44491" s="14"/>
      <c r="O44491" s="14"/>
      <c r="P44491" s="13"/>
    </row>
    <row r="44492">
      <c r="L44492" s="13"/>
      <c r="M44492" s="14"/>
      <c r="N44492" s="14"/>
      <c r="O44492" s="14"/>
      <c r="P44492" s="13"/>
    </row>
    <row r="44493">
      <c r="L44493" s="13"/>
      <c r="M44493" s="14"/>
      <c r="N44493" s="14"/>
      <c r="O44493" s="14"/>
      <c r="P44493" s="13"/>
    </row>
    <row r="44494">
      <c r="L44494" s="13"/>
      <c r="M44494" s="14"/>
      <c r="N44494" s="14"/>
      <c r="O44494" s="14"/>
      <c r="P44494" s="13"/>
    </row>
    <row r="44495">
      <c r="L44495" s="13"/>
      <c r="M44495" s="14"/>
      <c r="N44495" s="14"/>
      <c r="O44495" s="14"/>
      <c r="P44495" s="13"/>
    </row>
    <row r="44496">
      <c r="L44496" s="13"/>
      <c r="M44496" s="14"/>
      <c r="N44496" s="14"/>
      <c r="O44496" s="14"/>
      <c r="P44496" s="13"/>
    </row>
    <row r="44497">
      <c r="L44497" s="13"/>
      <c r="M44497" s="14"/>
      <c r="N44497" s="14"/>
      <c r="O44497" s="14"/>
      <c r="P44497" s="13"/>
    </row>
    <row r="44498">
      <c r="L44498" s="13"/>
      <c r="M44498" s="14"/>
      <c r="N44498" s="14"/>
      <c r="O44498" s="14"/>
      <c r="P44498" s="13"/>
    </row>
    <row r="44499">
      <c r="L44499" s="13"/>
      <c r="M44499" s="14"/>
      <c r="N44499" s="14"/>
      <c r="O44499" s="14"/>
      <c r="P44499" s="13"/>
    </row>
    <row r="44500">
      <c r="L44500" s="13"/>
      <c r="M44500" s="14"/>
      <c r="N44500" s="14"/>
      <c r="O44500" s="14"/>
      <c r="P44500" s="13"/>
    </row>
    <row r="44501">
      <c r="L44501" s="13"/>
      <c r="M44501" s="14"/>
      <c r="N44501" s="14"/>
      <c r="O44501" s="14"/>
      <c r="P44501" s="13"/>
    </row>
    <row r="44502">
      <c r="L44502" s="13"/>
      <c r="M44502" s="14"/>
      <c r="N44502" s="14"/>
      <c r="O44502" s="14"/>
      <c r="P44502" s="13"/>
    </row>
    <row r="44503">
      <c r="L44503" s="13"/>
      <c r="M44503" s="14"/>
      <c r="N44503" s="14"/>
      <c r="O44503" s="14"/>
      <c r="P44503" s="13"/>
    </row>
    <row r="44504">
      <c r="L44504" s="13"/>
      <c r="M44504" s="14"/>
      <c r="N44504" s="14"/>
      <c r="O44504" s="14"/>
      <c r="P44504" s="13"/>
    </row>
    <row r="44505">
      <c r="L44505" s="13"/>
      <c r="M44505" s="14"/>
      <c r="N44505" s="14"/>
      <c r="O44505" s="14"/>
      <c r="P44505" s="13"/>
    </row>
    <row r="44506">
      <c r="L44506" s="13"/>
      <c r="M44506" s="14"/>
      <c r="N44506" s="14"/>
      <c r="O44506" s="14"/>
      <c r="P44506" s="13"/>
    </row>
    <row r="44507">
      <c r="L44507" s="13"/>
      <c r="M44507" s="14"/>
      <c r="N44507" s="14"/>
      <c r="O44507" s="14"/>
      <c r="P44507" s="13"/>
    </row>
    <row r="44508">
      <c r="L44508" s="13"/>
      <c r="M44508" s="14"/>
      <c r="N44508" s="14"/>
      <c r="O44508" s="14"/>
      <c r="P44508" s="13"/>
    </row>
    <row r="44509">
      <c r="L44509" s="13"/>
      <c r="M44509" s="14"/>
      <c r="N44509" s="14"/>
      <c r="O44509" s="14"/>
      <c r="P44509" s="13"/>
    </row>
    <row r="44510">
      <c r="L44510" s="13"/>
      <c r="M44510" s="14"/>
      <c r="N44510" s="14"/>
      <c r="O44510" s="14"/>
      <c r="P44510" s="13"/>
    </row>
    <row r="44511">
      <c r="L44511" s="13"/>
      <c r="M44511" s="14"/>
      <c r="N44511" s="14"/>
      <c r="O44511" s="14"/>
      <c r="P44511" s="13"/>
    </row>
    <row r="44512">
      <c r="L44512" s="13"/>
      <c r="M44512" s="14"/>
      <c r="N44512" s="14"/>
      <c r="O44512" s="14"/>
      <c r="P44512" s="13"/>
    </row>
    <row r="44513">
      <c r="L44513" s="13"/>
      <c r="M44513" s="14"/>
      <c r="N44513" s="14"/>
      <c r="O44513" s="14"/>
      <c r="P44513" s="13"/>
    </row>
    <row r="44514">
      <c r="L44514" s="13"/>
      <c r="M44514" s="14"/>
      <c r="N44514" s="14"/>
      <c r="O44514" s="14"/>
      <c r="P44514" s="13"/>
    </row>
    <row r="44515">
      <c r="L44515" s="13"/>
      <c r="M44515" s="14"/>
      <c r="N44515" s="14"/>
      <c r="O44515" s="14"/>
      <c r="P44515" s="13"/>
    </row>
    <row r="44516">
      <c r="L44516" s="13"/>
      <c r="M44516" s="14"/>
      <c r="N44516" s="14"/>
      <c r="O44516" s="14"/>
      <c r="P44516" s="13"/>
    </row>
    <row r="44517">
      <c r="L44517" s="13"/>
      <c r="M44517" s="14"/>
      <c r="N44517" s="14"/>
      <c r="O44517" s="14"/>
      <c r="P44517" s="13"/>
    </row>
    <row r="44518">
      <c r="L44518" s="13"/>
      <c r="M44518" s="14"/>
      <c r="N44518" s="14"/>
      <c r="O44518" s="14"/>
      <c r="P44518" s="13"/>
    </row>
    <row r="44519">
      <c r="L44519" s="13"/>
      <c r="M44519" s="14"/>
      <c r="N44519" s="14"/>
      <c r="O44519" s="14"/>
      <c r="P44519" s="13"/>
    </row>
    <row r="44520">
      <c r="L44520" s="13"/>
      <c r="M44520" s="14"/>
      <c r="N44520" s="14"/>
      <c r="O44520" s="14"/>
      <c r="P44520" s="13"/>
    </row>
    <row r="44521">
      <c r="L44521" s="13"/>
      <c r="M44521" s="14"/>
      <c r="N44521" s="14"/>
      <c r="O44521" s="14"/>
      <c r="P44521" s="13"/>
    </row>
    <row r="44522">
      <c r="L44522" s="13"/>
      <c r="M44522" s="14"/>
      <c r="N44522" s="14"/>
      <c r="O44522" s="14"/>
      <c r="P44522" s="13"/>
    </row>
    <row r="44523">
      <c r="L44523" s="13"/>
      <c r="M44523" s="14"/>
      <c r="N44523" s="14"/>
      <c r="O44523" s="14"/>
      <c r="P44523" s="13"/>
    </row>
    <row r="44524">
      <c r="L44524" s="13"/>
      <c r="M44524" s="14"/>
      <c r="N44524" s="14"/>
      <c r="O44524" s="14"/>
      <c r="P44524" s="13"/>
    </row>
    <row r="44525">
      <c r="L44525" s="13"/>
      <c r="M44525" s="14"/>
      <c r="N44525" s="14"/>
      <c r="O44525" s="14"/>
      <c r="P44525" s="13"/>
    </row>
    <row r="44526">
      <c r="L44526" s="13"/>
      <c r="M44526" s="14"/>
      <c r="N44526" s="14"/>
      <c r="O44526" s="14"/>
      <c r="P44526" s="13"/>
    </row>
    <row r="44527">
      <c r="L44527" s="13"/>
      <c r="M44527" s="14"/>
      <c r="N44527" s="14"/>
      <c r="O44527" s="14"/>
      <c r="P44527" s="13"/>
    </row>
    <row r="44528">
      <c r="L44528" s="13"/>
      <c r="M44528" s="14"/>
      <c r="N44528" s="14"/>
      <c r="O44528" s="14"/>
      <c r="P44528" s="13"/>
    </row>
    <row r="44529">
      <c r="L44529" s="13"/>
      <c r="M44529" s="14"/>
      <c r="N44529" s="14"/>
      <c r="O44529" s="14"/>
      <c r="P44529" s="13"/>
    </row>
    <row r="44530">
      <c r="L44530" s="13"/>
      <c r="M44530" s="14"/>
      <c r="N44530" s="14"/>
      <c r="O44530" s="14"/>
      <c r="P44530" s="13"/>
    </row>
    <row r="44531">
      <c r="L44531" s="13"/>
      <c r="M44531" s="14"/>
      <c r="N44531" s="14"/>
      <c r="O44531" s="14"/>
      <c r="P44531" s="13"/>
    </row>
    <row r="44532">
      <c r="L44532" s="13"/>
      <c r="M44532" s="14"/>
      <c r="N44532" s="14"/>
      <c r="O44532" s="14"/>
      <c r="P44532" s="13"/>
    </row>
    <row r="44533">
      <c r="L44533" s="13"/>
      <c r="M44533" s="14"/>
      <c r="N44533" s="14"/>
      <c r="O44533" s="14"/>
      <c r="P44533" s="13"/>
    </row>
    <row r="44534">
      <c r="L44534" s="13"/>
      <c r="M44534" s="14"/>
      <c r="N44534" s="14"/>
      <c r="O44534" s="14"/>
      <c r="P44534" s="13"/>
    </row>
    <row r="44535">
      <c r="L44535" s="13"/>
      <c r="M44535" s="14"/>
      <c r="N44535" s="14"/>
      <c r="O44535" s="14"/>
      <c r="P44535" s="13"/>
    </row>
    <row r="44536">
      <c r="L44536" s="13"/>
      <c r="M44536" s="14"/>
      <c r="N44536" s="14"/>
      <c r="O44536" s="14"/>
      <c r="P44536" s="13"/>
    </row>
    <row r="44537">
      <c r="L44537" s="13"/>
      <c r="M44537" s="14"/>
      <c r="N44537" s="14"/>
      <c r="O44537" s="14"/>
      <c r="P44537" s="13"/>
    </row>
    <row r="44538">
      <c r="L44538" s="13"/>
      <c r="M44538" s="14"/>
      <c r="N44538" s="14"/>
      <c r="O44538" s="14"/>
      <c r="P44538" s="13"/>
    </row>
    <row r="44539">
      <c r="L44539" s="13"/>
      <c r="M44539" s="14"/>
      <c r="N44539" s="14"/>
      <c r="O44539" s="14"/>
      <c r="P44539" s="13"/>
    </row>
    <row r="44540">
      <c r="L44540" s="13"/>
      <c r="M44540" s="14"/>
      <c r="N44540" s="14"/>
      <c r="O44540" s="14"/>
      <c r="P44540" s="13"/>
    </row>
    <row r="44541">
      <c r="L44541" s="13"/>
      <c r="M44541" s="14"/>
      <c r="N44541" s="14"/>
      <c r="O44541" s="14"/>
      <c r="P44541" s="13"/>
    </row>
    <row r="44542">
      <c r="L44542" s="13"/>
      <c r="M44542" s="14"/>
      <c r="N44542" s="14"/>
      <c r="O44542" s="14"/>
      <c r="P44542" s="13"/>
    </row>
    <row r="44543">
      <c r="L44543" s="13"/>
      <c r="M44543" s="14"/>
      <c r="N44543" s="14"/>
      <c r="O44543" s="14"/>
      <c r="P44543" s="13"/>
    </row>
    <row r="44544">
      <c r="L44544" s="13"/>
      <c r="M44544" s="14"/>
      <c r="N44544" s="14"/>
      <c r="O44544" s="14"/>
      <c r="P44544" s="13"/>
    </row>
    <row r="44545">
      <c r="L44545" s="13"/>
      <c r="M44545" s="14"/>
      <c r="N44545" s="14"/>
      <c r="O44545" s="14"/>
      <c r="P44545" s="13"/>
    </row>
    <row r="44546">
      <c r="L44546" s="13"/>
      <c r="M44546" s="14"/>
      <c r="N44546" s="14"/>
      <c r="O44546" s="14"/>
      <c r="P44546" s="13"/>
    </row>
    <row r="44547">
      <c r="L44547" s="13"/>
      <c r="M44547" s="14"/>
      <c r="N44547" s="14"/>
      <c r="O44547" s="14"/>
      <c r="P44547" s="13"/>
    </row>
    <row r="44548">
      <c r="L44548" s="13"/>
      <c r="M44548" s="14"/>
      <c r="N44548" s="14"/>
      <c r="O44548" s="14"/>
      <c r="P44548" s="13"/>
    </row>
    <row r="44549">
      <c r="L44549" s="13"/>
      <c r="M44549" s="14"/>
      <c r="N44549" s="14"/>
      <c r="O44549" s="14"/>
      <c r="P44549" s="13"/>
    </row>
    <row r="44550">
      <c r="L44550" s="13"/>
      <c r="M44550" s="14"/>
      <c r="N44550" s="14"/>
      <c r="O44550" s="14"/>
      <c r="P44550" s="13"/>
    </row>
    <row r="44551">
      <c r="L44551" s="13"/>
      <c r="M44551" s="14"/>
      <c r="N44551" s="14"/>
      <c r="O44551" s="14"/>
      <c r="P44551" s="13"/>
    </row>
    <row r="44552">
      <c r="L44552" s="13"/>
      <c r="M44552" s="14"/>
      <c r="N44552" s="14"/>
      <c r="O44552" s="14"/>
      <c r="P44552" s="13"/>
    </row>
    <row r="44553">
      <c r="L44553" s="13"/>
      <c r="M44553" s="14"/>
      <c r="N44553" s="14"/>
      <c r="O44553" s="14"/>
      <c r="P44553" s="13"/>
    </row>
    <row r="44554">
      <c r="L44554" s="13"/>
      <c r="M44554" s="14"/>
      <c r="N44554" s="14"/>
      <c r="O44554" s="14"/>
      <c r="P44554" s="13"/>
    </row>
    <row r="44555">
      <c r="L44555" s="13"/>
      <c r="M44555" s="14"/>
      <c r="N44555" s="14"/>
      <c r="O44555" s="14"/>
      <c r="P44555" s="13"/>
    </row>
    <row r="44556">
      <c r="L44556" s="13"/>
      <c r="M44556" s="14"/>
      <c r="N44556" s="14"/>
      <c r="O44556" s="14"/>
      <c r="P44556" s="13"/>
    </row>
    <row r="44557">
      <c r="L44557" s="13"/>
      <c r="M44557" s="14"/>
      <c r="N44557" s="14"/>
      <c r="O44557" s="14"/>
      <c r="P44557" s="13"/>
    </row>
    <row r="44558">
      <c r="L44558" s="13"/>
      <c r="M44558" s="14"/>
      <c r="N44558" s="14"/>
      <c r="O44558" s="14"/>
      <c r="P44558" s="13"/>
    </row>
    <row r="44559">
      <c r="L44559" s="13"/>
      <c r="M44559" s="14"/>
      <c r="N44559" s="14"/>
      <c r="O44559" s="14"/>
      <c r="P44559" s="13"/>
    </row>
    <row r="44560">
      <c r="L44560" s="13"/>
      <c r="M44560" s="14"/>
      <c r="N44560" s="14"/>
      <c r="O44560" s="14"/>
      <c r="P44560" s="13"/>
    </row>
    <row r="44561">
      <c r="L44561" s="13"/>
      <c r="M44561" s="14"/>
      <c r="N44561" s="14"/>
      <c r="O44561" s="14"/>
      <c r="P44561" s="13"/>
    </row>
    <row r="44562">
      <c r="L44562" s="13"/>
      <c r="M44562" s="14"/>
      <c r="N44562" s="14"/>
      <c r="O44562" s="14"/>
      <c r="P44562" s="13"/>
    </row>
    <row r="44563">
      <c r="L44563" s="13"/>
      <c r="M44563" s="14"/>
      <c r="N44563" s="14"/>
      <c r="O44563" s="14"/>
      <c r="P44563" s="13"/>
    </row>
    <row r="44564">
      <c r="L44564" s="13"/>
      <c r="M44564" s="14"/>
      <c r="N44564" s="14"/>
      <c r="O44564" s="14"/>
      <c r="P44564" s="13"/>
    </row>
    <row r="44565">
      <c r="L44565" s="13"/>
      <c r="M44565" s="14"/>
      <c r="N44565" s="14"/>
      <c r="O44565" s="14"/>
      <c r="P44565" s="13"/>
    </row>
    <row r="44566">
      <c r="L44566" s="13"/>
      <c r="M44566" s="14"/>
      <c r="N44566" s="14"/>
      <c r="O44566" s="14"/>
      <c r="P44566" s="13"/>
    </row>
    <row r="44567">
      <c r="L44567" s="13"/>
      <c r="M44567" s="14"/>
      <c r="N44567" s="14"/>
      <c r="O44567" s="14"/>
      <c r="P44567" s="13"/>
    </row>
    <row r="44568">
      <c r="L44568" s="13"/>
      <c r="M44568" s="14"/>
      <c r="N44568" s="14"/>
      <c r="O44568" s="14"/>
      <c r="P44568" s="13"/>
    </row>
    <row r="44569">
      <c r="L44569" s="13"/>
      <c r="M44569" s="14"/>
      <c r="N44569" s="14"/>
      <c r="O44569" s="14"/>
      <c r="P44569" s="13"/>
    </row>
    <row r="44570">
      <c r="L44570" s="13"/>
      <c r="M44570" s="14"/>
      <c r="N44570" s="14"/>
      <c r="O44570" s="14"/>
      <c r="P44570" s="13"/>
    </row>
    <row r="44571">
      <c r="L44571" s="13"/>
      <c r="M44571" s="14"/>
      <c r="N44571" s="14"/>
      <c r="O44571" s="14"/>
      <c r="P44571" s="13"/>
    </row>
    <row r="44572">
      <c r="L44572" s="13"/>
      <c r="M44572" s="14"/>
      <c r="N44572" s="14"/>
      <c r="O44572" s="14"/>
      <c r="P44572" s="13"/>
    </row>
    <row r="44573">
      <c r="L44573" s="13"/>
      <c r="M44573" s="14"/>
      <c r="N44573" s="14"/>
      <c r="O44573" s="14"/>
      <c r="P44573" s="13"/>
    </row>
    <row r="44574">
      <c r="L44574" s="13"/>
      <c r="M44574" s="14"/>
      <c r="N44574" s="14"/>
      <c r="O44574" s="14"/>
      <c r="P44574" s="13"/>
    </row>
    <row r="44575">
      <c r="L44575" s="13"/>
      <c r="M44575" s="14"/>
      <c r="N44575" s="14"/>
      <c r="O44575" s="14"/>
      <c r="P44575" s="13"/>
    </row>
    <row r="44576">
      <c r="L44576" s="13"/>
      <c r="M44576" s="14"/>
      <c r="N44576" s="14"/>
      <c r="O44576" s="14"/>
      <c r="P44576" s="13"/>
    </row>
    <row r="44577">
      <c r="L44577" s="13"/>
      <c r="M44577" s="14"/>
      <c r="N44577" s="14"/>
      <c r="O44577" s="14"/>
      <c r="P44577" s="13"/>
    </row>
    <row r="44578">
      <c r="L44578" s="13"/>
      <c r="M44578" s="14"/>
      <c r="N44578" s="14"/>
      <c r="O44578" s="14"/>
      <c r="P44578" s="13"/>
    </row>
    <row r="44579">
      <c r="L44579" s="13"/>
      <c r="M44579" s="14"/>
      <c r="N44579" s="14"/>
      <c r="O44579" s="14"/>
      <c r="P44579" s="13"/>
    </row>
    <row r="44580">
      <c r="L44580" s="13"/>
      <c r="M44580" s="14"/>
      <c r="N44580" s="14"/>
      <c r="O44580" s="14"/>
      <c r="P44580" s="13"/>
    </row>
    <row r="44581">
      <c r="L44581" s="13"/>
      <c r="M44581" s="14"/>
      <c r="N44581" s="14"/>
      <c r="O44581" s="14"/>
      <c r="P44581" s="13"/>
    </row>
    <row r="44582">
      <c r="L44582" s="13"/>
      <c r="M44582" s="14"/>
      <c r="N44582" s="14"/>
      <c r="O44582" s="14"/>
      <c r="P44582" s="13"/>
    </row>
    <row r="44583">
      <c r="L44583" s="13"/>
      <c r="M44583" s="14"/>
      <c r="N44583" s="14"/>
      <c r="O44583" s="14"/>
      <c r="P44583" s="13"/>
    </row>
    <row r="44584">
      <c r="L44584" s="13"/>
      <c r="M44584" s="14"/>
      <c r="N44584" s="14"/>
      <c r="O44584" s="14"/>
      <c r="P44584" s="13"/>
    </row>
    <row r="44585">
      <c r="L44585" s="13"/>
      <c r="M44585" s="14"/>
      <c r="N44585" s="14"/>
      <c r="O44585" s="14"/>
      <c r="P44585" s="13"/>
    </row>
    <row r="44586">
      <c r="L44586" s="13"/>
      <c r="M44586" s="14"/>
      <c r="N44586" s="14"/>
      <c r="O44586" s="14"/>
      <c r="P44586" s="13"/>
    </row>
    <row r="44587">
      <c r="L44587" s="13"/>
      <c r="M44587" s="14"/>
      <c r="N44587" s="14"/>
      <c r="O44587" s="14"/>
      <c r="P44587" s="13"/>
    </row>
    <row r="44588">
      <c r="L44588" s="13"/>
      <c r="M44588" s="14"/>
      <c r="N44588" s="14"/>
      <c r="O44588" s="14"/>
      <c r="P44588" s="13"/>
    </row>
    <row r="44589">
      <c r="L44589" s="13"/>
      <c r="M44589" s="14"/>
      <c r="N44589" s="14"/>
      <c r="O44589" s="14"/>
      <c r="P44589" s="13"/>
    </row>
    <row r="44590">
      <c r="L44590" s="13"/>
      <c r="M44590" s="14"/>
      <c r="N44590" s="14"/>
      <c r="O44590" s="14"/>
      <c r="P44590" s="13"/>
    </row>
    <row r="44591">
      <c r="L44591" s="13"/>
      <c r="M44591" s="14"/>
      <c r="N44591" s="14"/>
      <c r="O44591" s="14"/>
      <c r="P44591" s="13"/>
    </row>
    <row r="44592">
      <c r="L44592" s="13"/>
      <c r="M44592" s="14"/>
      <c r="N44592" s="14"/>
      <c r="O44592" s="14"/>
      <c r="P44592" s="13"/>
    </row>
    <row r="44593">
      <c r="L44593" s="13"/>
      <c r="M44593" s="14"/>
      <c r="N44593" s="14"/>
      <c r="O44593" s="14"/>
      <c r="P44593" s="13"/>
    </row>
    <row r="44594">
      <c r="L44594" s="13"/>
      <c r="M44594" s="14"/>
      <c r="N44594" s="14"/>
      <c r="O44594" s="14"/>
      <c r="P44594" s="13"/>
    </row>
    <row r="44595">
      <c r="L44595" s="13"/>
      <c r="M44595" s="14"/>
      <c r="N44595" s="14"/>
      <c r="O44595" s="14"/>
      <c r="P44595" s="13"/>
    </row>
    <row r="44596">
      <c r="L44596" s="13"/>
      <c r="M44596" s="14"/>
      <c r="N44596" s="14"/>
      <c r="O44596" s="14"/>
      <c r="P44596" s="13"/>
    </row>
    <row r="44597">
      <c r="L44597" s="13"/>
      <c r="M44597" s="14"/>
      <c r="N44597" s="14"/>
      <c r="O44597" s="14"/>
      <c r="P44597" s="13"/>
    </row>
    <row r="44598">
      <c r="L44598" s="13"/>
      <c r="M44598" s="14"/>
      <c r="N44598" s="14"/>
      <c r="O44598" s="14"/>
      <c r="P44598" s="13"/>
    </row>
    <row r="44599">
      <c r="L44599" s="13"/>
      <c r="M44599" s="14"/>
      <c r="N44599" s="14"/>
      <c r="O44599" s="14"/>
      <c r="P44599" s="13"/>
    </row>
    <row r="44600">
      <c r="L44600" s="13"/>
      <c r="M44600" s="14"/>
      <c r="N44600" s="14"/>
      <c r="O44600" s="14"/>
      <c r="P44600" s="13"/>
    </row>
    <row r="44601">
      <c r="L44601" s="13"/>
      <c r="M44601" s="14"/>
      <c r="N44601" s="14"/>
      <c r="O44601" s="14"/>
      <c r="P44601" s="13"/>
    </row>
    <row r="44602">
      <c r="L44602" s="13"/>
      <c r="M44602" s="14"/>
      <c r="N44602" s="14"/>
      <c r="O44602" s="14"/>
      <c r="P44602" s="13"/>
    </row>
    <row r="44603">
      <c r="L44603" s="13"/>
      <c r="M44603" s="14"/>
      <c r="N44603" s="14"/>
      <c r="O44603" s="14"/>
      <c r="P44603" s="13"/>
    </row>
    <row r="44604">
      <c r="L44604" s="13"/>
      <c r="M44604" s="14"/>
      <c r="N44604" s="14"/>
      <c r="O44604" s="14"/>
      <c r="P44604" s="13"/>
    </row>
    <row r="44605">
      <c r="L44605" s="13"/>
      <c r="M44605" s="14"/>
      <c r="N44605" s="14"/>
      <c r="O44605" s="14"/>
      <c r="P44605" s="13"/>
    </row>
    <row r="44606">
      <c r="L44606" s="13"/>
      <c r="M44606" s="14"/>
      <c r="N44606" s="14"/>
      <c r="O44606" s="14"/>
      <c r="P44606" s="13"/>
    </row>
    <row r="44607">
      <c r="L44607" s="13"/>
      <c r="M44607" s="14"/>
      <c r="N44607" s="14"/>
      <c r="O44607" s="14"/>
      <c r="P44607" s="13"/>
    </row>
    <row r="44608">
      <c r="L44608" s="13"/>
      <c r="M44608" s="14"/>
      <c r="N44608" s="14"/>
      <c r="O44608" s="14"/>
      <c r="P44608" s="13"/>
    </row>
    <row r="44609">
      <c r="L44609" s="13"/>
      <c r="M44609" s="14"/>
      <c r="N44609" s="14"/>
      <c r="O44609" s="14"/>
      <c r="P44609" s="13"/>
    </row>
    <row r="44610">
      <c r="L44610" s="13"/>
      <c r="M44610" s="14"/>
      <c r="N44610" s="14"/>
      <c r="O44610" s="14"/>
      <c r="P44610" s="13"/>
    </row>
    <row r="44611">
      <c r="L44611" s="13"/>
      <c r="M44611" s="14"/>
      <c r="N44611" s="14"/>
      <c r="O44611" s="14"/>
      <c r="P44611" s="13"/>
    </row>
    <row r="44612">
      <c r="L44612" s="13"/>
      <c r="M44612" s="14"/>
      <c r="N44612" s="14"/>
      <c r="O44612" s="14"/>
      <c r="P44612" s="13"/>
    </row>
    <row r="44613">
      <c r="L44613" s="13"/>
      <c r="M44613" s="14"/>
      <c r="N44613" s="14"/>
      <c r="O44613" s="14"/>
      <c r="P44613" s="13"/>
    </row>
    <row r="44614">
      <c r="L44614" s="13"/>
      <c r="M44614" s="14"/>
      <c r="N44614" s="14"/>
      <c r="O44614" s="14"/>
      <c r="P44614" s="13"/>
    </row>
    <row r="44615">
      <c r="L44615" s="13"/>
      <c r="M44615" s="14"/>
      <c r="N44615" s="14"/>
      <c r="O44615" s="14"/>
      <c r="P44615" s="13"/>
    </row>
    <row r="44616">
      <c r="L44616" s="13"/>
      <c r="M44616" s="14"/>
      <c r="N44616" s="14"/>
      <c r="O44616" s="14"/>
      <c r="P44616" s="13"/>
    </row>
    <row r="44617">
      <c r="L44617" s="13"/>
      <c r="M44617" s="14"/>
      <c r="N44617" s="14"/>
      <c r="O44617" s="14"/>
      <c r="P44617" s="13"/>
    </row>
    <row r="44618">
      <c r="L44618" s="13"/>
      <c r="M44618" s="14"/>
      <c r="N44618" s="14"/>
      <c r="O44618" s="14"/>
      <c r="P44618" s="13"/>
    </row>
    <row r="44619">
      <c r="L44619" s="13"/>
      <c r="M44619" s="14"/>
      <c r="N44619" s="14"/>
      <c r="O44619" s="14"/>
      <c r="P44619" s="13"/>
    </row>
    <row r="44620">
      <c r="L44620" s="13"/>
      <c r="M44620" s="14"/>
      <c r="N44620" s="14"/>
      <c r="O44620" s="14"/>
      <c r="P44620" s="13"/>
    </row>
    <row r="44621">
      <c r="L44621" s="13"/>
      <c r="M44621" s="14"/>
      <c r="N44621" s="14"/>
      <c r="O44621" s="14"/>
      <c r="P44621" s="13"/>
    </row>
    <row r="44622">
      <c r="L44622" s="13"/>
      <c r="M44622" s="14"/>
      <c r="N44622" s="14"/>
      <c r="O44622" s="14"/>
      <c r="P44622" s="13"/>
    </row>
    <row r="44623">
      <c r="L44623" s="13"/>
      <c r="M44623" s="14"/>
      <c r="N44623" s="14"/>
      <c r="O44623" s="14"/>
      <c r="P44623" s="13"/>
    </row>
    <row r="44624">
      <c r="L44624" s="13"/>
      <c r="M44624" s="14"/>
      <c r="N44624" s="14"/>
      <c r="O44624" s="14"/>
      <c r="P44624" s="13"/>
    </row>
    <row r="44625">
      <c r="L44625" s="13"/>
      <c r="M44625" s="14"/>
      <c r="N44625" s="14"/>
      <c r="O44625" s="14"/>
      <c r="P44625" s="13"/>
    </row>
    <row r="44626">
      <c r="L44626" s="13"/>
      <c r="M44626" s="14"/>
      <c r="N44626" s="14"/>
      <c r="O44626" s="14"/>
      <c r="P44626" s="13"/>
    </row>
    <row r="44627">
      <c r="L44627" s="13"/>
      <c r="M44627" s="14"/>
      <c r="N44627" s="14"/>
      <c r="O44627" s="14"/>
      <c r="P44627" s="13"/>
    </row>
    <row r="44628">
      <c r="L44628" s="13"/>
      <c r="M44628" s="14"/>
      <c r="N44628" s="14"/>
      <c r="O44628" s="14"/>
      <c r="P44628" s="13"/>
    </row>
    <row r="44629">
      <c r="L44629" s="13"/>
      <c r="M44629" s="14"/>
      <c r="N44629" s="14"/>
      <c r="O44629" s="14"/>
      <c r="P44629" s="13"/>
    </row>
    <row r="44630">
      <c r="L44630" s="13"/>
      <c r="M44630" s="14"/>
      <c r="N44630" s="14"/>
      <c r="O44630" s="14"/>
      <c r="P44630" s="13"/>
    </row>
    <row r="44631">
      <c r="L44631" s="13"/>
      <c r="M44631" s="14"/>
      <c r="N44631" s="14"/>
      <c r="O44631" s="14"/>
      <c r="P44631" s="13"/>
    </row>
    <row r="44632">
      <c r="L44632" s="13"/>
      <c r="M44632" s="14"/>
      <c r="N44632" s="14"/>
      <c r="O44632" s="14"/>
      <c r="P44632" s="13"/>
    </row>
    <row r="44633">
      <c r="L44633" s="13"/>
      <c r="M44633" s="14"/>
      <c r="N44633" s="14"/>
      <c r="O44633" s="14"/>
      <c r="P44633" s="13"/>
    </row>
    <row r="44634">
      <c r="L44634" s="13"/>
      <c r="M44634" s="14"/>
      <c r="N44634" s="14"/>
      <c r="O44634" s="14"/>
      <c r="P44634" s="13"/>
    </row>
    <row r="44635">
      <c r="L44635" s="13"/>
      <c r="M44635" s="14"/>
      <c r="N44635" s="14"/>
      <c r="O44635" s="14"/>
      <c r="P44635" s="13"/>
    </row>
    <row r="44636">
      <c r="L44636" s="13"/>
      <c r="M44636" s="14"/>
      <c r="N44636" s="14"/>
      <c r="O44636" s="14"/>
      <c r="P44636" s="13"/>
    </row>
    <row r="44637">
      <c r="L44637" s="13"/>
      <c r="M44637" s="14"/>
      <c r="N44637" s="14"/>
      <c r="O44637" s="14"/>
      <c r="P44637" s="13"/>
    </row>
    <row r="44638">
      <c r="L44638" s="13"/>
      <c r="M44638" s="14"/>
      <c r="N44638" s="14"/>
      <c r="O44638" s="14"/>
      <c r="P44638" s="13"/>
    </row>
    <row r="44639">
      <c r="L44639" s="13"/>
      <c r="M44639" s="14"/>
      <c r="N44639" s="14"/>
      <c r="O44639" s="14"/>
      <c r="P44639" s="13"/>
    </row>
    <row r="44640">
      <c r="L44640" s="13"/>
      <c r="M44640" s="14"/>
      <c r="N44640" s="14"/>
      <c r="O44640" s="14"/>
      <c r="P44640" s="13"/>
    </row>
    <row r="44641">
      <c r="L44641" s="13"/>
      <c r="M44641" s="14"/>
      <c r="N44641" s="14"/>
      <c r="O44641" s="14"/>
      <c r="P44641" s="13"/>
    </row>
    <row r="44642">
      <c r="L44642" s="13"/>
      <c r="M44642" s="14"/>
      <c r="N44642" s="14"/>
      <c r="O44642" s="14"/>
      <c r="P44642" s="13"/>
    </row>
    <row r="44643">
      <c r="L44643" s="13"/>
      <c r="M44643" s="14"/>
      <c r="N44643" s="14"/>
      <c r="O44643" s="14"/>
      <c r="P44643" s="13"/>
    </row>
    <row r="44644">
      <c r="L44644" s="13"/>
      <c r="M44644" s="14"/>
      <c r="N44644" s="14"/>
      <c r="O44644" s="14"/>
      <c r="P44644" s="13"/>
    </row>
    <row r="44645">
      <c r="L44645" s="13"/>
      <c r="M44645" s="14"/>
      <c r="N44645" s="14"/>
      <c r="O44645" s="14"/>
      <c r="P44645" s="13"/>
    </row>
    <row r="44646">
      <c r="L44646" s="13"/>
      <c r="M44646" s="14"/>
      <c r="N44646" s="14"/>
      <c r="O44646" s="14"/>
      <c r="P44646" s="13"/>
    </row>
    <row r="44647">
      <c r="L44647" s="13"/>
      <c r="M44647" s="14"/>
      <c r="N44647" s="14"/>
      <c r="O44647" s="14"/>
      <c r="P44647" s="13"/>
    </row>
    <row r="44648">
      <c r="L44648" s="13"/>
      <c r="M44648" s="14"/>
      <c r="N44648" s="14"/>
      <c r="O44648" s="14"/>
      <c r="P44648" s="13"/>
    </row>
    <row r="44649">
      <c r="L44649" s="13"/>
      <c r="M44649" s="14"/>
      <c r="N44649" s="14"/>
      <c r="O44649" s="14"/>
      <c r="P44649" s="13"/>
    </row>
    <row r="44650">
      <c r="L44650" s="13"/>
      <c r="M44650" s="14"/>
      <c r="N44650" s="14"/>
      <c r="O44650" s="14"/>
      <c r="P44650" s="13"/>
    </row>
    <row r="44651">
      <c r="L44651" s="13"/>
      <c r="M44651" s="14"/>
      <c r="N44651" s="14"/>
      <c r="O44651" s="14"/>
      <c r="P44651" s="13"/>
    </row>
    <row r="44652">
      <c r="L44652" s="13"/>
      <c r="M44652" s="14"/>
      <c r="N44652" s="14"/>
      <c r="O44652" s="14"/>
      <c r="P44652" s="13"/>
    </row>
    <row r="44653">
      <c r="L44653" s="13"/>
      <c r="M44653" s="14"/>
      <c r="N44653" s="14"/>
      <c r="O44653" s="14"/>
      <c r="P44653" s="13"/>
    </row>
    <row r="44654">
      <c r="L44654" s="13"/>
      <c r="M44654" s="14"/>
      <c r="N44654" s="14"/>
      <c r="O44654" s="14"/>
      <c r="P44654" s="13"/>
    </row>
    <row r="44655">
      <c r="L44655" s="13"/>
      <c r="M44655" s="14"/>
      <c r="N44655" s="14"/>
      <c r="O44655" s="14"/>
      <c r="P44655" s="13"/>
    </row>
    <row r="44656">
      <c r="L44656" s="13"/>
      <c r="M44656" s="14"/>
      <c r="N44656" s="14"/>
      <c r="O44656" s="14"/>
      <c r="P44656" s="13"/>
    </row>
    <row r="44657">
      <c r="L44657" s="13"/>
      <c r="M44657" s="14"/>
      <c r="N44657" s="14"/>
      <c r="O44657" s="14"/>
      <c r="P44657" s="13"/>
    </row>
    <row r="44658">
      <c r="L44658" s="13"/>
      <c r="M44658" s="14"/>
      <c r="N44658" s="14"/>
      <c r="O44658" s="14"/>
      <c r="P44658" s="13"/>
    </row>
    <row r="44659">
      <c r="L44659" s="13"/>
      <c r="M44659" s="14"/>
      <c r="N44659" s="14"/>
      <c r="O44659" s="14"/>
      <c r="P44659" s="13"/>
    </row>
    <row r="44660">
      <c r="L44660" s="13"/>
      <c r="M44660" s="14"/>
      <c r="N44660" s="14"/>
      <c r="O44660" s="14"/>
      <c r="P44660" s="13"/>
    </row>
    <row r="44661">
      <c r="L44661" s="13"/>
      <c r="M44661" s="14"/>
      <c r="N44661" s="14"/>
      <c r="O44661" s="14"/>
      <c r="P44661" s="13"/>
    </row>
    <row r="44662">
      <c r="L44662" s="13"/>
      <c r="M44662" s="14"/>
      <c r="N44662" s="14"/>
      <c r="O44662" s="14"/>
      <c r="P44662" s="13"/>
    </row>
    <row r="44663">
      <c r="L44663" s="13"/>
      <c r="M44663" s="14"/>
      <c r="N44663" s="14"/>
      <c r="O44663" s="14"/>
      <c r="P44663" s="13"/>
    </row>
    <row r="44664">
      <c r="L44664" s="13"/>
      <c r="M44664" s="14"/>
      <c r="N44664" s="14"/>
      <c r="O44664" s="14"/>
      <c r="P44664" s="13"/>
    </row>
    <row r="44665">
      <c r="L44665" s="13"/>
      <c r="M44665" s="14"/>
      <c r="N44665" s="14"/>
      <c r="O44665" s="14"/>
      <c r="P44665" s="13"/>
    </row>
    <row r="44666">
      <c r="L44666" s="13"/>
      <c r="M44666" s="14"/>
      <c r="N44666" s="14"/>
      <c r="O44666" s="14"/>
      <c r="P44666" s="13"/>
    </row>
    <row r="44667">
      <c r="L44667" s="13"/>
      <c r="M44667" s="14"/>
      <c r="N44667" s="14"/>
      <c r="O44667" s="14"/>
      <c r="P44667" s="13"/>
    </row>
    <row r="44668">
      <c r="L44668" s="13"/>
      <c r="M44668" s="14"/>
      <c r="N44668" s="14"/>
      <c r="O44668" s="14"/>
      <c r="P44668" s="13"/>
    </row>
    <row r="44669">
      <c r="L44669" s="13"/>
      <c r="M44669" s="14"/>
      <c r="N44669" s="14"/>
      <c r="O44669" s="14"/>
      <c r="P44669" s="13"/>
    </row>
    <row r="44670">
      <c r="L44670" s="13"/>
      <c r="M44670" s="14"/>
      <c r="N44670" s="14"/>
      <c r="O44670" s="14"/>
      <c r="P44670" s="13"/>
    </row>
    <row r="44671">
      <c r="L44671" s="13"/>
      <c r="M44671" s="14"/>
      <c r="N44671" s="14"/>
      <c r="O44671" s="14"/>
      <c r="P44671" s="13"/>
    </row>
    <row r="44672">
      <c r="L44672" s="13"/>
      <c r="M44672" s="14"/>
      <c r="N44672" s="14"/>
      <c r="O44672" s="14"/>
      <c r="P44672" s="13"/>
    </row>
    <row r="44673">
      <c r="L44673" s="13"/>
      <c r="M44673" s="14"/>
      <c r="N44673" s="14"/>
      <c r="O44673" s="14"/>
      <c r="P44673" s="13"/>
    </row>
    <row r="44674">
      <c r="L44674" s="13"/>
      <c r="M44674" s="14"/>
      <c r="N44674" s="14"/>
      <c r="O44674" s="14"/>
      <c r="P44674" s="13"/>
    </row>
    <row r="44675">
      <c r="L44675" s="13"/>
      <c r="M44675" s="14"/>
      <c r="N44675" s="14"/>
      <c r="O44675" s="14"/>
      <c r="P44675" s="13"/>
    </row>
    <row r="44676">
      <c r="L44676" s="13"/>
      <c r="M44676" s="14"/>
      <c r="N44676" s="14"/>
      <c r="O44676" s="14"/>
      <c r="P44676" s="13"/>
    </row>
    <row r="44677">
      <c r="L44677" s="13"/>
      <c r="M44677" s="14"/>
      <c r="N44677" s="14"/>
      <c r="O44677" s="14"/>
      <c r="P44677" s="13"/>
    </row>
    <row r="44678">
      <c r="L44678" s="13"/>
      <c r="M44678" s="14"/>
      <c r="N44678" s="14"/>
      <c r="O44678" s="14"/>
      <c r="P44678" s="13"/>
    </row>
    <row r="44679">
      <c r="L44679" s="13"/>
      <c r="M44679" s="14"/>
      <c r="N44679" s="14"/>
      <c r="O44679" s="14"/>
      <c r="P44679" s="13"/>
    </row>
    <row r="44680">
      <c r="L44680" s="13"/>
      <c r="M44680" s="14"/>
      <c r="N44680" s="14"/>
      <c r="O44680" s="14"/>
      <c r="P44680" s="13"/>
    </row>
    <row r="44681">
      <c r="L44681" s="13"/>
      <c r="M44681" s="14"/>
      <c r="N44681" s="14"/>
      <c r="O44681" s="14"/>
      <c r="P44681" s="13"/>
    </row>
    <row r="44682">
      <c r="L44682" s="13"/>
      <c r="M44682" s="14"/>
      <c r="N44682" s="14"/>
      <c r="O44682" s="14"/>
      <c r="P44682" s="13"/>
    </row>
    <row r="44683">
      <c r="L44683" s="13"/>
      <c r="M44683" s="14"/>
      <c r="N44683" s="14"/>
      <c r="O44683" s="14"/>
      <c r="P44683" s="13"/>
    </row>
    <row r="44684">
      <c r="L44684" s="13"/>
      <c r="M44684" s="14"/>
      <c r="N44684" s="14"/>
      <c r="O44684" s="14"/>
      <c r="P44684" s="13"/>
    </row>
    <row r="44685">
      <c r="L44685" s="13"/>
      <c r="M44685" s="14"/>
      <c r="N44685" s="14"/>
      <c r="O44685" s="14"/>
      <c r="P44685" s="13"/>
    </row>
    <row r="44686">
      <c r="L44686" s="13"/>
      <c r="M44686" s="14"/>
      <c r="N44686" s="14"/>
      <c r="O44686" s="14"/>
      <c r="P44686" s="13"/>
    </row>
    <row r="44687">
      <c r="L44687" s="13"/>
      <c r="M44687" s="14"/>
      <c r="N44687" s="14"/>
      <c r="O44687" s="14"/>
      <c r="P44687" s="13"/>
    </row>
    <row r="44688">
      <c r="L44688" s="13"/>
      <c r="M44688" s="14"/>
      <c r="N44688" s="14"/>
      <c r="O44688" s="14"/>
      <c r="P44688" s="13"/>
    </row>
    <row r="44689">
      <c r="L44689" s="13"/>
      <c r="M44689" s="14"/>
      <c r="N44689" s="14"/>
      <c r="O44689" s="14"/>
      <c r="P44689" s="13"/>
    </row>
    <row r="44690">
      <c r="L44690" s="13"/>
      <c r="M44690" s="14"/>
      <c r="N44690" s="14"/>
      <c r="O44690" s="14"/>
      <c r="P44690" s="13"/>
    </row>
    <row r="44691">
      <c r="L44691" s="13"/>
      <c r="M44691" s="14"/>
      <c r="N44691" s="14"/>
      <c r="O44691" s="14"/>
      <c r="P44691" s="13"/>
    </row>
    <row r="44692">
      <c r="L44692" s="13"/>
      <c r="M44692" s="14"/>
      <c r="N44692" s="14"/>
      <c r="O44692" s="14"/>
      <c r="P44692" s="13"/>
    </row>
    <row r="44693">
      <c r="L44693" s="13"/>
      <c r="M44693" s="14"/>
      <c r="N44693" s="14"/>
      <c r="O44693" s="14"/>
      <c r="P44693" s="13"/>
    </row>
    <row r="44694">
      <c r="L44694" s="13"/>
      <c r="M44694" s="14"/>
      <c r="N44694" s="14"/>
      <c r="O44694" s="14"/>
      <c r="P44694" s="13"/>
    </row>
    <row r="44695">
      <c r="L44695" s="13"/>
      <c r="M44695" s="14"/>
      <c r="N44695" s="14"/>
      <c r="O44695" s="14"/>
      <c r="P44695" s="13"/>
    </row>
    <row r="44696">
      <c r="L44696" s="13"/>
      <c r="M44696" s="14"/>
      <c r="N44696" s="14"/>
      <c r="O44696" s="14"/>
      <c r="P44696" s="13"/>
    </row>
    <row r="44697">
      <c r="L44697" s="13"/>
      <c r="M44697" s="14"/>
      <c r="N44697" s="14"/>
      <c r="O44697" s="14"/>
      <c r="P44697" s="13"/>
    </row>
    <row r="44698">
      <c r="L44698" s="13"/>
      <c r="M44698" s="14"/>
      <c r="N44698" s="14"/>
      <c r="O44698" s="14"/>
      <c r="P44698" s="13"/>
    </row>
    <row r="44699">
      <c r="L44699" s="13"/>
      <c r="M44699" s="14"/>
      <c r="N44699" s="14"/>
      <c r="O44699" s="14"/>
      <c r="P44699" s="13"/>
    </row>
    <row r="44700">
      <c r="L44700" s="13"/>
      <c r="M44700" s="14"/>
      <c r="N44700" s="14"/>
      <c r="O44700" s="14"/>
      <c r="P44700" s="13"/>
    </row>
    <row r="44701">
      <c r="L44701" s="13"/>
      <c r="M44701" s="14"/>
      <c r="N44701" s="14"/>
      <c r="O44701" s="14"/>
      <c r="P44701" s="13"/>
    </row>
    <row r="44702">
      <c r="L44702" s="13"/>
      <c r="M44702" s="14"/>
      <c r="N44702" s="14"/>
      <c r="O44702" s="14"/>
      <c r="P44702" s="13"/>
    </row>
    <row r="44703">
      <c r="L44703" s="13"/>
      <c r="M44703" s="14"/>
      <c r="N44703" s="14"/>
      <c r="O44703" s="14"/>
      <c r="P44703" s="13"/>
    </row>
    <row r="44704">
      <c r="L44704" s="13"/>
      <c r="M44704" s="14"/>
      <c r="N44704" s="14"/>
      <c r="O44704" s="14"/>
      <c r="P44704" s="13"/>
    </row>
    <row r="44705">
      <c r="L44705" s="13"/>
      <c r="M44705" s="14"/>
      <c r="N44705" s="14"/>
      <c r="O44705" s="14"/>
      <c r="P44705" s="13"/>
    </row>
    <row r="44706">
      <c r="L44706" s="13"/>
      <c r="M44706" s="14"/>
      <c r="N44706" s="14"/>
      <c r="O44706" s="14"/>
      <c r="P44706" s="13"/>
    </row>
    <row r="44707">
      <c r="L44707" s="13"/>
      <c r="M44707" s="14"/>
      <c r="N44707" s="14"/>
      <c r="O44707" s="14"/>
      <c r="P44707" s="13"/>
    </row>
    <row r="44708">
      <c r="L44708" s="13"/>
      <c r="M44708" s="14"/>
      <c r="N44708" s="14"/>
      <c r="O44708" s="14"/>
      <c r="P44708" s="13"/>
    </row>
    <row r="44709">
      <c r="L44709" s="13"/>
      <c r="M44709" s="14"/>
      <c r="N44709" s="14"/>
      <c r="O44709" s="14"/>
      <c r="P44709" s="13"/>
    </row>
    <row r="44710">
      <c r="L44710" s="13"/>
      <c r="M44710" s="14"/>
      <c r="N44710" s="14"/>
      <c r="O44710" s="14"/>
      <c r="P44710" s="13"/>
    </row>
    <row r="44711">
      <c r="L44711" s="13"/>
      <c r="M44711" s="14"/>
      <c r="N44711" s="14"/>
      <c r="O44711" s="14"/>
      <c r="P44711" s="13"/>
    </row>
    <row r="44712">
      <c r="L44712" s="13"/>
      <c r="M44712" s="14"/>
      <c r="N44712" s="14"/>
      <c r="O44712" s="14"/>
      <c r="P44712" s="13"/>
    </row>
    <row r="44713">
      <c r="L44713" s="13"/>
      <c r="M44713" s="14"/>
      <c r="N44713" s="14"/>
      <c r="O44713" s="14"/>
      <c r="P44713" s="13"/>
    </row>
    <row r="44714">
      <c r="L44714" s="13"/>
      <c r="M44714" s="14"/>
      <c r="N44714" s="14"/>
      <c r="O44714" s="14"/>
      <c r="P44714" s="13"/>
    </row>
    <row r="44715">
      <c r="L44715" s="13"/>
      <c r="M44715" s="14"/>
      <c r="N44715" s="14"/>
      <c r="O44715" s="14"/>
      <c r="P44715" s="13"/>
    </row>
    <row r="44716">
      <c r="L44716" s="13"/>
      <c r="M44716" s="14"/>
      <c r="N44716" s="14"/>
      <c r="O44716" s="14"/>
      <c r="P44716" s="13"/>
    </row>
    <row r="44717">
      <c r="L44717" s="13"/>
      <c r="M44717" s="14"/>
      <c r="N44717" s="14"/>
      <c r="O44717" s="14"/>
      <c r="P44717" s="13"/>
    </row>
    <row r="44718">
      <c r="L44718" s="13"/>
      <c r="M44718" s="14"/>
      <c r="N44718" s="14"/>
      <c r="O44718" s="14"/>
      <c r="P44718" s="13"/>
    </row>
    <row r="44719">
      <c r="L44719" s="13"/>
      <c r="M44719" s="14"/>
      <c r="N44719" s="14"/>
      <c r="O44719" s="14"/>
      <c r="P44719" s="13"/>
    </row>
    <row r="44720">
      <c r="L44720" s="13"/>
      <c r="M44720" s="14"/>
      <c r="N44720" s="14"/>
      <c r="O44720" s="14"/>
      <c r="P44720" s="13"/>
    </row>
    <row r="44721">
      <c r="L44721" s="13"/>
      <c r="M44721" s="14"/>
      <c r="N44721" s="14"/>
      <c r="O44721" s="14"/>
      <c r="P44721" s="13"/>
    </row>
    <row r="44722">
      <c r="L44722" s="13"/>
      <c r="M44722" s="14"/>
      <c r="N44722" s="14"/>
      <c r="O44722" s="14"/>
      <c r="P44722" s="13"/>
    </row>
    <row r="44723">
      <c r="L44723" s="13"/>
      <c r="M44723" s="14"/>
      <c r="N44723" s="14"/>
      <c r="O44723" s="14"/>
      <c r="P44723" s="13"/>
    </row>
    <row r="44724">
      <c r="L44724" s="13"/>
      <c r="M44724" s="14"/>
      <c r="N44724" s="14"/>
      <c r="O44724" s="14"/>
      <c r="P44724" s="13"/>
    </row>
    <row r="44725">
      <c r="L44725" s="13"/>
      <c r="M44725" s="14"/>
      <c r="N44725" s="14"/>
      <c r="O44725" s="14"/>
      <c r="P44725" s="13"/>
    </row>
    <row r="44726">
      <c r="L44726" s="13"/>
      <c r="M44726" s="14"/>
      <c r="N44726" s="14"/>
      <c r="O44726" s="14"/>
      <c r="P44726" s="13"/>
    </row>
    <row r="44727">
      <c r="L44727" s="13"/>
      <c r="M44727" s="14"/>
      <c r="N44727" s="14"/>
      <c r="O44727" s="14"/>
      <c r="P44727" s="13"/>
    </row>
    <row r="44728">
      <c r="L44728" s="13"/>
      <c r="M44728" s="14"/>
      <c r="N44728" s="14"/>
      <c r="O44728" s="14"/>
      <c r="P44728" s="13"/>
    </row>
    <row r="44729">
      <c r="L44729" s="13"/>
      <c r="M44729" s="14"/>
      <c r="N44729" s="14"/>
      <c r="O44729" s="14"/>
      <c r="P44729" s="13"/>
    </row>
    <row r="44730">
      <c r="L44730" s="13"/>
      <c r="M44730" s="14"/>
      <c r="N44730" s="14"/>
      <c r="O44730" s="14"/>
      <c r="P44730" s="13"/>
    </row>
    <row r="44731">
      <c r="L44731" s="13"/>
      <c r="M44731" s="14"/>
      <c r="N44731" s="14"/>
      <c r="O44731" s="14"/>
      <c r="P44731" s="13"/>
    </row>
    <row r="44732">
      <c r="L44732" s="13"/>
      <c r="M44732" s="14"/>
      <c r="N44732" s="14"/>
      <c r="O44732" s="14"/>
      <c r="P44732" s="13"/>
    </row>
    <row r="44733">
      <c r="L44733" s="13"/>
      <c r="M44733" s="14"/>
      <c r="N44733" s="14"/>
      <c r="O44733" s="14"/>
      <c r="P44733" s="13"/>
    </row>
    <row r="44734">
      <c r="L44734" s="13"/>
      <c r="M44734" s="14"/>
      <c r="N44734" s="14"/>
      <c r="O44734" s="14"/>
      <c r="P44734" s="13"/>
    </row>
    <row r="44735">
      <c r="L44735" s="13"/>
      <c r="M44735" s="14"/>
      <c r="N44735" s="14"/>
      <c r="O44735" s="14"/>
      <c r="P44735" s="13"/>
    </row>
    <row r="44736">
      <c r="L44736" s="13"/>
      <c r="M44736" s="14"/>
      <c r="N44736" s="14"/>
      <c r="O44736" s="14"/>
      <c r="P44736" s="13"/>
    </row>
    <row r="44737">
      <c r="L44737" s="13"/>
      <c r="M44737" s="14"/>
      <c r="N44737" s="14"/>
      <c r="O44737" s="14"/>
      <c r="P44737" s="13"/>
    </row>
    <row r="44738">
      <c r="L44738" s="13"/>
      <c r="M44738" s="14"/>
      <c r="N44738" s="14"/>
      <c r="O44738" s="14"/>
      <c r="P44738" s="13"/>
    </row>
    <row r="44739">
      <c r="L44739" s="13"/>
      <c r="M44739" s="14"/>
      <c r="N44739" s="14"/>
      <c r="O44739" s="14"/>
      <c r="P44739" s="13"/>
    </row>
    <row r="44740">
      <c r="L44740" s="13"/>
      <c r="M44740" s="14"/>
      <c r="N44740" s="14"/>
      <c r="O44740" s="14"/>
      <c r="P44740" s="13"/>
    </row>
    <row r="44741">
      <c r="L44741" s="13"/>
      <c r="M44741" s="14"/>
      <c r="N44741" s="14"/>
      <c r="O44741" s="14"/>
      <c r="P44741" s="13"/>
    </row>
    <row r="44742">
      <c r="L44742" s="13"/>
      <c r="M44742" s="14"/>
      <c r="N44742" s="14"/>
      <c r="O44742" s="14"/>
      <c r="P44742" s="13"/>
    </row>
    <row r="44743">
      <c r="L44743" s="13"/>
      <c r="M44743" s="14"/>
      <c r="N44743" s="14"/>
      <c r="O44743" s="14"/>
      <c r="P44743" s="13"/>
    </row>
    <row r="44744">
      <c r="L44744" s="13"/>
      <c r="M44744" s="14"/>
      <c r="N44744" s="14"/>
      <c r="O44744" s="14"/>
      <c r="P44744" s="13"/>
    </row>
    <row r="44745">
      <c r="L44745" s="13"/>
      <c r="M44745" s="14"/>
      <c r="N44745" s="14"/>
      <c r="O44745" s="14"/>
      <c r="P44745" s="13"/>
    </row>
    <row r="44746">
      <c r="L44746" s="13"/>
      <c r="M44746" s="14"/>
      <c r="N44746" s="14"/>
      <c r="O44746" s="14"/>
      <c r="P44746" s="13"/>
    </row>
    <row r="44747">
      <c r="L44747" s="13"/>
      <c r="M44747" s="14"/>
      <c r="N44747" s="14"/>
      <c r="O44747" s="14"/>
      <c r="P44747" s="13"/>
    </row>
    <row r="44748">
      <c r="L44748" s="13"/>
      <c r="M44748" s="14"/>
      <c r="N44748" s="14"/>
      <c r="O44748" s="14"/>
      <c r="P44748" s="13"/>
    </row>
    <row r="44749">
      <c r="L44749" s="13"/>
      <c r="M44749" s="14"/>
      <c r="N44749" s="14"/>
      <c r="O44749" s="14"/>
      <c r="P44749" s="13"/>
    </row>
    <row r="44750">
      <c r="L44750" s="13"/>
      <c r="M44750" s="14"/>
      <c r="N44750" s="14"/>
      <c r="O44750" s="14"/>
      <c r="P44750" s="13"/>
    </row>
    <row r="44751">
      <c r="L44751" s="13"/>
      <c r="M44751" s="14"/>
      <c r="N44751" s="14"/>
      <c r="O44751" s="14"/>
      <c r="P44751" s="13"/>
    </row>
    <row r="44752">
      <c r="L44752" s="13"/>
      <c r="M44752" s="14"/>
      <c r="N44752" s="14"/>
      <c r="O44752" s="14"/>
      <c r="P44752" s="13"/>
    </row>
    <row r="44753">
      <c r="L44753" s="13"/>
      <c r="M44753" s="14"/>
      <c r="N44753" s="14"/>
      <c r="O44753" s="14"/>
      <c r="P44753" s="13"/>
    </row>
    <row r="44754">
      <c r="L44754" s="13"/>
      <c r="M44754" s="14"/>
      <c r="N44754" s="14"/>
      <c r="O44754" s="14"/>
      <c r="P44754" s="13"/>
    </row>
    <row r="44755">
      <c r="L44755" s="13"/>
      <c r="M44755" s="14"/>
      <c r="N44755" s="14"/>
      <c r="O44755" s="14"/>
      <c r="P44755" s="13"/>
    </row>
    <row r="44756">
      <c r="L44756" s="13"/>
      <c r="M44756" s="14"/>
      <c r="N44756" s="14"/>
      <c r="O44756" s="14"/>
      <c r="P44756" s="13"/>
    </row>
    <row r="44757">
      <c r="L44757" s="13"/>
      <c r="M44757" s="14"/>
      <c r="N44757" s="14"/>
      <c r="O44757" s="14"/>
      <c r="P44757" s="13"/>
    </row>
    <row r="44758">
      <c r="L44758" s="13"/>
      <c r="M44758" s="14"/>
      <c r="N44758" s="14"/>
      <c r="O44758" s="14"/>
      <c r="P44758" s="13"/>
    </row>
    <row r="44759">
      <c r="L44759" s="13"/>
      <c r="M44759" s="14"/>
      <c r="N44759" s="14"/>
      <c r="O44759" s="14"/>
      <c r="P44759" s="13"/>
    </row>
    <row r="44760">
      <c r="L44760" s="13"/>
      <c r="M44760" s="14"/>
      <c r="N44760" s="14"/>
      <c r="O44760" s="14"/>
      <c r="P44760" s="13"/>
    </row>
    <row r="44761">
      <c r="L44761" s="13"/>
      <c r="M44761" s="14"/>
      <c r="N44761" s="14"/>
      <c r="O44761" s="14"/>
      <c r="P44761" s="13"/>
    </row>
    <row r="44762">
      <c r="L44762" s="13"/>
      <c r="M44762" s="14"/>
      <c r="N44762" s="14"/>
      <c r="O44762" s="14"/>
      <c r="P44762" s="13"/>
    </row>
    <row r="44763">
      <c r="L44763" s="13"/>
      <c r="M44763" s="14"/>
      <c r="N44763" s="14"/>
      <c r="O44763" s="14"/>
      <c r="P44763" s="13"/>
    </row>
    <row r="44764">
      <c r="L44764" s="13"/>
      <c r="M44764" s="14"/>
      <c r="N44764" s="14"/>
      <c r="O44764" s="14"/>
      <c r="P44764" s="13"/>
    </row>
    <row r="44765">
      <c r="L44765" s="13"/>
      <c r="M44765" s="14"/>
      <c r="N44765" s="14"/>
      <c r="O44765" s="14"/>
      <c r="P44765" s="13"/>
    </row>
    <row r="44766">
      <c r="L44766" s="13"/>
      <c r="M44766" s="14"/>
      <c r="N44766" s="14"/>
      <c r="O44766" s="14"/>
      <c r="P44766" s="13"/>
    </row>
    <row r="44767">
      <c r="L44767" s="13"/>
      <c r="M44767" s="14"/>
      <c r="N44767" s="14"/>
      <c r="O44767" s="14"/>
      <c r="P44767" s="13"/>
    </row>
    <row r="44768">
      <c r="L44768" s="13"/>
      <c r="M44768" s="14"/>
      <c r="N44768" s="14"/>
      <c r="O44768" s="14"/>
      <c r="P44768" s="13"/>
    </row>
    <row r="44769">
      <c r="L44769" s="13"/>
      <c r="M44769" s="14"/>
      <c r="N44769" s="14"/>
      <c r="O44769" s="14"/>
      <c r="P44769" s="13"/>
    </row>
    <row r="44770">
      <c r="L44770" s="13"/>
      <c r="M44770" s="14"/>
      <c r="N44770" s="14"/>
      <c r="O44770" s="14"/>
      <c r="P44770" s="13"/>
    </row>
    <row r="44771">
      <c r="L44771" s="13"/>
      <c r="M44771" s="14"/>
      <c r="N44771" s="14"/>
      <c r="O44771" s="14"/>
      <c r="P44771" s="13"/>
    </row>
    <row r="44772">
      <c r="L44772" s="13"/>
      <c r="M44772" s="14"/>
      <c r="N44772" s="14"/>
      <c r="O44772" s="14"/>
      <c r="P44772" s="13"/>
    </row>
    <row r="44773">
      <c r="L44773" s="13"/>
      <c r="M44773" s="14"/>
      <c r="N44773" s="14"/>
      <c r="O44773" s="14"/>
      <c r="P44773" s="13"/>
    </row>
    <row r="44774">
      <c r="L44774" s="13"/>
      <c r="M44774" s="14"/>
      <c r="N44774" s="14"/>
      <c r="O44774" s="14"/>
      <c r="P44774" s="13"/>
    </row>
    <row r="44775">
      <c r="L44775" s="13"/>
      <c r="M44775" s="14"/>
      <c r="N44775" s="14"/>
      <c r="O44775" s="14"/>
      <c r="P44775" s="13"/>
    </row>
    <row r="44776">
      <c r="L44776" s="13"/>
      <c r="M44776" s="14"/>
      <c r="N44776" s="14"/>
      <c r="O44776" s="14"/>
      <c r="P44776" s="13"/>
    </row>
    <row r="44777">
      <c r="L44777" s="13"/>
      <c r="M44777" s="14"/>
      <c r="N44777" s="14"/>
      <c r="O44777" s="14"/>
      <c r="P44777" s="13"/>
    </row>
    <row r="44778">
      <c r="L44778" s="13"/>
      <c r="M44778" s="14"/>
      <c r="N44778" s="14"/>
      <c r="O44778" s="14"/>
      <c r="P44778" s="13"/>
    </row>
    <row r="44779">
      <c r="L44779" s="13"/>
      <c r="M44779" s="14"/>
      <c r="N44779" s="14"/>
      <c r="O44779" s="14"/>
      <c r="P44779" s="13"/>
    </row>
    <row r="44780">
      <c r="L44780" s="13"/>
      <c r="M44780" s="14"/>
      <c r="N44780" s="14"/>
      <c r="O44780" s="14"/>
      <c r="P44780" s="13"/>
    </row>
    <row r="44781">
      <c r="L44781" s="13"/>
      <c r="M44781" s="14"/>
      <c r="N44781" s="14"/>
      <c r="O44781" s="14"/>
      <c r="P44781" s="13"/>
    </row>
    <row r="44782">
      <c r="L44782" s="13"/>
      <c r="M44782" s="14"/>
      <c r="N44782" s="14"/>
      <c r="O44782" s="14"/>
      <c r="P44782" s="13"/>
    </row>
    <row r="44783">
      <c r="L44783" s="13"/>
      <c r="M44783" s="14"/>
      <c r="N44783" s="14"/>
      <c r="O44783" s="14"/>
      <c r="P44783" s="13"/>
    </row>
    <row r="44784">
      <c r="L44784" s="13"/>
      <c r="M44784" s="14"/>
      <c r="N44784" s="14"/>
      <c r="O44784" s="14"/>
      <c r="P44784" s="13"/>
    </row>
    <row r="44785">
      <c r="L44785" s="13"/>
      <c r="M44785" s="14"/>
      <c r="N44785" s="14"/>
      <c r="O44785" s="14"/>
      <c r="P44785" s="13"/>
    </row>
    <row r="44786">
      <c r="L44786" s="13"/>
      <c r="M44786" s="14"/>
      <c r="N44786" s="14"/>
      <c r="O44786" s="14"/>
      <c r="P44786" s="13"/>
    </row>
    <row r="44787">
      <c r="L44787" s="13"/>
      <c r="M44787" s="14"/>
      <c r="N44787" s="14"/>
      <c r="O44787" s="14"/>
      <c r="P44787" s="13"/>
    </row>
    <row r="44788">
      <c r="L44788" s="13"/>
      <c r="M44788" s="14"/>
      <c r="N44788" s="14"/>
      <c r="O44788" s="14"/>
      <c r="P44788" s="13"/>
    </row>
    <row r="44789">
      <c r="L44789" s="13"/>
      <c r="M44789" s="14"/>
      <c r="N44789" s="14"/>
      <c r="O44789" s="14"/>
      <c r="P44789" s="13"/>
    </row>
    <row r="44790">
      <c r="L44790" s="13"/>
      <c r="M44790" s="14"/>
      <c r="N44790" s="14"/>
      <c r="O44790" s="14"/>
      <c r="P44790" s="13"/>
    </row>
    <row r="44791">
      <c r="L44791" s="13"/>
      <c r="M44791" s="14"/>
      <c r="N44791" s="14"/>
      <c r="O44791" s="14"/>
      <c r="P44791" s="13"/>
    </row>
    <row r="44792">
      <c r="L44792" s="13"/>
      <c r="M44792" s="14"/>
      <c r="N44792" s="14"/>
      <c r="O44792" s="14"/>
      <c r="P44792" s="13"/>
    </row>
    <row r="44793">
      <c r="L44793" s="13"/>
      <c r="M44793" s="14"/>
      <c r="N44793" s="14"/>
      <c r="O44793" s="14"/>
      <c r="P44793" s="13"/>
    </row>
    <row r="44794">
      <c r="L44794" s="13"/>
      <c r="M44794" s="14"/>
      <c r="N44794" s="14"/>
      <c r="O44794" s="14"/>
      <c r="P44794" s="13"/>
    </row>
    <row r="44795">
      <c r="L44795" s="13"/>
      <c r="M44795" s="14"/>
      <c r="N44795" s="14"/>
      <c r="O44795" s="14"/>
      <c r="P44795" s="13"/>
    </row>
    <row r="44796">
      <c r="L44796" s="13"/>
      <c r="M44796" s="14"/>
      <c r="N44796" s="14"/>
      <c r="O44796" s="14"/>
      <c r="P44796" s="13"/>
    </row>
    <row r="44797">
      <c r="L44797" s="13"/>
      <c r="M44797" s="14"/>
      <c r="N44797" s="14"/>
      <c r="O44797" s="14"/>
      <c r="P44797" s="13"/>
    </row>
    <row r="44798">
      <c r="L44798" s="13"/>
      <c r="M44798" s="14"/>
      <c r="N44798" s="14"/>
      <c r="O44798" s="14"/>
      <c r="P44798" s="13"/>
    </row>
    <row r="44799">
      <c r="L44799" s="13"/>
      <c r="M44799" s="14"/>
      <c r="N44799" s="14"/>
      <c r="O44799" s="14"/>
      <c r="P44799" s="13"/>
    </row>
    <row r="44800">
      <c r="L44800" s="13"/>
      <c r="M44800" s="14"/>
      <c r="N44800" s="14"/>
      <c r="O44800" s="14"/>
      <c r="P44800" s="13"/>
    </row>
    <row r="44801">
      <c r="L44801" s="13"/>
      <c r="M44801" s="14"/>
      <c r="N44801" s="14"/>
      <c r="O44801" s="14"/>
      <c r="P44801" s="13"/>
    </row>
    <row r="44802">
      <c r="L44802" s="13"/>
      <c r="M44802" s="14"/>
      <c r="N44802" s="14"/>
      <c r="O44802" s="14"/>
      <c r="P44802" s="13"/>
    </row>
    <row r="44803">
      <c r="L44803" s="13"/>
      <c r="M44803" s="14"/>
      <c r="N44803" s="14"/>
      <c r="O44803" s="14"/>
      <c r="P44803" s="13"/>
    </row>
    <row r="44804">
      <c r="L44804" s="13"/>
      <c r="M44804" s="14"/>
      <c r="N44804" s="14"/>
      <c r="O44804" s="14"/>
      <c r="P44804" s="13"/>
    </row>
    <row r="44805">
      <c r="L44805" s="13"/>
      <c r="M44805" s="14"/>
      <c r="N44805" s="14"/>
      <c r="O44805" s="14"/>
      <c r="P44805" s="13"/>
    </row>
    <row r="44806">
      <c r="L44806" s="13"/>
      <c r="M44806" s="14"/>
      <c r="N44806" s="14"/>
      <c r="O44806" s="14"/>
      <c r="P44806" s="13"/>
    </row>
    <row r="44807">
      <c r="L44807" s="13"/>
      <c r="M44807" s="14"/>
      <c r="N44807" s="14"/>
      <c r="O44807" s="14"/>
      <c r="P44807" s="13"/>
    </row>
    <row r="44808">
      <c r="L44808" s="13"/>
      <c r="M44808" s="14"/>
      <c r="N44808" s="14"/>
      <c r="O44808" s="14"/>
      <c r="P44808" s="13"/>
    </row>
    <row r="44809">
      <c r="L44809" s="13"/>
      <c r="M44809" s="14"/>
      <c r="N44809" s="14"/>
      <c r="O44809" s="14"/>
      <c r="P44809" s="13"/>
    </row>
    <row r="44810">
      <c r="L44810" s="13"/>
      <c r="M44810" s="14"/>
      <c r="N44810" s="14"/>
      <c r="O44810" s="14"/>
      <c r="P44810" s="13"/>
    </row>
    <row r="44811">
      <c r="L44811" s="13"/>
      <c r="M44811" s="14"/>
      <c r="N44811" s="14"/>
      <c r="O44811" s="14"/>
      <c r="P44811" s="13"/>
    </row>
    <row r="44812">
      <c r="L44812" s="13"/>
      <c r="M44812" s="14"/>
      <c r="N44812" s="14"/>
      <c r="O44812" s="14"/>
      <c r="P44812" s="13"/>
    </row>
    <row r="44813">
      <c r="L44813" s="13"/>
      <c r="M44813" s="14"/>
      <c r="N44813" s="14"/>
      <c r="O44813" s="14"/>
      <c r="P44813" s="13"/>
    </row>
    <row r="44814">
      <c r="L44814" s="13"/>
      <c r="M44814" s="14"/>
      <c r="N44814" s="14"/>
      <c r="O44814" s="14"/>
      <c r="P44814" s="13"/>
    </row>
    <row r="44815">
      <c r="L44815" s="13"/>
      <c r="M44815" s="14"/>
      <c r="N44815" s="14"/>
      <c r="O44815" s="14"/>
      <c r="P44815" s="13"/>
    </row>
    <row r="44816">
      <c r="L44816" s="13"/>
      <c r="M44816" s="14"/>
      <c r="N44816" s="14"/>
      <c r="O44816" s="14"/>
      <c r="P44816" s="13"/>
    </row>
    <row r="44817">
      <c r="L44817" s="13"/>
      <c r="M44817" s="14"/>
      <c r="N44817" s="14"/>
      <c r="O44817" s="14"/>
      <c r="P44817" s="13"/>
    </row>
    <row r="44818">
      <c r="L44818" s="13"/>
      <c r="M44818" s="14"/>
      <c r="N44818" s="14"/>
      <c r="O44818" s="14"/>
      <c r="P44818" s="13"/>
    </row>
    <row r="44819">
      <c r="L44819" s="13"/>
      <c r="M44819" s="14"/>
      <c r="N44819" s="14"/>
      <c r="O44819" s="14"/>
      <c r="P44819" s="13"/>
    </row>
    <row r="44820">
      <c r="L44820" s="13"/>
      <c r="M44820" s="14"/>
      <c r="N44820" s="14"/>
      <c r="O44820" s="14"/>
      <c r="P44820" s="13"/>
    </row>
    <row r="44821">
      <c r="L44821" s="13"/>
      <c r="M44821" s="14"/>
      <c r="N44821" s="14"/>
      <c r="O44821" s="14"/>
      <c r="P44821" s="13"/>
    </row>
    <row r="44822">
      <c r="L44822" s="13"/>
      <c r="M44822" s="14"/>
      <c r="N44822" s="14"/>
      <c r="O44822" s="14"/>
      <c r="P44822" s="13"/>
    </row>
    <row r="44823">
      <c r="L44823" s="13"/>
      <c r="M44823" s="14"/>
      <c r="N44823" s="14"/>
      <c r="O44823" s="14"/>
      <c r="P44823" s="13"/>
    </row>
    <row r="44824">
      <c r="L44824" s="13"/>
      <c r="M44824" s="14"/>
      <c r="N44824" s="14"/>
      <c r="O44824" s="14"/>
      <c r="P44824" s="13"/>
    </row>
    <row r="44825">
      <c r="L44825" s="13"/>
      <c r="M44825" s="14"/>
      <c r="N44825" s="14"/>
      <c r="O44825" s="14"/>
      <c r="P44825" s="13"/>
    </row>
    <row r="44826">
      <c r="L44826" s="13"/>
      <c r="M44826" s="14"/>
      <c r="N44826" s="14"/>
      <c r="O44826" s="14"/>
      <c r="P44826" s="13"/>
    </row>
    <row r="44827">
      <c r="L44827" s="13"/>
      <c r="M44827" s="14"/>
      <c r="N44827" s="14"/>
      <c r="O44827" s="14"/>
      <c r="P44827" s="13"/>
    </row>
    <row r="44828">
      <c r="L44828" s="13"/>
      <c r="M44828" s="14"/>
      <c r="N44828" s="14"/>
      <c r="O44828" s="14"/>
      <c r="P44828" s="13"/>
    </row>
    <row r="44829">
      <c r="L44829" s="13"/>
      <c r="M44829" s="14"/>
      <c r="N44829" s="14"/>
      <c r="O44829" s="14"/>
      <c r="P44829" s="13"/>
    </row>
    <row r="44830">
      <c r="L44830" s="13"/>
      <c r="M44830" s="14"/>
      <c r="N44830" s="14"/>
      <c r="O44830" s="14"/>
      <c r="P44830" s="13"/>
    </row>
    <row r="44831">
      <c r="L44831" s="13"/>
      <c r="M44831" s="14"/>
      <c r="N44831" s="14"/>
      <c r="O44831" s="14"/>
      <c r="P44831" s="13"/>
    </row>
    <row r="44832">
      <c r="L44832" s="13"/>
      <c r="M44832" s="14"/>
      <c r="N44832" s="14"/>
      <c r="O44832" s="14"/>
      <c r="P44832" s="13"/>
    </row>
    <row r="44833">
      <c r="L44833" s="13"/>
      <c r="M44833" s="14"/>
      <c r="N44833" s="14"/>
      <c r="O44833" s="14"/>
      <c r="P44833" s="13"/>
    </row>
    <row r="44834">
      <c r="L44834" s="13"/>
      <c r="M44834" s="14"/>
      <c r="N44834" s="14"/>
      <c r="O44834" s="14"/>
      <c r="P44834" s="13"/>
    </row>
    <row r="44835">
      <c r="L44835" s="13"/>
      <c r="M44835" s="14"/>
      <c r="N44835" s="14"/>
      <c r="O44835" s="14"/>
      <c r="P44835" s="13"/>
    </row>
    <row r="44836">
      <c r="L44836" s="13"/>
      <c r="M44836" s="14"/>
      <c r="N44836" s="14"/>
      <c r="O44836" s="14"/>
      <c r="P44836" s="13"/>
    </row>
    <row r="44837">
      <c r="L44837" s="13"/>
      <c r="M44837" s="14"/>
      <c r="N44837" s="14"/>
      <c r="O44837" s="14"/>
      <c r="P44837" s="13"/>
    </row>
    <row r="44838">
      <c r="L44838" s="13"/>
      <c r="M44838" s="14"/>
      <c r="N44838" s="14"/>
      <c r="O44838" s="14"/>
      <c r="P44838" s="13"/>
    </row>
    <row r="44839">
      <c r="L44839" s="13"/>
      <c r="M44839" s="14"/>
      <c r="N44839" s="14"/>
      <c r="O44839" s="14"/>
      <c r="P44839" s="13"/>
    </row>
    <row r="44840">
      <c r="L44840" s="13"/>
      <c r="M44840" s="14"/>
      <c r="N44840" s="14"/>
      <c r="O44840" s="14"/>
      <c r="P44840" s="13"/>
    </row>
    <row r="44841">
      <c r="L44841" s="13"/>
      <c r="M44841" s="14"/>
      <c r="N44841" s="14"/>
      <c r="O44841" s="14"/>
      <c r="P44841" s="13"/>
    </row>
    <row r="44842">
      <c r="L44842" s="13"/>
      <c r="M44842" s="14"/>
      <c r="N44842" s="14"/>
      <c r="O44842" s="14"/>
      <c r="P44842" s="13"/>
    </row>
    <row r="44843">
      <c r="L44843" s="13"/>
      <c r="M44843" s="14"/>
      <c r="N44843" s="14"/>
      <c r="O44843" s="14"/>
      <c r="P44843" s="13"/>
    </row>
    <row r="44844">
      <c r="L44844" s="13"/>
      <c r="M44844" s="14"/>
      <c r="N44844" s="14"/>
      <c r="O44844" s="14"/>
      <c r="P44844" s="13"/>
    </row>
    <row r="44845">
      <c r="L44845" s="13"/>
      <c r="M44845" s="14"/>
      <c r="N44845" s="14"/>
      <c r="O44845" s="14"/>
      <c r="P44845" s="13"/>
    </row>
    <row r="44846">
      <c r="L44846" s="13"/>
      <c r="M44846" s="14"/>
      <c r="N44846" s="14"/>
      <c r="O44846" s="14"/>
      <c r="P44846" s="13"/>
    </row>
    <row r="44847">
      <c r="L44847" s="13"/>
      <c r="M44847" s="14"/>
      <c r="N44847" s="14"/>
      <c r="O44847" s="14"/>
      <c r="P44847" s="13"/>
    </row>
    <row r="44848">
      <c r="L44848" s="13"/>
      <c r="M44848" s="14"/>
      <c r="N44848" s="14"/>
      <c r="O44848" s="14"/>
      <c r="P44848" s="13"/>
    </row>
    <row r="44849">
      <c r="L44849" s="13"/>
      <c r="M44849" s="14"/>
      <c r="N44849" s="14"/>
      <c r="O44849" s="14"/>
      <c r="P44849" s="13"/>
    </row>
    <row r="44850">
      <c r="L44850" s="13"/>
      <c r="M44850" s="14"/>
      <c r="N44850" s="14"/>
      <c r="O44850" s="14"/>
      <c r="P44850" s="13"/>
    </row>
    <row r="44851">
      <c r="L44851" s="13"/>
      <c r="M44851" s="14"/>
      <c r="N44851" s="14"/>
      <c r="O44851" s="14"/>
      <c r="P44851" s="13"/>
    </row>
    <row r="44852">
      <c r="L44852" s="13"/>
      <c r="M44852" s="14"/>
      <c r="N44852" s="14"/>
      <c r="O44852" s="14"/>
      <c r="P44852" s="13"/>
    </row>
    <row r="44853">
      <c r="L44853" s="13"/>
      <c r="M44853" s="14"/>
      <c r="N44853" s="14"/>
      <c r="O44853" s="14"/>
      <c r="P44853" s="13"/>
    </row>
    <row r="44854">
      <c r="L44854" s="13"/>
      <c r="M44854" s="14"/>
      <c r="N44854" s="14"/>
      <c r="O44854" s="14"/>
      <c r="P44854" s="13"/>
    </row>
    <row r="44855">
      <c r="L44855" s="13"/>
      <c r="M44855" s="14"/>
      <c r="N44855" s="14"/>
      <c r="O44855" s="14"/>
      <c r="P44855" s="13"/>
    </row>
    <row r="44856">
      <c r="L44856" s="13"/>
      <c r="M44856" s="14"/>
      <c r="N44856" s="14"/>
      <c r="O44856" s="14"/>
      <c r="P44856" s="13"/>
    </row>
    <row r="44857">
      <c r="L44857" s="13"/>
      <c r="M44857" s="14"/>
      <c r="N44857" s="14"/>
      <c r="O44857" s="14"/>
      <c r="P44857" s="13"/>
    </row>
    <row r="44858">
      <c r="L44858" s="13"/>
      <c r="M44858" s="14"/>
      <c r="N44858" s="14"/>
      <c r="O44858" s="14"/>
      <c r="P44858" s="13"/>
    </row>
    <row r="44859">
      <c r="L44859" s="13"/>
      <c r="M44859" s="14"/>
      <c r="N44859" s="14"/>
      <c r="O44859" s="14"/>
      <c r="P44859" s="13"/>
    </row>
    <row r="44860">
      <c r="L44860" s="13"/>
      <c r="M44860" s="14"/>
      <c r="N44860" s="14"/>
      <c r="O44860" s="14"/>
      <c r="P44860" s="13"/>
    </row>
    <row r="44861">
      <c r="L44861" s="13"/>
      <c r="M44861" s="14"/>
      <c r="N44861" s="14"/>
      <c r="O44861" s="14"/>
      <c r="P44861" s="13"/>
    </row>
    <row r="44862">
      <c r="L44862" s="13"/>
      <c r="M44862" s="14"/>
      <c r="N44862" s="14"/>
      <c r="O44862" s="14"/>
      <c r="P44862" s="13"/>
    </row>
    <row r="44863">
      <c r="L44863" s="13"/>
      <c r="M44863" s="14"/>
      <c r="N44863" s="14"/>
      <c r="O44863" s="14"/>
      <c r="P44863" s="13"/>
    </row>
    <row r="44864">
      <c r="L44864" s="13"/>
      <c r="M44864" s="14"/>
      <c r="N44864" s="14"/>
      <c r="O44864" s="14"/>
      <c r="P44864" s="13"/>
    </row>
    <row r="44865">
      <c r="L44865" s="13"/>
      <c r="M44865" s="14"/>
      <c r="N44865" s="14"/>
      <c r="O44865" s="14"/>
      <c r="P44865" s="13"/>
    </row>
    <row r="44866">
      <c r="L44866" s="13"/>
      <c r="M44866" s="14"/>
      <c r="N44866" s="14"/>
      <c r="O44866" s="14"/>
      <c r="P44866" s="13"/>
    </row>
    <row r="44867">
      <c r="L44867" s="13"/>
      <c r="M44867" s="14"/>
      <c r="N44867" s="14"/>
      <c r="O44867" s="14"/>
      <c r="P44867" s="13"/>
    </row>
    <row r="44868">
      <c r="L44868" s="13"/>
      <c r="M44868" s="14"/>
      <c r="N44868" s="14"/>
      <c r="O44868" s="14"/>
      <c r="P44868" s="13"/>
    </row>
    <row r="44869">
      <c r="L44869" s="13"/>
      <c r="M44869" s="14"/>
      <c r="N44869" s="14"/>
      <c r="O44869" s="14"/>
      <c r="P44869" s="13"/>
    </row>
    <row r="44870">
      <c r="L44870" s="13"/>
      <c r="M44870" s="14"/>
      <c r="N44870" s="14"/>
      <c r="O44870" s="14"/>
      <c r="P44870" s="13"/>
    </row>
    <row r="44871">
      <c r="L44871" s="13"/>
      <c r="M44871" s="14"/>
      <c r="N44871" s="14"/>
      <c r="O44871" s="14"/>
      <c r="P44871" s="13"/>
    </row>
    <row r="44872">
      <c r="L44872" s="13"/>
      <c r="M44872" s="14"/>
      <c r="N44872" s="14"/>
      <c r="O44872" s="14"/>
      <c r="P44872" s="13"/>
    </row>
    <row r="44873">
      <c r="L44873" s="13"/>
      <c r="M44873" s="14"/>
      <c r="N44873" s="14"/>
      <c r="O44873" s="14"/>
      <c r="P44873" s="13"/>
    </row>
    <row r="44874">
      <c r="L44874" s="13"/>
      <c r="M44874" s="14"/>
      <c r="N44874" s="14"/>
      <c r="O44874" s="14"/>
      <c r="P44874" s="13"/>
    </row>
    <row r="44875">
      <c r="L44875" s="13"/>
      <c r="M44875" s="14"/>
      <c r="N44875" s="14"/>
      <c r="O44875" s="14"/>
      <c r="P44875" s="13"/>
    </row>
    <row r="44876">
      <c r="L44876" s="13"/>
      <c r="M44876" s="14"/>
      <c r="N44876" s="14"/>
      <c r="O44876" s="14"/>
      <c r="P44876" s="13"/>
    </row>
    <row r="44877">
      <c r="L44877" s="13"/>
      <c r="M44877" s="14"/>
      <c r="N44877" s="14"/>
      <c r="O44877" s="14"/>
      <c r="P44877" s="13"/>
    </row>
    <row r="44878">
      <c r="L44878" s="13"/>
      <c r="M44878" s="14"/>
      <c r="N44878" s="14"/>
      <c r="O44878" s="14"/>
      <c r="P44878" s="13"/>
    </row>
    <row r="44879">
      <c r="L44879" s="13"/>
      <c r="M44879" s="14"/>
      <c r="N44879" s="14"/>
      <c r="O44879" s="14"/>
      <c r="P44879" s="13"/>
    </row>
    <row r="44880">
      <c r="L44880" s="13"/>
      <c r="M44880" s="14"/>
      <c r="N44880" s="14"/>
      <c r="O44880" s="14"/>
      <c r="P44880" s="13"/>
    </row>
    <row r="44881">
      <c r="L44881" s="13"/>
      <c r="M44881" s="14"/>
      <c r="N44881" s="14"/>
      <c r="O44881" s="14"/>
      <c r="P44881" s="13"/>
    </row>
    <row r="44882">
      <c r="L44882" s="13"/>
      <c r="M44882" s="14"/>
      <c r="N44882" s="14"/>
      <c r="O44882" s="14"/>
      <c r="P44882" s="13"/>
    </row>
    <row r="44883">
      <c r="L44883" s="13"/>
      <c r="M44883" s="14"/>
      <c r="N44883" s="14"/>
      <c r="O44883" s="14"/>
      <c r="P44883" s="13"/>
    </row>
    <row r="44884">
      <c r="L44884" s="13"/>
      <c r="M44884" s="14"/>
      <c r="N44884" s="14"/>
      <c r="O44884" s="14"/>
      <c r="P44884" s="13"/>
    </row>
    <row r="44885">
      <c r="L44885" s="13"/>
      <c r="M44885" s="14"/>
      <c r="N44885" s="14"/>
      <c r="O44885" s="14"/>
      <c r="P44885" s="13"/>
    </row>
    <row r="44886">
      <c r="L44886" s="13"/>
      <c r="M44886" s="14"/>
      <c r="N44886" s="14"/>
      <c r="O44886" s="14"/>
      <c r="P44886" s="13"/>
    </row>
    <row r="44887">
      <c r="L44887" s="13"/>
      <c r="M44887" s="14"/>
      <c r="N44887" s="14"/>
      <c r="O44887" s="14"/>
      <c r="P44887" s="13"/>
    </row>
    <row r="44888">
      <c r="L44888" s="13"/>
      <c r="M44888" s="14"/>
      <c r="N44888" s="14"/>
      <c r="O44888" s="14"/>
      <c r="P44888" s="13"/>
    </row>
    <row r="44889">
      <c r="L44889" s="13"/>
      <c r="M44889" s="14"/>
      <c r="N44889" s="14"/>
      <c r="O44889" s="14"/>
      <c r="P44889" s="13"/>
    </row>
    <row r="44890">
      <c r="L44890" s="13"/>
      <c r="M44890" s="14"/>
      <c r="N44890" s="14"/>
      <c r="O44890" s="14"/>
      <c r="P44890" s="13"/>
    </row>
    <row r="44891">
      <c r="L44891" s="13"/>
      <c r="M44891" s="14"/>
      <c r="N44891" s="14"/>
      <c r="O44891" s="14"/>
      <c r="P44891" s="13"/>
    </row>
    <row r="44892">
      <c r="L44892" s="13"/>
      <c r="M44892" s="14"/>
      <c r="N44892" s="14"/>
      <c r="O44892" s="14"/>
      <c r="P44892" s="13"/>
    </row>
    <row r="44893">
      <c r="L44893" s="13"/>
      <c r="M44893" s="14"/>
      <c r="N44893" s="14"/>
      <c r="O44893" s="14"/>
      <c r="P44893" s="13"/>
    </row>
    <row r="44894">
      <c r="L44894" s="13"/>
      <c r="M44894" s="14"/>
      <c r="N44894" s="14"/>
      <c r="O44894" s="14"/>
      <c r="P44894" s="13"/>
    </row>
    <row r="44895">
      <c r="L44895" s="13"/>
      <c r="M44895" s="14"/>
      <c r="N44895" s="14"/>
      <c r="O44895" s="14"/>
      <c r="P44895" s="13"/>
    </row>
    <row r="44896">
      <c r="L44896" s="13"/>
      <c r="M44896" s="14"/>
      <c r="N44896" s="14"/>
      <c r="O44896" s="14"/>
      <c r="P44896" s="13"/>
    </row>
    <row r="44897">
      <c r="L44897" s="13"/>
      <c r="M44897" s="14"/>
      <c r="N44897" s="14"/>
      <c r="O44897" s="14"/>
      <c r="P44897" s="13"/>
    </row>
    <row r="44898">
      <c r="L44898" s="13"/>
      <c r="M44898" s="14"/>
      <c r="N44898" s="14"/>
      <c r="O44898" s="14"/>
      <c r="P44898" s="13"/>
    </row>
    <row r="44899">
      <c r="L44899" s="13"/>
      <c r="M44899" s="14"/>
      <c r="N44899" s="14"/>
      <c r="O44899" s="14"/>
      <c r="P44899" s="13"/>
    </row>
    <row r="44900">
      <c r="L44900" s="13"/>
      <c r="M44900" s="14"/>
      <c r="N44900" s="14"/>
      <c r="O44900" s="14"/>
      <c r="P44900" s="13"/>
    </row>
    <row r="44901">
      <c r="L44901" s="13"/>
      <c r="M44901" s="14"/>
      <c r="N44901" s="14"/>
      <c r="O44901" s="14"/>
      <c r="P44901" s="13"/>
    </row>
    <row r="44902">
      <c r="L44902" s="13"/>
      <c r="M44902" s="14"/>
      <c r="N44902" s="14"/>
      <c r="O44902" s="14"/>
      <c r="P44902" s="13"/>
    </row>
    <row r="44903">
      <c r="L44903" s="13"/>
      <c r="M44903" s="14"/>
      <c r="N44903" s="14"/>
      <c r="O44903" s="14"/>
      <c r="P44903" s="13"/>
    </row>
    <row r="44904">
      <c r="L44904" s="13"/>
      <c r="M44904" s="14"/>
      <c r="N44904" s="14"/>
      <c r="O44904" s="14"/>
      <c r="P44904" s="13"/>
    </row>
    <row r="44905">
      <c r="L44905" s="13"/>
      <c r="M44905" s="14"/>
      <c r="N44905" s="14"/>
      <c r="O44905" s="14"/>
      <c r="P44905" s="13"/>
    </row>
    <row r="44906">
      <c r="L44906" s="13"/>
      <c r="M44906" s="14"/>
      <c r="N44906" s="14"/>
      <c r="O44906" s="14"/>
      <c r="P44906" s="13"/>
    </row>
    <row r="44907">
      <c r="L44907" s="13"/>
      <c r="M44907" s="14"/>
      <c r="N44907" s="14"/>
      <c r="O44907" s="14"/>
      <c r="P44907" s="13"/>
    </row>
    <row r="44908">
      <c r="L44908" s="13"/>
      <c r="M44908" s="14"/>
      <c r="N44908" s="14"/>
      <c r="O44908" s="14"/>
      <c r="P44908" s="13"/>
    </row>
    <row r="44909">
      <c r="L44909" s="13"/>
      <c r="M44909" s="14"/>
      <c r="N44909" s="14"/>
      <c r="O44909" s="14"/>
      <c r="P44909" s="13"/>
    </row>
    <row r="44910">
      <c r="L44910" s="13"/>
      <c r="M44910" s="14"/>
      <c r="N44910" s="14"/>
      <c r="O44910" s="14"/>
      <c r="P44910" s="13"/>
    </row>
    <row r="44911">
      <c r="L44911" s="13"/>
      <c r="M44911" s="14"/>
      <c r="N44911" s="14"/>
      <c r="O44911" s="14"/>
      <c r="P44911" s="13"/>
    </row>
    <row r="44912">
      <c r="L44912" s="13"/>
      <c r="M44912" s="14"/>
      <c r="N44912" s="14"/>
      <c r="O44912" s="14"/>
      <c r="P44912" s="13"/>
    </row>
    <row r="44913">
      <c r="L44913" s="13"/>
      <c r="M44913" s="14"/>
      <c r="N44913" s="14"/>
      <c r="O44913" s="14"/>
      <c r="P44913" s="13"/>
    </row>
    <row r="44914">
      <c r="L44914" s="13"/>
      <c r="M44914" s="14"/>
      <c r="N44914" s="14"/>
      <c r="O44914" s="14"/>
      <c r="P44914" s="13"/>
    </row>
    <row r="44915">
      <c r="L44915" s="13"/>
      <c r="M44915" s="14"/>
      <c r="N44915" s="14"/>
      <c r="O44915" s="14"/>
      <c r="P44915" s="13"/>
    </row>
    <row r="44916">
      <c r="L44916" s="13"/>
      <c r="M44916" s="14"/>
      <c r="N44916" s="14"/>
      <c r="O44916" s="14"/>
      <c r="P44916" s="13"/>
    </row>
    <row r="44917">
      <c r="L44917" s="13"/>
      <c r="M44917" s="14"/>
      <c r="N44917" s="14"/>
      <c r="O44917" s="14"/>
      <c r="P44917" s="13"/>
    </row>
    <row r="44918">
      <c r="L44918" s="13"/>
      <c r="M44918" s="14"/>
      <c r="N44918" s="14"/>
      <c r="O44918" s="14"/>
      <c r="P44918" s="13"/>
    </row>
    <row r="44919">
      <c r="L44919" s="13"/>
      <c r="M44919" s="14"/>
      <c r="N44919" s="14"/>
      <c r="O44919" s="14"/>
      <c r="P44919" s="13"/>
    </row>
    <row r="44920">
      <c r="L44920" s="13"/>
      <c r="M44920" s="14"/>
      <c r="N44920" s="14"/>
      <c r="O44920" s="14"/>
      <c r="P44920" s="13"/>
    </row>
    <row r="44921">
      <c r="L44921" s="13"/>
      <c r="M44921" s="14"/>
      <c r="N44921" s="14"/>
      <c r="O44921" s="14"/>
      <c r="P44921" s="13"/>
    </row>
    <row r="44922">
      <c r="L44922" s="13"/>
      <c r="M44922" s="14"/>
      <c r="N44922" s="14"/>
      <c r="O44922" s="14"/>
      <c r="P44922" s="13"/>
    </row>
    <row r="44923">
      <c r="L44923" s="13"/>
      <c r="M44923" s="14"/>
      <c r="N44923" s="14"/>
      <c r="O44923" s="14"/>
      <c r="P44923" s="13"/>
    </row>
    <row r="44924">
      <c r="L44924" s="13"/>
      <c r="M44924" s="14"/>
      <c r="N44924" s="14"/>
      <c r="O44924" s="14"/>
      <c r="P44924" s="13"/>
    </row>
    <row r="44925">
      <c r="L44925" s="13"/>
      <c r="M44925" s="14"/>
      <c r="N44925" s="14"/>
      <c r="O44925" s="14"/>
      <c r="P44925" s="13"/>
    </row>
    <row r="44926">
      <c r="L44926" s="13"/>
      <c r="M44926" s="14"/>
      <c r="N44926" s="14"/>
      <c r="O44926" s="14"/>
      <c r="P44926" s="13"/>
    </row>
    <row r="44927">
      <c r="L44927" s="13"/>
      <c r="M44927" s="14"/>
      <c r="N44927" s="14"/>
      <c r="O44927" s="14"/>
      <c r="P44927" s="13"/>
    </row>
    <row r="44928">
      <c r="L44928" s="13"/>
      <c r="M44928" s="14"/>
      <c r="N44928" s="14"/>
      <c r="O44928" s="14"/>
      <c r="P44928" s="13"/>
    </row>
    <row r="44929">
      <c r="L44929" s="13"/>
      <c r="M44929" s="14"/>
      <c r="N44929" s="14"/>
      <c r="O44929" s="14"/>
      <c r="P44929" s="13"/>
    </row>
    <row r="44930">
      <c r="L44930" s="13"/>
      <c r="M44930" s="14"/>
      <c r="N44930" s="14"/>
      <c r="O44930" s="14"/>
      <c r="P44930" s="13"/>
    </row>
    <row r="44931">
      <c r="L44931" s="13"/>
      <c r="M44931" s="14"/>
      <c r="N44931" s="14"/>
      <c r="O44931" s="14"/>
      <c r="P44931" s="13"/>
    </row>
    <row r="44932">
      <c r="L44932" s="13"/>
      <c r="M44932" s="14"/>
      <c r="N44932" s="14"/>
      <c r="O44932" s="14"/>
      <c r="P44932" s="13"/>
    </row>
    <row r="44933">
      <c r="L44933" s="13"/>
      <c r="M44933" s="14"/>
      <c r="N44933" s="14"/>
      <c r="O44933" s="14"/>
      <c r="P44933" s="13"/>
    </row>
    <row r="44934">
      <c r="L44934" s="13"/>
      <c r="M44934" s="14"/>
      <c r="N44934" s="14"/>
      <c r="O44934" s="14"/>
      <c r="P44934" s="13"/>
    </row>
    <row r="44935">
      <c r="L44935" s="13"/>
      <c r="M44935" s="14"/>
      <c r="N44935" s="14"/>
      <c r="O44935" s="14"/>
      <c r="P44935" s="13"/>
    </row>
    <row r="44936">
      <c r="L44936" s="13"/>
      <c r="M44936" s="14"/>
      <c r="N44936" s="14"/>
      <c r="O44936" s="14"/>
      <c r="P44936" s="13"/>
    </row>
    <row r="44937">
      <c r="L44937" s="13"/>
      <c r="M44937" s="14"/>
      <c r="N44937" s="14"/>
      <c r="O44937" s="14"/>
      <c r="P44937" s="13"/>
    </row>
    <row r="44938">
      <c r="L44938" s="13"/>
      <c r="M44938" s="14"/>
      <c r="N44938" s="14"/>
      <c r="O44938" s="14"/>
      <c r="P44938" s="13"/>
    </row>
    <row r="44939">
      <c r="L44939" s="13"/>
      <c r="M44939" s="14"/>
      <c r="N44939" s="14"/>
      <c r="O44939" s="14"/>
      <c r="P44939" s="13"/>
    </row>
    <row r="44940">
      <c r="L44940" s="13"/>
      <c r="M44940" s="14"/>
      <c r="N44940" s="14"/>
      <c r="O44940" s="14"/>
      <c r="P44940" s="13"/>
    </row>
    <row r="44941">
      <c r="L44941" s="13"/>
      <c r="M44941" s="14"/>
      <c r="N44941" s="14"/>
      <c r="O44941" s="14"/>
      <c r="P44941" s="13"/>
    </row>
    <row r="44942">
      <c r="L44942" s="13"/>
      <c r="M44942" s="14"/>
      <c r="N44942" s="14"/>
      <c r="O44942" s="14"/>
      <c r="P44942" s="13"/>
    </row>
    <row r="44943">
      <c r="L44943" s="13"/>
      <c r="M44943" s="14"/>
      <c r="N44943" s="14"/>
      <c r="O44943" s="14"/>
      <c r="P44943" s="13"/>
    </row>
    <row r="44944">
      <c r="L44944" s="13"/>
      <c r="M44944" s="14"/>
      <c r="N44944" s="14"/>
      <c r="O44944" s="14"/>
      <c r="P44944" s="13"/>
    </row>
    <row r="44945">
      <c r="L44945" s="13"/>
      <c r="M44945" s="14"/>
      <c r="N44945" s="14"/>
      <c r="O44945" s="14"/>
      <c r="P44945" s="13"/>
    </row>
    <row r="44946">
      <c r="L44946" s="13"/>
      <c r="M44946" s="14"/>
      <c r="N44946" s="14"/>
      <c r="O44946" s="14"/>
      <c r="P44946" s="13"/>
    </row>
    <row r="44947">
      <c r="L44947" s="13"/>
      <c r="M44947" s="14"/>
      <c r="N44947" s="14"/>
      <c r="O44947" s="14"/>
      <c r="P44947" s="13"/>
    </row>
    <row r="44948">
      <c r="L44948" s="13"/>
      <c r="M44948" s="14"/>
      <c r="N44948" s="14"/>
      <c r="O44948" s="14"/>
      <c r="P44948" s="13"/>
    </row>
    <row r="44949">
      <c r="L44949" s="13"/>
      <c r="M44949" s="14"/>
      <c r="N44949" s="14"/>
      <c r="O44949" s="14"/>
      <c r="P44949" s="13"/>
    </row>
    <row r="44950">
      <c r="L44950" s="13"/>
      <c r="M44950" s="14"/>
      <c r="N44950" s="14"/>
      <c r="O44950" s="14"/>
      <c r="P44950" s="13"/>
    </row>
    <row r="44951">
      <c r="L44951" s="13"/>
      <c r="M44951" s="14"/>
      <c r="N44951" s="14"/>
      <c r="O44951" s="14"/>
      <c r="P44951" s="13"/>
    </row>
    <row r="44952">
      <c r="L44952" s="13"/>
      <c r="M44952" s="14"/>
      <c r="N44952" s="14"/>
      <c r="O44952" s="14"/>
      <c r="P44952" s="13"/>
    </row>
    <row r="44953">
      <c r="L44953" s="13"/>
      <c r="M44953" s="14"/>
      <c r="N44953" s="14"/>
      <c r="O44953" s="14"/>
      <c r="P44953" s="13"/>
    </row>
    <row r="44954">
      <c r="L44954" s="13"/>
      <c r="M44954" s="14"/>
      <c r="N44954" s="14"/>
      <c r="O44954" s="14"/>
      <c r="P44954" s="13"/>
    </row>
    <row r="44955">
      <c r="L44955" s="13"/>
      <c r="M44955" s="14"/>
      <c r="N44955" s="14"/>
      <c r="O44955" s="14"/>
      <c r="P44955" s="13"/>
    </row>
    <row r="44956">
      <c r="L44956" s="13"/>
      <c r="M44956" s="14"/>
      <c r="N44956" s="14"/>
      <c r="O44956" s="14"/>
      <c r="P44956" s="13"/>
    </row>
    <row r="44957">
      <c r="L44957" s="13"/>
      <c r="M44957" s="14"/>
      <c r="N44957" s="14"/>
      <c r="O44957" s="14"/>
      <c r="P44957" s="13"/>
    </row>
    <row r="44958">
      <c r="L44958" s="13"/>
      <c r="M44958" s="14"/>
      <c r="N44958" s="14"/>
      <c r="O44958" s="14"/>
      <c r="P44958" s="13"/>
    </row>
    <row r="44959">
      <c r="L44959" s="13"/>
      <c r="M44959" s="14"/>
      <c r="N44959" s="14"/>
      <c r="O44959" s="14"/>
      <c r="P44959" s="13"/>
    </row>
    <row r="44960">
      <c r="L44960" s="13"/>
      <c r="M44960" s="14"/>
      <c r="N44960" s="14"/>
      <c r="O44960" s="14"/>
      <c r="P44960" s="13"/>
    </row>
    <row r="44961">
      <c r="L44961" s="13"/>
      <c r="M44961" s="14"/>
      <c r="N44961" s="14"/>
      <c r="O44961" s="14"/>
      <c r="P44961" s="13"/>
    </row>
    <row r="44962">
      <c r="L44962" s="13"/>
      <c r="M44962" s="14"/>
      <c r="N44962" s="14"/>
      <c r="O44962" s="14"/>
      <c r="P44962" s="13"/>
    </row>
    <row r="44963">
      <c r="L44963" s="13"/>
      <c r="M44963" s="14"/>
      <c r="N44963" s="14"/>
      <c r="O44963" s="14"/>
      <c r="P44963" s="13"/>
    </row>
    <row r="44964">
      <c r="L44964" s="13"/>
      <c r="M44964" s="14"/>
      <c r="N44964" s="14"/>
      <c r="O44964" s="14"/>
      <c r="P44964" s="13"/>
    </row>
    <row r="44965">
      <c r="L44965" s="13"/>
      <c r="M44965" s="14"/>
      <c r="N44965" s="14"/>
      <c r="O44965" s="14"/>
      <c r="P44965" s="13"/>
    </row>
    <row r="44966">
      <c r="L44966" s="13"/>
      <c r="M44966" s="14"/>
      <c r="N44966" s="14"/>
      <c r="O44966" s="14"/>
      <c r="P44966" s="13"/>
    </row>
    <row r="44967">
      <c r="L44967" s="13"/>
      <c r="M44967" s="14"/>
      <c r="N44967" s="14"/>
      <c r="O44967" s="14"/>
      <c r="P44967" s="13"/>
    </row>
    <row r="44968">
      <c r="L44968" s="13"/>
      <c r="M44968" s="14"/>
      <c r="N44968" s="14"/>
      <c r="O44968" s="14"/>
      <c r="P44968" s="13"/>
    </row>
    <row r="44969">
      <c r="L44969" s="13"/>
      <c r="M44969" s="14"/>
      <c r="N44969" s="14"/>
      <c r="O44969" s="14"/>
      <c r="P44969" s="13"/>
    </row>
    <row r="44970">
      <c r="L44970" s="13"/>
      <c r="M44970" s="14"/>
      <c r="N44970" s="14"/>
      <c r="O44970" s="14"/>
      <c r="P44970" s="13"/>
    </row>
    <row r="44971">
      <c r="L44971" s="13"/>
      <c r="M44971" s="14"/>
      <c r="N44971" s="14"/>
      <c r="O44971" s="14"/>
      <c r="P44971" s="13"/>
    </row>
    <row r="44972">
      <c r="L44972" s="13"/>
      <c r="M44972" s="14"/>
      <c r="N44972" s="14"/>
      <c r="O44972" s="14"/>
      <c r="P44972" s="13"/>
    </row>
    <row r="44973">
      <c r="L44973" s="13"/>
      <c r="M44973" s="14"/>
      <c r="N44973" s="14"/>
      <c r="O44973" s="14"/>
      <c r="P44973" s="13"/>
    </row>
    <row r="44974">
      <c r="L44974" s="13"/>
      <c r="M44974" s="14"/>
      <c r="N44974" s="14"/>
      <c r="O44974" s="14"/>
      <c r="P44974" s="13"/>
    </row>
    <row r="44975">
      <c r="L44975" s="13"/>
      <c r="M44975" s="14"/>
      <c r="N44975" s="14"/>
      <c r="O44975" s="14"/>
      <c r="P44975" s="13"/>
    </row>
    <row r="44976">
      <c r="L44976" s="13"/>
      <c r="M44976" s="14"/>
      <c r="N44976" s="14"/>
      <c r="O44976" s="14"/>
      <c r="P44976" s="13"/>
    </row>
    <row r="44977">
      <c r="L44977" s="13"/>
      <c r="M44977" s="14"/>
      <c r="N44977" s="14"/>
      <c r="O44977" s="14"/>
      <c r="P44977" s="13"/>
    </row>
    <row r="44978">
      <c r="L44978" s="13"/>
      <c r="M44978" s="14"/>
      <c r="N44978" s="14"/>
      <c r="O44978" s="14"/>
      <c r="P44978" s="13"/>
    </row>
    <row r="44979">
      <c r="L44979" s="13"/>
      <c r="M44979" s="14"/>
      <c r="N44979" s="14"/>
      <c r="O44979" s="14"/>
      <c r="P44979" s="13"/>
    </row>
    <row r="44980">
      <c r="L44980" s="13"/>
      <c r="M44980" s="14"/>
      <c r="N44980" s="14"/>
      <c r="O44980" s="14"/>
      <c r="P44980" s="13"/>
    </row>
    <row r="44981">
      <c r="L44981" s="13"/>
      <c r="M44981" s="14"/>
      <c r="N44981" s="14"/>
      <c r="O44981" s="14"/>
      <c r="P44981" s="13"/>
    </row>
    <row r="44982">
      <c r="L44982" s="13"/>
      <c r="M44982" s="14"/>
      <c r="N44982" s="14"/>
      <c r="O44982" s="14"/>
      <c r="P44982" s="13"/>
    </row>
    <row r="44983">
      <c r="L44983" s="13"/>
      <c r="M44983" s="14"/>
      <c r="N44983" s="14"/>
      <c r="O44983" s="14"/>
      <c r="P44983" s="13"/>
    </row>
    <row r="44984">
      <c r="L44984" s="13"/>
      <c r="M44984" s="14"/>
      <c r="N44984" s="14"/>
      <c r="O44984" s="14"/>
      <c r="P44984" s="13"/>
    </row>
    <row r="44985">
      <c r="L44985" s="13"/>
      <c r="M44985" s="14"/>
      <c r="N44985" s="14"/>
      <c r="O44985" s="14"/>
      <c r="P44985" s="13"/>
    </row>
    <row r="44986">
      <c r="L44986" s="13"/>
      <c r="M44986" s="14"/>
      <c r="N44986" s="14"/>
      <c r="O44986" s="14"/>
      <c r="P44986" s="13"/>
    </row>
    <row r="44987">
      <c r="L44987" s="13"/>
      <c r="M44987" s="14"/>
      <c r="N44987" s="14"/>
      <c r="O44987" s="14"/>
      <c r="P44987" s="13"/>
    </row>
    <row r="44988">
      <c r="L44988" s="13"/>
      <c r="M44988" s="14"/>
      <c r="N44988" s="14"/>
      <c r="O44988" s="14"/>
      <c r="P44988" s="13"/>
    </row>
    <row r="44989">
      <c r="L44989" s="13"/>
      <c r="M44989" s="14"/>
      <c r="N44989" s="14"/>
      <c r="O44989" s="14"/>
      <c r="P44989" s="13"/>
    </row>
    <row r="44990">
      <c r="L44990" s="13"/>
      <c r="M44990" s="14"/>
      <c r="N44990" s="14"/>
      <c r="O44990" s="14"/>
      <c r="P44990" s="13"/>
    </row>
    <row r="44991">
      <c r="L44991" s="13"/>
      <c r="M44991" s="14"/>
      <c r="N44991" s="14"/>
      <c r="O44991" s="14"/>
      <c r="P44991" s="13"/>
    </row>
    <row r="44992">
      <c r="L44992" s="13"/>
      <c r="M44992" s="14"/>
      <c r="N44992" s="14"/>
      <c r="O44992" s="14"/>
      <c r="P44992" s="13"/>
    </row>
    <row r="44993">
      <c r="L44993" s="13"/>
      <c r="M44993" s="14"/>
      <c r="N44993" s="14"/>
      <c r="O44993" s="14"/>
      <c r="P44993" s="13"/>
    </row>
    <row r="44994">
      <c r="L44994" s="13"/>
      <c r="M44994" s="14"/>
      <c r="N44994" s="14"/>
      <c r="O44994" s="14"/>
      <c r="P44994" s="13"/>
    </row>
    <row r="44995">
      <c r="L44995" s="13"/>
      <c r="M44995" s="14"/>
      <c r="N44995" s="14"/>
      <c r="O44995" s="14"/>
      <c r="P44995" s="13"/>
    </row>
    <row r="44996">
      <c r="L44996" s="13"/>
      <c r="M44996" s="14"/>
      <c r="N44996" s="14"/>
      <c r="O44996" s="14"/>
      <c r="P44996" s="13"/>
    </row>
    <row r="44997">
      <c r="L44997" s="13"/>
      <c r="M44997" s="14"/>
      <c r="N44997" s="14"/>
      <c r="O44997" s="14"/>
      <c r="P44997" s="13"/>
    </row>
    <row r="44998">
      <c r="L44998" s="13"/>
      <c r="M44998" s="14"/>
      <c r="N44998" s="14"/>
      <c r="O44998" s="14"/>
      <c r="P44998" s="13"/>
    </row>
    <row r="44999">
      <c r="L44999" s="13"/>
      <c r="M44999" s="14"/>
      <c r="N44999" s="14"/>
      <c r="O44999" s="14"/>
      <c r="P44999" s="13"/>
    </row>
    <row r="45000">
      <c r="L45000" s="13"/>
      <c r="M45000" s="14"/>
      <c r="N45000" s="14"/>
      <c r="O45000" s="14"/>
      <c r="P45000" s="13"/>
    </row>
    <row r="45001">
      <c r="L45001" s="13"/>
      <c r="M45001" s="14"/>
      <c r="N45001" s="14"/>
      <c r="O45001" s="14"/>
      <c r="P45001" s="13"/>
    </row>
    <row r="45002">
      <c r="L45002" s="13"/>
      <c r="M45002" s="14"/>
      <c r="N45002" s="14"/>
      <c r="O45002" s="14"/>
      <c r="P45002" s="13"/>
    </row>
    <row r="45003">
      <c r="L45003" s="13"/>
      <c r="M45003" s="14"/>
      <c r="N45003" s="14"/>
      <c r="O45003" s="14"/>
      <c r="P45003" s="13"/>
    </row>
    <row r="45004">
      <c r="L45004" s="13"/>
      <c r="M45004" s="14"/>
      <c r="N45004" s="14"/>
      <c r="O45004" s="14"/>
      <c r="P45004" s="13"/>
    </row>
    <row r="45005">
      <c r="L45005" s="13"/>
      <c r="M45005" s="14"/>
      <c r="N45005" s="14"/>
      <c r="O45005" s="14"/>
      <c r="P45005" s="13"/>
    </row>
    <row r="45006">
      <c r="L45006" s="13"/>
      <c r="M45006" s="14"/>
      <c r="N45006" s="14"/>
      <c r="O45006" s="14"/>
      <c r="P45006" s="13"/>
    </row>
    <row r="45007">
      <c r="L45007" s="13"/>
      <c r="M45007" s="14"/>
      <c r="N45007" s="14"/>
      <c r="O45007" s="14"/>
      <c r="P45007" s="13"/>
    </row>
    <row r="45008">
      <c r="L45008" s="13"/>
      <c r="M45008" s="14"/>
      <c r="N45008" s="14"/>
      <c r="O45008" s="14"/>
      <c r="P45008" s="13"/>
    </row>
    <row r="45009">
      <c r="L45009" s="13"/>
      <c r="M45009" s="14"/>
      <c r="N45009" s="14"/>
      <c r="O45009" s="14"/>
      <c r="P45009" s="13"/>
    </row>
    <row r="45010">
      <c r="L45010" s="13"/>
      <c r="M45010" s="14"/>
      <c r="N45010" s="14"/>
      <c r="O45010" s="14"/>
      <c r="P45010" s="13"/>
    </row>
    <row r="45011">
      <c r="L45011" s="13"/>
      <c r="M45011" s="14"/>
      <c r="N45011" s="14"/>
      <c r="O45011" s="14"/>
      <c r="P45011" s="13"/>
    </row>
    <row r="45012">
      <c r="L45012" s="13"/>
      <c r="M45012" s="14"/>
      <c r="N45012" s="14"/>
      <c r="O45012" s="14"/>
      <c r="P45012" s="13"/>
    </row>
    <row r="45013">
      <c r="L45013" s="13"/>
      <c r="M45013" s="14"/>
      <c r="N45013" s="14"/>
      <c r="O45013" s="14"/>
      <c r="P45013" s="13"/>
    </row>
    <row r="45014">
      <c r="L45014" s="13"/>
      <c r="M45014" s="14"/>
      <c r="N45014" s="14"/>
      <c r="O45014" s="14"/>
      <c r="P45014" s="13"/>
    </row>
    <row r="45015">
      <c r="L45015" s="13"/>
      <c r="M45015" s="14"/>
      <c r="N45015" s="14"/>
      <c r="O45015" s="14"/>
      <c r="P45015" s="13"/>
    </row>
    <row r="45016">
      <c r="L45016" s="13"/>
      <c r="M45016" s="14"/>
      <c r="N45016" s="14"/>
      <c r="O45016" s="14"/>
      <c r="P45016" s="13"/>
    </row>
    <row r="45017">
      <c r="L45017" s="13"/>
      <c r="M45017" s="14"/>
      <c r="N45017" s="14"/>
      <c r="O45017" s="14"/>
      <c r="P45017" s="13"/>
    </row>
    <row r="45018">
      <c r="L45018" s="13"/>
      <c r="M45018" s="14"/>
      <c r="N45018" s="14"/>
      <c r="O45018" s="14"/>
      <c r="P45018" s="13"/>
    </row>
    <row r="45019">
      <c r="L45019" s="13"/>
      <c r="M45019" s="14"/>
      <c r="N45019" s="14"/>
      <c r="O45019" s="14"/>
      <c r="P45019" s="13"/>
    </row>
    <row r="45020">
      <c r="L45020" s="13"/>
      <c r="M45020" s="14"/>
      <c r="N45020" s="14"/>
      <c r="O45020" s="14"/>
      <c r="P45020" s="13"/>
    </row>
    <row r="45021">
      <c r="L45021" s="13"/>
      <c r="M45021" s="14"/>
      <c r="N45021" s="14"/>
      <c r="O45021" s="14"/>
      <c r="P45021" s="13"/>
    </row>
    <row r="45022">
      <c r="L45022" s="13"/>
      <c r="M45022" s="14"/>
      <c r="N45022" s="14"/>
      <c r="O45022" s="14"/>
      <c r="P45022" s="13"/>
    </row>
    <row r="45023">
      <c r="L45023" s="13"/>
      <c r="M45023" s="14"/>
      <c r="N45023" s="14"/>
      <c r="O45023" s="14"/>
      <c r="P45023" s="13"/>
    </row>
    <row r="45024">
      <c r="L45024" s="13"/>
      <c r="M45024" s="14"/>
      <c r="N45024" s="14"/>
      <c r="O45024" s="14"/>
      <c r="P45024" s="13"/>
    </row>
    <row r="45025">
      <c r="L45025" s="13"/>
      <c r="M45025" s="14"/>
      <c r="N45025" s="14"/>
      <c r="O45025" s="14"/>
      <c r="P45025" s="13"/>
    </row>
    <row r="45026">
      <c r="L45026" s="13"/>
      <c r="M45026" s="14"/>
      <c r="N45026" s="14"/>
      <c r="O45026" s="14"/>
      <c r="P45026" s="13"/>
    </row>
    <row r="45027">
      <c r="L45027" s="13"/>
      <c r="M45027" s="14"/>
      <c r="N45027" s="14"/>
      <c r="O45027" s="14"/>
      <c r="P45027" s="13"/>
    </row>
    <row r="45028">
      <c r="L45028" s="13"/>
      <c r="M45028" s="14"/>
      <c r="N45028" s="14"/>
      <c r="O45028" s="14"/>
      <c r="P45028" s="13"/>
    </row>
    <row r="45029">
      <c r="L45029" s="13"/>
      <c r="M45029" s="14"/>
      <c r="N45029" s="14"/>
      <c r="O45029" s="14"/>
      <c r="P45029" s="13"/>
    </row>
    <row r="45030">
      <c r="L45030" s="13"/>
      <c r="M45030" s="14"/>
      <c r="N45030" s="14"/>
      <c r="O45030" s="14"/>
      <c r="P45030" s="13"/>
    </row>
    <row r="45031">
      <c r="L45031" s="13"/>
      <c r="M45031" s="14"/>
      <c r="N45031" s="14"/>
      <c r="O45031" s="14"/>
      <c r="P45031" s="13"/>
    </row>
    <row r="45032">
      <c r="L45032" s="13"/>
      <c r="M45032" s="14"/>
      <c r="N45032" s="14"/>
      <c r="O45032" s="14"/>
      <c r="P45032" s="13"/>
    </row>
    <row r="45033">
      <c r="L45033" s="13"/>
      <c r="M45033" s="14"/>
      <c r="N45033" s="14"/>
      <c r="O45033" s="14"/>
      <c r="P45033" s="13"/>
    </row>
    <row r="45034">
      <c r="L45034" s="13"/>
      <c r="M45034" s="14"/>
      <c r="N45034" s="14"/>
      <c r="O45034" s="14"/>
      <c r="P45034" s="13"/>
    </row>
    <row r="45035">
      <c r="L45035" s="13"/>
      <c r="M45035" s="14"/>
      <c r="N45035" s="14"/>
      <c r="O45035" s="14"/>
      <c r="P45035" s="13"/>
    </row>
    <row r="45036">
      <c r="L45036" s="13"/>
      <c r="M45036" s="14"/>
      <c r="N45036" s="14"/>
      <c r="O45036" s="14"/>
      <c r="P45036" s="13"/>
    </row>
    <row r="45037">
      <c r="L45037" s="13"/>
      <c r="M45037" s="14"/>
      <c r="N45037" s="14"/>
      <c r="O45037" s="14"/>
      <c r="P45037" s="13"/>
    </row>
    <row r="45038">
      <c r="L45038" s="13"/>
      <c r="M45038" s="14"/>
      <c r="N45038" s="14"/>
      <c r="O45038" s="14"/>
      <c r="P45038" s="13"/>
    </row>
    <row r="45039">
      <c r="L45039" s="13"/>
      <c r="M45039" s="14"/>
      <c r="N45039" s="14"/>
      <c r="O45039" s="14"/>
      <c r="P45039" s="13"/>
    </row>
    <row r="45040">
      <c r="L45040" s="13"/>
      <c r="M45040" s="14"/>
      <c r="N45040" s="14"/>
      <c r="O45040" s="14"/>
      <c r="P45040" s="13"/>
    </row>
    <row r="45041">
      <c r="L45041" s="13"/>
      <c r="M45041" s="14"/>
      <c r="N45041" s="14"/>
      <c r="O45041" s="14"/>
      <c r="P45041" s="13"/>
    </row>
    <row r="45042">
      <c r="L45042" s="13"/>
      <c r="M45042" s="14"/>
      <c r="N45042" s="14"/>
      <c r="O45042" s="14"/>
      <c r="P45042" s="13"/>
    </row>
    <row r="45043">
      <c r="L45043" s="13"/>
      <c r="M45043" s="14"/>
      <c r="N45043" s="14"/>
      <c r="O45043" s="14"/>
      <c r="P45043" s="13"/>
    </row>
    <row r="45044">
      <c r="L45044" s="13"/>
      <c r="M45044" s="14"/>
      <c r="N45044" s="14"/>
      <c r="O45044" s="14"/>
      <c r="P45044" s="13"/>
    </row>
    <row r="45045">
      <c r="L45045" s="13"/>
      <c r="M45045" s="14"/>
      <c r="N45045" s="14"/>
      <c r="O45045" s="14"/>
      <c r="P45045" s="13"/>
    </row>
    <row r="45046">
      <c r="L45046" s="13"/>
      <c r="M45046" s="14"/>
      <c r="N45046" s="14"/>
      <c r="O45046" s="14"/>
      <c r="P45046" s="13"/>
    </row>
    <row r="45047">
      <c r="L45047" s="13"/>
      <c r="M45047" s="14"/>
      <c r="N45047" s="14"/>
      <c r="O45047" s="14"/>
      <c r="P45047" s="13"/>
    </row>
    <row r="45048">
      <c r="L45048" s="13"/>
      <c r="M45048" s="14"/>
      <c r="N45048" s="14"/>
      <c r="O45048" s="14"/>
      <c r="P45048" s="13"/>
    </row>
    <row r="45049">
      <c r="L45049" s="13"/>
      <c r="M45049" s="14"/>
      <c r="N45049" s="14"/>
      <c r="O45049" s="14"/>
      <c r="P45049" s="13"/>
    </row>
    <row r="45050">
      <c r="L45050" s="13"/>
      <c r="M45050" s="14"/>
      <c r="N45050" s="14"/>
      <c r="O45050" s="14"/>
      <c r="P45050" s="13"/>
    </row>
    <row r="45051">
      <c r="L45051" s="13"/>
      <c r="M45051" s="14"/>
      <c r="N45051" s="14"/>
      <c r="O45051" s="14"/>
      <c r="P45051" s="13"/>
    </row>
    <row r="45052">
      <c r="L45052" s="13"/>
      <c r="M45052" s="14"/>
      <c r="N45052" s="14"/>
      <c r="O45052" s="14"/>
      <c r="P45052" s="13"/>
    </row>
    <row r="45053">
      <c r="L45053" s="13"/>
      <c r="M45053" s="14"/>
      <c r="N45053" s="14"/>
      <c r="O45053" s="14"/>
      <c r="P45053" s="13"/>
    </row>
    <row r="45054">
      <c r="L45054" s="13"/>
      <c r="M45054" s="14"/>
      <c r="N45054" s="14"/>
      <c r="O45054" s="14"/>
      <c r="P45054" s="13"/>
    </row>
    <row r="45055">
      <c r="L45055" s="13"/>
      <c r="M45055" s="14"/>
      <c r="N45055" s="14"/>
      <c r="O45055" s="14"/>
      <c r="P45055" s="13"/>
    </row>
    <row r="45056">
      <c r="L45056" s="13"/>
      <c r="M45056" s="14"/>
      <c r="N45056" s="14"/>
      <c r="O45056" s="14"/>
      <c r="P45056" s="13"/>
    </row>
    <row r="45057">
      <c r="L45057" s="13"/>
      <c r="M45057" s="14"/>
      <c r="N45057" s="14"/>
      <c r="O45057" s="14"/>
      <c r="P45057" s="13"/>
    </row>
    <row r="45058">
      <c r="L45058" s="13"/>
      <c r="M45058" s="14"/>
      <c r="N45058" s="14"/>
      <c r="O45058" s="14"/>
      <c r="P45058" s="13"/>
    </row>
    <row r="45059">
      <c r="L45059" s="13"/>
      <c r="M45059" s="14"/>
      <c r="N45059" s="14"/>
      <c r="O45059" s="14"/>
      <c r="P45059" s="13"/>
    </row>
    <row r="45060">
      <c r="L45060" s="13"/>
      <c r="M45060" s="14"/>
      <c r="N45060" s="14"/>
      <c r="O45060" s="14"/>
      <c r="P45060" s="13"/>
    </row>
    <row r="45061">
      <c r="L45061" s="13"/>
      <c r="M45061" s="14"/>
      <c r="N45061" s="14"/>
      <c r="O45061" s="14"/>
      <c r="P45061" s="13"/>
    </row>
    <row r="45062">
      <c r="L45062" s="13"/>
      <c r="M45062" s="14"/>
      <c r="N45062" s="14"/>
      <c r="O45062" s="14"/>
      <c r="P45062" s="13"/>
    </row>
    <row r="45063">
      <c r="L45063" s="13"/>
      <c r="M45063" s="14"/>
      <c r="N45063" s="14"/>
      <c r="O45063" s="14"/>
      <c r="P45063" s="13"/>
    </row>
    <row r="45064">
      <c r="L45064" s="13"/>
      <c r="M45064" s="14"/>
      <c r="N45064" s="14"/>
      <c r="O45064" s="14"/>
      <c r="P45064" s="13"/>
    </row>
    <row r="45065">
      <c r="L45065" s="13"/>
      <c r="M45065" s="14"/>
      <c r="N45065" s="14"/>
      <c r="O45065" s="14"/>
      <c r="P45065" s="13"/>
    </row>
    <row r="45066">
      <c r="L45066" s="13"/>
      <c r="M45066" s="14"/>
      <c r="N45066" s="14"/>
      <c r="O45066" s="14"/>
      <c r="P45066" s="13"/>
    </row>
    <row r="45067">
      <c r="L45067" s="13"/>
      <c r="M45067" s="14"/>
      <c r="N45067" s="14"/>
      <c r="O45067" s="14"/>
      <c r="P45067" s="13"/>
    </row>
    <row r="45068">
      <c r="L45068" s="13"/>
      <c r="M45068" s="14"/>
      <c r="N45068" s="14"/>
      <c r="O45068" s="14"/>
      <c r="P45068" s="13"/>
    </row>
    <row r="45069">
      <c r="L45069" s="13"/>
      <c r="M45069" s="14"/>
      <c r="N45069" s="14"/>
      <c r="O45069" s="14"/>
      <c r="P45069" s="13"/>
    </row>
    <row r="45070">
      <c r="L45070" s="13"/>
      <c r="M45070" s="14"/>
      <c r="N45070" s="14"/>
      <c r="O45070" s="14"/>
      <c r="P45070" s="13"/>
    </row>
    <row r="45071">
      <c r="L45071" s="13"/>
      <c r="M45071" s="14"/>
      <c r="N45071" s="14"/>
      <c r="O45071" s="14"/>
      <c r="P45071" s="13"/>
    </row>
    <row r="45072">
      <c r="L45072" s="13"/>
      <c r="M45072" s="14"/>
      <c r="N45072" s="14"/>
      <c r="O45072" s="14"/>
      <c r="P45072" s="13"/>
    </row>
    <row r="45073">
      <c r="L45073" s="13"/>
      <c r="M45073" s="14"/>
      <c r="N45073" s="14"/>
      <c r="O45073" s="14"/>
      <c r="P45073" s="13"/>
    </row>
    <row r="45074">
      <c r="L45074" s="13"/>
      <c r="M45074" s="14"/>
      <c r="N45074" s="14"/>
      <c r="O45074" s="14"/>
      <c r="P45074" s="13"/>
    </row>
    <row r="45075">
      <c r="L45075" s="13"/>
      <c r="M45075" s="14"/>
      <c r="N45075" s="14"/>
      <c r="O45075" s="14"/>
      <c r="P45075" s="13"/>
    </row>
    <row r="45076">
      <c r="L45076" s="13"/>
      <c r="M45076" s="14"/>
      <c r="N45076" s="14"/>
      <c r="O45076" s="14"/>
      <c r="P45076" s="13"/>
    </row>
    <row r="45077">
      <c r="L45077" s="13"/>
      <c r="M45077" s="14"/>
      <c r="N45077" s="14"/>
      <c r="O45077" s="14"/>
      <c r="P45077" s="13"/>
    </row>
    <row r="45078">
      <c r="L45078" s="13"/>
      <c r="M45078" s="14"/>
      <c r="N45078" s="14"/>
      <c r="O45078" s="14"/>
      <c r="P45078" s="13"/>
    </row>
    <row r="45079">
      <c r="L45079" s="13"/>
      <c r="M45079" s="14"/>
      <c r="N45079" s="14"/>
      <c r="O45079" s="14"/>
      <c r="P45079" s="13"/>
    </row>
    <row r="45080">
      <c r="L45080" s="13"/>
      <c r="M45080" s="14"/>
      <c r="N45080" s="14"/>
      <c r="O45080" s="14"/>
      <c r="P45080" s="13"/>
    </row>
    <row r="45081">
      <c r="L45081" s="13"/>
      <c r="M45081" s="14"/>
      <c r="N45081" s="14"/>
      <c r="O45081" s="14"/>
      <c r="P45081" s="13"/>
    </row>
    <row r="45082">
      <c r="L45082" s="13"/>
      <c r="M45082" s="14"/>
      <c r="N45082" s="14"/>
      <c r="O45082" s="14"/>
      <c r="P45082" s="13"/>
    </row>
    <row r="45083">
      <c r="L45083" s="13"/>
      <c r="M45083" s="14"/>
      <c r="N45083" s="14"/>
      <c r="O45083" s="14"/>
      <c r="P45083" s="13"/>
    </row>
    <row r="45084">
      <c r="L45084" s="13"/>
      <c r="M45084" s="14"/>
      <c r="N45084" s="14"/>
      <c r="O45084" s="14"/>
      <c r="P45084" s="13"/>
    </row>
    <row r="45085">
      <c r="L45085" s="13"/>
      <c r="M45085" s="14"/>
      <c r="N45085" s="14"/>
      <c r="O45085" s="14"/>
      <c r="P45085" s="13"/>
    </row>
    <row r="45086">
      <c r="L45086" s="13"/>
      <c r="M45086" s="14"/>
      <c r="N45086" s="14"/>
      <c r="O45086" s="14"/>
      <c r="P45086" s="13"/>
    </row>
    <row r="45087">
      <c r="L45087" s="13"/>
      <c r="M45087" s="14"/>
      <c r="N45087" s="14"/>
      <c r="O45087" s="14"/>
      <c r="P45087" s="13"/>
    </row>
    <row r="45088">
      <c r="L45088" s="13"/>
      <c r="M45088" s="14"/>
      <c r="N45088" s="14"/>
      <c r="O45088" s="14"/>
      <c r="P45088" s="13"/>
    </row>
    <row r="45089">
      <c r="L45089" s="13"/>
      <c r="M45089" s="14"/>
      <c r="N45089" s="14"/>
      <c r="O45089" s="14"/>
      <c r="P45089" s="13"/>
    </row>
    <row r="45090">
      <c r="L45090" s="13"/>
      <c r="M45090" s="14"/>
      <c r="N45090" s="14"/>
      <c r="O45090" s="14"/>
      <c r="P45090" s="13"/>
    </row>
    <row r="45091">
      <c r="L45091" s="13"/>
      <c r="M45091" s="14"/>
      <c r="N45091" s="14"/>
      <c r="O45091" s="14"/>
      <c r="P45091" s="13"/>
    </row>
    <row r="45092">
      <c r="L45092" s="13"/>
      <c r="M45092" s="14"/>
      <c r="N45092" s="14"/>
      <c r="O45092" s="14"/>
      <c r="P45092" s="13"/>
    </row>
    <row r="45093">
      <c r="L45093" s="13"/>
      <c r="M45093" s="14"/>
      <c r="N45093" s="14"/>
      <c r="O45093" s="14"/>
      <c r="P45093" s="13"/>
    </row>
    <row r="45094">
      <c r="L45094" s="13"/>
      <c r="M45094" s="14"/>
      <c r="N45094" s="14"/>
      <c r="O45094" s="14"/>
      <c r="P45094" s="13"/>
    </row>
    <row r="45095">
      <c r="L45095" s="13"/>
      <c r="M45095" s="14"/>
      <c r="N45095" s="14"/>
      <c r="O45095" s="14"/>
      <c r="P45095" s="13"/>
    </row>
    <row r="45096">
      <c r="L45096" s="13"/>
      <c r="M45096" s="14"/>
      <c r="N45096" s="14"/>
      <c r="O45096" s="14"/>
      <c r="P45096" s="13"/>
    </row>
    <row r="45097">
      <c r="L45097" s="13"/>
      <c r="M45097" s="14"/>
      <c r="N45097" s="14"/>
      <c r="O45097" s="14"/>
      <c r="P45097" s="13"/>
    </row>
    <row r="45098">
      <c r="L45098" s="13"/>
      <c r="M45098" s="14"/>
      <c r="N45098" s="14"/>
      <c r="O45098" s="14"/>
      <c r="P45098" s="13"/>
    </row>
    <row r="45099">
      <c r="L45099" s="13"/>
      <c r="M45099" s="14"/>
      <c r="N45099" s="14"/>
      <c r="O45099" s="14"/>
      <c r="P45099" s="13"/>
    </row>
    <row r="45100">
      <c r="L45100" s="13"/>
      <c r="M45100" s="14"/>
      <c r="N45100" s="14"/>
      <c r="O45100" s="14"/>
      <c r="P45100" s="13"/>
    </row>
    <row r="45101">
      <c r="L45101" s="13"/>
      <c r="M45101" s="14"/>
      <c r="N45101" s="14"/>
      <c r="O45101" s="14"/>
      <c r="P45101" s="13"/>
    </row>
    <row r="45102">
      <c r="L45102" s="13"/>
      <c r="M45102" s="14"/>
      <c r="N45102" s="14"/>
      <c r="O45102" s="14"/>
      <c r="P45102" s="13"/>
    </row>
    <row r="45103">
      <c r="L45103" s="13"/>
      <c r="M45103" s="14"/>
      <c r="N45103" s="14"/>
      <c r="O45103" s="14"/>
      <c r="P45103" s="13"/>
    </row>
    <row r="45104">
      <c r="L45104" s="13"/>
      <c r="M45104" s="14"/>
      <c r="N45104" s="14"/>
      <c r="O45104" s="14"/>
      <c r="P45104" s="13"/>
    </row>
    <row r="45105">
      <c r="L45105" s="13"/>
      <c r="M45105" s="14"/>
      <c r="N45105" s="14"/>
      <c r="O45105" s="14"/>
      <c r="P45105" s="13"/>
    </row>
    <row r="45106">
      <c r="L45106" s="13"/>
      <c r="M45106" s="14"/>
      <c r="N45106" s="14"/>
      <c r="O45106" s="14"/>
      <c r="P45106" s="13"/>
    </row>
    <row r="45107">
      <c r="L45107" s="13"/>
      <c r="M45107" s="14"/>
      <c r="N45107" s="14"/>
      <c r="O45107" s="14"/>
      <c r="P45107" s="13"/>
    </row>
    <row r="45108">
      <c r="L45108" s="13"/>
      <c r="M45108" s="14"/>
      <c r="N45108" s="14"/>
      <c r="O45108" s="14"/>
      <c r="P45108" s="13"/>
    </row>
    <row r="45109">
      <c r="L45109" s="13"/>
      <c r="M45109" s="14"/>
      <c r="N45109" s="14"/>
      <c r="O45109" s="14"/>
      <c r="P45109" s="13"/>
    </row>
    <row r="45110">
      <c r="L45110" s="13"/>
      <c r="M45110" s="14"/>
      <c r="N45110" s="14"/>
      <c r="O45110" s="14"/>
      <c r="P45110" s="13"/>
    </row>
    <row r="45111">
      <c r="L45111" s="13"/>
      <c r="M45111" s="14"/>
      <c r="N45111" s="14"/>
      <c r="O45111" s="14"/>
      <c r="P45111" s="13"/>
    </row>
    <row r="45112">
      <c r="L45112" s="13"/>
      <c r="M45112" s="14"/>
      <c r="N45112" s="14"/>
      <c r="O45112" s="14"/>
      <c r="P45112" s="13"/>
    </row>
    <row r="45113">
      <c r="L45113" s="13"/>
      <c r="M45113" s="14"/>
      <c r="N45113" s="14"/>
      <c r="O45113" s="14"/>
      <c r="P45113" s="13"/>
    </row>
    <row r="45114">
      <c r="L45114" s="13"/>
      <c r="M45114" s="14"/>
      <c r="N45114" s="14"/>
      <c r="O45114" s="14"/>
      <c r="P45114" s="13"/>
    </row>
    <row r="45115">
      <c r="L45115" s="13"/>
      <c r="M45115" s="14"/>
      <c r="N45115" s="14"/>
      <c r="O45115" s="14"/>
      <c r="P45115" s="13"/>
    </row>
    <row r="45116">
      <c r="L45116" s="13"/>
      <c r="M45116" s="14"/>
      <c r="N45116" s="14"/>
      <c r="O45116" s="14"/>
      <c r="P45116" s="13"/>
    </row>
    <row r="45117">
      <c r="L45117" s="13"/>
      <c r="M45117" s="14"/>
      <c r="N45117" s="14"/>
      <c r="O45117" s="14"/>
      <c r="P45117" s="13"/>
    </row>
    <row r="45118">
      <c r="L45118" s="13"/>
      <c r="M45118" s="14"/>
      <c r="N45118" s="14"/>
      <c r="O45118" s="14"/>
      <c r="P45118" s="13"/>
    </row>
    <row r="45119">
      <c r="L45119" s="13"/>
      <c r="M45119" s="14"/>
      <c r="N45119" s="14"/>
      <c r="O45119" s="14"/>
      <c r="P45119" s="13"/>
    </row>
    <row r="45120">
      <c r="L45120" s="13"/>
      <c r="M45120" s="14"/>
      <c r="N45120" s="14"/>
      <c r="O45120" s="14"/>
      <c r="P45120" s="13"/>
    </row>
    <row r="45121">
      <c r="L45121" s="13"/>
      <c r="M45121" s="14"/>
      <c r="N45121" s="14"/>
      <c r="O45121" s="14"/>
      <c r="P45121" s="13"/>
    </row>
    <row r="45122">
      <c r="L45122" s="13"/>
      <c r="M45122" s="14"/>
      <c r="N45122" s="14"/>
      <c r="O45122" s="14"/>
      <c r="P45122" s="13"/>
    </row>
    <row r="45123">
      <c r="L45123" s="13"/>
      <c r="M45123" s="14"/>
      <c r="N45123" s="14"/>
      <c r="O45123" s="14"/>
      <c r="P45123" s="13"/>
    </row>
    <row r="45124">
      <c r="L45124" s="13"/>
      <c r="M45124" s="14"/>
      <c r="N45124" s="14"/>
      <c r="O45124" s="14"/>
      <c r="P45124" s="13"/>
    </row>
    <row r="45125">
      <c r="L45125" s="13"/>
      <c r="M45125" s="14"/>
      <c r="N45125" s="14"/>
      <c r="O45125" s="14"/>
      <c r="P45125" s="13"/>
    </row>
    <row r="45126">
      <c r="L45126" s="13"/>
      <c r="M45126" s="14"/>
      <c r="N45126" s="14"/>
      <c r="O45126" s="14"/>
      <c r="P45126" s="13"/>
    </row>
    <row r="45127">
      <c r="L45127" s="13"/>
      <c r="M45127" s="14"/>
      <c r="N45127" s="14"/>
      <c r="O45127" s="14"/>
      <c r="P45127" s="13"/>
    </row>
    <row r="45128">
      <c r="L45128" s="13"/>
      <c r="M45128" s="14"/>
      <c r="N45128" s="14"/>
      <c r="O45128" s="14"/>
      <c r="P45128" s="13"/>
    </row>
    <row r="45129">
      <c r="L45129" s="13"/>
      <c r="M45129" s="14"/>
      <c r="N45129" s="14"/>
      <c r="O45129" s="14"/>
      <c r="P45129" s="13"/>
    </row>
    <row r="45130">
      <c r="L45130" s="13"/>
      <c r="M45130" s="14"/>
      <c r="N45130" s="14"/>
      <c r="O45130" s="14"/>
      <c r="P45130" s="13"/>
    </row>
    <row r="45131">
      <c r="L45131" s="13"/>
      <c r="M45131" s="14"/>
      <c r="N45131" s="14"/>
      <c r="O45131" s="14"/>
      <c r="P45131" s="13"/>
    </row>
    <row r="45132">
      <c r="L45132" s="13"/>
      <c r="M45132" s="14"/>
      <c r="N45132" s="14"/>
      <c r="O45132" s="14"/>
      <c r="P45132" s="13"/>
    </row>
    <row r="45133">
      <c r="L45133" s="13"/>
      <c r="M45133" s="14"/>
      <c r="N45133" s="14"/>
      <c r="O45133" s="14"/>
      <c r="P45133" s="13"/>
    </row>
    <row r="45134">
      <c r="L45134" s="13"/>
      <c r="M45134" s="14"/>
      <c r="N45134" s="14"/>
      <c r="O45134" s="14"/>
      <c r="P45134" s="13"/>
    </row>
    <row r="45135">
      <c r="L45135" s="13"/>
      <c r="M45135" s="14"/>
      <c r="N45135" s="14"/>
      <c r="O45135" s="14"/>
      <c r="P45135" s="13"/>
    </row>
    <row r="45136">
      <c r="L45136" s="13"/>
      <c r="M45136" s="14"/>
      <c r="N45136" s="14"/>
      <c r="O45136" s="14"/>
      <c r="P45136" s="13"/>
    </row>
    <row r="45137">
      <c r="L45137" s="13"/>
      <c r="M45137" s="14"/>
      <c r="N45137" s="14"/>
      <c r="O45137" s="14"/>
      <c r="P45137" s="13"/>
    </row>
    <row r="45138">
      <c r="L45138" s="13"/>
      <c r="M45138" s="14"/>
      <c r="N45138" s="14"/>
      <c r="O45138" s="14"/>
      <c r="P45138" s="13"/>
    </row>
    <row r="45139">
      <c r="L45139" s="13"/>
      <c r="M45139" s="14"/>
      <c r="N45139" s="14"/>
      <c r="O45139" s="14"/>
      <c r="P45139" s="13"/>
    </row>
    <row r="45140">
      <c r="L45140" s="13"/>
      <c r="M45140" s="14"/>
      <c r="N45140" s="14"/>
      <c r="O45140" s="14"/>
      <c r="P45140" s="13"/>
    </row>
    <row r="45141">
      <c r="L45141" s="13"/>
      <c r="M45141" s="14"/>
      <c r="N45141" s="14"/>
      <c r="O45141" s="14"/>
      <c r="P45141" s="13"/>
    </row>
    <row r="45142">
      <c r="L45142" s="13"/>
      <c r="M45142" s="14"/>
      <c r="N45142" s="14"/>
      <c r="O45142" s="14"/>
      <c r="P45142" s="13"/>
    </row>
    <row r="45143">
      <c r="L45143" s="13"/>
      <c r="M45143" s="14"/>
      <c r="N45143" s="14"/>
      <c r="O45143" s="14"/>
      <c r="P45143" s="13"/>
    </row>
    <row r="45144">
      <c r="L45144" s="13"/>
      <c r="M45144" s="14"/>
      <c r="N45144" s="14"/>
      <c r="O45144" s="14"/>
      <c r="P45144" s="13"/>
    </row>
    <row r="45145">
      <c r="L45145" s="13"/>
      <c r="M45145" s="14"/>
      <c r="N45145" s="14"/>
      <c r="O45145" s="14"/>
      <c r="P45145" s="13"/>
    </row>
    <row r="45146">
      <c r="L45146" s="13"/>
      <c r="M45146" s="14"/>
      <c r="N45146" s="14"/>
      <c r="O45146" s="14"/>
      <c r="P45146" s="13"/>
    </row>
    <row r="45147">
      <c r="L45147" s="13"/>
      <c r="M45147" s="14"/>
      <c r="N45147" s="14"/>
      <c r="O45147" s="14"/>
      <c r="P45147" s="13"/>
    </row>
    <row r="45148">
      <c r="L45148" s="13"/>
      <c r="M45148" s="14"/>
      <c r="N45148" s="14"/>
      <c r="O45148" s="14"/>
      <c r="P45148" s="13"/>
    </row>
    <row r="45149">
      <c r="L45149" s="13"/>
      <c r="M45149" s="14"/>
      <c r="N45149" s="14"/>
      <c r="O45149" s="14"/>
      <c r="P45149" s="13"/>
    </row>
    <row r="45150">
      <c r="L45150" s="13"/>
      <c r="M45150" s="14"/>
      <c r="N45150" s="14"/>
      <c r="O45150" s="14"/>
      <c r="P45150" s="13"/>
    </row>
    <row r="45151">
      <c r="L45151" s="13"/>
      <c r="M45151" s="14"/>
      <c r="N45151" s="14"/>
      <c r="O45151" s="14"/>
      <c r="P45151" s="13"/>
    </row>
    <row r="45152">
      <c r="L45152" s="13"/>
      <c r="M45152" s="14"/>
      <c r="N45152" s="14"/>
      <c r="O45152" s="14"/>
      <c r="P45152" s="13"/>
    </row>
    <row r="45153">
      <c r="L45153" s="13"/>
      <c r="M45153" s="14"/>
      <c r="N45153" s="14"/>
      <c r="O45153" s="14"/>
      <c r="P45153" s="13"/>
    </row>
    <row r="45154">
      <c r="L45154" s="13"/>
      <c r="M45154" s="14"/>
      <c r="N45154" s="14"/>
      <c r="O45154" s="14"/>
      <c r="P45154" s="13"/>
    </row>
    <row r="45155">
      <c r="L45155" s="13"/>
      <c r="M45155" s="14"/>
      <c r="N45155" s="14"/>
      <c r="O45155" s="14"/>
      <c r="P45155" s="13"/>
    </row>
    <row r="45156">
      <c r="L45156" s="13"/>
      <c r="M45156" s="14"/>
      <c r="N45156" s="14"/>
      <c r="O45156" s="14"/>
      <c r="P45156" s="13"/>
    </row>
    <row r="45157">
      <c r="L45157" s="13"/>
      <c r="M45157" s="14"/>
      <c r="N45157" s="14"/>
      <c r="O45157" s="14"/>
      <c r="P45157" s="13"/>
    </row>
    <row r="45158">
      <c r="L45158" s="13"/>
      <c r="M45158" s="14"/>
      <c r="N45158" s="14"/>
      <c r="O45158" s="14"/>
      <c r="P45158" s="13"/>
    </row>
    <row r="45159">
      <c r="L45159" s="13"/>
      <c r="M45159" s="14"/>
      <c r="N45159" s="14"/>
      <c r="O45159" s="14"/>
      <c r="P45159" s="13"/>
    </row>
    <row r="45160">
      <c r="L45160" s="13"/>
      <c r="M45160" s="14"/>
      <c r="N45160" s="14"/>
      <c r="O45160" s="14"/>
      <c r="P45160" s="13"/>
    </row>
    <row r="45161">
      <c r="L45161" s="13"/>
      <c r="M45161" s="14"/>
      <c r="N45161" s="14"/>
      <c r="O45161" s="14"/>
      <c r="P45161" s="13"/>
    </row>
    <row r="45162">
      <c r="L45162" s="13"/>
      <c r="M45162" s="14"/>
      <c r="N45162" s="14"/>
      <c r="O45162" s="14"/>
      <c r="P45162" s="13"/>
    </row>
    <row r="45163">
      <c r="L45163" s="13"/>
      <c r="M45163" s="14"/>
      <c r="N45163" s="14"/>
      <c r="O45163" s="14"/>
      <c r="P45163" s="13"/>
    </row>
    <row r="45164">
      <c r="L45164" s="13"/>
      <c r="M45164" s="14"/>
      <c r="N45164" s="14"/>
      <c r="O45164" s="14"/>
      <c r="P45164" s="13"/>
    </row>
    <row r="45165">
      <c r="L45165" s="13"/>
      <c r="M45165" s="14"/>
      <c r="N45165" s="14"/>
      <c r="O45165" s="14"/>
      <c r="P45165" s="13"/>
    </row>
    <row r="45166">
      <c r="L45166" s="13"/>
      <c r="M45166" s="14"/>
      <c r="N45166" s="14"/>
      <c r="O45166" s="14"/>
      <c r="P45166" s="13"/>
    </row>
    <row r="45167">
      <c r="L45167" s="13"/>
      <c r="M45167" s="14"/>
      <c r="N45167" s="14"/>
      <c r="O45167" s="14"/>
      <c r="P45167" s="13"/>
    </row>
    <row r="45168">
      <c r="L45168" s="13"/>
      <c r="M45168" s="14"/>
      <c r="N45168" s="14"/>
      <c r="O45168" s="14"/>
      <c r="P45168" s="13"/>
    </row>
    <row r="45169">
      <c r="L45169" s="13"/>
      <c r="M45169" s="14"/>
      <c r="N45169" s="14"/>
      <c r="O45169" s="14"/>
      <c r="P45169" s="13"/>
    </row>
    <row r="45170">
      <c r="L45170" s="13"/>
      <c r="M45170" s="14"/>
      <c r="N45170" s="14"/>
      <c r="O45170" s="14"/>
      <c r="P45170" s="13"/>
    </row>
    <row r="45171">
      <c r="L45171" s="13"/>
      <c r="M45171" s="14"/>
      <c r="N45171" s="14"/>
      <c r="O45171" s="14"/>
      <c r="P45171" s="13"/>
    </row>
    <row r="45172">
      <c r="L45172" s="13"/>
      <c r="M45172" s="14"/>
      <c r="N45172" s="14"/>
      <c r="O45172" s="14"/>
      <c r="P45172" s="13"/>
    </row>
    <row r="45173">
      <c r="L45173" s="13"/>
      <c r="M45173" s="14"/>
      <c r="N45173" s="14"/>
      <c r="O45173" s="14"/>
      <c r="P45173" s="13"/>
    </row>
    <row r="45174">
      <c r="L45174" s="13"/>
      <c r="M45174" s="14"/>
      <c r="N45174" s="14"/>
      <c r="O45174" s="14"/>
      <c r="P45174" s="13"/>
    </row>
    <row r="45175">
      <c r="L45175" s="13"/>
      <c r="M45175" s="14"/>
      <c r="N45175" s="14"/>
      <c r="O45175" s="14"/>
      <c r="P45175" s="13"/>
    </row>
    <row r="45176">
      <c r="L45176" s="13"/>
      <c r="M45176" s="14"/>
      <c r="N45176" s="14"/>
      <c r="O45176" s="14"/>
      <c r="P45176" s="13"/>
    </row>
    <row r="45177">
      <c r="L45177" s="13"/>
      <c r="M45177" s="14"/>
      <c r="N45177" s="14"/>
      <c r="O45177" s="14"/>
      <c r="P45177" s="13"/>
    </row>
    <row r="45178">
      <c r="L45178" s="13"/>
      <c r="M45178" s="14"/>
      <c r="N45178" s="14"/>
      <c r="O45178" s="14"/>
      <c r="P45178" s="13"/>
    </row>
    <row r="45179">
      <c r="L45179" s="13"/>
      <c r="M45179" s="14"/>
      <c r="N45179" s="14"/>
      <c r="O45179" s="14"/>
      <c r="P45179" s="13"/>
    </row>
    <row r="45180">
      <c r="L45180" s="13"/>
      <c r="M45180" s="14"/>
      <c r="N45180" s="14"/>
      <c r="O45180" s="14"/>
      <c r="P45180" s="13"/>
    </row>
    <row r="45181">
      <c r="L45181" s="13"/>
      <c r="M45181" s="14"/>
      <c r="N45181" s="14"/>
      <c r="O45181" s="14"/>
      <c r="P45181" s="13"/>
    </row>
    <row r="45182">
      <c r="L45182" s="13"/>
      <c r="M45182" s="14"/>
      <c r="N45182" s="14"/>
      <c r="O45182" s="14"/>
      <c r="P45182" s="13"/>
    </row>
    <row r="45183">
      <c r="L45183" s="13"/>
      <c r="M45183" s="14"/>
      <c r="N45183" s="14"/>
      <c r="O45183" s="14"/>
      <c r="P45183" s="13"/>
    </row>
    <row r="45184">
      <c r="L45184" s="13"/>
      <c r="M45184" s="14"/>
      <c r="N45184" s="14"/>
      <c r="O45184" s="14"/>
      <c r="P45184" s="13"/>
    </row>
    <row r="45185">
      <c r="L45185" s="13"/>
      <c r="M45185" s="14"/>
      <c r="N45185" s="14"/>
      <c r="O45185" s="14"/>
      <c r="P45185" s="13"/>
    </row>
    <row r="45186">
      <c r="L45186" s="13"/>
      <c r="M45186" s="14"/>
      <c r="N45186" s="14"/>
      <c r="O45186" s="14"/>
      <c r="P45186" s="13"/>
    </row>
    <row r="45187">
      <c r="L45187" s="13"/>
      <c r="M45187" s="14"/>
      <c r="N45187" s="14"/>
      <c r="O45187" s="14"/>
      <c r="P45187" s="13"/>
    </row>
    <row r="45188">
      <c r="L45188" s="13"/>
      <c r="M45188" s="14"/>
      <c r="N45188" s="14"/>
      <c r="O45188" s="14"/>
      <c r="P45188" s="13"/>
    </row>
    <row r="45189">
      <c r="L45189" s="13"/>
      <c r="M45189" s="14"/>
      <c r="N45189" s="14"/>
      <c r="O45189" s="14"/>
      <c r="P45189" s="13"/>
    </row>
    <row r="45190">
      <c r="L45190" s="13"/>
      <c r="M45190" s="14"/>
      <c r="N45190" s="14"/>
      <c r="O45190" s="14"/>
      <c r="P45190" s="13"/>
    </row>
    <row r="45191">
      <c r="L45191" s="13"/>
      <c r="M45191" s="14"/>
      <c r="N45191" s="14"/>
      <c r="O45191" s="14"/>
      <c r="P45191" s="13"/>
    </row>
    <row r="45192">
      <c r="L45192" s="13"/>
      <c r="M45192" s="14"/>
      <c r="N45192" s="14"/>
      <c r="O45192" s="14"/>
      <c r="P45192" s="13"/>
    </row>
    <row r="45193">
      <c r="L45193" s="13"/>
      <c r="M45193" s="14"/>
      <c r="N45193" s="14"/>
      <c r="O45193" s="14"/>
      <c r="P45193" s="13"/>
    </row>
    <row r="45194">
      <c r="L45194" s="13"/>
      <c r="M45194" s="14"/>
      <c r="N45194" s="14"/>
      <c r="O45194" s="14"/>
      <c r="P45194" s="13"/>
    </row>
    <row r="45195">
      <c r="L45195" s="13"/>
      <c r="M45195" s="14"/>
      <c r="N45195" s="14"/>
      <c r="O45195" s="14"/>
      <c r="P45195" s="13"/>
    </row>
    <row r="45196">
      <c r="L45196" s="13"/>
      <c r="M45196" s="14"/>
      <c r="N45196" s="14"/>
      <c r="O45196" s="14"/>
      <c r="P45196" s="13"/>
    </row>
    <row r="45197">
      <c r="L45197" s="13"/>
      <c r="M45197" s="14"/>
      <c r="N45197" s="14"/>
      <c r="O45197" s="14"/>
      <c r="P45197" s="13"/>
    </row>
    <row r="45198">
      <c r="L45198" s="13"/>
      <c r="M45198" s="14"/>
      <c r="N45198" s="14"/>
      <c r="O45198" s="14"/>
      <c r="P45198" s="13"/>
    </row>
    <row r="45199">
      <c r="L45199" s="13"/>
      <c r="M45199" s="14"/>
      <c r="N45199" s="14"/>
      <c r="O45199" s="14"/>
      <c r="P45199" s="13"/>
    </row>
    <row r="45200">
      <c r="L45200" s="13"/>
      <c r="M45200" s="14"/>
      <c r="N45200" s="14"/>
      <c r="O45200" s="14"/>
      <c r="P45200" s="13"/>
    </row>
    <row r="45201">
      <c r="L45201" s="13"/>
      <c r="M45201" s="14"/>
      <c r="N45201" s="14"/>
      <c r="O45201" s="14"/>
      <c r="P45201" s="13"/>
    </row>
    <row r="45202">
      <c r="L45202" s="13"/>
      <c r="M45202" s="14"/>
      <c r="N45202" s="14"/>
      <c r="O45202" s="14"/>
      <c r="P45202" s="13"/>
    </row>
    <row r="45203">
      <c r="L45203" s="13"/>
      <c r="M45203" s="14"/>
      <c r="N45203" s="14"/>
      <c r="O45203" s="14"/>
      <c r="P45203" s="13"/>
    </row>
    <row r="45204">
      <c r="L45204" s="13"/>
      <c r="M45204" s="14"/>
      <c r="N45204" s="14"/>
      <c r="O45204" s="14"/>
      <c r="P45204" s="13"/>
    </row>
    <row r="45205">
      <c r="L45205" s="13"/>
      <c r="M45205" s="14"/>
      <c r="N45205" s="14"/>
      <c r="O45205" s="14"/>
      <c r="P45205" s="13"/>
    </row>
    <row r="45206">
      <c r="L45206" s="13"/>
      <c r="M45206" s="14"/>
      <c r="N45206" s="14"/>
      <c r="O45206" s="14"/>
      <c r="P45206" s="13"/>
    </row>
    <row r="45207">
      <c r="L45207" s="13"/>
      <c r="M45207" s="14"/>
      <c r="N45207" s="14"/>
      <c r="O45207" s="14"/>
      <c r="P45207" s="13"/>
    </row>
    <row r="45208">
      <c r="L45208" s="13"/>
      <c r="M45208" s="14"/>
      <c r="N45208" s="14"/>
      <c r="O45208" s="14"/>
      <c r="P45208" s="13"/>
    </row>
    <row r="45209">
      <c r="L45209" s="13"/>
      <c r="M45209" s="14"/>
      <c r="N45209" s="14"/>
      <c r="O45209" s="14"/>
      <c r="P45209" s="13"/>
    </row>
    <row r="45210">
      <c r="L45210" s="13"/>
      <c r="M45210" s="14"/>
      <c r="N45210" s="14"/>
      <c r="O45210" s="14"/>
      <c r="P45210" s="13"/>
    </row>
    <row r="45211">
      <c r="L45211" s="13"/>
      <c r="M45211" s="14"/>
      <c r="N45211" s="14"/>
      <c r="O45211" s="14"/>
      <c r="P45211" s="13"/>
    </row>
    <row r="45212">
      <c r="L45212" s="13"/>
      <c r="M45212" s="14"/>
      <c r="N45212" s="14"/>
      <c r="O45212" s="14"/>
      <c r="P45212" s="13"/>
    </row>
    <row r="45213">
      <c r="L45213" s="13"/>
      <c r="M45213" s="14"/>
      <c r="N45213" s="14"/>
      <c r="O45213" s="14"/>
      <c r="P45213" s="13"/>
    </row>
    <row r="45214">
      <c r="L45214" s="13"/>
      <c r="M45214" s="14"/>
      <c r="N45214" s="14"/>
      <c r="O45214" s="14"/>
      <c r="P45214" s="13"/>
    </row>
    <row r="45215">
      <c r="L45215" s="13"/>
      <c r="M45215" s="14"/>
      <c r="N45215" s="14"/>
      <c r="O45215" s="14"/>
      <c r="P45215" s="13"/>
    </row>
    <row r="45216">
      <c r="L45216" s="13"/>
      <c r="M45216" s="14"/>
      <c r="N45216" s="14"/>
      <c r="O45216" s="14"/>
      <c r="P45216" s="13"/>
    </row>
    <row r="45217">
      <c r="L45217" s="13"/>
      <c r="M45217" s="14"/>
      <c r="N45217" s="14"/>
      <c r="O45217" s="14"/>
      <c r="P45217" s="13"/>
    </row>
    <row r="45218">
      <c r="L45218" s="13"/>
      <c r="M45218" s="14"/>
      <c r="N45218" s="14"/>
      <c r="O45218" s="14"/>
      <c r="P45218" s="13"/>
    </row>
    <row r="45219">
      <c r="L45219" s="13"/>
      <c r="M45219" s="14"/>
      <c r="N45219" s="14"/>
      <c r="O45219" s="14"/>
      <c r="P45219" s="13"/>
    </row>
    <row r="45220">
      <c r="L45220" s="13"/>
      <c r="M45220" s="14"/>
      <c r="N45220" s="14"/>
      <c r="O45220" s="14"/>
      <c r="P45220" s="13"/>
    </row>
    <row r="45221">
      <c r="L45221" s="13"/>
      <c r="M45221" s="14"/>
      <c r="N45221" s="14"/>
      <c r="O45221" s="14"/>
      <c r="P45221" s="13"/>
    </row>
    <row r="45222">
      <c r="L45222" s="13"/>
      <c r="M45222" s="14"/>
      <c r="N45222" s="14"/>
      <c r="O45222" s="14"/>
      <c r="P45222" s="13"/>
    </row>
    <row r="45223">
      <c r="L45223" s="13"/>
      <c r="M45223" s="14"/>
      <c r="N45223" s="14"/>
      <c r="O45223" s="14"/>
      <c r="P45223" s="13"/>
    </row>
    <row r="45224">
      <c r="L45224" s="13"/>
      <c r="M45224" s="14"/>
      <c r="N45224" s="14"/>
      <c r="O45224" s="14"/>
      <c r="P45224" s="13"/>
    </row>
    <row r="45225">
      <c r="L45225" s="13"/>
      <c r="M45225" s="14"/>
      <c r="N45225" s="14"/>
      <c r="O45225" s="14"/>
      <c r="P45225" s="13"/>
    </row>
    <row r="45226">
      <c r="L45226" s="13"/>
      <c r="M45226" s="14"/>
      <c r="N45226" s="14"/>
      <c r="O45226" s="14"/>
      <c r="P45226" s="13"/>
    </row>
    <row r="45227">
      <c r="L45227" s="13"/>
      <c r="M45227" s="14"/>
      <c r="N45227" s="14"/>
      <c r="O45227" s="14"/>
      <c r="P45227" s="13"/>
    </row>
    <row r="45228">
      <c r="L45228" s="13"/>
      <c r="M45228" s="14"/>
      <c r="N45228" s="14"/>
      <c r="O45228" s="14"/>
      <c r="P45228" s="13"/>
    </row>
    <row r="45229">
      <c r="L45229" s="13"/>
      <c r="M45229" s="14"/>
      <c r="N45229" s="14"/>
      <c r="O45229" s="14"/>
      <c r="P45229" s="13"/>
    </row>
    <row r="45230">
      <c r="L45230" s="13"/>
      <c r="M45230" s="14"/>
      <c r="N45230" s="14"/>
      <c r="O45230" s="14"/>
      <c r="P45230" s="13"/>
    </row>
    <row r="45231">
      <c r="L45231" s="13"/>
      <c r="M45231" s="14"/>
      <c r="N45231" s="14"/>
      <c r="O45231" s="14"/>
      <c r="P45231" s="13"/>
    </row>
    <row r="45232">
      <c r="L45232" s="13"/>
      <c r="M45232" s="14"/>
      <c r="N45232" s="14"/>
      <c r="O45232" s="14"/>
      <c r="P45232" s="13"/>
    </row>
    <row r="45233">
      <c r="L45233" s="13"/>
      <c r="M45233" s="14"/>
      <c r="N45233" s="14"/>
      <c r="O45233" s="14"/>
      <c r="P45233" s="13"/>
    </row>
    <row r="45234">
      <c r="L45234" s="13"/>
      <c r="M45234" s="14"/>
      <c r="N45234" s="14"/>
      <c r="O45234" s="14"/>
      <c r="P45234" s="13"/>
    </row>
    <row r="45235">
      <c r="L45235" s="13"/>
      <c r="M45235" s="14"/>
      <c r="N45235" s="14"/>
      <c r="O45235" s="14"/>
      <c r="P45235" s="13"/>
    </row>
    <row r="45236">
      <c r="L45236" s="13"/>
      <c r="M45236" s="14"/>
      <c r="N45236" s="14"/>
      <c r="O45236" s="14"/>
      <c r="P45236" s="13"/>
    </row>
    <row r="45237">
      <c r="L45237" s="13"/>
      <c r="M45237" s="14"/>
      <c r="N45237" s="14"/>
      <c r="O45237" s="14"/>
      <c r="P45237" s="13"/>
    </row>
    <row r="45238">
      <c r="L45238" s="13"/>
      <c r="M45238" s="14"/>
      <c r="N45238" s="14"/>
      <c r="O45238" s="14"/>
      <c r="P45238" s="13"/>
    </row>
    <row r="45239">
      <c r="L45239" s="13"/>
      <c r="M45239" s="14"/>
      <c r="N45239" s="14"/>
      <c r="O45239" s="14"/>
      <c r="P45239" s="13"/>
    </row>
    <row r="45240">
      <c r="L45240" s="13"/>
      <c r="M45240" s="14"/>
      <c r="N45240" s="14"/>
      <c r="O45240" s="14"/>
      <c r="P45240" s="13"/>
    </row>
    <row r="45241">
      <c r="L45241" s="13"/>
      <c r="M45241" s="14"/>
      <c r="N45241" s="14"/>
      <c r="O45241" s="14"/>
      <c r="P45241" s="13"/>
    </row>
    <row r="45242">
      <c r="L45242" s="13"/>
      <c r="M45242" s="14"/>
      <c r="N45242" s="14"/>
      <c r="O45242" s="14"/>
      <c r="P45242" s="13"/>
    </row>
    <row r="45243">
      <c r="L45243" s="13"/>
      <c r="M45243" s="14"/>
      <c r="N45243" s="14"/>
      <c r="O45243" s="14"/>
      <c r="P45243" s="13"/>
    </row>
    <row r="45244">
      <c r="L45244" s="13"/>
      <c r="M45244" s="14"/>
      <c r="N45244" s="14"/>
      <c r="O45244" s="14"/>
      <c r="P45244" s="13"/>
    </row>
    <row r="45245">
      <c r="L45245" s="13"/>
      <c r="M45245" s="14"/>
      <c r="N45245" s="14"/>
      <c r="O45245" s="14"/>
      <c r="P45245" s="13"/>
    </row>
    <row r="45246">
      <c r="L45246" s="13"/>
      <c r="M45246" s="14"/>
      <c r="N45246" s="14"/>
      <c r="O45246" s="14"/>
      <c r="P45246" s="13"/>
    </row>
    <row r="45247">
      <c r="L45247" s="13"/>
      <c r="M45247" s="14"/>
      <c r="N45247" s="14"/>
      <c r="O45247" s="14"/>
      <c r="P45247" s="13"/>
    </row>
    <row r="45248">
      <c r="L45248" s="13"/>
      <c r="M45248" s="14"/>
      <c r="N45248" s="14"/>
      <c r="O45248" s="14"/>
      <c r="P45248" s="13"/>
    </row>
    <row r="45249">
      <c r="L45249" s="13"/>
      <c r="M45249" s="14"/>
      <c r="N45249" s="14"/>
      <c r="O45249" s="14"/>
      <c r="P45249" s="13"/>
    </row>
    <row r="45250">
      <c r="L45250" s="13"/>
      <c r="M45250" s="14"/>
      <c r="N45250" s="14"/>
      <c r="O45250" s="14"/>
      <c r="P45250" s="13"/>
    </row>
    <row r="45251">
      <c r="L45251" s="13"/>
      <c r="M45251" s="14"/>
      <c r="N45251" s="14"/>
      <c r="O45251" s="14"/>
      <c r="P45251" s="13"/>
    </row>
    <row r="45252">
      <c r="L45252" s="13"/>
      <c r="M45252" s="14"/>
      <c r="N45252" s="14"/>
      <c r="O45252" s="14"/>
      <c r="P45252" s="13"/>
    </row>
    <row r="45253">
      <c r="L45253" s="13"/>
      <c r="M45253" s="14"/>
      <c r="N45253" s="14"/>
      <c r="O45253" s="14"/>
      <c r="P45253" s="13"/>
    </row>
    <row r="45254">
      <c r="L45254" s="13"/>
      <c r="M45254" s="14"/>
      <c r="N45254" s="14"/>
      <c r="O45254" s="14"/>
      <c r="P45254" s="13"/>
    </row>
    <row r="45255">
      <c r="L45255" s="13"/>
      <c r="M45255" s="14"/>
      <c r="N45255" s="14"/>
      <c r="O45255" s="14"/>
      <c r="P45255" s="13"/>
    </row>
    <row r="45256">
      <c r="L45256" s="13"/>
      <c r="M45256" s="14"/>
      <c r="N45256" s="14"/>
      <c r="O45256" s="14"/>
      <c r="P45256" s="13"/>
    </row>
    <row r="45257">
      <c r="L45257" s="13"/>
      <c r="M45257" s="14"/>
      <c r="N45257" s="14"/>
      <c r="O45257" s="14"/>
      <c r="P45257" s="13"/>
    </row>
    <row r="45258">
      <c r="L45258" s="13"/>
      <c r="M45258" s="14"/>
      <c r="N45258" s="14"/>
      <c r="O45258" s="14"/>
      <c r="P45258" s="13"/>
    </row>
    <row r="45259">
      <c r="L45259" s="13"/>
      <c r="M45259" s="14"/>
      <c r="N45259" s="14"/>
      <c r="O45259" s="14"/>
      <c r="P45259" s="13"/>
    </row>
    <row r="45260">
      <c r="L45260" s="13"/>
      <c r="M45260" s="14"/>
      <c r="N45260" s="14"/>
      <c r="O45260" s="14"/>
      <c r="P45260" s="13"/>
    </row>
    <row r="45261">
      <c r="L45261" s="13"/>
      <c r="M45261" s="14"/>
      <c r="N45261" s="14"/>
      <c r="O45261" s="14"/>
      <c r="P45261" s="13"/>
    </row>
    <row r="45262">
      <c r="L45262" s="13"/>
      <c r="M45262" s="14"/>
      <c r="N45262" s="14"/>
      <c r="O45262" s="14"/>
      <c r="P45262" s="13"/>
    </row>
    <row r="45263">
      <c r="L45263" s="13"/>
      <c r="M45263" s="14"/>
      <c r="N45263" s="14"/>
      <c r="O45263" s="14"/>
      <c r="P45263" s="13"/>
    </row>
    <row r="45264">
      <c r="L45264" s="13"/>
      <c r="M45264" s="14"/>
      <c r="N45264" s="14"/>
      <c r="O45264" s="14"/>
      <c r="P45264" s="13"/>
    </row>
    <row r="45265">
      <c r="L45265" s="13"/>
      <c r="M45265" s="14"/>
      <c r="N45265" s="14"/>
      <c r="O45265" s="14"/>
      <c r="P45265" s="13"/>
    </row>
    <row r="45266">
      <c r="L45266" s="13"/>
      <c r="M45266" s="14"/>
      <c r="N45266" s="14"/>
      <c r="O45266" s="14"/>
      <c r="P45266" s="13"/>
    </row>
    <row r="45267">
      <c r="L45267" s="13"/>
      <c r="M45267" s="14"/>
      <c r="N45267" s="14"/>
      <c r="O45267" s="14"/>
      <c r="P45267" s="13"/>
    </row>
    <row r="45268">
      <c r="L45268" s="13"/>
      <c r="M45268" s="14"/>
      <c r="N45268" s="14"/>
      <c r="O45268" s="14"/>
      <c r="P45268" s="13"/>
    </row>
    <row r="45269">
      <c r="L45269" s="13"/>
      <c r="M45269" s="14"/>
      <c r="N45269" s="14"/>
      <c r="O45269" s="14"/>
      <c r="P45269" s="13"/>
    </row>
    <row r="45270">
      <c r="L45270" s="13"/>
      <c r="M45270" s="14"/>
      <c r="N45270" s="14"/>
      <c r="O45270" s="14"/>
      <c r="P45270" s="13"/>
    </row>
    <row r="45271">
      <c r="L45271" s="13"/>
      <c r="M45271" s="14"/>
      <c r="N45271" s="14"/>
      <c r="O45271" s="14"/>
      <c r="P45271" s="13"/>
    </row>
    <row r="45272">
      <c r="L45272" s="13"/>
      <c r="M45272" s="14"/>
      <c r="N45272" s="14"/>
      <c r="O45272" s="14"/>
      <c r="P45272" s="13"/>
    </row>
    <row r="45273">
      <c r="L45273" s="13"/>
      <c r="M45273" s="14"/>
      <c r="N45273" s="14"/>
      <c r="O45273" s="14"/>
      <c r="P45273" s="13"/>
    </row>
    <row r="45274">
      <c r="L45274" s="13"/>
      <c r="M45274" s="14"/>
      <c r="N45274" s="14"/>
      <c r="O45274" s="14"/>
      <c r="P45274" s="13"/>
    </row>
    <row r="45275">
      <c r="L45275" s="13"/>
      <c r="M45275" s="14"/>
      <c r="N45275" s="14"/>
      <c r="O45275" s="14"/>
      <c r="P45275" s="13"/>
    </row>
    <row r="45276">
      <c r="L45276" s="13"/>
      <c r="M45276" s="14"/>
      <c r="N45276" s="14"/>
      <c r="O45276" s="14"/>
      <c r="P45276" s="13"/>
    </row>
    <row r="45277">
      <c r="L45277" s="13"/>
      <c r="M45277" s="14"/>
      <c r="N45277" s="14"/>
      <c r="O45277" s="14"/>
      <c r="P45277" s="13"/>
    </row>
    <row r="45278">
      <c r="L45278" s="13"/>
      <c r="M45278" s="14"/>
      <c r="N45278" s="14"/>
      <c r="O45278" s="14"/>
      <c r="P45278" s="13"/>
    </row>
    <row r="45279">
      <c r="L45279" s="13"/>
      <c r="M45279" s="14"/>
      <c r="N45279" s="14"/>
      <c r="O45279" s="14"/>
      <c r="P45279" s="13"/>
    </row>
    <row r="45280">
      <c r="L45280" s="13"/>
      <c r="M45280" s="14"/>
      <c r="N45280" s="14"/>
      <c r="O45280" s="14"/>
      <c r="P45280" s="13"/>
    </row>
    <row r="45281">
      <c r="L45281" s="13"/>
      <c r="M45281" s="14"/>
      <c r="N45281" s="14"/>
      <c r="O45281" s="14"/>
      <c r="P45281" s="13"/>
    </row>
    <row r="45282">
      <c r="L45282" s="13"/>
      <c r="M45282" s="14"/>
      <c r="N45282" s="14"/>
      <c r="O45282" s="14"/>
      <c r="P45282" s="13"/>
    </row>
    <row r="45283">
      <c r="L45283" s="13"/>
      <c r="M45283" s="14"/>
      <c r="N45283" s="14"/>
      <c r="O45283" s="14"/>
      <c r="P45283" s="13"/>
    </row>
    <row r="45284">
      <c r="L45284" s="13"/>
      <c r="M45284" s="14"/>
      <c r="N45284" s="14"/>
      <c r="O45284" s="14"/>
      <c r="P45284" s="13"/>
    </row>
    <row r="45285">
      <c r="L45285" s="13"/>
      <c r="M45285" s="14"/>
      <c r="N45285" s="14"/>
      <c r="O45285" s="14"/>
      <c r="P45285" s="13"/>
    </row>
    <row r="45286">
      <c r="L45286" s="13"/>
      <c r="M45286" s="14"/>
      <c r="N45286" s="14"/>
      <c r="O45286" s="14"/>
      <c r="P45286" s="13"/>
    </row>
    <row r="45287">
      <c r="L45287" s="13"/>
      <c r="M45287" s="14"/>
      <c r="N45287" s="14"/>
      <c r="O45287" s="14"/>
      <c r="P45287" s="13"/>
    </row>
    <row r="45288">
      <c r="L45288" s="13"/>
      <c r="M45288" s="14"/>
      <c r="N45288" s="14"/>
      <c r="O45288" s="14"/>
      <c r="P45288" s="13"/>
    </row>
    <row r="45289">
      <c r="L45289" s="13"/>
      <c r="M45289" s="14"/>
      <c r="N45289" s="14"/>
      <c r="O45289" s="14"/>
      <c r="P45289" s="13"/>
    </row>
    <row r="45290">
      <c r="L45290" s="13"/>
      <c r="M45290" s="14"/>
      <c r="N45290" s="14"/>
      <c r="O45290" s="14"/>
      <c r="P45290" s="13"/>
    </row>
    <row r="45291">
      <c r="L45291" s="13"/>
      <c r="M45291" s="14"/>
      <c r="N45291" s="14"/>
      <c r="O45291" s="14"/>
      <c r="P45291" s="13"/>
    </row>
    <row r="45292">
      <c r="L45292" s="13"/>
      <c r="M45292" s="14"/>
      <c r="N45292" s="14"/>
      <c r="O45292" s="14"/>
      <c r="P45292" s="13"/>
    </row>
    <row r="45293">
      <c r="L45293" s="13"/>
      <c r="M45293" s="14"/>
      <c r="N45293" s="14"/>
      <c r="O45293" s="14"/>
      <c r="P45293" s="13"/>
    </row>
    <row r="45294">
      <c r="L45294" s="13"/>
      <c r="M45294" s="14"/>
      <c r="N45294" s="14"/>
      <c r="O45294" s="14"/>
      <c r="P45294" s="13"/>
    </row>
    <row r="45295">
      <c r="L45295" s="13"/>
      <c r="M45295" s="14"/>
      <c r="N45295" s="14"/>
      <c r="O45295" s="14"/>
      <c r="P45295" s="13"/>
    </row>
    <row r="45296">
      <c r="L45296" s="13"/>
      <c r="M45296" s="14"/>
      <c r="N45296" s="14"/>
      <c r="O45296" s="14"/>
      <c r="P45296" s="13"/>
    </row>
    <row r="45297">
      <c r="L45297" s="13"/>
      <c r="M45297" s="14"/>
      <c r="N45297" s="14"/>
      <c r="O45297" s="14"/>
      <c r="P45297" s="13"/>
    </row>
    <row r="45298">
      <c r="L45298" s="13"/>
      <c r="M45298" s="14"/>
      <c r="N45298" s="14"/>
      <c r="O45298" s="14"/>
      <c r="P45298" s="13"/>
    </row>
    <row r="45299">
      <c r="L45299" s="13"/>
      <c r="M45299" s="14"/>
      <c r="N45299" s="14"/>
      <c r="O45299" s="14"/>
      <c r="P45299" s="13"/>
    </row>
    <row r="45300">
      <c r="L45300" s="13"/>
      <c r="M45300" s="14"/>
      <c r="N45300" s="14"/>
      <c r="O45300" s="14"/>
      <c r="P45300" s="13"/>
    </row>
    <row r="45301">
      <c r="L45301" s="13"/>
      <c r="M45301" s="14"/>
      <c r="N45301" s="14"/>
      <c r="O45301" s="14"/>
      <c r="P45301" s="13"/>
    </row>
    <row r="45302">
      <c r="L45302" s="13"/>
      <c r="M45302" s="14"/>
      <c r="N45302" s="14"/>
      <c r="O45302" s="14"/>
      <c r="P45302" s="13"/>
    </row>
    <row r="45303">
      <c r="L45303" s="13"/>
      <c r="M45303" s="14"/>
      <c r="N45303" s="14"/>
      <c r="O45303" s="14"/>
      <c r="P45303" s="13"/>
    </row>
    <row r="45304">
      <c r="L45304" s="13"/>
      <c r="M45304" s="14"/>
      <c r="N45304" s="14"/>
      <c r="O45304" s="14"/>
      <c r="P45304" s="13"/>
    </row>
    <row r="45305">
      <c r="L45305" s="13"/>
      <c r="M45305" s="14"/>
      <c r="N45305" s="14"/>
      <c r="O45305" s="14"/>
      <c r="P45305" s="13"/>
    </row>
    <row r="45306">
      <c r="L45306" s="13"/>
      <c r="M45306" s="14"/>
      <c r="N45306" s="14"/>
      <c r="O45306" s="14"/>
      <c r="P45306" s="13"/>
    </row>
    <row r="45307">
      <c r="L45307" s="13"/>
      <c r="M45307" s="14"/>
      <c r="N45307" s="14"/>
      <c r="O45307" s="14"/>
      <c r="P45307" s="13"/>
    </row>
    <row r="45308">
      <c r="L45308" s="13"/>
      <c r="M45308" s="14"/>
      <c r="N45308" s="14"/>
      <c r="O45308" s="14"/>
      <c r="P45308" s="13"/>
    </row>
    <row r="45309">
      <c r="L45309" s="13"/>
      <c r="M45309" s="14"/>
      <c r="N45309" s="14"/>
      <c r="O45309" s="14"/>
      <c r="P45309" s="13"/>
    </row>
    <row r="45310">
      <c r="L45310" s="13"/>
      <c r="M45310" s="14"/>
      <c r="N45310" s="14"/>
      <c r="O45310" s="14"/>
      <c r="P45310" s="13"/>
    </row>
    <row r="45311">
      <c r="L45311" s="13"/>
      <c r="M45311" s="14"/>
      <c r="N45311" s="14"/>
      <c r="O45311" s="14"/>
      <c r="P45311" s="13"/>
    </row>
    <row r="45312">
      <c r="L45312" s="13"/>
      <c r="M45312" s="14"/>
      <c r="N45312" s="14"/>
      <c r="O45312" s="14"/>
      <c r="P45312" s="13"/>
    </row>
    <row r="45313">
      <c r="L45313" s="13"/>
      <c r="M45313" s="14"/>
      <c r="N45313" s="14"/>
      <c r="O45313" s="14"/>
      <c r="P45313" s="13"/>
    </row>
    <row r="45314">
      <c r="L45314" s="13"/>
      <c r="M45314" s="14"/>
      <c r="N45314" s="14"/>
      <c r="O45314" s="14"/>
      <c r="P45314" s="13"/>
    </row>
    <row r="45315">
      <c r="L45315" s="13"/>
      <c r="M45315" s="14"/>
      <c r="N45315" s="14"/>
      <c r="O45315" s="14"/>
      <c r="P45315" s="13"/>
    </row>
    <row r="45316">
      <c r="L45316" s="13"/>
      <c r="M45316" s="14"/>
      <c r="N45316" s="14"/>
      <c r="O45316" s="14"/>
      <c r="P45316" s="13"/>
    </row>
    <row r="45317">
      <c r="L45317" s="13"/>
      <c r="M45317" s="14"/>
      <c r="N45317" s="14"/>
      <c r="O45317" s="14"/>
      <c r="P45317" s="13"/>
    </row>
    <row r="45318">
      <c r="L45318" s="13"/>
      <c r="M45318" s="14"/>
      <c r="N45318" s="14"/>
      <c r="O45318" s="14"/>
      <c r="P45318" s="13"/>
    </row>
    <row r="45319">
      <c r="L45319" s="13"/>
      <c r="M45319" s="14"/>
      <c r="N45319" s="14"/>
      <c r="O45319" s="14"/>
      <c r="P45319" s="13"/>
    </row>
    <row r="45320">
      <c r="L45320" s="13"/>
      <c r="M45320" s="14"/>
      <c r="N45320" s="14"/>
      <c r="O45320" s="14"/>
      <c r="P45320" s="13"/>
    </row>
    <row r="45321">
      <c r="L45321" s="13"/>
      <c r="M45321" s="14"/>
      <c r="N45321" s="14"/>
      <c r="O45321" s="14"/>
      <c r="P45321" s="13"/>
    </row>
    <row r="45322">
      <c r="L45322" s="13"/>
      <c r="M45322" s="14"/>
      <c r="N45322" s="14"/>
      <c r="O45322" s="14"/>
      <c r="P45322" s="13"/>
    </row>
    <row r="45323">
      <c r="L45323" s="13"/>
      <c r="M45323" s="14"/>
      <c r="N45323" s="14"/>
      <c r="O45323" s="14"/>
      <c r="P45323" s="13"/>
    </row>
    <row r="45324">
      <c r="L45324" s="13"/>
      <c r="M45324" s="14"/>
      <c r="N45324" s="14"/>
      <c r="O45324" s="14"/>
      <c r="P45324" s="13"/>
    </row>
    <row r="45325">
      <c r="L45325" s="13"/>
      <c r="M45325" s="14"/>
      <c r="N45325" s="14"/>
      <c r="O45325" s="14"/>
      <c r="P45325" s="13"/>
    </row>
    <row r="45326">
      <c r="L45326" s="13"/>
      <c r="M45326" s="14"/>
      <c r="N45326" s="14"/>
      <c r="O45326" s="14"/>
      <c r="P45326" s="13"/>
    </row>
    <row r="45327">
      <c r="L45327" s="13"/>
      <c r="M45327" s="14"/>
      <c r="N45327" s="14"/>
      <c r="O45327" s="14"/>
      <c r="P45327" s="13"/>
    </row>
    <row r="45328">
      <c r="L45328" s="13"/>
      <c r="M45328" s="14"/>
      <c r="N45328" s="14"/>
      <c r="O45328" s="14"/>
      <c r="P45328" s="13"/>
    </row>
    <row r="45329">
      <c r="L45329" s="13"/>
      <c r="M45329" s="14"/>
      <c r="N45329" s="14"/>
      <c r="O45329" s="14"/>
      <c r="P45329" s="13"/>
    </row>
    <row r="45330">
      <c r="L45330" s="13"/>
      <c r="M45330" s="14"/>
      <c r="N45330" s="14"/>
      <c r="O45330" s="14"/>
      <c r="P45330" s="13"/>
    </row>
    <row r="45331">
      <c r="L45331" s="13"/>
      <c r="M45331" s="14"/>
      <c r="N45331" s="14"/>
      <c r="O45331" s="14"/>
      <c r="P45331" s="13"/>
    </row>
    <row r="45332">
      <c r="L45332" s="13"/>
      <c r="M45332" s="14"/>
      <c r="N45332" s="14"/>
      <c r="O45332" s="14"/>
      <c r="P45332" s="13"/>
    </row>
    <row r="45333">
      <c r="L45333" s="13"/>
      <c r="M45333" s="14"/>
      <c r="N45333" s="14"/>
      <c r="O45333" s="14"/>
      <c r="P45333" s="13"/>
    </row>
    <row r="45334">
      <c r="L45334" s="13"/>
      <c r="M45334" s="14"/>
      <c r="N45334" s="14"/>
      <c r="O45334" s="14"/>
      <c r="P45334" s="13"/>
    </row>
    <row r="45335">
      <c r="L45335" s="13"/>
      <c r="M45335" s="14"/>
      <c r="N45335" s="14"/>
      <c r="O45335" s="14"/>
      <c r="P45335" s="13"/>
    </row>
    <row r="45336">
      <c r="L45336" s="13"/>
      <c r="M45336" s="14"/>
      <c r="N45336" s="14"/>
      <c r="O45336" s="14"/>
      <c r="P45336" s="13"/>
    </row>
    <row r="45337">
      <c r="L45337" s="13"/>
      <c r="M45337" s="14"/>
      <c r="N45337" s="14"/>
      <c r="O45337" s="14"/>
      <c r="P45337" s="13"/>
    </row>
    <row r="45338">
      <c r="L45338" s="13"/>
      <c r="M45338" s="14"/>
      <c r="N45338" s="14"/>
      <c r="O45338" s="14"/>
      <c r="P45338" s="13"/>
    </row>
    <row r="45339">
      <c r="L45339" s="13"/>
      <c r="M45339" s="14"/>
      <c r="N45339" s="14"/>
      <c r="O45339" s="14"/>
      <c r="P45339" s="13"/>
    </row>
    <row r="45340">
      <c r="L45340" s="13"/>
      <c r="M45340" s="14"/>
      <c r="N45340" s="14"/>
      <c r="O45340" s="14"/>
      <c r="P45340" s="13"/>
    </row>
    <row r="45341">
      <c r="L45341" s="13"/>
      <c r="M45341" s="14"/>
      <c r="N45341" s="14"/>
      <c r="O45341" s="14"/>
      <c r="P45341" s="13"/>
    </row>
    <row r="45342">
      <c r="L45342" s="13"/>
      <c r="M45342" s="14"/>
      <c r="N45342" s="14"/>
      <c r="O45342" s="14"/>
      <c r="P45342" s="13"/>
    </row>
    <row r="45343">
      <c r="L45343" s="13"/>
      <c r="M45343" s="14"/>
      <c r="N45343" s="14"/>
      <c r="O45343" s="14"/>
      <c r="P45343" s="13"/>
    </row>
    <row r="45344">
      <c r="L45344" s="13"/>
      <c r="M45344" s="14"/>
      <c r="N45344" s="14"/>
      <c r="O45344" s="14"/>
      <c r="P45344" s="13"/>
    </row>
    <row r="45345">
      <c r="L45345" s="13"/>
      <c r="M45345" s="14"/>
      <c r="N45345" s="14"/>
      <c r="O45345" s="14"/>
      <c r="P45345" s="13"/>
    </row>
    <row r="45346">
      <c r="L45346" s="13"/>
      <c r="M45346" s="14"/>
      <c r="N45346" s="14"/>
      <c r="O45346" s="14"/>
      <c r="P45346" s="13"/>
    </row>
    <row r="45347">
      <c r="L45347" s="13"/>
      <c r="M45347" s="14"/>
      <c r="N45347" s="14"/>
      <c r="O45347" s="14"/>
      <c r="P45347" s="13"/>
    </row>
    <row r="45348">
      <c r="L45348" s="13"/>
      <c r="M45348" s="14"/>
      <c r="N45348" s="14"/>
      <c r="O45348" s="14"/>
      <c r="P45348" s="13"/>
    </row>
    <row r="45349">
      <c r="L45349" s="13"/>
      <c r="M45349" s="14"/>
      <c r="N45349" s="14"/>
      <c r="O45349" s="14"/>
      <c r="P45349" s="13"/>
    </row>
    <row r="45350">
      <c r="L45350" s="13"/>
      <c r="M45350" s="14"/>
      <c r="N45350" s="14"/>
      <c r="O45350" s="14"/>
      <c r="P45350" s="13"/>
    </row>
    <row r="45351">
      <c r="L45351" s="13"/>
      <c r="M45351" s="14"/>
      <c r="N45351" s="14"/>
      <c r="O45351" s="14"/>
      <c r="P45351" s="13"/>
    </row>
    <row r="45352">
      <c r="L45352" s="13"/>
      <c r="M45352" s="14"/>
      <c r="N45352" s="14"/>
      <c r="O45352" s="14"/>
      <c r="P45352" s="13"/>
    </row>
    <row r="45353">
      <c r="L45353" s="13"/>
      <c r="M45353" s="14"/>
      <c r="N45353" s="14"/>
      <c r="O45353" s="14"/>
      <c r="P45353" s="13"/>
    </row>
    <row r="45354">
      <c r="L45354" s="13"/>
      <c r="M45354" s="14"/>
      <c r="N45354" s="14"/>
      <c r="O45354" s="14"/>
      <c r="P45354" s="13"/>
    </row>
    <row r="45355">
      <c r="L45355" s="13"/>
      <c r="M45355" s="14"/>
      <c r="N45355" s="14"/>
      <c r="O45355" s="14"/>
      <c r="P45355" s="13"/>
    </row>
    <row r="45356">
      <c r="L45356" s="13"/>
      <c r="M45356" s="14"/>
      <c r="N45356" s="14"/>
      <c r="O45356" s="14"/>
      <c r="P45356" s="13"/>
    </row>
    <row r="45357">
      <c r="L45357" s="13"/>
      <c r="M45357" s="14"/>
      <c r="N45357" s="14"/>
      <c r="O45357" s="14"/>
      <c r="P45357" s="13"/>
    </row>
    <row r="45358">
      <c r="L45358" s="13"/>
      <c r="M45358" s="14"/>
      <c r="N45358" s="14"/>
      <c r="O45358" s="14"/>
      <c r="P45358" s="13"/>
    </row>
    <row r="45359">
      <c r="L45359" s="13"/>
      <c r="M45359" s="14"/>
      <c r="N45359" s="14"/>
      <c r="O45359" s="14"/>
      <c r="P45359" s="13"/>
    </row>
    <row r="45360">
      <c r="L45360" s="13"/>
      <c r="M45360" s="14"/>
      <c r="N45360" s="14"/>
      <c r="O45360" s="14"/>
      <c r="P45360" s="13"/>
    </row>
    <row r="45361">
      <c r="L45361" s="13"/>
      <c r="M45361" s="14"/>
      <c r="N45361" s="14"/>
      <c r="O45361" s="14"/>
      <c r="P45361" s="13"/>
    </row>
    <row r="45362">
      <c r="L45362" s="13"/>
      <c r="M45362" s="14"/>
      <c r="N45362" s="14"/>
      <c r="O45362" s="14"/>
      <c r="P45362" s="13"/>
    </row>
    <row r="45363">
      <c r="L45363" s="13"/>
      <c r="M45363" s="14"/>
      <c r="N45363" s="14"/>
      <c r="O45363" s="14"/>
      <c r="P45363" s="13"/>
    </row>
    <row r="45364">
      <c r="L45364" s="13"/>
      <c r="M45364" s="14"/>
      <c r="N45364" s="14"/>
      <c r="O45364" s="14"/>
      <c r="P45364" s="13"/>
    </row>
    <row r="45365">
      <c r="L45365" s="13"/>
      <c r="M45365" s="14"/>
      <c r="N45365" s="14"/>
      <c r="O45365" s="14"/>
      <c r="P45365" s="13"/>
    </row>
    <row r="45366">
      <c r="L45366" s="13"/>
      <c r="M45366" s="14"/>
      <c r="N45366" s="14"/>
      <c r="O45366" s="14"/>
      <c r="P45366" s="13"/>
    </row>
    <row r="45367">
      <c r="L45367" s="13"/>
      <c r="M45367" s="14"/>
      <c r="N45367" s="14"/>
      <c r="O45367" s="14"/>
      <c r="P45367" s="13"/>
    </row>
    <row r="45368">
      <c r="L45368" s="13"/>
      <c r="M45368" s="14"/>
      <c r="N45368" s="14"/>
      <c r="O45368" s="14"/>
      <c r="P45368" s="13"/>
    </row>
    <row r="45369">
      <c r="L45369" s="13"/>
      <c r="M45369" s="14"/>
      <c r="N45369" s="14"/>
      <c r="O45369" s="14"/>
      <c r="P45369" s="13"/>
    </row>
    <row r="45370">
      <c r="L45370" s="13"/>
      <c r="M45370" s="14"/>
      <c r="N45370" s="14"/>
      <c r="O45370" s="14"/>
      <c r="P45370" s="13"/>
    </row>
    <row r="45371">
      <c r="L45371" s="13"/>
      <c r="M45371" s="14"/>
      <c r="N45371" s="14"/>
      <c r="O45371" s="14"/>
      <c r="P45371" s="13"/>
    </row>
    <row r="45372">
      <c r="L45372" s="13"/>
      <c r="M45372" s="14"/>
      <c r="N45372" s="14"/>
      <c r="O45372" s="14"/>
      <c r="P45372" s="13"/>
    </row>
    <row r="45373">
      <c r="L45373" s="13"/>
      <c r="M45373" s="14"/>
      <c r="N45373" s="14"/>
      <c r="O45373" s="14"/>
      <c r="P45373" s="13"/>
    </row>
    <row r="45374">
      <c r="L45374" s="13"/>
      <c r="M45374" s="14"/>
      <c r="N45374" s="14"/>
      <c r="O45374" s="14"/>
      <c r="P45374" s="13"/>
    </row>
    <row r="45375">
      <c r="L45375" s="13"/>
      <c r="M45375" s="14"/>
      <c r="N45375" s="14"/>
      <c r="O45375" s="14"/>
      <c r="P45375" s="13"/>
    </row>
    <row r="45376">
      <c r="L45376" s="13"/>
      <c r="M45376" s="14"/>
      <c r="N45376" s="14"/>
      <c r="O45376" s="14"/>
      <c r="P45376" s="13"/>
    </row>
    <row r="45377">
      <c r="L45377" s="13"/>
      <c r="M45377" s="14"/>
      <c r="N45377" s="14"/>
      <c r="O45377" s="14"/>
      <c r="P45377" s="13"/>
    </row>
    <row r="45378">
      <c r="L45378" s="13"/>
      <c r="M45378" s="14"/>
      <c r="N45378" s="14"/>
      <c r="O45378" s="14"/>
      <c r="P45378" s="13"/>
    </row>
    <row r="45379">
      <c r="L45379" s="13"/>
      <c r="M45379" s="14"/>
      <c r="N45379" s="14"/>
      <c r="O45379" s="14"/>
      <c r="P45379" s="13"/>
    </row>
    <row r="45380">
      <c r="L45380" s="13"/>
      <c r="M45380" s="14"/>
      <c r="N45380" s="14"/>
      <c r="O45380" s="14"/>
      <c r="P45380" s="13"/>
    </row>
    <row r="45381">
      <c r="L45381" s="13"/>
      <c r="M45381" s="14"/>
      <c r="N45381" s="14"/>
      <c r="O45381" s="14"/>
      <c r="P45381" s="13"/>
    </row>
    <row r="45382">
      <c r="L45382" s="13"/>
      <c r="M45382" s="14"/>
      <c r="N45382" s="14"/>
      <c r="O45382" s="14"/>
      <c r="P45382" s="13"/>
    </row>
    <row r="45383">
      <c r="L45383" s="13"/>
      <c r="M45383" s="14"/>
      <c r="N45383" s="14"/>
      <c r="O45383" s="14"/>
      <c r="P45383" s="13"/>
    </row>
    <row r="45384">
      <c r="L45384" s="13"/>
      <c r="M45384" s="14"/>
      <c r="N45384" s="14"/>
      <c r="O45384" s="14"/>
      <c r="P45384" s="13"/>
    </row>
    <row r="45385">
      <c r="L45385" s="13"/>
      <c r="M45385" s="14"/>
      <c r="N45385" s="14"/>
      <c r="O45385" s="14"/>
      <c r="P45385" s="13"/>
    </row>
    <row r="45386">
      <c r="L45386" s="13"/>
      <c r="M45386" s="14"/>
      <c r="N45386" s="14"/>
      <c r="O45386" s="14"/>
      <c r="P45386" s="13"/>
    </row>
    <row r="45387">
      <c r="L45387" s="13"/>
      <c r="M45387" s="14"/>
      <c r="N45387" s="14"/>
      <c r="O45387" s="14"/>
      <c r="P45387" s="13"/>
    </row>
    <row r="45388">
      <c r="L45388" s="13"/>
      <c r="M45388" s="14"/>
      <c r="N45388" s="14"/>
      <c r="O45388" s="14"/>
      <c r="P45388" s="13"/>
    </row>
    <row r="45389">
      <c r="L45389" s="13"/>
      <c r="M45389" s="14"/>
      <c r="N45389" s="14"/>
      <c r="O45389" s="14"/>
      <c r="P45389" s="13"/>
    </row>
    <row r="45390">
      <c r="L45390" s="13"/>
      <c r="M45390" s="14"/>
      <c r="N45390" s="14"/>
      <c r="O45390" s="14"/>
      <c r="P45390" s="13"/>
    </row>
    <row r="45391">
      <c r="L45391" s="13"/>
      <c r="M45391" s="14"/>
      <c r="N45391" s="14"/>
      <c r="O45391" s="14"/>
      <c r="P45391" s="13"/>
    </row>
    <row r="45392">
      <c r="L45392" s="13"/>
      <c r="M45392" s="14"/>
      <c r="N45392" s="14"/>
      <c r="O45392" s="14"/>
      <c r="P45392" s="13"/>
    </row>
    <row r="45393">
      <c r="L45393" s="13"/>
      <c r="M45393" s="14"/>
      <c r="N45393" s="14"/>
      <c r="O45393" s="14"/>
      <c r="P45393" s="13"/>
    </row>
    <row r="45394">
      <c r="L45394" s="13"/>
      <c r="M45394" s="14"/>
      <c r="N45394" s="14"/>
      <c r="O45394" s="14"/>
      <c r="P45394" s="13"/>
    </row>
    <row r="45395">
      <c r="L45395" s="13"/>
      <c r="M45395" s="14"/>
      <c r="N45395" s="14"/>
      <c r="O45395" s="14"/>
      <c r="P45395" s="13"/>
    </row>
    <row r="45396">
      <c r="L45396" s="13"/>
      <c r="M45396" s="14"/>
      <c r="N45396" s="14"/>
      <c r="O45396" s="14"/>
      <c r="P45396" s="13"/>
    </row>
    <row r="45397">
      <c r="L45397" s="13"/>
      <c r="M45397" s="14"/>
      <c r="N45397" s="14"/>
      <c r="O45397" s="14"/>
      <c r="P45397" s="13"/>
    </row>
    <row r="45398">
      <c r="L45398" s="13"/>
      <c r="M45398" s="14"/>
      <c r="N45398" s="14"/>
      <c r="O45398" s="14"/>
      <c r="P45398" s="13"/>
    </row>
    <row r="45399">
      <c r="L45399" s="13"/>
      <c r="M45399" s="14"/>
      <c r="N45399" s="14"/>
      <c r="O45399" s="14"/>
      <c r="P45399" s="13"/>
    </row>
    <row r="45400">
      <c r="L45400" s="13"/>
      <c r="M45400" s="14"/>
      <c r="N45400" s="14"/>
      <c r="O45400" s="14"/>
      <c r="P45400" s="13"/>
    </row>
    <row r="45401">
      <c r="L45401" s="13"/>
      <c r="M45401" s="14"/>
      <c r="N45401" s="14"/>
      <c r="O45401" s="14"/>
      <c r="P45401" s="13"/>
    </row>
    <row r="45402">
      <c r="L45402" s="13"/>
      <c r="M45402" s="14"/>
      <c r="N45402" s="14"/>
      <c r="O45402" s="14"/>
      <c r="P45402" s="13"/>
    </row>
    <row r="45403">
      <c r="L45403" s="13"/>
      <c r="M45403" s="14"/>
      <c r="N45403" s="14"/>
      <c r="O45403" s="14"/>
      <c r="P45403" s="13"/>
    </row>
    <row r="45404">
      <c r="L45404" s="13"/>
      <c r="M45404" s="14"/>
      <c r="N45404" s="14"/>
      <c r="O45404" s="14"/>
      <c r="P45404" s="13"/>
    </row>
    <row r="45405">
      <c r="L45405" s="13"/>
      <c r="M45405" s="14"/>
      <c r="N45405" s="14"/>
      <c r="O45405" s="14"/>
      <c r="P45405" s="13"/>
    </row>
    <row r="45406">
      <c r="L45406" s="13"/>
      <c r="M45406" s="14"/>
      <c r="N45406" s="14"/>
      <c r="O45406" s="14"/>
      <c r="P45406" s="13"/>
    </row>
    <row r="45407">
      <c r="L45407" s="13"/>
      <c r="M45407" s="14"/>
      <c r="N45407" s="14"/>
      <c r="O45407" s="14"/>
      <c r="P45407" s="13"/>
    </row>
    <row r="45408">
      <c r="L45408" s="13"/>
      <c r="M45408" s="14"/>
      <c r="N45408" s="14"/>
      <c r="O45408" s="14"/>
      <c r="P45408" s="13"/>
    </row>
    <row r="45409">
      <c r="L45409" s="13"/>
      <c r="M45409" s="14"/>
      <c r="N45409" s="14"/>
      <c r="O45409" s="14"/>
      <c r="P45409" s="13"/>
    </row>
    <row r="45410">
      <c r="L45410" s="13"/>
      <c r="M45410" s="14"/>
      <c r="N45410" s="14"/>
      <c r="O45410" s="14"/>
      <c r="P45410" s="13"/>
    </row>
    <row r="45411">
      <c r="L45411" s="13"/>
      <c r="M45411" s="14"/>
      <c r="N45411" s="14"/>
      <c r="O45411" s="14"/>
      <c r="P45411" s="13"/>
    </row>
    <row r="45412">
      <c r="L45412" s="13"/>
      <c r="M45412" s="14"/>
      <c r="N45412" s="14"/>
      <c r="O45412" s="14"/>
      <c r="P45412" s="13"/>
    </row>
    <row r="45413">
      <c r="L45413" s="13"/>
      <c r="M45413" s="14"/>
      <c r="N45413" s="14"/>
      <c r="O45413" s="14"/>
      <c r="P45413" s="13"/>
    </row>
    <row r="45414">
      <c r="L45414" s="13"/>
      <c r="M45414" s="14"/>
      <c r="N45414" s="14"/>
      <c r="O45414" s="14"/>
      <c r="P45414" s="13"/>
    </row>
    <row r="45415">
      <c r="L45415" s="13"/>
      <c r="M45415" s="14"/>
      <c r="N45415" s="14"/>
      <c r="O45415" s="14"/>
      <c r="P45415" s="13"/>
    </row>
    <row r="45416">
      <c r="L45416" s="13"/>
      <c r="M45416" s="14"/>
      <c r="N45416" s="14"/>
      <c r="O45416" s="14"/>
      <c r="P45416" s="13"/>
    </row>
    <row r="45417">
      <c r="L45417" s="13"/>
      <c r="M45417" s="14"/>
      <c r="N45417" s="14"/>
      <c r="O45417" s="14"/>
      <c r="P45417" s="13"/>
    </row>
    <row r="45418">
      <c r="L45418" s="13"/>
      <c r="M45418" s="14"/>
      <c r="N45418" s="14"/>
      <c r="O45418" s="14"/>
      <c r="P45418" s="13"/>
    </row>
    <row r="45419">
      <c r="L45419" s="13"/>
      <c r="M45419" s="14"/>
      <c r="N45419" s="14"/>
      <c r="O45419" s="14"/>
      <c r="P45419" s="13"/>
    </row>
    <row r="45420">
      <c r="L45420" s="13"/>
      <c r="M45420" s="14"/>
      <c r="N45420" s="14"/>
      <c r="O45420" s="14"/>
      <c r="P45420" s="13"/>
    </row>
    <row r="45421">
      <c r="L45421" s="13"/>
      <c r="M45421" s="14"/>
      <c r="N45421" s="14"/>
      <c r="O45421" s="14"/>
      <c r="P45421" s="13"/>
    </row>
    <row r="45422">
      <c r="L45422" s="13"/>
      <c r="M45422" s="14"/>
      <c r="N45422" s="14"/>
      <c r="O45422" s="14"/>
      <c r="P45422" s="13"/>
    </row>
    <row r="45423">
      <c r="L45423" s="13"/>
      <c r="M45423" s="14"/>
      <c r="N45423" s="14"/>
      <c r="O45423" s="14"/>
      <c r="P45423" s="13"/>
    </row>
    <row r="45424">
      <c r="L45424" s="13"/>
      <c r="M45424" s="14"/>
      <c r="N45424" s="14"/>
      <c r="O45424" s="14"/>
      <c r="P45424" s="13"/>
    </row>
    <row r="45425">
      <c r="L45425" s="13"/>
      <c r="M45425" s="14"/>
      <c r="N45425" s="14"/>
      <c r="O45425" s="14"/>
      <c r="P45425" s="13"/>
    </row>
    <row r="45426">
      <c r="L45426" s="13"/>
      <c r="M45426" s="14"/>
      <c r="N45426" s="14"/>
      <c r="O45426" s="14"/>
      <c r="P45426" s="13"/>
    </row>
    <row r="45427">
      <c r="L45427" s="13"/>
      <c r="M45427" s="14"/>
      <c r="N45427" s="14"/>
      <c r="O45427" s="14"/>
      <c r="P45427" s="13"/>
    </row>
    <row r="45428">
      <c r="L45428" s="13"/>
      <c r="M45428" s="14"/>
      <c r="N45428" s="14"/>
      <c r="O45428" s="14"/>
      <c r="P45428" s="13"/>
    </row>
    <row r="45429">
      <c r="L45429" s="13"/>
      <c r="M45429" s="14"/>
      <c r="N45429" s="14"/>
      <c r="O45429" s="14"/>
      <c r="P45429" s="13"/>
    </row>
    <row r="45430">
      <c r="L45430" s="13"/>
      <c r="M45430" s="14"/>
      <c r="N45430" s="14"/>
      <c r="O45430" s="14"/>
      <c r="P45430" s="13"/>
    </row>
    <row r="45431">
      <c r="L45431" s="13"/>
      <c r="M45431" s="14"/>
      <c r="N45431" s="14"/>
      <c r="O45431" s="14"/>
      <c r="P45431" s="13"/>
    </row>
    <row r="45432">
      <c r="L45432" s="13"/>
      <c r="M45432" s="14"/>
      <c r="N45432" s="14"/>
      <c r="O45432" s="14"/>
      <c r="P45432" s="13"/>
    </row>
    <row r="45433">
      <c r="L45433" s="13"/>
      <c r="M45433" s="14"/>
      <c r="N45433" s="14"/>
      <c r="O45433" s="14"/>
      <c r="P45433" s="13"/>
    </row>
    <row r="45434">
      <c r="L45434" s="13"/>
      <c r="M45434" s="14"/>
      <c r="N45434" s="14"/>
      <c r="O45434" s="14"/>
      <c r="P45434" s="13"/>
    </row>
    <row r="45435">
      <c r="L45435" s="13"/>
      <c r="M45435" s="14"/>
      <c r="N45435" s="14"/>
      <c r="O45435" s="14"/>
      <c r="P45435" s="13"/>
    </row>
    <row r="45436">
      <c r="L45436" s="13"/>
      <c r="M45436" s="14"/>
      <c r="N45436" s="14"/>
      <c r="O45436" s="14"/>
      <c r="P45436" s="13"/>
    </row>
    <row r="45437">
      <c r="L45437" s="13"/>
      <c r="M45437" s="14"/>
      <c r="N45437" s="14"/>
      <c r="O45437" s="14"/>
      <c r="P45437" s="13"/>
    </row>
    <row r="45438">
      <c r="L45438" s="13"/>
      <c r="M45438" s="14"/>
      <c r="N45438" s="14"/>
      <c r="O45438" s="14"/>
      <c r="P45438" s="13"/>
    </row>
    <row r="45439">
      <c r="L45439" s="13"/>
      <c r="M45439" s="14"/>
      <c r="N45439" s="14"/>
      <c r="O45439" s="14"/>
      <c r="P45439" s="13"/>
    </row>
    <row r="45440">
      <c r="L45440" s="13"/>
      <c r="M45440" s="14"/>
      <c r="N45440" s="14"/>
      <c r="O45440" s="14"/>
      <c r="P45440" s="13"/>
    </row>
    <row r="45441">
      <c r="L45441" s="13"/>
      <c r="M45441" s="14"/>
      <c r="N45441" s="14"/>
      <c r="O45441" s="14"/>
      <c r="P45441" s="13"/>
    </row>
    <row r="45442">
      <c r="L45442" s="13"/>
      <c r="M45442" s="14"/>
      <c r="N45442" s="14"/>
      <c r="O45442" s="14"/>
      <c r="P45442" s="13"/>
    </row>
    <row r="45443">
      <c r="L45443" s="13"/>
      <c r="M45443" s="14"/>
      <c r="N45443" s="14"/>
      <c r="O45443" s="14"/>
      <c r="P45443" s="13"/>
    </row>
    <row r="45444">
      <c r="L45444" s="13"/>
      <c r="M45444" s="14"/>
      <c r="N45444" s="14"/>
      <c r="O45444" s="14"/>
      <c r="P45444" s="13"/>
    </row>
    <row r="45445">
      <c r="L45445" s="13"/>
      <c r="M45445" s="14"/>
      <c r="N45445" s="14"/>
      <c r="O45445" s="14"/>
      <c r="P45445" s="13"/>
    </row>
    <row r="45446">
      <c r="L45446" s="13"/>
      <c r="M45446" s="14"/>
      <c r="N45446" s="14"/>
      <c r="O45446" s="14"/>
      <c r="P45446" s="13"/>
    </row>
    <row r="45447">
      <c r="L45447" s="13"/>
      <c r="M45447" s="14"/>
      <c r="N45447" s="14"/>
      <c r="O45447" s="14"/>
      <c r="P45447" s="13"/>
    </row>
    <row r="45448">
      <c r="L45448" s="13"/>
      <c r="M45448" s="14"/>
      <c r="N45448" s="14"/>
      <c r="O45448" s="14"/>
      <c r="P45448" s="13"/>
    </row>
    <row r="45449">
      <c r="L45449" s="13"/>
      <c r="M45449" s="14"/>
      <c r="N45449" s="14"/>
      <c r="O45449" s="14"/>
      <c r="P45449" s="13"/>
    </row>
    <row r="45450">
      <c r="L45450" s="13"/>
      <c r="M45450" s="14"/>
      <c r="N45450" s="14"/>
      <c r="O45450" s="14"/>
      <c r="P45450" s="13"/>
    </row>
    <row r="45451">
      <c r="L45451" s="13"/>
      <c r="M45451" s="14"/>
      <c r="N45451" s="14"/>
      <c r="O45451" s="14"/>
      <c r="P45451" s="13"/>
    </row>
    <row r="45452">
      <c r="L45452" s="13"/>
      <c r="M45452" s="14"/>
      <c r="N45452" s="14"/>
      <c r="O45452" s="14"/>
      <c r="P45452" s="13"/>
    </row>
    <row r="45453">
      <c r="L45453" s="13"/>
      <c r="M45453" s="14"/>
      <c r="N45453" s="14"/>
      <c r="O45453" s="14"/>
      <c r="P45453" s="13"/>
    </row>
    <row r="45454">
      <c r="L45454" s="13"/>
      <c r="M45454" s="14"/>
      <c r="N45454" s="14"/>
      <c r="O45454" s="14"/>
      <c r="P45454" s="13"/>
    </row>
    <row r="45455">
      <c r="L45455" s="13"/>
      <c r="M45455" s="14"/>
      <c r="N45455" s="14"/>
      <c r="O45455" s="14"/>
      <c r="P45455" s="13"/>
    </row>
    <row r="45456">
      <c r="L45456" s="13"/>
      <c r="M45456" s="14"/>
      <c r="N45456" s="14"/>
      <c r="O45456" s="14"/>
      <c r="P45456" s="13"/>
    </row>
    <row r="45457">
      <c r="L45457" s="13"/>
      <c r="M45457" s="14"/>
      <c r="N45457" s="14"/>
      <c r="O45457" s="14"/>
      <c r="P45457" s="13"/>
    </row>
    <row r="45458">
      <c r="L45458" s="13"/>
      <c r="M45458" s="14"/>
      <c r="N45458" s="14"/>
      <c r="O45458" s="14"/>
      <c r="P45458" s="13"/>
    </row>
    <row r="45459">
      <c r="L45459" s="13"/>
      <c r="M45459" s="14"/>
      <c r="N45459" s="14"/>
      <c r="O45459" s="14"/>
      <c r="P45459" s="13"/>
    </row>
    <row r="45460">
      <c r="L45460" s="13"/>
      <c r="M45460" s="14"/>
      <c r="N45460" s="14"/>
      <c r="O45460" s="14"/>
      <c r="P45460" s="13"/>
    </row>
    <row r="45461">
      <c r="L45461" s="13"/>
      <c r="M45461" s="14"/>
      <c r="N45461" s="14"/>
      <c r="O45461" s="14"/>
      <c r="P45461" s="13"/>
    </row>
    <row r="45462">
      <c r="L45462" s="13"/>
      <c r="M45462" s="14"/>
      <c r="N45462" s="14"/>
      <c r="O45462" s="14"/>
      <c r="P45462" s="13"/>
    </row>
    <row r="45463">
      <c r="L45463" s="13"/>
      <c r="M45463" s="14"/>
      <c r="N45463" s="14"/>
      <c r="O45463" s="14"/>
      <c r="P45463" s="13"/>
    </row>
    <row r="45464">
      <c r="L45464" s="13"/>
      <c r="M45464" s="14"/>
      <c r="N45464" s="14"/>
      <c r="O45464" s="14"/>
      <c r="P45464" s="13"/>
    </row>
    <row r="45465">
      <c r="L45465" s="13"/>
      <c r="M45465" s="14"/>
      <c r="N45465" s="14"/>
      <c r="O45465" s="14"/>
      <c r="P45465" s="13"/>
    </row>
    <row r="45466">
      <c r="L45466" s="13"/>
      <c r="M45466" s="14"/>
      <c r="N45466" s="14"/>
      <c r="O45466" s="14"/>
      <c r="P45466" s="13"/>
    </row>
    <row r="45467">
      <c r="L45467" s="13"/>
      <c r="M45467" s="14"/>
      <c r="N45467" s="14"/>
      <c r="O45467" s="14"/>
      <c r="P45467" s="13"/>
    </row>
    <row r="45468">
      <c r="L45468" s="13"/>
      <c r="M45468" s="14"/>
      <c r="N45468" s="14"/>
      <c r="O45468" s="14"/>
      <c r="P45468" s="13"/>
    </row>
    <row r="45469">
      <c r="L45469" s="13"/>
      <c r="M45469" s="14"/>
      <c r="N45469" s="14"/>
      <c r="O45469" s="14"/>
      <c r="P45469" s="13"/>
    </row>
    <row r="45470">
      <c r="L45470" s="13"/>
      <c r="M45470" s="14"/>
      <c r="N45470" s="14"/>
      <c r="O45470" s="14"/>
      <c r="P45470" s="13"/>
    </row>
    <row r="45471">
      <c r="L45471" s="13"/>
      <c r="M45471" s="14"/>
      <c r="N45471" s="14"/>
      <c r="O45471" s="14"/>
      <c r="P45471" s="13"/>
    </row>
    <row r="45472">
      <c r="L45472" s="13"/>
      <c r="M45472" s="14"/>
      <c r="N45472" s="14"/>
      <c r="O45472" s="14"/>
      <c r="P45472" s="13"/>
    </row>
    <row r="45473">
      <c r="L45473" s="13"/>
      <c r="M45473" s="14"/>
      <c r="N45473" s="14"/>
      <c r="O45473" s="14"/>
      <c r="P45473" s="13"/>
    </row>
    <row r="45474">
      <c r="L45474" s="13"/>
      <c r="M45474" s="14"/>
      <c r="N45474" s="14"/>
      <c r="O45474" s="14"/>
      <c r="P45474" s="13"/>
    </row>
    <row r="45475">
      <c r="L45475" s="13"/>
      <c r="M45475" s="14"/>
      <c r="N45475" s="14"/>
      <c r="O45475" s="14"/>
      <c r="P45475" s="13"/>
    </row>
    <row r="45476">
      <c r="L45476" s="13"/>
      <c r="M45476" s="14"/>
      <c r="N45476" s="14"/>
      <c r="O45476" s="14"/>
      <c r="P45476" s="13"/>
    </row>
    <row r="45477">
      <c r="L45477" s="13"/>
      <c r="M45477" s="14"/>
      <c r="N45477" s="14"/>
      <c r="O45477" s="14"/>
      <c r="P45477" s="13"/>
    </row>
    <row r="45478">
      <c r="L45478" s="13"/>
      <c r="M45478" s="14"/>
      <c r="N45478" s="14"/>
      <c r="O45478" s="14"/>
      <c r="P45478" s="13"/>
    </row>
    <row r="45479">
      <c r="L45479" s="13"/>
      <c r="M45479" s="14"/>
      <c r="N45479" s="14"/>
      <c r="O45479" s="14"/>
      <c r="P45479" s="13"/>
    </row>
    <row r="45480">
      <c r="L45480" s="13"/>
      <c r="M45480" s="14"/>
      <c r="N45480" s="14"/>
      <c r="O45480" s="14"/>
      <c r="P45480" s="13"/>
    </row>
    <row r="45481">
      <c r="L45481" s="13"/>
      <c r="M45481" s="14"/>
      <c r="N45481" s="14"/>
      <c r="O45481" s="14"/>
      <c r="P45481" s="13"/>
    </row>
    <row r="45482">
      <c r="L45482" s="13"/>
      <c r="M45482" s="14"/>
      <c r="N45482" s="14"/>
      <c r="O45482" s="14"/>
      <c r="P45482" s="13"/>
    </row>
    <row r="45483">
      <c r="L45483" s="13"/>
      <c r="M45483" s="14"/>
      <c r="N45483" s="14"/>
      <c r="O45483" s="14"/>
      <c r="P45483" s="13"/>
    </row>
    <row r="45484">
      <c r="L45484" s="13"/>
      <c r="M45484" s="14"/>
      <c r="N45484" s="14"/>
      <c r="O45484" s="14"/>
      <c r="P45484" s="13"/>
    </row>
    <row r="45485">
      <c r="L45485" s="13"/>
      <c r="M45485" s="14"/>
      <c r="N45485" s="14"/>
      <c r="O45485" s="14"/>
      <c r="P45485" s="13"/>
    </row>
    <row r="45486">
      <c r="L45486" s="13"/>
      <c r="M45486" s="14"/>
      <c r="N45486" s="14"/>
      <c r="O45486" s="14"/>
      <c r="P45486" s="13"/>
    </row>
    <row r="45487">
      <c r="L45487" s="13"/>
      <c r="M45487" s="14"/>
      <c r="N45487" s="14"/>
      <c r="O45487" s="14"/>
      <c r="P45487" s="13"/>
    </row>
    <row r="45488">
      <c r="L45488" s="13"/>
      <c r="M45488" s="14"/>
      <c r="N45488" s="14"/>
      <c r="O45488" s="14"/>
      <c r="P45488" s="13"/>
    </row>
    <row r="45489">
      <c r="L45489" s="13"/>
      <c r="M45489" s="14"/>
      <c r="N45489" s="14"/>
      <c r="O45489" s="14"/>
      <c r="P45489" s="13"/>
    </row>
    <row r="45490">
      <c r="L45490" s="13"/>
      <c r="M45490" s="14"/>
      <c r="N45490" s="14"/>
      <c r="O45490" s="14"/>
      <c r="P45490" s="13"/>
    </row>
    <row r="45491">
      <c r="L45491" s="13"/>
      <c r="M45491" s="14"/>
      <c r="N45491" s="14"/>
      <c r="O45491" s="14"/>
      <c r="P45491" s="13"/>
    </row>
    <row r="45492">
      <c r="L45492" s="13"/>
      <c r="M45492" s="14"/>
      <c r="N45492" s="14"/>
      <c r="O45492" s="14"/>
      <c r="P45492" s="13"/>
    </row>
    <row r="45493">
      <c r="L45493" s="13"/>
      <c r="M45493" s="14"/>
      <c r="N45493" s="14"/>
      <c r="O45493" s="14"/>
      <c r="P45493" s="13"/>
    </row>
    <row r="45494">
      <c r="L45494" s="13"/>
      <c r="M45494" s="14"/>
      <c r="N45494" s="14"/>
      <c r="O45494" s="14"/>
      <c r="P45494" s="13"/>
    </row>
    <row r="45495">
      <c r="L45495" s="13"/>
      <c r="M45495" s="14"/>
      <c r="N45495" s="14"/>
      <c r="O45495" s="14"/>
      <c r="P45495" s="13"/>
    </row>
    <row r="45496">
      <c r="L45496" s="13"/>
      <c r="M45496" s="14"/>
      <c r="N45496" s="14"/>
      <c r="O45496" s="14"/>
      <c r="P45496" s="13"/>
    </row>
    <row r="45497">
      <c r="L45497" s="13"/>
      <c r="M45497" s="14"/>
      <c r="N45497" s="14"/>
      <c r="O45497" s="14"/>
      <c r="P45497" s="13"/>
    </row>
    <row r="45498">
      <c r="L45498" s="13"/>
      <c r="M45498" s="14"/>
      <c r="N45498" s="14"/>
      <c r="O45498" s="14"/>
      <c r="P45498" s="13"/>
    </row>
    <row r="45499">
      <c r="L45499" s="13"/>
      <c r="M45499" s="14"/>
      <c r="N45499" s="14"/>
      <c r="O45499" s="14"/>
      <c r="P45499" s="13"/>
    </row>
    <row r="45500">
      <c r="L45500" s="13"/>
      <c r="M45500" s="14"/>
      <c r="N45500" s="14"/>
      <c r="O45500" s="14"/>
      <c r="P45500" s="13"/>
    </row>
    <row r="45501">
      <c r="L45501" s="13"/>
      <c r="M45501" s="14"/>
      <c r="N45501" s="14"/>
      <c r="O45501" s="14"/>
      <c r="P45501" s="13"/>
    </row>
    <row r="45502">
      <c r="L45502" s="13"/>
      <c r="M45502" s="14"/>
      <c r="N45502" s="14"/>
      <c r="O45502" s="14"/>
      <c r="P45502" s="13"/>
    </row>
    <row r="45503">
      <c r="L45503" s="13"/>
      <c r="M45503" s="14"/>
      <c r="N45503" s="14"/>
      <c r="O45503" s="14"/>
      <c r="P45503" s="13"/>
    </row>
    <row r="45504">
      <c r="L45504" s="13"/>
      <c r="M45504" s="14"/>
      <c r="N45504" s="14"/>
      <c r="O45504" s="14"/>
      <c r="P45504" s="13"/>
    </row>
    <row r="45505">
      <c r="L45505" s="13"/>
      <c r="M45505" s="14"/>
      <c r="N45505" s="14"/>
      <c r="O45505" s="14"/>
      <c r="P45505" s="13"/>
    </row>
    <row r="45506">
      <c r="L45506" s="13"/>
      <c r="M45506" s="14"/>
      <c r="N45506" s="14"/>
      <c r="O45506" s="14"/>
      <c r="P45506" s="13"/>
    </row>
    <row r="45507">
      <c r="L45507" s="13"/>
      <c r="M45507" s="14"/>
      <c r="N45507" s="14"/>
      <c r="O45507" s="14"/>
      <c r="P45507" s="13"/>
    </row>
    <row r="45508">
      <c r="L45508" s="13"/>
      <c r="M45508" s="14"/>
      <c r="N45508" s="14"/>
      <c r="O45508" s="14"/>
      <c r="P45508" s="13"/>
    </row>
    <row r="45509">
      <c r="L45509" s="13"/>
      <c r="M45509" s="14"/>
      <c r="N45509" s="14"/>
      <c r="O45509" s="14"/>
      <c r="P45509" s="13"/>
    </row>
    <row r="45510">
      <c r="L45510" s="13"/>
      <c r="M45510" s="14"/>
      <c r="N45510" s="14"/>
      <c r="O45510" s="14"/>
      <c r="P45510" s="13"/>
    </row>
    <row r="45511">
      <c r="L45511" s="13"/>
      <c r="M45511" s="14"/>
      <c r="N45511" s="14"/>
      <c r="O45511" s="14"/>
      <c r="P45511" s="13"/>
    </row>
    <row r="45512">
      <c r="L45512" s="13"/>
      <c r="M45512" s="14"/>
      <c r="N45512" s="14"/>
      <c r="O45512" s="14"/>
      <c r="P45512" s="13"/>
    </row>
    <row r="45513">
      <c r="L45513" s="13"/>
      <c r="M45513" s="14"/>
      <c r="N45513" s="14"/>
      <c r="O45513" s="14"/>
      <c r="P45513" s="13"/>
    </row>
    <row r="45514">
      <c r="L45514" s="13"/>
      <c r="M45514" s="14"/>
      <c r="N45514" s="14"/>
      <c r="O45514" s="14"/>
      <c r="P45514" s="13"/>
    </row>
    <row r="45515">
      <c r="L45515" s="13"/>
      <c r="M45515" s="14"/>
      <c r="N45515" s="14"/>
      <c r="O45515" s="14"/>
      <c r="P45515" s="13"/>
    </row>
    <row r="45516">
      <c r="L45516" s="13"/>
      <c r="M45516" s="14"/>
      <c r="N45516" s="14"/>
      <c r="O45516" s="14"/>
      <c r="P45516" s="13"/>
    </row>
    <row r="45517">
      <c r="L45517" s="13"/>
      <c r="M45517" s="14"/>
      <c r="N45517" s="14"/>
      <c r="O45517" s="14"/>
      <c r="P45517" s="13"/>
    </row>
    <row r="45518">
      <c r="L45518" s="13"/>
      <c r="M45518" s="14"/>
      <c r="N45518" s="14"/>
      <c r="O45518" s="14"/>
      <c r="P45518" s="13"/>
    </row>
    <row r="45519">
      <c r="L45519" s="13"/>
      <c r="M45519" s="14"/>
      <c r="N45519" s="14"/>
      <c r="O45519" s="14"/>
      <c r="P45519" s="13"/>
    </row>
    <row r="45520">
      <c r="L45520" s="13"/>
      <c r="M45520" s="14"/>
      <c r="N45520" s="14"/>
      <c r="O45520" s="14"/>
      <c r="P45520" s="13"/>
    </row>
    <row r="45521">
      <c r="L45521" s="13"/>
      <c r="M45521" s="14"/>
      <c r="N45521" s="14"/>
      <c r="O45521" s="14"/>
      <c r="P45521" s="13"/>
    </row>
    <row r="45522">
      <c r="L45522" s="13"/>
      <c r="M45522" s="14"/>
      <c r="N45522" s="14"/>
      <c r="O45522" s="14"/>
      <c r="P45522" s="13"/>
    </row>
    <row r="45523">
      <c r="L45523" s="13"/>
      <c r="M45523" s="14"/>
      <c r="N45523" s="14"/>
      <c r="O45523" s="14"/>
      <c r="P45523" s="13"/>
    </row>
    <row r="45524">
      <c r="L45524" s="13"/>
      <c r="M45524" s="14"/>
      <c r="N45524" s="14"/>
      <c r="O45524" s="14"/>
      <c r="P45524" s="13"/>
    </row>
    <row r="45525">
      <c r="L45525" s="13"/>
      <c r="M45525" s="14"/>
      <c r="N45525" s="14"/>
      <c r="O45525" s="14"/>
      <c r="P45525" s="13"/>
    </row>
    <row r="45526">
      <c r="L45526" s="13"/>
      <c r="M45526" s="14"/>
      <c r="N45526" s="14"/>
      <c r="O45526" s="14"/>
      <c r="P45526" s="13"/>
    </row>
    <row r="45527">
      <c r="L45527" s="13"/>
      <c r="M45527" s="14"/>
      <c r="N45527" s="14"/>
      <c r="O45527" s="14"/>
      <c r="P45527" s="13"/>
    </row>
    <row r="45528">
      <c r="L45528" s="13"/>
      <c r="M45528" s="14"/>
      <c r="N45528" s="14"/>
      <c r="O45528" s="14"/>
      <c r="P45528" s="13"/>
    </row>
    <row r="45529">
      <c r="L45529" s="13"/>
      <c r="M45529" s="14"/>
      <c r="N45529" s="14"/>
      <c r="O45529" s="14"/>
      <c r="P45529" s="13"/>
    </row>
    <row r="45530">
      <c r="L45530" s="13"/>
      <c r="M45530" s="14"/>
      <c r="N45530" s="14"/>
      <c r="O45530" s="14"/>
      <c r="P45530" s="13"/>
    </row>
    <row r="45531">
      <c r="L45531" s="13"/>
      <c r="M45531" s="14"/>
      <c r="N45531" s="14"/>
      <c r="O45531" s="14"/>
      <c r="P45531" s="13"/>
    </row>
    <row r="45532">
      <c r="L45532" s="13"/>
      <c r="M45532" s="14"/>
      <c r="N45532" s="14"/>
      <c r="O45532" s="14"/>
      <c r="P45532" s="13"/>
    </row>
    <row r="45533">
      <c r="L45533" s="13"/>
      <c r="M45533" s="14"/>
      <c r="N45533" s="14"/>
      <c r="O45533" s="14"/>
      <c r="P45533" s="13"/>
    </row>
    <row r="45534">
      <c r="L45534" s="13"/>
      <c r="M45534" s="14"/>
      <c r="N45534" s="14"/>
      <c r="O45534" s="14"/>
      <c r="P45534" s="13"/>
    </row>
    <row r="45535">
      <c r="L45535" s="13"/>
      <c r="M45535" s="14"/>
      <c r="N45535" s="14"/>
      <c r="O45535" s="14"/>
      <c r="P45535" s="13"/>
    </row>
    <row r="45536">
      <c r="L45536" s="13"/>
      <c r="M45536" s="14"/>
      <c r="N45536" s="14"/>
      <c r="O45536" s="14"/>
      <c r="P45536" s="13"/>
    </row>
    <row r="45537">
      <c r="L45537" s="13"/>
      <c r="M45537" s="14"/>
      <c r="N45537" s="14"/>
      <c r="O45537" s="14"/>
      <c r="P45537" s="13"/>
    </row>
    <row r="45538">
      <c r="L45538" s="13"/>
      <c r="M45538" s="14"/>
      <c r="N45538" s="14"/>
      <c r="O45538" s="14"/>
      <c r="P45538" s="13"/>
    </row>
    <row r="45539">
      <c r="L45539" s="13"/>
      <c r="M45539" s="14"/>
      <c r="N45539" s="14"/>
      <c r="O45539" s="14"/>
      <c r="P45539" s="13"/>
    </row>
    <row r="45540">
      <c r="L45540" s="13"/>
      <c r="M45540" s="14"/>
      <c r="N45540" s="14"/>
      <c r="O45540" s="14"/>
      <c r="P45540" s="13"/>
    </row>
    <row r="45541">
      <c r="L45541" s="13"/>
      <c r="M45541" s="14"/>
      <c r="N45541" s="14"/>
      <c r="O45541" s="14"/>
      <c r="P45541" s="13"/>
    </row>
    <row r="45542">
      <c r="L45542" s="13"/>
      <c r="M45542" s="14"/>
      <c r="N45542" s="14"/>
      <c r="O45542" s="14"/>
      <c r="P45542" s="13"/>
    </row>
    <row r="45543">
      <c r="L45543" s="13"/>
      <c r="M45543" s="14"/>
      <c r="N45543" s="14"/>
      <c r="O45543" s="14"/>
      <c r="P45543" s="13"/>
    </row>
    <row r="45544">
      <c r="L45544" s="13"/>
      <c r="M45544" s="14"/>
      <c r="N45544" s="14"/>
      <c r="O45544" s="14"/>
      <c r="P45544" s="13"/>
    </row>
    <row r="45545">
      <c r="L45545" s="13"/>
      <c r="M45545" s="14"/>
      <c r="N45545" s="14"/>
      <c r="O45545" s="14"/>
      <c r="P45545" s="13"/>
    </row>
    <row r="45546">
      <c r="L45546" s="13"/>
      <c r="M45546" s="14"/>
      <c r="N45546" s="14"/>
      <c r="O45546" s="14"/>
      <c r="P45546" s="13"/>
    </row>
    <row r="45547">
      <c r="L45547" s="13"/>
      <c r="M45547" s="14"/>
      <c r="N45547" s="14"/>
      <c r="O45547" s="14"/>
      <c r="P45547" s="13"/>
    </row>
    <row r="45548">
      <c r="L45548" s="13"/>
      <c r="M45548" s="14"/>
      <c r="N45548" s="14"/>
      <c r="O45548" s="14"/>
      <c r="P45548" s="13"/>
    </row>
    <row r="45549">
      <c r="L45549" s="13"/>
      <c r="M45549" s="14"/>
      <c r="N45549" s="14"/>
      <c r="O45549" s="14"/>
      <c r="P45549" s="13"/>
    </row>
    <row r="45550">
      <c r="L45550" s="13"/>
      <c r="M45550" s="14"/>
      <c r="N45550" s="14"/>
      <c r="O45550" s="14"/>
      <c r="P45550" s="13"/>
    </row>
    <row r="45551">
      <c r="L45551" s="13"/>
      <c r="M45551" s="14"/>
      <c r="N45551" s="14"/>
      <c r="O45551" s="14"/>
      <c r="P45551" s="13"/>
    </row>
    <row r="45552">
      <c r="L45552" s="13"/>
      <c r="M45552" s="14"/>
      <c r="N45552" s="14"/>
      <c r="O45552" s="14"/>
      <c r="P45552" s="13"/>
    </row>
    <row r="45553">
      <c r="L45553" s="13"/>
      <c r="M45553" s="14"/>
      <c r="N45553" s="14"/>
      <c r="O45553" s="14"/>
      <c r="P45553" s="13"/>
    </row>
    <row r="45554">
      <c r="L45554" s="13"/>
      <c r="M45554" s="14"/>
      <c r="N45554" s="14"/>
      <c r="O45554" s="14"/>
      <c r="P45554" s="13"/>
    </row>
    <row r="45555">
      <c r="L45555" s="13"/>
      <c r="M45555" s="14"/>
      <c r="N45555" s="14"/>
      <c r="O45555" s="14"/>
      <c r="P45555" s="13"/>
    </row>
    <row r="45556">
      <c r="L45556" s="13"/>
      <c r="M45556" s="14"/>
      <c r="N45556" s="14"/>
      <c r="O45556" s="14"/>
      <c r="P45556" s="13"/>
    </row>
    <row r="45557">
      <c r="L45557" s="13"/>
      <c r="M45557" s="14"/>
      <c r="N45557" s="14"/>
      <c r="O45557" s="14"/>
      <c r="P45557" s="13"/>
    </row>
    <row r="45558">
      <c r="L45558" s="13"/>
      <c r="M45558" s="14"/>
      <c r="N45558" s="14"/>
      <c r="O45558" s="14"/>
      <c r="P45558" s="13"/>
    </row>
    <row r="45559">
      <c r="L45559" s="13"/>
      <c r="M45559" s="14"/>
      <c r="N45559" s="14"/>
      <c r="O45559" s="14"/>
      <c r="P45559" s="13"/>
    </row>
    <row r="45560">
      <c r="L45560" s="13"/>
      <c r="M45560" s="14"/>
      <c r="N45560" s="14"/>
      <c r="O45560" s="14"/>
      <c r="P45560" s="13"/>
    </row>
    <row r="45561">
      <c r="L45561" s="13"/>
      <c r="M45561" s="14"/>
      <c r="N45561" s="14"/>
      <c r="O45561" s="14"/>
      <c r="P45561" s="13"/>
    </row>
    <row r="45562">
      <c r="L45562" s="13"/>
      <c r="M45562" s="14"/>
      <c r="N45562" s="14"/>
      <c r="O45562" s="14"/>
      <c r="P45562" s="13"/>
    </row>
    <row r="45563">
      <c r="L45563" s="13"/>
      <c r="M45563" s="14"/>
      <c r="N45563" s="14"/>
      <c r="O45563" s="14"/>
      <c r="P45563" s="13"/>
    </row>
    <row r="45564">
      <c r="L45564" s="13"/>
      <c r="M45564" s="14"/>
      <c r="N45564" s="14"/>
      <c r="O45564" s="14"/>
      <c r="P45564" s="13"/>
    </row>
    <row r="45565">
      <c r="L45565" s="13"/>
      <c r="M45565" s="14"/>
      <c r="N45565" s="14"/>
      <c r="O45565" s="14"/>
      <c r="P45565" s="13"/>
    </row>
    <row r="45566">
      <c r="L45566" s="13"/>
      <c r="M45566" s="14"/>
      <c r="N45566" s="14"/>
      <c r="O45566" s="14"/>
      <c r="P45566" s="13"/>
    </row>
    <row r="45567">
      <c r="L45567" s="13"/>
      <c r="M45567" s="14"/>
      <c r="N45567" s="14"/>
      <c r="O45567" s="14"/>
      <c r="P45567" s="13"/>
    </row>
    <row r="45568">
      <c r="L45568" s="13"/>
      <c r="M45568" s="14"/>
      <c r="N45568" s="14"/>
      <c r="O45568" s="14"/>
      <c r="P45568" s="13"/>
    </row>
    <row r="45569">
      <c r="L45569" s="13"/>
      <c r="M45569" s="14"/>
      <c r="N45569" s="14"/>
      <c r="O45569" s="14"/>
      <c r="P45569" s="13"/>
    </row>
    <row r="45570">
      <c r="L45570" s="13"/>
      <c r="M45570" s="14"/>
      <c r="N45570" s="14"/>
      <c r="O45570" s="14"/>
      <c r="P45570" s="13"/>
    </row>
    <row r="45571">
      <c r="L45571" s="13"/>
      <c r="M45571" s="14"/>
      <c r="N45571" s="14"/>
      <c r="O45571" s="14"/>
      <c r="P45571" s="13"/>
    </row>
    <row r="45572">
      <c r="L45572" s="13"/>
      <c r="M45572" s="14"/>
      <c r="N45572" s="14"/>
      <c r="O45572" s="14"/>
      <c r="P45572" s="13"/>
    </row>
    <row r="45573">
      <c r="L45573" s="13"/>
      <c r="M45573" s="14"/>
      <c r="N45573" s="14"/>
      <c r="O45573" s="14"/>
      <c r="P45573" s="13"/>
    </row>
    <row r="45574">
      <c r="L45574" s="13"/>
      <c r="M45574" s="14"/>
      <c r="N45574" s="14"/>
      <c r="O45574" s="14"/>
      <c r="P45574" s="13"/>
    </row>
    <row r="45575">
      <c r="L45575" s="13"/>
      <c r="M45575" s="14"/>
      <c r="N45575" s="14"/>
      <c r="O45575" s="14"/>
      <c r="P45575" s="13"/>
    </row>
    <row r="45576">
      <c r="L45576" s="13"/>
      <c r="M45576" s="14"/>
      <c r="N45576" s="14"/>
      <c r="O45576" s="14"/>
      <c r="P45576" s="13"/>
    </row>
    <row r="45577">
      <c r="L45577" s="13"/>
      <c r="M45577" s="14"/>
      <c r="N45577" s="14"/>
      <c r="O45577" s="14"/>
      <c r="P45577" s="13"/>
    </row>
    <row r="45578">
      <c r="L45578" s="13"/>
      <c r="M45578" s="14"/>
      <c r="N45578" s="14"/>
      <c r="O45578" s="14"/>
      <c r="P45578" s="13"/>
    </row>
    <row r="45579">
      <c r="L45579" s="13"/>
      <c r="M45579" s="14"/>
      <c r="N45579" s="14"/>
      <c r="O45579" s="14"/>
      <c r="P45579" s="13"/>
    </row>
    <row r="45580">
      <c r="L45580" s="13"/>
      <c r="M45580" s="14"/>
      <c r="N45580" s="14"/>
      <c r="O45580" s="14"/>
      <c r="P45580" s="13"/>
    </row>
    <row r="45581">
      <c r="L45581" s="13"/>
      <c r="M45581" s="14"/>
      <c r="N45581" s="14"/>
      <c r="O45581" s="14"/>
      <c r="P45581" s="13"/>
    </row>
    <row r="45582">
      <c r="L45582" s="13"/>
      <c r="M45582" s="14"/>
      <c r="N45582" s="14"/>
      <c r="O45582" s="14"/>
      <c r="P45582" s="13"/>
    </row>
    <row r="45583">
      <c r="L45583" s="13"/>
      <c r="M45583" s="14"/>
      <c r="N45583" s="14"/>
      <c r="O45583" s="14"/>
      <c r="P45583" s="13"/>
    </row>
    <row r="45584">
      <c r="L45584" s="13"/>
      <c r="M45584" s="14"/>
      <c r="N45584" s="14"/>
      <c r="O45584" s="14"/>
      <c r="P45584" s="13"/>
    </row>
    <row r="45585">
      <c r="L45585" s="13"/>
      <c r="M45585" s="14"/>
      <c r="N45585" s="14"/>
      <c r="O45585" s="14"/>
      <c r="P45585" s="13"/>
    </row>
    <row r="45586">
      <c r="L45586" s="13"/>
      <c r="M45586" s="14"/>
      <c r="N45586" s="14"/>
      <c r="O45586" s="14"/>
      <c r="P45586" s="13"/>
    </row>
    <row r="45587">
      <c r="L45587" s="13"/>
      <c r="M45587" s="14"/>
      <c r="N45587" s="14"/>
      <c r="O45587" s="14"/>
      <c r="P45587" s="13"/>
    </row>
    <row r="45588">
      <c r="L45588" s="13"/>
      <c r="M45588" s="14"/>
      <c r="N45588" s="14"/>
      <c r="O45588" s="14"/>
      <c r="P45588" s="13"/>
    </row>
    <row r="45589">
      <c r="L45589" s="13"/>
      <c r="M45589" s="14"/>
      <c r="N45589" s="14"/>
      <c r="O45589" s="14"/>
      <c r="P45589" s="13"/>
    </row>
    <row r="45590">
      <c r="L45590" s="13"/>
      <c r="M45590" s="14"/>
      <c r="N45590" s="14"/>
      <c r="O45590" s="14"/>
      <c r="P45590" s="13"/>
    </row>
    <row r="45591">
      <c r="L45591" s="13"/>
      <c r="M45591" s="14"/>
      <c r="N45591" s="14"/>
      <c r="O45591" s="14"/>
      <c r="P45591" s="13"/>
    </row>
    <row r="45592">
      <c r="L45592" s="13"/>
      <c r="M45592" s="14"/>
      <c r="N45592" s="14"/>
      <c r="O45592" s="14"/>
      <c r="P45592" s="13"/>
    </row>
    <row r="45593">
      <c r="L45593" s="13"/>
      <c r="M45593" s="14"/>
      <c r="N45593" s="14"/>
      <c r="O45593" s="14"/>
      <c r="P45593" s="13"/>
    </row>
    <row r="45594">
      <c r="L45594" s="13"/>
      <c r="M45594" s="14"/>
      <c r="N45594" s="14"/>
      <c r="O45594" s="14"/>
      <c r="P45594" s="13"/>
    </row>
    <row r="45595">
      <c r="L45595" s="13"/>
      <c r="M45595" s="14"/>
      <c r="N45595" s="14"/>
      <c r="O45595" s="14"/>
      <c r="P45595" s="13"/>
    </row>
    <row r="45596">
      <c r="L45596" s="13"/>
      <c r="M45596" s="14"/>
      <c r="N45596" s="14"/>
      <c r="O45596" s="14"/>
      <c r="P45596" s="13"/>
    </row>
    <row r="45597">
      <c r="L45597" s="13"/>
      <c r="M45597" s="14"/>
      <c r="N45597" s="14"/>
      <c r="O45597" s="14"/>
      <c r="P45597" s="13"/>
    </row>
    <row r="45598">
      <c r="L45598" s="13"/>
      <c r="M45598" s="14"/>
      <c r="N45598" s="14"/>
      <c r="O45598" s="14"/>
      <c r="P45598" s="13"/>
    </row>
    <row r="45599">
      <c r="L45599" s="13"/>
      <c r="M45599" s="14"/>
      <c r="N45599" s="14"/>
      <c r="O45599" s="14"/>
      <c r="P45599" s="13"/>
    </row>
    <row r="45600">
      <c r="L45600" s="13"/>
      <c r="M45600" s="14"/>
      <c r="N45600" s="14"/>
      <c r="O45600" s="14"/>
      <c r="P45600" s="13"/>
    </row>
    <row r="45601">
      <c r="L45601" s="13"/>
      <c r="M45601" s="14"/>
      <c r="N45601" s="14"/>
      <c r="O45601" s="14"/>
      <c r="P45601" s="13"/>
    </row>
    <row r="45602">
      <c r="L45602" s="13"/>
      <c r="M45602" s="14"/>
      <c r="N45602" s="14"/>
      <c r="O45602" s="14"/>
      <c r="P45602" s="13"/>
    </row>
    <row r="45603">
      <c r="L45603" s="13"/>
      <c r="M45603" s="14"/>
      <c r="N45603" s="14"/>
      <c r="O45603" s="14"/>
      <c r="P45603" s="13"/>
    </row>
    <row r="45604">
      <c r="L45604" s="13"/>
      <c r="M45604" s="14"/>
      <c r="N45604" s="14"/>
      <c r="O45604" s="14"/>
      <c r="P45604" s="13"/>
    </row>
    <row r="45605">
      <c r="L45605" s="13"/>
      <c r="M45605" s="14"/>
      <c r="N45605" s="14"/>
      <c r="O45605" s="14"/>
      <c r="P45605" s="13"/>
    </row>
    <row r="45606">
      <c r="L45606" s="13"/>
      <c r="M45606" s="14"/>
      <c r="N45606" s="14"/>
      <c r="O45606" s="14"/>
      <c r="P45606" s="13"/>
    </row>
    <row r="45607">
      <c r="L45607" s="13"/>
      <c r="M45607" s="14"/>
      <c r="N45607" s="14"/>
      <c r="O45607" s="14"/>
      <c r="P45607" s="13"/>
    </row>
    <row r="45608">
      <c r="L45608" s="13"/>
      <c r="M45608" s="14"/>
      <c r="N45608" s="14"/>
      <c r="O45608" s="14"/>
      <c r="P45608" s="13"/>
    </row>
    <row r="45609">
      <c r="L45609" s="13"/>
      <c r="M45609" s="14"/>
      <c r="N45609" s="14"/>
      <c r="O45609" s="14"/>
      <c r="P45609" s="13"/>
    </row>
    <row r="45610">
      <c r="L45610" s="13"/>
      <c r="M45610" s="14"/>
      <c r="N45610" s="14"/>
      <c r="O45610" s="14"/>
      <c r="P45610" s="13"/>
    </row>
    <row r="45611">
      <c r="L45611" s="13"/>
      <c r="M45611" s="14"/>
      <c r="N45611" s="14"/>
      <c r="O45611" s="14"/>
      <c r="P45611" s="13"/>
    </row>
    <row r="45612">
      <c r="L45612" s="13"/>
      <c r="M45612" s="14"/>
      <c r="N45612" s="14"/>
      <c r="O45612" s="14"/>
      <c r="P45612" s="13"/>
    </row>
    <row r="45613">
      <c r="L45613" s="13"/>
      <c r="M45613" s="14"/>
      <c r="N45613" s="14"/>
      <c r="O45613" s="14"/>
      <c r="P45613" s="13"/>
    </row>
    <row r="45614">
      <c r="L45614" s="13"/>
      <c r="M45614" s="14"/>
      <c r="N45614" s="14"/>
      <c r="O45614" s="14"/>
      <c r="P45614" s="13"/>
    </row>
    <row r="45615">
      <c r="L45615" s="13"/>
      <c r="M45615" s="14"/>
      <c r="N45615" s="14"/>
      <c r="O45615" s="14"/>
      <c r="P45615" s="13"/>
    </row>
    <row r="45616">
      <c r="L45616" s="13"/>
      <c r="M45616" s="14"/>
      <c r="N45616" s="14"/>
      <c r="O45616" s="14"/>
      <c r="P45616" s="13"/>
    </row>
    <row r="45617">
      <c r="L45617" s="13"/>
      <c r="M45617" s="14"/>
      <c r="N45617" s="14"/>
      <c r="O45617" s="14"/>
      <c r="P45617" s="13"/>
    </row>
    <row r="45618">
      <c r="L45618" s="13"/>
      <c r="M45618" s="14"/>
      <c r="N45618" s="14"/>
      <c r="O45618" s="14"/>
      <c r="P45618" s="13"/>
    </row>
    <row r="45619">
      <c r="L45619" s="13"/>
      <c r="M45619" s="14"/>
      <c r="N45619" s="14"/>
      <c r="O45619" s="14"/>
      <c r="P45619" s="13"/>
    </row>
    <row r="45620">
      <c r="L45620" s="13"/>
      <c r="M45620" s="14"/>
      <c r="N45620" s="14"/>
      <c r="O45620" s="14"/>
      <c r="P45620" s="13"/>
    </row>
    <row r="45621">
      <c r="L45621" s="13"/>
      <c r="M45621" s="14"/>
      <c r="N45621" s="14"/>
      <c r="O45621" s="14"/>
      <c r="P45621" s="13"/>
    </row>
    <row r="45622">
      <c r="L45622" s="13"/>
      <c r="M45622" s="14"/>
      <c r="N45622" s="14"/>
      <c r="O45622" s="14"/>
      <c r="P45622" s="13"/>
    </row>
    <row r="45623">
      <c r="L45623" s="13"/>
      <c r="M45623" s="14"/>
      <c r="N45623" s="14"/>
      <c r="O45623" s="14"/>
      <c r="P45623" s="13"/>
    </row>
    <row r="45624">
      <c r="L45624" s="13"/>
      <c r="M45624" s="14"/>
      <c r="N45624" s="14"/>
      <c r="O45624" s="14"/>
      <c r="P45624" s="13"/>
    </row>
    <row r="45625">
      <c r="L45625" s="13"/>
      <c r="M45625" s="14"/>
      <c r="N45625" s="14"/>
      <c r="O45625" s="14"/>
      <c r="P45625" s="13"/>
    </row>
    <row r="45626">
      <c r="L45626" s="13"/>
      <c r="M45626" s="14"/>
      <c r="N45626" s="14"/>
      <c r="O45626" s="14"/>
      <c r="P45626" s="13"/>
    </row>
    <row r="45627">
      <c r="L45627" s="13"/>
      <c r="M45627" s="14"/>
      <c r="N45627" s="14"/>
      <c r="O45627" s="14"/>
      <c r="P45627" s="13"/>
    </row>
    <row r="45628">
      <c r="L45628" s="13"/>
      <c r="M45628" s="14"/>
      <c r="N45628" s="14"/>
      <c r="O45628" s="14"/>
      <c r="P45628" s="13"/>
    </row>
    <row r="45629">
      <c r="L45629" s="13"/>
      <c r="M45629" s="14"/>
      <c r="N45629" s="14"/>
      <c r="O45629" s="14"/>
      <c r="P45629" s="13"/>
    </row>
    <row r="45630">
      <c r="L45630" s="13"/>
      <c r="M45630" s="14"/>
      <c r="N45630" s="14"/>
      <c r="O45630" s="14"/>
      <c r="P45630" s="13"/>
    </row>
    <row r="45631">
      <c r="L45631" s="13"/>
      <c r="M45631" s="14"/>
      <c r="N45631" s="14"/>
      <c r="O45631" s="14"/>
      <c r="P45631" s="13"/>
    </row>
    <row r="45632">
      <c r="L45632" s="13"/>
      <c r="M45632" s="14"/>
      <c r="N45632" s="14"/>
      <c r="O45632" s="14"/>
      <c r="P45632" s="13"/>
    </row>
    <row r="45633">
      <c r="L45633" s="13"/>
      <c r="M45633" s="14"/>
      <c r="N45633" s="14"/>
      <c r="O45633" s="14"/>
      <c r="P45633" s="13"/>
    </row>
    <row r="45634">
      <c r="L45634" s="13"/>
      <c r="M45634" s="14"/>
      <c r="N45634" s="14"/>
      <c r="O45634" s="14"/>
      <c r="P45634" s="13"/>
    </row>
    <row r="45635">
      <c r="L45635" s="13"/>
      <c r="M45635" s="14"/>
      <c r="N45635" s="14"/>
      <c r="O45635" s="14"/>
      <c r="P45635" s="13"/>
    </row>
    <row r="45636">
      <c r="L45636" s="13"/>
      <c r="M45636" s="14"/>
      <c r="N45636" s="14"/>
      <c r="O45636" s="14"/>
      <c r="P45636" s="13"/>
    </row>
    <row r="45637">
      <c r="L45637" s="13"/>
      <c r="M45637" s="14"/>
      <c r="N45637" s="14"/>
      <c r="O45637" s="14"/>
      <c r="P45637" s="13"/>
    </row>
    <row r="45638">
      <c r="L45638" s="13"/>
      <c r="M45638" s="14"/>
      <c r="N45638" s="14"/>
      <c r="O45638" s="14"/>
      <c r="P45638" s="13"/>
    </row>
    <row r="45639">
      <c r="L45639" s="13"/>
      <c r="M45639" s="14"/>
      <c r="N45639" s="14"/>
      <c r="O45639" s="14"/>
      <c r="P45639" s="13"/>
    </row>
    <row r="45640">
      <c r="L45640" s="13"/>
      <c r="M45640" s="14"/>
      <c r="N45640" s="14"/>
      <c r="O45640" s="14"/>
      <c r="P45640" s="13"/>
    </row>
    <row r="45641">
      <c r="L45641" s="13"/>
      <c r="M45641" s="14"/>
      <c r="N45641" s="14"/>
      <c r="O45641" s="14"/>
      <c r="P45641" s="13"/>
    </row>
    <row r="45642">
      <c r="L45642" s="13"/>
      <c r="M45642" s="14"/>
      <c r="N45642" s="14"/>
      <c r="O45642" s="14"/>
      <c r="P45642" s="13"/>
    </row>
    <row r="45643">
      <c r="L45643" s="13"/>
      <c r="M45643" s="14"/>
      <c r="N45643" s="14"/>
      <c r="O45643" s="14"/>
      <c r="P45643" s="13"/>
    </row>
    <row r="45644">
      <c r="L45644" s="13"/>
      <c r="M45644" s="14"/>
      <c r="N45644" s="14"/>
      <c r="O45644" s="14"/>
      <c r="P45644" s="13"/>
    </row>
    <row r="45645">
      <c r="L45645" s="13"/>
      <c r="M45645" s="14"/>
      <c r="N45645" s="14"/>
      <c r="O45645" s="14"/>
      <c r="P45645" s="13"/>
    </row>
    <row r="45646">
      <c r="L45646" s="13"/>
      <c r="M45646" s="14"/>
      <c r="N45646" s="14"/>
      <c r="O45646" s="14"/>
      <c r="P45646" s="13"/>
    </row>
    <row r="45647">
      <c r="L45647" s="13"/>
      <c r="M45647" s="14"/>
      <c r="N45647" s="14"/>
      <c r="O45647" s="14"/>
      <c r="P45647" s="13"/>
    </row>
    <row r="45648">
      <c r="L45648" s="13"/>
      <c r="M45648" s="14"/>
      <c r="N45648" s="14"/>
      <c r="O45648" s="14"/>
      <c r="P45648" s="13"/>
    </row>
    <row r="45649">
      <c r="L45649" s="13"/>
      <c r="M45649" s="14"/>
      <c r="N45649" s="14"/>
      <c r="O45649" s="14"/>
      <c r="P45649" s="13"/>
    </row>
    <row r="45650">
      <c r="L45650" s="13"/>
      <c r="M45650" s="14"/>
      <c r="N45650" s="14"/>
      <c r="O45650" s="14"/>
      <c r="P45650" s="13"/>
    </row>
    <row r="45651">
      <c r="L45651" s="13"/>
      <c r="M45651" s="14"/>
      <c r="N45651" s="14"/>
      <c r="O45651" s="14"/>
      <c r="P45651" s="13"/>
    </row>
    <row r="45652">
      <c r="L45652" s="13"/>
      <c r="M45652" s="14"/>
      <c r="N45652" s="14"/>
      <c r="O45652" s="14"/>
      <c r="P45652" s="13"/>
    </row>
    <row r="45653">
      <c r="L45653" s="13"/>
      <c r="M45653" s="14"/>
      <c r="N45653" s="14"/>
      <c r="O45653" s="14"/>
      <c r="P45653" s="13"/>
    </row>
    <row r="45654">
      <c r="L45654" s="13"/>
      <c r="M45654" s="14"/>
      <c r="N45654" s="14"/>
      <c r="O45654" s="14"/>
      <c r="P45654" s="13"/>
    </row>
    <row r="45655">
      <c r="L45655" s="13"/>
      <c r="M45655" s="14"/>
      <c r="N45655" s="14"/>
      <c r="O45655" s="14"/>
      <c r="P45655" s="13"/>
    </row>
    <row r="45656">
      <c r="L45656" s="13"/>
      <c r="M45656" s="14"/>
      <c r="N45656" s="14"/>
      <c r="O45656" s="14"/>
      <c r="P45656" s="13"/>
    </row>
    <row r="45657">
      <c r="L45657" s="13"/>
      <c r="M45657" s="14"/>
      <c r="N45657" s="14"/>
      <c r="O45657" s="14"/>
      <c r="P45657" s="13"/>
    </row>
    <row r="45658">
      <c r="L45658" s="13"/>
      <c r="M45658" s="14"/>
      <c r="N45658" s="14"/>
      <c r="O45658" s="14"/>
      <c r="P45658" s="13"/>
    </row>
    <row r="45659">
      <c r="L45659" s="13"/>
      <c r="M45659" s="14"/>
      <c r="N45659" s="14"/>
      <c r="O45659" s="14"/>
      <c r="P45659" s="13"/>
    </row>
    <row r="45660">
      <c r="L45660" s="13"/>
      <c r="M45660" s="14"/>
      <c r="N45660" s="14"/>
      <c r="O45660" s="14"/>
      <c r="P45660" s="13"/>
    </row>
    <row r="45661">
      <c r="L45661" s="13"/>
      <c r="M45661" s="14"/>
      <c r="N45661" s="14"/>
      <c r="O45661" s="14"/>
      <c r="P45661" s="13"/>
    </row>
    <row r="45662">
      <c r="L45662" s="13"/>
      <c r="M45662" s="14"/>
      <c r="N45662" s="14"/>
      <c r="O45662" s="14"/>
      <c r="P45662" s="13"/>
    </row>
    <row r="45663">
      <c r="L45663" s="13"/>
      <c r="M45663" s="14"/>
      <c r="N45663" s="14"/>
      <c r="O45663" s="14"/>
      <c r="P45663" s="13"/>
    </row>
    <row r="45664">
      <c r="L45664" s="13"/>
      <c r="M45664" s="14"/>
      <c r="N45664" s="14"/>
      <c r="O45664" s="14"/>
      <c r="P45664" s="13"/>
    </row>
    <row r="45665">
      <c r="L45665" s="13"/>
      <c r="M45665" s="14"/>
      <c r="N45665" s="14"/>
      <c r="O45665" s="14"/>
      <c r="P45665" s="13"/>
    </row>
    <row r="45666">
      <c r="L45666" s="13"/>
      <c r="M45666" s="14"/>
      <c r="N45666" s="14"/>
      <c r="O45666" s="14"/>
      <c r="P45666" s="13"/>
    </row>
    <row r="45667">
      <c r="L45667" s="13"/>
      <c r="M45667" s="14"/>
      <c r="N45667" s="14"/>
      <c r="O45667" s="14"/>
      <c r="P45667" s="13"/>
    </row>
    <row r="45668">
      <c r="L45668" s="13"/>
      <c r="M45668" s="14"/>
      <c r="N45668" s="14"/>
      <c r="O45668" s="14"/>
      <c r="P45668" s="13"/>
    </row>
    <row r="45669">
      <c r="L45669" s="13"/>
      <c r="M45669" s="14"/>
      <c r="N45669" s="14"/>
      <c r="O45669" s="14"/>
      <c r="P45669" s="13"/>
    </row>
    <row r="45670">
      <c r="L45670" s="13"/>
      <c r="M45670" s="14"/>
      <c r="N45670" s="14"/>
      <c r="O45670" s="14"/>
      <c r="P45670" s="13"/>
    </row>
    <row r="45671">
      <c r="L45671" s="13"/>
      <c r="M45671" s="14"/>
      <c r="N45671" s="14"/>
      <c r="O45671" s="14"/>
      <c r="P45671" s="13"/>
    </row>
    <row r="45672">
      <c r="L45672" s="13"/>
      <c r="M45672" s="14"/>
      <c r="N45672" s="14"/>
      <c r="O45672" s="14"/>
      <c r="P45672" s="13"/>
    </row>
    <row r="45673">
      <c r="L45673" s="13"/>
      <c r="M45673" s="14"/>
      <c r="N45673" s="14"/>
      <c r="O45673" s="14"/>
      <c r="P45673" s="13"/>
    </row>
    <row r="45674">
      <c r="L45674" s="13"/>
      <c r="M45674" s="14"/>
      <c r="N45674" s="14"/>
      <c r="O45674" s="14"/>
      <c r="P45674" s="13"/>
    </row>
    <row r="45675">
      <c r="L45675" s="13"/>
      <c r="M45675" s="14"/>
      <c r="N45675" s="14"/>
      <c r="O45675" s="14"/>
      <c r="P45675" s="13"/>
    </row>
    <row r="45676">
      <c r="L45676" s="13"/>
      <c r="M45676" s="14"/>
      <c r="N45676" s="14"/>
      <c r="O45676" s="14"/>
      <c r="P45676" s="13"/>
    </row>
    <row r="45677">
      <c r="L45677" s="13"/>
      <c r="M45677" s="14"/>
      <c r="N45677" s="14"/>
      <c r="O45677" s="14"/>
      <c r="P45677" s="13"/>
    </row>
    <row r="45678">
      <c r="L45678" s="13"/>
      <c r="M45678" s="14"/>
      <c r="N45678" s="14"/>
      <c r="O45678" s="14"/>
      <c r="P45678" s="13"/>
    </row>
    <row r="45679">
      <c r="L45679" s="13"/>
      <c r="M45679" s="14"/>
      <c r="N45679" s="14"/>
      <c r="O45679" s="14"/>
      <c r="P45679" s="13"/>
    </row>
    <row r="45680">
      <c r="L45680" s="13"/>
      <c r="M45680" s="14"/>
      <c r="N45680" s="14"/>
      <c r="O45680" s="14"/>
      <c r="P45680" s="13"/>
    </row>
    <row r="45681">
      <c r="L45681" s="13"/>
      <c r="M45681" s="14"/>
      <c r="N45681" s="14"/>
      <c r="O45681" s="14"/>
      <c r="P45681" s="13"/>
    </row>
    <row r="45682">
      <c r="L45682" s="13"/>
      <c r="M45682" s="14"/>
      <c r="N45682" s="14"/>
      <c r="O45682" s="14"/>
      <c r="P45682" s="13"/>
    </row>
    <row r="45683">
      <c r="L45683" s="13"/>
      <c r="M45683" s="14"/>
      <c r="N45683" s="14"/>
      <c r="O45683" s="14"/>
      <c r="P45683" s="13"/>
    </row>
    <row r="45684">
      <c r="L45684" s="13"/>
      <c r="M45684" s="14"/>
      <c r="N45684" s="14"/>
      <c r="O45684" s="14"/>
      <c r="P45684" s="13"/>
    </row>
    <row r="45685">
      <c r="L45685" s="13"/>
      <c r="M45685" s="14"/>
      <c r="N45685" s="14"/>
      <c r="O45685" s="14"/>
      <c r="P45685" s="13"/>
    </row>
    <row r="45686">
      <c r="L45686" s="13"/>
      <c r="M45686" s="14"/>
      <c r="N45686" s="14"/>
      <c r="O45686" s="14"/>
      <c r="P45686" s="13"/>
    </row>
    <row r="45687">
      <c r="L45687" s="13"/>
      <c r="M45687" s="14"/>
      <c r="N45687" s="14"/>
      <c r="O45687" s="14"/>
      <c r="P45687" s="13"/>
    </row>
    <row r="45688">
      <c r="L45688" s="13"/>
      <c r="M45688" s="14"/>
      <c r="N45688" s="14"/>
      <c r="O45688" s="14"/>
      <c r="P45688" s="13"/>
    </row>
    <row r="45689">
      <c r="L45689" s="13"/>
      <c r="M45689" s="14"/>
      <c r="N45689" s="14"/>
      <c r="O45689" s="14"/>
      <c r="P45689" s="13"/>
    </row>
    <row r="45690">
      <c r="L45690" s="13"/>
      <c r="M45690" s="14"/>
      <c r="N45690" s="14"/>
      <c r="O45690" s="14"/>
      <c r="P45690" s="13"/>
    </row>
    <row r="45691">
      <c r="L45691" s="13"/>
      <c r="M45691" s="14"/>
      <c r="N45691" s="14"/>
      <c r="O45691" s="14"/>
      <c r="P45691" s="13"/>
    </row>
    <row r="45692">
      <c r="L45692" s="13"/>
      <c r="M45692" s="14"/>
      <c r="N45692" s="14"/>
      <c r="O45692" s="14"/>
      <c r="P45692" s="13"/>
    </row>
    <row r="45693">
      <c r="L45693" s="13"/>
      <c r="M45693" s="14"/>
      <c r="N45693" s="14"/>
      <c r="O45693" s="14"/>
      <c r="P45693" s="13"/>
    </row>
    <row r="45694">
      <c r="L45694" s="13"/>
      <c r="M45694" s="14"/>
      <c r="N45694" s="14"/>
      <c r="O45694" s="14"/>
      <c r="P45694" s="13"/>
    </row>
    <row r="45695">
      <c r="L45695" s="13"/>
      <c r="M45695" s="14"/>
      <c r="N45695" s="14"/>
      <c r="O45695" s="14"/>
      <c r="P45695" s="13"/>
    </row>
    <row r="45696">
      <c r="L45696" s="13"/>
      <c r="M45696" s="14"/>
      <c r="N45696" s="14"/>
      <c r="O45696" s="14"/>
      <c r="P45696" s="13"/>
    </row>
    <row r="45697">
      <c r="L45697" s="13"/>
      <c r="M45697" s="14"/>
      <c r="N45697" s="14"/>
      <c r="O45697" s="14"/>
      <c r="P45697" s="13"/>
    </row>
    <row r="45698">
      <c r="L45698" s="13"/>
      <c r="M45698" s="14"/>
      <c r="N45698" s="14"/>
      <c r="O45698" s="14"/>
      <c r="P45698" s="13"/>
    </row>
    <row r="45699">
      <c r="L45699" s="13"/>
      <c r="M45699" s="14"/>
      <c r="N45699" s="14"/>
      <c r="O45699" s="14"/>
      <c r="P45699" s="13"/>
    </row>
    <row r="45700">
      <c r="L45700" s="13"/>
      <c r="M45700" s="14"/>
      <c r="N45700" s="14"/>
      <c r="O45700" s="14"/>
      <c r="P45700" s="13"/>
    </row>
    <row r="45701">
      <c r="L45701" s="13"/>
      <c r="M45701" s="14"/>
      <c r="N45701" s="14"/>
      <c r="O45701" s="14"/>
      <c r="P45701" s="13"/>
    </row>
    <row r="45702">
      <c r="L45702" s="13"/>
      <c r="M45702" s="14"/>
      <c r="N45702" s="14"/>
      <c r="O45702" s="14"/>
      <c r="P45702" s="13"/>
    </row>
    <row r="45703">
      <c r="L45703" s="13"/>
      <c r="M45703" s="14"/>
      <c r="N45703" s="14"/>
      <c r="O45703" s="14"/>
      <c r="P45703" s="13"/>
    </row>
    <row r="45704">
      <c r="L45704" s="13"/>
      <c r="M45704" s="14"/>
      <c r="N45704" s="14"/>
      <c r="O45704" s="14"/>
      <c r="P45704" s="13"/>
    </row>
    <row r="45705">
      <c r="L45705" s="13"/>
      <c r="M45705" s="14"/>
      <c r="N45705" s="14"/>
      <c r="O45705" s="14"/>
      <c r="P45705" s="13"/>
    </row>
    <row r="45706">
      <c r="L45706" s="13"/>
      <c r="M45706" s="14"/>
      <c r="N45706" s="14"/>
      <c r="O45706" s="14"/>
      <c r="P45706" s="13"/>
    </row>
    <row r="45707">
      <c r="L45707" s="13"/>
      <c r="M45707" s="14"/>
      <c r="N45707" s="14"/>
      <c r="O45707" s="14"/>
      <c r="P45707" s="13"/>
    </row>
    <row r="45708">
      <c r="L45708" s="13"/>
      <c r="M45708" s="14"/>
      <c r="N45708" s="14"/>
      <c r="O45708" s="14"/>
      <c r="P45708" s="13"/>
    </row>
    <row r="45709">
      <c r="L45709" s="13"/>
      <c r="M45709" s="14"/>
      <c r="N45709" s="14"/>
      <c r="O45709" s="14"/>
      <c r="P45709" s="13"/>
    </row>
    <row r="45710">
      <c r="L45710" s="13"/>
      <c r="M45710" s="14"/>
      <c r="N45710" s="14"/>
      <c r="O45710" s="14"/>
      <c r="P45710" s="13"/>
    </row>
    <row r="45711">
      <c r="L45711" s="13"/>
      <c r="M45711" s="14"/>
      <c r="N45711" s="14"/>
      <c r="O45711" s="14"/>
      <c r="P45711" s="13"/>
    </row>
    <row r="45712">
      <c r="L45712" s="13"/>
      <c r="M45712" s="14"/>
      <c r="N45712" s="14"/>
      <c r="O45712" s="14"/>
      <c r="P45712" s="13"/>
    </row>
    <row r="45713">
      <c r="L45713" s="13"/>
      <c r="M45713" s="14"/>
      <c r="N45713" s="14"/>
      <c r="O45713" s="14"/>
      <c r="P45713" s="13"/>
    </row>
    <row r="45714">
      <c r="L45714" s="13"/>
      <c r="M45714" s="14"/>
      <c r="N45714" s="14"/>
      <c r="O45714" s="14"/>
      <c r="P45714" s="13"/>
    </row>
    <row r="45715">
      <c r="L45715" s="13"/>
      <c r="M45715" s="14"/>
      <c r="N45715" s="14"/>
      <c r="O45715" s="14"/>
      <c r="P45715" s="13"/>
    </row>
    <row r="45716">
      <c r="L45716" s="13"/>
      <c r="M45716" s="14"/>
      <c r="N45716" s="14"/>
      <c r="O45716" s="14"/>
      <c r="P45716" s="13"/>
    </row>
    <row r="45717">
      <c r="L45717" s="13"/>
      <c r="M45717" s="14"/>
      <c r="N45717" s="14"/>
      <c r="O45717" s="14"/>
      <c r="P45717" s="13"/>
    </row>
    <row r="45718">
      <c r="L45718" s="13"/>
      <c r="M45718" s="14"/>
      <c r="N45718" s="14"/>
      <c r="O45718" s="14"/>
      <c r="P45718" s="13"/>
    </row>
    <row r="45719">
      <c r="L45719" s="13"/>
      <c r="M45719" s="14"/>
      <c r="N45719" s="14"/>
      <c r="O45719" s="14"/>
      <c r="P45719" s="13"/>
    </row>
    <row r="45720">
      <c r="L45720" s="13"/>
      <c r="M45720" s="14"/>
      <c r="N45720" s="14"/>
      <c r="O45720" s="14"/>
      <c r="P45720" s="13"/>
    </row>
    <row r="45721">
      <c r="L45721" s="13"/>
      <c r="M45721" s="14"/>
      <c r="N45721" s="14"/>
      <c r="O45721" s="14"/>
      <c r="P45721" s="13"/>
    </row>
    <row r="45722">
      <c r="L45722" s="13"/>
      <c r="M45722" s="14"/>
      <c r="N45722" s="14"/>
      <c r="O45722" s="14"/>
      <c r="P45722" s="13"/>
    </row>
    <row r="45723">
      <c r="L45723" s="13"/>
      <c r="M45723" s="14"/>
      <c r="N45723" s="14"/>
      <c r="O45723" s="14"/>
      <c r="P45723" s="13"/>
    </row>
    <row r="45724">
      <c r="L45724" s="13"/>
      <c r="M45724" s="14"/>
      <c r="N45724" s="14"/>
      <c r="O45724" s="14"/>
      <c r="P45724" s="13"/>
    </row>
    <row r="45725">
      <c r="L45725" s="13"/>
      <c r="M45725" s="14"/>
      <c r="N45725" s="14"/>
      <c r="O45725" s="14"/>
      <c r="P45725" s="13"/>
    </row>
    <row r="45726">
      <c r="L45726" s="13"/>
      <c r="M45726" s="14"/>
      <c r="N45726" s="14"/>
      <c r="O45726" s="14"/>
      <c r="P45726" s="13"/>
    </row>
    <row r="45727">
      <c r="L45727" s="13"/>
      <c r="M45727" s="14"/>
      <c r="N45727" s="14"/>
      <c r="O45727" s="14"/>
      <c r="P45727" s="13"/>
    </row>
    <row r="45728">
      <c r="L45728" s="13"/>
      <c r="M45728" s="14"/>
      <c r="N45728" s="14"/>
      <c r="O45728" s="14"/>
      <c r="P45728" s="13"/>
    </row>
    <row r="45729">
      <c r="L45729" s="13"/>
      <c r="M45729" s="14"/>
      <c r="N45729" s="14"/>
      <c r="O45729" s="14"/>
      <c r="P45729" s="13"/>
    </row>
    <row r="45730">
      <c r="L45730" s="13"/>
      <c r="M45730" s="14"/>
      <c r="N45730" s="14"/>
      <c r="O45730" s="14"/>
      <c r="P45730" s="13"/>
    </row>
    <row r="45731">
      <c r="L45731" s="13"/>
      <c r="M45731" s="14"/>
      <c r="N45731" s="14"/>
      <c r="O45731" s="14"/>
      <c r="P45731" s="13"/>
    </row>
    <row r="45732">
      <c r="L45732" s="13"/>
      <c r="M45732" s="14"/>
      <c r="N45732" s="14"/>
      <c r="O45732" s="14"/>
      <c r="P45732" s="13"/>
    </row>
    <row r="45733">
      <c r="L45733" s="13"/>
      <c r="M45733" s="14"/>
      <c r="N45733" s="14"/>
      <c r="O45733" s="14"/>
      <c r="P45733" s="13"/>
    </row>
    <row r="45734">
      <c r="L45734" s="13"/>
      <c r="M45734" s="14"/>
      <c r="N45734" s="14"/>
      <c r="O45734" s="14"/>
      <c r="P45734" s="13"/>
    </row>
    <row r="45735">
      <c r="L45735" s="13"/>
      <c r="M45735" s="14"/>
      <c r="N45735" s="14"/>
      <c r="O45735" s="14"/>
      <c r="P45735" s="13"/>
    </row>
    <row r="45736">
      <c r="L45736" s="13"/>
      <c r="M45736" s="14"/>
      <c r="N45736" s="14"/>
      <c r="O45736" s="14"/>
      <c r="P45736" s="13"/>
    </row>
    <row r="45737">
      <c r="L45737" s="13"/>
      <c r="M45737" s="14"/>
      <c r="N45737" s="14"/>
      <c r="O45737" s="14"/>
      <c r="P45737" s="13"/>
    </row>
    <row r="45738">
      <c r="L45738" s="13"/>
      <c r="M45738" s="14"/>
      <c r="N45738" s="14"/>
      <c r="O45738" s="14"/>
      <c r="P45738" s="13"/>
    </row>
    <row r="45739">
      <c r="L45739" s="13"/>
      <c r="M45739" s="14"/>
      <c r="N45739" s="14"/>
      <c r="O45739" s="14"/>
      <c r="P45739" s="13"/>
    </row>
    <row r="45740">
      <c r="L45740" s="13"/>
      <c r="M45740" s="14"/>
      <c r="N45740" s="14"/>
      <c r="O45740" s="14"/>
      <c r="P45740" s="13"/>
    </row>
    <row r="45741">
      <c r="L45741" s="13"/>
      <c r="M45741" s="14"/>
      <c r="N45741" s="14"/>
      <c r="O45741" s="14"/>
      <c r="P45741" s="13"/>
    </row>
    <row r="45742">
      <c r="L45742" s="13"/>
      <c r="M45742" s="14"/>
      <c r="N45742" s="14"/>
      <c r="O45742" s="14"/>
      <c r="P45742" s="13"/>
    </row>
    <row r="45743">
      <c r="L45743" s="13"/>
      <c r="M45743" s="14"/>
      <c r="N45743" s="14"/>
      <c r="O45743" s="14"/>
      <c r="P45743" s="13"/>
    </row>
    <row r="45744">
      <c r="L45744" s="13"/>
      <c r="M45744" s="14"/>
      <c r="N45744" s="14"/>
      <c r="O45744" s="14"/>
      <c r="P45744" s="13"/>
    </row>
    <row r="45745">
      <c r="L45745" s="13"/>
      <c r="M45745" s="14"/>
      <c r="N45745" s="14"/>
      <c r="O45745" s="14"/>
      <c r="P45745" s="13"/>
    </row>
    <row r="45746">
      <c r="L45746" s="13"/>
      <c r="M45746" s="14"/>
      <c r="N45746" s="14"/>
      <c r="O45746" s="14"/>
      <c r="P45746" s="13"/>
    </row>
    <row r="45747">
      <c r="L45747" s="13"/>
      <c r="M45747" s="14"/>
      <c r="N45747" s="14"/>
      <c r="O45747" s="14"/>
      <c r="P45747" s="13"/>
    </row>
    <row r="45748">
      <c r="L45748" s="13"/>
      <c r="M45748" s="14"/>
      <c r="N45748" s="14"/>
      <c r="O45748" s="14"/>
      <c r="P45748" s="13"/>
    </row>
    <row r="45749">
      <c r="L45749" s="13"/>
      <c r="M45749" s="14"/>
      <c r="N45749" s="14"/>
      <c r="O45749" s="14"/>
      <c r="P45749" s="13"/>
    </row>
    <row r="45750">
      <c r="L45750" s="13"/>
      <c r="M45750" s="14"/>
      <c r="N45750" s="14"/>
      <c r="O45750" s="14"/>
      <c r="P45750" s="13"/>
    </row>
    <row r="45751">
      <c r="L45751" s="13"/>
      <c r="M45751" s="14"/>
      <c r="N45751" s="14"/>
      <c r="O45751" s="14"/>
      <c r="P45751" s="13"/>
    </row>
    <row r="45752">
      <c r="L45752" s="13"/>
      <c r="M45752" s="14"/>
      <c r="N45752" s="14"/>
      <c r="O45752" s="14"/>
      <c r="P45752" s="13"/>
    </row>
    <row r="45753">
      <c r="L45753" s="13"/>
      <c r="M45753" s="14"/>
      <c r="N45753" s="14"/>
      <c r="O45753" s="14"/>
      <c r="P45753" s="13"/>
    </row>
    <row r="45754">
      <c r="L45754" s="13"/>
      <c r="M45754" s="14"/>
      <c r="N45754" s="14"/>
      <c r="O45754" s="14"/>
      <c r="P45754" s="13"/>
    </row>
    <row r="45755">
      <c r="L45755" s="13"/>
      <c r="M45755" s="14"/>
      <c r="N45755" s="14"/>
      <c r="O45755" s="14"/>
      <c r="P45755" s="13"/>
    </row>
    <row r="45756">
      <c r="L45756" s="13"/>
      <c r="M45756" s="14"/>
      <c r="N45756" s="14"/>
      <c r="O45756" s="14"/>
      <c r="P45756" s="13"/>
    </row>
    <row r="45757">
      <c r="L45757" s="13"/>
      <c r="M45757" s="14"/>
      <c r="N45757" s="14"/>
      <c r="O45757" s="14"/>
      <c r="P45757" s="13"/>
    </row>
    <row r="45758">
      <c r="L45758" s="13"/>
      <c r="M45758" s="14"/>
      <c r="N45758" s="14"/>
      <c r="O45758" s="14"/>
      <c r="P45758" s="13"/>
    </row>
    <row r="45759">
      <c r="L45759" s="13"/>
      <c r="M45759" s="14"/>
      <c r="N45759" s="14"/>
      <c r="O45759" s="14"/>
      <c r="P45759" s="13"/>
    </row>
    <row r="45760">
      <c r="L45760" s="13"/>
      <c r="M45760" s="14"/>
      <c r="N45760" s="14"/>
      <c r="O45760" s="14"/>
      <c r="P45760" s="13"/>
    </row>
    <row r="45761">
      <c r="L45761" s="13"/>
      <c r="M45761" s="14"/>
      <c r="N45761" s="14"/>
      <c r="O45761" s="14"/>
      <c r="P45761" s="13"/>
    </row>
    <row r="45762">
      <c r="L45762" s="13"/>
      <c r="M45762" s="14"/>
      <c r="N45762" s="14"/>
      <c r="O45762" s="14"/>
      <c r="P45762" s="13"/>
    </row>
    <row r="45763">
      <c r="L45763" s="13"/>
      <c r="M45763" s="14"/>
      <c r="N45763" s="14"/>
      <c r="O45763" s="14"/>
      <c r="P45763" s="13"/>
    </row>
    <row r="45764">
      <c r="L45764" s="13"/>
      <c r="M45764" s="14"/>
      <c r="N45764" s="14"/>
      <c r="O45764" s="14"/>
      <c r="P45764" s="13"/>
    </row>
    <row r="45765">
      <c r="L45765" s="13"/>
      <c r="M45765" s="14"/>
      <c r="N45765" s="14"/>
      <c r="O45765" s="14"/>
      <c r="P45765" s="13"/>
    </row>
    <row r="45766">
      <c r="L45766" s="13"/>
      <c r="M45766" s="14"/>
      <c r="N45766" s="14"/>
      <c r="O45766" s="14"/>
      <c r="P45766" s="13"/>
    </row>
    <row r="45767">
      <c r="L45767" s="13"/>
      <c r="M45767" s="14"/>
      <c r="N45767" s="14"/>
      <c r="O45767" s="14"/>
      <c r="P45767" s="13"/>
    </row>
    <row r="45768">
      <c r="L45768" s="13"/>
      <c r="M45768" s="14"/>
      <c r="N45768" s="14"/>
      <c r="O45768" s="14"/>
      <c r="P45768" s="13"/>
    </row>
    <row r="45769">
      <c r="L45769" s="13"/>
      <c r="M45769" s="14"/>
      <c r="N45769" s="14"/>
      <c r="O45769" s="14"/>
      <c r="P45769" s="13"/>
    </row>
    <row r="45770">
      <c r="L45770" s="13"/>
      <c r="M45770" s="14"/>
      <c r="N45770" s="14"/>
      <c r="O45770" s="14"/>
      <c r="P45770" s="13"/>
    </row>
    <row r="45771">
      <c r="L45771" s="13"/>
      <c r="M45771" s="14"/>
      <c r="N45771" s="14"/>
      <c r="O45771" s="14"/>
      <c r="P45771" s="13"/>
    </row>
    <row r="45772">
      <c r="L45772" s="13"/>
      <c r="M45772" s="14"/>
      <c r="N45772" s="14"/>
      <c r="O45772" s="14"/>
      <c r="P45772" s="13"/>
    </row>
    <row r="45773">
      <c r="L45773" s="13"/>
      <c r="M45773" s="14"/>
      <c r="N45773" s="14"/>
      <c r="O45773" s="14"/>
      <c r="P45773" s="13"/>
    </row>
    <row r="45774">
      <c r="L45774" s="13"/>
      <c r="M45774" s="14"/>
      <c r="N45774" s="14"/>
      <c r="O45774" s="14"/>
      <c r="P45774" s="13"/>
    </row>
    <row r="45775">
      <c r="L45775" s="13"/>
      <c r="M45775" s="14"/>
      <c r="N45775" s="14"/>
      <c r="O45775" s="14"/>
      <c r="P45775" s="13"/>
    </row>
    <row r="45776">
      <c r="L45776" s="13"/>
      <c r="M45776" s="14"/>
      <c r="N45776" s="14"/>
      <c r="O45776" s="14"/>
      <c r="P45776" s="13"/>
    </row>
    <row r="45777">
      <c r="L45777" s="13"/>
      <c r="M45777" s="14"/>
      <c r="N45777" s="14"/>
      <c r="O45777" s="14"/>
      <c r="P45777" s="13"/>
    </row>
    <row r="45778">
      <c r="L45778" s="13"/>
      <c r="M45778" s="14"/>
      <c r="N45778" s="14"/>
      <c r="O45778" s="14"/>
      <c r="P45778" s="13"/>
    </row>
    <row r="45779">
      <c r="L45779" s="13"/>
      <c r="M45779" s="14"/>
      <c r="N45779" s="14"/>
      <c r="O45779" s="14"/>
      <c r="P45779" s="13"/>
    </row>
    <row r="45780">
      <c r="L45780" s="13"/>
      <c r="M45780" s="14"/>
      <c r="N45780" s="14"/>
      <c r="O45780" s="14"/>
      <c r="P45780" s="13"/>
    </row>
    <row r="45781">
      <c r="L45781" s="13"/>
      <c r="M45781" s="14"/>
      <c r="N45781" s="14"/>
      <c r="O45781" s="14"/>
      <c r="P45781" s="13"/>
    </row>
    <row r="45782">
      <c r="L45782" s="13"/>
      <c r="M45782" s="14"/>
      <c r="N45782" s="14"/>
      <c r="O45782" s="14"/>
      <c r="P45782" s="13"/>
    </row>
    <row r="45783">
      <c r="L45783" s="13"/>
      <c r="M45783" s="14"/>
      <c r="N45783" s="14"/>
      <c r="O45783" s="14"/>
      <c r="P45783" s="13"/>
    </row>
    <row r="45784">
      <c r="L45784" s="13"/>
      <c r="M45784" s="14"/>
      <c r="N45784" s="14"/>
      <c r="O45784" s="14"/>
      <c r="P45784" s="13"/>
    </row>
    <row r="45785">
      <c r="L45785" s="13"/>
      <c r="M45785" s="14"/>
      <c r="N45785" s="14"/>
      <c r="O45785" s="14"/>
      <c r="P45785" s="13"/>
    </row>
    <row r="45786">
      <c r="L45786" s="13"/>
      <c r="M45786" s="14"/>
      <c r="N45786" s="14"/>
      <c r="O45786" s="14"/>
      <c r="P45786" s="13"/>
    </row>
    <row r="45787">
      <c r="L45787" s="13"/>
      <c r="M45787" s="14"/>
      <c r="N45787" s="14"/>
      <c r="O45787" s="14"/>
      <c r="P45787" s="13"/>
    </row>
    <row r="45788">
      <c r="L45788" s="13"/>
      <c r="M45788" s="14"/>
      <c r="N45788" s="14"/>
      <c r="O45788" s="14"/>
      <c r="P45788" s="13"/>
    </row>
    <row r="45789">
      <c r="L45789" s="13"/>
      <c r="M45789" s="14"/>
      <c r="N45789" s="14"/>
      <c r="O45789" s="14"/>
      <c r="P45789" s="13"/>
    </row>
    <row r="45790">
      <c r="L45790" s="13"/>
      <c r="M45790" s="14"/>
      <c r="N45790" s="14"/>
      <c r="O45790" s="14"/>
      <c r="P45790" s="13"/>
    </row>
    <row r="45791">
      <c r="L45791" s="13"/>
      <c r="M45791" s="14"/>
      <c r="N45791" s="14"/>
      <c r="O45791" s="14"/>
      <c r="P45791" s="13"/>
    </row>
    <row r="45792">
      <c r="L45792" s="13"/>
      <c r="M45792" s="14"/>
      <c r="N45792" s="14"/>
      <c r="O45792" s="14"/>
      <c r="P45792" s="13"/>
    </row>
    <row r="45793">
      <c r="L45793" s="13"/>
      <c r="M45793" s="14"/>
      <c r="N45793" s="14"/>
      <c r="O45793" s="14"/>
      <c r="P45793" s="13"/>
    </row>
    <row r="45794">
      <c r="L45794" s="13"/>
      <c r="M45794" s="14"/>
      <c r="N45794" s="14"/>
      <c r="O45794" s="14"/>
      <c r="P45794" s="13"/>
    </row>
    <row r="45795">
      <c r="L45795" s="13"/>
      <c r="M45795" s="14"/>
      <c r="N45795" s="14"/>
      <c r="O45795" s="14"/>
      <c r="P45795" s="13"/>
    </row>
    <row r="45796">
      <c r="L45796" s="13"/>
      <c r="M45796" s="14"/>
      <c r="N45796" s="14"/>
      <c r="O45796" s="14"/>
      <c r="P45796" s="13"/>
    </row>
    <row r="45797">
      <c r="L45797" s="13"/>
      <c r="M45797" s="14"/>
      <c r="N45797" s="14"/>
      <c r="O45797" s="14"/>
      <c r="P45797" s="13"/>
    </row>
    <row r="45798">
      <c r="L45798" s="13"/>
      <c r="M45798" s="14"/>
      <c r="N45798" s="14"/>
      <c r="O45798" s="14"/>
      <c r="P45798" s="13"/>
    </row>
    <row r="45799">
      <c r="L45799" s="13"/>
      <c r="M45799" s="14"/>
      <c r="N45799" s="14"/>
      <c r="O45799" s="14"/>
      <c r="P45799" s="13"/>
    </row>
    <row r="45800">
      <c r="L45800" s="13"/>
      <c r="M45800" s="14"/>
      <c r="N45800" s="14"/>
      <c r="O45800" s="14"/>
      <c r="P45800" s="13"/>
    </row>
    <row r="45801">
      <c r="L45801" s="13"/>
      <c r="M45801" s="14"/>
      <c r="N45801" s="14"/>
      <c r="O45801" s="14"/>
      <c r="P45801" s="13"/>
    </row>
    <row r="45802">
      <c r="L45802" s="13"/>
      <c r="M45802" s="14"/>
      <c r="N45802" s="14"/>
      <c r="O45802" s="14"/>
      <c r="P45802" s="13"/>
    </row>
    <row r="45803">
      <c r="L45803" s="13"/>
      <c r="M45803" s="14"/>
      <c r="N45803" s="14"/>
      <c r="O45803" s="14"/>
      <c r="P45803" s="13"/>
    </row>
    <row r="45804">
      <c r="L45804" s="13"/>
      <c r="M45804" s="14"/>
      <c r="N45804" s="14"/>
      <c r="O45804" s="14"/>
      <c r="P45804" s="13"/>
    </row>
    <row r="45805">
      <c r="L45805" s="13"/>
      <c r="M45805" s="14"/>
      <c r="N45805" s="14"/>
      <c r="O45805" s="14"/>
      <c r="P45805" s="13"/>
    </row>
    <row r="45806">
      <c r="L45806" s="13"/>
      <c r="M45806" s="14"/>
      <c r="N45806" s="14"/>
      <c r="O45806" s="14"/>
      <c r="P45806" s="13"/>
    </row>
    <row r="45807">
      <c r="L45807" s="13"/>
      <c r="M45807" s="14"/>
      <c r="N45807" s="14"/>
      <c r="O45807" s="14"/>
      <c r="P45807" s="13"/>
    </row>
    <row r="45808">
      <c r="L45808" s="13"/>
      <c r="M45808" s="14"/>
      <c r="N45808" s="14"/>
      <c r="O45808" s="14"/>
      <c r="P45808" s="13"/>
    </row>
    <row r="45809">
      <c r="L45809" s="13"/>
      <c r="M45809" s="14"/>
      <c r="N45809" s="14"/>
      <c r="O45809" s="14"/>
      <c r="P45809" s="13"/>
    </row>
    <row r="45810">
      <c r="L45810" s="13"/>
      <c r="M45810" s="14"/>
      <c r="N45810" s="14"/>
      <c r="O45810" s="14"/>
      <c r="P45810" s="13"/>
    </row>
    <row r="45811">
      <c r="L45811" s="13"/>
      <c r="M45811" s="14"/>
      <c r="N45811" s="14"/>
      <c r="O45811" s="14"/>
      <c r="P45811" s="13"/>
    </row>
    <row r="45812">
      <c r="L45812" s="13"/>
      <c r="M45812" s="14"/>
      <c r="N45812" s="14"/>
      <c r="O45812" s="14"/>
      <c r="P45812" s="13"/>
    </row>
    <row r="45813">
      <c r="L45813" s="13"/>
      <c r="M45813" s="14"/>
      <c r="N45813" s="14"/>
      <c r="O45813" s="14"/>
      <c r="P45813" s="13"/>
    </row>
    <row r="45814">
      <c r="L45814" s="13"/>
      <c r="M45814" s="14"/>
      <c r="N45814" s="14"/>
      <c r="O45814" s="14"/>
      <c r="P45814" s="13"/>
    </row>
    <row r="45815">
      <c r="L45815" s="13"/>
      <c r="M45815" s="14"/>
      <c r="N45815" s="14"/>
      <c r="O45815" s="14"/>
      <c r="P45815" s="13"/>
    </row>
    <row r="45816">
      <c r="L45816" s="13"/>
      <c r="M45816" s="14"/>
      <c r="N45816" s="14"/>
      <c r="O45816" s="14"/>
      <c r="P45816" s="13"/>
    </row>
    <row r="45817">
      <c r="L45817" s="13"/>
      <c r="M45817" s="14"/>
      <c r="N45817" s="14"/>
      <c r="O45817" s="14"/>
      <c r="P45817" s="13"/>
    </row>
    <row r="45818">
      <c r="L45818" s="13"/>
      <c r="M45818" s="14"/>
      <c r="N45818" s="14"/>
      <c r="O45818" s="14"/>
      <c r="P45818" s="13"/>
    </row>
    <row r="45819">
      <c r="L45819" s="13"/>
      <c r="M45819" s="14"/>
      <c r="N45819" s="14"/>
      <c r="O45819" s="14"/>
      <c r="P45819" s="13"/>
    </row>
    <row r="45820">
      <c r="L45820" s="13"/>
      <c r="M45820" s="14"/>
      <c r="N45820" s="14"/>
      <c r="O45820" s="14"/>
      <c r="P45820" s="13"/>
    </row>
    <row r="45821">
      <c r="L45821" s="13"/>
      <c r="M45821" s="14"/>
      <c r="N45821" s="14"/>
      <c r="O45821" s="14"/>
      <c r="P45821" s="13"/>
    </row>
    <row r="45822">
      <c r="L45822" s="13"/>
      <c r="M45822" s="14"/>
      <c r="N45822" s="14"/>
      <c r="O45822" s="14"/>
      <c r="P45822" s="13"/>
    </row>
    <row r="45823">
      <c r="L45823" s="13"/>
      <c r="M45823" s="14"/>
      <c r="N45823" s="14"/>
      <c r="O45823" s="14"/>
      <c r="P45823" s="13"/>
    </row>
    <row r="45824">
      <c r="L45824" s="13"/>
      <c r="M45824" s="14"/>
      <c r="N45824" s="14"/>
      <c r="O45824" s="14"/>
      <c r="P45824" s="13"/>
    </row>
    <row r="45825">
      <c r="L45825" s="13"/>
      <c r="M45825" s="14"/>
      <c r="N45825" s="14"/>
      <c r="O45825" s="14"/>
      <c r="P45825" s="13"/>
    </row>
    <row r="45826">
      <c r="L45826" s="13"/>
      <c r="M45826" s="14"/>
      <c r="N45826" s="14"/>
      <c r="O45826" s="14"/>
      <c r="P45826" s="13"/>
    </row>
    <row r="45827">
      <c r="L45827" s="13"/>
      <c r="M45827" s="14"/>
      <c r="N45827" s="14"/>
      <c r="O45827" s="14"/>
      <c r="P45827" s="13"/>
    </row>
    <row r="45828">
      <c r="L45828" s="13"/>
      <c r="M45828" s="14"/>
      <c r="N45828" s="14"/>
      <c r="O45828" s="14"/>
      <c r="P45828" s="13"/>
    </row>
    <row r="45829">
      <c r="L45829" s="13"/>
      <c r="M45829" s="14"/>
      <c r="N45829" s="14"/>
      <c r="O45829" s="14"/>
      <c r="P45829" s="13"/>
    </row>
    <row r="45830">
      <c r="L45830" s="13"/>
      <c r="M45830" s="14"/>
      <c r="N45830" s="14"/>
      <c r="O45830" s="14"/>
      <c r="P45830" s="13"/>
    </row>
    <row r="45831">
      <c r="L45831" s="13"/>
      <c r="M45831" s="14"/>
      <c r="N45831" s="14"/>
      <c r="O45831" s="14"/>
      <c r="P45831" s="13"/>
    </row>
    <row r="45832">
      <c r="L45832" s="13"/>
      <c r="M45832" s="14"/>
      <c r="N45832" s="14"/>
      <c r="O45832" s="14"/>
      <c r="P45832" s="13"/>
    </row>
    <row r="45833">
      <c r="L45833" s="13"/>
      <c r="M45833" s="14"/>
      <c r="N45833" s="14"/>
      <c r="O45833" s="14"/>
      <c r="P45833" s="13"/>
    </row>
    <row r="45834">
      <c r="L45834" s="13"/>
      <c r="M45834" s="14"/>
      <c r="N45834" s="14"/>
      <c r="O45834" s="14"/>
      <c r="P45834" s="13"/>
    </row>
    <row r="45835">
      <c r="L45835" s="13"/>
      <c r="M45835" s="14"/>
      <c r="N45835" s="14"/>
      <c r="O45835" s="14"/>
      <c r="P45835" s="13"/>
    </row>
    <row r="45836">
      <c r="L45836" s="13"/>
      <c r="M45836" s="14"/>
      <c r="N45836" s="14"/>
      <c r="O45836" s="14"/>
      <c r="P45836" s="13"/>
    </row>
    <row r="45837">
      <c r="L45837" s="13"/>
      <c r="M45837" s="14"/>
      <c r="N45837" s="14"/>
      <c r="O45837" s="14"/>
      <c r="P45837" s="13"/>
    </row>
    <row r="45838">
      <c r="L45838" s="13"/>
      <c r="M45838" s="14"/>
      <c r="N45838" s="14"/>
      <c r="O45838" s="14"/>
      <c r="P45838" s="13"/>
    </row>
    <row r="45839">
      <c r="L45839" s="13"/>
      <c r="M45839" s="14"/>
      <c r="N45839" s="14"/>
      <c r="O45839" s="14"/>
      <c r="P45839" s="13"/>
    </row>
    <row r="45840">
      <c r="L45840" s="13"/>
      <c r="M45840" s="14"/>
      <c r="N45840" s="14"/>
      <c r="O45840" s="14"/>
      <c r="P45840" s="13"/>
    </row>
    <row r="45841">
      <c r="L45841" s="13"/>
      <c r="M45841" s="14"/>
      <c r="N45841" s="14"/>
      <c r="O45841" s="14"/>
      <c r="P45841" s="13"/>
    </row>
    <row r="45842">
      <c r="L45842" s="13"/>
      <c r="M45842" s="14"/>
      <c r="N45842" s="14"/>
      <c r="O45842" s="14"/>
      <c r="P45842" s="13"/>
    </row>
    <row r="45843">
      <c r="L45843" s="13"/>
      <c r="M45843" s="14"/>
      <c r="N45843" s="14"/>
      <c r="O45843" s="14"/>
      <c r="P45843" s="13"/>
    </row>
    <row r="45844">
      <c r="L45844" s="13"/>
      <c r="M45844" s="14"/>
      <c r="N45844" s="14"/>
      <c r="O45844" s="14"/>
      <c r="P45844" s="13"/>
    </row>
    <row r="45845">
      <c r="L45845" s="13"/>
      <c r="M45845" s="14"/>
      <c r="N45845" s="14"/>
      <c r="O45845" s="14"/>
      <c r="P45845" s="13"/>
    </row>
    <row r="45846">
      <c r="L45846" s="13"/>
      <c r="M45846" s="14"/>
      <c r="N45846" s="14"/>
      <c r="O45846" s="14"/>
      <c r="P45846" s="13"/>
    </row>
    <row r="45847">
      <c r="L45847" s="13"/>
      <c r="M45847" s="14"/>
      <c r="N45847" s="14"/>
      <c r="O45847" s="14"/>
      <c r="P45847" s="13"/>
    </row>
    <row r="45848">
      <c r="L45848" s="13"/>
      <c r="M45848" s="14"/>
      <c r="N45848" s="14"/>
      <c r="O45848" s="14"/>
      <c r="P45848" s="13"/>
    </row>
    <row r="45849">
      <c r="L45849" s="13"/>
      <c r="M45849" s="14"/>
      <c r="N45849" s="14"/>
      <c r="O45849" s="14"/>
      <c r="P45849" s="13"/>
    </row>
    <row r="45850">
      <c r="L45850" s="13"/>
      <c r="M45850" s="14"/>
      <c r="N45850" s="14"/>
      <c r="O45850" s="14"/>
      <c r="P45850" s="13"/>
    </row>
    <row r="45851">
      <c r="L45851" s="13"/>
      <c r="M45851" s="14"/>
      <c r="N45851" s="14"/>
      <c r="O45851" s="14"/>
      <c r="P45851" s="13"/>
    </row>
    <row r="45852">
      <c r="L45852" s="13"/>
      <c r="M45852" s="14"/>
      <c r="N45852" s="14"/>
      <c r="O45852" s="14"/>
      <c r="P45852" s="13"/>
    </row>
    <row r="45853">
      <c r="L45853" s="13"/>
      <c r="M45853" s="14"/>
      <c r="N45853" s="14"/>
      <c r="O45853" s="14"/>
      <c r="P45853" s="13"/>
    </row>
    <row r="45854">
      <c r="L45854" s="13"/>
      <c r="M45854" s="14"/>
      <c r="N45854" s="14"/>
      <c r="O45854" s="14"/>
      <c r="P45854" s="13"/>
    </row>
    <row r="45855">
      <c r="L45855" s="13"/>
      <c r="M45855" s="14"/>
      <c r="N45855" s="14"/>
      <c r="O45855" s="14"/>
      <c r="P45855" s="13"/>
    </row>
    <row r="45856">
      <c r="L45856" s="13"/>
      <c r="M45856" s="14"/>
      <c r="N45856" s="14"/>
      <c r="O45856" s="14"/>
      <c r="P45856" s="13"/>
    </row>
    <row r="45857">
      <c r="L45857" s="13"/>
      <c r="M45857" s="14"/>
      <c r="N45857" s="14"/>
      <c r="O45857" s="14"/>
      <c r="P45857" s="13"/>
    </row>
    <row r="45858">
      <c r="L45858" s="13"/>
      <c r="M45858" s="14"/>
      <c r="N45858" s="14"/>
      <c r="O45858" s="14"/>
      <c r="P45858" s="13"/>
    </row>
    <row r="45859">
      <c r="L45859" s="13"/>
      <c r="M45859" s="14"/>
      <c r="N45859" s="14"/>
      <c r="O45859" s="14"/>
      <c r="P45859" s="13"/>
    </row>
    <row r="45860">
      <c r="L45860" s="13"/>
      <c r="M45860" s="14"/>
      <c r="N45860" s="14"/>
      <c r="O45860" s="14"/>
      <c r="P45860" s="13"/>
    </row>
    <row r="45861">
      <c r="L45861" s="13"/>
      <c r="M45861" s="14"/>
      <c r="N45861" s="14"/>
      <c r="O45861" s="14"/>
      <c r="P45861" s="13"/>
    </row>
    <row r="45862">
      <c r="L45862" s="13"/>
      <c r="M45862" s="14"/>
      <c r="N45862" s="14"/>
      <c r="O45862" s="14"/>
      <c r="P45862" s="13"/>
    </row>
    <row r="45863">
      <c r="L45863" s="13"/>
      <c r="M45863" s="14"/>
      <c r="N45863" s="14"/>
      <c r="O45863" s="14"/>
      <c r="P45863" s="13"/>
    </row>
    <row r="45864">
      <c r="L45864" s="13"/>
      <c r="M45864" s="14"/>
      <c r="N45864" s="14"/>
      <c r="O45864" s="14"/>
      <c r="P45864" s="13"/>
    </row>
    <row r="45865">
      <c r="L45865" s="13"/>
      <c r="M45865" s="14"/>
      <c r="N45865" s="14"/>
      <c r="O45865" s="14"/>
      <c r="P45865" s="13"/>
    </row>
    <row r="45866">
      <c r="L45866" s="13"/>
      <c r="M45866" s="14"/>
      <c r="N45866" s="14"/>
      <c r="O45866" s="14"/>
      <c r="P45866" s="13"/>
    </row>
    <row r="45867">
      <c r="L45867" s="13"/>
      <c r="M45867" s="14"/>
      <c r="N45867" s="14"/>
      <c r="O45867" s="14"/>
      <c r="P45867" s="13"/>
    </row>
    <row r="45868">
      <c r="L45868" s="13"/>
      <c r="M45868" s="14"/>
      <c r="N45868" s="14"/>
      <c r="O45868" s="14"/>
      <c r="P45868" s="13"/>
    </row>
    <row r="45869">
      <c r="L45869" s="13"/>
      <c r="M45869" s="14"/>
      <c r="N45869" s="14"/>
      <c r="O45869" s="14"/>
      <c r="P45869" s="13"/>
    </row>
    <row r="45870">
      <c r="L45870" s="13"/>
      <c r="M45870" s="14"/>
      <c r="N45870" s="14"/>
      <c r="O45870" s="14"/>
      <c r="P45870" s="13"/>
    </row>
    <row r="45871">
      <c r="L45871" s="13"/>
      <c r="M45871" s="14"/>
      <c r="N45871" s="14"/>
      <c r="O45871" s="14"/>
      <c r="P45871" s="13"/>
    </row>
    <row r="45872">
      <c r="L45872" s="13"/>
      <c r="M45872" s="14"/>
      <c r="N45872" s="14"/>
      <c r="O45872" s="14"/>
      <c r="P45872" s="13"/>
    </row>
    <row r="45873">
      <c r="L45873" s="13"/>
      <c r="M45873" s="14"/>
      <c r="N45873" s="14"/>
      <c r="O45873" s="14"/>
      <c r="P45873" s="13"/>
    </row>
    <row r="45874">
      <c r="L45874" s="13"/>
      <c r="M45874" s="14"/>
      <c r="N45874" s="14"/>
      <c r="O45874" s="14"/>
      <c r="P45874" s="13"/>
    </row>
    <row r="45875">
      <c r="L45875" s="13"/>
      <c r="M45875" s="14"/>
      <c r="N45875" s="14"/>
      <c r="O45875" s="14"/>
      <c r="P45875" s="13"/>
    </row>
    <row r="45876">
      <c r="L45876" s="13"/>
      <c r="M45876" s="14"/>
      <c r="N45876" s="14"/>
      <c r="O45876" s="14"/>
      <c r="P45876" s="13"/>
    </row>
    <row r="45877">
      <c r="L45877" s="13"/>
      <c r="M45877" s="14"/>
      <c r="N45877" s="14"/>
      <c r="O45877" s="14"/>
      <c r="P45877" s="13"/>
    </row>
    <row r="45878">
      <c r="L45878" s="13"/>
      <c r="M45878" s="14"/>
      <c r="N45878" s="14"/>
      <c r="O45878" s="14"/>
      <c r="P45878" s="13"/>
    </row>
    <row r="45879">
      <c r="L45879" s="13"/>
      <c r="M45879" s="14"/>
      <c r="N45879" s="14"/>
      <c r="O45879" s="14"/>
      <c r="P45879" s="13"/>
    </row>
    <row r="45880">
      <c r="L45880" s="13"/>
      <c r="M45880" s="14"/>
      <c r="N45880" s="14"/>
      <c r="O45880" s="14"/>
      <c r="P45880" s="13"/>
    </row>
    <row r="45881">
      <c r="L45881" s="13"/>
      <c r="M45881" s="14"/>
      <c r="N45881" s="14"/>
      <c r="O45881" s="14"/>
      <c r="P45881" s="13"/>
    </row>
    <row r="45882">
      <c r="L45882" s="13"/>
      <c r="M45882" s="14"/>
      <c r="N45882" s="14"/>
      <c r="O45882" s="14"/>
      <c r="P45882" s="13"/>
    </row>
    <row r="45883">
      <c r="L45883" s="13"/>
      <c r="M45883" s="14"/>
      <c r="N45883" s="14"/>
      <c r="O45883" s="14"/>
      <c r="P45883" s="13"/>
    </row>
    <row r="45884">
      <c r="L45884" s="13"/>
      <c r="M45884" s="14"/>
      <c r="N45884" s="14"/>
      <c r="O45884" s="14"/>
      <c r="P45884" s="13"/>
    </row>
    <row r="45885">
      <c r="L45885" s="13"/>
      <c r="M45885" s="14"/>
      <c r="N45885" s="14"/>
      <c r="O45885" s="14"/>
      <c r="P45885" s="13"/>
    </row>
    <row r="45886">
      <c r="L45886" s="13"/>
      <c r="M45886" s="14"/>
      <c r="N45886" s="14"/>
      <c r="O45886" s="14"/>
      <c r="P45886" s="13"/>
    </row>
    <row r="45887">
      <c r="L45887" s="13"/>
      <c r="M45887" s="14"/>
      <c r="N45887" s="14"/>
      <c r="O45887" s="14"/>
      <c r="P45887" s="13"/>
    </row>
    <row r="45888">
      <c r="L45888" s="13"/>
      <c r="M45888" s="14"/>
      <c r="N45888" s="14"/>
      <c r="O45888" s="14"/>
      <c r="P45888" s="13"/>
    </row>
    <row r="45889">
      <c r="L45889" s="13"/>
      <c r="M45889" s="14"/>
      <c r="N45889" s="14"/>
      <c r="O45889" s="14"/>
      <c r="P45889" s="13"/>
    </row>
    <row r="45890">
      <c r="L45890" s="13"/>
      <c r="M45890" s="14"/>
      <c r="N45890" s="14"/>
      <c r="O45890" s="14"/>
      <c r="P45890" s="13"/>
    </row>
    <row r="45891">
      <c r="L45891" s="13"/>
      <c r="M45891" s="14"/>
      <c r="N45891" s="14"/>
      <c r="O45891" s="14"/>
      <c r="P45891" s="13"/>
    </row>
    <row r="45892">
      <c r="L45892" s="13"/>
      <c r="M45892" s="14"/>
      <c r="N45892" s="14"/>
      <c r="O45892" s="14"/>
      <c r="P45892" s="13"/>
    </row>
    <row r="45893">
      <c r="L45893" s="13"/>
      <c r="M45893" s="14"/>
      <c r="N45893" s="14"/>
      <c r="O45893" s="14"/>
      <c r="P45893" s="13"/>
    </row>
    <row r="45894">
      <c r="L45894" s="13"/>
      <c r="M45894" s="14"/>
      <c r="N45894" s="14"/>
      <c r="O45894" s="14"/>
      <c r="P45894" s="13"/>
    </row>
    <row r="45895">
      <c r="L45895" s="13"/>
      <c r="M45895" s="14"/>
      <c r="N45895" s="14"/>
      <c r="O45895" s="14"/>
      <c r="P45895" s="13"/>
    </row>
    <row r="45896">
      <c r="L45896" s="13"/>
      <c r="M45896" s="14"/>
      <c r="N45896" s="14"/>
      <c r="O45896" s="14"/>
      <c r="P45896" s="13"/>
    </row>
    <row r="45897">
      <c r="L45897" s="13"/>
      <c r="M45897" s="14"/>
      <c r="N45897" s="14"/>
      <c r="O45897" s="14"/>
      <c r="P45897" s="13"/>
    </row>
    <row r="45898">
      <c r="L45898" s="13"/>
      <c r="M45898" s="14"/>
      <c r="N45898" s="14"/>
      <c r="O45898" s="14"/>
      <c r="P45898" s="13"/>
    </row>
    <row r="45899">
      <c r="L45899" s="13"/>
      <c r="M45899" s="14"/>
      <c r="N45899" s="14"/>
      <c r="O45899" s="14"/>
      <c r="P45899" s="13"/>
    </row>
    <row r="45900">
      <c r="L45900" s="13"/>
      <c r="M45900" s="14"/>
      <c r="N45900" s="14"/>
      <c r="O45900" s="14"/>
      <c r="P45900" s="13"/>
    </row>
    <row r="45901">
      <c r="L45901" s="13"/>
      <c r="M45901" s="14"/>
      <c r="N45901" s="14"/>
      <c r="O45901" s="14"/>
      <c r="P45901" s="13"/>
    </row>
    <row r="45902">
      <c r="L45902" s="13"/>
      <c r="M45902" s="14"/>
      <c r="N45902" s="14"/>
      <c r="O45902" s="14"/>
      <c r="P45902" s="13"/>
    </row>
    <row r="45903">
      <c r="L45903" s="13"/>
      <c r="M45903" s="14"/>
      <c r="N45903" s="14"/>
      <c r="O45903" s="14"/>
      <c r="P45903" s="13"/>
    </row>
    <row r="45904">
      <c r="L45904" s="13"/>
      <c r="M45904" s="14"/>
      <c r="N45904" s="14"/>
      <c r="O45904" s="14"/>
      <c r="P45904" s="13"/>
    </row>
    <row r="45905">
      <c r="L45905" s="13"/>
      <c r="M45905" s="14"/>
      <c r="N45905" s="14"/>
      <c r="O45905" s="14"/>
      <c r="P45905" s="13"/>
    </row>
    <row r="45906">
      <c r="L45906" s="13"/>
      <c r="M45906" s="14"/>
      <c r="N45906" s="14"/>
      <c r="O45906" s="14"/>
      <c r="P45906" s="13"/>
    </row>
    <row r="45907">
      <c r="L45907" s="13"/>
      <c r="M45907" s="14"/>
      <c r="N45907" s="14"/>
      <c r="O45907" s="14"/>
      <c r="P45907" s="13"/>
    </row>
    <row r="45908">
      <c r="L45908" s="13"/>
      <c r="M45908" s="14"/>
      <c r="N45908" s="14"/>
      <c r="O45908" s="14"/>
      <c r="P45908" s="13"/>
    </row>
    <row r="45909">
      <c r="L45909" s="13"/>
      <c r="M45909" s="14"/>
      <c r="N45909" s="14"/>
      <c r="O45909" s="14"/>
      <c r="P45909" s="13"/>
    </row>
    <row r="45910">
      <c r="L45910" s="13"/>
      <c r="M45910" s="14"/>
      <c r="N45910" s="14"/>
      <c r="O45910" s="14"/>
      <c r="P45910" s="13"/>
    </row>
    <row r="45911">
      <c r="L45911" s="13"/>
      <c r="M45911" s="14"/>
      <c r="N45911" s="14"/>
      <c r="O45911" s="14"/>
      <c r="P45911" s="13"/>
    </row>
    <row r="45912">
      <c r="L45912" s="13"/>
      <c r="M45912" s="14"/>
      <c r="N45912" s="14"/>
      <c r="O45912" s="14"/>
      <c r="P45912" s="13"/>
    </row>
    <row r="45913">
      <c r="L45913" s="13"/>
      <c r="M45913" s="14"/>
      <c r="N45913" s="14"/>
      <c r="O45913" s="14"/>
      <c r="P45913" s="13"/>
    </row>
    <row r="45914">
      <c r="L45914" s="13"/>
      <c r="M45914" s="14"/>
      <c r="N45914" s="14"/>
      <c r="O45914" s="14"/>
      <c r="P45914" s="13"/>
    </row>
    <row r="45915">
      <c r="L45915" s="13"/>
      <c r="M45915" s="14"/>
      <c r="N45915" s="14"/>
      <c r="O45915" s="14"/>
      <c r="P45915" s="13"/>
    </row>
    <row r="45916">
      <c r="L45916" s="13"/>
      <c r="M45916" s="14"/>
      <c r="N45916" s="14"/>
      <c r="O45916" s="14"/>
      <c r="P45916" s="13"/>
    </row>
    <row r="45917">
      <c r="L45917" s="13"/>
      <c r="M45917" s="14"/>
      <c r="N45917" s="14"/>
      <c r="O45917" s="14"/>
      <c r="P45917" s="13"/>
    </row>
    <row r="45918">
      <c r="L45918" s="13"/>
      <c r="M45918" s="14"/>
      <c r="N45918" s="14"/>
      <c r="O45918" s="14"/>
      <c r="P45918" s="13"/>
    </row>
    <row r="45919">
      <c r="L45919" s="13"/>
      <c r="M45919" s="14"/>
      <c r="N45919" s="14"/>
      <c r="O45919" s="14"/>
      <c r="P45919" s="13"/>
    </row>
    <row r="45920">
      <c r="L45920" s="13"/>
      <c r="M45920" s="14"/>
      <c r="N45920" s="14"/>
      <c r="O45920" s="14"/>
      <c r="P45920" s="13"/>
    </row>
    <row r="45921">
      <c r="L45921" s="13"/>
      <c r="M45921" s="14"/>
      <c r="N45921" s="14"/>
      <c r="O45921" s="14"/>
      <c r="P45921" s="13"/>
    </row>
    <row r="45922">
      <c r="L45922" s="13"/>
      <c r="M45922" s="14"/>
      <c r="N45922" s="14"/>
      <c r="O45922" s="14"/>
      <c r="P45922" s="13"/>
    </row>
    <row r="45923">
      <c r="L45923" s="13"/>
      <c r="M45923" s="14"/>
      <c r="N45923" s="14"/>
      <c r="O45923" s="14"/>
      <c r="P45923" s="13"/>
    </row>
    <row r="45924">
      <c r="L45924" s="13"/>
      <c r="M45924" s="14"/>
      <c r="N45924" s="14"/>
      <c r="O45924" s="14"/>
      <c r="P45924" s="13"/>
    </row>
    <row r="45925">
      <c r="L45925" s="13"/>
      <c r="M45925" s="14"/>
      <c r="N45925" s="14"/>
      <c r="O45925" s="14"/>
      <c r="P45925" s="13"/>
    </row>
    <row r="45926">
      <c r="L45926" s="13"/>
      <c r="M45926" s="14"/>
      <c r="N45926" s="14"/>
      <c r="O45926" s="14"/>
      <c r="P45926" s="13"/>
    </row>
    <row r="45927">
      <c r="L45927" s="13"/>
      <c r="M45927" s="14"/>
      <c r="N45927" s="14"/>
      <c r="O45927" s="14"/>
      <c r="P45927" s="13"/>
    </row>
    <row r="45928">
      <c r="L45928" s="13"/>
      <c r="M45928" s="14"/>
      <c r="N45928" s="14"/>
      <c r="O45928" s="14"/>
      <c r="P45928" s="13"/>
    </row>
    <row r="45929">
      <c r="L45929" s="13"/>
      <c r="M45929" s="14"/>
      <c r="N45929" s="14"/>
      <c r="O45929" s="14"/>
      <c r="P45929" s="13"/>
    </row>
    <row r="45930">
      <c r="L45930" s="13"/>
      <c r="M45930" s="14"/>
      <c r="N45930" s="14"/>
      <c r="O45930" s="14"/>
      <c r="P45930" s="13"/>
    </row>
    <row r="45931">
      <c r="L45931" s="13"/>
      <c r="M45931" s="14"/>
      <c r="N45931" s="14"/>
      <c r="O45931" s="14"/>
      <c r="P45931" s="13"/>
    </row>
    <row r="45932">
      <c r="L45932" s="13"/>
      <c r="M45932" s="14"/>
      <c r="N45932" s="14"/>
      <c r="O45932" s="14"/>
      <c r="P45932" s="13"/>
    </row>
    <row r="45933">
      <c r="L45933" s="13"/>
      <c r="M45933" s="14"/>
      <c r="N45933" s="14"/>
      <c r="O45933" s="14"/>
      <c r="P45933" s="13"/>
    </row>
    <row r="45934">
      <c r="L45934" s="13"/>
      <c r="M45934" s="14"/>
      <c r="N45934" s="14"/>
      <c r="O45934" s="14"/>
      <c r="P45934" s="13"/>
    </row>
    <row r="45935">
      <c r="L45935" s="13"/>
      <c r="M45935" s="14"/>
      <c r="N45935" s="14"/>
      <c r="O45935" s="14"/>
      <c r="P45935" s="13"/>
    </row>
    <row r="45936">
      <c r="L45936" s="13"/>
      <c r="M45936" s="14"/>
      <c r="N45936" s="14"/>
      <c r="O45936" s="14"/>
      <c r="P45936" s="13"/>
    </row>
    <row r="45937">
      <c r="L45937" s="13"/>
      <c r="M45937" s="14"/>
      <c r="N45937" s="14"/>
      <c r="O45937" s="14"/>
      <c r="P45937" s="13"/>
    </row>
    <row r="45938">
      <c r="L45938" s="13"/>
      <c r="M45938" s="14"/>
      <c r="N45938" s="14"/>
      <c r="O45938" s="14"/>
      <c r="P45938" s="13"/>
    </row>
    <row r="45939">
      <c r="L45939" s="13"/>
      <c r="M45939" s="14"/>
      <c r="N45939" s="14"/>
      <c r="O45939" s="14"/>
      <c r="P45939" s="13"/>
    </row>
    <row r="45940">
      <c r="L45940" s="13"/>
      <c r="M45940" s="14"/>
      <c r="N45940" s="14"/>
      <c r="O45940" s="14"/>
      <c r="P45940" s="13"/>
    </row>
    <row r="45941">
      <c r="L45941" s="13"/>
      <c r="M45941" s="14"/>
      <c r="N45941" s="14"/>
      <c r="O45941" s="14"/>
      <c r="P45941" s="13"/>
    </row>
    <row r="45942">
      <c r="L45942" s="13"/>
      <c r="M45942" s="14"/>
      <c r="N45942" s="14"/>
      <c r="O45942" s="14"/>
      <c r="P45942" s="13"/>
    </row>
    <row r="45943">
      <c r="L45943" s="13"/>
      <c r="M45943" s="14"/>
      <c r="N45943" s="14"/>
      <c r="O45943" s="14"/>
      <c r="P45943" s="13"/>
    </row>
    <row r="45944">
      <c r="L45944" s="13"/>
      <c r="M45944" s="14"/>
      <c r="N45944" s="14"/>
      <c r="O45944" s="14"/>
      <c r="P45944" s="13"/>
    </row>
    <row r="45945">
      <c r="L45945" s="13"/>
      <c r="M45945" s="14"/>
      <c r="N45945" s="14"/>
      <c r="O45945" s="14"/>
      <c r="P45945" s="13"/>
    </row>
    <row r="45946">
      <c r="L45946" s="13"/>
      <c r="M45946" s="14"/>
      <c r="N45946" s="14"/>
      <c r="O45946" s="14"/>
      <c r="P45946" s="13"/>
    </row>
    <row r="45947">
      <c r="L45947" s="13"/>
      <c r="M45947" s="14"/>
      <c r="N45947" s="14"/>
      <c r="O45947" s="14"/>
      <c r="P45947" s="13"/>
    </row>
    <row r="45948">
      <c r="L45948" s="13"/>
      <c r="M45948" s="14"/>
      <c r="N45948" s="14"/>
      <c r="O45948" s="14"/>
      <c r="P45948" s="13"/>
    </row>
    <row r="45949">
      <c r="L45949" s="13"/>
      <c r="M45949" s="14"/>
      <c r="N45949" s="14"/>
      <c r="O45949" s="14"/>
      <c r="P45949" s="13"/>
    </row>
    <row r="45950">
      <c r="L45950" s="13"/>
      <c r="M45950" s="14"/>
      <c r="N45950" s="14"/>
      <c r="O45950" s="14"/>
      <c r="P45950" s="13"/>
    </row>
    <row r="45951">
      <c r="L45951" s="13"/>
      <c r="M45951" s="14"/>
      <c r="N45951" s="14"/>
      <c r="O45951" s="14"/>
      <c r="P45951" s="13"/>
    </row>
    <row r="45952">
      <c r="L45952" s="13"/>
      <c r="M45952" s="14"/>
      <c r="N45952" s="14"/>
      <c r="O45952" s="14"/>
      <c r="P45952" s="13"/>
    </row>
    <row r="45953">
      <c r="L45953" s="13"/>
      <c r="M45953" s="14"/>
      <c r="N45953" s="14"/>
      <c r="O45953" s="14"/>
      <c r="P45953" s="13"/>
    </row>
    <row r="45954">
      <c r="L45954" s="13"/>
      <c r="M45954" s="14"/>
      <c r="N45954" s="14"/>
      <c r="O45954" s="14"/>
      <c r="P45954" s="13"/>
    </row>
    <row r="45955">
      <c r="L45955" s="13"/>
      <c r="M45955" s="14"/>
      <c r="N45955" s="14"/>
      <c r="O45955" s="14"/>
      <c r="P45955" s="13"/>
    </row>
    <row r="45956">
      <c r="L45956" s="13"/>
      <c r="M45956" s="14"/>
      <c r="N45956" s="14"/>
      <c r="O45956" s="14"/>
      <c r="P45956" s="13"/>
    </row>
    <row r="45957">
      <c r="L45957" s="13"/>
      <c r="M45957" s="14"/>
      <c r="N45957" s="14"/>
      <c r="O45957" s="14"/>
      <c r="P45957" s="13"/>
    </row>
    <row r="45958">
      <c r="L45958" s="13"/>
      <c r="M45958" s="14"/>
      <c r="N45958" s="14"/>
      <c r="O45958" s="14"/>
      <c r="P45958" s="13"/>
    </row>
    <row r="45959">
      <c r="L45959" s="13"/>
      <c r="M45959" s="14"/>
      <c r="N45959" s="14"/>
      <c r="O45959" s="14"/>
      <c r="P45959" s="13"/>
    </row>
    <row r="45960">
      <c r="L45960" s="13"/>
      <c r="M45960" s="14"/>
      <c r="N45960" s="14"/>
      <c r="O45960" s="14"/>
      <c r="P45960" s="13"/>
    </row>
    <row r="45961">
      <c r="L45961" s="13"/>
      <c r="M45961" s="14"/>
      <c r="N45961" s="14"/>
      <c r="O45961" s="14"/>
      <c r="P45961" s="13"/>
    </row>
    <row r="45962">
      <c r="L45962" s="13"/>
      <c r="M45962" s="14"/>
      <c r="N45962" s="14"/>
      <c r="O45962" s="14"/>
      <c r="P45962" s="13"/>
    </row>
    <row r="45963">
      <c r="L45963" s="13"/>
      <c r="M45963" s="14"/>
      <c r="N45963" s="14"/>
      <c r="O45963" s="14"/>
      <c r="P45963" s="13"/>
    </row>
    <row r="45964">
      <c r="L45964" s="13"/>
      <c r="M45964" s="14"/>
      <c r="N45964" s="14"/>
      <c r="O45964" s="14"/>
      <c r="P45964" s="13"/>
    </row>
    <row r="45965">
      <c r="L45965" s="13"/>
      <c r="M45965" s="14"/>
      <c r="N45965" s="14"/>
      <c r="O45965" s="14"/>
      <c r="P45965" s="13"/>
    </row>
    <row r="45966">
      <c r="L45966" s="13"/>
      <c r="M45966" s="14"/>
      <c r="N45966" s="14"/>
      <c r="O45966" s="14"/>
      <c r="P45966" s="13"/>
    </row>
    <row r="45967">
      <c r="L45967" s="13"/>
      <c r="M45967" s="14"/>
      <c r="N45967" s="14"/>
      <c r="O45967" s="14"/>
      <c r="P45967" s="13"/>
    </row>
    <row r="45968">
      <c r="L45968" s="13"/>
      <c r="M45968" s="14"/>
      <c r="N45968" s="14"/>
      <c r="O45968" s="14"/>
      <c r="P45968" s="13"/>
    </row>
    <row r="45969">
      <c r="L45969" s="13"/>
      <c r="M45969" s="14"/>
      <c r="N45969" s="14"/>
      <c r="O45969" s="14"/>
      <c r="P45969" s="13"/>
    </row>
    <row r="45970">
      <c r="L45970" s="13"/>
      <c r="M45970" s="14"/>
      <c r="N45970" s="14"/>
      <c r="O45970" s="14"/>
      <c r="P45970" s="13"/>
    </row>
    <row r="45971">
      <c r="L45971" s="13"/>
      <c r="M45971" s="14"/>
      <c r="N45971" s="14"/>
      <c r="O45971" s="14"/>
      <c r="P45971" s="13"/>
    </row>
    <row r="45972">
      <c r="L45972" s="13"/>
      <c r="M45972" s="14"/>
      <c r="N45972" s="14"/>
      <c r="O45972" s="14"/>
      <c r="P45972" s="13"/>
    </row>
    <row r="45973">
      <c r="L45973" s="13"/>
      <c r="M45973" s="14"/>
      <c r="N45973" s="14"/>
      <c r="O45973" s="14"/>
      <c r="P45973" s="13"/>
    </row>
    <row r="45974">
      <c r="L45974" s="13"/>
      <c r="M45974" s="14"/>
      <c r="N45974" s="14"/>
      <c r="O45974" s="14"/>
      <c r="P45974" s="13"/>
    </row>
    <row r="45975">
      <c r="L45975" s="13"/>
      <c r="M45975" s="14"/>
      <c r="N45975" s="14"/>
      <c r="O45975" s="14"/>
      <c r="P45975" s="13"/>
    </row>
    <row r="45976">
      <c r="L45976" s="13"/>
      <c r="M45976" s="14"/>
      <c r="N45976" s="14"/>
      <c r="O45976" s="14"/>
      <c r="P45976" s="13"/>
    </row>
    <row r="45977">
      <c r="L45977" s="13"/>
      <c r="M45977" s="14"/>
      <c r="N45977" s="14"/>
      <c r="O45977" s="14"/>
      <c r="P45977" s="13"/>
    </row>
    <row r="45978">
      <c r="L45978" s="13"/>
      <c r="M45978" s="14"/>
      <c r="N45978" s="14"/>
      <c r="O45978" s="14"/>
      <c r="P45978" s="13"/>
    </row>
    <row r="45979">
      <c r="L45979" s="13"/>
      <c r="M45979" s="14"/>
      <c r="N45979" s="14"/>
      <c r="O45979" s="14"/>
      <c r="P45979" s="13"/>
    </row>
    <row r="45980">
      <c r="L45980" s="13"/>
      <c r="M45980" s="14"/>
      <c r="N45980" s="14"/>
      <c r="O45980" s="14"/>
      <c r="P45980" s="13"/>
    </row>
    <row r="45981">
      <c r="L45981" s="13"/>
      <c r="M45981" s="14"/>
      <c r="N45981" s="14"/>
      <c r="O45981" s="14"/>
      <c r="P45981" s="13"/>
    </row>
    <row r="45982">
      <c r="L45982" s="13"/>
      <c r="M45982" s="14"/>
      <c r="N45982" s="14"/>
      <c r="O45982" s="14"/>
      <c r="P45982" s="13"/>
    </row>
    <row r="45983">
      <c r="L45983" s="13"/>
      <c r="M45983" s="14"/>
      <c r="N45983" s="14"/>
      <c r="O45983" s="14"/>
      <c r="P45983" s="13"/>
    </row>
    <row r="45984">
      <c r="L45984" s="13"/>
      <c r="M45984" s="14"/>
      <c r="N45984" s="14"/>
      <c r="O45984" s="14"/>
      <c r="P45984" s="13"/>
    </row>
    <row r="45985">
      <c r="L45985" s="13"/>
      <c r="M45985" s="14"/>
      <c r="N45985" s="14"/>
      <c r="O45985" s="14"/>
      <c r="P45985" s="13"/>
    </row>
    <row r="45986">
      <c r="L45986" s="13"/>
      <c r="M45986" s="14"/>
      <c r="N45986" s="14"/>
      <c r="O45986" s="14"/>
      <c r="P45986" s="13"/>
    </row>
    <row r="45987">
      <c r="L45987" s="13"/>
      <c r="M45987" s="14"/>
      <c r="N45987" s="14"/>
      <c r="O45987" s="14"/>
      <c r="P45987" s="13"/>
    </row>
    <row r="45988">
      <c r="L45988" s="13"/>
      <c r="M45988" s="14"/>
      <c r="N45988" s="14"/>
      <c r="O45988" s="14"/>
      <c r="P45988" s="13"/>
    </row>
    <row r="45989">
      <c r="L45989" s="13"/>
      <c r="M45989" s="14"/>
      <c r="N45989" s="14"/>
      <c r="O45989" s="14"/>
      <c r="P45989" s="13"/>
    </row>
    <row r="45990">
      <c r="L45990" s="13"/>
      <c r="M45990" s="14"/>
      <c r="N45990" s="14"/>
      <c r="O45990" s="14"/>
      <c r="P45990" s="13"/>
    </row>
    <row r="45991">
      <c r="L45991" s="13"/>
      <c r="M45991" s="14"/>
      <c r="N45991" s="14"/>
      <c r="O45991" s="14"/>
      <c r="P45991" s="13"/>
    </row>
    <row r="45992">
      <c r="L45992" s="13"/>
      <c r="M45992" s="14"/>
      <c r="N45992" s="14"/>
      <c r="O45992" s="14"/>
      <c r="P45992" s="13"/>
    </row>
    <row r="45993">
      <c r="L45993" s="13"/>
      <c r="M45993" s="14"/>
      <c r="N45993" s="14"/>
      <c r="O45993" s="14"/>
      <c r="P45993" s="13"/>
    </row>
    <row r="45994">
      <c r="L45994" s="13"/>
      <c r="M45994" s="14"/>
      <c r="N45994" s="14"/>
      <c r="O45994" s="14"/>
      <c r="P45994" s="13"/>
    </row>
    <row r="45995">
      <c r="L45995" s="13"/>
      <c r="M45995" s="14"/>
      <c r="N45995" s="14"/>
      <c r="O45995" s="14"/>
      <c r="P45995" s="13"/>
    </row>
    <row r="45996">
      <c r="L45996" s="13"/>
      <c r="M45996" s="14"/>
      <c r="N45996" s="14"/>
      <c r="O45996" s="14"/>
      <c r="P45996" s="13"/>
    </row>
    <row r="45997">
      <c r="L45997" s="13"/>
      <c r="M45997" s="14"/>
      <c r="N45997" s="14"/>
      <c r="O45997" s="14"/>
      <c r="P45997" s="13"/>
    </row>
    <row r="45998">
      <c r="L45998" s="13"/>
      <c r="M45998" s="14"/>
      <c r="N45998" s="14"/>
      <c r="O45998" s="14"/>
      <c r="P45998" s="13"/>
    </row>
    <row r="45999">
      <c r="L45999" s="13"/>
      <c r="M45999" s="14"/>
      <c r="N45999" s="14"/>
      <c r="O45999" s="14"/>
      <c r="P45999" s="13"/>
    </row>
    <row r="46000">
      <c r="L46000" s="13"/>
      <c r="M46000" s="14"/>
      <c r="N46000" s="14"/>
      <c r="O46000" s="14"/>
      <c r="P46000" s="13"/>
    </row>
    <row r="46001">
      <c r="L46001" s="13"/>
      <c r="M46001" s="14"/>
      <c r="N46001" s="14"/>
      <c r="O46001" s="14"/>
      <c r="P46001" s="13"/>
    </row>
    <row r="46002">
      <c r="L46002" s="13"/>
      <c r="M46002" s="14"/>
      <c r="N46002" s="14"/>
      <c r="O46002" s="14"/>
      <c r="P46002" s="13"/>
    </row>
    <row r="46003">
      <c r="L46003" s="13"/>
      <c r="M46003" s="14"/>
      <c r="N46003" s="14"/>
      <c r="O46003" s="14"/>
      <c r="P46003" s="13"/>
    </row>
    <row r="46004">
      <c r="L46004" s="13"/>
      <c r="M46004" s="14"/>
      <c r="N46004" s="14"/>
      <c r="O46004" s="14"/>
      <c r="P46004" s="13"/>
    </row>
    <row r="46005">
      <c r="L46005" s="13"/>
      <c r="M46005" s="14"/>
      <c r="N46005" s="14"/>
      <c r="O46005" s="14"/>
      <c r="P46005" s="13"/>
    </row>
    <row r="46006">
      <c r="L46006" s="13"/>
      <c r="M46006" s="14"/>
      <c r="N46006" s="14"/>
      <c r="O46006" s="14"/>
      <c r="P46006" s="13"/>
    </row>
    <row r="46007">
      <c r="L46007" s="13"/>
      <c r="M46007" s="14"/>
      <c r="N46007" s="14"/>
      <c r="O46007" s="14"/>
      <c r="P46007" s="13"/>
    </row>
    <row r="46008">
      <c r="L46008" s="13"/>
      <c r="M46008" s="14"/>
      <c r="N46008" s="14"/>
      <c r="O46008" s="14"/>
      <c r="P46008" s="13"/>
    </row>
    <row r="46009">
      <c r="L46009" s="13"/>
      <c r="M46009" s="14"/>
      <c r="N46009" s="14"/>
      <c r="O46009" s="14"/>
      <c r="P46009" s="13"/>
    </row>
    <row r="46010">
      <c r="L46010" s="13"/>
      <c r="M46010" s="14"/>
      <c r="N46010" s="14"/>
      <c r="O46010" s="14"/>
      <c r="P46010" s="13"/>
    </row>
    <row r="46011">
      <c r="L46011" s="13"/>
      <c r="M46011" s="14"/>
      <c r="N46011" s="14"/>
      <c r="O46011" s="14"/>
      <c r="P46011" s="13"/>
    </row>
    <row r="46012">
      <c r="L46012" s="13"/>
      <c r="M46012" s="14"/>
      <c r="N46012" s="14"/>
      <c r="O46012" s="14"/>
      <c r="P46012" s="13"/>
    </row>
    <row r="46013">
      <c r="L46013" s="13"/>
      <c r="M46013" s="14"/>
      <c r="N46013" s="14"/>
      <c r="O46013" s="14"/>
      <c r="P46013" s="13"/>
    </row>
    <row r="46014">
      <c r="L46014" s="13"/>
      <c r="M46014" s="14"/>
      <c r="N46014" s="14"/>
      <c r="O46014" s="14"/>
      <c r="P46014" s="13"/>
    </row>
    <row r="46015">
      <c r="L46015" s="13"/>
      <c r="M46015" s="14"/>
      <c r="N46015" s="14"/>
      <c r="O46015" s="14"/>
      <c r="P46015" s="13"/>
    </row>
    <row r="46016">
      <c r="L46016" s="13"/>
      <c r="M46016" s="14"/>
      <c r="N46016" s="14"/>
      <c r="O46016" s="14"/>
      <c r="P46016" s="13"/>
    </row>
    <row r="46017">
      <c r="L46017" s="13"/>
      <c r="M46017" s="14"/>
      <c r="N46017" s="14"/>
      <c r="O46017" s="14"/>
      <c r="P46017" s="13"/>
    </row>
    <row r="46018">
      <c r="L46018" s="13"/>
      <c r="M46018" s="14"/>
      <c r="N46018" s="14"/>
      <c r="O46018" s="14"/>
      <c r="P46018" s="13"/>
    </row>
    <row r="46019">
      <c r="L46019" s="13"/>
      <c r="M46019" s="14"/>
      <c r="N46019" s="14"/>
      <c r="O46019" s="14"/>
      <c r="P46019" s="13"/>
    </row>
    <row r="46020">
      <c r="L46020" s="13"/>
      <c r="M46020" s="14"/>
      <c r="N46020" s="14"/>
      <c r="O46020" s="14"/>
      <c r="P46020" s="13"/>
    </row>
    <row r="46021">
      <c r="L46021" s="13"/>
      <c r="M46021" s="14"/>
      <c r="N46021" s="14"/>
      <c r="O46021" s="14"/>
      <c r="P46021" s="13"/>
    </row>
    <row r="46022">
      <c r="L46022" s="13"/>
      <c r="M46022" s="14"/>
      <c r="N46022" s="14"/>
      <c r="O46022" s="14"/>
      <c r="P46022" s="13"/>
    </row>
    <row r="46023">
      <c r="L46023" s="13"/>
      <c r="M46023" s="14"/>
      <c r="N46023" s="14"/>
      <c r="O46023" s="14"/>
      <c r="P46023" s="13"/>
    </row>
    <row r="46024">
      <c r="L46024" s="13"/>
      <c r="M46024" s="14"/>
      <c r="N46024" s="14"/>
      <c r="O46024" s="14"/>
      <c r="P46024" s="13"/>
    </row>
    <row r="46025">
      <c r="L46025" s="13"/>
      <c r="M46025" s="14"/>
      <c r="N46025" s="14"/>
      <c r="O46025" s="14"/>
      <c r="P46025" s="13"/>
    </row>
    <row r="46026">
      <c r="L46026" s="13"/>
      <c r="M46026" s="14"/>
      <c r="N46026" s="14"/>
      <c r="O46026" s="14"/>
      <c r="P46026" s="13"/>
    </row>
    <row r="46027">
      <c r="L46027" s="13"/>
      <c r="M46027" s="14"/>
      <c r="N46027" s="14"/>
      <c r="O46027" s="14"/>
      <c r="P46027" s="13"/>
    </row>
    <row r="46028">
      <c r="L46028" s="13"/>
      <c r="M46028" s="14"/>
      <c r="N46028" s="14"/>
      <c r="O46028" s="14"/>
      <c r="P46028" s="13"/>
    </row>
    <row r="46029">
      <c r="L46029" s="13"/>
      <c r="M46029" s="14"/>
      <c r="N46029" s="14"/>
      <c r="O46029" s="14"/>
      <c r="P46029" s="13"/>
    </row>
    <row r="46030">
      <c r="L46030" s="13"/>
      <c r="M46030" s="14"/>
      <c r="N46030" s="14"/>
      <c r="O46030" s="14"/>
      <c r="P46030" s="13"/>
    </row>
    <row r="46031">
      <c r="L46031" s="13"/>
      <c r="M46031" s="14"/>
      <c r="N46031" s="14"/>
      <c r="O46031" s="14"/>
      <c r="P46031" s="13"/>
    </row>
    <row r="46032">
      <c r="L46032" s="13"/>
      <c r="M46032" s="14"/>
      <c r="N46032" s="14"/>
      <c r="O46032" s="14"/>
      <c r="P46032" s="13"/>
    </row>
    <row r="46033">
      <c r="L46033" s="13"/>
      <c r="M46033" s="14"/>
      <c r="N46033" s="14"/>
      <c r="O46033" s="14"/>
      <c r="P46033" s="13"/>
    </row>
    <row r="46034">
      <c r="L46034" s="13"/>
      <c r="M46034" s="14"/>
      <c r="N46034" s="14"/>
      <c r="O46034" s="14"/>
      <c r="P46034" s="13"/>
    </row>
    <row r="46035">
      <c r="L46035" s="13"/>
      <c r="M46035" s="14"/>
      <c r="N46035" s="14"/>
      <c r="O46035" s="14"/>
      <c r="P46035" s="13"/>
    </row>
    <row r="46036">
      <c r="L46036" s="13"/>
      <c r="M46036" s="14"/>
      <c r="N46036" s="14"/>
      <c r="O46036" s="14"/>
      <c r="P46036" s="13"/>
    </row>
    <row r="46037">
      <c r="L46037" s="13"/>
      <c r="M46037" s="14"/>
      <c r="N46037" s="14"/>
      <c r="O46037" s="14"/>
      <c r="P46037" s="13"/>
    </row>
    <row r="46038">
      <c r="L46038" s="13"/>
      <c r="M46038" s="14"/>
      <c r="N46038" s="14"/>
      <c r="O46038" s="14"/>
      <c r="P46038" s="13"/>
    </row>
    <row r="46039">
      <c r="L46039" s="13"/>
      <c r="M46039" s="14"/>
      <c r="N46039" s="14"/>
      <c r="O46039" s="14"/>
      <c r="P46039" s="13"/>
    </row>
    <row r="46040">
      <c r="L46040" s="13"/>
      <c r="M46040" s="14"/>
      <c r="N46040" s="14"/>
      <c r="O46040" s="14"/>
      <c r="P46040" s="13"/>
    </row>
    <row r="46041">
      <c r="L46041" s="13"/>
      <c r="M46041" s="14"/>
      <c r="N46041" s="14"/>
      <c r="O46041" s="14"/>
      <c r="P46041" s="13"/>
    </row>
    <row r="46042">
      <c r="L46042" s="13"/>
      <c r="M46042" s="14"/>
      <c r="N46042" s="14"/>
      <c r="O46042" s="14"/>
      <c r="P46042" s="13"/>
    </row>
    <row r="46043">
      <c r="L46043" s="13"/>
      <c r="M46043" s="14"/>
      <c r="N46043" s="14"/>
      <c r="O46043" s="14"/>
      <c r="P46043" s="13"/>
    </row>
    <row r="46044">
      <c r="L46044" s="13"/>
      <c r="M46044" s="14"/>
      <c r="N46044" s="14"/>
      <c r="O46044" s="14"/>
      <c r="P46044" s="13"/>
    </row>
    <row r="46045">
      <c r="L46045" s="13"/>
      <c r="M46045" s="14"/>
      <c r="N46045" s="14"/>
      <c r="O46045" s="14"/>
      <c r="P46045" s="13"/>
    </row>
    <row r="46046">
      <c r="L46046" s="13"/>
      <c r="M46046" s="14"/>
      <c r="N46046" s="14"/>
      <c r="O46046" s="14"/>
      <c r="P46046" s="13"/>
    </row>
    <row r="46047">
      <c r="L46047" s="13"/>
      <c r="M46047" s="14"/>
      <c r="N46047" s="14"/>
      <c r="O46047" s="14"/>
      <c r="P46047" s="13"/>
    </row>
    <row r="46048">
      <c r="L46048" s="13"/>
      <c r="M46048" s="14"/>
      <c r="N46048" s="14"/>
      <c r="O46048" s="14"/>
      <c r="P46048" s="13"/>
    </row>
    <row r="46049">
      <c r="L46049" s="13"/>
      <c r="M46049" s="14"/>
      <c r="N46049" s="14"/>
      <c r="O46049" s="14"/>
      <c r="P46049" s="13"/>
    </row>
    <row r="46050">
      <c r="L46050" s="13"/>
      <c r="M46050" s="14"/>
      <c r="N46050" s="14"/>
      <c r="O46050" s="14"/>
      <c r="P46050" s="13"/>
    </row>
    <row r="46051">
      <c r="L46051" s="13"/>
      <c r="M46051" s="14"/>
      <c r="N46051" s="14"/>
      <c r="O46051" s="14"/>
      <c r="P46051" s="13"/>
    </row>
    <row r="46052">
      <c r="L46052" s="13"/>
      <c r="M46052" s="14"/>
      <c r="N46052" s="14"/>
      <c r="O46052" s="14"/>
      <c r="P46052" s="13"/>
    </row>
    <row r="46053">
      <c r="L46053" s="13"/>
      <c r="M46053" s="14"/>
      <c r="N46053" s="14"/>
      <c r="O46053" s="14"/>
      <c r="P46053" s="13"/>
    </row>
    <row r="46054">
      <c r="L46054" s="13"/>
      <c r="M46054" s="14"/>
      <c r="N46054" s="14"/>
      <c r="O46054" s="14"/>
      <c r="P46054" s="13"/>
    </row>
    <row r="46055">
      <c r="L46055" s="13"/>
      <c r="M46055" s="14"/>
      <c r="N46055" s="14"/>
      <c r="O46055" s="14"/>
      <c r="P46055" s="13"/>
    </row>
    <row r="46056">
      <c r="L46056" s="13"/>
      <c r="M46056" s="14"/>
      <c r="N46056" s="14"/>
      <c r="O46056" s="14"/>
      <c r="P46056" s="13"/>
    </row>
    <row r="46057">
      <c r="L46057" s="13"/>
      <c r="M46057" s="14"/>
      <c r="N46057" s="14"/>
      <c r="O46057" s="14"/>
      <c r="P46057" s="13"/>
    </row>
    <row r="46058">
      <c r="L46058" s="13"/>
      <c r="M46058" s="14"/>
      <c r="N46058" s="14"/>
      <c r="O46058" s="14"/>
      <c r="P46058" s="13"/>
    </row>
    <row r="46059">
      <c r="L46059" s="13"/>
      <c r="M46059" s="14"/>
      <c r="N46059" s="14"/>
      <c r="O46059" s="14"/>
      <c r="P46059" s="13"/>
    </row>
    <row r="46060">
      <c r="L46060" s="13"/>
      <c r="M46060" s="14"/>
      <c r="N46060" s="14"/>
      <c r="O46060" s="14"/>
      <c r="P46060" s="13"/>
    </row>
    <row r="46061">
      <c r="L46061" s="13"/>
      <c r="M46061" s="14"/>
      <c r="N46061" s="14"/>
      <c r="O46061" s="14"/>
      <c r="P46061" s="13"/>
    </row>
    <row r="46062">
      <c r="L46062" s="13"/>
      <c r="M46062" s="14"/>
      <c r="N46062" s="14"/>
      <c r="O46062" s="14"/>
      <c r="P46062" s="13"/>
    </row>
    <row r="46063">
      <c r="L46063" s="13"/>
      <c r="M46063" s="14"/>
      <c r="N46063" s="14"/>
      <c r="O46063" s="14"/>
      <c r="P46063" s="13"/>
    </row>
    <row r="46064">
      <c r="L46064" s="13"/>
      <c r="M46064" s="14"/>
      <c r="N46064" s="14"/>
      <c r="O46064" s="14"/>
      <c r="P46064" s="13"/>
    </row>
    <row r="46065">
      <c r="L46065" s="13"/>
      <c r="M46065" s="14"/>
      <c r="N46065" s="14"/>
      <c r="O46065" s="14"/>
      <c r="P46065" s="13"/>
    </row>
    <row r="46066">
      <c r="L46066" s="13"/>
      <c r="M46066" s="14"/>
      <c r="N46066" s="14"/>
      <c r="O46066" s="14"/>
      <c r="P46066" s="13"/>
    </row>
    <row r="46067">
      <c r="L46067" s="13"/>
      <c r="M46067" s="14"/>
      <c r="N46067" s="14"/>
      <c r="O46067" s="14"/>
      <c r="P46067" s="13"/>
    </row>
    <row r="46068">
      <c r="L46068" s="13"/>
      <c r="M46068" s="14"/>
      <c r="N46068" s="14"/>
      <c r="O46068" s="14"/>
      <c r="P46068" s="13"/>
    </row>
    <row r="46069">
      <c r="L46069" s="13"/>
      <c r="M46069" s="14"/>
      <c r="N46069" s="14"/>
      <c r="O46069" s="14"/>
      <c r="P46069" s="13"/>
    </row>
    <row r="46070">
      <c r="L46070" s="13"/>
      <c r="M46070" s="14"/>
      <c r="N46070" s="14"/>
      <c r="O46070" s="14"/>
      <c r="P46070" s="13"/>
    </row>
    <row r="46071">
      <c r="L46071" s="13"/>
      <c r="M46071" s="14"/>
      <c r="N46071" s="14"/>
      <c r="O46071" s="14"/>
      <c r="P46071" s="13"/>
    </row>
    <row r="46072">
      <c r="L46072" s="13"/>
      <c r="M46072" s="14"/>
      <c r="N46072" s="14"/>
      <c r="O46072" s="14"/>
      <c r="P46072" s="13"/>
    </row>
    <row r="46073">
      <c r="L46073" s="13"/>
      <c r="M46073" s="14"/>
      <c r="N46073" s="14"/>
      <c r="O46073" s="14"/>
      <c r="P46073" s="13"/>
    </row>
    <row r="46074">
      <c r="L46074" s="13"/>
      <c r="M46074" s="14"/>
      <c r="N46074" s="14"/>
      <c r="O46074" s="14"/>
      <c r="P46074" s="13"/>
    </row>
    <row r="46075">
      <c r="L46075" s="13"/>
      <c r="M46075" s="14"/>
      <c r="N46075" s="14"/>
      <c r="O46075" s="14"/>
      <c r="P46075" s="13"/>
    </row>
    <row r="46076">
      <c r="L46076" s="13"/>
      <c r="M46076" s="14"/>
      <c r="N46076" s="14"/>
      <c r="O46076" s="14"/>
      <c r="P46076" s="13"/>
    </row>
    <row r="46077">
      <c r="L46077" s="13"/>
      <c r="M46077" s="14"/>
      <c r="N46077" s="14"/>
      <c r="O46077" s="14"/>
      <c r="P46077" s="13"/>
    </row>
    <row r="46078">
      <c r="L46078" s="13"/>
      <c r="M46078" s="14"/>
      <c r="N46078" s="14"/>
      <c r="O46078" s="14"/>
      <c r="P46078" s="13"/>
    </row>
    <row r="46079">
      <c r="L46079" s="13"/>
      <c r="M46079" s="14"/>
      <c r="N46079" s="14"/>
      <c r="O46079" s="14"/>
      <c r="P46079" s="13"/>
    </row>
    <row r="46080">
      <c r="L46080" s="13"/>
      <c r="M46080" s="14"/>
      <c r="N46080" s="14"/>
      <c r="O46080" s="14"/>
      <c r="P46080" s="13"/>
    </row>
    <row r="46081">
      <c r="L46081" s="13"/>
      <c r="M46081" s="14"/>
      <c r="N46081" s="14"/>
      <c r="O46081" s="14"/>
      <c r="P46081" s="13"/>
    </row>
    <row r="46082">
      <c r="L46082" s="13"/>
      <c r="M46082" s="14"/>
      <c r="N46082" s="14"/>
      <c r="O46082" s="14"/>
      <c r="P46082" s="13"/>
    </row>
    <row r="46083">
      <c r="L46083" s="13"/>
      <c r="M46083" s="14"/>
      <c r="N46083" s="14"/>
      <c r="O46083" s="14"/>
      <c r="P46083" s="13"/>
    </row>
    <row r="46084">
      <c r="L46084" s="13"/>
      <c r="M46084" s="14"/>
      <c r="N46084" s="14"/>
      <c r="O46084" s="14"/>
      <c r="P46084" s="13"/>
    </row>
    <row r="46085">
      <c r="L46085" s="13"/>
      <c r="M46085" s="14"/>
      <c r="N46085" s="14"/>
      <c r="O46085" s="14"/>
      <c r="P46085" s="13"/>
    </row>
    <row r="46086">
      <c r="L46086" s="13"/>
      <c r="M46086" s="14"/>
      <c r="N46086" s="14"/>
      <c r="O46086" s="14"/>
      <c r="P46086" s="13"/>
    </row>
    <row r="46087">
      <c r="L46087" s="13"/>
      <c r="M46087" s="14"/>
      <c r="N46087" s="14"/>
      <c r="O46087" s="14"/>
      <c r="P46087" s="13"/>
    </row>
    <row r="46088">
      <c r="L46088" s="13"/>
      <c r="M46088" s="14"/>
      <c r="N46088" s="14"/>
      <c r="O46088" s="14"/>
      <c r="P46088" s="13"/>
    </row>
    <row r="46089">
      <c r="L46089" s="13"/>
      <c r="M46089" s="14"/>
      <c r="N46089" s="14"/>
      <c r="O46089" s="14"/>
      <c r="P46089" s="13"/>
    </row>
    <row r="46090">
      <c r="L46090" s="13"/>
      <c r="M46090" s="14"/>
      <c r="N46090" s="14"/>
      <c r="O46090" s="14"/>
      <c r="P46090" s="13"/>
    </row>
    <row r="46091">
      <c r="L46091" s="13"/>
      <c r="M46091" s="14"/>
      <c r="N46091" s="14"/>
      <c r="O46091" s="14"/>
      <c r="P46091" s="13"/>
    </row>
    <row r="46092">
      <c r="L46092" s="13"/>
      <c r="M46092" s="14"/>
      <c r="N46092" s="14"/>
      <c r="O46092" s="14"/>
      <c r="P46092" s="13"/>
    </row>
    <row r="46093">
      <c r="L46093" s="13"/>
      <c r="M46093" s="14"/>
      <c r="N46093" s="14"/>
      <c r="O46093" s="14"/>
      <c r="P46093" s="13"/>
    </row>
    <row r="46094">
      <c r="L46094" s="13"/>
      <c r="M46094" s="14"/>
      <c r="N46094" s="14"/>
      <c r="O46094" s="14"/>
      <c r="P46094" s="13"/>
    </row>
    <row r="46095">
      <c r="L46095" s="13"/>
      <c r="M46095" s="14"/>
      <c r="N46095" s="14"/>
      <c r="O46095" s="14"/>
      <c r="P46095" s="13"/>
    </row>
    <row r="46096">
      <c r="L46096" s="13"/>
      <c r="M46096" s="14"/>
      <c r="N46096" s="14"/>
      <c r="O46096" s="14"/>
      <c r="P46096" s="13"/>
    </row>
    <row r="46097">
      <c r="L46097" s="13"/>
      <c r="M46097" s="14"/>
      <c r="N46097" s="14"/>
      <c r="O46097" s="14"/>
      <c r="P46097" s="13"/>
    </row>
    <row r="46098">
      <c r="L46098" s="13"/>
      <c r="M46098" s="14"/>
      <c r="N46098" s="14"/>
      <c r="O46098" s="14"/>
      <c r="P46098" s="13"/>
    </row>
    <row r="46099">
      <c r="L46099" s="13"/>
      <c r="M46099" s="14"/>
      <c r="N46099" s="14"/>
      <c r="O46099" s="14"/>
      <c r="P46099" s="13"/>
    </row>
    <row r="46100">
      <c r="L46100" s="13"/>
      <c r="M46100" s="14"/>
      <c r="N46100" s="14"/>
      <c r="O46100" s="14"/>
      <c r="P46100" s="13"/>
    </row>
    <row r="46101">
      <c r="L46101" s="13"/>
      <c r="M46101" s="14"/>
      <c r="N46101" s="14"/>
      <c r="O46101" s="14"/>
      <c r="P46101" s="13"/>
    </row>
    <row r="46102">
      <c r="L46102" s="13"/>
      <c r="M46102" s="14"/>
      <c r="N46102" s="14"/>
      <c r="O46102" s="14"/>
      <c r="P46102" s="13"/>
    </row>
    <row r="46103">
      <c r="L46103" s="13"/>
      <c r="M46103" s="14"/>
      <c r="N46103" s="14"/>
      <c r="O46103" s="14"/>
      <c r="P46103" s="13"/>
    </row>
    <row r="46104">
      <c r="L46104" s="13"/>
      <c r="M46104" s="14"/>
      <c r="N46104" s="14"/>
      <c r="O46104" s="14"/>
      <c r="P46104" s="13"/>
    </row>
    <row r="46105">
      <c r="L46105" s="13"/>
      <c r="M46105" s="14"/>
      <c r="N46105" s="14"/>
      <c r="O46105" s="14"/>
      <c r="P46105" s="13"/>
    </row>
    <row r="46106">
      <c r="L46106" s="13"/>
      <c r="M46106" s="14"/>
      <c r="N46106" s="14"/>
      <c r="O46106" s="14"/>
      <c r="P46106" s="13"/>
    </row>
    <row r="46107">
      <c r="L46107" s="13"/>
      <c r="M46107" s="14"/>
      <c r="N46107" s="14"/>
      <c r="O46107" s="14"/>
      <c r="P46107" s="13"/>
    </row>
    <row r="46108">
      <c r="L46108" s="13"/>
      <c r="M46108" s="14"/>
      <c r="N46108" s="14"/>
      <c r="O46108" s="14"/>
      <c r="P46108" s="13"/>
    </row>
    <row r="46109">
      <c r="L46109" s="13"/>
      <c r="M46109" s="14"/>
      <c r="N46109" s="14"/>
      <c r="O46109" s="14"/>
      <c r="P46109" s="13"/>
    </row>
    <row r="46110">
      <c r="L46110" s="13"/>
      <c r="M46110" s="14"/>
      <c r="N46110" s="14"/>
      <c r="O46110" s="14"/>
      <c r="P46110" s="13"/>
    </row>
    <row r="46111">
      <c r="L46111" s="13"/>
      <c r="M46111" s="14"/>
      <c r="N46111" s="14"/>
      <c r="O46111" s="14"/>
      <c r="P46111" s="13"/>
    </row>
    <row r="46112">
      <c r="L46112" s="13"/>
      <c r="M46112" s="14"/>
      <c r="N46112" s="14"/>
      <c r="O46112" s="14"/>
      <c r="P46112" s="13"/>
    </row>
    <row r="46113">
      <c r="L46113" s="13"/>
      <c r="M46113" s="14"/>
      <c r="N46113" s="14"/>
      <c r="O46113" s="14"/>
      <c r="P46113" s="13"/>
    </row>
    <row r="46114">
      <c r="L46114" s="13"/>
      <c r="M46114" s="14"/>
      <c r="N46114" s="14"/>
      <c r="O46114" s="14"/>
      <c r="P46114" s="13"/>
    </row>
    <row r="46115">
      <c r="L46115" s="13"/>
      <c r="M46115" s="14"/>
      <c r="N46115" s="14"/>
      <c r="O46115" s="14"/>
      <c r="P46115" s="13"/>
    </row>
    <row r="46116">
      <c r="L46116" s="13"/>
      <c r="M46116" s="14"/>
      <c r="N46116" s="14"/>
      <c r="O46116" s="14"/>
      <c r="P46116" s="13"/>
    </row>
    <row r="46117">
      <c r="L46117" s="13"/>
      <c r="M46117" s="14"/>
      <c r="N46117" s="14"/>
      <c r="O46117" s="14"/>
      <c r="P46117" s="13"/>
    </row>
    <row r="46118">
      <c r="L46118" s="13"/>
      <c r="M46118" s="14"/>
      <c r="N46118" s="14"/>
      <c r="O46118" s="14"/>
      <c r="P46118" s="13"/>
    </row>
    <row r="46119">
      <c r="L46119" s="13"/>
      <c r="M46119" s="14"/>
      <c r="N46119" s="14"/>
      <c r="O46119" s="14"/>
      <c r="P46119" s="13"/>
    </row>
    <row r="46120">
      <c r="L46120" s="13"/>
      <c r="M46120" s="14"/>
      <c r="N46120" s="14"/>
      <c r="O46120" s="14"/>
      <c r="P46120" s="13"/>
    </row>
    <row r="46121">
      <c r="L46121" s="13"/>
      <c r="M46121" s="14"/>
      <c r="N46121" s="14"/>
      <c r="O46121" s="14"/>
      <c r="P46121" s="13"/>
    </row>
    <row r="46122">
      <c r="L46122" s="13"/>
      <c r="M46122" s="14"/>
      <c r="N46122" s="14"/>
      <c r="O46122" s="14"/>
      <c r="P46122" s="13"/>
    </row>
    <row r="46123">
      <c r="L46123" s="13"/>
      <c r="M46123" s="14"/>
      <c r="N46123" s="14"/>
      <c r="O46123" s="14"/>
      <c r="P46123" s="13"/>
    </row>
    <row r="46124">
      <c r="L46124" s="13"/>
      <c r="M46124" s="14"/>
      <c r="N46124" s="14"/>
      <c r="O46124" s="14"/>
      <c r="P46124" s="13"/>
    </row>
    <row r="46125">
      <c r="L46125" s="13"/>
      <c r="M46125" s="14"/>
      <c r="N46125" s="14"/>
      <c r="O46125" s="14"/>
      <c r="P46125" s="13"/>
    </row>
    <row r="46126">
      <c r="L46126" s="13"/>
      <c r="M46126" s="14"/>
      <c r="N46126" s="14"/>
      <c r="O46126" s="14"/>
      <c r="P46126" s="13"/>
    </row>
    <row r="46127">
      <c r="L46127" s="13"/>
      <c r="M46127" s="14"/>
      <c r="N46127" s="14"/>
      <c r="O46127" s="14"/>
      <c r="P46127" s="13"/>
    </row>
    <row r="46128">
      <c r="L46128" s="13"/>
      <c r="M46128" s="14"/>
      <c r="N46128" s="14"/>
      <c r="O46128" s="14"/>
      <c r="P46128" s="13"/>
    </row>
    <row r="46129">
      <c r="L46129" s="13"/>
      <c r="M46129" s="14"/>
      <c r="N46129" s="14"/>
      <c r="O46129" s="14"/>
      <c r="P46129" s="13"/>
    </row>
    <row r="46130">
      <c r="L46130" s="13"/>
      <c r="M46130" s="14"/>
      <c r="N46130" s="14"/>
      <c r="O46130" s="14"/>
      <c r="P46130" s="13"/>
    </row>
    <row r="46131">
      <c r="L46131" s="13"/>
      <c r="M46131" s="14"/>
      <c r="N46131" s="14"/>
      <c r="O46131" s="14"/>
      <c r="P46131" s="13"/>
    </row>
    <row r="46132">
      <c r="L46132" s="13"/>
      <c r="M46132" s="14"/>
      <c r="N46132" s="14"/>
      <c r="O46132" s="14"/>
      <c r="P46132" s="13"/>
    </row>
    <row r="46133">
      <c r="L46133" s="13"/>
      <c r="M46133" s="14"/>
      <c r="N46133" s="14"/>
      <c r="O46133" s="14"/>
      <c r="P46133" s="13"/>
    </row>
    <row r="46134">
      <c r="L46134" s="13"/>
      <c r="M46134" s="14"/>
      <c r="N46134" s="14"/>
      <c r="O46134" s="14"/>
      <c r="P46134" s="13"/>
    </row>
    <row r="46135">
      <c r="L46135" s="13"/>
      <c r="M46135" s="14"/>
      <c r="N46135" s="14"/>
      <c r="O46135" s="14"/>
      <c r="P46135" s="13"/>
    </row>
    <row r="46136">
      <c r="L46136" s="13"/>
      <c r="M46136" s="14"/>
      <c r="N46136" s="14"/>
      <c r="O46136" s="14"/>
      <c r="P46136" s="13"/>
    </row>
    <row r="46137">
      <c r="L46137" s="13"/>
      <c r="M46137" s="14"/>
      <c r="N46137" s="14"/>
      <c r="O46137" s="14"/>
      <c r="P46137" s="13"/>
    </row>
    <row r="46138">
      <c r="L46138" s="13"/>
      <c r="M46138" s="14"/>
      <c r="N46138" s="14"/>
      <c r="O46138" s="14"/>
      <c r="P46138" s="13"/>
    </row>
    <row r="46139">
      <c r="L46139" s="13"/>
      <c r="M46139" s="14"/>
      <c r="N46139" s="14"/>
      <c r="O46139" s="14"/>
      <c r="P46139" s="13"/>
    </row>
    <row r="46140">
      <c r="L46140" s="13"/>
      <c r="M46140" s="14"/>
      <c r="N46140" s="14"/>
      <c r="O46140" s="14"/>
      <c r="P46140" s="13"/>
    </row>
    <row r="46141">
      <c r="L46141" s="13"/>
      <c r="M46141" s="14"/>
      <c r="N46141" s="14"/>
      <c r="O46141" s="14"/>
      <c r="P46141" s="13"/>
    </row>
    <row r="46142">
      <c r="L46142" s="13"/>
      <c r="M46142" s="14"/>
      <c r="N46142" s="14"/>
      <c r="O46142" s="14"/>
      <c r="P46142" s="13"/>
    </row>
    <row r="46143">
      <c r="L46143" s="13"/>
      <c r="M46143" s="14"/>
      <c r="N46143" s="14"/>
      <c r="O46143" s="14"/>
      <c r="P46143" s="13"/>
    </row>
    <row r="46144">
      <c r="L46144" s="13"/>
      <c r="M46144" s="14"/>
      <c r="N46144" s="14"/>
      <c r="O46144" s="14"/>
      <c r="P46144" s="13"/>
    </row>
    <row r="46145">
      <c r="L46145" s="13"/>
      <c r="M46145" s="14"/>
      <c r="N46145" s="14"/>
      <c r="O46145" s="14"/>
      <c r="P46145" s="13"/>
    </row>
    <row r="46146">
      <c r="L46146" s="13"/>
      <c r="M46146" s="14"/>
      <c r="N46146" s="14"/>
      <c r="O46146" s="14"/>
      <c r="P46146" s="13"/>
    </row>
    <row r="46147">
      <c r="L46147" s="13"/>
      <c r="M46147" s="14"/>
      <c r="N46147" s="14"/>
      <c r="O46147" s="14"/>
      <c r="P46147" s="13"/>
    </row>
    <row r="46148">
      <c r="L46148" s="13"/>
      <c r="M46148" s="14"/>
      <c r="N46148" s="14"/>
      <c r="O46148" s="14"/>
      <c r="P46148" s="13"/>
    </row>
    <row r="46149">
      <c r="L46149" s="13"/>
      <c r="M46149" s="14"/>
      <c r="N46149" s="14"/>
      <c r="O46149" s="14"/>
      <c r="P46149" s="13"/>
    </row>
    <row r="46150">
      <c r="L46150" s="13"/>
      <c r="M46150" s="14"/>
      <c r="N46150" s="14"/>
      <c r="O46150" s="14"/>
      <c r="P46150" s="13"/>
    </row>
    <row r="46151">
      <c r="L46151" s="13"/>
      <c r="M46151" s="14"/>
      <c r="N46151" s="14"/>
      <c r="O46151" s="14"/>
      <c r="P46151" s="13"/>
    </row>
    <row r="46152">
      <c r="L46152" s="13"/>
      <c r="M46152" s="14"/>
      <c r="N46152" s="14"/>
      <c r="O46152" s="14"/>
      <c r="P46152" s="13"/>
    </row>
    <row r="46153">
      <c r="L46153" s="13"/>
      <c r="M46153" s="14"/>
      <c r="N46153" s="14"/>
      <c r="O46153" s="14"/>
      <c r="P46153" s="13"/>
    </row>
    <row r="46154">
      <c r="L46154" s="13"/>
      <c r="M46154" s="14"/>
      <c r="N46154" s="14"/>
      <c r="O46154" s="14"/>
      <c r="P46154" s="13"/>
    </row>
    <row r="46155">
      <c r="L46155" s="13"/>
      <c r="M46155" s="14"/>
      <c r="N46155" s="14"/>
      <c r="O46155" s="14"/>
      <c r="P46155" s="13"/>
    </row>
    <row r="46156">
      <c r="L46156" s="13"/>
      <c r="M46156" s="14"/>
      <c r="N46156" s="14"/>
      <c r="O46156" s="14"/>
      <c r="P46156" s="13"/>
    </row>
    <row r="46157">
      <c r="L46157" s="13"/>
      <c r="M46157" s="14"/>
      <c r="N46157" s="14"/>
      <c r="O46157" s="14"/>
      <c r="P46157" s="13"/>
    </row>
    <row r="46158">
      <c r="L46158" s="13"/>
      <c r="M46158" s="14"/>
      <c r="N46158" s="14"/>
      <c r="O46158" s="14"/>
      <c r="P46158" s="13"/>
    </row>
    <row r="46159">
      <c r="L46159" s="13"/>
      <c r="M46159" s="14"/>
      <c r="N46159" s="14"/>
      <c r="O46159" s="14"/>
      <c r="P46159" s="13"/>
    </row>
    <row r="46160">
      <c r="L46160" s="13"/>
      <c r="M46160" s="14"/>
      <c r="N46160" s="14"/>
      <c r="O46160" s="14"/>
      <c r="P46160" s="13"/>
    </row>
    <row r="46161">
      <c r="L46161" s="13"/>
      <c r="M46161" s="14"/>
      <c r="N46161" s="14"/>
      <c r="O46161" s="14"/>
      <c r="P46161" s="13"/>
    </row>
    <row r="46162">
      <c r="L46162" s="13"/>
      <c r="M46162" s="14"/>
      <c r="N46162" s="14"/>
      <c r="O46162" s="14"/>
      <c r="P46162" s="13"/>
    </row>
    <row r="46163">
      <c r="L46163" s="13"/>
      <c r="M46163" s="14"/>
      <c r="N46163" s="14"/>
      <c r="O46163" s="14"/>
      <c r="P46163" s="13"/>
    </row>
    <row r="46164">
      <c r="L46164" s="13"/>
      <c r="M46164" s="14"/>
      <c r="N46164" s="14"/>
      <c r="O46164" s="14"/>
      <c r="P46164" s="13"/>
    </row>
    <row r="46165">
      <c r="L46165" s="13"/>
      <c r="M46165" s="14"/>
      <c r="N46165" s="14"/>
      <c r="O46165" s="14"/>
      <c r="P46165" s="13"/>
    </row>
    <row r="46166">
      <c r="L46166" s="13"/>
      <c r="M46166" s="14"/>
      <c r="N46166" s="14"/>
      <c r="O46166" s="14"/>
      <c r="P46166" s="13"/>
    </row>
    <row r="46167">
      <c r="L46167" s="13"/>
      <c r="M46167" s="14"/>
      <c r="N46167" s="14"/>
      <c r="O46167" s="14"/>
      <c r="P46167" s="13"/>
    </row>
    <row r="46168">
      <c r="L46168" s="13"/>
      <c r="M46168" s="14"/>
      <c r="N46168" s="14"/>
      <c r="O46168" s="14"/>
      <c r="P46168" s="13"/>
    </row>
    <row r="46169">
      <c r="L46169" s="13"/>
      <c r="M46169" s="14"/>
      <c r="N46169" s="14"/>
      <c r="O46169" s="14"/>
      <c r="P46169" s="13"/>
    </row>
    <row r="46170">
      <c r="L46170" s="13"/>
      <c r="M46170" s="14"/>
      <c r="N46170" s="14"/>
      <c r="O46170" s="14"/>
      <c r="P46170" s="13"/>
    </row>
    <row r="46171">
      <c r="L46171" s="13"/>
      <c r="M46171" s="14"/>
      <c r="N46171" s="14"/>
      <c r="O46171" s="14"/>
      <c r="P46171" s="13"/>
    </row>
    <row r="46172">
      <c r="L46172" s="13"/>
      <c r="M46172" s="14"/>
      <c r="N46172" s="14"/>
      <c r="O46172" s="14"/>
      <c r="P46172" s="13"/>
    </row>
    <row r="46173">
      <c r="L46173" s="13"/>
      <c r="M46173" s="14"/>
      <c r="N46173" s="14"/>
      <c r="O46173" s="14"/>
      <c r="P46173" s="13"/>
    </row>
    <row r="46174">
      <c r="L46174" s="13"/>
      <c r="M46174" s="14"/>
      <c r="N46174" s="14"/>
      <c r="O46174" s="14"/>
      <c r="P46174" s="13"/>
    </row>
    <row r="46175">
      <c r="L46175" s="13"/>
      <c r="M46175" s="14"/>
      <c r="N46175" s="14"/>
      <c r="O46175" s="14"/>
      <c r="P46175" s="13"/>
    </row>
    <row r="46176">
      <c r="L46176" s="13"/>
      <c r="M46176" s="14"/>
      <c r="N46176" s="14"/>
      <c r="O46176" s="14"/>
      <c r="P46176" s="13"/>
    </row>
    <row r="46177">
      <c r="L46177" s="13"/>
      <c r="M46177" s="14"/>
      <c r="N46177" s="14"/>
      <c r="O46177" s="14"/>
      <c r="P46177" s="13"/>
    </row>
    <row r="46178">
      <c r="L46178" s="13"/>
      <c r="M46178" s="14"/>
      <c r="N46178" s="14"/>
      <c r="O46178" s="14"/>
      <c r="P46178" s="13"/>
    </row>
    <row r="46179">
      <c r="L46179" s="13"/>
      <c r="M46179" s="14"/>
      <c r="N46179" s="14"/>
      <c r="O46179" s="14"/>
      <c r="P46179" s="13"/>
    </row>
    <row r="46180">
      <c r="L46180" s="13"/>
      <c r="M46180" s="14"/>
      <c r="N46180" s="14"/>
      <c r="O46180" s="14"/>
      <c r="P46180" s="13"/>
    </row>
    <row r="46181">
      <c r="L46181" s="13"/>
      <c r="M46181" s="14"/>
      <c r="N46181" s="14"/>
      <c r="O46181" s="14"/>
      <c r="P46181" s="13"/>
    </row>
    <row r="46182">
      <c r="L46182" s="13"/>
      <c r="M46182" s="14"/>
      <c r="N46182" s="14"/>
      <c r="O46182" s="14"/>
      <c r="P46182" s="13"/>
    </row>
    <row r="46183">
      <c r="L46183" s="13"/>
      <c r="M46183" s="14"/>
      <c r="N46183" s="14"/>
      <c r="O46183" s="14"/>
      <c r="P46183" s="13"/>
    </row>
    <row r="46184">
      <c r="L46184" s="13"/>
      <c r="M46184" s="14"/>
      <c r="N46184" s="14"/>
      <c r="O46184" s="14"/>
      <c r="P46184" s="13"/>
    </row>
    <row r="46185">
      <c r="L46185" s="13"/>
      <c r="M46185" s="14"/>
      <c r="N46185" s="14"/>
      <c r="O46185" s="14"/>
      <c r="P46185" s="13"/>
    </row>
    <row r="46186">
      <c r="L46186" s="13"/>
      <c r="M46186" s="14"/>
      <c r="N46186" s="14"/>
      <c r="O46186" s="14"/>
      <c r="P46186" s="13"/>
    </row>
    <row r="46187">
      <c r="L46187" s="13"/>
      <c r="M46187" s="14"/>
      <c r="N46187" s="14"/>
      <c r="O46187" s="14"/>
      <c r="P46187" s="13"/>
    </row>
    <row r="46188">
      <c r="L46188" s="13"/>
      <c r="M46188" s="14"/>
      <c r="N46188" s="14"/>
      <c r="O46188" s="14"/>
      <c r="P46188" s="13"/>
    </row>
    <row r="46189">
      <c r="L46189" s="13"/>
      <c r="M46189" s="14"/>
      <c r="N46189" s="14"/>
      <c r="O46189" s="14"/>
      <c r="P46189" s="13"/>
    </row>
    <row r="46190">
      <c r="L46190" s="13"/>
      <c r="M46190" s="14"/>
      <c r="N46190" s="14"/>
      <c r="O46190" s="14"/>
      <c r="P46190" s="13"/>
    </row>
    <row r="46191">
      <c r="L46191" s="13"/>
      <c r="M46191" s="14"/>
      <c r="N46191" s="14"/>
      <c r="O46191" s="14"/>
      <c r="P46191" s="13"/>
    </row>
    <row r="46192">
      <c r="L46192" s="13"/>
      <c r="M46192" s="14"/>
      <c r="N46192" s="14"/>
      <c r="O46192" s="14"/>
      <c r="P46192" s="13"/>
    </row>
    <row r="46193">
      <c r="L46193" s="13"/>
      <c r="M46193" s="14"/>
      <c r="N46193" s="14"/>
      <c r="O46193" s="14"/>
      <c r="P46193" s="13"/>
    </row>
    <row r="46194">
      <c r="L46194" s="13"/>
      <c r="M46194" s="14"/>
      <c r="N46194" s="14"/>
      <c r="O46194" s="14"/>
      <c r="P46194" s="13"/>
    </row>
    <row r="46195">
      <c r="L46195" s="13"/>
      <c r="M46195" s="14"/>
      <c r="N46195" s="14"/>
      <c r="O46195" s="14"/>
      <c r="P46195" s="13"/>
    </row>
    <row r="46196">
      <c r="L46196" s="13"/>
      <c r="M46196" s="14"/>
      <c r="N46196" s="14"/>
      <c r="O46196" s="14"/>
      <c r="P46196" s="13"/>
    </row>
    <row r="46197">
      <c r="L46197" s="13"/>
      <c r="M46197" s="14"/>
      <c r="N46197" s="14"/>
      <c r="O46197" s="14"/>
      <c r="P46197" s="13"/>
    </row>
    <row r="46198">
      <c r="L46198" s="13"/>
      <c r="M46198" s="14"/>
      <c r="N46198" s="14"/>
      <c r="O46198" s="14"/>
      <c r="P46198" s="13"/>
    </row>
    <row r="46199">
      <c r="L46199" s="13"/>
      <c r="M46199" s="14"/>
      <c r="N46199" s="14"/>
      <c r="O46199" s="14"/>
      <c r="P46199" s="13"/>
    </row>
    <row r="46200">
      <c r="L46200" s="13"/>
      <c r="M46200" s="14"/>
      <c r="N46200" s="14"/>
      <c r="O46200" s="14"/>
      <c r="P46200" s="13"/>
    </row>
    <row r="46201">
      <c r="L46201" s="13"/>
      <c r="M46201" s="14"/>
      <c r="N46201" s="14"/>
      <c r="O46201" s="14"/>
      <c r="P46201" s="13"/>
    </row>
    <row r="46202">
      <c r="L46202" s="13"/>
      <c r="M46202" s="14"/>
      <c r="N46202" s="14"/>
      <c r="O46202" s="14"/>
      <c r="P46202" s="13"/>
    </row>
    <row r="46203">
      <c r="L46203" s="13"/>
      <c r="M46203" s="14"/>
      <c r="N46203" s="14"/>
      <c r="O46203" s="14"/>
      <c r="P46203" s="13"/>
    </row>
    <row r="46204">
      <c r="L46204" s="13"/>
      <c r="M46204" s="14"/>
      <c r="N46204" s="14"/>
      <c r="O46204" s="14"/>
      <c r="P46204" s="13"/>
    </row>
    <row r="46205">
      <c r="L46205" s="13"/>
      <c r="M46205" s="14"/>
      <c r="N46205" s="14"/>
      <c r="O46205" s="14"/>
      <c r="P46205" s="13"/>
    </row>
    <row r="46206">
      <c r="L46206" s="13"/>
      <c r="M46206" s="14"/>
      <c r="N46206" s="14"/>
      <c r="O46206" s="14"/>
      <c r="P46206" s="13"/>
    </row>
    <row r="46207">
      <c r="L46207" s="13"/>
      <c r="M46207" s="14"/>
      <c r="N46207" s="14"/>
      <c r="O46207" s="14"/>
      <c r="P46207" s="13"/>
    </row>
    <row r="46208">
      <c r="L46208" s="13"/>
      <c r="M46208" s="14"/>
      <c r="N46208" s="14"/>
      <c r="O46208" s="14"/>
      <c r="P46208" s="13"/>
    </row>
    <row r="46209">
      <c r="L46209" s="13"/>
      <c r="M46209" s="14"/>
      <c r="N46209" s="14"/>
      <c r="O46209" s="14"/>
      <c r="P46209" s="13"/>
    </row>
    <row r="46210">
      <c r="L46210" s="13"/>
      <c r="M46210" s="14"/>
      <c r="N46210" s="14"/>
      <c r="O46210" s="14"/>
      <c r="P46210" s="13"/>
    </row>
    <row r="46211">
      <c r="L46211" s="13"/>
      <c r="M46211" s="14"/>
      <c r="N46211" s="14"/>
      <c r="O46211" s="14"/>
      <c r="P46211" s="13"/>
    </row>
    <row r="46212">
      <c r="L46212" s="13"/>
      <c r="M46212" s="14"/>
      <c r="N46212" s="14"/>
      <c r="O46212" s="14"/>
      <c r="P46212" s="13"/>
    </row>
    <row r="46213">
      <c r="L46213" s="13"/>
      <c r="M46213" s="14"/>
      <c r="N46213" s="14"/>
      <c r="O46213" s="14"/>
      <c r="P46213" s="13"/>
    </row>
    <row r="46214">
      <c r="L46214" s="13"/>
      <c r="M46214" s="14"/>
      <c r="N46214" s="14"/>
      <c r="O46214" s="14"/>
      <c r="P46214" s="13"/>
    </row>
    <row r="46215">
      <c r="L46215" s="13"/>
      <c r="M46215" s="14"/>
      <c r="N46215" s="14"/>
      <c r="O46215" s="14"/>
      <c r="P46215" s="13"/>
    </row>
    <row r="46216">
      <c r="L46216" s="13"/>
      <c r="M46216" s="14"/>
      <c r="N46216" s="14"/>
      <c r="O46216" s="14"/>
      <c r="P46216" s="13"/>
    </row>
    <row r="46217">
      <c r="L46217" s="13"/>
      <c r="M46217" s="14"/>
      <c r="N46217" s="14"/>
      <c r="O46217" s="14"/>
      <c r="P46217" s="13"/>
    </row>
    <row r="46218">
      <c r="L46218" s="13"/>
      <c r="M46218" s="14"/>
      <c r="N46218" s="14"/>
      <c r="O46218" s="14"/>
      <c r="P46218" s="13"/>
    </row>
    <row r="46219">
      <c r="L46219" s="13"/>
      <c r="M46219" s="14"/>
      <c r="N46219" s="14"/>
      <c r="O46219" s="14"/>
      <c r="P46219" s="13"/>
    </row>
    <row r="46220">
      <c r="L46220" s="13"/>
      <c r="M46220" s="14"/>
      <c r="N46220" s="14"/>
      <c r="O46220" s="14"/>
      <c r="P46220" s="13"/>
    </row>
    <row r="46221">
      <c r="L46221" s="13"/>
      <c r="M46221" s="14"/>
      <c r="N46221" s="14"/>
      <c r="O46221" s="14"/>
      <c r="P46221" s="13"/>
    </row>
    <row r="46222">
      <c r="L46222" s="13"/>
      <c r="M46222" s="14"/>
      <c r="N46222" s="14"/>
      <c r="O46222" s="14"/>
      <c r="P46222" s="13"/>
    </row>
    <row r="46223">
      <c r="L46223" s="13"/>
      <c r="M46223" s="14"/>
      <c r="N46223" s="14"/>
      <c r="O46223" s="14"/>
      <c r="P46223" s="13"/>
    </row>
    <row r="46224">
      <c r="L46224" s="13"/>
      <c r="M46224" s="14"/>
      <c r="N46224" s="14"/>
      <c r="O46224" s="14"/>
      <c r="P46224" s="13"/>
    </row>
    <row r="46225">
      <c r="L46225" s="13"/>
      <c r="M46225" s="14"/>
      <c r="N46225" s="14"/>
      <c r="O46225" s="14"/>
      <c r="P46225" s="13"/>
    </row>
    <row r="46226">
      <c r="L46226" s="13"/>
      <c r="M46226" s="14"/>
      <c r="N46226" s="14"/>
      <c r="O46226" s="14"/>
      <c r="P46226" s="13"/>
    </row>
    <row r="46227">
      <c r="L46227" s="13"/>
      <c r="M46227" s="14"/>
      <c r="N46227" s="14"/>
      <c r="O46227" s="14"/>
      <c r="P46227" s="13"/>
    </row>
    <row r="46228">
      <c r="L46228" s="13"/>
      <c r="M46228" s="14"/>
      <c r="N46228" s="14"/>
      <c r="O46228" s="14"/>
      <c r="P46228" s="13"/>
    </row>
    <row r="46229">
      <c r="L46229" s="13"/>
      <c r="M46229" s="14"/>
      <c r="N46229" s="14"/>
      <c r="O46229" s="14"/>
      <c r="P46229" s="13"/>
    </row>
    <row r="46230">
      <c r="L46230" s="13"/>
      <c r="M46230" s="14"/>
      <c r="N46230" s="14"/>
      <c r="O46230" s="14"/>
      <c r="P46230" s="13"/>
    </row>
    <row r="46231">
      <c r="L46231" s="13"/>
      <c r="M46231" s="14"/>
      <c r="N46231" s="14"/>
      <c r="O46231" s="14"/>
      <c r="P46231" s="13"/>
    </row>
    <row r="46232">
      <c r="L46232" s="13"/>
      <c r="M46232" s="14"/>
      <c r="N46232" s="14"/>
      <c r="O46232" s="14"/>
      <c r="P46232" s="13"/>
    </row>
    <row r="46233">
      <c r="L46233" s="13"/>
      <c r="M46233" s="14"/>
      <c r="N46233" s="14"/>
      <c r="O46233" s="14"/>
      <c r="P46233" s="13"/>
    </row>
    <row r="46234">
      <c r="L46234" s="13"/>
      <c r="M46234" s="14"/>
      <c r="N46234" s="14"/>
      <c r="O46234" s="14"/>
      <c r="P46234" s="13"/>
    </row>
    <row r="46235">
      <c r="L46235" s="13"/>
      <c r="M46235" s="14"/>
      <c r="N46235" s="14"/>
      <c r="O46235" s="14"/>
      <c r="P46235" s="13"/>
    </row>
    <row r="46236">
      <c r="L46236" s="13"/>
      <c r="M46236" s="14"/>
      <c r="N46236" s="14"/>
      <c r="O46236" s="14"/>
      <c r="P46236" s="13"/>
    </row>
    <row r="46237">
      <c r="L46237" s="13"/>
      <c r="M46237" s="14"/>
      <c r="N46237" s="14"/>
      <c r="O46237" s="14"/>
      <c r="P46237" s="13"/>
    </row>
    <row r="46238">
      <c r="L46238" s="13"/>
      <c r="M46238" s="14"/>
      <c r="N46238" s="14"/>
      <c r="O46238" s="14"/>
      <c r="P46238" s="13"/>
    </row>
    <row r="46239">
      <c r="L46239" s="13"/>
      <c r="M46239" s="14"/>
      <c r="N46239" s="14"/>
      <c r="O46239" s="14"/>
      <c r="P46239" s="13"/>
    </row>
    <row r="46240">
      <c r="L46240" s="13"/>
      <c r="M46240" s="14"/>
      <c r="N46240" s="14"/>
      <c r="O46240" s="14"/>
      <c r="P46240" s="13"/>
    </row>
    <row r="46241">
      <c r="L46241" s="13"/>
      <c r="M46241" s="14"/>
      <c r="N46241" s="14"/>
      <c r="O46241" s="14"/>
      <c r="P46241" s="13"/>
    </row>
    <row r="46242">
      <c r="L46242" s="13"/>
      <c r="M46242" s="14"/>
      <c r="N46242" s="14"/>
      <c r="O46242" s="14"/>
      <c r="P46242" s="13"/>
    </row>
    <row r="46243">
      <c r="L46243" s="13"/>
      <c r="M46243" s="14"/>
      <c r="N46243" s="14"/>
      <c r="O46243" s="14"/>
      <c r="P46243" s="13"/>
    </row>
    <row r="46244">
      <c r="L46244" s="13"/>
      <c r="M46244" s="14"/>
      <c r="N46244" s="14"/>
      <c r="O46244" s="14"/>
      <c r="P46244" s="13"/>
    </row>
    <row r="46245">
      <c r="L46245" s="13"/>
      <c r="M46245" s="14"/>
      <c r="N46245" s="14"/>
      <c r="O46245" s="14"/>
      <c r="P46245" s="13"/>
    </row>
    <row r="46246">
      <c r="L46246" s="13"/>
      <c r="M46246" s="14"/>
      <c r="N46246" s="14"/>
      <c r="O46246" s="14"/>
      <c r="P46246" s="13"/>
    </row>
    <row r="46247">
      <c r="L46247" s="13"/>
      <c r="M46247" s="14"/>
      <c r="N46247" s="14"/>
      <c r="O46247" s="14"/>
      <c r="P46247" s="13"/>
    </row>
    <row r="46248">
      <c r="L46248" s="13"/>
      <c r="M46248" s="14"/>
      <c r="N46248" s="14"/>
      <c r="O46248" s="14"/>
      <c r="P46248" s="13"/>
    </row>
    <row r="46249">
      <c r="L46249" s="13"/>
      <c r="M46249" s="14"/>
      <c r="N46249" s="14"/>
      <c r="O46249" s="14"/>
      <c r="P46249" s="13"/>
    </row>
    <row r="46250">
      <c r="L46250" s="13"/>
      <c r="M46250" s="14"/>
      <c r="N46250" s="14"/>
      <c r="O46250" s="14"/>
      <c r="P46250" s="13"/>
    </row>
    <row r="46251">
      <c r="L46251" s="13"/>
      <c r="M46251" s="14"/>
      <c r="N46251" s="14"/>
      <c r="O46251" s="14"/>
      <c r="P46251" s="13"/>
    </row>
    <row r="46252">
      <c r="L46252" s="13"/>
      <c r="M46252" s="14"/>
      <c r="N46252" s="14"/>
      <c r="O46252" s="14"/>
      <c r="P46252" s="13"/>
    </row>
    <row r="46253">
      <c r="L46253" s="13"/>
      <c r="M46253" s="14"/>
      <c r="N46253" s="14"/>
      <c r="O46253" s="14"/>
      <c r="P46253" s="13"/>
    </row>
    <row r="46254">
      <c r="L46254" s="13"/>
      <c r="M46254" s="14"/>
      <c r="N46254" s="14"/>
      <c r="O46254" s="14"/>
      <c r="P46254" s="13"/>
    </row>
    <row r="46255">
      <c r="L46255" s="13"/>
      <c r="M46255" s="14"/>
      <c r="N46255" s="14"/>
      <c r="O46255" s="14"/>
      <c r="P46255" s="13"/>
    </row>
    <row r="46256">
      <c r="L46256" s="13"/>
      <c r="M46256" s="14"/>
      <c r="N46256" s="14"/>
      <c r="O46256" s="14"/>
      <c r="P46256" s="13"/>
    </row>
    <row r="46257">
      <c r="L46257" s="13"/>
      <c r="M46257" s="14"/>
      <c r="N46257" s="14"/>
      <c r="O46257" s="14"/>
      <c r="P46257" s="13"/>
    </row>
    <row r="46258">
      <c r="L46258" s="13"/>
      <c r="M46258" s="14"/>
      <c r="N46258" s="14"/>
      <c r="O46258" s="14"/>
      <c r="P46258" s="13"/>
    </row>
    <row r="46259">
      <c r="L46259" s="13"/>
      <c r="M46259" s="14"/>
      <c r="N46259" s="14"/>
      <c r="O46259" s="14"/>
      <c r="P46259" s="13"/>
    </row>
    <row r="46260">
      <c r="L46260" s="13"/>
      <c r="M46260" s="14"/>
      <c r="N46260" s="14"/>
      <c r="O46260" s="14"/>
      <c r="P46260" s="13"/>
    </row>
    <row r="46261">
      <c r="L46261" s="13"/>
      <c r="M46261" s="14"/>
      <c r="N46261" s="14"/>
      <c r="O46261" s="14"/>
      <c r="P46261" s="13"/>
    </row>
    <row r="46262">
      <c r="L46262" s="13"/>
      <c r="M46262" s="14"/>
      <c r="N46262" s="14"/>
      <c r="O46262" s="14"/>
      <c r="P46262" s="13"/>
    </row>
    <row r="46263">
      <c r="L46263" s="13"/>
      <c r="M46263" s="14"/>
      <c r="N46263" s="14"/>
      <c r="O46263" s="14"/>
      <c r="P46263" s="13"/>
    </row>
    <row r="46264">
      <c r="L46264" s="13"/>
      <c r="M46264" s="14"/>
      <c r="N46264" s="14"/>
      <c r="O46264" s="14"/>
      <c r="P46264" s="13"/>
    </row>
    <row r="46265">
      <c r="L46265" s="13"/>
      <c r="M46265" s="14"/>
      <c r="N46265" s="14"/>
      <c r="O46265" s="14"/>
      <c r="P46265" s="13"/>
    </row>
    <row r="46266">
      <c r="L46266" s="13"/>
      <c r="M46266" s="14"/>
      <c r="N46266" s="14"/>
      <c r="O46266" s="14"/>
      <c r="P46266" s="13"/>
    </row>
    <row r="46267">
      <c r="L46267" s="13"/>
      <c r="M46267" s="14"/>
      <c r="N46267" s="14"/>
      <c r="O46267" s="14"/>
      <c r="P46267" s="13"/>
    </row>
    <row r="46268">
      <c r="L46268" s="13"/>
      <c r="M46268" s="14"/>
      <c r="N46268" s="14"/>
      <c r="O46268" s="14"/>
      <c r="P46268" s="13"/>
    </row>
    <row r="46269">
      <c r="L46269" s="13"/>
      <c r="M46269" s="14"/>
      <c r="N46269" s="14"/>
      <c r="O46269" s="14"/>
      <c r="P46269" s="13"/>
    </row>
    <row r="46270">
      <c r="L46270" s="13"/>
      <c r="M46270" s="14"/>
      <c r="N46270" s="14"/>
      <c r="O46270" s="14"/>
      <c r="P46270" s="13"/>
    </row>
    <row r="46271">
      <c r="L46271" s="13"/>
      <c r="M46271" s="14"/>
      <c r="N46271" s="14"/>
      <c r="O46271" s="14"/>
      <c r="P46271" s="13"/>
    </row>
    <row r="46272">
      <c r="L46272" s="13"/>
      <c r="M46272" s="14"/>
      <c r="N46272" s="14"/>
      <c r="O46272" s="14"/>
      <c r="P46272" s="13"/>
    </row>
    <row r="46273">
      <c r="L46273" s="13"/>
      <c r="M46273" s="14"/>
      <c r="N46273" s="14"/>
      <c r="O46273" s="14"/>
      <c r="P46273" s="13"/>
    </row>
    <row r="46274">
      <c r="L46274" s="13"/>
      <c r="M46274" s="14"/>
      <c r="N46274" s="14"/>
      <c r="O46274" s="14"/>
      <c r="P46274" s="13"/>
    </row>
    <row r="46275">
      <c r="L46275" s="13"/>
      <c r="M46275" s="14"/>
      <c r="N46275" s="14"/>
      <c r="O46275" s="14"/>
      <c r="P46275" s="13"/>
    </row>
    <row r="46276">
      <c r="L46276" s="13"/>
      <c r="M46276" s="14"/>
      <c r="N46276" s="14"/>
      <c r="O46276" s="14"/>
      <c r="P46276" s="13"/>
    </row>
    <row r="46277">
      <c r="L46277" s="13"/>
      <c r="M46277" s="14"/>
      <c r="N46277" s="14"/>
      <c r="O46277" s="14"/>
      <c r="P46277" s="13"/>
    </row>
    <row r="46278">
      <c r="L46278" s="13"/>
      <c r="M46278" s="14"/>
      <c r="N46278" s="14"/>
      <c r="O46278" s="14"/>
      <c r="P46278" s="13"/>
    </row>
    <row r="46279">
      <c r="L46279" s="13"/>
      <c r="M46279" s="14"/>
      <c r="N46279" s="14"/>
      <c r="O46279" s="14"/>
      <c r="P46279" s="13"/>
    </row>
    <row r="46280">
      <c r="L46280" s="13"/>
      <c r="M46280" s="14"/>
      <c r="N46280" s="14"/>
      <c r="O46280" s="14"/>
      <c r="P46280" s="13"/>
    </row>
    <row r="46281">
      <c r="L46281" s="13"/>
      <c r="M46281" s="14"/>
      <c r="N46281" s="14"/>
      <c r="O46281" s="14"/>
      <c r="P46281" s="13"/>
    </row>
    <row r="46282">
      <c r="L46282" s="13"/>
      <c r="M46282" s="14"/>
      <c r="N46282" s="14"/>
      <c r="O46282" s="14"/>
      <c r="P46282" s="13"/>
    </row>
    <row r="46283">
      <c r="L46283" s="13"/>
      <c r="M46283" s="14"/>
      <c r="N46283" s="14"/>
      <c r="O46283" s="14"/>
      <c r="P46283" s="13"/>
    </row>
    <row r="46284">
      <c r="L46284" s="13"/>
      <c r="M46284" s="14"/>
      <c r="N46284" s="14"/>
      <c r="O46284" s="14"/>
      <c r="P46284" s="13"/>
    </row>
    <row r="46285">
      <c r="L46285" s="13"/>
      <c r="M46285" s="14"/>
      <c r="N46285" s="14"/>
      <c r="O46285" s="14"/>
      <c r="P46285" s="13"/>
    </row>
    <row r="46286">
      <c r="L46286" s="13"/>
      <c r="M46286" s="14"/>
      <c r="N46286" s="14"/>
      <c r="O46286" s="14"/>
      <c r="P46286" s="13"/>
    </row>
    <row r="46287">
      <c r="L46287" s="13"/>
      <c r="M46287" s="14"/>
      <c r="N46287" s="14"/>
      <c r="O46287" s="14"/>
      <c r="P46287" s="13"/>
    </row>
    <row r="46288">
      <c r="L46288" s="13"/>
      <c r="M46288" s="14"/>
      <c r="N46288" s="14"/>
      <c r="O46288" s="14"/>
      <c r="P46288" s="13"/>
    </row>
    <row r="46289">
      <c r="L46289" s="13"/>
      <c r="M46289" s="14"/>
      <c r="N46289" s="14"/>
      <c r="O46289" s="14"/>
      <c r="P46289" s="13"/>
    </row>
    <row r="46290">
      <c r="L46290" s="13"/>
      <c r="M46290" s="14"/>
      <c r="N46290" s="14"/>
      <c r="O46290" s="14"/>
      <c r="P46290" s="13"/>
    </row>
    <row r="46291">
      <c r="L46291" s="13"/>
      <c r="M46291" s="14"/>
      <c r="N46291" s="14"/>
      <c r="O46291" s="14"/>
      <c r="P46291" s="13"/>
    </row>
    <row r="46292">
      <c r="L46292" s="13"/>
      <c r="M46292" s="14"/>
      <c r="N46292" s="14"/>
      <c r="O46292" s="14"/>
      <c r="P46292" s="13"/>
    </row>
    <row r="46293">
      <c r="L46293" s="13"/>
      <c r="M46293" s="14"/>
      <c r="N46293" s="14"/>
      <c r="O46293" s="14"/>
      <c r="P46293" s="13"/>
    </row>
    <row r="46294">
      <c r="L46294" s="13"/>
      <c r="M46294" s="14"/>
      <c r="N46294" s="14"/>
      <c r="O46294" s="14"/>
      <c r="P46294" s="13"/>
    </row>
    <row r="46295">
      <c r="L46295" s="13"/>
      <c r="M46295" s="14"/>
      <c r="N46295" s="14"/>
      <c r="O46295" s="14"/>
      <c r="P46295" s="13"/>
    </row>
    <row r="46296">
      <c r="L46296" s="13"/>
      <c r="M46296" s="14"/>
      <c r="N46296" s="14"/>
      <c r="O46296" s="14"/>
      <c r="P46296" s="13"/>
    </row>
    <row r="46297">
      <c r="L46297" s="13"/>
      <c r="M46297" s="14"/>
      <c r="N46297" s="14"/>
      <c r="O46297" s="14"/>
      <c r="P46297" s="13"/>
    </row>
    <row r="46298">
      <c r="L46298" s="13"/>
      <c r="M46298" s="14"/>
      <c r="N46298" s="14"/>
      <c r="O46298" s="14"/>
      <c r="P46298" s="13"/>
    </row>
    <row r="46299">
      <c r="L46299" s="13"/>
      <c r="M46299" s="14"/>
      <c r="N46299" s="14"/>
      <c r="O46299" s="14"/>
      <c r="P46299" s="13"/>
    </row>
    <row r="46300">
      <c r="L46300" s="13"/>
      <c r="M46300" s="14"/>
      <c r="N46300" s="14"/>
      <c r="O46300" s="14"/>
      <c r="P46300" s="13"/>
    </row>
    <row r="46301">
      <c r="L46301" s="13"/>
      <c r="M46301" s="14"/>
      <c r="N46301" s="14"/>
      <c r="O46301" s="14"/>
      <c r="P46301" s="13"/>
    </row>
    <row r="46302">
      <c r="L46302" s="13"/>
      <c r="M46302" s="14"/>
      <c r="N46302" s="14"/>
      <c r="O46302" s="14"/>
      <c r="P46302" s="13"/>
    </row>
    <row r="46303">
      <c r="L46303" s="13"/>
      <c r="M46303" s="14"/>
      <c r="N46303" s="14"/>
      <c r="O46303" s="14"/>
      <c r="P46303" s="13"/>
    </row>
    <row r="46304">
      <c r="L46304" s="13"/>
      <c r="M46304" s="14"/>
      <c r="N46304" s="14"/>
      <c r="O46304" s="14"/>
      <c r="P46304" s="13"/>
    </row>
    <row r="46305">
      <c r="L46305" s="13"/>
      <c r="M46305" s="14"/>
      <c r="N46305" s="14"/>
      <c r="O46305" s="14"/>
      <c r="P46305" s="13"/>
    </row>
    <row r="46306">
      <c r="L46306" s="13"/>
      <c r="M46306" s="14"/>
      <c r="N46306" s="14"/>
      <c r="O46306" s="14"/>
      <c r="P46306" s="13"/>
    </row>
    <row r="46307">
      <c r="L46307" s="13"/>
      <c r="M46307" s="14"/>
      <c r="N46307" s="14"/>
      <c r="O46307" s="14"/>
      <c r="P46307" s="13"/>
    </row>
    <row r="46308">
      <c r="L46308" s="13"/>
      <c r="M46308" s="14"/>
      <c r="N46308" s="14"/>
      <c r="O46308" s="14"/>
      <c r="P46308" s="13"/>
    </row>
    <row r="46309">
      <c r="L46309" s="13"/>
      <c r="M46309" s="14"/>
      <c r="N46309" s="14"/>
      <c r="O46309" s="14"/>
      <c r="P46309" s="13"/>
    </row>
    <row r="46310">
      <c r="L46310" s="13"/>
      <c r="M46310" s="14"/>
      <c r="N46310" s="14"/>
      <c r="O46310" s="14"/>
      <c r="P46310" s="13"/>
    </row>
    <row r="46311">
      <c r="L46311" s="13"/>
      <c r="M46311" s="14"/>
      <c r="N46311" s="14"/>
      <c r="O46311" s="14"/>
      <c r="P46311" s="13"/>
    </row>
    <row r="46312">
      <c r="L46312" s="13"/>
      <c r="M46312" s="14"/>
      <c r="N46312" s="14"/>
      <c r="O46312" s="14"/>
      <c r="P46312" s="13"/>
    </row>
    <row r="46313">
      <c r="L46313" s="13"/>
      <c r="M46313" s="14"/>
      <c r="N46313" s="14"/>
      <c r="O46313" s="14"/>
      <c r="P46313" s="13"/>
    </row>
    <row r="46314">
      <c r="L46314" s="13"/>
      <c r="M46314" s="14"/>
      <c r="N46314" s="14"/>
      <c r="O46314" s="14"/>
      <c r="P46314" s="13"/>
    </row>
    <row r="46315">
      <c r="L46315" s="13"/>
      <c r="M46315" s="14"/>
      <c r="N46315" s="14"/>
      <c r="O46315" s="14"/>
      <c r="P46315" s="13"/>
    </row>
    <row r="46316">
      <c r="L46316" s="13"/>
      <c r="M46316" s="14"/>
      <c r="N46316" s="14"/>
      <c r="O46316" s="14"/>
      <c r="P46316" s="13"/>
    </row>
    <row r="46317">
      <c r="L46317" s="13"/>
      <c r="M46317" s="14"/>
      <c r="N46317" s="14"/>
      <c r="O46317" s="14"/>
      <c r="P46317" s="13"/>
    </row>
    <row r="46318">
      <c r="L46318" s="13"/>
      <c r="M46318" s="14"/>
      <c r="N46318" s="14"/>
      <c r="O46318" s="14"/>
      <c r="P46318" s="13"/>
    </row>
    <row r="46319">
      <c r="L46319" s="13"/>
      <c r="M46319" s="14"/>
      <c r="N46319" s="14"/>
      <c r="O46319" s="14"/>
      <c r="P46319" s="13"/>
    </row>
    <row r="46320">
      <c r="L46320" s="13"/>
      <c r="M46320" s="14"/>
      <c r="N46320" s="14"/>
      <c r="O46320" s="14"/>
      <c r="P46320" s="13"/>
    </row>
    <row r="46321">
      <c r="L46321" s="13"/>
      <c r="M46321" s="14"/>
      <c r="N46321" s="14"/>
      <c r="O46321" s="14"/>
      <c r="P46321" s="13"/>
    </row>
    <row r="46322">
      <c r="L46322" s="13"/>
      <c r="M46322" s="14"/>
      <c r="N46322" s="14"/>
      <c r="O46322" s="14"/>
      <c r="P46322" s="13"/>
    </row>
    <row r="46323">
      <c r="L46323" s="13"/>
      <c r="M46323" s="14"/>
      <c r="N46323" s="14"/>
      <c r="O46323" s="14"/>
      <c r="P46323" s="13"/>
    </row>
    <row r="46324">
      <c r="L46324" s="13"/>
      <c r="M46324" s="14"/>
      <c r="N46324" s="14"/>
      <c r="O46324" s="14"/>
      <c r="P46324" s="13"/>
    </row>
    <row r="46325">
      <c r="L46325" s="13"/>
      <c r="M46325" s="14"/>
      <c r="N46325" s="14"/>
      <c r="O46325" s="14"/>
      <c r="P46325" s="13"/>
    </row>
    <row r="46326">
      <c r="L46326" s="13"/>
      <c r="M46326" s="14"/>
      <c r="N46326" s="14"/>
      <c r="O46326" s="14"/>
      <c r="P46326" s="13"/>
    </row>
    <row r="46327">
      <c r="L46327" s="13"/>
      <c r="M46327" s="14"/>
      <c r="N46327" s="14"/>
      <c r="O46327" s="14"/>
      <c r="P46327" s="13"/>
    </row>
    <row r="46328">
      <c r="L46328" s="13"/>
      <c r="M46328" s="14"/>
      <c r="N46328" s="14"/>
      <c r="O46328" s="14"/>
      <c r="P46328" s="13"/>
    </row>
    <row r="46329">
      <c r="L46329" s="13"/>
      <c r="M46329" s="14"/>
      <c r="N46329" s="14"/>
      <c r="O46329" s="14"/>
      <c r="P46329" s="13"/>
    </row>
    <row r="46330">
      <c r="L46330" s="13"/>
      <c r="M46330" s="14"/>
      <c r="N46330" s="14"/>
      <c r="O46330" s="14"/>
      <c r="P46330" s="13"/>
    </row>
    <row r="46331">
      <c r="L46331" s="13"/>
      <c r="M46331" s="14"/>
      <c r="N46331" s="14"/>
      <c r="O46331" s="14"/>
      <c r="P46331" s="13"/>
    </row>
    <row r="46332">
      <c r="L46332" s="13"/>
      <c r="M46332" s="14"/>
      <c r="N46332" s="14"/>
      <c r="O46332" s="14"/>
      <c r="P46332" s="13"/>
    </row>
    <row r="46333">
      <c r="L46333" s="13"/>
      <c r="M46333" s="14"/>
      <c r="N46333" s="14"/>
      <c r="O46333" s="14"/>
      <c r="P46333" s="13"/>
    </row>
    <row r="46334">
      <c r="L46334" s="13"/>
      <c r="M46334" s="14"/>
      <c r="N46334" s="14"/>
      <c r="O46334" s="14"/>
      <c r="P46334" s="13"/>
    </row>
    <row r="46335">
      <c r="L46335" s="13"/>
      <c r="M46335" s="14"/>
      <c r="N46335" s="14"/>
      <c r="O46335" s="14"/>
      <c r="P46335" s="13"/>
    </row>
    <row r="46336">
      <c r="L46336" s="13"/>
      <c r="M46336" s="14"/>
      <c r="N46336" s="14"/>
      <c r="O46336" s="14"/>
      <c r="P46336" s="13"/>
    </row>
    <row r="46337">
      <c r="L46337" s="13"/>
      <c r="M46337" s="14"/>
      <c r="N46337" s="14"/>
      <c r="O46337" s="14"/>
      <c r="P46337" s="13"/>
    </row>
    <row r="46338">
      <c r="L46338" s="13"/>
      <c r="M46338" s="14"/>
      <c r="N46338" s="14"/>
      <c r="O46338" s="14"/>
      <c r="P46338" s="13"/>
    </row>
    <row r="46339">
      <c r="L46339" s="13"/>
      <c r="M46339" s="14"/>
      <c r="N46339" s="14"/>
      <c r="O46339" s="14"/>
      <c r="P46339" s="13"/>
    </row>
    <row r="46340">
      <c r="L46340" s="13"/>
      <c r="M46340" s="14"/>
      <c r="N46340" s="14"/>
      <c r="O46340" s="14"/>
      <c r="P46340" s="13"/>
    </row>
    <row r="46341">
      <c r="L46341" s="13"/>
      <c r="M46341" s="14"/>
      <c r="N46341" s="14"/>
      <c r="O46341" s="14"/>
      <c r="P46341" s="13"/>
    </row>
    <row r="46342">
      <c r="L46342" s="13"/>
      <c r="M46342" s="14"/>
      <c r="N46342" s="14"/>
      <c r="O46342" s="14"/>
      <c r="P46342" s="13"/>
    </row>
    <row r="46343">
      <c r="L46343" s="13"/>
      <c r="M46343" s="14"/>
      <c r="N46343" s="14"/>
      <c r="O46343" s="14"/>
      <c r="P46343" s="13"/>
    </row>
    <row r="46344">
      <c r="L46344" s="13"/>
      <c r="M46344" s="14"/>
      <c r="N46344" s="14"/>
      <c r="O46344" s="14"/>
      <c r="P46344" s="13"/>
    </row>
    <row r="46345">
      <c r="L46345" s="13"/>
      <c r="M46345" s="14"/>
      <c r="N46345" s="14"/>
      <c r="O46345" s="14"/>
      <c r="P46345" s="13"/>
    </row>
    <row r="46346">
      <c r="L46346" s="13"/>
      <c r="M46346" s="14"/>
      <c r="N46346" s="14"/>
      <c r="O46346" s="14"/>
      <c r="P46346" s="13"/>
    </row>
    <row r="46347">
      <c r="L46347" s="13"/>
      <c r="M46347" s="14"/>
      <c r="N46347" s="14"/>
      <c r="O46347" s="14"/>
      <c r="P46347" s="13"/>
    </row>
    <row r="46348">
      <c r="L46348" s="13"/>
      <c r="M46348" s="14"/>
      <c r="N46348" s="14"/>
      <c r="O46348" s="14"/>
      <c r="P46348" s="13"/>
    </row>
    <row r="46349">
      <c r="L46349" s="13"/>
      <c r="M46349" s="14"/>
      <c r="N46349" s="14"/>
      <c r="O46349" s="14"/>
      <c r="P46349" s="13"/>
    </row>
    <row r="46350">
      <c r="L46350" s="13"/>
      <c r="M46350" s="14"/>
      <c r="N46350" s="14"/>
      <c r="O46350" s="14"/>
      <c r="P46350" s="13"/>
    </row>
    <row r="46351">
      <c r="L46351" s="13"/>
      <c r="M46351" s="14"/>
      <c r="N46351" s="14"/>
      <c r="O46351" s="14"/>
      <c r="P46351" s="13"/>
    </row>
    <row r="46352">
      <c r="L46352" s="13"/>
      <c r="M46352" s="14"/>
      <c r="N46352" s="14"/>
      <c r="O46352" s="14"/>
      <c r="P46352" s="13"/>
    </row>
    <row r="46353">
      <c r="L46353" s="13"/>
      <c r="M46353" s="14"/>
      <c r="N46353" s="14"/>
      <c r="O46353" s="14"/>
      <c r="P46353" s="13"/>
    </row>
    <row r="46354">
      <c r="L46354" s="13"/>
      <c r="M46354" s="14"/>
      <c r="N46354" s="14"/>
      <c r="O46354" s="14"/>
      <c r="P46354" s="13"/>
    </row>
    <row r="46355">
      <c r="L46355" s="13"/>
      <c r="M46355" s="14"/>
      <c r="N46355" s="14"/>
      <c r="O46355" s="14"/>
      <c r="P46355" s="13"/>
    </row>
    <row r="46356">
      <c r="L46356" s="13"/>
      <c r="M46356" s="14"/>
      <c r="N46356" s="14"/>
      <c r="O46356" s="14"/>
      <c r="P46356" s="13"/>
    </row>
    <row r="46357">
      <c r="L46357" s="13"/>
      <c r="M46357" s="14"/>
      <c r="N46357" s="14"/>
      <c r="O46357" s="14"/>
      <c r="P46357" s="13"/>
    </row>
    <row r="46358">
      <c r="L46358" s="13"/>
      <c r="M46358" s="14"/>
      <c r="N46358" s="14"/>
      <c r="O46358" s="14"/>
      <c r="P46358" s="13"/>
    </row>
    <row r="46359">
      <c r="L46359" s="13"/>
      <c r="M46359" s="14"/>
      <c r="N46359" s="14"/>
      <c r="O46359" s="14"/>
      <c r="P46359" s="13"/>
    </row>
    <row r="46360">
      <c r="L46360" s="13"/>
      <c r="M46360" s="14"/>
      <c r="N46360" s="14"/>
      <c r="O46360" s="14"/>
      <c r="P46360" s="13"/>
    </row>
    <row r="46361">
      <c r="L46361" s="13"/>
      <c r="M46361" s="14"/>
      <c r="N46361" s="14"/>
      <c r="O46361" s="14"/>
      <c r="P46361" s="13"/>
    </row>
    <row r="46362">
      <c r="L46362" s="13"/>
      <c r="M46362" s="14"/>
      <c r="N46362" s="14"/>
      <c r="O46362" s="14"/>
      <c r="P46362" s="13"/>
    </row>
    <row r="46363">
      <c r="L46363" s="13"/>
      <c r="M46363" s="14"/>
      <c r="N46363" s="14"/>
      <c r="O46363" s="14"/>
      <c r="P46363" s="13"/>
    </row>
    <row r="46364">
      <c r="L46364" s="13"/>
      <c r="M46364" s="14"/>
      <c r="N46364" s="14"/>
      <c r="O46364" s="14"/>
      <c r="P46364" s="13"/>
    </row>
    <row r="46365">
      <c r="L46365" s="13"/>
      <c r="M46365" s="14"/>
      <c r="N46365" s="14"/>
      <c r="O46365" s="14"/>
      <c r="P46365" s="13"/>
    </row>
    <row r="46366">
      <c r="L46366" s="13"/>
      <c r="M46366" s="14"/>
      <c r="N46366" s="14"/>
      <c r="O46366" s="14"/>
      <c r="P46366" s="13"/>
    </row>
    <row r="46367">
      <c r="L46367" s="13"/>
      <c r="M46367" s="14"/>
      <c r="N46367" s="14"/>
      <c r="O46367" s="14"/>
      <c r="P46367" s="13"/>
    </row>
    <row r="46368">
      <c r="L46368" s="13"/>
      <c r="M46368" s="14"/>
      <c r="N46368" s="14"/>
      <c r="O46368" s="14"/>
      <c r="P46368" s="13"/>
    </row>
    <row r="46369">
      <c r="L46369" s="13"/>
      <c r="M46369" s="14"/>
      <c r="N46369" s="14"/>
      <c r="O46369" s="14"/>
      <c r="P46369" s="13"/>
    </row>
    <row r="46370">
      <c r="L46370" s="13"/>
      <c r="M46370" s="14"/>
      <c r="N46370" s="14"/>
      <c r="O46370" s="14"/>
      <c r="P46370" s="13"/>
    </row>
    <row r="46371">
      <c r="L46371" s="13"/>
      <c r="M46371" s="14"/>
      <c r="N46371" s="14"/>
      <c r="O46371" s="14"/>
      <c r="P46371" s="13"/>
    </row>
    <row r="46372">
      <c r="L46372" s="13"/>
      <c r="M46372" s="14"/>
      <c r="N46372" s="14"/>
      <c r="O46372" s="14"/>
      <c r="P46372" s="13"/>
    </row>
    <row r="46373">
      <c r="L46373" s="13"/>
      <c r="M46373" s="14"/>
      <c r="N46373" s="14"/>
      <c r="O46373" s="14"/>
      <c r="P46373" s="13"/>
    </row>
    <row r="46374">
      <c r="L46374" s="13"/>
      <c r="M46374" s="14"/>
      <c r="N46374" s="14"/>
      <c r="O46374" s="14"/>
      <c r="P46374" s="13"/>
    </row>
    <row r="46375">
      <c r="L46375" s="13"/>
      <c r="M46375" s="14"/>
      <c r="N46375" s="14"/>
      <c r="O46375" s="14"/>
      <c r="P46375" s="13"/>
    </row>
    <row r="46376">
      <c r="L46376" s="13"/>
      <c r="M46376" s="14"/>
      <c r="N46376" s="14"/>
      <c r="O46376" s="14"/>
      <c r="P46376" s="13"/>
    </row>
    <row r="46377">
      <c r="L46377" s="13"/>
      <c r="M46377" s="14"/>
      <c r="N46377" s="14"/>
      <c r="O46377" s="14"/>
      <c r="P46377" s="13"/>
    </row>
    <row r="46378">
      <c r="L46378" s="13"/>
      <c r="M46378" s="14"/>
      <c r="N46378" s="14"/>
      <c r="O46378" s="14"/>
      <c r="P46378" s="13"/>
    </row>
    <row r="46379">
      <c r="L46379" s="13"/>
      <c r="M46379" s="14"/>
      <c r="N46379" s="14"/>
      <c r="O46379" s="14"/>
      <c r="P46379" s="13"/>
    </row>
    <row r="46380">
      <c r="L46380" s="13"/>
      <c r="M46380" s="14"/>
      <c r="N46380" s="14"/>
      <c r="O46380" s="14"/>
      <c r="P46380" s="13"/>
    </row>
    <row r="46381">
      <c r="L46381" s="13"/>
      <c r="M46381" s="14"/>
      <c r="N46381" s="14"/>
      <c r="O46381" s="14"/>
      <c r="P46381" s="13"/>
    </row>
    <row r="46382">
      <c r="L46382" s="13"/>
      <c r="M46382" s="14"/>
      <c r="N46382" s="14"/>
      <c r="O46382" s="14"/>
      <c r="P46382" s="13"/>
    </row>
    <row r="46383">
      <c r="L46383" s="13"/>
      <c r="M46383" s="14"/>
      <c r="N46383" s="14"/>
      <c r="O46383" s="14"/>
      <c r="P46383" s="13"/>
    </row>
    <row r="46384">
      <c r="L46384" s="13"/>
      <c r="M46384" s="14"/>
      <c r="N46384" s="14"/>
      <c r="O46384" s="14"/>
      <c r="P46384" s="13"/>
    </row>
    <row r="46385">
      <c r="L46385" s="13"/>
      <c r="M46385" s="14"/>
      <c r="N46385" s="14"/>
      <c r="O46385" s="14"/>
      <c r="P46385" s="13"/>
    </row>
    <row r="46386">
      <c r="L46386" s="13"/>
      <c r="M46386" s="14"/>
      <c r="N46386" s="14"/>
      <c r="O46386" s="14"/>
      <c r="P46386" s="13"/>
    </row>
    <row r="46387">
      <c r="L46387" s="13"/>
      <c r="M46387" s="14"/>
      <c r="N46387" s="14"/>
      <c r="O46387" s="14"/>
      <c r="P46387" s="13"/>
    </row>
    <row r="46388">
      <c r="L46388" s="13"/>
      <c r="M46388" s="14"/>
      <c r="N46388" s="14"/>
      <c r="O46388" s="14"/>
      <c r="P46388" s="13"/>
    </row>
    <row r="46389">
      <c r="L46389" s="13"/>
      <c r="M46389" s="14"/>
      <c r="N46389" s="14"/>
      <c r="O46389" s="14"/>
      <c r="P46389" s="13"/>
    </row>
    <row r="46390">
      <c r="L46390" s="13"/>
      <c r="M46390" s="14"/>
      <c r="N46390" s="14"/>
      <c r="O46390" s="14"/>
      <c r="P46390" s="13"/>
    </row>
    <row r="46391">
      <c r="L46391" s="13"/>
      <c r="M46391" s="14"/>
      <c r="N46391" s="14"/>
      <c r="O46391" s="14"/>
      <c r="P46391" s="13"/>
    </row>
    <row r="46392">
      <c r="L46392" s="13"/>
      <c r="M46392" s="14"/>
      <c r="N46392" s="14"/>
      <c r="O46392" s="14"/>
      <c r="P46392" s="13"/>
    </row>
    <row r="46393">
      <c r="L46393" s="13"/>
      <c r="M46393" s="14"/>
      <c r="N46393" s="14"/>
      <c r="O46393" s="14"/>
      <c r="P46393" s="13"/>
    </row>
    <row r="46394">
      <c r="L46394" s="13"/>
      <c r="M46394" s="14"/>
      <c r="N46394" s="14"/>
      <c r="O46394" s="14"/>
      <c r="P46394" s="13"/>
    </row>
    <row r="46395">
      <c r="L46395" s="13"/>
      <c r="M46395" s="14"/>
      <c r="N46395" s="14"/>
      <c r="O46395" s="14"/>
      <c r="P46395" s="13"/>
    </row>
    <row r="46396">
      <c r="L46396" s="13"/>
      <c r="M46396" s="14"/>
      <c r="N46396" s="14"/>
      <c r="O46396" s="14"/>
      <c r="P46396" s="13"/>
    </row>
    <row r="46397">
      <c r="L46397" s="13"/>
      <c r="M46397" s="14"/>
      <c r="N46397" s="14"/>
      <c r="O46397" s="14"/>
      <c r="P46397" s="13"/>
    </row>
    <row r="46398">
      <c r="L46398" s="13"/>
      <c r="M46398" s="14"/>
      <c r="N46398" s="14"/>
      <c r="O46398" s="14"/>
      <c r="P46398" s="13"/>
    </row>
    <row r="46399">
      <c r="L46399" s="13"/>
      <c r="M46399" s="14"/>
      <c r="N46399" s="14"/>
      <c r="O46399" s="14"/>
      <c r="P46399" s="13"/>
    </row>
    <row r="46400">
      <c r="L46400" s="13"/>
      <c r="M46400" s="14"/>
      <c r="N46400" s="14"/>
      <c r="O46400" s="14"/>
      <c r="P46400" s="13"/>
    </row>
    <row r="46401">
      <c r="L46401" s="13"/>
      <c r="M46401" s="14"/>
      <c r="N46401" s="14"/>
      <c r="O46401" s="14"/>
      <c r="P46401" s="13"/>
    </row>
    <row r="46402">
      <c r="L46402" s="13"/>
      <c r="M46402" s="14"/>
      <c r="N46402" s="14"/>
      <c r="O46402" s="14"/>
      <c r="P46402" s="13"/>
    </row>
    <row r="46403">
      <c r="L46403" s="13"/>
      <c r="M46403" s="14"/>
      <c r="N46403" s="14"/>
      <c r="O46403" s="14"/>
      <c r="P46403" s="13"/>
    </row>
    <row r="46404">
      <c r="L46404" s="13"/>
      <c r="M46404" s="14"/>
      <c r="N46404" s="14"/>
      <c r="O46404" s="14"/>
      <c r="P46404" s="13"/>
    </row>
    <row r="46405">
      <c r="L46405" s="13"/>
      <c r="M46405" s="14"/>
      <c r="N46405" s="14"/>
      <c r="O46405" s="14"/>
      <c r="P46405" s="13"/>
    </row>
    <row r="46406">
      <c r="L46406" s="13"/>
      <c r="M46406" s="14"/>
      <c r="N46406" s="14"/>
      <c r="O46406" s="14"/>
      <c r="P46406" s="13"/>
    </row>
    <row r="46407">
      <c r="L46407" s="13"/>
      <c r="M46407" s="14"/>
      <c r="N46407" s="14"/>
      <c r="O46407" s="14"/>
      <c r="P46407" s="13"/>
    </row>
    <row r="46408">
      <c r="L46408" s="13"/>
      <c r="M46408" s="14"/>
      <c r="N46408" s="14"/>
      <c r="O46408" s="14"/>
      <c r="P46408" s="13"/>
    </row>
    <row r="46409">
      <c r="L46409" s="13"/>
      <c r="M46409" s="14"/>
      <c r="N46409" s="14"/>
      <c r="O46409" s="14"/>
      <c r="P46409" s="13"/>
    </row>
    <row r="46410">
      <c r="L46410" s="13"/>
      <c r="M46410" s="14"/>
      <c r="N46410" s="14"/>
      <c r="O46410" s="14"/>
      <c r="P46410" s="13"/>
    </row>
    <row r="46411">
      <c r="L46411" s="13"/>
      <c r="M46411" s="14"/>
      <c r="N46411" s="14"/>
      <c r="O46411" s="14"/>
      <c r="P46411" s="13"/>
    </row>
    <row r="46412">
      <c r="L46412" s="13"/>
      <c r="M46412" s="14"/>
      <c r="N46412" s="14"/>
      <c r="O46412" s="14"/>
      <c r="P46412" s="13"/>
    </row>
    <row r="46413">
      <c r="L46413" s="13"/>
      <c r="M46413" s="14"/>
      <c r="N46413" s="14"/>
      <c r="O46413" s="14"/>
      <c r="P46413" s="13"/>
    </row>
    <row r="46414">
      <c r="L46414" s="13"/>
      <c r="M46414" s="14"/>
      <c r="N46414" s="14"/>
      <c r="O46414" s="14"/>
      <c r="P46414" s="13"/>
    </row>
    <row r="46415">
      <c r="L46415" s="13"/>
      <c r="M46415" s="14"/>
      <c r="N46415" s="14"/>
      <c r="O46415" s="14"/>
      <c r="P46415" s="13"/>
    </row>
    <row r="46416">
      <c r="L46416" s="13"/>
      <c r="M46416" s="14"/>
      <c r="N46416" s="14"/>
      <c r="O46416" s="14"/>
      <c r="P46416" s="13"/>
    </row>
    <row r="46417">
      <c r="L46417" s="13"/>
      <c r="M46417" s="14"/>
      <c r="N46417" s="14"/>
      <c r="O46417" s="14"/>
      <c r="P46417" s="13"/>
    </row>
    <row r="46418">
      <c r="L46418" s="13"/>
      <c r="M46418" s="14"/>
      <c r="N46418" s="14"/>
      <c r="O46418" s="14"/>
      <c r="P46418" s="13"/>
    </row>
    <row r="46419">
      <c r="L46419" s="13"/>
      <c r="M46419" s="14"/>
      <c r="N46419" s="14"/>
      <c r="O46419" s="14"/>
      <c r="P46419" s="13"/>
    </row>
    <row r="46420">
      <c r="L46420" s="13"/>
      <c r="M46420" s="14"/>
      <c r="N46420" s="14"/>
      <c r="O46420" s="14"/>
      <c r="P46420" s="13"/>
    </row>
    <row r="46421">
      <c r="L46421" s="13"/>
      <c r="M46421" s="14"/>
      <c r="N46421" s="14"/>
      <c r="O46421" s="14"/>
      <c r="P46421" s="13"/>
    </row>
    <row r="46422">
      <c r="L46422" s="13"/>
      <c r="M46422" s="14"/>
      <c r="N46422" s="14"/>
      <c r="O46422" s="14"/>
      <c r="P46422" s="13"/>
    </row>
    <row r="46423">
      <c r="L46423" s="13"/>
      <c r="M46423" s="14"/>
      <c r="N46423" s="14"/>
      <c r="O46423" s="14"/>
      <c r="P46423" s="13"/>
    </row>
    <row r="46424">
      <c r="L46424" s="13"/>
      <c r="M46424" s="14"/>
      <c r="N46424" s="14"/>
      <c r="O46424" s="14"/>
      <c r="P46424" s="13"/>
    </row>
    <row r="46425">
      <c r="L46425" s="13"/>
      <c r="M46425" s="14"/>
      <c r="N46425" s="14"/>
      <c r="O46425" s="14"/>
      <c r="P46425" s="13"/>
    </row>
    <row r="46426">
      <c r="L46426" s="13"/>
      <c r="M46426" s="14"/>
      <c r="N46426" s="14"/>
      <c r="O46426" s="14"/>
      <c r="P46426" s="13"/>
    </row>
    <row r="46427">
      <c r="L46427" s="13"/>
      <c r="M46427" s="14"/>
      <c r="N46427" s="14"/>
      <c r="O46427" s="14"/>
      <c r="P46427" s="13"/>
    </row>
    <row r="46428">
      <c r="L46428" s="13"/>
      <c r="M46428" s="14"/>
      <c r="N46428" s="14"/>
      <c r="O46428" s="14"/>
      <c r="P46428" s="13"/>
    </row>
    <row r="46429">
      <c r="L46429" s="13"/>
      <c r="M46429" s="14"/>
      <c r="N46429" s="14"/>
      <c r="O46429" s="14"/>
      <c r="P46429" s="13"/>
    </row>
    <row r="46430">
      <c r="L46430" s="13"/>
      <c r="M46430" s="14"/>
      <c r="N46430" s="14"/>
      <c r="O46430" s="14"/>
      <c r="P46430" s="13"/>
    </row>
    <row r="46431">
      <c r="L46431" s="13"/>
      <c r="M46431" s="14"/>
      <c r="N46431" s="14"/>
      <c r="O46431" s="14"/>
      <c r="P46431" s="13"/>
    </row>
    <row r="46432">
      <c r="L46432" s="13"/>
      <c r="M46432" s="14"/>
      <c r="N46432" s="14"/>
      <c r="O46432" s="14"/>
      <c r="P46432" s="13"/>
    </row>
    <row r="46433">
      <c r="L46433" s="13"/>
      <c r="M46433" s="14"/>
      <c r="N46433" s="14"/>
      <c r="O46433" s="14"/>
      <c r="P46433" s="13"/>
    </row>
    <row r="46434">
      <c r="L46434" s="13"/>
      <c r="M46434" s="14"/>
      <c r="N46434" s="14"/>
      <c r="O46434" s="14"/>
      <c r="P46434" s="13"/>
    </row>
    <row r="46435">
      <c r="L46435" s="13"/>
      <c r="M46435" s="14"/>
      <c r="N46435" s="14"/>
      <c r="O46435" s="14"/>
      <c r="P46435" s="13"/>
    </row>
    <row r="46436">
      <c r="L46436" s="13"/>
      <c r="M46436" s="14"/>
      <c r="N46436" s="14"/>
      <c r="O46436" s="14"/>
      <c r="P46436" s="13"/>
    </row>
    <row r="46437">
      <c r="L46437" s="13"/>
      <c r="M46437" s="14"/>
      <c r="N46437" s="14"/>
      <c r="O46437" s="14"/>
      <c r="P46437" s="13"/>
    </row>
    <row r="46438">
      <c r="L46438" s="13"/>
      <c r="M46438" s="14"/>
      <c r="N46438" s="14"/>
      <c r="O46438" s="14"/>
      <c r="P46438" s="13"/>
    </row>
    <row r="46439">
      <c r="L46439" s="13"/>
      <c r="M46439" s="14"/>
      <c r="N46439" s="14"/>
      <c r="O46439" s="14"/>
      <c r="P46439" s="13"/>
    </row>
    <row r="46440">
      <c r="L46440" s="13"/>
      <c r="M46440" s="14"/>
      <c r="N46440" s="14"/>
      <c r="O46440" s="14"/>
      <c r="P46440" s="13"/>
    </row>
    <row r="46441">
      <c r="L46441" s="13"/>
      <c r="M46441" s="14"/>
      <c r="N46441" s="14"/>
      <c r="O46441" s="14"/>
      <c r="P46441" s="13"/>
    </row>
    <row r="46442">
      <c r="L46442" s="13"/>
      <c r="M46442" s="14"/>
      <c r="N46442" s="14"/>
      <c r="O46442" s="14"/>
      <c r="P46442" s="13"/>
    </row>
    <row r="46443">
      <c r="L46443" s="13"/>
      <c r="M46443" s="14"/>
      <c r="N46443" s="14"/>
      <c r="O46443" s="14"/>
      <c r="P46443" s="13"/>
    </row>
    <row r="46444">
      <c r="L46444" s="13"/>
      <c r="M46444" s="14"/>
      <c r="N46444" s="14"/>
      <c r="O46444" s="14"/>
      <c r="P46444" s="13"/>
    </row>
    <row r="46445">
      <c r="L46445" s="13"/>
      <c r="M46445" s="14"/>
      <c r="N46445" s="14"/>
      <c r="O46445" s="14"/>
      <c r="P46445" s="13"/>
    </row>
    <row r="46446">
      <c r="L46446" s="13"/>
      <c r="M46446" s="14"/>
      <c r="N46446" s="14"/>
      <c r="O46446" s="14"/>
      <c r="P46446" s="13"/>
    </row>
    <row r="46447">
      <c r="L46447" s="13"/>
      <c r="M46447" s="14"/>
      <c r="N46447" s="14"/>
      <c r="O46447" s="14"/>
      <c r="P46447" s="13"/>
    </row>
    <row r="46448">
      <c r="L46448" s="13"/>
      <c r="M46448" s="14"/>
      <c r="N46448" s="14"/>
      <c r="O46448" s="14"/>
      <c r="P46448" s="13"/>
    </row>
    <row r="46449">
      <c r="L46449" s="13"/>
      <c r="M46449" s="14"/>
      <c r="N46449" s="14"/>
      <c r="O46449" s="14"/>
      <c r="P46449" s="13"/>
    </row>
    <row r="46450">
      <c r="L46450" s="13"/>
      <c r="M46450" s="14"/>
      <c r="N46450" s="14"/>
      <c r="O46450" s="14"/>
      <c r="P46450" s="13"/>
    </row>
    <row r="46451">
      <c r="L46451" s="13"/>
      <c r="M46451" s="14"/>
      <c r="N46451" s="14"/>
      <c r="O46451" s="14"/>
      <c r="P46451" s="13"/>
    </row>
    <row r="46452">
      <c r="L46452" s="13"/>
      <c r="M46452" s="14"/>
      <c r="N46452" s="14"/>
      <c r="O46452" s="14"/>
      <c r="P46452" s="13"/>
    </row>
    <row r="46453">
      <c r="L46453" s="13"/>
      <c r="M46453" s="14"/>
      <c r="N46453" s="14"/>
      <c r="O46453" s="14"/>
      <c r="P46453" s="13"/>
    </row>
    <row r="46454">
      <c r="L46454" s="13"/>
      <c r="M46454" s="14"/>
      <c r="N46454" s="14"/>
      <c r="O46454" s="14"/>
      <c r="P46454" s="13"/>
    </row>
    <row r="46455">
      <c r="L46455" s="13"/>
      <c r="M46455" s="14"/>
      <c r="N46455" s="14"/>
      <c r="O46455" s="14"/>
      <c r="P46455" s="13"/>
    </row>
    <row r="46456">
      <c r="L46456" s="13"/>
      <c r="M46456" s="14"/>
      <c r="N46456" s="14"/>
      <c r="O46456" s="14"/>
      <c r="P46456" s="13"/>
    </row>
    <row r="46457">
      <c r="L46457" s="13"/>
      <c r="M46457" s="14"/>
      <c r="N46457" s="14"/>
      <c r="O46457" s="14"/>
      <c r="P46457" s="13"/>
    </row>
    <row r="46458">
      <c r="L46458" s="13"/>
      <c r="M46458" s="14"/>
      <c r="N46458" s="14"/>
      <c r="O46458" s="14"/>
      <c r="P46458" s="13"/>
    </row>
    <row r="46459">
      <c r="L46459" s="13"/>
      <c r="M46459" s="14"/>
      <c r="N46459" s="14"/>
      <c r="O46459" s="14"/>
      <c r="P46459" s="13"/>
    </row>
    <row r="46460">
      <c r="L46460" s="13"/>
      <c r="M46460" s="14"/>
      <c r="N46460" s="14"/>
      <c r="O46460" s="14"/>
      <c r="P46460" s="13"/>
    </row>
    <row r="46461">
      <c r="L46461" s="13"/>
      <c r="M46461" s="14"/>
      <c r="N46461" s="14"/>
      <c r="O46461" s="14"/>
      <c r="P46461" s="13"/>
    </row>
    <row r="46462">
      <c r="L46462" s="13"/>
      <c r="M46462" s="14"/>
      <c r="N46462" s="14"/>
      <c r="O46462" s="14"/>
      <c r="P46462" s="13"/>
    </row>
    <row r="46463">
      <c r="L46463" s="13"/>
      <c r="M46463" s="14"/>
      <c r="N46463" s="14"/>
      <c r="O46463" s="14"/>
      <c r="P46463" s="13"/>
    </row>
    <row r="46464">
      <c r="L46464" s="13"/>
      <c r="M46464" s="14"/>
      <c r="N46464" s="14"/>
      <c r="O46464" s="14"/>
      <c r="P46464" s="13"/>
    </row>
    <row r="46465">
      <c r="L46465" s="13"/>
      <c r="M46465" s="14"/>
      <c r="N46465" s="14"/>
      <c r="O46465" s="14"/>
      <c r="P46465" s="13"/>
    </row>
    <row r="46466">
      <c r="L46466" s="13"/>
      <c r="M46466" s="14"/>
      <c r="N46466" s="14"/>
      <c r="O46466" s="14"/>
      <c r="P46466" s="13"/>
    </row>
    <row r="46467">
      <c r="L46467" s="13"/>
      <c r="M46467" s="14"/>
      <c r="N46467" s="14"/>
      <c r="O46467" s="14"/>
      <c r="P46467" s="13"/>
    </row>
    <row r="46468">
      <c r="L46468" s="13"/>
      <c r="M46468" s="14"/>
      <c r="N46468" s="14"/>
      <c r="O46468" s="14"/>
      <c r="P46468" s="13"/>
    </row>
    <row r="46469">
      <c r="L46469" s="13"/>
      <c r="M46469" s="14"/>
      <c r="N46469" s="14"/>
      <c r="O46469" s="14"/>
      <c r="P46469" s="13"/>
    </row>
    <row r="46470">
      <c r="L46470" s="13"/>
      <c r="M46470" s="14"/>
      <c r="N46470" s="14"/>
      <c r="O46470" s="14"/>
      <c r="P46470" s="13"/>
    </row>
    <row r="46471">
      <c r="L46471" s="13"/>
      <c r="M46471" s="14"/>
      <c r="N46471" s="14"/>
      <c r="O46471" s="14"/>
      <c r="P46471" s="13"/>
    </row>
    <row r="46472">
      <c r="L46472" s="13"/>
      <c r="M46472" s="14"/>
      <c r="N46472" s="14"/>
      <c r="O46472" s="14"/>
      <c r="P46472" s="13"/>
    </row>
    <row r="46473">
      <c r="L46473" s="13"/>
      <c r="M46473" s="14"/>
      <c r="N46473" s="14"/>
      <c r="O46473" s="14"/>
      <c r="P46473" s="13"/>
    </row>
    <row r="46474">
      <c r="L46474" s="13"/>
      <c r="M46474" s="14"/>
      <c r="N46474" s="14"/>
      <c r="O46474" s="14"/>
      <c r="P46474" s="13"/>
    </row>
    <row r="46475">
      <c r="L46475" s="13"/>
      <c r="M46475" s="14"/>
      <c r="N46475" s="14"/>
      <c r="O46475" s="14"/>
      <c r="P46475" s="13"/>
    </row>
    <row r="46476">
      <c r="L46476" s="13"/>
      <c r="M46476" s="14"/>
      <c r="N46476" s="14"/>
      <c r="O46476" s="14"/>
      <c r="P46476" s="13"/>
    </row>
    <row r="46477">
      <c r="L46477" s="13"/>
      <c r="M46477" s="14"/>
      <c r="N46477" s="14"/>
      <c r="O46477" s="14"/>
      <c r="P46477" s="13"/>
    </row>
    <row r="46478">
      <c r="L46478" s="13"/>
      <c r="M46478" s="14"/>
      <c r="N46478" s="14"/>
      <c r="O46478" s="14"/>
      <c r="P46478" s="13"/>
    </row>
    <row r="46479">
      <c r="L46479" s="13"/>
      <c r="M46479" s="14"/>
      <c r="N46479" s="14"/>
      <c r="O46479" s="14"/>
      <c r="P46479" s="13"/>
    </row>
    <row r="46480">
      <c r="L46480" s="13"/>
      <c r="M46480" s="14"/>
      <c r="N46480" s="14"/>
      <c r="O46480" s="14"/>
      <c r="P46480" s="13"/>
    </row>
    <row r="46481">
      <c r="L46481" s="13"/>
      <c r="M46481" s="14"/>
      <c r="N46481" s="14"/>
      <c r="O46481" s="14"/>
      <c r="P46481" s="13"/>
    </row>
    <row r="46482">
      <c r="L46482" s="13"/>
      <c r="M46482" s="14"/>
      <c r="N46482" s="14"/>
      <c r="O46482" s="14"/>
      <c r="P46482" s="13"/>
    </row>
    <row r="46483">
      <c r="L46483" s="13"/>
      <c r="M46483" s="14"/>
      <c r="N46483" s="14"/>
      <c r="O46483" s="14"/>
      <c r="P46483" s="13"/>
    </row>
    <row r="46484">
      <c r="L46484" s="13"/>
      <c r="M46484" s="14"/>
      <c r="N46484" s="14"/>
      <c r="O46484" s="14"/>
      <c r="P46484" s="13"/>
    </row>
    <row r="46485">
      <c r="L46485" s="13"/>
      <c r="M46485" s="14"/>
      <c r="N46485" s="14"/>
      <c r="O46485" s="14"/>
      <c r="P46485" s="13"/>
    </row>
    <row r="46486">
      <c r="L46486" s="13"/>
      <c r="M46486" s="14"/>
      <c r="N46486" s="14"/>
      <c r="O46486" s="14"/>
      <c r="P46486" s="13"/>
    </row>
    <row r="46487">
      <c r="L46487" s="13"/>
      <c r="M46487" s="14"/>
      <c r="N46487" s="14"/>
      <c r="O46487" s="14"/>
      <c r="P46487" s="13"/>
    </row>
    <row r="46488">
      <c r="L46488" s="13"/>
      <c r="M46488" s="14"/>
      <c r="N46488" s="14"/>
      <c r="O46488" s="14"/>
      <c r="P46488" s="13"/>
    </row>
    <row r="46489">
      <c r="L46489" s="13"/>
      <c r="M46489" s="14"/>
      <c r="N46489" s="14"/>
      <c r="O46489" s="14"/>
      <c r="P46489" s="13"/>
    </row>
    <row r="46490">
      <c r="L46490" s="13"/>
      <c r="M46490" s="14"/>
      <c r="N46490" s="14"/>
      <c r="O46490" s="14"/>
      <c r="P46490" s="13"/>
    </row>
    <row r="46491">
      <c r="L46491" s="13"/>
      <c r="M46491" s="14"/>
      <c r="N46491" s="14"/>
      <c r="O46491" s="14"/>
      <c r="P46491" s="13"/>
    </row>
    <row r="46492">
      <c r="L46492" s="13"/>
      <c r="M46492" s="14"/>
      <c r="N46492" s="14"/>
      <c r="O46492" s="14"/>
      <c r="P46492" s="13"/>
    </row>
    <row r="46493">
      <c r="L46493" s="13"/>
      <c r="M46493" s="14"/>
      <c r="N46493" s="14"/>
      <c r="O46493" s="14"/>
      <c r="P46493" s="13"/>
    </row>
    <row r="46494">
      <c r="L46494" s="13"/>
      <c r="M46494" s="14"/>
      <c r="N46494" s="14"/>
      <c r="O46494" s="14"/>
      <c r="P46494" s="13"/>
    </row>
    <row r="46495">
      <c r="L46495" s="13"/>
      <c r="M46495" s="14"/>
      <c r="N46495" s="14"/>
      <c r="O46495" s="14"/>
      <c r="P46495" s="13"/>
    </row>
    <row r="46496">
      <c r="L46496" s="13"/>
      <c r="M46496" s="14"/>
      <c r="N46496" s="14"/>
      <c r="O46496" s="14"/>
      <c r="P46496" s="13"/>
    </row>
    <row r="46497">
      <c r="L46497" s="13"/>
      <c r="M46497" s="14"/>
      <c r="N46497" s="14"/>
      <c r="O46497" s="14"/>
      <c r="P46497" s="13"/>
    </row>
    <row r="46498">
      <c r="L46498" s="13"/>
      <c r="M46498" s="14"/>
      <c r="N46498" s="14"/>
      <c r="O46498" s="14"/>
      <c r="P46498" s="13"/>
    </row>
    <row r="46499">
      <c r="L46499" s="13"/>
      <c r="M46499" s="14"/>
      <c r="N46499" s="14"/>
      <c r="O46499" s="14"/>
      <c r="P46499" s="13"/>
    </row>
    <row r="46500">
      <c r="L46500" s="13"/>
      <c r="M46500" s="14"/>
      <c r="N46500" s="14"/>
      <c r="O46500" s="14"/>
      <c r="P46500" s="13"/>
    </row>
    <row r="46501">
      <c r="L46501" s="13"/>
      <c r="M46501" s="14"/>
      <c r="N46501" s="14"/>
      <c r="O46501" s="14"/>
      <c r="P46501" s="13"/>
    </row>
    <row r="46502">
      <c r="L46502" s="13"/>
      <c r="M46502" s="14"/>
      <c r="N46502" s="14"/>
      <c r="O46502" s="14"/>
      <c r="P46502" s="13"/>
    </row>
    <row r="46503">
      <c r="L46503" s="13"/>
      <c r="M46503" s="14"/>
      <c r="N46503" s="14"/>
      <c r="O46503" s="14"/>
      <c r="P46503" s="13"/>
    </row>
    <row r="46504">
      <c r="L46504" s="13"/>
      <c r="M46504" s="14"/>
      <c r="N46504" s="14"/>
      <c r="O46504" s="14"/>
      <c r="P46504" s="13"/>
    </row>
    <row r="46505">
      <c r="L46505" s="13"/>
      <c r="M46505" s="14"/>
      <c r="N46505" s="14"/>
      <c r="O46505" s="14"/>
      <c r="P46505" s="13"/>
    </row>
    <row r="46506">
      <c r="L46506" s="13"/>
      <c r="M46506" s="14"/>
      <c r="N46506" s="14"/>
      <c r="O46506" s="14"/>
      <c r="P46506" s="13"/>
    </row>
    <row r="46507">
      <c r="L46507" s="13"/>
      <c r="M46507" s="14"/>
      <c r="N46507" s="14"/>
      <c r="O46507" s="14"/>
      <c r="P46507" s="13"/>
    </row>
    <row r="46508">
      <c r="L46508" s="13"/>
      <c r="M46508" s="14"/>
      <c r="N46508" s="14"/>
      <c r="O46508" s="14"/>
      <c r="P46508" s="13"/>
    </row>
    <row r="46509">
      <c r="L46509" s="13"/>
      <c r="M46509" s="14"/>
      <c r="N46509" s="14"/>
      <c r="O46509" s="14"/>
      <c r="P46509" s="13"/>
    </row>
    <row r="46510">
      <c r="L46510" s="13"/>
      <c r="M46510" s="14"/>
      <c r="N46510" s="14"/>
      <c r="O46510" s="14"/>
      <c r="P46510" s="13"/>
    </row>
    <row r="46511">
      <c r="L46511" s="13"/>
      <c r="M46511" s="14"/>
      <c r="N46511" s="14"/>
      <c r="O46511" s="14"/>
      <c r="P46511" s="13"/>
    </row>
    <row r="46512">
      <c r="L46512" s="13"/>
      <c r="M46512" s="14"/>
      <c r="N46512" s="14"/>
      <c r="O46512" s="14"/>
      <c r="P46512" s="13"/>
    </row>
    <row r="46513">
      <c r="L46513" s="13"/>
      <c r="M46513" s="14"/>
      <c r="N46513" s="14"/>
      <c r="O46513" s="14"/>
      <c r="P46513" s="13"/>
    </row>
    <row r="46514">
      <c r="L46514" s="13"/>
      <c r="M46514" s="14"/>
      <c r="N46514" s="14"/>
      <c r="O46514" s="14"/>
      <c r="P46514" s="13"/>
    </row>
    <row r="46515">
      <c r="L46515" s="13"/>
      <c r="M46515" s="14"/>
      <c r="N46515" s="14"/>
      <c r="O46515" s="14"/>
      <c r="P46515" s="13"/>
    </row>
    <row r="46516">
      <c r="L46516" s="13"/>
      <c r="M46516" s="14"/>
      <c r="N46516" s="14"/>
      <c r="O46516" s="14"/>
      <c r="P46516" s="13"/>
    </row>
    <row r="46517">
      <c r="L46517" s="13"/>
      <c r="M46517" s="14"/>
      <c r="N46517" s="14"/>
      <c r="O46517" s="14"/>
      <c r="P46517" s="13"/>
    </row>
    <row r="46518">
      <c r="L46518" s="13"/>
      <c r="M46518" s="14"/>
      <c r="N46518" s="14"/>
      <c r="O46518" s="14"/>
      <c r="P46518" s="13"/>
    </row>
    <row r="46519">
      <c r="L46519" s="13"/>
      <c r="M46519" s="14"/>
      <c r="N46519" s="14"/>
      <c r="O46519" s="14"/>
      <c r="P46519" s="13"/>
    </row>
    <row r="46520">
      <c r="L46520" s="13"/>
      <c r="M46520" s="14"/>
      <c r="N46520" s="14"/>
      <c r="O46520" s="14"/>
      <c r="P46520" s="13"/>
    </row>
    <row r="46521">
      <c r="L46521" s="13"/>
      <c r="M46521" s="14"/>
      <c r="N46521" s="14"/>
      <c r="O46521" s="14"/>
      <c r="P46521" s="13"/>
    </row>
    <row r="46522">
      <c r="L46522" s="13"/>
      <c r="M46522" s="14"/>
      <c r="N46522" s="14"/>
      <c r="O46522" s="14"/>
      <c r="P46522" s="13"/>
    </row>
    <row r="46523">
      <c r="L46523" s="13"/>
      <c r="M46523" s="14"/>
      <c r="N46523" s="14"/>
      <c r="O46523" s="14"/>
      <c r="P46523" s="13"/>
    </row>
    <row r="46524">
      <c r="L46524" s="13"/>
      <c r="M46524" s="14"/>
      <c r="N46524" s="14"/>
      <c r="O46524" s="14"/>
      <c r="P46524" s="13"/>
    </row>
    <row r="46525">
      <c r="L46525" s="13"/>
      <c r="M46525" s="14"/>
      <c r="N46525" s="14"/>
      <c r="O46525" s="14"/>
      <c r="P46525" s="13"/>
    </row>
    <row r="46526">
      <c r="L46526" s="13"/>
      <c r="M46526" s="14"/>
      <c r="N46526" s="14"/>
      <c r="O46526" s="14"/>
      <c r="P46526" s="13"/>
    </row>
    <row r="46527">
      <c r="L46527" s="13"/>
      <c r="M46527" s="14"/>
      <c r="N46527" s="14"/>
      <c r="O46527" s="14"/>
      <c r="P46527" s="13"/>
    </row>
    <row r="46528">
      <c r="L46528" s="13"/>
      <c r="M46528" s="14"/>
      <c r="N46528" s="14"/>
      <c r="O46528" s="14"/>
      <c r="P46528" s="13"/>
    </row>
    <row r="46529">
      <c r="L46529" s="13"/>
      <c r="M46529" s="14"/>
      <c r="N46529" s="14"/>
      <c r="O46529" s="14"/>
      <c r="P46529" s="13"/>
    </row>
    <row r="46530">
      <c r="L46530" s="13"/>
      <c r="M46530" s="14"/>
      <c r="N46530" s="14"/>
      <c r="O46530" s="14"/>
      <c r="P46530" s="13"/>
    </row>
    <row r="46531">
      <c r="L46531" s="13"/>
      <c r="M46531" s="14"/>
      <c r="N46531" s="14"/>
      <c r="O46531" s="14"/>
      <c r="P46531" s="13"/>
    </row>
    <row r="46532">
      <c r="L46532" s="13"/>
      <c r="M46532" s="14"/>
      <c r="N46532" s="14"/>
      <c r="O46532" s="14"/>
      <c r="P46532" s="13"/>
    </row>
    <row r="46533">
      <c r="L46533" s="13"/>
      <c r="M46533" s="14"/>
      <c r="N46533" s="14"/>
      <c r="O46533" s="14"/>
      <c r="P46533" s="13"/>
    </row>
    <row r="46534">
      <c r="L46534" s="13"/>
      <c r="M46534" s="14"/>
      <c r="N46534" s="14"/>
      <c r="O46534" s="14"/>
      <c r="P46534" s="13"/>
    </row>
    <row r="46535">
      <c r="L46535" s="13"/>
      <c r="M46535" s="14"/>
      <c r="N46535" s="14"/>
      <c r="O46535" s="14"/>
      <c r="P46535" s="13"/>
    </row>
    <row r="46536">
      <c r="L46536" s="13"/>
      <c r="M46536" s="14"/>
      <c r="N46536" s="14"/>
      <c r="O46536" s="14"/>
      <c r="P46536" s="13"/>
    </row>
    <row r="46537">
      <c r="L46537" s="13"/>
      <c r="M46537" s="14"/>
      <c r="N46537" s="14"/>
      <c r="O46537" s="14"/>
      <c r="P46537" s="13"/>
    </row>
    <row r="46538">
      <c r="L46538" s="13"/>
      <c r="M46538" s="14"/>
      <c r="N46538" s="14"/>
      <c r="O46538" s="14"/>
      <c r="P46538" s="13"/>
    </row>
    <row r="46539">
      <c r="L46539" s="13"/>
      <c r="M46539" s="14"/>
      <c r="N46539" s="14"/>
      <c r="O46539" s="14"/>
      <c r="P46539" s="13"/>
    </row>
    <row r="46540">
      <c r="L46540" s="13"/>
      <c r="M46540" s="14"/>
      <c r="N46540" s="14"/>
      <c r="O46540" s="14"/>
      <c r="P46540" s="13"/>
    </row>
    <row r="46541">
      <c r="L46541" s="13"/>
      <c r="M46541" s="14"/>
      <c r="N46541" s="14"/>
      <c r="O46541" s="14"/>
      <c r="P46541" s="13"/>
    </row>
    <row r="46542">
      <c r="L46542" s="13"/>
      <c r="M46542" s="14"/>
      <c r="N46542" s="14"/>
      <c r="O46542" s="14"/>
      <c r="P46542" s="13"/>
    </row>
    <row r="46543">
      <c r="L46543" s="13"/>
      <c r="M46543" s="14"/>
      <c r="N46543" s="14"/>
      <c r="O46543" s="14"/>
      <c r="P46543" s="13"/>
    </row>
    <row r="46544">
      <c r="L46544" s="13"/>
      <c r="M46544" s="14"/>
      <c r="N46544" s="14"/>
      <c r="O46544" s="14"/>
      <c r="P46544" s="13"/>
    </row>
    <row r="46545">
      <c r="L46545" s="13"/>
      <c r="M46545" s="14"/>
      <c r="N46545" s="14"/>
      <c r="O46545" s="14"/>
      <c r="P46545" s="13"/>
    </row>
    <row r="46546">
      <c r="L46546" s="13"/>
      <c r="M46546" s="14"/>
      <c r="N46546" s="14"/>
      <c r="O46546" s="14"/>
      <c r="P46546" s="13"/>
    </row>
    <row r="46547">
      <c r="L46547" s="13"/>
      <c r="M46547" s="14"/>
      <c r="N46547" s="14"/>
      <c r="O46547" s="14"/>
      <c r="P46547" s="13"/>
    </row>
    <row r="46548">
      <c r="L46548" s="13"/>
      <c r="M46548" s="14"/>
      <c r="N46548" s="14"/>
      <c r="O46548" s="14"/>
      <c r="P46548" s="13"/>
    </row>
    <row r="46549">
      <c r="L46549" s="13"/>
      <c r="M46549" s="14"/>
      <c r="N46549" s="14"/>
      <c r="O46549" s="14"/>
      <c r="P46549" s="13"/>
    </row>
    <row r="46550">
      <c r="L46550" s="13"/>
      <c r="M46550" s="14"/>
      <c r="N46550" s="14"/>
      <c r="O46550" s="14"/>
      <c r="P46550" s="13"/>
    </row>
    <row r="46551">
      <c r="L46551" s="13"/>
      <c r="M46551" s="14"/>
      <c r="N46551" s="14"/>
      <c r="O46551" s="14"/>
      <c r="P46551" s="13"/>
    </row>
    <row r="46552">
      <c r="L46552" s="13"/>
      <c r="M46552" s="14"/>
      <c r="N46552" s="14"/>
      <c r="O46552" s="14"/>
      <c r="P46552" s="13"/>
    </row>
    <row r="46553">
      <c r="L46553" s="13"/>
      <c r="M46553" s="14"/>
      <c r="N46553" s="14"/>
      <c r="O46553" s="14"/>
      <c r="P46553" s="13"/>
    </row>
    <row r="46554">
      <c r="L46554" s="13"/>
      <c r="M46554" s="14"/>
      <c r="N46554" s="14"/>
      <c r="O46554" s="14"/>
      <c r="P46554" s="13"/>
    </row>
    <row r="46555">
      <c r="L46555" s="13"/>
      <c r="M46555" s="14"/>
      <c r="N46555" s="14"/>
      <c r="O46555" s="14"/>
      <c r="P46555" s="13"/>
    </row>
    <row r="46556">
      <c r="L46556" s="13"/>
      <c r="M46556" s="14"/>
      <c r="N46556" s="14"/>
      <c r="O46556" s="14"/>
      <c r="P46556" s="13"/>
    </row>
    <row r="46557">
      <c r="L46557" s="13"/>
      <c r="M46557" s="14"/>
      <c r="N46557" s="14"/>
      <c r="O46557" s="14"/>
      <c r="P46557" s="13"/>
    </row>
    <row r="46558">
      <c r="L46558" s="13"/>
      <c r="M46558" s="14"/>
      <c r="N46558" s="14"/>
      <c r="O46558" s="14"/>
      <c r="P46558" s="13"/>
    </row>
    <row r="46559">
      <c r="L46559" s="13"/>
      <c r="M46559" s="14"/>
      <c r="N46559" s="14"/>
      <c r="O46559" s="14"/>
      <c r="P46559" s="13"/>
    </row>
    <row r="46560">
      <c r="L46560" s="13"/>
      <c r="M46560" s="14"/>
      <c r="N46560" s="14"/>
      <c r="O46560" s="14"/>
      <c r="P46560" s="13"/>
    </row>
    <row r="46561">
      <c r="L46561" s="13"/>
      <c r="M46561" s="14"/>
      <c r="N46561" s="14"/>
      <c r="O46561" s="14"/>
      <c r="P46561" s="13"/>
    </row>
    <row r="46562">
      <c r="L46562" s="13"/>
      <c r="M46562" s="14"/>
      <c r="N46562" s="14"/>
      <c r="O46562" s="14"/>
      <c r="P46562" s="13"/>
    </row>
    <row r="46563">
      <c r="L46563" s="13"/>
      <c r="M46563" s="14"/>
      <c r="N46563" s="14"/>
      <c r="O46563" s="14"/>
      <c r="P46563" s="13"/>
    </row>
    <row r="46564">
      <c r="L46564" s="13"/>
      <c r="M46564" s="14"/>
      <c r="N46564" s="14"/>
      <c r="O46564" s="14"/>
      <c r="P46564" s="13"/>
    </row>
    <row r="46565">
      <c r="L46565" s="13"/>
      <c r="M46565" s="14"/>
      <c r="N46565" s="14"/>
      <c r="O46565" s="14"/>
      <c r="P46565" s="13"/>
    </row>
    <row r="46566">
      <c r="L46566" s="13"/>
      <c r="M46566" s="14"/>
      <c r="N46566" s="14"/>
      <c r="O46566" s="14"/>
      <c r="P46566" s="13"/>
    </row>
    <row r="46567">
      <c r="L46567" s="13"/>
      <c r="M46567" s="14"/>
      <c r="N46567" s="14"/>
      <c r="O46567" s="14"/>
      <c r="P46567" s="13"/>
    </row>
    <row r="46568">
      <c r="L46568" s="13"/>
      <c r="M46568" s="14"/>
      <c r="N46568" s="14"/>
      <c r="O46568" s="14"/>
      <c r="P46568" s="13"/>
    </row>
    <row r="46569">
      <c r="L46569" s="13"/>
      <c r="M46569" s="14"/>
      <c r="N46569" s="14"/>
      <c r="O46569" s="14"/>
      <c r="P46569" s="13"/>
    </row>
    <row r="46570">
      <c r="L46570" s="13"/>
      <c r="M46570" s="14"/>
      <c r="N46570" s="14"/>
      <c r="O46570" s="14"/>
      <c r="P46570" s="13"/>
    </row>
    <row r="46571">
      <c r="L46571" s="13"/>
      <c r="M46571" s="14"/>
      <c r="N46571" s="14"/>
      <c r="O46571" s="14"/>
      <c r="P46571" s="13"/>
    </row>
    <row r="46572">
      <c r="L46572" s="13"/>
      <c r="M46572" s="14"/>
      <c r="N46572" s="14"/>
      <c r="O46572" s="14"/>
      <c r="P46572" s="13"/>
    </row>
    <row r="46573">
      <c r="L46573" s="13"/>
      <c r="M46573" s="14"/>
      <c r="N46573" s="14"/>
      <c r="O46573" s="14"/>
      <c r="P46573" s="13"/>
    </row>
    <row r="46574">
      <c r="L46574" s="13"/>
      <c r="M46574" s="14"/>
      <c r="N46574" s="14"/>
      <c r="O46574" s="14"/>
      <c r="P46574" s="13"/>
    </row>
    <row r="46575">
      <c r="L46575" s="13"/>
      <c r="M46575" s="14"/>
      <c r="N46575" s="14"/>
      <c r="O46575" s="14"/>
      <c r="P46575" s="13"/>
    </row>
    <row r="46576">
      <c r="L46576" s="13"/>
      <c r="M46576" s="14"/>
      <c r="N46576" s="14"/>
      <c r="O46576" s="14"/>
      <c r="P46576" s="13"/>
    </row>
    <row r="46577">
      <c r="L46577" s="13"/>
      <c r="M46577" s="14"/>
      <c r="N46577" s="14"/>
      <c r="O46577" s="14"/>
      <c r="P46577" s="13"/>
    </row>
    <row r="46578">
      <c r="L46578" s="13"/>
      <c r="M46578" s="14"/>
      <c r="N46578" s="14"/>
      <c r="O46578" s="14"/>
      <c r="P46578" s="13"/>
    </row>
    <row r="46579">
      <c r="L46579" s="13"/>
      <c r="M46579" s="14"/>
      <c r="N46579" s="14"/>
      <c r="O46579" s="14"/>
      <c r="P46579" s="13"/>
    </row>
    <row r="46580">
      <c r="L46580" s="13"/>
      <c r="M46580" s="14"/>
      <c r="N46580" s="14"/>
      <c r="O46580" s="14"/>
      <c r="P46580" s="13"/>
    </row>
    <row r="46581">
      <c r="L46581" s="13"/>
      <c r="M46581" s="14"/>
      <c r="N46581" s="14"/>
      <c r="O46581" s="14"/>
      <c r="P46581" s="13"/>
    </row>
    <row r="46582">
      <c r="L46582" s="13"/>
      <c r="M46582" s="14"/>
      <c r="N46582" s="14"/>
      <c r="O46582" s="14"/>
      <c r="P46582" s="13"/>
    </row>
    <row r="46583">
      <c r="L46583" s="13"/>
      <c r="M46583" s="14"/>
      <c r="N46583" s="14"/>
      <c r="O46583" s="14"/>
      <c r="P46583" s="13"/>
    </row>
    <row r="46584">
      <c r="L46584" s="13"/>
      <c r="M46584" s="14"/>
      <c r="N46584" s="14"/>
      <c r="O46584" s="14"/>
      <c r="P46584" s="13"/>
    </row>
    <row r="46585">
      <c r="L46585" s="13"/>
      <c r="M46585" s="14"/>
      <c r="N46585" s="14"/>
      <c r="O46585" s="14"/>
      <c r="P46585" s="13"/>
    </row>
    <row r="46586">
      <c r="L46586" s="13"/>
      <c r="M46586" s="14"/>
      <c r="N46586" s="14"/>
      <c r="O46586" s="14"/>
      <c r="P46586" s="13"/>
    </row>
    <row r="46587">
      <c r="L46587" s="13"/>
      <c r="M46587" s="14"/>
      <c r="N46587" s="14"/>
      <c r="O46587" s="14"/>
      <c r="P46587" s="13"/>
    </row>
    <row r="46588">
      <c r="L46588" s="13"/>
      <c r="M46588" s="14"/>
      <c r="N46588" s="14"/>
      <c r="O46588" s="14"/>
      <c r="P46588" s="13"/>
    </row>
    <row r="46589">
      <c r="L46589" s="13"/>
      <c r="M46589" s="14"/>
      <c r="N46589" s="14"/>
      <c r="O46589" s="14"/>
      <c r="P46589" s="13"/>
    </row>
    <row r="46590">
      <c r="L46590" s="13"/>
      <c r="M46590" s="14"/>
      <c r="N46590" s="14"/>
      <c r="O46590" s="14"/>
      <c r="P46590" s="13"/>
    </row>
    <row r="46591">
      <c r="L46591" s="13"/>
      <c r="M46591" s="14"/>
      <c r="N46591" s="14"/>
      <c r="O46591" s="14"/>
      <c r="P46591" s="13"/>
    </row>
    <row r="46592">
      <c r="L46592" s="13"/>
      <c r="M46592" s="14"/>
      <c r="N46592" s="14"/>
      <c r="O46592" s="14"/>
      <c r="P46592" s="13"/>
    </row>
    <row r="46593">
      <c r="L46593" s="13"/>
      <c r="M46593" s="14"/>
      <c r="N46593" s="14"/>
      <c r="O46593" s="14"/>
      <c r="P46593" s="13"/>
    </row>
    <row r="46594">
      <c r="L46594" s="13"/>
      <c r="M46594" s="14"/>
      <c r="N46594" s="14"/>
      <c r="O46594" s="14"/>
      <c r="P46594" s="13"/>
    </row>
    <row r="46595">
      <c r="L46595" s="13"/>
      <c r="M46595" s="14"/>
      <c r="N46595" s="14"/>
      <c r="O46595" s="14"/>
      <c r="P46595" s="13"/>
    </row>
    <row r="46596">
      <c r="L46596" s="13"/>
      <c r="M46596" s="14"/>
      <c r="N46596" s="14"/>
      <c r="O46596" s="14"/>
      <c r="P46596" s="13"/>
    </row>
    <row r="46597">
      <c r="L46597" s="13"/>
      <c r="M46597" s="14"/>
      <c r="N46597" s="14"/>
      <c r="O46597" s="14"/>
      <c r="P46597" s="13"/>
    </row>
    <row r="46598">
      <c r="L46598" s="13"/>
      <c r="M46598" s="14"/>
      <c r="N46598" s="14"/>
      <c r="O46598" s="14"/>
      <c r="P46598" s="13"/>
    </row>
    <row r="46599">
      <c r="L46599" s="13"/>
      <c r="M46599" s="14"/>
      <c r="N46599" s="14"/>
      <c r="O46599" s="14"/>
      <c r="P46599" s="13"/>
    </row>
    <row r="46600">
      <c r="L46600" s="13"/>
      <c r="M46600" s="14"/>
      <c r="N46600" s="14"/>
      <c r="O46600" s="14"/>
      <c r="P46600" s="13"/>
    </row>
    <row r="46601">
      <c r="L46601" s="13"/>
      <c r="M46601" s="14"/>
      <c r="N46601" s="14"/>
      <c r="O46601" s="14"/>
      <c r="P46601" s="13"/>
    </row>
    <row r="46602">
      <c r="L46602" s="13"/>
      <c r="M46602" s="14"/>
      <c r="N46602" s="14"/>
      <c r="O46602" s="14"/>
      <c r="P46602" s="13"/>
    </row>
    <row r="46603">
      <c r="L46603" s="13"/>
      <c r="M46603" s="14"/>
      <c r="N46603" s="14"/>
      <c r="O46603" s="14"/>
      <c r="P46603" s="13"/>
    </row>
    <row r="46604">
      <c r="L46604" s="13"/>
      <c r="M46604" s="14"/>
      <c r="N46604" s="14"/>
      <c r="O46604" s="14"/>
      <c r="P46604" s="13"/>
    </row>
    <row r="46605">
      <c r="L46605" s="13"/>
      <c r="M46605" s="14"/>
      <c r="N46605" s="14"/>
      <c r="O46605" s="14"/>
      <c r="P46605" s="13"/>
    </row>
    <row r="46606">
      <c r="L46606" s="13"/>
      <c r="M46606" s="14"/>
      <c r="N46606" s="14"/>
      <c r="O46606" s="14"/>
      <c r="P46606" s="13"/>
    </row>
    <row r="46607">
      <c r="L46607" s="13"/>
      <c r="M46607" s="14"/>
      <c r="N46607" s="14"/>
      <c r="O46607" s="14"/>
      <c r="P46607" s="13"/>
    </row>
    <row r="46608">
      <c r="L46608" s="13"/>
      <c r="M46608" s="14"/>
      <c r="N46608" s="14"/>
      <c r="O46608" s="14"/>
      <c r="P46608" s="13"/>
    </row>
    <row r="46609">
      <c r="L46609" s="13"/>
      <c r="M46609" s="14"/>
      <c r="N46609" s="14"/>
      <c r="O46609" s="14"/>
      <c r="P46609" s="13"/>
    </row>
    <row r="46610">
      <c r="L46610" s="13"/>
      <c r="M46610" s="14"/>
      <c r="N46610" s="14"/>
      <c r="O46610" s="14"/>
      <c r="P46610" s="13"/>
    </row>
    <row r="46611">
      <c r="L46611" s="13"/>
      <c r="M46611" s="14"/>
      <c r="N46611" s="14"/>
      <c r="O46611" s="14"/>
      <c r="P46611" s="13"/>
    </row>
    <row r="46612">
      <c r="L46612" s="13"/>
      <c r="M46612" s="14"/>
      <c r="N46612" s="14"/>
      <c r="O46612" s="14"/>
      <c r="P46612" s="13"/>
    </row>
    <row r="46613">
      <c r="L46613" s="13"/>
      <c r="M46613" s="14"/>
      <c r="N46613" s="14"/>
      <c r="O46613" s="14"/>
      <c r="P46613" s="13"/>
    </row>
    <row r="46614">
      <c r="L46614" s="13"/>
      <c r="M46614" s="14"/>
      <c r="N46614" s="14"/>
      <c r="O46614" s="14"/>
      <c r="P46614" s="13"/>
    </row>
    <row r="46615">
      <c r="L46615" s="13"/>
      <c r="M46615" s="14"/>
      <c r="N46615" s="14"/>
      <c r="O46615" s="14"/>
      <c r="P46615" s="13"/>
    </row>
    <row r="46616">
      <c r="L46616" s="13"/>
      <c r="M46616" s="14"/>
      <c r="N46616" s="14"/>
      <c r="O46616" s="14"/>
      <c r="P46616" s="13"/>
    </row>
    <row r="46617">
      <c r="L46617" s="13"/>
      <c r="M46617" s="14"/>
      <c r="N46617" s="14"/>
      <c r="O46617" s="14"/>
      <c r="P46617" s="13"/>
    </row>
    <row r="46618">
      <c r="L46618" s="13"/>
      <c r="M46618" s="14"/>
      <c r="N46618" s="14"/>
      <c r="O46618" s="14"/>
      <c r="P46618" s="13"/>
    </row>
    <row r="46619">
      <c r="L46619" s="13"/>
      <c r="M46619" s="14"/>
      <c r="N46619" s="14"/>
      <c r="O46619" s="14"/>
      <c r="P46619" s="13"/>
    </row>
    <row r="46620">
      <c r="L46620" s="13"/>
      <c r="M46620" s="14"/>
      <c r="N46620" s="14"/>
      <c r="O46620" s="14"/>
      <c r="P46620" s="13"/>
    </row>
    <row r="46621">
      <c r="L46621" s="13"/>
      <c r="M46621" s="14"/>
      <c r="N46621" s="14"/>
      <c r="O46621" s="14"/>
      <c r="P46621" s="13"/>
    </row>
    <row r="46622">
      <c r="L46622" s="13"/>
      <c r="M46622" s="14"/>
      <c r="N46622" s="14"/>
      <c r="O46622" s="14"/>
      <c r="P46622" s="13"/>
    </row>
    <row r="46623">
      <c r="L46623" s="13"/>
      <c r="M46623" s="14"/>
      <c r="N46623" s="14"/>
      <c r="O46623" s="14"/>
      <c r="P46623" s="13"/>
    </row>
    <row r="46624">
      <c r="L46624" s="13"/>
      <c r="M46624" s="14"/>
      <c r="N46624" s="14"/>
      <c r="O46624" s="14"/>
      <c r="P46624" s="13"/>
    </row>
    <row r="46625">
      <c r="L46625" s="13"/>
      <c r="M46625" s="14"/>
      <c r="N46625" s="14"/>
      <c r="O46625" s="14"/>
      <c r="P46625" s="13"/>
    </row>
    <row r="46626">
      <c r="L46626" s="13"/>
      <c r="M46626" s="14"/>
      <c r="N46626" s="14"/>
      <c r="O46626" s="14"/>
      <c r="P46626" s="13"/>
    </row>
    <row r="46627">
      <c r="L46627" s="13"/>
      <c r="M46627" s="14"/>
      <c r="N46627" s="14"/>
      <c r="O46627" s="14"/>
      <c r="P46627" s="13"/>
    </row>
    <row r="46628">
      <c r="L46628" s="13"/>
      <c r="M46628" s="14"/>
      <c r="N46628" s="14"/>
      <c r="O46628" s="14"/>
      <c r="P46628" s="13"/>
    </row>
    <row r="46629">
      <c r="L46629" s="13"/>
      <c r="M46629" s="14"/>
      <c r="N46629" s="14"/>
      <c r="O46629" s="14"/>
      <c r="P46629" s="13"/>
    </row>
    <row r="46630">
      <c r="L46630" s="13"/>
      <c r="M46630" s="14"/>
      <c r="N46630" s="14"/>
      <c r="O46630" s="14"/>
      <c r="P46630" s="13"/>
    </row>
    <row r="46631">
      <c r="L46631" s="13"/>
      <c r="M46631" s="14"/>
      <c r="N46631" s="14"/>
      <c r="O46631" s="14"/>
      <c r="P46631" s="13"/>
    </row>
    <row r="46632">
      <c r="L46632" s="13"/>
      <c r="M46632" s="14"/>
      <c r="N46632" s="14"/>
      <c r="O46632" s="14"/>
      <c r="P46632" s="13"/>
    </row>
    <row r="46633">
      <c r="L46633" s="13"/>
      <c r="M46633" s="14"/>
      <c r="N46633" s="14"/>
      <c r="O46633" s="14"/>
      <c r="P46633" s="13"/>
    </row>
    <row r="46634">
      <c r="L46634" s="13"/>
      <c r="M46634" s="14"/>
      <c r="N46634" s="14"/>
      <c r="O46634" s="14"/>
      <c r="P46634" s="13"/>
    </row>
    <row r="46635">
      <c r="L46635" s="13"/>
      <c r="M46635" s="14"/>
      <c r="N46635" s="14"/>
      <c r="O46635" s="14"/>
      <c r="P46635" s="13"/>
    </row>
    <row r="46636">
      <c r="L46636" s="13"/>
      <c r="M46636" s="14"/>
      <c r="N46636" s="14"/>
      <c r="O46636" s="14"/>
      <c r="P46636" s="13"/>
    </row>
    <row r="46637">
      <c r="L46637" s="13"/>
      <c r="M46637" s="14"/>
      <c r="N46637" s="14"/>
      <c r="O46637" s="14"/>
      <c r="P46637" s="13"/>
    </row>
    <row r="46638">
      <c r="L46638" s="13"/>
      <c r="M46638" s="14"/>
      <c r="N46638" s="14"/>
      <c r="O46638" s="14"/>
      <c r="P46638" s="13"/>
    </row>
    <row r="46639">
      <c r="L46639" s="13"/>
      <c r="M46639" s="14"/>
      <c r="N46639" s="14"/>
      <c r="O46639" s="14"/>
      <c r="P46639" s="13"/>
    </row>
    <row r="46640">
      <c r="L46640" s="13"/>
      <c r="M46640" s="14"/>
      <c r="N46640" s="14"/>
      <c r="O46640" s="14"/>
      <c r="P46640" s="13"/>
    </row>
    <row r="46641">
      <c r="L46641" s="13"/>
      <c r="M46641" s="14"/>
      <c r="N46641" s="14"/>
      <c r="O46641" s="14"/>
      <c r="P46641" s="13"/>
    </row>
    <row r="46642">
      <c r="L46642" s="13"/>
      <c r="M46642" s="14"/>
      <c r="N46642" s="14"/>
      <c r="O46642" s="14"/>
      <c r="P46642" s="13"/>
    </row>
    <row r="46643">
      <c r="L46643" s="13"/>
      <c r="M46643" s="14"/>
      <c r="N46643" s="14"/>
      <c r="O46643" s="14"/>
      <c r="P46643" s="13"/>
    </row>
    <row r="46644">
      <c r="L46644" s="13"/>
      <c r="M46644" s="14"/>
      <c r="N46644" s="14"/>
      <c r="O46644" s="14"/>
      <c r="P46644" s="13"/>
    </row>
    <row r="46645">
      <c r="L46645" s="13"/>
      <c r="M46645" s="14"/>
      <c r="N46645" s="14"/>
      <c r="O46645" s="14"/>
      <c r="P46645" s="13"/>
    </row>
    <row r="46646">
      <c r="L46646" s="13"/>
      <c r="M46646" s="14"/>
      <c r="N46646" s="14"/>
      <c r="O46646" s="14"/>
      <c r="P46646" s="13"/>
    </row>
    <row r="46647">
      <c r="L46647" s="13"/>
      <c r="M46647" s="14"/>
      <c r="N46647" s="14"/>
      <c r="O46647" s="14"/>
      <c r="P46647" s="13"/>
    </row>
    <row r="46648">
      <c r="L46648" s="13"/>
      <c r="M46648" s="14"/>
      <c r="N46648" s="14"/>
      <c r="O46648" s="14"/>
      <c r="P46648" s="13"/>
    </row>
    <row r="46649">
      <c r="L46649" s="13"/>
      <c r="M46649" s="14"/>
      <c r="N46649" s="14"/>
      <c r="O46649" s="14"/>
      <c r="P46649" s="13"/>
    </row>
    <row r="46650">
      <c r="L46650" s="13"/>
      <c r="M46650" s="14"/>
      <c r="N46650" s="14"/>
      <c r="O46650" s="14"/>
      <c r="P46650" s="13"/>
    </row>
    <row r="46651">
      <c r="L46651" s="13"/>
      <c r="M46651" s="14"/>
      <c r="N46651" s="14"/>
      <c r="O46651" s="14"/>
      <c r="P46651" s="13"/>
    </row>
    <row r="46652">
      <c r="L46652" s="13"/>
      <c r="M46652" s="14"/>
      <c r="N46652" s="14"/>
      <c r="O46652" s="14"/>
      <c r="P46652" s="13"/>
    </row>
    <row r="46653">
      <c r="L46653" s="13"/>
      <c r="M46653" s="14"/>
      <c r="N46653" s="14"/>
      <c r="O46653" s="14"/>
      <c r="P46653" s="13"/>
    </row>
    <row r="46654">
      <c r="L46654" s="13"/>
      <c r="M46654" s="14"/>
      <c r="N46654" s="14"/>
      <c r="O46654" s="14"/>
      <c r="P46654" s="13"/>
    </row>
    <row r="46655">
      <c r="L46655" s="13"/>
      <c r="M46655" s="14"/>
      <c r="N46655" s="14"/>
      <c r="O46655" s="14"/>
      <c r="P46655" s="13"/>
    </row>
    <row r="46656">
      <c r="L46656" s="13"/>
      <c r="M46656" s="14"/>
      <c r="N46656" s="14"/>
      <c r="O46656" s="14"/>
      <c r="P46656" s="13"/>
    </row>
    <row r="46657">
      <c r="L46657" s="13"/>
      <c r="M46657" s="14"/>
      <c r="N46657" s="14"/>
      <c r="O46657" s="14"/>
      <c r="P46657" s="13"/>
    </row>
    <row r="46658">
      <c r="L46658" s="13"/>
      <c r="M46658" s="14"/>
      <c r="N46658" s="14"/>
      <c r="O46658" s="14"/>
      <c r="P46658" s="13"/>
    </row>
    <row r="46659">
      <c r="L46659" s="13"/>
      <c r="M46659" s="14"/>
      <c r="N46659" s="14"/>
      <c r="O46659" s="14"/>
      <c r="P46659" s="13"/>
    </row>
    <row r="46660">
      <c r="L46660" s="13"/>
      <c r="M46660" s="14"/>
      <c r="N46660" s="14"/>
      <c r="O46660" s="14"/>
      <c r="P46660" s="13"/>
    </row>
    <row r="46661">
      <c r="L46661" s="13"/>
      <c r="M46661" s="14"/>
      <c r="N46661" s="14"/>
      <c r="O46661" s="14"/>
      <c r="P46661" s="13"/>
    </row>
    <row r="46662">
      <c r="L46662" s="13"/>
      <c r="M46662" s="14"/>
      <c r="N46662" s="14"/>
      <c r="O46662" s="14"/>
      <c r="P46662" s="13"/>
    </row>
    <row r="46663">
      <c r="L46663" s="13"/>
      <c r="M46663" s="14"/>
      <c r="N46663" s="14"/>
      <c r="O46663" s="14"/>
      <c r="P46663" s="13"/>
    </row>
    <row r="46664">
      <c r="L46664" s="13"/>
      <c r="M46664" s="14"/>
      <c r="N46664" s="14"/>
      <c r="O46664" s="14"/>
      <c r="P46664" s="13"/>
    </row>
    <row r="46665">
      <c r="L46665" s="13"/>
      <c r="M46665" s="14"/>
      <c r="N46665" s="14"/>
      <c r="O46665" s="14"/>
      <c r="P46665" s="13"/>
    </row>
    <row r="46666">
      <c r="L46666" s="13"/>
      <c r="M46666" s="14"/>
      <c r="N46666" s="14"/>
      <c r="O46666" s="14"/>
      <c r="P46666" s="13"/>
    </row>
    <row r="46667">
      <c r="L46667" s="13"/>
      <c r="M46667" s="14"/>
      <c r="N46667" s="14"/>
      <c r="O46667" s="14"/>
      <c r="P46667" s="13"/>
    </row>
    <row r="46668">
      <c r="L46668" s="13"/>
      <c r="M46668" s="14"/>
      <c r="N46668" s="14"/>
      <c r="O46668" s="14"/>
      <c r="P46668" s="13"/>
    </row>
    <row r="46669">
      <c r="L46669" s="13"/>
      <c r="M46669" s="14"/>
      <c r="N46669" s="14"/>
      <c r="O46669" s="14"/>
      <c r="P46669" s="13"/>
    </row>
    <row r="46670">
      <c r="L46670" s="13"/>
      <c r="M46670" s="14"/>
      <c r="N46670" s="14"/>
      <c r="O46670" s="14"/>
      <c r="P46670" s="13"/>
    </row>
    <row r="46671">
      <c r="L46671" s="13"/>
      <c r="M46671" s="14"/>
      <c r="N46671" s="14"/>
      <c r="O46671" s="14"/>
      <c r="P46671" s="13"/>
    </row>
    <row r="46672">
      <c r="L46672" s="13"/>
      <c r="M46672" s="14"/>
      <c r="N46672" s="14"/>
      <c r="O46672" s="14"/>
      <c r="P46672" s="13"/>
    </row>
    <row r="46673">
      <c r="L46673" s="13"/>
      <c r="M46673" s="14"/>
      <c r="N46673" s="14"/>
      <c r="O46673" s="14"/>
      <c r="P46673" s="13"/>
    </row>
    <row r="46674">
      <c r="L46674" s="13"/>
      <c r="M46674" s="14"/>
      <c r="N46674" s="14"/>
      <c r="O46674" s="14"/>
      <c r="P46674" s="13"/>
    </row>
    <row r="46675">
      <c r="L46675" s="13"/>
      <c r="M46675" s="14"/>
      <c r="N46675" s="14"/>
      <c r="O46675" s="14"/>
      <c r="P46675" s="13"/>
    </row>
    <row r="46676">
      <c r="L46676" s="13"/>
      <c r="M46676" s="14"/>
      <c r="N46676" s="14"/>
      <c r="O46676" s="14"/>
      <c r="P46676" s="13"/>
    </row>
    <row r="46677">
      <c r="L46677" s="13"/>
      <c r="M46677" s="14"/>
      <c r="N46677" s="14"/>
      <c r="O46677" s="14"/>
      <c r="P46677" s="13"/>
    </row>
    <row r="46678">
      <c r="L46678" s="13"/>
      <c r="M46678" s="14"/>
      <c r="N46678" s="14"/>
      <c r="O46678" s="14"/>
      <c r="P46678" s="13"/>
    </row>
    <row r="46679">
      <c r="L46679" s="13"/>
      <c r="M46679" s="14"/>
      <c r="N46679" s="14"/>
      <c r="O46679" s="14"/>
      <c r="P46679" s="13"/>
    </row>
    <row r="46680">
      <c r="L46680" s="13"/>
      <c r="M46680" s="14"/>
      <c r="N46680" s="14"/>
      <c r="O46680" s="14"/>
      <c r="P46680" s="13"/>
    </row>
    <row r="46681">
      <c r="L46681" s="13"/>
      <c r="M46681" s="14"/>
      <c r="N46681" s="14"/>
      <c r="O46681" s="14"/>
      <c r="P46681" s="13"/>
    </row>
    <row r="46682">
      <c r="L46682" s="13"/>
      <c r="M46682" s="14"/>
      <c r="N46682" s="14"/>
      <c r="O46682" s="14"/>
      <c r="P46682" s="13"/>
    </row>
    <row r="46683">
      <c r="L46683" s="13"/>
      <c r="M46683" s="14"/>
      <c r="N46683" s="14"/>
      <c r="O46683" s="14"/>
      <c r="P46683" s="13"/>
    </row>
    <row r="46684">
      <c r="L46684" s="13"/>
      <c r="M46684" s="14"/>
      <c r="N46684" s="14"/>
      <c r="O46684" s="14"/>
      <c r="P46684" s="13"/>
    </row>
    <row r="46685">
      <c r="L46685" s="13"/>
      <c r="M46685" s="14"/>
      <c r="N46685" s="14"/>
      <c r="O46685" s="14"/>
      <c r="P46685" s="13"/>
    </row>
    <row r="46686">
      <c r="L46686" s="13"/>
      <c r="M46686" s="14"/>
      <c r="N46686" s="14"/>
      <c r="O46686" s="14"/>
      <c r="P46686" s="13"/>
    </row>
    <row r="46687">
      <c r="L46687" s="13"/>
      <c r="M46687" s="14"/>
      <c r="N46687" s="14"/>
      <c r="O46687" s="14"/>
      <c r="P46687" s="13"/>
    </row>
    <row r="46688">
      <c r="L46688" s="13"/>
      <c r="M46688" s="14"/>
      <c r="N46688" s="14"/>
      <c r="O46688" s="14"/>
      <c r="P46688" s="13"/>
    </row>
    <row r="46689">
      <c r="L46689" s="13"/>
      <c r="M46689" s="14"/>
      <c r="N46689" s="14"/>
      <c r="O46689" s="14"/>
      <c r="P46689" s="13"/>
    </row>
    <row r="46690">
      <c r="L46690" s="13"/>
      <c r="M46690" s="14"/>
      <c r="N46690" s="14"/>
      <c r="O46690" s="14"/>
      <c r="P46690" s="13"/>
    </row>
    <row r="46691">
      <c r="L46691" s="13"/>
      <c r="M46691" s="14"/>
      <c r="N46691" s="14"/>
      <c r="O46691" s="14"/>
      <c r="P46691" s="13"/>
    </row>
    <row r="46692">
      <c r="L46692" s="13"/>
      <c r="M46692" s="14"/>
      <c r="N46692" s="14"/>
      <c r="O46692" s="14"/>
      <c r="P46692" s="13"/>
    </row>
    <row r="46693">
      <c r="L46693" s="13"/>
      <c r="M46693" s="14"/>
      <c r="N46693" s="14"/>
      <c r="O46693" s="14"/>
      <c r="P46693" s="13"/>
    </row>
    <row r="46694">
      <c r="L46694" s="13"/>
      <c r="M46694" s="14"/>
      <c r="N46694" s="14"/>
      <c r="O46694" s="14"/>
      <c r="P46694" s="13"/>
    </row>
    <row r="46695">
      <c r="L46695" s="13"/>
      <c r="M46695" s="14"/>
      <c r="N46695" s="14"/>
      <c r="O46695" s="14"/>
      <c r="P46695" s="13"/>
    </row>
    <row r="46696">
      <c r="L46696" s="13"/>
      <c r="M46696" s="14"/>
      <c r="N46696" s="14"/>
      <c r="O46696" s="14"/>
      <c r="P46696" s="13"/>
    </row>
    <row r="46697">
      <c r="L46697" s="13"/>
      <c r="M46697" s="14"/>
      <c r="N46697" s="14"/>
      <c r="O46697" s="14"/>
      <c r="P46697" s="13"/>
    </row>
    <row r="46698">
      <c r="L46698" s="13"/>
      <c r="M46698" s="14"/>
      <c r="N46698" s="14"/>
      <c r="O46698" s="14"/>
      <c r="P46698" s="13"/>
    </row>
    <row r="46699">
      <c r="L46699" s="13"/>
      <c r="M46699" s="14"/>
      <c r="N46699" s="14"/>
      <c r="O46699" s="14"/>
      <c r="P46699" s="13"/>
    </row>
    <row r="46700">
      <c r="L46700" s="13"/>
      <c r="M46700" s="14"/>
      <c r="N46700" s="14"/>
      <c r="O46700" s="14"/>
      <c r="P46700" s="13"/>
    </row>
    <row r="46701">
      <c r="L46701" s="13"/>
      <c r="M46701" s="14"/>
      <c r="N46701" s="14"/>
      <c r="O46701" s="14"/>
      <c r="P46701" s="13"/>
    </row>
    <row r="46702">
      <c r="L46702" s="13"/>
      <c r="M46702" s="14"/>
      <c r="N46702" s="14"/>
      <c r="O46702" s="14"/>
      <c r="P46702" s="13"/>
    </row>
    <row r="46703">
      <c r="L46703" s="13"/>
      <c r="M46703" s="14"/>
      <c r="N46703" s="14"/>
      <c r="O46703" s="14"/>
      <c r="P46703" s="13"/>
    </row>
    <row r="46704">
      <c r="L46704" s="13"/>
      <c r="M46704" s="14"/>
      <c r="N46704" s="14"/>
      <c r="O46704" s="14"/>
      <c r="P46704" s="13"/>
    </row>
    <row r="46705">
      <c r="L46705" s="13"/>
      <c r="M46705" s="14"/>
      <c r="N46705" s="14"/>
      <c r="O46705" s="14"/>
      <c r="P46705" s="13"/>
    </row>
    <row r="46706">
      <c r="L46706" s="13"/>
      <c r="M46706" s="14"/>
      <c r="N46706" s="14"/>
      <c r="O46706" s="14"/>
      <c r="P46706" s="13"/>
    </row>
    <row r="46707">
      <c r="L46707" s="13"/>
      <c r="M46707" s="14"/>
      <c r="N46707" s="14"/>
      <c r="O46707" s="14"/>
      <c r="P46707" s="13"/>
    </row>
    <row r="46708">
      <c r="L46708" s="13"/>
      <c r="M46708" s="14"/>
      <c r="N46708" s="14"/>
      <c r="O46708" s="14"/>
      <c r="P46708" s="13"/>
    </row>
    <row r="46709">
      <c r="L46709" s="13"/>
      <c r="M46709" s="14"/>
      <c r="N46709" s="14"/>
      <c r="O46709" s="14"/>
      <c r="P46709" s="13"/>
    </row>
    <row r="46710">
      <c r="L46710" s="13"/>
      <c r="M46710" s="14"/>
      <c r="N46710" s="14"/>
      <c r="O46710" s="14"/>
      <c r="P46710" s="13"/>
    </row>
    <row r="46711">
      <c r="L46711" s="13"/>
      <c r="M46711" s="14"/>
      <c r="N46711" s="14"/>
      <c r="O46711" s="14"/>
      <c r="P46711" s="13"/>
    </row>
    <row r="46712">
      <c r="L46712" s="13"/>
      <c r="M46712" s="14"/>
      <c r="N46712" s="14"/>
      <c r="O46712" s="14"/>
      <c r="P46712" s="13"/>
    </row>
    <row r="46713">
      <c r="L46713" s="13"/>
      <c r="M46713" s="14"/>
      <c r="N46713" s="14"/>
      <c r="O46713" s="14"/>
      <c r="P46713" s="13"/>
    </row>
    <row r="46714">
      <c r="L46714" s="13"/>
      <c r="M46714" s="14"/>
      <c r="N46714" s="14"/>
      <c r="O46714" s="14"/>
      <c r="P46714" s="13"/>
    </row>
    <row r="46715">
      <c r="L46715" s="13"/>
      <c r="M46715" s="14"/>
      <c r="N46715" s="14"/>
      <c r="O46715" s="14"/>
      <c r="P46715" s="13"/>
    </row>
    <row r="46716">
      <c r="L46716" s="13"/>
      <c r="M46716" s="14"/>
      <c r="N46716" s="14"/>
      <c r="O46716" s="14"/>
      <c r="P46716" s="13"/>
    </row>
    <row r="46717">
      <c r="L46717" s="13"/>
      <c r="M46717" s="14"/>
      <c r="N46717" s="14"/>
      <c r="O46717" s="14"/>
      <c r="P46717" s="13"/>
    </row>
    <row r="46718">
      <c r="L46718" s="13"/>
      <c r="M46718" s="14"/>
      <c r="N46718" s="14"/>
      <c r="O46718" s="14"/>
      <c r="P46718" s="13"/>
    </row>
    <row r="46719">
      <c r="L46719" s="13"/>
      <c r="M46719" s="14"/>
      <c r="N46719" s="14"/>
      <c r="O46719" s="14"/>
      <c r="P46719" s="13"/>
    </row>
    <row r="46720">
      <c r="L46720" s="13"/>
      <c r="M46720" s="14"/>
      <c r="N46720" s="14"/>
      <c r="O46720" s="14"/>
      <c r="P46720" s="13"/>
    </row>
    <row r="46721">
      <c r="L46721" s="13"/>
      <c r="M46721" s="14"/>
      <c r="N46721" s="14"/>
      <c r="O46721" s="14"/>
      <c r="P46721" s="13"/>
    </row>
    <row r="46722">
      <c r="L46722" s="13"/>
      <c r="M46722" s="14"/>
      <c r="N46722" s="14"/>
      <c r="O46722" s="14"/>
      <c r="P46722" s="13"/>
    </row>
    <row r="46723">
      <c r="L46723" s="13"/>
      <c r="M46723" s="14"/>
      <c r="N46723" s="14"/>
      <c r="O46723" s="14"/>
      <c r="P46723" s="13"/>
    </row>
    <row r="46724">
      <c r="L46724" s="13"/>
      <c r="M46724" s="14"/>
      <c r="N46724" s="14"/>
      <c r="O46724" s="14"/>
      <c r="P46724" s="13"/>
    </row>
    <row r="46725">
      <c r="L46725" s="13"/>
      <c r="M46725" s="14"/>
      <c r="N46725" s="14"/>
      <c r="O46725" s="14"/>
      <c r="P46725" s="13"/>
    </row>
    <row r="46726">
      <c r="L46726" s="13"/>
      <c r="M46726" s="14"/>
      <c r="N46726" s="14"/>
      <c r="O46726" s="14"/>
      <c r="P46726" s="13"/>
    </row>
    <row r="46727">
      <c r="L46727" s="13"/>
      <c r="M46727" s="14"/>
      <c r="N46727" s="14"/>
      <c r="O46727" s="14"/>
      <c r="P46727" s="13"/>
    </row>
    <row r="46728">
      <c r="L46728" s="13"/>
      <c r="M46728" s="14"/>
      <c r="N46728" s="14"/>
      <c r="O46728" s="14"/>
      <c r="P46728" s="13"/>
    </row>
    <row r="46729">
      <c r="L46729" s="13"/>
      <c r="M46729" s="14"/>
      <c r="N46729" s="14"/>
      <c r="O46729" s="14"/>
      <c r="P46729" s="13"/>
    </row>
    <row r="46730">
      <c r="L46730" s="13"/>
      <c r="M46730" s="14"/>
      <c r="N46730" s="14"/>
      <c r="O46730" s="14"/>
      <c r="P46730" s="13"/>
    </row>
    <row r="46731">
      <c r="L46731" s="13"/>
      <c r="M46731" s="14"/>
      <c r="N46731" s="14"/>
      <c r="O46731" s="14"/>
      <c r="P46731" s="13"/>
    </row>
    <row r="46732">
      <c r="L46732" s="13"/>
      <c r="M46732" s="14"/>
      <c r="N46732" s="14"/>
      <c r="O46732" s="14"/>
      <c r="P46732" s="13"/>
    </row>
    <row r="46733">
      <c r="L46733" s="13"/>
      <c r="M46733" s="14"/>
      <c r="N46733" s="14"/>
      <c r="O46733" s="14"/>
      <c r="P46733" s="13"/>
    </row>
    <row r="46734">
      <c r="L46734" s="13"/>
      <c r="M46734" s="14"/>
      <c r="N46734" s="14"/>
      <c r="O46734" s="14"/>
      <c r="P46734" s="13"/>
    </row>
    <row r="46735">
      <c r="L46735" s="13"/>
      <c r="M46735" s="14"/>
      <c r="N46735" s="14"/>
      <c r="O46735" s="14"/>
      <c r="P46735" s="13"/>
    </row>
    <row r="46736">
      <c r="L46736" s="13"/>
      <c r="M46736" s="14"/>
      <c r="N46736" s="14"/>
      <c r="O46736" s="14"/>
      <c r="P46736" s="13"/>
    </row>
    <row r="46737">
      <c r="L46737" s="13"/>
      <c r="M46737" s="14"/>
      <c r="N46737" s="14"/>
      <c r="O46737" s="14"/>
      <c r="P46737" s="13"/>
    </row>
    <row r="46738">
      <c r="L46738" s="13"/>
      <c r="M46738" s="14"/>
      <c r="N46738" s="14"/>
      <c r="O46738" s="14"/>
      <c r="P46738" s="13"/>
    </row>
    <row r="46739">
      <c r="L46739" s="13"/>
      <c r="M46739" s="14"/>
      <c r="N46739" s="14"/>
      <c r="O46739" s="14"/>
      <c r="P46739" s="13"/>
    </row>
    <row r="46740">
      <c r="L46740" s="13"/>
      <c r="M46740" s="14"/>
      <c r="N46740" s="14"/>
      <c r="O46740" s="14"/>
      <c r="P46740" s="13"/>
    </row>
    <row r="46741">
      <c r="L46741" s="13"/>
      <c r="M46741" s="14"/>
      <c r="N46741" s="14"/>
      <c r="O46741" s="14"/>
      <c r="P46741" s="13"/>
    </row>
    <row r="46742">
      <c r="L46742" s="13"/>
      <c r="M46742" s="14"/>
      <c r="N46742" s="14"/>
      <c r="O46742" s="14"/>
      <c r="P46742" s="13"/>
    </row>
    <row r="46743">
      <c r="L46743" s="13"/>
      <c r="M46743" s="14"/>
      <c r="N46743" s="14"/>
      <c r="O46743" s="14"/>
      <c r="P46743" s="13"/>
    </row>
    <row r="46744">
      <c r="L46744" s="13"/>
      <c r="M46744" s="14"/>
      <c r="N46744" s="14"/>
      <c r="O46744" s="14"/>
      <c r="P46744" s="13"/>
    </row>
    <row r="46745">
      <c r="L46745" s="13"/>
      <c r="M46745" s="14"/>
      <c r="N46745" s="14"/>
      <c r="O46745" s="14"/>
      <c r="P46745" s="13"/>
    </row>
    <row r="46746">
      <c r="L46746" s="13"/>
      <c r="M46746" s="14"/>
      <c r="N46746" s="14"/>
      <c r="O46746" s="14"/>
      <c r="P46746" s="13"/>
    </row>
    <row r="46747">
      <c r="L46747" s="13"/>
      <c r="M46747" s="14"/>
      <c r="N46747" s="14"/>
      <c r="O46747" s="14"/>
      <c r="P46747" s="13"/>
    </row>
    <row r="46748">
      <c r="L46748" s="13"/>
      <c r="M46748" s="14"/>
      <c r="N46748" s="14"/>
      <c r="O46748" s="14"/>
      <c r="P46748" s="13"/>
    </row>
    <row r="46749">
      <c r="L46749" s="13"/>
      <c r="M46749" s="14"/>
      <c r="N46749" s="14"/>
      <c r="O46749" s="14"/>
      <c r="P46749" s="13"/>
    </row>
    <row r="46750">
      <c r="L46750" s="13"/>
      <c r="M46750" s="14"/>
      <c r="N46750" s="14"/>
      <c r="O46750" s="14"/>
      <c r="P46750" s="13"/>
    </row>
    <row r="46751">
      <c r="L46751" s="13"/>
      <c r="M46751" s="14"/>
      <c r="N46751" s="14"/>
      <c r="O46751" s="14"/>
      <c r="P46751" s="13"/>
    </row>
    <row r="46752">
      <c r="L46752" s="13"/>
      <c r="M46752" s="14"/>
      <c r="N46752" s="14"/>
      <c r="O46752" s="14"/>
      <c r="P46752" s="13"/>
    </row>
    <row r="46753">
      <c r="L46753" s="13"/>
      <c r="M46753" s="14"/>
      <c r="N46753" s="14"/>
      <c r="O46753" s="14"/>
      <c r="P46753" s="13"/>
    </row>
    <row r="46754">
      <c r="L46754" s="13"/>
      <c r="M46754" s="14"/>
      <c r="N46754" s="14"/>
      <c r="O46754" s="14"/>
      <c r="P46754" s="13"/>
    </row>
    <row r="46755">
      <c r="L46755" s="13"/>
      <c r="M46755" s="14"/>
      <c r="N46755" s="14"/>
      <c r="O46755" s="14"/>
      <c r="P46755" s="13"/>
    </row>
    <row r="46756">
      <c r="L46756" s="13"/>
      <c r="M46756" s="14"/>
      <c r="N46756" s="14"/>
      <c r="O46756" s="14"/>
      <c r="P46756" s="13"/>
    </row>
    <row r="46757">
      <c r="L46757" s="13"/>
      <c r="M46757" s="14"/>
      <c r="N46757" s="14"/>
      <c r="O46757" s="14"/>
      <c r="P46757" s="13"/>
    </row>
    <row r="46758">
      <c r="L46758" s="13"/>
      <c r="M46758" s="14"/>
      <c r="N46758" s="14"/>
      <c r="O46758" s="14"/>
      <c r="P46758" s="13"/>
    </row>
    <row r="46759">
      <c r="L46759" s="13"/>
      <c r="M46759" s="14"/>
      <c r="N46759" s="14"/>
      <c r="O46759" s="14"/>
      <c r="P46759" s="13"/>
    </row>
    <row r="46760">
      <c r="L46760" s="13"/>
      <c r="M46760" s="14"/>
      <c r="N46760" s="14"/>
      <c r="O46760" s="14"/>
      <c r="P46760" s="13"/>
    </row>
    <row r="46761">
      <c r="L46761" s="13"/>
      <c r="M46761" s="14"/>
      <c r="N46761" s="14"/>
      <c r="O46761" s="14"/>
      <c r="P46761" s="13"/>
    </row>
    <row r="46762">
      <c r="L46762" s="13"/>
      <c r="M46762" s="14"/>
      <c r="N46762" s="14"/>
      <c r="O46762" s="14"/>
      <c r="P46762" s="13"/>
    </row>
    <row r="46763">
      <c r="L46763" s="13"/>
      <c r="M46763" s="14"/>
      <c r="N46763" s="14"/>
      <c r="O46763" s="14"/>
      <c r="P46763" s="13"/>
    </row>
    <row r="46764">
      <c r="L46764" s="13"/>
      <c r="M46764" s="14"/>
      <c r="N46764" s="14"/>
      <c r="O46764" s="14"/>
      <c r="P46764" s="13"/>
    </row>
    <row r="46765">
      <c r="L46765" s="13"/>
      <c r="M46765" s="14"/>
      <c r="N46765" s="14"/>
      <c r="O46765" s="14"/>
      <c r="P46765" s="13"/>
    </row>
    <row r="46766">
      <c r="L46766" s="13"/>
      <c r="M46766" s="14"/>
      <c r="N46766" s="14"/>
      <c r="O46766" s="14"/>
      <c r="P46766" s="13"/>
    </row>
    <row r="46767">
      <c r="L46767" s="13"/>
      <c r="M46767" s="14"/>
      <c r="N46767" s="14"/>
      <c r="O46767" s="14"/>
      <c r="P46767" s="13"/>
    </row>
    <row r="46768">
      <c r="L46768" s="13"/>
      <c r="M46768" s="14"/>
      <c r="N46768" s="14"/>
      <c r="O46768" s="14"/>
      <c r="P46768" s="13"/>
    </row>
    <row r="46769">
      <c r="L46769" s="13"/>
      <c r="M46769" s="14"/>
      <c r="N46769" s="14"/>
      <c r="O46769" s="14"/>
      <c r="P46769" s="13"/>
    </row>
    <row r="46770">
      <c r="L46770" s="13"/>
      <c r="M46770" s="14"/>
      <c r="N46770" s="14"/>
      <c r="O46770" s="14"/>
      <c r="P46770" s="13"/>
    </row>
    <row r="46771">
      <c r="L46771" s="13"/>
      <c r="M46771" s="14"/>
      <c r="N46771" s="14"/>
      <c r="O46771" s="14"/>
      <c r="P46771" s="13"/>
    </row>
    <row r="46772">
      <c r="L46772" s="13"/>
      <c r="M46772" s="14"/>
      <c r="N46772" s="14"/>
      <c r="O46772" s="14"/>
      <c r="P46772" s="13"/>
    </row>
    <row r="46773">
      <c r="L46773" s="13"/>
      <c r="M46773" s="14"/>
      <c r="N46773" s="14"/>
      <c r="O46773" s="14"/>
      <c r="P46773" s="13"/>
    </row>
    <row r="46774">
      <c r="L46774" s="13"/>
      <c r="M46774" s="14"/>
      <c r="N46774" s="14"/>
      <c r="O46774" s="14"/>
      <c r="P46774" s="13"/>
    </row>
    <row r="46775">
      <c r="L46775" s="13"/>
      <c r="M46775" s="14"/>
      <c r="N46775" s="14"/>
      <c r="O46775" s="14"/>
      <c r="P46775" s="13"/>
    </row>
    <row r="46776">
      <c r="L46776" s="13"/>
      <c r="M46776" s="14"/>
      <c r="N46776" s="14"/>
      <c r="O46776" s="14"/>
      <c r="P46776" s="13"/>
    </row>
    <row r="46777">
      <c r="L46777" s="13"/>
      <c r="M46777" s="14"/>
      <c r="N46777" s="14"/>
      <c r="O46777" s="14"/>
      <c r="P46777" s="13"/>
    </row>
    <row r="46778">
      <c r="L46778" s="13"/>
      <c r="M46778" s="14"/>
      <c r="N46778" s="14"/>
      <c r="O46778" s="14"/>
      <c r="P46778" s="13"/>
    </row>
    <row r="46779">
      <c r="L46779" s="13"/>
      <c r="M46779" s="14"/>
      <c r="N46779" s="14"/>
      <c r="O46779" s="14"/>
      <c r="P46779" s="13"/>
    </row>
    <row r="46780">
      <c r="L46780" s="13"/>
      <c r="M46780" s="14"/>
      <c r="N46780" s="14"/>
      <c r="O46780" s="14"/>
      <c r="P46780" s="13"/>
    </row>
    <row r="46781">
      <c r="L46781" s="13"/>
      <c r="M46781" s="14"/>
      <c r="N46781" s="14"/>
      <c r="O46781" s="14"/>
      <c r="P46781" s="13"/>
    </row>
    <row r="46782">
      <c r="L46782" s="13"/>
      <c r="M46782" s="14"/>
      <c r="N46782" s="14"/>
      <c r="O46782" s="14"/>
      <c r="P46782" s="13"/>
    </row>
    <row r="46783">
      <c r="L46783" s="13"/>
      <c r="M46783" s="14"/>
      <c r="N46783" s="14"/>
      <c r="O46783" s="14"/>
      <c r="P46783" s="13"/>
    </row>
    <row r="46784">
      <c r="L46784" s="13"/>
      <c r="M46784" s="14"/>
      <c r="N46784" s="14"/>
      <c r="O46784" s="14"/>
      <c r="P46784" s="13"/>
    </row>
    <row r="46785">
      <c r="L46785" s="13"/>
      <c r="M46785" s="14"/>
      <c r="N46785" s="14"/>
      <c r="O46785" s="14"/>
      <c r="P46785" s="13"/>
    </row>
    <row r="46786">
      <c r="L46786" s="13"/>
      <c r="M46786" s="14"/>
      <c r="N46786" s="14"/>
      <c r="O46786" s="14"/>
      <c r="P46786" s="13"/>
    </row>
    <row r="46787">
      <c r="L46787" s="13"/>
      <c r="M46787" s="14"/>
      <c r="N46787" s="14"/>
      <c r="O46787" s="14"/>
      <c r="P46787" s="13"/>
    </row>
    <row r="46788">
      <c r="L46788" s="13"/>
      <c r="M46788" s="14"/>
      <c r="N46788" s="14"/>
      <c r="O46788" s="14"/>
      <c r="P46788" s="13"/>
    </row>
    <row r="46789">
      <c r="L46789" s="13"/>
      <c r="M46789" s="14"/>
      <c r="N46789" s="14"/>
      <c r="O46789" s="14"/>
      <c r="P46789" s="13"/>
    </row>
    <row r="46790">
      <c r="L46790" s="13"/>
      <c r="M46790" s="14"/>
      <c r="N46790" s="14"/>
      <c r="O46790" s="14"/>
      <c r="P46790" s="13"/>
    </row>
    <row r="46791">
      <c r="L46791" s="13"/>
      <c r="M46791" s="14"/>
      <c r="N46791" s="14"/>
      <c r="O46791" s="14"/>
      <c r="P46791" s="13"/>
    </row>
    <row r="46792">
      <c r="L46792" s="13"/>
      <c r="M46792" s="14"/>
      <c r="N46792" s="14"/>
      <c r="O46792" s="14"/>
      <c r="P46792" s="13"/>
    </row>
    <row r="46793">
      <c r="L46793" s="13"/>
      <c r="M46793" s="14"/>
      <c r="N46793" s="14"/>
      <c r="O46793" s="14"/>
      <c r="P46793" s="13"/>
    </row>
    <row r="46794">
      <c r="L46794" s="13"/>
      <c r="M46794" s="14"/>
      <c r="N46794" s="14"/>
      <c r="O46794" s="14"/>
      <c r="P46794" s="13"/>
    </row>
    <row r="46795">
      <c r="L46795" s="13"/>
      <c r="M46795" s="14"/>
      <c r="N46795" s="14"/>
      <c r="O46795" s="14"/>
      <c r="P46795" s="13"/>
    </row>
    <row r="46796">
      <c r="L46796" s="13"/>
      <c r="M46796" s="14"/>
      <c r="N46796" s="14"/>
      <c r="O46796" s="14"/>
      <c r="P46796" s="13"/>
    </row>
    <row r="46797">
      <c r="L46797" s="13"/>
      <c r="M46797" s="14"/>
      <c r="N46797" s="14"/>
      <c r="O46797" s="14"/>
      <c r="P46797" s="13"/>
    </row>
    <row r="46798">
      <c r="L46798" s="13"/>
      <c r="M46798" s="14"/>
      <c r="N46798" s="14"/>
      <c r="O46798" s="14"/>
      <c r="P46798" s="13"/>
    </row>
    <row r="46799">
      <c r="L46799" s="13"/>
      <c r="M46799" s="14"/>
      <c r="N46799" s="14"/>
      <c r="O46799" s="14"/>
      <c r="P46799" s="13"/>
    </row>
    <row r="46800">
      <c r="L46800" s="13"/>
      <c r="M46800" s="14"/>
      <c r="N46800" s="14"/>
      <c r="O46800" s="14"/>
      <c r="P46800" s="13"/>
    </row>
    <row r="46801">
      <c r="L46801" s="13"/>
      <c r="M46801" s="14"/>
      <c r="N46801" s="14"/>
      <c r="O46801" s="14"/>
      <c r="P46801" s="13"/>
    </row>
    <row r="46802">
      <c r="L46802" s="13"/>
      <c r="M46802" s="14"/>
      <c r="N46802" s="14"/>
      <c r="O46802" s="14"/>
      <c r="P46802" s="13"/>
    </row>
    <row r="46803">
      <c r="L46803" s="13"/>
      <c r="M46803" s="14"/>
      <c r="N46803" s="14"/>
      <c r="O46803" s="14"/>
      <c r="P46803" s="13"/>
    </row>
    <row r="46804">
      <c r="L46804" s="13"/>
      <c r="M46804" s="14"/>
      <c r="N46804" s="14"/>
      <c r="O46804" s="14"/>
      <c r="P46804" s="13"/>
    </row>
    <row r="46805">
      <c r="L46805" s="13"/>
      <c r="M46805" s="14"/>
      <c r="N46805" s="14"/>
      <c r="O46805" s="14"/>
      <c r="P46805" s="13"/>
    </row>
    <row r="46806">
      <c r="L46806" s="13"/>
      <c r="M46806" s="14"/>
      <c r="N46806" s="14"/>
      <c r="O46806" s="14"/>
      <c r="P46806" s="13"/>
    </row>
    <row r="46807">
      <c r="L46807" s="13"/>
      <c r="M46807" s="14"/>
      <c r="N46807" s="14"/>
      <c r="O46807" s="14"/>
      <c r="P46807" s="13"/>
    </row>
    <row r="46808">
      <c r="L46808" s="13"/>
      <c r="M46808" s="14"/>
      <c r="N46808" s="14"/>
      <c r="O46808" s="14"/>
      <c r="P46808" s="13"/>
    </row>
    <row r="46809">
      <c r="L46809" s="13"/>
      <c r="M46809" s="14"/>
      <c r="N46809" s="14"/>
      <c r="O46809" s="14"/>
      <c r="P46809" s="13"/>
    </row>
    <row r="46810">
      <c r="L46810" s="13"/>
      <c r="M46810" s="14"/>
      <c r="N46810" s="14"/>
      <c r="O46810" s="14"/>
      <c r="P46810" s="13"/>
    </row>
    <row r="46811">
      <c r="L46811" s="13"/>
      <c r="M46811" s="14"/>
      <c r="N46811" s="14"/>
      <c r="O46811" s="14"/>
      <c r="P46811" s="13"/>
    </row>
    <row r="46812">
      <c r="L46812" s="13"/>
      <c r="M46812" s="14"/>
      <c r="N46812" s="14"/>
      <c r="O46812" s="14"/>
      <c r="P46812" s="13"/>
    </row>
    <row r="46813">
      <c r="L46813" s="13"/>
      <c r="M46813" s="14"/>
      <c r="N46813" s="14"/>
      <c r="O46813" s="14"/>
      <c r="P46813" s="13"/>
    </row>
    <row r="46814">
      <c r="L46814" s="13"/>
      <c r="M46814" s="14"/>
      <c r="N46814" s="14"/>
      <c r="O46814" s="14"/>
      <c r="P46814" s="13"/>
    </row>
    <row r="46815">
      <c r="L46815" s="13"/>
      <c r="M46815" s="14"/>
      <c r="N46815" s="14"/>
      <c r="O46815" s="14"/>
      <c r="P46815" s="13"/>
    </row>
    <row r="46816">
      <c r="L46816" s="13"/>
      <c r="M46816" s="14"/>
      <c r="N46816" s="14"/>
      <c r="O46816" s="14"/>
      <c r="P46816" s="13"/>
    </row>
    <row r="46817">
      <c r="L46817" s="13"/>
      <c r="M46817" s="14"/>
      <c r="N46817" s="14"/>
      <c r="O46817" s="14"/>
      <c r="P46817" s="13"/>
    </row>
    <row r="46818">
      <c r="L46818" s="13"/>
      <c r="M46818" s="14"/>
      <c r="N46818" s="14"/>
      <c r="O46818" s="14"/>
      <c r="P46818" s="13"/>
    </row>
    <row r="46819">
      <c r="L46819" s="13"/>
      <c r="M46819" s="14"/>
      <c r="N46819" s="14"/>
      <c r="O46819" s="14"/>
      <c r="P46819" s="13"/>
    </row>
    <row r="46820">
      <c r="L46820" s="13"/>
      <c r="M46820" s="14"/>
      <c r="N46820" s="14"/>
      <c r="O46820" s="14"/>
      <c r="P46820" s="13"/>
    </row>
    <row r="46821">
      <c r="L46821" s="13"/>
      <c r="M46821" s="14"/>
      <c r="N46821" s="14"/>
      <c r="O46821" s="14"/>
      <c r="P46821" s="13"/>
    </row>
    <row r="46822">
      <c r="L46822" s="13"/>
      <c r="M46822" s="14"/>
      <c r="N46822" s="14"/>
      <c r="O46822" s="14"/>
      <c r="P46822" s="13"/>
    </row>
    <row r="46823">
      <c r="L46823" s="13"/>
      <c r="M46823" s="14"/>
      <c r="N46823" s="14"/>
      <c r="O46823" s="14"/>
      <c r="P46823" s="13"/>
    </row>
    <row r="46824">
      <c r="L46824" s="13"/>
      <c r="M46824" s="14"/>
      <c r="N46824" s="14"/>
      <c r="O46824" s="14"/>
      <c r="P46824" s="13"/>
    </row>
    <row r="46825">
      <c r="L46825" s="13"/>
      <c r="M46825" s="14"/>
      <c r="N46825" s="14"/>
      <c r="O46825" s="14"/>
      <c r="P46825" s="13"/>
    </row>
    <row r="46826">
      <c r="L46826" s="13"/>
      <c r="M46826" s="14"/>
      <c r="N46826" s="14"/>
      <c r="O46826" s="14"/>
      <c r="P46826" s="13"/>
    </row>
    <row r="46827">
      <c r="L46827" s="13"/>
      <c r="M46827" s="14"/>
      <c r="N46827" s="14"/>
      <c r="O46827" s="14"/>
      <c r="P46827" s="13"/>
    </row>
    <row r="46828">
      <c r="L46828" s="13"/>
      <c r="M46828" s="14"/>
      <c r="N46828" s="14"/>
      <c r="O46828" s="14"/>
      <c r="P46828" s="13"/>
    </row>
    <row r="46829">
      <c r="L46829" s="13"/>
      <c r="M46829" s="14"/>
      <c r="N46829" s="14"/>
      <c r="O46829" s="14"/>
      <c r="P46829" s="13"/>
    </row>
    <row r="46830">
      <c r="L46830" s="13"/>
      <c r="M46830" s="14"/>
      <c r="N46830" s="14"/>
      <c r="O46830" s="14"/>
      <c r="P46830" s="13"/>
    </row>
    <row r="46831">
      <c r="L46831" s="13"/>
      <c r="M46831" s="14"/>
      <c r="N46831" s="14"/>
      <c r="O46831" s="14"/>
      <c r="P46831" s="13"/>
    </row>
    <row r="46832">
      <c r="L46832" s="13"/>
      <c r="M46832" s="14"/>
      <c r="N46832" s="14"/>
      <c r="O46832" s="14"/>
      <c r="P46832" s="13"/>
    </row>
    <row r="46833">
      <c r="L46833" s="13"/>
      <c r="M46833" s="14"/>
      <c r="N46833" s="14"/>
      <c r="O46833" s="14"/>
      <c r="P46833" s="13"/>
    </row>
    <row r="46834">
      <c r="L46834" s="13"/>
      <c r="M46834" s="14"/>
      <c r="N46834" s="14"/>
      <c r="O46834" s="14"/>
      <c r="P46834" s="13"/>
    </row>
    <row r="46835">
      <c r="L46835" s="13"/>
      <c r="M46835" s="14"/>
      <c r="N46835" s="14"/>
      <c r="O46835" s="14"/>
      <c r="P46835" s="13"/>
    </row>
    <row r="46836">
      <c r="L46836" s="13"/>
      <c r="M46836" s="14"/>
      <c r="N46836" s="14"/>
      <c r="O46836" s="14"/>
      <c r="P46836" s="13"/>
    </row>
    <row r="46837">
      <c r="L46837" s="13"/>
      <c r="M46837" s="14"/>
      <c r="N46837" s="14"/>
      <c r="O46837" s="14"/>
      <c r="P46837" s="13"/>
    </row>
    <row r="46838">
      <c r="L46838" s="13"/>
      <c r="M46838" s="14"/>
      <c r="N46838" s="14"/>
      <c r="O46838" s="14"/>
      <c r="P46838" s="13"/>
    </row>
    <row r="46839">
      <c r="L46839" s="13"/>
      <c r="M46839" s="14"/>
      <c r="N46839" s="14"/>
      <c r="O46839" s="14"/>
      <c r="P46839" s="13"/>
    </row>
    <row r="46840">
      <c r="L46840" s="13"/>
      <c r="M46840" s="14"/>
      <c r="N46840" s="14"/>
      <c r="O46840" s="14"/>
      <c r="P46840" s="13"/>
    </row>
    <row r="46841">
      <c r="L46841" s="13"/>
      <c r="M46841" s="14"/>
      <c r="N46841" s="14"/>
      <c r="O46841" s="14"/>
      <c r="P46841" s="13"/>
    </row>
    <row r="46842">
      <c r="L46842" s="13"/>
      <c r="M46842" s="14"/>
      <c r="N46842" s="14"/>
      <c r="O46842" s="14"/>
      <c r="P46842" s="13"/>
    </row>
    <row r="46843">
      <c r="L46843" s="13"/>
      <c r="M46843" s="14"/>
      <c r="N46843" s="14"/>
      <c r="O46843" s="14"/>
      <c r="P46843" s="13"/>
    </row>
    <row r="46844">
      <c r="L46844" s="13"/>
      <c r="M46844" s="14"/>
      <c r="N46844" s="14"/>
      <c r="O46844" s="14"/>
      <c r="P46844" s="13"/>
    </row>
    <row r="46845">
      <c r="L46845" s="13"/>
      <c r="M46845" s="14"/>
      <c r="N46845" s="14"/>
      <c r="O46845" s="14"/>
      <c r="P46845" s="13"/>
    </row>
    <row r="46846">
      <c r="L46846" s="13"/>
      <c r="M46846" s="14"/>
      <c r="N46846" s="14"/>
      <c r="O46846" s="14"/>
      <c r="P46846" s="13"/>
    </row>
    <row r="46847">
      <c r="L46847" s="13"/>
      <c r="M46847" s="14"/>
      <c r="N46847" s="14"/>
      <c r="O46847" s="14"/>
      <c r="P46847" s="13"/>
    </row>
    <row r="46848">
      <c r="L46848" s="13"/>
      <c r="M46848" s="14"/>
      <c r="N46848" s="14"/>
      <c r="O46848" s="14"/>
      <c r="P46848" s="13"/>
    </row>
    <row r="46849">
      <c r="L46849" s="13"/>
      <c r="M46849" s="14"/>
      <c r="N46849" s="14"/>
      <c r="O46849" s="14"/>
      <c r="P46849" s="13"/>
    </row>
    <row r="46850">
      <c r="L46850" s="13"/>
      <c r="M46850" s="14"/>
      <c r="N46850" s="14"/>
      <c r="O46850" s="14"/>
      <c r="P46850" s="13"/>
    </row>
    <row r="46851">
      <c r="L46851" s="13"/>
      <c r="M46851" s="14"/>
      <c r="N46851" s="14"/>
      <c r="O46851" s="14"/>
      <c r="P46851" s="13"/>
    </row>
    <row r="46852">
      <c r="L46852" s="13"/>
      <c r="M46852" s="14"/>
      <c r="N46852" s="14"/>
      <c r="O46852" s="14"/>
      <c r="P46852" s="13"/>
    </row>
    <row r="46853">
      <c r="L46853" s="13"/>
      <c r="M46853" s="14"/>
      <c r="N46853" s="14"/>
      <c r="O46853" s="14"/>
      <c r="P46853" s="13"/>
    </row>
    <row r="46854">
      <c r="L46854" s="13"/>
      <c r="M46854" s="14"/>
      <c r="N46854" s="14"/>
      <c r="O46854" s="14"/>
      <c r="P46854" s="13"/>
    </row>
    <row r="46855">
      <c r="L46855" s="13"/>
      <c r="M46855" s="14"/>
      <c r="N46855" s="14"/>
      <c r="O46855" s="14"/>
      <c r="P46855" s="13"/>
    </row>
    <row r="46856">
      <c r="L46856" s="13"/>
      <c r="M46856" s="14"/>
      <c r="N46856" s="14"/>
      <c r="O46856" s="14"/>
      <c r="P46856" s="13"/>
    </row>
    <row r="46857">
      <c r="L46857" s="13"/>
      <c r="M46857" s="14"/>
      <c r="N46857" s="14"/>
      <c r="O46857" s="14"/>
      <c r="P46857" s="13"/>
    </row>
    <row r="46858">
      <c r="L46858" s="13"/>
      <c r="M46858" s="14"/>
      <c r="N46858" s="14"/>
      <c r="O46858" s="14"/>
      <c r="P46858" s="13"/>
    </row>
    <row r="46859">
      <c r="L46859" s="13"/>
      <c r="M46859" s="14"/>
      <c r="N46859" s="14"/>
      <c r="O46859" s="14"/>
      <c r="P46859" s="13"/>
    </row>
    <row r="46860">
      <c r="L46860" s="13"/>
      <c r="M46860" s="14"/>
      <c r="N46860" s="14"/>
      <c r="O46860" s="14"/>
      <c r="P46860" s="13"/>
    </row>
    <row r="46861">
      <c r="L46861" s="13"/>
      <c r="M46861" s="14"/>
      <c r="N46861" s="14"/>
      <c r="O46861" s="14"/>
      <c r="P46861" s="13"/>
    </row>
    <row r="46862">
      <c r="L46862" s="13"/>
      <c r="M46862" s="14"/>
      <c r="N46862" s="14"/>
      <c r="O46862" s="14"/>
      <c r="P46862" s="13"/>
    </row>
    <row r="46863">
      <c r="L46863" s="13"/>
      <c r="M46863" s="14"/>
      <c r="N46863" s="14"/>
      <c r="O46863" s="14"/>
      <c r="P46863" s="13"/>
    </row>
    <row r="46864">
      <c r="L46864" s="13"/>
      <c r="M46864" s="14"/>
      <c r="N46864" s="14"/>
      <c r="O46864" s="14"/>
      <c r="P46864" s="13"/>
    </row>
    <row r="46865">
      <c r="L46865" s="13"/>
      <c r="M46865" s="14"/>
      <c r="N46865" s="14"/>
      <c r="O46865" s="14"/>
      <c r="P46865" s="13"/>
    </row>
    <row r="46866">
      <c r="L46866" s="13"/>
      <c r="M46866" s="14"/>
      <c r="N46866" s="14"/>
      <c r="O46866" s="14"/>
      <c r="P46866" s="13"/>
    </row>
    <row r="46867">
      <c r="L46867" s="13"/>
      <c r="M46867" s="14"/>
      <c r="N46867" s="14"/>
      <c r="O46867" s="14"/>
      <c r="P46867" s="13"/>
    </row>
    <row r="46868">
      <c r="L46868" s="13"/>
      <c r="M46868" s="14"/>
      <c r="N46868" s="14"/>
      <c r="O46868" s="14"/>
      <c r="P46868" s="13"/>
    </row>
    <row r="46869">
      <c r="L46869" s="13"/>
      <c r="M46869" s="14"/>
      <c r="N46869" s="14"/>
      <c r="O46869" s="14"/>
      <c r="P46869" s="13"/>
    </row>
    <row r="46870">
      <c r="L46870" s="13"/>
      <c r="M46870" s="14"/>
      <c r="N46870" s="14"/>
      <c r="O46870" s="14"/>
      <c r="P46870" s="13"/>
    </row>
    <row r="46871">
      <c r="L46871" s="13"/>
      <c r="M46871" s="14"/>
      <c r="N46871" s="14"/>
      <c r="O46871" s="14"/>
      <c r="P46871" s="13"/>
    </row>
    <row r="46872">
      <c r="L46872" s="13"/>
      <c r="M46872" s="14"/>
      <c r="N46872" s="14"/>
      <c r="O46872" s="14"/>
      <c r="P46872" s="13"/>
    </row>
    <row r="46873">
      <c r="L46873" s="13"/>
      <c r="M46873" s="14"/>
      <c r="N46873" s="14"/>
      <c r="O46873" s="14"/>
      <c r="P46873" s="13"/>
    </row>
    <row r="46874">
      <c r="L46874" s="13"/>
      <c r="M46874" s="14"/>
      <c r="N46874" s="14"/>
      <c r="O46874" s="14"/>
      <c r="P46874" s="13"/>
    </row>
    <row r="46875">
      <c r="L46875" s="13"/>
      <c r="M46875" s="14"/>
      <c r="N46875" s="14"/>
      <c r="O46875" s="14"/>
      <c r="P46875" s="13"/>
    </row>
    <row r="46876">
      <c r="L46876" s="13"/>
      <c r="M46876" s="14"/>
      <c r="N46876" s="14"/>
      <c r="O46876" s="14"/>
      <c r="P46876" s="13"/>
    </row>
    <row r="46877">
      <c r="L46877" s="13"/>
      <c r="M46877" s="14"/>
      <c r="N46877" s="14"/>
      <c r="O46877" s="14"/>
      <c r="P46877" s="13"/>
    </row>
    <row r="46878">
      <c r="L46878" s="13"/>
      <c r="M46878" s="14"/>
      <c r="N46878" s="14"/>
      <c r="O46878" s="14"/>
      <c r="P46878" s="13"/>
    </row>
    <row r="46879">
      <c r="L46879" s="13"/>
      <c r="M46879" s="14"/>
      <c r="N46879" s="14"/>
      <c r="O46879" s="14"/>
      <c r="P46879" s="13"/>
    </row>
    <row r="46880">
      <c r="L46880" s="13"/>
      <c r="M46880" s="14"/>
      <c r="N46880" s="14"/>
      <c r="O46880" s="14"/>
      <c r="P46880" s="13"/>
    </row>
    <row r="46881">
      <c r="L46881" s="13"/>
      <c r="M46881" s="14"/>
      <c r="N46881" s="14"/>
      <c r="O46881" s="14"/>
      <c r="P46881" s="13"/>
    </row>
    <row r="46882">
      <c r="L46882" s="13"/>
      <c r="M46882" s="14"/>
      <c r="N46882" s="14"/>
      <c r="O46882" s="14"/>
      <c r="P46882" s="13"/>
    </row>
    <row r="46883">
      <c r="L46883" s="13"/>
      <c r="M46883" s="14"/>
      <c r="N46883" s="14"/>
      <c r="O46883" s="14"/>
      <c r="P46883" s="13"/>
    </row>
    <row r="46884">
      <c r="L46884" s="13"/>
      <c r="M46884" s="14"/>
      <c r="N46884" s="14"/>
      <c r="O46884" s="14"/>
      <c r="P46884" s="13"/>
    </row>
    <row r="46885">
      <c r="L46885" s="13"/>
      <c r="M46885" s="14"/>
      <c r="N46885" s="14"/>
      <c r="O46885" s="14"/>
      <c r="P46885" s="13"/>
    </row>
    <row r="46886">
      <c r="L46886" s="13"/>
      <c r="M46886" s="14"/>
      <c r="N46886" s="14"/>
      <c r="O46886" s="14"/>
      <c r="P46886" s="13"/>
    </row>
    <row r="46887">
      <c r="L46887" s="13"/>
      <c r="M46887" s="14"/>
      <c r="N46887" s="14"/>
      <c r="O46887" s="14"/>
      <c r="P46887" s="13"/>
    </row>
    <row r="46888">
      <c r="L46888" s="13"/>
      <c r="M46888" s="14"/>
      <c r="N46888" s="14"/>
      <c r="O46888" s="14"/>
      <c r="P46888" s="13"/>
    </row>
    <row r="46889">
      <c r="L46889" s="13"/>
      <c r="M46889" s="14"/>
      <c r="N46889" s="14"/>
      <c r="O46889" s="14"/>
      <c r="P46889" s="13"/>
    </row>
    <row r="46890">
      <c r="L46890" s="13"/>
      <c r="M46890" s="14"/>
      <c r="N46890" s="14"/>
      <c r="O46890" s="14"/>
      <c r="P46890" s="13"/>
    </row>
    <row r="46891">
      <c r="L46891" s="13"/>
      <c r="M46891" s="14"/>
      <c r="N46891" s="14"/>
      <c r="O46891" s="14"/>
      <c r="P46891" s="13"/>
    </row>
    <row r="46892">
      <c r="L46892" s="13"/>
      <c r="M46892" s="14"/>
      <c r="N46892" s="14"/>
      <c r="O46892" s="14"/>
      <c r="P46892" s="13"/>
    </row>
    <row r="46893">
      <c r="L46893" s="13"/>
      <c r="M46893" s="14"/>
      <c r="N46893" s="14"/>
      <c r="O46893" s="14"/>
      <c r="P46893" s="13"/>
    </row>
    <row r="46894">
      <c r="L46894" s="13"/>
      <c r="M46894" s="14"/>
      <c r="N46894" s="14"/>
      <c r="O46894" s="14"/>
      <c r="P46894" s="13"/>
    </row>
    <row r="46895">
      <c r="L46895" s="13"/>
      <c r="M46895" s="14"/>
      <c r="N46895" s="14"/>
      <c r="O46895" s="14"/>
      <c r="P46895" s="13"/>
    </row>
    <row r="46896">
      <c r="L46896" s="13"/>
      <c r="M46896" s="14"/>
      <c r="N46896" s="14"/>
      <c r="O46896" s="14"/>
      <c r="P46896" s="13"/>
    </row>
    <row r="46897">
      <c r="L46897" s="13"/>
      <c r="M46897" s="14"/>
      <c r="N46897" s="14"/>
      <c r="O46897" s="14"/>
      <c r="P46897" s="13"/>
    </row>
    <row r="46898">
      <c r="L46898" s="13"/>
      <c r="M46898" s="14"/>
      <c r="N46898" s="14"/>
      <c r="O46898" s="14"/>
      <c r="P46898" s="13"/>
    </row>
    <row r="46899">
      <c r="L46899" s="13"/>
      <c r="M46899" s="14"/>
      <c r="N46899" s="14"/>
      <c r="O46899" s="14"/>
      <c r="P46899" s="13"/>
    </row>
    <row r="46900">
      <c r="L46900" s="13"/>
      <c r="M46900" s="14"/>
      <c r="N46900" s="14"/>
      <c r="O46900" s="14"/>
      <c r="P46900" s="13"/>
    </row>
    <row r="46901">
      <c r="L46901" s="13"/>
      <c r="M46901" s="14"/>
      <c r="N46901" s="14"/>
      <c r="O46901" s="14"/>
      <c r="P46901" s="13"/>
    </row>
    <row r="46902">
      <c r="L46902" s="13"/>
      <c r="M46902" s="14"/>
      <c r="N46902" s="14"/>
      <c r="O46902" s="14"/>
      <c r="P46902" s="13"/>
    </row>
    <row r="46903">
      <c r="L46903" s="13"/>
      <c r="M46903" s="14"/>
      <c r="N46903" s="14"/>
      <c r="O46903" s="14"/>
      <c r="P46903" s="13"/>
    </row>
    <row r="46904">
      <c r="L46904" s="13"/>
      <c r="M46904" s="14"/>
      <c r="N46904" s="14"/>
      <c r="O46904" s="14"/>
      <c r="P46904" s="13"/>
    </row>
    <row r="46905">
      <c r="L46905" s="13"/>
      <c r="M46905" s="14"/>
      <c r="N46905" s="14"/>
      <c r="O46905" s="14"/>
      <c r="P46905" s="13"/>
    </row>
    <row r="46906">
      <c r="L46906" s="13"/>
      <c r="M46906" s="14"/>
      <c r="N46906" s="14"/>
      <c r="O46906" s="14"/>
      <c r="P46906" s="13"/>
    </row>
    <row r="46907">
      <c r="L46907" s="13"/>
      <c r="M46907" s="14"/>
      <c r="N46907" s="14"/>
      <c r="O46907" s="14"/>
      <c r="P46907" s="13"/>
    </row>
    <row r="46908">
      <c r="L46908" s="13"/>
      <c r="M46908" s="14"/>
      <c r="N46908" s="14"/>
      <c r="O46908" s="14"/>
      <c r="P46908" s="13"/>
    </row>
    <row r="46909">
      <c r="L46909" s="13"/>
      <c r="M46909" s="14"/>
      <c r="N46909" s="14"/>
      <c r="O46909" s="14"/>
      <c r="P46909" s="13"/>
    </row>
    <row r="46910">
      <c r="L46910" s="13"/>
      <c r="M46910" s="14"/>
      <c r="N46910" s="14"/>
      <c r="O46910" s="14"/>
      <c r="P46910" s="13"/>
    </row>
    <row r="46911">
      <c r="L46911" s="13"/>
      <c r="M46911" s="14"/>
      <c r="N46911" s="14"/>
      <c r="O46911" s="14"/>
      <c r="P46911" s="13"/>
    </row>
    <row r="46912">
      <c r="L46912" s="13"/>
      <c r="M46912" s="14"/>
      <c r="N46912" s="14"/>
      <c r="O46912" s="14"/>
      <c r="P46912" s="13"/>
    </row>
    <row r="46913">
      <c r="L46913" s="13"/>
      <c r="M46913" s="14"/>
      <c r="N46913" s="14"/>
      <c r="O46913" s="14"/>
      <c r="P46913" s="13"/>
    </row>
    <row r="46914">
      <c r="L46914" s="13"/>
      <c r="M46914" s="14"/>
      <c r="N46914" s="14"/>
      <c r="O46914" s="14"/>
      <c r="P46914" s="13"/>
    </row>
    <row r="46915">
      <c r="L46915" s="13"/>
      <c r="M46915" s="14"/>
      <c r="N46915" s="14"/>
      <c r="O46915" s="14"/>
      <c r="P46915" s="13"/>
    </row>
    <row r="46916">
      <c r="L46916" s="13"/>
      <c r="M46916" s="14"/>
      <c r="N46916" s="14"/>
      <c r="O46916" s="14"/>
      <c r="P46916" s="13"/>
    </row>
    <row r="46917">
      <c r="L46917" s="13"/>
      <c r="M46917" s="14"/>
      <c r="N46917" s="14"/>
      <c r="O46917" s="14"/>
      <c r="P46917" s="13"/>
    </row>
    <row r="46918">
      <c r="L46918" s="13"/>
      <c r="M46918" s="14"/>
      <c r="N46918" s="14"/>
      <c r="O46918" s="14"/>
      <c r="P46918" s="13"/>
    </row>
    <row r="46919">
      <c r="L46919" s="13"/>
      <c r="M46919" s="14"/>
      <c r="N46919" s="14"/>
      <c r="O46919" s="14"/>
      <c r="P46919" s="13"/>
    </row>
    <row r="46920">
      <c r="L46920" s="13"/>
      <c r="M46920" s="14"/>
      <c r="N46920" s="14"/>
      <c r="O46920" s="14"/>
      <c r="P46920" s="13"/>
    </row>
    <row r="46921">
      <c r="L46921" s="13"/>
      <c r="M46921" s="14"/>
      <c r="N46921" s="14"/>
      <c r="O46921" s="14"/>
      <c r="P46921" s="13"/>
    </row>
    <row r="46922">
      <c r="L46922" s="13"/>
      <c r="M46922" s="14"/>
      <c r="N46922" s="14"/>
      <c r="O46922" s="14"/>
      <c r="P46922" s="13"/>
    </row>
    <row r="46923">
      <c r="L46923" s="13"/>
      <c r="M46923" s="14"/>
      <c r="N46923" s="14"/>
      <c r="O46923" s="14"/>
      <c r="P46923" s="13"/>
    </row>
    <row r="46924">
      <c r="L46924" s="13"/>
      <c r="M46924" s="14"/>
      <c r="N46924" s="14"/>
      <c r="O46924" s="14"/>
      <c r="P46924" s="13"/>
    </row>
    <row r="46925">
      <c r="L46925" s="13"/>
      <c r="M46925" s="14"/>
      <c r="N46925" s="14"/>
      <c r="O46925" s="14"/>
      <c r="P46925" s="13"/>
    </row>
    <row r="46926">
      <c r="L46926" s="13"/>
      <c r="M46926" s="14"/>
      <c r="N46926" s="14"/>
      <c r="O46926" s="14"/>
      <c r="P46926" s="13"/>
    </row>
    <row r="46927">
      <c r="L46927" s="13"/>
      <c r="M46927" s="14"/>
      <c r="N46927" s="14"/>
      <c r="O46927" s="14"/>
      <c r="P46927" s="13"/>
    </row>
    <row r="46928">
      <c r="L46928" s="13"/>
      <c r="M46928" s="14"/>
      <c r="N46928" s="14"/>
      <c r="O46928" s="14"/>
      <c r="P46928" s="13"/>
    </row>
    <row r="46929">
      <c r="L46929" s="13"/>
      <c r="M46929" s="14"/>
      <c r="N46929" s="14"/>
      <c r="O46929" s="14"/>
      <c r="P46929" s="13"/>
    </row>
    <row r="46930">
      <c r="L46930" s="13"/>
      <c r="M46930" s="14"/>
      <c r="N46930" s="14"/>
      <c r="O46930" s="14"/>
      <c r="P46930" s="13"/>
    </row>
    <row r="46931">
      <c r="L46931" s="13"/>
      <c r="M46931" s="14"/>
      <c r="N46931" s="14"/>
      <c r="O46931" s="14"/>
      <c r="P46931" s="13"/>
    </row>
    <row r="46932">
      <c r="L46932" s="13"/>
      <c r="M46932" s="14"/>
      <c r="N46932" s="14"/>
      <c r="O46932" s="14"/>
      <c r="P46932" s="13"/>
    </row>
    <row r="46933">
      <c r="L46933" s="13"/>
      <c r="M46933" s="14"/>
      <c r="N46933" s="14"/>
      <c r="O46933" s="14"/>
      <c r="P46933" s="13"/>
    </row>
    <row r="46934">
      <c r="L46934" s="13"/>
      <c r="M46934" s="14"/>
      <c r="N46934" s="14"/>
      <c r="O46934" s="14"/>
      <c r="P46934" s="13"/>
    </row>
    <row r="46935">
      <c r="L46935" s="13"/>
      <c r="M46935" s="14"/>
      <c r="N46935" s="14"/>
      <c r="O46935" s="14"/>
      <c r="P46935" s="13"/>
    </row>
    <row r="46936">
      <c r="L46936" s="13"/>
      <c r="M46936" s="14"/>
      <c r="N46936" s="14"/>
      <c r="O46936" s="14"/>
      <c r="P46936" s="13"/>
    </row>
    <row r="46937">
      <c r="L46937" s="13"/>
      <c r="M46937" s="14"/>
      <c r="N46937" s="14"/>
      <c r="O46937" s="14"/>
      <c r="P46937" s="13"/>
    </row>
    <row r="46938">
      <c r="L46938" s="13"/>
      <c r="M46938" s="14"/>
      <c r="N46938" s="14"/>
      <c r="O46938" s="14"/>
      <c r="P46938" s="13"/>
    </row>
    <row r="46939">
      <c r="L46939" s="13"/>
      <c r="M46939" s="14"/>
      <c r="N46939" s="14"/>
      <c r="O46939" s="14"/>
      <c r="P46939" s="13"/>
    </row>
    <row r="46940">
      <c r="L46940" s="13"/>
      <c r="M46940" s="14"/>
      <c r="N46940" s="14"/>
      <c r="O46940" s="14"/>
      <c r="P46940" s="13"/>
    </row>
    <row r="46941">
      <c r="L46941" s="13"/>
      <c r="M46941" s="14"/>
      <c r="N46941" s="14"/>
      <c r="O46941" s="14"/>
      <c r="P46941" s="13"/>
    </row>
    <row r="46942">
      <c r="L46942" s="13"/>
      <c r="M46942" s="14"/>
      <c r="N46942" s="14"/>
      <c r="O46942" s="14"/>
      <c r="P46942" s="13"/>
    </row>
    <row r="46943">
      <c r="L46943" s="13"/>
      <c r="M46943" s="14"/>
      <c r="N46943" s="14"/>
      <c r="O46943" s="14"/>
      <c r="P46943" s="13"/>
    </row>
    <row r="46944">
      <c r="L46944" s="13"/>
      <c r="M46944" s="14"/>
      <c r="N46944" s="14"/>
      <c r="O46944" s="14"/>
      <c r="P46944" s="13"/>
    </row>
    <row r="46945">
      <c r="L46945" s="13"/>
      <c r="M46945" s="14"/>
      <c r="N46945" s="14"/>
      <c r="O46945" s="14"/>
      <c r="P46945" s="13"/>
    </row>
    <row r="46946">
      <c r="L46946" s="13"/>
      <c r="M46946" s="14"/>
      <c r="N46946" s="14"/>
      <c r="O46946" s="14"/>
      <c r="P46946" s="13"/>
    </row>
    <row r="46947">
      <c r="L46947" s="13"/>
      <c r="M46947" s="14"/>
      <c r="N46947" s="14"/>
      <c r="O46947" s="14"/>
      <c r="P46947" s="13"/>
    </row>
    <row r="46948">
      <c r="L46948" s="13"/>
      <c r="M46948" s="14"/>
      <c r="N46948" s="14"/>
      <c r="O46948" s="14"/>
      <c r="P46948" s="13"/>
    </row>
    <row r="46949">
      <c r="L46949" s="13"/>
      <c r="M46949" s="14"/>
      <c r="N46949" s="14"/>
      <c r="O46949" s="14"/>
      <c r="P46949" s="13"/>
    </row>
    <row r="46950">
      <c r="L46950" s="13"/>
      <c r="M46950" s="14"/>
      <c r="N46950" s="14"/>
      <c r="O46950" s="14"/>
      <c r="P46950" s="13"/>
    </row>
    <row r="46951">
      <c r="L46951" s="13"/>
      <c r="M46951" s="14"/>
      <c r="N46951" s="14"/>
      <c r="O46951" s="14"/>
      <c r="P46951" s="13"/>
    </row>
    <row r="46952">
      <c r="L46952" s="13"/>
      <c r="M46952" s="14"/>
      <c r="N46952" s="14"/>
      <c r="O46952" s="14"/>
      <c r="P46952" s="13"/>
    </row>
    <row r="46953">
      <c r="L46953" s="13"/>
      <c r="M46953" s="14"/>
      <c r="N46953" s="14"/>
      <c r="O46953" s="14"/>
      <c r="P46953" s="13"/>
    </row>
    <row r="46954">
      <c r="L46954" s="13"/>
      <c r="M46954" s="14"/>
      <c r="N46954" s="14"/>
      <c r="O46954" s="14"/>
      <c r="P46954" s="13"/>
    </row>
    <row r="46955">
      <c r="L46955" s="13"/>
      <c r="M46955" s="14"/>
      <c r="N46955" s="14"/>
      <c r="O46955" s="14"/>
      <c r="P46955" s="13"/>
    </row>
    <row r="46956">
      <c r="L46956" s="13"/>
      <c r="M46956" s="14"/>
      <c r="N46956" s="14"/>
      <c r="O46956" s="14"/>
      <c r="P46956" s="13"/>
    </row>
    <row r="46957">
      <c r="L46957" s="13"/>
      <c r="M46957" s="14"/>
      <c r="N46957" s="14"/>
      <c r="O46957" s="14"/>
      <c r="P46957" s="13"/>
    </row>
    <row r="46958">
      <c r="L46958" s="13"/>
      <c r="M46958" s="14"/>
      <c r="N46958" s="14"/>
      <c r="O46958" s="14"/>
      <c r="P46958" s="13"/>
    </row>
    <row r="46959">
      <c r="L46959" s="13"/>
      <c r="M46959" s="14"/>
      <c r="N46959" s="14"/>
      <c r="O46959" s="14"/>
      <c r="P46959" s="13"/>
    </row>
    <row r="46960">
      <c r="L46960" s="13"/>
      <c r="M46960" s="14"/>
      <c r="N46960" s="14"/>
      <c r="O46960" s="14"/>
      <c r="P46960" s="13"/>
    </row>
    <row r="46961">
      <c r="L46961" s="13"/>
      <c r="M46961" s="14"/>
      <c r="N46961" s="14"/>
      <c r="O46961" s="14"/>
      <c r="P46961" s="13"/>
    </row>
    <row r="46962">
      <c r="L46962" s="13"/>
      <c r="M46962" s="14"/>
      <c r="N46962" s="14"/>
      <c r="O46962" s="14"/>
      <c r="P46962" s="13"/>
    </row>
    <row r="46963">
      <c r="L46963" s="13"/>
      <c r="M46963" s="14"/>
      <c r="N46963" s="14"/>
      <c r="O46963" s="14"/>
      <c r="P46963" s="13"/>
    </row>
    <row r="46964">
      <c r="L46964" s="13"/>
      <c r="M46964" s="14"/>
      <c r="N46964" s="14"/>
      <c r="O46964" s="14"/>
      <c r="P46964" s="13"/>
    </row>
    <row r="46965">
      <c r="L46965" s="13"/>
      <c r="M46965" s="14"/>
      <c r="N46965" s="14"/>
      <c r="O46965" s="14"/>
      <c r="P46965" s="13"/>
    </row>
    <row r="46966">
      <c r="L46966" s="13"/>
      <c r="M46966" s="14"/>
      <c r="N46966" s="14"/>
      <c r="O46966" s="14"/>
      <c r="P46966" s="13"/>
    </row>
    <row r="46967">
      <c r="L46967" s="13"/>
      <c r="M46967" s="14"/>
      <c r="N46967" s="14"/>
      <c r="O46967" s="14"/>
      <c r="P46967" s="13"/>
    </row>
    <row r="46968">
      <c r="L46968" s="13"/>
      <c r="M46968" s="14"/>
      <c r="N46968" s="14"/>
      <c r="O46968" s="14"/>
      <c r="P46968" s="13"/>
    </row>
    <row r="46969">
      <c r="L46969" s="13"/>
      <c r="M46969" s="14"/>
      <c r="N46969" s="14"/>
      <c r="O46969" s="14"/>
      <c r="P46969" s="13"/>
    </row>
    <row r="46970">
      <c r="L46970" s="13"/>
      <c r="M46970" s="14"/>
      <c r="N46970" s="14"/>
      <c r="O46970" s="14"/>
      <c r="P46970" s="13"/>
    </row>
    <row r="46971">
      <c r="L46971" s="13"/>
      <c r="M46971" s="14"/>
      <c r="N46971" s="14"/>
      <c r="O46971" s="14"/>
      <c r="P46971" s="13"/>
    </row>
    <row r="46972">
      <c r="L46972" s="13"/>
      <c r="M46972" s="14"/>
      <c r="N46972" s="14"/>
      <c r="O46972" s="14"/>
      <c r="P46972" s="13"/>
    </row>
    <row r="46973">
      <c r="L46973" s="13"/>
      <c r="M46973" s="14"/>
      <c r="N46973" s="14"/>
      <c r="O46973" s="14"/>
      <c r="P46973" s="13"/>
    </row>
    <row r="46974">
      <c r="L46974" s="13"/>
      <c r="M46974" s="14"/>
      <c r="N46974" s="14"/>
      <c r="O46974" s="14"/>
      <c r="P46974" s="13"/>
    </row>
    <row r="46975">
      <c r="L46975" s="13"/>
      <c r="M46975" s="14"/>
      <c r="N46975" s="14"/>
      <c r="O46975" s="14"/>
      <c r="P46975" s="13"/>
    </row>
    <row r="46976">
      <c r="L46976" s="13"/>
      <c r="M46976" s="14"/>
      <c r="N46976" s="14"/>
      <c r="O46976" s="14"/>
      <c r="P46976" s="13"/>
    </row>
    <row r="46977">
      <c r="L46977" s="13"/>
      <c r="M46977" s="14"/>
      <c r="N46977" s="14"/>
      <c r="O46977" s="14"/>
      <c r="P46977" s="13"/>
    </row>
    <row r="46978">
      <c r="L46978" s="13"/>
      <c r="M46978" s="14"/>
      <c r="N46978" s="14"/>
      <c r="O46978" s="14"/>
      <c r="P46978" s="13"/>
    </row>
    <row r="46979">
      <c r="L46979" s="13"/>
      <c r="M46979" s="14"/>
      <c r="N46979" s="14"/>
      <c r="O46979" s="14"/>
      <c r="P46979" s="13"/>
    </row>
    <row r="46980">
      <c r="L46980" s="13"/>
      <c r="M46980" s="14"/>
      <c r="N46980" s="14"/>
      <c r="O46980" s="14"/>
      <c r="P46980" s="13"/>
    </row>
    <row r="46981">
      <c r="L46981" s="13"/>
      <c r="M46981" s="14"/>
      <c r="N46981" s="14"/>
      <c r="O46981" s="14"/>
      <c r="P46981" s="13"/>
    </row>
    <row r="46982">
      <c r="L46982" s="13"/>
      <c r="M46982" s="14"/>
      <c r="N46982" s="14"/>
      <c r="O46982" s="14"/>
      <c r="P46982" s="13"/>
    </row>
    <row r="46983">
      <c r="L46983" s="13"/>
      <c r="M46983" s="14"/>
      <c r="N46983" s="14"/>
      <c r="O46983" s="14"/>
      <c r="P46983" s="13"/>
    </row>
    <row r="46984">
      <c r="L46984" s="13"/>
      <c r="M46984" s="14"/>
      <c r="N46984" s="14"/>
      <c r="O46984" s="14"/>
      <c r="P46984" s="13"/>
    </row>
    <row r="46985">
      <c r="L46985" s="13"/>
      <c r="M46985" s="14"/>
      <c r="N46985" s="14"/>
      <c r="O46985" s="14"/>
      <c r="P46985" s="13"/>
    </row>
    <row r="46986">
      <c r="L46986" s="13"/>
      <c r="M46986" s="14"/>
      <c r="N46986" s="14"/>
      <c r="O46986" s="14"/>
      <c r="P46986" s="13"/>
    </row>
    <row r="46987">
      <c r="L46987" s="13"/>
      <c r="M46987" s="14"/>
      <c r="N46987" s="14"/>
      <c r="O46987" s="14"/>
      <c r="P46987" s="13"/>
    </row>
    <row r="46988">
      <c r="L46988" s="13"/>
      <c r="M46988" s="14"/>
      <c r="N46988" s="14"/>
      <c r="O46988" s="14"/>
      <c r="P46988" s="13"/>
    </row>
    <row r="46989">
      <c r="L46989" s="13"/>
      <c r="M46989" s="14"/>
      <c r="N46989" s="14"/>
      <c r="O46989" s="14"/>
      <c r="P46989" s="13"/>
    </row>
    <row r="46990">
      <c r="L46990" s="13"/>
      <c r="M46990" s="14"/>
      <c r="N46990" s="14"/>
      <c r="O46990" s="14"/>
      <c r="P46990" s="13"/>
    </row>
    <row r="46991">
      <c r="L46991" s="13"/>
      <c r="M46991" s="14"/>
      <c r="N46991" s="14"/>
      <c r="O46991" s="14"/>
      <c r="P46991" s="13"/>
    </row>
    <row r="46992">
      <c r="L46992" s="13"/>
      <c r="M46992" s="14"/>
      <c r="N46992" s="14"/>
      <c r="O46992" s="14"/>
      <c r="P46992" s="13"/>
    </row>
    <row r="46993">
      <c r="L46993" s="13"/>
      <c r="M46993" s="14"/>
      <c r="N46993" s="14"/>
      <c r="O46993" s="14"/>
      <c r="P46993" s="13"/>
    </row>
    <row r="46994">
      <c r="L46994" s="13"/>
      <c r="M46994" s="14"/>
      <c r="N46994" s="14"/>
      <c r="O46994" s="14"/>
      <c r="P46994" s="13"/>
    </row>
    <row r="46995">
      <c r="L46995" s="13"/>
      <c r="M46995" s="14"/>
      <c r="N46995" s="14"/>
      <c r="O46995" s="14"/>
      <c r="P46995" s="13"/>
    </row>
    <row r="46996">
      <c r="L46996" s="13"/>
      <c r="M46996" s="14"/>
      <c r="N46996" s="14"/>
      <c r="O46996" s="14"/>
      <c r="P46996" s="13"/>
    </row>
    <row r="46997">
      <c r="L46997" s="13"/>
      <c r="M46997" s="14"/>
      <c r="N46997" s="14"/>
      <c r="O46997" s="14"/>
      <c r="P46997" s="13"/>
    </row>
    <row r="46998">
      <c r="L46998" s="13"/>
      <c r="M46998" s="14"/>
      <c r="N46998" s="14"/>
      <c r="O46998" s="14"/>
      <c r="P46998" s="13"/>
    </row>
    <row r="46999">
      <c r="L46999" s="13"/>
      <c r="M46999" s="14"/>
      <c r="N46999" s="14"/>
      <c r="O46999" s="14"/>
      <c r="P46999" s="13"/>
    </row>
    <row r="47000">
      <c r="L47000" s="13"/>
      <c r="M47000" s="14"/>
      <c r="N47000" s="14"/>
      <c r="O47000" s="14"/>
      <c r="P47000" s="13"/>
    </row>
    <row r="47001">
      <c r="L47001" s="13"/>
      <c r="M47001" s="14"/>
      <c r="N47001" s="14"/>
      <c r="O47001" s="14"/>
      <c r="P47001" s="13"/>
    </row>
    <row r="47002">
      <c r="L47002" s="13"/>
      <c r="M47002" s="14"/>
      <c r="N47002" s="14"/>
      <c r="O47002" s="14"/>
      <c r="P47002" s="13"/>
    </row>
    <row r="47003">
      <c r="L47003" s="13"/>
      <c r="M47003" s="14"/>
      <c r="N47003" s="14"/>
      <c r="O47003" s="14"/>
      <c r="P47003" s="13"/>
    </row>
    <row r="47004">
      <c r="L47004" s="13"/>
      <c r="M47004" s="14"/>
      <c r="N47004" s="14"/>
      <c r="O47004" s="14"/>
      <c r="P47004" s="13"/>
    </row>
    <row r="47005">
      <c r="L47005" s="13"/>
      <c r="M47005" s="14"/>
      <c r="N47005" s="14"/>
      <c r="O47005" s="14"/>
      <c r="P47005" s="13"/>
    </row>
    <row r="47006">
      <c r="L47006" s="13"/>
      <c r="M47006" s="14"/>
      <c r="N47006" s="14"/>
      <c r="O47006" s="14"/>
      <c r="P47006" s="13"/>
    </row>
    <row r="47007">
      <c r="L47007" s="13"/>
      <c r="M47007" s="14"/>
      <c r="N47007" s="14"/>
      <c r="O47007" s="14"/>
      <c r="P47007" s="13"/>
    </row>
    <row r="47008">
      <c r="L47008" s="13"/>
      <c r="M47008" s="14"/>
      <c r="N47008" s="14"/>
      <c r="O47008" s="14"/>
      <c r="P47008" s="13"/>
    </row>
    <row r="47009">
      <c r="L47009" s="13"/>
      <c r="M47009" s="14"/>
      <c r="N47009" s="14"/>
      <c r="O47009" s="14"/>
      <c r="P47009" s="13"/>
    </row>
    <row r="47010">
      <c r="L47010" s="13"/>
      <c r="M47010" s="14"/>
      <c r="N47010" s="14"/>
      <c r="O47010" s="14"/>
      <c r="P47010" s="13"/>
    </row>
    <row r="47011">
      <c r="L47011" s="13"/>
      <c r="M47011" s="14"/>
      <c r="N47011" s="14"/>
      <c r="O47011" s="14"/>
      <c r="P47011" s="13"/>
    </row>
    <row r="47012">
      <c r="L47012" s="13"/>
      <c r="M47012" s="14"/>
      <c r="N47012" s="14"/>
      <c r="O47012" s="14"/>
      <c r="P47012" s="13"/>
    </row>
    <row r="47013">
      <c r="L47013" s="13"/>
      <c r="M47013" s="14"/>
      <c r="N47013" s="14"/>
      <c r="O47013" s="14"/>
      <c r="P47013" s="13"/>
    </row>
    <row r="47014">
      <c r="L47014" s="13"/>
      <c r="M47014" s="14"/>
      <c r="N47014" s="14"/>
      <c r="O47014" s="14"/>
      <c r="P47014" s="13"/>
    </row>
    <row r="47015">
      <c r="L47015" s="13"/>
      <c r="M47015" s="14"/>
      <c r="N47015" s="14"/>
      <c r="O47015" s="14"/>
      <c r="P47015" s="13"/>
    </row>
    <row r="47016">
      <c r="L47016" s="13"/>
      <c r="M47016" s="14"/>
      <c r="N47016" s="14"/>
      <c r="O47016" s="14"/>
      <c r="P47016" s="13"/>
    </row>
    <row r="47017">
      <c r="L47017" s="13"/>
      <c r="M47017" s="14"/>
      <c r="N47017" s="14"/>
      <c r="O47017" s="14"/>
      <c r="P47017" s="13"/>
    </row>
    <row r="47018">
      <c r="L47018" s="13"/>
      <c r="M47018" s="14"/>
      <c r="N47018" s="14"/>
      <c r="O47018" s="14"/>
      <c r="P47018" s="13"/>
    </row>
    <row r="47019">
      <c r="L47019" s="13"/>
      <c r="M47019" s="14"/>
      <c r="N47019" s="14"/>
      <c r="O47019" s="14"/>
      <c r="P47019" s="13"/>
    </row>
    <row r="47020">
      <c r="L47020" s="13"/>
      <c r="M47020" s="14"/>
      <c r="N47020" s="14"/>
      <c r="O47020" s="14"/>
      <c r="P47020" s="13"/>
    </row>
    <row r="47021">
      <c r="L47021" s="13"/>
      <c r="M47021" s="14"/>
      <c r="N47021" s="14"/>
      <c r="O47021" s="14"/>
      <c r="P47021" s="13"/>
    </row>
    <row r="47022">
      <c r="L47022" s="13"/>
      <c r="M47022" s="14"/>
      <c r="N47022" s="14"/>
      <c r="O47022" s="14"/>
      <c r="P47022" s="13"/>
    </row>
    <row r="47023">
      <c r="L47023" s="13"/>
      <c r="M47023" s="14"/>
      <c r="N47023" s="14"/>
      <c r="O47023" s="14"/>
      <c r="P47023" s="13"/>
    </row>
    <row r="47024">
      <c r="L47024" s="13"/>
      <c r="M47024" s="14"/>
      <c r="N47024" s="14"/>
      <c r="O47024" s="14"/>
      <c r="P47024" s="13"/>
    </row>
    <row r="47025">
      <c r="L47025" s="13"/>
      <c r="M47025" s="14"/>
      <c r="N47025" s="14"/>
      <c r="O47025" s="14"/>
      <c r="P47025" s="13"/>
    </row>
    <row r="47026">
      <c r="L47026" s="13"/>
      <c r="M47026" s="14"/>
      <c r="N47026" s="14"/>
      <c r="O47026" s="14"/>
      <c r="P47026" s="13"/>
    </row>
    <row r="47027">
      <c r="L47027" s="13"/>
      <c r="M47027" s="14"/>
      <c r="N47027" s="14"/>
      <c r="O47027" s="14"/>
      <c r="P47027" s="13"/>
    </row>
    <row r="47028">
      <c r="L47028" s="13"/>
      <c r="M47028" s="14"/>
      <c r="N47028" s="14"/>
      <c r="O47028" s="14"/>
      <c r="P47028" s="13"/>
    </row>
    <row r="47029">
      <c r="L47029" s="13"/>
      <c r="M47029" s="14"/>
      <c r="N47029" s="14"/>
      <c r="O47029" s="14"/>
      <c r="P47029" s="13"/>
    </row>
    <row r="47030">
      <c r="L47030" s="13"/>
      <c r="M47030" s="14"/>
      <c r="N47030" s="14"/>
      <c r="O47030" s="14"/>
      <c r="P47030" s="13"/>
    </row>
    <row r="47031">
      <c r="L47031" s="13"/>
      <c r="M47031" s="14"/>
      <c r="N47031" s="14"/>
      <c r="O47031" s="14"/>
      <c r="P47031" s="13"/>
    </row>
    <row r="47032">
      <c r="L47032" s="13"/>
      <c r="M47032" s="14"/>
      <c r="N47032" s="14"/>
      <c r="O47032" s="14"/>
      <c r="P47032" s="13"/>
    </row>
    <row r="47033">
      <c r="L47033" s="13"/>
      <c r="M47033" s="14"/>
      <c r="N47033" s="14"/>
      <c r="O47033" s="14"/>
      <c r="P47033" s="13"/>
    </row>
    <row r="47034">
      <c r="L47034" s="13"/>
      <c r="M47034" s="14"/>
      <c r="N47034" s="14"/>
      <c r="O47034" s="14"/>
      <c r="P47034" s="13"/>
    </row>
    <row r="47035">
      <c r="L47035" s="13"/>
      <c r="M47035" s="14"/>
      <c r="N47035" s="14"/>
      <c r="O47035" s="14"/>
      <c r="P47035" s="13"/>
    </row>
    <row r="47036">
      <c r="L47036" s="13"/>
      <c r="M47036" s="14"/>
      <c r="N47036" s="14"/>
      <c r="O47036" s="14"/>
      <c r="P47036" s="13"/>
    </row>
    <row r="47037">
      <c r="L47037" s="13"/>
      <c r="M47037" s="14"/>
      <c r="N47037" s="14"/>
      <c r="O47037" s="14"/>
      <c r="P47037" s="13"/>
    </row>
    <row r="47038">
      <c r="L47038" s="13"/>
      <c r="M47038" s="14"/>
      <c r="N47038" s="14"/>
      <c r="O47038" s="14"/>
      <c r="P47038" s="13"/>
    </row>
    <row r="47039">
      <c r="L47039" s="13"/>
      <c r="M47039" s="14"/>
      <c r="N47039" s="14"/>
      <c r="O47039" s="14"/>
      <c r="P47039" s="13"/>
    </row>
    <row r="47040">
      <c r="L47040" s="13"/>
      <c r="M47040" s="14"/>
      <c r="N47040" s="14"/>
      <c r="O47040" s="14"/>
      <c r="P47040" s="13"/>
    </row>
    <row r="47041">
      <c r="L47041" s="13"/>
      <c r="M47041" s="14"/>
      <c r="N47041" s="14"/>
      <c r="O47041" s="14"/>
      <c r="P47041" s="13"/>
    </row>
    <row r="47042">
      <c r="L47042" s="13"/>
      <c r="M47042" s="14"/>
      <c r="N47042" s="14"/>
      <c r="O47042" s="14"/>
      <c r="P47042" s="13"/>
    </row>
    <row r="47043">
      <c r="L47043" s="13"/>
      <c r="M47043" s="14"/>
      <c r="N47043" s="14"/>
      <c r="O47043" s="14"/>
      <c r="P47043" s="13"/>
    </row>
    <row r="47044">
      <c r="L47044" s="13"/>
      <c r="M47044" s="14"/>
      <c r="N47044" s="14"/>
      <c r="O47044" s="14"/>
      <c r="P47044" s="13"/>
    </row>
    <row r="47045">
      <c r="L47045" s="13"/>
      <c r="M47045" s="14"/>
      <c r="N47045" s="14"/>
      <c r="O47045" s="14"/>
      <c r="P47045" s="13"/>
    </row>
    <row r="47046">
      <c r="L47046" s="13"/>
      <c r="M47046" s="14"/>
      <c r="N47046" s="14"/>
      <c r="O47046" s="14"/>
      <c r="P47046" s="13"/>
    </row>
    <row r="47047">
      <c r="L47047" s="13"/>
      <c r="M47047" s="14"/>
      <c r="N47047" s="14"/>
      <c r="O47047" s="14"/>
      <c r="P47047" s="13"/>
    </row>
    <row r="47048">
      <c r="L47048" s="13"/>
      <c r="M47048" s="14"/>
      <c r="N47048" s="14"/>
      <c r="O47048" s="14"/>
      <c r="P47048" s="13"/>
    </row>
    <row r="47049">
      <c r="L47049" s="13"/>
      <c r="M47049" s="14"/>
      <c r="N47049" s="14"/>
      <c r="O47049" s="14"/>
      <c r="P47049" s="13"/>
    </row>
    <row r="47050">
      <c r="L47050" s="13"/>
      <c r="M47050" s="14"/>
      <c r="N47050" s="14"/>
      <c r="O47050" s="14"/>
      <c r="P47050" s="13"/>
    </row>
    <row r="47051">
      <c r="L47051" s="13"/>
      <c r="M47051" s="14"/>
      <c r="N47051" s="14"/>
      <c r="O47051" s="14"/>
      <c r="P47051" s="13"/>
    </row>
    <row r="47052">
      <c r="L47052" s="13"/>
      <c r="M47052" s="14"/>
      <c r="N47052" s="14"/>
      <c r="O47052" s="14"/>
      <c r="P47052" s="13"/>
    </row>
    <row r="47053">
      <c r="L47053" s="13"/>
      <c r="M47053" s="14"/>
      <c r="N47053" s="14"/>
      <c r="O47053" s="14"/>
      <c r="P47053" s="13"/>
    </row>
    <row r="47054">
      <c r="L47054" s="13"/>
      <c r="M47054" s="14"/>
      <c r="N47054" s="14"/>
      <c r="O47054" s="14"/>
      <c r="P47054" s="13"/>
    </row>
    <row r="47055">
      <c r="L47055" s="13"/>
      <c r="M47055" s="14"/>
      <c r="N47055" s="14"/>
      <c r="O47055" s="14"/>
      <c r="P47055" s="13"/>
    </row>
    <row r="47056">
      <c r="L47056" s="13"/>
      <c r="M47056" s="14"/>
      <c r="N47056" s="14"/>
      <c r="O47056" s="14"/>
      <c r="P47056" s="13"/>
    </row>
    <row r="47057">
      <c r="L47057" s="13"/>
      <c r="M47057" s="14"/>
      <c r="N47057" s="14"/>
      <c r="O47057" s="14"/>
      <c r="P47057" s="13"/>
    </row>
    <row r="47058">
      <c r="L47058" s="13"/>
      <c r="M47058" s="14"/>
      <c r="N47058" s="14"/>
      <c r="O47058" s="14"/>
      <c r="P47058" s="13"/>
    </row>
    <row r="47059">
      <c r="L47059" s="13"/>
      <c r="M47059" s="14"/>
      <c r="N47059" s="14"/>
      <c r="O47059" s="14"/>
      <c r="P47059" s="13"/>
    </row>
    <row r="47060">
      <c r="L47060" s="13"/>
      <c r="M47060" s="14"/>
      <c r="N47060" s="14"/>
      <c r="O47060" s="14"/>
      <c r="P47060" s="13"/>
    </row>
    <row r="47061">
      <c r="L47061" s="13"/>
      <c r="M47061" s="14"/>
      <c r="N47061" s="14"/>
      <c r="O47061" s="14"/>
      <c r="P47061" s="13"/>
    </row>
    <row r="47062">
      <c r="L47062" s="13"/>
      <c r="M47062" s="14"/>
      <c r="N47062" s="14"/>
      <c r="O47062" s="14"/>
      <c r="P47062" s="13"/>
    </row>
    <row r="47063">
      <c r="L47063" s="13"/>
      <c r="M47063" s="14"/>
      <c r="N47063" s="14"/>
      <c r="O47063" s="14"/>
      <c r="P47063" s="13"/>
    </row>
    <row r="47064">
      <c r="L47064" s="13"/>
      <c r="M47064" s="14"/>
      <c r="N47064" s="14"/>
      <c r="O47064" s="14"/>
      <c r="P47064" s="13"/>
    </row>
    <row r="47065">
      <c r="L47065" s="13"/>
      <c r="M47065" s="14"/>
      <c r="N47065" s="14"/>
      <c r="O47065" s="14"/>
      <c r="P47065" s="13"/>
    </row>
    <row r="47066">
      <c r="L47066" s="13"/>
      <c r="M47066" s="14"/>
      <c r="N47066" s="14"/>
      <c r="O47066" s="14"/>
      <c r="P47066" s="13"/>
    </row>
    <row r="47067">
      <c r="L47067" s="13"/>
      <c r="M47067" s="14"/>
      <c r="N47067" s="14"/>
      <c r="O47067" s="14"/>
      <c r="P47067" s="13"/>
    </row>
    <row r="47068">
      <c r="L47068" s="13"/>
      <c r="M47068" s="14"/>
      <c r="N47068" s="14"/>
      <c r="O47068" s="14"/>
      <c r="P47068" s="13"/>
    </row>
    <row r="47069">
      <c r="L47069" s="13"/>
      <c r="M47069" s="14"/>
      <c r="N47069" s="14"/>
      <c r="O47069" s="14"/>
      <c r="P47069" s="13"/>
    </row>
    <row r="47070">
      <c r="L47070" s="13"/>
      <c r="M47070" s="14"/>
      <c r="N47070" s="14"/>
      <c r="O47070" s="14"/>
      <c r="P47070" s="13"/>
    </row>
    <row r="47071">
      <c r="L47071" s="13"/>
      <c r="M47071" s="14"/>
      <c r="N47071" s="14"/>
      <c r="O47071" s="14"/>
      <c r="P47071" s="13"/>
    </row>
    <row r="47072">
      <c r="L47072" s="13"/>
      <c r="M47072" s="14"/>
      <c r="N47072" s="14"/>
      <c r="O47072" s="14"/>
      <c r="P47072" s="13"/>
    </row>
    <row r="47073">
      <c r="L47073" s="13"/>
      <c r="M47073" s="14"/>
      <c r="N47073" s="14"/>
      <c r="O47073" s="14"/>
      <c r="P47073" s="13"/>
    </row>
    <row r="47074">
      <c r="L47074" s="13"/>
      <c r="M47074" s="14"/>
      <c r="N47074" s="14"/>
      <c r="O47074" s="14"/>
      <c r="P47074" s="13"/>
    </row>
    <row r="47075">
      <c r="L47075" s="13"/>
      <c r="M47075" s="14"/>
      <c r="N47075" s="14"/>
      <c r="O47075" s="14"/>
      <c r="P47075" s="13"/>
    </row>
    <row r="47076">
      <c r="L47076" s="13"/>
      <c r="M47076" s="14"/>
      <c r="N47076" s="14"/>
      <c r="O47076" s="14"/>
      <c r="P47076" s="13"/>
    </row>
    <row r="47077">
      <c r="L47077" s="13"/>
      <c r="M47077" s="14"/>
      <c r="N47077" s="14"/>
      <c r="O47077" s="14"/>
      <c r="P47077" s="13"/>
    </row>
    <row r="47078">
      <c r="L47078" s="13"/>
      <c r="M47078" s="14"/>
      <c r="N47078" s="14"/>
      <c r="O47078" s="14"/>
      <c r="P47078" s="13"/>
    </row>
    <row r="47079">
      <c r="L47079" s="13"/>
      <c r="M47079" s="14"/>
      <c r="N47079" s="14"/>
      <c r="O47079" s="14"/>
      <c r="P47079" s="13"/>
    </row>
    <row r="47080">
      <c r="L47080" s="13"/>
      <c r="M47080" s="14"/>
      <c r="N47080" s="14"/>
      <c r="O47080" s="14"/>
      <c r="P47080" s="13"/>
    </row>
    <row r="47081">
      <c r="L47081" s="13"/>
      <c r="M47081" s="14"/>
      <c r="N47081" s="14"/>
      <c r="O47081" s="14"/>
      <c r="P47081" s="13"/>
    </row>
    <row r="47082">
      <c r="L47082" s="13"/>
      <c r="M47082" s="14"/>
      <c r="N47082" s="14"/>
      <c r="O47082" s="14"/>
      <c r="P47082" s="13"/>
    </row>
    <row r="47083">
      <c r="L47083" s="13"/>
      <c r="M47083" s="14"/>
      <c r="N47083" s="14"/>
      <c r="O47083" s="14"/>
      <c r="P47083" s="13"/>
    </row>
    <row r="47084">
      <c r="L47084" s="13"/>
      <c r="M47084" s="14"/>
      <c r="N47084" s="14"/>
      <c r="O47084" s="14"/>
      <c r="P47084" s="13"/>
    </row>
    <row r="47085">
      <c r="L47085" s="13"/>
      <c r="M47085" s="14"/>
      <c r="N47085" s="14"/>
      <c r="O47085" s="14"/>
      <c r="P47085" s="13"/>
    </row>
    <row r="47086">
      <c r="L47086" s="13"/>
      <c r="M47086" s="14"/>
      <c r="N47086" s="14"/>
      <c r="O47086" s="14"/>
      <c r="P47086" s="13"/>
    </row>
    <row r="47087">
      <c r="L47087" s="13"/>
      <c r="M47087" s="14"/>
      <c r="N47087" s="14"/>
      <c r="O47087" s="14"/>
      <c r="P47087" s="13"/>
    </row>
    <row r="47088">
      <c r="L47088" s="13"/>
      <c r="M47088" s="14"/>
      <c r="N47088" s="14"/>
      <c r="O47088" s="14"/>
      <c r="P47088" s="13"/>
    </row>
    <row r="47089">
      <c r="L47089" s="13"/>
      <c r="M47089" s="14"/>
      <c r="N47089" s="14"/>
      <c r="O47089" s="14"/>
      <c r="P47089" s="13"/>
    </row>
    <row r="47090">
      <c r="L47090" s="13"/>
      <c r="M47090" s="14"/>
      <c r="N47090" s="14"/>
      <c r="O47090" s="14"/>
      <c r="P47090" s="13"/>
    </row>
    <row r="47091">
      <c r="L47091" s="13"/>
      <c r="M47091" s="14"/>
      <c r="N47091" s="14"/>
      <c r="O47091" s="14"/>
      <c r="P47091" s="13"/>
    </row>
    <row r="47092">
      <c r="L47092" s="13"/>
      <c r="M47092" s="14"/>
      <c r="N47092" s="14"/>
      <c r="O47092" s="14"/>
      <c r="P47092" s="13"/>
    </row>
    <row r="47093">
      <c r="L47093" s="13"/>
      <c r="M47093" s="14"/>
      <c r="N47093" s="14"/>
      <c r="O47093" s="14"/>
      <c r="P47093" s="13"/>
    </row>
    <row r="47094">
      <c r="L47094" s="13"/>
      <c r="M47094" s="14"/>
      <c r="N47094" s="14"/>
      <c r="O47094" s="14"/>
      <c r="P47094" s="13"/>
    </row>
    <row r="47095">
      <c r="L47095" s="13"/>
      <c r="M47095" s="14"/>
      <c r="N47095" s="14"/>
      <c r="O47095" s="14"/>
      <c r="P47095" s="13"/>
    </row>
    <row r="47096">
      <c r="L47096" s="13"/>
      <c r="M47096" s="14"/>
      <c r="N47096" s="14"/>
      <c r="O47096" s="14"/>
      <c r="P47096" s="13"/>
    </row>
    <row r="47097">
      <c r="L47097" s="13"/>
      <c r="M47097" s="14"/>
      <c r="N47097" s="14"/>
      <c r="O47097" s="14"/>
      <c r="P47097" s="13"/>
    </row>
    <row r="47098">
      <c r="L47098" s="13"/>
      <c r="M47098" s="14"/>
      <c r="N47098" s="14"/>
      <c r="O47098" s="14"/>
      <c r="P47098" s="13"/>
    </row>
    <row r="47099">
      <c r="L47099" s="13"/>
      <c r="M47099" s="14"/>
      <c r="N47099" s="14"/>
      <c r="O47099" s="14"/>
      <c r="P47099" s="13"/>
    </row>
    <row r="47100">
      <c r="L47100" s="13"/>
      <c r="M47100" s="14"/>
      <c r="N47100" s="14"/>
      <c r="O47100" s="14"/>
      <c r="P47100" s="13"/>
    </row>
    <row r="47101">
      <c r="L47101" s="13"/>
      <c r="M47101" s="14"/>
      <c r="N47101" s="14"/>
      <c r="O47101" s="14"/>
      <c r="P47101" s="13"/>
    </row>
    <row r="47102">
      <c r="L47102" s="13"/>
      <c r="M47102" s="14"/>
      <c r="N47102" s="14"/>
      <c r="O47102" s="14"/>
      <c r="P47102" s="13"/>
    </row>
    <row r="47103">
      <c r="L47103" s="13"/>
      <c r="M47103" s="14"/>
      <c r="N47103" s="14"/>
      <c r="O47103" s="14"/>
      <c r="P47103" s="13"/>
    </row>
    <row r="47104">
      <c r="L47104" s="13"/>
      <c r="M47104" s="14"/>
      <c r="N47104" s="14"/>
      <c r="O47104" s="14"/>
      <c r="P47104" s="13"/>
    </row>
    <row r="47105">
      <c r="L47105" s="13"/>
      <c r="M47105" s="14"/>
      <c r="N47105" s="14"/>
      <c r="O47105" s="14"/>
      <c r="P47105" s="13"/>
    </row>
    <row r="47106">
      <c r="L47106" s="13"/>
      <c r="M47106" s="14"/>
      <c r="N47106" s="14"/>
      <c r="O47106" s="14"/>
      <c r="P47106" s="13"/>
    </row>
    <row r="47107">
      <c r="L47107" s="13"/>
      <c r="M47107" s="14"/>
      <c r="N47107" s="14"/>
      <c r="O47107" s="14"/>
      <c r="P47107" s="13"/>
    </row>
    <row r="47108">
      <c r="L47108" s="13"/>
      <c r="M47108" s="14"/>
      <c r="N47108" s="14"/>
      <c r="O47108" s="14"/>
      <c r="P47108" s="13"/>
    </row>
    <row r="47109">
      <c r="L47109" s="13"/>
      <c r="M47109" s="14"/>
      <c r="N47109" s="14"/>
      <c r="O47109" s="14"/>
      <c r="P47109" s="13"/>
    </row>
    <row r="47110">
      <c r="L47110" s="13"/>
      <c r="M47110" s="14"/>
      <c r="N47110" s="14"/>
      <c r="O47110" s="14"/>
      <c r="P47110" s="13"/>
    </row>
    <row r="47111">
      <c r="L47111" s="13"/>
      <c r="M47111" s="14"/>
      <c r="N47111" s="14"/>
      <c r="O47111" s="14"/>
      <c r="P47111" s="13"/>
    </row>
    <row r="47112">
      <c r="L47112" s="13"/>
      <c r="M47112" s="14"/>
      <c r="N47112" s="14"/>
      <c r="O47112" s="14"/>
      <c r="P47112" s="13"/>
    </row>
    <row r="47113">
      <c r="L47113" s="13"/>
      <c r="M47113" s="14"/>
      <c r="N47113" s="14"/>
      <c r="O47113" s="14"/>
      <c r="P47113" s="13"/>
    </row>
    <row r="47114">
      <c r="L47114" s="13"/>
      <c r="M47114" s="14"/>
      <c r="N47114" s="14"/>
      <c r="O47114" s="14"/>
      <c r="P47114" s="13"/>
    </row>
    <row r="47115">
      <c r="L47115" s="13"/>
      <c r="M47115" s="14"/>
      <c r="N47115" s="14"/>
      <c r="O47115" s="14"/>
      <c r="P47115" s="13"/>
    </row>
    <row r="47116">
      <c r="L47116" s="13"/>
      <c r="M47116" s="14"/>
      <c r="N47116" s="14"/>
      <c r="O47116" s="14"/>
      <c r="P47116" s="13"/>
    </row>
    <row r="47117">
      <c r="L47117" s="13"/>
      <c r="M47117" s="14"/>
      <c r="N47117" s="14"/>
      <c r="O47117" s="14"/>
      <c r="P47117" s="13"/>
    </row>
    <row r="47118">
      <c r="L47118" s="13"/>
      <c r="M47118" s="14"/>
      <c r="N47118" s="14"/>
      <c r="O47118" s="14"/>
      <c r="P47118" s="13"/>
    </row>
    <row r="47119">
      <c r="L47119" s="13"/>
      <c r="M47119" s="14"/>
      <c r="N47119" s="14"/>
      <c r="O47119" s="14"/>
      <c r="P47119" s="13"/>
    </row>
    <row r="47120">
      <c r="L47120" s="13"/>
      <c r="M47120" s="14"/>
      <c r="N47120" s="14"/>
      <c r="O47120" s="14"/>
      <c r="P47120" s="13"/>
    </row>
    <row r="47121">
      <c r="L47121" s="13"/>
      <c r="M47121" s="14"/>
      <c r="N47121" s="14"/>
      <c r="O47121" s="14"/>
      <c r="P47121" s="13"/>
    </row>
    <row r="47122">
      <c r="L47122" s="13"/>
      <c r="M47122" s="14"/>
      <c r="N47122" s="14"/>
      <c r="O47122" s="14"/>
      <c r="P47122" s="13"/>
    </row>
    <row r="47123">
      <c r="L47123" s="13"/>
      <c r="M47123" s="14"/>
      <c r="N47123" s="14"/>
      <c r="O47123" s="14"/>
      <c r="P47123" s="13"/>
    </row>
    <row r="47124">
      <c r="L47124" s="13"/>
      <c r="M47124" s="14"/>
      <c r="N47124" s="14"/>
      <c r="O47124" s="14"/>
      <c r="P47124" s="13"/>
    </row>
    <row r="47125">
      <c r="L47125" s="13"/>
      <c r="M47125" s="14"/>
      <c r="N47125" s="14"/>
      <c r="O47125" s="14"/>
      <c r="P47125" s="13"/>
    </row>
    <row r="47126">
      <c r="L47126" s="13"/>
      <c r="M47126" s="14"/>
      <c r="N47126" s="14"/>
      <c r="O47126" s="14"/>
      <c r="P47126" s="13"/>
    </row>
    <row r="47127">
      <c r="L47127" s="13"/>
      <c r="M47127" s="14"/>
      <c r="N47127" s="14"/>
      <c r="O47127" s="14"/>
      <c r="P47127" s="13"/>
    </row>
    <row r="47128">
      <c r="L47128" s="13"/>
      <c r="M47128" s="14"/>
      <c r="N47128" s="14"/>
      <c r="O47128" s="14"/>
      <c r="P47128" s="13"/>
    </row>
    <row r="47129">
      <c r="L47129" s="13"/>
      <c r="M47129" s="14"/>
      <c r="N47129" s="14"/>
      <c r="O47129" s="14"/>
      <c r="P47129" s="13"/>
    </row>
    <row r="47130">
      <c r="L47130" s="13"/>
      <c r="M47130" s="14"/>
      <c r="N47130" s="14"/>
      <c r="O47130" s="14"/>
      <c r="P47130" s="13"/>
    </row>
    <row r="47131">
      <c r="L47131" s="13"/>
      <c r="M47131" s="14"/>
      <c r="N47131" s="14"/>
      <c r="O47131" s="14"/>
      <c r="P47131" s="13"/>
    </row>
    <row r="47132">
      <c r="L47132" s="13"/>
      <c r="M47132" s="14"/>
      <c r="N47132" s="14"/>
      <c r="O47132" s="14"/>
      <c r="P47132" s="13"/>
    </row>
    <row r="47133">
      <c r="L47133" s="13"/>
      <c r="M47133" s="14"/>
      <c r="N47133" s="14"/>
      <c r="O47133" s="14"/>
      <c r="P47133" s="13"/>
    </row>
    <row r="47134">
      <c r="L47134" s="13"/>
      <c r="M47134" s="14"/>
      <c r="N47134" s="14"/>
      <c r="O47134" s="14"/>
      <c r="P47134" s="13"/>
    </row>
    <row r="47135">
      <c r="L47135" s="13"/>
      <c r="M47135" s="14"/>
      <c r="N47135" s="14"/>
      <c r="O47135" s="14"/>
      <c r="P47135" s="13"/>
    </row>
    <row r="47136">
      <c r="L47136" s="13"/>
      <c r="M47136" s="14"/>
      <c r="N47136" s="14"/>
      <c r="O47136" s="14"/>
      <c r="P47136" s="13"/>
    </row>
    <row r="47137">
      <c r="L47137" s="13"/>
      <c r="M47137" s="14"/>
      <c r="N47137" s="14"/>
      <c r="O47137" s="14"/>
      <c r="P47137" s="13"/>
    </row>
    <row r="47138">
      <c r="L47138" s="13"/>
      <c r="M47138" s="14"/>
      <c r="N47138" s="14"/>
      <c r="O47138" s="14"/>
      <c r="P47138" s="13"/>
    </row>
    <row r="47139">
      <c r="L47139" s="13"/>
      <c r="M47139" s="14"/>
      <c r="N47139" s="14"/>
      <c r="O47139" s="14"/>
      <c r="P47139" s="13"/>
    </row>
    <row r="47140">
      <c r="L47140" s="13"/>
      <c r="M47140" s="14"/>
      <c r="N47140" s="14"/>
      <c r="O47140" s="14"/>
      <c r="P47140" s="13"/>
    </row>
    <row r="47141">
      <c r="L47141" s="13"/>
      <c r="M47141" s="14"/>
      <c r="N47141" s="14"/>
      <c r="O47141" s="14"/>
      <c r="P47141" s="13"/>
    </row>
    <row r="47142">
      <c r="L47142" s="13"/>
      <c r="M47142" s="14"/>
      <c r="N47142" s="14"/>
      <c r="O47142" s="14"/>
      <c r="P47142" s="13"/>
    </row>
    <row r="47143">
      <c r="L47143" s="13"/>
      <c r="M47143" s="14"/>
      <c r="N47143" s="14"/>
      <c r="O47143" s="14"/>
      <c r="P47143" s="13"/>
    </row>
    <row r="47144">
      <c r="L47144" s="13"/>
      <c r="M47144" s="14"/>
      <c r="N47144" s="14"/>
      <c r="O47144" s="14"/>
      <c r="P47144" s="13"/>
    </row>
    <row r="47145">
      <c r="L47145" s="13"/>
      <c r="M47145" s="14"/>
      <c r="N47145" s="14"/>
      <c r="O47145" s="14"/>
      <c r="P47145" s="13"/>
    </row>
    <row r="47146">
      <c r="L47146" s="13"/>
      <c r="M47146" s="14"/>
      <c r="N47146" s="14"/>
      <c r="O47146" s="14"/>
      <c r="P47146" s="13"/>
    </row>
    <row r="47147">
      <c r="L47147" s="13"/>
      <c r="M47147" s="14"/>
      <c r="N47147" s="14"/>
      <c r="O47147" s="14"/>
      <c r="P47147" s="13"/>
    </row>
    <row r="47148">
      <c r="L47148" s="13"/>
      <c r="M47148" s="14"/>
      <c r="N47148" s="14"/>
      <c r="O47148" s="14"/>
      <c r="P47148" s="13"/>
    </row>
    <row r="47149">
      <c r="L47149" s="13"/>
      <c r="M47149" s="14"/>
      <c r="N47149" s="14"/>
      <c r="O47149" s="14"/>
      <c r="P47149" s="13"/>
    </row>
    <row r="47150">
      <c r="L47150" s="13"/>
      <c r="M47150" s="14"/>
      <c r="N47150" s="14"/>
      <c r="O47150" s="14"/>
      <c r="P47150" s="13"/>
    </row>
    <row r="47151">
      <c r="L47151" s="13"/>
      <c r="M47151" s="14"/>
      <c r="N47151" s="14"/>
      <c r="O47151" s="14"/>
      <c r="P47151" s="13"/>
    </row>
    <row r="47152">
      <c r="L47152" s="13"/>
      <c r="M47152" s="14"/>
      <c r="N47152" s="14"/>
      <c r="O47152" s="14"/>
      <c r="P47152" s="13"/>
    </row>
    <row r="47153">
      <c r="L47153" s="13"/>
      <c r="M47153" s="14"/>
      <c r="N47153" s="14"/>
      <c r="O47153" s="14"/>
      <c r="P47153" s="13"/>
    </row>
    <row r="47154">
      <c r="L47154" s="13"/>
      <c r="M47154" s="14"/>
      <c r="N47154" s="14"/>
      <c r="O47154" s="14"/>
      <c r="P47154" s="13"/>
    </row>
    <row r="47155">
      <c r="L47155" s="13"/>
      <c r="M47155" s="14"/>
      <c r="N47155" s="14"/>
      <c r="O47155" s="14"/>
      <c r="P47155" s="13"/>
    </row>
    <row r="47156">
      <c r="L47156" s="13"/>
      <c r="M47156" s="14"/>
      <c r="N47156" s="14"/>
      <c r="O47156" s="14"/>
      <c r="P47156" s="13"/>
    </row>
    <row r="47157">
      <c r="L47157" s="13"/>
      <c r="M47157" s="14"/>
      <c r="N47157" s="14"/>
      <c r="O47157" s="14"/>
      <c r="P47157" s="13"/>
    </row>
    <row r="47158">
      <c r="L47158" s="13"/>
      <c r="M47158" s="14"/>
      <c r="N47158" s="14"/>
      <c r="O47158" s="14"/>
      <c r="P47158" s="13"/>
    </row>
    <row r="47159">
      <c r="L47159" s="13"/>
      <c r="M47159" s="14"/>
      <c r="N47159" s="14"/>
      <c r="O47159" s="14"/>
      <c r="P47159" s="13"/>
    </row>
    <row r="47160">
      <c r="L47160" s="13"/>
      <c r="M47160" s="14"/>
      <c r="N47160" s="14"/>
      <c r="O47160" s="14"/>
      <c r="P47160" s="13"/>
    </row>
    <row r="47161">
      <c r="L47161" s="13"/>
      <c r="M47161" s="14"/>
      <c r="N47161" s="14"/>
      <c r="O47161" s="14"/>
      <c r="P47161" s="13"/>
    </row>
    <row r="47162">
      <c r="L47162" s="13"/>
      <c r="M47162" s="14"/>
      <c r="N47162" s="14"/>
      <c r="O47162" s="14"/>
      <c r="P47162" s="13"/>
    </row>
    <row r="47163">
      <c r="L47163" s="13"/>
      <c r="M47163" s="14"/>
      <c r="N47163" s="14"/>
      <c r="O47163" s="14"/>
      <c r="P47163" s="13"/>
    </row>
    <row r="47164">
      <c r="L47164" s="13"/>
      <c r="M47164" s="14"/>
      <c r="N47164" s="14"/>
      <c r="O47164" s="14"/>
      <c r="P47164" s="13"/>
    </row>
    <row r="47165">
      <c r="L47165" s="13"/>
      <c r="M47165" s="14"/>
      <c r="N47165" s="14"/>
      <c r="O47165" s="14"/>
      <c r="P47165" s="13"/>
    </row>
    <row r="47166">
      <c r="L47166" s="13"/>
      <c r="M47166" s="14"/>
      <c r="N47166" s="14"/>
      <c r="O47166" s="14"/>
      <c r="P47166" s="13"/>
    </row>
    <row r="47167">
      <c r="L47167" s="13"/>
      <c r="M47167" s="14"/>
      <c r="N47167" s="14"/>
      <c r="O47167" s="14"/>
      <c r="P47167" s="13"/>
    </row>
    <row r="47168">
      <c r="L47168" s="13"/>
      <c r="M47168" s="14"/>
      <c r="N47168" s="14"/>
      <c r="O47168" s="14"/>
      <c r="P47168" s="13"/>
    </row>
    <row r="47169">
      <c r="L47169" s="13"/>
      <c r="M47169" s="14"/>
      <c r="N47169" s="14"/>
      <c r="O47169" s="14"/>
      <c r="P47169" s="13"/>
    </row>
    <row r="47170">
      <c r="L47170" s="13"/>
      <c r="M47170" s="14"/>
      <c r="N47170" s="14"/>
      <c r="O47170" s="14"/>
      <c r="P47170" s="13"/>
    </row>
    <row r="47171">
      <c r="L47171" s="13"/>
      <c r="M47171" s="14"/>
      <c r="N47171" s="14"/>
      <c r="O47171" s="14"/>
      <c r="P47171" s="13"/>
    </row>
    <row r="47172">
      <c r="L47172" s="13"/>
      <c r="M47172" s="14"/>
      <c r="N47172" s="14"/>
      <c r="O47172" s="14"/>
      <c r="P47172" s="13"/>
    </row>
    <row r="47173">
      <c r="L47173" s="13"/>
      <c r="M47173" s="14"/>
      <c r="N47173" s="14"/>
      <c r="O47173" s="14"/>
      <c r="P47173" s="13"/>
    </row>
    <row r="47174">
      <c r="L47174" s="13"/>
      <c r="M47174" s="14"/>
      <c r="N47174" s="14"/>
      <c r="O47174" s="14"/>
      <c r="P47174" s="13"/>
    </row>
    <row r="47175">
      <c r="L47175" s="13"/>
      <c r="M47175" s="14"/>
      <c r="N47175" s="14"/>
      <c r="O47175" s="14"/>
      <c r="P47175" s="13"/>
    </row>
    <row r="47176">
      <c r="L47176" s="13"/>
      <c r="M47176" s="14"/>
      <c r="N47176" s="14"/>
      <c r="O47176" s="14"/>
      <c r="P47176" s="13"/>
    </row>
    <row r="47177">
      <c r="L47177" s="13"/>
      <c r="M47177" s="14"/>
      <c r="N47177" s="14"/>
      <c r="O47177" s="14"/>
      <c r="P47177" s="13"/>
    </row>
    <row r="47178">
      <c r="L47178" s="13"/>
      <c r="M47178" s="14"/>
      <c r="N47178" s="14"/>
      <c r="O47178" s="14"/>
      <c r="P47178" s="13"/>
    </row>
    <row r="47179">
      <c r="L47179" s="13"/>
      <c r="M47179" s="14"/>
      <c r="N47179" s="14"/>
      <c r="O47179" s="14"/>
      <c r="P47179" s="13"/>
    </row>
    <row r="47180">
      <c r="L47180" s="13"/>
      <c r="M47180" s="14"/>
      <c r="N47180" s="14"/>
      <c r="O47180" s="14"/>
      <c r="P47180" s="13"/>
    </row>
    <row r="47181">
      <c r="L47181" s="13"/>
      <c r="M47181" s="14"/>
      <c r="N47181" s="14"/>
      <c r="O47181" s="14"/>
      <c r="P47181" s="13"/>
    </row>
    <row r="47182">
      <c r="L47182" s="13"/>
      <c r="M47182" s="14"/>
      <c r="N47182" s="14"/>
      <c r="O47182" s="14"/>
      <c r="P47182" s="13"/>
    </row>
    <row r="47183">
      <c r="L47183" s="13"/>
      <c r="M47183" s="14"/>
      <c r="N47183" s="14"/>
      <c r="O47183" s="14"/>
      <c r="P47183" s="13"/>
    </row>
    <row r="47184">
      <c r="L47184" s="13"/>
      <c r="M47184" s="14"/>
      <c r="N47184" s="14"/>
      <c r="O47184" s="14"/>
      <c r="P47184" s="13"/>
    </row>
    <row r="47185">
      <c r="L47185" s="13"/>
      <c r="M47185" s="14"/>
      <c r="N47185" s="14"/>
      <c r="O47185" s="14"/>
      <c r="P47185" s="13"/>
    </row>
    <row r="47186">
      <c r="L47186" s="13"/>
      <c r="M47186" s="14"/>
      <c r="N47186" s="14"/>
      <c r="O47186" s="14"/>
      <c r="P47186" s="13"/>
    </row>
    <row r="47187">
      <c r="L47187" s="13"/>
      <c r="M47187" s="14"/>
      <c r="N47187" s="14"/>
      <c r="O47187" s="14"/>
      <c r="P47187" s="13"/>
    </row>
    <row r="47188">
      <c r="L47188" s="13"/>
      <c r="M47188" s="14"/>
      <c r="N47188" s="14"/>
      <c r="O47188" s="14"/>
      <c r="P47188" s="13"/>
    </row>
    <row r="47189">
      <c r="L47189" s="13"/>
      <c r="M47189" s="14"/>
      <c r="N47189" s="14"/>
      <c r="O47189" s="14"/>
      <c r="P47189" s="13"/>
    </row>
    <row r="47190">
      <c r="L47190" s="13"/>
      <c r="M47190" s="14"/>
      <c r="N47190" s="14"/>
      <c r="O47190" s="14"/>
      <c r="P47190" s="13"/>
    </row>
    <row r="47191">
      <c r="L47191" s="13"/>
      <c r="M47191" s="14"/>
      <c r="N47191" s="14"/>
      <c r="O47191" s="14"/>
      <c r="P47191" s="13"/>
    </row>
    <row r="47192">
      <c r="L47192" s="13"/>
      <c r="M47192" s="14"/>
      <c r="N47192" s="14"/>
      <c r="O47192" s="14"/>
      <c r="P47192" s="13"/>
    </row>
    <row r="47193">
      <c r="L47193" s="13"/>
      <c r="M47193" s="14"/>
      <c r="N47193" s="14"/>
      <c r="O47193" s="14"/>
      <c r="P47193" s="13"/>
    </row>
    <row r="47194">
      <c r="L47194" s="13"/>
      <c r="M47194" s="14"/>
      <c r="N47194" s="14"/>
      <c r="O47194" s="14"/>
      <c r="P47194" s="13"/>
    </row>
    <row r="47195">
      <c r="L47195" s="13"/>
      <c r="M47195" s="14"/>
      <c r="N47195" s="14"/>
      <c r="O47195" s="14"/>
      <c r="P47195" s="13"/>
    </row>
    <row r="47196">
      <c r="L47196" s="13"/>
      <c r="M47196" s="14"/>
      <c r="N47196" s="14"/>
      <c r="O47196" s="14"/>
      <c r="P47196" s="13"/>
    </row>
    <row r="47197">
      <c r="L47197" s="13"/>
      <c r="M47197" s="14"/>
      <c r="N47197" s="14"/>
      <c r="O47197" s="14"/>
      <c r="P47197" s="13"/>
    </row>
    <row r="47198">
      <c r="L47198" s="13"/>
      <c r="M47198" s="14"/>
      <c r="N47198" s="14"/>
      <c r="O47198" s="14"/>
      <c r="P47198" s="13"/>
    </row>
    <row r="47199">
      <c r="L47199" s="13"/>
      <c r="M47199" s="14"/>
      <c r="N47199" s="14"/>
      <c r="O47199" s="14"/>
      <c r="P47199" s="13"/>
    </row>
    <row r="47200">
      <c r="L47200" s="13"/>
      <c r="M47200" s="14"/>
      <c r="N47200" s="14"/>
      <c r="O47200" s="14"/>
      <c r="P47200" s="13"/>
    </row>
    <row r="47201">
      <c r="L47201" s="13"/>
      <c r="M47201" s="14"/>
      <c r="N47201" s="14"/>
      <c r="O47201" s="14"/>
      <c r="P47201" s="13"/>
    </row>
    <row r="47202">
      <c r="L47202" s="13"/>
      <c r="M47202" s="14"/>
      <c r="N47202" s="14"/>
      <c r="O47202" s="14"/>
      <c r="P47202" s="13"/>
    </row>
    <row r="47203">
      <c r="L47203" s="13"/>
      <c r="M47203" s="14"/>
      <c r="N47203" s="14"/>
      <c r="O47203" s="14"/>
      <c r="P47203" s="13"/>
    </row>
    <row r="47204">
      <c r="L47204" s="13"/>
      <c r="M47204" s="14"/>
      <c r="N47204" s="14"/>
      <c r="O47204" s="14"/>
      <c r="P47204" s="13"/>
    </row>
    <row r="47205">
      <c r="L47205" s="13"/>
      <c r="M47205" s="14"/>
      <c r="N47205" s="14"/>
      <c r="O47205" s="14"/>
      <c r="P47205" s="13"/>
    </row>
    <row r="47206">
      <c r="L47206" s="13"/>
      <c r="M47206" s="14"/>
      <c r="N47206" s="14"/>
      <c r="O47206" s="14"/>
      <c r="P47206" s="13"/>
    </row>
    <row r="47207">
      <c r="L47207" s="13"/>
      <c r="M47207" s="14"/>
      <c r="N47207" s="14"/>
      <c r="O47207" s="14"/>
      <c r="P47207" s="13"/>
    </row>
    <row r="47208">
      <c r="L47208" s="13"/>
      <c r="M47208" s="14"/>
      <c r="N47208" s="14"/>
      <c r="O47208" s="14"/>
      <c r="P47208" s="13"/>
    </row>
    <row r="47209">
      <c r="L47209" s="13"/>
      <c r="M47209" s="14"/>
      <c r="N47209" s="14"/>
      <c r="O47209" s="14"/>
      <c r="P47209" s="13"/>
    </row>
    <row r="47210">
      <c r="L47210" s="13"/>
      <c r="M47210" s="14"/>
      <c r="N47210" s="14"/>
      <c r="O47210" s="14"/>
      <c r="P47210" s="13"/>
    </row>
    <row r="47211">
      <c r="L47211" s="13"/>
      <c r="M47211" s="14"/>
      <c r="N47211" s="14"/>
      <c r="O47211" s="14"/>
      <c r="P47211" s="13"/>
    </row>
    <row r="47212">
      <c r="L47212" s="13"/>
      <c r="M47212" s="14"/>
      <c r="N47212" s="14"/>
      <c r="O47212" s="14"/>
      <c r="P47212" s="13"/>
    </row>
    <row r="47213">
      <c r="L47213" s="13"/>
      <c r="M47213" s="14"/>
      <c r="N47213" s="14"/>
      <c r="O47213" s="14"/>
      <c r="P47213" s="13"/>
    </row>
    <row r="47214">
      <c r="L47214" s="13"/>
      <c r="M47214" s="14"/>
      <c r="N47214" s="14"/>
      <c r="O47214" s="14"/>
      <c r="P47214" s="13"/>
    </row>
    <row r="47215">
      <c r="L47215" s="13"/>
      <c r="M47215" s="14"/>
      <c r="N47215" s="14"/>
      <c r="O47215" s="14"/>
      <c r="P47215" s="13"/>
    </row>
    <row r="47216">
      <c r="L47216" s="13"/>
      <c r="M47216" s="14"/>
      <c r="N47216" s="14"/>
      <c r="O47216" s="14"/>
      <c r="P47216" s="13"/>
    </row>
    <row r="47217">
      <c r="L47217" s="13"/>
      <c r="M47217" s="14"/>
      <c r="N47217" s="14"/>
      <c r="O47217" s="14"/>
      <c r="P47217" s="13"/>
    </row>
    <row r="47218">
      <c r="L47218" s="13"/>
      <c r="M47218" s="14"/>
      <c r="N47218" s="14"/>
      <c r="O47218" s="14"/>
      <c r="P47218" s="13"/>
    </row>
    <row r="47219">
      <c r="L47219" s="13"/>
      <c r="M47219" s="14"/>
      <c r="N47219" s="14"/>
      <c r="O47219" s="14"/>
      <c r="P47219" s="13"/>
    </row>
    <row r="47220">
      <c r="L47220" s="13"/>
      <c r="M47220" s="14"/>
      <c r="N47220" s="14"/>
      <c r="O47220" s="14"/>
      <c r="P47220" s="13"/>
    </row>
    <row r="47221">
      <c r="L47221" s="13"/>
      <c r="M47221" s="14"/>
      <c r="N47221" s="14"/>
      <c r="O47221" s="14"/>
      <c r="P47221" s="13"/>
    </row>
    <row r="47222">
      <c r="L47222" s="13"/>
      <c r="M47222" s="14"/>
      <c r="N47222" s="14"/>
      <c r="O47222" s="14"/>
      <c r="P47222" s="13"/>
    </row>
    <row r="47223">
      <c r="L47223" s="13"/>
      <c r="M47223" s="14"/>
      <c r="N47223" s="14"/>
      <c r="O47223" s="14"/>
      <c r="P47223" s="13"/>
    </row>
    <row r="47224">
      <c r="L47224" s="13"/>
      <c r="M47224" s="14"/>
      <c r="N47224" s="14"/>
      <c r="O47224" s="14"/>
      <c r="P47224" s="13"/>
    </row>
    <row r="47225">
      <c r="L47225" s="13"/>
      <c r="M47225" s="14"/>
      <c r="N47225" s="14"/>
      <c r="O47225" s="14"/>
      <c r="P47225" s="13"/>
    </row>
    <row r="47226">
      <c r="L47226" s="13"/>
      <c r="M47226" s="14"/>
      <c r="N47226" s="14"/>
      <c r="O47226" s="14"/>
      <c r="P47226" s="13"/>
    </row>
    <row r="47227">
      <c r="L47227" s="13"/>
      <c r="M47227" s="14"/>
      <c r="N47227" s="14"/>
      <c r="O47227" s="14"/>
      <c r="P47227" s="13"/>
    </row>
    <row r="47228">
      <c r="L47228" s="13"/>
      <c r="M47228" s="14"/>
      <c r="N47228" s="14"/>
      <c r="O47228" s="14"/>
      <c r="P47228" s="13"/>
    </row>
    <row r="47229">
      <c r="L47229" s="13"/>
      <c r="M47229" s="14"/>
      <c r="N47229" s="14"/>
      <c r="O47229" s="14"/>
      <c r="P47229" s="13"/>
    </row>
    <row r="47230">
      <c r="L47230" s="13"/>
      <c r="M47230" s="14"/>
      <c r="N47230" s="14"/>
      <c r="O47230" s="14"/>
      <c r="P47230" s="13"/>
    </row>
    <row r="47231">
      <c r="L47231" s="13"/>
      <c r="M47231" s="14"/>
      <c r="N47231" s="14"/>
      <c r="O47231" s="14"/>
      <c r="P47231" s="13"/>
    </row>
    <row r="47232">
      <c r="L47232" s="13"/>
      <c r="M47232" s="14"/>
      <c r="N47232" s="14"/>
      <c r="O47232" s="14"/>
      <c r="P47232" s="13"/>
    </row>
    <row r="47233">
      <c r="L47233" s="13"/>
      <c r="M47233" s="14"/>
      <c r="N47233" s="14"/>
      <c r="O47233" s="14"/>
      <c r="P47233" s="13"/>
    </row>
    <row r="47234">
      <c r="L47234" s="13"/>
      <c r="M47234" s="14"/>
      <c r="N47234" s="14"/>
      <c r="O47234" s="14"/>
      <c r="P47234" s="13"/>
    </row>
    <row r="47235">
      <c r="L47235" s="13"/>
      <c r="M47235" s="14"/>
      <c r="N47235" s="14"/>
      <c r="O47235" s="14"/>
      <c r="P47235" s="13"/>
    </row>
    <row r="47236">
      <c r="L47236" s="13"/>
      <c r="M47236" s="14"/>
      <c r="N47236" s="14"/>
      <c r="O47236" s="14"/>
      <c r="P47236" s="13"/>
    </row>
    <row r="47237">
      <c r="L47237" s="13"/>
      <c r="M47237" s="14"/>
      <c r="N47237" s="14"/>
      <c r="O47237" s="14"/>
      <c r="P47237" s="13"/>
    </row>
    <row r="47238">
      <c r="L47238" s="13"/>
      <c r="M47238" s="14"/>
      <c r="N47238" s="14"/>
      <c r="O47238" s="14"/>
      <c r="P47238" s="13"/>
    </row>
    <row r="47239">
      <c r="L47239" s="13"/>
      <c r="M47239" s="14"/>
      <c r="N47239" s="14"/>
      <c r="O47239" s="14"/>
      <c r="P47239" s="13"/>
    </row>
    <row r="47240">
      <c r="L47240" s="13"/>
      <c r="M47240" s="14"/>
      <c r="N47240" s="14"/>
      <c r="O47240" s="14"/>
      <c r="P47240" s="13"/>
    </row>
    <row r="47241">
      <c r="L47241" s="13"/>
      <c r="M47241" s="14"/>
      <c r="N47241" s="14"/>
      <c r="O47241" s="14"/>
      <c r="P47241" s="13"/>
    </row>
    <row r="47242">
      <c r="L47242" s="13"/>
      <c r="M47242" s="14"/>
      <c r="N47242" s="14"/>
      <c r="O47242" s="14"/>
      <c r="P47242" s="13"/>
    </row>
    <row r="47243">
      <c r="L47243" s="13"/>
      <c r="M47243" s="14"/>
      <c r="N47243" s="14"/>
      <c r="O47243" s="14"/>
      <c r="P47243" s="13"/>
    </row>
    <row r="47244">
      <c r="L47244" s="13"/>
      <c r="M47244" s="14"/>
      <c r="N47244" s="14"/>
      <c r="O47244" s="14"/>
      <c r="P47244" s="13"/>
    </row>
    <row r="47245">
      <c r="L47245" s="13"/>
      <c r="M47245" s="14"/>
      <c r="N47245" s="14"/>
      <c r="O47245" s="14"/>
      <c r="P47245" s="13"/>
    </row>
    <row r="47246">
      <c r="L47246" s="13"/>
      <c r="M47246" s="14"/>
      <c r="N47246" s="14"/>
      <c r="O47246" s="14"/>
      <c r="P47246" s="13"/>
    </row>
    <row r="47247">
      <c r="L47247" s="13"/>
      <c r="M47247" s="14"/>
      <c r="N47247" s="14"/>
      <c r="O47247" s="14"/>
      <c r="P47247" s="13"/>
    </row>
    <row r="47248">
      <c r="L47248" s="13"/>
      <c r="M47248" s="14"/>
      <c r="N47248" s="14"/>
      <c r="O47248" s="14"/>
      <c r="P47248" s="13"/>
    </row>
    <row r="47249">
      <c r="L47249" s="13"/>
      <c r="M47249" s="14"/>
      <c r="N47249" s="14"/>
      <c r="O47249" s="14"/>
      <c r="P47249" s="13"/>
    </row>
    <row r="47250">
      <c r="L47250" s="13"/>
      <c r="M47250" s="14"/>
      <c r="N47250" s="14"/>
      <c r="O47250" s="14"/>
      <c r="P47250" s="13"/>
    </row>
    <row r="47251">
      <c r="L47251" s="13"/>
      <c r="M47251" s="14"/>
      <c r="N47251" s="14"/>
      <c r="O47251" s="14"/>
      <c r="P47251" s="13"/>
    </row>
    <row r="47252">
      <c r="L47252" s="13"/>
      <c r="M47252" s="14"/>
      <c r="N47252" s="14"/>
      <c r="O47252" s="14"/>
      <c r="P47252" s="13"/>
    </row>
    <row r="47253">
      <c r="L47253" s="13"/>
      <c r="M47253" s="14"/>
      <c r="N47253" s="14"/>
      <c r="O47253" s="14"/>
      <c r="P47253" s="13"/>
    </row>
    <row r="47254">
      <c r="L47254" s="13"/>
      <c r="M47254" s="14"/>
      <c r="N47254" s="14"/>
      <c r="O47254" s="14"/>
      <c r="P47254" s="13"/>
    </row>
    <row r="47255">
      <c r="L47255" s="13"/>
      <c r="M47255" s="14"/>
      <c r="N47255" s="14"/>
      <c r="O47255" s="14"/>
      <c r="P47255" s="13"/>
    </row>
    <row r="47256">
      <c r="L47256" s="13"/>
      <c r="M47256" s="14"/>
      <c r="N47256" s="14"/>
      <c r="O47256" s="14"/>
      <c r="P47256" s="13"/>
    </row>
    <row r="47257">
      <c r="L47257" s="13"/>
      <c r="M47257" s="14"/>
      <c r="N47257" s="14"/>
      <c r="O47257" s="14"/>
      <c r="P47257" s="13"/>
    </row>
    <row r="47258">
      <c r="L47258" s="13"/>
      <c r="M47258" s="14"/>
      <c r="N47258" s="14"/>
      <c r="O47258" s="14"/>
      <c r="P47258" s="13"/>
    </row>
    <row r="47259">
      <c r="L47259" s="13"/>
      <c r="M47259" s="14"/>
      <c r="N47259" s="14"/>
      <c r="O47259" s="14"/>
      <c r="P47259" s="13"/>
    </row>
    <row r="47260">
      <c r="L47260" s="13"/>
      <c r="M47260" s="14"/>
      <c r="N47260" s="14"/>
      <c r="O47260" s="14"/>
      <c r="P47260" s="13"/>
    </row>
    <row r="47261">
      <c r="L47261" s="13"/>
      <c r="M47261" s="14"/>
      <c r="N47261" s="14"/>
      <c r="O47261" s="14"/>
      <c r="P47261" s="13"/>
    </row>
    <row r="47262">
      <c r="L47262" s="13"/>
      <c r="M47262" s="14"/>
      <c r="N47262" s="14"/>
      <c r="O47262" s="14"/>
      <c r="P47262" s="13"/>
    </row>
    <row r="47263">
      <c r="L47263" s="13"/>
      <c r="M47263" s="14"/>
      <c r="N47263" s="14"/>
      <c r="O47263" s="14"/>
      <c r="P47263" s="13"/>
    </row>
    <row r="47264">
      <c r="L47264" s="13"/>
      <c r="M47264" s="14"/>
      <c r="N47264" s="14"/>
      <c r="O47264" s="14"/>
      <c r="P47264" s="13"/>
    </row>
    <row r="47265">
      <c r="L47265" s="13"/>
      <c r="M47265" s="14"/>
      <c r="N47265" s="14"/>
      <c r="O47265" s="14"/>
      <c r="P47265" s="13"/>
    </row>
    <row r="47266">
      <c r="L47266" s="13"/>
      <c r="M47266" s="14"/>
      <c r="N47266" s="14"/>
      <c r="O47266" s="14"/>
      <c r="P47266" s="13"/>
    </row>
    <row r="47267">
      <c r="L47267" s="13"/>
      <c r="M47267" s="14"/>
      <c r="N47267" s="14"/>
      <c r="O47267" s="14"/>
      <c r="P47267" s="13"/>
    </row>
    <row r="47268">
      <c r="L47268" s="13"/>
      <c r="M47268" s="14"/>
      <c r="N47268" s="14"/>
      <c r="O47268" s="14"/>
      <c r="P47268" s="13"/>
    </row>
    <row r="47269">
      <c r="L47269" s="13"/>
      <c r="M47269" s="14"/>
      <c r="N47269" s="14"/>
      <c r="O47269" s="14"/>
      <c r="P47269" s="13"/>
    </row>
    <row r="47270">
      <c r="L47270" s="13"/>
      <c r="M47270" s="14"/>
      <c r="N47270" s="14"/>
      <c r="O47270" s="14"/>
      <c r="P47270" s="13"/>
    </row>
    <row r="47271">
      <c r="L47271" s="13"/>
      <c r="M47271" s="14"/>
      <c r="N47271" s="14"/>
      <c r="O47271" s="14"/>
      <c r="P47271" s="13"/>
    </row>
    <row r="47272">
      <c r="L47272" s="13"/>
      <c r="M47272" s="14"/>
      <c r="N47272" s="14"/>
      <c r="O47272" s="14"/>
      <c r="P47272" s="13"/>
    </row>
    <row r="47273">
      <c r="L47273" s="13"/>
      <c r="M47273" s="14"/>
      <c r="N47273" s="14"/>
      <c r="O47273" s="14"/>
      <c r="P47273" s="13"/>
    </row>
    <row r="47274">
      <c r="L47274" s="13"/>
      <c r="M47274" s="14"/>
      <c r="N47274" s="14"/>
      <c r="O47274" s="14"/>
      <c r="P47274" s="13"/>
    </row>
    <row r="47275">
      <c r="L47275" s="13"/>
      <c r="M47275" s="14"/>
      <c r="N47275" s="14"/>
      <c r="O47275" s="14"/>
      <c r="P47275" s="13"/>
    </row>
    <row r="47276">
      <c r="L47276" s="13"/>
      <c r="M47276" s="14"/>
      <c r="N47276" s="14"/>
      <c r="O47276" s="14"/>
      <c r="P47276" s="13"/>
    </row>
    <row r="47277">
      <c r="L47277" s="13"/>
      <c r="M47277" s="14"/>
      <c r="N47277" s="14"/>
      <c r="O47277" s="14"/>
      <c r="P47277" s="13"/>
    </row>
    <row r="47278">
      <c r="L47278" s="13"/>
      <c r="M47278" s="14"/>
      <c r="N47278" s="14"/>
      <c r="O47278" s="14"/>
      <c r="P47278" s="13"/>
    </row>
    <row r="47279">
      <c r="L47279" s="13"/>
      <c r="M47279" s="14"/>
      <c r="N47279" s="14"/>
      <c r="O47279" s="14"/>
      <c r="P47279" s="13"/>
    </row>
    <row r="47280">
      <c r="L47280" s="13"/>
      <c r="M47280" s="14"/>
      <c r="N47280" s="14"/>
      <c r="O47280" s="14"/>
      <c r="P47280" s="13"/>
    </row>
    <row r="47281">
      <c r="L47281" s="13"/>
      <c r="M47281" s="14"/>
      <c r="N47281" s="14"/>
      <c r="O47281" s="14"/>
      <c r="P47281" s="13"/>
    </row>
    <row r="47282">
      <c r="L47282" s="13"/>
      <c r="M47282" s="14"/>
      <c r="N47282" s="14"/>
      <c r="O47282" s="14"/>
      <c r="P47282" s="13"/>
    </row>
    <row r="47283">
      <c r="L47283" s="13"/>
      <c r="M47283" s="14"/>
      <c r="N47283" s="14"/>
      <c r="O47283" s="14"/>
      <c r="P47283" s="13"/>
    </row>
    <row r="47284">
      <c r="L47284" s="13"/>
      <c r="M47284" s="14"/>
      <c r="N47284" s="14"/>
      <c r="O47284" s="14"/>
      <c r="P47284" s="13"/>
    </row>
    <row r="47285">
      <c r="L47285" s="13"/>
      <c r="M47285" s="14"/>
      <c r="N47285" s="14"/>
      <c r="O47285" s="14"/>
      <c r="P47285" s="13"/>
    </row>
    <row r="47286">
      <c r="L47286" s="13"/>
      <c r="M47286" s="14"/>
      <c r="N47286" s="14"/>
      <c r="O47286" s="14"/>
      <c r="P47286" s="13"/>
    </row>
    <row r="47287">
      <c r="L47287" s="13"/>
      <c r="M47287" s="14"/>
      <c r="N47287" s="14"/>
      <c r="O47287" s="14"/>
      <c r="P47287" s="13"/>
    </row>
    <row r="47288">
      <c r="L47288" s="13"/>
      <c r="M47288" s="14"/>
      <c r="N47288" s="14"/>
      <c r="O47288" s="14"/>
      <c r="P47288" s="13"/>
    </row>
    <row r="47289">
      <c r="L47289" s="13"/>
      <c r="M47289" s="14"/>
      <c r="N47289" s="14"/>
      <c r="O47289" s="14"/>
      <c r="P47289" s="13"/>
    </row>
    <row r="47290">
      <c r="L47290" s="13"/>
      <c r="M47290" s="14"/>
      <c r="N47290" s="14"/>
      <c r="O47290" s="14"/>
      <c r="P47290" s="13"/>
    </row>
    <row r="47291">
      <c r="L47291" s="13"/>
      <c r="M47291" s="14"/>
      <c r="N47291" s="14"/>
      <c r="O47291" s="14"/>
      <c r="P47291" s="13"/>
    </row>
    <row r="47292">
      <c r="L47292" s="13"/>
      <c r="M47292" s="14"/>
      <c r="N47292" s="14"/>
      <c r="O47292" s="14"/>
      <c r="P47292" s="13"/>
    </row>
    <row r="47293">
      <c r="L47293" s="13"/>
      <c r="M47293" s="14"/>
      <c r="N47293" s="14"/>
      <c r="O47293" s="14"/>
      <c r="P47293" s="13"/>
    </row>
    <row r="47294">
      <c r="L47294" s="13"/>
      <c r="M47294" s="14"/>
      <c r="N47294" s="14"/>
      <c r="O47294" s="14"/>
      <c r="P47294" s="13"/>
    </row>
    <row r="47295">
      <c r="L47295" s="13"/>
      <c r="M47295" s="14"/>
      <c r="N47295" s="14"/>
      <c r="O47295" s="14"/>
      <c r="P47295" s="13"/>
    </row>
    <row r="47296">
      <c r="L47296" s="13"/>
      <c r="M47296" s="14"/>
      <c r="N47296" s="14"/>
      <c r="O47296" s="14"/>
      <c r="P47296" s="13"/>
    </row>
    <row r="47297">
      <c r="L47297" s="13"/>
      <c r="M47297" s="14"/>
      <c r="N47297" s="14"/>
      <c r="O47297" s="14"/>
      <c r="P47297" s="13"/>
    </row>
    <row r="47298">
      <c r="L47298" s="13"/>
      <c r="M47298" s="14"/>
      <c r="N47298" s="14"/>
      <c r="O47298" s="14"/>
      <c r="P47298" s="13"/>
    </row>
    <row r="47299">
      <c r="L47299" s="13"/>
      <c r="M47299" s="14"/>
      <c r="N47299" s="14"/>
      <c r="O47299" s="14"/>
      <c r="P47299" s="13"/>
    </row>
    <row r="47300">
      <c r="L47300" s="13"/>
      <c r="M47300" s="14"/>
      <c r="N47300" s="14"/>
      <c r="O47300" s="14"/>
      <c r="P47300" s="13"/>
    </row>
    <row r="47301">
      <c r="L47301" s="13"/>
      <c r="M47301" s="14"/>
      <c r="N47301" s="14"/>
      <c r="O47301" s="14"/>
      <c r="P47301" s="13"/>
    </row>
    <row r="47302">
      <c r="L47302" s="13"/>
      <c r="M47302" s="14"/>
      <c r="N47302" s="14"/>
      <c r="O47302" s="14"/>
      <c r="P47302" s="13"/>
    </row>
    <row r="47303">
      <c r="L47303" s="13"/>
      <c r="M47303" s="14"/>
      <c r="N47303" s="14"/>
      <c r="O47303" s="14"/>
      <c r="P47303" s="13"/>
    </row>
    <row r="47304">
      <c r="L47304" s="13"/>
      <c r="M47304" s="14"/>
      <c r="N47304" s="14"/>
      <c r="O47304" s="14"/>
      <c r="P47304" s="13"/>
    </row>
    <row r="47305">
      <c r="L47305" s="13"/>
      <c r="M47305" s="14"/>
      <c r="N47305" s="14"/>
      <c r="O47305" s="14"/>
      <c r="P47305" s="13"/>
    </row>
    <row r="47306">
      <c r="L47306" s="13"/>
      <c r="M47306" s="14"/>
      <c r="N47306" s="14"/>
      <c r="O47306" s="14"/>
      <c r="P47306" s="13"/>
    </row>
    <row r="47307">
      <c r="L47307" s="13"/>
      <c r="M47307" s="14"/>
      <c r="N47307" s="14"/>
      <c r="O47307" s="14"/>
      <c r="P47307" s="13"/>
    </row>
    <row r="47308">
      <c r="L47308" s="13"/>
      <c r="M47308" s="14"/>
      <c r="N47308" s="14"/>
      <c r="O47308" s="14"/>
      <c r="P47308" s="13"/>
    </row>
    <row r="47309">
      <c r="L47309" s="13"/>
      <c r="M47309" s="14"/>
      <c r="N47309" s="14"/>
      <c r="O47309" s="14"/>
      <c r="P47309" s="13"/>
    </row>
    <row r="47310">
      <c r="L47310" s="13"/>
      <c r="M47310" s="14"/>
      <c r="N47310" s="14"/>
      <c r="O47310" s="14"/>
      <c r="P47310" s="13"/>
    </row>
    <row r="47311">
      <c r="L47311" s="13"/>
      <c r="M47311" s="14"/>
      <c r="N47311" s="14"/>
      <c r="O47311" s="14"/>
      <c r="P47311" s="13"/>
    </row>
    <row r="47312">
      <c r="L47312" s="13"/>
      <c r="M47312" s="14"/>
      <c r="N47312" s="14"/>
      <c r="O47312" s="14"/>
      <c r="P47312" s="13"/>
    </row>
    <row r="47313">
      <c r="L47313" s="13"/>
      <c r="M47313" s="14"/>
      <c r="N47313" s="14"/>
      <c r="O47313" s="14"/>
      <c r="P47313" s="13"/>
    </row>
    <row r="47314">
      <c r="L47314" s="13"/>
      <c r="M47314" s="14"/>
      <c r="N47314" s="14"/>
      <c r="O47314" s="14"/>
      <c r="P47314" s="13"/>
    </row>
    <row r="47315">
      <c r="L47315" s="13"/>
      <c r="M47315" s="14"/>
      <c r="N47315" s="14"/>
      <c r="O47315" s="14"/>
      <c r="P47315" s="13"/>
    </row>
    <row r="47316">
      <c r="L47316" s="13"/>
      <c r="M47316" s="14"/>
      <c r="N47316" s="14"/>
      <c r="O47316" s="14"/>
      <c r="P47316" s="13"/>
    </row>
    <row r="47317">
      <c r="L47317" s="13"/>
      <c r="M47317" s="14"/>
      <c r="N47317" s="14"/>
      <c r="O47317" s="14"/>
      <c r="P47317" s="13"/>
    </row>
    <row r="47318">
      <c r="L47318" s="13"/>
      <c r="M47318" s="14"/>
      <c r="N47318" s="14"/>
      <c r="O47318" s="14"/>
      <c r="P47318" s="13"/>
    </row>
    <row r="47319">
      <c r="L47319" s="13"/>
      <c r="M47319" s="14"/>
      <c r="N47319" s="14"/>
      <c r="O47319" s="14"/>
      <c r="P47319" s="13"/>
    </row>
    <row r="47320">
      <c r="L47320" s="13"/>
      <c r="M47320" s="14"/>
      <c r="N47320" s="14"/>
      <c r="O47320" s="14"/>
      <c r="P47320" s="13"/>
    </row>
    <row r="47321">
      <c r="L47321" s="13"/>
      <c r="M47321" s="14"/>
      <c r="N47321" s="14"/>
      <c r="O47321" s="14"/>
      <c r="P47321" s="13"/>
    </row>
    <row r="47322">
      <c r="L47322" s="13"/>
      <c r="M47322" s="14"/>
      <c r="N47322" s="14"/>
      <c r="O47322" s="14"/>
      <c r="P47322" s="13"/>
    </row>
    <row r="47323">
      <c r="L47323" s="13"/>
      <c r="M47323" s="14"/>
      <c r="N47323" s="14"/>
      <c r="O47323" s="14"/>
      <c r="P47323" s="13"/>
    </row>
    <row r="47324">
      <c r="L47324" s="13"/>
      <c r="M47324" s="14"/>
      <c r="N47324" s="14"/>
      <c r="O47324" s="14"/>
      <c r="P47324" s="13"/>
    </row>
    <row r="47325">
      <c r="L47325" s="13"/>
      <c r="M47325" s="14"/>
      <c r="N47325" s="14"/>
      <c r="O47325" s="14"/>
      <c r="P47325" s="13"/>
    </row>
    <row r="47326">
      <c r="L47326" s="13"/>
      <c r="M47326" s="14"/>
      <c r="N47326" s="14"/>
      <c r="O47326" s="14"/>
      <c r="P47326" s="13"/>
    </row>
    <row r="47327">
      <c r="L47327" s="13"/>
      <c r="M47327" s="14"/>
      <c r="N47327" s="14"/>
      <c r="O47327" s="14"/>
      <c r="P47327" s="13"/>
    </row>
    <row r="47328">
      <c r="L47328" s="13"/>
      <c r="M47328" s="14"/>
      <c r="N47328" s="14"/>
      <c r="O47328" s="14"/>
      <c r="P47328" s="13"/>
    </row>
    <row r="47329">
      <c r="L47329" s="13"/>
      <c r="M47329" s="14"/>
      <c r="N47329" s="14"/>
      <c r="O47329" s="14"/>
      <c r="P47329" s="13"/>
    </row>
    <row r="47330">
      <c r="L47330" s="13"/>
      <c r="M47330" s="14"/>
      <c r="N47330" s="14"/>
      <c r="O47330" s="14"/>
      <c r="P47330" s="13"/>
    </row>
    <row r="47331">
      <c r="L47331" s="13"/>
      <c r="M47331" s="14"/>
      <c r="N47331" s="14"/>
      <c r="O47331" s="14"/>
      <c r="P47331" s="13"/>
    </row>
    <row r="47332">
      <c r="L47332" s="13"/>
      <c r="M47332" s="14"/>
      <c r="N47332" s="14"/>
      <c r="O47332" s="14"/>
      <c r="P47332" s="13"/>
    </row>
    <row r="47333">
      <c r="L47333" s="13"/>
      <c r="M47333" s="14"/>
      <c r="N47333" s="14"/>
      <c r="O47333" s="14"/>
      <c r="P47333" s="13"/>
    </row>
    <row r="47334">
      <c r="L47334" s="13"/>
      <c r="M47334" s="14"/>
      <c r="N47334" s="14"/>
      <c r="O47334" s="14"/>
      <c r="P47334" s="13"/>
    </row>
    <row r="47335">
      <c r="L47335" s="13"/>
      <c r="M47335" s="14"/>
      <c r="N47335" s="14"/>
      <c r="O47335" s="14"/>
      <c r="P47335" s="13"/>
    </row>
    <row r="47336">
      <c r="L47336" s="13"/>
      <c r="M47336" s="14"/>
      <c r="N47336" s="14"/>
      <c r="O47336" s="14"/>
      <c r="P47336" s="13"/>
    </row>
    <row r="47337">
      <c r="L47337" s="13"/>
      <c r="M47337" s="14"/>
      <c r="N47337" s="14"/>
      <c r="O47337" s="14"/>
      <c r="P47337" s="13"/>
    </row>
    <row r="47338">
      <c r="L47338" s="13"/>
      <c r="M47338" s="14"/>
      <c r="N47338" s="14"/>
      <c r="O47338" s="14"/>
      <c r="P47338" s="13"/>
    </row>
    <row r="47339">
      <c r="L47339" s="13"/>
      <c r="M47339" s="14"/>
      <c r="N47339" s="14"/>
      <c r="O47339" s="14"/>
      <c r="P47339" s="13"/>
    </row>
    <row r="47340">
      <c r="L47340" s="13"/>
      <c r="M47340" s="14"/>
      <c r="N47340" s="14"/>
      <c r="O47340" s="14"/>
      <c r="P47340" s="13"/>
    </row>
    <row r="47341">
      <c r="L47341" s="13"/>
      <c r="M47341" s="14"/>
      <c r="N47341" s="14"/>
      <c r="O47341" s="14"/>
      <c r="P47341" s="13"/>
    </row>
    <row r="47342">
      <c r="L47342" s="13"/>
      <c r="M47342" s="14"/>
      <c r="N47342" s="14"/>
      <c r="O47342" s="14"/>
      <c r="P47342" s="13"/>
    </row>
    <row r="47343">
      <c r="L47343" s="13"/>
      <c r="M47343" s="14"/>
      <c r="N47343" s="14"/>
      <c r="O47343" s="14"/>
      <c r="P47343" s="13"/>
    </row>
    <row r="47344">
      <c r="L47344" s="13"/>
      <c r="M47344" s="14"/>
      <c r="N47344" s="14"/>
      <c r="O47344" s="14"/>
      <c r="P47344" s="13"/>
    </row>
    <row r="47345">
      <c r="L47345" s="13"/>
      <c r="M47345" s="14"/>
      <c r="N47345" s="14"/>
      <c r="O47345" s="14"/>
      <c r="P47345" s="13"/>
    </row>
    <row r="47346">
      <c r="L47346" s="13"/>
      <c r="M47346" s="14"/>
      <c r="N47346" s="14"/>
      <c r="O47346" s="14"/>
      <c r="P47346" s="13"/>
    </row>
    <row r="47347">
      <c r="L47347" s="13"/>
      <c r="M47347" s="14"/>
      <c r="N47347" s="14"/>
      <c r="O47347" s="14"/>
      <c r="P47347" s="13"/>
    </row>
    <row r="47348">
      <c r="L47348" s="13"/>
      <c r="M47348" s="14"/>
      <c r="N47348" s="14"/>
      <c r="O47348" s="14"/>
      <c r="P47348" s="13"/>
    </row>
    <row r="47349">
      <c r="L47349" s="13"/>
      <c r="M47349" s="14"/>
      <c r="N47349" s="14"/>
      <c r="O47349" s="14"/>
      <c r="P47349" s="13"/>
    </row>
    <row r="47350">
      <c r="L47350" s="13"/>
      <c r="M47350" s="14"/>
      <c r="N47350" s="14"/>
      <c r="O47350" s="14"/>
      <c r="P47350" s="13"/>
    </row>
    <row r="47351">
      <c r="L47351" s="13"/>
      <c r="M47351" s="14"/>
      <c r="N47351" s="14"/>
      <c r="O47351" s="14"/>
      <c r="P47351" s="13"/>
    </row>
    <row r="47352">
      <c r="L47352" s="13"/>
      <c r="M47352" s="14"/>
      <c r="N47352" s="14"/>
      <c r="O47352" s="14"/>
      <c r="P47352" s="13"/>
    </row>
    <row r="47353">
      <c r="L47353" s="13"/>
      <c r="M47353" s="14"/>
      <c r="N47353" s="14"/>
      <c r="O47353" s="14"/>
      <c r="P47353" s="13"/>
    </row>
    <row r="47354">
      <c r="L47354" s="13"/>
      <c r="M47354" s="14"/>
      <c r="N47354" s="14"/>
      <c r="O47354" s="14"/>
      <c r="P47354" s="13"/>
    </row>
    <row r="47355">
      <c r="L47355" s="13"/>
      <c r="M47355" s="14"/>
      <c r="N47355" s="14"/>
      <c r="O47355" s="14"/>
      <c r="P47355" s="13"/>
    </row>
    <row r="47356">
      <c r="L47356" s="13"/>
      <c r="M47356" s="14"/>
      <c r="N47356" s="14"/>
      <c r="O47356" s="14"/>
      <c r="P47356" s="13"/>
    </row>
    <row r="47357">
      <c r="L47357" s="13"/>
      <c r="M47357" s="14"/>
      <c r="N47357" s="14"/>
      <c r="O47357" s="14"/>
      <c r="P47357" s="13"/>
    </row>
    <row r="47358">
      <c r="L47358" s="13"/>
      <c r="M47358" s="14"/>
      <c r="N47358" s="14"/>
      <c r="O47358" s="14"/>
      <c r="P47358" s="13"/>
    </row>
    <row r="47359">
      <c r="L47359" s="13"/>
      <c r="M47359" s="14"/>
      <c r="N47359" s="14"/>
      <c r="O47359" s="14"/>
      <c r="P47359" s="13"/>
    </row>
    <row r="47360">
      <c r="L47360" s="13"/>
      <c r="M47360" s="14"/>
      <c r="N47360" s="14"/>
      <c r="O47360" s="14"/>
      <c r="P47360" s="13"/>
    </row>
    <row r="47361">
      <c r="L47361" s="13"/>
      <c r="M47361" s="14"/>
      <c r="N47361" s="14"/>
      <c r="O47361" s="14"/>
      <c r="P47361" s="13"/>
    </row>
    <row r="47362">
      <c r="L47362" s="13"/>
      <c r="M47362" s="14"/>
      <c r="N47362" s="14"/>
      <c r="O47362" s="14"/>
      <c r="P47362" s="13"/>
    </row>
    <row r="47363">
      <c r="L47363" s="13"/>
      <c r="M47363" s="14"/>
      <c r="N47363" s="14"/>
      <c r="O47363" s="14"/>
      <c r="P47363" s="13"/>
    </row>
    <row r="47364">
      <c r="L47364" s="13"/>
      <c r="M47364" s="14"/>
      <c r="N47364" s="14"/>
      <c r="O47364" s="14"/>
      <c r="P47364" s="13"/>
    </row>
    <row r="47365">
      <c r="L47365" s="13"/>
      <c r="M47365" s="14"/>
      <c r="N47365" s="14"/>
      <c r="O47365" s="14"/>
      <c r="P47365" s="13"/>
    </row>
    <row r="47366">
      <c r="L47366" s="13"/>
      <c r="M47366" s="14"/>
      <c r="N47366" s="14"/>
      <c r="O47366" s="14"/>
      <c r="P47366" s="13"/>
    </row>
    <row r="47367">
      <c r="L47367" s="13"/>
      <c r="M47367" s="14"/>
      <c r="N47367" s="14"/>
      <c r="O47367" s="14"/>
      <c r="P47367" s="13"/>
    </row>
    <row r="47368">
      <c r="L47368" s="13"/>
      <c r="M47368" s="14"/>
      <c r="N47368" s="14"/>
      <c r="O47368" s="14"/>
      <c r="P47368" s="13"/>
    </row>
    <row r="47369">
      <c r="L47369" s="13"/>
      <c r="M47369" s="14"/>
      <c r="N47369" s="14"/>
      <c r="O47369" s="14"/>
      <c r="P47369" s="13"/>
    </row>
    <row r="47370">
      <c r="L47370" s="13"/>
      <c r="M47370" s="14"/>
      <c r="N47370" s="14"/>
      <c r="O47370" s="14"/>
      <c r="P47370" s="13"/>
    </row>
    <row r="47371">
      <c r="L47371" s="13"/>
      <c r="M47371" s="14"/>
      <c r="N47371" s="14"/>
      <c r="O47371" s="14"/>
      <c r="P47371" s="13"/>
    </row>
    <row r="47372">
      <c r="L47372" s="13"/>
      <c r="M47372" s="14"/>
      <c r="N47372" s="14"/>
      <c r="O47372" s="14"/>
      <c r="P47372" s="13"/>
    </row>
    <row r="47373">
      <c r="L47373" s="13"/>
      <c r="M47373" s="14"/>
      <c r="N47373" s="14"/>
      <c r="O47373" s="14"/>
      <c r="P47373" s="13"/>
    </row>
    <row r="47374">
      <c r="L47374" s="13"/>
      <c r="M47374" s="14"/>
      <c r="N47374" s="14"/>
      <c r="O47374" s="14"/>
      <c r="P47374" s="13"/>
    </row>
    <row r="47375">
      <c r="L47375" s="13"/>
      <c r="M47375" s="14"/>
      <c r="N47375" s="14"/>
      <c r="O47375" s="14"/>
      <c r="P47375" s="13"/>
    </row>
    <row r="47376">
      <c r="L47376" s="13"/>
      <c r="M47376" s="14"/>
      <c r="N47376" s="14"/>
      <c r="O47376" s="14"/>
      <c r="P47376" s="13"/>
    </row>
    <row r="47377">
      <c r="L47377" s="13"/>
      <c r="M47377" s="14"/>
      <c r="N47377" s="14"/>
      <c r="O47377" s="14"/>
      <c r="P47377" s="13"/>
    </row>
    <row r="47378">
      <c r="L47378" s="13"/>
      <c r="M47378" s="14"/>
      <c r="N47378" s="14"/>
      <c r="O47378" s="14"/>
      <c r="P47378" s="13"/>
    </row>
    <row r="47379">
      <c r="L47379" s="13"/>
      <c r="M47379" s="14"/>
      <c r="N47379" s="14"/>
      <c r="O47379" s="14"/>
      <c r="P47379" s="13"/>
    </row>
    <row r="47380">
      <c r="L47380" s="13"/>
      <c r="M47380" s="14"/>
      <c r="N47380" s="14"/>
      <c r="O47380" s="14"/>
      <c r="P47380" s="13"/>
    </row>
    <row r="47381">
      <c r="L47381" s="13"/>
      <c r="M47381" s="14"/>
      <c r="N47381" s="14"/>
      <c r="O47381" s="14"/>
      <c r="P47381" s="13"/>
    </row>
    <row r="47382">
      <c r="L47382" s="13"/>
      <c r="M47382" s="14"/>
      <c r="N47382" s="14"/>
      <c r="O47382" s="14"/>
      <c r="P47382" s="13"/>
    </row>
    <row r="47383">
      <c r="L47383" s="13"/>
      <c r="M47383" s="14"/>
      <c r="N47383" s="14"/>
      <c r="O47383" s="14"/>
      <c r="P47383" s="13"/>
    </row>
    <row r="47384">
      <c r="L47384" s="13"/>
      <c r="M47384" s="14"/>
      <c r="N47384" s="14"/>
      <c r="O47384" s="14"/>
      <c r="P47384" s="13"/>
    </row>
    <row r="47385">
      <c r="L47385" s="13"/>
      <c r="M47385" s="14"/>
      <c r="N47385" s="14"/>
      <c r="O47385" s="14"/>
      <c r="P47385" s="13"/>
    </row>
    <row r="47386">
      <c r="L47386" s="13"/>
      <c r="M47386" s="14"/>
      <c r="N47386" s="14"/>
      <c r="O47386" s="14"/>
      <c r="P47386" s="13"/>
    </row>
    <row r="47387">
      <c r="L47387" s="13"/>
      <c r="M47387" s="14"/>
      <c r="N47387" s="14"/>
      <c r="O47387" s="14"/>
      <c r="P47387" s="13"/>
    </row>
    <row r="47388">
      <c r="L47388" s="13"/>
      <c r="M47388" s="14"/>
      <c r="N47388" s="14"/>
      <c r="O47388" s="14"/>
      <c r="P47388" s="13"/>
    </row>
    <row r="47389">
      <c r="L47389" s="13"/>
      <c r="M47389" s="14"/>
      <c r="N47389" s="14"/>
      <c r="O47389" s="14"/>
      <c r="P47389" s="13"/>
    </row>
    <row r="47390">
      <c r="L47390" s="13"/>
      <c r="M47390" s="14"/>
      <c r="N47390" s="14"/>
      <c r="O47390" s="14"/>
      <c r="P47390" s="13"/>
    </row>
    <row r="47391">
      <c r="L47391" s="13"/>
      <c r="M47391" s="14"/>
      <c r="N47391" s="14"/>
      <c r="O47391" s="14"/>
      <c r="P47391" s="13"/>
    </row>
    <row r="47392">
      <c r="L47392" s="13"/>
      <c r="M47392" s="14"/>
      <c r="N47392" s="14"/>
      <c r="O47392" s="14"/>
      <c r="P47392" s="13"/>
    </row>
    <row r="47393">
      <c r="L47393" s="13"/>
      <c r="M47393" s="14"/>
      <c r="N47393" s="14"/>
      <c r="O47393" s="14"/>
      <c r="P47393" s="13"/>
    </row>
    <row r="47394">
      <c r="L47394" s="13"/>
      <c r="M47394" s="14"/>
      <c r="N47394" s="14"/>
      <c r="O47394" s="14"/>
      <c r="P47394" s="13"/>
    </row>
    <row r="47395">
      <c r="L47395" s="13"/>
      <c r="M47395" s="14"/>
      <c r="N47395" s="14"/>
      <c r="O47395" s="14"/>
      <c r="P47395" s="13"/>
    </row>
    <row r="47396">
      <c r="L47396" s="13"/>
      <c r="M47396" s="14"/>
      <c r="N47396" s="14"/>
      <c r="O47396" s="14"/>
      <c r="P47396" s="13"/>
    </row>
    <row r="47397">
      <c r="L47397" s="13"/>
      <c r="M47397" s="14"/>
      <c r="N47397" s="14"/>
      <c r="O47397" s="14"/>
      <c r="P47397" s="13"/>
    </row>
    <row r="47398">
      <c r="L47398" s="13"/>
      <c r="M47398" s="14"/>
      <c r="N47398" s="14"/>
      <c r="O47398" s="14"/>
      <c r="P47398" s="13"/>
    </row>
    <row r="47399">
      <c r="L47399" s="13"/>
      <c r="M47399" s="14"/>
      <c r="N47399" s="14"/>
      <c r="O47399" s="14"/>
      <c r="P47399" s="13"/>
    </row>
    <row r="47400">
      <c r="L47400" s="13"/>
      <c r="M47400" s="14"/>
      <c r="N47400" s="14"/>
      <c r="O47400" s="14"/>
      <c r="P47400" s="13"/>
    </row>
    <row r="47401">
      <c r="L47401" s="13"/>
      <c r="M47401" s="14"/>
      <c r="N47401" s="14"/>
      <c r="O47401" s="14"/>
      <c r="P47401" s="13"/>
    </row>
    <row r="47402">
      <c r="L47402" s="13"/>
      <c r="M47402" s="14"/>
      <c r="N47402" s="14"/>
      <c r="O47402" s="14"/>
      <c r="P47402" s="13"/>
    </row>
    <row r="47403">
      <c r="L47403" s="13"/>
      <c r="M47403" s="14"/>
      <c r="N47403" s="14"/>
      <c r="O47403" s="14"/>
      <c r="P47403" s="13"/>
    </row>
    <row r="47404">
      <c r="L47404" s="13"/>
      <c r="M47404" s="14"/>
      <c r="N47404" s="14"/>
      <c r="O47404" s="14"/>
      <c r="P47404" s="13"/>
    </row>
    <row r="47405">
      <c r="L47405" s="13"/>
      <c r="M47405" s="14"/>
      <c r="N47405" s="14"/>
      <c r="O47405" s="14"/>
      <c r="P47405" s="13"/>
    </row>
    <row r="47406">
      <c r="L47406" s="13"/>
      <c r="M47406" s="14"/>
      <c r="N47406" s="14"/>
      <c r="O47406" s="14"/>
      <c r="P47406" s="13"/>
    </row>
    <row r="47407">
      <c r="L47407" s="13"/>
      <c r="M47407" s="14"/>
      <c r="N47407" s="14"/>
      <c r="O47407" s="14"/>
      <c r="P47407" s="13"/>
    </row>
    <row r="47408">
      <c r="L47408" s="13"/>
      <c r="M47408" s="14"/>
      <c r="N47408" s="14"/>
      <c r="O47408" s="14"/>
      <c r="P47408" s="13"/>
    </row>
    <row r="47409">
      <c r="L47409" s="13"/>
      <c r="M47409" s="14"/>
      <c r="N47409" s="14"/>
      <c r="O47409" s="14"/>
      <c r="P47409" s="13"/>
    </row>
    <row r="47410">
      <c r="L47410" s="13"/>
      <c r="M47410" s="14"/>
      <c r="N47410" s="14"/>
      <c r="O47410" s="14"/>
      <c r="P47410" s="13"/>
    </row>
    <row r="47411">
      <c r="L47411" s="13"/>
      <c r="M47411" s="14"/>
      <c r="N47411" s="14"/>
      <c r="O47411" s="14"/>
      <c r="P47411" s="13"/>
    </row>
    <row r="47412">
      <c r="L47412" s="13"/>
      <c r="M47412" s="14"/>
      <c r="N47412" s="14"/>
      <c r="O47412" s="14"/>
      <c r="P47412" s="13"/>
    </row>
    <row r="47413">
      <c r="L47413" s="13"/>
      <c r="M47413" s="14"/>
      <c r="N47413" s="14"/>
      <c r="O47413" s="14"/>
      <c r="P47413" s="13"/>
    </row>
    <row r="47414">
      <c r="L47414" s="13"/>
      <c r="M47414" s="14"/>
      <c r="N47414" s="14"/>
      <c r="O47414" s="14"/>
      <c r="P47414" s="13"/>
    </row>
    <row r="47415">
      <c r="L47415" s="13"/>
      <c r="M47415" s="14"/>
      <c r="N47415" s="14"/>
      <c r="O47415" s="14"/>
      <c r="P47415" s="13"/>
    </row>
    <row r="47416">
      <c r="L47416" s="13"/>
      <c r="M47416" s="14"/>
      <c r="N47416" s="14"/>
      <c r="O47416" s="14"/>
      <c r="P47416" s="13"/>
    </row>
    <row r="47417">
      <c r="L47417" s="13"/>
      <c r="M47417" s="14"/>
      <c r="N47417" s="14"/>
      <c r="O47417" s="14"/>
      <c r="P47417" s="13"/>
    </row>
    <row r="47418">
      <c r="L47418" s="13"/>
      <c r="M47418" s="14"/>
      <c r="N47418" s="14"/>
      <c r="O47418" s="14"/>
      <c r="P47418" s="13"/>
    </row>
    <row r="47419">
      <c r="L47419" s="13"/>
      <c r="M47419" s="14"/>
      <c r="N47419" s="14"/>
      <c r="O47419" s="14"/>
      <c r="P47419" s="13"/>
    </row>
    <row r="47420">
      <c r="L47420" s="13"/>
      <c r="M47420" s="14"/>
      <c r="N47420" s="14"/>
      <c r="O47420" s="14"/>
      <c r="P47420" s="13"/>
    </row>
    <row r="47421">
      <c r="L47421" s="13"/>
      <c r="M47421" s="14"/>
      <c r="N47421" s="14"/>
      <c r="O47421" s="14"/>
      <c r="P47421" s="13"/>
    </row>
    <row r="47422">
      <c r="L47422" s="13"/>
      <c r="M47422" s="14"/>
      <c r="N47422" s="14"/>
      <c r="O47422" s="14"/>
      <c r="P47422" s="13"/>
    </row>
    <row r="47423">
      <c r="L47423" s="13"/>
      <c r="M47423" s="14"/>
      <c r="N47423" s="14"/>
      <c r="O47423" s="14"/>
      <c r="P47423" s="13"/>
    </row>
    <row r="47424">
      <c r="L47424" s="13"/>
      <c r="M47424" s="14"/>
      <c r="N47424" s="14"/>
      <c r="O47424" s="14"/>
      <c r="P47424" s="13"/>
    </row>
    <row r="47425">
      <c r="L47425" s="13"/>
      <c r="M47425" s="14"/>
      <c r="N47425" s="14"/>
      <c r="O47425" s="14"/>
      <c r="P47425" s="13"/>
    </row>
    <row r="47426">
      <c r="L47426" s="13"/>
      <c r="M47426" s="14"/>
      <c r="N47426" s="14"/>
      <c r="O47426" s="14"/>
      <c r="P47426" s="13"/>
    </row>
    <row r="47427">
      <c r="L47427" s="13"/>
      <c r="M47427" s="14"/>
      <c r="N47427" s="14"/>
      <c r="O47427" s="14"/>
      <c r="P47427" s="13"/>
    </row>
    <row r="47428">
      <c r="L47428" s="13"/>
      <c r="M47428" s="14"/>
      <c r="N47428" s="14"/>
      <c r="O47428" s="14"/>
      <c r="P47428" s="13"/>
    </row>
    <row r="47429">
      <c r="L47429" s="13"/>
      <c r="M47429" s="14"/>
      <c r="N47429" s="14"/>
      <c r="O47429" s="14"/>
      <c r="P47429" s="13"/>
    </row>
    <row r="47430">
      <c r="L47430" s="13"/>
      <c r="M47430" s="14"/>
      <c r="N47430" s="14"/>
      <c r="O47430" s="14"/>
      <c r="P47430" s="13"/>
    </row>
    <row r="47431">
      <c r="L47431" s="13"/>
      <c r="M47431" s="14"/>
      <c r="N47431" s="14"/>
      <c r="O47431" s="14"/>
      <c r="P47431" s="13"/>
    </row>
    <row r="47432">
      <c r="L47432" s="13"/>
      <c r="M47432" s="14"/>
      <c r="N47432" s="14"/>
      <c r="O47432" s="14"/>
      <c r="P47432" s="13"/>
    </row>
    <row r="47433">
      <c r="L47433" s="13"/>
      <c r="M47433" s="14"/>
      <c r="N47433" s="14"/>
      <c r="O47433" s="14"/>
      <c r="P47433" s="13"/>
    </row>
    <row r="47434">
      <c r="L47434" s="13"/>
      <c r="M47434" s="14"/>
      <c r="N47434" s="14"/>
      <c r="O47434" s="14"/>
      <c r="P47434" s="13"/>
    </row>
    <row r="47435">
      <c r="L47435" s="13"/>
      <c r="M47435" s="14"/>
      <c r="N47435" s="14"/>
      <c r="O47435" s="14"/>
      <c r="P47435" s="13"/>
    </row>
    <row r="47436">
      <c r="L47436" s="13"/>
      <c r="M47436" s="14"/>
      <c r="N47436" s="14"/>
      <c r="O47436" s="14"/>
      <c r="P47436" s="13"/>
    </row>
    <row r="47437">
      <c r="L47437" s="13"/>
      <c r="M47437" s="14"/>
      <c r="N47437" s="14"/>
      <c r="O47437" s="14"/>
      <c r="P47437" s="13"/>
    </row>
    <row r="47438">
      <c r="L47438" s="13"/>
      <c r="M47438" s="14"/>
      <c r="N47438" s="14"/>
      <c r="O47438" s="14"/>
      <c r="P47438" s="13"/>
    </row>
    <row r="47439">
      <c r="L47439" s="13"/>
      <c r="M47439" s="14"/>
      <c r="N47439" s="14"/>
      <c r="O47439" s="14"/>
      <c r="P47439" s="13"/>
    </row>
    <row r="47440">
      <c r="L47440" s="13"/>
      <c r="M47440" s="14"/>
      <c r="N47440" s="14"/>
      <c r="O47440" s="14"/>
      <c r="P47440" s="13"/>
    </row>
    <row r="47441">
      <c r="L47441" s="13"/>
      <c r="M47441" s="14"/>
      <c r="N47441" s="14"/>
      <c r="O47441" s="14"/>
      <c r="P47441" s="13"/>
    </row>
    <row r="47442">
      <c r="L47442" s="13"/>
      <c r="M47442" s="14"/>
      <c r="N47442" s="14"/>
      <c r="O47442" s="14"/>
      <c r="P47442" s="13"/>
    </row>
    <row r="47443">
      <c r="L47443" s="13"/>
      <c r="M47443" s="14"/>
      <c r="N47443" s="14"/>
      <c r="O47443" s="14"/>
      <c r="P47443" s="13"/>
    </row>
    <row r="47444">
      <c r="L47444" s="13"/>
      <c r="M47444" s="14"/>
      <c r="N47444" s="14"/>
      <c r="O47444" s="14"/>
      <c r="P47444" s="13"/>
    </row>
    <row r="47445">
      <c r="L47445" s="13"/>
      <c r="M47445" s="14"/>
      <c r="N47445" s="14"/>
      <c r="O47445" s="14"/>
      <c r="P47445" s="13"/>
    </row>
    <row r="47446">
      <c r="L47446" s="13"/>
      <c r="M47446" s="14"/>
      <c r="N47446" s="14"/>
      <c r="O47446" s="14"/>
      <c r="P47446" s="13"/>
    </row>
    <row r="47447">
      <c r="L47447" s="13"/>
      <c r="M47447" s="14"/>
      <c r="N47447" s="14"/>
      <c r="O47447" s="14"/>
      <c r="P47447" s="13"/>
    </row>
    <row r="47448">
      <c r="L47448" s="13"/>
      <c r="M47448" s="14"/>
      <c r="N47448" s="14"/>
      <c r="O47448" s="14"/>
      <c r="P47448" s="13"/>
    </row>
    <row r="47449">
      <c r="L47449" s="13"/>
      <c r="M47449" s="14"/>
      <c r="N47449" s="14"/>
      <c r="O47449" s="14"/>
      <c r="P47449" s="13"/>
    </row>
    <row r="47450">
      <c r="L47450" s="13"/>
      <c r="M47450" s="14"/>
      <c r="N47450" s="14"/>
      <c r="O47450" s="14"/>
      <c r="P47450" s="13"/>
    </row>
    <row r="47451">
      <c r="L47451" s="13"/>
      <c r="M47451" s="14"/>
      <c r="N47451" s="14"/>
      <c r="O47451" s="14"/>
      <c r="P47451" s="13"/>
    </row>
    <row r="47452">
      <c r="L47452" s="13"/>
      <c r="M47452" s="14"/>
      <c r="N47452" s="14"/>
      <c r="O47452" s="14"/>
      <c r="P47452" s="13"/>
    </row>
    <row r="47453">
      <c r="L47453" s="13"/>
      <c r="M47453" s="14"/>
      <c r="N47453" s="14"/>
      <c r="O47453" s="14"/>
      <c r="P47453" s="13"/>
    </row>
    <row r="47454">
      <c r="L47454" s="13"/>
      <c r="M47454" s="14"/>
      <c r="N47454" s="14"/>
      <c r="O47454" s="14"/>
      <c r="P47454" s="13"/>
    </row>
    <row r="47455">
      <c r="L47455" s="13"/>
      <c r="M47455" s="14"/>
      <c r="N47455" s="14"/>
      <c r="O47455" s="14"/>
      <c r="P47455" s="13"/>
    </row>
    <row r="47456">
      <c r="L47456" s="13"/>
      <c r="M47456" s="14"/>
      <c r="N47456" s="14"/>
      <c r="O47456" s="14"/>
      <c r="P47456" s="13"/>
    </row>
    <row r="47457">
      <c r="L47457" s="13"/>
      <c r="M47457" s="14"/>
      <c r="N47457" s="14"/>
      <c r="O47457" s="14"/>
      <c r="P47457" s="13"/>
    </row>
    <row r="47458">
      <c r="L47458" s="13"/>
      <c r="M47458" s="14"/>
      <c r="N47458" s="14"/>
      <c r="O47458" s="14"/>
      <c r="P47458" s="13"/>
    </row>
    <row r="47459">
      <c r="L47459" s="13"/>
      <c r="M47459" s="14"/>
      <c r="N47459" s="14"/>
      <c r="O47459" s="14"/>
      <c r="P47459" s="13"/>
    </row>
    <row r="47460">
      <c r="L47460" s="13"/>
      <c r="M47460" s="14"/>
      <c r="N47460" s="14"/>
      <c r="O47460" s="14"/>
      <c r="P47460" s="13"/>
    </row>
    <row r="47461">
      <c r="L47461" s="13"/>
      <c r="M47461" s="14"/>
      <c r="N47461" s="14"/>
      <c r="O47461" s="14"/>
      <c r="P47461" s="13"/>
    </row>
    <row r="47462">
      <c r="L47462" s="13"/>
      <c r="M47462" s="14"/>
      <c r="N47462" s="14"/>
      <c r="O47462" s="14"/>
      <c r="P47462" s="13"/>
    </row>
    <row r="47463">
      <c r="L47463" s="13"/>
      <c r="M47463" s="14"/>
      <c r="N47463" s="14"/>
      <c r="O47463" s="14"/>
      <c r="P47463" s="13"/>
    </row>
    <row r="47464">
      <c r="L47464" s="13"/>
      <c r="M47464" s="14"/>
      <c r="N47464" s="14"/>
      <c r="O47464" s="14"/>
      <c r="P47464" s="13"/>
    </row>
    <row r="47465">
      <c r="L47465" s="13"/>
      <c r="M47465" s="14"/>
      <c r="N47465" s="14"/>
      <c r="O47465" s="14"/>
      <c r="P47465" s="13"/>
    </row>
    <row r="47466">
      <c r="L47466" s="13"/>
      <c r="M47466" s="14"/>
      <c r="N47466" s="14"/>
      <c r="O47466" s="14"/>
      <c r="P47466" s="13"/>
    </row>
    <row r="47467">
      <c r="L47467" s="13"/>
      <c r="M47467" s="14"/>
      <c r="N47467" s="14"/>
      <c r="O47467" s="14"/>
      <c r="P47467" s="13"/>
    </row>
    <row r="47468">
      <c r="L47468" s="13"/>
      <c r="M47468" s="14"/>
      <c r="N47468" s="14"/>
      <c r="O47468" s="14"/>
      <c r="P47468" s="13"/>
    </row>
    <row r="47469">
      <c r="L47469" s="13"/>
      <c r="M47469" s="14"/>
      <c r="N47469" s="14"/>
      <c r="O47469" s="14"/>
      <c r="P47469" s="13"/>
    </row>
    <row r="47470">
      <c r="L47470" s="13"/>
      <c r="M47470" s="14"/>
      <c r="N47470" s="14"/>
      <c r="O47470" s="14"/>
      <c r="P47470" s="13"/>
    </row>
    <row r="47471">
      <c r="L47471" s="13"/>
      <c r="M47471" s="14"/>
      <c r="N47471" s="14"/>
      <c r="O47471" s="14"/>
      <c r="P47471" s="13"/>
    </row>
    <row r="47472">
      <c r="L47472" s="13"/>
      <c r="M47472" s="14"/>
      <c r="N47472" s="14"/>
      <c r="O47472" s="14"/>
      <c r="P47472" s="13"/>
    </row>
    <row r="47473">
      <c r="L47473" s="13"/>
      <c r="M47473" s="14"/>
      <c r="N47473" s="14"/>
      <c r="O47473" s="14"/>
      <c r="P47473" s="13"/>
    </row>
    <row r="47474">
      <c r="L47474" s="13"/>
      <c r="M47474" s="14"/>
      <c r="N47474" s="14"/>
      <c r="O47474" s="14"/>
      <c r="P47474" s="13"/>
    </row>
    <row r="47475">
      <c r="L47475" s="13"/>
      <c r="M47475" s="14"/>
      <c r="N47475" s="14"/>
      <c r="O47475" s="14"/>
      <c r="P47475" s="13"/>
    </row>
    <row r="47476">
      <c r="L47476" s="13"/>
      <c r="M47476" s="14"/>
      <c r="N47476" s="14"/>
      <c r="O47476" s="14"/>
      <c r="P47476" s="13"/>
    </row>
    <row r="47477">
      <c r="L47477" s="13"/>
      <c r="M47477" s="14"/>
      <c r="N47477" s="14"/>
      <c r="O47477" s="14"/>
      <c r="P47477" s="13"/>
    </row>
    <row r="47478">
      <c r="L47478" s="13"/>
      <c r="M47478" s="14"/>
      <c r="N47478" s="14"/>
      <c r="O47478" s="14"/>
      <c r="P47478" s="13"/>
    </row>
    <row r="47479">
      <c r="L47479" s="13"/>
      <c r="M47479" s="14"/>
      <c r="N47479" s="14"/>
      <c r="O47479" s="14"/>
      <c r="P47479" s="13"/>
    </row>
    <row r="47480">
      <c r="L47480" s="13"/>
      <c r="M47480" s="14"/>
      <c r="N47480" s="14"/>
      <c r="O47480" s="14"/>
      <c r="P47480" s="13"/>
    </row>
    <row r="47481">
      <c r="L47481" s="13"/>
      <c r="M47481" s="14"/>
      <c r="N47481" s="14"/>
      <c r="O47481" s="14"/>
      <c r="P47481" s="13"/>
    </row>
    <row r="47482">
      <c r="L47482" s="13"/>
      <c r="M47482" s="14"/>
      <c r="N47482" s="14"/>
      <c r="O47482" s="14"/>
      <c r="P47482" s="13"/>
    </row>
    <row r="47483">
      <c r="L47483" s="13"/>
      <c r="M47483" s="14"/>
      <c r="N47483" s="14"/>
      <c r="O47483" s="14"/>
      <c r="P47483" s="13"/>
    </row>
    <row r="47484">
      <c r="L47484" s="13"/>
      <c r="M47484" s="14"/>
      <c r="N47484" s="14"/>
      <c r="O47484" s="14"/>
      <c r="P47484" s="13"/>
    </row>
    <row r="47485">
      <c r="L47485" s="13"/>
      <c r="M47485" s="14"/>
      <c r="N47485" s="14"/>
      <c r="O47485" s="14"/>
      <c r="P47485" s="13"/>
    </row>
    <row r="47486">
      <c r="L47486" s="13"/>
      <c r="M47486" s="14"/>
      <c r="N47486" s="14"/>
      <c r="O47486" s="14"/>
      <c r="P47486" s="13"/>
    </row>
    <row r="47487">
      <c r="L47487" s="13"/>
      <c r="M47487" s="14"/>
      <c r="N47487" s="14"/>
      <c r="O47487" s="14"/>
      <c r="P47487" s="13"/>
    </row>
    <row r="47488">
      <c r="L47488" s="13"/>
      <c r="M47488" s="14"/>
      <c r="N47488" s="14"/>
      <c r="O47488" s="14"/>
      <c r="P47488" s="13"/>
    </row>
    <row r="47489">
      <c r="L47489" s="13"/>
      <c r="M47489" s="14"/>
      <c r="N47489" s="14"/>
      <c r="O47489" s="14"/>
      <c r="P47489" s="13"/>
    </row>
    <row r="47490">
      <c r="L47490" s="13"/>
      <c r="M47490" s="14"/>
      <c r="N47490" s="14"/>
      <c r="O47490" s="14"/>
      <c r="P47490" s="13"/>
    </row>
    <row r="47491">
      <c r="L47491" s="13"/>
      <c r="M47491" s="14"/>
      <c r="N47491" s="14"/>
      <c r="O47491" s="14"/>
      <c r="P47491" s="13"/>
    </row>
    <row r="47492">
      <c r="L47492" s="13"/>
      <c r="M47492" s="14"/>
      <c r="N47492" s="14"/>
      <c r="O47492" s="14"/>
      <c r="P47492" s="13"/>
    </row>
    <row r="47493">
      <c r="L47493" s="13"/>
      <c r="M47493" s="14"/>
      <c r="N47493" s="14"/>
      <c r="O47493" s="14"/>
      <c r="P47493" s="13"/>
    </row>
    <row r="47494">
      <c r="L47494" s="13"/>
      <c r="M47494" s="14"/>
      <c r="N47494" s="14"/>
      <c r="O47494" s="14"/>
      <c r="P47494" s="13"/>
    </row>
    <row r="47495">
      <c r="L47495" s="13"/>
      <c r="M47495" s="14"/>
      <c r="N47495" s="14"/>
      <c r="O47495" s="14"/>
      <c r="P47495" s="13"/>
    </row>
    <row r="47496">
      <c r="L47496" s="13"/>
      <c r="M47496" s="14"/>
      <c r="N47496" s="14"/>
      <c r="O47496" s="14"/>
      <c r="P47496" s="13"/>
    </row>
    <row r="47497">
      <c r="L47497" s="13"/>
      <c r="M47497" s="14"/>
      <c r="N47497" s="14"/>
      <c r="O47497" s="14"/>
      <c r="P47497" s="13"/>
    </row>
    <row r="47498">
      <c r="L47498" s="13"/>
      <c r="M47498" s="14"/>
      <c r="N47498" s="14"/>
      <c r="O47498" s="14"/>
      <c r="P47498" s="13"/>
    </row>
    <row r="47499">
      <c r="L47499" s="13"/>
      <c r="M47499" s="14"/>
      <c r="N47499" s="14"/>
      <c r="O47499" s="14"/>
      <c r="P47499" s="13"/>
    </row>
    <row r="47500">
      <c r="L47500" s="13"/>
      <c r="M47500" s="14"/>
      <c r="N47500" s="14"/>
      <c r="O47500" s="14"/>
      <c r="P47500" s="13"/>
    </row>
    <row r="47501">
      <c r="L47501" s="13"/>
      <c r="M47501" s="14"/>
      <c r="N47501" s="14"/>
      <c r="O47501" s="14"/>
      <c r="P47501" s="13"/>
    </row>
    <row r="47502">
      <c r="L47502" s="13"/>
      <c r="M47502" s="14"/>
      <c r="N47502" s="14"/>
      <c r="O47502" s="14"/>
      <c r="P47502" s="13"/>
    </row>
    <row r="47503">
      <c r="L47503" s="13"/>
      <c r="M47503" s="14"/>
      <c r="N47503" s="14"/>
      <c r="O47503" s="14"/>
      <c r="P47503" s="13"/>
    </row>
    <row r="47504">
      <c r="L47504" s="13"/>
      <c r="M47504" s="14"/>
      <c r="N47504" s="14"/>
      <c r="O47504" s="14"/>
      <c r="P47504" s="13"/>
    </row>
    <row r="47505">
      <c r="L47505" s="13"/>
      <c r="M47505" s="14"/>
      <c r="N47505" s="14"/>
      <c r="O47505" s="14"/>
      <c r="P47505" s="13"/>
    </row>
    <row r="47506">
      <c r="L47506" s="13"/>
      <c r="M47506" s="14"/>
      <c r="N47506" s="14"/>
      <c r="O47506" s="14"/>
      <c r="P47506" s="13"/>
    </row>
    <row r="47507">
      <c r="L47507" s="13"/>
      <c r="M47507" s="14"/>
      <c r="N47507" s="14"/>
      <c r="O47507" s="14"/>
      <c r="P47507" s="13"/>
    </row>
    <row r="47508">
      <c r="L47508" s="13"/>
      <c r="M47508" s="14"/>
      <c r="N47508" s="14"/>
      <c r="O47508" s="14"/>
      <c r="P47508" s="13"/>
    </row>
    <row r="47509">
      <c r="L47509" s="13"/>
      <c r="M47509" s="14"/>
      <c r="N47509" s="14"/>
      <c r="O47509" s="14"/>
      <c r="P47509" s="13"/>
    </row>
    <row r="47510">
      <c r="L47510" s="13"/>
      <c r="M47510" s="14"/>
      <c r="N47510" s="14"/>
      <c r="O47510" s="14"/>
      <c r="P47510" s="13"/>
    </row>
    <row r="47511">
      <c r="L47511" s="13"/>
      <c r="M47511" s="14"/>
      <c r="N47511" s="14"/>
      <c r="O47511" s="14"/>
      <c r="P47511" s="13"/>
    </row>
    <row r="47512">
      <c r="L47512" s="13"/>
      <c r="M47512" s="14"/>
      <c r="N47512" s="14"/>
      <c r="O47512" s="14"/>
      <c r="P47512" s="13"/>
    </row>
    <row r="47513">
      <c r="L47513" s="13"/>
      <c r="M47513" s="14"/>
      <c r="N47513" s="14"/>
      <c r="O47513" s="14"/>
      <c r="P47513" s="13"/>
    </row>
    <row r="47514">
      <c r="L47514" s="13"/>
      <c r="M47514" s="14"/>
      <c r="N47514" s="14"/>
      <c r="O47514" s="14"/>
      <c r="P47514" s="13"/>
    </row>
    <row r="47515">
      <c r="L47515" s="13"/>
      <c r="M47515" s="14"/>
      <c r="N47515" s="14"/>
      <c r="O47515" s="14"/>
      <c r="P47515" s="13"/>
    </row>
    <row r="47516">
      <c r="L47516" s="13"/>
      <c r="M47516" s="14"/>
      <c r="N47516" s="14"/>
      <c r="O47516" s="14"/>
      <c r="P47516" s="13"/>
    </row>
    <row r="47517">
      <c r="L47517" s="13"/>
      <c r="M47517" s="14"/>
      <c r="N47517" s="14"/>
      <c r="O47517" s="14"/>
      <c r="P47517" s="13"/>
    </row>
    <row r="47518">
      <c r="L47518" s="13"/>
      <c r="M47518" s="14"/>
      <c r="N47518" s="14"/>
      <c r="O47518" s="14"/>
      <c r="P47518" s="13"/>
    </row>
    <row r="47519">
      <c r="L47519" s="13"/>
      <c r="M47519" s="14"/>
      <c r="N47519" s="14"/>
      <c r="O47519" s="14"/>
      <c r="P47519" s="13"/>
    </row>
    <row r="47520">
      <c r="L47520" s="13"/>
      <c r="M47520" s="14"/>
      <c r="N47520" s="14"/>
      <c r="O47520" s="14"/>
      <c r="P47520" s="13"/>
    </row>
    <row r="47521">
      <c r="L47521" s="13"/>
      <c r="M47521" s="14"/>
      <c r="N47521" s="14"/>
      <c r="O47521" s="14"/>
      <c r="P47521" s="13"/>
    </row>
    <row r="47522">
      <c r="L47522" s="13"/>
      <c r="M47522" s="14"/>
      <c r="N47522" s="14"/>
      <c r="O47522" s="14"/>
      <c r="P47522" s="13"/>
    </row>
    <row r="47523">
      <c r="L47523" s="13"/>
      <c r="M47523" s="14"/>
      <c r="N47523" s="14"/>
      <c r="O47523" s="14"/>
      <c r="P47523" s="13"/>
    </row>
    <row r="47524">
      <c r="L47524" s="13"/>
      <c r="M47524" s="14"/>
      <c r="N47524" s="14"/>
      <c r="O47524" s="14"/>
      <c r="P47524" s="13"/>
    </row>
    <row r="47525">
      <c r="L47525" s="13"/>
      <c r="M47525" s="14"/>
      <c r="N47525" s="14"/>
      <c r="O47525" s="14"/>
      <c r="P47525" s="13"/>
    </row>
    <row r="47526">
      <c r="L47526" s="13"/>
      <c r="M47526" s="14"/>
      <c r="N47526" s="14"/>
      <c r="O47526" s="14"/>
      <c r="P47526" s="13"/>
    </row>
    <row r="47527">
      <c r="L47527" s="13"/>
      <c r="M47527" s="14"/>
      <c r="N47527" s="14"/>
      <c r="O47527" s="14"/>
      <c r="P47527" s="13"/>
    </row>
    <row r="47528">
      <c r="L47528" s="13"/>
      <c r="M47528" s="14"/>
      <c r="N47528" s="14"/>
      <c r="O47528" s="14"/>
      <c r="P47528" s="13"/>
    </row>
    <row r="47529">
      <c r="L47529" s="13"/>
      <c r="M47529" s="14"/>
      <c r="N47529" s="14"/>
      <c r="O47529" s="14"/>
      <c r="P47529" s="13"/>
    </row>
    <row r="47530">
      <c r="L47530" s="13"/>
      <c r="M47530" s="14"/>
      <c r="N47530" s="14"/>
      <c r="O47530" s="14"/>
      <c r="P47530" s="13"/>
    </row>
    <row r="47531">
      <c r="L47531" s="13"/>
      <c r="M47531" s="14"/>
      <c r="N47531" s="14"/>
      <c r="O47531" s="14"/>
      <c r="P47531" s="13"/>
    </row>
    <row r="47532">
      <c r="L47532" s="13"/>
      <c r="M47532" s="14"/>
      <c r="N47532" s="14"/>
      <c r="O47532" s="14"/>
      <c r="P47532" s="13"/>
    </row>
    <row r="47533">
      <c r="L47533" s="13"/>
      <c r="M47533" s="14"/>
      <c r="N47533" s="14"/>
      <c r="O47533" s="14"/>
      <c r="P47533" s="13"/>
    </row>
    <row r="47534">
      <c r="L47534" s="13"/>
      <c r="M47534" s="14"/>
      <c r="N47534" s="14"/>
      <c r="O47534" s="14"/>
      <c r="P47534" s="13"/>
    </row>
    <row r="47535">
      <c r="L47535" s="13"/>
      <c r="M47535" s="14"/>
      <c r="N47535" s="14"/>
      <c r="O47535" s="14"/>
      <c r="P47535" s="13"/>
    </row>
    <row r="47536">
      <c r="L47536" s="13"/>
      <c r="M47536" s="14"/>
      <c r="N47536" s="14"/>
      <c r="O47536" s="14"/>
      <c r="P47536" s="13"/>
    </row>
    <row r="47537">
      <c r="L47537" s="13"/>
      <c r="M47537" s="14"/>
      <c r="N47537" s="14"/>
      <c r="O47537" s="14"/>
      <c r="P47537" s="13"/>
    </row>
    <row r="47538">
      <c r="L47538" s="13"/>
      <c r="M47538" s="14"/>
      <c r="N47538" s="14"/>
      <c r="O47538" s="14"/>
      <c r="P47538" s="13"/>
    </row>
    <row r="47539">
      <c r="L47539" s="13"/>
      <c r="M47539" s="14"/>
      <c r="N47539" s="14"/>
      <c r="O47539" s="14"/>
      <c r="P47539" s="13"/>
    </row>
    <row r="47540">
      <c r="L47540" s="13"/>
      <c r="M47540" s="14"/>
      <c r="N47540" s="14"/>
      <c r="O47540" s="14"/>
      <c r="P47540" s="13"/>
    </row>
    <row r="47541">
      <c r="L47541" s="13"/>
      <c r="M47541" s="14"/>
      <c r="N47541" s="14"/>
      <c r="O47541" s="14"/>
      <c r="P47541" s="13"/>
    </row>
    <row r="47542">
      <c r="L47542" s="13"/>
      <c r="M47542" s="14"/>
      <c r="N47542" s="14"/>
      <c r="O47542" s="14"/>
      <c r="P47542" s="13"/>
    </row>
    <row r="47543">
      <c r="L47543" s="13"/>
      <c r="M47543" s="14"/>
      <c r="N47543" s="14"/>
      <c r="O47543" s="14"/>
      <c r="P47543" s="13"/>
    </row>
    <row r="47544">
      <c r="L47544" s="13"/>
      <c r="M47544" s="14"/>
      <c r="N47544" s="14"/>
      <c r="O47544" s="14"/>
      <c r="P47544" s="13"/>
    </row>
    <row r="47545">
      <c r="L47545" s="13"/>
      <c r="M47545" s="14"/>
      <c r="N47545" s="14"/>
      <c r="O47545" s="14"/>
      <c r="P47545" s="13"/>
    </row>
    <row r="47546">
      <c r="L47546" s="13"/>
      <c r="M47546" s="14"/>
      <c r="N47546" s="14"/>
      <c r="O47546" s="14"/>
      <c r="P47546" s="13"/>
    </row>
    <row r="47547">
      <c r="L47547" s="13"/>
      <c r="M47547" s="14"/>
      <c r="N47547" s="14"/>
      <c r="O47547" s="14"/>
      <c r="P47547" s="13"/>
    </row>
    <row r="47548">
      <c r="L47548" s="13"/>
      <c r="M47548" s="14"/>
      <c r="N47548" s="14"/>
      <c r="O47548" s="14"/>
      <c r="P47548" s="13"/>
    </row>
    <row r="47549">
      <c r="L47549" s="13"/>
      <c r="M47549" s="14"/>
      <c r="N47549" s="14"/>
      <c r="O47549" s="14"/>
      <c r="P47549" s="13"/>
    </row>
    <row r="47550">
      <c r="L47550" s="13"/>
      <c r="M47550" s="14"/>
      <c r="N47550" s="14"/>
      <c r="O47550" s="14"/>
      <c r="P47550" s="13"/>
    </row>
    <row r="47551">
      <c r="L47551" s="13"/>
      <c r="M47551" s="14"/>
      <c r="N47551" s="14"/>
      <c r="O47551" s="14"/>
      <c r="P47551" s="13"/>
    </row>
    <row r="47552">
      <c r="L47552" s="13"/>
      <c r="M47552" s="14"/>
      <c r="N47552" s="14"/>
      <c r="O47552" s="14"/>
      <c r="P47552" s="13"/>
    </row>
    <row r="47553">
      <c r="L47553" s="13"/>
      <c r="M47553" s="14"/>
      <c r="N47553" s="14"/>
      <c r="O47553" s="14"/>
      <c r="P47553" s="13"/>
    </row>
    <row r="47554">
      <c r="L47554" s="13"/>
      <c r="M47554" s="14"/>
      <c r="N47554" s="14"/>
      <c r="O47554" s="14"/>
      <c r="P47554" s="13"/>
    </row>
    <row r="47555">
      <c r="L47555" s="13"/>
      <c r="M47555" s="14"/>
      <c r="N47555" s="14"/>
      <c r="O47555" s="14"/>
      <c r="P47555" s="13"/>
    </row>
    <row r="47556">
      <c r="L47556" s="13"/>
      <c r="M47556" s="14"/>
      <c r="N47556" s="14"/>
      <c r="O47556" s="14"/>
      <c r="P47556" s="13"/>
    </row>
    <row r="47557">
      <c r="L47557" s="13"/>
      <c r="M47557" s="14"/>
      <c r="N47557" s="14"/>
      <c r="O47557" s="14"/>
      <c r="P47557" s="13"/>
    </row>
    <row r="47558">
      <c r="L47558" s="13"/>
      <c r="M47558" s="14"/>
      <c r="N47558" s="14"/>
      <c r="O47558" s="14"/>
      <c r="P47558" s="13"/>
    </row>
    <row r="47559">
      <c r="L47559" s="13"/>
      <c r="M47559" s="14"/>
      <c r="N47559" s="14"/>
      <c r="O47559" s="14"/>
      <c r="P47559" s="13"/>
    </row>
    <row r="47560">
      <c r="L47560" s="13"/>
      <c r="M47560" s="14"/>
      <c r="N47560" s="14"/>
      <c r="O47560" s="14"/>
      <c r="P47560" s="13"/>
    </row>
    <row r="47561">
      <c r="L47561" s="13"/>
      <c r="M47561" s="14"/>
      <c r="N47561" s="14"/>
      <c r="O47561" s="14"/>
      <c r="P47561" s="13"/>
    </row>
    <row r="47562">
      <c r="L47562" s="13"/>
      <c r="M47562" s="14"/>
      <c r="N47562" s="14"/>
      <c r="O47562" s="14"/>
      <c r="P47562" s="13"/>
    </row>
    <row r="47563">
      <c r="L47563" s="13"/>
      <c r="M47563" s="14"/>
      <c r="N47563" s="14"/>
      <c r="O47563" s="14"/>
      <c r="P47563" s="13"/>
    </row>
    <row r="47564">
      <c r="L47564" s="13"/>
      <c r="M47564" s="14"/>
      <c r="N47564" s="14"/>
      <c r="O47564" s="14"/>
      <c r="P47564" s="13"/>
    </row>
    <row r="47565">
      <c r="L47565" s="13"/>
      <c r="M47565" s="14"/>
      <c r="N47565" s="14"/>
      <c r="O47565" s="14"/>
      <c r="P47565" s="13"/>
    </row>
    <row r="47566">
      <c r="L47566" s="13"/>
      <c r="M47566" s="14"/>
      <c r="N47566" s="14"/>
      <c r="O47566" s="14"/>
      <c r="P47566" s="13"/>
    </row>
    <row r="47567">
      <c r="L47567" s="13"/>
      <c r="M47567" s="14"/>
      <c r="N47567" s="14"/>
      <c r="O47567" s="14"/>
      <c r="P47567" s="13"/>
    </row>
    <row r="47568">
      <c r="L47568" s="13"/>
      <c r="M47568" s="14"/>
      <c r="N47568" s="14"/>
      <c r="O47568" s="14"/>
      <c r="P47568" s="13"/>
    </row>
    <row r="47569">
      <c r="L47569" s="13"/>
      <c r="M47569" s="14"/>
      <c r="N47569" s="14"/>
      <c r="O47569" s="14"/>
      <c r="P47569" s="13"/>
    </row>
    <row r="47570">
      <c r="L47570" s="13"/>
      <c r="M47570" s="14"/>
      <c r="N47570" s="14"/>
      <c r="O47570" s="14"/>
      <c r="P47570" s="13"/>
    </row>
    <row r="47571">
      <c r="L47571" s="13"/>
      <c r="M47571" s="14"/>
      <c r="N47571" s="14"/>
      <c r="O47571" s="14"/>
      <c r="P47571" s="13"/>
    </row>
    <row r="47572">
      <c r="L47572" s="13"/>
      <c r="M47572" s="14"/>
      <c r="N47572" s="14"/>
      <c r="O47572" s="14"/>
      <c r="P47572" s="13"/>
    </row>
    <row r="47573">
      <c r="L47573" s="13"/>
      <c r="M47573" s="14"/>
      <c r="N47573" s="14"/>
      <c r="O47573" s="14"/>
      <c r="P47573" s="13"/>
    </row>
    <row r="47574">
      <c r="L47574" s="13"/>
      <c r="M47574" s="14"/>
      <c r="N47574" s="14"/>
      <c r="O47574" s="14"/>
      <c r="P47574" s="13"/>
    </row>
    <row r="47575">
      <c r="L47575" s="13"/>
      <c r="M47575" s="14"/>
      <c r="N47575" s="14"/>
      <c r="O47575" s="14"/>
      <c r="P47575" s="13"/>
    </row>
    <row r="47576">
      <c r="L47576" s="13"/>
      <c r="M47576" s="14"/>
      <c r="N47576" s="14"/>
      <c r="O47576" s="14"/>
      <c r="P47576" s="13"/>
    </row>
    <row r="47577">
      <c r="L47577" s="13"/>
      <c r="M47577" s="14"/>
      <c r="N47577" s="14"/>
      <c r="O47577" s="14"/>
      <c r="P47577" s="13"/>
    </row>
    <row r="47578">
      <c r="L47578" s="13"/>
      <c r="M47578" s="14"/>
      <c r="N47578" s="14"/>
      <c r="O47578" s="14"/>
      <c r="P47578" s="13"/>
    </row>
    <row r="47579">
      <c r="L47579" s="13"/>
      <c r="M47579" s="14"/>
      <c r="N47579" s="14"/>
      <c r="O47579" s="14"/>
      <c r="P47579" s="13"/>
    </row>
    <row r="47580">
      <c r="L47580" s="13"/>
      <c r="M47580" s="14"/>
      <c r="N47580" s="14"/>
      <c r="O47580" s="14"/>
      <c r="P47580" s="13"/>
    </row>
    <row r="47581">
      <c r="L47581" s="13"/>
      <c r="M47581" s="14"/>
      <c r="N47581" s="14"/>
      <c r="O47581" s="14"/>
      <c r="P47581" s="13"/>
    </row>
    <row r="47582">
      <c r="L47582" s="13"/>
      <c r="M47582" s="14"/>
      <c r="N47582" s="14"/>
      <c r="O47582" s="14"/>
      <c r="P47582" s="13"/>
    </row>
    <row r="47583">
      <c r="L47583" s="13"/>
      <c r="M47583" s="14"/>
      <c r="N47583" s="14"/>
      <c r="O47583" s="14"/>
      <c r="P47583" s="13"/>
    </row>
    <row r="47584">
      <c r="L47584" s="13"/>
      <c r="M47584" s="14"/>
      <c r="N47584" s="14"/>
      <c r="O47584" s="14"/>
      <c r="P47584" s="13"/>
    </row>
    <row r="47585">
      <c r="L47585" s="13"/>
      <c r="M47585" s="14"/>
      <c r="N47585" s="14"/>
      <c r="O47585" s="14"/>
      <c r="P47585" s="13"/>
    </row>
    <row r="47586">
      <c r="L47586" s="13"/>
      <c r="M47586" s="14"/>
      <c r="N47586" s="14"/>
      <c r="O47586" s="14"/>
      <c r="P47586" s="13"/>
    </row>
    <row r="47587">
      <c r="L47587" s="13"/>
      <c r="M47587" s="14"/>
      <c r="N47587" s="14"/>
      <c r="O47587" s="14"/>
      <c r="P47587" s="13"/>
    </row>
    <row r="47588">
      <c r="L47588" s="13"/>
      <c r="M47588" s="14"/>
      <c r="N47588" s="14"/>
      <c r="O47588" s="14"/>
      <c r="P47588" s="13"/>
    </row>
    <row r="47589">
      <c r="L47589" s="13"/>
      <c r="M47589" s="14"/>
      <c r="N47589" s="14"/>
      <c r="O47589" s="14"/>
      <c r="P47589" s="13"/>
    </row>
    <row r="47590">
      <c r="L47590" s="13"/>
      <c r="M47590" s="14"/>
      <c r="N47590" s="14"/>
      <c r="O47590" s="14"/>
      <c r="P47590" s="13"/>
    </row>
    <row r="47591">
      <c r="L47591" s="13"/>
      <c r="M47591" s="14"/>
      <c r="N47591" s="14"/>
      <c r="O47591" s="14"/>
      <c r="P47591" s="13"/>
    </row>
    <row r="47592">
      <c r="L47592" s="13"/>
      <c r="M47592" s="14"/>
      <c r="N47592" s="14"/>
      <c r="O47592" s="14"/>
      <c r="P47592" s="13"/>
    </row>
    <row r="47593">
      <c r="L47593" s="13"/>
      <c r="M47593" s="14"/>
      <c r="N47593" s="14"/>
      <c r="O47593" s="14"/>
      <c r="P47593" s="13"/>
    </row>
    <row r="47594">
      <c r="L47594" s="13"/>
      <c r="M47594" s="14"/>
      <c r="N47594" s="14"/>
      <c r="O47594" s="14"/>
      <c r="P47594" s="13"/>
    </row>
    <row r="47595">
      <c r="L47595" s="13"/>
      <c r="M47595" s="14"/>
      <c r="N47595" s="14"/>
      <c r="O47595" s="14"/>
      <c r="P47595" s="13"/>
    </row>
    <row r="47596">
      <c r="L47596" s="13"/>
      <c r="M47596" s="14"/>
      <c r="N47596" s="14"/>
      <c r="O47596" s="14"/>
      <c r="P47596" s="13"/>
    </row>
    <row r="47597">
      <c r="L47597" s="13"/>
      <c r="M47597" s="14"/>
      <c r="N47597" s="14"/>
      <c r="O47597" s="14"/>
      <c r="P47597" s="13"/>
    </row>
    <row r="47598">
      <c r="L47598" s="13"/>
      <c r="M47598" s="14"/>
      <c r="N47598" s="14"/>
      <c r="O47598" s="14"/>
      <c r="P47598" s="13"/>
    </row>
    <row r="47599">
      <c r="L47599" s="13"/>
      <c r="M47599" s="14"/>
      <c r="N47599" s="14"/>
      <c r="O47599" s="14"/>
      <c r="P47599" s="13"/>
    </row>
    <row r="47600">
      <c r="L47600" s="13"/>
      <c r="M47600" s="14"/>
      <c r="N47600" s="14"/>
      <c r="O47600" s="14"/>
      <c r="P47600" s="13"/>
    </row>
    <row r="47601">
      <c r="L47601" s="13"/>
      <c r="M47601" s="14"/>
      <c r="N47601" s="14"/>
      <c r="O47601" s="14"/>
      <c r="P47601" s="13"/>
    </row>
    <row r="47602">
      <c r="L47602" s="13"/>
      <c r="M47602" s="14"/>
      <c r="N47602" s="14"/>
      <c r="O47602" s="14"/>
      <c r="P47602" s="13"/>
    </row>
    <row r="47603">
      <c r="L47603" s="13"/>
      <c r="M47603" s="14"/>
      <c r="N47603" s="14"/>
      <c r="O47603" s="14"/>
      <c r="P47603" s="13"/>
    </row>
    <row r="47604">
      <c r="L47604" s="13"/>
      <c r="M47604" s="14"/>
      <c r="N47604" s="14"/>
      <c r="O47604" s="14"/>
      <c r="P47604" s="13"/>
    </row>
    <row r="47605">
      <c r="L47605" s="13"/>
      <c r="M47605" s="14"/>
      <c r="N47605" s="14"/>
      <c r="O47605" s="14"/>
      <c r="P47605" s="13"/>
    </row>
    <row r="47606">
      <c r="L47606" s="13"/>
      <c r="M47606" s="14"/>
      <c r="N47606" s="14"/>
      <c r="O47606" s="14"/>
      <c r="P47606" s="13"/>
    </row>
    <row r="47607">
      <c r="L47607" s="13"/>
      <c r="M47607" s="14"/>
      <c r="N47607" s="14"/>
      <c r="O47607" s="14"/>
      <c r="P47607" s="13"/>
    </row>
    <row r="47608">
      <c r="L47608" s="13"/>
      <c r="M47608" s="14"/>
      <c r="N47608" s="14"/>
      <c r="O47608" s="14"/>
      <c r="P47608" s="13"/>
    </row>
    <row r="47609">
      <c r="L47609" s="13"/>
      <c r="M47609" s="14"/>
      <c r="N47609" s="14"/>
      <c r="O47609" s="14"/>
      <c r="P47609" s="13"/>
    </row>
    <row r="47610">
      <c r="L47610" s="13"/>
      <c r="M47610" s="14"/>
      <c r="N47610" s="14"/>
      <c r="O47610" s="14"/>
      <c r="P47610" s="13"/>
    </row>
    <row r="47611">
      <c r="L47611" s="13"/>
      <c r="M47611" s="14"/>
      <c r="N47611" s="14"/>
      <c r="O47611" s="14"/>
      <c r="P47611" s="13"/>
    </row>
    <row r="47612">
      <c r="L47612" s="13"/>
      <c r="M47612" s="14"/>
      <c r="N47612" s="14"/>
      <c r="O47612" s="14"/>
      <c r="P47612" s="13"/>
    </row>
    <row r="47613">
      <c r="L47613" s="13"/>
      <c r="M47613" s="14"/>
      <c r="N47613" s="14"/>
      <c r="O47613" s="14"/>
      <c r="P47613" s="13"/>
    </row>
    <row r="47614">
      <c r="L47614" s="13"/>
      <c r="M47614" s="14"/>
      <c r="N47614" s="14"/>
      <c r="O47614" s="14"/>
      <c r="P47614" s="13"/>
    </row>
    <row r="47615">
      <c r="L47615" s="13"/>
      <c r="M47615" s="14"/>
      <c r="N47615" s="14"/>
      <c r="O47615" s="14"/>
      <c r="P47615" s="13"/>
    </row>
    <row r="47616">
      <c r="L47616" s="13"/>
      <c r="M47616" s="14"/>
      <c r="N47616" s="14"/>
      <c r="O47616" s="14"/>
      <c r="P47616" s="13"/>
    </row>
    <row r="47617">
      <c r="L47617" s="13"/>
      <c r="M47617" s="14"/>
      <c r="N47617" s="14"/>
      <c r="O47617" s="14"/>
      <c r="P47617" s="13"/>
    </row>
    <row r="47618">
      <c r="L47618" s="13"/>
      <c r="M47618" s="14"/>
      <c r="N47618" s="14"/>
      <c r="O47618" s="14"/>
      <c r="P47618" s="13"/>
    </row>
    <row r="47619">
      <c r="L47619" s="13"/>
      <c r="M47619" s="14"/>
      <c r="N47619" s="14"/>
      <c r="O47619" s="14"/>
      <c r="P47619" s="13"/>
    </row>
    <row r="47620">
      <c r="L47620" s="13"/>
      <c r="M47620" s="14"/>
      <c r="N47620" s="14"/>
      <c r="O47620" s="14"/>
      <c r="P47620" s="13"/>
    </row>
    <row r="47621">
      <c r="L47621" s="13"/>
      <c r="M47621" s="14"/>
      <c r="N47621" s="14"/>
      <c r="O47621" s="14"/>
      <c r="P47621" s="13"/>
    </row>
    <row r="47622">
      <c r="L47622" s="13"/>
      <c r="M47622" s="14"/>
      <c r="N47622" s="14"/>
      <c r="O47622" s="14"/>
      <c r="P47622" s="13"/>
    </row>
    <row r="47623">
      <c r="L47623" s="13"/>
      <c r="M47623" s="14"/>
      <c r="N47623" s="14"/>
      <c r="O47623" s="14"/>
      <c r="P47623" s="13"/>
    </row>
    <row r="47624">
      <c r="L47624" s="13"/>
      <c r="M47624" s="14"/>
      <c r="N47624" s="14"/>
      <c r="O47624" s="14"/>
      <c r="P47624" s="13"/>
    </row>
    <row r="47625">
      <c r="L47625" s="13"/>
      <c r="M47625" s="14"/>
      <c r="N47625" s="14"/>
      <c r="O47625" s="14"/>
      <c r="P47625" s="13"/>
    </row>
    <row r="47626">
      <c r="L47626" s="13"/>
      <c r="M47626" s="14"/>
      <c r="N47626" s="14"/>
      <c r="O47626" s="14"/>
      <c r="P47626" s="13"/>
    </row>
    <row r="47627">
      <c r="L47627" s="13"/>
      <c r="M47627" s="14"/>
      <c r="N47627" s="14"/>
      <c r="O47627" s="14"/>
      <c r="P47627" s="13"/>
    </row>
    <row r="47628">
      <c r="L47628" s="13"/>
      <c r="M47628" s="14"/>
      <c r="N47628" s="14"/>
      <c r="O47628" s="14"/>
      <c r="P47628" s="13"/>
    </row>
    <row r="47629">
      <c r="L47629" s="13"/>
      <c r="M47629" s="14"/>
      <c r="N47629" s="14"/>
      <c r="O47629" s="14"/>
      <c r="P47629" s="13"/>
    </row>
    <row r="47630">
      <c r="L47630" s="13"/>
      <c r="M47630" s="14"/>
      <c r="N47630" s="14"/>
      <c r="O47630" s="14"/>
      <c r="P47630" s="13"/>
    </row>
    <row r="47631">
      <c r="L47631" s="13"/>
      <c r="M47631" s="14"/>
      <c r="N47631" s="14"/>
      <c r="O47631" s="14"/>
      <c r="P47631" s="13"/>
    </row>
    <row r="47632">
      <c r="L47632" s="13"/>
      <c r="M47632" s="14"/>
      <c r="N47632" s="14"/>
      <c r="O47632" s="14"/>
      <c r="P47632" s="13"/>
    </row>
    <row r="47633">
      <c r="L47633" s="13"/>
      <c r="M47633" s="14"/>
      <c r="N47633" s="14"/>
      <c r="O47633" s="14"/>
      <c r="P47633" s="13"/>
    </row>
    <row r="47634">
      <c r="L47634" s="13"/>
      <c r="M47634" s="14"/>
      <c r="N47634" s="14"/>
      <c r="O47634" s="14"/>
      <c r="P47634" s="13"/>
    </row>
    <row r="47635">
      <c r="L47635" s="13"/>
      <c r="M47635" s="14"/>
      <c r="N47635" s="14"/>
      <c r="O47635" s="14"/>
      <c r="P47635" s="13"/>
    </row>
    <row r="47636">
      <c r="L47636" s="13"/>
      <c r="M47636" s="14"/>
      <c r="N47636" s="14"/>
      <c r="O47636" s="14"/>
      <c r="P47636" s="13"/>
    </row>
    <row r="47637">
      <c r="L47637" s="13"/>
      <c r="M47637" s="14"/>
      <c r="N47637" s="14"/>
      <c r="O47637" s="14"/>
      <c r="P47637" s="13"/>
    </row>
    <row r="47638">
      <c r="L47638" s="13"/>
      <c r="M47638" s="14"/>
      <c r="N47638" s="14"/>
      <c r="O47638" s="14"/>
      <c r="P47638" s="13"/>
    </row>
    <row r="47639">
      <c r="L47639" s="13"/>
      <c r="M47639" s="14"/>
      <c r="N47639" s="14"/>
      <c r="O47639" s="14"/>
      <c r="P47639" s="13"/>
    </row>
    <row r="47640">
      <c r="L47640" s="13"/>
      <c r="M47640" s="14"/>
      <c r="N47640" s="14"/>
      <c r="O47640" s="14"/>
      <c r="P47640" s="13"/>
    </row>
    <row r="47641">
      <c r="L47641" s="13"/>
      <c r="M47641" s="14"/>
      <c r="N47641" s="14"/>
      <c r="O47641" s="14"/>
      <c r="P47641" s="13"/>
    </row>
    <row r="47642">
      <c r="L47642" s="13"/>
      <c r="M47642" s="14"/>
      <c r="N47642" s="14"/>
      <c r="O47642" s="14"/>
      <c r="P47642" s="13"/>
    </row>
    <row r="47643">
      <c r="L47643" s="13"/>
      <c r="M47643" s="14"/>
      <c r="N47643" s="14"/>
      <c r="O47643" s="14"/>
      <c r="P47643" s="13"/>
    </row>
    <row r="47644">
      <c r="L47644" s="13"/>
      <c r="M47644" s="14"/>
      <c r="N47644" s="14"/>
      <c r="O47644" s="14"/>
      <c r="P47644" s="13"/>
    </row>
    <row r="47645">
      <c r="L47645" s="13"/>
      <c r="M47645" s="14"/>
      <c r="N47645" s="14"/>
      <c r="O47645" s="14"/>
      <c r="P47645" s="13"/>
    </row>
    <row r="47646">
      <c r="L47646" s="13"/>
      <c r="M47646" s="14"/>
      <c r="N47646" s="14"/>
      <c r="O47646" s="14"/>
      <c r="P47646" s="13"/>
    </row>
    <row r="47647">
      <c r="L47647" s="13"/>
      <c r="M47647" s="14"/>
      <c r="N47647" s="14"/>
      <c r="O47647" s="14"/>
      <c r="P47647" s="13"/>
    </row>
    <row r="47648">
      <c r="L47648" s="13"/>
      <c r="M47648" s="14"/>
      <c r="N47648" s="14"/>
      <c r="O47648" s="14"/>
      <c r="P47648" s="13"/>
    </row>
    <row r="47649">
      <c r="L47649" s="13"/>
      <c r="M47649" s="14"/>
      <c r="N47649" s="14"/>
      <c r="O47649" s="14"/>
      <c r="P47649" s="13"/>
    </row>
    <row r="47650">
      <c r="L47650" s="13"/>
      <c r="M47650" s="14"/>
      <c r="N47650" s="14"/>
      <c r="O47650" s="14"/>
      <c r="P47650" s="13"/>
    </row>
    <row r="47651">
      <c r="L47651" s="13"/>
      <c r="M47651" s="14"/>
      <c r="N47651" s="14"/>
      <c r="O47651" s="14"/>
      <c r="P47651" s="13"/>
    </row>
    <row r="47652">
      <c r="L47652" s="13"/>
      <c r="M47652" s="14"/>
      <c r="N47652" s="14"/>
      <c r="O47652" s="14"/>
      <c r="P47652" s="13"/>
    </row>
    <row r="47653">
      <c r="L47653" s="13"/>
      <c r="M47653" s="14"/>
      <c r="N47653" s="14"/>
      <c r="O47653" s="14"/>
      <c r="P47653" s="13"/>
    </row>
    <row r="47654">
      <c r="L47654" s="13"/>
      <c r="M47654" s="14"/>
      <c r="N47654" s="14"/>
      <c r="O47654" s="14"/>
      <c r="P47654" s="13"/>
    </row>
    <row r="47655">
      <c r="L47655" s="13"/>
      <c r="M47655" s="14"/>
      <c r="N47655" s="14"/>
      <c r="O47655" s="14"/>
      <c r="P47655" s="13"/>
    </row>
    <row r="47656">
      <c r="L47656" s="13"/>
      <c r="M47656" s="14"/>
      <c r="N47656" s="14"/>
      <c r="O47656" s="14"/>
      <c r="P47656" s="13"/>
    </row>
    <row r="47657">
      <c r="L47657" s="13"/>
      <c r="M47657" s="14"/>
      <c r="N47657" s="14"/>
      <c r="O47657" s="14"/>
      <c r="P47657" s="13"/>
    </row>
    <row r="47658">
      <c r="L47658" s="13"/>
      <c r="M47658" s="14"/>
      <c r="N47658" s="14"/>
      <c r="O47658" s="14"/>
      <c r="P47658" s="13"/>
    </row>
    <row r="47659">
      <c r="L47659" s="13"/>
      <c r="M47659" s="14"/>
      <c r="N47659" s="14"/>
      <c r="O47659" s="14"/>
      <c r="P47659" s="13"/>
    </row>
    <row r="47660">
      <c r="L47660" s="13"/>
      <c r="M47660" s="14"/>
      <c r="N47660" s="14"/>
      <c r="O47660" s="14"/>
      <c r="P47660" s="13"/>
    </row>
    <row r="47661">
      <c r="L47661" s="13"/>
      <c r="M47661" s="14"/>
      <c r="N47661" s="14"/>
      <c r="O47661" s="14"/>
      <c r="P47661" s="13"/>
    </row>
    <row r="47662">
      <c r="L47662" s="13"/>
      <c r="M47662" s="14"/>
      <c r="N47662" s="14"/>
      <c r="O47662" s="14"/>
      <c r="P47662" s="13"/>
    </row>
    <row r="47663">
      <c r="L47663" s="13"/>
      <c r="M47663" s="14"/>
      <c r="N47663" s="14"/>
      <c r="O47663" s="14"/>
      <c r="P47663" s="13"/>
    </row>
    <row r="47664">
      <c r="L47664" s="13"/>
      <c r="M47664" s="14"/>
      <c r="N47664" s="14"/>
      <c r="O47664" s="14"/>
      <c r="P47664" s="13"/>
    </row>
    <row r="47665">
      <c r="L47665" s="13"/>
      <c r="M47665" s="14"/>
      <c r="N47665" s="14"/>
      <c r="O47665" s="14"/>
      <c r="P47665" s="13"/>
    </row>
    <row r="47666">
      <c r="L47666" s="13"/>
      <c r="M47666" s="14"/>
      <c r="N47666" s="14"/>
      <c r="O47666" s="14"/>
      <c r="P47666" s="13"/>
    </row>
    <row r="47667">
      <c r="L47667" s="13"/>
      <c r="M47667" s="14"/>
      <c r="N47667" s="14"/>
      <c r="O47667" s="14"/>
      <c r="P47667" s="13"/>
    </row>
    <row r="47668">
      <c r="L47668" s="13"/>
      <c r="M47668" s="14"/>
      <c r="N47668" s="14"/>
      <c r="O47668" s="14"/>
      <c r="P47668" s="13"/>
    </row>
    <row r="47669">
      <c r="L47669" s="13"/>
      <c r="M47669" s="14"/>
      <c r="N47669" s="14"/>
      <c r="O47669" s="14"/>
      <c r="P47669" s="13"/>
    </row>
    <row r="47670">
      <c r="L47670" s="13"/>
      <c r="M47670" s="14"/>
      <c r="N47670" s="14"/>
      <c r="O47670" s="14"/>
      <c r="P47670" s="13"/>
    </row>
    <row r="47671">
      <c r="L47671" s="13"/>
      <c r="M47671" s="14"/>
      <c r="N47671" s="14"/>
      <c r="O47671" s="14"/>
      <c r="P47671" s="13"/>
    </row>
    <row r="47672">
      <c r="L47672" s="13"/>
      <c r="M47672" s="14"/>
      <c r="N47672" s="14"/>
      <c r="O47672" s="14"/>
      <c r="P47672" s="13"/>
    </row>
    <row r="47673">
      <c r="L47673" s="13"/>
      <c r="M47673" s="14"/>
      <c r="N47673" s="14"/>
      <c r="O47673" s="14"/>
      <c r="P47673" s="13"/>
    </row>
    <row r="47674">
      <c r="L47674" s="13"/>
      <c r="M47674" s="14"/>
      <c r="N47674" s="14"/>
      <c r="O47674" s="14"/>
      <c r="P47674" s="13"/>
    </row>
    <row r="47675">
      <c r="L47675" s="13"/>
      <c r="M47675" s="14"/>
      <c r="N47675" s="14"/>
      <c r="O47675" s="14"/>
      <c r="P47675" s="13"/>
    </row>
    <row r="47676">
      <c r="L47676" s="13"/>
      <c r="M47676" s="14"/>
      <c r="N47676" s="14"/>
      <c r="O47676" s="14"/>
      <c r="P47676" s="13"/>
    </row>
    <row r="47677">
      <c r="L47677" s="13"/>
      <c r="M47677" s="14"/>
      <c r="N47677" s="14"/>
      <c r="O47677" s="14"/>
      <c r="P47677" s="13"/>
    </row>
    <row r="47678">
      <c r="L47678" s="13"/>
      <c r="M47678" s="14"/>
      <c r="N47678" s="14"/>
      <c r="O47678" s="14"/>
      <c r="P47678" s="13"/>
    </row>
    <row r="47679">
      <c r="L47679" s="13"/>
      <c r="M47679" s="14"/>
      <c r="N47679" s="14"/>
      <c r="O47679" s="14"/>
      <c r="P47679" s="13"/>
    </row>
    <row r="47680">
      <c r="L47680" s="13"/>
      <c r="M47680" s="14"/>
      <c r="N47680" s="14"/>
      <c r="O47680" s="14"/>
      <c r="P47680" s="13"/>
    </row>
    <row r="47681">
      <c r="L47681" s="13"/>
      <c r="M47681" s="14"/>
      <c r="N47681" s="14"/>
      <c r="O47681" s="14"/>
      <c r="P47681" s="13"/>
    </row>
    <row r="47682">
      <c r="L47682" s="13"/>
      <c r="M47682" s="14"/>
      <c r="N47682" s="14"/>
      <c r="O47682" s="14"/>
      <c r="P47682" s="13"/>
    </row>
    <row r="47683">
      <c r="L47683" s="13"/>
      <c r="M47683" s="14"/>
      <c r="N47683" s="14"/>
      <c r="O47683" s="14"/>
      <c r="P47683" s="13"/>
    </row>
    <row r="47684">
      <c r="L47684" s="13"/>
      <c r="M47684" s="14"/>
      <c r="N47684" s="14"/>
      <c r="O47684" s="14"/>
      <c r="P47684" s="13"/>
    </row>
    <row r="47685">
      <c r="L47685" s="13"/>
      <c r="M47685" s="14"/>
      <c r="N47685" s="14"/>
      <c r="O47685" s="14"/>
      <c r="P47685" s="13"/>
    </row>
    <row r="47686">
      <c r="L47686" s="13"/>
      <c r="M47686" s="14"/>
      <c r="N47686" s="14"/>
      <c r="O47686" s="14"/>
      <c r="P47686" s="13"/>
    </row>
    <row r="47687">
      <c r="L47687" s="13"/>
      <c r="M47687" s="14"/>
      <c r="N47687" s="14"/>
      <c r="O47687" s="14"/>
      <c r="P47687" s="13"/>
    </row>
    <row r="47688">
      <c r="L47688" s="13"/>
      <c r="M47688" s="14"/>
      <c r="N47688" s="14"/>
      <c r="O47688" s="14"/>
      <c r="P47688" s="13"/>
    </row>
    <row r="47689">
      <c r="L47689" s="13"/>
      <c r="M47689" s="14"/>
      <c r="N47689" s="14"/>
      <c r="O47689" s="14"/>
      <c r="P47689" s="13"/>
    </row>
    <row r="47690">
      <c r="L47690" s="13"/>
      <c r="M47690" s="14"/>
      <c r="N47690" s="14"/>
      <c r="O47690" s="14"/>
      <c r="P47690" s="13"/>
    </row>
    <row r="47691">
      <c r="L47691" s="13"/>
      <c r="M47691" s="14"/>
      <c r="N47691" s="14"/>
      <c r="O47691" s="14"/>
      <c r="P47691" s="13"/>
    </row>
    <row r="47692">
      <c r="L47692" s="13"/>
      <c r="M47692" s="14"/>
      <c r="N47692" s="14"/>
      <c r="O47692" s="14"/>
      <c r="P47692" s="13"/>
    </row>
    <row r="47693">
      <c r="L47693" s="13"/>
      <c r="M47693" s="14"/>
      <c r="N47693" s="14"/>
      <c r="O47693" s="14"/>
      <c r="P47693" s="13"/>
    </row>
    <row r="47694">
      <c r="L47694" s="13"/>
      <c r="M47694" s="14"/>
      <c r="N47694" s="14"/>
      <c r="O47694" s="14"/>
      <c r="P47694" s="13"/>
    </row>
    <row r="47695">
      <c r="L47695" s="13"/>
      <c r="M47695" s="14"/>
      <c r="N47695" s="14"/>
      <c r="O47695" s="14"/>
      <c r="P47695" s="13"/>
    </row>
    <row r="47696">
      <c r="L47696" s="13"/>
      <c r="M47696" s="14"/>
      <c r="N47696" s="14"/>
      <c r="O47696" s="14"/>
      <c r="P47696" s="13"/>
    </row>
    <row r="47697">
      <c r="L47697" s="13"/>
      <c r="M47697" s="14"/>
      <c r="N47697" s="14"/>
      <c r="O47697" s="14"/>
      <c r="P47697" s="13"/>
    </row>
    <row r="47698">
      <c r="L47698" s="13"/>
      <c r="M47698" s="14"/>
      <c r="N47698" s="14"/>
      <c r="O47698" s="14"/>
      <c r="P47698" s="13"/>
    </row>
    <row r="47699">
      <c r="L47699" s="13"/>
      <c r="M47699" s="14"/>
      <c r="N47699" s="14"/>
      <c r="O47699" s="14"/>
      <c r="P47699" s="13"/>
    </row>
    <row r="47700">
      <c r="L47700" s="13"/>
      <c r="M47700" s="14"/>
      <c r="N47700" s="14"/>
      <c r="O47700" s="14"/>
      <c r="P47700" s="13"/>
    </row>
    <row r="47701">
      <c r="L47701" s="13"/>
      <c r="M47701" s="14"/>
      <c r="N47701" s="14"/>
      <c r="O47701" s="14"/>
      <c r="P47701" s="13"/>
    </row>
    <row r="47702">
      <c r="L47702" s="13"/>
      <c r="M47702" s="14"/>
      <c r="N47702" s="14"/>
      <c r="O47702" s="14"/>
      <c r="P47702" s="13"/>
    </row>
    <row r="47703">
      <c r="L47703" s="13"/>
      <c r="M47703" s="14"/>
      <c r="N47703" s="14"/>
      <c r="O47703" s="14"/>
      <c r="P47703" s="13"/>
    </row>
    <row r="47704">
      <c r="L47704" s="13"/>
      <c r="M47704" s="14"/>
      <c r="N47704" s="14"/>
      <c r="O47704" s="14"/>
      <c r="P47704" s="13"/>
    </row>
    <row r="47705">
      <c r="L47705" s="13"/>
      <c r="M47705" s="14"/>
      <c r="N47705" s="14"/>
      <c r="O47705" s="14"/>
      <c r="P47705" s="13"/>
    </row>
    <row r="47706">
      <c r="L47706" s="13"/>
      <c r="M47706" s="14"/>
      <c r="N47706" s="14"/>
      <c r="O47706" s="14"/>
      <c r="P47706" s="13"/>
    </row>
    <row r="47707">
      <c r="L47707" s="13"/>
      <c r="M47707" s="14"/>
      <c r="N47707" s="14"/>
      <c r="O47707" s="14"/>
      <c r="P47707" s="13"/>
    </row>
    <row r="47708">
      <c r="L47708" s="13"/>
      <c r="M47708" s="14"/>
      <c r="N47708" s="14"/>
      <c r="O47708" s="14"/>
      <c r="P47708" s="13"/>
    </row>
    <row r="47709">
      <c r="L47709" s="13"/>
      <c r="M47709" s="14"/>
      <c r="N47709" s="14"/>
      <c r="O47709" s="14"/>
      <c r="P47709" s="13"/>
    </row>
    <row r="47710">
      <c r="L47710" s="13"/>
      <c r="M47710" s="14"/>
      <c r="N47710" s="14"/>
      <c r="O47710" s="14"/>
      <c r="P47710" s="13"/>
    </row>
    <row r="47711">
      <c r="L47711" s="13"/>
      <c r="M47711" s="14"/>
      <c r="N47711" s="14"/>
      <c r="O47711" s="14"/>
      <c r="P47711" s="13"/>
    </row>
    <row r="47712">
      <c r="L47712" s="13"/>
      <c r="M47712" s="14"/>
      <c r="N47712" s="14"/>
      <c r="O47712" s="14"/>
      <c r="P47712" s="13"/>
    </row>
    <row r="47713">
      <c r="L47713" s="13"/>
      <c r="M47713" s="14"/>
      <c r="N47713" s="14"/>
      <c r="O47713" s="14"/>
      <c r="P47713" s="13"/>
    </row>
    <row r="47714">
      <c r="L47714" s="13"/>
      <c r="M47714" s="14"/>
      <c r="N47714" s="14"/>
      <c r="O47714" s="14"/>
      <c r="P47714" s="13"/>
    </row>
    <row r="47715">
      <c r="L47715" s="13"/>
      <c r="M47715" s="14"/>
      <c r="N47715" s="14"/>
      <c r="O47715" s="14"/>
      <c r="P47715" s="13"/>
    </row>
    <row r="47716">
      <c r="L47716" s="13"/>
      <c r="M47716" s="14"/>
      <c r="N47716" s="14"/>
      <c r="O47716" s="14"/>
      <c r="P47716" s="13"/>
    </row>
    <row r="47717">
      <c r="L47717" s="13"/>
      <c r="M47717" s="14"/>
      <c r="N47717" s="14"/>
      <c r="O47717" s="14"/>
      <c r="P47717" s="13"/>
    </row>
    <row r="47718">
      <c r="L47718" s="13"/>
      <c r="M47718" s="14"/>
      <c r="N47718" s="14"/>
      <c r="O47718" s="14"/>
      <c r="P47718" s="13"/>
    </row>
    <row r="47719">
      <c r="L47719" s="13"/>
      <c r="M47719" s="14"/>
      <c r="N47719" s="14"/>
      <c r="O47719" s="14"/>
      <c r="P47719" s="13"/>
    </row>
    <row r="47720">
      <c r="L47720" s="13"/>
      <c r="M47720" s="14"/>
      <c r="N47720" s="14"/>
      <c r="O47720" s="14"/>
      <c r="P47720" s="13"/>
    </row>
    <row r="47721">
      <c r="L47721" s="13"/>
      <c r="M47721" s="14"/>
      <c r="N47721" s="14"/>
      <c r="O47721" s="14"/>
      <c r="P47721" s="13"/>
    </row>
    <row r="47722">
      <c r="L47722" s="13"/>
      <c r="M47722" s="14"/>
      <c r="N47722" s="14"/>
      <c r="O47722" s="14"/>
      <c r="P47722" s="13"/>
    </row>
    <row r="47723">
      <c r="L47723" s="13"/>
      <c r="M47723" s="14"/>
      <c r="N47723" s="14"/>
      <c r="O47723" s="14"/>
      <c r="P47723" s="13"/>
    </row>
    <row r="47724">
      <c r="L47724" s="13"/>
      <c r="M47724" s="14"/>
      <c r="N47724" s="14"/>
      <c r="O47724" s="14"/>
      <c r="P47724" s="13"/>
    </row>
    <row r="47725">
      <c r="L47725" s="13"/>
      <c r="M47725" s="14"/>
      <c r="N47725" s="14"/>
      <c r="O47725" s="14"/>
      <c r="P47725" s="13"/>
    </row>
    <row r="47726">
      <c r="L47726" s="13"/>
      <c r="M47726" s="14"/>
      <c r="N47726" s="14"/>
      <c r="O47726" s="14"/>
      <c r="P47726" s="13"/>
    </row>
    <row r="47727">
      <c r="L47727" s="13"/>
      <c r="M47727" s="14"/>
      <c r="N47727" s="14"/>
      <c r="O47727" s="14"/>
      <c r="P47727" s="13"/>
    </row>
    <row r="47728">
      <c r="L47728" s="13"/>
      <c r="M47728" s="14"/>
      <c r="N47728" s="14"/>
      <c r="O47728" s="14"/>
      <c r="P47728" s="13"/>
    </row>
    <row r="47729">
      <c r="L47729" s="13"/>
      <c r="M47729" s="14"/>
      <c r="N47729" s="14"/>
      <c r="O47729" s="14"/>
      <c r="P47729" s="13"/>
    </row>
    <row r="47730">
      <c r="L47730" s="13"/>
      <c r="M47730" s="14"/>
      <c r="N47730" s="14"/>
      <c r="O47730" s="14"/>
      <c r="P47730" s="13"/>
    </row>
    <row r="47731">
      <c r="L47731" s="13"/>
      <c r="M47731" s="14"/>
      <c r="N47731" s="14"/>
      <c r="O47731" s="14"/>
      <c r="P47731" s="13"/>
    </row>
    <row r="47732">
      <c r="L47732" s="13"/>
      <c r="M47732" s="14"/>
      <c r="N47732" s="14"/>
      <c r="O47732" s="14"/>
      <c r="P47732" s="13"/>
    </row>
    <row r="47733">
      <c r="L47733" s="13"/>
      <c r="M47733" s="14"/>
      <c r="N47733" s="14"/>
      <c r="O47733" s="14"/>
      <c r="P47733" s="13"/>
    </row>
    <row r="47734">
      <c r="L47734" s="13"/>
      <c r="M47734" s="14"/>
      <c r="N47734" s="14"/>
      <c r="O47734" s="14"/>
      <c r="P47734" s="13"/>
    </row>
    <row r="47735">
      <c r="L47735" s="13"/>
      <c r="M47735" s="14"/>
      <c r="N47735" s="14"/>
      <c r="O47735" s="14"/>
      <c r="P47735" s="13"/>
    </row>
    <row r="47736">
      <c r="L47736" s="13"/>
      <c r="M47736" s="14"/>
      <c r="N47736" s="14"/>
      <c r="O47736" s="14"/>
      <c r="P47736" s="13"/>
    </row>
    <row r="47737">
      <c r="L47737" s="13"/>
      <c r="M47737" s="14"/>
      <c r="N47737" s="14"/>
      <c r="O47737" s="14"/>
      <c r="P47737" s="13"/>
    </row>
    <row r="47738">
      <c r="L47738" s="13"/>
      <c r="M47738" s="14"/>
      <c r="N47738" s="14"/>
      <c r="O47738" s="14"/>
      <c r="P47738" s="13"/>
    </row>
    <row r="47739">
      <c r="L47739" s="13"/>
      <c r="M47739" s="14"/>
      <c r="N47739" s="14"/>
      <c r="O47739" s="14"/>
      <c r="P47739" s="13"/>
    </row>
    <row r="47740">
      <c r="L47740" s="13"/>
      <c r="M47740" s="14"/>
      <c r="N47740" s="14"/>
      <c r="O47740" s="14"/>
      <c r="P47740" s="13"/>
    </row>
    <row r="47741">
      <c r="L47741" s="13"/>
      <c r="M47741" s="14"/>
      <c r="N47741" s="14"/>
      <c r="O47741" s="14"/>
      <c r="P47741" s="13"/>
    </row>
    <row r="47742">
      <c r="L47742" s="13"/>
      <c r="M47742" s="14"/>
      <c r="N47742" s="14"/>
      <c r="O47742" s="14"/>
      <c r="P47742" s="13"/>
    </row>
    <row r="47743">
      <c r="L47743" s="13"/>
      <c r="M47743" s="14"/>
      <c r="N47743" s="14"/>
      <c r="O47743" s="14"/>
      <c r="P47743" s="13"/>
    </row>
    <row r="47744">
      <c r="L47744" s="13"/>
      <c r="M47744" s="14"/>
      <c r="N47744" s="14"/>
      <c r="O47744" s="14"/>
      <c r="P47744" s="13"/>
    </row>
    <row r="47745">
      <c r="L47745" s="13"/>
      <c r="M47745" s="14"/>
      <c r="N47745" s="14"/>
      <c r="O47745" s="14"/>
      <c r="P47745" s="13"/>
    </row>
    <row r="47746">
      <c r="L47746" s="13"/>
      <c r="M47746" s="14"/>
      <c r="N47746" s="14"/>
      <c r="O47746" s="14"/>
      <c r="P47746" s="13"/>
    </row>
    <row r="47747">
      <c r="L47747" s="13"/>
      <c r="M47747" s="14"/>
      <c r="N47747" s="14"/>
      <c r="O47747" s="14"/>
      <c r="P47747" s="13"/>
    </row>
    <row r="47748">
      <c r="L47748" s="13"/>
      <c r="M47748" s="14"/>
      <c r="N47748" s="14"/>
      <c r="O47748" s="14"/>
      <c r="P47748" s="13"/>
    </row>
    <row r="47749">
      <c r="L47749" s="13"/>
      <c r="M47749" s="14"/>
      <c r="N47749" s="14"/>
      <c r="O47749" s="14"/>
      <c r="P47749" s="13"/>
    </row>
    <row r="47750">
      <c r="L47750" s="13"/>
      <c r="M47750" s="14"/>
      <c r="N47750" s="14"/>
      <c r="O47750" s="14"/>
      <c r="P47750" s="13"/>
    </row>
    <row r="47751">
      <c r="L47751" s="13"/>
      <c r="M47751" s="14"/>
      <c r="N47751" s="14"/>
      <c r="O47751" s="14"/>
      <c r="P47751" s="13"/>
    </row>
    <row r="47752">
      <c r="L47752" s="13"/>
      <c r="M47752" s="14"/>
      <c r="N47752" s="14"/>
      <c r="O47752" s="14"/>
      <c r="P47752" s="13"/>
    </row>
    <row r="47753">
      <c r="L47753" s="13"/>
      <c r="M47753" s="14"/>
      <c r="N47753" s="14"/>
      <c r="O47753" s="14"/>
      <c r="P47753" s="13"/>
    </row>
    <row r="47754">
      <c r="L47754" s="13"/>
      <c r="M47754" s="14"/>
      <c r="N47754" s="14"/>
      <c r="O47754" s="14"/>
      <c r="P47754" s="13"/>
    </row>
    <row r="47755">
      <c r="L47755" s="13"/>
      <c r="M47755" s="14"/>
      <c r="N47755" s="14"/>
      <c r="O47755" s="14"/>
      <c r="P47755" s="13"/>
    </row>
    <row r="47756">
      <c r="L47756" s="13"/>
      <c r="M47756" s="14"/>
      <c r="N47756" s="14"/>
      <c r="O47756" s="14"/>
      <c r="P47756" s="13"/>
    </row>
    <row r="47757">
      <c r="L47757" s="13"/>
      <c r="M47757" s="14"/>
      <c r="N47757" s="14"/>
      <c r="O47757" s="14"/>
      <c r="P47757" s="13"/>
    </row>
    <row r="47758">
      <c r="L47758" s="13"/>
      <c r="M47758" s="14"/>
      <c r="N47758" s="14"/>
      <c r="O47758" s="14"/>
      <c r="P47758" s="13"/>
    </row>
    <row r="47759">
      <c r="L47759" s="13"/>
      <c r="M47759" s="14"/>
      <c r="N47759" s="14"/>
      <c r="O47759" s="14"/>
      <c r="P47759" s="13"/>
    </row>
    <row r="47760">
      <c r="L47760" s="13"/>
      <c r="M47760" s="14"/>
      <c r="N47760" s="14"/>
      <c r="O47760" s="14"/>
      <c r="P47760" s="13"/>
    </row>
    <row r="47761">
      <c r="L47761" s="13"/>
      <c r="M47761" s="14"/>
      <c r="N47761" s="14"/>
      <c r="O47761" s="14"/>
      <c r="P47761" s="13"/>
    </row>
    <row r="47762">
      <c r="L47762" s="13"/>
      <c r="M47762" s="14"/>
      <c r="N47762" s="14"/>
      <c r="O47762" s="14"/>
      <c r="P47762" s="13"/>
    </row>
    <row r="47763">
      <c r="L47763" s="13"/>
      <c r="M47763" s="14"/>
      <c r="N47763" s="14"/>
      <c r="O47763" s="14"/>
      <c r="P47763" s="13"/>
    </row>
    <row r="47764">
      <c r="L47764" s="13"/>
      <c r="M47764" s="14"/>
      <c r="N47764" s="14"/>
      <c r="O47764" s="14"/>
      <c r="P47764" s="13"/>
    </row>
    <row r="47765">
      <c r="L47765" s="13"/>
      <c r="M47765" s="14"/>
      <c r="N47765" s="14"/>
      <c r="O47765" s="14"/>
      <c r="P47765" s="13"/>
    </row>
    <row r="47766">
      <c r="L47766" s="13"/>
      <c r="M47766" s="14"/>
      <c r="N47766" s="14"/>
      <c r="O47766" s="14"/>
      <c r="P47766" s="13"/>
    </row>
    <row r="47767">
      <c r="L47767" s="13"/>
      <c r="M47767" s="14"/>
      <c r="N47767" s="14"/>
      <c r="O47767" s="14"/>
      <c r="P47767" s="13"/>
    </row>
    <row r="47768">
      <c r="L47768" s="13"/>
      <c r="M47768" s="14"/>
      <c r="N47768" s="14"/>
      <c r="O47768" s="14"/>
      <c r="P47768" s="13"/>
    </row>
    <row r="47769">
      <c r="L47769" s="13"/>
      <c r="M47769" s="14"/>
      <c r="N47769" s="14"/>
      <c r="O47769" s="14"/>
      <c r="P47769" s="13"/>
    </row>
    <row r="47770">
      <c r="L47770" s="13"/>
      <c r="M47770" s="14"/>
      <c r="N47770" s="14"/>
      <c r="O47770" s="14"/>
      <c r="P47770" s="13"/>
    </row>
    <row r="47771">
      <c r="L47771" s="13"/>
      <c r="M47771" s="14"/>
      <c r="N47771" s="14"/>
      <c r="O47771" s="14"/>
      <c r="P47771" s="13"/>
    </row>
    <row r="47772">
      <c r="L47772" s="13"/>
      <c r="M47772" s="14"/>
      <c r="N47772" s="14"/>
      <c r="O47772" s="14"/>
      <c r="P47772" s="13"/>
    </row>
    <row r="47773">
      <c r="L47773" s="13"/>
      <c r="M47773" s="14"/>
      <c r="N47773" s="14"/>
      <c r="O47773" s="14"/>
      <c r="P47773" s="13"/>
    </row>
    <row r="47774">
      <c r="L47774" s="13"/>
      <c r="M47774" s="14"/>
      <c r="N47774" s="14"/>
      <c r="O47774" s="14"/>
      <c r="P47774" s="13"/>
    </row>
    <row r="47775">
      <c r="L47775" s="13"/>
      <c r="M47775" s="14"/>
      <c r="N47775" s="14"/>
      <c r="O47775" s="14"/>
      <c r="P47775" s="13"/>
    </row>
    <row r="47776">
      <c r="L47776" s="13"/>
      <c r="M47776" s="14"/>
      <c r="N47776" s="14"/>
      <c r="O47776" s="14"/>
      <c r="P47776" s="13"/>
    </row>
    <row r="47777">
      <c r="L47777" s="13"/>
      <c r="M47777" s="14"/>
      <c r="N47777" s="14"/>
      <c r="O47777" s="14"/>
      <c r="P47777" s="13"/>
    </row>
    <row r="47778">
      <c r="L47778" s="13"/>
      <c r="M47778" s="14"/>
      <c r="N47778" s="14"/>
      <c r="O47778" s="14"/>
      <c r="P47778" s="13"/>
    </row>
    <row r="47779">
      <c r="L47779" s="13"/>
      <c r="M47779" s="14"/>
      <c r="N47779" s="14"/>
      <c r="O47779" s="14"/>
      <c r="P47779" s="13"/>
    </row>
    <row r="47780">
      <c r="L47780" s="13"/>
      <c r="M47780" s="14"/>
      <c r="N47780" s="14"/>
      <c r="O47780" s="14"/>
      <c r="P47780" s="13"/>
    </row>
    <row r="47781">
      <c r="L47781" s="13"/>
      <c r="M47781" s="14"/>
      <c r="N47781" s="14"/>
      <c r="O47781" s="14"/>
      <c r="P47781" s="13"/>
    </row>
    <row r="47782">
      <c r="L47782" s="13"/>
      <c r="M47782" s="14"/>
      <c r="N47782" s="14"/>
      <c r="O47782" s="14"/>
      <c r="P47782" s="13"/>
    </row>
    <row r="47783">
      <c r="L47783" s="13"/>
      <c r="M47783" s="14"/>
      <c r="N47783" s="14"/>
      <c r="O47783" s="14"/>
      <c r="P47783" s="13"/>
    </row>
    <row r="47784">
      <c r="L47784" s="13"/>
      <c r="M47784" s="14"/>
      <c r="N47784" s="14"/>
      <c r="O47784" s="14"/>
      <c r="P47784" s="13"/>
    </row>
    <row r="47785">
      <c r="L47785" s="13"/>
      <c r="M47785" s="14"/>
      <c r="N47785" s="14"/>
      <c r="O47785" s="14"/>
      <c r="P47785" s="13"/>
    </row>
    <row r="47786">
      <c r="L47786" s="13"/>
      <c r="M47786" s="14"/>
      <c r="N47786" s="14"/>
      <c r="O47786" s="14"/>
      <c r="P47786" s="13"/>
    </row>
    <row r="47787">
      <c r="L47787" s="13"/>
      <c r="M47787" s="14"/>
      <c r="N47787" s="14"/>
      <c r="O47787" s="14"/>
      <c r="P47787" s="13"/>
    </row>
    <row r="47788">
      <c r="L47788" s="13"/>
      <c r="M47788" s="14"/>
      <c r="N47788" s="14"/>
      <c r="O47788" s="14"/>
      <c r="P47788" s="13"/>
    </row>
    <row r="47789">
      <c r="L47789" s="13"/>
      <c r="M47789" s="14"/>
      <c r="N47789" s="14"/>
      <c r="O47789" s="14"/>
      <c r="P47789" s="13"/>
    </row>
    <row r="47790">
      <c r="L47790" s="13"/>
      <c r="M47790" s="14"/>
      <c r="N47790" s="14"/>
      <c r="O47790" s="14"/>
      <c r="P47790" s="13"/>
    </row>
    <row r="47791">
      <c r="L47791" s="13"/>
      <c r="M47791" s="14"/>
      <c r="N47791" s="14"/>
      <c r="O47791" s="14"/>
      <c r="P47791" s="13"/>
    </row>
    <row r="47792">
      <c r="L47792" s="13"/>
      <c r="M47792" s="14"/>
      <c r="N47792" s="14"/>
      <c r="O47792" s="14"/>
      <c r="P47792" s="13"/>
    </row>
    <row r="47793">
      <c r="L47793" s="13"/>
      <c r="M47793" s="14"/>
      <c r="N47793" s="14"/>
      <c r="O47793" s="14"/>
      <c r="P47793" s="13"/>
    </row>
    <row r="47794">
      <c r="L47794" s="13"/>
      <c r="M47794" s="14"/>
      <c r="N47794" s="14"/>
      <c r="O47794" s="14"/>
      <c r="P47794" s="13"/>
    </row>
    <row r="47795">
      <c r="L47795" s="13"/>
      <c r="M47795" s="14"/>
      <c r="N47795" s="14"/>
      <c r="O47795" s="14"/>
      <c r="P47795" s="13"/>
    </row>
    <row r="47796">
      <c r="L47796" s="13"/>
      <c r="M47796" s="14"/>
      <c r="N47796" s="14"/>
      <c r="O47796" s="14"/>
      <c r="P47796" s="13"/>
    </row>
    <row r="47797">
      <c r="L47797" s="13"/>
      <c r="M47797" s="14"/>
      <c r="N47797" s="14"/>
      <c r="O47797" s="14"/>
      <c r="P47797" s="13"/>
    </row>
    <row r="47798">
      <c r="L47798" s="13"/>
      <c r="M47798" s="14"/>
      <c r="N47798" s="14"/>
      <c r="O47798" s="14"/>
      <c r="P47798" s="13"/>
    </row>
    <row r="47799">
      <c r="L47799" s="13"/>
      <c r="M47799" s="14"/>
      <c r="N47799" s="14"/>
      <c r="O47799" s="14"/>
      <c r="P47799" s="13"/>
    </row>
    <row r="47800">
      <c r="L47800" s="13"/>
      <c r="M47800" s="14"/>
      <c r="N47800" s="14"/>
      <c r="O47800" s="14"/>
      <c r="P47800" s="13"/>
    </row>
    <row r="47801">
      <c r="L47801" s="13"/>
      <c r="M47801" s="14"/>
      <c r="N47801" s="14"/>
      <c r="O47801" s="14"/>
      <c r="P47801" s="13"/>
    </row>
    <row r="47802">
      <c r="L47802" s="13"/>
      <c r="M47802" s="14"/>
      <c r="N47802" s="14"/>
      <c r="O47802" s="14"/>
      <c r="P47802" s="13"/>
    </row>
    <row r="47803">
      <c r="L47803" s="13"/>
      <c r="M47803" s="14"/>
      <c r="N47803" s="14"/>
      <c r="O47803" s="14"/>
      <c r="P47803" s="13"/>
    </row>
    <row r="47804">
      <c r="L47804" s="13"/>
      <c r="M47804" s="14"/>
      <c r="N47804" s="14"/>
      <c r="O47804" s="14"/>
      <c r="P47804" s="13"/>
    </row>
    <row r="47805">
      <c r="L47805" s="13"/>
      <c r="M47805" s="14"/>
      <c r="N47805" s="14"/>
      <c r="O47805" s="14"/>
      <c r="P47805" s="13"/>
    </row>
    <row r="47806">
      <c r="L47806" s="13"/>
      <c r="M47806" s="14"/>
      <c r="N47806" s="14"/>
      <c r="O47806" s="14"/>
      <c r="P47806" s="13"/>
    </row>
    <row r="47807">
      <c r="L47807" s="13"/>
      <c r="M47807" s="14"/>
      <c r="N47807" s="14"/>
      <c r="O47807" s="14"/>
      <c r="P47807" s="13"/>
    </row>
    <row r="47808">
      <c r="L47808" s="13"/>
      <c r="M47808" s="14"/>
      <c r="N47808" s="14"/>
      <c r="O47808" s="14"/>
      <c r="P47808" s="13"/>
    </row>
    <row r="47809">
      <c r="L47809" s="13"/>
      <c r="M47809" s="14"/>
      <c r="N47809" s="14"/>
      <c r="O47809" s="14"/>
      <c r="P47809" s="13"/>
    </row>
    <row r="47810">
      <c r="L47810" s="13"/>
      <c r="M47810" s="14"/>
      <c r="N47810" s="14"/>
      <c r="O47810" s="14"/>
      <c r="P47810" s="13"/>
    </row>
    <row r="47811">
      <c r="L47811" s="13"/>
      <c r="M47811" s="14"/>
      <c r="N47811" s="14"/>
      <c r="O47811" s="14"/>
      <c r="P47811" s="13"/>
    </row>
    <row r="47812">
      <c r="L47812" s="13"/>
      <c r="M47812" s="14"/>
      <c r="N47812" s="14"/>
      <c r="O47812" s="14"/>
      <c r="P47812" s="13"/>
    </row>
    <row r="47813">
      <c r="L47813" s="13"/>
      <c r="M47813" s="14"/>
      <c r="N47813" s="14"/>
      <c r="O47813" s="14"/>
      <c r="P47813" s="13"/>
    </row>
    <row r="47814">
      <c r="L47814" s="13"/>
      <c r="M47814" s="14"/>
      <c r="N47814" s="14"/>
      <c r="O47814" s="14"/>
      <c r="P47814" s="13"/>
    </row>
    <row r="47815">
      <c r="L47815" s="13"/>
      <c r="M47815" s="14"/>
      <c r="N47815" s="14"/>
      <c r="O47815" s="14"/>
      <c r="P47815" s="13"/>
    </row>
    <row r="47816">
      <c r="L47816" s="13"/>
      <c r="M47816" s="14"/>
      <c r="N47816" s="14"/>
      <c r="O47816" s="14"/>
      <c r="P47816" s="13"/>
    </row>
    <row r="47817">
      <c r="L47817" s="13"/>
      <c r="M47817" s="14"/>
      <c r="N47817" s="14"/>
      <c r="O47817" s="14"/>
      <c r="P47817" s="13"/>
    </row>
    <row r="47818">
      <c r="L47818" s="13"/>
      <c r="M47818" s="14"/>
      <c r="N47818" s="14"/>
      <c r="O47818" s="14"/>
      <c r="P47818" s="13"/>
    </row>
    <row r="47819">
      <c r="L47819" s="13"/>
      <c r="M47819" s="14"/>
      <c r="N47819" s="14"/>
      <c r="O47819" s="14"/>
      <c r="P47819" s="13"/>
    </row>
    <row r="47820">
      <c r="L47820" s="13"/>
      <c r="M47820" s="14"/>
      <c r="N47820" s="14"/>
      <c r="O47820" s="14"/>
      <c r="P47820" s="13"/>
    </row>
    <row r="47821">
      <c r="L47821" s="13"/>
      <c r="M47821" s="14"/>
      <c r="N47821" s="14"/>
      <c r="O47821" s="14"/>
      <c r="P47821" s="13"/>
    </row>
    <row r="47822">
      <c r="L47822" s="13"/>
      <c r="M47822" s="14"/>
      <c r="N47822" s="14"/>
      <c r="O47822" s="14"/>
      <c r="P47822" s="13"/>
    </row>
    <row r="47823">
      <c r="L47823" s="13"/>
      <c r="M47823" s="14"/>
      <c r="N47823" s="14"/>
      <c r="O47823" s="14"/>
      <c r="P47823" s="13"/>
    </row>
    <row r="47824">
      <c r="L47824" s="13"/>
      <c r="M47824" s="14"/>
      <c r="N47824" s="14"/>
      <c r="O47824" s="14"/>
      <c r="P47824" s="13"/>
    </row>
    <row r="47825">
      <c r="L47825" s="13"/>
      <c r="M47825" s="14"/>
      <c r="N47825" s="14"/>
      <c r="O47825" s="14"/>
      <c r="P47825" s="13"/>
    </row>
    <row r="47826">
      <c r="L47826" s="13"/>
      <c r="M47826" s="14"/>
      <c r="N47826" s="14"/>
      <c r="O47826" s="14"/>
      <c r="P47826" s="13"/>
    </row>
    <row r="47827">
      <c r="L47827" s="13"/>
      <c r="M47827" s="14"/>
      <c r="N47827" s="14"/>
      <c r="O47827" s="14"/>
      <c r="P47827" s="13"/>
    </row>
    <row r="47828">
      <c r="L47828" s="13"/>
      <c r="M47828" s="14"/>
      <c r="N47828" s="14"/>
      <c r="O47828" s="14"/>
      <c r="P47828" s="13"/>
    </row>
    <row r="47829">
      <c r="L47829" s="13"/>
      <c r="M47829" s="14"/>
      <c r="N47829" s="14"/>
      <c r="O47829" s="14"/>
      <c r="P47829" s="13"/>
    </row>
    <row r="47830">
      <c r="L47830" s="13"/>
      <c r="M47830" s="14"/>
      <c r="N47830" s="14"/>
      <c r="O47830" s="14"/>
      <c r="P47830" s="13"/>
    </row>
    <row r="47831">
      <c r="L47831" s="13"/>
      <c r="M47831" s="14"/>
      <c r="N47831" s="14"/>
      <c r="O47831" s="14"/>
      <c r="P47831" s="13"/>
    </row>
    <row r="47832">
      <c r="L47832" s="13"/>
      <c r="M47832" s="14"/>
      <c r="N47832" s="14"/>
      <c r="O47832" s="14"/>
      <c r="P47832" s="13"/>
    </row>
    <row r="47833">
      <c r="L47833" s="13"/>
      <c r="M47833" s="14"/>
      <c r="N47833" s="14"/>
      <c r="O47833" s="14"/>
      <c r="P47833" s="13"/>
    </row>
    <row r="47834">
      <c r="L47834" s="13"/>
      <c r="M47834" s="14"/>
      <c r="N47834" s="14"/>
      <c r="O47834" s="14"/>
      <c r="P47834" s="13"/>
    </row>
    <row r="47835">
      <c r="L47835" s="13"/>
      <c r="M47835" s="14"/>
      <c r="N47835" s="14"/>
      <c r="O47835" s="14"/>
      <c r="P47835" s="13"/>
    </row>
    <row r="47836">
      <c r="L47836" s="13"/>
      <c r="M47836" s="14"/>
      <c r="N47836" s="14"/>
      <c r="O47836" s="14"/>
      <c r="P47836" s="13"/>
    </row>
    <row r="47837">
      <c r="L47837" s="13"/>
      <c r="M47837" s="14"/>
      <c r="N47837" s="14"/>
      <c r="O47837" s="14"/>
      <c r="P47837" s="13"/>
    </row>
    <row r="47838">
      <c r="L47838" s="13"/>
      <c r="M47838" s="14"/>
      <c r="N47838" s="14"/>
      <c r="O47838" s="14"/>
      <c r="P47838" s="13"/>
    </row>
    <row r="47839">
      <c r="L47839" s="13"/>
      <c r="M47839" s="14"/>
      <c r="N47839" s="14"/>
      <c r="O47839" s="14"/>
      <c r="P47839" s="13"/>
    </row>
    <row r="47840">
      <c r="L47840" s="13"/>
      <c r="M47840" s="14"/>
      <c r="N47840" s="14"/>
      <c r="O47840" s="14"/>
      <c r="P47840" s="13"/>
    </row>
    <row r="47841">
      <c r="L47841" s="13"/>
      <c r="M47841" s="14"/>
      <c r="N47841" s="14"/>
      <c r="O47841" s="14"/>
      <c r="P47841" s="13"/>
    </row>
    <row r="47842">
      <c r="L47842" s="13"/>
      <c r="M47842" s="14"/>
      <c r="N47842" s="14"/>
      <c r="O47842" s="14"/>
      <c r="P47842" s="13"/>
    </row>
    <row r="47843">
      <c r="L47843" s="13"/>
      <c r="M47843" s="14"/>
      <c r="N47843" s="14"/>
      <c r="O47843" s="14"/>
      <c r="P47843" s="13"/>
    </row>
    <row r="47844">
      <c r="L47844" s="13"/>
      <c r="M47844" s="14"/>
      <c r="N47844" s="14"/>
      <c r="O47844" s="14"/>
      <c r="P47844" s="13"/>
    </row>
    <row r="47845">
      <c r="L47845" s="13"/>
      <c r="M47845" s="14"/>
      <c r="N47845" s="14"/>
      <c r="O47845" s="14"/>
      <c r="P47845" s="13"/>
    </row>
    <row r="47846">
      <c r="L47846" s="13"/>
      <c r="M47846" s="14"/>
      <c r="N47846" s="14"/>
      <c r="O47846" s="14"/>
      <c r="P47846" s="13"/>
    </row>
    <row r="47847">
      <c r="L47847" s="13"/>
      <c r="M47847" s="14"/>
      <c r="N47847" s="14"/>
      <c r="O47847" s="14"/>
      <c r="P47847" s="13"/>
    </row>
    <row r="47848">
      <c r="L47848" s="13"/>
      <c r="M47848" s="14"/>
      <c r="N47848" s="14"/>
      <c r="O47848" s="14"/>
      <c r="P47848" s="13"/>
    </row>
    <row r="47849">
      <c r="L47849" s="13"/>
      <c r="M47849" s="14"/>
      <c r="N47849" s="14"/>
      <c r="O47849" s="14"/>
      <c r="P47849" s="13"/>
    </row>
    <row r="47850">
      <c r="L47850" s="13"/>
      <c r="M47850" s="14"/>
      <c r="N47850" s="14"/>
      <c r="O47850" s="14"/>
      <c r="P47850" s="13"/>
    </row>
    <row r="47851">
      <c r="L47851" s="13"/>
      <c r="M47851" s="14"/>
      <c r="N47851" s="14"/>
      <c r="O47851" s="14"/>
      <c r="P47851" s="13"/>
    </row>
    <row r="47852">
      <c r="L47852" s="13"/>
      <c r="M47852" s="14"/>
      <c r="N47852" s="14"/>
      <c r="O47852" s="14"/>
      <c r="P47852" s="13"/>
    </row>
    <row r="47853">
      <c r="L47853" s="13"/>
      <c r="M47853" s="14"/>
      <c r="N47853" s="14"/>
      <c r="O47853" s="14"/>
      <c r="P47853" s="13"/>
    </row>
    <row r="47854">
      <c r="L47854" s="13"/>
      <c r="M47854" s="14"/>
      <c r="N47854" s="14"/>
      <c r="O47854" s="14"/>
      <c r="P47854" s="13"/>
    </row>
    <row r="47855">
      <c r="L47855" s="13"/>
      <c r="M47855" s="14"/>
      <c r="N47855" s="14"/>
      <c r="O47855" s="14"/>
      <c r="P47855" s="13"/>
    </row>
    <row r="47856">
      <c r="L47856" s="13"/>
      <c r="M47856" s="14"/>
      <c r="N47856" s="14"/>
      <c r="O47856" s="14"/>
      <c r="P47856" s="13"/>
    </row>
    <row r="47857">
      <c r="L47857" s="13"/>
      <c r="M47857" s="14"/>
      <c r="N47857" s="14"/>
      <c r="O47857" s="14"/>
      <c r="P47857" s="13"/>
    </row>
    <row r="47858">
      <c r="L47858" s="13"/>
      <c r="M47858" s="14"/>
      <c r="N47858" s="14"/>
      <c r="O47858" s="14"/>
      <c r="P47858" s="13"/>
    </row>
    <row r="47859">
      <c r="L47859" s="13"/>
      <c r="M47859" s="14"/>
      <c r="N47859" s="14"/>
      <c r="O47859" s="14"/>
      <c r="P47859" s="13"/>
    </row>
    <row r="47860">
      <c r="L47860" s="13"/>
      <c r="M47860" s="14"/>
      <c r="N47860" s="14"/>
      <c r="O47860" s="14"/>
      <c r="P47860" s="13"/>
    </row>
    <row r="47861">
      <c r="L47861" s="13"/>
      <c r="M47861" s="14"/>
      <c r="N47861" s="14"/>
      <c r="O47861" s="14"/>
      <c r="P47861" s="13"/>
    </row>
    <row r="47862">
      <c r="L47862" s="13"/>
      <c r="M47862" s="14"/>
      <c r="N47862" s="14"/>
      <c r="O47862" s="14"/>
      <c r="P47862" s="13"/>
    </row>
    <row r="47863">
      <c r="L47863" s="13"/>
      <c r="M47863" s="14"/>
      <c r="N47863" s="14"/>
      <c r="O47863" s="14"/>
      <c r="P47863" s="13"/>
    </row>
    <row r="47864">
      <c r="L47864" s="13"/>
      <c r="M47864" s="14"/>
      <c r="N47864" s="14"/>
      <c r="O47864" s="14"/>
      <c r="P47864" s="13"/>
    </row>
    <row r="47865">
      <c r="L47865" s="13"/>
      <c r="M47865" s="14"/>
      <c r="N47865" s="14"/>
      <c r="O47865" s="14"/>
      <c r="P47865" s="13"/>
    </row>
    <row r="47866">
      <c r="L47866" s="13"/>
      <c r="M47866" s="14"/>
      <c r="N47866" s="14"/>
      <c r="O47866" s="14"/>
      <c r="P47866" s="13"/>
    </row>
    <row r="47867">
      <c r="L47867" s="13"/>
      <c r="M47867" s="14"/>
      <c r="N47867" s="14"/>
      <c r="O47867" s="14"/>
      <c r="P47867" s="13"/>
    </row>
    <row r="47868">
      <c r="L47868" s="13"/>
      <c r="M47868" s="14"/>
      <c r="N47868" s="14"/>
      <c r="O47868" s="14"/>
      <c r="P47868" s="13"/>
    </row>
    <row r="47869">
      <c r="L47869" s="13"/>
      <c r="M47869" s="14"/>
      <c r="N47869" s="14"/>
      <c r="O47869" s="14"/>
      <c r="P47869" s="13"/>
    </row>
    <row r="47870">
      <c r="L47870" s="13"/>
      <c r="M47870" s="14"/>
      <c r="N47870" s="14"/>
      <c r="O47870" s="14"/>
      <c r="P47870" s="13"/>
    </row>
    <row r="47871">
      <c r="L47871" s="13"/>
      <c r="M47871" s="14"/>
      <c r="N47871" s="14"/>
      <c r="O47871" s="14"/>
      <c r="P47871" s="13"/>
    </row>
    <row r="47872">
      <c r="L47872" s="13"/>
      <c r="M47872" s="14"/>
      <c r="N47872" s="14"/>
      <c r="O47872" s="14"/>
      <c r="P47872" s="13"/>
    </row>
    <row r="47873">
      <c r="L47873" s="13"/>
      <c r="M47873" s="14"/>
      <c r="N47873" s="14"/>
      <c r="O47873" s="14"/>
      <c r="P47873" s="13"/>
    </row>
    <row r="47874">
      <c r="L47874" s="13"/>
      <c r="M47874" s="14"/>
      <c r="N47874" s="14"/>
      <c r="O47874" s="14"/>
      <c r="P47874" s="13"/>
    </row>
    <row r="47875">
      <c r="L47875" s="13"/>
      <c r="M47875" s="14"/>
      <c r="N47875" s="14"/>
      <c r="O47875" s="14"/>
      <c r="P47875" s="13"/>
    </row>
    <row r="47876">
      <c r="L47876" s="13"/>
      <c r="M47876" s="14"/>
      <c r="N47876" s="14"/>
      <c r="O47876" s="14"/>
      <c r="P47876" s="13"/>
    </row>
    <row r="47877">
      <c r="L47877" s="13"/>
      <c r="M47877" s="14"/>
      <c r="N47877" s="14"/>
      <c r="O47877" s="14"/>
      <c r="P47877" s="13"/>
    </row>
    <row r="47878">
      <c r="L47878" s="13"/>
      <c r="M47878" s="14"/>
      <c r="N47878" s="14"/>
      <c r="O47878" s="14"/>
      <c r="P47878" s="13"/>
    </row>
    <row r="47879">
      <c r="L47879" s="13"/>
      <c r="M47879" s="14"/>
      <c r="N47879" s="14"/>
      <c r="O47879" s="14"/>
      <c r="P47879" s="13"/>
    </row>
    <row r="47880">
      <c r="L47880" s="13"/>
      <c r="M47880" s="14"/>
      <c r="N47880" s="14"/>
      <c r="O47880" s="14"/>
      <c r="P47880" s="13"/>
    </row>
    <row r="47881">
      <c r="L47881" s="13"/>
      <c r="M47881" s="14"/>
      <c r="N47881" s="14"/>
      <c r="O47881" s="14"/>
      <c r="P47881" s="13"/>
    </row>
    <row r="47882">
      <c r="L47882" s="13"/>
      <c r="M47882" s="14"/>
      <c r="N47882" s="14"/>
      <c r="O47882" s="14"/>
      <c r="P47882" s="13"/>
    </row>
    <row r="47883">
      <c r="L47883" s="13"/>
      <c r="M47883" s="14"/>
      <c r="N47883" s="14"/>
      <c r="O47883" s="14"/>
      <c r="P47883" s="13"/>
    </row>
    <row r="47884">
      <c r="L47884" s="13"/>
      <c r="M47884" s="14"/>
      <c r="N47884" s="14"/>
      <c r="O47884" s="14"/>
      <c r="P47884" s="13"/>
    </row>
    <row r="47885">
      <c r="L47885" s="13"/>
      <c r="M47885" s="14"/>
      <c r="N47885" s="14"/>
      <c r="O47885" s="14"/>
      <c r="P47885" s="13"/>
    </row>
    <row r="47886">
      <c r="L47886" s="13"/>
      <c r="M47886" s="14"/>
      <c r="N47886" s="14"/>
      <c r="O47886" s="14"/>
      <c r="P47886" s="13"/>
    </row>
    <row r="47887">
      <c r="L47887" s="13"/>
      <c r="M47887" s="14"/>
      <c r="N47887" s="14"/>
      <c r="O47887" s="14"/>
      <c r="P47887" s="13"/>
    </row>
    <row r="47888">
      <c r="L47888" s="13"/>
      <c r="M47888" s="14"/>
      <c r="N47888" s="14"/>
      <c r="O47888" s="14"/>
      <c r="P47888" s="13"/>
    </row>
    <row r="47889">
      <c r="L47889" s="13"/>
      <c r="M47889" s="14"/>
      <c r="N47889" s="14"/>
      <c r="O47889" s="14"/>
      <c r="P47889" s="13"/>
    </row>
    <row r="47890">
      <c r="L47890" s="13"/>
      <c r="M47890" s="14"/>
      <c r="N47890" s="14"/>
      <c r="O47890" s="14"/>
      <c r="P47890" s="13"/>
    </row>
    <row r="47891">
      <c r="L47891" s="13"/>
      <c r="M47891" s="14"/>
      <c r="N47891" s="14"/>
      <c r="O47891" s="14"/>
      <c r="P47891" s="13"/>
    </row>
    <row r="47892">
      <c r="L47892" s="13"/>
      <c r="M47892" s="14"/>
      <c r="N47892" s="14"/>
      <c r="O47892" s="14"/>
      <c r="P47892" s="13"/>
    </row>
    <row r="47893">
      <c r="L47893" s="13"/>
      <c r="M47893" s="14"/>
      <c r="N47893" s="14"/>
      <c r="O47893" s="14"/>
      <c r="P47893" s="13"/>
    </row>
    <row r="47894">
      <c r="L47894" s="13"/>
      <c r="M47894" s="14"/>
      <c r="N47894" s="14"/>
      <c r="O47894" s="14"/>
      <c r="P47894" s="13"/>
    </row>
    <row r="47895">
      <c r="L47895" s="13"/>
      <c r="M47895" s="14"/>
      <c r="N47895" s="14"/>
      <c r="O47895" s="14"/>
      <c r="P47895" s="13"/>
    </row>
    <row r="47896">
      <c r="L47896" s="13"/>
      <c r="M47896" s="14"/>
      <c r="N47896" s="14"/>
      <c r="O47896" s="14"/>
      <c r="P47896" s="13"/>
    </row>
    <row r="47897">
      <c r="L47897" s="13"/>
      <c r="M47897" s="14"/>
      <c r="N47897" s="14"/>
      <c r="O47897" s="14"/>
      <c r="P47897" s="13"/>
    </row>
    <row r="47898">
      <c r="L47898" s="13"/>
      <c r="M47898" s="14"/>
      <c r="N47898" s="14"/>
      <c r="O47898" s="14"/>
      <c r="P47898" s="13"/>
    </row>
    <row r="47899">
      <c r="L47899" s="13"/>
      <c r="M47899" s="14"/>
      <c r="N47899" s="14"/>
      <c r="O47899" s="14"/>
      <c r="P47899" s="13"/>
    </row>
    <row r="47900">
      <c r="L47900" s="13"/>
      <c r="M47900" s="14"/>
      <c r="N47900" s="14"/>
      <c r="O47900" s="14"/>
      <c r="P47900" s="13"/>
    </row>
    <row r="47901">
      <c r="L47901" s="13"/>
      <c r="M47901" s="14"/>
      <c r="N47901" s="14"/>
      <c r="O47901" s="14"/>
      <c r="P47901" s="13"/>
    </row>
    <row r="47902">
      <c r="L47902" s="13"/>
      <c r="M47902" s="14"/>
      <c r="N47902" s="14"/>
      <c r="O47902" s="14"/>
      <c r="P47902" s="13"/>
    </row>
    <row r="47903">
      <c r="L47903" s="13"/>
      <c r="M47903" s="14"/>
      <c r="N47903" s="14"/>
      <c r="O47903" s="14"/>
      <c r="P47903" s="13"/>
    </row>
    <row r="47904">
      <c r="L47904" s="13"/>
      <c r="M47904" s="14"/>
      <c r="N47904" s="14"/>
      <c r="O47904" s="14"/>
      <c r="P47904" s="13"/>
    </row>
    <row r="47905">
      <c r="L47905" s="13"/>
      <c r="M47905" s="14"/>
      <c r="N47905" s="14"/>
      <c r="O47905" s="14"/>
      <c r="P47905" s="13"/>
    </row>
    <row r="47906">
      <c r="L47906" s="13"/>
      <c r="M47906" s="14"/>
      <c r="N47906" s="14"/>
      <c r="O47906" s="14"/>
      <c r="P47906" s="13"/>
    </row>
    <row r="47907">
      <c r="L47907" s="13"/>
      <c r="M47907" s="14"/>
      <c r="N47907" s="14"/>
      <c r="O47907" s="14"/>
      <c r="P47907" s="13"/>
    </row>
    <row r="47908">
      <c r="L47908" s="13"/>
      <c r="M47908" s="14"/>
      <c r="N47908" s="14"/>
      <c r="O47908" s="14"/>
      <c r="P47908" s="13"/>
    </row>
    <row r="47909">
      <c r="L47909" s="13"/>
      <c r="M47909" s="14"/>
      <c r="N47909" s="14"/>
      <c r="O47909" s="14"/>
      <c r="P47909" s="13"/>
    </row>
    <row r="47910">
      <c r="L47910" s="13"/>
      <c r="M47910" s="14"/>
      <c r="N47910" s="14"/>
      <c r="O47910" s="14"/>
      <c r="P47910" s="13"/>
    </row>
    <row r="47911">
      <c r="L47911" s="13"/>
      <c r="M47911" s="14"/>
      <c r="N47911" s="14"/>
      <c r="O47911" s="14"/>
      <c r="P47911" s="13"/>
    </row>
    <row r="47912">
      <c r="L47912" s="13"/>
      <c r="M47912" s="14"/>
      <c r="N47912" s="14"/>
      <c r="O47912" s="14"/>
      <c r="P47912" s="13"/>
    </row>
    <row r="47913">
      <c r="L47913" s="13"/>
      <c r="M47913" s="14"/>
      <c r="N47913" s="14"/>
      <c r="O47913" s="14"/>
      <c r="P47913" s="13"/>
    </row>
    <row r="47914">
      <c r="L47914" s="13"/>
      <c r="M47914" s="14"/>
      <c r="N47914" s="14"/>
      <c r="O47914" s="14"/>
      <c r="P47914" s="13"/>
    </row>
    <row r="47915">
      <c r="L47915" s="13"/>
      <c r="M47915" s="14"/>
      <c r="N47915" s="14"/>
      <c r="O47915" s="14"/>
      <c r="P47915" s="13"/>
    </row>
    <row r="47916">
      <c r="L47916" s="13"/>
      <c r="M47916" s="14"/>
      <c r="N47916" s="14"/>
      <c r="O47916" s="14"/>
      <c r="P47916" s="13"/>
    </row>
    <row r="47917">
      <c r="L47917" s="13"/>
      <c r="M47917" s="14"/>
      <c r="N47917" s="14"/>
      <c r="O47917" s="14"/>
      <c r="P47917" s="13"/>
    </row>
    <row r="47918">
      <c r="L47918" s="13"/>
      <c r="M47918" s="14"/>
      <c r="N47918" s="14"/>
      <c r="O47918" s="14"/>
      <c r="P47918" s="13"/>
    </row>
    <row r="47919">
      <c r="L47919" s="13"/>
      <c r="M47919" s="14"/>
      <c r="N47919" s="14"/>
      <c r="O47919" s="14"/>
      <c r="P47919" s="13"/>
    </row>
    <row r="47920">
      <c r="L47920" s="13"/>
      <c r="M47920" s="14"/>
      <c r="N47920" s="14"/>
      <c r="O47920" s="14"/>
      <c r="P47920" s="13"/>
    </row>
    <row r="47921">
      <c r="L47921" s="13"/>
      <c r="M47921" s="14"/>
      <c r="N47921" s="14"/>
      <c r="O47921" s="14"/>
      <c r="P47921" s="13"/>
    </row>
    <row r="47922">
      <c r="L47922" s="13"/>
      <c r="M47922" s="14"/>
      <c r="N47922" s="14"/>
      <c r="O47922" s="14"/>
      <c r="P47922" s="13"/>
    </row>
    <row r="47923">
      <c r="L47923" s="13"/>
      <c r="M47923" s="14"/>
      <c r="N47923" s="14"/>
      <c r="O47923" s="14"/>
      <c r="P47923" s="13"/>
    </row>
    <row r="47924">
      <c r="L47924" s="13"/>
      <c r="M47924" s="14"/>
      <c r="N47924" s="14"/>
      <c r="O47924" s="14"/>
      <c r="P47924" s="13"/>
    </row>
    <row r="47925">
      <c r="L47925" s="13"/>
      <c r="M47925" s="14"/>
      <c r="N47925" s="14"/>
      <c r="O47925" s="14"/>
      <c r="P47925" s="13"/>
    </row>
    <row r="47926">
      <c r="L47926" s="13"/>
      <c r="M47926" s="14"/>
      <c r="N47926" s="14"/>
      <c r="O47926" s="14"/>
      <c r="P47926" s="13"/>
    </row>
    <row r="47927">
      <c r="L47927" s="13"/>
      <c r="M47927" s="14"/>
      <c r="N47927" s="14"/>
      <c r="O47927" s="14"/>
      <c r="P47927" s="13"/>
    </row>
    <row r="47928">
      <c r="L47928" s="13"/>
      <c r="M47928" s="14"/>
      <c r="N47928" s="14"/>
      <c r="O47928" s="14"/>
      <c r="P47928" s="13"/>
    </row>
    <row r="47929">
      <c r="L47929" s="13"/>
      <c r="M47929" s="14"/>
      <c r="N47929" s="14"/>
      <c r="O47929" s="14"/>
      <c r="P47929" s="13"/>
    </row>
    <row r="47930">
      <c r="L47930" s="13"/>
      <c r="M47930" s="14"/>
      <c r="N47930" s="14"/>
      <c r="O47930" s="14"/>
      <c r="P47930" s="13"/>
    </row>
    <row r="47931">
      <c r="L47931" s="13"/>
      <c r="M47931" s="14"/>
      <c r="N47931" s="14"/>
      <c r="O47931" s="14"/>
      <c r="P47931" s="13"/>
    </row>
    <row r="47932">
      <c r="L47932" s="13"/>
      <c r="M47932" s="14"/>
      <c r="N47932" s="14"/>
      <c r="O47932" s="14"/>
      <c r="P47932" s="13"/>
    </row>
    <row r="47933">
      <c r="L47933" s="13"/>
      <c r="M47933" s="14"/>
      <c r="N47933" s="14"/>
      <c r="O47933" s="14"/>
      <c r="P47933" s="13"/>
    </row>
    <row r="47934">
      <c r="L47934" s="13"/>
      <c r="M47934" s="14"/>
      <c r="N47934" s="14"/>
      <c r="O47934" s="14"/>
      <c r="P47934" s="13"/>
    </row>
    <row r="47935">
      <c r="L47935" s="13"/>
      <c r="M47935" s="14"/>
      <c r="N47935" s="14"/>
      <c r="O47935" s="14"/>
      <c r="P47935" s="13"/>
    </row>
    <row r="47936">
      <c r="L47936" s="13"/>
      <c r="M47936" s="14"/>
      <c r="N47936" s="14"/>
      <c r="O47936" s="14"/>
      <c r="P47936" s="13"/>
    </row>
    <row r="47937">
      <c r="L47937" s="13"/>
      <c r="M47937" s="14"/>
      <c r="N47937" s="14"/>
      <c r="O47937" s="14"/>
      <c r="P47937" s="13"/>
    </row>
    <row r="47938">
      <c r="L47938" s="13"/>
      <c r="M47938" s="14"/>
      <c r="N47938" s="14"/>
      <c r="O47938" s="14"/>
      <c r="P47938" s="13"/>
    </row>
    <row r="47939">
      <c r="L47939" s="13"/>
      <c r="M47939" s="14"/>
      <c r="N47939" s="14"/>
      <c r="O47939" s="14"/>
      <c r="P47939" s="13"/>
    </row>
    <row r="47940">
      <c r="L47940" s="13"/>
      <c r="M47940" s="14"/>
      <c r="N47940" s="14"/>
      <c r="O47940" s="14"/>
      <c r="P47940" s="13"/>
    </row>
    <row r="47941">
      <c r="L47941" s="13"/>
      <c r="M47941" s="14"/>
      <c r="N47941" s="14"/>
      <c r="O47941" s="14"/>
      <c r="P47941" s="13"/>
    </row>
    <row r="47942">
      <c r="L47942" s="13"/>
      <c r="M47942" s="14"/>
      <c r="N47942" s="14"/>
      <c r="O47942" s="14"/>
      <c r="P47942" s="13"/>
    </row>
    <row r="47943">
      <c r="L47943" s="13"/>
      <c r="M47943" s="14"/>
      <c r="N47943" s="14"/>
      <c r="O47943" s="14"/>
      <c r="P47943" s="13"/>
    </row>
    <row r="47944">
      <c r="L47944" s="13"/>
      <c r="M47944" s="14"/>
      <c r="N47944" s="14"/>
      <c r="O47944" s="14"/>
      <c r="P47944" s="13"/>
    </row>
    <row r="47945">
      <c r="L47945" s="13"/>
      <c r="M47945" s="14"/>
      <c r="N47945" s="14"/>
      <c r="O47945" s="14"/>
      <c r="P47945" s="13"/>
    </row>
    <row r="47946">
      <c r="L47946" s="13"/>
      <c r="M47946" s="14"/>
      <c r="N47946" s="14"/>
      <c r="O47946" s="14"/>
      <c r="P47946" s="13"/>
    </row>
    <row r="47947">
      <c r="L47947" s="13"/>
      <c r="M47947" s="14"/>
      <c r="N47947" s="14"/>
      <c r="O47947" s="14"/>
      <c r="P47947" s="13"/>
    </row>
    <row r="47948">
      <c r="L47948" s="13"/>
      <c r="M47948" s="14"/>
      <c r="N47948" s="14"/>
      <c r="O47948" s="14"/>
      <c r="P47948" s="13"/>
    </row>
    <row r="47949">
      <c r="L47949" s="13"/>
      <c r="M47949" s="14"/>
      <c r="N47949" s="14"/>
      <c r="O47949" s="14"/>
      <c r="P47949" s="13"/>
    </row>
    <row r="47950">
      <c r="L47950" s="13"/>
      <c r="M47950" s="14"/>
      <c r="N47950" s="14"/>
      <c r="O47950" s="14"/>
      <c r="P47950" s="13"/>
    </row>
    <row r="47951">
      <c r="L47951" s="13"/>
      <c r="M47951" s="14"/>
      <c r="N47951" s="14"/>
      <c r="O47951" s="14"/>
      <c r="P47951" s="13"/>
    </row>
    <row r="47952">
      <c r="L47952" s="13"/>
      <c r="M47952" s="14"/>
      <c r="N47952" s="14"/>
      <c r="O47952" s="14"/>
      <c r="P47952" s="13"/>
    </row>
    <row r="47953">
      <c r="L47953" s="13"/>
      <c r="M47953" s="14"/>
      <c r="N47953" s="14"/>
      <c r="O47953" s="14"/>
      <c r="P47953" s="13"/>
    </row>
    <row r="47954">
      <c r="L47954" s="13"/>
      <c r="M47954" s="14"/>
      <c r="N47954" s="14"/>
      <c r="O47954" s="14"/>
      <c r="P47954" s="13"/>
    </row>
    <row r="47955">
      <c r="L47955" s="13"/>
      <c r="M47955" s="14"/>
      <c r="N47955" s="14"/>
      <c r="O47955" s="14"/>
      <c r="P47955" s="13"/>
    </row>
    <row r="47956">
      <c r="L47956" s="13"/>
      <c r="M47956" s="14"/>
      <c r="N47956" s="14"/>
      <c r="O47956" s="14"/>
      <c r="P47956" s="13"/>
    </row>
    <row r="47957">
      <c r="L47957" s="13"/>
      <c r="M47957" s="14"/>
      <c r="N47957" s="14"/>
      <c r="O47957" s="14"/>
      <c r="P47957" s="13"/>
    </row>
    <row r="47958">
      <c r="L47958" s="13"/>
      <c r="M47958" s="14"/>
      <c r="N47958" s="14"/>
      <c r="O47958" s="14"/>
      <c r="P47958" s="13"/>
    </row>
    <row r="47959">
      <c r="L47959" s="13"/>
      <c r="M47959" s="14"/>
      <c r="N47959" s="14"/>
      <c r="O47959" s="14"/>
      <c r="P47959" s="13"/>
    </row>
    <row r="47960">
      <c r="L47960" s="13"/>
      <c r="M47960" s="14"/>
      <c r="N47960" s="14"/>
      <c r="O47960" s="14"/>
      <c r="P47960" s="13"/>
    </row>
    <row r="47961">
      <c r="L47961" s="13"/>
      <c r="M47961" s="14"/>
      <c r="N47961" s="14"/>
      <c r="O47961" s="14"/>
      <c r="P47961" s="13"/>
    </row>
    <row r="47962">
      <c r="L47962" s="13"/>
      <c r="M47962" s="14"/>
      <c r="N47962" s="14"/>
      <c r="O47962" s="14"/>
      <c r="P47962" s="13"/>
    </row>
    <row r="47963">
      <c r="L47963" s="13"/>
      <c r="M47963" s="14"/>
      <c r="N47963" s="14"/>
      <c r="O47963" s="14"/>
      <c r="P47963" s="13"/>
    </row>
    <row r="47964">
      <c r="L47964" s="13"/>
      <c r="M47964" s="14"/>
      <c r="N47964" s="14"/>
      <c r="O47964" s="14"/>
      <c r="P47964" s="13"/>
    </row>
    <row r="47965">
      <c r="L47965" s="13"/>
      <c r="M47965" s="14"/>
      <c r="N47965" s="14"/>
      <c r="O47965" s="14"/>
      <c r="P47965" s="13"/>
    </row>
    <row r="47966">
      <c r="L47966" s="13"/>
      <c r="M47966" s="14"/>
      <c r="N47966" s="14"/>
      <c r="O47966" s="14"/>
      <c r="P47966" s="13"/>
    </row>
    <row r="47967">
      <c r="L47967" s="13"/>
      <c r="M47967" s="14"/>
      <c r="N47967" s="14"/>
      <c r="O47967" s="14"/>
      <c r="P47967" s="13"/>
    </row>
    <row r="47968">
      <c r="L47968" s="13"/>
      <c r="M47968" s="14"/>
      <c r="N47968" s="14"/>
      <c r="O47968" s="14"/>
      <c r="P47968" s="13"/>
    </row>
    <row r="47969">
      <c r="L47969" s="13"/>
      <c r="M47969" s="14"/>
      <c r="N47969" s="14"/>
      <c r="O47969" s="14"/>
      <c r="P47969" s="13"/>
    </row>
    <row r="47970">
      <c r="L47970" s="13"/>
      <c r="M47970" s="14"/>
      <c r="N47970" s="14"/>
      <c r="O47970" s="14"/>
      <c r="P47970" s="13"/>
    </row>
    <row r="47971">
      <c r="L47971" s="13"/>
      <c r="M47971" s="14"/>
      <c r="N47971" s="14"/>
      <c r="O47971" s="14"/>
      <c r="P47971" s="13"/>
    </row>
    <row r="47972">
      <c r="L47972" s="13"/>
      <c r="M47972" s="14"/>
      <c r="N47972" s="14"/>
      <c r="O47972" s="14"/>
      <c r="P47972" s="13"/>
    </row>
    <row r="47973">
      <c r="L47973" s="13"/>
      <c r="M47973" s="14"/>
      <c r="N47973" s="14"/>
      <c r="O47973" s="14"/>
      <c r="P47973" s="13"/>
    </row>
    <row r="47974">
      <c r="L47974" s="13"/>
      <c r="M47974" s="14"/>
      <c r="N47974" s="14"/>
      <c r="O47974" s="14"/>
      <c r="P47974" s="13"/>
    </row>
    <row r="47975">
      <c r="L47975" s="13"/>
      <c r="M47975" s="14"/>
      <c r="N47975" s="14"/>
      <c r="O47975" s="14"/>
      <c r="P47975" s="13"/>
    </row>
    <row r="47976">
      <c r="L47976" s="13"/>
      <c r="M47976" s="14"/>
      <c r="N47976" s="14"/>
      <c r="O47976" s="14"/>
      <c r="P47976" s="13"/>
    </row>
    <row r="47977">
      <c r="L47977" s="13"/>
      <c r="M47977" s="14"/>
      <c r="N47977" s="14"/>
      <c r="O47977" s="14"/>
      <c r="P47977" s="13"/>
    </row>
    <row r="47978">
      <c r="L47978" s="13"/>
      <c r="M47978" s="14"/>
      <c r="N47978" s="14"/>
      <c r="O47978" s="14"/>
      <c r="P47978" s="13"/>
    </row>
    <row r="47979">
      <c r="L47979" s="13"/>
      <c r="M47979" s="14"/>
      <c r="N47979" s="14"/>
      <c r="O47979" s="14"/>
      <c r="P47979" s="13"/>
    </row>
    <row r="47980">
      <c r="L47980" s="13"/>
      <c r="M47980" s="14"/>
      <c r="N47980" s="14"/>
      <c r="O47980" s="14"/>
      <c r="P47980" s="13"/>
    </row>
    <row r="47981">
      <c r="L47981" s="13"/>
      <c r="M47981" s="14"/>
      <c r="N47981" s="14"/>
      <c r="O47981" s="14"/>
      <c r="P47981" s="13"/>
    </row>
    <row r="47982">
      <c r="L47982" s="13"/>
      <c r="M47982" s="14"/>
      <c r="N47982" s="14"/>
      <c r="O47982" s="14"/>
      <c r="P47982" s="13"/>
    </row>
    <row r="47983">
      <c r="L47983" s="13"/>
      <c r="M47983" s="14"/>
      <c r="N47983" s="14"/>
      <c r="O47983" s="14"/>
      <c r="P47983" s="13"/>
    </row>
    <row r="47984">
      <c r="L47984" s="13"/>
      <c r="M47984" s="14"/>
      <c r="N47984" s="14"/>
      <c r="O47984" s="14"/>
      <c r="P47984" s="13"/>
    </row>
    <row r="47985">
      <c r="L47985" s="13"/>
      <c r="M47985" s="14"/>
      <c r="N47985" s="14"/>
      <c r="O47985" s="14"/>
      <c r="P47985" s="13"/>
    </row>
    <row r="47986">
      <c r="L47986" s="13"/>
      <c r="M47986" s="14"/>
      <c r="N47986" s="14"/>
      <c r="O47986" s="14"/>
      <c r="P47986" s="13"/>
    </row>
    <row r="47987">
      <c r="L47987" s="13"/>
      <c r="M47987" s="14"/>
      <c r="N47987" s="14"/>
      <c r="O47987" s="14"/>
      <c r="P47987" s="13"/>
    </row>
    <row r="47988">
      <c r="L47988" s="13"/>
      <c r="M47988" s="14"/>
      <c r="N47988" s="14"/>
      <c r="O47988" s="14"/>
      <c r="P47988" s="13"/>
    </row>
    <row r="47989">
      <c r="L47989" s="13"/>
      <c r="M47989" s="14"/>
      <c r="N47989" s="14"/>
      <c r="O47989" s="14"/>
      <c r="P47989" s="13"/>
    </row>
    <row r="47990">
      <c r="L47990" s="13"/>
      <c r="M47990" s="14"/>
      <c r="N47990" s="14"/>
      <c r="O47990" s="14"/>
      <c r="P47990" s="13"/>
    </row>
    <row r="47991">
      <c r="L47991" s="13"/>
      <c r="M47991" s="14"/>
      <c r="N47991" s="14"/>
      <c r="O47991" s="14"/>
      <c r="P47991" s="13"/>
    </row>
    <row r="47992">
      <c r="L47992" s="13"/>
      <c r="M47992" s="14"/>
      <c r="N47992" s="14"/>
      <c r="O47992" s="14"/>
      <c r="P47992" s="13"/>
    </row>
    <row r="47993">
      <c r="L47993" s="13"/>
      <c r="M47993" s="14"/>
      <c r="N47993" s="14"/>
      <c r="O47993" s="14"/>
      <c r="P47993" s="13"/>
    </row>
    <row r="47994">
      <c r="L47994" s="13"/>
      <c r="M47994" s="14"/>
      <c r="N47994" s="14"/>
      <c r="O47994" s="14"/>
      <c r="P47994" s="13"/>
    </row>
    <row r="47995">
      <c r="L47995" s="13"/>
      <c r="M47995" s="14"/>
      <c r="N47995" s="14"/>
      <c r="O47995" s="14"/>
      <c r="P47995" s="13"/>
    </row>
    <row r="47996">
      <c r="L47996" s="13"/>
      <c r="M47996" s="14"/>
      <c r="N47996" s="14"/>
      <c r="O47996" s="14"/>
      <c r="P47996" s="13"/>
    </row>
    <row r="47997">
      <c r="L47997" s="13"/>
      <c r="M47997" s="14"/>
      <c r="N47997" s="14"/>
      <c r="O47997" s="14"/>
      <c r="P47997" s="13"/>
    </row>
    <row r="47998">
      <c r="L47998" s="13"/>
      <c r="M47998" s="14"/>
      <c r="N47998" s="14"/>
      <c r="O47998" s="14"/>
      <c r="P47998" s="13"/>
    </row>
    <row r="47999">
      <c r="L47999" s="13"/>
      <c r="M47999" s="14"/>
      <c r="N47999" s="14"/>
      <c r="O47999" s="14"/>
      <c r="P47999" s="13"/>
    </row>
    <row r="48000">
      <c r="L48000" s="13"/>
      <c r="M48000" s="14"/>
      <c r="N48000" s="14"/>
      <c r="O48000" s="14"/>
      <c r="P48000" s="13"/>
    </row>
    <row r="48001">
      <c r="L48001" s="13"/>
      <c r="M48001" s="14"/>
      <c r="N48001" s="14"/>
      <c r="O48001" s="14"/>
      <c r="P48001" s="13"/>
    </row>
    <row r="48002">
      <c r="L48002" s="13"/>
      <c r="M48002" s="14"/>
      <c r="N48002" s="14"/>
      <c r="O48002" s="14"/>
      <c r="P48002" s="13"/>
    </row>
    <row r="48003">
      <c r="L48003" s="13"/>
      <c r="M48003" s="14"/>
      <c r="N48003" s="14"/>
      <c r="O48003" s="14"/>
      <c r="P48003" s="13"/>
    </row>
    <row r="48004">
      <c r="L48004" s="13"/>
      <c r="M48004" s="14"/>
      <c r="N48004" s="14"/>
      <c r="O48004" s="14"/>
      <c r="P48004" s="13"/>
    </row>
    <row r="48005">
      <c r="L48005" s="13"/>
      <c r="M48005" s="14"/>
      <c r="N48005" s="14"/>
      <c r="O48005" s="14"/>
      <c r="P48005" s="13"/>
    </row>
    <row r="48006">
      <c r="L48006" s="13"/>
      <c r="M48006" s="14"/>
      <c r="N48006" s="14"/>
      <c r="O48006" s="14"/>
      <c r="P48006" s="13"/>
    </row>
    <row r="48007">
      <c r="L48007" s="13"/>
      <c r="M48007" s="14"/>
      <c r="N48007" s="14"/>
      <c r="O48007" s="14"/>
      <c r="P48007" s="13"/>
    </row>
    <row r="48008">
      <c r="L48008" s="13"/>
      <c r="M48008" s="14"/>
      <c r="N48008" s="14"/>
      <c r="O48008" s="14"/>
      <c r="P48008" s="13"/>
    </row>
    <row r="48009">
      <c r="L48009" s="13"/>
      <c r="M48009" s="14"/>
      <c r="N48009" s="14"/>
      <c r="O48009" s="14"/>
      <c r="P48009" s="13"/>
    </row>
    <row r="48010">
      <c r="L48010" s="13"/>
      <c r="M48010" s="14"/>
      <c r="N48010" s="14"/>
      <c r="O48010" s="14"/>
      <c r="P48010" s="13"/>
    </row>
    <row r="48011">
      <c r="L48011" s="13"/>
      <c r="M48011" s="14"/>
      <c r="N48011" s="14"/>
      <c r="O48011" s="14"/>
      <c r="P48011" s="13"/>
    </row>
    <row r="48012">
      <c r="L48012" s="13"/>
      <c r="M48012" s="14"/>
      <c r="N48012" s="14"/>
      <c r="O48012" s="14"/>
      <c r="P48012" s="13"/>
    </row>
    <row r="48013">
      <c r="L48013" s="13"/>
      <c r="M48013" s="14"/>
      <c r="N48013" s="14"/>
      <c r="O48013" s="14"/>
      <c r="P48013" s="13"/>
    </row>
    <row r="48014">
      <c r="L48014" s="13"/>
      <c r="M48014" s="14"/>
      <c r="N48014" s="14"/>
      <c r="O48014" s="14"/>
      <c r="P48014" s="13"/>
    </row>
    <row r="48015">
      <c r="L48015" s="13"/>
      <c r="M48015" s="14"/>
      <c r="N48015" s="14"/>
      <c r="O48015" s="14"/>
      <c r="P48015" s="13"/>
    </row>
    <row r="48016">
      <c r="L48016" s="13"/>
      <c r="M48016" s="14"/>
      <c r="N48016" s="14"/>
      <c r="O48016" s="14"/>
      <c r="P48016" s="13"/>
    </row>
    <row r="48017">
      <c r="L48017" s="13"/>
      <c r="M48017" s="14"/>
      <c r="N48017" s="14"/>
      <c r="O48017" s="14"/>
      <c r="P48017" s="13"/>
    </row>
    <row r="48018">
      <c r="L48018" s="13"/>
      <c r="M48018" s="14"/>
      <c r="N48018" s="14"/>
      <c r="O48018" s="14"/>
      <c r="P48018" s="13"/>
    </row>
    <row r="48019">
      <c r="L48019" s="13"/>
      <c r="M48019" s="14"/>
      <c r="N48019" s="14"/>
      <c r="O48019" s="14"/>
      <c r="P48019" s="13"/>
    </row>
    <row r="48020">
      <c r="L48020" s="13"/>
      <c r="M48020" s="14"/>
      <c r="N48020" s="14"/>
      <c r="O48020" s="14"/>
      <c r="P48020" s="13"/>
    </row>
    <row r="48021">
      <c r="L48021" s="13"/>
      <c r="M48021" s="14"/>
      <c r="N48021" s="14"/>
      <c r="O48021" s="14"/>
      <c r="P48021" s="13"/>
    </row>
    <row r="48022">
      <c r="L48022" s="13"/>
      <c r="M48022" s="14"/>
      <c r="N48022" s="14"/>
      <c r="O48022" s="14"/>
      <c r="P48022" s="13"/>
    </row>
    <row r="48023">
      <c r="L48023" s="13"/>
      <c r="M48023" s="14"/>
      <c r="N48023" s="14"/>
      <c r="O48023" s="14"/>
      <c r="P48023" s="13"/>
    </row>
    <row r="48024">
      <c r="L48024" s="13"/>
      <c r="M48024" s="14"/>
      <c r="N48024" s="14"/>
      <c r="O48024" s="14"/>
      <c r="P48024" s="13"/>
    </row>
    <row r="48025">
      <c r="L48025" s="13"/>
      <c r="M48025" s="14"/>
      <c r="N48025" s="14"/>
      <c r="O48025" s="14"/>
      <c r="P48025" s="13"/>
    </row>
    <row r="48026">
      <c r="L48026" s="13"/>
      <c r="M48026" s="14"/>
      <c r="N48026" s="14"/>
      <c r="O48026" s="14"/>
      <c r="P48026" s="13"/>
    </row>
    <row r="48027">
      <c r="L48027" s="13"/>
      <c r="M48027" s="14"/>
      <c r="N48027" s="14"/>
      <c r="O48027" s="14"/>
      <c r="P48027" s="13"/>
    </row>
    <row r="48028">
      <c r="L48028" s="13"/>
      <c r="M48028" s="14"/>
      <c r="N48028" s="14"/>
      <c r="O48028" s="14"/>
      <c r="P48028" s="13"/>
    </row>
    <row r="48029">
      <c r="L48029" s="13"/>
      <c r="M48029" s="14"/>
      <c r="N48029" s="14"/>
      <c r="O48029" s="14"/>
      <c r="P48029" s="13"/>
    </row>
    <row r="48030">
      <c r="L48030" s="13"/>
      <c r="M48030" s="14"/>
      <c r="N48030" s="14"/>
      <c r="O48030" s="14"/>
      <c r="P48030" s="13"/>
    </row>
    <row r="48031">
      <c r="L48031" s="13"/>
      <c r="M48031" s="14"/>
      <c r="N48031" s="14"/>
      <c r="O48031" s="14"/>
      <c r="P48031" s="13"/>
    </row>
    <row r="48032">
      <c r="L48032" s="13"/>
      <c r="M48032" s="14"/>
      <c r="N48032" s="14"/>
      <c r="O48032" s="14"/>
      <c r="P48032" s="13"/>
    </row>
    <row r="48033">
      <c r="L48033" s="13"/>
      <c r="M48033" s="14"/>
      <c r="N48033" s="14"/>
      <c r="O48033" s="14"/>
      <c r="P48033" s="13"/>
    </row>
    <row r="48034">
      <c r="L48034" s="13"/>
      <c r="M48034" s="14"/>
      <c r="N48034" s="14"/>
      <c r="O48034" s="14"/>
      <c r="P48034" s="13"/>
    </row>
    <row r="48035">
      <c r="L48035" s="13"/>
      <c r="M48035" s="14"/>
      <c r="N48035" s="14"/>
      <c r="O48035" s="14"/>
      <c r="P48035" s="13"/>
    </row>
    <row r="48036">
      <c r="L48036" s="13"/>
      <c r="M48036" s="14"/>
      <c r="N48036" s="14"/>
      <c r="O48036" s="14"/>
      <c r="P48036" s="13"/>
    </row>
    <row r="48037">
      <c r="L48037" s="13"/>
      <c r="M48037" s="14"/>
      <c r="N48037" s="14"/>
      <c r="O48037" s="14"/>
      <c r="P48037" s="13"/>
    </row>
    <row r="48038">
      <c r="L48038" s="13"/>
      <c r="M48038" s="14"/>
      <c r="N48038" s="14"/>
      <c r="O48038" s="14"/>
      <c r="P48038" s="13"/>
    </row>
    <row r="48039">
      <c r="L48039" s="13"/>
      <c r="M48039" s="14"/>
      <c r="N48039" s="14"/>
      <c r="O48039" s="14"/>
      <c r="P48039" s="13"/>
    </row>
    <row r="48040">
      <c r="L48040" s="13"/>
      <c r="M48040" s="14"/>
      <c r="N48040" s="14"/>
      <c r="O48040" s="14"/>
      <c r="P48040" s="13"/>
    </row>
    <row r="48041">
      <c r="L48041" s="13"/>
      <c r="M48041" s="14"/>
      <c r="N48041" s="14"/>
      <c r="O48041" s="14"/>
      <c r="P48041" s="13"/>
    </row>
    <row r="48042">
      <c r="L48042" s="13"/>
      <c r="M48042" s="14"/>
      <c r="N48042" s="14"/>
      <c r="O48042" s="14"/>
      <c r="P48042" s="13"/>
    </row>
    <row r="48043">
      <c r="L48043" s="13"/>
      <c r="M48043" s="14"/>
      <c r="N48043" s="14"/>
      <c r="O48043" s="14"/>
      <c r="P48043" s="13"/>
    </row>
    <row r="48044">
      <c r="L48044" s="13"/>
      <c r="M48044" s="14"/>
      <c r="N48044" s="14"/>
      <c r="O48044" s="14"/>
      <c r="P48044" s="13"/>
    </row>
    <row r="48045">
      <c r="L48045" s="13"/>
      <c r="M48045" s="14"/>
      <c r="N48045" s="14"/>
      <c r="O48045" s="14"/>
      <c r="P48045" s="13"/>
    </row>
    <row r="48046">
      <c r="L48046" s="13"/>
      <c r="M48046" s="14"/>
      <c r="N48046" s="14"/>
      <c r="O48046" s="14"/>
      <c r="P48046" s="13"/>
    </row>
    <row r="48047">
      <c r="L48047" s="13"/>
      <c r="M48047" s="14"/>
      <c r="N48047" s="14"/>
      <c r="O48047" s="14"/>
      <c r="P48047" s="13"/>
    </row>
    <row r="48048">
      <c r="L48048" s="13"/>
      <c r="M48048" s="14"/>
      <c r="N48048" s="14"/>
      <c r="O48048" s="14"/>
      <c r="P48048" s="13"/>
    </row>
    <row r="48049">
      <c r="L48049" s="13"/>
      <c r="M48049" s="14"/>
      <c r="N48049" s="14"/>
      <c r="O48049" s="14"/>
      <c r="P48049" s="13"/>
    </row>
    <row r="48050">
      <c r="L48050" s="13"/>
      <c r="M48050" s="14"/>
      <c r="N48050" s="14"/>
      <c r="O48050" s="14"/>
      <c r="P48050" s="13"/>
    </row>
    <row r="48051">
      <c r="L48051" s="13"/>
      <c r="M48051" s="14"/>
      <c r="N48051" s="14"/>
      <c r="O48051" s="14"/>
      <c r="P48051" s="13"/>
    </row>
    <row r="48052">
      <c r="L48052" s="13"/>
      <c r="M48052" s="14"/>
      <c r="N48052" s="14"/>
      <c r="O48052" s="14"/>
      <c r="P48052" s="13"/>
    </row>
    <row r="48053">
      <c r="L48053" s="13"/>
      <c r="M48053" s="14"/>
      <c r="N48053" s="14"/>
      <c r="O48053" s="14"/>
      <c r="P48053" s="13"/>
    </row>
    <row r="48054">
      <c r="L48054" s="13"/>
      <c r="M48054" s="14"/>
      <c r="N48054" s="14"/>
      <c r="O48054" s="14"/>
      <c r="P48054" s="13"/>
    </row>
    <row r="48055">
      <c r="L48055" s="13"/>
      <c r="M48055" s="14"/>
      <c r="N48055" s="14"/>
      <c r="O48055" s="14"/>
      <c r="P48055" s="13"/>
    </row>
    <row r="48056">
      <c r="L48056" s="13"/>
      <c r="M48056" s="14"/>
      <c r="N48056" s="14"/>
      <c r="O48056" s="14"/>
      <c r="P48056" s="13"/>
    </row>
    <row r="48057">
      <c r="L48057" s="13"/>
      <c r="M48057" s="14"/>
      <c r="N48057" s="14"/>
      <c r="O48057" s="14"/>
      <c r="P48057" s="13"/>
    </row>
    <row r="48058">
      <c r="L48058" s="13"/>
      <c r="M48058" s="14"/>
      <c r="N48058" s="14"/>
      <c r="O48058" s="14"/>
      <c r="P48058" s="13"/>
    </row>
    <row r="48059">
      <c r="L48059" s="13"/>
      <c r="M48059" s="14"/>
      <c r="N48059" s="14"/>
      <c r="O48059" s="14"/>
      <c r="P48059" s="13"/>
    </row>
    <row r="48060">
      <c r="L48060" s="13"/>
      <c r="M48060" s="14"/>
      <c r="N48060" s="14"/>
      <c r="O48060" s="14"/>
      <c r="P48060" s="13"/>
    </row>
    <row r="48061">
      <c r="L48061" s="13"/>
      <c r="M48061" s="14"/>
      <c r="N48061" s="14"/>
      <c r="O48061" s="14"/>
      <c r="P48061" s="13"/>
    </row>
    <row r="48062">
      <c r="L48062" s="13"/>
      <c r="M48062" s="14"/>
      <c r="N48062" s="14"/>
      <c r="O48062" s="14"/>
      <c r="P48062" s="13"/>
    </row>
    <row r="48063">
      <c r="L48063" s="13"/>
      <c r="M48063" s="14"/>
      <c r="N48063" s="14"/>
      <c r="O48063" s="14"/>
      <c r="P48063" s="13"/>
    </row>
    <row r="48064">
      <c r="L48064" s="13"/>
      <c r="M48064" s="14"/>
      <c r="N48064" s="14"/>
      <c r="O48064" s="14"/>
      <c r="P48064" s="13"/>
    </row>
    <row r="48065">
      <c r="L48065" s="13"/>
      <c r="M48065" s="14"/>
      <c r="N48065" s="14"/>
      <c r="O48065" s="14"/>
      <c r="P48065" s="13"/>
    </row>
    <row r="48066">
      <c r="L48066" s="13"/>
      <c r="M48066" s="14"/>
      <c r="N48066" s="14"/>
      <c r="O48066" s="14"/>
      <c r="P48066" s="13"/>
    </row>
    <row r="48067">
      <c r="L48067" s="13"/>
      <c r="M48067" s="14"/>
      <c r="N48067" s="14"/>
      <c r="O48067" s="14"/>
      <c r="P48067" s="13"/>
    </row>
    <row r="48068">
      <c r="L48068" s="13"/>
      <c r="M48068" s="14"/>
      <c r="N48068" s="14"/>
      <c r="O48068" s="14"/>
      <c r="P48068" s="13"/>
    </row>
    <row r="48069">
      <c r="L48069" s="13"/>
      <c r="M48069" s="14"/>
      <c r="N48069" s="14"/>
      <c r="O48069" s="14"/>
      <c r="P48069" s="13"/>
    </row>
    <row r="48070">
      <c r="L48070" s="13"/>
      <c r="M48070" s="14"/>
      <c r="N48070" s="14"/>
      <c r="O48070" s="14"/>
      <c r="P48070" s="13"/>
    </row>
    <row r="48071">
      <c r="L48071" s="13"/>
      <c r="M48071" s="14"/>
      <c r="N48071" s="14"/>
      <c r="O48071" s="14"/>
      <c r="P48071" s="13"/>
    </row>
    <row r="48072">
      <c r="L48072" s="13"/>
      <c r="M48072" s="14"/>
      <c r="N48072" s="14"/>
      <c r="O48072" s="14"/>
      <c r="P48072" s="13"/>
    </row>
    <row r="48073">
      <c r="L48073" s="13"/>
      <c r="M48073" s="14"/>
      <c r="N48073" s="14"/>
      <c r="O48073" s="14"/>
      <c r="P48073" s="13"/>
    </row>
    <row r="48074">
      <c r="L48074" s="13"/>
      <c r="M48074" s="14"/>
      <c r="N48074" s="14"/>
      <c r="O48074" s="14"/>
      <c r="P48074" s="13"/>
    </row>
    <row r="48075">
      <c r="L48075" s="13"/>
      <c r="M48075" s="14"/>
      <c r="N48075" s="14"/>
      <c r="O48075" s="14"/>
      <c r="P48075" s="13"/>
    </row>
    <row r="48076">
      <c r="L48076" s="13"/>
      <c r="M48076" s="14"/>
      <c r="N48076" s="14"/>
      <c r="O48076" s="14"/>
      <c r="P48076" s="13"/>
    </row>
    <row r="48077">
      <c r="L48077" s="13"/>
      <c r="M48077" s="14"/>
      <c r="N48077" s="14"/>
      <c r="O48077" s="14"/>
      <c r="P48077" s="13"/>
    </row>
    <row r="48078">
      <c r="L48078" s="13"/>
      <c r="M48078" s="14"/>
      <c r="N48078" s="14"/>
      <c r="O48078" s="14"/>
      <c r="P48078" s="13"/>
    </row>
    <row r="48079">
      <c r="L48079" s="13"/>
      <c r="M48079" s="14"/>
      <c r="N48079" s="14"/>
      <c r="O48079" s="14"/>
      <c r="P48079" s="13"/>
    </row>
    <row r="48080">
      <c r="L48080" s="13"/>
      <c r="M48080" s="14"/>
      <c r="N48080" s="14"/>
      <c r="O48080" s="14"/>
      <c r="P48080" s="13"/>
    </row>
    <row r="48081">
      <c r="L48081" s="13"/>
      <c r="M48081" s="14"/>
      <c r="N48081" s="14"/>
      <c r="O48081" s="14"/>
      <c r="P48081" s="13"/>
    </row>
    <row r="48082">
      <c r="L48082" s="13"/>
      <c r="M48082" s="14"/>
      <c r="N48082" s="14"/>
      <c r="O48082" s="14"/>
      <c r="P48082" s="13"/>
    </row>
    <row r="48083">
      <c r="L48083" s="13"/>
      <c r="M48083" s="14"/>
      <c r="N48083" s="14"/>
      <c r="O48083" s="14"/>
      <c r="P48083" s="13"/>
    </row>
    <row r="48084">
      <c r="L48084" s="13"/>
      <c r="M48084" s="14"/>
      <c r="N48084" s="14"/>
      <c r="O48084" s="14"/>
      <c r="P48084" s="13"/>
    </row>
    <row r="48085">
      <c r="L48085" s="13"/>
      <c r="M48085" s="14"/>
      <c r="N48085" s="14"/>
      <c r="O48085" s="14"/>
      <c r="P48085" s="13"/>
    </row>
    <row r="48086">
      <c r="L48086" s="13"/>
      <c r="M48086" s="14"/>
      <c r="N48086" s="14"/>
      <c r="O48086" s="14"/>
      <c r="P48086" s="13"/>
    </row>
    <row r="48087">
      <c r="L48087" s="13"/>
      <c r="M48087" s="14"/>
      <c r="N48087" s="14"/>
      <c r="O48087" s="14"/>
      <c r="P48087" s="13"/>
    </row>
    <row r="48088">
      <c r="L48088" s="13"/>
      <c r="M48088" s="14"/>
      <c r="N48088" s="14"/>
      <c r="O48088" s="14"/>
      <c r="P48088" s="13"/>
    </row>
    <row r="48089">
      <c r="L48089" s="13"/>
      <c r="M48089" s="14"/>
      <c r="N48089" s="14"/>
      <c r="O48089" s="14"/>
      <c r="P48089" s="13"/>
    </row>
    <row r="48090">
      <c r="L48090" s="13"/>
      <c r="M48090" s="14"/>
      <c r="N48090" s="14"/>
      <c r="O48090" s="14"/>
      <c r="P48090" s="13"/>
    </row>
    <row r="48091">
      <c r="L48091" s="13"/>
      <c r="M48091" s="14"/>
      <c r="N48091" s="14"/>
      <c r="O48091" s="14"/>
      <c r="P48091" s="13"/>
    </row>
    <row r="48092">
      <c r="L48092" s="13"/>
      <c r="M48092" s="14"/>
      <c r="N48092" s="14"/>
      <c r="O48092" s="14"/>
      <c r="P48092" s="13"/>
    </row>
    <row r="48093">
      <c r="L48093" s="13"/>
      <c r="M48093" s="14"/>
      <c r="N48093" s="14"/>
      <c r="O48093" s="14"/>
      <c r="P48093" s="13"/>
    </row>
    <row r="48094">
      <c r="L48094" s="13"/>
      <c r="M48094" s="14"/>
      <c r="N48094" s="14"/>
      <c r="O48094" s="14"/>
      <c r="P48094" s="13"/>
    </row>
    <row r="48095">
      <c r="L48095" s="13"/>
      <c r="M48095" s="14"/>
      <c r="N48095" s="14"/>
      <c r="O48095" s="14"/>
      <c r="P48095" s="13"/>
    </row>
    <row r="48096">
      <c r="L48096" s="13"/>
      <c r="M48096" s="14"/>
      <c r="N48096" s="14"/>
      <c r="O48096" s="14"/>
      <c r="P48096" s="13"/>
    </row>
    <row r="48097">
      <c r="L48097" s="13"/>
      <c r="M48097" s="14"/>
      <c r="N48097" s="14"/>
      <c r="O48097" s="14"/>
      <c r="P48097" s="13"/>
    </row>
    <row r="48098">
      <c r="L48098" s="13"/>
      <c r="M48098" s="14"/>
      <c r="N48098" s="14"/>
      <c r="O48098" s="14"/>
      <c r="P48098" s="13"/>
    </row>
    <row r="48099">
      <c r="L48099" s="13"/>
      <c r="M48099" s="14"/>
      <c r="N48099" s="14"/>
      <c r="O48099" s="14"/>
      <c r="P48099" s="13"/>
    </row>
    <row r="48100">
      <c r="L48100" s="13"/>
      <c r="M48100" s="14"/>
      <c r="N48100" s="14"/>
      <c r="O48100" s="14"/>
      <c r="P48100" s="13"/>
    </row>
    <row r="48101">
      <c r="L48101" s="13"/>
      <c r="M48101" s="14"/>
      <c r="N48101" s="14"/>
      <c r="O48101" s="14"/>
      <c r="P48101" s="13"/>
    </row>
    <row r="48102">
      <c r="L48102" s="13"/>
      <c r="M48102" s="14"/>
      <c r="N48102" s="14"/>
      <c r="O48102" s="14"/>
      <c r="P48102" s="13"/>
    </row>
    <row r="48103">
      <c r="L48103" s="13"/>
      <c r="M48103" s="14"/>
      <c r="N48103" s="14"/>
      <c r="O48103" s="14"/>
      <c r="P48103" s="13"/>
    </row>
    <row r="48104">
      <c r="L48104" s="13"/>
      <c r="M48104" s="14"/>
      <c r="N48104" s="14"/>
      <c r="O48104" s="14"/>
      <c r="P48104" s="13"/>
    </row>
    <row r="48105">
      <c r="L48105" s="13"/>
      <c r="M48105" s="14"/>
      <c r="N48105" s="14"/>
      <c r="O48105" s="14"/>
      <c r="P48105" s="13"/>
    </row>
    <row r="48106">
      <c r="L48106" s="13"/>
      <c r="M48106" s="14"/>
      <c r="N48106" s="14"/>
      <c r="O48106" s="14"/>
      <c r="P48106" s="13"/>
    </row>
    <row r="48107">
      <c r="L48107" s="13"/>
      <c r="M48107" s="14"/>
      <c r="N48107" s="14"/>
      <c r="O48107" s="14"/>
      <c r="P48107" s="13"/>
    </row>
    <row r="48108">
      <c r="L48108" s="13"/>
      <c r="M48108" s="14"/>
      <c r="N48108" s="14"/>
      <c r="O48108" s="14"/>
      <c r="P48108" s="13"/>
    </row>
    <row r="48109">
      <c r="L48109" s="13"/>
      <c r="M48109" s="14"/>
      <c r="N48109" s="14"/>
      <c r="O48109" s="14"/>
      <c r="P48109" s="13"/>
    </row>
    <row r="48110">
      <c r="L48110" s="13"/>
      <c r="M48110" s="14"/>
      <c r="N48110" s="14"/>
      <c r="O48110" s="14"/>
      <c r="P48110" s="13"/>
    </row>
    <row r="48111">
      <c r="L48111" s="13"/>
      <c r="M48111" s="14"/>
      <c r="N48111" s="14"/>
      <c r="O48111" s="14"/>
      <c r="P48111" s="13"/>
    </row>
    <row r="48112">
      <c r="L48112" s="13"/>
      <c r="M48112" s="14"/>
      <c r="N48112" s="14"/>
      <c r="O48112" s="14"/>
      <c r="P48112" s="13"/>
    </row>
    <row r="48113">
      <c r="L48113" s="13"/>
      <c r="M48113" s="14"/>
      <c r="N48113" s="14"/>
      <c r="O48113" s="14"/>
      <c r="P48113" s="13"/>
    </row>
    <row r="48114">
      <c r="L48114" s="13"/>
      <c r="M48114" s="14"/>
      <c r="N48114" s="14"/>
      <c r="O48114" s="14"/>
      <c r="P48114" s="13"/>
    </row>
    <row r="48115">
      <c r="L48115" s="13"/>
      <c r="M48115" s="14"/>
      <c r="N48115" s="14"/>
      <c r="O48115" s="14"/>
      <c r="P48115" s="13"/>
    </row>
    <row r="48116">
      <c r="L48116" s="13"/>
      <c r="M48116" s="14"/>
      <c r="N48116" s="14"/>
      <c r="O48116" s="14"/>
      <c r="P48116" s="13"/>
    </row>
    <row r="48117">
      <c r="L48117" s="13"/>
      <c r="M48117" s="14"/>
      <c r="N48117" s="14"/>
      <c r="O48117" s="14"/>
      <c r="P48117" s="13"/>
    </row>
    <row r="48118">
      <c r="L48118" s="13"/>
      <c r="M48118" s="14"/>
      <c r="N48118" s="14"/>
      <c r="O48118" s="14"/>
      <c r="P48118" s="13"/>
    </row>
    <row r="48119">
      <c r="L48119" s="13"/>
      <c r="M48119" s="14"/>
      <c r="N48119" s="14"/>
      <c r="O48119" s="14"/>
      <c r="P48119" s="13"/>
    </row>
    <row r="48120">
      <c r="L48120" s="13"/>
      <c r="M48120" s="14"/>
      <c r="N48120" s="14"/>
      <c r="O48120" s="14"/>
      <c r="P48120" s="13"/>
    </row>
    <row r="48121">
      <c r="L48121" s="13"/>
      <c r="M48121" s="14"/>
      <c r="N48121" s="14"/>
      <c r="O48121" s="14"/>
      <c r="P48121" s="13"/>
    </row>
    <row r="48122">
      <c r="L48122" s="13"/>
      <c r="M48122" s="14"/>
      <c r="N48122" s="14"/>
      <c r="O48122" s="14"/>
      <c r="P48122" s="13"/>
    </row>
    <row r="48123">
      <c r="L48123" s="13"/>
      <c r="M48123" s="14"/>
      <c r="N48123" s="14"/>
      <c r="O48123" s="14"/>
      <c r="P48123" s="13"/>
    </row>
    <row r="48124">
      <c r="L48124" s="13"/>
      <c r="M48124" s="14"/>
      <c r="N48124" s="14"/>
      <c r="O48124" s="14"/>
      <c r="P48124" s="13"/>
    </row>
    <row r="48125">
      <c r="L48125" s="13"/>
      <c r="M48125" s="14"/>
      <c r="N48125" s="14"/>
      <c r="O48125" s="14"/>
      <c r="P48125" s="13"/>
    </row>
    <row r="48126">
      <c r="L48126" s="13"/>
      <c r="M48126" s="14"/>
      <c r="N48126" s="14"/>
      <c r="O48126" s="14"/>
      <c r="P48126" s="13"/>
    </row>
    <row r="48127">
      <c r="L48127" s="13"/>
      <c r="M48127" s="14"/>
      <c r="N48127" s="14"/>
      <c r="O48127" s="14"/>
      <c r="P48127" s="13"/>
    </row>
    <row r="48128">
      <c r="L48128" s="13"/>
      <c r="M48128" s="14"/>
      <c r="N48128" s="14"/>
      <c r="O48128" s="14"/>
      <c r="P48128" s="13"/>
    </row>
    <row r="48129">
      <c r="L48129" s="13"/>
      <c r="M48129" s="14"/>
      <c r="N48129" s="14"/>
      <c r="O48129" s="14"/>
      <c r="P48129" s="13"/>
    </row>
    <row r="48130">
      <c r="L48130" s="13"/>
      <c r="M48130" s="14"/>
      <c r="N48130" s="14"/>
      <c r="O48130" s="14"/>
      <c r="P48130" s="13"/>
    </row>
    <row r="48131">
      <c r="L48131" s="13"/>
      <c r="M48131" s="14"/>
      <c r="N48131" s="14"/>
      <c r="O48131" s="14"/>
      <c r="P48131" s="13"/>
    </row>
    <row r="48132">
      <c r="L48132" s="13"/>
      <c r="M48132" s="14"/>
      <c r="N48132" s="14"/>
      <c r="O48132" s="14"/>
      <c r="P48132" s="13"/>
    </row>
    <row r="48133">
      <c r="L48133" s="13"/>
      <c r="M48133" s="14"/>
      <c r="N48133" s="14"/>
      <c r="O48133" s="14"/>
      <c r="P48133" s="13"/>
    </row>
    <row r="48134">
      <c r="L48134" s="13"/>
      <c r="M48134" s="14"/>
      <c r="N48134" s="14"/>
      <c r="O48134" s="14"/>
      <c r="P48134" s="13"/>
    </row>
    <row r="48135">
      <c r="L48135" s="13"/>
      <c r="M48135" s="14"/>
      <c r="N48135" s="14"/>
      <c r="O48135" s="14"/>
      <c r="P48135" s="13"/>
    </row>
    <row r="48136">
      <c r="L48136" s="13"/>
      <c r="M48136" s="14"/>
      <c r="N48136" s="14"/>
      <c r="O48136" s="14"/>
      <c r="P48136" s="13"/>
    </row>
    <row r="48137">
      <c r="L48137" s="13"/>
      <c r="M48137" s="14"/>
      <c r="N48137" s="14"/>
      <c r="O48137" s="14"/>
      <c r="P48137" s="13"/>
    </row>
    <row r="48138">
      <c r="L48138" s="13"/>
      <c r="M48138" s="14"/>
      <c r="N48138" s="14"/>
      <c r="O48138" s="14"/>
      <c r="P48138" s="13"/>
    </row>
    <row r="48139">
      <c r="L48139" s="13"/>
      <c r="M48139" s="14"/>
      <c r="N48139" s="14"/>
      <c r="O48139" s="14"/>
      <c r="P48139" s="13"/>
    </row>
    <row r="48140">
      <c r="L48140" s="13"/>
      <c r="M48140" s="14"/>
      <c r="N48140" s="14"/>
      <c r="O48140" s="14"/>
      <c r="P48140" s="13"/>
    </row>
    <row r="48141">
      <c r="L48141" s="13"/>
      <c r="M48141" s="14"/>
      <c r="N48141" s="14"/>
      <c r="O48141" s="14"/>
      <c r="P48141" s="13"/>
    </row>
    <row r="48142">
      <c r="L48142" s="13"/>
      <c r="M48142" s="14"/>
      <c r="N48142" s="14"/>
      <c r="O48142" s="14"/>
      <c r="P48142" s="13"/>
    </row>
    <row r="48143">
      <c r="L48143" s="13"/>
      <c r="M48143" s="14"/>
      <c r="N48143" s="14"/>
      <c r="O48143" s="14"/>
      <c r="P48143" s="13"/>
    </row>
    <row r="48144">
      <c r="L48144" s="13"/>
      <c r="M48144" s="14"/>
      <c r="N48144" s="14"/>
      <c r="O48144" s="14"/>
      <c r="P48144" s="13"/>
    </row>
    <row r="48145">
      <c r="L48145" s="13"/>
      <c r="M48145" s="14"/>
      <c r="N48145" s="14"/>
      <c r="O48145" s="14"/>
      <c r="P48145" s="13"/>
    </row>
    <row r="48146">
      <c r="L48146" s="13"/>
      <c r="M48146" s="14"/>
      <c r="N48146" s="14"/>
      <c r="O48146" s="14"/>
      <c r="P48146" s="13"/>
    </row>
    <row r="48147">
      <c r="L48147" s="13"/>
      <c r="M48147" s="14"/>
      <c r="N48147" s="14"/>
      <c r="O48147" s="14"/>
      <c r="P48147" s="13"/>
    </row>
    <row r="48148">
      <c r="L48148" s="13"/>
      <c r="M48148" s="14"/>
      <c r="N48148" s="14"/>
      <c r="O48148" s="14"/>
      <c r="P48148" s="13"/>
    </row>
    <row r="48149">
      <c r="L48149" s="13"/>
      <c r="M48149" s="14"/>
      <c r="N48149" s="14"/>
      <c r="O48149" s="14"/>
      <c r="P48149" s="13"/>
    </row>
    <row r="48150">
      <c r="L48150" s="13"/>
      <c r="M48150" s="14"/>
      <c r="N48150" s="14"/>
      <c r="O48150" s="14"/>
      <c r="P48150" s="13"/>
    </row>
    <row r="48151">
      <c r="L48151" s="13"/>
      <c r="M48151" s="14"/>
      <c r="N48151" s="14"/>
      <c r="O48151" s="14"/>
      <c r="P48151" s="13"/>
    </row>
    <row r="48152">
      <c r="L48152" s="13"/>
      <c r="M48152" s="14"/>
      <c r="N48152" s="14"/>
      <c r="O48152" s="14"/>
      <c r="P48152" s="13"/>
    </row>
    <row r="48153">
      <c r="L48153" s="13"/>
      <c r="M48153" s="14"/>
      <c r="N48153" s="14"/>
      <c r="O48153" s="14"/>
      <c r="P48153" s="13"/>
    </row>
    <row r="48154">
      <c r="L48154" s="13"/>
      <c r="M48154" s="14"/>
      <c r="N48154" s="14"/>
      <c r="O48154" s="14"/>
      <c r="P48154" s="13"/>
    </row>
    <row r="48155">
      <c r="L48155" s="13"/>
      <c r="M48155" s="14"/>
      <c r="N48155" s="14"/>
      <c r="O48155" s="14"/>
      <c r="P48155" s="13"/>
    </row>
    <row r="48156">
      <c r="L48156" s="13"/>
      <c r="M48156" s="14"/>
      <c r="N48156" s="14"/>
      <c r="O48156" s="14"/>
      <c r="P48156" s="13"/>
    </row>
    <row r="48157">
      <c r="L48157" s="13"/>
      <c r="M48157" s="14"/>
      <c r="N48157" s="14"/>
      <c r="O48157" s="14"/>
      <c r="P48157" s="13"/>
    </row>
    <row r="48158">
      <c r="L48158" s="13"/>
      <c r="M48158" s="14"/>
      <c r="N48158" s="14"/>
      <c r="O48158" s="14"/>
      <c r="P48158" s="13"/>
    </row>
    <row r="48159">
      <c r="L48159" s="13"/>
      <c r="M48159" s="14"/>
      <c r="N48159" s="14"/>
      <c r="O48159" s="14"/>
      <c r="P48159" s="13"/>
    </row>
    <row r="48160">
      <c r="L48160" s="13"/>
      <c r="M48160" s="14"/>
      <c r="N48160" s="14"/>
      <c r="O48160" s="14"/>
      <c r="P48160" s="13"/>
    </row>
    <row r="48161">
      <c r="L48161" s="13"/>
      <c r="M48161" s="14"/>
      <c r="N48161" s="14"/>
      <c r="O48161" s="14"/>
      <c r="P48161" s="13"/>
    </row>
    <row r="48162">
      <c r="L48162" s="13"/>
      <c r="M48162" s="14"/>
      <c r="N48162" s="14"/>
      <c r="O48162" s="14"/>
      <c r="P48162" s="13"/>
    </row>
    <row r="48163">
      <c r="L48163" s="13"/>
      <c r="M48163" s="14"/>
      <c r="N48163" s="14"/>
      <c r="O48163" s="14"/>
      <c r="P48163" s="13"/>
    </row>
    <row r="48164">
      <c r="L48164" s="13"/>
      <c r="M48164" s="14"/>
      <c r="N48164" s="14"/>
      <c r="O48164" s="14"/>
      <c r="P48164" s="13"/>
    </row>
    <row r="48165">
      <c r="L48165" s="13"/>
      <c r="M48165" s="14"/>
      <c r="N48165" s="14"/>
      <c r="O48165" s="14"/>
      <c r="P48165" s="13"/>
    </row>
    <row r="48166">
      <c r="L48166" s="13"/>
      <c r="M48166" s="14"/>
      <c r="N48166" s="14"/>
      <c r="O48166" s="14"/>
      <c r="P48166" s="13"/>
    </row>
    <row r="48167">
      <c r="L48167" s="13"/>
      <c r="M48167" s="14"/>
      <c r="N48167" s="14"/>
      <c r="O48167" s="14"/>
      <c r="P48167" s="13"/>
    </row>
    <row r="48168">
      <c r="L48168" s="13"/>
      <c r="M48168" s="14"/>
      <c r="N48168" s="14"/>
      <c r="O48168" s="14"/>
      <c r="P48168" s="13"/>
    </row>
    <row r="48169">
      <c r="L48169" s="13"/>
      <c r="M48169" s="14"/>
      <c r="N48169" s="14"/>
      <c r="O48169" s="14"/>
      <c r="P48169" s="13"/>
    </row>
    <row r="48170">
      <c r="L48170" s="13"/>
      <c r="M48170" s="14"/>
      <c r="N48170" s="14"/>
      <c r="O48170" s="14"/>
      <c r="P48170" s="13"/>
    </row>
    <row r="48171">
      <c r="L48171" s="13"/>
      <c r="M48171" s="14"/>
      <c r="N48171" s="14"/>
      <c r="O48171" s="14"/>
      <c r="P48171" s="13"/>
    </row>
    <row r="48172">
      <c r="L48172" s="13"/>
      <c r="M48172" s="14"/>
      <c r="N48172" s="14"/>
      <c r="O48172" s="14"/>
      <c r="P48172" s="13"/>
    </row>
    <row r="48173">
      <c r="L48173" s="13"/>
      <c r="M48173" s="14"/>
      <c r="N48173" s="14"/>
      <c r="O48173" s="14"/>
      <c r="P48173" s="13"/>
    </row>
    <row r="48174">
      <c r="L48174" s="13"/>
      <c r="M48174" s="14"/>
      <c r="N48174" s="14"/>
      <c r="O48174" s="14"/>
      <c r="P48174" s="13"/>
    </row>
    <row r="48175">
      <c r="L48175" s="13"/>
      <c r="M48175" s="14"/>
      <c r="N48175" s="14"/>
      <c r="O48175" s="14"/>
      <c r="P48175" s="13"/>
    </row>
    <row r="48176">
      <c r="L48176" s="13"/>
      <c r="M48176" s="14"/>
      <c r="N48176" s="14"/>
      <c r="O48176" s="14"/>
      <c r="P48176" s="13"/>
    </row>
    <row r="48177">
      <c r="L48177" s="13"/>
      <c r="M48177" s="14"/>
      <c r="N48177" s="14"/>
      <c r="O48177" s="14"/>
      <c r="P48177" s="13"/>
    </row>
    <row r="48178">
      <c r="L48178" s="13"/>
      <c r="M48178" s="14"/>
      <c r="N48178" s="14"/>
      <c r="O48178" s="14"/>
      <c r="P48178" s="13"/>
    </row>
    <row r="48179">
      <c r="L48179" s="13"/>
      <c r="M48179" s="14"/>
      <c r="N48179" s="14"/>
      <c r="O48179" s="14"/>
      <c r="P48179" s="13"/>
    </row>
    <row r="48180">
      <c r="L48180" s="13"/>
      <c r="M48180" s="14"/>
      <c r="N48180" s="14"/>
      <c r="O48180" s="14"/>
      <c r="P48180" s="13"/>
    </row>
    <row r="48181">
      <c r="L48181" s="13"/>
      <c r="M48181" s="14"/>
      <c r="N48181" s="14"/>
      <c r="O48181" s="14"/>
      <c r="P48181" s="13"/>
    </row>
    <row r="48182">
      <c r="L48182" s="13"/>
      <c r="M48182" s="14"/>
      <c r="N48182" s="14"/>
      <c r="O48182" s="14"/>
      <c r="P48182" s="13"/>
    </row>
    <row r="48183">
      <c r="L48183" s="13"/>
      <c r="M48183" s="14"/>
      <c r="N48183" s="14"/>
      <c r="O48183" s="14"/>
      <c r="P48183" s="13"/>
    </row>
    <row r="48184">
      <c r="L48184" s="13"/>
      <c r="M48184" s="14"/>
      <c r="N48184" s="14"/>
      <c r="O48184" s="14"/>
      <c r="P48184" s="13"/>
    </row>
    <row r="48185">
      <c r="L48185" s="13"/>
      <c r="M48185" s="14"/>
      <c r="N48185" s="14"/>
      <c r="O48185" s="14"/>
      <c r="P48185" s="13"/>
    </row>
    <row r="48186">
      <c r="L48186" s="13"/>
      <c r="M48186" s="14"/>
      <c r="N48186" s="14"/>
      <c r="O48186" s="14"/>
      <c r="P48186" s="13"/>
    </row>
    <row r="48187">
      <c r="L48187" s="13"/>
      <c r="M48187" s="14"/>
      <c r="N48187" s="14"/>
      <c r="O48187" s="14"/>
      <c r="P48187" s="13"/>
    </row>
    <row r="48188">
      <c r="L48188" s="13"/>
      <c r="M48188" s="14"/>
      <c r="N48188" s="14"/>
      <c r="O48188" s="14"/>
      <c r="P48188" s="13"/>
    </row>
    <row r="48189">
      <c r="L48189" s="13"/>
      <c r="M48189" s="14"/>
      <c r="N48189" s="14"/>
      <c r="O48189" s="14"/>
      <c r="P48189" s="13"/>
    </row>
    <row r="48190">
      <c r="L48190" s="13"/>
      <c r="M48190" s="14"/>
      <c r="N48190" s="14"/>
      <c r="O48190" s="14"/>
      <c r="P48190" s="13"/>
    </row>
    <row r="48191">
      <c r="L48191" s="13"/>
      <c r="M48191" s="14"/>
      <c r="N48191" s="14"/>
      <c r="O48191" s="14"/>
      <c r="P48191" s="13"/>
    </row>
    <row r="48192">
      <c r="L48192" s="13"/>
      <c r="M48192" s="14"/>
      <c r="N48192" s="14"/>
      <c r="O48192" s="14"/>
      <c r="P48192" s="13"/>
    </row>
    <row r="48193">
      <c r="L48193" s="13"/>
      <c r="M48193" s="14"/>
      <c r="N48193" s="14"/>
      <c r="O48193" s="14"/>
      <c r="P48193" s="13"/>
    </row>
    <row r="48194">
      <c r="L48194" s="13"/>
      <c r="M48194" s="14"/>
      <c r="N48194" s="14"/>
      <c r="O48194" s="14"/>
      <c r="P48194" s="13"/>
    </row>
    <row r="48195">
      <c r="L48195" s="13"/>
      <c r="M48195" s="14"/>
      <c r="N48195" s="14"/>
      <c r="O48195" s="14"/>
      <c r="P48195" s="13"/>
    </row>
    <row r="48196">
      <c r="L48196" s="13"/>
      <c r="M48196" s="14"/>
      <c r="N48196" s="14"/>
      <c r="O48196" s="14"/>
      <c r="P48196" s="13"/>
    </row>
    <row r="48197">
      <c r="L48197" s="13"/>
      <c r="M48197" s="14"/>
      <c r="N48197" s="14"/>
      <c r="O48197" s="14"/>
      <c r="P48197" s="13"/>
    </row>
    <row r="48198">
      <c r="L48198" s="13"/>
      <c r="M48198" s="14"/>
      <c r="N48198" s="14"/>
      <c r="O48198" s="14"/>
      <c r="P48198" s="13"/>
    </row>
    <row r="48199">
      <c r="L48199" s="13"/>
      <c r="M48199" s="14"/>
      <c r="N48199" s="14"/>
      <c r="O48199" s="14"/>
      <c r="P48199" s="13"/>
    </row>
    <row r="48200">
      <c r="L48200" s="13"/>
      <c r="M48200" s="14"/>
      <c r="N48200" s="14"/>
      <c r="O48200" s="14"/>
      <c r="P48200" s="13"/>
    </row>
    <row r="48201">
      <c r="L48201" s="13"/>
      <c r="M48201" s="14"/>
      <c r="N48201" s="14"/>
      <c r="O48201" s="14"/>
      <c r="P48201" s="13"/>
    </row>
    <row r="48202">
      <c r="L48202" s="13"/>
      <c r="M48202" s="14"/>
      <c r="N48202" s="14"/>
      <c r="O48202" s="14"/>
      <c r="P48202" s="13"/>
    </row>
    <row r="48203">
      <c r="L48203" s="13"/>
      <c r="M48203" s="14"/>
      <c r="N48203" s="14"/>
      <c r="O48203" s="14"/>
      <c r="P48203" s="13"/>
    </row>
    <row r="48204">
      <c r="L48204" s="13"/>
      <c r="M48204" s="14"/>
      <c r="N48204" s="14"/>
      <c r="O48204" s="14"/>
      <c r="P48204" s="13"/>
    </row>
    <row r="48205">
      <c r="L48205" s="13"/>
      <c r="M48205" s="14"/>
      <c r="N48205" s="14"/>
      <c r="O48205" s="14"/>
      <c r="P48205" s="13"/>
    </row>
    <row r="48206">
      <c r="L48206" s="13"/>
      <c r="M48206" s="14"/>
      <c r="N48206" s="14"/>
      <c r="O48206" s="14"/>
      <c r="P48206" s="13"/>
    </row>
    <row r="48207">
      <c r="L48207" s="13"/>
      <c r="M48207" s="14"/>
      <c r="N48207" s="14"/>
      <c r="O48207" s="14"/>
      <c r="P48207" s="13"/>
    </row>
    <row r="48208">
      <c r="L48208" s="13"/>
      <c r="M48208" s="14"/>
      <c r="N48208" s="14"/>
      <c r="O48208" s="14"/>
      <c r="P48208" s="13"/>
    </row>
    <row r="48209">
      <c r="L48209" s="13"/>
      <c r="M48209" s="14"/>
      <c r="N48209" s="14"/>
      <c r="O48209" s="14"/>
      <c r="P48209" s="13"/>
    </row>
    <row r="48210">
      <c r="L48210" s="13"/>
      <c r="M48210" s="14"/>
      <c r="N48210" s="14"/>
      <c r="O48210" s="14"/>
      <c r="P48210" s="13"/>
    </row>
    <row r="48211">
      <c r="L48211" s="13"/>
      <c r="M48211" s="14"/>
      <c r="N48211" s="14"/>
      <c r="O48211" s="14"/>
      <c r="P48211" s="13"/>
    </row>
    <row r="48212">
      <c r="L48212" s="13"/>
      <c r="M48212" s="14"/>
      <c r="N48212" s="14"/>
      <c r="O48212" s="14"/>
      <c r="P48212" s="13"/>
    </row>
    <row r="48213">
      <c r="L48213" s="13"/>
      <c r="M48213" s="14"/>
      <c r="N48213" s="14"/>
      <c r="O48213" s="14"/>
      <c r="P48213" s="13"/>
    </row>
    <row r="48214">
      <c r="L48214" s="13"/>
      <c r="M48214" s="14"/>
      <c r="N48214" s="14"/>
      <c r="O48214" s="14"/>
      <c r="P48214" s="13"/>
    </row>
    <row r="48215">
      <c r="L48215" s="13"/>
      <c r="M48215" s="14"/>
      <c r="N48215" s="14"/>
      <c r="O48215" s="14"/>
      <c r="P48215" s="13"/>
    </row>
    <row r="48216">
      <c r="L48216" s="13"/>
      <c r="M48216" s="14"/>
      <c r="N48216" s="14"/>
      <c r="O48216" s="14"/>
      <c r="P48216" s="13"/>
    </row>
    <row r="48217">
      <c r="L48217" s="13"/>
      <c r="M48217" s="14"/>
      <c r="N48217" s="14"/>
      <c r="O48217" s="14"/>
      <c r="P48217" s="13"/>
    </row>
    <row r="48218">
      <c r="L48218" s="13"/>
      <c r="M48218" s="14"/>
      <c r="N48218" s="14"/>
      <c r="O48218" s="14"/>
      <c r="P48218" s="13"/>
    </row>
    <row r="48219">
      <c r="L48219" s="13"/>
      <c r="M48219" s="14"/>
      <c r="N48219" s="14"/>
      <c r="O48219" s="14"/>
      <c r="P48219" s="13"/>
    </row>
    <row r="48220">
      <c r="L48220" s="13"/>
      <c r="M48220" s="14"/>
      <c r="N48220" s="14"/>
      <c r="O48220" s="14"/>
      <c r="P48220" s="13"/>
    </row>
    <row r="48221">
      <c r="L48221" s="13"/>
      <c r="M48221" s="14"/>
      <c r="N48221" s="14"/>
      <c r="O48221" s="14"/>
      <c r="P48221" s="13"/>
    </row>
    <row r="48222">
      <c r="L48222" s="13"/>
      <c r="M48222" s="14"/>
      <c r="N48222" s="14"/>
      <c r="O48222" s="14"/>
      <c r="P48222" s="13"/>
    </row>
    <row r="48223">
      <c r="L48223" s="13"/>
      <c r="M48223" s="14"/>
      <c r="N48223" s="14"/>
      <c r="O48223" s="14"/>
      <c r="P48223" s="13"/>
    </row>
    <row r="48224">
      <c r="L48224" s="13"/>
      <c r="M48224" s="14"/>
      <c r="N48224" s="14"/>
      <c r="O48224" s="14"/>
      <c r="P48224" s="13"/>
    </row>
    <row r="48225">
      <c r="L48225" s="13"/>
      <c r="M48225" s="14"/>
      <c r="N48225" s="14"/>
      <c r="O48225" s="14"/>
      <c r="P48225" s="13"/>
    </row>
    <row r="48226">
      <c r="L48226" s="13"/>
      <c r="M48226" s="14"/>
      <c r="N48226" s="14"/>
      <c r="O48226" s="14"/>
      <c r="P48226" s="13"/>
    </row>
    <row r="48227">
      <c r="L48227" s="13"/>
      <c r="M48227" s="14"/>
      <c r="N48227" s="14"/>
      <c r="O48227" s="14"/>
      <c r="P48227" s="13"/>
    </row>
    <row r="48228">
      <c r="L48228" s="13"/>
      <c r="M48228" s="14"/>
      <c r="N48228" s="14"/>
      <c r="O48228" s="14"/>
      <c r="P48228" s="13"/>
    </row>
    <row r="48229">
      <c r="L48229" s="13"/>
      <c r="M48229" s="14"/>
      <c r="N48229" s="14"/>
      <c r="O48229" s="14"/>
      <c r="P48229" s="13"/>
    </row>
    <row r="48230">
      <c r="L48230" s="13"/>
      <c r="M48230" s="14"/>
      <c r="N48230" s="14"/>
      <c r="O48230" s="14"/>
      <c r="P48230" s="13"/>
    </row>
    <row r="48231">
      <c r="L48231" s="13"/>
      <c r="M48231" s="14"/>
      <c r="N48231" s="14"/>
      <c r="O48231" s="14"/>
      <c r="P48231" s="13"/>
    </row>
    <row r="48232">
      <c r="L48232" s="13"/>
      <c r="M48232" s="14"/>
      <c r="N48232" s="14"/>
      <c r="O48232" s="14"/>
      <c r="P48232" s="13"/>
    </row>
    <row r="48233">
      <c r="L48233" s="13"/>
      <c r="M48233" s="14"/>
      <c r="N48233" s="14"/>
      <c r="O48233" s="14"/>
      <c r="P48233" s="13"/>
    </row>
    <row r="48234">
      <c r="L48234" s="13"/>
      <c r="M48234" s="14"/>
      <c r="N48234" s="14"/>
      <c r="O48234" s="14"/>
      <c r="P48234" s="13"/>
    </row>
    <row r="48235">
      <c r="L48235" s="13"/>
      <c r="M48235" s="14"/>
      <c r="N48235" s="14"/>
      <c r="O48235" s="14"/>
      <c r="P48235" s="13"/>
    </row>
    <row r="48236">
      <c r="L48236" s="13"/>
      <c r="M48236" s="14"/>
      <c r="N48236" s="14"/>
      <c r="O48236" s="14"/>
      <c r="P48236" s="13"/>
    </row>
    <row r="48237">
      <c r="L48237" s="13"/>
      <c r="M48237" s="14"/>
      <c r="N48237" s="14"/>
      <c r="O48237" s="14"/>
      <c r="P48237" s="13"/>
    </row>
    <row r="48238">
      <c r="L48238" s="13"/>
      <c r="M48238" s="14"/>
      <c r="N48238" s="14"/>
      <c r="O48238" s="14"/>
      <c r="P48238" s="13"/>
    </row>
    <row r="48239">
      <c r="L48239" s="13"/>
      <c r="M48239" s="14"/>
      <c r="N48239" s="14"/>
      <c r="O48239" s="14"/>
      <c r="P48239" s="13"/>
    </row>
    <row r="48240">
      <c r="L48240" s="13"/>
      <c r="M48240" s="14"/>
      <c r="N48240" s="14"/>
      <c r="O48240" s="14"/>
      <c r="P48240" s="13"/>
    </row>
    <row r="48241">
      <c r="L48241" s="13"/>
      <c r="M48241" s="14"/>
      <c r="N48241" s="14"/>
      <c r="O48241" s="14"/>
      <c r="P48241" s="13"/>
    </row>
    <row r="48242">
      <c r="L48242" s="13"/>
      <c r="M48242" s="14"/>
      <c r="N48242" s="14"/>
      <c r="O48242" s="14"/>
      <c r="P48242" s="13"/>
    </row>
    <row r="48243">
      <c r="L48243" s="13"/>
      <c r="M48243" s="14"/>
      <c r="N48243" s="14"/>
      <c r="O48243" s="14"/>
      <c r="P48243" s="13"/>
    </row>
    <row r="48244">
      <c r="L48244" s="13"/>
      <c r="M48244" s="14"/>
      <c r="N48244" s="14"/>
      <c r="O48244" s="14"/>
      <c r="P48244" s="13"/>
    </row>
    <row r="48245">
      <c r="L48245" s="13"/>
      <c r="M48245" s="14"/>
      <c r="N48245" s="14"/>
      <c r="O48245" s="14"/>
      <c r="P48245" s="13"/>
    </row>
    <row r="48246">
      <c r="L48246" s="13"/>
      <c r="M48246" s="14"/>
      <c r="N48246" s="14"/>
      <c r="O48246" s="14"/>
      <c r="P48246" s="13"/>
    </row>
    <row r="48247">
      <c r="L48247" s="13"/>
      <c r="M48247" s="14"/>
      <c r="N48247" s="14"/>
      <c r="O48247" s="14"/>
      <c r="P48247" s="13"/>
    </row>
    <row r="48248">
      <c r="L48248" s="13"/>
      <c r="M48248" s="14"/>
      <c r="N48248" s="14"/>
      <c r="O48248" s="14"/>
      <c r="P48248" s="13"/>
    </row>
    <row r="48249">
      <c r="L48249" s="13"/>
      <c r="M48249" s="14"/>
      <c r="N48249" s="14"/>
      <c r="O48249" s="14"/>
      <c r="P48249" s="13"/>
    </row>
    <row r="48250">
      <c r="L48250" s="13"/>
      <c r="M48250" s="14"/>
      <c r="N48250" s="14"/>
      <c r="O48250" s="14"/>
      <c r="P48250" s="13"/>
    </row>
    <row r="48251">
      <c r="L48251" s="13"/>
      <c r="M48251" s="14"/>
      <c r="N48251" s="14"/>
      <c r="O48251" s="14"/>
      <c r="P48251" s="13"/>
    </row>
    <row r="48252">
      <c r="L48252" s="13"/>
      <c r="M48252" s="14"/>
      <c r="N48252" s="14"/>
      <c r="O48252" s="14"/>
      <c r="P48252" s="13"/>
    </row>
    <row r="48253">
      <c r="L48253" s="13"/>
      <c r="M48253" s="14"/>
      <c r="N48253" s="14"/>
      <c r="O48253" s="14"/>
      <c r="P48253" s="13"/>
    </row>
    <row r="48254">
      <c r="L48254" s="13"/>
      <c r="M48254" s="14"/>
      <c r="N48254" s="14"/>
      <c r="O48254" s="14"/>
      <c r="P48254" s="13"/>
    </row>
    <row r="48255">
      <c r="L48255" s="13"/>
      <c r="M48255" s="14"/>
      <c r="N48255" s="14"/>
      <c r="O48255" s="14"/>
      <c r="P48255" s="13"/>
    </row>
    <row r="48256">
      <c r="L48256" s="13"/>
      <c r="M48256" s="14"/>
      <c r="N48256" s="14"/>
      <c r="O48256" s="14"/>
      <c r="P48256" s="13"/>
    </row>
    <row r="48257">
      <c r="L48257" s="13"/>
      <c r="M48257" s="14"/>
      <c r="N48257" s="14"/>
      <c r="O48257" s="14"/>
      <c r="P48257" s="13"/>
    </row>
    <row r="48258">
      <c r="L48258" s="13"/>
      <c r="M48258" s="14"/>
      <c r="N48258" s="14"/>
      <c r="O48258" s="14"/>
      <c r="P48258" s="13"/>
    </row>
    <row r="48259">
      <c r="L48259" s="13"/>
      <c r="M48259" s="14"/>
      <c r="N48259" s="14"/>
      <c r="O48259" s="14"/>
      <c r="P48259" s="13"/>
    </row>
    <row r="48260">
      <c r="L48260" s="13"/>
      <c r="M48260" s="14"/>
      <c r="N48260" s="14"/>
      <c r="O48260" s="14"/>
      <c r="P48260" s="13"/>
    </row>
    <row r="48261">
      <c r="L48261" s="13"/>
      <c r="M48261" s="14"/>
      <c r="N48261" s="14"/>
      <c r="O48261" s="14"/>
      <c r="P48261" s="13"/>
    </row>
    <row r="48262">
      <c r="L48262" s="13"/>
      <c r="M48262" s="14"/>
      <c r="N48262" s="14"/>
      <c r="O48262" s="14"/>
      <c r="P48262" s="13"/>
    </row>
    <row r="48263">
      <c r="L48263" s="13"/>
      <c r="M48263" s="14"/>
      <c r="N48263" s="14"/>
      <c r="O48263" s="14"/>
      <c r="P48263" s="13"/>
    </row>
    <row r="48264">
      <c r="L48264" s="13"/>
      <c r="M48264" s="14"/>
      <c r="N48264" s="14"/>
      <c r="O48264" s="14"/>
      <c r="P48264" s="13"/>
    </row>
    <row r="48265">
      <c r="L48265" s="13"/>
      <c r="M48265" s="14"/>
      <c r="N48265" s="14"/>
      <c r="O48265" s="14"/>
      <c r="P48265" s="13"/>
    </row>
    <row r="48266">
      <c r="L48266" s="13"/>
      <c r="M48266" s="14"/>
      <c r="N48266" s="14"/>
      <c r="O48266" s="14"/>
      <c r="P48266" s="13"/>
    </row>
    <row r="48267">
      <c r="L48267" s="13"/>
      <c r="M48267" s="14"/>
      <c r="N48267" s="14"/>
      <c r="O48267" s="14"/>
      <c r="P48267" s="13"/>
    </row>
    <row r="48268">
      <c r="L48268" s="13"/>
      <c r="M48268" s="14"/>
      <c r="N48268" s="14"/>
      <c r="O48268" s="14"/>
      <c r="P48268" s="13"/>
    </row>
    <row r="48269">
      <c r="L48269" s="13"/>
      <c r="M48269" s="14"/>
      <c r="N48269" s="14"/>
      <c r="O48269" s="14"/>
      <c r="P48269" s="13"/>
    </row>
    <row r="48270">
      <c r="L48270" s="13"/>
      <c r="M48270" s="14"/>
      <c r="N48270" s="14"/>
      <c r="O48270" s="14"/>
      <c r="P48270" s="13"/>
    </row>
    <row r="48271">
      <c r="L48271" s="13"/>
      <c r="M48271" s="14"/>
      <c r="N48271" s="14"/>
      <c r="O48271" s="14"/>
      <c r="P48271" s="13"/>
    </row>
    <row r="48272">
      <c r="L48272" s="13"/>
      <c r="M48272" s="14"/>
      <c r="N48272" s="14"/>
      <c r="O48272" s="14"/>
      <c r="P48272" s="13"/>
    </row>
    <row r="48273">
      <c r="L48273" s="13"/>
      <c r="M48273" s="14"/>
      <c r="N48273" s="14"/>
      <c r="O48273" s="14"/>
      <c r="P48273" s="13"/>
    </row>
    <row r="48274">
      <c r="L48274" s="13"/>
      <c r="M48274" s="14"/>
      <c r="N48274" s="14"/>
      <c r="O48274" s="14"/>
      <c r="P48274" s="13"/>
    </row>
    <row r="48275">
      <c r="L48275" s="13"/>
      <c r="M48275" s="14"/>
      <c r="N48275" s="14"/>
      <c r="O48275" s="14"/>
      <c r="P48275" s="13"/>
    </row>
    <row r="48276">
      <c r="L48276" s="13"/>
      <c r="M48276" s="14"/>
      <c r="N48276" s="14"/>
      <c r="O48276" s="14"/>
      <c r="P48276" s="13"/>
    </row>
    <row r="48277">
      <c r="L48277" s="13"/>
      <c r="M48277" s="14"/>
      <c r="N48277" s="14"/>
      <c r="O48277" s="14"/>
      <c r="P48277" s="13"/>
    </row>
    <row r="48278">
      <c r="L48278" s="13"/>
      <c r="M48278" s="14"/>
      <c r="N48278" s="14"/>
      <c r="O48278" s="14"/>
      <c r="P48278" s="13"/>
    </row>
    <row r="48279">
      <c r="L48279" s="13"/>
      <c r="M48279" s="14"/>
      <c r="N48279" s="14"/>
      <c r="O48279" s="14"/>
      <c r="P48279" s="13"/>
    </row>
    <row r="48280">
      <c r="L48280" s="13"/>
      <c r="M48280" s="14"/>
      <c r="N48280" s="14"/>
      <c r="O48280" s="14"/>
      <c r="P48280" s="13"/>
    </row>
    <row r="48281">
      <c r="L48281" s="13"/>
      <c r="M48281" s="14"/>
      <c r="N48281" s="14"/>
      <c r="O48281" s="14"/>
      <c r="P48281" s="13"/>
    </row>
    <row r="48282">
      <c r="L48282" s="13"/>
      <c r="M48282" s="14"/>
      <c r="N48282" s="14"/>
      <c r="O48282" s="14"/>
      <c r="P48282" s="13"/>
    </row>
    <row r="48283">
      <c r="L48283" s="13"/>
      <c r="M48283" s="14"/>
      <c r="N48283" s="14"/>
      <c r="O48283" s="14"/>
      <c r="P48283" s="13"/>
    </row>
    <row r="48284">
      <c r="L48284" s="13"/>
      <c r="M48284" s="14"/>
      <c r="N48284" s="14"/>
      <c r="O48284" s="14"/>
      <c r="P48284" s="13"/>
    </row>
    <row r="48285">
      <c r="L48285" s="13"/>
      <c r="M48285" s="14"/>
      <c r="N48285" s="14"/>
      <c r="O48285" s="14"/>
      <c r="P48285" s="13"/>
    </row>
    <row r="48286">
      <c r="L48286" s="13"/>
      <c r="M48286" s="14"/>
      <c r="N48286" s="14"/>
      <c r="O48286" s="14"/>
      <c r="P48286" s="13"/>
    </row>
    <row r="48287">
      <c r="L48287" s="13"/>
      <c r="M48287" s="14"/>
      <c r="N48287" s="14"/>
      <c r="O48287" s="14"/>
      <c r="P48287" s="13"/>
    </row>
    <row r="48288">
      <c r="L48288" s="13"/>
      <c r="M48288" s="14"/>
      <c r="N48288" s="14"/>
      <c r="O48288" s="14"/>
      <c r="P48288" s="13"/>
    </row>
    <row r="48289">
      <c r="L48289" s="13"/>
      <c r="M48289" s="14"/>
      <c r="N48289" s="14"/>
      <c r="O48289" s="14"/>
      <c r="P48289" s="13"/>
    </row>
    <row r="48290">
      <c r="L48290" s="13"/>
      <c r="M48290" s="14"/>
      <c r="N48290" s="14"/>
      <c r="O48290" s="14"/>
      <c r="P48290" s="13"/>
    </row>
    <row r="48291">
      <c r="L48291" s="13"/>
      <c r="M48291" s="14"/>
      <c r="N48291" s="14"/>
      <c r="O48291" s="14"/>
      <c r="P48291" s="13"/>
    </row>
    <row r="48292">
      <c r="L48292" s="13"/>
      <c r="M48292" s="14"/>
      <c r="N48292" s="14"/>
      <c r="O48292" s="14"/>
      <c r="P48292" s="13"/>
    </row>
    <row r="48293">
      <c r="L48293" s="13"/>
      <c r="M48293" s="14"/>
      <c r="N48293" s="14"/>
      <c r="O48293" s="14"/>
      <c r="P48293" s="13"/>
    </row>
    <row r="48294">
      <c r="L48294" s="13"/>
      <c r="M48294" s="14"/>
      <c r="N48294" s="14"/>
      <c r="O48294" s="14"/>
      <c r="P48294" s="13"/>
    </row>
    <row r="48295">
      <c r="L48295" s="13"/>
      <c r="M48295" s="14"/>
      <c r="N48295" s="14"/>
      <c r="O48295" s="14"/>
      <c r="P48295" s="13"/>
    </row>
    <row r="48296">
      <c r="L48296" s="13"/>
      <c r="M48296" s="14"/>
      <c r="N48296" s="14"/>
      <c r="O48296" s="14"/>
      <c r="P48296" s="13"/>
    </row>
    <row r="48297">
      <c r="L48297" s="13"/>
      <c r="M48297" s="14"/>
      <c r="N48297" s="14"/>
      <c r="O48297" s="14"/>
      <c r="P48297" s="13"/>
    </row>
    <row r="48298">
      <c r="L48298" s="13"/>
      <c r="M48298" s="14"/>
      <c r="N48298" s="14"/>
      <c r="O48298" s="14"/>
      <c r="P48298" s="13"/>
    </row>
    <row r="48299">
      <c r="L48299" s="13"/>
      <c r="M48299" s="14"/>
      <c r="N48299" s="14"/>
      <c r="O48299" s="14"/>
      <c r="P48299" s="13"/>
    </row>
    <row r="48300">
      <c r="L48300" s="13"/>
      <c r="M48300" s="14"/>
      <c r="N48300" s="14"/>
      <c r="O48300" s="14"/>
      <c r="P48300" s="13"/>
    </row>
    <row r="48301">
      <c r="L48301" s="13"/>
      <c r="M48301" s="14"/>
      <c r="N48301" s="14"/>
      <c r="O48301" s="14"/>
      <c r="P48301" s="13"/>
    </row>
    <row r="48302">
      <c r="L48302" s="13"/>
      <c r="M48302" s="14"/>
      <c r="N48302" s="14"/>
      <c r="O48302" s="14"/>
      <c r="P48302" s="13"/>
    </row>
    <row r="48303">
      <c r="L48303" s="13"/>
      <c r="M48303" s="14"/>
      <c r="N48303" s="14"/>
      <c r="O48303" s="14"/>
      <c r="P48303" s="13"/>
    </row>
    <row r="48304">
      <c r="L48304" s="13"/>
      <c r="M48304" s="14"/>
      <c r="N48304" s="14"/>
      <c r="O48304" s="14"/>
      <c r="P48304" s="13"/>
    </row>
    <row r="48305">
      <c r="L48305" s="13"/>
      <c r="M48305" s="14"/>
      <c r="N48305" s="14"/>
      <c r="O48305" s="14"/>
      <c r="P48305" s="13"/>
    </row>
    <row r="48306">
      <c r="L48306" s="13"/>
      <c r="M48306" s="14"/>
      <c r="N48306" s="14"/>
      <c r="O48306" s="14"/>
      <c r="P48306" s="13"/>
    </row>
    <row r="48307">
      <c r="L48307" s="13"/>
      <c r="M48307" s="14"/>
      <c r="N48307" s="14"/>
      <c r="O48307" s="14"/>
      <c r="P48307" s="13"/>
    </row>
    <row r="48308">
      <c r="L48308" s="13"/>
      <c r="M48308" s="14"/>
      <c r="N48308" s="14"/>
      <c r="O48308" s="14"/>
      <c r="P48308" s="13"/>
    </row>
    <row r="48309">
      <c r="L48309" s="13"/>
      <c r="M48309" s="14"/>
      <c r="N48309" s="14"/>
      <c r="O48309" s="14"/>
      <c r="P48309" s="13"/>
    </row>
    <row r="48310">
      <c r="L48310" s="13"/>
      <c r="M48310" s="14"/>
      <c r="N48310" s="14"/>
      <c r="O48310" s="14"/>
      <c r="P48310" s="13"/>
    </row>
    <row r="48311">
      <c r="L48311" s="13"/>
      <c r="M48311" s="14"/>
      <c r="N48311" s="14"/>
      <c r="O48311" s="14"/>
      <c r="P48311" s="13"/>
    </row>
    <row r="48312">
      <c r="L48312" s="13"/>
      <c r="M48312" s="14"/>
      <c r="N48312" s="14"/>
      <c r="O48312" s="14"/>
      <c r="P48312" s="13"/>
    </row>
    <row r="48313">
      <c r="L48313" s="13"/>
      <c r="M48313" s="14"/>
      <c r="N48313" s="14"/>
      <c r="O48313" s="14"/>
      <c r="P48313" s="13"/>
    </row>
    <row r="48314">
      <c r="L48314" s="13"/>
      <c r="M48314" s="14"/>
      <c r="N48314" s="14"/>
      <c r="O48314" s="14"/>
      <c r="P48314" s="13"/>
    </row>
    <row r="48315">
      <c r="L48315" s="13"/>
      <c r="M48315" s="14"/>
      <c r="N48315" s="14"/>
      <c r="O48315" s="14"/>
      <c r="P48315" s="13"/>
    </row>
    <row r="48316">
      <c r="L48316" s="13"/>
      <c r="M48316" s="14"/>
      <c r="N48316" s="14"/>
      <c r="O48316" s="14"/>
      <c r="P48316" s="13"/>
    </row>
    <row r="48317">
      <c r="L48317" s="13"/>
      <c r="M48317" s="14"/>
      <c r="N48317" s="14"/>
      <c r="O48317" s="14"/>
      <c r="P48317" s="13"/>
    </row>
    <row r="48318">
      <c r="L48318" s="13"/>
      <c r="M48318" s="14"/>
      <c r="N48318" s="14"/>
      <c r="O48318" s="14"/>
      <c r="P48318" s="13"/>
    </row>
    <row r="48319">
      <c r="L48319" s="13"/>
      <c r="M48319" s="14"/>
      <c r="N48319" s="14"/>
      <c r="O48319" s="14"/>
      <c r="P48319" s="13"/>
    </row>
    <row r="48320">
      <c r="L48320" s="13"/>
      <c r="M48320" s="14"/>
      <c r="N48320" s="14"/>
      <c r="O48320" s="14"/>
      <c r="P48320" s="13"/>
    </row>
    <row r="48321">
      <c r="L48321" s="13"/>
      <c r="M48321" s="14"/>
      <c r="N48321" s="14"/>
      <c r="O48321" s="14"/>
      <c r="P48321" s="13"/>
    </row>
    <row r="48322">
      <c r="L48322" s="13"/>
      <c r="M48322" s="14"/>
      <c r="N48322" s="14"/>
      <c r="O48322" s="14"/>
      <c r="P48322" s="13"/>
    </row>
    <row r="48323">
      <c r="L48323" s="13"/>
      <c r="M48323" s="14"/>
      <c r="N48323" s="14"/>
      <c r="O48323" s="14"/>
      <c r="P48323" s="13"/>
    </row>
    <row r="48324">
      <c r="L48324" s="13"/>
      <c r="M48324" s="14"/>
      <c r="N48324" s="14"/>
      <c r="O48324" s="14"/>
      <c r="P48324" s="13"/>
    </row>
    <row r="48325">
      <c r="L48325" s="13"/>
      <c r="M48325" s="14"/>
      <c r="N48325" s="14"/>
      <c r="O48325" s="14"/>
      <c r="P48325" s="13"/>
    </row>
    <row r="48326">
      <c r="L48326" s="13"/>
      <c r="M48326" s="14"/>
      <c r="N48326" s="14"/>
      <c r="O48326" s="14"/>
      <c r="P48326" s="13"/>
    </row>
    <row r="48327">
      <c r="L48327" s="13"/>
      <c r="M48327" s="14"/>
      <c r="N48327" s="14"/>
      <c r="O48327" s="14"/>
      <c r="P48327" s="13"/>
    </row>
    <row r="48328">
      <c r="L48328" s="13"/>
      <c r="M48328" s="14"/>
      <c r="N48328" s="14"/>
      <c r="O48328" s="14"/>
      <c r="P48328" s="13"/>
    </row>
    <row r="48329">
      <c r="L48329" s="13"/>
      <c r="M48329" s="14"/>
      <c r="N48329" s="14"/>
      <c r="O48329" s="14"/>
      <c r="P48329" s="13"/>
    </row>
    <row r="48330">
      <c r="L48330" s="13"/>
      <c r="M48330" s="14"/>
      <c r="N48330" s="14"/>
      <c r="O48330" s="14"/>
      <c r="P48330" s="13"/>
    </row>
    <row r="48331">
      <c r="L48331" s="13"/>
      <c r="M48331" s="14"/>
      <c r="N48331" s="14"/>
      <c r="O48331" s="14"/>
      <c r="P48331" s="13"/>
    </row>
    <row r="48332">
      <c r="L48332" s="13"/>
      <c r="M48332" s="14"/>
      <c r="N48332" s="14"/>
      <c r="O48332" s="14"/>
      <c r="P48332" s="13"/>
    </row>
    <row r="48333">
      <c r="L48333" s="13"/>
      <c r="M48333" s="14"/>
      <c r="N48333" s="14"/>
      <c r="O48333" s="14"/>
      <c r="P48333" s="13"/>
    </row>
    <row r="48334">
      <c r="L48334" s="13"/>
      <c r="M48334" s="14"/>
      <c r="N48334" s="14"/>
      <c r="O48334" s="14"/>
      <c r="P48334" s="13"/>
    </row>
    <row r="48335">
      <c r="L48335" s="13"/>
      <c r="M48335" s="14"/>
      <c r="N48335" s="14"/>
      <c r="O48335" s="14"/>
      <c r="P48335" s="13"/>
    </row>
    <row r="48336">
      <c r="L48336" s="13"/>
      <c r="M48336" s="14"/>
      <c r="N48336" s="14"/>
      <c r="O48336" s="14"/>
      <c r="P48336" s="13"/>
    </row>
    <row r="48337">
      <c r="L48337" s="13"/>
      <c r="M48337" s="14"/>
      <c r="N48337" s="14"/>
      <c r="O48337" s="14"/>
      <c r="P48337" s="13"/>
    </row>
    <row r="48338">
      <c r="L48338" s="13"/>
      <c r="M48338" s="14"/>
      <c r="N48338" s="14"/>
      <c r="O48338" s="14"/>
      <c r="P48338" s="13"/>
    </row>
    <row r="48339">
      <c r="L48339" s="13"/>
      <c r="M48339" s="14"/>
      <c r="N48339" s="14"/>
      <c r="O48339" s="14"/>
      <c r="P48339" s="13"/>
    </row>
    <row r="48340">
      <c r="L48340" s="13"/>
      <c r="M48340" s="14"/>
      <c r="N48340" s="14"/>
      <c r="O48340" s="14"/>
      <c r="P48340" s="13"/>
    </row>
    <row r="48341">
      <c r="L48341" s="13"/>
      <c r="M48341" s="14"/>
      <c r="N48341" s="14"/>
      <c r="O48341" s="14"/>
      <c r="P48341" s="13"/>
    </row>
    <row r="48342">
      <c r="L48342" s="13"/>
      <c r="M48342" s="14"/>
      <c r="N48342" s="14"/>
      <c r="O48342" s="14"/>
      <c r="P48342" s="13"/>
    </row>
    <row r="48343">
      <c r="L48343" s="13"/>
      <c r="M48343" s="14"/>
      <c r="N48343" s="14"/>
      <c r="O48343" s="14"/>
      <c r="P48343" s="13"/>
    </row>
    <row r="48344">
      <c r="L48344" s="13"/>
      <c r="M48344" s="14"/>
      <c r="N48344" s="14"/>
      <c r="O48344" s="14"/>
      <c r="P48344" s="13"/>
    </row>
    <row r="48345">
      <c r="L48345" s="13"/>
      <c r="M48345" s="14"/>
      <c r="N48345" s="14"/>
      <c r="O48345" s="14"/>
      <c r="P48345" s="13"/>
    </row>
    <row r="48346">
      <c r="L48346" s="13"/>
      <c r="M48346" s="14"/>
      <c r="N48346" s="14"/>
      <c r="O48346" s="14"/>
      <c r="P48346" s="13"/>
    </row>
    <row r="48347">
      <c r="L48347" s="13"/>
      <c r="M48347" s="14"/>
      <c r="N48347" s="14"/>
      <c r="O48347" s="14"/>
      <c r="P48347" s="13"/>
    </row>
    <row r="48348">
      <c r="L48348" s="13"/>
      <c r="M48348" s="14"/>
      <c r="N48348" s="14"/>
      <c r="O48348" s="14"/>
      <c r="P48348" s="13"/>
    </row>
    <row r="48349">
      <c r="L48349" s="13"/>
      <c r="M48349" s="14"/>
      <c r="N48349" s="14"/>
      <c r="O48349" s="14"/>
      <c r="P48349" s="13"/>
    </row>
    <row r="48350">
      <c r="L48350" s="13"/>
      <c r="M48350" s="14"/>
      <c r="N48350" s="14"/>
      <c r="O48350" s="14"/>
      <c r="P48350" s="13"/>
    </row>
    <row r="48351">
      <c r="L48351" s="13"/>
      <c r="M48351" s="14"/>
      <c r="N48351" s="14"/>
      <c r="O48351" s="14"/>
      <c r="P48351" s="13"/>
    </row>
    <row r="48352">
      <c r="L48352" s="13"/>
      <c r="M48352" s="14"/>
      <c r="N48352" s="14"/>
      <c r="O48352" s="14"/>
      <c r="P48352" s="13"/>
    </row>
    <row r="48353">
      <c r="L48353" s="13"/>
      <c r="M48353" s="14"/>
      <c r="N48353" s="14"/>
      <c r="O48353" s="14"/>
      <c r="P48353" s="13"/>
    </row>
    <row r="48354">
      <c r="L48354" s="13"/>
      <c r="M48354" s="14"/>
      <c r="N48354" s="14"/>
      <c r="O48354" s="14"/>
      <c r="P48354" s="13"/>
    </row>
    <row r="48355">
      <c r="L48355" s="13"/>
      <c r="M48355" s="14"/>
      <c r="N48355" s="14"/>
      <c r="O48355" s="14"/>
      <c r="P48355" s="13"/>
    </row>
    <row r="48356">
      <c r="L48356" s="13"/>
      <c r="M48356" s="14"/>
      <c r="N48356" s="14"/>
      <c r="O48356" s="14"/>
      <c r="P48356" s="13"/>
    </row>
    <row r="48357">
      <c r="L48357" s="13"/>
      <c r="M48357" s="14"/>
      <c r="N48357" s="14"/>
      <c r="O48357" s="14"/>
      <c r="P48357" s="13"/>
    </row>
    <row r="48358">
      <c r="L48358" s="13"/>
      <c r="M48358" s="14"/>
      <c r="N48358" s="14"/>
      <c r="O48358" s="14"/>
      <c r="P48358" s="13"/>
    </row>
    <row r="48359">
      <c r="L48359" s="13"/>
      <c r="M48359" s="14"/>
      <c r="N48359" s="14"/>
      <c r="O48359" s="14"/>
      <c r="P48359" s="13"/>
    </row>
    <row r="48360">
      <c r="L48360" s="13"/>
      <c r="M48360" s="14"/>
      <c r="N48360" s="14"/>
      <c r="O48360" s="14"/>
      <c r="P48360" s="13"/>
    </row>
    <row r="48361">
      <c r="L48361" s="13"/>
      <c r="M48361" s="14"/>
      <c r="N48361" s="14"/>
      <c r="O48361" s="14"/>
      <c r="P48361" s="13"/>
    </row>
    <row r="48362">
      <c r="L48362" s="13"/>
      <c r="M48362" s="14"/>
      <c r="N48362" s="14"/>
      <c r="O48362" s="14"/>
      <c r="P48362" s="13"/>
    </row>
    <row r="48363">
      <c r="L48363" s="13"/>
      <c r="M48363" s="14"/>
      <c r="N48363" s="14"/>
      <c r="O48363" s="14"/>
      <c r="P48363" s="13"/>
    </row>
    <row r="48364">
      <c r="L48364" s="13"/>
      <c r="M48364" s="14"/>
      <c r="N48364" s="14"/>
      <c r="O48364" s="14"/>
      <c r="P48364" s="13"/>
    </row>
    <row r="48365">
      <c r="L48365" s="13"/>
      <c r="M48365" s="14"/>
      <c r="N48365" s="14"/>
      <c r="O48365" s="14"/>
      <c r="P48365" s="13"/>
    </row>
    <row r="48366">
      <c r="L48366" s="13"/>
      <c r="M48366" s="14"/>
      <c r="N48366" s="14"/>
      <c r="O48366" s="14"/>
      <c r="P48366" s="13"/>
    </row>
    <row r="48367">
      <c r="L48367" s="13"/>
      <c r="M48367" s="14"/>
      <c r="N48367" s="14"/>
      <c r="O48367" s="14"/>
      <c r="P48367" s="13"/>
    </row>
    <row r="48368">
      <c r="L48368" s="13"/>
      <c r="M48368" s="14"/>
      <c r="N48368" s="14"/>
      <c r="O48368" s="14"/>
      <c r="P48368" s="13"/>
    </row>
    <row r="48369">
      <c r="L48369" s="13"/>
      <c r="M48369" s="14"/>
      <c r="N48369" s="14"/>
      <c r="O48369" s="14"/>
      <c r="P48369" s="13"/>
    </row>
    <row r="48370">
      <c r="L48370" s="13"/>
      <c r="M48370" s="14"/>
      <c r="N48370" s="14"/>
      <c r="O48370" s="14"/>
      <c r="P48370" s="13"/>
    </row>
    <row r="48371">
      <c r="L48371" s="13"/>
      <c r="M48371" s="14"/>
      <c r="N48371" s="14"/>
      <c r="O48371" s="14"/>
      <c r="P48371" s="13"/>
    </row>
    <row r="48372">
      <c r="L48372" s="13"/>
      <c r="M48372" s="14"/>
      <c r="N48372" s="14"/>
      <c r="O48372" s="14"/>
      <c r="P48372" s="13"/>
    </row>
    <row r="48373">
      <c r="L48373" s="13"/>
      <c r="M48373" s="14"/>
      <c r="N48373" s="14"/>
      <c r="O48373" s="14"/>
      <c r="P48373" s="13"/>
    </row>
    <row r="48374">
      <c r="L48374" s="13"/>
      <c r="M48374" s="14"/>
      <c r="N48374" s="14"/>
      <c r="O48374" s="14"/>
      <c r="P48374" s="13"/>
    </row>
    <row r="48375">
      <c r="L48375" s="13"/>
      <c r="M48375" s="14"/>
      <c r="N48375" s="14"/>
      <c r="O48375" s="14"/>
      <c r="P48375" s="13"/>
    </row>
    <row r="48376">
      <c r="L48376" s="13"/>
      <c r="M48376" s="14"/>
      <c r="N48376" s="14"/>
      <c r="O48376" s="14"/>
      <c r="P48376" s="13"/>
    </row>
    <row r="48377">
      <c r="L48377" s="13"/>
      <c r="M48377" s="14"/>
      <c r="N48377" s="14"/>
      <c r="O48377" s="14"/>
      <c r="P48377" s="13"/>
    </row>
    <row r="48378">
      <c r="L48378" s="13"/>
      <c r="M48378" s="14"/>
      <c r="N48378" s="14"/>
      <c r="O48378" s="14"/>
      <c r="P48378" s="13"/>
    </row>
    <row r="48379">
      <c r="L48379" s="13"/>
      <c r="M48379" s="14"/>
      <c r="N48379" s="14"/>
      <c r="O48379" s="14"/>
      <c r="P48379" s="13"/>
    </row>
    <row r="48380">
      <c r="L48380" s="13"/>
      <c r="M48380" s="14"/>
      <c r="N48380" s="14"/>
      <c r="O48380" s="14"/>
      <c r="P48380" s="13"/>
    </row>
    <row r="48381">
      <c r="L48381" s="13"/>
      <c r="M48381" s="14"/>
      <c r="N48381" s="14"/>
      <c r="O48381" s="14"/>
      <c r="P48381" s="13"/>
    </row>
    <row r="48382">
      <c r="L48382" s="13"/>
      <c r="M48382" s="14"/>
      <c r="N48382" s="14"/>
      <c r="O48382" s="14"/>
      <c r="P48382" s="13"/>
    </row>
    <row r="48383">
      <c r="L48383" s="13"/>
      <c r="M48383" s="14"/>
      <c r="N48383" s="14"/>
      <c r="O48383" s="14"/>
      <c r="P48383" s="13"/>
    </row>
    <row r="48384">
      <c r="L48384" s="13"/>
      <c r="M48384" s="14"/>
      <c r="N48384" s="14"/>
      <c r="O48384" s="14"/>
      <c r="P48384" s="13"/>
    </row>
    <row r="48385">
      <c r="L48385" s="13"/>
      <c r="M48385" s="14"/>
      <c r="N48385" s="14"/>
      <c r="O48385" s="14"/>
      <c r="P48385" s="13"/>
    </row>
    <row r="48386">
      <c r="L48386" s="13"/>
      <c r="M48386" s="14"/>
      <c r="N48386" s="14"/>
      <c r="O48386" s="14"/>
      <c r="P48386" s="13"/>
    </row>
    <row r="48387">
      <c r="L48387" s="13"/>
      <c r="M48387" s="14"/>
      <c r="N48387" s="14"/>
      <c r="O48387" s="14"/>
      <c r="P48387" s="13"/>
    </row>
    <row r="48388">
      <c r="L48388" s="13"/>
      <c r="M48388" s="14"/>
      <c r="N48388" s="14"/>
      <c r="O48388" s="14"/>
      <c r="P48388" s="13"/>
    </row>
    <row r="48389">
      <c r="L48389" s="13"/>
      <c r="M48389" s="14"/>
      <c r="N48389" s="14"/>
      <c r="O48389" s="14"/>
      <c r="P48389" s="13"/>
    </row>
    <row r="48390">
      <c r="L48390" s="13"/>
      <c r="M48390" s="14"/>
      <c r="N48390" s="14"/>
      <c r="O48390" s="14"/>
      <c r="P48390" s="13"/>
    </row>
    <row r="48391">
      <c r="L48391" s="13"/>
      <c r="M48391" s="14"/>
      <c r="N48391" s="14"/>
      <c r="O48391" s="14"/>
      <c r="P48391" s="13"/>
    </row>
    <row r="48392">
      <c r="L48392" s="13"/>
      <c r="M48392" s="14"/>
      <c r="N48392" s="14"/>
      <c r="O48392" s="14"/>
      <c r="P48392" s="13"/>
    </row>
    <row r="48393">
      <c r="L48393" s="13"/>
      <c r="M48393" s="14"/>
      <c r="N48393" s="14"/>
      <c r="O48393" s="14"/>
      <c r="P48393" s="13"/>
    </row>
    <row r="48394">
      <c r="L48394" s="13"/>
      <c r="M48394" s="14"/>
      <c r="N48394" s="14"/>
      <c r="O48394" s="14"/>
      <c r="P48394" s="13"/>
    </row>
    <row r="48395">
      <c r="L48395" s="13"/>
      <c r="M48395" s="14"/>
      <c r="N48395" s="14"/>
      <c r="O48395" s="14"/>
      <c r="P48395" s="13"/>
    </row>
    <row r="48396">
      <c r="L48396" s="13"/>
      <c r="M48396" s="14"/>
      <c r="N48396" s="14"/>
      <c r="O48396" s="14"/>
      <c r="P48396" s="13"/>
    </row>
    <row r="48397">
      <c r="L48397" s="13"/>
      <c r="M48397" s="14"/>
      <c r="N48397" s="14"/>
      <c r="O48397" s="14"/>
      <c r="P48397" s="13"/>
    </row>
    <row r="48398">
      <c r="L48398" s="13"/>
      <c r="M48398" s="14"/>
      <c r="N48398" s="14"/>
      <c r="O48398" s="14"/>
      <c r="P48398" s="13"/>
    </row>
    <row r="48399">
      <c r="L48399" s="13"/>
      <c r="M48399" s="14"/>
      <c r="N48399" s="14"/>
      <c r="O48399" s="14"/>
      <c r="P48399" s="13"/>
    </row>
    <row r="48400">
      <c r="L48400" s="13"/>
      <c r="M48400" s="14"/>
      <c r="N48400" s="14"/>
      <c r="O48400" s="14"/>
      <c r="P48400" s="13"/>
    </row>
    <row r="48401">
      <c r="L48401" s="13"/>
      <c r="M48401" s="14"/>
      <c r="N48401" s="14"/>
      <c r="O48401" s="14"/>
      <c r="P48401" s="13"/>
    </row>
    <row r="48402">
      <c r="L48402" s="13"/>
      <c r="M48402" s="14"/>
      <c r="N48402" s="14"/>
      <c r="O48402" s="14"/>
      <c r="P48402" s="13"/>
    </row>
    <row r="48403">
      <c r="L48403" s="13"/>
      <c r="M48403" s="14"/>
      <c r="N48403" s="14"/>
      <c r="O48403" s="14"/>
      <c r="P48403" s="13"/>
    </row>
    <row r="48404">
      <c r="L48404" s="13"/>
      <c r="M48404" s="14"/>
      <c r="N48404" s="14"/>
      <c r="O48404" s="14"/>
      <c r="P48404" s="13"/>
    </row>
    <row r="48405">
      <c r="L48405" s="13"/>
      <c r="M48405" s="14"/>
      <c r="N48405" s="14"/>
      <c r="O48405" s="14"/>
      <c r="P48405" s="13"/>
    </row>
    <row r="48406">
      <c r="L48406" s="13"/>
      <c r="M48406" s="14"/>
      <c r="N48406" s="14"/>
      <c r="O48406" s="14"/>
      <c r="P48406" s="13"/>
    </row>
    <row r="48407">
      <c r="L48407" s="13"/>
      <c r="M48407" s="14"/>
      <c r="N48407" s="14"/>
      <c r="O48407" s="14"/>
      <c r="P48407" s="13"/>
    </row>
    <row r="48408">
      <c r="L48408" s="13"/>
      <c r="M48408" s="14"/>
      <c r="N48408" s="14"/>
      <c r="O48408" s="14"/>
      <c r="P48408" s="13"/>
    </row>
    <row r="48409">
      <c r="L48409" s="13"/>
      <c r="M48409" s="14"/>
      <c r="N48409" s="14"/>
      <c r="O48409" s="14"/>
      <c r="P48409" s="13"/>
    </row>
    <row r="48410">
      <c r="L48410" s="13"/>
      <c r="M48410" s="14"/>
      <c r="N48410" s="14"/>
      <c r="O48410" s="14"/>
      <c r="P48410" s="13"/>
    </row>
    <row r="48411">
      <c r="L48411" s="13"/>
      <c r="M48411" s="14"/>
      <c r="N48411" s="14"/>
      <c r="O48411" s="14"/>
      <c r="P48411" s="13"/>
    </row>
    <row r="48412">
      <c r="L48412" s="13"/>
      <c r="M48412" s="14"/>
      <c r="N48412" s="14"/>
      <c r="O48412" s="14"/>
      <c r="P48412" s="13"/>
    </row>
    <row r="48413">
      <c r="L48413" s="13"/>
      <c r="M48413" s="14"/>
      <c r="N48413" s="14"/>
      <c r="O48413" s="14"/>
      <c r="P48413" s="13"/>
    </row>
    <row r="48414">
      <c r="L48414" s="13"/>
      <c r="M48414" s="14"/>
      <c r="N48414" s="14"/>
      <c r="O48414" s="14"/>
      <c r="P48414" s="13"/>
    </row>
    <row r="48415">
      <c r="L48415" s="13"/>
      <c r="M48415" s="14"/>
      <c r="N48415" s="14"/>
      <c r="O48415" s="14"/>
      <c r="P48415" s="13"/>
    </row>
    <row r="48416">
      <c r="L48416" s="13"/>
      <c r="M48416" s="14"/>
      <c r="N48416" s="14"/>
      <c r="O48416" s="14"/>
      <c r="P48416" s="13"/>
    </row>
    <row r="48417">
      <c r="L48417" s="13"/>
      <c r="M48417" s="14"/>
      <c r="N48417" s="14"/>
      <c r="O48417" s="14"/>
      <c r="P48417" s="13"/>
    </row>
    <row r="48418">
      <c r="L48418" s="13"/>
      <c r="M48418" s="14"/>
      <c r="N48418" s="14"/>
      <c r="O48418" s="14"/>
      <c r="P48418" s="13"/>
    </row>
    <row r="48419">
      <c r="L48419" s="13"/>
      <c r="M48419" s="14"/>
      <c r="N48419" s="14"/>
      <c r="O48419" s="14"/>
      <c r="P48419" s="13"/>
    </row>
    <row r="48420">
      <c r="L48420" s="13"/>
      <c r="M48420" s="14"/>
      <c r="N48420" s="14"/>
      <c r="O48420" s="14"/>
      <c r="P48420" s="13"/>
    </row>
    <row r="48421">
      <c r="L48421" s="13"/>
      <c r="M48421" s="14"/>
      <c r="N48421" s="14"/>
      <c r="O48421" s="14"/>
      <c r="P48421" s="13"/>
    </row>
    <row r="48422">
      <c r="L48422" s="13"/>
      <c r="M48422" s="14"/>
      <c r="N48422" s="14"/>
      <c r="O48422" s="14"/>
      <c r="P48422" s="13"/>
    </row>
    <row r="48423">
      <c r="L48423" s="13"/>
      <c r="M48423" s="14"/>
      <c r="N48423" s="14"/>
      <c r="O48423" s="14"/>
      <c r="P48423" s="13"/>
    </row>
    <row r="48424">
      <c r="L48424" s="13"/>
      <c r="M48424" s="14"/>
      <c r="N48424" s="14"/>
      <c r="O48424" s="14"/>
      <c r="P48424" s="13"/>
    </row>
    <row r="48425">
      <c r="L48425" s="13"/>
      <c r="M48425" s="14"/>
      <c r="N48425" s="14"/>
      <c r="O48425" s="14"/>
      <c r="P48425" s="13"/>
    </row>
    <row r="48426">
      <c r="L48426" s="13"/>
      <c r="M48426" s="14"/>
      <c r="N48426" s="14"/>
      <c r="O48426" s="14"/>
      <c r="P48426" s="13"/>
    </row>
    <row r="48427">
      <c r="L48427" s="13"/>
      <c r="M48427" s="14"/>
      <c r="N48427" s="14"/>
      <c r="O48427" s="14"/>
      <c r="P48427" s="13"/>
    </row>
    <row r="48428">
      <c r="L48428" s="13"/>
      <c r="M48428" s="14"/>
      <c r="N48428" s="14"/>
      <c r="O48428" s="14"/>
      <c r="P48428" s="13"/>
    </row>
    <row r="48429">
      <c r="L48429" s="13"/>
      <c r="M48429" s="14"/>
      <c r="N48429" s="14"/>
      <c r="O48429" s="14"/>
      <c r="P48429" s="13"/>
    </row>
    <row r="48430">
      <c r="L48430" s="13"/>
      <c r="M48430" s="14"/>
      <c r="N48430" s="14"/>
      <c r="O48430" s="14"/>
      <c r="P48430" s="13"/>
    </row>
    <row r="48431">
      <c r="L48431" s="13"/>
      <c r="M48431" s="14"/>
      <c r="N48431" s="14"/>
      <c r="O48431" s="14"/>
      <c r="P48431" s="13"/>
    </row>
    <row r="48432">
      <c r="L48432" s="13"/>
      <c r="M48432" s="14"/>
      <c r="N48432" s="14"/>
      <c r="O48432" s="14"/>
      <c r="P48432" s="13"/>
    </row>
    <row r="48433">
      <c r="L48433" s="13"/>
      <c r="M48433" s="14"/>
      <c r="N48433" s="14"/>
      <c r="O48433" s="14"/>
      <c r="P48433" s="13"/>
    </row>
    <row r="48434">
      <c r="L48434" s="13"/>
      <c r="M48434" s="14"/>
      <c r="N48434" s="14"/>
      <c r="O48434" s="14"/>
      <c r="P48434" s="13"/>
    </row>
    <row r="48435">
      <c r="L48435" s="13"/>
      <c r="M48435" s="14"/>
      <c r="N48435" s="14"/>
      <c r="O48435" s="14"/>
      <c r="P48435" s="13"/>
    </row>
    <row r="48436">
      <c r="L48436" s="13"/>
      <c r="M48436" s="14"/>
      <c r="N48436" s="14"/>
      <c r="O48436" s="14"/>
      <c r="P48436" s="13"/>
    </row>
    <row r="48437">
      <c r="L48437" s="13"/>
      <c r="M48437" s="14"/>
      <c r="N48437" s="14"/>
      <c r="O48437" s="14"/>
      <c r="P48437" s="13"/>
    </row>
    <row r="48438">
      <c r="L48438" s="13"/>
      <c r="M48438" s="14"/>
      <c r="N48438" s="14"/>
      <c r="O48438" s="14"/>
      <c r="P48438" s="13"/>
    </row>
    <row r="48439">
      <c r="L48439" s="13"/>
      <c r="M48439" s="14"/>
      <c r="N48439" s="14"/>
      <c r="O48439" s="14"/>
      <c r="P48439" s="13"/>
    </row>
    <row r="48440">
      <c r="L48440" s="13"/>
      <c r="M48440" s="14"/>
      <c r="N48440" s="14"/>
      <c r="O48440" s="14"/>
      <c r="P48440" s="13"/>
    </row>
    <row r="48441">
      <c r="L48441" s="13"/>
      <c r="M48441" s="14"/>
      <c r="N48441" s="14"/>
      <c r="O48441" s="14"/>
      <c r="P48441" s="13"/>
    </row>
    <row r="48442">
      <c r="L48442" s="13"/>
      <c r="M48442" s="14"/>
      <c r="N48442" s="14"/>
      <c r="O48442" s="14"/>
      <c r="P48442" s="13"/>
    </row>
    <row r="48443">
      <c r="L48443" s="13"/>
      <c r="M48443" s="14"/>
      <c r="N48443" s="14"/>
      <c r="O48443" s="14"/>
      <c r="P48443" s="13"/>
    </row>
    <row r="48444">
      <c r="L48444" s="13"/>
      <c r="M48444" s="14"/>
      <c r="N48444" s="14"/>
      <c r="O48444" s="14"/>
      <c r="P48444" s="13"/>
    </row>
    <row r="48445">
      <c r="L48445" s="13"/>
      <c r="M48445" s="14"/>
      <c r="N48445" s="14"/>
      <c r="O48445" s="14"/>
      <c r="P48445" s="13"/>
    </row>
    <row r="48446">
      <c r="L48446" s="13"/>
      <c r="M48446" s="14"/>
      <c r="N48446" s="14"/>
      <c r="O48446" s="14"/>
      <c r="P48446" s="13"/>
    </row>
    <row r="48447">
      <c r="L48447" s="13"/>
      <c r="M48447" s="14"/>
      <c r="N48447" s="14"/>
      <c r="O48447" s="14"/>
      <c r="P48447" s="13"/>
    </row>
    <row r="48448">
      <c r="L48448" s="13"/>
      <c r="M48448" s="14"/>
      <c r="N48448" s="14"/>
      <c r="O48448" s="14"/>
      <c r="P48448" s="13"/>
    </row>
    <row r="48449">
      <c r="L48449" s="13"/>
      <c r="M48449" s="14"/>
      <c r="N48449" s="14"/>
      <c r="O48449" s="14"/>
      <c r="P48449" s="13"/>
    </row>
    <row r="48450">
      <c r="L48450" s="13"/>
      <c r="M48450" s="14"/>
      <c r="N48450" s="14"/>
      <c r="O48450" s="14"/>
      <c r="P48450" s="13"/>
    </row>
    <row r="48451">
      <c r="L48451" s="13"/>
      <c r="M48451" s="14"/>
      <c r="N48451" s="14"/>
      <c r="O48451" s="14"/>
      <c r="P48451" s="13"/>
    </row>
    <row r="48452">
      <c r="L48452" s="13"/>
      <c r="M48452" s="14"/>
      <c r="N48452" s="14"/>
      <c r="O48452" s="14"/>
      <c r="P48452" s="13"/>
    </row>
    <row r="48453">
      <c r="L48453" s="13"/>
      <c r="M48453" s="14"/>
      <c r="N48453" s="14"/>
      <c r="O48453" s="14"/>
      <c r="P48453" s="13"/>
    </row>
    <row r="48454">
      <c r="L48454" s="13"/>
      <c r="M48454" s="14"/>
      <c r="N48454" s="14"/>
      <c r="O48454" s="14"/>
      <c r="P48454" s="13"/>
    </row>
    <row r="48455">
      <c r="L48455" s="13"/>
      <c r="M48455" s="14"/>
      <c r="N48455" s="14"/>
      <c r="O48455" s="14"/>
      <c r="P48455" s="13"/>
    </row>
    <row r="48456">
      <c r="L48456" s="13"/>
      <c r="M48456" s="14"/>
      <c r="N48456" s="14"/>
      <c r="O48456" s="14"/>
      <c r="P48456" s="13"/>
    </row>
    <row r="48457">
      <c r="L48457" s="13"/>
      <c r="M48457" s="14"/>
      <c r="N48457" s="14"/>
      <c r="O48457" s="14"/>
      <c r="P48457" s="13"/>
    </row>
    <row r="48458">
      <c r="L48458" s="13"/>
      <c r="M48458" s="14"/>
      <c r="N48458" s="14"/>
      <c r="O48458" s="14"/>
      <c r="P48458" s="13"/>
    </row>
    <row r="48459">
      <c r="L48459" s="13"/>
      <c r="M48459" s="14"/>
      <c r="N48459" s="14"/>
      <c r="O48459" s="14"/>
      <c r="P48459" s="13"/>
    </row>
    <row r="48460">
      <c r="L48460" s="13"/>
      <c r="M48460" s="14"/>
      <c r="N48460" s="14"/>
      <c r="O48460" s="14"/>
      <c r="P48460" s="13"/>
    </row>
    <row r="48461">
      <c r="L48461" s="13"/>
      <c r="M48461" s="14"/>
      <c r="N48461" s="14"/>
      <c r="O48461" s="14"/>
      <c r="P48461" s="13"/>
    </row>
    <row r="48462">
      <c r="L48462" s="13"/>
      <c r="M48462" s="14"/>
      <c r="N48462" s="14"/>
      <c r="O48462" s="14"/>
      <c r="P48462" s="13"/>
    </row>
    <row r="48463">
      <c r="L48463" s="13"/>
      <c r="M48463" s="14"/>
      <c r="N48463" s="14"/>
      <c r="O48463" s="14"/>
      <c r="P48463" s="13"/>
    </row>
    <row r="48464">
      <c r="L48464" s="13"/>
      <c r="M48464" s="14"/>
      <c r="N48464" s="14"/>
      <c r="O48464" s="14"/>
      <c r="P48464" s="13"/>
    </row>
    <row r="48465">
      <c r="L48465" s="13"/>
      <c r="M48465" s="14"/>
      <c r="N48465" s="14"/>
      <c r="O48465" s="14"/>
      <c r="P48465" s="13"/>
    </row>
    <row r="48466">
      <c r="L48466" s="13"/>
      <c r="M48466" s="14"/>
      <c r="N48466" s="14"/>
      <c r="O48466" s="14"/>
      <c r="P48466" s="13"/>
    </row>
    <row r="48467">
      <c r="L48467" s="13"/>
      <c r="M48467" s="14"/>
      <c r="N48467" s="14"/>
      <c r="O48467" s="14"/>
      <c r="P48467" s="13"/>
    </row>
    <row r="48468">
      <c r="L48468" s="13"/>
      <c r="M48468" s="14"/>
      <c r="N48468" s="14"/>
      <c r="O48468" s="14"/>
      <c r="P48468" s="13"/>
    </row>
    <row r="48469">
      <c r="L48469" s="13"/>
      <c r="M48469" s="14"/>
      <c r="N48469" s="14"/>
      <c r="O48469" s="14"/>
      <c r="P48469" s="13"/>
    </row>
    <row r="48470">
      <c r="L48470" s="13"/>
      <c r="M48470" s="14"/>
      <c r="N48470" s="14"/>
      <c r="O48470" s="14"/>
      <c r="P48470" s="13"/>
    </row>
    <row r="48471">
      <c r="L48471" s="13"/>
      <c r="M48471" s="14"/>
      <c r="N48471" s="14"/>
      <c r="O48471" s="14"/>
      <c r="P48471" s="13"/>
    </row>
    <row r="48472">
      <c r="L48472" s="13"/>
      <c r="M48472" s="14"/>
      <c r="N48472" s="14"/>
      <c r="O48472" s="14"/>
      <c r="P48472" s="13"/>
    </row>
    <row r="48473">
      <c r="L48473" s="13"/>
      <c r="M48473" s="14"/>
      <c r="N48473" s="14"/>
      <c r="O48473" s="14"/>
      <c r="P48473" s="13"/>
    </row>
    <row r="48474">
      <c r="L48474" s="13"/>
      <c r="M48474" s="14"/>
      <c r="N48474" s="14"/>
      <c r="O48474" s="14"/>
      <c r="P48474" s="13"/>
    </row>
    <row r="48475">
      <c r="L48475" s="13"/>
      <c r="M48475" s="14"/>
      <c r="N48475" s="14"/>
      <c r="O48475" s="14"/>
      <c r="P48475" s="13"/>
    </row>
    <row r="48476">
      <c r="L48476" s="13"/>
      <c r="M48476" s="14"/>
      <c r="N48476" s="14"/>
      <c r="O48476" s="14"/>
      <c r="P48476" s="13"/>
    </row>
    <row r="48477">
      <c r="L48477" s="13"/>
      <c r="M48477" s="14"/>
      <c r="N48477" s="14"/>
      <c r="O48477" s="14"/>
      <c r="P48477" s="13"/>
    </row>
    <row r="48478">
      <c r="L48478" s="13"/>
      <c r="M48478" s="14"/>
      <c r="N48478" s="14"/>
      <c r="O48478" s="14"/>
      <c r="P48478" s="13"/>
    </row>
    <row r="48479">
      <c r="L48479" s="13"/>
      <c r="M48479" s="14"/>
      <c r="N48479" s="14"/>
      <c r="O48479" s="14"/>
      <c r="P48479" s="13"/>
    </row>
    <row r="48480">
      <c r="L48480" s="13"/>
      <c r="M48480" s="14"/>
      <c r="N48480" s="14"/>
      <c r="O48480" s="14"/>
      <c r="P48480" s="13"/>
    </row>
    <row r="48481">
      <c r="L48481" s="13"/>
      <c r="M48481" s="14"/>
      <c r="N48481" s="14"/>
      <c r="O48481" s="14"/>
      <c r="P48481" s="13"/>
    </row>
    <row r="48482">
      <c r="L48482" s="13"/>
      <c r="M48482" s="14"/>
      <c r="N48482" s="14"/>
      <c r="O48482" s="14"/>
      <c r="P48482" s="13"/>
    </row>
    <row r="48483">
      <c r="L48483" s="13"/>
      <c r="M48483" s="14"/>
      <c r="N48483" s="14"/>
      <c r="O48483" s="14"/>
      <c r="P48483" s="13"/>
    </row>
    <row r="48484">
      <c r="L48484" s="13"/>
      <c r="M48484" s="14"/>
      <c r="N48484" s="14"/>
      <c r="O48484" s="14"/>
      <c r="P48484" s="13"/>
    </row>
    <row r="48485">
      <c r="L48485" s="13"/>
      <c r="M48485" s="14"/>
      <c r="N48485" s="14"/>
      <c r="O48485" s="14"/>
      <c r="P48485" s="13"/>
    </row>
    <row r="48486">
      <c r="L48486" s="13"/>
      <c r="M48486" s="14"/>
      <c r="N48486" s="14"/>
      <c r="O48486" s="14"/>
      <c r="P48486" s="13"/>
    </row>
    <row r="48487">
      <c r="L48487" s="13"/>
      <c r="M48487" s="14"/>
      <c r="N48487" s="14"/>
      <c r="O48487" s="14"/>
      <c r="P48487" s="13"/>
    </row>
    <row r="48488">
      <c r="L48488" s="13"/>
      <c r="M48488" s="14"/>
      <c r="N48488" s="14"/>
      <c r="O48488" s="14"/>
      <c r="P48488" s="13"/>
    </row>
    <row r="48489">
      <c r="L48489" s="13"/>
      <c r="M48489" s="14"/>
      <c r="N48489" s="14"/>
      <c r="O48489" s="14"/>
      <c r="P48489" s="13"/>
    </row>
    <row r="48490">
      <c r="L48490" s="13"/>
      <c r="M48490" s="14"/>
      <c r="N48490" s="14"/>
      <c r="O48490" s="14"/>
      <c r="P48490" s="13"/>
    </row>
    <row r="48491">
      <c r="L48491" s="13"/>
      <c r="M48491" s="14"/>
      <c r="N48491" s="14"/>
      <c r="O48491" s="14"/>
      <c r="P48491" s="13"/>
    </row>
    <row r="48492">
      <c r="L48492" s="13"/>
      <c r="M48492" s="14"/>
      <c r="N48492" s="14"/>
      <c r="O48492" s="14"/>
      <c r="P48492" s="13"/>
    </row>
    <row r="48493">
      <c r="L48493" s="13"/>
      <c r="M48493" s="14"/>
      <c r="N48493" s="14"/>
      <c r="O48493" s="14"/>
      <c r="P48493" s="13"/>
    </row>
    <row r="48494">
      <c r="L48494" s="13"/>
      <c r="M48494" s="14"/>
      <c r="N48494" s="14"/>
      <c r="O48494" s="14"/>
      <c r="P48494" s="13"/>
    </row>
    <row r="48495">
      <c r="L48495" s="13"/>
      <c r="M48495" s="14"/>
      <c r="N48495" s="14"/>
      <c r="O48495" s="14"/>
      <c r="P48495" s="13"/>
    </row>
    <row r="48496">
      <c r="L48496" s="13"/>
      <c r="M48496" s="14"/>
      <c r="N48496" s="14"/>
      <c r="O48496" s="14"/>
      <c r="P48496" s="13"/>
    </row>
    <row r="48497">
      <c r="L48497" s="13"/>
      <c r="M48497" s="14"/>
      <c r="N48497" s="14"/>
      <c r="O48497" s="14"/>
      <c r="P48497" s="13"/>
    </row>
    <row r="48498">
      <c r="L48498" s="13"/>
      <c r="M48498" s="14"/>
      <c r="N48498" s="14"/>
      <c r="O48498" s="14"/>
      <c r="P48498" s="13"/>
    </row>
    <row r="48499">
      <c r="L48499" s="13"/>
      <c r="M48499" s="14"/>
      <c r="N48499" s="14"/>
      <c r="O48499" s="14"/>
      <c r="P48499" s="13"/>
    </row>
    <row r="48500">
      <c r="L48500" s="13"/>
      <c r="M48500" s="14"/>
      <c r="N48500" s="14"/>
      <c r="O48500" s="14"/>
      <c r="P48500" s="13"/>
    </row>
    <row r="48501">
      <c r="L48501" s="13"/>
      <c r="M48501" s="14"/>
      <c r="N48501" s="14"/>
      <c r="O48501" s="14"/>
      <c r="P48501" s="13"/>
    </row>
    <row r="48502">
      <c r="L48502" s="13"/>
      <c r="M48502" s="14"/>
      <c r="N48502" s="14"/>
      <c r="O48502" s="14"/>
      <c r="P48502" s="13"/>
    </row>
    <row r="48503">
      <c r="L48503" s="13"/>
      <c r="M48503" s="14"/>
      <c r="N48503" s="14"/>
      <c r="O48503" s="14"/>
      <c r="P48503" s="13"/>
    </row>
    <row r="48504">
      <c r="L48504" s="13"/>
      <c r="M48504" s="14"/>
      <c r="N48504" s="14"/>
      <c r="O48504" s="14"/>
      <c r="P48504" s="13"/>
    </row>
    <row r="48505">
      <c r="L48505" s="13"/>
      <c r="M48505" s="14"/>
      <c r="N48505" s="14"/>
      <c r="O48505" s="14"/>
      <c r="P48505" s="13"/>
    </row>
    <row r="48506">
      <c r="L48506" s="13"/>
      <c r="M48506" s="14"/>
      <c r="N48506" s="14"/>
      <c r="O48506" s="14"/>
      <c r="P48506" s="13"/>
    </row>
    <row r="48507">
      <c r="L48507" s="13"/>
      <c r="M48507" s="14"/>
      <c r="N48507" s="14"/>
      <c r="O48507" s="14"/>
      <c r="P48507" s="13"/>
    </row>
    <row r="48508">
      <c r="L48508" s="13"/>
      <c r="M48508" s="14"/>
      <c r="N48508" s="14"/>
      <c r="O48508" s="14"/>
      <c r="P48508" s="13"/>
    </row>
    <row r="48509">
      <c r="L48509" s="13"/>
      <c r="M48509" s="14"/>
      <c r="N48509" s="14"/>
      <c r="O48509" s="14"/>
      <c r="P48509" s="13"/>
    </row>
    <row r="48510">
      <c r="L48510" s="13"/>
      <c r="M48510" s="14"/>
      <c r="N48510" s="14"/>
      <c r="O48510" s="14"/>
      <c r="P48510" s="13"/>
    </row>
    <row r="48511">
      <c r="L48511" s="13"/>
      <c r="M48511" s="14"/>
      <c r="N48511" s="14"/>
      <c r="O48511" s="14"/>
      <c r="P48511" s="13"/>
    </row>
    <row r="48512">
      <c r="L48512" s="13"/>
      <c r="M48512" s="14"/>
      <c r="N48512" s="14"/>
      <c r="O48512" s="14"/>
      <c r="P48512" s="13"/>
    </row>
    <row r="48513">
      <c r="L48513" s="13"/>
      <c r="M48513" s="14"/>
      <c r="N48513" s="14"/>
      <c r="O48513" s="14"/>
      <c r="P48513" s="13"/>
    </row>
    <row r="48514">
      <c r="L48514" s="13"/>
      <c r="M48514" s="14"/>
      <c r="N48514" s="14"/>
      <c r="O48514" s="14"/>
      <c r="P48514" s="13"/>
    </row>
    <row r="48515">
      <c r="L48515" s="13"/>
      <c r="M48515" s="14"/>
      <c r="N48515" s="14"/>
      <c r="O48515" s="14"/>
      <c r="P48515" s="13"/>
    </row>
    <row r="48516">
      <c r="L48516" s="13"/>
      <c r="M48516" s="14"/>
      <c r="N48516" s="14"/>
      <c r="O48516" s="14"/>
      <c r="P48516" s="13"/>
    </row>
    <row r="48517">
      <c r="L48517" s="13"/>
      <c r="M48517" s="14"/>
      <c r="N48517" s="14"/>
      <c r="O48517" s="14"/>
      <c r="P48517" s="13"/>
    </row>
    <row r="48518">
      <c r="L48518" s="13"/>
      <c r="M48518" s="14"/>
      <c r="N48518" s="14"/>
      <c r="O48518" s="14"/>
      <c r="P48518" s="13"/>
    </row>
    <row r="48519">
      <c r="L48519" s="13"/>
      <c r="M48519" s="14"/>
      <c r="N48519" s="14"/>
      <c r="O48519" s="14"/>
      <c r="P48519" s="13"/>
    </row>
    <row r="48520">
      <c r="L48520" s="13"/>
      <c r="M48520" s="14"/>
      <c r="N48520" s="14"/>
      <c r="O48520" s="14"/>
      <c r="P48520" s="13"/>
    </row>
    <row r="48521">
      <c r="L48521" s="13"/>
      <c r="M48521" s="14"/>
      <c r="N48521" s="14"/>
      <c r="O48521" s="14"/>
      <c r="P48521" s="13"/>
    </row>
    <row r="48522">
      <c r="L48522" s="13"/>
      <c r="M48522" s="14"/>
      <c r="N48522" s="14"/>
      <c r="O48522" s="14"/>
      <c r="P48522" s="13"/>
    </row>
    <row r="48523">
      <c r="L48523" s="13"/>
      <c r="M48523" s="14"/>
      <c r="N48523" s="14"/>
      <c r="O48523" s="14"/>
      <c r="P48523" s="13"/>
    </row>
    <row r="48524">
      <c r="L48524" s="13"/>
      <c r="M48524" s="14"/>
      <c r="N48524" s="14"/>
      <c r="O48524" s="14"/>
      <c r="P48524" s="13"/>
    </row>
    <row r="48525">
      <c r="L48525" s="13"/>
      <c r="M48525" s="14"/>
      <c r="N48525" s="14"/>
      <c r="O48525" s="14"/>
      <c r="P48525" s="13"/>
    </row>
    <row r="48526">
      <c r="L48526" s="13"/>
      <c r="M48526" s="14"/>
      <c r="N48526" s="14"/>
      <c r="O48526" s="14"/>
      <c r="P48526" s="13"/>
    </row>
    <row r="48527">
      <c r="L48527" s="13"/>
      <c r="M48527" s="14"/>
      <c r="N48527" s="14"/>
      <c r="O48527" s="14"/>
      <c r="P48527" s="13"/>
    </row>
    <row r="48528">
      <c r="L48528" s="13"/>
      <c r="M48528" s="14"/>
      <c r="N48528" s="14"/>
      <c r="O48528" s="14"/>
      <c r="P48528" s="13"/>
    </row>
    <row r="48529">
      <c r="L48529" s="13"/>
      <c r="M48529" s="14"/>
      <c r="N48529" s="14"/>
      <c r="O48529" s="14"/>
      <c r="P48529" s="13"/>
    </row>
    <row r="48530">
      <c r="L48530" s="13"/>
      <c r="M48530" s="14"/>
      <c r="N48530" s="14"/>
      <c r="O48530" s="14"/>
      <c r="P48530" s="13"/>
    </row>
    <row r="48531">
      <c r="L48531" s="13"/>
      <c r="M48531" s="14"/>
      <c r="N48531" s="14"/>
      <c r="O48531" s="14"/>
      <c r="P48531" s="13"/>
    </row>
    <row r="48532">
      <c r="L48532" s="13"/>
      <c r="M48532" s="14"/>
      <c r="N48532" s="14"/>
      <c r="O48532" s="14"/>
      <c r="P48532" s="13"/>
    </row>
    <row r="48533">
      <c r="L48533" s="13"/>
      <c r="M48533" s="14"/>
      <c r="N48533" s="14"/>
      <c r="O48533" s="14"/>
      <c r="P48533" s="13"/>
    </row>
    <row r="48534">
      <c r="L48534" s="13"/>
      <c r="M48534" s="14"/>
      <c r="N48534" s="14"/>
      <c r="O48534" s="14"/>
      <c r="P48534" s="13"/>
    </row>
    <row r="48535">
      <c r="L48535" s="13"/>
      <c r="M48535" s="14"/>
      <c r="N48535" s="14"/>
      <c r="O48535" s="14"/>
      <c r="P48535" s="13"/>
    </row>
    <row r="48536">
      <c r="L48536" s="13"/>
      <c r="M48536" s="14"/>
      <c r="N48536" s="14"/>
      <c r="O48536" s="14"/>
      <c r="P48536" s="13"/>
    </row>
    <row r="48537">
      <c r="L48537" s="13"/>
      <c r="M48537" s="14"/>
      <c r="N48537" s="14"/>
      <c r="O48537" s="14"/>
      <c r="P48537" s="13"/>
    </row>
    <row r="48538">
      <c r="L48538" s="13"/>
      <c r="M48538" s="14"/>
      <c r="N48538" s="14"/>
      <c r="O48538" s="14"/>
      <c r="P48538" s="13"/>
    </row>
    <row r="48539">
      <c r="L48539" s="13"/>
      <c r="M48539" s="14"/>
      <c r="N48539" s="14"/>
      <c r="O48539" s="14"/>
      <c r="P48539" s="13"/>
    </row>
    <row r="48540">
      <c r="L48540" s="13"/>
      <c r="M48540" s="14"/>
      <c r="N48540" s="14"/>
      <c r="O48540" s="14"/>
      <c r="P48540" s="13"/>
    </row>
    <row r="48541">
      <c r="L48541" s="13"/>
      <c r="M48541" s="14"/>
      <c r="N48541" s="14"/>
      <c r="O48541" s="14"/>
      <c r="P48541" s="13"/>
    </row>
    <row r="48542">
      <c r="L48542" s="13"/>
      <c r="M48542" s="14"/>
      <c r="N48542" s="14"/>
      <c r="O48542" s="14"/>
      <c r="P48542" s="13"/>
    </row>
    <row r="48543">
      <c r="L48543" s="13"/>
      <c r="M48543" s="14"/>
      <c r="N48543" s="14"/>
      <c r="O48543" s="14"/>
      <c r="P48543" s="13"/>
    </row>
    <row r="48544">
      <c r="L48544" s="13"/>
      <c r="M48544" s="14"/>
      <c r="N48544" s="14"/>
      <c r="O48544" s="14"/>
      <c r="P48544" s="13"/>
    </row>
    <row r="48545">
      <c r="L48545" s="13"/>
      <c r="M48545" s="14"/>
      <c r="N48545" s="14"/>
      <c r="O48545" s="14"/>
      <c r="P48545" s="13"/>
    </row>
    <row r="48546">
      <c r="L48546" s="13"/>
      <c r="M48546" s="14"/>
      <c r="N48546" s="14"/>
      <c r="O48546" s="14"/>
      <c r="P48546" s="13"/>
    </row>
    <row r="48547">
      <c r="L48547" s="13"/>
      <c r="M48547" s="14"/>
      <c r="N48547" s="14"/>
      <c r="O48547" s="14"/>
      <c r="P48547" s="13"/>
    </row>
    <row r="48548">
      <c r="L48548" s="13"/>
      <c r="M48548" s="14"/>
      <c r="N48548" s="14"/>
      <c r="O48548" s="14"/>
      <c r="P48548" s="13"/>
    </row>
    <row r="48549">
      <c r="L48549" s="13"/>
      <c r="M48549" s="14"/>
      <c r="N48549" s="14"/>
      <c r="O48549" s="14"/>
      <c r="P48549" s="13"/>
    </row>
    <row r="48550">
      <c r="L48550" s="13"/>
      <c r="M48550" s="14"/>
      <c r="N48550" s="14"/>
      <c r="O48550" s="14"/>
      <c r="P48550" s="13"/>
    </row>
    <row r="48551">
      <c r="L48551" s="13"/>
      <c r="M48551" s="14"/>
      <c r="N48551" s="14"/>
      <c r="O48551" s="14"/>
      <c r="P48551" s="13"/>
    </row>
    <row r="48552">
      <c r="L48552" s="13"/>
      <c r="M48552" s="14"/>
      <c r="N48552" s="14"/>
      <c r="O48552" s="14"/>
      <c r="P48552" s="13"/>
    </row>
    <row r="48553">
      <c r="L48553" s="13"/>
      <c r="M48553" s="14"/>
      <c r="N48553" s="14"/>
      <c r="O48553" s="14"/>
      <c r="P48553" s="13"/>
    </row>
    <row r="48554">
      <c r="L48554" s="13"/>
      <c r="M48554" s="14"/>
      <c r="N48554" s="14"/>
      <c r="O48554" s="14"/>
      <c r="P48554" s="13"/>
    </row>
    <row r="48555">
      <c r="L48555" s="13"/>
      <c r="M48555" s="14"/>
      <c r="N48555" s="14"/>
      <c r="O48555" s="14"/>
      <c r="P48555" s="13"/>
    </row>
    <row r="48556">
      <c r="L48556" s="13"/>
      <c r="M48556" s="14"/>
      <c r="N48556" s="14"/>
      <c r="O48556" s="14"/>
      <c r="P48556" s="13"/>
    </row>
    <row r="48557">
      <c r="L48557" s="13"/>
      <c r="M48557" s="14"/>
      <c r="N48557" s="14"/>
      <c r="O48557" s="14"/>
      <c r="P48557" s="13"/>
    </row>
    <row r="48558">
      <c r="L48558" s="13"/>
      <c r="M48558" s="14"/>
      <c r="N48558" s="14"/>
      <c r="O48558" s="14"/>
      <c r="P48558" s="13"/>
    </row>
    <row r="48559">
      <c r="L48559" s="13"/>
      <c r="M48559" s="14"/>
      <c r="N48559" s="14"/>
      <c r="O48559" s="14"/>
      <c r="P48559" s="13"/>
    </row>
    <row r="48560">
      <c r="L48560" s="13"/>
      <c r="M48560" s="14"/>
      <c r="N48560" s="14"/>
      <c r="O48560" s="14"/>
      <c r="P48560" s="13"/>
    </row>
    <row r="48561">
      <c r="L48561" s="13"/>
      <c r="M48561" s="14"/>
      <c r="N48561" s="14"/>
      <c r="O48561" s="14"/>
      <c r="P48561" s="13"/>
    </row>
    <row r="48562">
      <c r="L48562" s="13"/>
      <c r="M48562" s="14"/>
      <c r="N48562" s="14"/>
      <c r="O48562" s="14"/>
      <c r="P48562" s="13"/>
    </row>
    <row r="48563">
      <c r="L48563" s="13"/>
      <c r="M48563" s="14"/>
      <c r="N48563" s="14"/>
      <c r="O48563" s="14"/>
      <c r="P48563" s="13"/>
    </row>
    <row r="48564">
      <c r="L48564" s="13"/>
      <c r="M48564" s="14"/>
      <c r="N48564" s="14"/>
      <c r="O48564" s="14"/>
      <c r="P48564" s="13"/>
    </row>
    <row r="48565">
      <c r="L48565" s="13"/>
      <c r="M48565" s="14"/>
      <c r="N48565" s="14"/>
      <c r="O48565" s="14"/>
      <c r="P48565" s="13"/>
    </row>
    <row r="48566">
      <c r="L48566" s="13"/>
      <c r="M48566" s="14"/>
      <c r="N48566" s="14"/>
      <c r="O48566" s="14"/>
      <c r="P48566" s="13"/>
    </row>
    <row r="48567">
      <c r="L48567" s="13"/>
      <c r="M48567" s="14"/>
      <c r="N48567" s="14"/>
      <c r="O48567" s="14"/>
      <c r="P48567" s="13"/>
    </row>
    <row r="48568">
      <c r="L48568" s="13"/>
      <c r="M48568" s="14"/>
      <c r="N48568" s="14"/>
      <c r="O48568" s="14"/>
      <c r="P48568" s="13"/>
    </row>
    <row r="48569">
      <c r="L48569" s="13"/>
      <c r="M48569" s="14"/>
      <c r="N48569" s="14"/>
      <c r="O48569" s="14"/>
      <c r="P48569" s="13"/>
    </row>
    <row r="48570">
      <c r="L48570" s="13"/>
      <c r="M48570" s="14"/>
      <c r="N48570" s="14"/>
      <c r="O48570" s="14"/>
      <c r="P48570" s="13"/>
    </row>
    <row r="48571">
      <c r="L48571" s="13"/>
      <c r="M48571" s="14"/>
      <c r="N48571" s="14"/>
      <c r="O48571" s="14"/>
      <c r="P48571" s="13"/>
    </row>
    <row r="48572">
      <c r="L48572" s="13"/>
      <c r="M48572" s="14"/>
      <c r="N48572" s="14"/>
      <c r="O48572" s="14"/>
      <c r="P48572" s="13"/>
    </row>
    <row r="48573">
      <c r="L48573" s="13"/>
      <c r="M48573" s="14"/>
      <c r="N48573" s="14"/>
      <c r="O48573" s="14"/>
      <c r="P48573" s="13"/>
    </row>
    <row r="48574">
      <c r="L48574" s="13"/>
      <c r="M48574" s="14"/>
      <c r="N48574" s="14"/>
      <c r="O48574" s="14"/>
      <c r="P48574" s="13"/>
    </row>
    <row r="48575">
      <c r="L48575" s="13"/>
      <c r="M48575" s="14"/>
      <c r="N48575" s="14"/>
      <c r="O48575" s="14"/>
      <c r="P48575" s="13"/>
    </row>
    <row r="48576">
      <c r="L48576" s="13"/>
      <c r="M48576" s="14"/>
      <c r="N48576" s="14"/>
      <c r="O48576" s="14"/>
      <c r="P48576" s="13"/>
    </row>
    <row r="48577">
      <c r="L48577" s="13"/>
      <c r="M48577" s="14"/>
      <c r="N48577" s="14"/>
      <c r="O48577" s="14"/>
      <c r="P48577" s="13"/>
    </row>
    <row r="48578">
      <c r="L48578" s="13"/>
      <c r="M48578" s="14"/>
      <c r="N48578" s="14"/>
      <c r="O48578" s="14"/>
      <c r="P48578" s="13"/>
    </row>
    <row r="48579">
      <c r="L48579" s="13"/>
      <c r="M48579" s="14"/>
      <c r="N48579" s="14"/>
      <c r="O48579" s="14"/>
      <c r="P48579" s="13"/>
    </row>
    <row r="48580">
      <c r="L48580" s="13"/>
      <c r="M48580" s="14"/>
      <c r="N48580" s="14"/>
      <c r="O48580" s="14"/>
      <c r="P48580" s="13"/>
    </row>
    <row r="48581">
      <c r="L48581" s="13"/>
      <c r="M48581" s="14"/>
      <c r="N48581" s="14"/>
      <c r="O48581" s="14"/>
      <c r="P48581" s="13"/>
    </row>
    <row r="48582">
      <c r="L48582" s="13"/>
      <c r="M48582" s="14"/>
      <c r="N48582" s="14"/>
      <c r="O48582" s="14"/>
      <c r="P48582" s="13"/>
    </row>
    <row r="48583">
      <c r="L48583" s="13"/>
      <c r="M48583" s="14"/>
      <c r="N48583" s="14"/>
      <c r="O48583" s="14"/>
      <c r="P48583" s="13"/>
    </row>
    <row r="48584">
      <c r="L48584" s="13"/>
      <c r="M48584" s="14"/>
      <c r="N48584" s="14"/>
      <c r="O48584" s="14"/>
      <c r="P48584" s="13"/>
    </row>
    <row r="48585">
      <c r="L48585" s="13"/>
      <c r="M48585" s="14"/>
      <c r="N48585" s="14"/>
      <c r="O48585" s="14"/>
      <c r="P48585" s="13"/>
    </row>
    <row r="48586">
      <c r="L48586" s="13"/>
      <c r="M48586" s="14"/>
      <c r="N48586" s="14"/>
      <c r="O48586" s="14"/>
      <c r="P48586" s="13"/>
    </row>
    <row r="48587">
      <c r="L48587" s="13"/>
      <c r="M48587" s="14"/>
      <c r="N48587" s="14"/>
      <c r="O48587" s="14"/>
      <c r="P48587" s="13"/>
    </row>
    <row r="48588">
      <c r="L48588" s="13"/>
      <c r="M48588" s="14"/>
      <c r="N48588" s="14"/>
      <c r="O48588" s="14"/>
      <c r="P48588" s="13"/>
    </row>
    <row r="48589">
      <c r="L48589" s="13"/>
      <c r="M48589" s="14"/>
      <c r="N48589" s="14"/>
      <c r="O48589" s="14"/>
      <c r="P48589" s="13"/>
    </row>
    <row r="48590">
      <c r="L48590" s="13"/>
      <c r="M48590" s="14"/>
      <c r="N48590" s="14"/>
      <c r="O48590" s="14"/>
      <c r="P48590" s="13"/>
    </row>
    <row r="48591">
      <c r="L48591" s="13"/>
      <c r="M48591" s="14"/>
      <c r="N48591" s="14"/>
      <c r="O48591" s="14"/>
      <c r="P48591" s="13"/>
    </row>
    <row r="48592">
      <c r="L48592" s="13"/>
      <c r="M48592" s="14"/>
      <c r="N48592" s="14"/>
      <c r="O48592" s="14"/>
      <c r="P48592" s="13"/>
    </row>
    <row r="48593">
      <c r="L48593" s="13"/>
      <c r="M48593" s="14"/>
      <c r="N48593" s="14"/>
      <c r="O48593" s="14"/>
      <c r="P48593" s="13"/>
    </row>
    <row r="48594">
      <c r="L48594" s="13"/>
      <c r="M48594" s="14"/>
      <c r="N48594" s="14"/>
      <c r="O48594" s="14"/>
      <c r="P48594" s="13"/>
    </row>
    <row r="48595">
      <c r="L48595" s="13"/>
      <c r="M48595" s="14"/>
      <c r="N48595" s="14"/>
      <c r="O48595" s="14"/>
      <c r="P48595" s="13"/>
    </row>
    <row r="48596">
      <c r="L48596" s="13"/>
      <c r="M48596" s="14"/>
      <c r="N48596" s="14"/>
      <c r="O48596" s="14"/>
      <c r="P48596" s="13"/>
    </row>
    <row r="48597">
      <c r="L48597" s="13"/>
      <c r="M48597" s="14"/>
      <c r="N48597" s="14"/>
      <c r="O48597" s="14"/>
      <c r="P48597" s="13"/>
    </row>
    <row r="48598">
      <c r="L48598" s="13"/>
      <c r="M48598" s="14"/>
      <c r="N48598" s="14"/>
      <c r="O48598" s="14"/>
      <c r="P48598" s="13"/>
    </row>
    <row r="48599">
      <c r="L48599" s="13"/>
      <c r="M48599" s="14"/>
      <c r="N48599" s="14"/>
      <c r="O48599" s="14"/>
      <c r="P48599" s="13"/>
    </row>
    <row r="48600">
      <c r="L48600" s="13"/>
      <c r="M48600" s="14"/>
      <c r="N48600" s="14"/>
      <c r="O48600" s="14"/>
      <c r="P48600" s="13"/>
    </row>
    <row r="48601">
      <c r="L48601" s="13"/>
      <c r="M48601" s="14"/>
      <c r="N48601" s="14"/>
      <c r="O48601" s="14"/>
      <c r="P48601" s="13"/>
    </row>
    <row r="48602">
      <c r="L48602" s="13"/>
      <c r="M48602" s="14"/>
      <c r="N48602" s="14"/>
      <c r="O48602" s="14"/>
      <c r="P48602" s="13"/>
    </row>
    <row r="48603">
      <c r="L48603" s="13"/>
      <c r="M48603" s="14"/>
      <c r="N48603" s="14"/>
      <c r="O48603" s="14"/>
      <c r="P48603" s="13"/>
    </row>
    <row r="48604">
      <c r="L48604" s="13"/>
      <c r="M48604" s="14"/>
      <c r="N48604" s="14"/>
      <c r="O48604" s="14"/>
      <c r="P48604" s="13"/>
    </row>
    <row r="48605">
      <c r="L48605" s="13"/>
      <c r="M48605" s="14"/>
      <c r="N48605" s="14"/>
      <c r="O48605" s="14"/>
      <c r="P48605" s="13"/>
    </row>
    <row r="48606">
      <c r="L48606" s="13"/>
      <c r="M48606" s="14"/>
      <c r="N48606" s="14"/>
      <c r="O48606" s="14"/>
      <c r="P48606" s="13"/>
    </row>
    <row r="48607">
      <c r="L48607" s="13"/>
      <c r="M48607" s="14"/>
      <c r="N48607" s="14"/>
      <c r="O48607" s="14"/>
      <c r="P48607" s="13"/>
    </row>
    <row r="48608">
      <c r="L48608" s="13"/>
      <c r="M48608" s="14"/>
      <c r="N48608" s="14"/>
      <c r="O48608" s="14"/>
      <c r="P48608" s="13"/>
    </row>
    <row r="48609">
      <c r="L48609" s="13"/>
      <c r="M48609" s="14"/>
      <c r="N48609" s="14"/>
      <c r="O48609" s="14"/>
      <c r="P48609" s="13"/>
    </row>
    <row r="48610">
      <c r="L48610" s="13"/>
      <c r="M48610" s="14"/>
      <c r="N48610" s="14"/>
      <c r="O48610" s="14"/>
      <c r="P48610" s="13"/>
    </row>
    <row r="48611">
      <c r="L48611" s="13"/>
      <c r="M48611" s="14"/>
      <c r="N48611" s="14"/>
      <c r="O48611" s="14"/>
      <c r="P48611" s="13"/>
    </row>
    <row r="48612">
      <c r="L48612" s="13"/>
      <c r="M48612" s="14"/>
      <c r="N48612" s="14"/>
      <c r="O48612" s="14"/>
      <c r="P48612" s="13"/>
    </row>
    <row r="48613">
      <c r="L48613" s="13"/>
      <c r="M48613" s="14"/>
      <c r="N48613" s="14"/>
      <c r="O48613" s="14"/>
      <c r="P48613" s="13"/>
    </row>
    <row r="48614">
      <c r="L48614" s="13"/>
      <c r="M48614" s="14"/>
      <c r="N48614" s="14"/>
      <c r="O48614" s="14"/>
      <c r="P48614" s="13"/>
    </row>
    <row r="48615">
      <c r="L48615" s="13"/>
      <c r="M48615" s="14"/>
      <c r="N48615" s="14"/>
      <c r="O48615" s="14"/>
      <c r="P48615" s="13"/>
    </row>
    <row r="48616">
      <c r="L48616" s="13"/>
      <c r="M48616" s="14"/>
      <c r="N48616" s="14"/>
      <c r="O48616" s="14"/>
      <c r="P48616" s="13"/>
    </row>
    <row r="48617">
      <c r="L48617" s="13"/>
      <c r="M48617" s="14"/>
      <c r="N48617" s="14"/>
      <c r="O48617" s="14"/>
      <c r="P48617" s="13"/>
    </row>
    <row r="48618">
      <c r="L48618" s="13"/>
      <c r="M48618" s="14"/>
      <c r="N48618" s="14"/>
      <c r="O48618" s="14"/>
      <c r="P48618" s="13"/>
    </row>
    <row r="48619">
      <c r="L48619" s="13"/>
      <c r="M48619" s="14"/>
      <c r="N48619" s="14"/>
      <c r="O48619" s="14"/>
      <c r="P48619" s="13"/>
    </row>
    <row r="48620">
      <c r="L48620" s="13"/>
      <c r="M48620" s="14"/>
      <c r="N48620" s="14"/>
      <c r="O48620" s="14"/>
      <c r="P48620" s="13"/>
    </row>
    <row r="48621">
      <c r="L48621" s="13"/>
      <c r="M48621" s="14"/>
      <c r="N48621" s="14"/>
      <c r="O48621" s="14"/>
      <c r="P48621" s="13"/>
    </row>
    <row r="48622">
      <c r="L48622" s="13"/>
      <c r="M48622" s="14"/>
      <c r="N48622" s="14"/>
      <c r="O48622" s="14"/>
      <c r="P48622" s="13"/>
    </row>
    <row r="48623">
      <c r="L48623" s="13"/>
      <c r="M48623" s="14"/>
      <c r="N48623" s="14"/>
      <c r="O48623" s="14"/>
      <c r="P48623" s="13"/>
    </row>
    <row r="48624">
      <c r="L48624" s="13"/>
      <c r="M48624" s="14"/>
      <c r="N48624" s="14"/>
      <c r="O48624" s="14"/>
      <c r="P48624" s="13"/>
    </row>
    <row r="48625">
      <c r="L48625" s="13"/>
      <c r="M48625" s="14"/>
      <c r="N48625" s="14"/>
      <c r="O48625" s="14"/>
      <c r="P48625" s="13"/>
    </row>
    <row r="48626">
      <c r="L48626" s="13"/>
      <c r="M48626" s="14"/>
      <c r="N48626" s="14"/>
      <c r="O48626" s="14"/>
      <c r="P48626" s="13"/>
    </row>
    <row r="48627">
      <c r="L48627" s="13"/>
      <c r="M48627" s="14"/>
      <c r="N48627" s="14"/>
      <c r="O48627" s="14"/>
      <c r="P48627" s="13"/>
    </row>
    <row r="48628">
      <c r="L48628" s="13"/>
      <c r="M48628" s="14"/>
      <c r="N48628" s="14"/>
      <c r="O48628" s="14"/>
      <c r="P48628" s="13"/>
    </row>
    <row r="48629">
      <c r="L48629" s="13"/>
      <c r="M48629" s="14"/>
      <c r="N48629" s="14"/>
      <c r="O48629" s="14"/>
      <c r="P48629" s="13"/>
    </row>
    <row r="48630">
      <c r="L48630" s="13"/>
      <c r="M48630" s="14"/>
      <c r="N48630" s="14"/>
      <c r="O48630" s="14"/>
      <c r="P48630" s="13"/>
    </row>
    <row r="48631">
      <c r="L48631" s="13"/>
      <c r="M48631" s="14"/>
      <c r="N48631" s="14"/>
      <c r="O48631" s="14"/>
      <c r="P48631" s="13"/>
    </row>
    <row r="48632">
      <c r="L48632" s="13"/>
      <c r="M48632" s="14"/>
      <c r="N48632" s="14"/>
      <c r="O48632" s="14"/>
      <c r="P48632" s="13"/>
    </row>
    <row r="48633">
      <c r="L48633" s="13"/>
      <c r="M48633" s="14"/>
      <c r="N48633" s="14"/>
      <c r="O48633" s="14"/>
      <c r="P48633" s="13"/>
    </row>
    <row r="48634">
      <c r="L48634" s="13"/>
      <c r="M48634" s="14"/>
      <c r="N48634" s="14"/>
      <c r="O48634" s="14"/>
      <c r="P48634" s="13"/>
    </row>
    <row r="48635">
      <c r="L48635" s="13"/>
      <c r="M48635" s="14"/>
      <c r="N48635" s="14"/>
      <c r="O48635" s="14"/>
      <c r="P48635" s="13"/>
    </row>
    <row r="48636">
      <c r="L48636" s="13"/>
      <c r="M48636" s="14"/>
      <c r="N48636" s="14"/>
      <c r="O48636" s="14"/>
      <c r="P48636" s="13"/>
    </row>
    <row r="48637">
      <c r="L48637" s="13"/>
      <c r="M48637" s="14"/>
      <c r="N48637" s="14"/>
      <c r="O48637" s="14"/>
      <c r="P48637" s="13"/>
    </row>
    <row r="48638">
      <c r="L48638" s="13"/>
      <c r="M48638" s="14"/>
      <c r="N48638" s="14"/>
      <c r="O48638" s="14"/>
      <c r="P48638" s="13"/>
    </row>
    <row r="48639">
      <c r="L48639" s="13"/>
      <c r="M48639" s="14"/>
      <c r="N48639" s="14"/>
      <c r="O48639" s="14"/>
      <c r="P48639" s="13"/>
    </row>
    <row r="48640">
      <c r="L48640" s="13"/>
      <c r="M48640" s="14"/>
      <c r="N48640" s="14"/>
      <c r="O48640" s="14"/>
      <c r="P48640" s="13"/>
    </row>
    <row r="48641">
      <c r="L48641" s="13"/>
      <c r="M48641" s="14"/>
      <c r="N48641" s="14"/>
      <c r="O48641" s="14"/>
      <c r="P48641" s="13"/>
    </row>
    <row r="48642">
      <c r="L48642" s="13"/>
      <c r="M48642" s="14"/>
      <c r="N48642" s="14"/>
      <c r="O48642" s="14"/>
      <c r="P48642" s="13"/>
    </row>
    <row r="48643">
      <c r="L48643" s="13"/>
      <c r="M48643" s="14"/>
      <c r="N48643" s="14"/>
      <c r="O48643" s="14"/>
      <c r="P48643" s="13"/>
    </row>
    <row r="48644">
      <c r="L48644" s="13"/>
      <c r="M48644" s="14"/>
      <c r="N48644" s="14"/>
      <c r="O48644" s="14"/>
      <c r="P48644" s="13"/>
    </row>
    <row r="48645">
      <c r="L48645" s="13"/>
      <c r="M48645" s="14"/>
      <c r="N48645" s="14"/>
      <c r="O48645" s="14"/>
      <c r="P48645" s="13"/>
    </row>
    <row r="48646">
      <c r="L48646" s="13"/>
      <c r="M48646" s="14"/>
      <c r="N48646" s="14"/>
      <c r="O48646" s="14"/>
      <c r="P48646" s="13"/>
    </row>
    <row r="48647">
      <c r="L48647" s="13"/>
      <c r="M48647" s="14"/>
      <c r="N48647" s="14"/>
      <c r="O48647" s="14"/>
      <c r="P48647" s="13"/>
    </row>
    <row r="48648">
      <c r="L48648" s="13"/>
      <c r="M48648" s="14"/>
      <c r="N48648" s="14"/>
      <c r="O48648" s="14"/>
      <c r="P48648" s="13"/>
    </row>
    <row r="48649">
      <c r="L48649" s="13"/>
      <c r="M48649" s="14"/>
      <c r="N48649" s="14"/>
      <c r="O48649" s="14"/>
      <c r="P48649" s="13"/>
    </row>
    <row r="48650">
      <c r="L48650" s="13"/>
      <c r="M48650" s="14"/>
      <c r="N48650" s="14"/>
      <c r="O48650" s="14"/>
      <c r="P48650" s="13"/>
    </row>
    <row r="48651">
      <c r="L48651" s="13"/>
      <c r="M48651" s="14"/>
      <c r="N48651" s="14"/>
      <c r="O48651" s="14"/>
      <c r="P48651" s="13"/>
    </row>
    <row r="48652">
      <c r="L48652" s="13"/>
      <c r="M48652" s="14"/>
      <c r="N48652" s="14"/>
      <c r="O48652" s="14"/>
      <c r="P48652" s="13"/>
    </row>
    <row r="48653">
      <c r="L48653" s="13"/>
      <c r="M48653" s="14"/>
      <c r="N48653" s="14"/>
      <c r="O48653" s="14"/>
      <c r="P48653" s="13"/>
    </row>
    <row r="48654">
      <c r="L48654" s="13"/>
      <c r="M48654" s="14"/>
      <c r="N48654" s="14"/>
      <c r="O48654" s="14"/>
      <c r="P48654" s="13"/>
    </row>
    <row r="48655">
      <c r="L48655" s="13"/>
      <c r="M48655" s="14"/>
      <c r="N48655" s="14"/>
      <c r="O48655" s="14"/>
      <c r="P48655" s="13"/>
    </row>
    <row r="48656">
      <c r="L48656" s="13"/>
      <c r="M48656" s="14"/>
      <c r="N48656" s="14"/>
      <c r="O48656" s="14"/>
      <c r="P48656" s="13"/>
    </row>
    <row r="48657">
      <c r="L48657" s="13"/>
      <c r="M48657" s="14"/>
      <c r="N48657" s="14"/>
      <c r="O48657" s="14"/>
      <c r="P48657" s="13"/>
    </row>
    <row r="48658">
      <c r="L48658" s="13"/>
      <c r="M48658" s="14"/>
      <c r="N48658" s="14"/>
      <c r="O48658" s="14"/>
      <c r="P48658" s="13"/>
    </row>
    <row r="48659">
      <c r="L48659" s="13"/>
      <c r="M48659" s="14"/>
      <c r="N48659" s="14"/>
      <c r="O48659" s="14"/>
      <c r="P48659" s="13"/>
    </row>
    <row r="48660">
      <c r="L48660" s="13"/>
      <c r="M48660" s="14"/>
      <c r="N48660" s="14"/>
      <c r="O48660" s="14"/>
      <c r="P48660" s="13"/>
    </row>
    <row r="48661">
      <c r="L48661" s="13"/>
      <c r="M48661" s="14"/>
      <c r="N48661" s="14"/>
      <c r="O48661" s="14"/>
      <c r="P48661" s="13"/>
    </row>
    <row r="48662">
      <c r="L48662" s="13"/>
      <c r="M48662" s="14"/>
      <c r="N48662" s="14"/>
      <c r="O48662" s="14"/>
      <c r="P48662" s="13"/>
    </row>
    <row r="48663">
      <c r="L48663" s="13"/>
      <c r="M48663" s="14"/>
      <c r="N48663" s="14"/>
      <c r="O48663" s="14"/>
      <c r="P48663" s="13"/>
    </row>
    <row r="48664">
      <c r="L48664" s="13"/>
      <c r="M48664" s="14"/>
      <c r="N48664" s="14"/>
      <c r="O48664" s="14"/>
      <c r="P48664" s="13"/>
    </row>
    <row r="48665">
      <c r="L48665" s="13"/>
      <c r="M48665" s="14"/>
      <c r="N48665" s="14"/>
      <c r="O48665" s="14"/>
      <c r="P48665" s="13"/>
    </row>
    <row r="48666">
      <c r="L48666" s="13"/>
      <c r="M48666" s="14"/>
      <c r="N48666" s="14"/>
      <c r="O48666" s="14"/>
      <c r="P48666" s="13"/>
    </row>
    <row r="48667">
      <c r="L48667" s="13"/>
      <c r="M48667" s="14"/>
      <c r="N48667" s="14"/>
      <c r="O48667" s="14"/>
      <c r="P48667" s="13"/>
    </row>
    <row r="48668">
      <c r="L48668" s="13"/>
      <c r="M48668" s="14"/>
      <c r="N48668" s="14"/>
      <c r="O48668" s="14"/>
      <c r="P48668" s="13"/>
    </row>
    <row r="48669">
      <c r="L48669" s="13"/>
      <c r="M48669" s="14"/>
      <c r="N48669" s="14"/>
      <c r="O48669" s="14"/>
      <c r="P48669" s="13"/>
    </row>
    <row r="48670">
      <c r="L48670" s="13"/>
      <c r="M48670" s="14"/>
      <c r="N48670" s="14"/>
      <c r="O48670" s="14"/>
      <c r="P48670" s="13"/>
    </row>
    <row r="48671">
      <c r="L48671" s="13"/>
      <c r="M48671" s="14"/>
      <c r="N48671" s="14"/>
      <c r="O48671" s="14"/>
      <c r="P48671" s="13"/>
    </row>
    <row r="48672">
      <c r="L48672" s="13"/>
      <c r="M48672" s="14"/>
      <c r="N48672" s="14"/>
      <c r="O48672" s="14"/>
      <c r="P48672" s="13"/>
    </row>
    <row r="48673">
      <c r="L48673" s="13"/>
      <c r="M48673" s="14"/>
      <c r="N48673" s="14"/>
      <c r="O48673" s="14"/>
      <c r="P48673" s="13"/>
    </row>
    <row r="48674">
      <c r="L48674" s="13"/>
      <c r="M48674" s="14"/>
      <c r="N48674" s="14"/>
      <c r="O48674" s="14"/>
      <c r="P48674" s="13"/>
    </row>
    <row r="48675">
      <c r="L48675" s="13"/>
      <c r="M48675" s="14"/>
      <c r="N48675" s="14"/>
      <c r="O48675" s="14"/>
      <c r="P48675" s="13"/>
    </row>
    <row r="48676">
      <c r="L48676" s="13"/>
      <c r="M48676" s="14"/>
      <c r="N48676" s="14"/>
      <c r="O48676" s="14"/>
      <c r="P48676" s="13"/>
    </row>
    <row r="48677">
      <c r="L48677" s="13"/>
      <c r="M48677" s="14"/>
      <c r="N48677" s="14"/>
      <c r="O48677" s="14"/>
      <c r="P48677" s="13"/>
    </row>
    <row r="48678">
      <c r="L48678" s="13"/>
      <c r="M48678" s="14"/>
      <c r="N48678" s="14"/>
      <c r="O48678" s="14"/>
      <c r="P48678" s="13"/>
    </row>
    <row r="48679">
      <c r="L48679" s="13"/>
      <c r="M48679" s="14"/>
      <c r="N48679" s="14"/>
      <c r="O48679" s="14"/>
      <c r="P48679" s="13"/>
    </row>
    <row r="48680">
      <c r="L48680" s="13"/>
      <c r="M48680" s="14"/>
      <c r="N48680" s="14"/>
      <c r="O48680" s="14"/>
      <c r="P48680" s="13"/>
    </row>
    <row r="48681">
      <c r="L48681" s="13"/>
      <c r="M48681" s="14"/>
      <c r="N48681" s="14"/>
      <c r="O48681" s="14"/>
      <c r="P48681" s="13"/>
    </row>
    <row r="48682">
      <c r="L48682" s="13"/>
      <c r="M48682" s="14"/>
      <c r="N48682" s="14"/>
      <c r="O48682" s="14"/>
      <c r="P48682" s="13"/>
    </row>
    <row r="48683">
      <c r="L48683" s="13"/>
      <c r="M48683" s="14"/>
      <c r="N48683" s="14"/>
      <c r="O48683" s="14"/>
      <c r="P48683" s="13"/>
    </row>
    <row r="48684">
      <c r="L48684" s="13"/>
      <c r="M48684" s="14"/>
      <c r="N48684" s="14"/>
      <c r="O48684" s="14"/>
      <c r="P48684" s="13"/>
    </row>
    <row r="48685">
      <c r="L48685" s="13"/>
      <c r="M48685" s="14"/>
      <c r="N48685" s="14"/>
      <c r="O48685" s="14"/>
      <c r="P48685" s="13"/>
    </row>
    <row r="48686">
      <c r="L48686" s="13"/>
      <c r="M48686" s="14"/>
      <c r="N48686" s="14"/>
      <c r="O48686" s="14"/>
      <c r="P48686" s="13"/>
    </row>
    <row r="48687">
      <c r="L48687" s="13"/>
      <c r="M48687" s="14"/>
      <c r="N48687" s="14"/>
      <c r="O48687" s="14"/>
      <c r="P48687" s="13"/>
    </row>
    <row r="48688">
      <c r="L48688" s="13"/>
      <c r="M48688" s="14"/>
      <c r="N48688" s="14"/>
      <c r="O48688" s="14"/>
      <c r="P48688" s="13"/>
    </row>
    <row r="48689">
      <c r="L48689" s="13"/>
      <c r="M48689" s="14"/>
      <c r="N48689" s="14"/>
      <c r="O48689" s="14"/>
      <c r="P48689" s="13"/>
    </row>
    <row r="48690">
      <c r="L48690" s="13"/>
      <c r="M48690" s="14"/>
      <c r="N48690" s="14"/>
      <c r="O48690" s="14"/>
      <c r="P48690" s="13"/>
    </row>
    <row r="48691">
      <c r="L48691" s="13"/>
      <c r="M48691" s="14"/>
      <c r="N48691" s="14"/>
      <c r="O48691" s="14"/>
      <c r="P48691" s="13"/>
    </row>
    <row r="48692">
      <c r="L48692" s="13"/>
      <c r="M48692" s="14"/>
      <c r="N48692" s="14"/>
      <c r="O48692" s="14"/>
      <c r="P48692" s="13"/>
    </row>
    <row r="48693">
      <c r="L48693" s="13"/>
      <c r="M48693" s="14"/>
      <c r="N48693" s="14"/>
      <c r="O48693" s="14"/>
      <c r="P48693" s="13"/>
    </row>
    <row r="48694">
      <c r="L48694" s="13"/>
      <c r="M48694" s="14"/>
      <c r="N48694" s="14"/>
      <c r="O48694" s="14"/>
      <c r="P48694" s="13"/>
    </row>
    <row r="48695">
      <c r="L48695" s="13"/>
      <c r="M48695" s="14"/>
      <c r="N48695" s="14"/>
      <c r="O48695" s="14"/>
      <c r="P48695" s="13"/>
    </row>
    <row r="48696">
      <c r="L48696" s="13"/>
      <c r="M48696" s="14"/>
      <c r="N48696" s="14"/>
      <c r="O48696" s="14"/>
      <c r="P48696" s="13"/>
    </row>
    <row r="48697">
      <c r="L48697" s="13"/>
      <c r="M48697" s="14"/>
      <c r="N48697" s="14"/>
      <c r="O48697" s="14"/>
      <c r="P48697" s="13"/>
    </row>
    <row r="48698">
      <c r="L48698" s="13"/>
      <c r="M48698" s="14"/>
      <c r="N48698" s="14"/>
      <c r="O48698" s="14"/>
      <c r="P48698" s="13"/>
    </row>
    <row r="48699">
      <c r="L48699" s="13"/>
      <c r="M48699" s="14"/>
      <c r="N48699" s="14"/>
      <c r="O48699" s="14"/>
      <c r="P48699" s="13"/>
    </row>
    <row r="48700">
      <c r="L48700" s="13"/>
      <c r="M48700" s="14"/>
      <c r="N48700" s="14"/>
      <c r="O48700" s="14"/>
      <c r="P48700" s="13"/>
    </row>
    <row r="48701">
      <c r="L48701" s="13"/>
      <c r="M48701" s="14"/>
      <c r="N48701" s="14"/>
      <c r="O48701" s="14"/>
      <c r="P48701" s="13"/>
    </row>
    <row r="48702">
      <c r="L48702" s="13"/>
      <c r="M48702" s="14"/>
      <c r="N48702" s="14"/>
      <c r="O48702" s="14"/>
      <c r="P48702" s="13"/>
    </row>
    <row r="48703">
      <c r="L48703" s="13"/>
      <c r="M48703" s="14"/>
      <c r="N48703" s="14"/>
      <c r="O48703" s="14"/>
      <c r="P48703" s="13"/>
    </row>
    <row r="48704">
      <c r="L48704" s="13"/>
      <c r="M48704" s="14"/>
      <c r="N48704" s="14"/>
      <c r="O48704" s="14"/>
      <c r="P48704" s="13"/>
    </row>
    <row r="48705">
      <c r="L48705" s="13"/>
      <c r="M48705" s="14"/>
      <c r="N48705" s="14"/>
      <c r="O48705" s="14"/>
      <c r="P48705" s="13"/>
    </row>
    <row r="48706">
      <c r="L48706" s="13"/>
      <c r="M48706" s="14"/>
      <c r="N48706" s="14"/>
      <c r="O48706" s="14"/>
      <c r="P48706" s="13"/>
    </row>
    <row r="48707">
      <c r="L48707" s="13"/>
      <c r="M48707" s="14"/>
      <c r="N48707" s="14"/>
      <c r="O48707" s="14"/>
      <c r="P48707" s="13"/>
    </row>
    <row r="48708">
      <c r="L48708" s="13"/>
      <c r="M48708" s="14"/>
      <c r="N48708" s="14"/>
      <c r="O48708" s="14"/>
      <c r="P48708" s="13"/>
    </row>
    <row r="48709">
      <c r="L48709" s="13"/>
      <c r="M48709" s="14"/>
      <c r="N48709" s="14"/>
      <c r="O48709" s="14"/>
      <c r="P48709" s="13"/>
    </row>
    <row r="48710">
      <c r="L48710" s="13"/>
      <c r="M48710" s="14"/>
      <c r="N48710" s="14"/>
      <c r="O48710" s="14"/>
      <c r="P48710" s="13"/>
    </row>
    <row r="48711">
      <c r="L48711" s="13"/>
      <c r="M48711" s="14"/>
      <c r="N48711" s="14"/>
      <c r="O48711" s="14"/>
      <c r="P48711" s="13"/>
    </row>
    <row r="48712">
      <c r="L48712" s="13"/>
      <c r="M48712" s="14"/>
      <c r="N48712" s="14"/>
      <c r="O48712" s="14"/>
      <c r="P48712" s="13"/>
    </row>
    <row r="48713">
      <c r="L48713" s="13"/>
      <c r="M48713" s="14"/>
      <c r="N48713" s="14"/>
      <c r="O48713" s="14"/>
      <c r="P48713" s="13"/>
    </row>
    <row r="48714">
      <c r="L48714" s="13"/>
      <c r="M48714" s="14"/>
      <c r="N48714" s="14"/>
      <c r="O48714" s="14"/>
      <c r="P48714" s="13"/>
    </row>
    <row r="48715">
      <c r="L48715" s="13"/>
      <c r="M48715" s="14"/>
      <c r="N48715" s="14"/>
      <c r="O48715" s="14"/>
      <c r="P48715" s="13"/>
    </row>
    <row r="48716">
      <c r="L48716" s="13"/>
      <c r="M48716" s="14"/>
      <c r="N48716" s="14"/>
      <c r="O48716" s="14"/>
      <c r="P48716" s="13"/>
    </row>
    <row r="48717">
      <c r="L48717" s="13"/>
      <c r="M48717" s="14"/>
      <c r="N48717" s="14"/>
      <c r="O48717" s="14"/>
      <c r="P48717" s="13"/>
    </row>
    <row r="48718">
      <c r="L48718" s="13"/>
      <c r="M48718" s="14"/>
      <c r="N48718" s="14"/>
      <c r="O48718" s="14"/>
      <c r="P48718" s="13"/>
    </row>
    <row r="48719">
      <c r="L48719" s="13"/>
      <c r="M48719" s="14"/>
      <c r="N48719" s="14"/>
      <c r="O48719" s="14"/>
      <c r="P48719" s="13"/>
    </row>
    <row r="48720">
      <c r="L48720" s="13"/>
      <c r="M48720" s="14"/>
      <c r="N48720" s="14"/>
      <c r="O48720" s="14"/>
      <c r="P48720" s="13"/>
    </row>
    <row r="48721">
      <c r="L48721" s="13"/>
      <c r="M48721" s="14"/>
      <c r="N48721" s="14"/>
      <c r="O48721" s="14"/>
      <c r="P48721" s="13"/>
    </row>
    <row r="48722">
      <c r="L48722" s="13"/>
      <c r="M48722" s="14"/>
      <c r="N48722" s="14"/>
      <c r="O48722" s="14"/>
      <c r="P48722" s="13"/>
    </row>
    <row r="48723">
      <c r="L48723" s="13"/>
      <c r="M48723" s="14"/>
      <c r="N48723" s="14"/>
      <c r="O48723" s="14"/>
      <c r="P48723" s="13"/>
    </row>
    <row r="48724">
      <c r="L48724" s="13"/>
      <c r="M48724" s="14"/>
      <c r="N48724" s="14"/>
      <c r="O48724" s="14"/>
      <c r="P48724" s="13"/>
    </row>
    <row r="48725">
      <c r="L48725" s="13"/>
      <c r="M48725" s="14"/>
      <c r="N48725" s="14"/>
      <c r="O48725" s="14"/>
      <c r="P48725" s="13"/>
    </row>
    <row r="48726">
      <c r="L48726" s="13"/>
      <c r="M48726" s="14"/>
      <c r="N48726" s="14"/>
      <c r="O48726" s="14"/>
      <c r="P48726" s="13"/>
    </row>
    <row r="48727">
      <c r="L48727" s="13"/>
      <c r="M48727" s="14"/>
      <c r="N48727" s="14"/>
      <c r="O48727" s="14"/>
      <c r="P48727" s="13"/>
    </row>
    <row r="48728">
      <c r="L48728" s="13"/>
      <c r="M48728" s="14"/>
      <c r="N48728" s="14"/>
      <c r="O48728" s="14"/>
      <c r="P48728" s="13"/>
    </row>
    <row r="48729">
      <c r="L48729" s="13"/>
      <c r="M48729" s="14"/>
      <c r="N48729" s="14"/>
      <c r="O48729" s="14"/>
      <c r="P48729" s="13"/>
    </row>
    <row r="48730">
      <c r="L48730" s="13"/>
      <c r="M48730" s="14"/>
      <c r="N48730" s="14"/>
      <c r="O48730" s="14"/>
      <c r="P48730" s="13"/>
    </row>
    <row r="48731">
      <c r="L48731" s="13"/>
      <c r="M48731" s="14"/>
      <c r="N48731" s="14"/>
      <c r="O48731" s="14"/>
      <c r="P48731" s="13"/>
    </row>
    <row r="48732">
      <c r="L48732" s="13"/>
      <c r="M48732" s="14"/>
      <c r="N48732" s="14"/>
      <c r="O48732" s="14"/>
      <c r="P48732" s="13"/>
    </row>
    <row r="48733">
      <c r="L48733" s="13"/>
      <c r="M48733" s="14"/>
      <c r="N48733" s="14"/>
      <c r="O48733" s="14"/>
      <c r="P48733" s="13"/>
    </row>
    <row r="48734">
      <c r="L48734" s="13"/>
      <c r="M48734" s="14"/>
      <c r="N48734" s="14"/>
      <c r="O48734" s="14"/>
      <c r="P48734" s="13"/>
    </row>
    <row r="48735">
      <c r="L48735" s="13"/>
      <c r="M48735" s="14"/>
      <c r="N48735" s="14"/>
      <c r="O48735" s="14"/>
      <c r="P48735" s="13"/>
    </row>
    <row r="48736">
      <c r="L48736" s="13"/>
      <c r="M48736" s="14"/>
      <c r="N48736" s="14"/>
      <c r="O48736" s="14"/>
      <c r="P48736" s="13"/>
    </row>
    <row r="48737">
      <c r="L48737" s="13"/>
      <c r="M48737" s="14"/>
      <c r="N48737" s="14"/>
      <c r="O48737" s="14"/>
      <c r="P48737" s="13"/>
    </row>
    <row r="48738">
      <c r="L48738" s="13"/>
      <c r="M48738" s="14"/>
      <c r="N48738" s="14"/>
      <c r="O48738" s="14"/>
      <c r="P48738" s="13"/>
    </row>
    <row r="48739">
      <c r="L48739" s="13"/>
      <c r="M48739" s="14"/>
      <c r="N48739" s="14"/>
      <c r="O48739" s="14"/>
      <c r="P48739" s="13"/>
    </row>
    <row r="48740">
      <c r="L48740" s="13"/>
      <c r="M48740" s="14"/>
      <c r="N48740" s="14"/>
      <c r="O48740" s="14"/>
      <c r="P48740" s="13"/>
    </row>
    <row r="48741">
      <c r="L48741" s="13"/>
      <c r="M48741" s="14"/>
      <c r="N48741" s="14"/>
      <c r="O48741" s="14"/>
      <c r="P48741" s="13"/>
    </row>
    <row r="48742">
      <c r="L48742" s="13"/>
      <c r="M48742" s="14"/>
      <c r="N48742" s="14"/>
      <c r="O48742" s="14"/>
      <c r="P48742" s="13"/>
    </row>
    <row r="48743">
      <c r="L48743" s="13"/>
      <c r="M48743" s="14"/>
      <c r="N48743" s="14"/>
      <c r="O48743" s="14"/>
      <c r="P48743" s="13"/>
    </row>
    <row r="48744">
      <c r="L48744" s="13"/>
      <c r="M48744" s="14"/>
      <c r="N48744" s="14"/>
      <c r="O48744" s="14"/>
      <c r="P48744" s="13"/>
    </row>
    <row r="48745">
      <c r="L48745" s="13"/>
      <c r="M48745" s="14"/>
      <c r="N48745" s="14"/>
      <c r="O48745" s="14"/>
      <c r="P48745" s="13"/>
    </row>
    <row r="48746">
      <c r="L48746" s="13"/>
      <c r="M48746" s="14"/>
      <c r="N48746" s="14"/>
      <c r="O48746" s="14"/>
      <c r="P48746" s="13"/>
    </row>
    <row r="48747">
      <c r="L48747" s="13"/>
      <c r="M48747" s="14"/>
      <c r="N48747" s="14"/>
      <c r="O48747" s="14"/>
      <c r="P48747" s="13"/>
    </row>
    <row r="48748">
      <c r="L48748" s="13"/>
      <c r="M48748" s="14"/>
      <c r="N48748" s="14"/>
      <c r="O48748" s="14"/>
      <c r="P48748" s="13"/>
    </row>
    <row r="48749">
      <c r="L48749" s="13"/>
      <c r="M48749" s="14"/>
      <c r="N48749" s="14"/>
      <c r="O48749" s="14"/>
      <c r="P48749" s="13"/>
    </row>
    <row r="48750">
      <c r="L48750" s="13"/>
      <c r="M48750" s="14"/>
      <c r="N48750" s="14"/>
      <c r="O48750" s="14"/>
      <c r="P48750" s="13"/>
    </row>
    <row r="48751">
      <c r="L48751" s="13"/>
      <c r="M48751" s="14"/>
      <c r="N48751" s="14"/>
      <c r="O48751" s="14"/>
      <c r="P48751" s="13"/>
    </row>
    <row r="48752">
      <c r="L48752" s="13"/>
      <c r="M48752" s="14"/>
      <c r="N48752" s="14"/>
      <c r="O48752" s="14"/>
      <c r="P48752" s="13"/>
    </row>
    <row r="48753">
      <c r="L48753" s="13"/>
      <c r="M48753" s="14"/>
      <c r="N48753" s="14"/>
      <c r="O48753" s="14"/>
      <c r="P48753" s="13"/>
    </row>
    <row r="48754">
      <c r="L48754" s="13"/>
      <c r="M48754" s="14"/>
      <c r="N48754" s="14"/>
      <c r="O48754" s="14"/>
      <c r="P48754" s="13"/>
    </row>
    <row r="48755">
      <c r="L48755" s="13"/>
      <c r="M48755" s="14"/>
      <c r="N48755" s="14"/>
      <c r="O48755" s="14"/>
      <c r="P48755" s="13"/>
    </row>
    <row r="48756">
      <c r="L48756" s="13"/>
      <c r="M48756" s="14"/>
      <c r="N48756" s="14"/>
      <c r="O48756" s="14"/>
      <c r="P48756" s="13"/>
    </row>
    <row r="48757">
      <c r="L48757" s="13"/>
      <c r="M48757" s="14"/>
      <c r="N48757" s="14"/>
      <c r="O48757" s="14"/>
      <c r="P48757" s="13"/>
    </row>
    <row r="48758">
      <c r="L48758" s="13"/>
      <c r="M48758" s="14"/>
      <c r="N48758" s="14"/>
      <c r="O48758" s="14"/>
      <c r="P48758" s="13"/>
    </row>
    <row r="48759">
      <c r="L48759" s="13"/>
      <c r="M48759" s="14"/>
      <c r="N48759" s="14"/>
      <c r="O48759" s="14"/>
      <c r="P48759" s="13"/>
    </row>
    <row r="48760">
      <c r="L48760" s="13"/>
      <c r="M48760" s="14"/>
      <c r="N48760" s="14"/>
      <c r="O48760" s="14"/>
      <c r="P48760" s="13"/>
    </row>
    <row r="48761">
      <c r="L48761" s="13"/>
      <c r="M48761" s="14"/>
      <c r="N48761" s="14"/>
      <c r="O48761" s="14"/>
      <c r="P48761" s="13"/>
    </row>
    <row r="48762">
      <c r="L48762" s="13"/>
      <c r="M48762" s="14"/>
      <c r="N48762" s="14"/>
      <c r="O48762" s="14"/>
      <c r="P48762" s="13"/>
    </row>
    <row r="48763">
      <c r="L48763" s="13"/>
      <c r="M48763" s="14"/>
      <c r="N48763" s="14"/>
      <c r="O48763" s="14"/>
      <c r="P48763" s="13"/>
    </row>
    <row r="48764">
      <c r="L48764" s="13"/>
      <c r="M48764" s="14"/>
      <c r="N48764" s="14"/>
      <c r="O48764" s="14"/>
      <c r="P48764" s="13"/>
    </row>
    <row r="48765">
      <c r="L48765" s="13"/>
      <c r="M48765" s="14"/>
      <c r="N48765" s="14"/>
      <c r="O48765" s="14"/>
      <c r="P48765" s="13"/>
    </row>
    <row r="48766">
      <c r="L48766" s="13"/>
      <c r="M48766" s="14"/>
      <c r="N48766" s="14"/>
      <c r="O48766" s="14"/>
      <c r="P48766" s="13"/>
    </row>
    <row r="48767">
      <c r="L48767" s="13"/>
      <c r="M48767" s="14"/>
      <c r="N48767" s="14"/>
      <c r="O48767" s="14"/>
      <c r="P48767" s="13"/>
    </row>
    <row r="48768">
      <c r="L48768" s="13"/>
      <c r="M48768" s="14"/>
      <c r="N48768" s="14"/>
      <c r="O48768" s="14"/>
      <c r="P48768" s="13"/>
    </row>
    <row r="48769">
      <c r="L48769" s="13"/>
      <c r="M48769" s="14"/>
      <c r="N48769" s="14"/>
      <c r="O48769" s="14"/>
      <c r="P48769" s="13"/>
    </row>
    <row r="48770">
      <c r="L48770" s="13"/>
      <c r="M48770" s="14"/>
      <c r="N48770" s="14"/>
      <c r="O48770" s="14"/>
      <c r="P48770" s="13"/>
    </row>
    <row r="48771">
      <c r="L48771" s="13"/>
      <c r="M48771" s="14"/>
      <c r="N48771" s="14"/>
      <c r="O48771" s="14"/>
      <c r="P48771" s="13"/>
    </row>
    <row r="48772">
      <c r="L48772" s="13"/>
      <c r="M48772" s="14"/>
      <c r="N48772" s="14"/>
      <c r="O48772" s="14"/>
      <c r="P48772" s="13"/>
    </row>
    <row r="48773">
      <c r="L48773" s="13"/>
      <c r="M48773" s="14"/>
      <c r="N48773" s="14"/>
      <c r="O48773" s="14"/>
      <c r="P48773" s="13"/>
    </row>
    <row r="48774">
      <c r="L48774" s="13"/>
      <c r="M48774" s="14"/>
      <c r="N48774" s="14"/>
      <c r="O48774" s="14"/>
      <c r="P48774" s="13"/>
    </row>
    <row r="48775">
      <c r="L48775" s="13"/>
      <c r="M48775" s="14"/>
      <c r="N48775" s="14"/>
      <c r="O48775" s="14"/>
      <c r="P48775" s="13"/>
    </row>
    <row r="48776">
      <c r="L48776" s="13"/>
      <c r="M48776" s="14"/>
      <c r="N48776" s="14"/>
      <c r="O48776" s="14"/>
      <c r="P48776" s="13"/>
    </row>
    <row r="48777">
      <c r="L48777" s="13"/>
      <c r="M48777" s="14"/>
      <c r="N48777" s="14"/>
      <c r="O48777" s="14"/>
      <c r="P48777" s="13"/>
    </row>
    <row r="48778">
      <c r="L48778" s="13"/>
      <c r="M48778" s="14"/>
      <c r="N48778" s="14"/>
      <c r="O48778" s="14"/>
      <c r="P48778" s="13"/>
    </row>
    <row r="48779">
      <c r="L48779" s="13"/>
      <c r="M48779" s="14"/>
      <c r="N48779" s="14"/>
      <c r="O48779" s="14"/>
      <c r="P48779" s="13"/>
    </row>
    <row r="48780">
      <c r="L48780" s="13"/>
      <c r="M48780" s="14"/>
      <c r="N48780" s="14"/>
      <c r="O48780" s="14"/>
      <c r="P48780" s="13"/>
    </row>
    <row r="48781">
      <c r="L48781" s="13"/>
      <c r="M48781" s="14"/>
      <c r="N48781" s="14"/>
      <c r="O48781" s="14"/>
      <c r="P48781" s="13"/>
    </row>
    <row r="48782">
      <c r="L48782" s="13"/>
      <c r="M48782" s="14"/>
      <c r="N48782" s="14"/>
      <c r="O48782" s="14"/>
      <c r="P48782" s="13"/>
    </row>
    <row r="48783">
      <c r="L48783" s="13"/>
      <c r="M48783" s="14"/>
      <c r="N48783" s="14"/>
      <c r="O48783" s="14"/>
      <c r="P48783" s="13"/>
    </row>
    <row r="48784">
      <c r="L48784" s="13"/>
      <c r="M48784" s="14"/>
      <c r="N48784" s="14"/>
      <c r="O48784" s="14"/>
      <c r="P48784" s="13"/>
    </row>
    <row r="48785">
      <c r="L48785" s="13"/>
      <c r="M48785" s="14"/>
      <c r="N48785" s="14"/>
      <c r="O48785" s="14"/>
      <c r="P48785" s="13"/>
    </row>
    <row r="48786">
      <c r="L48786" s="13"/>
      <c r="M48786" s="14"/>
      <c r="N48786" s="14"/>
      <c r="O48786" s="14"/>
      <c r="P48786" s="13"/>
    </row>
    <row r="48787">
      <c r="L48787" s="13"/>
      <c r="M48787" s="14"/>
      <c r="N48787" s="14"/>
      <c r="O48787" s="14"/>
      <c r="P48787" s="13"/>
    </row>
    <row r="48788">
      <c r="L48788" s="13"/>
      <c r="M48788" s="14"/>
      <c r="N48788" s="14"/>
      <c r="O48788" s="14"/>
      <c r="P48788" s="13"/>
    </row>
    <row r="48789">
      <c r="L48789" s="13"/>
      <c r="M48789" s="14"/>
      <c r="N48789" s="14"/>
      <c r="O48789" s="14"/>
      <c r="P48789" s="13"/>
    </row>
    <row r="48790">
      <c r="L48790" s="13"/>
      <c r="M48790" s="14"/>
      <c r="N48790" s="14"/>
      <c r="O48790" s="14"/>
      <c r="P48790" s="13"/>
    </row>
    <row r="48791">
      <c r="L48791" s="13"/>
      <c r="M48791" s="14"/>
      <c r="N48791" s="14"/>
      <c r="O48791" s="14"/>
      <c r="P48791" s="13"/>
    </row>
    <row r="48792">
      <c r="L48792" s="13"/>
      <c r="M48792" s="14"/>
      <c r="N48792" s="14"/>
      <c r="O48792" s="14"/>
      <c r="P48792" s="13"/>
    </row>
    <row r="48793">
      <c r="L48793" s="13"/>
      <c r="M48793" s="14"/>
      <c r="N48793" s="14"/>
      <c r="O48793" s="14"/>
      <c r="P48793" s="13"/>
    </row>
    <row r="48794">
      <c r="L48794" s="13"/>
      <c r="M48794" s="14"/>
      <c r="N48794" s="14"/>
      <c r="O48794" s="14"/>
      <c r="P48794" s="13"/>
    </row>
    <row r="48795">
      <c r="L48795" s="13"/>
      <c r="M48795" s="14"/>
      <c r="N48795" s="14"/>
      <c r="O48795" s="14"/>
      <c r="P48795" s="13"/>
    </row>
    <row r="48796">
      <c r="L48796" s="13"/>
      <c r="M48796" s="14"/>
      <c r="N48796" s="14"/>
      <c r="O48796" s="14"/>
      <c r="P48796" s="13"/>
    </row>
    <row r="48797">
      <c r="L48797" s="13"/>
      <c r="M48797" s="14"/>
      <c r="N48797" s="14"/>
      <c r="O48797" s="14"/>
      <c r="P48797" s="13"/>
    </row>
    <row r="48798">
      <c r="L48798" s="13"/>
      <c r="M48798" s="14"/>
      <c r="N48798" s="14"/>
      <c r="O48798" s="14"/>
      <c r="P48798" s="13"/>
    </row>
    <row r="48799">
      <c r="L48799" s="13"/>
      <c r="M48799" s="14"/>
      <c r="N48799" s="14"/>
      <c r="O48799" s="14"/>
      <c r="P48799" s="13"/>
    </row>
    <row r="48800">
      <c r="L48800" s="13"/>
      <c r="M48800" s="14"/>
      <c r="N48800" s="14"/>
      <c r="O48800" s="14"/>
      <c r="P48800" s="13"/>
    </row>
    <row r="48801">
      <c r="L48801" s="13"/>
      <c r="M48801" s="14"/>
      <c r="N48801" s="14"/>
      <c r="O48801" s="14"/>
      <c r="P48801" s="13"/>
    </row>
    <row r="48802">
      <c r="L48802" s="13"/>
      <c r="M48802" s="14"/>
      <c r="N48802" s="14"/>
      <c r="O48802" s="14"/>
      <c r="P48802" s="13"/>
    </row>
    <row r="48803">
      <c r="L48803" s="13"/>
      <c r="M48803" s="14"/>
      <c r="N48803" s="14"/>
      <c r="O48803" s="14"/>
      <c r="P48803" s="13"/>
    </row>
    <row r="48804">
      <c r="L48804" s="13"/>
      <c r="M48804" s="14"/>
      <c r="N48804" s="14"/>
      <c r="O48804" s="14"/>
      <c r="P48804" s="13"/>
    </row>
    <row r="48805">
      <c r="L48805" s="13"/>
      <c r="M48805" s="14"/>
      <c r="N48805" s="14"/>
      <c r="O48805" s="14"/>
      <c r="P48805" s="13"/>
    </row>
    <row r="48806">
      <c r="L48806" s="13"/>
      <c r="M48806" s="14"/>
      <c r="N48806" s="14"/>
      <c r="O48806" s="14"/>
      <c r="P48806" s="13"/>
    </row>
    <row r="48807">
      <c r="L48807" s="13"/>
      <c r="M48807" s="14"/>
      <c r="N48807" s="14"/>
      <c r="O48807" s="14"/>
      <c r="P48807" s="13"/>
    </row>
    <row r="48808">
      <c r="L48808" s="13"/>
      <c r="M48808" s="14"/>
      <c r="N48808" s="14"/>
      <c r="O48808" s="14"/>
      <c r="P48808" s="13"/>
    </row>
    <row r="48809">
      <c r="L48809" s="13"/>
      <c r="M48809" s="14"/>
      <c r="N48809" s="14"/>
      <c r="O48809" s="14"/>
      <c r="P48809" s="13"/>
    </row>
    <row r="48810">
      <c r="L48810" s="13"/>
      <c r="M48810" s="14"/>
      <c r="N48810" s="14"/>
      <c r="O48810" s="14"/>
      <c r="P48810" s="13"/>
    </row>
    <row r="48811">
      <c r="L48811" s="13"/>
      <c r="M48811" s="14"/>
      <c r="N48811" s="14"/>
      <c r="O48811" s="14"/>
      <c r="P48811" s="13"/>
    </row>
    <row r="48812">
      <c r="L48812" s="13"/>
      <c r="M48812" s="14"/>
      <c r="N48812" s="14"/>
      <c r="O48812" s="14"/>
      <c r="P48812" s="13"/>
    </row>
    <row r="48813">
      <c r="L48813" s="13"/>
      <c r="M48813" s="14"/>
      <c r="N48813" s="14"/>
      <c r="O48813" s="14"/>
      <c r="P48813" s="13"/>
    </row>
    <row r="48814">
      <c r="L48814" s="13"/>
      <c r="M48814" s="14"/>
      <c r="N48814" s="14"/>
      <c r="O48814" s="14"/>
      <c r="P48814" s="13"/>
    </row>
    <row r="48815">
      <c r="L48815" s="13"/>
      <c r="M48815" s="14"/>
      <c r="N48815" s="14"/>
      <c r="O48815" s="14"/>
      <c r="P48815" s="13"/>
    </row>
    <row r="48816">
      <c r="L48816" s="13"/>
      <c r="M48816" s="14"/>
      <c r="N48816" s="14"/>
      <c r="O48816" s="14"/>
      <c r="P48816" s="13"/>
    </row>
    <row r="48817">
      <c r="L48817" s="13"/>
      <c r="M48817" s="14"/>
      <c r="N48817" s="14"/>
      <c r="O48817" s="14"/>
      <c r="P48817" s="13"/>
    </row>
    <row r="48818">
      <c r="L48818" s="13"/>
      <c r="M48818" s="14"/>
      <c r="N48818" s="14"/>
      <c r="O48818" s="14"/>
      <c r="P48818" s="13"/>
    </row>
    <row r="48819">
      <c r="L48819" s="13"/>
      <c r="M48819" s="14"/>
      <c r="N48819" s="14"/>
      <c r="O48819" s="14"/>
      <c r="P48819" s="13"/>
    </row>
    <row r="48820">
      <c r="L48820" s="13"/>
      <c r="M48820" s="14"/>
      <c r="N48820" s="14"/>
      <c r="O48820" s="14"/>
      <c r="P48820" s="13"/>
    </row>
    <row r="48821">
      <c r="L48821" s="13"/>
      <c r="M48821" s="14"/>
      <c r="N48821" s="14"/>
      <c r="O48821" s="14"/>
      <c r="P48821" s="13"/>
    </row>
    <row r="48822">
      <c r="L48822" s="13"/>
      <c r="M48822" s="14"/>
      <c r="N48822" s="14"/>
      <c r="O48822" s="14"/>
      <c r="P48822" s="13"/>
    </row>
    <row r="48823">
      <c r="L48823" s="13"/>
      <c r="M48823" s="14"/>
      <c r="N48823" s="14"/>
      <c r="O48823" s="14"/>
      <c r="P48823" s="13"/>
    </row>
    <row r="48824">
      <c r="L48824" s="13"/>
      <c r="M48824" s="14"/>
      <c r="N48824" s="14"/>
      <c r="O48824" s="14"/>
      <c r="P48824" s="13"/>
    </row>
    <row r="48825">
      <c r="L48825" s="13"/>
      <c r="M48825" s="14"/>
      <c r="N48825" s="14"/>
      <c r="O48825" s="14"/>
      <c r="P48825" s="13"/>
    </row>
    <row r="48826">
      <c r="L48826" s="13"/>
      <c r="M48826" s="14"/>
      <c r="N48826" s="14"/>
      <c r="O48826" s="14"/>
      <c r="P48826" s="13"/>
    </row>
    <row r="48827">
      <c r="L48827" s="13"/>
      <c r="M48827" s="14"/>
      <c r="N48827" s="14"/>
      <c r="O48827" s="14"/>
      <c r="P48827" s="13"/>
    </row>
    <row r="48828">
      <c r="L48828" s="13"/>
      <c r="M48828" s="14"/>
      <c r="N48828" s="14"/>
      <c r="O48828" s="14"/>
      <c r="P48828" s="13"/>
    </row>
    <row r="48829">
      <c r="L48829" s="13"/>
      <c r="M48829" s="14"/>
      <c r="N48829" s="14"/>
      <c r="O48829" s="14"/>
      <c r="P48829" s="13"/>
    </row>
    <row r="48830">
      <c r="L48830" s="13"/>
      <c r="M48830" s="14"/>
      <c r="N48830" s="14"/>
      <c r="O48830" s="14"/>
      <c r="P48830" s="13"/>
    </row>
    <row r="48831">
      <c r="L48831" s="13"/>
      <c r="M48831" s="14"/>
      <c r="N48831" s="14"/>
      <c r="O48831" s="14"/>
      <c r="P48831" s="13"/>
    </row>
    <row r="48832">
      <c r="L48832" s="13"/>
      <c r="M48832" s="14"/>
      <c r="N48832" s="14"/>
      <c r="O48832" s="14"/>
      <c r="P48832" s="13"/>
    </row>
    <row r="48833">
      <c r="L48833" s="13"/>
      <c r="M48833" s="14"/>
      <c r="N48833" s="14"/>
      <c r="O48833" s="14"/>
      <c r="P48833" s="13"/>
    </row>
    <row r="48834">
      <c r="L48834" s="13"/>
      <c r="M48834" s="14"/>
      <c r="N48834" s="14"/>
      <c r="O48834" s="14"/>
      <c r="P48834" s="13"/>
    </row>
    <row r="48835">
      <c r="L48835" s="13"/>
      <c r="M48835" s="14"/>
      <c r="N48835" s="14"/>
      <c r="O48835" s="14"/>
      <c r="P48835" s="13"/>
    </row>
    <row r="48836">
      <c r="L48836" s="13"/>
      <c r="M48836" s="14"/>
      <c r="N48836" s="14"/>
      <c r="O48836" s="14"/>
      <c r="P48836" s="13"/>
    </row>
    <row r="48837">
      <c r="L48837" s="13"/>
      <c r="M48837" s="14"/>
      <c r="N48837" s="14"/>
      <c r="O48837" s="14"/>
      <c r="P48837" s="13"/>
    </row>
    <row r="48838">
      <c r="L48838" s="13"/>
      <c r="M48838" s="14"/>
      <c r="N48838" s="14"/>
      <c r="O48838" s="14"/>
      <c r="P48838" s="13"/>
    </row>
    <row r="48839">
      <c r="L48839" s="13"/>
      <c r="M48839" s="14"/>
      <c r="N48839" s="14"/>
      <c r="O48839" s="14"/>
      <c r="P48839" s="13"/>
    </row>
    <row r="48840">
      <c r="L48840" s="13"/>
      <c r="M48840" s="14"/>
      <c r="N48840" s="14"/>
      <c r="O48840" s="14"/>
      <c r="P48840" s="13"/>
    </row>
    <row r="48841">
      <c r="L48841" s="13"/>
      <c r="M48841" s="14"/>
      <c r="N48841" s="14"/>
      <c r="O48841" s="14"/>
      <c r="P48841" s="13"/>
    </row>
    <row r="48842">
      <c r="L48842" s="13"/>
      <c r="M48842" s="14"/>
      <c r="N48842" s="14"/>
      <c r="O48842" s="14"/>
      <c r="P48842" s="13"/>
    </row>
    <row r="48843">
      <c r="L48843" s="13"/>
      <c r="M48843" s="14"/>
      <c r="N48843" s="14"/>
      <c r="O48843" s="14"/>
      <c r="P48843" s="13"/>
    </row>
    <row r="48844">
      <c r="L48844" s="13"/>
      <c r="M48844" s="14"/>
      <c r="N48844" s="14"/>
      <c r="O48844" s="14"/>
      <c r="P48844" s="13"/>
    </row>
    <row r="48845">
      <c r="L48845" s="13"/>
      <c r="M48845" s="14"/>
      <c r="N48845" s="14"/>
      <c r="O48845" s="14"/>
      <c r="P48845" s="13"/>
    </row>
    <row r="48846">
      <c r="L48846" s="13"/>
      <c r="M48846" s="14"/>
      <c r="N48846" s="14"/>
      <c r="O48846" s="14"/>
      <c r="P48846" s="13"/>
    </row>
    <row r="48847">
      <c r="L48847" s="13"/>
      <c r="M48847" s="14"/>
      <c r="N48847" s="14"/>
      <c r="O48847" s="14"/>
      <c r="P48847" s="13"/>
    </row>
    <row r="48848">
      <c r="L48848" s="13"/>
      <c r="M48848" s="14"/>
      <c r="N48848" s="14"/>
      <c r="O48848" s="14"/>
      <c r="P48848" s="13"/>
    </row>
    <row r="48849">
      <c r="L48849" s="13"/>
      <c r="M48849" s="14"/>
      <c r="N48849" s="14"/>
      <c r="O48849" s="14"/>
      <c r="P48849" s="13"/>
    </row>
    <row r="48850">
      <c r="L48850" s="13"/>
      <c r="M48850" s="14"/>
      <c r="N48850" s="14"/>
      <c r="O48850" s="14"/>
      <c r="P48850" s="13"/>
    </row>
    <row r="48851">
      <c r="L48851" s="13"/>
      <c r="M48851" s="14"/>
      <c r="N48851" s="14"/>
      <c r="O48851" s="14"/>
      <c r="P48851" s="13"/>
    </row>
    <row r="48852">
      <c r="L48852" s="13"/>
      <c r="M48852" s="14"/>
      <c r="N48852" s="14"/>
      <c r="O48852" s="14"/>
      <c r="P48852" s="13"/>
    </row>
    <row r="48853">
      <c r="L48853" s="13"/>
      <c r="M48853" s="14"/>
      <c r="N48853" s="14"/>
      <c r="O48853" s="14"/>
      <c r="P48853" s="13"/>
    </row>
    <row r="48854">
      <c r="L48854" s="13"/>
      <c r="M48854" s="14"/>
      <c r="N48854" s="14"/>
      <c r="O48854" s="14"/>
      <c r="P48854" s="13"/>
    </row>
    <row r="48855">
      <c r="L48855" s="13"/>
      <c r="M48855" s="14"/>
      <c r="N48855" s="14"/>
      <c r="O48855" s="14"/>
      <c r="P48855" s="13"/>
    </row>
    <row r="48856">
      <c r="L48856" s="13"/>
      <c r="M48856" s="14"/>
      <c r="N48856" s="14"/>
      <c r="O48856" s="14"/>
      <c r="P48856" s="13"/>
    </row>
    <row r="48857">
      <c r="L48857" s="13"/>
      <c r="M48857" s="14"/>
      <c r="N48857" s="14"/>
      <c r="O48857" s="14"/>
      <c r="P48857" s="13"/>
    </row>
    <row r="48858">
      <c r="L48858" s="13"/>
      <c r="M48858" s="14"/>
      <c r="N48858" s="14"/>
      <c r="O48858" s="14"/>
      <c r="P48858" s="13"/>
    </row>
    <row r="48859">
      <c r="L48859" s="13"/>
      <c r="M48859" s="14"/>
      <c r="N48859" s="14"/>
      <c r="O48859" s="14"/>
      <c r="P48859" s="13"/>
    </row>
    <row r="48860">
      <c r="L48860" s="13"/>
      <c r="M48860" s="14"/>
      <c r="N48860" s="14"/>
      <c r="O48860" s="14"/>
      <c r="P48860" s="13"/>
    </row>
    <row r="48861">
      <c r="L48861" s="13"/>
      <c r="M48861" s="14"/>
      <c r="N48861" s="14"/>
      <c r="O48861" s="14"/>
      <c r="P48861" s="13"/>
    </row>
    <row r="48862">
      <c r="L48862" s="13"/>
      <c r="M48862" s="14"/>
      <c r="N48862" s="14"/>
      <c r="O48862" s="14"/>
      <c r="P48862" s="13"/>
    </row>
    <row r="48863">
      <c r="L48863" s="13"/>
      <c r="M48863" s="14"/>
      <c r="N48863" s="14"/>
      <c r="O48863" s="14"/>
      <c r="P48863" s="13"/>
    </row>
    <row r="48864">
      <c r="L48864" s="13"/>
      <c r="M48864" s="14"/>
      <c r="N48864" s="14"/>
      <c r="O48864" s="14"/>
      <c r="P48864" s="13"/>
    </row>
    <row r="48865">
      <c r="L48865" s="13"/>
      <c r="M48865" s="14"/>
      <c r="N48865" s="14"/>
      <c r="O48865" s="14"/>
      <c r="P48865" s="13"/>
    </row>
    <row r="48866">
      <c r="L48866" s="13"/>
      <c r="M48866" s="14"/>
      <c r="N48866" s="14"/>
      <c r="O48866" s="14"/>
      <c r="P48866" s="13"/>
    </row>
    <row r="48867">
      <c r="L48867" s="13"/>
      <c r="M48867" s="14"/>
      <c r="N48867" s="14"/>
      <c r="O48867" s="14"/>
      <c r="P48867" s="13"/>
    </row>
    <row r="48868">
      <c r="L48868" s="13"/>
      <c r="M48868" s="14"/>
      <c r="N48868" s="14"/>
      <c r="O48868" s="14"/>
      <c r="P48868" s="13"/>
    </row>
    <row r="48869">
      <c r="L48869" s="13"/>
      <c r="M48869" s="14"/>
      <c r="N48869" s="14"/>
      <c r="O48869" s="14"/>
      <c r="P48869" s="13"/>
    </row>
    <row r="48870">
      <c r="L48870" s="13"/>
      <c r="M48870" s="14"/>
      <c r="N48870" s="14"/>
      <c r="O48870" s="14"/>
      <c r="P48870" s="13"/>
    </row>
    <row r="48871">
      <c r="L48871" s="13"/>
      <c r="M48871" s="14"/>
      <c r="N48871" s="14"/>
      <c r="O48871" s="14"/>
      <c r="P48871" s="13"/>
    </row>
    <row r="48872">
      <c r="L48872" s="13"/>
      <c r="M48872" s="14"/>
      <c r="N48872" s="14"/>
      <c r="O48872" s="14"/>
      <c r="P48872" s="13"/>
    </row>
    <row r="48873">
      <c r="L48873" s="13"/>
      <c r="M48873" s="14"/>
      <c r="N48873" s="14"/>
      <c r="O48873" s="14"/>
      <c r="P48873" s="13"/>
    </row>
    <row r="48874">
      <c r="L48874" s="13"/>
      <c r="M48874" s="14"/>
      <c r="N48874" s="14"/>
      <c r="O48874" s="14"/>
      <c r="P48874" s="13"/>
    </row>
    <row r="48875">
      <c r="L48875" s="13"/>
      <c r="M48875" s="14"/>
      <c r="N48875" s="14"/>
      <c r="O48875" s="14"/>
      <c r="P48875" s="13"/>
    </row>
    <row r="48876">
      <c r="L48876" s="13"/>
      <c r="M48876" s="14"/>
      <c r="N48876" s="14"/>
      <c r="O48876" s="14"/>
      <c r="P48876" s="13"/>
    </row>
    <row r="48877">
      <c r="L48877" s="13"/>
      <c r="M48877" s="14"/>
      <c r="N48877" s="14"/>
      <c r="O48877" s="14"/>
      <c r="P48877" s="13"/>
    </row>
    <row r="48878">
      <c r="L48878" s="13"/>
      <c r="M48878" s="14"/>
      <c r="N48878" s="14"/>
      <c r="O48878" s="14"/>
      <c r="P48878" s="13"/>
    </row>
    <row r="48879">
      <c r="L48879" s="13"/>
      <c r="M48879" s="14"/>
      <c r="N48879" s="14"/>
      <c r="O48879" s="14"/>
      <c r="P48879" s="13"/>
    </row>
    <row r="48880">
      <c r="L48880" s="13"/>
      <c r="M48880" s="14"/>
      <c r="N48880" s="14"/>
      <c r="O48880" s="14"/>
      <c r="P48880" s="13"/>
    </row>
    <row r="48881">
      <c r="L48881" s="13"/>
      <c r="M48881" s="14"/>
      <c r="N48881" s="14"/>
      <c r="O48881" s="14"/>
      <c r="P48881" s="13"/>
    </row>
    <row r="48882">
      <c r="L48882" s="13"/>
      <c r="M48882" s="14"/>
      <c r="N48882" s="14"/>
      <c r="O48882" s="14"/>
      <c r="P48882" s="13"/>
    </row>
    <row r="48883">
      <c r="L48883" s="13"/>
      <c r="M48883" s="14"/>
      <c r="N48883" s="14"/>
      <c r="O48883" s="14"/>
      <c r="P48883" s="13"/>
    </row>
    <row r="48884">
      <c r="L48884" s="13"/>
      <c r="M48884" s="14"/>
      <c r="N48884" s="14"/>
      <c r="O48884" s="14"/>
      <c r="P48884" s="13"/>
    </row>
    <row r="48885">
      <c r="L48885" s="13"/>
      <c r="M48885" s="14"/>
      <c r="N48885" s="14"/>
      <c r="O48885" s="14"/>
      <c r="P48885" s="13"/>
    </row>
    <row r="48886">
      <c r="L48886" s="13"/>
      <c r="M48886" s="14"/>
      <c r="N48886" s="14"/>
      <c r="O48886" s="14"/>
      <c r="P48886" s="13"/>
    </row>
    <row r="48887">
      <c r="L48887" s="13"/>
      <c r="M48887" s="14"/>
      <c r="N48887" s="14"/>
      <c r="O48887" s="14"/>
      <c r="P48887" s="13"/>
    </row>
    <row r="48888">
      <c r="L48888" s="13"/>
      <c r="M48888" s="14"/>
      <c r="N48888" s="14"/>
      <c r="O48888" s="14"/>
      <c r="P48888" s="13"/>
    </row>
    <row r="48889">
      <c r="L48889" s="13"/>
      <c r="M48889" s="14"/>
      <c r="N48889" s="14"/>
      <c r="O48889" s="14"/>
      <c r="P48889" s="13"/>
    </row>
    <row r="48890">
      <c r="L48890" s="13"/>
      <c r="M48890" s="14"/>
      <c r="N48890" s="14"/>
      <c r="O48890" s="14"/>
      <c r="P48890" s="13"/>
    </row>
    <row r="48891">
      <c r="L48891" s="13"/>
      <c r="M48891" s="14"/>
      <c r="N48891" s="14"/>
      <c r="O48891" s="14"/>
      <c r="P48891" s="13"/>
    </row>
    <row r="48892">
      <c r="L48892" s="13"/>
      <c r="M48892" s="14"/>
      <c r="N48892" s="14"/>
      <c r="O48892" s="14"/>
      <c r="P48892" s="13"/>
    </row>
    <row r="48893">
      <c r="L48893" s="13"/>
      <c r="M48893" s="14"/>
      <c r="N48893" s="14"/>
      <c r="O48893" s="14"/>
      <c r="P48893" s="13"/>
    </row>
    <row r="48894">
      <c r="L48894" s="13"/>
      <c r="M48894" s="14"/>
      <c r="N48894" s="14"/>
      <c r="O48894" s="14"/>
      <c r="P48894" s="13"/>
    </row>
    <row r="48895">
      <c r="L48895" s="13"/>
      <c r="M48895" s="14"/>
      <c r="N48895" s="14"/>
      <c r="O48895" s="14"/>
      <c r="P48895" s="13"/>
    </row>
    <row r="48896">
      <c r="L48896" s="13"/>
      <c r="M48896" s="14"/>
      <c r="N48896" s="14"/>
      <c r="O48896" s="14"/>
      <c r="P48896" s="13"/>
    </row>
    <row r="48897">
      <c r="L48897" s="13"/>
      <c r="M48897" s="14"/>
      <c r="N48897" s="14"/>
      <c r="O48897" s="14"/>
      <c r="P48897" s="13"/>
    </row>
    <row r="48898">
      <c r="L48898" s="13"/>
      <c r="M48898" s="14"/>
      <c r="N48898" s="14"/>
      <c r="O48898" s="14"/>
      <c r="P48898" s="13"/>
    </row>
    <row r="48899">
      <c r="L48899" s="13"/>
      <c r="M48899" s="14"/>
      <c r="N48899" s="14"/>
      <c r="O48899" s="14"/>
      <c r="P48899" s="13"/>
    </row>
    <row r="48900">
      <c r="L48900" s="13"/>
      <c r="M48900" s="14"/>
      <c r="N48900" s="14"/>
      <c r="O48900" s="14"/>
      <c r="P48900" s="13"/>
    </row>
    <row r="48901">
      <c r="L48901" s="13"/>
      <c r="M48901" s="14"/>
      <c r="N48901" s="14"/>
      <c r="O48901" s="14"/>
      <c r="P48901" s="13"/>
    </row>
    <row r="48902">
      <c r="L48902" s="13"/>
      <c r="M48902" s="14"/>
      <c r="N48902" s="14"/>
      <c r="O48902" s="14"/>
      <c r="P48902" s="13"/>
    </row>
    <row r="48903">
      <c r="L48903" s="13"/>
      <c r="M48903" s="14"/>
      <c r="N48903" s="14"/>
      <c r="O48903" s="14"/>
      <c r="P48903" s="13"/>
    </row>
    <row r="48904">
      <c r="L48904" s="13"/>
      <c r="M48904" s="14"/>
      <c r="N48904" s="14"/>
      <c r="O48904" s="14"/>
      <c r="P48904" s="13"/>
    </row>
    <row r="48905">
      <c r="L48905" s="13"/>
      <c r="M48905" s="14"/>
      <c r="N48905" s="14"/>
      <c r="O48905" s="14"/>
      <c r="P48905" s="13"/>
    </row>
    <row r="48906">
      <c r="L48906" s="13"/>
      <c r="M48906" s="14"/>
      <c r="N48906" s="14"/>
      <c r="O48906" s="14"/>
      <c r="P48906" s="13"/>
    </row>
    <row r="48907">
      <c r="L48907" s="13"/>
      <c r="M48907" s="14"/>
      <c r="N48907" s="14"/>
      <c r="O48907" s="14"/>
      <c r="P48907" s="13"/>
    </row>
    <row r="48908">
      <c r="L48908" s="13"/>
      <c r="M48908" s="14"/>
      <c r="N48908" s="14"/>
      <c r="O48908" s="14"/>
      <c r="P48908" s="13"/>
    </row>
    <row r="48909">
      <c r="L48909" s="13"/>
      <c r="M48909" s="14"/>
      <c r="N48909" s="14"/>
      <c r="O48909" s="14"/>
      <c r="P48909" s="13"/>
    </row>
    <row r="48910">
      <c r="L48910" s="13"/>
      <c r="M48910" s="14"/>
      <c r="N48910" s="14"/>
      <c r="O48910" s="14"/>
      <c r="P48910" s="13"/>
    </row>
    <row r="48911">
      <c r="L48911" s="13"/>
      <c r="M48911" s="14"/>
      <c r="N48911" s="14"/>
      <c r="O48911" s="14"/>
      <c r="P48911" s="13"/>
    </row>
    <row r="48912">
      <c r="L48912" s="13"/>
      <c r="M48912" s="14"/>
      <c r="N48912" s="14"/>
      <c r="O48912" s="14"/>
      <c r="P48912" s="13"/>
    </row>
    <row r="48913">
      <c r="L48913" s="13"/>
      <c r="M48913" s="14"/>
      <c r="N48913" s="14"/>
      <c r="O48913" s="14"/>
      <c r="P48913" s="13"/>
    </row>
    <row r="48914">
      <c r="L48914" s="13"/>
      <c r="M48914" s="14"/>
      <c r="N48914" s="14"/>
      <c r="O48914" s="14"/>
      <c r="P48914" s="13"/>
    </row>
    <row r="48915">
      <c r="L48915" s="13"/>
      <c r="M48915" s="14"/>
      <c r="N48915" s="14"/>
      <c r="O48915" s="14"/>
      <c r="P48915" s="13"/>
    </row>
    <row r="48916">
      <c r="L48916" s="13"/>
      <c r="M48916" s="14"/>
      <c r="N48916" s="14"/>
      <c r="O48916" s="14"/>
      <c r="P48916" s="13"/>
    </row>
    <row r="48917">
      <c r="L48917" s="13"/>
      <c r="M48917" s="14"/>
      <c r="N48917" s="14"/>
      <c r="O48917" s="14"/>
      <c r="P48917" s="13"/>
    </row>
    <row r="48918">
      <c r="L48918" s="13"/>
      <c r="M48918" s="14"/>
      <c r="N48918" s="14"/>
      <c r="O48918" s="14"/>
      <c r="P48918" s="13"/>
    </row>
    <row r="48919">
      <c r="L48919" s="13"/>
      <c r="M48919" s="14"/>
      <c r="N48919" s="14"/>
      <c r="O48919" s="14"/>
      <c r="P48919" s="13"/>
    </row>
    <row r="48920">
      <c r="L48920" s="13"/>
      <c r="M48920" s="14"/>
      <c r="N48920" s="14"/>
      <c r="O48920" s="14"/>
      <c r="P48920" s="13"/>
    </row>
    <row r="48921">
      <c r="L48921" s="13"/>
      <c r="M48921" s="14"/>
      <c r="N48921" s="14"/>
      <c r="O48921" s="14"/>
      <c r="P48921" s="13"/>
    </row>
    <row r="48922">
      <c r="L48922" s="13"/>
      <c r="M48922" s="14"/>
      <c r="N48922" s="14"/>
      <c r="O48922" s="14"/>
      <c r="P48922" s="13"/>
    </row>
    <row r="48923">
      <c r="L48923" s="13"/>
      <c r="M48923" s="14"/>
      <c r="N48923" s="14"/>
      <c r="O48923" s="14"/>
      <c r="P48923" s="13"/>
    </row>
    <row r="48924">
      <c r="L48924" s="13"/>
      <c r="M48924" s="14"/>
      <c r="N48924" s="14"/>
      <c r="O48924" s="14"/>
      <c r="P48924" s="13"/>
    </row>
    <row r="48925">
      <c r="L48925" s="13"/>
      <c r="M48925" s="14"/>
      <c r="N48925" s="14"/>
      <c r="O48925" s="14"/>
      <c r="P48925" s="13"/>
    </row>
    <row r="48926">
      <c r="L48926" s="13"/>
      <c r="M48926" s="14"/>
      <c r="N48926" s="14"/>
      <c r="O48926" s="14"/>
      <c r="P48926" s="13"/>
    </row>
    <row r="48927">
      <c r="L48927" s="13"/>
      <c r="M48927" s="14"/>
      <c r="N48927" s="14"/>
      <c r="O48927" s="14"/>
      <c r="P48927" s="13"/>
    </row>
    <row r="48928">
      <c r="L48928" s="13"/>
      <c r="M48928" s="14"/>
      <c r="N48928" s="14"/>
      <c r="O48928" s="14"/>
      <c r="P48928" s="13"/>
    </row>
    <row r="48929">
      <c r="L48929" s="13"/>
      <c r="M48929" s="14"/>
      <c r="N48929" s="14"/>
      <c r="O48929" s="14"/>
      <c r="P48929" s="13"/>
    </row>
    <row r="48930">
      <c r="L48930" s="13"/>
      <c r="M48930" s="14"/>
      <c r="N48930" s="14"/>
      <c r="O48930" s="14"/>
      <c r="P48930" s="13"/>
    </row>
    <row r="48931">
      <c r="L48931" s="13"/>
      <c r="M48931" s="14"/>
      <c r="N48931" s="14"/>
      <c r="O48931" s="14"/>
      <c r="P48931" s="13"/>
    </row>
    <row r="48932">
      <c r="L48932" s="13"/>
      <c r="M48932" s="14"/>
      <c r="N48932" s="14"/>
      <c r="O48932" s="14"/>
      <c r="P48932" s="13"/>
    </row>
    <row r="48933">
      <c r="L48933" s="13"/>
      <c r="M48933" s="14"/>
      <c r="N48933" s="14"/>
      <c r="O48933" s="14"/>
      <c r="P48933" s="13"/>
    </row>
    <row r="48934">
      <c r="L48934" s="13"/>
      <c r="M48934" s="14"/>
      <c r="N48934" s="14"/>
      <c r="O48934" s="14"/>
      <c r="P48934" s="13"/>
    </row>
    <row r="48935">
      <c r="L48935" s="13"/>
      <c r="M48935" s="14"/>
      <c r="N48935" s="14"/>
      <c r="O48935" s="14"/>
      <c r="P48935" s="13"/>
    </row>
    <row r="48936">
      <c r="L48936" s="13"/>
      <c r="M48936" s="14"/>
      <c r="N48936" s="14"/>
      <c r="O48936" s="14"/>
      <c r="P48936" s="13"/>
    </row>
    <row r="48937">
      <c r="L48937" s="13"/>
      <c r="M48937" s="14"/>
      <c r="N48937" s="14"/>
      <c r="O48937" s="14"/>
      <c r="P48937" s="13"/>
    </row>
    <row r="48938">
      <c r="L48938" s="13"/>
      <c r="M48938" s="14"/>
      <c r="N48938" s="14"/>
      <c r="O48938" s="14"/>
      <c r="P48938" s="13"/>
    </row>
    <row r="48939">
      <c r="L48939" s="13"/>
      <c r="M48939" s="14"/>
      <c r="N48939" s="14"/>
      <c r="O48939" s="14"/>
      <c r="P48939" s="13"/>
    </row>
    <row r="48940">
      <c r="L48940" s="13"/>
      <c r="M48940" s="14"/>
      <c r="N48940" s="14"/>
      <c r="O48940" s="14"/>
      <c r="P48940" s="13"/>
    </row>
    <row r="48941">
      <c r="L48941" s="13"/>
      <c r="M48941" s="14"/>
      <c r="N48941" s="14"/>
      <c r="O48941" s="14"/>
      <c r="P48941" s="13"/>
    </row>
    <row r="48942">
      <c r="L48942" s="13"/>
      <c r="M48942" s="14"/>
      <c r="N48942" s="14"/>
      <c r="O48942" s="14"/>
      <c r="P48942" s="13"/>
    </row>
    <row r="48943">
      <c r="L48943" s="13"/>
      <c r="M48943" s="14"/>
      <c r="N48943" s="14"/>
      <c r="O48943" s="14"/>
      <c r="P48943" s="13"/>
    </row>
    <row r="48944">
      <c r="L48944" s="13"/>
      <c r="M48944" s="14"/>
      <c r="N48944" s="14"/>
      <c r="O48944" s="14"/>
      <c r="P48944" s="13"/>
    </row>
    <row r="48945">
      <c r="L48945" s="13"/>
      <c r="M48945" s="14"/>
      <c r="N48945" s="14"/>
      <c r="O48945" s="14"/>
      <c r="P48945" s="13"/>
    </row>
    <row r="48946">
      <c r="L48946" s="13"/>
      <c r="M48946" s="14"/>
      <c r="N48946" s="14"/>
      <c r="O48946" s="14"/>
      <c r="P48946" s="13"/>
    </row>
    <row r="48947">
      <c r="L48947" s="13"/>
      <c r="M48947" s="14"/>
      <c r="N48947" s="14"/>
      <c r="O48947" s="14"/>
      <c r="P48947" s="13"/>
    </row>
    <row r="48948">
      <c r="L48948" s="13"/>
      <c r="M48948" s="14"/>
      <c r="N48948" s="14"/>
      <c r="O48948" s="14"/>
      <c r="P48948" s="13"/>
    </row>
    <row r="48949">
      <c r="L48949" s="13"/>
      <c r="M48949" s="14"/>
      <c r="N48949" s="14"/>
      <c r="O48949" s="14"/>
      <c r="P48949" s="13"/>
    </row>
    <row r="48950">
      <c r="L48950" s="13"/>
      <c r="M48950" s="14"/>
      <c r="N48950" s="14"/>
      <c r="O48950" s="14"/>
      <c r="P48950" s="13"/>
    </row>
    <row r="48951">
      <c r="L48951" s="13"/>
      <c r="M48951" s="14"/>
      <c r="N48951" s="14"/>
      <c r="O48951" s="14"/>
      <c r="P48951" s="13"/>
    </row>
    <row r="48952">
      <c r="L48952" s="13"/>
      <c r="M48952" s="14"/>
      <c r="N48952" s="14"/>
      <c r="O48952" s="14"/>
      <c r="P48952" s="13"/>
    </row>
    <row r="48953">
      <c r="L48953" s="13"/>
      <c r="M48953" s="14"/>
      <c r="N48953" s="14"/>
      <c r="O48953" s="14"/>
      <c r="P48953" s="13"/>
    </row>
    <row r="48954">
      <c r="L48954" s="13"/>
      <c r="M48954" s="14"/>
      <c r="N48954" s="14"/>
      <c r="O48954" s="14"/>
      <c r="P48954" s="13"/>
    </row>
    <row r="48955">
      <c r="L48955" s="13"/>
      <c r="M48955" s="14"/>
      <c r="N48955" s="14"/>
      <c r="O48955" s="14"/>
      <c r="P48955" s="13"/>
    </row>
    <row r="48956">
      <c r="L48956" s="13"/>
      <c r="M48956" s="14"/>
      <c r="N48956" s="14"/>
      <c r="O48956" s="14"/>
      <c r="P48956" s="13"/>
    </row>
    <row r="48957">
      <c r="L48957" s="13"/>
      <c r="M48957" s="14"/>
      <c r="N48957" s="14"/>
      <c r="O48957" s="14"/>
      <c r="P48957" s="13"/>
    </row>
    <row r="48958">
      <c r="L48958" s="13"/>
      <c r="M48958" s="14"/>
      <c r="N48958" s="14"/>
      <c r="O48958" s="14"/>
      <c r="P48958" s="13"/>
    </row>
    <row r="48959">
      <c r="L48959" s="13"/>
      <c r="M48959" s="14"/>
      <c r="N48959" s="14"/>
      <c r="O48959" s="14"/>
      <c r="P48959" s="13"/>
    </row>
    <row r="48960">
      <c r="L48960" s="13"/>
      <c r="M48960" s="14"/>
      <c r="N48960" s="14"/>
      <c r="O48960" s="14"/>
      <c r="P48960" s="13"/>
    </row>
    <row r="48961">
      <c r="L48961" s="13"/>
      <c r="M48961" s="14"/>
      <c r="N48961" s="14"/>
      <c r="O48961" s="14"/>
      <c r="P48961" s="13"/>
    </row>
    <row r="48962">
      <c r="L48962" s="13"/>
      <c r="M48962" s="14"/>
      <c r="N48962" s="14"/>
      <c r="O48962" s="14"/>
      <c r="P48962" s="13"/>
    </row>
    <row r="48963">
      <c r="L48963" s="13"/>
      <c r="M48963" s="14"/>
      <c r="N48963" s="14"/>
      <c r="O48963" s="14"/>
      <c r="P48963" s="13"/>
    </row>
    <row r="48964">
      <c r="L48964" s="13"/>
      <c r="M48964" s="14"/>
      <c r="N48964" s="14"/>
      <c r="O48964" s="14"/>
      <c r="P48964" s="13"/>
    </row>
    <row r="48965">
      <c r="L48965" s="13"/>
      <c r="M48965" s="14"/>
      <c r="N48965" s="14"/>
      <c r="O48965" s="14"/>
      <c r="P48965" s="13"/>
    </row>
    <row r="48966">
      <c r="L48966" s="13"/>
      <c r="M48966" s="14"/>
      <c r="N48966" s="14"/>
      <c r="O48966" s="14"/>
      <c r="P48966" s="13"/>
    </row>
    <row r="48967">
      <c r="L48967" s="13"/>
      <c r="M48967" s="14"/>
      <c r="N48967" s="14"/>
      <c r="O48967" s="14"/>
      <c r="P48967" s="13"/>
    </row>
    <row r="48968">
      <c r="L48968" s="13"/>
      <c r="M48968" s="14"/>
      <c r="N48968" s="14"/>
      <c r="O48968" s="14"/>
      <c r="P48968" s="13"/>
    </row>
    <row r="48969">
      <c r="L48969" s="13"/>
      <c r="M48969" s="14"/>
      <c r="N48969" s="14"/>
      <c r="O48969" s="14"/>
      <c r="P48969" s="13"/>
    </row>
    <row r="48970">
      <c r="L48970" s="13"/>
      <c r="M48970" s="14"/>
      <c r="N48970" s="14"/>
      <c r="O48970" s="14"/>
      <c r="P48970" s="13"/>
    </row>
    <row r="48971">
      <c r="L48971" s="13"/>
      <c r="M48971" s="14"/>
      <c r="N48971" s="14"/>
      <c r="O48971" s="14"/>
      <c r="P48971" s="13"/>
    </row>
    <row r="48972">
      <c r="L48972" s="13"/>
      <c r="M48972" s="14"/>
      <c r="N48972" s="14"/>
      <c r="O48972" s="14"/>
      <c r="P48972" s="13"/>
    </row>
    <row r="48973">
      <c r="L48973" s="13"/>
      <c r="M48973" s="14"/>
      <c r="N48973" s="14"/>
      <c r="O48973" s="14"/>
      <c r="P48973" s="13"/>
    </row>
    <row r="48974">
      <c r="L48974" s="13"/>
      <c r="M48974" s="14"/>
      <c r="N48974" s="14"/>
      <c r="O48974" s="14"/>
      <c r="P48974" s="13"/>
    </row>
    <row r="48975">
      <c r="L48975" s="13"/>
      <c r="M48975" s="14"/>
      <c r="N48975" s="14"/>
      <c r="O48975" s="14"/>
      <c r="P48975" s="13"/>
    </row>
    <row r="48976">
      <c r="L48976" s="13"/>
      <c r="M48976" s="14"/>
      <c r="N48976" s="14"/>
      <c r="O48976" s="14"/>
      <c r="P48976" s="13"/>
    </row>
    <row r="48977">
      <c r="L48977" s="13"/>
      <c r="M48977" s="14"/>
      <c r="N48977" s="14"/>
      <c r="O48977" s="14"/>
      <c r="P48977" s="13"/>
    </row>
    <row r="48978">
      <c r="L48978" s="13"/>
      <c r="M48978" s="14"/>
      <c r="N48978" s="14"/>
      <c r="O48978" s="14"/>
      <c r="P48978" s="13"/>
    </row>
    <row r="48979">
      <c r="L48979" s="13"/>
      <c r="M48979" s="14"/>
      <c r="N48979" s="14"/>
      <c r="O48979" s="14"/>
      <c r="P48979" s="13"/>
    </row>
    <row r="48980">
      <c r="L48980" s="13"/>
      <c r="M48980" s="14"/>
      <c r="N48980" s="14"/>
      <c r="O48980" s="14"/>
      <c r="P48980" s="13"/>
    </row>
    <row r="48981">
      <c r="L48981" s="13"/>
      <c r="M48981" s="14"/>
      <c r="N48981" s="14"/>
      <c r="O48981" s="14"/>
      <c r="P48981" s="13"/>
    </row>
    <row r="48982">
      <c r="L48982" s="13"/>
      <c r="M48982" s="14"/>
      <c r="N48982" s="14"/>
      <c r="O48982" s="14"/>
      <c r="P48982" s="13"/>
    </row>
    <row r="48983">
      <c r="L48983" s="13"/>
      <c r="M48983" s="14"/>
      <c r="N48983" s="14"/>
      <c r="O48983" s="14"/>
      <c r="P48983" s="13"/>
    </row>
    <row r="48984">
      <c r="L48984" s="13"/>
      <c r="M48984" s="14"/>
      <c r="N48984" s="14"/>
      <c r="O48984" s="14"/>
      <c r="P48984" s="13"/>
    </row>
    <row r="48985">
      <c r="L48985" s="13"/>
      <c r="M48985" s="14"/>
      <c r="N48985" s="14"/>
      <c r="O48985" s="14"/>
      <c r="P48985" s="13"/>
    </row>
    <row r="48986">
      <c r="L48986" s="13"/>
      <c r="M48986" s="14"/>
      <c r="N48986" s="14"/>
      <c r="O48986" s="14"/>
      <c r="P48986" s="13"/>
    </row>
    <row r="48987">
      <c r="L48987" s="13"/>
      <c r="M48987" s="14"/>
      <c r="N48987" s="14"/>
      <c r="O48987" s="14"/>
      <c r="P48987" s="13"/>
    </row>
    <row r="48988">
      <c r="L48988" s="13"/>
      <c r="M48988" s="14"/>
      <c r="N48988" s="14"/>
      <c r="O48988" s="14"/>
      <c r="P48988" s="13"/>
    </row>
    <row r="48989">
      <c r="L48989" s="13"/>
      <c r="M48989" s="14"/>
      <c r="N48989" s="14"/>
      <c r="O48989" s="14"/>
      <c r="P48989" s="13"/>
    </row>
    <row r="48990">
      <c r="L48990" s="13"/>
      <c r="M48990" s="14"/>
      <c r="N48990" s="14"/>
      <c r="O48990" s="14"/>
      <c r="P48990" s="13"/>
    </row>
    <row r="48991">
      <c r="L48991" s="13"/>
      <c r="M48991" s="14"/>
      <c r="N48991" s="14"/>
      <c r="O48991" s="14"/>
      <c r="P48991" s="13"/>
    </row>
    <row r="48992">
      <c r="L48992" s="13"/>
      <c r="M48992" s="14"/>
      <c r="N48992" s="14"/>
      <c r="O48992" s="14"/>
      <c r="P48992" s="13"/>
    </row>
    <row r="48993">
      <c r="L48993" s="13"/>
      <c r="M48993" s="14"/>
      <c r="N48993" s="14"/>
      <c r="O48993" s="14"/>
      <c r="P48993" s="13"/>
    </row>
    <row r="48994">
      <c r="L48994" s="13"/>
      <c r="M48994" s="14"/>
      <c r="N48994" s="14"/>
      <c r="O48994" s="14"/>
      <c r="P48994" s="13"/>
    </row>
    <row r="48995">
      <c r="L48995" s="13"/>
      <c r="M48995" s="14"/>
      <c r="N48995" s="14"/>
      <c r="O48995" s="14"/>
      <c r="P48995" s="13"/>
    </row>
    <row r="48996">
      <c r="L48996" s="13"/>
      <c r="M48996" s="14"/>
      <c r="N48996" s="14"/>
      <c r="O48996" s="14"/>
      <c r="P48996" s="13"/>
    </row>
    <row r="48997">
      <c r="L48997" s="13"/>
      <c r="M48997" s="14"/>
      <c r="N48997" s="14"/>
      <c r="O48997" s="14"/>
      <c r="P48997" s="13"/>
    </row>
    <row r="48998">
      <c r="L48998" s="13"/>
      <c r="M48998" s="14"/>
      <c r="N48998" s="14"/>
      <c r="O48998" s="14"/>
      <c r="P48998" s="13"/>
    </row>
    <row r="48999">
      <c r="L48999" s="13"/>
      <c r="M48999" s="14"/>
      <c r="N48999" s="14"/>
      <c r="O48999" s="14"/>
      <c r="P48999" s="13"/>
    </row>
    <row r="49000">
      <c r="L49000" s="13"/>
      <c r="M49000" s="14"/>
      <c r="N49000" s="14"/>
      <c r="O49000" s="14"/>
      <c r="P49000" s="13"/>
    </row>
    <row r="49001">
      <c r="L49001" s="13"/>
      <c r="M49001" s="14"/>
      <c r="N49001" s="14"/>
      <c r="O49001" s="14"/>
      <c r="P49001" s="13"/>
    </row>
    <row r="49002">
      <c r="L49002" s="13"/>
      <c r="M49002" s="14"/>
      <c r="N49002" s="14"/>
      <c r="O49002" s="14"/>
      <c r="P49002" s="13"/>
    </row>
    <row r="49003">
      <c r="L49003" s="13"/>
      <c r="M49003" s="14"/>
      <c r="N49003" s="14"/>
      <c r="O49003" s="14"/>
      <c r="P49003" s="13"/>
    </row>
    <row r="49004">
      <c r="L49004" s="13"/>
      <c r="M49004" s="14"/>
      <c r="N49004" s="14"/>
      <c r="O49004" s="14"/>
      <c r="P49004" s="13"/>
    </row>
    <row r="49005">
      <c r="L49005" s="13"/>
      <c r="M49005" s="14"/>
      <c r="N49005" s="14"/>
      <c r="O49005" s="14"/>
      <c r="P49005" s="13"/>
    </row>
    <row r="49006">
      <c r="L49006" s="13"/>
      <c r="M49006" s="14"/>
      <c r="N49006" s="14"/>
      <c r="O49006" s="14"/>
      <c r="P49006" s="13"/>
    </row>
    <row r="49007">
      <c r="L49007" s="13"/>
      <c r="M49007" s="14"/>
      <c r="N49007" s="14"/>
      <c r="O49007" s="14"/>
      <c r="P49007" s="13"/>
    </row>
    <row r="49008">
      <c r="L49008" s="13"/>
      <c r="M49008" s="14"/>
      <c r="N49008" s="14"/>
      <c r="O49008" s="14"/>
      <c r="P49008" s="13"/>
    </row>
    <row r="49009">
      <c r="L49009" s="13"/>
      <c r="M49009" s="14"/>
      <c r="N49009" s="14"/>
      <c r="O49009" s="14"/>
      <c r="P49009" s="13"/>
    </row>
    <row r="49010">
      <c r="L49010" s="13"/>
      <c r="M49010" s="14"/>
      <c r="N49010" s="14"/>
      <c r="O49010" s="14"/>
      <c r="P49010" s="13"/>
    </row>
    <row r="49011">
      <c r="L49011" s="13"/>
      <c r="M49011" s="14"/>
      <c r="N49011" s="14"/>
      <c r="O49011" s="14"/>
      <c r="P49011" s="13"/>
    </row>
    <row r="49012">
      <c r="L49012" s="13"/>
      <c r="M49012" s="14"/>
      <c r="N49012" s="14"/>
      <c r="O49012" s="14"/>
      <c r="P49012" s="13"/>
    </row>
    <row r="49013">
      <c r="L49013" s="13"/>
      <c r="M49013" s="14"/>
      <c r="N49013" s="14"/>
      <c r="O49013" s="14"/>
      <c r="P49013" s="13"/>
    </row>
    <row r="49014">
      <c r="L49014" s="13"/>
      <c r="M49014" s="14"/>
      <c r="N49014" s="14"/>
      <c r="O49014" s="14"/>
      <c r="P49014" s="13"/>
    </row>
    <row r="49015">
      <c r="L49015" s="13"/>
      <c r="M49015" s="14"/>
      <c r="N49015" s="14"/>
      <c r="O49015" s="14"/>
      <c r="P49015" s="13"/>
    </row>
    <row r="49016">
      <c r="L49016" s="13"/>
      <c r="M49016" s="14"/>
      <c r="N49016" s="14"/>
      <c r="O49016" s="14"/>
      <c r="P49016" s="13"/>
    </row>
    <row r="49017">
      <c r="L49017" s="13"/>
      <c r="M49017" s="14"/>
      <c r="N49017" s="14"/>
      <c r="O49017" s="14"/>
      <c r="P49017" s="13"/>
    </row>
    <row r="49018">
      <c r="L49018" s="13"/>
      <c r="M49018" s="14"/>
      <c r="N49018" s="14"/>
      <c r="O49018" s="14"/>
      <c r="P49018" s="13"/>
    </row>
    <row r="49019">
      <c r="L49019" s="13"/>
      <c r="M49019" s="14"/>
      <c r="N49019" s="14"/>
      <c r="O49019" s="14"/>
      <c r="P49019" s="13"/>
    </row>
    <row r="49020">
      <c r="L49020" s="13"/>
      <c r="M49020" s="14"/>
      <c r="N49020" s="14"/>
      <c r="O49020" s="14"/>
      <c r="P49020" s="13"/>
    </row>
    <row r="49021">
      <c r="L49021" s="13"/>
      <c r="M49021" s="14"/>
      <c r="N49021" s="14"/>
      <c r="O49021" s="14"/>
      <c r="P49021" s="13"/>
    </row>
    <row r="49022">
      <c r="L49022" s="13"/>
      <c r="M49022" s="14"/>
      <c r="N49022" s="14"/>
      <c r="O49022" s="14"/>
      <c r="P49022" s="13"/>
    </row>
    <row r="49023">
      <c r="L49023" s="13"/>
      <c r="M49023" s="14"/>
      <c r="N49023" s="14"/>
      <c r="O49023" s="14"/>
      <c r="P49023" s="13"/>
    </row>
    <row r="49024">
      <c r="L49024" s="13"/>
      <c r="M49024" s="14"/>
      <c r="N49024" s="14"/>
      <c r="O49024" s="14"/>
      <c r="P49024" s="13"/>
    </row>
    <row r="49025">
      <c r="L49025" s="13"/>
      <c r="M49025" s="14"/>
      <c r="N49025" s="14"/>
      <c r="O49025" s="14"/>
      <c r="P49025" s="13"/>
    </row>
    <row r="49026">
      <c r="L49026" s="13"/>
      <c r="M49026" s="14"/>
      <c r="N49026" s="14"/>
      <c r="O49026" s="14"/>
      <c r="P49026" s="13"/>
    </row>
    <row r="49027">
      <c r="L49027" s="13"/>
      <c r="M49027" s="14"/>
      <c r="N49027" s="14"/>
      <c r="O49027" s="14"/>
      <c r="P49027" s="13"/>
    </row>
    <row r="49028">
      <c r="L49028" s="13"/>
      <c r="M49028" s="14"/>
      <c r="N49028" s="14"/>
      <c r="O49028" s="14"/>
      <c r="P49028" s="13"/>
    </row>
    <row r="49029">
      <c r="L49029" s="13"/>
      <c r="M49029" s="14"/>
      <c r="N49029" s="14"/>
      <c r="O49029" s="14"/>
      <c r="P49029" s="13"/>
    </row>
    <row r="49030">
      <c r="L49030" s="13"/>
      <c r="M49030" s="14"/>
      <c r="N49030" s="14"/>
      <c r="O49030" s="14"/>
      <c r="P49030" s="13"/>
    </row>
    <row r="49031">
      <c r="L49031" s="13"/>
      <c r="M49031" s="14"/>
      <c r="N49031" s="14"/>
      <c r="O49031" s="14"/>
      <c r="P49031" s="13"/>
    </row>
    <row r="49032">
      <c r="L49032" s="13"/>
      <c r="M49032" s="14"/>
      <c r="N49032" s="14"/>
      <c r="O49032" s="14"/>
      <c r="P49032" s="13"/>
    </row>
    <row r="49033">
      <c r="L49033" s="13"/>
      <c r="M49033" s="14"/>
      <c r="N49033" s="14"/>
      <c r="O49033" s="14"/>
      <c r="P49033" s="13"/>
    </row>
    <row r="49034">
      <c r="L49034" s="13"/>
      <c r="M49034" s="14"/>
      <c r="N49034" s="14"/>
      <c r="O49034" s="14"/>
      <c r="P49034" s="13"/>
    </row>
    <row r="49035">
      <c r="L49035" s="13"/>
      <c r="M49035" s="14"/>
      <c r="N49035" s="14"/>
      <c r="O49035" s="14"/>
      <c r="P49035" s="13"/>
    </row>
    <row r="49036">
      <c r="L49036" s="13"/>
      <c r="M49036" s="14"/>
      <c r="N49036" s="14"/>
      <c r="O49036" s="14"/>
      <c r="P49036" s="13"/>
    </row>
    <row r="49037">
      <c r="L49037" s="13"/>
      <c r="M49037" s="14"/>
      <c r="N49037" s="14"/>
      <c r="O49037" s="14"/>
      <c r="P49037" s="13"/>
    </row>
    <row r="49038">
      <c r="L49038" s="13"/>
      <c r="M49038" s="14"/>
      <c r="N49038" s="14"/>
      <c r="O49038" s="14"/>
      <c r="P49038" s="13"/>
    </row>
    <row r="49039">
      <c r="L49039" s="13"/>
      <c r="M49039" s="14"/>
      <c r="N49039" s="14"/>
      <c r="O49039" s="14"/>
      <c r="P49039" s="13"/>
    </row>
    <row r="49040">
      <c r="L49040" s="13"/>
      <c r="M49040" s="14"/>
      <c r="N49040" s="14"/>
      <c r="O49040" s="14"/>
      <c r="P49040" s="13"/>
    </row>
    <row r="49041">
      <c r="L49041" s="13"/>
      <c r="M49041" s="14"/>
      <c r="N49041" s="14"/>
      <c r="O49041" s="14"/>
      <c r="P49041" s="13"/>
    </row>
    <row r="49042">
      <c r="L49042" s="13"/>
      <c r="M49042" s="14"/>
      <c r="N49042" s="14"/>
      <c r="O49042" s="14"/>
      <c r="P49042" s="13"/>
    </row>
    <row r="49043">
      <c r="L49043" s="13"/>
      <c r="M49043" s="14"/>
      <c r="N49043" s="14"/>
      <c r="O49043" s="14"/>
      <c r="P49043" s="13"/>
    </row>
    <row r="49044">
      <c r="L49044" s="13"/>
      <c r="M49044" s="14"/>
      <c r="N49044" s="14"/>
      <c r="O49044" s="14"/>
      <c r="P49044" s="13"/>
    </row>
    <row r="49045">
      <c r="L49045" s="13"/>
      <c r="M49045" s="14"/>
      <c r="N49045" s="14"/>
      <c r="O49045" s="14"/>
      <c r="P49045" s="13"/>
    </row>
    <row r="49046">
      <c r="L49046" s="13"/>
      <c r="M49046" s="14"/>
      <c r="N49046" s="14"/>
      <c r="O49046" s="14"/>
      <c r="P49046" s="13"/>
    </row>
    <row r="49047">
      <c r="L49047" s="13"/>
      <c r="M49047" s="14"/>
      <c r="N49047" s="14"/>
      <c r="O49047" s="14"/>
      <c r="P49047" s="13"/>
    </row>
    <row r="49048">
      <c r="L49048" s="13"/>
      <c r="M49048" s="14"/>
      <c r="N49048" s="14"/>
      <c r="O49048" s="14"/>
      <c r="P49048" s="13"/>
    </row>
    <row r="49049">
      <c r="L49049" s="13"/>
      <c r="M49049" s="14"/>
      <c r="N49049" s="14"/>
      <c r="O49049" s="14"/>
      <c r="P49049" s="13"/>
    </row>
    <row r="49050">
      <c r="L49050" s="13"/>
      <c r="M49050" s="14"/>
      <c r="N49050" s="14"/>
      <c r="O49050" s="14"/>
      <c r="P49050" s="13"/>
    </row>
    <row r="49051">
      <c r="L49051" s="13"/>
      <c r="M49051" s="14"/>
      <c r="N49051" s="14"/>
      <c r="O49051" s="14"/>
      <c r="P49051" s="13"/>
    </row>
    <row r="49052">
      <c r="L49052" s="13"/>
      <c r="M49052" s="14"/>
      <c r="N49052" s="14"/>
      <c r="O49052" s="14"/>
      <c r="P49052" s="13"/>
    </row>
    <row r="49053">
      <c r="L49053" s="13"/>
      <c r="M49053" s="14"/>
      <c r="N49053" s="14"/>
      <c r="O49053" s="14"/>
      <c r="P49053" s="13"/>
    </row>
    <row r="49054">
      <c r="L49054" s="13"/>
      <c r="M49054" s="14"/>
      <c r="N49054" s="14"/>
      <c r="O49054" s="14"/>
      <c r="P49054" s="13"/>
    </row>
    <row r="49055">
      <c r="L49055" s="13"/>
      <c r="M49055" s="14"/>
      <c r="N49055" s="14"/>
      <c r="O49055" s="14"/>
      <c r="P49055" s="13"/>
    </row>
    <row r="49056">
      <c r="L49056" s="13"/>
      <c r="M49056" s="14"/>
      <c r="N49056" s="14"/>
      <c r="O49056" s="14"/>
      <c r="P49056" s="13"/>
    </row>
    <row r="49057">
      <c r="L49057" s="13"/>
      <c r="M49057" s="14"/>
      <c r="N49057" s="14"/>
      <c r="O49057" s="14"/>
      <c r="P49057" s="13"/>
    </row>
    <row r="49058">
      <c r="L49058" s="13"/>
      <c r="M49058" s="14"/>
      <c r="N49058" s="14"/>
      <c r="O49058" s="14"/>
      <c r="P49058" s="13"/>
    </row>
    <row r="49059">
      <c r="L49059" s="13"/>
      <c r="M49059" s="14"/>
      <c r="N49059" s="14"/>
      <c r="O49059" s="14"/>
      <c r="P49059" s="13"/>
    </row>
    <row r="49060">
      <c r="L49060" s="13"/>
      <c r="M49060" s="14"/>
      <c r="N49060" s="14"/>
      <c r="O49060" s="14"/>
      <c r="P49060" s="13"/>
    </row>
    <row r="49061">
      <c r="L49061" s="13"/>
      <c r="M49061" s="14"/>
      <c r="N49061" s="14"/>
      <c r="O49061" s="14"/>
      <c r="P49061" s="13"/>
    </row>
    <row r="49062">
      <c r="L49062" s="13"/>
      <c r="M49062" s="14"/>
      <c r="N49062" s="14"/>
      <c r="O49062" s="14"/>
      <c r="P49062" s="13"/>
    </row>
  </sheetData>
  <autoFilter ref="$A$1:$P$4906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13.71"/>
    <col customWidth="1" min="3" max="3" width="20.43"/>
    <col customWidth="1" min="4" max="4" width="32.71"/>
    <col customWidth="1" min="5" max="5" width="7.86"/>
    <col customWidth="1" min="6" max="6" width="16.57"/>
    <col customWidth="1" min="7" max="7" width="14.57"/>
    <col customWidth="1" min="8" max="8" width="15.29"/>
    <col customWidth="1" min="9" max="9" width="17.29"/>
    <col customWidth="1" min="10" max="10" width="11.29"/>
    <col customWidth="1" min="11" max="26" width="8.86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2" width="17.0"/>
    <col customWidth="1" min="3" max="3" width="22.0"/>
    <col customWidth="1" min="4" max="26" width="14.0"/>
  </cols>
  <sheetData>
    <row r="1" ht="18.75" customHeight="1">
      <c r="A1" s="18" t="s">
        <v>589</v>
      </c>
      <c r="B1" s="19" t="s">
        <v>13</v>
      </c>
    </row>
    <row r="2" ht="18.75" customHeight="1">
      <c r="A2" s="20" t="s">
        <v>76</v>
      </c>
      <c r="B2" s="21">
        <v>0.0</v>
      </c>
      <c r="C2" s="22"/>
    </row>
    <row r="3" ht="18.75" customHeight="1">
      <c r="A3" s="20" t="s">
        <v>157</v>
      </c>
      <c r="B3" s="21">
        <v>0.3</v>
      </c>
      <c r="C3" s="22"/>
    </row>
    <row r="4" ht="18.75" customHeight="1">
      <c r="A4" s="20" t="s">
        <v>590</v>
      </c>
      <c r="B4" s="21">
        <v>300.0</v>
      </c>
      <c r="C4" s="22"/>
    </row>
    <row r="5" ht="18.75" customHeight="1">
      <c r="A5" s="20" t="s">
        <v>23</v>
      </c>
      <c r="B5" s="21">
        <v>0.3</v>
      </c>
      <c r="C5" s="22"/>
    </row>
    <row r="6" ht="18.75" customHeight="1">
      <c r="A6" s="20" t="s">
        <v>591</v>
      </c>
      <c r="B6" s="21">
        <v>300.0</v>
      </c>
      <c r="C6" s="22"/>
    </row>
    <row r="7" ht="18.75" customHeight="1">
      <c r="A7" s="20" t="s">
        <v>208</v>
      </c>
      <c r="B7" s="21">
        <v>0.5</v>
      </c>
      <c r="C7" s="22"/>
    </row>
    <row r="8" ht="18.75" customHeight="1">
      <c r="A8" s="20" t="s">
        <v>145</v>
      </c>
      <c r="B8" s="21">
        <v>0.0</v>
      </c>
      <c r="C8" s="22"/>
    </row>
    <row r="9" ht="18.75" customHeight="1">
      <c r="A9" s="20" t="s">
        <v>53</v>
      </c>
      <c r="B9" s="21">
        <v>0.0</v>
      </c>
      <c r="C9" s="22"/>
    </row>
    <row r="10" ht="18.75" customHeight="1">
      <c r="A10" s="20" t="s">
        <v>113</v>
      </c>
      <c r="B10" s="21">
        <v>0.0</v>
      </c>
      <c r="C10" s="22"/>
    </row>
    <row r="11" ht="18.75" customHeight="1">
      <c r="A11" s="20" t="s">
        <v>45</v>
      </c>
      <c r="B11" s="21">
        <v>0.0</v>
      </c>
      <c r="C11" s="22"/>
    </row>
    <row r="12" ht="18.75" customHeight="1">
      <c r="A12" s="20" t="s">
        <v>61</v>
      </c>
      <c r="B12" s="21">
        <v>0.0</v>
      </c>
      <c r="C12" s="22"/>
    </row>
    <row r="13" ht="18.75" customHeight="1">
      <c r="A13" s="20" t="s">
        <v>41</v>
      </c>
      <c r="B13" s="21">
        <v>0.0</v>
      </c>
      <c r="C13" s="22"/>
    </row>
    <row r="14" ht="18.75" customHeight="1">
      <c r="A14" s="20" t="s">
        <v>592</v>
      </c>
      <c r="B14" s="21">
        <v>0.0</v>
      </c>
      <c r="C14" s="22"/>
    </row>
    <row r="15" ht="18.75" customHeight="1">
      <c r="A15" s="20" t="s">
        <v>121</v>
      </c>
      <c r="B15" s="21">
        <v>2.0</v>
      </c>
      <c r="C15" s="22"/>
    </row>
    <row r="16" ht="18.75" customHeight="1">
      <c r="A16" s="20" t="s">
        <v>593</v>
      </c>
      <c r="B16" s="21">
        <v>0.0</v>
      </c>
      <c r="C16" s="22"/>
    </row>
    <row r="17" ht="18.75" customHeight="1">
      <c r="A17" s="20" t="s">
        <v>594</v>
      </c>
      <c r="B17" s="21">
        <v>0.0</v>
      </c>
      <c r="C17" s="22"/>
    </row>
    <row r="18" ht="18.75" customHeight="1">
      <c r="A18" s="20" t="s">
        <v>595</v>
      </c>
      <c r="B18" s="21">
        <v>0.0</v>
      </c>
      <c r="C18" s="22"/>
    </row>
    <row r="19" ht="18.75" customHeight="1">
      <c r="A19" s="20" t="s">
        <v>596</v>
      </c>
      <c r="B19" s="21">
        <v>0.0</v>
      </c>
      <c r="C19" s="22"/>
    </row>
    <row r="20" ht="18.75" customHeight="1">
      <c r="A20" s="20" t="s">
        <v>597</v>
      </c>
      <c r="B20" s="21">
        <v>0.0</v>
      </c>
      <c r="C20" s="22"/>
    </row>
    <row r="21" ht="18.75" customHeight="1">
      <c r="A21" s="20" t="s">
        <v>598</v>
      </c>
      <c r="B21" s="21">
        <v>0.0</v>
      </c>
      <c r="C21" s="22"/>
    </row>
    <row r="22" ht="18.75" customHeight="1">
      <c r="A22" s="20" t="s">
        <v>599</v>
      </c>
      <c r="B22" s="21">
        <v>0.0</v>
      </c>
      <c r="C22" s="22"/>
    </row>
    <row r="23" ht="18.75" customHeight="1">
      <c r="A23" s="20" t="s">
        <v>600</v>
      </c>
      <c r="B23" s="21">
        <v>0.0</v>
      </c>
      <c r="C23" s="22"/>
    </row>
    <row r="24" ht="18.75" customHeight="1">
      <c r="A24" s="20" t="s">
        <v>601</v>
      </c>
      <c r="B24" s="21"/>
      <c r="C24" s="22"/>
    </row>
    <row r="25" ht="18.75" customHeight="1">
      <c r="A25" s="20"/>
      <c r="B25" s="21"/>
      <c r="C25" s="22"/>
    </row>
    <row r="26" ht="18.75" customHeight="1">
      <c r="A26" s="20"/>
      <c r="B26" s="21"/>
      <c r="C26" s="22"/>
    </row>
    <row r="27" ht="18.75" customHeight="1">
      <c r="A27" s="20"/>
      <c r="B27" s="21"/>
      <c r="C27" s="22"/>
    </row>
    <row r="28" ht="18.75" customHeight="1">
      <c r="A28" s="20"/>
      <c r="B28" s="21"/>
      <c r="C28" s="22"/>
    </row>
    <row r="29" ht="18.75" customHeight="1">
      <c r="A29" s="20"/>
      <c r="B29" s="21"/>
      <c r="C29" s="22"/>
    </row>
    <row r="30" ht="18.75" customHeight="1">
      <c r="A30" s="20"/>
      <c r="B30" s="21"/>
      <c r="C30" s="22"/>
    </row>
    <row r="31" ht="18.75" customHeight="1">
      <c r="A31" s="20"/>
      <c r="B31" s="21"/>
      <c r="C31" s="22"/>
    </row>
    <row r="32" ht="18.75" customHeight="1">
      <c r="A32" s="20"/>
      <c r="B32" s="21"/>
      <c r="C32" s="22"/>
    </row>
    <row r="33" ht="18.75" customHeight="1">
      <c r="A33" s="20"/>
      <c r="B33" s="21"/>
    </row>
    <row r="34" ht="18.75" customHeight="1">
      <c r="A34" s="20"/>
      <c r="B34" s="21"/>
    </row>
    <row r="35" ht="18.75" customHeight="1">
      <c r="A35" s="20"/>
      <c r="B35" s="21"/>
    </row>
    <row r="36" ht="18.75" customHeight="1">
      <c r="A36" s="20"/>
      <c r="B36" s="21"/>
    </row>
    <row r="37" ht="18.75" customHeight="1">
      <c r="A37" s="20"/>
      <c r="B37" s="21"/>
    </row>
    <row r="38" ht="18.75" customHeight="1">
      <c r="A38" s="20"/>
      <c r="B38" s="21"/>
    </row>
    <row r="39" ht="18.75" customHeight="1">
      <c r="A39" s="20"/>
      <c r="B39" s="21"/>
    </row>
    <row r="40" ht="18.75" customHeight="1">
      <c r="A40" s="20"/>
      <c r="B40" s="21"/>
    </row>
    <row r="41" ht="18.75" customHeight="1">
      <c r="A41" s="20"/>
      <c r="B41" s="21"/>
    </row>
    <row r="42" ht="18.75" customHeight="1">
      <c r="A42" s="20"/>
      <c r="B42" s="21"/>
    </row>
    <row r="43" ht="18.75" customHeight="1">
      <c r="A43" s="20"/>
      <c r="B43" s="21"/>
    </row>
    <row r="44" ht="18.75" customHeight="1">
      <c r="A44" s="20"/>
      <c r="B44" s="21"/>
    </row>
    <row r="45" ht="18.75" customHeight="1">
      <c r="A45" s="20"/>
      <c r="B45" s="21"/>
    </row>
    <row r="46" ht="18.75" customHeight="1">
      <c r="A46" s="20"/>
      <c r="B46" s="21"/>
    </row>
    <row r="47" ht="18.75" customHeight="1">
      <c r="A47" s="20"/>
      <c r="B47" s="21"/>
    </row>
    <row r="48" ht="18.75" customHeight="1">
      <c r="A48" s="20"/>
      <c r="B48" s="21"/>
    </row>
    <row r="49" ht="18.75" customHeight="1">
      <c r="A49" s="20"/>
      <c r="B49" s="21"/>
    </row>
    <row r="50" ht="18.75" customHeight="1">
      <c r="A50" s="20"/>
      <c r="B50" s="21"/>
    </row>
    <row r="51" ht="18.75" customHeight="1">
      <c r="A51" s="20"/>
      <c r="B51" s="21"/>
    </row>
    <row r="52" ht="18.75" customHeight="1">
      <c r="A52" s="20"/>
      <c r="B52" s="21"/>
    </row>
    <row r="53" ht="18.75" customHeight="1">
      <c r="A53" s="20"/>
      <c r="B53" s="21"/>
    </row>
    <row r="54" ht="18.75" customHeight="1">
      <c r="A54" s="20"/>
      <c r="B54" s="21"/>
    </row>
    <row r="55" ht="18.75" customHeight="1">
      <c r="A55" s="20"/>
      <c r="B55" s="21"/>
    </row>
    <row r="56" ht="18.75" customHeight="1">
      <c r="A56" s="20"/>
      <c r="B56" s="21"/>
    </row>
    <row r="57" ht="18.75" customHeight="1">
      <c r="A57" s="20"/>
      <c r="B57" s="21"/>
    </row>
    <row r="58" ht="18.75" customHeight="1">
      <c r="A58" s="20"/>
      <c r="B58" s="21"/>
    </row>
    <row r="59" ht="18.75" customHeight="1">
      <c r="A59" s="20"/>
      <c r="B59" s="21"/>
    </row>
    <row r="60" ht="18.75" customHeight="1">
      <c r="A60" s="20"/>
      <c r="B60" s="21"/>
    </row>
    <row r="61" ht="18.75" customHeight="1">
      <c r="A61" s="20"/>
      <c r="B61" s="21"/>
    </row>
    <row r="62" ht="18.75" customHeight="1">
      <c r="A62" s="20"/>
      <c r="B62" s="21"/>
    </row>
    <row r="63" ht="18.75" customHeight="1">
      <c r="A63" s="20"/>
      <c r="B63" s="21"/>
    </row>
    <row r="64" ht="18.75" customHeight="1">
      <c r="A64" s="20"/>
      <c r="B64" s="21"/>
    </row>
    <row r="65" ht="18.75" customHeight="1">
      <c r="A65" s="20"/>
      <c r="B65" s="21"/>
    </row>
    <row r="66" ht="18.75" customHeight="1">
      <c r="A66" s="20"/>
      <c r="B66" s="21"/>
    </row>
    <row r="67" ht="18.75" customHeight="1">
      <c r="A67" s="20"/>
      <c r="B67" s="21"/>
    </row>
    <row r="68" ht="18.75" customHeight="1">
      <c r="A68" s="20"/>
      <c r="B68" s="21"/>
    </row>
    <row r="69" ht="18.75" customHeight="1">
      <c r="A69" s="20"/>
      <c r="B69" s="21"/>
    </row>
    <row r="70" ht="18.75" customHeight="1">
      <c r="A70" s="20"/>
      <c r="B70" s="21"/>
    </row>
    <row r="71" ht="18.75" customHeight="1">
      <c r="A71" s="20"/>
      <c r="B71" s="21"/>
    </row>
    <row r="72" ht="18.75" customHeight="1">
      <c r="A72" s="20"/>
      <c r="B72" s="21"/>
    </row>
    <row r="73" ht="18.75" customHeight="1">
      <c r="A73" s="20"/>
      <c r="B73" s="21"/>
    </row>
    <row r="74" ht="18.75" customHeight="1">
      <c r="A74" s="20"/>
      <c r="B74" s="21"/>
    </row>
    <row r="75" ht="18.75" customHeight="1">
      <c r="A75" s="20"/>
      <c r="B75" s="21"/>
    </row>
    <row r="76" ht="18.75" customHeight="1">
      <c r="A76" s="20"/>
      <c r="B76" s="21"/>
    </row>
    <row r="77" ht="18.75" customHeight="1">
      <c r="A77" s="20"/>
      <c r="B77" s="21"/>
    </row>
    <row r="78" ht="18.75" customHeight="1">
      <c r="A78" s="20"/>
      <c r="B78" s="21"/>
    </row>
    <row r="79" ht="18.75" customHeight="1">
      <c r="A79" s="20"/>
      <c r="B79" s="21"/>
    </row>
    <row r="80" ht="18.75" customHeight="1">
      <c r="A80" s="20"/>
      <c r="B80" s="21"/>
    </row>
    <row r="81" ht="18.75" customHeight="1">
      <c r="A81" s="20"/>
      <c r="B81" s="21"/>
    </row>
    <row r="82" ht="18.75" customHeight="1">
      <c r="A82" s="20"/>
      <c r="B82" s="21"/>
    </row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dataValidations>
    <dataValidation type="list" allowBlank="1" showErrorMessage="1" sqref="A2:A82">
      <formula1>"Chai,Lít,ML,Kg,Hũ,Gram,Trái,Bịch,Hộp,Phần,Cây,Cái,Gói,Lon,Cuộn,Can,Đôi,Miếng,Bao,Lốc,Bộ,Chai 830g,Cục"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2" width="17.0"/>
    <col customWidth="1" min="3" max="3" width="22.0"/>
    <col customWidth="1" min="4" max="26" width="14.0"/>
  </cols>
  <sheetData>
    <row r="1" ht="18.75" customHeight="1">
      <c r="A1" s="18" t="s">
        <v>589</v>
      </c>
      <c r="B1" s="19" t="s">
        <v>13</v>
      </c>
    </row>
    <row r="2" ht="18.75" customHeight="1">
      <c r="A2" s="20" t="s">
        <v>76</v>
      </c>
      <c r="B2" s="21">
        <v>0.0</v>
      </c>
      <c r="C2" s="22"/>
    </row>
    <row r="3" ht="18.75" customHeight="1">
      <c r="A3" s="20" t="s">
        <v>157</v>
      </c>
      <c r="B3" s="21">
        <v>0.5</v>
      </c>
      <c r="C3" s="22"/>
    </row>
    <row r="4" ht="18.75" customHeight="1">
      <c r="A4" s="20" t="s">
        <v>590</v>
      </c>
      <c r="B4" s="21">
        <v>500.0</v>
      </c>
      <c r="C4" s="22"/>
    </row>
    <row r="5" ht="18.75" customHeight="1">
      <c r="A5" s="20" t="s">
        <v>23</v>
      </c>
      <c r="B5" s="21">
        <v>0.5</v>
      </c>
      <c r="C5" s="22"/>
    </row>
    <row r="6" ht="18.75" customHeight="1">
      <c r="A6" s="20" t="s">
        <v>591</v>
      </c>
      <c r="B6" s="21">
        <v>500.0</v>
      </c>
      <c r="C6" s="22"/>
    </row>
    <row r="7" ht="18.75" customHeight="1">
      <c r="A7" s="20" t="s">
        <v>208</v>
      </c>
      <c r="B7" s="21">
        <v>0.8</v>
      </c>
      <c r="C7" s="22"/>
    </row>
    <row r="8" ht="18.75" customHeight="1">
      <c r="A8" s="20" t="s">
        <v>145</v>
      </c>
      <c r="B8" s="21">
        <v>0.0</v>
      </c>
      <c r="C8" s="22"/>
    </row>
    <row r="9" ht="18.75" customHeight="1">
      <c r="A9" s="20" t="s">
        <v>53</v>
      </c>
      <c r="B9" s="21">
        <v>0.0</v>
      </c>
      <c r="C9" s="22"/>
    </row>
    <row r="10" ht="18.75" customHeight="1">
      <c r="A10" s="20" t="s">
        <v>113</v>
      </c>
      <c r="B10" s="21">
        <v>0.0</v>
      </c>
      <c r="C10" s="22"/>
    </row>
    <row r="11" ht="18.75" customHeight="1">
      <c r="A11" s="20" t="s">
        <v>45</v>
      </c>
      <c r="B11" s="21">
        <v>0.0</v>
      </c>
      <c r="C11" s="22"/>
    </row>
    <row r="12" ht="18.75" customHeight="1">
      <c r="A12" s="20" t="s">
        <v>61</v>
      </c>
      <c r="B12" s="21">
        <v>0.0</v>
      </c>
      <c r="C12" s="22"/>
    </row>
    <row r="13" ht="18.75" customHeight="1">
      <c r="A13" s="20" t="s">
        <v>41</v>
      </c>
      <c r="B13" s="21">
        <v>0.0</v>
      </c>
      <c r="C13" s="22"/>
    </row>
    <row r="14" ht="18.75" customHeight="1">
      <c r="A14" s="20" t="s">
        <v>592</v>
      </c>
      <c r="B14" s="21">
        <v>0.0</v>
      </c>
      <c r="C14" s="22"/>
    </row>
    <row r="15" ht="18.75" customHeight="1">
      <c r="A15" s="20" t="s">
        <v>121</v>
      </c>
      <c r="B15" s="21">
        <v>4.0</v>
      </c>
      <c r="C15" s="22"/>
    </row>
    <row r="16" ht="18.75" customHeight="1">
      <c r="A16" s="20" t="s">
        <v>593</v>
      </c>
      <c r="B16" s="21">
        <v>0.0</v>
      </c>
      <c r="C16" s="22"/>
    </row>
    <row r="17" ht="18.75" customHeight="1">
      <c r="A17" s="20" t="s">
        <v>594</v>
      </c>
      <c r="B17" s="21">
        <v>0.0</v>
      </c>
      <c r="C17" s="22"/>
    </row>
    <row r="18" ht="18.75" customHeight="1">
      <c r="A18" s="20" t="s">
        <v>595</v>
      </c>
      <c r="B18" s="21">
        <v>0.0</v>
      </c>
      <c r="C18" s="22"/>
    </row>
    <row r="19" ht="18.75" customHeight="1">
      <c r="A19" s="20" t="s">
        <v>596</v>
      </c>
      <c r="B19" s="21">
        <v>0.0</v>
      </c>
      <c r="C19" s="22"/>
    </row>
    <row r="20" ht="18.75" customHeight="1">
      <c r="A20" s="20" t="s">
        <v>597</v>
      </c>
      <c r="B20" s="21">
        <v>0.0</v>
      </c>
      <c r="C20" s="22"/>
    </row>
    <row r="21" ht="18.75" customHeight="1">
      <c r="A21" s="20" t="s">
        <v>598</v>
      </c>
      <c r="B21" s="21">
        <v>0.0</v>
      </c>
      <c r="C21" s="22"/>
    </row>
    <row r="22" ht="18.75" customHeight="1">
      <c r="A22" s="20" t="s">
        <v>599</v>
      </c>
      <c r="B22" s="21">
        <v>0.0</v>
      </c>
      <c r="C22" s="22"/>
    </row>
    <row r="23" ht="18.75" customHeight="1">
      <c r="A23" s="20" t="s">
        <v>600</v>
      </c>
      <c r="B23" s="21">
        <v>0.0</v>
      </c>
      <c r="C23" s="22"/>
    </row>
    <row r="24" ht="18.75" customHeight="1">
      <c r="A24" s="20"/>
      <c r="B24" s="21"/>
      <c r="C24" s="22"/>
    </row>
    <row r="25" ht="18.75" customHeight="1">
      <c r="A25" s="20"/>
      <c r="B25" s="21"/>
      <c r="C25" s="22"/>
    </row>
    <row r="26" ht="18.75" customHeight="1">
      <c r="A26" s="20"/>
      <c r="B26" s="21"/>
      <c r="C26" s="22"/>
    </row>
    <row r="27" ht="18.75" customHeight="1">
      <c r="A27" s="20"/>
      <c r="B27" s="21"/>
      <c r="C27" s="22"/>
    </row>
    <row r="28" ht="18.75" customHeight="1">
      <c r="A28" s="20"/>
      <c r="B28" s="21"/>
      <c r="C28" s="22"/>
    </row>
    <row r="29" ht="18.75" customHeight="1">
      <c r="A29" s="20"/>
      <c r="B29" s="21"/>
      <c r="C29" s="22"/>
    </row>
    <row r="30" ht="18.75" customHeight="1">
      <c r="A30" s="20"/>
      <c r="B30" s="21"/>
      <c r="C30" s="22"/>
    </row>
    <row r="31" ht="18.75" customHeight="1">
      <c r="A31" s="20"/>
      <c r="B31" s="21"/>
      <c r="C31" s="22"/>
    </row>
    <row r="32" ht="18.75" customHeight="1">
      <c r="A32" s="20"/>
      <c r="B32" s="21"/>
      <c r="C32" s="22"/>
    </row>
    <row r="33" ht="18.75" customHeight="1">
      <c r="A33" s="20"/>
      <c r="B33" s="21"/>
      <c r="C33" s="22"/>
    </row>
    <row r="34" ht="18.75" customHeight="1">
      <c r="A34" s="20"/>
      <c r="B34" s="21"/>
      <c r="C34" s="22"/>
    </row>
    <row r="35" ht="18.75" customHeight="1">
      <c r="A35" s="20"/>
      <c r="B35" s="21"/>
      <c r="C35" s="22"/>
    </row>
    <row r="36" ht="18.75" customHeight="1">
      <c r="A36" s="20"/>
      <c r="B36" s="21"/>
      <c r="C36" s="22"/>
    </row>
    <row r="37" ht="18.75" customHeight="1">
      <c r="A37" s="20"/>
      <c r="B37" s="21"/>
      <c r="C37" s="22"/>
    </row>
    <row r="38" ht="18.75" customHeight="1">
      <c r="A38" s="20"/>
      <c r="B38" s="21"/>
      <c r="C38" s="22"/>
    </row>
    <row r="39" ht="18.75" customHeight="1">
      <c r="A39" s="20"/>
      <c r="B39" s="21"/>
      <c r="C39" s="22"/>
    </row>
    <row r="40" ht="18.75" customHeight="1">
      <c r="A40" s="20"/>
      <c r="B40" s="21"/>
      <c r="C40" s="22"/>
    </row>
    <row r="41" ht="18.75" customHeight="1">
      <c r="A41" s="20"/>
      <c r="B41" s="21"/>
      <c r="C41" s="22"/>
    </row>
    <row r="42" ht="18.75" customHeight="1">
      <c r="A42" s="20"/>
      <c r="B42" s="21"/>
      <c r="C42" s="22"/>
    </row>
    <row r="43" ht="18.75" customHeight="1">
      <c r="A43" s="20"/>
      <c r="B43" s="21"/>
      <c r="C43" s="22"/>
    </row>
    <row r="44" ht="18.75" customHeight="1">
      <c r="A44" s="20"/>
      <c r="B44" s="21"/>
      <c r="C44" s="22"/>
    </row>
    <row r="45" ht="18.75" customHeight="1">
      <c r="A45" s="20"/>
      <c r="B45" s="21"/>
      <c r="C45" s="22"/>
    </row>
    <row r="46" ht="18.75" customHeight="1">
      <c r="A46" s="20"/>
      <c r="B46" s="21"/>
      <c r="C46" s="22"/>
    </row>
    <row r="47" ht="18.75" customHeight="1">
      <c r="A47" s="20"/>
      <c r="B47" s="21"/>
      <c r="C47" s="22"/>
    </row>
    <row r="48" ht="18.75" customHeight="1">
      <c r="A48" s="20"/>
      <c r="B48" s="21"/>
      <c r="C48" s="22"/>
    </row>
    <row r="49" ht="18.75" customHeight="1">
      <c r="A49" s="20"/>
      <c r="B49" s="21"/>
      <c r="C49" s="22"/>
    </row>
    <row r="50" ht="18.75" customHeight="1">
      <c r="A50" s="20"/>
      <c r="B50" s="21"/>
      <c r="C50" s="22"/>
    </row>
    <row r="51" ht="18.75" customHeight="1">
      <c r="A51" s="20"/>
      <c r="B51" s="21"/>
    </row>
    <row r="52" ht="18.75" customHeight="1">
      <c r="A52" s="20"/>
      <c r="B52" s="21"/>
    </row>
    <row r="53" ht="18.75" customHeight="1">
      <c r="A53" s="20"/>
      <c r="B53" s="21"/>
    </row>
    <row r="54" ht="18.75" customHeight="1">
      <c r="A54" s="20"/>
      <c r="B54" s="21"/>
    </row>
    <row r="55" ht="18.75" customHeight="1">
      <c r="A55" s="20"/>
      <c r="B55" s="21"/>
    </row>
    <row r="56" ht="18.75" customHeight="1">
      <c r="A56" s="20"/>
      <c r="B56" s="21"/>
    </row>
    <row r="57" ht="18.75" customHeight="1">
      <c r="A57" s="20"/>
      <c r="B57" s="21"/>
    </row>
    <row r="58" ht="18.75" customHeight="1">
      <c r="A58" s="20"/>
      <c r="B58" s="21"/>
    </row>
    <row r="59" ht="18.75" customHeight="1">
      <c r="A59" s="20"/>
      <c r="B59" s="21"/>
    </row>
    <row r="60" ht="18.75" customHeight="1">
      <c r="A60" s="20"/>
      <c r="B60" s="21"/>
    </row>
    <row r="61" ht="18.75" customHeight="1">
      <c r="A61" s="20"/>
      <c r="B61" s="21"/>
    </row>
    <row r="62" ht="18.75" customHeight="1">
      <c r="A62" s="20"/>
      <c r="B62" s="21"/>
    </row>
    <row r="63" ht="18.75" customHeight="1">
      <c r="A63" s="20"/>
      <c r="B63" s="21"/>
    </row>
    <row r="64" ht="18.75" customHeight="1">
      <c r="A64" s="20"/>
      <c r="B64" s="21"/>
    </row>
    <row r="65" ht="18.75" customHeight="1">
      <c r="A65" s="20"/>
      <c r="B65" s="21"/>
    </row>
    <row r="66" ht="18.75" customHeight="1">
      <c r="A66" s="20"/>
      <c r="B66" s="21"/>
    </row>
    <row r="67" ht="18.75" customHeight="1">
      <c r="A67" s="20"/>
      <c r="B67" s="21"/>
    </row>
    <row r="68" ht="18.75" customHeight="1">
      <c r="A68" s="20"/>
      <c r="B68" s="21"/>
    </row>
    <row r="69" ht="18.75" customHeight="1">
      <c r="A69" s="20"/>
      <c r="B69" s="21"/>
    </row>
    <row r="70" ht="18.75" customHeight="1">
      <c r="A70" s="20"/>
      <c r="B70" s="21"/>
    </row>
    <row r="71" ht="18.75" customHeight="1">
      <c r="A71" s="20"/>
      <c r="B71" s="21"/>
    </row>
    <row r="72" ht="18.75" customHeight="1">
      <c r="A72" s="20"/>
      <c r="B72" s="21"/>
    </row>
    <row r="73" ht="18.75" customHeight="1">
      <c r="A73" s="20"/>
      <c r="B73" s="21"/>
    </row>
    <row r="74" ht="18.75" customHeight="1">
      <c r="A74" s="20"/>
      <c r="B74" s="21"/>
    </row>
    <row r="75" ht="18.75" customHeight="1">
      <c r="A75" s="20"/>
      <c r="B75" s="21"/>
    </row>
    <row r="76" ht="18.75" customHeight="1">
      <c r="A76" s="20"/>
      <c r="B76" s="21"/>
    </row>
    <row r="77" ht="18.75" customHeight="1">
      <c r="A77" s="20"/>
      <c r="B77" s="21"/>
    </row>
    <row r="78" ht="18.75" customHeight="1">
      <c r="A78" s="20"/>
      <c r="B78" s="21"/>
    </row>
    <row r="79" ht="18.75" customHeight="1">
      <c r="A79" s="20"/>
      <c r="B79" s="21"/>
    </row>
    <row r="80" ht="18.75" customHeight="1">
      <c r="A80" s="20"/>
      <c r="B80" s="21"/>
    </row>
    <row r="81" ht="18.75" customHeight="1">
      <c r="A81" s="20"/>
      <c r="B81" s="21"/>
    </row>
    <row r="82" ht="18.75" customHeight="1">
      <c r="A82" s="20"/>
      <c r="B82" s="21"/>
    </row>
    <row r="83" ht="18.75" customHeight="1">
      <c r="A83" s="20"/>
      <c r="B83" s="21"/>
    </row>
    <row r="84" ht="18.75" customHeight="1">
      <c r="A84" s="20"/>
      <c r="B84" s="21"/>
    </row>
    <row r="85" ht="18.75" customHeight="1">
      <c r="A85" s="20"/>
      <c r="B85" s="21"/>
    </row>
    <row r="86" ht="18.75" customHeight="1">
      <c r="A86" s="20"/>
      <c r="B86" s="21"/>
    </row>
    <row r="87" ht="18.75" customHeight="1">
      <c r="A87" s="20"/>
      <c r="B87" s="21"/>
    </row>
    <row r="88" ht="18.75" customHeight="1">
      <c r="A88" s="20"/>
      <c r="B88" s="21"/>
    </row>
    <row r="89" ht="18.75" customHeight="1">
      <c r="A89" s="20"/>
      <c r="B89" s="21"/>
    </row>
    <row r="90" ht="18.75" customHeight="1">
      <c r="A90" s="20"/>
      <c r="B90" s="21"/>
    </row>
    <row r="91" ht="18.75" customHeight="1">
      <c r="A91" s="20"/>
      <c r="B91" s="21"/>
    </row>
    <row r="92" ht="18.75" customHeight="1">
      <c r="A92" s="20"/>
      <c r="B92" s="21"/>
    </row>
    <row r="93" ht="18.75" customHeight="1">
      <c r="A93" s="20"/>
      <c r="B93" s="21"/>
    </row>
    <row r="94" ht="18.75" customHeight="1">
      <c r="A94" s="20"/>
      <c r="B94" s="21"/>
    </row>
    <row r="95" ht="18.75" customHeight="1">
      <c r="A95" s="20"/>
      <c r="B95" s="21"/>
    </row>
    <row r="96" ht="18.75" customHeight="1">
      <c r="A96" s="20"/>
      <c r="B96" s="21"/>
    </row>
    <row r="97" ht="18.75" customHeight="1">
      <c r="A97" s="20"/>
      <c r="B97" s="21"/>
    </row>
    <row r="98" ht="18.75" customHeight="1">
      <c r="A98" s="20"/>
      <c r="B98" s="21"/>
    </row>
    <row r="99" ht="18.75" customHeight="1">
      <c r="A99" s="20"/>
      <c r="B99" s="21"/>
    </row>
    <row r="100" ht="18.75" customHeight="1">
      <c r="A100" s="20"/>
      <c r="B100" s="21"/>
    </row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dataValidations>
    <dataValidation type="list" allowBlank="1" showErrorMessage="1" sqref="A2:A8">
      <formula1>"Chai,Lít,ML,Kg,Hũ,Gram,Trái"</formula1>
    </dataValidation>
    <dataValidation type="list" allowBlank="1" showErrorMessage="1" sqref="A15">
      <formula1>"Chai,Lít,ML,Kg,Hũ,Gram,Trái,Bịch,Hộp,Phần,Cây,Cái,Gói,Lon"</formula1>
    </dataValidation>
    <dataValidation type="list" allowBlank="1" showErrorMessage="1" sqref="A9:A14">
      <formula1>"Chai,Lít,ML,Kg,Hũ,Gram,Trái,Bịch,Hộp,Phần,Cây,Cái,Gói"</formula1>
    </dataValidation>
    <dataValidation type="list" allowBlank="1" showErrorMessage="1" sqref="A16:A100">
      <formula1>"chai,ly,phần,unknown,cái,gram,ml,điếu,bao,bịch 10 cái,can 25kg,kg,hũ,chai 200ml,chai 900ml,quả,cây 100 gram,gói,chai 500ml,Cuộn,Can,Đôi,Miếng,Bao,Lốc,Bộ,Chai 830g,Cục"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10.86"/>
    <col customWidth="1" min="3" max="3" width="17.57"/>
    <col customWidth="1" min="4" max="4" width="25.0"/>
    <col customWidth="1" min="5" max="5" width="6.43"/>
    <col customWidth="1" min="6" max="6" width="17.29"/>
    <col customWidth="1" min="7" max="7" width="14.86"/>
    <col customWidth="1" min="8" max="8" width="15.57"/>
    <col customWidth="1" min="9" max="9" width="17.71"/>
    <col customWidth="1" min="10" max="10" width="10.0"/>
    <col customWidth="1" min="11" max="11" width="17.0"/>
    <col customWidth="1" min="12" max="12" width="19.0"/>
    <col customWidth="1" min="13" max="13" width="11.0"/>
    <col customWidth="1" min="14" max="14" width="9.0"/>
    <col customWidth="1" min="15" max="15" width="5.0"/>
    <col customWidth="1" min="16" max="26" width="14.0"/>
  </cols>
  <sheetData>
    <row r="1" ht="18.75" customHeight="1">
      <c r="A1" s="1" t="s">
        <v>0</v>
      </c>
      <c r="B1" s="1" t="s">
        <v>1</v>
      </c>
      <c r="C1" s="1" t="s">
        <v>2</v>
      </c>
      <c r="D1" s="1" t="s">
        <v>5</v>
      </c>
      <c r="E1" s="1" t="s">
        <v>7</v>
      </c>
      <c r="F1" s="1" t="s">
        <v>10</v>
      </c>
      <c r="G1" s="1" t="s">
        <v>11</v>
      </c>
      <c r="H1" s="1" t="s">
        <v>13</v>
      </c>
      <c r="I1" s="1" t="s">
        <v>14</v>
      </c>
      <c r="J1" s="1" t="s">
        <v>15</v>
      </c>
      <c r="L1" s="23"/>
      <c r="M1" s="23"/>
      <c r="N1" s="24"/>
      <c r="O1" s="24"/>
    </row>
    <row r="2" ht="18.75" customHeight="1">
      <c r="A2" s="15" t="str">
        <f>IFERROR(__xludf.DUMMYFUNCTION("FILTER(Pivot_table!A:J, Pivot_table!A:A = ""Chạng Vạng Hàng Xanh"", Pivot_table!I:I &lt;&gt; 0)"),"Chạng Vạng Hàng Xanh")</f>
        <v>Chạng Vạng Hàng Xanh</v>
      </c>
      <c r="B2" s="15" t="str">
        <f>IFERROR(__xludf.DUMMYFUNCTION("""COMPUTED_VALUE"""),"KK00000348")</f>
        <v>KK00000348</v>
      </c>
      <c r="C2" s="17">
        <f>IFERROR(__xludf.DUMMYFUNCTION("""COMPUTED_VALUE"""),46127.735601851855)</f>
        <v>46127.7356</v>
      </c>
      <c r="D2" s="15" t="str">
        <f>IFERROR(__xludf.DUMMYFUNCTION("""COMPUTED_VALUE"""),"DTN - Cà phê bột")</f>
        <v>DTN - Cà phê bột</v>
      </c>
      <c r="E2" s="25" t="str">
        <f>IFERROR(__xludf.DUMMYFUNCTION("""COMPUTED_VALUE"""),"Kg")</f>
        <v>Kg</v>
      </c>
      <c r="F2" s="15">
        <f>IFERROR(__xludf.DUMMYFUNCTION("""COMPUTED_VALUE"""),-0.349892)</f>
        <v>-0.349892</v>
      </c>
      <c r="G2" s="13">
        <f>IFERROR(__xludf.DUMMYFUNCTION("""COMPUTED_VALUE"""),-59490.0)</f>
        <v>-59490</v>
      </c>
      <c r="H2" s="23">
        <f>IFERROR(__xludf.DUMMYFUNCTION("""COMPUTED_VALUE"""),0.3)</f>
        <v>0.3</v>
      </c>
      <c r="I2" s="23">
        <f>IFERROR(__xludf.DUMMYFUNCTION("""COMPUTED_VALUE"""),0.04989199999999999)</f>
        <v>0.049892</v>
      </c>
      <c r="J2" s="26">
        <f>IFERROR(__xludf.DUMMYFUNCTION("""COMPUTED_VALUE"""),8482.83191988)</f>
        <v>8482.83192</v>
      </c>
      <c r="L2" s="23"/>
      <c r="M2" s="23"/>
      <c r="N2" s="24"/>
      <c r="O2" s="24"/>
    </row>
    <row r="3" ht="18.75" customHeight="1">
      <c r="A3" s="15" t="str">
        <f>IFERROR(__xludf.DUMMYFUNCTION("""COMPUTED_VALUE"""),"Chạng Vạng Hàng Xanh")</f>
        <v>Chạng Vạng Hàng Xanh</v>
      </c>
      <c r="B3" s="15" t="str">
        <f>IFERROR(__xludf.DUMMYFUNCTION("""COMPUTED_VALUE"""),"KK00000348")</f>
        <v>KK00000348</v>
      </c>
      <c r="C3" s="17">
        <f>IFERROR(__xludf.DUMMYFUNCTION("""COMPUTED_VALUE"""),46127.735601851855)</f>
        <v>46127.7356</v>
      </c>
      <c r="D3" s="15" t="str">
        <f>IFERROR(__xludf.DUMMYFUNCTION("""COMPUTED_VALUE"""),"DTN - Cam vàng")</f>
        <v>DTN - Cam vàng</v>
      </c>
      <c r="E3" s="15" t="str">
        <f>IFERROR(__xludf.DUMMYFUNCTION("""COMPUTED_VALUE"""),"Kg")</f>
        <v>Kg</v>
      </c>
      <c r="F3" s="15">
        <f>IFERROR(__xludf.DUMMYFUNCTION("""COMPUTED_VALUE"""),-1.898)</f>
        <v>-1.898</v>
      </c>
      <c r="G3" s="13">
        <f>IFERROR(__xludf.DUMMYFUNCTION("""COMPUTED_VALUE"""),-91982.0)</f>
        <v>-91982</v>
      </c>
      <c r="H3" s="23">
        <f>IFERROR(__xludf.DUMMYFUNCTION("""COMPUTED_VALUE"""),0.3)</f>
        <v>0.3</v>
      </c>
      <c r="I3" s="23">
        <f>IFERROR(__xludf.DUMMYFUNCTION("""COMPUTED_VALUE"""),1.5979999999999999)</f>
        <v>1.598</v>
      </c>
      <c r="J3" s="13">
        <f>IFERROR(__xludf.DUMMYFUNCTION("""COMPUTED_VALUE"""),77443.21882)</f>
        <v>77443.21882</v>
      </c>
      <c r="L3" s="23"/>
      <c r="M3" s="23"/>
      <c r="N3" s="24"/>
      <c r="O3" s="24"/>
    </row>
    <row r="4" ht="18.75" customHeight="1">
      <c r="A4" s="15" t="str">
        <f>IFERROR(__xludf.DUMMYFUNCTION("""COMPUTED_VALUE"""),"Chạng Vạng Hàng Xanh")</f>
        <v>Chạng Vạng Hàng Xanh</v>
      </c>
      <c r="B4" s="15" t="str">
        <f>IFERROR(__xludf.DUMMYFUNCTION("""COMPUTED_VALUE"""),"KK00000348")</f>
        <v>KK00000348</v>
      </c>
      <c r="C4" s="17">
        <f>IFERROR(__xludf.DUMMYFUNCTION("""COMPUTED_VALUE"""),46127.735601851855)</f>
        <v>46127.7356</v>
      </c>
      <c r="D4" s="15" t="str">
        <f>IFERROR(__xludf.DUMMYFUNCTION("""COMPUTED_VALUE"""),"DTN - Cam xanh")</f>
        <v>DTN - Cam xanh</v>
      </c>
      <c r="E4" s="15" t="str">
        <f>IFERROR(__xludf.DUMMYFUNCTION("""COMPUTED_VALUE"""),"Kg")</f>
        <v>Kg</v>
      </c>
      <c r="F4" s="15">
        <f>IFERROR(__xludf.DUMMYFUNCTION("""COMPUTED_VALUE"""),-3.368)</f>
        <v>-3.368</v>
      </c>
      <c r="G4" s="13">
        <f>IFERROR(__xludf.DUMMYFUNCTION("""COMPUTED_VALUE"""),-50223.0)</f>
        <v>-50223</v>
      </c>
      <c r="H4" s="23">
        <f>IFERROR(__xludf.DUMMYFUNCTION("""COMPUTED_VALUE"""),0.3)</f>
        <v>0.3</v>
      </c>
      <c r="I4" s="23">
        <f>IFERROR(__xludf.DUMMYFUNCTION("""COMPUTED_VALUE"""),3.068)</f>
        <v>3.068</v>
      </c>
      <c r="J4" s="13">
        <f>IFERROR(__xludf.DUMMYFUNCTION("""COMPUTED_VALUE"""),45749.46376)</f>
        <v>45749.46376</v>
      </c>
      <c r="L4" s="23"/>
      <c r="M4" s="23"/>
      <c r="N4" s="24"/>
      <c r="O4" s="24"/>
    </row>
    <row r="5" ht="18.75" customHeight="1">
      <c r="A5" s="15" t="str">
        <f>IFERROR(__xludf.DUMMYFUNCTION("""COMPUTED_VALUE"""),"Chạng Vạng Hàng Xanh")</f>
        <v>Chạng Vạng Hàng Xanh</v>
      </c>
      <c r="B5" s="15" t="str">
        <f>IFERROR(__xludf.DUMMYFUNCTION("""COMPUTED_VALUE"""),"KK00000348")</f>
        <v>KK00000348</v>
      </c>
      <c r="C5" s="17">
        <f>IFERROR(__xludf.DUMMYFUNCTION("""COMPUTED_VALUE"""),46127.735601851855)</f>
        <v>46127.7356</v>
      </c>
      <c r="D5" s="15" t="str">
        <f>IFERROR(__xludf.DUMMYFUNCTION("""COMPUTED_VALUE"""),"DTN - Chanh")</f>
        <v>DTN - Chanh</v>
      </c>
      <c r="E5" s="15" t="str">
        <f>IFERROR(__xludf.DUMMYFUNCTION("""COMPUTED_VALUE"""),"Kg")</f>
        <v>Kg</v>
      </c>
      <c r="F5" s="15">
        <f>IFERROR(__xludf.DUMMYFUNCTION("""COMPUTED_VALUE"""),-1.927)</f>
        <v>-1.927</v>
      </c>
      <c r="G5" s="13">
        <f>IFERROR(__xludf.DUMMYFUNCTION("""COMPUTED_VALUE"""),-72673.0)</f>
        <v>-72673</v>
      </c>
      <c r="H5" s="23">
        <f>IFERROR(__xludf.DUMMYFUNCTION("""COMPUTED_VALUE"""),0.3)</f>
        <v>0.3</v>
      </c>
      <c r="I5" s="23">
        <f>IFERROR(__xludf.DUMMYFUNCTION("""COMPUTED_VALUE"""),1.627)</f>
        <v>1.627</v>
      </c>
      <c r="J5" s="13">
        <f>IFERROR(__xludf.DUMMYFUNCTION("""COMPUTED_VALUE"""),61359.09981)</f>
        <v>61359.09981</v>
      </c>
      <c r="L5" s="23"/>
      <c r="M5" s="23"/>
      <c r="N5" s="24"/>
      <c r="O5" s="24"/>
    </row>
    <row r="6" ht="18.75" customHeight="1">
      <c r="A6" s="15" t="str">
        <f>IFERROR(__xludf.DUMMYFUNCTION("""COMPUTED_VALUE"""),"Chạng Vạng Hàng Xanh")</f>
        <v>Chạng Vạng Hàng Xanh</v>
      </c>
      <c r="B6" s="15" t="str">
        <f>IFERROR(__xludf.DUMMYFUNCTION("""COMPUTED_VALUE"""),"KK00000348")</f>
        <v>KK00000348</v>
      </c>
      <c r="C6" s="17">
        <f>IFERROR(__xludf.DUMMYFUNCTION("""COMPUTED_VALUE"""),46127.735601851855)</f>
        <v>46127.7356</v>
      </c>
      <c r="D6" s="15" t="str">
        <f>IFERROR(__xludf.DUMMYFUNCTION("""COMPUTED_VALUE"""),"DTN - Chanh dây")</f>
        <v>DTN - Chanh dây</v>
      </c>
      <c r="E6" s="15" t="str">
        <f>IFERROR(__xludf.DUMMYFUNCTION("""COMPUTED_VALUE"""),"Kg")</f>
        <v>Kg</v>
      </c>
      <c r="F6" s="15">
        <f>IFERROR(__xludf.DUMMYFUNCTION("""COMPUTED_VALUE"""),-0.53)</f>
        <v>-0.53</v>
      </c>
      <c r="G6" s="13">
        <f>IFERROR(__xludf.DUMMYFUNCTION("""COMPUTED_VALUE"""),-23242.0)</f>
        <v>-23242</v>
      </c>
      <c r="H6" s="23">
        <f>IFERROR(__xludf.DUMMYFUNCTION("""COMPUTED_VALUE"""),0.3)</f>
        <v>0.3</v>
      </c>
      <c r="I6" s="23">
        <f>IFERROR(__xludf.DUMMYFUNCTION("""COMPUTED_VALUE"""),0.23000000000000004)</f>
        <v>0.23</v>
      </c>
      <c r="J6" s="13">
        <f>IFERROR(__xludf.DUMMYFUNCTION("""COMPUTED_VALUE"""),10086.150900000002)</f>
        <v>10086.1509</v>
      </c>
      <c r="L6" s="23"/>
      <c r="M6" s="23"/>
      <c r="N6" s="24"/>
      <c r="O6" s="24"/>
    </row>
    <row r="7" ht="18.75" customHeight="1">
      <c r="A7" s="15" t="str">
        <f>IFERROR(__xludf.DUMMYFUNCTION("""COMPUTED_VALUE"""),"Chạng Vạng Hàng Xanh")</f>
        <v>Chạng Vạng Hàng Xanh</v>
      </c>
      <c r="B7" s="15" t="str">
        <f>IFERROR(__xludf.DUMMYFUNCTION("""COMPUTED_VALUE"""),"KK00000348")</f>
        <v>KK00000348</v>
      </c>
      <c r="C7" s="17">
        <f>IFERROR(__xludf.DUMMYFUNCTION("""COMPUTED_VALUE"""),46127.735601851855)</f>
        <v>46127.7356</v>
      </c>
      <c r="D7" s="15" t="str">
        <f>IFERROR(__xludf.DUMMYFUNCTION("""COMPUTED_VALUE"""),"DTN - Dâu tây")</f>
        <v>DTN - Dâu tây</v>
      </c>
      <c r="E7" s="15" t="str">
        <f>IFERROR(__xludf.DUMMYFUNCTION("""COMPUTED_VALUE"""),"Kg")</f>
        <v>Kg</v>
      </c>
      <c r="F7" s="15">
        <f>IFERROR(__xludf.DUMMYFUNCTION("""COMPUTED_VALUE"""),0.739)</f>
        <v>0.739</v>
      </c>
      <c r="G7" s="13">
        <f>IFERROR(__xludf.DUMMYFUNCTION("""COMPUTED_VALUE"""),160469.0)</f>
        <v>160469</v>
      </c>
      <c r="H7" s="23">
        <f>IFERROR(__xludf.DUMMYFUNCTION("""COMPUTED_VALUE"""),0.3)</f>
        <v>0.3</v>
      </c>
      <c r="I7" s="23">
        <f>IFERROR(__xludf.DUMMYFUNCTION("""COMPUTED_VALUE"""),0.439)</f>
        <v>0.439</v>
      </c>
      <c r="J7" s="13">
        <f>IFERROR(__xludf.DUMMYFUNCTION("""COMPUTED_VALUE"""),95325.97016)</f>
        <v>95325.97016</v>
      </c>
      <c r="L7" s="23"/>
      <c r="M7" s="23"/>
      <c r="N7" s="24"/>
      <c r="O7" s="24"/>
    </row>
    <row r="8" ht="18.75" customHeight="1">
      <c r="A8" s="15" t="str">
        <f>IFERROR(__xludf.DUMMYFUNCTION("""COMPUTED_VALUE"""),"Chạng Vạng Hàng Xanh")</f>
        <v>Chạng Vạng Hàng Xanh</v>
      </c>
      <c r="B8" s="15" t="str">
        <f>IFERROR(__xludf.DUMMYFUNCTION("""COMPUTED_VALUE"""),"KK00000348")</f>
        <v>KK00000348</v>
      </c>
      <c r="C8" s="17">
        <f>IFERROR(__xludf.DUMMYFUNCTION("""COMPUTED_VALUE"""),46127.735601851855)</f>
        <v>46127.7356</v>
      </c>
      <c r="D8" s="15" t="str">
        <f>IFERROR(__xludf.DUMMYFUNCTION("""COMPUTED_VALUE"""),"DTN - Dưa hấu")</f>
        <v>DTN - Dưa hấu</v>
      </c>
      <c r="E8" s="15" t="str">
        <f>IFERROR(__xludf.DUMMYFUNCTION("""COMPUTED_VALUE"""),"Kg")</f>
        <v>Kg</v>
      </c>
      <c r="F8" s="15">
        <f>IFERROR(__xludf.DUMMYFUNCTION("""COMPUTED_VALUE"""),-0.331)</f>
        <v>-0.331</v>
      </c>
      <c r="G8" s="13">
        <f>IFERROR(__xludf.DUMMYFUNCTION("""COMPUTED_VALUE"""),-5225.0)</f>
        <v>-5225</v>
      </c>
      <c r="H8" s="23">
        <f>IFERROR(__xludf.DUMMYFUNCTION("""COMPUTED_VALUE"""),0.3)</f>
        <v>0.3</v>
      </c>
      <c r="I8" s="23">
        <f>IFERROR(__xludf.DUMMYFUNCTION("""COMPUTED_VALUE"""),0.031000000000000028)</f>
        <v>0.031</v>
      </c>
      <c r="J8" s="13">
        <f>IFERROR(__xludf.DUMMYFUNCTION("""COMPUTED_VALUE"""),489.3505000000004)</f>
        <v>489.3505</v>
      </c>
      <c r="L8" s="23"/>
      <c r="M8" s="23"/>
      <c r="N8" s="24"/>
      <c r="O8" s="24"/>
    </row>
    <row r="9" ht="18.75" customHeight="1">
      <c r="A9" s="15" t="str">
        <f>IFERROR(__xludf.DUMMYFUNCTION("""COMPUTED_VALUE"""),"Chạng Vạng Hàng Xanh")</f>
        <v>Chạng Vạng Hàng Xanh</v>
      </c>
      <c r="B9" s="15" t="str">
        <f>IFERROR(__xludf.DUMMYFUNCTION("""COMPUTED_VALUE"""),"KK00000348")</f>
        <v>KK00000348</v>
      </c>
      <c r="C9" s="17">
        <f>IFERROR(__xludf.DUMMYFUNCTION("""COMPUTED_VALUE"""),46127.735601851855)</f>
        <v>46127.7356</v>
      </c>
      <c r="D9" s="15" t="str">
        <f>IFERROR(__xludf.DUMMYFUNCTION("""COMPUTED_VALUE"""),"DTN - Dưa leo")</f>
        <v>DTN - Dưa leo</v>
      </c>
      <c r="E9" s="15" t="str">
        <f>IFERROR(__xludf.DUMMYFUNCTION("""COMPUTED_VALUE"""),"Kg")</f>
        <v>Kg</v>
      </c>
      <c r="F9" s="15">
        <f>IFERROR(__xludf.DUMMYFUNCTION("""COMPUTED_VALUE"""),-1.1)</f>
        <v>-1.1</v>
      </c>
      <c r="G9" s="13">
        <f>IFERROR(__xludf.DUMMYFUNCTION("""COMPUTED_VALUE"""),-19332.0)</f>
        <v>-19332</v>
      </c>
      <c r="H9" s="23">
        <f>IFERROR(__xludf.DUMMYFUNCTION("""COMPUTED_VALUE"""),0.3)</f>
        <v>0.3</v>
      </c>
      <c r="I9" s="23">
        <f>IFERROR(__xludf.DUMMYFUNCTION("""COMPUTED_VALUE"""),0.8)</f>
        <v>0.8</v>
      </c>
      <c r="J9" s="13">
        <f>IFERROR(__xludf.DUMMYFUNCTION("""COMPUTED_VALUE"""),14059.64)</f>
        <v>14059.64</v>
      </c>
      <c r="L9" s="23"/>
      <c r="M9" s="23"/>
      <c r="N9" s="24"/>
      <c r="O9" s="24"/>
    </row>
    <row r="10" ht="18.75" customHeight="1">
      <c r="A10" s="15" t="str">
        <f>IFERROR(__xludf.DUMMYFUNCTION("""COMPUTED_VALUE"""),"Chạng Vạng Hàng Xanh")</f>
        <v>Chạng Vạng Hàng Xanh</v>
      </c>
      <c r="B10" s="15" t="str">
        <f>IFERROR(__xludf.DUMMYFUNCTION("""COMPUTED_VALUE"""),"KK00000348")</f>
        <v>KK00000348</v>
      </c>
      <c r="C10" s="17">
        <f>IFERROR(__xludf.DUMMYFUNCTION("""COMPUTED_VALUE"""),46127.735601851855)</f>
        <v>46127.7356</v>
      </c>
      <c r="D10" s="15" t="str">
        <f>IFERROR(__xludf.DUMMYFUNCTION("""COMPUTED_VALUE"""),"DTN - Rau húng")</f>
        <v>DTN - Rau húng</v>
      </c>
      <c r="E10" s="15" t="str">
        <f>IFERROR(__xludf.DUMMYFUNCTION("""COMPUTED_VALUE"""),"Kg")</f>
        <v>Kg</v>
      </c>
      <c r="F10" s="15">
        <f>IFERROR(__xludf.DUMMYFUNCTION("""COMPUTED_VALUE"""),0.372)</f>
        <v>0.372</v>
      </c>
      <c r="G10" s="13">
        <f>IFERROR(__xludf.DUMMYFUNCTION("""COMPUTED_VALUE"""),35207.0)</f>
        <v>35207</v>
      </c>
      <c r="H10" s="23">
        <f>IFERROR(__xludf.DUMMYFUNCTION("""COMPUTED_VALUE"""),0.3)</f>
        <v>0.3</v>
      </c>
      <c r="I10" s="23">
        <f>IFERROR(__xludf.DUMMYFUNCTION("""COMPUTED_VALUE"""),0.07200000000000001)</f>
        <v>0.072</v>
      </c>
      <c r="J10" s="13">
        <f>IFERROR(__xludf.DUMMYFUNCTION("""COMPUTED_VALUE"""),6814.257840000001)</f>
        <v>6814.25784</v>
      </c>
      <c r="L10" s="23"/>
      <c r="M10" s="23"/>
      <c r="N10" s="24"/>
      <c r="O10" s="24"/>
    </row>
    <row r="11" ht="18.75" customHeight="1">
      <c r="A11" s="15" t="str">
        <f>IFERROR(__xludf.DUMMYFUNCTION("""COMPUTED_VALUE"""),"Chạng Vạng Hàng Xanh")</f>
        <v>Chạng Vạng Hàng Xanh</v>
      </c>
      <c r="B11" s="15" t="str">
        <f>IFERROR(__xludf.DUMMYFUNCTION("""COMPUTED_VALUE"""),"KK00000348")</f>
        <v>KK00000348</v>
      </c>
      <c r="C11" s="17">
        <f>IFERROR(__xludf.DUMMYFUNCTION("""COMPUTED_VALUE"""),46127.735601851855)</f>
        <v>46127.7356</v>
      </c>
      <c r="D11" s="15" t="str">
        <f>IFERROR(__xludf.DUMMYFUNCTION("""COMPUTED_VALUE"""),"DTN - Sữa đặc")</f>
        <v>DTN - Sữa đặc</v>
      </c>
      <c r="E11" s="15" t="str">
        <f>IFERROR(__xludf.DUMMYFUNCTION("""COMPUTED_VALUE"""),"Lít")</f>
        <v>Lít</v>
      </c>
      <c r="F11" s="15">
        <f>IFERROR(__xludf.DUMMYFUNCTION("""COMPUTED_VALUE"""),-0.35)</f>
        <v>-0.35</v>
      </c>
      <c r="G11" s="13">
        <f>IFERROR(__xludf.DUMMYFUNCTION("""COMPUTED_VALUE"""),-21635.0)</f>
        <v>-21635</v>
      </c>
      <c r="H11" s="23">
        <f>IFERROR(__xludf.DUMMYFUNCTION("""COMPUTED_VALUE"""),0.3)</f>
        <v>0.3</v>
      </c>
      <c r="I11" s="23">
        <f>IFERROR(__xludf.DUMMYFUNCTION("""COMPUTED_VALUE"""),0.04999999999999999)</f>
        <v>0.05</v>
      </c>
      <c r="J11" s="13">
        <f>IFERROR(__xludf.DUMMYFUNCTION("""COMPUTED_VALUE"""),3090.714499999999)</f>
        <v>3090.7145</v>
      </c>
      <c r="L11" s="23"/>
      <c r="M11" s="23"/>
      <c r="N11" s="24"/>
      <c r="O11" s="24"/>
    </row>
    <row r="12" ht="18.75" customHeight="1">
      <c r="A12" s="15" t="str">
        <f>IFERROR(__xludf.DUMMYFUNCTION("""COMPUTED_VALUE"""),"Chạng Vạng Hàng Xanh")</f>
        <v>Chạng Vạng Hàng Xanh</v>
      </c>
      <c r="B12" s="15" t="str">
        <f>IFERROR(__xludf.DUMMYFUNCTION("""COMPUTED_VALUE"""),"KK00000348")</f>
        <v>KK00000348</v>
      </c>
      <c r="C12" s="17">
        <f>IFERROR(__xludf.DUMMYFUNCTION("""COMPUTED_VALUE"""),46127.735601851855)</f>
        <v>46127.7356</v>
      </c>
      <c r="D12" s="15" t="str">
        <f>IFERROR(__xludf.DUMMYFUNCTION("""COMPUTED_VALUE"""),"DTN - Xoài")</f>
        <v>DTN - Xoài</v>
      </c>
      <c r="E12" s="15" t="str">
        <f>IFERROR(__xludf.DUMMYFUNCTION("""COMPUTED_VALUE"""),"Kg")</f>
        <v>Kg</v>
      </c>
      <c r="F12" s="15">
        <f>IFERROR(__xludf.DUMMYFUNCTION("""COMPUTED_VALUE"""),0.956998)</f>
        <v>0.956998</v>
      </c>
      <c r="G12" s="13">
        <f>IFERROR(__xludf.DUMMYFUNCTION("""COMPUTED_VALUE"""),28745.0)</f>
        <v>28745</v>
      </c>
      <c r="H12" s="23">
        <f>IFERROR(__xludf.DUMMYFUNCTION("""COMPUTED_VALUE"""),0.3)</f>
        <v>0.3</v>
      </c>
      <c r="I12" s="23">
        <f>IFERROR(__xludf.DUMMYFUNCTION("""COMPUTED_VALUE"""),0.656998)</f>
        <v>0.656998</v>
      </c>
      <c r="J12" s="13">
        <f>IFERROR(__xludf.DUMMYFUNCTION("""COMPUTED_VALUE"""),19734.012406719998)</f>
        <v>19734.01241</v>
      </c>
      <c r="L12" s="23"/>
      <c r="M12" s="23"/>
      <c r="N12" s="24"/>
      <c r="O12" s="24"/>
    </row>
    <row r="13" ht="18.75" customHeight="1">
      <c r="A13" s="15" t="str">
        <f>IFERROR(__xludf.DUMMYFUNCTION("""COMPUTED_VALUE"""),"Chạng Vạng Hàng Xanh")</f>
        <v>Chạng Vạng Hàng Xanh</v>
      </c>
      <c r="B13" s="15" t="str">
        <f>IFERROR(__xludf.DUMMYFUNCTION("""COMPUTED_VALUE"""),"KK00000348")</f>
        <v>KK00000348</v>
      </c>
      <c r="C13" s="17">
        <f>IFERROR(__xludf.DUMMYFUNCTION("""COMPUTED_VALUE"""),46127.735601851855)</f>
        <v>46127.7356</v>
      </c>
      <c r="D13" s="15" t="str">
        <f>IFERROR(__xludf.DUMMYFUNCTION("""COMPUTED_VALUE"""),"DTN - Yogurt")</f>
        <v>DTN - Yogurt</v>
      </c>
      <c r="E13" s="15" t="str">
        <f>IFERROR(__xludf.DUMMYFUNCTION("""COMPUTED_VALUE"""),"Chai")</f>
        <v>Chai</v>
      </c>
      <c r="F13" s="15">
        <f>IFERROR(__xludf.DUMMYFUNCTION("""COMPUTED_VALUE"""),1.0)</f>
        <v>1</v>
      </c>
      <c r="G13" s="13">
        <f>IFERROR(__xludf.DUMMYFUNCTION("""COMPUTED_VALUE"""),45400.0)</f>
        <v>45400</v>
      </c>
      <c r="H13" s="23">
        <f>IFERROR(__xludf.DUMMYFUNCTION("""COMPUTED_VALUE"""),0.0)</f>
        <v>0</v>
      </c>
      <c r="I13" s="23">
        <f>IFERROR(__xludf.DUMMYFUNCTION("""COMPUTED_VALUE"""),1.0)</f>
        <v>1</v>
      </c>
      <c r="J13" s="13">
        <f>IFERROR(__xludf.DUMMYFUNCTION("""COMPUTED_VALUE"""),45400.0)</f>
        <v>45400</v>
      </c>
      <c r="L13" s="23"/>
      <c r="M13" s="23"/>
      <c r="N13" s="24"/>
      <c r="O13" s="24"/>
    </row>
    <row r="14" ht="18.75" customHeight="1">
      <c r="A14" s="15" t="str">
        <f>IFERROR(__xludf.DUMMYFUNCTION("""COMPUTED_VALUE"""),"Chạng Vạng Hàng Xanh")</f>
        <v>Chạng Vạng Hàng Xanh</v>
      </c>
      <c r="B14" s="15" t="str">
        <f>IFERROR(__xludf.DUMMYFUNCTION("""COMPUTED_VALUE"""),"KK00000348")</f>
        <v>KK00000348</v>
      </c>
      <c r="C14" s="17">
        <f>IFERROR(__xludf.DUMMYFUNCTION("""COMPUTED_VALUE"""),46127.735601851855)</f>
        <v>46127.7356</v>
      </c>
      <c r="D14" s="15" t="str">
        <f>IFERROR(__xludf.DUMMYFUNCTION("""COMPUTED_VALUE"""),"MSN - Hạt đác rim")</f>
        <v>MSN - Hạt đác rim</v>
      </c>
      <c r="E14" s="15" t="str">
        <f>IFERROR(__xludf.DUMMYFUNCTION("""COMPUTED_VALUE"""),"Hộp")</f>
        <v>Hộp</v>
      </c>
      <c r="F14" s="15">
        <f>IFERROR(__xludf.DUMMYFUNCTION("""COMPUTED_VALUE"""),0.014286)</f>
        <v>0.014286</v>
      </c>
      <c r="G14" s="13">
        <f>IFERROR(__xludf.DUMMYFUNCTION("""COMPUTED_VALUE"""),724.0)</f>
        <v>724</v>
      </c>
      <c r="H14" s="23">
        <f>IFERROR(__xludf.DUMMYFUNCTION("""COMPUTED_VALUE"""),0.0)</f>
        <v>0</v>
      </c>
      <c r="I14" s="23">
        <f>IFERROR(__xludf.DUMMYFUNCTION("""COMPUTED_VALUE"""),0.014286)</f>
        <v>0.014286</v>
      </c>
      <c r="J14" s="13">
        <f>IFERROR(__xludf.DUMMYFUNCTION("""COMPUTED_VALUE"""),724.00005114)</f>
        <v>724.0000511</v>
      </c>
      <c r="L14" s="23"/>
      <c r="M14" s="23"/>
      <c r="N14" s="24"/>
      <c r="O14" s="24"/>
    </row>
    <row r="15" ht="18.75" customHeight="1">
      <c r="A15" s="15" t="str">
        <f>IFERROR(__xludf.DUMMYFUNCTION("""COMPUTED_VALUE"""),"Chạng Vạng Hàng Xanh")</f>
        <v>Chạng Vạng Hàng Xanh</v>
      </c>
      <c r="B15" s="15" t="str">
        <f>IFERROR(__xludf.DUMMYFUNCTION("""COMPUTED_VALUE"""),"KK00000349")</f>
        <v>KK00000349</v>
      </c>
      <c r="C15" s="17">
        <f>IFERROR(__xludf.DUMMYFUNCTION("""COMPUTED_VALUE"""),46127.74103009259)</f>
        <v>46127.74103</v>
      </c>
      <c r="D15" s="15" t="str">
        <f>IFERROR(__xludf.DUMMYFUNCTION("""COMPUTED_VALUE"""),"MSN - Kombucha thành  phẩm")</f>
        <v>MSN - Kombucha thành  phẩm</v>
      </c>
      <c r="E15" s="15" t="str">
        <f>IFERROR(__xludf.DUMMYFUNCTION("""COMPUTED_VALUE"""),"Chai")</f>
        <v>Chai</v>
      </c>
      <c r="F15" s="15">
        <f>IFERROR(__xludf.DUMMYFUNCTION("""COMPUTED_VALUE"""),1.844444)</f>
        <v>1.844444</v>
      </c>
      <c r="G15" s="13">
        <f>IFERROR(__xludf.DUMMYFUNCTION("""COMPUTED_VALUE"""),7673.0)</f>
        <v>7673</v>
      </c>
      <c r="H15" s="23">
        <f>IFERROR(__xludf.DUMMYFUNCTION("""COMPUTED_VALUE"""),0.0)</f>
        <v>0</v>
      </c>
      <c r="I15" s="23">
        <f>IFERROR(__xludf.DUMMYFUNCTION("""COMPUTED_VALUE"""),1.844444)</f>
        <v>1.844444</v>
      </c>
      <c r="J15" s="13">
        <f>IFERROR(__xludf.DUMMYFUNCTION("""COMPUTED_VALUE"""),7672.997706640001)</f>
        <v>7672.997707</v>
      </c>
      <c r="L15" s="23"/>
      <c r="M15" s="23"/>
      <c r="N15" s="24"/>
      <c r="O15" s="24"/>
    </row>
    <row r="16" ht="18.75" customHeight="1">
      <c r="H16" s="23"/>
      <c r="I16" s="23"/>
      <c r="L16" s="23"/>
      <c r="M16" s="23"/>
      <c r="N16" s="24"/>
      <c r="O16" s="24"/>
    </row>
    <row r="17" ht="18.75" customHeight="1">
      <c r="H17" s="23"/>
      <c r="I17" s="23"/>
      <c r="L17" s="23"/>
      <c r="M17" s="23"/>
      <c r="N17" s="24"/>
      <c r="O17" s="24"/>
    </row>
    <row r="18" ht="18.75" customHeight="1">
      <c r="H18" s="23"/>
      <c r="I18" s="23"/>
      <c r="L18" s="23"/>
      <c r="M18" s="23"/>
      <c r="N18" s="24"/>
      <c r="O18" s="24"/>
    </row>
    <row r="19" ht="18.75" customHeight="1">
      <c r="H19" s="23"/>
      <c r="I19" s="23"/>
      <c r="L19" s="23"/>
      <c r="M19" s="23"/>
      <c r="N19" s="24"/>
      <c r="O19" s="24"/>
    </row>
    <row r="20" ht="18.75" customHeight="1">
      <c r="H20" s="23"/>
      <c r="I20" s="23"/>
      <c r="L20" s="23"/>
      <c r="M20" s="23"/>
      <c r="N20" s="24"/>
      <c r="O20" s="24"/>
    </row>
    <row r="21" ht="18.75" customHeight="1">
      <c r="H21" s="23"/>
      <c r="I21" s="23"/>
      <c r="L21" s="23"/>
      <c r="M21" s="23"/>
      <c r="N21" s="24"/>
      <c r="O21" s="24"/>
    </row>
    <row r="22" ht="18.75" customHeight="1">
      <c r="H22" s="23"/>
      <c r="I22" s="23"/>
      <c r="L22" s="23"/>
      <c r="M22" s="23"/>
      <c r="N22" s="24"/>
      <c r="O22" s="24"/>
    </row>
    <row r="23" ht="18.75" customHeight="1">
      <c r="H23" s="23"/>
      <c r="I23" s="23"/>
      <c r="L23" s="23"/>
      <c r="M23" s="23"/>
      <c r="N23" s="24"/>
      <c r="O23" s="24"/>
    </row>
    <row r="24" ht="18.75" customHeight="1">
      <c r="H24" s="23"/>
      <c r="I24" s="23"/>
      <c r="L24" s="23"/>
      <c r="M24" s="23"/>
      <c r="N24" s="24"/>
      <c r="O24" s="24"/>
    </row>
    <row r="25" ht="18.75" customHeight="1">
      <c r="H25" s="23"/>
      <c r="I25" s="23"/>
      <c r="L25" s="23"/>
      <c r="M25" s="23"/>
      <c r="N25" s="24"/>
      <c r="O25" s="24"/>
    </row>
    <row r="26" ht="18.75" customHeight="1">
      <c r="H26" s="23"/>
      <c r="I26" s="23"/>
      <c r="L26" s="23"/>
      <c r="M26" s="23"/>
      <c r="N26" s="24"/>
      <c r="O26" s="24"/>
    </row>
    <row r="27" ht="18.75" customHeight="1">
      <c r="H27" s="23"/>
      <c r="I27" s="23"/>
      <c r="L27" s="23"/>
      <c r="M27" s="23"/>
      <c r="N27" s="24"/>
      <c r="O27" s="24"/>
    </row>
    <row r="28" ht="18.75" customHeight="1">
      <c r="H28" s="23"/>
      <c r="I28" s="23"/>
      <c r="L28" s="23"/>
      <c r="M28" s="23"/>
      <c r="N28" s="24"/>
      <c r="O28" s="24"/>
    </row>
    <row r="29" ht="18.75" customHeight="1">
      <c r="H29" s="23"/>
      <c r="I29" s="23"/>
      <c r="L29" s="23"/>
      <c r="M29" s="23"/>
      <c r="N29" s="24"/>
      <c r="O29" s="24"/>
    </row>
    <row r="30" ht="18.75" customHeight="1">
      <c r="H30" s="23"/>
      <c r="I30" s="23"/>
      <c r="L30" s="23"/>
      <c r="M30" s="23"/>
      <c r="N30" s="24"/>
      <c r="O30" s="24"/>
    </row>
    <row r="31" ht="18.75" customHeight="1">
      <c r="H31" s="23"/>
      <c r="I31" s="23"/>
      <c r="L31" s="23"/>
      <c r="M31" s="23"/>
      <c r="N31" s="24"/>
      <c r="O31" s="24"/>
    </row>
    <row r="32" ht="18.75" customHeight="1">
      <c r="H32" s="23"/>
      <c r="I32" s="23"/>
      <c r="L32" s="23"/>
      <c r="M32" s="23"/>
      <c r="N32" s="24"/>
      <c r="O32" s="24"/>
    </row>
    <row r="33" ht="18.75" customHeight="1">
      <c r="H33" s="23"/>
      <c r="I33" s="23"/>
      <c r="L33" s="23"/>
      <c r="M33" s="23"/>
      <c r="N33" s="24"/>
      <c r="O33" s="24"/>
    </row>
    <row r="34" ht="18.75" customHeight="1">
      <c r="H34" s="23"/>
      <c r="I34" s="23"/>
      <c r="L34" s="23"/>
      <c r="M34" s="23"/>
      <c r="N34" s="24"/>
      <c r="O34" s="24"/>
    </row>
    <row r="35" ht="18.75" customHeight="1">
      <c r="H35" s="23"/>
      <c r="I35" s="23"/>
      <c r="L35" s="23"/>
      <c r="M35" s="23"/>
      <c r="N35" s="24"/>
      <c r="O35" s="24"/>
    </row>
    <row r="36" ht="18.75" customHeight="1">
      <c r="H36" s="23"/>
      <c r="I36" s="23"/>
      <c r="L36" s="23"/>
      <c r="M36" s="23"/>
      <c r="N36" s="24"/>
      <c r="O36" s="24"/>
    </row>
    <row r="37" ht="18.75" customHeight="1">
      <c r="H37" s="23"/>
      <c r="I37" s="23"/>
      <c r="L37" s="23"/>
      <c r="M37" s="23"/>
      <c r="N37" s="24"/>
      <c r="O37" s="24"/>
    </row>
    <row r="38" ht="18.75" customHeight="1">
      <c r="H38" s="23"/>
      <c r="I38" s="23"/>
      <c r="L38" s="23"/>
      <c r="M38" s="23"/>
      <c r="N38" s="24"/>
      <c r="O38" s="24"/>
    </row>
    <row r="39" ht="18.75" customHeight="1">
      <c r="H39" s="23"/>
      <c r="I39" s="23"/>
      <c r="L39" s="23"/>
      <c r="M39" s="23"/>
      <c r="N39" s="24"/>
      <c r="O39" s="24"/>
    </row>
    <row r="40" ht="18.75" customHeight="1">
      <c r="H40" s="23"/>
      <c r="I40" s="23"/>
      <c r="L40" s="23"/>
      <c r="M40" s="23"/>
      <c r="N40" s="24"/>
      <c r="O40" s="24"/>
    </row>
    <row r="41" ht="18.75" customHeight="1">
      <c r="H41" s="23"/>
      <c r="I41" s="23"/>
      <c r="L41" s="23"/>
      <c r="M41" s="23"/>
      <c r="N41" s="24"/>
      <c r="O41" s="24"/>
    </row>
    <row r="42" ht="18.75" customHeight="1">
      <c r="H42" s="23"/>
      <c r="I42" s="23"/>
      <c r="L42" s="23"/>
      <c r="M42" s="23"/>
      <c r="N42" s="24"/>
      <c r="O42" s="24"/>
    </row>
    <row r="43" ht="18.75" customHeight="1">
      <c r="H43" s="23"/>
      <c r="I43" s="23"/>
      <c r="L43" s="23"/>
      <c r="M43" s="23"/>
      <c r="N43" s="24"/>
      <c r="O43" s="24"/>
    </row>
    <row r="44" ht="18.75" customHeight="1">
      <c r="H44" s="23"/>
      <c r="I44" s="23"/>
      <c r="L44" s="23"/>
      <c r="M44" s="23"/>
      <c r="N44" s="24"/>
      <c r="O44" s="24"/>
    </row>
    <row r="45" ht="18.75" customHeight="1">
      <c r="H45" s="23"/>
      <c r="I45" s="23"/>
      <c r="L45" s="23"/>
      <c r="M45" s="23"/>
      <c r="N45" s="24"/>
      <c r="O45" s="24"/>
    </row>
    <row r="46" ht="18.75" customHeight="1">
      <c r="H46" s="23"/>
      <c r="I46" s="23"/>
      <c r="L46" s="23"/>
      <c r="M46" s="23"/>
      <c r="N46" s="24"/>
      <c r="O46" s="24"/>
    </row>
    <row r="47" ht="18.75" customHeight="1">
      <c r="H47" s="23"/>
      <c r="I47" s="23"/>
      <c r="L47" s="23"/>
      <c r="M47" s="23"/>
      <c r="N47" s="24"/>
      <c r="O47" s="24"/>
    </row>
    <row r="48" ht="18.75" customHeight="1">
      <c r="H48" s="23"/>
      <c r="I48" s="23"/>
      <c r="L48" s="23"/>
      <c r="M48" s="23"/>
      <c r="N48" s="24"/>
      <c r="O48" s="24"/>
    </row>
    <row r="49" ht="18.75" customHeight="1">
      <c r="H49" s="23"/>
      <c r="I49" s="23"/>
      <c r="L49" s="23"/>
      <c r="M49" s="23"/>
      <c r="N49" s="24"/>
      <c r="O49" s="24"/>
    </row>
    <row r="50" ht="18.75" customHeight="1">
      <c r="H50" s="23"/>
      <c r="I50" s="23"/>
      <c r="L50" s="23"/>
      <c r="M50" s="23"/>
      <c r="N50" s="24"/>
      <c r="O50" s="24"/>
    </row>
    <row r="51" ht="18.75" customHeight="1">
      <c r="H51" s="23"/>
      <c r="I51" s="23"/>
      <c r="L51" s="23"/>
      <c r="M51" s="23"/>
      <c r="N51" s="24"/>
      <c r="O51" s="24"/>
    </row>
    <row r="52" ht="18.75" customHeight="1">
      <c r="H52" s="23"/>
      <c r="I52" s="23"/>
      <c r="L52" s="23"/>
      <c r="M52" s="23"/>
      <c r="N52" s="24"/>
      <c r="O52" s="24"/>
    </row>
    <row r="53" ht="18.75" customHeight="1">
      <c r="H53" s="23"/>
      <c r="I53" s="23"/>
      <c r="L53" s="23"/>
      <c r="M53" s="23"/>
      <c r="N53" s="24"/>
      <c r="O53" s="24"/>
    </row>
    <row r="54" ht="18.75" customHeight="1">
      <c r="H54" s="23"/>
      <c r="I54" s="23"/>
      <c r="L54" s="23"/>
      <c r="M54" s="23"/>
      <c r="N54" s="24"/>
      <c r="O54" s="24"/>
    </row>
    <row r="55" ht="18.75" customHeight="1">
      <c r="H55" s="23"/>
      <c r="I55" s="23"/>
      <c r="L55" s="23"/>
      <c r="M55" s="23"/>
      <c r="N55" s="24"/>
      <c r="O55" s="24"/>
    </row>
    <row r="56" ht="18.75" customHeight="1">
      <c r="H56" s="23"/>
      <c r="I56" s="23"/>
      <c r="L56" s="23"/>
      <c r="M56" s="23"/>
    </row>
    <row r="57" ht="18.75" customHeight="1">
      <c r="H57" s="23"/>
      <c r="I57" s="23"/>
      <c r="L57" s="23"/>
      <c r="M57" s="23"/>
    </row>
    <row r="58" ht="18.75" customHeight="1">
      <c r="H58" s="23"/>
      <c r="I58" s="23"/>
      <c r="L58" s="23"/>
      <c r="M58" s="23"/>
    </row>
    <row r="59" ht="18.75" customHeight="1">
      <c r="H59" s="23"/>
      <c r="I59" s="23"/>
      <c r="L59" s="23"/>
      <c r="M59" s="23"/>
    </row>
    <row r="60" ht="18.75" customHeight="1">
      <c r="H60" s="23"/>
      <c r="I60" s="23"/>
      <c r="L60" s="23"/>
      <c r="M60" s="23"/>
    </row>
    <row r="61" ht="18.75" customHeight="1">
      <c r="H61" s="23"/>
      <c r="I61" s="23"/>
      <c r="L61" s="23"/>
      <c r="M61" s="23"/>
    </row>
    <row r="62" ht="18.75" customHeight="1">
      <c r="H62" s="23"/>
      <c r="I62" s="23"/>
      <c r="L62" s="23"/>
      <c r="M62" s="23"/>
    </row>
    <row r="63" ht="18.75" customHeight="1">
      <c r="H63" s="23"/>
      <c r="I63" s="23"/>
      <c r="L63" s="23"/>
      <c r="M63" s="23"/>
    </row>
    <row r="64" ht="18.75" customHeight="1">
      <c r="H64" s="23"/>
      <c r="I64" s="23"/>
      <c r="L64" s="23"/>
      <c r="M64" s="23"/>
    </row>
    <row r="65" ht="18.75" customHeight="1">
      <c r="H65" s="23"/>
      <c r="I65" s="23"/>
      <c r="L65" s="23"/>
      <c r="M65" s="23"/>
    </row>
    <row r="66" ht="18.75" customHeight="1">
      <c r="H66" s="23"/>
      <c r="I66" s="23"/>
      <c r="L66" s="23"/>
      <c r="M66" s="23"/>
    </row>
    <row r="67" ht="18.75" customHeight="1">
      <c r="H67" s="23"/>
      <c r="I67" s="23"/>
      <c r="L67" s="23"/>
      <c r="M67" s="23"/>
    </row>
    <row r="68" ht="18.75" customHeight="1">
      <c r="H68" s="23"/>
      <c r="I68" s="23"/>
      <c r="L68" s="23"/>
      <c r="M68" s="23"/>
    </row>
    <row r="69" ht="18.75" customHeight="1">
      <c r="H69" s="23"/>
      <c r="I69" s="23"/>
      <c r="L69" s="23"/>
      <c r="M69" s="23"/>
    </row>
    <row r="70" ht="18.75" customHeight="1">
      <c r="H70" s="23"/>
      <c r="I70" s="23"/>
      <c r="L70" s="23"/>
      <c r="M70" s="23"/>
    </row>
    <row r="71" ht="18.75" customHeight="1">
      <c r="H71" s="23"/>
      <c r="I71" s="23"/>
      <c r="L71" s="23"/>
      <c r="M71" s="23"/>
    </row>
    <row r="72" ht="18.75" customHeight="1">
      <c r="H72" s="23"/>
      <c r="I72" s="23"/>
      <c r="L72" s="23"/>
      <c r="M72" s="23"/>
    </row>
    <row r="73" ht="18.75" customHeight="1">
      <c r="H73" s="23"/>
      <c r="I73" s="23"/>
      <c r="L73" s="23"/>
      <c r="M73" s="23"/>
    </row>
    <row r="74" ht="18.75" customHeight="1">
      <c r="H74" s="23"/>
      <c r="I74" s="23"/>
      <c r="L74" s="23"/>
      <c r="M74" s="23"/>
    </row>
    <row r="75" ht="18.75" customHeight="1">
      <c r="H75" s="23"/>
      <c r="I75" s="23"/>
      <c r="L75" s="23"/>
      <c r="M75" s="23"/>
    </row>
    <row r="76" ht="18.75" customHeight="1">
      <c r="H76" s="23"/>
      <c r="I76" s="23"/>
      <c r="L76" s="23"/>
      <c r="M76" s="23"/>
    </row>
    <row r="77" ht="18.75" customHeight="1">
      <c r="H77" s="23"/>
      <c r="I77" s="23"/>
      <c r="L77" s="23"/>
      <c r="M77" s="23"/>
    </row>
    <row r="78" ht="18.75" customHeight="1">
      <c r="H78" s="23"/>
      <c r="I78" s="23"/>
      <c r="L78" s="23"/>
      <c r="M78" s="23"/>
    </row>
    <row r="79" ht="18.75" customHeight="1">
      <c r="H79" s="23"/>
      <c r="I79" s="23"/>
      <c r="L79" s="23"/>
      <c r="M79" s="23"/>
    </row>
    <row r="80" ht="18.75" customHeight="1">
      <c r="H80" s="23"/>
      <c r="I80" s="23"/>
      <c r="L80" s="23"/>
      <c r="M80" s="23"/>
    </row>
    <row r="81" ht="18.75" customHeight="1">
      <c r="H81" s="23"/>
      <c r="I81" s="23"/>
      <c r="L81" s="23"/>
      <c r="M81" s="23"/>
    </row>
    <row r="82" ht="18.75" customHeight="1">
      <c r="H82" s="23"/>
      <c r="I82" s="23"/>
      <c r="L82" s="23"/>
      <c r="M82" s="23"/>
    </row>
    <row r="83" ht="18.75" customHeight="1">
      <c r="H83" s="23"/>
      <c r="I83" s="23"/>
      <c r="L83" s="23"/>
      <c r="M83" s="23"/>
    </row>
    <row r="84" ht="18.75" customHeight="1">
      <c r="H84" s="23"/>
      <c r="I84" s="23"/>
      <c r="L84" s="23"/>
      <c r="M84" s="23"/>
    </row>
    <row r="85" ht="18.75" customHeight="1">
      <c r="H85" s="23"/>
      <c r="I85" s="23"/>
      <c r="L85" s="23"/>
      <c r="M85" s="23"/>
    </row>
    <row r="86" ht="18.75" customHeight="1">
      <c r="H86" s="23"/>
      <c r="I86" s="23"/>
      <c r="L86" s="23"/>
      <c r="M86" s="23"/>
    </row>
    <row r="87" ht="18.75" customHeight="1">
      <c r="H87" s="23"/>
      <c r="I87" s="23"/>
      <c r="L87" s="23"/>
      <c r="M87" s="23"/>
    </row>
    <row r="88" ht="18.75" customHeight="1">
      <c r="H88" s="23"/>
      <c r="I88" s="23"/>
      <c r="L88" s="23"/>
      <c r="M88" s="23"/>
    </row>
    <row r="89" ht="18.75" customHeight="1">
      <c r="H89" s="23"/>
      <c r="I89" s="23"/>
      <c r="L89" s="23"/>
      <c r="M89" s="23"/>
    </row>
    <row r="90" ht="18.75" customHeight="1">
      <c r="H90" s="23"/>
      <c r="I90" s="23"/>
      <c r="L90" s="23"/>
      <c r="M90" s="23"/>
    </row>
    <row r="91" ht="18.75" customHeight="1">
      <c r="H91" s="23"/>
      <c r="I91" s="23"/>
      <c r="L91" s="23"/>
      <c r="M91" s="23"/>
    </row>
    <row r="92" ht="18.75" customHeight="1">
      <c r="H92" s="23"/>
      <c r="I92" s="23"/>
      <c r="L92" s="23"/>
      <c r="M92" s="23"/>
    </row>
    <row r="93" ht="18.75" customHeight="1">
      <c r="H93" s="23"/>
      <c r="I93" s="23"/>
      <c r="L93" s="23"/>
      <c r="M93" s="23"/>
    </row>
    <row r="94" ht="18.75" customHeight="1">
      <c r="H94" s="23"/>
      <c r="I94" s="23"/>
      <c r="L94" s="23"/>
      <c r="M94" s="23"/>
    </row>
    <row r="95" ht="18.75" customHeight="1">
      <c r="H95" s="23"/>
      <c r="I95" s="23"/>
      <c r="L95" s="23"/>
      <c r="M95" s="23"/>
    </row>
    <row r="96" ht="18.75" customHeight="1">
      <c r="H96" s="23"/>
      <c r="I96" s="23"/>
      <c r="L96" s="23"/>
      <c r="M96" s="23"/>
    </row>
    <row r="97" ht="18.75" customHeight="1">
      <c r="H97" s="23"/>
      <c r="I97" s="23"/>
      <c r="L97" s="23"/>
      <c r="M97" s="23"/>
    </row>
    <row r="98" ht="18.75" customHeight="1">
      <c r="H98" s="23"/>
      <c r="I98" s="23"/>
      <c r="L98" s="23"/>
      <c r="M98" s="23"/>
    </row>
    <row r="99" ht="18.75" customHeight="1">
      <c r="H99" s="23"/>
      <c r="I99" s="23"/>
      <c r="L99" s="23"/>
      <c r="M99" s="23"/>
    </row>
    <row r="100" ht="18.75" customHeight="1">
      <c r="H100" s="23"/>
      <c r="I100" s="23"/>
      <c r="L100" s="23"/>
      <c r="M100" s="23"/>
    </row>
    <row r="101" ht="18.75" customHeight="1">
      <c r="A101" s="22"/>
      <c r="H101" s="23"/>
      <c r="I101" s="23"/>
      <c r="L101" s="23"/>
      <c r="M101" s="23"/>
    </row>
    <row r="102" ht="18.75" customHeight="1">
      <c r="H102" s="23"/>
      <c r="I102" s="23"/>
      <c r="L102" s="23"/>
      <c r="M102" s="23"/>
    </row>
    <row r="103" ht="18.75" customHeight="1">
      <c r="H103" s="23"/>
      <c r="I103" s="23"/>
      <c r="L103" s="23"/>
      <c r="M103" s="23"/>
    </row>
    <row r="104" ht="18.75" customHeight="1">
      <c r="H104" s="23"/>
      <c r="I104" s="23"/>
      <c r="L104" s="23"/>
      <c r="M104" s="23"/>
    </row>
    <row r="105" ht="18.75" customHeight="1">
      <c r="H105" s="23"/>
      <c r="I105" s="23"/>
      <c r="L105" s="23"/>
      <c r="M105" s="23"/>
    </row>
    <row r="106" ht="18.75" customHeight="1">
      <c r="H106" s="23"/>
      <c r="I106" s="23"/>
      <c r="L106" s="23"/>
      <c r="M106" s="23"/>
    </row>
    <row r="107" ht="18.75" customHeight="1">
      <c r="H107" s="23"/>
      <c r="I107" s="23"/>
      <c r="L107" s="23"/>
      <c r="M107" s="23"/>
    </row>
    <row r="108" ht="18.75" customHeight="1">
      <c r="H108" s="23"/>
      <c r="I108" s="23"/>
      <c r="L108" s="23"/>
      <c r="M108" s="23"/>
    </row>
    <row r="109" ht="18.75" customHeight="1">
      <c r="H109" s="23"/>
      <c r="I109" s="23"/>
      <c r="L109" s="23"/>
      <c r="M109" s="23"/>
    </row>
    <row r="110" ht="18.75" customHeight="1">
      <c r="H110" s="23"/>
      <c r="I110" s="23"/>
      <c r="L110" s="23"/>
      <c r="M110" s="23"/>
    </row>
    <row r="111" ht="18.75" customHeight="1">
      <c r="H111" s="23"/>
      <c r="I111" s="23"/>
      <c r="L111" s="23"/>
      <c r="M111" s="23"/>
    </row>
    <row r="112" ht="18.75" customHeight="1">
      <c r="H112" s="23"/>
      <c r="I112" s="23"/>
      <c r="L112" s="23"/>
      <c r="M112" s="23"/>
    </row>
    <row r="113" ht="18.75" customHeight="1">
      <c r="H113" s="23"/>
      <c r="I113" s="23"/>
      <c r="L113" s="23"/>
      <c r="M113" s="23"/>
    </row>
    <row r="114" ht="18.75" customHeight="1">
      <c r="H114" s="23"/>
      <c r="I114" s="23"/>
      <c r="L114" s="23"/>
      <c r="M114" s="23"/>
    </row>
    <row r="115" ht="18.75" customHeight="1">
      <c r="H115" s="23"/>
      <c r="I115" s="23"/>
      <c r="L115" s="23"/>
      <c r="M115" s="23"/>
    </row>
    <row r="116" ht="18.75" customHeight="1">
      <c r="H116" s="23"/>
      <c r="I116" s="23"/>
      <c r="L116" s="23"/>
      <c r="M116" s="23"/>
    </row>
    <row r="117" ht="18.75" customHeight="1">
      <c r="H117" s="23"/>
      <c r="I117" s="23"/>
      <c r="L117" s="23"/>
      <c r="M117" s="23"/>
    </row>
    <row r="118" ht="18.75" customHeight="1">
      <c r="H118" s="23"/>
      <c r="I118" s="23"/>
      <c r="L118" s="23"/>
      <c r="M118" s="23"/>
    </row>
    <row r="119" ht="18.75" customHeight="1">
      <c r="H119" s="23"/>
      <c r="I119" s="23"/>
      <c r="L119" s="23"/>
      <c r="M119" s="23"/>
    </row>
    <row r="120" ht="18.75" customHeight="1">
      <c r="H120" s="23"/>
      <c r="I120" s="23"/>
      <c r="L120" s="23"/>
      <c r="M120" s="23"/>
    </row>
    <row r="121" ht="18.75" customHeight="1">
      <c r="H121" s="23"/>
      <c r="I121" s="23"/>
      <c r="L121" s="23"/>
      <c r="M121" s="23"/>
    </row>
    <row r="122" ht="18.75" customHeight="1">
      <c r="H122" s="23"/>
      <c r="I122" s="23"/>
      <c r="L122" s="23"/>
      <c r="M122" s="23"/>
    </row>
    <row r="123" ht="18.75" customHeight="1">
      <c r="H123" s="23"/>
      <c r="I123" s="23"/>
      <c r="L123" s="23"/>
      <c r="M123" s="23"/>
    </row>
    <row r="124" ht="18.75" customHeight="1">
      <c r="H124" s="23"/>
      <c r="I124" s="23"/>
      <c r="L124" s="23"/>
      <c r="M124" s="23"/>
    </row>
    <row r="125" ht="18.75" customHeight="1">
      <c r="H125" s="23"/>
      <c r="I125" s="23"/>
      <c r="L125" s="23"/>
      <c r="M125" s="23"/>
    </row>
    <row r="126" ht="18.75" customHeight="1">
      <c r="H126" s="23"/>
      <c r="I126" s="23"/>
      <c r="L126" s="23"/>
      <c r="M126" s="23"/>
    </row>
    <row r="127" ht="18.75" customHeight="1">
      <c r="H127" s="23"/>
      <c r="I127" s="23"/>
      <c r="L127" s="23"/>
      <c r="M127" s="23"/>
    </row>
    <row r="128" ht="18.75" customHeight="1">
      <c r="H128" s="23"/>
      <c r="I128" s="23"/>
      <c r="L128" s="23"/>
      <c r="M128" s="23"/>
    </row>
    <row r="129" ht="18.75" customHeight="1">
      <c r="H129" s="23"/>
      <c r="I129" s="23"/>
      <c r="L129" s="23"/>
      <c r="M129" s="23"/>
    </row>
    <row r="130" ht="18.75" customHeight="1">
      <c r="H130" s="23"/>
      <c r="I130" s="23"/>
      <c r="L130" s="23"/>
      <c r="M130" s="23"/>
    </row>
    <row r="131" ht="18.75" customHeight="1">
      <c r="H131" s="23"/>
      <c r="I131" s="23"/>
      <c r="L131" s="23"/>
      <c r="M131" s="23"/>
    </row>
    <row r="132" ht="18.75" customHeight="1">
      <c r="H132" s="23"/>
      <c r="I132" s="23"/>
      <c r="L132" s="23"/>
      <c r="M132" s="23"/>
    </row>
    <row r="133" ht="18.75" customHeight="1">
      <c r="H133" s="23"/>
      <c r="I133" s="23"/>
      <c r="L133" s="23"/>
      <c r="M133" s="23"/>
    </row>
    <row r="134" ht="18.75" customHeight="1">
      <c r="H134" s="23"/>
      <c r="I134" s="23"/>
      <c r="L134" s="23"/>
      <c r="M134" s="23"/>
    </row>
    <row r="135" ht="18.75" customHeight="1">
      <c r="H135" s="23"/>
      <c r="I135" s="23"/>
      <c r="L135" s="23"/>
      <c r="M135" s="23"/>
    </row>
    <row r="136" ht="18.75" customHeight="1">
      <c r="H136" s="23"/>
      <c r="I136" s="23"/>
      <c r="L136" s="23"/>
      <c r="M136" s="23"/>
    </row>
    <row r="137" ht="18.75" customHeight="1">
      <c r="H137" s="23"/>
      <c r="I137" s="23"/>
      <c r="L137" s="23"/>
      <c r="M137" s="23"/>
    </row>
    <row r="138" ht="18.75" customHeight="1">
      <c r="H138" s="23"/>
      <c r="I138" s="23"/>
      <c r="L138" s="23"/>
      <c r="M138" s="23"/>
    </row>
    <row r="139" ht="18.75" customHeight="1">
      <c r="H139" s="23"/>
      <c r="I139" s="23"/>
      <c r="L139" s="23"/>
      <c r="M139" s="23"/>
    </row>
    <row r="140" ht="18.75" customHeight="1">
      <c r="H140" s="23"/>
      <c r="I140" s="23"/>
      <c r="L140" s="23"/>
      <c r="M140" s="23"/>
    </row>
    <row r="141" ht="18.75" customHeight="1">
      <c r="H141" s="23"/>
      <c r="I141" s="23"/>
      <c r="L141" s="23"/>
      <c r="M141" s="23"/>
    </row>
    <row r="142" ht="18.75" customHeight="1">
      <c r="H142" s="23"/>
      <c r="I142" s="23"/>
      <c r="L142" s="23"/>
      <c r="M142" s="23"/>
    </row>
    <row r="143" ht="18.75" customHeight="1">
      <c r="H143" s="23"/>
      <c r="I143" s="23"/>
      <c r="L143" s="23"/>
      <c r="M143" s="23"/>
    </row>
    <row r="144" ht="18.75" customHeight="1">
      <c r="H144" s="23"/>
      <c r="I144" s="23"/>
      <c r="L144" s="23"/>
      <c r="M144" s="23"/>
    </row>
    <row r="145" ht="18.75" customHeight="1">
      <c r="H145" s="23"/>
      <c r="I145" s="23"/>
      <c r="L145" s="23"/>
      <c r="M145" s="23"/>
    </row>
    <row r="146" ht="18.75" customHeight="1">
      <c r="H146" s="23"/>
      <c r="I146" s="23"/>
      <c r="L146" s="23"/>
      <c r="M146" s="23"/>
    </row>
    <row r="147" ht="18.75" customHeight="1">
      <c r="H147" s="23"/>
      <c r="I147" s="23"/>
      <c r="L147" s="23"/>
      <c r="M147" s="23"/>
    </row>
    <row r="148" ht="18.75" customHeight="1">
      <c r="H148" s="23"/>
      <c r="I148" s="23"/>
      <c r="L148" s="23"/>
      <c r="M148" s="23"/>
    </row>
    <row r="149" ht="18.75" customHeight="1">
      <c r="H149" s="23"/>
      <c r="I149" s="23"/>
      <c r="L149" s="23"/>
      <c r="M149" s="23"/>
    </row>
    <row r="150" ht="18.75" customHeight="1">
      <c r="H150" s="23"/>
      <c r="I150" s="23"/>
      <c r="L150" s="23"/>
      <c r="M150" s="23"/>
    </row>
    <row r="151" ht="18.75" customHeight="1">
      <c r="H151" s="23"/>
      <c r="I151" s="23"/>
      <c r="L151" s="23"/>
      <c r="M151" s="23"/>
    </row>
    <row r="152" ht="18.75" customHeight="1">
      <c r="H152" s="23"/>
      <c r="I152" s="23"/>
      <c r="L152" s="23"/>
      <c r="M152" s="23"/>
    </row>
    <row r="153" ht="18.75" customHeight="1">
      <c r="H153" s="23"/>
      <c r="I153" s="23"/>
      <c r="L153" s="23"/>
      <c r="M153" s="23"/>
    </row>
    <row r="154" ht="18.75" customHeight="1">
      <c r="H154" s="23"/>
      <c r="I154" s="23"/>
      <c r="L154" s="23"/>
      <c r="M154" s="23"/>
    </row>
    <row r="155" ht="18.75" customHeight="1">
      <c r="H155" s="23"/>
      <c r="I155" s="23"/>
      <c r="L155" s="23"/>
      <c r="M155" s="23"/>
    </row>
    <row r="156" ht="18.75" customHeight="1">
      <c r="H156" s="23"/>
      <c r="I156" s="23"/>
      <c r="L156" s="23"/>
      <c r="M156" s="23"/>
    </row>
    <row r="157" ht="18.75" customHeight="1">
      <c r="H157" s="23"/>
      <c r="I157" s="23"/>
      <c r="L157" s="23"/>
      <c r="M157" s="23"/>
    </row>
    <row r="158" ht="18.75" customHeight="1">
      <c r="H158" s="23"/>
      <c r="I158" s="23"/>
      <c r="L158" s="23"/>
      <c r="M158" s="23"/>
    </row>
    <row r="159" ht="18.75" customHeight="1">
      <c r="H159" s="23"/>
      <c r="I159" s="23"/>
      <c r="L159" s="23"/>
      <c r="M159" s="23"/>
    </row>
    <row r="160" ht="18.75" customHeight="1">
      <c r="H160" s="23"/>
      <c r="I160" s="23"/>
      <c r="L160" s="23"/>
      <c r="M160" s="23"/>
    </row>
    <row r="161" ht="18.75" customHeight="1">
      <c r="H161" s="23"/>
      <c r="I161" s="23"/>
      <c r="L161" s="23"/>
      <c r="M161" s="23"/>
    </row>
    <row r="162" ht="18.75" customHeight="1">
      <c r="H162" s="23"/>
      <c r="I162" s="23"/>
      <c r="L162" s="23"/>
      <c r="M162" s="23"/>
    </row>
    <row r="163" ht="18.75" customHeight="1">
      <c r="H163" s="23"/>
      <c r="I163" s="23"/>
      <c r="L163" s="23"/>
      <c r="M163" s="23"/>
    </row>
    <row r="164" ht="18.75" customHeight="1">
      <c r="H164" s="23"/>
      <c r="I164" s="23"/>
      <c r="L164" s="23"/>
      <c r="M164" s="23"/>
    </row>
    <row r="165" ht="18.75" customHeight="1">
      <c r="H165" s="23"/>
      <c r="I165" s="23"/>
      <c r="L165" s="23"/>
      <c r="M165" s="23"/>
    </row>
    <row r="166" ht="18.75" customHeight="1">
      <c r="H166" s="23"/>
      <c r="I166" s="23"/>
      <c r="L166" s="23"/>
      <c r="M166" s="23"/>
    </row>
    <row r="167" ht="18.75" customHeight="1">
      <c r="H167" s="23"/>
      <c r="I167" s="23"/>
      <c r="L167" s="23"/>
      <c r="M167" s="23"/>
    </row>
    <row r="168" ht="18.75" customHeight="1">
      <c r="H168" s="23"/>
      <c r="I168" s="23"/>
      <c r="L168" s="23"/>
      <c r="M168" s="23"/>
    </row>
    <row r="169" ht="18.75" customHeight="1">
      <c r="H169" s="23"/>
      <c r="I169" s="23"/>
      <c r="L169" s="23"/>
      <c r="M169" s="23"/>
    </row>
    <row r="170" ht="18.75" customHeight="1">
      <c r="H170" s="23"/>
      <c r="I170" s="23"/>
      <c r="L170" s="23"/>
      <c r="M170" s="23"/>
    </row>
    <row r="171" ht="18.75" customHeight="1">
      <c r="H171" s="23"/>
      <c r="I171" s="23"/>
      <c r="L171" s="23"/>
      <c r="M171" s="23"/>
    </row>
    <row r="172" ht="18.75" customHeight="1">
      <c r="H172" s="23"/>
      <c r="I172" s="23"/>
      <c r="L172" s="23"/>
      <c r="M172" s="23"/>
    </row>
    <row r="173" ht="18.75" customHeight="1">
      <c r="H173" s="23"/>
      <c r="I173" s="23"/>
      <c r="L173" s="23"/>
      <c r="M173" s="23"/>
    </row>
    <row r="174" ht="18.75" customHeight="1">
      <c r="H174" s="23"/>
      <c r="I174" s="23"/>
      <c r="L174" s="23"/>
      <c r="M174" s="23"/>
    </row>
    <row r="175" ht="18.75" customHeight="1">
      <c r="H175" s="23"/>
      <c r="I175" s="23"/>
      <c r="L175" s="23"/>
      <c r="M175" s="23"/>
    </row>
    <row r="176" ht="18.75" customHeight="1">
      <c r="H176" s="23"/>
      <c r="I176" s="23"/>
      <c r="L176" s="23"/>
      <c r="M176" s="23"/>
    </row>
    <row r="177" ht="18.75" customHeight="1">
      <c r="H177" s="23"/>
      <c r="I177" s="23"/>
      <c r="L177" s="23"/>
      <c r="M177" s="23"/>
    </row>
    <row r="178" ht="18.75" customHeight="1">
      <c r="H178" s="23"/>
      <c r="I178" s="23"/>
      <c r="L178" s="23"/>
      <c r="M178" s="23"/>
    </row>
    <row r="179" ht="18.75" customHeight="1">
      <c r="H179" s="23"/>
      <c r="I179" s="23"/>
      <c r="L179" s="23"/>
      <c r="M179" s="23"/>
    </row>
    <row r="180" ht="18.75" customHeight="1">
      <c r="H180" s="23"/>
      <c r="I180" s="23"/>
      <c r="L180" s="23"/>
      <c r="M180" s="23"/>
    </row>
    <row r="181" ht="18.75" customHeight="1">
      <c r="H181" s="23"/>
      <c r="I181" s="23"/>
      <c r="L181" s="23"/>
      <c r="M181" s="23"/>
    </row>
    <row r="182" ht="18.75" customHeight="1">
      <c r="H182" s="23"/>
      <c r="I182" s="23"/>
      <c r="L182" s="23"/>
      <c r="M182" s="23"/>
    </row>
    <row r="183" ht="18.75" customHeight="1">
      <c r="H183" s="23"/>
      <c r="I183" s="23"/>
      <c r="L183" s="23"/>
      <c r="M183" s="23"/>
    </row>
    <row r="184" ht="18.75" customHeight="1">
      <c r="H184" s="23"/>
      <c r="I184" s="23"/>
      <c r="L184" s="23"/>
      <c r="M184" s="23"/>
    </row>
    <row r="185" ht="18.75" customHeight="1">
      <c r="H185" s="23"/>
      <c r="I185" s="23"/>
      <c r="L185" s="23"/>
      <c r="M185" s="23"/>
    </row>
    <row r="186" ht="18.75" customHeight="1">
      <c r="H186" s="23"/>
      <c r="I186" s="23"/>
      <c r="L186" s="23"/>
      <c r="M186" s="23"/>
    </row>
    <row r="187" ht="18.75" customHeight="1">
      <c r="H187" s="23"/>
      <c r="I187" s="23"/>
      <c r="L187" s="23"/>
      <c r="M187" s="23"/>
    </row>
    <row r="188" ht="18.75" customHeight="1">
      <c r="H188" s="23"/>
      <c r="I188" s="23"/>
      <c r="L188" s="23"/>
      <c r="M188" s="23"/>
    </row>
    <row r="189" ht="18.75" customHeight="1">
      <c r="H189" s="23"/>
      <c r="I189" s="23"/>
      <c r="L189" s="23"/>
      <c r="M189" s="23"/>
    </row>
    <row r="190" ht="18.75" customHeight="1">
      <c r="H190" s="23"/>
      <c r="I190" s="23"/>
      <c r="L190" s="23"/>
      <c r="M190" s="23"/>
    </row>
    <row r="191" ht="18.75" customHeight="1">
      <c r="H191" s="23"/>
      <c r="I191" s="23"/>
      <c r="L191" s="23"/>
      <c r="M191" s="23"/>
    </row>
    <row r="192" ht="18.75" customHeight="1">
      <c r="H192" s="23"/>
      <c r="I192" s="23"/>
      <c r="L192" s="23"/>
      <c r="M192" s="23"/>
    </row>
    <row r="193" ht="18.75" customHeight="1">
      <c r="H193" s="23"/>
      <c r="I193" s="23"/>
      <c r="L193" s="23"/>
      <c r="M193" s="23"/>
    </row>
    <row r="194" ht="18.75" customHeight="1">
      <c r="H194" s="23"/>
      <c r="I194" s="23"/>
      <c r="L194" s="23"/>
      <c r="M194" s="23"/>
    </row>
    <row r="195" ht="18.75" customHeight="1">
      <c r="H195" s="23"/>
      <c r="I195" s="23"/>
      <c r="L195" s="23"/>
      <c r="M195" s="23"/>
    </row>
    <row r="196" ht="18.75" customHeight="1">
      <c r="H196" s="23"/>
      <c r="I196" s="23"/>
      <c r="L196" s="23"/>
      <c r="M196" s="23"/>
    </row>
    <row r="197" ht="18.75" customHeight="1">
      <c r="H197" s="23"/>
      <c r="I197" s="23"/>
      <c r="L197" s="23"/>
      <c r="M197" s="23"/>
    </row>
    <row r="198" ht="18.75" customHeight="1">
      <c r="H198" s="23"/>
      <c r="I198" s="23"/>
      <c r="L198" s="23"/>
      <c r="M198" s="23"/>
    </row>
    <row r="199" ht="18.75" customHeight="1">
      <c r="H199" s="23"/>
      <c r="I199" s="23"/>
      <c r="L199" s="23"/>
      <c r="M199" s="23"/>
    </row>
    <row r="200" ht="18.75" customHeight="1">
      <c r="H200" s="23"/>
      <c r="I200" s="23"/>
      <c r="L200" s="23"/>
      <c r="M200" s="23"/>
    </row>
    <row r="201" ht="18.75" customHeight="1">
      <c r="H201" s="23"/>
      <c r="I201" s="23"/>
      <c r="L201" s="23"/>
      <c r="M201" s="23"/>
    </row>
    <row r="202" ht="18.75" customHeight="1">
      <c r="H202" s="23"/>
      <c r="I202" s="23"/>
      <c r="L202" s="23"/>
      <c r="M202" s="23"/>
    </row>
    <row r="203" ht="18.75" customHeight="1">
      <c r="H203" s="23"/>
      <c r="I203" s="23"/>
      <c r="L203" s="23"/>
      <c r="M203" s="23"/>
    </row>
    <row r="204" ht="18.75" customHeight="1">
      <c r="H204" s="23"/>
      <c r="I204" s="23"/>
      <c r="L204" s="23"/>
      <c r="M204" s="23"/>
    </row>
    <row r="205" ht="18.75" customHeight="1">
      <c r="H205" s="23"/>
      <c r="I205" s="23"/>
      <c r="L205" s="23"/>
      <c r="M205" s="23"/>
    </row>
    <row r="206" ht="18.75" customHeight="1">
      <c r="H206" s="23"/>
      <c r="I206" s="23"/>
      <c r="L206" s="23"/>
      <c r="M206" s="23"/>
    </row>
    <row r="207" ht="18.75" customHeight="1">
      <c r="H207" s="23"/>
      <c r="I207" s="23"/>
      <c r="L207" s="23"/>
      <c r="M207" s="23"/>
    </row>
    <row r="208" ht="18.75" customHeight="1">
      <c r="H208" s="23"/>
      <c r="I208" s="23"/>
      <c r="L208" s="23"/>
      <c r="M208" s="23"/>
    </row>
    <row r="209" ht="18.75" customHeight="1">
      <c r="H209" s="23"/>
      <c r="I209" s="23"/>
      <c r="L209" s="23"/>
      <c r="M209" s="23"/>
    </row>
    <row r="210" ht="18.75" customHeight="1">
      <c r="H210" s="23"/>
      <c r="I210" s="23"/>
      <c r="L210" s="23"/>
      <c r="M210" s="23"/>
    </row>
    <row r="211" ht="18.75" customHeight="1">
      <c r="H211" s="23"/>
      <c r="I211" s="23"/>
      <c r="L211" s="23"/>
      <c r="M211" s="23"/>
    </row>
    <row r="212" ht="18.75" customHeight="1">
      <c r="H212" s="23"/>
      <c r="I212" s="23"/>
      <c r="L212" s="23"/>
      <c r="M212" s="23"/>
    </row>
    <row r="213" ht="18.75" customHeight="1">
      <c r="H213" s="23"/>
      <c r="I213" s="23"/>
      <c r="L213" s="23"/>
      <c r="M213" s="23"/>
    </row>
    <row r="214" ht="18.75" customHeight="1">
      <c r="H214" s="23"/>
      <c r="I214" s="23"/>
      <c r="L214" s="23"/>
      <c r="M214" s="23"/>
    </row>
    <row r="215" ht="18.75" customHeight="1">
      <c r="H215" s="23"/>
      <c r="I215" s="23"/>
      <c r="L215" s="23"/>
      <c r="M215" s="23"/>
    </row>
    <row r="216" ht="18.75" customHeight="1">
      <c r="H216" s="23"/>
      <c r="I216" s="23"/>
      <c r="L216" s="23"/>
      <c r="M216" s="23"/>
    </row>
    <row r="217" ht="18.75" customHeight="1">
      <c r="H217" s="23"/>
      <c r="I217" s="23"/>
      <c r="L217" s="23"/>
      <c r="M217" s="23"/>
    </row>
    <row r="218" ht="18.75" customHeight="1">
      <c r="H218" s="23"/>
      <c r="I218" s="23"/>
      <c r="L218" s="23"/>
      <c r="M218" s="23"/>
    </row>
    <row r="219" ht="18.75" customHeight="1">
      <c r="H219" s="23"/>
      <c r="I219" s="23"/>
      <c r="L219" s="23"/>
      <c r="M219" s="23"/>
    </row>
    <row r="220" ht="18.75" customHeight="1">
      <c r="H220" s="23"/>
      <c r="I220" s="23"/>
      <c r="L220" s="23"/>
      <c r="M220" s="23"/>
    </row>
    <row r="221" ht="18.75" customHeight="1">
      <c r="H221" s="23"/>
      <c r="I221" s="23"/>
      <c r="L221" s="23"/>
      <c r="M221" s="23"/>
    </row>
    <row r="222" ht="18.75" customHeight="1">
      <c r="H222" s="23"/>
      <c r="I222" s="23"/>
      <c r="L222" s="23"/>
      <c r="M222" s="23"/>
    </row>
    <row r="223" ht="18.75" customHeight="1">
      <c r="H223" s="23"/>
      <c r="I223" s="23"/>
      <c r="L223" s="23"/>
      <c r="M223" s="23"/>
    </row>
    <row r="224" ht="18.75" customHeight="1">
      <c r="H224" s="23"/>
      <c r="I224" s="23"/>
      <c r="L224" s="23"/>
      <c r="M224" s="23"/>
    </row>
    <row r="225" ht="18.75" customHeight="1">
      <c r="H225" s="23"/>
      <c r="I225" s="23"/>
      <c r="L225" s="23"/>
      <c r="M225" s="23"/>
    </row>
    <row r="226" ht="18.75" customHeight="1">
      <c r="H226" s="23"/>
      <c r="I226" s="23"/>
      <c r="L226" s="23"/>
      <c r="M226" s="23"/>
    </row>
    <row r="227" ht="18.75" customHeight="1">
      <c r="H227" s="23"/>
      <c r="I227" s="23"/>
      <c r="L227" s="23"/>
      <c r="M227" s="23"/>
    </row>
    <row r="228" ht="18.75" customHeight="1">
      <c r="H228" s="23"/>
      <c r="I228" s="23"/>
      <c r="L228" s="23"/>
      <c r="M228" s="23"/>
    </row>
    <row r="229" ht="18.75" customHeight="1">
      <c r="H229" s="23"/>
      <c r="I229" s="23"/>
      <c r="L229" s="23"/>
      <c r="M229" s="23"/>
    </row>
    <row r="230" ht="18.75" customHeight="1">
      <c r="H230" s="23"/>
      <c r="I230" s="23"/>
      <c r="L230" s="23"/>
      <c r="M230" s="23"/>
    </row>
    <row r="231" ht="18.75" customHeight="1">
      <c r="H231" s="23"/>
      <c r="I231" s="23"/>
      <c r="L231" s="23"/>
      <c r="M231" s="23"/>
    </row>
    <row r="232" ht="18.75" customHeight="1">
      <c r="H232" s="23"/>
      <c r="I232" s="23"/>
      <c r="L232" s="23"/>
      <c r="M232" s="23"/>
    </row>
    <row r="233" ht="18.75" customHeight="1">
      <c r="H233" s="23"/>
      <c r="I233" s="23"/>
      <c r="L233" s="23"/>
      <c r="M233" s="23"/>
    </row>
    <row r="234" ht="18.75" customHeight="1">
      <c r="H234" s="23"/>
      <c r="I234" s="23"/>
      <c r="L234" s="23"/>
      <c r="M234" s="23"/>
    </row>
    <row r="235" ht="18.75" customHeight="1">
      <c r="H235" s="23"/>
      <c r="I235" s="23"/>
      <c r="L235" s="23"/>
      <c r="M235" s="23"/>
    </row>
    <row r="236" ht="18.75" customHeight="1">
      <c r="H236" s="23"/>
      <c r="I236" s="23"/>
      <c r="L236" s="23"/>
      <c r="M236" s="23"/>
    </row>
    <row r="237" ht="18.75" customHeight="1">
      <c r="H237" s="23"/>
      <c r="I237" s="23"/>
      <c r="L237" s="23"/>
      <c r="M237" s="23"/>
    </row>
    <row r="238" ht="18.75" customHeight="1">
      <c r="H238" s="23"/>
      <c r="I238" s="23"/>
      <c r="L238" s="23"/>
      <c r="M238" s="23"/>
    </row>
    <row r="239" ht="18.75" customHeight="1">
      <c r="H239" s="23"/>
      <c r="I239" s="23"/>
      <c r="L239" s="23"/>
      <c r="M239" s="23"/>
    </row>
    <row r="240" ht="18.75" customHeight="1">
      <c r="H240" s="23"/>
      <c r="I240" s="23"/>
      <c r="L240" s="23"/>
      <c r="M240" s="23"/>
    </row>
    <row r="241" ht="18.75" customHeight="1">
      <c r="H241" s="23"/>
      <c r="I241" s="23"/>
      <c r="L241" s="23"/>
      <c r="M241" s="23"/>
    </row>
    <row r="242" ht="18.75" customHeight="1">
      <c r="H242" s="23"/>
      <c r="I242" s="23"/>
      <c r="L242" s="23"/>
      <c r="M242" s="23"/>
    </row>
    <row r="243" ht="18.75" customHeight="1">
      <c r="H243" s="23"/>
      <c r="I243" s="23"/>
      <c r="L243" s="23"/>
      <c r="M243" s="23"/>
    </row>
    <row r="244" ht="18.75" customHeight="1">
      <c r="H244" s="23"/>
      <c r="I244" s="23"/>
      <c r="L244" s="23"/>
      <c r="M244" s="23"/>
    </row>
    <row r="245" ht="18.75" customHeight="1">
      <c r="H245" s="23"/>
      <c r="I245" s="23"/>
      <c r="L245" s="23"/>
      <c r="M245" s="23"/>
    </row>
    <row r="246" ht="18.75" customHeight="1">
      <c r="H246" s="23"/>
      <c r="I246" s="23"/>
      <c r="L246" s="23"/>
      <c r="M246" s="23"/>
    </row>
    <row r="247" ht="18.75" customHeight="1">
      <c r="H247" s="23"/>
      <c r="I247" s="23"/>
      <c r="L247" s="23"/>
      <c r="M247" s="23"/>
    </row>
    <row r="248" ht="18.75" customHeight="1">
      <c r="H248" s="23"/>
      <c r="I248" s="23"/>
      <c r="L248" s="23"/>
      <c r="M248" s="23"/>
    </row>
    <row r="249" ht="18.75" customHeight="1">
      <c r="H249" s="23"/>
      <c r="I249" s="23"/>
      <c r="L249" s="23"/>
      <c r="M249" s="23"/>
    </row>
    <row r="250" ht="18.75" customHeight="1">
      <c r="H250" s="23"/>
      <c r="I250" s="23"/>
      <c r="L250" s="23"/>
      <c r="M250" s="23"/>
    </row>
    <row r="251" ht="18.75" customHeight="1">
      <c r="H251" s="23"/>
      <c r="I251" s="23"/>
      <c r="L251" s="23"/>
      <c r="M251" s="23"/>
    </row>
    <row r="252" ht="18.75" customHeight="1">
      <c r="H252" s="23"/>
      <c r="I252" s="23"/>
      <c r="L252" s="23"/>
      <c r="M252" s="23"/>
    </row>
    <row r="253" ht="18.75" customHeight="1">
      <c r="H253" s="23"/>
      <c r="I253" s="23"/>
      <c r="L253" s="23"/>
      <c r="M253" s="23"/>
    </row>
    <row r="254" ht="18.75" customHeight="1">
      <c r="H254" s="23"/>
      <c r="I254" s="23"/>
      <c r="L254" s="23"/>
      <c r="M254" s="23"/>
    </row>
    <row r="255" ht="18.75" customHeight="1">
      <c r="H255" s="23"/>
      <c r="I255" s="23"/>
      <c r="L255" s="23"/>
      <c r="M255" s="23"/>
    </row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10.86"/>
    <col customWidth="1" min="3" max="3" width="17.57"/>
    <col customWidth="1" min="4" max="4" width="26.57"/>
    <col customWidth="1" min="5" max="5" width="6.43"/>
    <col customWidth="1" min="6" max="6" width="17.29"/>
    <col customWidth="1" min="7" max="7" width="14.86"/>
    <col customWidth="1" min="8" max="8" width="15.57"/>
    <col customWidth="1" min="9" max="9" width="17.71"/>
    <col customWidth="1" min="10" max="10" width="10.0"/>
    <col customWidth="1" min="11" max="11" width="17.0"/>
    <col customWidth="1" min="12" max="12" width="19.0"/>
    <col customWidth="1" min="13" max="13" width="11.0"/>
    <col customWidth="1" min="14" max="14" width="9.0"/>
    <col customWidth="1" min="15" max="15" width="5.0"/>
    <col customWidth="1" min="16" max="26" width="14.0"/>
  </cols>
  <sheetData>
    <row r="1" ht="18.75" customHeight="1">
      <c r="A1" s="1" t="s">
        <v>0</v>
      </c>
      <c r="B1" s="1" t="s">
        <v>1</v>
      </c>
      <c r="C1" s="1" t="s">
        <v>2</v>
      </c>
      <c r="D1" s="1" t="s">
        <v>5</v>
      </c>
      <c r="E1" s="1" t="s">
        <v>7</v>
      </c>
      <c r="F1" s="1" t="s">
        <v>10</v>
      </c>
      <c r="G1" s="1" t="s">
        <v>11</v>
      </c>
      <c r="H1" s="1" t="s">
        <v>13</v>
      </c>
      <c r="I1" s="1" t="s">
        <v>14</v>
      </c>
      <c r="J1" s="1" t="s">
        <v>15</v>
      </c>
      <c r="L1" s="23"/>
      <c r="M1" s="23"/>
    </row>
    <row r="2" ht="18.75" customHeight="1">
      <c r="A2" s="15" t="str">
        <f>IFERROR(__xludf.DUMMYFUNCTION("FILTER(Pivot_table!A:J, Pivot_table!A:A = ""Chạng Vạng Trần Não"", Pivot_table!I:I &lt;&gt; 0)"),"Chạng Vạng Trần Não")</f>
        <v>Chạng Vạng Trần Não</v>
      </c>
      <c r="B2" s="15" t="str">
        <f>IFERROR(__xludf.DUMMYFUNCTION("""COMPUTED_VALUE"""),"KK00000359")</f>
        <v>KK00000359</v>
      </c>
      <c r="C2" s="17">
        <f>IFERROR(__xludf.DUMMYFUNCTION("""COMPUTED_VALUE"""),46127.99998842592)</f>
        <v>46127.99999</v>
      </c>
      <c r="D2" s="15" t="str">
        <f>IFERROR(__xludf.DUMMYFUNCTION("""COMPUTED_VALUE"""),"DAB - Bắp bò ngâm mắm")</f>
        <v>DAB - Bắp bò ngâm mắm</v>
      </c>
      <c r="E2" s="15" t="str">
        <f>IFERROR(__xludf.DUMMYFUNCTION("""COMPUTED_VALUE"""),"Kg")</f>
        <v>Kg</v>
      </c>
      <c r="F2" s="15">
        <f>IFERROR(__xludf.DUMMYFUNCTION("""COMPUTED_VALUE"""),-0.92)</f>
        <v>-0.92</v>
      </c>
      <c r="G2" s="13">
        <f>IFERROR(__xludf.DUMMYFUNCTION("""COMPUTED_VALUE"""),-322027.0)</f>
        <v>-322027</v>
      </c>
      <c r="H2" s="23">
        <f>IFERROR(__xludf.DUMMYFUNCTION("""COMPUTED_VALUE"""),0.5)</f>
        <v>0.5</v>
      </c>
      <c r="I2" s="23">
        <f>IFERROR(__xludf.DUMMYFUNCTION("""COMPUTED_VALUE"""),0.42000000000000004)</f>
        <v>0.42</v>
      </c>
      <c r="J2" s="13">
        <f>IFERROR(__xludf.DUMMYFUNCTION("""COMPUTED_VALUE"""),147012.327)</f>
        <v>147012.327</v>
      </c>
      <c r="L2" s="23"/>
      <c r="M2" s="23"/>
    </row>
    <row r="3" ht="18.75" customHeight="1">
      <c r="A3" s="15" t="str">
        <f>IFERROR(__xludf.DUMMYFUNCTION("""COMPUTED_VALUE"""),"Chạng Vạng Trần Não")</f>
        <v>Chạng Vạng Trần Não</v>
      </c>
      <c r="B3" s="15" t="str">
        <f>IFERROR(__xludf.DUMMYFUNCTION("""COMPUTED_VALUE"""),"KK00000359")</f>
        <v>KK00000359</v>
      </c>
      <c r="C3" s="17">
        <f>IFERROR(__xludf.DUMMYFUNCTION("""COMPUTED_VALUE"""),46127.99998842592)</f>
        <v>46127.99999</v>
      </c>
      <c r="D3" s="15" t="str">
        <f>IFERROR(__xludf.DUMMYFUNCTION("""COMPUTED_VALUE"""),"DAB - Chả Ram tôm đất")</f>
        <v>DAB - Chả Ram tôm đất</v>
      </c>
      <c r="E3" s="15" t="str">
        <f>IFERROR(__xludf.DUMMYFUNCTION("""COMPUTED_VALUE"""),"Kg")</f>
        <v>Kg</v>
      </c>
      <c r="F3" s="15">
        <f>IFERROR(__xludf.DUMMYFUNCTION("""COMPUTED_VALUE"""),-0.94)</f>
        <v>-0.94</v>
      </c>
      <c r="G3" s="13">
        <f>IFERROR(__xludf.DUMMYFUNCTION("""COMPUTED_VALUE"""),-134214.0)</f>
        <v>-134214</v>
      </c>
      <c r="H3" s="23">
        <f>IFERROR(__xludf.DUMMYFUNCTION("""COMPUTED_VALUE"""),0.5)</f>
        <v>0.5</v>
      </c>
      <c r="I3" s="23">
        <f>IFERROR(__xludf.DUMMYFUNCTION("""COMPUTED_VALUE"""),0.43999999999999995)</f>
        <v>0.44</v>
      </c>
      <c r="J3" s="13">
        <f>IFERROR(__xludf.DUMMYFUNCTION("""COMPUTED_VALUE"""),62823.57399999999)</f>
        <v>62823.574</v>
      </c>
      <c r="L3" s="23"/>
      <c r="M3" s="23"/>
    </row>
    <row r="4" ht="18.75" customHeight="1">
      <c r="A4" s="15" t="str">
        <f>IFERROR(__xludf.DUMMYFUNCTION("""COMPUTED_VALUE"""),"Chạng Vạng Trần Não")</f>
        <v>Chạng Vạng Trần Não</v>
      </c>
      <c r="B4" s="15" t="str">
        <f>IFERROR(__xludf.DUMMYFUNCTION("""COMPUTED_VALUE"""),"KK00000359")</f>
        <v>KK00000359</v>
      </c>
      <c r="C4" s="17">
        <f>IFERROR(__xludf.DUMMYFUNCTION("""COMPUTED_VALUE"""),46127.99998842592)</f>
        <v>46127.99999</v>
      </c>
      <c r="D4" s="15" t="str">
        <f>IFERROR(__xludf.DUMMYFUNCTION("""COMPUTED_VALUE"""),"DAB - Dưa chua")</f>
        <v>DAB - Dưa chua</v>
      </c>
      <c r="E4" s="15" t="str">
        <f>IFERROR(__xludf.DUMMYFUNCTION("""COMPUTED_VALUE"""),"Kg")</f>
        <v>Kg</v>
      </c>
      <c r="F4" s="15">
        <f>IFERROR(__xludf.DUMMYFUNCTION("""COMPUTED_VALUE"""),-0.61)</f>
        <v>-0.61</v>
      </c>
      <c r="G4" s="13">
        <f>IFERROR(__xludf.DUMMYFUNCTION("""COMPUTED_VALUE"""),-19463.0)</f>
        <v>-19463</v>
      </c>
      <c r="H4" s="23">
        <f>IFERROR(__xludf.DUMMYFUNCTION("""COMPUTED_VALUE"""),0.5)</f>
        <v>0.5</v>
      </c>
      <c r="I4" s="23">
        <f>IFERROR(__xludf.DUMMYFUNCTION("""COMPUTED_VALUE"""),0.10999999999999999)</f>
        <v>0.11</v>
      </c>
      <c r="J4" s="13">
        <f>IFERROR(__xludf.DUMMYFUNCTION("""COMPUTED_VALUE"""),3509.7216)</f>
        <v>3509.7216</v>
      </c>
      <c r="L4" s="23"/>
      <c r="M4" s="23"/>
    </row>
    <row r="5" ht="18.75" customHeight="1">
      <c r="A5" s="15" t="str">
        <f>IFERROR(__xludf.DUMMYFUNCTION("""COMPUTED_VALUE"""),"Chạng Vạng Trần Não")</f>
        <v>Chạng Vạng Trần Não</v>
      </c>
      <c r="B5" s="15" t="str">
        <f>IFERROR(__xludf.DUMMYFUNCTION("""COMPUTED_VALUE"""),"KK00000359")</f>
        <v>KK00000359</v>
      </c>
      <c r="C5" s="17">
        <f>IFERROR(__xludf.DUMMYFUNCTION("""COMPUTED_VALUE"""),46127.99998842592)</f>
        <v>46127.99999</v>
      </c>
      <c r="D5" s="15" t="str">
        <f>IFERROR(__xludf.DUMMYFUNCTION("""COMPUTED_VALUE"""),"DAB - KimBap")</f>
        <v>DAB - KimBap</v>
      </c>
      <c r="E5" s="15" t="str">
        <f>IFERROR(__xludf.DUMMYFUNCTION("""COMPUTED_VALUE"""),"Hộp")</f>
        <v>Hộp</v>
      </c>
      <c r="F5" s="15">
        <f>IFERROR(__xludf.DUMMYFUNCTION("""COMPUTED_VALUE"""),-0.4)</f>
        <v>-0.4</v>
      </c>
      <c r="G5" s="13">
        <f>IFERROR(__xludf.DUMMYFUNCTION("""COMPUTED_VALUE"""),-17200.0)</f>
        <v>-17200</v>
      </c>
      <c r="H5" s="23">
        <f>IFERROR(__xludf.DUMMYFUNCTION("""COMPUTED_VALUE"""),0.0)</f>
        <v>0</v>
      </c>
      <c r="I5" s="23">
        <f>IFERROR(__xludf.DUMMYFUNCTION("""COMPUTED_VALUE"""),0.4)</f>
        <v>0.4</v>
      </c>
      <c r="J5" s="13">
        <f>IFERROR(__xludf.DUMMYFUNCTION("""COMPUTED_VALUE"""),17200.0)</f>
        <v>17200</v>
      </c>
      <c r="L5" s="23"/>
      <c r="M5" s="23"/>
    </row>
    <row r="6" ht="18.75" customHeight="1">
      <c r="A6" s="15" t="str">
        <f>IFERROR(__xludf.DUMMYFUNCTION("""COMPUTED_VALUE"""),"Chạng Vạng Trần Não")</f>
        <v>Chạng Vạng Trần Não</v>
      </c>
      <c r="B6" s="15" t="str">
        <f>IFERROR(__xludf.DUMMYFUNCTION("""COMPUTED_VALUE"""),"KK00000359")</f>
        <v>KK00000359</v>
      </c>
      <c r="C6" s="17">
        <f>IFERROR(__xludf.DUMMYFUNCTION("""COMPUTED_VALUE"""),46127.99998842592)</f>
        <v>46127.99999</v>
      </c>
      <c r="D6" s="15" t="str">
        <f>IFERROR(__xludf.DUMMYFUNCTION("""COMPUTED_VALUE"""),"DAB - Mandu")</f>
        <v>DAB - Mandu</v>
      </c>
      <c r="E6" s="15" t="str">
        <f>IFERROR(__xludf.DUMMYFUNCTION("""COMPUTED_VALUE"""),"Bịch")</f>
        <v>Bịch</v>
      </c>
      <c r="F6" s="15">
        <f>IFERROR(__xludf.DUMMYFUNCTION("""COMPUTED_VALUE"""),-0.1)</f>
        <v>-0.1</v>
      </c>
      <c r="G6" s="13">
        <f>IFERROR(__xludf.DUMMYFUNCTION("""COMPUTED_VALUE"""),-4496.0)</f>
        <v>-4496</v>
      </c>
      <c r="H6" s="23">
        <f>IFERROR(__xludf.DUMMYFUNCTION("""COMPUTED_VALUE"""),0.0)</f>
        <v>0</v>
      </c>
      <c r="I6" s="23">
        <f>IFERROR(__xludf.DUMMYFUNCTION("""COMPUTED_VALUE"""),0.1)</f>
        <v>0.1</v>
      </c>
      <c r="J6" s="13">
        <f>IFERROR(__xludf.DUMMYFUNCTION("""COMPUTED_VALUE"""),4496.0)</f>
        <v>4496</v>
      </c>
      <c r="L6" s="23"/>
      <c r="M6" s="23"/>
    </row>
    <row r="7" ht="18.75" customHeight="1">
      <c r="A7" s="15" t="str">
        <f>IFERROR(__xludf.DUMMYFUNCTION("""COMPUTED_VALUE"""),"Chạng Vạng Trần Não")</f>
        <v>Chạng Vạng Trần Não</v>
      </c>
      <c r="B7" s="15" t="str">
        <f>IFERROR(__xludf.DUMMYFUNCTION("""COMPUTED_VALUE"""),"KK00000360")</f>
        <v>KK00000360</v>
      </c>
      <c r="C7" s="17">
        <f>IFERROR(__xludf.DUMMYFUNCTION("""COMPUTED_VALUE"""),46128.99998842592)</f>
        <v>46128.99999</v>
      </c>
      <c r="D7" s="15" t="str">
        <f>IFERROR(__xludf.DUMMYFUNCTION("""COMPUTED_VALUE"""),"MSN -  Mứt tươi dâu tây")</f>
        <v>MSN -  Mứt tươi dâu tây</v>
      </c>
      <c r="E7" s="15" t="str">
        <f>IFERROR(__xludf.DUMMYFUNCTION("""COMPUTED_VALUE"""),"Lít")</f>
        <v>Lít</v>
      </c>
      <c r="F7" s="15">
        <f>IFERROR(__xludf.DUMMYFUNCTION("""COMPUTED_VALUE"""),-0.59)</f>
        <v>-0.59</v>
      </c>
      <c r="G7" s="13">
        <f>IFERROR(__xludf.DUMMYFUNCTION("""COMPUTED_VALUE"""),-21008.0)</f>
        <v>-21008</v>
      </c>
      <c r="H7" s="23">
        <f>IFERROR(__xludf.DUMMYFUNCTION("""COMPUTED_VALUE"""),0.5)</f>
        <v>0.5</v>
      </c>
      <c r="I7" s="23">
        <f>IFERROR(__xludf.DUMMYFUNCTION("""COMPUTED_VALUE"""),0.08999999999999997)</f>
        <v>0.09</v>
      </c>
      <c r="J7" s="13">
        <f>IFERROR(__xludf.DUMMYFUNCTION("""COMPUTED_VALUE"""),3204.6101999999987)</f>
        <v>3204.6102</v>
      </c>
      <c r="L7" s="23"/>
      <c r="M7" s="23"/>
    </row>
    <row r="8" ht="18.75" customHeight="1">
      <c r="A8" s="15" t="str">
        <f>IFERROR(__xludf.DUMMYFUNCTION("""COMPUTED_VALUE"""),"Chạng Vạng Trần Não")</f>
        <v>Chạng Vạng Trần Não</v>
      </c>
      <c r="B8" s="15" t="str">
        <f>IFERROR(__xludf.DUMMYFUNCTION("""COMPUTED_VALUE"""),"KK00000360")</f>
        <v>KK00000360</v>
      </c>
      <c r="C8" s="17">
        <f>IFERROR(__xludf.DUMMYFUNCTION("""COMPUTED_VALUE"""),46128.99998842592)</f>
        <v>46128.99999</v>
      </c>
      <c r="D8" s="15" t="str">
        <f>IFERROR(__xludf.DUMMYFUNCTION("""COMPUTED_VALUE"""),"MSN -  Mứt tươi mãng cầu")</f>
        <v>MSN -  Mứt tươi mãng cầu</v>
      </c>
      <c r="E8" s="15" t="str">
        <f>IFERROR(__xludf.DUMMYFUNCTION("""COMPUTED_VALUE"""),"Lít")</f>
        <v>Lít</v>
      </c>
      <c r="F8" s="15">
        <f>IFERROR(__xludf.DUMMYFUNCTION("""COMPUTED_VALUE"""),-1.12)</f>
        <v>-1.12</v>
      </c>
      <c r="G8" s="13">
        <f>IFERROR(__xludf.DUMMYFUNCTION("""COMPUTED_VALUE"""),-68123.0)</f>
        <v>-68123</v>
      </c>
      <c r="H8" s="23">
        <f>IFERROR(__xludf.DUMMYFUNCTION("""COMPUTED_VALUE"""),0.5)</f>
        <v>0.5</v>
      </c>
      <c r="I8" s="23">
        <f>IFERROR(__xludf.DUMMYFUNCTION("""COMPUTED_VALUE"""),0.6200000000000001)</f>
        <v>0.62</v>
      </c>
      <c r="J8" s="13">
        <f>IFERROR(__xludf.DUMMYFUNCTION("""COMPUTED_VALUE"""),37710.948200000006)</f>
        <v>37710.9482</v>
      </c>
      <c r="L8" s="23"/>
      <c r="M8" s="23"/>
    </row>
    <row r="9" ht="18.75" customHeight="1">
      <c r="A9" s="15" t="str">
        <f>IFERROR(__xludf.DUMMYFUNCTION("""COMPUTED_VALUE"""),"Chạng Vạng Trần Não")</f>
        <v>Chạng Vạng Trần Não</v>
      </c>
      <c r="B9" s="15" t="str">
        <f>IFERROR(__xludf.DUMMYFUNCTION("""COMPUTED_VALUE"""),"KK00000360")</f>
        <v>KK00000360</v>
      </c>
      <c r="C9" s="17">
        <f>IFERROR(__xludf.DUMMYFUNCTION("""COMPUTED_VALUE"""),46128.99998842592)</f>
        <v>46128.99999</v>
      </c>
      <c r="D9" s="15" t="str">
        <f>IFERROR(__xludf.DUMMYFUNCTION("""COMPUTED_VALUE"""),"MSN -  Mứt tươi nhiệt đới")</f>
        <v>MSN -  Mứt tươi nhiệt đới</v>
      </c>
      <c r="E9" s="15" t="str">
        <f>IFERROR(__xludf.DUMMYFUNCTION("""COMPUTED_VALUE"""),"Lít")</f>
        <v>Lít</v>
      </c>
      <c r="F9" s="15">
        <f>IFERROR(__xludf.DUMMYFUNCTION("""COMPUTED_VALUE"""),1.41)</f>
        <v>1.41</v>
      </c>
      <c r="G9" s="13">
        <f>IFERROR(__xludf.DUMMYFUNCTION("""COMPUTED_VALUE"""),78897.0)</f>
        <v>78897</v>
      </c>
      <c r="H9" s="23">
        <f>IFERROR(__xludf.DUMMYFUNCTION("""COMPUTED_VALUE"""),0.5)</f>
        <v>0.5</v>
      </c>
      <c r="I9" s="23">
        <f>IFERROR(__xludf.DUMMYFUNCTION("""COMPUTED_VALUE"""),0.9099999999999999)</f>
        <v>0.91</v>
      </c>
      <c r="J9" s="13">
        <f>IFERROR(__xludf.DUMMYFUNCTION("""COMPUTED_VALUE"""),50919.341199999995)</f>
        <v>50919.3412</v>
      </c>
      <c r="L9" s="23"/>
      <c r="M9" s="23"/>
    </row>
    <row r="10" ht="18.75" customHeight="1">
      <c r="A10" s="15" t="str">
        <f>IFERROR(__xludf.DUMMYFUNCTION("""COMPUTED_VALUE"""),"Chạng Vạng Trần Não")</f>
        <v>Chạng Vạng Trần Não</v>
      </c>
      <c r="B10" s="15" t="str">
        <f>IFERROR(__xludf.DUMMYFUNCTION("""COMPUTED_VALUE"""),"KK00000360")</f>
        <v>KK00000360</v>
      </c>
      <c r="C10" s="17">
        <f>IFERROR(__xludf.DUMMYFUNCTION("""COMPUTED_VALUE"""),46128.99998842592)</f>
        <v>46128.99999</v>
      </c>
      <c r="D10" s="15" t="str">
        <f>IFERROR(__xludf.DUMMYFUNCTION("""COMPUTED_VALUE"""),"MSN - Chunky Vải Hoa hồng")</f>
        <v>MSN - Chunky Vải Hoa hồng</v>
      </c>
      <c r="E10" s="15" t="str">
        <f>IFERROR(__xludf.DUMMYFUNCTION("""COMPUTED_VALUE"""),"Lít")</f>
        <v>Lít</v>
      </c>
      <c r="F10" s="15">
        <f>IFERROR(__xludf.DUMMYFUNCTION("""COMPUTED_VALUE"""),-0.51)</f>
        <v>-0.51</v>
      </c>
      <c r="G10" s="13">
        <f>IFERROR(__xludf.DUMMYFUNCTION("""COMPUTED_VALUE"""),-89952.0)</f>
        <v>-89952</v>
      </c>
      <c r="H10" s="23">
        <f>IFERROR(__xludf.DUMMYFUNCTION("""COMPUTED_VALUE"""),0.5)</f>
        <v>0.5</v>
      </c>
      <c r="I10" s="23">
        <f>IFERROR(__xludf.DUMMYFUNCTION("""COMPUTED_VALUE"""),0.010000000000000009)</f>
        <v>0.01</v>
      </c>
      <c r="J10" s="13">
        <f>IFERROR(__xludf.DUMMYFUNCTION("""COMPUTED_VALUE"""),1763.7647000000015)</f>
        <v>1763.7647</v>
      </c>
      <c r="L10" s="23"/>
      <c r="M10" s="23"/>
    </row>
    <row r="11" ht="18.75" customHeight="1">
      <c r="A11" s="15" t="str">
        <f>IFERROR(__xludf.DUMMYFUNCTION("""COMPUTED_VALUE"""),"Chạng Vạng Trần Não")</f>
        <v>Chạng Vạng Trần Não</v>
      </c>
      <c r="B11" s="15" t="str">
        <f>IFERROR(__xludf.DUMMYFUNCTION("""COMPUTED_VALUE"""),"KK00000360")</f>
        <v>KK00000360</v>
      </c>
      <c r="C11" s="17">
        <f>IFERROR(__xludf.DUMMYFUNCTION("""COMPUTED_VALUE"""),46128.99998842592)</f>
        <v>46128.99999</v>
      </c>
      <c r="D11" s="15" t="str">
        <f>IFERROR(__xludf.DUMMYFUNCTION("""COMPUTED_VALUE"""),"MSN - Kombucha thành  phẩm")</f>
        <v>MSN - Kombucha thành  phẩm</v>
      </c>
      <c r="E11" s="15" t="str">
        <f>IFERROR(__xludf.DUMMYFUNCTION("""COMPUTED_VALUE"""),"Lít")</f>
        <v>Lít</v>
      </c>
      <c r="F11" s="15">
        <f>IFERROR(__xludf.DUMMYFUNCTION("""COMPUTED_VALUE"""),1.84)</f>
        <v>1.84</v>
      </c>
      <c r="G11" s="13">
        <f>IFERROR(__xludf.DUMMYFUNCTION("""COMPUTED_VALUE"""),8556.0)</f>
        <v>8556</v>
      </c>
      <c r="H11" s="23">
        <f>IFERROR(__xludf.DUMMYFUNCTION("""COMPUTED_VALUE"""),0.5)</f>
        <v>0.5</v>
      </c>
      <c r="I11" s="23">
        <f>IFERROR(__xludf.DUMMYFUNCTION("""COMPUTED_VALUE"""),1.34)</f>
        <v>1.34</v>
      </c>
      <c r="J11" s="13">
        <f>IFERROR(__xludf.DUMMYFUNCTION("""COMPUTED_VALUE"""),6231.0)</f>
        <v>6231</v>
      </c>
      <c r="L11" s="23"/>
      <c r="M11" s="23"/>
    </row>
    <row r="12" ht="18.75" customHeight="1">
      <c r="A12" s="15" t="str">
        <f>IFERROR(__xludf.DUMMYFUNCTION("""COMPUTED_VALUE"""),"Chạng Vạng Trần Não")</f>
        <v>Chạng Vạng Trần Não</v>
      </c>
      <c r="B12" s="15" t="str">
        <f>IFERROR(__xludf.DUMMYFUNCTION("""COMPUTED_VALUE"""),"KK00000361")</f>
        <v>KK00000361</v>
      </c>
      <c r="C12" s="17">
        <f>IFERROR(__xludf.DUMMYFUNCTION("""COMPUTED_VALUE"""),46129.99998842592)</f>
        <v>46129.99999</v>
      </c>
      <c r="D12" s="15" t="str">
        <f>IFERROR(__xludf.DUMMYFUNCTION("""COMPUTED_VALUE"""),"MSN - Trân châu olong")</f>
        <v>MSN - Trân châu olong</v>
      </c>
      <c r="E12" s="15" t="str">
        <f>IFERROR(__xludf.DUMMYFUNCTION("""COMPUTED_VALUE"""),"Kg")</f>
        <v>Kg</v>
      </c>
      <c r="F12" s="15">
        <f>IFERROR(__xludf.DUMMYFUNCTION("""COMPUTED_VALUE"""),-1.842)</f>
        <v>-1.842</v>
      </c>
      <c r="G12" s="13">
        <f>IFERROR(__xludf.DUMMYFUNCTION("""COMPUTED_VALUE"""),-73663.0)</f>
        <v>-73663</v>
      </c>
      <c r="H12" s="23">
        <f>IFERROR(__xludf.DUMMYFUNCTION("""COMPUTED_VALUE"""),0.5)</f>
        <v>0.5</v>
      </c>
      <c r="I12" s="23">
        <f>IFERROR(__xludf.DUMMYFUNCTION("""COMPUTED_VALUE"""),1.342)</f>
        <v>1.342</v>
      </c>
      <c r="J12" s="13">
        <f>IFERROR(__xludf.DUMMYFUNCTION("""COMPUTED_VALUE"""),53667.613339999996)</f>
        <v>53667.61334</v>
      </c>
      <c r="L12" s="23"/>
      <c r="M12" s="23"/>
    </row>
    <row r="13" ht="18.75" customHeight="1">
      <c r="A13" s="15" t="str">
        <f>IFERROR(__xludf.DUMMYFUNCTION("""COMPUTED_VALUE"""),"Chạng Vạng Trần Não")</f>
        <v>Chạng Vạng Trần Não</v>
      </c>
      <c r="B13" s="15" t="str">
        <f>IFERROR(__xludf.DUMMYFUNCTION("""COMPUTED_VALUE"""),"KK00000361")</f>
        <v>KK00000361</v>
      </c>
      <c r="C13" s="17">
        <f>IFERROR(__xludf.DUMMYFUNCTION("""COMPUTED_VALUE"""),46129.99998842592)</f>
        <v>46129.99999</v>
      </c>
      <c r="D13" s="15" t="str">
        <f>IFERROR(__xludf.DUMMYFUNCTION("""COMPUTED_VALUE"""),"MSN - Trân châu trắng")</f>
        <v>MSN - Trân châu trắng</v>
      </c>
      <c r="E13" s="15" t="str">
        <f>IFERROR(__xludf.DUMMYFUNCTION("""COMPUTED_VALUE"""),"Kg")</f>
        <v>Kg</v>
      </c>
      <c r="F13" s="15">
        <f>IFERROR(__xludf.DUMMYFUNCTION("""COMPUTED_VALUE"""),0.558458)</f>
        <v>0.558458</v>
      </c>
      <c r="G13" s="13">
        <f>IFERROR(__xludf.DUMMYFUNCTION("""COMPUTED_VALUE"""),15357.0)</f>
        <v>15357</v>
      </c>
      <c r="H13" s="23">
        <f>IFERROR(__xludf.DUMMYFUNCTION("""COMPUTED_VALUE"""),0.5)</f>
        <v>0.5</v>
      </c>
      <c r="I13" s="23">
        <f>IFERROR(__xludf.DUMMYFUNCTION("""COMPUTED_VALUE"""),0.05845800000000001)</f>
        <v>0.058458</v>
      </c>
      <c r="J13" s="13">
        <f>IFERROR(__xludf.DUMMYFUNCTION("""COMPUTED_VALUE"""),1607.5324499400003)</f>
        <v>1607.53245</v>
      </c>
      <c r="L13" s="23"/>
      <c r="M13" s="23"/>
    </row>
    <row r="14" ht="18.75" customHeight="1">
      <c r="H14" s="23"/>
      <c r="I14" s="23"/>
      <c r="L14" s="23"/>
      <c r="M14" s="23"/>
    </row>
    <row r="15" ht="18.75" customHeight="1">
      <c r="H15" s="23"/>
      <c r="I15" s="23"/>
      <c r="L15" s="23"/>
      <c r="M15" s="23"/>
    </row>
    <row r="16" ht="18.75" customHeight="1">
      <c r="H16" s="23"/>
      <c r="I16" s="23"/>
      <c r="L16" s="23"/>
      <c r="M16" s="23"/>
    </row>
    <row r="17" ht="18.75" customHeight="1">
      <c r="H17" s="23"/>
      <c r="I17" s="23"/>
      <c r="L17" s="23"/>
      <c r="M17" s="23"/>
    </row>
    <row r="18" ht="18.75" customHeight="1">
      <c r="H18" s="23"/>
      <c r="I18" s="23"/>
      <c r="L18" s="23"/>
      <c r="M18" s="23"/>
    </row>
    <row r="19" ht="18.75" customHeight="1">
      <c r="H19" s="23"/>
      <c r="I19" s="23"/>
      <c r="L19" s="23"/>
      <c r="M19" s="23"/>
    </row>
    <row r="20" ht="18.75" customHeight="1">
      <c r="H20" s="23"/>
      <c r="I20" s="23"/>
      <c r="L20" s="23"/>
      <c r="M20" s="23"/>
    </row>
    <row r="21" ht="18.75" customHeight="1">
      <c r="H21" s="23"/>
      <c r="I21" s="23"/>
      <c r="L21" s="23"/>
      <c r="M21" s="23"/>
    </row>
    <row r="22" ht="18.75" customHeight="1">
      <c r="H22" s="23"/>
      <c r="I22" s="23"/>
      <c r="L22" s="23"/>
      <c r="M22" s="23"/>
    </row>
    <row r="23" ht="18.75" customHeight="1">
      <c r="H23" s="23"/>
      <c r="I23" s="23"/>
      <c r="L23" s="23"/>
      <c r="M23" s="23"/>
    </row>
    <row r="24" ht="18.75" customHeight="1">
      <c r="H24" s="23"/>
      <c r="I24" s="23"/>
      <c r="L24" s="23"/>
      <c r="M24" s="23"/>
    </row>
    <row r="25" ht="18.75" customHeight="1">
      <c r="H25" s="23"/>
      <c r="I25" s="23"/>
      <c r="L25" s="23"/>
      <c r="M25" s="23"/>
    </row>
    <row r="26" ht="18.75" customHeight="1">
      <c r="H26" s="23"/>
      <c r="I26" s="23"/>
      <c r="L26" s="23"/>
      <c r="M26" s="23"/>
    </row>
    <row r="27" ht="18.75" customHeight="1">
      <c r="H27" s="23"/>
      <c r="I27" s="23"/>
      <c r="L27" s="23"/>
      <c r="M27" s="23"/>
    </row>
    <row r="28" ht="18.75" customHeight="1">
      <c r="H28" s="23"/>
      <c r="I28" s="23"/>
      <c r="L28" s="23"/>
      <c r="M28" s="23"/>
    </row>
    <row r="29" ht="18.75" customHeight="1">
      <c r="H29" s="23"/>
      <c r="I29" s="23"/>
      <c r="L29" s="23"/>
      <c r="M29" s="23"/>
    </row>
    <row r="30" ht="18.75" customHeight="1">
      <c r="H30" s="23"/>
      <c r="I30" s="23"/>
      <c r="L30" s="23"/>
      <c r="M30" s="23"/>
    </row>
    <row r="31" ht="18.75" customHeight="1">
      <c r="H31" s="23"/>
      <c r="I31" s="23"/>
      <c r="L31" s="23"/>
      <c r="M31" s="23"/>
    </row>
    <row r="32" ht="18.75" customHeight="1">
      <c r="H32" s="23"/>
      <c r="I32" s="23"/>
      <c r="L32" s="23"/>
      <c r="M32" s="23"/>
    </row>
    <row r="33" ht="18.75" customHeight="1">
      <c r="H33" s="23"/>
      <c r="I33" s="23"/>
      <c r="L33" s="23"/>
      <c r="M33" s="23"/>
    </row>
    <row r="34" ht="18.75" customHeight="1">
      <c r="H34" s="23"/>
      <c r="I34" s="23"/>
      <c r="L34" s="23"/>
      <c r="M34" s="23"/>
    </row>
    <row r="35" ht="18.75" customHeight="1">
      <c r="H35" s="23"/>
      <c r="I35" s="23"/>
      <c r="L35" s="23"/>
      <c r="M35" s="23"/>
    </row>
    <row r="36" ht="18.75" customHeight="1">
      <c r="H36" s="23"/>
      <c r="I36" s="23"/>
      <c r="L36" s="23"/>
      <c r="M36" s="23"/>
    </row>
    <row r="37" ht="18.75" customHeight="1">
      <c r="H37" s="23"/>
      <c r="I37" s="23"/>
      <c r="L37" s="23"/>
      <c r="M37" s="23"/>
    </row>
    <row r="38" ht="18.75" customHeight="1">
      <c r="H38" s="23"/>
      <c r="I38" s="23"/>
      <c r="L38" s="23"/>
      <c r="M38" s="23"/>
    </row>
    <row r="39" ht="18.75" customHeight="1">
      <c r="H39" s="23"/>
      <c r="I39" s="23"/>
      <c r="L39" s="23"/>
      <c r="M39" s="23"/>
    </row>
    <row r="40" ht="18.75" customHeight="1">
      <c r="H40" s="23"/>
      <c r="I40" s="23"/>
      <c r="L40" s="23"/>
      <c r="M40" s="23"/>
    </row>
    <row r="41" ht="18.75" customHeight="1">
      <c r="H41" s="23"/>
      <c r="I41" s="23"/>
      <c r="L41" s="23"/>
      <c r="M41" s="23"/>
    </row>
    <row r="42" ht="18.75" customHeight="1">
      <c r="H42" s="23"/>
      <c r="I42" s="23"/>
      <c r="L42" s="23"/>
      <c r="M42" s="23"/>
    </row>
    <row r="43" ht="18.75" customHeight="1">
      <c r="H43" s="23"/>
      <c r="I43" s="23"/>
      <c r="L43" s="23"/>
      <c r="M43" s="23"/>
    </row>
    <row r="44" ht="18.75" customHeight="1">
      <c r="H44" s="23"/>
      <c r="I44" s="23"/>
      <c r="L44" s="23"/>
      <c r="M44" s="23"/>
    </row>
    <row r="45" ht="18.75" customHeight="1">
      <c r="H45" s="23"/>
      <c r="I45" s="23"/>
      <c r="L45" s="23"/>
      <c r="M45" s="23"/>
    </row>
    <row r="46" ht="18.75" customHeight="1">
      <c r="H46" s="23"/>
      <c r="I46" s="23"/>
      <c r="L46" s="23"/>
      <c r="M46" s="23"/>
    </row>
    <row r="47" ht="18.75" customHeight="1">
      <c r="H47" s="23"/>
      <c r="I47" s="23"/>
      <c r="L47" s="23"/>
      <c r="M47" s="23"/>
    </row>
    <row r="48" ht="18.75" customHeight="1">
      <c r="H48" s="23"/>
      <c r="I48" s="23"/>
      <c r="L48" s="23"/>
      <c r="M48" s="23"/>
    </row>
    <row r="49" ht="18.75" customHeight="1">
      <c r="H49" s="23"/>
      <c r="I49" s="23"/>
      <c r="L49" s="23"/>
      <c r="M49" s="23"/>
    </row>
    <row r="50" ht="18.75" customHeight="1">
      <c r="H50" s="23"/>
      <c r="I50" s="23"/>
      <c r="L50" s="23"/>
      <c r="M50" s="23"/>
    </row>
    <row r="51" ht="18.75" customHeight="1">
      <c r="H51" s="23"/>
      <c r="I51" s="23"/>
      <c r="L51" s="23"/>
      <c r="M51" s="23"/>
    </row>
    <row r="52" ht="18.75" customHeight="1">
      <c r="H52" s="23"/>
      <c r="I52" s="23"/>
      <c r="L52" s="23"/>
      <c r="M52" s="23"/>
    </row>
    <row r="53" ht="18.75" customHeight="1">
      <c r="H53" s="23"/>
      <c r="I53" s="23"/>
      <c r="L53" s="23"/>
      <c r="M53" s="23"/>
    </row>
    <row r="54" ht="18.75" customHeight="1">
      <c r="H54" s="23"/>
      <c r="I54" s="23"/>
      <c r="L54" s="23"/>
      <c r="M54" s="23"/>
    </row>
    <row r="55" ht="18.75" customHeight="1">
      <c r="H55" s="23"/>
      <c r="I55" s="23"/>
      <c r="L55" s="23"/>
      <c r="M55" s="23"/>
    </row>
    <row r="56" ht="18.75" customHeight="1">
      <c r="H56" s="23"/>
      <c r="I56" s="23"/>
      <c r="L56" s="23"/>
      <c r="M56" s="23"/>
    </row>
    <row r="57" ht="18.75" customHeight="1">
      <c r="H57" s="23"/>
      <c r="I57" s="23"/>
      <c r="L57" s="23"/>
      <c r="M57" s="23"/>
    </row>
    <row r="58" ht="18.75" customHeight="1">
      <c r="H58" s="23"/>
      <c r="I58" s="23"/>
      <c r="L58" s="23"/>
      <c r="M58" s="23"/>
    </row>
    <row r="59" ht="18.75" customHeight="1">
      <c r="H59" s="23"/>
      <c r="I59" s="23"/>
      <c r="L59" s="23"/>
      <c r="M59" s="23"/>
    </row>
    <row r="60" ht="18.75" customHeight="1">
      <c r="H60" s="23"/>
      <c r="I60" s="23"/>
      <c r="L60" s="23"/>
      <c r="M60" s="23"/>
    </row>
    <row r="61" ht="18.75" customHeight="1">
      <c r="H61" s="23"/>
      <c r="I61" s="23"/>
      <c r="L61" s="23"/>
      <c r="M61" s="23"/>
    </row>
    <row r="62" ht="18.75" customHeight="1">
      <c r="H62" s="23"/>
      <c r="I62" s="23"/>
      <c r="L62" s="23"/>
      <c r="M62" s="23"/>
    </row>
    <row r="63" ht="18.75" customHeight="1">
      <c r="H63" s="23"/>
      <c r="I63" s="23"/>
      <c r="L63" s="23"/>
      <c r="M63" s="23"/>
    </row>
    <row r="64" ht="18.75" customHeight="1">
      <c r="H64" s="23"/>
      <c r="I64" s="23"/>
      <c r="L64" s="23"/>
      <c r="M64" s="23"/>
    </row>
    <row r="65" ht="18.75" customHeight="1">
      <c r="H65" s="23"/>
      <c r="I65" s="23"/>
      <c r="L65" s="23"/>
      <c r="M65" s="23"/>
    </row>
    <row r="66" ht="18.75" customHeight="1">
      <c r="H66" s="23"/>
      <c r="I66" s="23"/>
      <c r="L66" s="23"/>
      <c r="M66" s="23"/>
    </row>
    <row r="67" ht="18.75" customHeight="1">
      <c r="H67" s="23"/>
      <c r="I67" s="23"/>
      <c r="L67" s="23"/>
      <c r="M67" s="23"/>
    </row>
    <row r="68" ht="18.75" customHeight="1">
      <c r="H68" s="23"/>
      <c r="I68" s="23"/>
      <c r="L68" s="23"/>
      <c r="M68" s="23"/>
    </row>
    <row r="69" ht="18.75" customHeight="1">
      <c r="H69" s="23"/>
      <c r="I69" s="23"/>
      <c r="L69" s="23"/>
      <c r="M69" s="23"/>
    </row>
    <row r="70" ht="18.75" customHeight="1">
      <c r="H70" s="23"/>
      <c r="I70" s="23"/>
      <c r="L70" s="23"/>
      <c r="M70" s="23"/>
    </row>
    <row r="71" ht="18.75" customHeight="1">
      <c r="H71" s="23"/>
      <c r="I71" s="23"/>
      <c r="L71" s="23"/>
      <c r="M71" s="23"/>
    </row>
    <row r="72" ht="18.75" customHeight="1">
      <c r="H72" s="23"/>
      <c r="I72" s="23"/>
      <c r="L72" s="23"/>
      <c r="M72" s="23"/>
    </row>
    <row r="73" ht="18.75" customHeight="1">
      <c r="H73" s="23"/>
      <c r="I73" s="23"/>
      <c r="L73" s="23"/>
      <c r="M73" s="23"/>
    </row>
    <row r="74" ht="18.75" customHeight="1">
      <c r="H74" s="23"/>
      <c r="I74" s="23"/>
      <c r="L74" s="23"/>
      <c r="M74" s="23"/>
    </row>
    <row r="75" ht="18.75" customHeight="1">
      <c r="H75" s="23"/>
      <c r="I75" s="23"/>
      <c r="L75" s="23"/>
      <c r="M75" s="23"/>
    </row>
    <row r="76" ht="18.75" customHeight="1">
      <c r="H76" s="23"/>
      <c r="I76" s="23"/>
      <c r="L76" s="23"/>
      <c r="M76" s="23"/>
    </row>
    <row r="77" ht="18.75" customHeight="1">
      <c r="H77" s="23"/>
      <c r="I77" s="23"/>
      <c r="L77" s="23"/>
      <c r="M77" s="23"/>
    </row>
    <row r="78" ht="18.75" customHeight="1">
      <c r="H78" s="23"/>
      <c r="I78" s="23"/>
      <c r="L78" s="23"/>
      <c r="M78" s="23"/>
    </row>
    <row r="79" ht="18.75" customHeight="1">
      <c r="H79" s="23"/>
      <c r="I79" s="23"/>
      <c r="L79" s="23"/>
      <c r="M79" s="23"/>
    </row>
    <row r="80" ht="18.75" customHeight="1">
      <c r="H80" s="23"/>
      <c r="I80" s="23"/>
      <c r="L80" s="23"/>
      <c r="M80" s="23"/>
    </row>
    <row r="81" ht="18.75" customHeight="1">
      <c r="H81" s="23"/>
      <c r="I81" s="23"/>
      <c r="L81" s="23"/>
      <c r="M81" s="23"/>
    </row>
    <row r="82" ht="18.75" customHeight="1">
      <c r="H82" s="23"/>
      <c r="I82" s="23"/>
      <c r="L82" s="23"/>
      <c r="M82" s="23"/>
    </row>
    <row r="83" ht="18.75" customHeight="1">
      <c r="H83" s="23"/>
      <c r="I83" s="23"/>
      <c r="L83" s="23"/>
      <c r="M83" s="23"/>
    </row>
    <row r="84" ht="18.75" customHeight="1">
      <c r="H84" s="23"/>
      <c r="I84" s="23"/>
      <c r="L84" s="23"/>
      <c r="M84" s="23"/>
    </row>
    <row r="85" ht="18.75" customHeight="1">
      <c r="H85" s="23"/>
      <c r="I85" s="23"/>
      <c r="L85" s="23"/>
      <c r="M85" s="23"/>
    </row>
    <row r="86" ht="18.75" customHeight="1">
      <c r="H86" s="23"/>
      <c r="I86" s="23"/>
      <c r="L86" s="23"/>
      <c r="M86" s="23"/>
    </row>
    <row r="87" ht="18.75" customHeight="1">
      <c r="H87" s="23"/>
      <c r="I87" s="23"/>
      <c r="L87" s="23"/>
      <c r="M87" s="23"/>
    </row>
    <row r="88" ht="18.75" customHeight="1">
      <c r="H88" s="23"/>
      <c r="I88" s="23"/>
      <c r="L88" s="23"/>
      <c r="M88" s="23"/>
    </row>
    <row r="89" ht="18.75" customHeight="1">
      <c r="H89" s="23"/>
      <c r="I89" s="23"/>
      <c r="L89" s="23"/>
      <c r="M89" s="23"/>
    </row>
    <row r="90" ht="18.75" customHeight="1">
      <c r="H90" s="23"/>
      <c r="I90" s="23"/>
      <c r="L90" s="23"/>
      <c r="M90" s="23"/>
    </row>
    <row r="91" ht="18.75" customHeight="1">
      <c r="H91" s="23"/>
      <c r="I91" s="23"/>
      <c r="L91" s="23"/>
      <c r="M91" s="23"/>
    </row>
    <row r="92" ht="18.75" customHeight="1">
      <c r="H92" s="23"/>
      <c r="I92" s="23"/>
      <c r="L92" s="23"/>
      <c r="M92" s="23"/>
    </row>
    <row r="93" ht="18.75" customHeight="1">
      <c r="H93" s="23"/>
      <c r="I93" s="23"/>
      <c r="L93" s="23"/>
      <c r="M93" s="23"/>
    </row>
    <row r="94" ht="18.75" customHeight="1">
      <c r="H94" s="23"/>
      <c r="I94" s="23"/>
      <c r="L94" s="23"/>
      <c r="M94" s="23"/>
    </row>
    <row r="95" ht="18.75" customHeight="1">
      <c r="H95" s="23"/>
      <c r="I95" s="23"/>
      <c r="L95" s="23"/>
      <c r="M95" s="23"/>
    </row>
    <row r="96" ht="18.75" customHeight="1">
      <c r="H96" s="23"/>
      <c r="I96" s="23"/>
      <c r="L96" s="23"/>
      <c r="M96" s="23"/>
    </row>
    <row r="97" ht="18.75" customHeight="1">
      <c r="H97" s="23"/>
      <c r="I97" s="23"/>
      <c r="L97" s="23"/>
      <c r="M97" s="23"/>
    </row>
    <row r="98" ht="18.75" customHeight="1">
      <c r="H98" s="23"/>
      <c r="I98" s="23"/>
      <c r="L98" s="23"/>
      <c r="M98" s="23"/>
    </row>
    <row r="99" ht="18.75" customHeight="1">
      <c r="H99" s="23"/>
      <c r="I99" s="23"/>
      <c r="L99" s="23"/>
      <c r="M99" s="23"/>
    </row>
    <row r="100" ht="18.75" customHeight="1">
      <c r="H100" s="23"/>
      <c r="I100" s="23"/>
      <c r="L100" s="23"/>
      <c r="M100" s="23"/>
    </row>
    <row r="101" ht="18.75" customHeight="1">
      <c r="H101" s="23"/>
      <c r="I101" s="23"/>
      <c r="L101" s="23"/>
      <c r="M101" s="23"/>
    </row>
    <row r="102" ht="18.75" customHeight="1">
      <c r="H102" s="23"/>
      <c r="I102" s="23"/>
      <c r="L102" s="23"/>
      <c r="M102" s="23"/>
    </row>
    <row r="103" ht="18.75" customHeight="1">
      <c r="H103" s="23"/>
      <c r="I103" s="23"/>
      <c r="L103" s="23"/>
      <c r="M103" s="23"/>
    </row>
    <row r="104" ht="18.75" customHeight="1">
      <c r="H104" s="23"/>
      <c r="I104" s="23"/>
      <c r="L104" s="23"/>
      <c r="M104" s="23"/>
    </row>
    <row r="105" ht="18.75" customHeight="1">
      <c r="H105" s="23"/>
      <c r="I105" s="23"/>
      <c r="L105" s="23"/>
      <c r="M105" s="23"/>
    </row>
    <row r="106" ht="18.75" customHeight="1">
      <c r="H106" s="23"/>
      <c r="I106" s="23"/>
      <c r="L106" s="23"/>
      <c r="M106" s="23"/>
    </row>
    <row r="107" ht="18.75" customHeight="1">
      <c r="H107" s="23"/>
      <c r="I107" s="23"/>
      <c r="L107" s="23"/>
      <c r="M107" s="23"/>
    </row>
    <row r="108" ht="18.75" customHeight="1">
      <c r="H108" s="23"/>
      <c r="I108" s="23"/>
      <c r="L108" s="23"/>
      <c r="M108" s="23"/>
    </row>
    <row r="109" ht="18.75" customHeight="1">
      <c r="H109" s="23"/>
      <c r="I109" s="23"/>
      <c r="L109" s="23"/>
      <c r="M109" s="23"/>
    </row>
    <row r="110" ht="18.75" customHeight="1">
      <c r="H110" s="23"/>
      <c r="I110" s="23"/>
      <c r="L110" s="23"/>
      <c r="M110" s="23"/>
    </row>
    <row r="111" ht="18.75" customHeight="1">
      <c r="H111" s="23"/>
      <c r="I111" s="23"/>
      <c r="L111" s="23"/>
      <c r="M111" s="23"/>
    </row>
    <row r="112" ht="18.75" customHeight="1">
      <c r="H112" s="23"/>
      <c r="I112" s="23"/>
      <c r="L112" s="23"/>
      <c r="M112" s="23"/>
    </row>
    <row r="113" ht="18.75" customHeight="1">
      <c r="H113" s="23"/>
      <c r="I113" s="23"/>
      <c r="L113" s="23"/>
      <c r="M113" s="23"/>
    </row>
    <row r="114" ht="18.75" customHeight="1">
      <c r="H114" s="23"/>
      <c r="I114" s="23"/>
      <c r="L114" s="23"/>
      <c r="M114" s="23"/>
    </row>
    <row r="115" ht="18.75" customHeight="1">
      <c r="H115" s="23"/>
      <c r="I115" s="23"/>
      <c r="L115" s="23"/>
      <c r="M115" s="23"/>
    </row>
    <row r="116" ht="18.75" customHeight="1">
      <c r="H116" s="23"/>
      <c r="I116" s="23"/>
      <c r="L116" s="23"/>
      <c r="M116" s="23"/>
    </row>
    <row r="117" ht="18.75" customHeight="1">
      <c r="H117" s="23"/>
      <c r="I117" s="23"/>
      <c r="L117" s="23"/>
      <c r="M117" s="23"/>
    </row>
    <row r="118" ht="18.75" customHeight="1">
      <c r="H118" s="23"/>
      <c r="I118" s="23"/>
      <c r="L118" s="23"/>
      <c r="M118" s="23"/>
    </row>
    <row r="119" ht="18.75" customHeight="1">
      <c r="H119" s="23"/>
      <c r="I119" s="23"/>
      <c r="L119" s="23"/>
      <c r="M119" s="23"/>
    </row>
    <row r="120" ht="18.75" customHeight="1">
      <c r="H120" s="23"/>
      <c r="I120" s="23"/>
      <c r="L120" s="23"/>
      <c r="M120" s="23"/>
    </row>
    <row r="121" ht="18.75" customHeight="1">
      <c r="H121" s="23"/>
      <c r="I121" s="23"/>
      <c r="L121" s="23"/>
      <c r="M121" s="23"/>
    </row>
    <row r="122" ht="18.75" customHeight="1">
      <c r="H122" s="23"/>
      <c r="I122" s="23"/>
      <c r="L122" s="23"/>
      <c r="M122" s="23"/>
    </row>
    <row r="123" ht="18.75" customHeight="1">
      <c r="H123" s="23"/>
      <c r="I123" s="23"/>
      <c r="L123" s="23"/>
      <c r="M123" s="23"/>
    </row>
    <row r="124" ht="18.75" customHeight="1">
      <c r="H124" s="23"/>
      <c r="I124" s="23"/>
      <c r="L124" s="23"/>
      <c r="M124" s="23"/>
    </row>
    <row r="125" ht="18.75" customHeight="1">
      <c r="H125" s="23"/>
      <c r="I125" s="23"/>
      <c r="L125" s="23"/>
      <c r="M125" s="23"/>
    </row>
    <row r="126" ht="18.75" customHeight="1">
      <c r="H126" s="23"/>
      <c r="I126" s="23"/>
      <c r="L126" s="23"/>
      <c r="M126" s="23"/>
    </row>
    <row r="127" ht="18.75" customHeight="1">
      <c r="H127" s="23"/>
      <c r="I127" s="23"/>
      <c r="L127" s="23"/>
      <c r="M127" s="23"/>
    </row>
    <row r="128" ht="18.75" customHeight="1">
      <c r="H128" s="23"/>
      <c r="I128" s="23"/>
      <c r="L128" s="23"/>
      <c r="M128" s="23"/>
    </row>
    <row r="129" ht="18.75" customHeight="1">
      <c r="H129" s="23"/>
      <c r="I129" s="23"/>
      <c r="L129" s="23"/>
      <c r="M129" s="23"/>
    </row>
    <row r="130" ht="18.75" customHeight="1">
      <c r="H130" s="23"/>
      <c r="I130" s="23"/>
      <c r="L130" s="23"/>
      <c r="M130" s="23"/>
    </row>
    <row r="131" ht="18.75" customHeight="1">
      <c r="H131" s="23"/>
      <c r="I131" s="23"/>
      <c r="L131" s="23"/>
      <c r="M131" s="23"/>
    </row>
    <row r="132" ht="18.75" customHeight="1">
      <c r="H132" s="23"/>
      <c r="I132" s="23"/>
      <c r="L132" s="23"/>
      <c r="M132" s="23"/>
    </row>
    <row r="133" ht="18.75" customHeight="1">
      <c r="H133" s="23"/>
      <c r="I133" s="23"/>
      <c r="L133" s="23"/>
      <c r="M133" s="23"/>
    </row>
    <row r="134" ht="18.75" customHeight="1">
      <c r="H134" s="23"/>
      <c r="I134" s="23"/>
      <c r="L134" s="23"/>
      <c r="M134" s="23"/>
    </row>
    <row r="135" ht="18.75" customHeight="1">
      <c r="H135" s="23"/>
      <c r="I135" s="23"/>
      <c r="L135" s="23"/>
      <c r="M135" s="23"/>
    </row>
    <row r="136" ht="18.75" customHeight="1">
      <c r="H136" s="23"/>
      <c r="I136" s="23"/>
      <c r="L136" s="23"/>
      <c r="M136" s="23"/>
    </row>
    <row r="137" ht="18.75" customHeight="1">
      <c r="H137" s="23"/>
      <c r="I137" s="23"/>
      <c r="L137" s="23"/>
      <c r="M137" s="23"/>
    </row>
    <row r="138" ht="18.75" customHeight="1">
      <c r="H138" s="23"/>
      <c r="I138" s="23"/>
      <c r="L138" s="23"/>
      <c r="M138" s="23"/>
    </row>
    <row r="139" ht="18.75" customHeight="1">
      <c r="H139" s="23"/>
      <c r="I139" s="23"/>
      <c r="L139" s="23"/>
      <c r="M139" s="23"/>
    </row>
    <row r="140" ht="18.75" customHeight="1">
      <c r="H140" s="23"/>
      <c r="I140" s="23"/>
      <c r="L140" s="23"/>
      <c r="M140" s="23"/>
    </row>
    <row r="141" ht="18.75" customHeight="1">
      <c r="H141" s="23"/>
      <c r="I141" s="23"/>
      <c r="L141" s="23"/>
      <c r="M141" s="23"/>
    </row>
    <row r="142" ht="18.75" customHeight="1">
      <c r="H142" s="23"/>
      <c r="I142" s="23"/>
      <c r="L142" s="23"/>
      <c r="M142" s="23"/>
    </row>
    <row r="143" ht="18.75" customHeight="1">
      <c r="H143" s="23"/>
      <c r="I143" s="23"/>
      <c r="L143" s="23"/>
      <c r="M143" s="23"/>
    </row>
    <row r="144" ht="18.75" customHeight="1">
      <c r="H144" s="23"/>
      <c r="I144" s="23"/>
      <c r="L144" s="23"/>
      <c r="M144" s="23"/>
    </row>
    <row r="145" ht="18.75" customHeight="1">
      <c r="H145" s="23"/>
      <c r="I145" s="23"/>
      <c r="L145" s="23"/>
      <c r="M145" s="23"/>
    </row>
    <row r="146" ht="18.75" customHeight="1">
      <c r="H146" s="23"/>
      <c r="I146" s="23"/>
      <c r="L146" s="23"/>
      <c r="M146" s="23"/>
    </row>
    <row r="147" ht="18.75" customHeight="1">
      <c r="H147" s="23"/>
      <c r="I147" s="23"/>
      <c r="L147" s="23"/>
      <c r="M147" s="23"/>
    </row>
    <row r="148" ht="18.75" customHeight="1">
      <c r="H148" s="23"/>
      <c r="I148" s="23"/>
      <c r="L148" s="23"/>
      <c r="M148" s="23"/>
    </row>
    <row r="149" ht="18.75" customHeight="1">
      <c r="H149" s="23"/>
      <c r="I149" s="23"/>
      <c r="L149" s="23"/>
      <c r="M149" s="23"/>
    </row>
    <row r="150" ht="18.75" customHeight="1">
      <c r="H150" s="23"/>
      <c r="I150" s="23"/>
      <c r="L150" s="23"/>
      <c r="M150" s="23"/>
    </row>
    <row r="151" ht="18.75" customHeight="1">
      <c r="H151" s="23"/>
      <c r="I151" s="23"/>
      <c r="L151" s="23"/>
      <c r="M151" s="23"/>
    </row>
    <row r="152" ht="18.75" customHeight="1">
      <c r="H152" s="23"/>
      <c r="I152" s="23"/>
      <c r="L152" s="23"/>
      <c r="M152" s="23"/>
    </row>
    <row r="153" ht="18.75" customHeight="1">
      <c r="H153" s="23"/>
      <c r="I153" s="23"/>
      <c r="L153" s="23"/>
      <c r="M153" s="23"/>
    </row>
    <row r="154" ht="18.75" customHeight="1">
      <c r="H154" s="23"/>
      <c r="I154" s="23"/>
      <c r="L154" s="23"/>
      <c r="M154" s="23"/>
    </row>
    <row r="155" ht="18.75" customHeight="1">
      <c r="H155" s="23"/>
      <c r="I155" s="23"/>
      <c r="L155" s="23"/>
      <c r="M155" s="23"/>
    </row>
    <row r="156" ht="18.75" customHeight="1">
      <c r="H156" s="23"/>
      <c r="I156" s="23"/>
      <c r="L156" s="23"/>
      <c r="M156" s="23"/>
    </row>
    <row r="157" ht="18.75" customHeight="1">
      <c r="H157" s="23"/>
      <c r="I157" s="23"/>
      <c r="L157" s="23"/>
      <c r="M157" s="23"/>
    </row>
    <row r="158" ht="18.75" customHeight="1">
      <c r="H158" s="23"/>
      <c r="I158" s="23"/>
      <c r="L158" s="23"/>
      <c r="M158" s="23"/>
    </row>
    <row r="159" ht="18.75" customHeight="1">
      <c r="H159" s="23"/>
      <c r="I159" s="23"/>
      <c r="L159" s="23"/>
      <c r="M159" s="23"/>
    </row>
    <row r="160" ht="18.75" customHeight="1">
      <c r="H160" s="23"/>
      <c r="I160" s="23"/>
      <c r="L160" s="23"/>
      <c r="M160" s="23"/>
    </row>
    <row r="161" ht="18.75" customHeight="1">
      <c r="H161" s="23"/>
      <c r="I161" s="23"/>
      <c r="L161" s="23"/>
      <c r="M161" s="23"/>
    </row>
    <row r="162" ht="18.75" customHeight="1">
      <c r="H162" s="23"/>
      <c r="I162" s="23"/>
      <c r="L162" s="23"/>
      <c r="M162" s="23"/>
    </row>
    <row r="163" ht="18.75" customHeight="1">
      <c r="H163" s="23"/>
      <c r="I163" s="23"/>
      <c r="L163" s="23"/>
      <c r="M163" s="23"/>
    </row>
    <row r="164" ht="18.75" customHeight="1">
      <c r="H164" s="23"/>
      <c r="I164" s="23"/>
      <c r="L164" s="23"/>
      <c r="M164" s="23"/>
    </row>
    <row r="165" ht="18.75" customHeight="1">
      <c r="H165" s="23"/>
      <c r="I165" s="23"/>
      <c r="L165" s="23"/>
      <c r="M165" s="23"/>
    </row>
    <row r="166" ht="18.75" customHeight="1">
      <c r="H166" s="23"/>
      <c r="I166" s="23"/>
      <c r="L166" s="23"/>
      <c r="M166" s="23"/>
    </row>
    <row r="167" ht="18.75" customHeight="1">
      <c r="H167" s="23"/>
      <c r="I167" s="23"/>
      <c r="L167" s="23"/>
      <c r="M167" s="23"/>
    </row>
    <row r="168" ht="18.75" customHeight="1">
      <c r="H168" s="23"/>
      <c r="I168" s="23"/>
      <c r="L168" s="23"/>
      <c r="M168" s="23"/>
    </row>
    <row r="169" ht="18.75" customHeight="1">
      <c r="H169" s="23"/>
      <c r="I169" s="23"/>
      <c r="L169" s="23"/>
      <c r="M169" s="23"/>
    </row>
    <row r="170" ht="18.75" customHeight="1">
      <c r="H170" s="23"/>
      <c r="I170" s="23"/>
      <c r="L170" s="23"/>
      <c r="M170" s="23"/>
    </row>
    <row r="171" ht="18.75" customHeight="1">
      <c r="H171" s="23"/>
      <c r="I171" s="23"/>
      <c r="L171" s="23"/>
      <c r="M171" s="23"/>
    </row>
    <row r="172" ht="18.75" customHeight="1">
      <c r="H172" s="23"/>
      <c r="I172" s="23"/>
      <c r="L172" s="23"/>
      <c r="M172" s="23"/>
    </row>
    <row r="173" ht="18.75" customHeight="1">
      <c r="H173" s="23"/>
      <c r="I173" s="23"/>
      <c r="L173" s="23"/>
      <c r="M173" s="23"/>
    </row>
    <row r="174" ht="18.75" customHeight="1">
      <c r="H174" s="23"/>
      <c r="I174" s="23"/>
      <c r="L174" s="23"/>
      <c r="M174" s="23"/>
    </row>
    <row r="175" ht="18.75" customHeight="1">
      <c r="H175" s="23"/>
      <c r="I175" s="23"/>
      <c r="L175" s="23"/>
      <c r="M175" s="23"/>
    </row>
    <row r="176" ht="18.75" customHeight="1">
      <c r="H176" s="23"/>
      <c r="I176" s="23"/>
      <c r="L176" s="23"/>
      <c r="M176" s="23"/>
    </row>
    <row r="177" ht="18.75" customHeight="1">
      <c r="H177" s="23"/>
      <c r="I177" s="23"/>
      <c r="L177" s="23"/>
      <c r="M177" s="23"/>
    </row>
    <row r="178" ht="18.75" customHeight="1">
      <c r="H178" s="23"/>
      <c r="I178" s="23"/>
      <c r="L178" s="23"/>
      <c r="M178" s="23"/>
    </row>
    <row r="179" ht="18.75" customHeight="1">
      <c r="H179" s="23"/>
      <c r="I179" s="23"/>
      <c r="L179" s="23"/>
      <c r="M179" s="23"/>
    </row>
    <row r="180" ht="18.75" customHeight="1">
      <c r="H180" s="23"/>
      <c r="I180" s="23"/>
      <c r="L180" s="23"/>
      <c r="M180" s="23"/>
    </row>
    <row r="181" ht="18.75" customHeight="1">
      <c r="H181" s="23"/>
      <c r="I181" s="23"/>
      <c r="L181" s="23"/>
      <c r="M181" s="23"/>
    </row>
    <row r="182" ht="18.75" customHeight="1">
      <c r="H182" s="23"/>
      <c r="I182" s="23"/>
      <c r="L182" s="23"/>
      <c r="M182" s="23"/>
    </row>
    <row r="183" ht="18.75" customHeight="1">
      <c r="H183" s="23"/>
      <c r="I183" s="23"/>
      <c r="L183" s="23"/>
      <c r="M183" s="23"/>
    </row>
    <row r="184" ht="18.75" customHeight="1">
      <c r="H184" s="23"/>
      <c r="I184" s="23"/>
      <c r="L184" s="23"/>
      <c r="M184" s="23"/>
    </row>
    <row r="185" ht="18.75" customHeight="1">
      <c r="H185" s="23"/>
      <c r="I185" s="23"/>
      <c r="L185" s="23"/>
      <c r="M185" s="23"/>
    </row>
    <row r="186" ht="18.75" customHeight="1">
      <c r="H186" s="23"/>
      <c r="I186" s="23"/>
      <c r="L186" s="23"/>
      <c r="M186" s="23"/>
    </row>
    <row r="187" ht="18.75" customHeight="1">
      <c r="H187" s="23"/>
      <c r="I187" s="23"/>
      <c r="L187" s="23"/>
      <c r="M187" s="23"/>
    </row>
    <row r="188" ht="18.75" customHeight="1">
      <c r="H188" s="23"/>
      <c r="I188" s="23"/>
      <c r="L188" s="23"/>
      <c r="M188" s="23"/>
    </row>
    <row r="189" ht="18.75" customHeight="1">
      <c r="H189" s="23"/>
      <c r="I189" s="23"/>
      <c r="L189" s="23"/>
      <c r="M189" s="23"/>
    </row>
    <row r="190" ht="18.75" customHeight="1">
      <c r="H190" s="23"/>
      <c r="I190" s="23"/>
      <c r="L190" s="23"/>
      <c r="M190" s="23"/>
    </row>
    <row r="191" ht="18.75" customHeight="1">
      <c r="H191" s="23"/>
      <c r="I191" s="23"/>
      <c r="L191" s="23"/>
      <c r="M191" s="23"/>
    </row>
    <row r="192" ht="18.75" customHeight="1">
      <c r="H192" s="23"/>
      <c r="I192" s="23"/>
      <c r="L192" s="23"/>
      <c r="M192" s="23"/>
    </row>
    <row r="193" ht="18.75" customHeight="1">
      <c r="H193" s="23"/>
      <c r="I193" s="23"/>
      <c r="L193" s="23"/>
      <c r="M193" s="23"/>
    </row>
    <row r="194" ht="18.75" customHeight="1">
      <c r="H194" s="23"/>
      <c r="I194" s="23"/>
      <c r="L194" s="23"/>
      <c r="M194" s="23"/>
    </row>
    <row r="195" ht="18.75" customHeight="1">
      <c r="H195" s="23"/>
      <c r="I195" s="23"/>
      <c r="L195" s="23"/>
      <c r="M195" s="23"/>
    </row>
    <row r="196" ht="18.75" customHeight="1">
      <c r="H196" s="23"/>
      <c r="I196" s="23"/>
      <c r="L196" s="23"/>
      <c r="M196" s="23"/>
    </row>
    <row r="197" ht="18.75" customHeight="1">
      <c r="H197" s="23"/>
      <c r="I197" s="23"/>
      <c r="L197" s="23"/>
      <c r="M197" s="23"/>
    </row>
    <row r="198" ht="18.75" customHeight="1">
      <c r="H198" s="23"/>
      <c r="I198" s="23"/>
      <c r="L198" s="23"/>
      <c r="M198" s="23"/>
    </row>
    <row r="199" ht="18.75" customHeight="1">
      <c r="H199" s="23"/>
      <c r="I199" s="23"/>
      <c r="L199" s="23"/>
      <c r="M199" s="23"/>
    </row>
    <row r="200" ht="18.75" customHeight="1">
      <c r="H200" s="23"/>
      <c r="I200" s="23"/>
      <c r="L200" s="23"/>
      <c r="M200" s="23"/>
    </row>
    <row r="201" ht="18.75" customHeight="1">
      <c r="H201" s="23"/>
      <c r="I201" s="23"/>
      <c r="L201" s="23"/>
      <c r="M201" s="23"/>
    </row>
    <row r="202" ht="18.75" customHeight="1">
      <c r="H202" s="23"/>
      <c r="I202" s="23"/>
      <c r="L202" s="23"/>
      <c r="M202" s="23"/>
    </row>
    <row r="203" ht="18.75" customHeight="1">
      <c r="H203" s="23"/>
      <c r="I203" s="23"/>
      <c r="L203" s="23"/>
      <c r="M203" s="23"/>
    </row>
    <row r="204" ht="18.75" customHeight="1">
      <c r="H204" s="23"/>
      <c r="I204" s="23"/>
      <c r="L204" s="23"/>
      <c r="M204" s="23"/>
    </row>
    <row r="205" ht="18.75" customHeight="1">
      <c r="H205" s="23"/>
      <c r="I205" s="23"/>
      <c r="L205" s="23"/>
      <c r="M205" s="23"/>
    </row>
    <row r="206" ht="18.75" customHeight="1">
      <c r="H206" s="23"/>
      <c r="I206" s="23"/>
      <c r="L206" s="23"/>
      <c r="M206" s="23"/>
    </row>
    <row r="207" ht="18.75" customHeight="1">
      <c r="H207" s="23"/>
      <c r="I207" s="23"/>
      <c r="L207" s="23"/>
      <c r="M207" s="23"/>
    </row>
    <row r="208" ht="18.75" customHeight="1">
      <c r="H208" s="23"/>
      <c r="I208" s="23"/>
      <c r="L208" s="23"/>
      <c r="M208" s="23"/>
    </row>
    <row r="209" ht="18.75" customHeight="1">
      <c r="H209" s="23"/>
      <c r="I209" s="23"/>
      <c r="L209" s="23"/>
      <c r="M209" s="23"/>
    </row>
    <row r="210" ht="18.75" customHeight="1">
      <c r="H210" s="23"/>
      <c r="I210" s="23"/>
      <c r="L210" s="23"/>
      <c r="M210" s="23"/>
    </row>
    <row r="211" ht="18.75" customHeight="1">
      <c r="H211" s="23"/>
      <c r="I211" s="23"/>
      <c r="L211" s="23"/>
      <c r="M211" s="23"/>
    </row>
    <row r="212" ht="18.75" customHeight="1">
      <c r="H212" s="23"/>
      <c r="I212" s="23"/>
      <c r="L212" s="23"/>
      <c r="M212" s="23"/>
    </row>
    <row r="213" ht="18.75" customHeight="1">
      <c r="H213" s="23"/>
      <c r="I213" s="23"/>
      <c r="L213" s="23"/>
      <c r="M213" s="23"/>
    </row>
    <row r="214" ht="18.75" customHeight="1">
      <c r="H214" s="23"/>
      <c r="I214" s="23"/>
      <c r="L214" s="23"/>
      <c r="M214" s="23"/>
    </row>
    <row r="215" ht="18.75" customHeight="1">
      <c r="H215" s="23"/>
      <c r="I215" s="23"/>
      <c r="L215" s="23"/>
      <c r="M215" s="23"/>
    </row>
    <row r="216" ht="18.75" customHeight="1">
      <c r="H216" s="23"/>
      <c r="I216" s="23"/>
      <c r="L216" s="23"/>
      <c r="M216" s="23"/>
    </row>
    <row r="217" ht="18.75" customHeight="1">
      <c r="H217" s="23"/>
      <c r="I217" s="23"/>
      <c r="L217" s="23"/>
      <c r="M217" s="23"/>
    </row>
    <row r="218" ht="18.75" customHeight="1">
      <c r="H218" s="23"/>
      <c r="I218" s="23"/>
      <c r="L218" s="23"/>
      <c r="M218" s="23"/>
    </row>
    <row r="219" ht="18.75" customHeight="1">
      <c r="H219" s="23"/>
      <c r="I219" s="23"/>
      <c r="L219" s="23"/>
      <c r="M219" s="23"/>
    </row>
    <row r="220" ht="18.75" customHeight="1">
      <c r="H220" s="23"/>
      <c r="I220" s="23"/>
      <c r="L220" s="23"/>
      <c r="M220" s="23"/>
    </row>
    <row r="221" ht="18.75" customHeight="1">
      <c r="H221" s="23"/>
      <c r="I221" s="23"/>
      <c r="L221" s="23"/>
      <c r="M221" s="23"/>
    </row>
    <row r="222" ht="18.75" customHeight="1">
      <c r="H222" s="23"/>
      <c r="I222" s="23"/>
      <c r="L222" s="23"/>
      <c r="M222" s="23"/>
    </row>
    <row r="223" ht="18.75" customHeight="1">
      <c r="H223" s="23"/>
      <c r="I223" s="23"/>
      <c r="L223" s="23"/>
      <c r="M223" s="23"/>
    </row>
    <row r="224" ht="18.75" customHeight="1">
      <c r="H224" s="23"/>
      <c r="I224" s="23"/>
      <c r="L224" s="23"/>
      <c r="M224" s="23"/>
    </row>
    <row r="225" ht="18.75" customHeight="1">
      <c r="H225" s="23"/>
      <c r="I225" s="23"/>
      <c r="L225" s="23"/>
      <c r="M225" s="23"/>
    </row>
    <row r="226" ht="18.75" customHeight="1">
      <c r="H226" s="23"/>
      <c r="I226" s="23"/>
      <c r="L226" s="23"/>
      <c r="M226" s="23"/>
    </row>
    <row r="227" ht="18.75" customHeight="1">
      <c r="H227" s="23"/>
      <c r="I227" s="23"/>
      <c r="L227" s="23"/>
      <c r="M227" s="23"/>
    </row>
    <row r="228" ht="18.75" customHeight="1">
      <c r="H228" s="23"/>
      <c r="I228" s="23"/>
      <c r="L228" s="23"/>
      <c r="M228" s="23"/>
    </row>
    <row r="229" ht="18.75" customHeight="1">
      <c r="H229" s="23"/>
      <c r="I229" s="23"/>
      <c r="L229" s="23"/>
      <c r="M229" s="23"/>
    </row>
    <row r="230" ht="18.75" customHeight="1">
      <c r="H230" s="23"/>
      <c r="I230" s="23"/>
      <c r="L230" s="23"/>
      <c r="M230" s="23"/>
    </row>
    <row r="231" ht="18.75" customHeight="1">
      <c r="H231" s="23"/>
      <c r="I231" s="23"/>
      <c r="L231" s="23"/>
      <c r="M231" s="23"/>
    </row>
    <row r="232" ht="18.75" customHeight="1">
      <c r="H232" s="23"/>
      <c r="I232" s="23"/>
      <c r="L232" s="23"/>
      <c r="M232" s="23"/>
    </row>
    <row r="233" ht="18.75" customHeight="1">
      <c r="H233" s="23"/>
      <c r="I233" s="23"/>
      <c r="L233" s="23"/>
      <c r="M233" s="23"/>
    </row>
    <row r="234" ht="18.75" customHeight="1">
      <c r="H234" s="23"/>
      <c r="I234" s="23"/>
      <c r="L234" s="23"/>
      <c r="M234" s="23"/>
    </row>
    <row r="235" ht="18.75" customHeight="1">
      <c r="H235" s="23"/>
      <c r="I235" s="23"/>
      <c r="L235" s="23"/>
      <c r="M235" s="23"/>
    </row>
    <row r="236" ht="18.75" customHeight="1">
      <c r="H236" s="23"/>
      <c r="I236" s="23"/>
      <c r="L236" s="23"/>
      <c r="M236" s="23"/>
    </row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1" width="14.0"/>
  </cols>
  <sheetData>
    <row r="1" ht="18.75" customHeight="1">
      <c r="A1" s="1" t="s">
        <v>0</v>
      </c>
      <c r="B1" s="1" t="s">
        <v>1</v>
      </c>
      <c r="C1" s="1" t="s">
        <v>2</v>
      </c>
      <c r="D1" s="1" t="s">
        <v>5</v>
      </c>
      <c r="E1" s="1" t="s">
        <v>7</v>
      </c>
      <c r="F1" s="1" t="s">
        <v>10</v>
      </c>
      <c r="G1" s="1" t="s">
        <v>11</v>
      </c>
      <c r="H1" s="1" t="s">
        <v>13</v>
      </c>
      <c r="I1" s="1" t="s">
        <v>14</v>
      </c>
      <c r="J1" s="1" t="s">
        <v>15</v>
      </c>
    </row>
    <row r="2" ht="18.75" customHeight="1">
      <c r="A2" s="15" t="str">
        <f>IFERROR(__xludf.DUMMYFUNCTION("FILTER(Pivot_table!A:J, Pivot_table!A:A = ""Chênh Vênh"", Pivot_table!I:I &lt;&gt; 0)"),"Chênh Vênh")</f>
        <v>Chênh Vênh</v>
      </c>
      <c r="B2" s="15" t="str">
        <f>IFERROR(__xludf.DUMMYFUNCTION("""COMPUTED_VALUE"""),"KK00000363")</f>
        <v>KK00000363</v>
      </c>
      <c r="C2" s="17">
        <f>IFERROR(__xludf.DUMMYFUNCTION("""COMPUTED_VALUE"""),46132.780486111114)</f>
        <v>46132.78049</v>
      </c>
      <c r="D2" s="15" t="str">
        <f>IFERROR(__xludf.DUMMYFUNCTION("""COMPUTED_VALUE"""),"MSN -  Mứt tươi nhiệt đới")</f>
        <v>MSN -  Mứt tươi nhiệt đới</v>
      </c>
      <c r="E2" s="15" t="str">
        <f>IFERROR(__xludf.DUMMYFUNCTION("""COMPUTED_VALUE"""),"Lít")</f>
        <v>Lít</v>
      </c>
      <c r="F2" s="15">
        <f>IFERROR(__xludf.DUMMYFUNCTION("""COMPUTED_VALUE"""),3.16)</f>
        <v>3.16</v>
      </c>
      <c r="G2" s="13">
        <f>IFERROR(__xludf.DUMMYFUNCTION("""COMPUTED_VALUE"""),183616.0)</f>
        <v>183616</v>
      </c>
      <c r="H2" s="14">
        <f>IFERROR(__xludf.DUMMYFUNCTION("""COMPUTED_VALUE"""),0.3)</f>
        <v>0.3</v>
      </c>
      <c r="I2" s="14">
        <f>IFERROR(__xludf.DUMMYFUNCTION("""COMPUTED_VALUE"""),2.8600000000000003)</f>
        <v>2.86</v>
      </c>
      <c r="J2" s="13">
        <f>IFERROR(__xludf.DUMMYFUNCTION("""COMPUTED_VALUE"""),166184.1038)</f>
        <v>166184.1038</v>
      </c>
    </row>
    <row r="3" ht="18.75" customHeight="1">
      <c r="A3" s="15" t="str">
        <f>IFERROR(__xludf.DUMMYFUNCTION("""COMPUTED_VALUE"""),"Chênh Vênh")</f>
        <v>Chênh Vênh</v>
      </c>
      <c r="B3" s="15" t="str">
        <f>IFERROR(__xludf.DUMMYFUNCTION("""COMPUTED_VALUE"""),"KK00000363")</f>
        <v>KK00000363</v>
      </c>
      <c r="C3" s="17">
        <f>IFERROR(__xludf.DUMMYFUNCTION("""COMPUTED_VALUE"""),46132.780486111114)</f>
        <v>46132.78049</v>
      </c>
      <c r="D3" s="15" t="str">
        <f>IFERROR(__xludf.DUMMYFUNCTION("""COMPUTED_VALUE"""),"MSN -  Mứt tươi ổi")</f>
        <v>MSN -  Mứt tươi ổi</v>
      </c>
      <c r="E3" s="15" t="str">
        <f>IFERROR(__xludf.DUMMYFUNCTION("""COMPUTED_VALUE"""),"Lít")</f>
        <v>Lít</v>
      </c>
      <c r="F3" s="15">
        <f>IFERROR(__xludf.DUMMYFUNCTION("""COMPUTED_VALUE"""),-0.4)</f>
        <v>-0.4</v>
      </c>
      <c r="G3" s="13">
        <f>IFERROR(__xludf.DUMMYFUNCTION("""COMPUTED_VALUE"""),-70320.0)</f>
        <v>-70320</v>
      </c>
      <c r="H3" s="14">
        <f>IFERROR(__xludf.DUMMYFUNCTION("""COMPUTED_VALUE"""),0.3)</f>
        <v>0.3</v>
      </c>
      <c r="I3" s="14">
        <f>IFERROR(__xludf.DUMMYFUNCTION("""COMPUTED_VALUE"""),0.10000000000000003)</f>
        <v>0.1</v>
      </c>
      <c r="J3" s="13">
        <f>IFERROR(__xludf.DUMMYFUNCTION("""COMPUTED_VALUE"""),17580.000000000007)</f>
        <v>17580</v>
      </c>
    </row>
    <row r="4" ht="18.75" customHeight="1">
      <c r="A4" s="15" t="str">
        <f>IFERROR(__xludf.DUMMYFUNCTION("""COMPUTED_VALUE"""),"Chênh Vênh")</f>
        <v>Chênh Vênh</v>
      </c>
      <c r="B4" s="15" t="str">
        <f>IFERROR(__xludf.DUMMYFUNCTION("""COMPUTED_VALUE"""),"KK00000363")</f>
        <v>KK00000363</v>
      </c>
      <c r="C4" s="17">
        <f>IFERROR(__xludf.DUMMYFUNCTION("""COMPUTED_VALUE"""),46132.780486111114)</f>
        <v>46132.78049</v>
      </c>
      <c r="D4" s="15" t="str">
        <f>IFERROR(__xludf.DUMMYFUNCTION("""COMPUTED_VALUE"""),"MSN -  Mứt tươi quýt")</f>
        <v>MSN -  Mứt tươi quýt</v>
      </c>
      <c r="E4" s="15" t="str">
        <f>IFERROR(__xludf.DUMMYFUNCTION("""COMPUTED_VALUE"""),"Lít")</f>
        <v>Lít</v>
      </c>
      <c r="F4" s="15">
        <f>IFERROR(__xludf.DUMMYFUNCTION("""COMPUTED_VALUE"""),-0.6)</f>
        <v>-0.6</v>
      </c>
      <c r="G4" s="13">
        <f>IFERROR(__xludf.DUMMYFUNCTION("""COMPUTED_VALUE"""),-123105.0)</f>
        <v>-123105</v>
      </c>
      <c r="H4" s="14">
        <f>IFERROR(__xludf.DUMMYFUNCTION("""COMPUTED_VALUE"""),0.3)</f>
        <v>0.3</v>
      </c>
      <c r="I4" s="14">
        <f>IFERROR(__xludf.DUMMYFUNCTION("""COMPUTED_VALUE"""),0.3)</f>
        <v>0.3</v>
      </c>
      <c r="J4" s="13">
        <f>IFERROR(__xludf.DUMMYFUNCTION("""COMPUTED_VALUE"""),61552.5)</f>
        <v>61552.5</v>
      </c>
    </row>
    <row r="5" ht="18.75" customHeight="1">
      <c r="A5" s="15" t="str">
        <f>IFERROR(__xludf.DUMMYFUNCTION("""COMPUTED_VALUE"""),"Chênh Vênh")</f>
        <v>Chênh Vênh</v>
      </c>
      <c r="B5" s="15" t="str">
        <f>IFERROR(__xludf.DUMMYFUNCTION("""COMPUTED_VALUE"""),"KK00000363")</f>
        <v>KK00000363</v>
      </c>
      <c r="C5" s="17">
        <f>IFERROR(__xludf.DUMMYFUNCTION("""COMPUTED_VALUE"""),46132.780486111114)</f>
        <v>46132.78049</v>
      </c>
      <c r="D5" s="15" t="str">
        <f>IFERROR(__xludf.DUMMYFUNCTION("""COMPUTED_VALUE"""),"MSN - Chunky Lê &amp; Hoa cúc")</f>
        <v>MSN - Chunky Lê &amp; Hoa cúc</v>
      </c>
      <c r="E5" s="15" t="str">
        <f>IFERROR(__xludf.DUMMYFUNCTION("""COMPUTED_VALUE"""),"Lít")</f>
        <v>Lít</v>
      </c>
      <c r="F5" s="15">
        <f>IFERROR(__xludf.DUMMYFUNCTION("""COMPUTED_VALUE"""),0.41)</f>
        <v>0.41</v>
      </c>
      <c r="G5" s="13">
        <f>IFERROR(__xludf.DUMMYFUNCTION("""COMPUTED_VALUE"""),72618.0)</f>
        <v>72618</v>
      </c>
      <c r="H5" s="14">
        <f>IFERROR(__xludf.DUMMYFUNCTION("""COMPUTED_VALUE"""),0.3)</f>
        <v>0.3</v>
      </c>
      <c r="I5" s="14">
        <f>IFERROR(__xludf.DUMMYFUNCTION("""COMPUTED_VALUE"""),0.10999999999999999)</f>
        <v>0.11</v>
      </c>
      <c r="J5" s="13">
        <f>IFERROR(__xludf.DUMMYFUNCTION("""COMPUTED_VALUE"""),19482.877699999997)</f>
        <v>19482.8777</v>
      </c>
    </row>
    <row r="6" ht="18.75" customHeight="1">
      <c r="A6" s="15" t="str">
        <f>IFERROR(__xludf.DUMMYFUNCTION("""COMPUTED_VALUE"""),"Chênh Vênh")</f>
        <v>Chênh Vênh</v>
      </c>
      <c r="B6" s="15" t="str">
        <f>IFERROR(__xludf.DUMMYFUNCTION("""COMPUTED_VALUE"""),"KK00000363")</f>
        <v>KK00000363</v>
      </c>
      <c r="C6" s="17">
        <f>IFERROR(__xludf.DUMMYFUNCTION("""COMPUTED_VALUE"""),46132.780486111114)</f>
        <v>46132.78049</v>
      </c>
      <c r="D6" s="15" t="str">
        <f>IFERROR(__xludf.DUMMYFUNCTION("""COMPUTED_VALUE"""),"MSN - Chunky thơm")</f>
        <v>MSN - Chunky thơm</v>
      </c>
      <c r="E6" s="15" t="str">
        <f>IFERROR(__xludf.DUMMYFUNCTION("""COMPUTED_VALUE"""),"Lít")</f>
        <v>Lít</v>
      </c>
      <c r="F6" s="15">
        <f>IFERROR(__xludf.DUMMYFUNCTION("""COMPUTED_VALUE"""),0.62)</f>
        <v>0.62</v>
      </c>
      <c r="G6" s="13">
        <f>IFERROR(__xludf.DUMMYFUNCTION("""COMPUTED_VALUE"""),99776.0)</f>
        <v>99776</v>
      </c>
      <c r="H6" s="14">
        <f>IFERROR(__xludf.DUMMYFUNCTION("""COMPUTED_VALUE"""),0.3)</f>
        <v>0.3</v>
      </c>
      <c r="I6" s="14">
        <f>IFERROR(__xludf.DUMMYFUNCTION("""COMPUTED_VALUE"""),0.32)</f>
        <v>0.32</v>
      </c>
      <c r="J6" s="13">
        <f>IFERROR(__xludf.DUMMYFUNCTION("""COMPUTED_VALUE"""),51497.289600000004)</f>
        <v>51497.2896</v>
      </c>
    </row>
    <row r="7" ht="18.75" customHeight="1">
      <c r="A7" s="15" t="str">
        <f>IFERROR(__xludf.DUMMYFUNCTION("""COMPUTED_VALUE"""),"Chênh Vênh")</f>
        <v>Chênh Vênh</v>
      </c>
      <c r="B7" s="15" t="str">
        <f>IFERROR(__xludf.DUMMYFUNCTION("""COMPUTED_VALUE"""),"KK00000363")</f>
        <v>KK00000363</v>
      </c>
      <c r="C7" s="17">
        <f>IFERROR(__xludf.DUMMYFUNCTION("""COMPUTED_VALUE"""),46132.780486111114)</f>
        <v>46132.78049</v>
      </c>
      <c r="D7" s="15" t="str">
        <f>IFERROR(__xludf.DUMMYFUNCTION("""COMPUTED_VALUE"""),"MSN - Kombucha thành  phẩm")</f>
        <v>MSN - Kombucha thành  phẩm</v>
      </c>
      <c r="E7" s="15" t="str">
        <f>IFERROR(__xludf.DUMMYFUNCTION("""COMPUTED_VALUE"""),"Lít")</f>
        <v>Lít</v>
      </c>
      <c r="F7" s="15">
        <f>IFERROR(__xludf.DUMMYFUNCTION("""COMPUTED_VALUE"""),7.16)</f>
        <v>7.16</v>
      </c>
      <c r="G7" s="13">
        <f>IFERROR(__xludf.DUMMYFUNCTION("""COMPUTED_VALUE"""),31325.0)</f>
        <v>31325</v>
      </c>
      <c r="H7" s="14">
        <f>IFERROR(__xludf.DUMMYFUNCTION("""COMPUTED_VALUE"""),0.3)</f>
        <v>0.3</v>
      </c>
      <c r="I7" s="14">
        <f>IFERROR(__xludf.DUMMYFUNCTION("""COMPUTED_VALUE"""),6.86)</f>
        <v>6.86</v>
      </c>
      <c r="J7" s="13">
        <f>IFERROR(__xludf.DUMMYFUNCTION("""COMPUTED_VALUE"""),30012.5)</f>
        <v>30012.5</v>
      </c>
    </row>
    <row r="8" ht="18.75" customHeight="1">
      <c r="A8" s="15" t="str">
        <f>IFERROR(__xludf.DUMMYFUNCTION("""COMPUTED_VALUE"""),"Chênh Vênh")</f>
        <v>Chênh Vênh</v>
      </c>
      <c r="B8" s="15" t="str">
        <f>IFERROR(__xludf.DUMMYFUNCTION("""COMPUTED_VALUE"""),"KK00000363")</f>
        <v>KK00000363</v>
      </c>
      <c r="C8" s="17">
        <f>IFERROR(__xludf.DUMMYFUNCTION("""COMPUTED_VALUE"""),46132.780486111114)</f>
        <v>46132.78049</v>
      </c>
      <c r="D8" s="15" t="str">
        <f>IFERROR(__xludf.DUMMYFUNCTION("""COMPUTED_VALUE"""),"MSN - Nước ép táo đóng chai")</f>
        <v>MSN - Nước ép táo đóng chai</v>
      </c>
      <c r="E8" s="15" t="str">
        <f>IFERROR(__xludf.DUMMYFUNCTION("""COMPUTED_VALUE"""),"Lít")</f>
        <v>Lít</v>
      </c>
      <c r="F8" s="15">
        <f>IFERROR(__xludf.DUMMYFUNCTION("""COMPUTED_VALUE"""),1.01)</f>
        <v>1.01</v>
      </c>
      <c r="G8" s="13">
        <f>IFERROR(__xludf.DUMMYFUNCTION("""COMPUTED_VALUE"""),47022.0)</f>
        <v>47022</v>
      </c>
      <c r="H8" s="14">
        <f>IFERROR(__xludf.DUMMYFUNCTION("""COMPUTED_VALUE"""),0.3)</f>
        <v>0.3</v>
      </c>
      <c r="I8" s="14">
        <f>IFERROR(__xludf.DUMMYFUNCTION("""COMPUTED_VALUE"""),0.71)</f>
        <v>0.71</v>
      </c>
      <c r="J8" s="13">
        <f>IFERROR(__xludf.DUMMYFUNCTION("""COMPUTED_VALUE"""),33055.0724)</f>
        <v>33055.0724</v>
      </c>
    </row>
    <row r="9" ht="18.75" customHeight="1">
      <c r="A9" s="15" t="str">
        <f>IFERROR(__xludf.DUMMYFUNCTION("""COMPUTED_VALUE"""),"Chênh Vênh")</f>
        <v>Chênh Vênh</v>
      </c>
      <c r="B9" s="15" t="str">
        <f>IFERROR(__xludf.DUMMYFUNCTION("""COMPUTED_VALUE"""),"KK00000363")</f>
        <v>KK00000363</v>
      </c>
      <c r="C9" s="17">
        <f>IFERROR(__xludf.DUMMYFUNCTION("""COMPUTED_VALUE"""),46132.780486111114)</f>
        <v>46132.78049</v>
      </c>
      <c r="D9" s="15" t="str">
        <f>IFERROR(__xludf.DUMMYFUNCTION("""COMPUTED_VALUE"""),"MSN - Nước ép thơm đóng chai")</f>
        <v>MSN - Nước ép thơm đóng chai</v>
      </c>
      <c r="E9" s="15" t="str">
        <f>IFERROR(__xludf.DUMMYFUNCTION("""COMPUTED_VALUE"""),"Lít")</f>
        <v>Lít</v>
      </c>
      <c r="F9" s="15">
        <f>IFERROR(__xludf.DUMMYFUNCTION("""COMPUTED_VALUE"""),0.8)</f>
        <v>0.8</v>
      </c>
      <c r="G9" s="13">
        <f>IFERROR(__xludf.DUMMYFUNCTION("""COMPUTED_VALUE"""),33805.0)</f>
        <v>33805</v>
      </c>
      <c r="H9" s="14">
        <f>IFERROR(__xludf.DUMMYFUNCTION("""COMPUTED_VALUE"""),0.3)</f>
        <v>0.3</v>
      </c>
      <c r="I9" s="14">
        <f>IFERROR(__xludf.DUMMYFUNCTION("""COMPUTED_VALUE"""),0.5)</f>
        <v>0.5</v>
      </c>
      <c r="J9" s="13">
        <f>IFERROR(__xludf.DUMMYFUNCTION("""COMPUTED_VALUE"""),21128.125)</f>
        <v>21128.125</v>
      </c>
    </row>
    <row r="10" ht="18.75" customHeight="1">
      <c r="A10" s="15" t="str">
        <f>IFERROR(__xludf.DUMMYFUNCTION("""COMPUTED_VALUE"""),"Chênh Vênh")</f>
        <v>Chênh Vênh</v>
      </c>
      <c r="B10" s="15" t="str">
        <f>IFERROR(__xludf.DUMMYFUNCTION("""COMPUTED_VALUE"""),"KK00000363")</f>
        <v>KK00000363</v>
      </c>
      <c r="C10" s="17">
        <f>IFERROR(__xludf.DUMMYFUNCTION("""COMPUTED_VALUE"""),46132.780486111114)</f>
        <v>46132.78049</v>
      </c>
      <c r="D10" s="15" t="str">
        <f>IFERROR(__xludf.DUMMYFUNCTION("""COMPUTED_VALUE"""),"MSN - Trà xanh lài")</f>
        <v>MSN - Trà xanh lài</v>
      </c>
      <c r="E10" s="15" t="str">
        <f>IFERROR(__xludf.DUMMYFUNCTION("""COMPUTED_VALUE"""),"Kg")</f>
        <v>Kg</v>
      </c>
      <c r="F10" s="15">
        <f>IFERROR(__xludf.DUMMYFUNCTION("""COMPUTED_VALUE"""),-0.9844)</f>
        <v>-0.9844</v>
      </c>
      <c r="G10" s="13">
        <f>IFERROR(__xludf.DUMMYFUNCTION("""COMPUTED_VALUE"""),-152948.0)</f>
        <v>-152948</v>
      </c>
      <c r="H10" s="14">
        <f>IFERROR(__xludf.DUMMYFUNCTION("""COMPUTED_VALUE"""),0.3)</f>
        <v>0.3</v>
      </c>
      <c r="I10" s="14">
        <f>IFERROR(__xludf.DUMMYFUNCTION("""COMPUTED_VALUE"""),0.6844000000000001)</f>
        <v>0.6844</v>
      </c>
      <c r="J10" s="13">
        <f>IFERROR(__xludf.DUMMYFUNCTION("""COMPUTED_VALUE"""),106336.45992000001)</f>
        <v>106336.4599</v>
      </c>
    </row>
    <row r="11" ht="18.75" customHeight="1">
      <c r="A11" s="15" t="str">
        <f>IFERROR(__xludf.DUMMYFUNCTION("""COMPUTED_VALUE"""),"Chênh Vênh")</f>
        <v>Chênh Vênh</v>
      </c>
      <c r="B11" s="15" t="str">
        <f>IFERROR(__xludf.DUMMYFUNCTION("""COMPUTED_VALUE"""),"KK00000363")</f>
        <v>KK00000363</v>
      </c>
      <c r="C11" s="17">
        <f>IFERROR(__xludf.DUMMYFUNCTION("""COMPUTED_VALUE"""),46132.780486111114)</f>
        <v>46132.78049</v>
      </c>
      <c r="D11" s="15" t="str">
        <f>IFERROR(__xludf.DUMMYFUNCTION("""COMPUTED_VALUE"""),"MSN - Trân châu olong")</f>
        <v>MSN - Trân châu olong</v>
      </c>
      <c r="E11" s="15" t="str">
        <f>IFERROR(__xludf.DUMMYFUNCTION("""COMPUTED_VALUE"""),"Gói 2Kg")</f>
        <v>Gói 2Kg</v>
      </c>
      <c r="F11" s="15">
        <f>IFERROR(__xludf.DUMMYFUNCTION("""COMPUTED_VALUE"""),-0.325)</f>
        <v>-0.325</v>
      </c>
      <c r="G11" s="13">
        <f>IFERROR(__xludf.DUMMYFUNCTION("""COMPUTED_VALUE"""),-25800.0)</f>
        <v>-25800</v>
      </c>
      <c r="H11" s="14">
        <f>IFERROR(__xludf.DUMMYFUNCTION("""COMPUTED_VALUE"""),0.0)</f>
        <v>0</v>
      </c>
      <c r="I11" s="14">
        <f>IFERROR(__xludf.DUMMYFUNCTION("""COMPUTED_VALUE"""),0.325)</f>
        <v>0.325</v>
      </c>
      <c r="J11" s="13">
        <f>IFERROR(__xludf.DUMMYFUNCTION("""COMPUTED_VALUE"""),25800.0015)</f>
        <v>25800.0015</v>
      </c>
    </row>
    <row r="12" ht="18.75" customHeight="1">
      <c r="A12" s="15" t="str">
        <f>IFERROR(__xludf.DUMMYFUNCTION("""COMPUTED_VALUE"""),"Chênh Vênh")</f>
        <v>Chênh Vênh</v>
      </c>
      <c r="B12" s="15" t="str">
        <f>IFERROR(__xludf.DUMMYFUNCTION("""COMPUTED_VALUE"""),"KK00000363")</f>
        <v>KK00000363</v>
      </c>
      <c r="C12" s="17">
        <f>IFERROR(__xludf.DUMMYFUNCTION("""COMPUTED_VALUE"""),46132.780486111114)</f>
        <v>46132.78049</v>
      </c>
      <c r="D12" s="15" t="str">
        <f>IFERROR(__xludf.DUMMYFUNCTION("""COMPUTED_VALUE"""),"MSN - Trân châu trắng")</f>
        <v>MSN - Trân châu trắng</v>
      </c>
      <c r="E12" s="15" t="str">
        <f>IFERROR(__xludf.DUMMYFUNCTION("""COMPUTED_VALUE"""),"Gói 2Kg")</f>
        <v>Gói 2Kg</v>
      </c>
      <c r="F12" s="15">
        <f>IFERROR(__xludf.DUMMYFUNCTION("""COMPUTED_VALUE"""),-0.05)</f>
        <v>-0.05</v>
      </c>
      <c r="G12" s="13">
        <f>IFERROR(__xludf.DUMMYFUNCTION("""COMPUTED_VALUE"""),-2750.0)</f>
        <v>-2750</v>
      </c>
      <c r="H12" s="14">
        <f>IFERROR(__xludf.DUMMYFUNCTION("""COMPUTED_VALUE"""),0.0)</f>
        <v>0</v>
      </c>
      <c r="I12" s="14">
        <f>IFERROR(__xludf.DUMMYFUNCTION("""COMPUTED_VALUE"""),0.05)</f>
        <v>0.05</v>
      </c>
      <c r="J12" s="13">
        <f>IFERROR(__xludf.DUMMYFUNCTION("""COMPUTED_VALUE"""),2750.0)</f>
        <v>2750</v>
      </c>
    </row>
    <row r="13" ht="18.75" customHeight="1">
      <c r="A13" s="15" t="str">
        <f>IFERROR(__xludf.DUMMYFUNCTION("""COMPUTED_VALUE"""),"Chênh Vênh")</f>
        <v>Chênh Vênh</v>
      </c>
      <c r="B13" s="15" t="str">
        <f>IFERROR(__xludf.DUMMYFUNCTION("""COMPUTED_VALUE"""),"KK00000363")</f>
        <v>KK00000363</v>
      </c>
      <c r="C13" s="17">
        <f>IFERROR(__xludf.DUMMYFUNCTION("""COMPUTED_VALUE"""),46132.780486111114)</f>
        <v>46132.78049</v>
      </c>
      <c r="D13" s="15" t="str">
        <f>IFERROR(__xludf.DUMMYFUNCTION("""COMPUTED_VALUE"""),"RUU - Rượu Bols Blue Curacao")</f>
        <v>RUU - Rượu Bols Blue Curacao</v>
      </c>
      <c r="E13" s="15" t="str">
        <f>IFERROR(__xludf.DUMMYFUNCTION("""COMPUTED_VALUE"""),"Lít")</f>
        <v>Lít</v>
      </c>
      <c r="F13" s="15">
        <f>IFERROR(__xludf.DUMMYFUNCTION("""COMPUTED_VALUE"""),0.35)</f>
        <v>0.35</v>
      </c>
      <c r="G13" s="13">
        <f>IFERROR(__xludf.DUMMYFUNCTION("""COMPUTED_VALUE"""),138787.0)</f>
        <v>138787</v>
      </c>
      <c r="H13" s="14">
        <f>IFERROR(__xludf.DUMMYFUNCTION("""COMPUTED_VALUE"""),0.3)</f>
        <v>0.3</v>
      </c>
      <c r="I13" s="14">
        <f>IFERROR(__xludf.DUMMYFUNCTION("""COMPUTED_VALUE"""),0.04999999999999999)</f>
        <v>0.05</v>
      </c>
      <c r="J13" s="13">
        <f>IFERROR(__xludf.DUMMYFUNCTION("""COMPUTED_VALUE"""),19826.714499999995)</f>
        <v>19826.7145</v>
      </c>
    </row>
    <row r="14" ht="18.75" customHeight="1">
      <c r="A14" s="15" t="str">
        <f>IFERROR(__xludf.DUMMYFUNCTION("""COMPUTED_VALUE"""),"Chênh Vênh")</f>
        <v>Chênh Vênh</v>
      </c>
      <c r="B14" s="15" t="str">
        <f>IFERROR(__xludf.DUMMYFUNCTION("""COMPUTED_VALUE"""),"KK00000363")</f>
        <v>KK00000363</v>
      </c>
      <c r="C14" s="17">
        <f>IFERROR(__xludf.DUMMYFUNCTION("""COMPUTED_VALUE"""),46132.780486111114)</f>
        <v>46132.78049</v>
      </c>
      <c r="D14" s="15" t="str">
        <f>IFERROR(__xludf.DUMMYFUNCTION("""COMPUTED_VALUE"""),"RUU - Rượu Gin (Gordon, Beefeater)")</f>
        <v>RUU - Rượu Gin (Gordon, Beefeater)</v>
      </c>
      <c r="E14" s="15" t="str">
        <f>IFERROR(__xludf.DUMMYFUNCTION("""COMPUTED_VALUE"""),"Lít")</f>
        <v>Lít</v>
      </c>
      <c r="F14" s="15">
        <f>IFERROR(__xludf.DUMMYFUNCTION("""COMPUTED_VALUE"""),0.99)</f>
        <v>0.99</v>
      </c>
      <c r="G14" s="13">
        <f>IFERROR(__xludf.DUMMYFUNCTION("""COMPUTED_VALUE"""),374978.0)</f>
        <v>374978</v>
      </c>
      <c r="H14" s="14">
        <f>IFERROR(__xludf.DUMMYFUNCTION("""COMPUTED_VALUE"""),0.3)</f>
        <v>0.3</v>
      </c>
      <c r="I14" s="14">
        <f>IFERROR(__xludf.DUMMYFUNCTION("""COMPUTED_VALUE"""),0.69)</f>
        <v>0.69</v>
      </c>
      <c r="J14" s="13">
        <f>IFERROR(__xludf.DUMMYFUNCTION("""COMPUTED_VALUE"""),261348.30539999995)</f>
        <v>261348.3054</v>
      </c>
    </row>
    <row r="15" ht="18.75" customHeight="1">
      <c r="A15" s="15" t="str">
        <f>IFERROR(__xludf.DUMMYFUNCTION("""COMPUTED_VALUE"""),"Chênh Vênh")</f>
        <v>Chênh Vênh</v>
      </c>
      <c r="B15" s="15" t="str">
        <f>IFERROR(__xludf.DUMMYFUNCTION("""COMPUTED_VALUE"""),"KK00000363")</f>
        <v>KK00000363</v>
      </c>
      <c r="C15" s="17">
        <f>IFERROR(__xludf.DUMMYFUNCTION("""COMPUTED_VALUE"""),46132.780486111114)</f>
        <v>46132.78049</v>
      </c>
      <c r="D15" s="15" t="str">
        <f>IFERROR(__xludf.DUMMYFUNCTION("""COMPUTED_VALUE"""),"RUU - Rượu Malibu")</f>
        <v>RUU - Rượu Malibu</v>
      </c>
      <c r="E15" s="15" t="str">
        <f>IFERROR(__xludf.DUMMYFUNCTION("""COMPUTED_VALUE"""),"Lít")</f>
        <v>Lít</v>
      </c>
      <c r="F15" s="15">
        <f>IFERROR(__xludf.DUMMYFUNCTION("""COMPUTED_VALUE"""),0.36)</f>
        <v>0.36</v>
      </c>
      <c r="G15" s="13">
        <f>IFERROR(__xludf.DUMMYFUNCTION("""COMPUTED_VALUE"""),164193.0)</f>
        <v>164193</v>
      </c>
      <c r="H15" s="14">
        <f>IFERROR(__xludf.DUMMYFUNCTION("""COMPUTED_VALUE"""),0.3)</f>
        <v>0.3</v>
      </c>
      <c r="I15" s="14">
        <f>IFERROR(__xludf.DUMMYFUNCTION("""COMPUTED_VALUE"""),0.06)</f>
        <v>0.06</v>
      </c>
      <c r="J15" s="13">
        <f>IFERROR(__xludf.DUMMYFUNCTION("""COMPUTED_VALUE"""),27365.5002)</f>
        <v>27365.5002</v>
      </c>
    </row>
    <row r="16" ht="18.75" customHeight="1">
      <c r="A16" s="15" t="str">
        <f>IFERROR(__xludf.DUMMYFUNCTION("""COMPUTED_VALUE"""),"Chênh Vênh")</f>
        <v>Chênh Vênh</v>
      </c>
      <c r="B16" s="15" t="str">
        <f>IFERROR(__xludf.DUMMYFUNCTION("""COMPUTED_VALUE"""),"KK00000363")</f>
        <v>KK00000363</v>
      </c>
      <c r="C16" s="17">
        <f>IFERROR(__xludf.DUMMYFUNCTION("""COMPUTED_VALUE"""),46132.780486111114)</f>
        <v>46132.78049</v>
      </c>
      <c r="D16" s="15" t="str">
        <f>IFERROR(__xludf.DUMMYFUNCTION("""COMPUTED_VALUE"""),"RUU - Rượu Tequila")</f>
        <v>RUU - Rượu Tequila</v>
      </c>
      <c r="E16" s="15" t="str">
        <f>IFERROR(__xludf.DUMMYFUNCTION("""COMPUTED_VALUE"""),"Lít")</f>
        <v>Lít</v>
      </c>
      <c r="F16" s="15">
        <f>IFERROR(__xludf.DUMMYFUNCTION("""COMPUTED_VALUE"""),0.37)</f>
        <v>0.37</v>
      </c>
      <c r="G16" s="13">
        <f>IFERROR(__xludf.DUMMYFUNCTION("""COMPUTED_VALUE"""),199531.0)</f>
        <v>199531</v>
      </c>
      <c r="H16" s="14">
        <f>IFERROR(__xludf.DUMMYFUNCTION("""COMPUTED_VALUE"""),0.3)</f>
        <v>0.3</v>
      </c>
      <c r="I16" s="14">
        <f>IFERROR(__xludf.DUMMYFUNCTION("""COMPUTED_VALUE"""),0.07)</f>
        <v>0.07</v>
      </c>
      <c r="J16" s="13">
        <f>IFERROR(__xludf.DUMMYFUNCTION("""COMPUTED_VALUE"""),37749.1079)</f>
        <v>37749.1079</v>
      </c>
    </row>
    <row r="17" ht="18.75" customHeight="1">
      <c r="A17" s="15" t="str">
        <f>IFERROR(__xludf.DUMMYFUNCTION("""COMPUTED_VALUE"""),"Chênh Vênh")</f>
        <v>Chênh Vênh</v>
      </c>
      <c r="B17" s="15" t="str">
        <f>IFERROR(__xludf.DUMMYFUNCTION("""COMPUTED_VALUE"""),"KK00000363")</f>
        <v>KK00000363</v>
      </c>
      <c r="C17" s="17">
        <f>IFERROR(__xludf.DUMMYFUNCTION("""COMPUTED_VALUE"""),46132.780486111114)</f>
        <v>46132.78049</v>
      </c>
      <c r="D17" s="15" t="str">
        <f>IFERROR(__xludf.DUMMYFUNCTION("""COMPUTED_VALUE"""),"RUU - Rượu Vodka")</f>
        <v>RUU - Rượu Vodka</v>
      </c>
      <c r="E17" s="15" t="str">
        <f>IFERROR(__xludf.DUMMYFUNCTION("""COMPUTED_VALUE"""),"Lít")</f>
        <v>Lít</v>
      </c>
      <c r="F17" s="15">
        <f>IFERROR(__xludf.DUMMYFUNCTION("""COMPUTED_VALUE"""),2.55)</f>
        <v>2.55</v>
      </c>
      <c r="G17" s="13">
        <f>IFERROR(__xludf.DUMMYFUNCTION("""COMPUTED_VALUE"""),896085.0)</f>
        <v>896085</v>
      </c>
      <c r="H17" s="14">
        <f>IFERROR(__xludf.DUMMYFUNCTION("""COMPUTED_VALUE"""),0.3)</f>
        <v>0.3</v>
      </c>
      <c r="I17" s="14">
        <f>IFERROR(__xludf.DUMMYFUNCTION("""COMPUTED_VALUE"""),2.25)</f>
        <v>2.25</v>
      </c>
      <c r="J17" s="13">
        <f>IFERROR(__xludf.DUMMYFUNCTION("""COMPUTED_VALUE"""),790663.23)</f>
        <v>790663.23</v>
      </c>
    </row>
    <row r="18" ht="18.75" customHeight="1">
      <c r="A18" s="15" t="str">
        <f>IFERROR(__xludf.DUMMYFUNCTION("""COMPUTED_VALUE"""),"Chênh Vênh")</f>
        <v>Chênh Vênh</v>
      </c>
      <c r="B18" s="15" t="str">
        <f>IFERROR(__xludf.DUMMYFUNCTION("""COMPUTED_VALUE"""),"KK00000363")</f>
        <v>KK00000363</v>
      </c>
      <c r="C18" s="17">
        <f>IFERROR(__xludf.DUMMYFUNCTION("""COMPUTED_VALUE"""),46132.780486111114)</f>
        <v>46132.78049</v>
      </c>
      <c r="D18" s="15" t="str">
        <f>IFERROR(__xludf.DUMMYFUNCTION("""COMPUTED_VALUE"""),"RUU - Rượu Whisky")</f>
        <v>RUU - Rượu Whisky</v>
      </c>
      <c r="E18" s="15" t="str">
        <f>IFERROR(__xludf.DUMMYFUNCTION("""COMPUTED_VALUE"""),"Lít")</f>
        <v>Lít</v>
      </c>
      <c r="F18" s="15">
        <f>IFERROR(__xludf.DUMMYFUNCTION("""COMPUTED_VALUE"""),0.62)</f>
        <v>0.62</v>
      </c>
      <c r="G18" s="13">
        <f>IFERROR(__xludf.DUMMYFUNCTION("""COMPUTED_VALUE"""),221035.0)</f>
        <v>221035</v>
      </c>
      <c r="H18" s="14">
        <f>IFERROR(__xludf.DUMMYFUNCTION("""COMPUTED_VALUE"""),0.3)</f>
        <v>0.3</v>
      </c>
      <c r="I18" s="14">
        <f>IFERROR(__xludf.DUMMYFUNCTION("""COMPUTED_VALUE"""),0.32)</f>
        <v>0.32</v>
      </c>
      <c r="J18" s="13">
        <f>IFERROR(__xludf.DUMMYFUNCTION("""COMPUTED_VALUE"""),114082.57920000001)</f>
        <v>114082.5792</v>
      </c>
    </row>
    <row r="19" ht="18.75" customHeight="1"/>
    <row r="20" ht="18.75" customHeight="1"/>
    <row r="21" ht="18.75" customHeight="1"/>
    <row r="22" ht="18.75" customHeight="1"/>
    <row r="23" ht="18.75" customHeight="1"/>
    <row r="24" ht="18.75" customHeight="1"/>
    <row r="25" ht="18.75" customHeight="1"/>
    <row r="26" ht="18.75" customHeight="1"/>
    <row r="27" ht="18.75" customHeight="1"/>
    <row r="28" ht="18.75" customHeight="1"/>
    <row r="29" ht="18.75" customHeight="1"/>
    <row r="30" ht="18.75" customHeight="1"/>
    <row r="31" ht="18.75" customHeight="1"/>
    <row r="3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10.86"/>
    <col customWidth="1" min="3" max="3" width="17.57"/>
    <col customWidth="1" min="4" max="4" width="24.86"/>
    <col customWidth="1" min="5" max="5" width="6.43"/>
    <col customWidth="1" min="6" max="6" width="17.29"/>
    <col customWidth="1" min="7" max="7" width="14.86"/>
    <col customWidth="1" min="8" max="8" width="15.57"/>
    <col customWidth="1" min="9" max="9" width="17.71"/>
    <col customWidth="1" min="10" max="10" width="10.0"/>
    <col customWidth="1" min="11" max="12" width="19.0"/>
    <col customWidth="1" min="13" max="13" width="11.0"/>
    <col customWidth="1" min="14" max="14" width="17.0"/>
    <col customWidth="1" min="15" max="15" width="35.0"/>
    <col customWidth="1" min="16" max="26" width="14.0"/>
  </cols>
  <sheetData>
    <row r="1" ht="18.75" customHeight="1">
      <c r="A1" s="1" t="s">
        <v>0</v>
      </c>
      <c r="B1" s="1" t="s">
        <v>1</v>
      </c>
      <c r="C1" s="1" t="s">
        <v>2</v>
      </c>
      <c r="D1" s="1" t="s">
        <v>5</v>
      </c>
      <c r="E1" s="1" t="s">
        <v>7</v>
      </c>
      <c r="F1" s="1" t="s">
        <v>10</v>
      </c>
      <c r="G1" s="1" t="s">
        <v>11</v>
      </c>
      <c r="H1" s="1" t="s">
        <v>13</v>
      </c>
      <c r="I1" s="1" t="s">
        <v>14</v>
      </c>
      <c r="J1" s="1" t="s">
        <v>15</v>
      </c>
    </row>
    <row r="2" ht="18.75" customHeight="1">
      <c r="A2" s="15" t="str">
        <f>IFERROR(__xludf.DUMMYFUNCTION("FILTER(Pivot_table!A:J, Pivot_table!A:A = ""Ráng Chiều"", Pivot_table!I:I &lt;&gt; 0)"),"Ráng Chiều")</f>
        <v>Ráng Chiều</v>
      </c>
      <c r="B2" s="15" t="str">
        <f>IFERROR(__xludf.DUMMYFUNCTION("""COMPUTED_VALUE"""),"KK00000362")</f>
        <v>KK00000362</v>
      </c>
      <c r="C2" s="17">
        <f>IFERROR(__xludf.DUMMYFUNCTION("""COMPUTED_VALUE"""),46126.99998842592)</f>
        <v>46126.99999</v>
      </c>
      <c r="D2" s="15" t="str">
        <f>IFERROR(__xludf.DUMMYFUNCTION("""COMPUTED_VALUE"""),"DAB - Dồi sụn")</f>
        <v>DAB - Dồi sụn</v>
      </c>
      <c r="E2" s="15" t="str">
        <f>IFERROR(__xludf.DUMMYFUNCTION("""COMPUTED_VALUE"""),"Kg")</f>
        <v>Kg</v>
      </c>
      <c r="F2" s="15">
        <f>IFERROR(__xludf.DUMMYFUNCTION("""COMPUTED_VALUE"""),0.372)</f>
        <v>0.372</v>
      </c>
      <c r="G2" s="13">
        <f>IFERROR(__xludf.DUMMYFUNCTION("""COMPUTED_VALUE"""),44638.0)</f>
        <v>44638</v>
      </c>
      <c r="H2" s="23">
        <f>IFERROR(__xludf.DUMMYFUNCTION("""COMPUTED_VALUE"""),0.3)</f>
        <v>0.3</v>
      </c>
      <c r="I2" s="23">
        <f>IFERROR(__xludf.DUMMYFUNCTION("""COMPUTED_VALUE"""),0.07200000000000001)</f>
        <v>0.072</v>
      </c>
      <c r="J2" s="13">
        <f>IFERROR(__xludf.DUMMYFUNCTION("""COMPUTED_VALUE"""),8639.612640000001)</f>
        <v>8639.61264</v>
      </c>
      <c r="L2" s="23"/>
      <c r="O2" s="24"/>
    </row>
    <row r="3" ht="18.75" customHeight="1">
      <c r="A3" s="15" t="str">
        <f>IFERROR(__xludf.DUMMYFUNCTION("""COMPUTED_VALUE"""),"Ráng Chiều")</f>
        <v>Ráng Chiều</v>
      </c>
      <c r="B3" s="15" t="str">
        <f>IFERROR(__xludf.DUMMYFUNCTION("""COMPUTED_VALUE"""),"KK00000362")</f>
        <v>KK00000362</v>
      </c>
      <c r="C3" s="17">
        <f>IFERROR(__xludf.DUMMYFUNCTION("""COMPUTED_VALUE"""),46126.99998842592)</f>
        <v>46126.99999</v>
      </c>
      <c r="D3" s="15" t="str">
        <f>IFERROR(__xludf.DUMMYFUNCTION("""COMPUTED_VALUE"""),"DTN - Cam xanh")</f>
        <v>DTN - Cam xanh</v>
      </c>
      <c r="E3" s="15" t="str">
        <f>IFERROR(__xludf.DUMMYFUNCTION("""COMPUTED_VALUE"""),"Kg")</f>
        <v>Kg</v>
      </c>
      <c r="F3" s="15">
        <f>IFERROR(__xludf.DUMMYFUNCTION("""COMPUTED_VALUE"""),1.575)</f>
        <v>1.575</v>
      </c>
      <c r="G3" s="13">
        <f>IFERROR(__xludf.DUMMYFUNCTION("""COMPUTED_VALUE"""),23543.0)</f>
        <v>23543</v>
      </c>
      <c r="H3" s="23">
        <f>IFERROR(__xludf.DUMMYFUNCTION("""COMPUTED_VALUE"""),0.3)</f>
        <v>0.3</v>
      </c>
      <c r="I3" s="23">
        <f>IFERROR(__xludf.DUMMYFUNCTION("""COMPUTED_VALUE"""),1.275)</f>
        <v>1.275</v>
      </c>
      <c r="J3" s="13">
        <f>IFERROR(__xludf.DUMMYFUNCTION("""COMPUTED_VALUE"""),19058.623499999998)</f>
        <v>19058.6235</v>
      </c>
      <c r="L3" s="23"/>
      <c r="O3" s="24"/>
    </row>
    <row r="4" ht="18.75" customHeight="1">
      <c r="A4" s="15" t="str">
        <f>IFERROR(__xludf.DUMMYFUNCTION("""COMPUTED_VALUE"""),"Ráng Chiều")</f>
        <v>Ráng Chiều</v>
      </c>
      <c r="B4" s="15" t="str">
        <f>IFERROR(__xludf.DUMMYFUNCTION("""COMPUTED_VALUE"""),"KK00000362")</f>
        <v>KK00000362</v>
      </c>
      <c r="C4" s="17">
        <f>IFERROR(__xludf.DUMMYFUNCTION("""COMPUTED_VALUE"""),46126.99998842592)</f>
        <v>46126.99999</v>
      </c>
      <c r="D4" s="15" t="str">
        <f>IFERROR(__xludf.DUMMYFUNCTION("""COMPUTED_VALUE"""),"DTN - Chanh")</f>
        <v>DTN - Chanh</v>
      </c>
      <c r="E4" s="15" t="str">
        <f>IFERROR(__xludf.DUMMYFUNCTION("""COMPUTED_VALUE"""),"Kg")</f>
        <v>Kg</v>
      </c>
      <c r="F4" s="15">
        <f>IFERROR(__xludf.DUMMYFUNCTION("""COMPUTED_VALUE"""),-1.733)</f>
        <v>-1.733</v>
      </c>
      <c r="G4" s="13">
        <f>IFERROR(__xludf.DUMMYFUNCTION("""COMPUTED_VALUE"""),-69764.0)</f>
        <v>-69764</v>
      </c>
      <c r="H4" s="23">
        <f>IFERROR(__xludf.DUMMYFUNCTION("""COMPUTED_VALUE"""),0.3)</f>
        <v>0.3</v>
      </c>
      <c r="I4" s="23">
        <f>IFERROR(__xludf.DUMMYFUNCTION("""COMPUTED_VALUE"""),1.433)</f>
        <v>1.433</v>
      </c>
      <c r="J4" s="13">
        <f>IFERROR(__xludf.DUMMYFUNCTION("""COMPUTED_VALUE"""),57687.1346)</f>
        <v>57687.1346</v>
      </c>
      <c r="L4" s="23"/>
      <c r="O4" s="24"/>
    </row>
    <row r="5" ht="18.75" customHeight="1">
      <c r="A5" s="15" t="str">
        <f>IFERROR(__xludf.DUMMYFUNCTION("""COMPUTED_VALUE"""),"Ráng Chiều")</f>
        <v>Ráng Chiều</v>
      </c>
      <c r="B5" s="15" t="str">
        <f>IFERROR(__xludf.DUMMYFUNCTION("""COMPUTED_VALUE"""),"KK00000362")</f>
        <v>KK00000362</v>
      </c>
      <c r="C5" s="17">
        <f>IFERROR(__xludf.DUMMYFUNCTION("""COMPUTED_VALUE"""),46126.99998842592)</f>
        <v>46126.99999</v>
      </c>
      <c r="D5" s="15" t="str">
        <f>IFERROR(__xludf.DUMMYFUNCTION("""COMPUTED_VALUE"""),"DTN - Chanh dây")</f>
        <v>DTN - Chanh dây</v>
      </c>
      <c r="E5" s="15" t="str">
        <f>IFERROR(__xludf.DUMMYFUNCTION("""COMPUTED_VALUE"""),"Kg")</f>
        <v>Kg</v>
      </c>
      <c r="F5" s="15">
        <f>IFERROR(__xludf.DUMMYFUNCTION("""COMPUTED_VALUE"""),-0.66)</f>
        <v>-0.66</v>
      </c>
      <c r="G5" s="13">
        <f>IFERROR(__xludf.DUMMYFUNCTION("""COMPUTED_VALUE"""),-24871.0)</f>
        <v>-24871</v>
      </c>
      <c r="H5" s="23">
        <f>IFERROR(__xludf.DUMMYFUNCTION("""COMPUTED_VALUE"""),0.3)</f>
        <v>0.3</v>
      </c>
      <c r="I5" s="23">
        <f>IFERROR(__xludf.DUMMYFUNCTION("""COMPUTED_VALUE"""),0.36000000000000004)</f>
        <v>0.36</v>
      </c>
      <c r="J5" s="13">
        <f>IFERROR(__xludf.DUMMYFUNCTION("""COMPUTED_VALUE"""),13565.998800000003)</f>
        <v>13565.9988</v>
      </c>
      <c r="L5" s="23"/>
      <c r="O5" s="24"/>
    </row>
    <row r="6" ht="18.75" customHeight="1">
      <c r="A6" s="15" t="str">
        <f>IFERROR(__xludf.DUMMYFUNCTION("""COMPUTED_VALUE"""),"Ráng Chiều")</f>
        <v>Ráng Chiều</v>
      </c>
      <c r="B6" s="15" t="str">
        <f>IFERROR(__xludf.DUMMYFUNCTION("""COMPUTED_VALUE"""),"KK00000362")</f>
        <v>KK00000362</v>
      </c>
      <c r="C6" s="17">
        <f>IFERROR(__xludf.DUMMYFUNCTION("""COMPUTED_VALUE"""),46126.99998842592)</f>
        <v>46126.99999</v>
      </c>
      <c r="D6" s="15" t="str">
        <f>IFERROR(__xludf.DUMMYFUNCTION("""COMPUTED_VALUE"""),"DTN - Dâu tây")</f>
        <v>DTN - Dâu tây</v>
      </c>
      <c r="E6" s="15" t="str">
        <f>IFERROR(__xludf.DUMMYFUNCTION("""COMPUTED_VALUE"""),"Kg")</f>
        <v>Kg</v>
      </c>
      <c r="F6" s="15">
        <f>IFERROR(__xludf.DUMMYFUNCTION("""COMPUTED_VALUE"""),1.09)</f>
        <v>1.09</v>
      </c>
      <c r="G6" s="13">
        <f>IFERROR(__xludf.DUMMYFUNCTION("""COMPUTED_VALUE"""),147118.0)</f>
        <v>147118</v>
      </c>
      <c r="H6" s="23">
        <f>IFERROR(__xludf.DUMMYFUNCTION("""COMPUTED_VALUE"""),0.3)</f>
        <v>0.3</v>
      </c>
      <c r="I6" s="23">
        <f>IFERROR(__xludf.DUMMYFUNCTION("""COMPUTED_VALUE"""),0.79)</f>
        <v>0.79</v>
      </c>
      <c r="J6" s="13">
        <f>IFERROR(__xludf.DUMMYFUNCTION("""COMPUTED_VALUE"""),106626.80560000002)</f>
        <v>106626.8056</v>
      </c>
      <c r="L6" s="23"/>
      <c r="O6" s="24"/>
    </row>
    <row r="7" ht="18.75" customHeight="1">
      <c r="A7" s="15" t="str">
        <f>IFERROR(__xludf.DUMMYFUNCTION("""COMPUTED_VALUE"""),"Ráng Chiều")</f>
        <v>Ráng Chiều</v>
      </c>
      <c r="B7" s="15" t="str">
        <f>IFERROR(__xludf.DUMMYFUNCTION("""COMPUTED_VALUE"""),"KK00000362")</f>
        <v>KK00000362</v>
      </c>
      <c r="C7" s="17">
        <f>IFERROR(__xludf.DUMMYFUNCTION("""COMPUTED_VALUE"""),46126.99998842592)</f>
        <v>46126.99999</v>
      </c>
      <c r="D7" s="15" t="str">
        <f>IFERROR(__xludf.DUMMYFUNCTION("""COMPUTED_VALUE"""),"DTN - Dưa hấu")</f>
        <v>DTN - Dưa hấu</v>
      </c>
      <c r="E7" s="15" t="str">
        <f>IFERROR(__xludf.DUMMYFUNCTION("""COMPUTED_VALUE"""),"Kg")</f>
        <v>Kg</v>
      </c>
      <c r="F7" s="15">
        <f>IFERROR(__xludf.DUMMYFUNCTION("""COMPUTED_VALUE"""),-0.39)</f>
        <v>-0.39</v>
      </c>
      <c r="G7" s="13">
        <f>IFERROR(__xludf.DUMMYFUNCTION("""COMPUTED_VALUE"""),-6017.0)</f>
        <v>-6017</v>
      </c>
      <c r="H7" s="23">
        <f>IFERROR(__xludf.DUMMYFUNCTION("""COMPUTED_VALUE"""),0.3)</f>
        <v>0.3</v>
      </c>
      <c r="I7" s="23">
        <f>IFERROR(__xludf.DUMMYFUNCTION("""COMPUTED_VALUE"""),0.09000000000000002)</f>
        <v>0.09</v>
      </c>
      <c r="J7" s="13">
        <f>IFERROR(__xludf.DUMMYFUNCTION("""COMPUTED_VALUE"""),1388.5389000000002)</f>
        <v>1388.5389</v>
      </c>
      <c r="L7" s="23"/>
      <c r="O7" s="24"/>
    </row>
    <row r="8" ht="18.75" customHeight="1">
      <c r="A8" s="15" t="str">
        <f>IFERROR(__xludf.DUMMYFUNCTION("""COMPUTED_VALUE"""),"Ráng Chiều")</f>
        <v>Ráng Chiều</v>
      </c>
      <c r="B8" s="15" t="str">
        <f>IFERROR(__xludf.DUMMYFUNCTION("""COMPUTED_VALUE"""),"KK00000362")</f>
        <v>KK00000362</v>
      </c>
      <c r="C8" s="17">
        <f>IFERROR(__xludf.DUMMYFUNCTION("""COMPUTED_VALUE"""),46126.99998842592)</f>
        <v>46126.99999</v>
      </c>
      <c r="D8" s="15" t="str">
        <f>IFERROR(__xludf.DUMMYFUNCTION("""COMPUTED_VALUE"""),"DTN - Dưa leo")</f>
        <v>DTN - Dưa leo</v>
      </c>
      <c r="E8" s="15" t="str">
        <f>IFERROR(__xludf.DUMMYFUNCTION("""COMPUTED_VALUE"""),"Kg")</f>
        <v>Kg</v>
      </c>
      <c r="F8" s="15">
        <f>IFERROR(__xludf.DUMMYFUNCTION("""COMPUTED_VALUE"""),-1.3)</f>
        <v>-1.3</v>
      </c>
      <c r="G8" s="13">
        <f>IFERROR(__xludf.DUMMYFUNCTION("""COMPUTED_VALUE"""),-22531.0)</f>
        <v>-22531</v>
      </c>
      <c r="H8" s="23">
        <f>IFERROR(__xludf.DUMMYFUNCTION("""COMPUTED_VALUE"""),0.3)</f>
        <v>0.3</v>
      </c>
      <c r="I8" s="23">
        <f>IFERROR(__xludf.DUMMYFUNCTION("""COMPUTED_VALUE"""),1.0)</f>
        <v>1</v>
      </c>
      <c r="J8" s="13">
        <f>IFERROR(__xludf.DUMMYFUNCTION("""COMPUTED_VALUE"""),17331.54)</f>
        <v>17331.54</v>
      </c>
      <c r="L8" s="23"/>
      <c r="O8" s="24"/>
    </row>
    <row r="9" ht="18.75" customHeight="1">
      <c r="A9" s="15" t="str">
        <f>IFERROR(__xludf.DUMMYFUNCTION("""COMPUTED_VALUE"""),"Ráng Chiều")</f>
        <v>Ráng Chiều</v>
      </c>
      <c r="B9" s="15" t="str">
        <f>IFERROR(__xludf.DUMMYFUNCTION("""COMPUTED_VALUE"""),"KK00000362")</f>
        <v>KK00000362</v>
      </c>
      <c r="C9" s="17">
        <f>IFERROR(__xludf.DUMMYFUNCTION("""COMPUTED_VALUE"""),46126.99998842592)</f>
        <v>46126.99999</v>
      </c>
      <c r="D9" s="15" t="str">
        <f>IFERROR(__xludf.DUMMYFUNCTION("""COMPUTED_VALUE"""),"DTN - Lá dứa")</f>
        <v>DTN - Lá dứa</v>
      </c>
      <c r="E9" s="15" t="str">
        <f>IFERROR(__xludf.DUMMYFUNCTION("""COMPUTED_VALUE"""),"Kg")</f>
        <v>Kg</v>
      </c>
      <c r="F9" s="15">
        <f>IFERROR(__xludf.DUMMYFUNCTION("""COMPUTED_VALUE"""),-0.831)</f>
        <v>-0.831</v>
      </c>
      <c r="G9" s="13">
        <f>IFERROR(__xludf.DUMMYFUNCTION("""COMPUTED_VALUE"""),-12468.0)</f>
        <v>-12468</v>
      </c>
      <c r="H9" s="23">
        <f>IFERROR(__xludf.DUMMYFUNCTION("""COMPUTED_VALUE"""),0.3)</f>
        <v>0.3</v>
      </c>
      <c r="I9" s="23">
        <f>IFERROR(__xludf.DUMMYFUNCTION("""COMPUTED_VALUE"""),0.5309999999999999)</f>
        <v>0.531</v>
      </c>
      <c r="J9" s="13">
        <f>IFERROR(__xludf.DUMMYFUNCTION("""COMPUTED_VALUE"""),7966.916909999999)</f>
        <v>7966.91691</v>
      </c>
      <c r="L9" s="23"/>
      <c r="O9" s="24"/>
    </row>
    <row r="10" ht="18.75" customHeight="1">
      <c r="A10" s="15" t="str">
        <f>IFERROR(__xludf.DUMMYFUNCTION("""COMPUTED_VALUE"""),"Ráng Chiều")</f>
        <v>Ráng Chiều</v>
      </c>
      <c r="B10" s="15" t="str">
        <f>IFERROR(__xludf.DUMMYFUNCTION("""COMPUTED_VALUE"""),"KK00000362")</f>
        <v>KK00000362</v>
      </c>
      <c r="C10" s="17">
        <f>IFERROR(__xludf.DUMMYFUNCTION("""COMPUTED_VALUE"""),46126.99998842592)</f>
        <v>46126.99999</v>
      </c>
      <c r="D10" s="15" t="str">
        <f>IFERROR(__xludf.DUMMYFUNCTION("""COMPUTED_VALUE"""),"DTN - Nước đường")</f>
        <v>DTN - Nước đường</v>
      </c>
      <c r="E10" s="15" t="str">
        <f>IFERROR(__xludf.DUMMYFUNCTION("""COMPUTED_VALUE"""),"Lít")</f>
        <v>Lít</v>
      </c>
      <c r="F10" s="15">
        <f>IFERROR(__xludf.DUMMYFUNCTION("""COMPUTED_VALUE"""),0.4)</f>
        <v>0.4</v>
      </c>
      <c r="G10" s="13">
        <f>IFERROR(__xludf.DUMMYFUNCTION("""COMPUTED_VALUE"""),0.0)</f>
        <v>0</v>
      </c>
      <c r="H10" s="23">
        <f>IFERROR(__xludf.DUMMYFUNCTION("""COMPUTED_VALUE"""),0.3)</f>
        <v>0.3</v>
      </c>
      <c r="I10" s="23">
        <f>IFERROR(__xludf.DUMMYFUNCTION("""COMPUTED_VALUE"""),0.10000000000000003)</f>
        <v>0.1</v>
      </c>
      <c r="J10" s="13">
        <f>IFERROR(__xludf.DUMMYFUNCTION("""COMPUTED_VALUE"""),0.0)</f>
        <v>0</v>
      </c>
      <c r="L10" s="23"/>
      <c r="O10" s="24"/>
    </row>
    <row r="11" ht="18.75" customHeight="1">
      <c r="A11" s="15" t="str">
        <f>IFERROR(__xludf.DUMMYFUNCTION("""COMPUTED_VALUE"""),"Ráng Chiều")</f>
        <v>Ráng Chiều</v>
      </c>
      <c r="B11" s="15" t="str">
        <f>IFERROR(__xludf.DUMMYFUNCTION("""COMPUTED_VALUE"""),"KK00000362")</f>
        <v>KK00000362</v>
      </c>
      <c r="C11" s="17">
        <f>IFERROR(__xludf.DUMMYFUNCTION("""COMPUTED_VALUE"""),46126.99998842592)</f>
        <v>46126.99999</v>
      </c>
      <c r="D11" s="15" t="str">
        <f>IFERROR(__xludf.DUMMYFUNCTION("""COMPUTED_VALUE"""),"DTN - Ổi")</f>
        <v>DTN - Ổi</v>
      </c>
      <c r="E11" s="15" t="str">
        <f>IFERROR(__xludf.DUMMYFUNCTION("""COMPUTED_VALUE"""),"Kg")</f>
        <v>Kg</v>
      </c>
      <c r="F11" s="15">
        <f>IFERROR(__xludf.DUMMYFUNCTION("""COMPUTED_VALUE"""),-0.945)</f>
        <v>-0.945</v>
      </c>
      <c r="G11" s="13">
        <f>IFERROR(__xludf.DUMMYFUNCTION("""COMPUTED_VALUE"""),-19457.0)</f>
        <v>-19457</v>
      </c>
      <c r="H11" s="23">
        <f>IFERROR(__xludf.DUMMYFUNCTION("""COMPUTED_VALUE"""),0.3)</f>
        <v>0.3</v>
      </c>
      <c r="I11" s="23">
        <f>IFERROR(__xludf.DUMMYFUNCTION("""COMPUTED_VALUE"""),0.645)</f>
        <v>0.645</v>
      </c>
      <c r="J11" s="13">
        <f>IFERROR(__xludf.DUMMYFUNCTION("""COMPUTED_VALUE"""),13280.175899999998)</f>
        <v>13280.1759</v>
      </c>
      <c r="L11" s="23"/>
      <c r="O11" s="24"/>
    </row>
    <row r="12" ht="18.75" customHeight="1">
      <c r="A12" s="15" t="str">
        <f>IFERROR(__xludf.DUMMYFUNCTION("""COMPUTED_VALUE"""),"Ráng Chiều")</f>
        <v>Ráng Chiều</v>
      </c>
      <c r="B12" s="15" t="str">
        <f>IFERROR(__xludf.DUMMYFUNCTION("""COMPUTED_VALUE"""),"KK00000362")</f>
        <v>KK00000362</v>
      </c>
      <c r="C12" s="17">
        <f>IFERROR(__xludf.DUMMYFUNCTION("""COMPUTED_VALUE"""),46126.99998842592)</f>
        <v>46126.99999</v>
      </c>
      <c r="D12" s="15" t="str">
        <f>IFERROR(__xludf.DUMMYFUNCTION("""COMPUTED_VALUE"""),"DTN - Rau húng")</f>
        <v>DTN - Rau húng</v>
      </c>
      <c r="E12" s="15" t="str">
        <f>IFERROR(__xludf.DUMMYFUNCTION("""COMPUTED_VALUE"""),"Kg")</f>
        <v>Kg</v>
      </c>
      <c r="F12" s="15">
        <f>IFERROR(__xludf.DUMMYFUNCTION("""COMPUTED_VALUE"""),0.677)</f>
        <v>0.677</v>
      </c>
      <c r="G12" s="13">
        <f>IFERROR(__xludf.DUMMYFUNCTION("""COMPUTED_VALUE"""),42732.0)</f>
        <v>42732</v>
      </c>
      <c r="H12" s="23">
        <f>IFERROR(__xludf.DUMMYFUNCTION("""COMPUTED_VALUE"""),0.3)</f>
        <v>0.3</v>
      </c>
      <c r="I12" s="23">
        <f>IFERROR(__xludf.DUMMYFUNCTION("""COMPUTED_VALUE"""),0.37700000000000006)</f>
        <v>0.377</v>
      </c>
      <c r="J12" s="13">
        <f>IFERROR(__xludf.DUMMYFUNCTION("""COMPUTED_VALUE"""),23796.108050000003)</f>
        <v>23796.10805</v>
      </c>
      <c r="L12" s="23"/>
      <c r="O12" s="24"/>
    </row>
    <row r="13" ht="18.75" customHeight="1">
      <c r="A13" s="15" t="str">
        <f>IFERROR(__xludf.DUMMYFUNCTION("""COMPUTED_VALUE"""),"Ráng Chiều")</f>
        <v>Ráng Chiều</v>
      </c>
      <c r="B13" s="15" t="str">
        <f>IFERROR(__xludf.DUMMYFUNCTION("""COMPUTED_VALUE"""),"KK00000362")</f>
        <v>KK00000362</v>
      </c>
      <c r="C13" s="17">
        <f>IFERROR(__xludf.DUMMYFUNCTION("""COMPUTED_VALUE"""),46126.99998842592)</f>
        <v>46126.99999</v>
      </c>
      <c r="D13" s="15" t="str">
        <f>IFERROR(__xludf.DUMMYFUNCTION("""COMPUTED_VALUE"""),"DTN - Trứng gà")</f>
        <v>DTN - Trứng gà</v>
      </c>
      <c r="E13" s="15" t="str">
        <f>IFERROR(__xludf.DUMMYFUNCTION("""COMPUTED_VALUE"""),"Trái")</f>
        <v>Trái</v>
      </c>
      <c r="F13" s="15">
        <f>IFERROR(__xludf.DUMMYFUNCTION("""COMPUTED_VALUE"""),1.0)</f>
        <v>1</v>
      </c>
      <c r="G13" s="13">
        <f>IFERROR(__xludf.DUMMYFUNCTION("""COMPUTED_VALUE"""),3000.0)</f>
        <v>3000</v>
      </c>
      <c r="H13" s="23">
        <f>IFERROR(__xludf.DUMMYFUNCTION("""COMPUTED_VALUE"""),0.0)</f>
        <v>0</v>
      </c>
      <c r="I13" s="23">
        <f>IFERROR(__xludf.DUMMYFUNCTION("""COMPUTED_VALUE"""),1.0)</f>
        <v>1</v>
      </c>
      <c r="J13" s="13">
        <f>IFERROR(__xludf.DUMMYFUNCTION("""COMPUTED_VALUE"""),3000.0)</f>
        <v>3000</v>
      </c>
      <c r="L13" s="23"/>
      <c r="O13" s="24"/>
    </row>
    <row r="14" ht="18.75" customHeight="1">
      <c r="A14" s="15" t="str">
        <f>IFERROR(__xludf.DUMMYFUNCTION("""COMPUTED_VALUE"""),"Ráng Chiều")</f>
        <v>Ráng Chiều</v>
      </c>
      <c r="B14" s="15" t="str">
        <f>IFERROR(__xludf.DUMMYFUNCTION("""COMPUTED_VALUE"""),"KK00000362")</f>
        <v>KK00000362</v>
      </c>
      <c r="C14" s="17">
        <f>IFERROR(__xludf.DUMMYFUNCTION("""COMPUTED_VALUE"""),46126.99998842592)</f>
        <v>46126.99999</v>
      </c>
      <c r="D14" s="15" t="str">
        <f>IFERROR(__xludf.DUMMYFUNCTION("""COMPUTED_VALUE"""),"DTN - Xoài")</f>
        <v>DTN - Xoài</v>
      </c>
      <c r="E14" s="15" t="str">
        <f>IFERROR(__xludf.DUMMYFUNCTION("""COMPUTED_VALUE"""),"Kg")</f>
        <v>Kg</v>
      </c>
      <c r="F14" s="15">
        <f>IFERROR(__xludf.DUMMYFUNCTION("""COMPUTED_VALUE"""),3.273)</f>
        <v>3.273</v>
      </c>
      <c r="G14" s="13">
        <f>IFERROR(__xludf.DUMMYFUNCTION("""COMPUTED_VALUE"""),99401.0)</f>
        <v>99401</v>
      </c>
      <c r="H14" s="23">
        <f>IFERROR(__xludf.DUMMYFUNCTION("""COMPUTED_VALUE"""),0.3)</f>
        <v>0.3</v>
      </c>
      <c r="I14" s="23">
        <f>IFERROR(__xludf.DUMMYFUNCTION("""COMPUTED_VALUE"""),2.9730000000000003)</f>
        <v>2.973</v>
      </c>
      <c r="J14" s="13">
        <f>IFERROR(__xludf.DUMMYFUNCTION("""COMPUTED_VALUE"""),90290.01000000001)</f>
        <v>90290.01</v>
      </c>
      <c r="L14" s="23"/>
      <c r="O14" s="24"/>
    </row>
    <row r="15" ht="18.75" customHeight="1">
      <c r="A15" s="15" t="str">
        <f>IFERROR(__xludf.DUMMYFUNCTION("""COMPUTED_VALUE"""),"Ráng Chiều")</f>
        <v>Ráng Chiều</v>
      </c>
      <c r="B15" s="15" t="str">
        <f>IFERROR(__xludf.DUMMYFUNCTION("""COMPUTED_VALUE"""),"KK00000362")</f>
        <v>KK00000362</v>
      </c>
      <c r="C15" s="17">
        <f>IFERROR(__xludf.DUMMYFUNCTION("""COMPUTED_VALUE"""),46126.99998842592)</f>
        <v>46126.99999</v>
      </c>
      <c r="D15" s="15" t="str">
        <f>IFERROR(__xludf.DUMMYFUNCTION("""COMPUTED_VALUE"""),"DTN - Yogurt")</f>
        <v>DTN - Yogurt</v>
      </c>
      <c r="E15" s="15" t="str">
        <f>IFERROR(__xludf.DUMMYFUNCTION("""COMPUTED_VALUE"""),"Lít")</f>
        <v>Lít</v>
      </c>
      <c r="F15" s="15">
        <f>IFERROR(__xludf.DUMMYFUNCTION("""COMPUTED_VALUE"""),3.5)</f>
        <v>3.5</v>
      </c>
      <c r="G15" s="13">
        <f>IFERROR(__xludf.DUMMYFUNCTION("""COMPUTED_VALUE"""),177178.0)</f>
        <v>177178</v>
      </c>
      <c r="H15" s="23">
        <f>IFERROR(__xludf.DUMMYFUNCTION("""COMPUTED_VALUE"""),0.3)</f>
        <v>0.3</v>
      </c>
      <c r="I15" s="23">
        <f>IFERROR(__xludf.DUMMYFUNCTION("""COMPUTED_VALUE"""),3.2)</f>
        <v>3.2</v>
      </c>
      <c r="J15" s="13">
        <f>IFERROR(__xludf.DUMMYFUNCTION("""COMPUTED_VALUE"""),161991.328)</f>
        <v>161991.328</v>
      </c>
      <c r="L15" s="23"/>
      <c r="O15" s="24"/>
    </row>
    <row r="16" ht="18.75" customHeight="1">
      <c r="A16" s="15" t="str">
        <f>IFERROR(__xludf.DUMMYFUNCTION("""COMPUTED_VALUE"""),"Ráng Chiều")</f>
        <v>Ráng Chiều</v>
      </c>
      <c r="B16" s="15" t="str">
        <f>IFERROR(__xludf.DUMMYFUNCTION("""COMPUTED_VALUE"""),"KK00000362")</f>
        <v>KK00000362</v>
      </c>
      <c r="C16" s="17">
        <f>IFERROR(__xludf.DUMMYFUNCTION("""COMPUTED_VALUE"""),46126.99998842592)</f>
        <v>46126.99999</v>
      </c>
      <c r="D16" s="15" t="str">
        <f>IFERROR(__xludf.DUMMYFUNCTION("""COMPUTED_VALUE"""),"MSN - Hạt đác rim")</f>
        <v>MSN - Hạt đác rim</v>
      </c>
      <c r="E16" s="15" t="str">
        <f>IFERROR(__xludf.DUMMYFUNCTION("""COMPUTED_VALUE"""),"Kg")</f>
        <v>Kg</v>
      </c>
      <c r="F16" s="15">
        <f>IFERROR(__xludf.DUMMYFUNCTION("""COMPUTED_VALUE"""),0.31)</f>
        <v>0.31</v>
      </c>
      <c r="G16" s="13">
        <f>IFERROR(__xludf.DUMMYFUNCTION("""COMPUTED_VALUE"""),22116.0)</f>
        <v>22116</v>
      </c>
      <c r="H16" s="23">
        <f>IFERROR(__xludf.DUMMYFUNCTION("""COMPUTED_VALUE"""),0.3)</f>
        <v>0.3</v>
      </c>
      <c r="I16" s="23">
        <f>IFERROR(__xludf.DUMMYFUNCTION("""COMPUTED_VALUE"""),0.010000000000000009)</f>
        <v>0.01</v>
      </c>
      <c r="J16" s="13">
        <f>IFERROR(__xludf.DUMMYFUNCTION("""COMPUTED_VALUE"""),713.4194000000007)</f>
        <v>713.4194</v>
      </c>
      <c r="L16" s="23"/>
      <c r="O16" s="24"/>
    </row>
    <row r="17" ht="18.75" customHeight="1">
      <c r="H17" s="23"/>
      <c r="I17" s="23"/>
      <c r="L17" s="23"/>
      <c r="O17" s="24"/>
    </row>
    <row r="18" ht="18.75" customHeight="1">
      <c r="H18" s="23"/>
      <c r="I18" s="23"/>
      <c r="L18" s="23"/>
      <c r="O18" s="24"/>
    </row>
    <row r="19" ht="18.75" customHeight="1">
      <c r="H19" s="23"/>
      <c r="I19" s="23"/>
      <c r="L19" s="23"/>
      <c r="O19" s="24"/>
    </row>
    <row r="20" ht="18.75" customHeight="1">
      <c r="H20" s="23"/>
      <c r="I20" s="23"/>
      <c r="L20" s="23"/>
      <c r="O20" s="24"/>
    </row>
    <row r="21" ht="18.75" customHeight="1">
      <c r="H21" s="23"/>
      <c r="I21" s="23"/>
      <c r="L21" s="23"/>
      <c r="O21" s="24"/>
    </row>
    <row r="22" ht="18.75" customHeight="1">
      <c r="H22" s="23"/>
      <c r="I22" s="23"/>
      <c r="L22" s="23"/>
      <c r="O22" s="24"/>
    </row>
    <row r="23" ht="18.75" customHeight="1">
      <c r="H23" s="23"/>
      <c r="I23" s="23"/>
      <c r="L23" s="23"/>
      <c r="O23" s="24"/>
    </row>
    <row r="24" ht="18.75" customHeight="1">
      <c r="H24" s="23"/>
      <c r="I24" s="23"/>
      <c r="L24" s="23"/>
      <c r="O24" s="24"/>
    </row>
    <row r="25" ht="18.75" customHeight="1">
      <c r="H25" s="23"/>
      <c r="I25" s="23"/>
      <c r="L25" s="23"/>
      <c r="O25" s="24"/>
    </row>
    <row r="26" ht="18.75" customHeight="1">
      <c r="H26" s="23"/>
      <c r="I26" s="23"/>
      <c r="L26" s="23"/>
      <c r="O26" s="24"/>
    </row>
    <row r="27" ht="18.75" customHeight="1">
      <c r="H27" s="23"/>
      <c r="I27" s="23"/>
      <c r="L27" s="23"/>
      <c r="O27" s="24"/>
    </row>
    <row r="28" ht="18.75" customHeight="1">
      <c r="H28" s="23"/>
      <c r="I28" s="23"/>
      <c r="L28" s="23"/>
      <c r="O28" s="24"/>
    </row>
    <row r="29" ht="18.75" customHeight="1">
      <c r="H29" s="23"/>
      <c r="I29" s="23"/>
      <c r="L29" s="23"/>
      <c r="O29" s="24"/>
    </row>
    <row r="30" ht="18.75" customHeight="1">
      <c r="H30" s="23"/>
      <c r="I30" s="23"/>
      <c r="L30" s="23"/>
      <c r="O30" s="24"/>
    </row>
    <row r="31" ht="18.75" customHeight="1">
      <c r="H31" s="23"/>
      <c r="I31" s="23"/>
      <c r="L31" s="23"/>
      <c r="O31" s="24"/>
    </row>
    <row r="32" ht="18.75" customHeight="1">
      <c r="H32" s="23"/>
      <c r="I32" s="23"/>
      <c r="L32" s="23"/>
      <c r="O32" s="24"/>
    </row>
    <row r="33" ht="18.75" customHeight="1">
      <c r="H33" s="23"/>
      <c r="I33" s="23"/>
      <c r="L33" s="23"/>
      <c r="O33" s="24"/>
    </row>
    <row r="34" ht="18.75" customHeight="1">
      <c r="H34" s="23"/>
      <c r="I34" s="23"/>
      <c r="L34" s="23"/>
      <c r="O34" s="24"/>
    </row>
    <row r="35" ht="18.75" customHeight="1">
      <c r="H35" s="23"/>
      <c r="I35" s="23"/>
      <c r="L35" s="23"/>
      <c r="O35" s="24"/>
    </row>
    <row r="36" ht="18.75" customHeight="1">
      <c r="H36" s="23"/>
      <c r="I36" s="23"/>
      <c r="L36" s="23"/>
      <c r="O36" s="24"/>
    </row>
    <row r="37" ht="18.75" customHeight="1">
      <c r="H37" s="23"/>
      <c r="I37" s="23"/>
      <c r="L37" s="23"/>
      <c r="O37" s="24"/>
    </row>
    <row r="38" ht="18.75" customHeight="1">
      <c r="H38" s="23"/>
      <c r="I38" s="23"/>
      <c r="L38" s="23"/>
      <c r="O38" s="24"/>
    </row>
    <row r="39" ht="18.75" customHeight="1">
      <c r="H39" s="23"/>
      <c r="I39" s="23"/>
      <c r="L39" s="23"/>
      <c r="O39" s="24"/>
    </row>
    <row r="40" ht="18.75" customHeight="1">
      <c r="H40" s="23"/>
      <c r="I40" s="23"/>
      <c r="L40" s="23"/>
      <c r="O40" s="24"/>
    </row>
    <row r="41" ht="18.75" customHeight="1">
      <c r="H41" s="23"/>
      <c r="I41" s="23"/>
      <c r="L41" s="23"/>
      <c r="O41" s="24"/>
    </row>
    <row r="42" ht="18.75" customHeight="1">
      <c r="H42" s="23"/>
      <c r="I42" s="23"/>
      <c r="L42" s="23"/>
      <c r="O42" s="24"/>
    </row>
    <row r="43" ht="18.75" customHeight="1">
      <c r="H43" s="23"/>
      <c r="I43" s="23"/>
      <c r="L43" s="23"/>
      <c r="O43" s="24"/>
    </row>
    <row r="44" ht="18.75" customHeight="1">
      <c r="H44" s="23"/>
      <c r="I44" s="23"/>
      <c r="L44" s="23"/>
      <c r="O44" s="24"/>
    </row>
    <row r="45" ht="18.75" customHeight="1">
      <c r="H45" s="23"/>
      <c r="I45" s="23"/>
      <c r="L45" s="23"/>
      <c r="O45" s="24"/>
    </row>
    <row r="46" ht="18.75" customHeight="1">
      <c r="H46" s="23"/>
      <c r="I46" s="23"/>
      <c r="L46" s="23"/>
      <c r="O46" s="24"/>
    </row>
    <row r="47" ht="18.75" customHeight="1">
      <c r="H47" s="23"/>
      <c r="I47" s="23"/>
      <c r="L47" s="23"/>
      <c r="O47" s="24"/>
    </row>
    <row r="48" ht="18.75" customHeight="1">
      <c r="H48" s="23"/>
      <c r="I48" s="23"/>
      <c r="L48" s="23"/>
      <c r="O48" s="24"/>
    </row>
    <row r="49" ht="18.75" customHeight="1">
      <c r="H49" s="23"/>
      <c r="I49" s="23"/>
      <c r="L49" s="23"/>
      <c r="O49" s="24"/>
    </row>
    <row r="50" ht="18.75" customHeight="1">
      <c r="H50" s="23"/>
      <c r="I50" s="23"/>
      <c r="L50" s="23"/>
      <c r="O50" s="24"/>
    </row>
    <row r="51" ht="18.75" customHeight="1">
      <c r="H51" s="23"/>
      <c r="I51" s="23"/>
      <c r="L51" s="23"/>
      <c r="O51" s="24"/>
    </row>
    <row r="52" ht="18.75" customHeight="1">
      <c r="H52" s="23"/>
      <c r="I52" s="23"/>
      <c r="L52" s="23"/>
      <c r="O52" s="24"/>
    </row>
    <row r="53" ht="18.75" customHeight="1">
      <c r="H53" s="23"/>
      <c r="I53" s="23"/>
      <c r="L53" s="23"/>
      <c r="O53" s="24"/>
    </row>
    <row r="54" ht="18.75" customHeight="1">
      <c r="H54" s="23"/>
      <c r="I54" s="23"/>
      <c r="L54" s="23"/>
      <c r="O54" s="24"/>
    </row>
    <row r="55" ht="18.75" customHeight="1">
      <c r="H55" s="23"/>
      <c r="I55" s="23"/>
      <c r="L55" s="23"/>
      <c r="O55" s="24"/>
    </row>
    <row r="56" ht="18.75" customHeight="1">
      <c r="H56" s="23"/>
      <c r="I56" s="23"/>
      <c r="L56" s="23"/>
    </row>
    <row r="57" ht="18.75" customHeight="1">
      <c r="H57" s="23"/>
      <c r="I57" s="23"/>
      <c r="L57" s="23"/>
    </row>
    <row r="58" ht="18.75" customHeight="1">
      <c r="H58" s="23"/>
      <c r="I58" s="23"/>
      <c r="L58" s="23"/>
    </row>
    <row r="59" ht="18.75" customHeight="1">
      <c r="H59" s="23"/>
      <c r="I59" s="23"/>
      <c r="L59" s="23"/>
    </row>
    <row r="60" ht="18.75" customHeight="1">
      <c r="H60" s="23"/>
      <c r="I60" s="23"/>
      <c r="L60" s="23"/>
    </row>
    <row r="61" ht="18.75" customHeight="1">
      <c r="H61" s="23"/>
      <c r="I61" s="23"/>
      <c r="L61" s="23"/>
    </row>
    <row r="62" ht="18.75" customHeight="1">
      <c r="H62" s="23"/>
      <c r="I62" s="23"/>
      <c r="L62" s="23"/>
    </row>
    <row r="63" ht="18.75" customHeight="1">
      <c r="H63" s="23"/>
      <c r="I63" s="23"/>
      <c r="L63" s="23"/>
    </row>
    <row r="64" ht="18.75" customHeight="1">
      <c r="H64" s="23"/>
      <c r="I64" s="23"/>
      <c r="L64" s="23"/>
    </row>
    <row r="65" ht="18.75" customHeight="1">
      <c r="H65" s="23"/>
      <c r="I65" s="23"/>
      <c r="L65" s="23"/>
    </row>
    <row r="66" ht="18.75" customHeight="1">
      <c r="H66" s="23"/>
      <c r="I66" s="23"/>
      <c r="L66" s="23"/>
    </row>
    <row r="67" ht="18.75" customHeight="1">
      <c r="H67" s="23"/>
      <c r="I67" s="23"/>
      <c r="L67" s="23"/>
    </row>
    <row r="68" ht="18.75" customHeight="1">
      <c r="H68" s="23"/>
      <c r="I68" s="23"/>
      <c r="L68" s="23"/>
    </row>
    <row r="69" ht="18.75" customHeight="1">
      <c r="H69" s="23"/>
      <c r="I69" s="23"/>
      <c r="L69" s="23"/>
    </row>
    <row r="70" ht="18.75" customHeight="1">
      <c r="H70" s="23"/>
      <c r="I70" s="23"/>
      <c r="L70" s="23"/>
    </row>
    <row r="71" ht="18.75" customHeight="1">
      <c r="H71" s="23"/>
      <c r="I71" s="23"/>
      <c r="L71" s="23"/>
    </row>
    <row r="72" ht="18.75" customHeight="1">
      <c r="H72" s="23"/>
      <c r="I72" s="23"/>
      <c r="L72" s="23"/>
    </row>
    <row r="73" ht="18.75" customHeight="1">
      <c r="H73" s="23"/>
      <c r="I73" s="23"/>
      <c r="L73" s="23"/>
    </row>
    <row r="74" ht="18.75" customHeight="1">
      <c r="H74" s="23"/>
      <c r="I74" s="23"/>
      <c r="L74" s="23"/>
    </row>
    <row r="75" ht="18.75" customHeight="1">
      <c r="H75" s="23"/>
      <c r="I75" s="23"/>
      <c r="L75" s="23"/>
    </row>
    <row r="76" ht="18.75" customHeight="1">
      <c r="H76" s="23"/>
      <c r="I76" s="23"/>
      <c r="L76" s="23"/>
    </row>
    <row r="77" ht="18.75" customHeight="1">
      <c r="H77" s="23"/>
      <c r="I77" s="23"/>
      <c r="L77" s="23"/>
    </row>
    <row r="78" ht="18.75" customHeight="1">
      <c r="H78" s="23"/>
      <c r="I78" s="23"/>
      <c r="L78" s="23"/>
    </row>
    <row r="79" ht="18.75" customHeight="1">
      <c r="H79" s="23"/>
      <c r="I79" s="23"/>
      <c r="L79" s="23"/>
    </row>
    <row r="80" ht="18.75" customHeight="1">
      <c r="H80" s="23"/>
      <c r="I80" s="23"/>
      <c r="L80" s="23"/>
    </row>
    <row r="81" ht="18.75" customHeight="1">
      <c r="H81" s="23"/>
      <c r="I81" s="23"/>
      <c r="L81" s="23"/>
    </row>
    <row r="82" ht="18.75" customHeight="1">
      <c r="H82" s="23"/>
      <c r="I82" s="23"/>
      <c r="L82" s="23"/>
    </row>
    <row r="83" ht="18.75" customHeight="1">
      <c r="H83" s="23"/>
      <c r="I83" s="23"/>
      <c r="L83" s="23"/>
    </row>
    <row r="84" ht="18.75" customHeight="1">
      <c r="H84" s="23"/>
      <c r="I84" s="23"/>
      <c r="L84" s="23"/>
    </row>
    <row r="85" ht="18.75" customHeight="1">
      <c r="H85" s="23"/>
      <c r="I85" s="23"/>
      <c r="L85" s="23"/>
    </row>
    <row r="86" ht="18.75" customHeight="1">
      <c r="H86" s="23"/>
      <c r="I86" s="23"/>
      <c r="L86" s="23"/>
    </row>
    <row r="87" ht="18.75" customHeight="1">
      <c r="H87" s="23"/>
      <c r="I87" s="23"/>
      <c r="L87" s="23"/>
    </row>
    <row r="88" ht="18.75" customHeight="1">
      <c r="H88" s="23"/>
      <c r="I88" s="23"/>
      <c r="L88" s="23"/>
    </row>
    <row r="89" ht="18.75" customHeight="1">
      <c r="H89" s="23"/>
      <c r="I89" s="23"/>
      <c r="L89" s="23"/>
    </row>
    <row r="90" ht="18.75" customHeight="1">
      <c r="H90" s="23"/>
      <c r="I90" s="23"/>
      <c r="L90" s="23"/>
    </row>
    <row r="91" ht="18.75" customHeight="1">
      <c r="H91" s="23"/>
      <c r="I91" s="23"/>
      <c r="L91" s="23"/>
    </row>
    <row r="92" ht="18.75" customHeight="1">
      <c r="H92" s="23"/>
      <c r="I92" s="23"/>
      <c r="L92" s="23"/>
    </row>
    <row r="93" ht="18.75" customHeight="1">
      <c r="H93" s="23"/>
      <c r="I93" s="23"/>
      <c r="L93" s="23"/>
    </row>
    <row r="94" ht="18.75" customHeight="1">
      <c r="H94" s="23"/>
      <c r="I94" s="23"/>
      <c r="L94" s="23"/>
    </row>
    <row r="95" ht="18.75" customHeight="1">
      <c r="H95" s="23"/>
      <c r="I95" s="23"/>
      <c r="L95" s="23"/>
    </row>
    <row r="96" ht="18.75" customHeight="1">
      <c r="H96" s="23"/>
      <c r="I96" s="23"/>
      <c r="L96" s="23"/>
    </row>
    <row r="97" ht="18.75" customHeight="1">
      <c r="H97" s="23"/>
      <c r="I97" s="23"/>
      <c r="L97" s="23"/>
    </row>
    <row r="98" ht="18.75" customHeight="1">
      <c r="H98" s="23"/>
      <c r="I98" s="23"/>
      <c r="L98" s="23"/>
    </row>
    <row r="99" ht="18.75" customHeight="1">
      <c r="H99" s="23"/>
      <c r="I99" s="23"/>
      <c r="L99" s="23"/>
    </row>
    <row r="100" ht="18.75" customHeight="1">
      <c r="H100" s="23"/>
      <c r="I100" s="23"/>
      <c r="L100" s="23"/>
    </row>
    <row r="101" ht="18.75" customHeight="1">
      <c r="H101" s="23"/>
      <c r="I101" s="23"/>
      <c r="L101" s="23"/>
    </row>
    <row r="102" ht="18.75" customHeight="1">
      <c r="H102" s="23"/>
      <c r="I102" s="23"/>
      <c r="L102" s="23"/>
    </row>
    <row r="103" ht="18.75" customHeight="1">
      <c r="H103" s="23"/>
      <c r="I103" s="23"/>
      <c r="L103" s="23"/>
    </row>
    <row r="104" ht="18.75" customHeight="1">
      <c r="H104" s="23"/>
      <c r="I104" s="23"/>
      <c r="L104" s="23"/>
    </row>
    <row r="105" ht="18.75" customHeight="1">
      <c r="H105" s="23"/>
      <c r="I105" s="23"/>
      <c r="L105" s="23"/>
    </row>
    <row r="106" ht="18.75" customHeight="1">
      <c r="H106" s="23"/>
      <c r="I106" s="23"/>
      <c r="L106" s="23"/>
    </row>
    <row r="107" ht="18.75" customHeight="1">
      <c r="H107" s="23"/>
      <c r="I107" s="23"/>
      <c r="L107" s="23"/>
    </row>
    <row r="108" ht="18.75" customHeight="1">
      <c r="H108" s="23"/>
      <c r="I108" s="23"/>
      <c r="L108" s="23"/>
    </row>
    <row r="109" ht="18.75" customHeight="1">
      <c r="H109" s="23"/>
      <c r="I109" s="23"/>
      <c r="L109" s="23"/>
    </row>
    <row r="110" ht="18.75" customHeight="1">
      <c r="H110" s="23"/>
      <c r="I110" s="23"/>
      <c r="L110" s="23"/>
    </row>
    <row r="111" ht="18.75" customHeight="1">
      <c r="H111" s="23"/>
      <c r="I111" s="23"/>
      <c r="L111" s="23"/>
    </row>
    <row r="112" ht="18.75" customHeight="1">
      <c r="H112" s="23"/>
      <c r="I112" s="23"/>
      <c r="L112" s="23"/>
    </row>
    <row r="113" ht="18.75" customHeight="1">
      <c r="H113" s="23"/>
      <c r="I113" s="23"/>
      <c r="L113" s="23"/>
    </row>
    <row r="114" ht="18.75" customHeight="1">
      <c r="H114" s="23"/>
      <c r="I114" s="23"/>
      <c r="L114" s="23"/>
    </row>
    <row r="115" ht="18.75" customHeight="1">
      <c r="H115" s="23"/>
      <c r="I115" s="23"/>
      <c r="L115" s="23"/>
    </row>
    <row r="116" ht="18.75" customHeight="1">
      <c r="H116" s="23"/>
      <c r="I116" s="23"/>
      <c r="L116" s="23"/>
    </row>
    <row r="117" ht="18.75" customHeight="1">
      <c r="H117" s="23"/>
      <c r="I117" s="23"/>
      <c r="L117" s="23"/>
    </row>
    <row r="118" ht="18.75" customHeight="1">
      <c r="H118" s="23"/>
      <c r="I118" s="23"/>
      <c r="L118" s="23"/>
    </row>
    <row r="119" ht="18.75" customHeight="1">
      <c r="H119" s="23"/>
      <c r="I119" s="23"/>
      <c r="L119" s="23"/>
    </row>
    <row r="120" ht="18.75" customHeight="1">
      <c r="H120" s="23"/>
      <c r="I120" s="23"/>
      <c r="L120" s="23"/>
    </row>
    <row r="121" ht="18.75" customHeight="1">
      <c r="H121" s="23"/>
      <c r="I121" s="23"/>
      <c r="L121" s="23"/>
    </row>
    <row r="122" ht="18.75" customHeight="1">
      <c r="H122" s="23"/>
      <c r="I122" s="23"/>
      <c r="L122" s="23"/>
    </row>
    <row r="123" ht="18.75" customHeight="1">
      <c r="H123" s="23"/>
      <c r="I123" s="23"/>
      <c r="L123" s="23"/>
    </row>
    <row r="124" ht="18.75" customHeight="1">
      <c r="H124" s="23"/>
      <c r="I124" s="23"/>
      <c r="L124" s="23"/>
    </row>
    <row r="125" ht="18.75" customHeight="1">
      <c r="H125" s="23"/>
      <c r="I125" s="23"/>
      <c r="L125" s="23"/>
    </row>
    <row r="126" ht="18.75" customHeight="1">
      <c r="H126" s="23"/>
      <c r="I126" s="23"/>
      <c r="L126" s="23"/>
    </row>
    <row r="127" ht="18.75" customHeight="1">
      <c r="H127" s="23"/>
      <c r="I127" s="23"/>
      <c r="L127" s="23"/>
    </row>
    <row r="128" ht="18.75" customHeight="1">
      <c r="H128" s="23"/>
      <c r="I128" s="23"/>
      <c r="L128" s="23"/>
    </row>
    <row r="129" ht="18.75" customHeight="1">
      <c r="H129" s="23"/>
      <c r="I129" s="23"/>
      <c r="L129" s="23"/>
    </row>
    <row r="130" ht="18.75" customHeight="1">
      <c r="H130" s="23"/>
      <c r="I130" s="23"/>
      <c r="L130" s="23"/>
    </row>
    <row r="131" ht="18.75" customHeight="1">
      <c r="H131" s="23"/>
      <c r="I131" s="23"/>
      <c r="L131" s="23"/>
    </row>
    <row r="132" ht="18.75" customHeight="1">
      <c r="H132" s="23"/>
      <c r="I132" s="23"/>
      <c r="L132" s="23"/>
    </row>
    <row r="133" ht="18.75" customHeight="1">
      <c r="H133" s="23"/>
      <c r="I133" s="23"/>
      <c r="L133" s="23"/>
    </row>
    <row r="134" ht="18.75" customHeight="1">
      <c r="H134" s="23"/>
      <c r="I134" s="23"/>
      <c r="L134" s="23"/>
    </row>
    <row r="135" ht="18.75" customHeight="1">
      <c r="H135" s="23"/>
      <c r="I135" s="23"/>
      <c r="L135" s="23"/>
    </row>
    <row r="136" ht="18.75" customHeight="1">
      <c r="H136" s="23"/>
      <c r="I136" s="23"/>
      <c r="L136" s="23"/>
    </row>
    <row r="137" ht="18.75" customHeight="1">
      <c r="H137" s="23"/>
      <c r="I137" s="23"/>
      <c r="L137" s="23"/>
    </row>
    <row r="138" ht="18.75" customHeight="1">
      <c r="H138" s="23"/>
      <c r="I138" s="23"/>
      <c r="L138" s="23"/>
    </row>
    <row r="139" ht="18.75" customHeight="1">
      <c r="H139" s="23"/>
      <c r="I139" s="23"/>
      <c r="L139" s="23"/>
    </row>
    <row r="140" ht="18.75" customHeight="1">
      <c r="H140" s="23"/>
      <c r="I140" s="23"/>
      <c r="L140" s="23"/>
    </row>
    <row r="141" ht="18.75" customHeight="1">
      <c r="H141" s="23"/>
      <c r="I141" s="23"/>
      <c r="L141" s="23"/>
    </row>
    <row r="142" ht="18.75" customHeight="1">
      <c r="H142" s="23"/>
      <c r="I142" s="23"/>
      <c r="L142" s="23"/>
    </row>
    <row r="143" ht="18.75" customHeight="1">
      <c r="H143" s="23"/>
      <c r="I143" s="23"/>
      <c r="L143" s="23"/>
    </row>
    <row r="144" ht="18.75" customHeight="1">
      <c r="H144" s="23"/>
      <c r="I144" s="23"/>
      <c r="L144" s="23"/>
    </row>
    <row r="145" ht="18.75" customHeight="1">
      <c r="H145" s="23"/>
      <c r="I145" s="23"/>
      <c r="L145" s="23"/>
    </row>
    <row r="146" ht="18.75" customHeight="1">
      <c r="H146" s="23"/>
      <c r="I146" s="23"/>
      <c r="L146" s="23"/>
    </row>
    <row r="147" ht="18.75" customHeight="1">
      <c r="H147" s="23"/>
      <c r="I147" s="23"/>
      <c r="L147" s="23"/>
    </row>
    <row r="148" ht="18.75" customHeight="1">
      <c r="H148" s="23"/>
      <c r="I148" s="23"/>
      <c r="L148" s="23"/>
    </row>
    <row r="149" ht="18.75" customHeight="1">
      <c r="H149" s="23"/>
      <c r="I149" s="23"/>
      <c r="L149" s="23"/>
    </row>
    <row r="150" ht="18.75" customHeight="1">
      <c r="H150" s="23"/>
      <c r="I150" s="23"/>
      <c r="L150" s="23"/>
    </row>
    <row r="151" ht="18.75" customHeight="1">
      <c r="H151" s="23"/>
      <c r="I151" s="23"/>
      <c r="L151" s="23"/>
    </row>
    <row r="152" ht="18.75" customHeight="1">
      <c r="H152" s="23"/>
      <c r="I152" s="23"/>
      <c r="L152" s="23"/>
    </row>
    <row r="153" ht="18.75" customHeight="1">
      <c r="H153" s="23"/>
      <c r="I153" s="23"/>
      <c r="L153" s="23"/>
    </row>
    <row r="154" ht="18.75" customHeight="1">
      <c r="H154" s="23"/>
      <c r="I154" s="23"/>
      <c r="L154" s="23"/>
    </row>
    <row r="155" ht="18.75" customHeight="1">
      <c r="H155" s="23"/>
      <c r="I155" s="23"/>
      <c r="L155" s="23"/>
    </row>
    <row r="156" ht="18.75" customHeight="1">
      <c r="H156" s="23"/>
      <c r="I156" s="23"/>
      <c r="L156" s="23"/>
    </row>
    <row r="157" ht="18.75" customHeight="1">
      <c r="H157" s="23"/>
      <c r="I157" s="23"/>
      <c r="L157" s="23"/>
    </row>
    <row r="158" ht="18.75" customHeight="1">
      <c r="H158" s="23"/>
      <c r="I158" s="23"/>
      <c r="L158" s="23"/>
    </row>
    <row r="159" ht="18.75" customHeight="1">
      <c r="H159" s="23"/>
      <c r="I159" s="23"/>
      <c r="L159" s="23"/>
    </row>
    <row r="160" ht="18.75" customHeight="1">
      <c r="H160" s="23"/>
      <c r="I160" s="23"/>
      <c r="L160" s="23"/>
    </row>
    <row r="161" ht="18.75" customHeight="1">
      <c r="H161" s="23"/>
      <c r="I161" s="23"/>
      <c r="L161" s="23"/>
    </row>
    <row r="162" ht="18.75" customHeight="1">
      <c r="H162" s="23"/>
      <c r="I162" s="23"/>
      <c r="L162" s="23"/>
    </row>
    <row r="163" ht="18.75" customHeight="1">
      <c r="H163" s="23"/>
      <c r="I163" s="23"/>
      <c r="L163" s="23"/>
    </row>
    <row r="164" ht="18.75" customHeight="1">
      <c r="H164" s="23"/>
      <c r="I164" s="23"/>
      <c r="L164" s="23"/>
    </row>
    <row r="165" ht="18.75" customHeight="1">
      <c r="H165" s="23"/>
      <c r="I165" s="23"/>
      <c r="L165" s="23"/>
    </row>
    <row r="166" ht="18.75" customHeight="1">
      <c r="H166" s="23"/>
      <c r="I166" s="23"/>
      <c r="L166" s="23"/>
    </row>
    <row r="167" ht="18.75" customHeight="1">
      <c r="H167" s="23"/>
      <c r="I167" s="23"/>
      <c r="L167" s="23"/>
    </row>
    <row r="168" ht="18.75" customHeight="1">
      <c r="H168" s="23"/>
      <c r="I168" s="23"/>
      <c r="L168" s="23"/>
    </row>
    <row r="169" ht="18.75" customHeight="1">
      <c r="H169" s="23"/>
      <c r="I169" s="23"/>
      <c r="L169" s="23"/>
    </row>
    <row r="170" ht="18.75" customHeight="1">
      <c r="H170" s="23"/>
      <c r="I170" s="23"/>
      <c r="L170" s="23"/>
    </row>
    <row r="171" ht="18.75" customHeight="1">
      <c r="H171" s="23"/>
      <c r="I171" s="23"/>
      <c r="L171" s="23"/>
    </row>
    <row r="172" ht="18.75" customHeight="1">
      <c r="H172" s="23"/>
      <c r="I172" s="23"/>
      <c r="L172" s="23"/>
    </row>
    <row r="173" ht="18.75" customHeight="1">
      <c r="H173" s="23"/>
      <c r="I173" s="23"/>
      <c r="L173" s="23"/>
    </row>
    <row r="174" ht="18.75" customHeight="1">
      <c r="H174" s="23"/>
      <c r="I174" s="23"/>
      <c r="L174" s="23"/>
    </row>
    <row r="175" ht="18.75" customHeight="1">
      <c r="H175" s="23"/>
      <c r="I175" s="23"/>
      <c r="L175" s="23"/>
    </row>
    <row r="176" ht="18.75" customHeight="1">
      <c r="H176" s="23"/>
      <c r="I176" s="23"/>
      <c r="L176" s="23"/>
    </row>
    <row r="177" ht="18.75" customHeight="1">
      <c r="H177" s="23"/>
      <c r="I177" s="23"/>
      <c r="L177" s="23"/>
    </row>
    <row r="178" ht="18.75" customHeight="1">
      <c r="H178" s="23"/>
      <c r="I178" s="23"/>
      <c r="L178" s="23"/>
    </row>
    <row r="179" ht="18.75" customHeight="1">
      <c r="H179" s="23"/>
      <c r="I179" s="23"/>
      <c r="L179" s="23"/>
    </row>
    <row r="180" ht="18.75" customHeight="1">
      <c r="H180" s="23"/>
      <c r="I180" s="23"/>
      <c r="L180" s="23"/>
    </row>
    <row r="181" ht="18.75" customHeight="1">
      <c r="H181" s="23"/>
      <c r="I181" s="23"/>
      <c r="L181" s="23"/>
    </row>
    <row r="182" ht="18.75" customHeight="1">
      <c r="H182" s="23"/>
      <c r="I182" s="23"/>
      <c r="L182" s="23"/>
    </row>
    <row r="183" ht="18.75" customHeight="1">
      <c r="H183" s="23"/>
      <c r="I183" s="23"/>
      <c r="L183" s="23"/>
    </row>
    <row r="184" ht="18.75" customHeight="1">
      <c r="H184" s="23"/>
      <c r="I184" s="23"/>
      <c r="L184" s="23"/>
    </row>
    <row r="185" ht="18.75" customHeight="1">
      <c r="H185" s="23"/>
      <c r="I185" s="23"/>
      <c r="L185" s="23"/>
    </row>
    <row r="186" ht="18.75" customHeight="1">
      <c r="H186" s="23"/>
      <c r="I186" s="23"/>
      <c r="L186" s="23"/>
    </row>
    <row r="187" ht="18.75" customHeight="1">
      <c r="H187" s="23"/>
      <c r="I187" s="23"/>
      <c r="L187" s="23"/>
    </row>
    <row r="188" ht="18.75" customHeight="1">
      <c r="H188" s="23"/>
      <c r="I188" s="23"/>
      <c r="L188" s="23"/>
    </row>
    <row r="189" ht="18.75" customHeight="1">
      <c r="H189" s="23"/>
      <c r="I189" s="23"/>
      <c r="L189" s="23"/>
    </row>
    <row r="190" ht="18.75" customHeight="1">
      <c r="H190" s="23"/>
      <c r="I190" s="23"/>
      <c r="L190" s="23"/>
    </row>
    <row r="191" ht="18.75" customHeight="1">
      <c r="H191" s="23"/>
      <c r="I191" s="23"/>
      <c r="L191" s="23"/>
    </row>
    <row r="192" ht="18.75" customHeight="1">
      <c r="H192" s="23"/>
      <c r="I192" s="23"/>
      <c r="L192" s="23"/>
    </row>
    <row r="193" ht="18.75" customHeight="1">
      <c r="H193" s="23"/>
      <c r="I193" s="23"/>
      <c r="L193" s="23"/>
    </row>
    <row r="194" ht="18.75" customHeight="1">
      <c r="H194" s="23"/>
      <c r="I194" s="23"/>
      <c r="L194" s="23"/>
    </row>
    <row r="195" ht="18.75" customHeight="1">
      <c r="H195" s="23"/>
      <c r="I195" s="23"/>
      <c r="L195" s="23"/>
    </row>
    <row r="196" ht="18.75" customHeight="1">
      <c r="H196" s="23"/>
      <c r="I196" s="23"/>
      <c r="L196" s="23"/>
    </row>
    <row r="197" ht="18.75" customHeight="1">
      <c r="H197" s="23"/>
      <c r="I197" s="23"/>
      <c r="L197" s="23"/>
    </row>
    <row r="198" ht="18.75" customHeight="1">
      <c r="H198" s="23"/>
      <c r="I198" s="23"/>
      <c r="L198" s="23"/>
    </row>
    <row r="199" ht="18.75" customHeight="1">
      <c r="H199" s="23"/>
      <c r="I199" s="23"/>
      <c r="L199" s="23"/>
    </row>
    <row r="200" ht="18.75" customHeight="1">
      <c r="H200" s="23"/>
      <c r="I200" s="23"/>
      <c r="L200" s="23"/>
    </row>
    <row r="201" ht="18.75" customHeight="1">
      <c r="H201" s="23"/>
      <c r="I201" s="23"/>
      <c r="L201" s="23"/>
    </row>
    <row r="202" ht="18.75" customHeight="1">
      <c r="H202" s="23"/>
      <c r="I202" s="23"/>
      <c r="L202" s="23"/>
    </row>
    <row r="203" ht="18.75" customHeight="1">
      <c r="H203" s="23"/>
      <c r="I203" s="23"/>
      <c r="L203" s="23"/>
    </row>
    <row r="204" ht="18.75" customHeight="1">
      <c r="H204" s="23"/>
      <c r="I204" s="23"/>
      <c r="L204" s="23"/>
    </row>
    <row r="205" ht="18.75" customHeight="1">
      <c r="H205" s="23"/>
      <c r="I205" s="23"/>
      <c r="L205" s="23"/>
    </row>
    <row r="206" ht="18.75" customHeight="1">
      <c r="H206" s="23"/>
      <c r="I206" s="23"/>
      <c r="L206" s="23"/>
    </row>
    <row r="207" ht="18.75" customHeight="1">
      <c r="H207" s="23"/>
      <c r="I207" s="23"/>
      <c r="L207" s="23"/>
    </row>
    <row r="208" ht="18.75" customHeight="1">
      <c r="H208" s="23"/>
      <c r="I208" s="23"/>
      <c r="L208" s="23"/>
    </row>
    <row r="209" ht="18.75" customHeight="1">
      <c r="H209" s="23"/>
      <c r="I209" s="23"/>
      <c r="L209" s="23"/>
    </row>
    <row r="210" ht="18.75" customHeight="1">
      <c r="H210" s="23"/>
      <c r="I210" s="23"/>
      <c r="L210" s="23"/>
    </row>
    <row r="211" ht="18.75" customHeight="1">
      <c r="H211" s="23"/>
      <c r="I211" s="23"/>
      <c r="L211" s="23"/>
    </row>
    <row r="212" ht="18.75" customHeight="1">
      <c r="H212" s="23"/>
      <c r="I212" s="23"/>
      <c r="L212" s="23"/>
    </row>
    <row r="213" ht="18.75" customHeight="1">
      <c r="H213" s="23"/>
      <c r="I213" s="23"/>
      <c r="L213" s="23"/>
    </row>
    <row r="214" ht="18.75" customHeight="1">
      <c r="H214" s="23"/>
      <c r="I214" s="23"/>
      <c r="L214" s="23"/>
    </row>
    <row r="215" ht="18.75" customHeight="1">
      <c r="H215" s="23"/>
      <c r="I215" s="23"/>
      <c r="L215" s="23"/>
    </row>
    <row r="216" ht="18.75" customHeight="1">
      <c r="H216" s="23"/>
      <c r="I216" s="23"/>
      <c r="L216" s="23"/>
    </row>
    <row r="217" ht="18.75" customHeight="1">
      <c r="H217" s="23"/>
      <c r="I217" s="23"/>
      <c r="L217" s="23"/>
    </row>
    <row r="218" ht="18.75" customHeight="1">
      <c r="H218" s="23"/>
      <c r="I218" s="23"/>
      <c r="L218" s="23"/>
    </row>
    <row r="219" ht="18.75" customHeight="1">
      <c r="H219" s="23"/>
      <c r="I219" s="23"/>
      <c r="L219" s="23"/>
    </row>
    <row r="220" ht="18.75" customHeight="1">
      <c r="H220" s="23"/>
      <c r="I220" s="23"/>
      <c r="L220" s="23"/>
    </row>
    <row r="221" ht="18.75" customHeight="1">
      <c r="H221" s="23"/>
      <c r="I221" s="23"/>
      <c r="L221" s="23"/>
    </row>
    <row r="222" ht="18.75" customHeight="1">
      <c r="H222" s="23"/>
      <c r="I222" s="23"/>
      <c r="L222" s="23"/>
    </row>
    <row r="223" ht="18.75" customHeight="1">
      <c r="H223" s="23"/>
      <c r="I223" s="23"/>
      <c r="L223" s="23"/>
    </row>
    <row r="224" ht="18.75" customHeight="1">
      <c r="H224" s="23"/>
      <c r="I224" s="23"/>
      <c r="L224" s="23"/>
    </row>
    <row r="225" ht="18.75" customHeight="1">
      <c r="H225" s="23"/>
      <c r="I225" s="23"/>
      <c r="L225" s="23"/>
    </row>
    <row r="226" ht="18.75" customHeight="1">
      <c r="H226" s="23"/>
      <c r="I226" s="23"/>
      <c r="L226" s="23"/>
    </row>
    <row r="227" ht="18.75" customHeight="1">
      <c r="H227" s="23"/>
      <c r="I227" s="23"/>
      <c r="L227" s="23"/>
    </row>
    <row r="228" ht="18.75" customHeight="1">
      <c r="H228" s="23"/>
      <c r="I228" s="23"/>
      <c r="L228" s="23"/>
    </row>
    <row r="229" ht="18.75" customHeight="1">
      <c r="H229" s="23"/>
      <c r="I229" s="23"/>
      <c r="L229" s="23"/>
    </row>
    <row r="230" ht="18.75" customHeight="1">
      <c r="H230" s="23"/>
      <c r="I230" s="23"/>
      <c r="L230" s="23"/>
    </row>
    <row r="231" ht="18.75" customHeight="1">
      <c r="H231" s="23"/>
      <c r="I231" s="23"/>
      <c r="L231" s="23"/>
    </row>
    <row r="232" ht="18.75" customHeight="1">
      <c r="H232" s="23"/>
      <c r="I232" s="23"/>
      <c r="L232" s="23"/>
    </row>
    <row r="233" ht="18.75" customHeight="1">
      <c r="H233" s="23"/>
      <c r="I233" s="23"/>
      <c r="L233" s="23"/>
    </row>
    <row r="234" ht="18.75" customHeight="1">
      <c r="H234" s="23"/>
      <c r="I234" s="23"/>
      <c r="L234" s="23"/>
    </row>
    <row r="235" ht="18.75" customHeight="1">
      <c r="H235" s="23"/>
      <c r="I235" s="23"/>
      <c r="L235" s="23"/>
    </row>
    <row r="236" ht="18.75" customHeight="1">
      <c r="H236" s="23"/>
      <c r="I236" s="23"/>
      <c r="L236" s="23"/>
    </row>
    <row r="237" ht="18.75" customHeight="1">
      <c r="H237" s="23"/>
      <c r="I237" s="23"/>
      <c r="L237" s="23"/>
    </row>
    <row r="238" ht="18.75" customHeight="1">
      <c r="H238" s="23"/>
      <c r="I238" s="23"/>
      <c r="L238" s="23"/>
    </row>
    <row r="239" ht="18.75" customHeight="1">
      <c r="H239" s="23"/>
      <c r="I239" s="23"/>
      <c r="L239" s="23"/>
    </row>
    <row r="240" ht="18.75" customHeight="1">
      <c r="H240" s="23"/>
      <c r="I240" s="23"/>
      <c r="L240" s="23"/>
    </row>
    <row r="241" ht="18.75" customHeight="1">
      <c r="H241" s="23"/>
      <c r="I241" s="23"/>
      <c r="L241" s="23"/>
    </row>
    <row r="242" ht="18.75" customHeight="1">
      <c r="H242" s="23"/>
      <c r="I242" s="23"/>
      <c r="L242" s="23"/>
    </row>
    <row r="243" ht="18.75" customHeight="1">
      <c r="H243" s="23"/>
      <c r="I243" s="23"/>
      <c r="L243" s="23"/>
    </row>
    <row r="244" ht="18.75" customHeight="1">
      <c r="H244" s="23"/>
      <c r="I244" s="23"/>
      <c r="L244" s="23"/>
    </row>
    <row r="245" ht="18.75" customHeight="1">
      <c r="H245" s="23"/>
      <c r="I245" s="23"/>
      <c r="L245" s="23"/>
    </row>
    <row r="246" ht="18.75" customHeight="1">
      <c r="H246" s="23"/>
      <c r="I246" s="23"/>
      <c r="L246" s="23"/>
    </row>
    <row r="247" ht="18.75" customHeight="1">
      <c r="H247" s="23"/>
      <c r="I247" s="23"/>
      <c r="L247" s="23"/>
    </row>
    <row r="248" ht="18.75" customHeight="1">
      <c r="H248" s="23"/>
      <c r="I248" s="23"/>
      <c r="L248" s="23"/>
    </row>
    <row r="249" ht="18.75" customHeight="1">
      <c r="H249" s="23"/>
      <c r="I249" s="23"/>
      <c r="L249" s="23"/>
    </row>
    <row r="250" ht="18.75" customHeight="1">
      <c r="H250" s="23"/>
      <c r="I250" s="23"/>
      <c r="L250" s="23"/>
    </row>
    <row r="251" ht="18.75" customHeight="1">
      <c r="H251" s="23"/>
      <c r="I251" s="23"/>
      <c r="L251" s="23"/>
    </row>
    <row r="252" ht="18.75" customHeight="1">
      <c r="H252" s="23"/>
      <c r="I252" s="23"/>
      <c r="L252" s="23"/>
    </row>
    <row r="253" ht="18.75" customHeight="1">
      <c r="H253" s="23"/>
      <c r="I253" s="23"/>
      <c r="L253" s="23"/>
    </row>
    <row r="254" ht="18.75" customHeight="1">
      <c r="H254" s="23"/>
      <c r="I254" s="23"/>
      <c r="L254" s="23"/>
    </row>
    <row r="255" ht="18.75" customHeight="1">
      <c r="H255" s="23"/>
      <c r="I255" s="23"/>
      <c r="L255" s="23"/>
    </row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29"/>
    <col customWidth="1" min="2" max="2" width="10.86"/>
    <col customWidth="1" min="3" max="3" width="17.57"/>
    <col customWidth="1" min="4" max="4" width="24.86"/>
    <col customWidth="1" min="5" max="5" width="5.86"/>
    <col customWidth="1" min="6" max="6" width="15.71"/>
    <col customWidth="1" min="7" max="7" width="13.57"/>
    <col customWidth="1" min="8" max="8" width="14.14"/>
    <col customWidth="1" min="9" max="9" width="16.0"/>
    <col customWidth="1" min="10" max="10" width="9.14"/>
    <col customWidth="1" min="11" max="11" width="17.0"/>
    <col customWidth="1" min="12" max="12" width="19.0"/>
    <col customWidth="1" min="13" max="13" width="12.0"/>
    <col customWidth="1" min="14" max="14" width="9.0"/>
    <col customWidth="1" min="15" max="15" width="5.0"/>
    <col customWidth="1" min="16" max="26" width="14.0"/>
  </cols>
  <sheetData>
    <row r="1" ht="18.75" customHeight="1">
      <c r="A1" s="1" t="s">
        <v>0</v>
      </c>
      <c r="B1" s="1" t="s">
        <v>1</v>
      </c>
      <c r="C1" s="1" t="s">
        <v>2</v>
      </c>
      <c r="D1" s="1" t="s">
        <v>5</v>
      </c>
      <c r="E1" s="1" t="s">
        <v>7</v>
      </c>
      <c r="F1" s="1" t="s">
        <v>10</v>
      </c>
      <c r="G1" s="1" t="s">
        <v>11</v>
      </c>
      <c r="H1" s="1" t="s">
        <v>13</v>
      </c>
      <c r="I1" s="1" t="s">
        <v>14</v>
      </c>
      <c r="J1" s="1" t="s">
        <v>15</v>
      </c>
      <c r="P1" s="27"/>
    </row>
    <row r="2" ht="18.75" customHeight="1">
      <c r="A2" s="15" t="str">
        <f>IFERROR(__xludf.DUMMYFUNCTION("FILTER(Pivot_table!A:J, Pivot_table!A:A = ""Thương"", Pivot_table!I:I &lt;&gt; 0)"),"Thương")</f>
        <v>Thương</v>
      </c>
      <c r="B2" s="15" t="str">
        <f>IFERROR(__xludf.DUMMYFUNCTION("""COMPUTED_VALUE"""),"KK00000352")</f>
        <v>KK00000352</v>
      </c>
      <c r="C2" s="17">
        <f>IFERROR(__xludf.DUMMYFUNCTION("""COMPUTED_VALUE"""),46126.99998842592)</f>
        <v>46126.99999</v>
      </c>
      <c r="D2" s="15" t="str">
        <f>IFERROR(__xludf.DUMMYFUNCTION("""COMPUTED_VALUE"""),"DAB - Dưa chua")</f>
        <v>DAB - Dưa chua</v>
      </c>
      <c r="E2" s="15" t="str">
        <f>IFERROR(__xludf.DUMMYFUNCTION("""COMPUTED_VALUE"""),"Kg")</f>
        <v>Kg</v>
      </c>
      <c r="F2" s="15">
        <f>IFERROR(__xludf.DUMMYFUNCTION("""COMPUTED_VALUE"""),-2.19)</f>
        <v>-2.19</v>
      </c>
      <c r="G2" s="13">
        <f>IFERROR(__xludf.DUMMYFUNCTION("""COMPUTED_VALUE"""),-52013.0)</f>
        <v>-52013</v>
      </c>
      <c r="H2" s="14">
        <f>IFERROR(__xludf.DUMMYFUNCTION("""COMPUTED_VALUE"""),0.3)</f>
        <v>0.3</v>
      </c>
      <c r="I2" s="14">
        <f>IFERROR(__xludf.DUMMYFUNCTION("""COMPUTED_VALUE"""),1.89)</f>
        <v>1.89</v>
      </c>
      <c r="J2" s="13">
        <f>IFERROR(__xludf.DUMMYFUNCTION("""COMPUTED_VALUE"""),44887.9347)</f>
        <v>44887.9347</v>
      </c>
    </row>
    <row r="3" ht="18.75" customHeight="1">
      <c r="A3" s="15" t="str">
        <f>IFERROR(__xludf.DUMMYFUNCTION("""COMPUTED_VALUE"""),"Thương")</f>
        <v>Thương</v>
      </c>
      <c r="B3" s="15" t="str">
        <f>IFERROR(__xludf.DUMMYFUNCTION("""COMPUTED_VALUE"""),"KK00000353")</f>
        <v>KK00000353</v>
      </c>
      <c r="C3" s="17">
        <f>IFERROR(__xludf.DUMMYFUNCTION("""COMPUTED_VALUE"""),46126.99998842592)</f>
        <v>46126.99999</v>
      </c>
      <c r="D3" s="15" t="str">
        <f>IFERROR(__xludf.DUMMYFUNCTION("""COMPUTED_VALUE"""),"DTN - Cà rốt")</f>
        <v>DTN - Cà rốt</v>
      </c>
      <c r="E3" s="15" t="str">
        <f>IFERROR(__xludf.DUMMYFUNCTION("""COMPUTED_VALUE"""),"Kg")</f>
        <v>Kg</v>
      </c>
      <c r="F3" s="15">
        <f>IFERROR(__xludf.DUMMYFUNCTION("""COMPUTED_VALUE"""),0.7)</f>
        <v>0.7</v>
      </c>
      <c r="G3" s="13">
        <f>IFERROR(__xludf.DUMMYFUNCTION("""COMPUTED_VALUE"""),14000.0)</f>
        <v>14000</v>
      </c>
      <c r="H3" s="23">
        <f>IFERROR(__xludf.DUMMYFUNCTION("""COMPUTED_VALUE"""),0.3)</f>
        <v>0.3</v>
      </c>
      <c r="I3" s="23">
        <f>IFERROR(__xludf.DUMMYFUNCTION("""COMPUTED_VALUE"""),0.39999999999999997)</f>
        <v>0.4</v>
      </c>
      <c r="J3" s="13">
        <f>IFERROR(__xludf.DUMMYFUNCTION("""COMPUTED_VALUE"""),7999.999999999999)</f>
        <v>8000</v>
      </c>
      <c r="L3" s="23"/>
      <c r="M3" s="23"/>
      <c r="O3" s="24"/>
    </row>
    <row r="4" ht="18.75" customHeight="1">
      <c r="A4" s="15" t="str">
        <f>IFERROR(__xludf.DUMMYFUNCTION("""COMPUTED_VALUE"""),"Thương")</f>
        <v>Thương</v>
      </c>
      <c r="B4" s="15" t="str">
        <f>IFERROR(__xludf.DUMMYFUNCTION("""COMPUTED_VALUE"""),"KK00000353")</f>
        <v>KK00000353</v>
      </c>
      <c r="C4" s="17">
        <f>IFERROR(__xludf.DUMMYFUNCTION("""COMPUTED_VALUE"""),46126.99998842592)</f>
        <v>46126.99999</v>
      </c>
      <c r="D4" s="15" t="str">
        <f>IFERROR(__xludf.DUMMYFUNCTION("""COMPUTED_VALUE"""),"DTN - Cam vàng")</f>
        <v>DTN - Cam vàng</v>
      </c>
      <c r="E4" s="15" t="str">
        <f>IFERROR(__xludf.DUMMYFUNCTION("""COMPUTED_VALUE"""),"Kg")</f>
        <v>Kg</v>
      </c>
      <c r="F4" s="15">
        <f>IFERROR(__xludf.DUMMYFUNCTION("""COMPUTED_VALUE"""),-0.32)</f>
        <v>-0.32</v>
      </c>
      <c r="G4" s="13">
        <f>IFERROR(__xludf.DUMMYFUNCTION("""COMPUTED_VALUE"""),-11026.0)</f>
        <v>-11026</v>
      </c>
      <c r="H4" s="23">
        <f>IFERROR(__xludf.DUMMYFUNCTION("""COMPUTED_VALUE"""),0.3)</f>
        <v>0.3</v>
      </c>
      <c r="I4" s="23">
        <f>IFERROR(__xludf.DUMMYFUNCTION("""COMPUTED_VALUE"""),0.020000000000000018)</f>
        <v>0.02</v>
      </c>
      <c r="J4" s="13">
        <f>IFERROR(__xludf.DUMMYFUNCTION("""COMPUTED_VALUE"""),689.1250000000006)</f>
        <v>689.125</v>
      </c>
      <c r="L4" s="23"/>
      <c r="M4" s="23"/>
      <c r="O4" s="24"/>
    </row>
    <row r="5" ht="18.75" customHeight="1">
      <c r="A5" s="15" t="str">
        <f>IFERROR(__xludf.DUMMYFUNCTION("""COMPUTED_VALUE"""),"Thương")</f>
        <v>Thương</v>
      </c>
      <c r="B5" s="15" t="str">
        <f>IFERROR(__xludf.DUMMYFUNCTION("""COMPUTED_VALUE"""),"KK00000353")</f>
        <v>KK00000353</v>
      </c>
      <c r="C5" s="17">
        <f>IFERROR(__xludf.DUMMYFUNCTION("""COMPUTED_VALUE"""),46126.99998842592)</f>
        <v>46126.99999</v>
      </c>
      <c r="D5" s="15" t="str">
        <f>IFERROR(__xludf.DUMMYFUNCTION("""COMPUTED_VALUE"""),"DTN - Chanh")</f>
        <v>DTN - Chanh</v>
      </c>
      <c r="E5" s="15" t="str">
        <f>IFERROR(__xludf.DUMMYFUNCTION("""COMPUTED_VALUE"""),"Kg")</f>
        <v>Kg</v>
      </c>
      <c r="F5" s="15">
        <f>IFERROR(__xludf.DUMMYFUNCTION("""COMPUTED_VALUE"""),0.48)</f>
        <v>0.48</v>
      </c>
      <c r="G5" s="13">
        <f>IFERROR(__xludf.DUMMYFUNCTION("""COMPUTED_VALUE"""),19120.0)</f>
        <v>19120</v>
      </c>
      <c r="H5" s="23">
        <f>IFERROR(__xludf.DUMMYFUNCTION("""COMPUTED_VALUE"""),0.3)</f>
        <v>0.3</v>
      </c>
      <c r="I5" s="23">
        <f>IFERROR(__xludf.DUMMYFUNCTION("""COMPUTED_VALUE"""),0.18)</f>
        <v>0.18</v>
      </c>
      <c r="J5" s="13">
        <f>IFERROR(__xludf.DUMMYFUNCTION("""COMPUTED_VALUE"""),7169.9994)</f>
        <v>7169.9994</v>
      </c>
      <c r="L5" s="23"/>
      <c r="M5" s="23"/>
      <c r="O5" s="24"/>
    </row>
    <row r="6" ht="18.75" customHeight="1">
      <c r="A6" s="15" t="str">
        <f>IFERROR(__xludf.DUMMYFUNCTION("""COMPUTED_VALUE"""),"Thương")</f>
        <v>Thương</v>
      </c>
      <c r="B6" s="15" t="str">
        <f>IFERROR(__xludf.DUMMYFUNCTION("""COMPUTED_VALUE"""),"KK00000353")</f>
        <v>KK00000353</v>
      </c>
      <c r="C6" s="17">
        <f>IFERROR(__xludf.DUMMYFUNCTION("""COMPUTED_VALUE"""),46126.99998842592)</f>
        <v>46126.99999</v>
      </c>
      <c r="D6" s="15" t="str">
        <f>IFERROR(__xludf.DUMMYFUNCTION("""COMPUTED_VALUE"""),"DTN - Chanh dây")</f>
        <v>DTN - Chanh dây</v>
      </c>
      <c r="E6" s="15" t="str">
        <f>IFERROR(__xludf.DUMMYFUNCTION("""COMPUTED_VALUE"""),"Kg")</f>
        <v>Kg</v>
      </c>
      <c r="F6" s="15">
        <f>IFERROR(__xludf.DUMMYFUNCTION("""COMPUTED_VALUE"""),0.86)</f>
        <v>0.86</v>
      </c>
      <c r="G6" s="13">
        <f>IFERROR(__xludf.DUMMYFUNCTION("""COMPUTED_VALUE"""),34066.0)</f>
        <v>34066</v>
      </c>
      <c r="H6" s="23">
        <f>IFERROR(__xludf.DUMMYFUNCTION("""COMPUTED_VALUE"""),0.3)</f>
        <v>0.3</v>
      </c>
      <c r="I6" s="23">
        <f>IFERROR(__xludf.DUMMYFUNCTION("""COMPUTED_VALUE"""),0.56)</f>
        <v>0.56</v>
      </c>
      <c r="J6" s="13">
        <f>IFERROR(__xludf.DUMMYFUNCTION("""COMPUTED_VALUE"""),22182.5128)</f>
        <v>22182.5128</v>
      </c>
      <c r="L6" s="23"/>
      <c r="M6" s="23"/>
      <c r="O6" s="24"/>
    </row>
    <row r="7" ht="18.75" customHeight="1">
      <c r="A7" s="15" t="str">
        <f>IFERROR(__xludf.DUMMYFUNCTION("""COMPUTED_VALUE"""),"Thương")</f>
        <v>Thương</v>
      </c>
      <c r="B7" s="15" t="str">
        <f>IFERROR(__xludf.DUMMYFUNCTION("""COMPUTED_VALUE"""),"KK00000353")</f>
        <v>KK00000353</v>
      </c>
      <c r="C7" s="17">
        <f>IFERROR(__xludf.DUMMYFUNCTION("""COMPUTED_VALUE"""),46126.99998842592)</f>
        <v>46126.99999</v>
      </c>
      <c r="D7" s="15" t="str">
        <f>IFERROR(__xludf.DUMMYFUNCTION("""COMPUTED_VALUE"""),"DTN - Cốt trà mix ô long + lài")</f>
        <v>DTN - Cốt trà mix ô long + lài</v>
      </c>
      <c r="E7" s="15" t="str">
        <f>IFERROR(__xludf.DUMMYFUNCTION("""COMPUTED_VALUE"""),"Lít")</f>
        <v>Lít</v>
      </c>
      <c r="F7" s="15">
        <f>IFERROR(__xludf.DUMMYFUNCTION("""COMPUTED_VALUE"""),5.84)</f>
        <v>5.84</v>
      </c>
      <c r="G7" s="13">
        <f>IFERROR(__xludf.DUMMYFUNCTION("""COMPUTED_VALUE"""),34934.0)</f>
        <v>34934</v>
      </c>
      <c r="H7" s="23">
        <f>IFERROR(__xludf.DUMMYFUNCTION("""COMPUTED_VALUE"""),0.3)</f>
        <v>0.3</v>
      </c>
      <c r="I7" s="23">
        <f>IFERROR(__xludf.DUMMYFUNCTION("""COMPUTED_VALUE"""),5.54)</f>
        <v>5.54</v>
      </c>
      <c r="J7" s="13">
        <f>IFERROR(__xludf.DUMMYFUNCTION("""COMPUTED_VALUE"""),33139.449)</f>
        <v>33139.449</v>
      </c>
      <c r="L7" s="23"/>
      <c r="M7" s="23"/>
      <c r="O7" s="24"/>
    </row>
    <row r="8" ht="18.75" customHeight="1">
      <c r="A8" s="15" t="str">
        <f>IFERROR(__xludf.DUMMYFUNCTION("""COMPUTED_VALUE"""),"Thương")</f>
        <v>Thương</v>
      </c>
      <c r="B8" s="15" t="str">
        <f>IFERROR(__xludf.DUMMYFUNCTION("""COMPUTED_VALUE"""),"KK00000353")</f>
        <v>KK00000353</v>
      </c>
      <c r="C8" s="17">
        <f>IFERROR(__xludf.DUMMYFUNCTION("""COMPUTED_VALUE"""),46126.99998842592)</f>
        <v>46126.99999</v>
      </c>
      <c r="D8" s="15" t="str">
        <f>IFERROR(__xludf.DUMMYFUNCTION("""COMPUTED_VALUE"""),"DTN - Dâu tây")</f>
        <v>DTN - Dâu tây</v>
      </c>
      <c r="E8" s="15" t="str">
        <f>IFERROR(__xludf.DUMMYFUNCTION("""COMPUTED_VALUE"""),"Kg")</f>
        <v>Kg</v>
      </c>
      <c r="F8" s="15">
        <f>IFERROR(__xludf.DUMMYFUNCTION("""COMPUTED_VALUE"""),3.265)</f>
        <v>3.265</v>
      </c>
      <c r="G8" s="13">
        <f>IFERROR(__xludf.DUMMYFUNCTION("""COMPUTED_VALUE"""),0.0)</f>
        <v>0</v>
      </c>
      <c r="H8" s="23">
        <f>IFERROR(__xludf.DUMMYFUNCTION("""COMPUTED_VALUE"""),0.3)</f>
        <v>0.3</v>
      </c>
      <c r="I8" s="23">
        <f>IFERROR(__xludf.DUMMYFUNCTION("""COMPUTED_VALUE"""),2.9650000000000003)</f>
        <v>2.965</v>
      </c>
      <c r="J8" s="13">
        <f>IFERROR(__xludf.DUMMYFUNCTION("""COMPUTED_VALUE"""),0.0)</f>
        <v>0</v>
      </c>
      <c r="L8" s="23"/>
      <c r="M8" s="23"/>
      <c r="O8" s="24"/>
    </row>
    <row r="9" ht="18.75" customHeight="1">
      <c r="A9" s="15" t="str">
        <f>IFERROR(__xludf.DUMMYFUNCTION("""COMPUTED_VALUE"""),"Thương")</f>
        <v>Thương</v>
      </c>
      <c r="B9" s="15" t="str">
        <f>IFERROR(__xludf.DUMMYFUNCTION("""COMPUTED_VALUE"""),"KK00000353")</f>
        <v>KK00000353</v>
      </c>
      <c r="C9" s="17">
        <f>IFERROR(__xludf.DUMMYFUNCTION("""COMPUTED_VALUE"""),46126.99998842592)</f>
        <v>46126.99999</v>
      </c>
      <c r="D9" s="15" t="str">
        <f>IFERROR(__xludf.DUMMYFUNCTION("""COMPUTED_VALUE"""),"DTN - Dưa hấu")</f>
        <v>DTN - Dưa hấu</v>
      </c>
      <c r="E9" s="15" t="str">
        <f>IFERROR(__xludf.DUMMYFUNCTION("""COMPUTED_VALUE"""),"Kg")</f>
        <v>Kg</v>
      </c>
      <c r="F9" s="15">
        <f>IFERROR(__xludf.DUMMYFUNCTION("""COMPUTED_VALUE"""),-1.18)</f>
        <v>-1.18</v>
      </c>
      <c r="G9" s="13">
        <f>IFERROR(__xludf.DUMMYFUNCTION("""COMPUTED_VALUE"""),-18048.0)</f>
        <v>-18048</v>
      </c>
      <c r="H9" s="23">
        <f>IFERROR(__xludf.DUMMYFUNCTION("""COMPUTED_VALUE"""),0.3)</f>
        <v>0.3</v>
      </c>
      <c r="I9" s="23">
        <f>IFERROR(__xludf.DUMMYFUNCTION("""COMPUTED_VALUE"""),0.8799999999999999)</f>
        <v>0.88</v>
      </c>
      <c r="J9" s="13">
        <f>IFERROR(__xludf.DUMMYFUNCTION("""COMPUTED_VALUE"""),13459.529599999998)</f>
        <v>13459.5296</v>
      </c>
      <c r="L9" s="23"/>
      <c r="M9" s="23"/>
      <c r="O9" s="24"/>
    </row>
    <row r="10" ht="18.75" customHeight="1">
      <c r="A10" s="15" t="str">
        <f>IFERROR(__xludf.DUMMYFUNCTION("""COMPUTED_VALUE"""),"Thương")</f>
        <v>Thương</v>
      </c>
      <c r="B10" s="15" t="str">
        <f>IFERROR(__xludf.DUMMYFUNCTION("""COMPUTED_VALUE"""),"KK00000353")</f>
        <v>KK00000353</v>
      </c>
      <c r="C10" s="17">
        <f>IFERROR(__xludf.DUMMYFUNCTION("""COMPUTED_VALUE"""),46126.99998842592)</f>
        <v>46126.99999</v>
      </c>
      <c r="D10" s="15" t="str">
        <f>IFERROR(__xludf.DUMMYFUNCTION("""COMPUTED_VALUE"""),"DTN - Dưa leo")</f>
        <v>DTN - Dưa leo</v>
      </c>
      <c r="E10" s="15" t="str">
        <f>IFERROR(__xludf.DUMMYFUNCTION("""COMPUTED_VALUE"""),"Kg")</f>
        <v>Kg</v>
      </c>
      <c r="F10" s="15">
        <f>IFERROR(__xludf.DUMMYFUNCTION("""COMPUTED_VALUE"""),-2.1)</f>
        <v>-2.1</v>
      </c>
      <c r="G10" s="13">
        <f>IFERROR(__xludf.DUMMYFUNCTION("""COMPUTED_VALUE"""),-35861.0)</f>
        <v>-35861</v>
      </c>
      <c r="H10" s="23">
        <f>IFERROR(__xludf.DUMMYFUNCTION("""COMPUTED_VALUE"""),0.3)</f>
        <v>0.3</v>
      </c>
      <c r="I10" s="23">
        <f>IFERROR(__xludf.DUMMYFUNCTION("""COMPUTED_VALUE"""),1.8)</f>
        <v>1.8</v>
      </c>
      <c r="J10" s="13">
        <f>IFERROR(__xludf.DUMMYFUNCTION("""COMPUTED_VALUE"""),30738.005999999998)</f>
        <v>30738.006</v>
      </c>
      <c r="L10" s="23"/>
      <c r="M10" s="23"/>
      <c r="O10" s="24"/>
    </row>
    <row r="11" ht="18.75" customHeight="1">
      <c r="A11" s="15" t="str">
        <f>IFERROR(__xludf.DUMMYFUNCTION("""COMPUTED_VALUE"""),"Thương")</f>
        <v>Thương</v>
      </c>
      <c r="B11" s="15" t="str">
        <f>IFERROR(__xludf.DUMMYFUNCTION("""COMPUTED_VALUE"""),"KK00000353")</f>
        <v>KK00000353</v>
      </c>
      <c r="C11" s="17">
        <f>IFERROR(__xludf.DUMMYFUNCTION("""COMPUTED_VALUE"""),46126.99998842592)</f>
        <v>46126.99999</v>
      </c>
      <c r="D11" s="15" t="str">
        <f>IFERROR(__xludf.DUMMYFUNCTION("""COMPUTED_VALUE"""),"DTN - Dưa lưới")</f>
        <v>DTN - Dưa lưới</v>
      </c>
      <c r="E11" s="15" t="str">
        <f>IFERROR(__xludf.DUMMYFUNCTION("""COMPUTED_VALUE"""),"Kg")</f>
        <v>Kg</v>
      </c>
      <c r="F11" s="15">
        <f>IFERROR(__xludf.DUMMYFUNCTION("""COMPUTED_VALUE"""),1.28)</f>
        <v>1.28</v>
      </c>
      <c r="G11" s="13">
        <f>IFERROR(__xludf.DUMMYFUNCTION("""COMPUTED_VALUE"""),47341.0)</f>
        <v>47341</v>
      </c>
      <c r="H11" s="23">
        <f>IFERROR(__xludf.DUMMYFUNCTION("""COMPUTED_VALUE"""),0.3)</f>
        <v>0.3</v>
      </c>
      <c r="I11" s="23">
        <f>IFERROR(__xludf.DUMMYFUNCTION("""COMPUTED_VALUE"""),0.98)</f>
        <v>0.98</v>
      </c>
      <c r="J11" s="13">
        <f>IFERROR(__xludf.DUMMYFUNCTION("""COMPUTED_VALUE"""),36245.4568)</f>
        <v>36245.4568</v>
      </c>
      <c r="L11" s="23"/>
      <c r="M11" s="23"/>
      <c r="O11" s="24"/>
    </row>
    <row r="12" ht="18.75" customHeight="1">
      <c r="A12" s="15" t="str">
        <f>IFERROR(__xludf.DUMMYFUNCTION("""COMPUTED_VALUE"""),"Thương")</f>
        <v>Thương</v>
      </c>
      <c r="B12" s="15" t="str">
        <f>IFERROR(__xludf.DUMMYFUNCTION("""COMPUTED_VALUE"""),"KK00000353")</f>
        <v>KK00000353</v>
      </c>
      <c r="C12" s="17">
        <f>IFERROR(__xludf.DUMMYFUNCTION("""COMPUTED_VALUE"""),46126.99998842592)</f>
        <v>46126.99999</v>
      </c>
      <c r="D12" s="15" t="str">
        <f>IFERROR(__xludf.DUMMYFUNCTION("""COMPUTED_VALUE"""),"DTN - Nước đường")</f>
        <v>DTN - Nước đường</v>
      </c>
      <c r="E12" s="15" t="str">
        <f>IFERROR(__xludf.DUMMYFUNCTION("""COMPUTED_VALUE"""),"Lít")</f>
        <v>Lít</v>
      </c>
      <c r="F12" s="15">
        <f>IFERROR(__xludf.DUMMYFUNCTION("""COMPUTED_VALUE"""),2.045)</f>
        <v>2.045</v>
      </c>
      <c r="G12" s="13">
        <f>IFERROR(__xludf.DUMMYFUNCTION("""COMPUTED_VALUE"""),25486.0)</f>
        <v>25486</v>
      </c>
      <c r="H12" s="23">
        <f>IFERROR(__xludf.DUMMYFUNCTION("""COMPUTED_VALUE"""),0.3)</f>
        <v>0.3</v>
      </c>
      <c r="I12" s="23">
        <f>IFERROR(__xludf.DUMMYFUNCTION("""COMPUTED_VALUE"""),1.7449999999999999)</f>
        <v>1.745</v>
      </c>
      <c r="J12" s="13">
        <f>IFERROR(__xludf.DUMMYFUNCTION("""COMPUTED_VALUE"""),21747.219549999998)</f>
        <v>21747.21955</v>
      </c>
      <c r="L12" s="23"/>
      <c r="M12" s="23"/>
      <c r="O12" s="24"/>
    </row>
    <row r="13" ht="18.75" customHeight="1">
      <c r="A13" s="15" t="str">
        <f>IFERROR(__xludf.DUMMYFUNCTION("""COMPUTED_VALUE"""),"Thương")</f>
        <v>Thương</v>
      </c>
      <c r="B13" s="15" t="str">
        <f>IFERROR(__xludf.DUMMYFUNCTION("""COMPUTED_VALUE"""),"KK00000353")</f>
        <v>KK00000353</v>
      </c>
      <c r="C13" s="17">
        <f>IFERROR(__xludf.DUMMYFUNCTION("""COMPUTED_VALUE"""),46126.99998842592)</f>
        <v>46126.99999</v>
      </c>
      <c r="D13" s="15" t="str">
        <f>IFERROR(__xludf.DUMMYFUNCTION("""COMPUTED_VALUE"""),"DTN - Ổi")</f>
        <v>DTN - Ổi</v>
      </c>
      <c r="E13" s="15" t="str">
        <f>IFERROR(__xludf.DUMMYFUNCTION("""COMPUTED_VALUE"""),"Kg")</f>
        <v>Kg</v>
      </c>
      <c r="F13" s="15">
        <f>IFERROR(__xludf.DUMMYFUNCTION("""COMPUTED_VALUE"""),0.476)</f>
        <v>0.476</v>
      </c>
      <c r="G13" s="13">
        <f>IFERROR(__xludf.DUMMYFUNCTION("""COMPUTED_VALUE"""),5874.0)</f>
        <v>5874</v>
      </c>
      <c r="H13" s="23">
        <f>IFERROR(__xludf.DUMMYFUNCTION("""COMPUTED_VALUE"""),0.3)</f>
        <v>0.3</v>
      </c>
      <c r="I13" s="23">
        <f>IFERROR(__xludf.DUMMYFUNCTION("""COMPUTED_VALUE"""),0.176)</f>
        <v>0.176</v>
      </c>
      <c r="J13" s="13">
        <f>IFERROR(__xludf.DUMMYFUNCTION("""COMPUTED_VALUE"""),2171.89984)</f>
        <v>2171.89984</v>
      </c>
      <c r="L13" s="23"/>
      <c r="M13" s="23"/>
      <c r="O13" s="24"/>
    </row>
    <row r="14" ht="18.75" customHeight="1">
      <c r="A14" s="15" t="str">
        <f>IFERROR(__xludf.DUMMYFUNCTION("""COMPUTED_VALUE"""),"Thương")</f>
        <v>Thương</v>
      </c>
      <c r="B14" s="15" t="str">
        <f>IFERROR(__xludf.DUMMYFUNCTION("""COMPUTED_VALUE"""),"KK00000353")</f>
        <v>KK00000353</v>
      </c>
      <c r="C14" s="17">
        <f>IFERROR(__xludf.DUMMYFUNCTION("""COMPUTED_VALUE"""),46126.99998842592)</f>
        <v>46126.99999</v>
      </c>
      <c r="D14" s="15" t="str">
        <f>IFERROR(__xludf.DUMMYFUNCTION("""COMPUTED_VALUE"""),"DTN - Quýt")</f>
        <v>DTN - Quýt</v>
      </c>
      <c r="E14" s="15" t="str">
        <f>IFERROR(__xludf.DUMMYFUNCTION("""COMPUTED_VALUE"""),"Kg")</f>
        <v>Kg</v>
      </c>
      <c r="F14" s="15">
        <f>IFERROR(__xludf.DUMMYFUNCTION("""COMPUTED_VALUE"""),1.065)</f>
        <v>1.065</v>
      </c>
      <c r="G14" s="13">
        <f>IFERROR(__xludf.DUMMYFUNCTION("""COMPUTED_VALUE"""),31172.0)</f>
        <v>31172</v>
      </c>
      <c r="H14" s="23">
        <f>IFERROR(__xludf.DUMMYFUNCTION("""COMPUTED_VALUE"""),0.3)</f>
        <v>0.3</v>
      </c>
      <c r="I14" s="23">
        <f>IFERROR(__xludf.DUMMYFUNCTION("""COMPUTED_VALUE"""),0.7649999999999999)</f>
        <v>0.765</v>
      </c>
      <c r="J14" s="13">
        <f>IFERROR(__xludf.DUMMYFUNCTION("""COMPUTED_VALUE"""),22391.152199999997)</f>
        <v>22391.1522</v>
      </c>
      <c r="L14" s="23"/>
      <c r="M14" s="23"/>
      <c r="O14" s="24"/>
      <c r="P14" s="22"/>
    </row>
    <row r="15" ht="18.75" customHeight="1">
      <c r="A15" s="15" t="str">
        <f>IFERROR(__xludf.DUMMYFUNCTION("""COMPUTED_VALUE"""),"Thương")</f>
        <v>Thương</v>
      </c>
      <c r="B15" s="15" t="str">
        <f>IFERROR(__xludf.DUMMYFUNCTION("""COMPUTED_VALUE"""),"KK00000353")</f>
        <v>KK00000353</v>
      </c>
      <c r="C15" s="17">
        <f>IFERROR(__xludf.DUMMYFUNCTION("""COMPUTED_VALUE"""),46126.99998842592)</f>
        <v>46126.99999</v>
      </c>
      <c r="D15" s="15" t="str">
        <f>IFERROR(__xludf.DUMMYFUNCTION("""COMPUTED_VALUE"""),"DTN - Sữa đặc")</f>
        <v>DTN - Sữa đặc</v>
      </c>
      <c r="E15" s="15" t="str">
        <f>IFERROR(__xludf.DUMMYFUNCTION("""COMPUTED_VALUE"""),"Hộp")</f>
        <v>Hộp</v>
      </c>
      <c r="F15" s="15">
        <f>IFERROR(__xludf.DUMMYFUNCTION("""COMPUTED_VALUE"""),-0.175)</f>
        <v>-0.175</v>
      </c>
      <c r="G15" s="13">
        <f>IFERROR(__xludf.DUMMYFUNCTION("""COMPUTED_VALUE"""),-3718.0)</f>
        <v>-3718</v>
      </c>
      <c r="H15" s="23">
        <f>IFERROR(__xludf.DUMMYFUNCTION("""COMPUTED_VALUE"""),0.0)</f>
        <v>0</v>
      </c>
      <c r="I15" s="23">
        <f>IFERROR(__xludf.DUMMYFUNCTION("""COMPUTED_VALUE"""),0.175)</f>
        <v>0.175</v>
      </c>
      <c r="J15" s="13">
        <f>IFERROR(__xludf.DUMMYFUNCTION("""COMPUTED_VALUE"""),3717.9992499999994)</f>
        <v>3717.99925</v>
      </c>
      <c r="L15" s="23"/>
      <c r="M15" s="23"/>
      <c r="O15" s="24"/>
    </row>
    <row r="16" ht="18.75" customHeight="1">
      <c r="A16" s="15" t="str">
        <f>IFERROR(__xludf.DUMMYFUNCTION("""COMPUTED_VALUE"""),"Thương")</f>
        <v>Thương</v>
      </c>
      <c r="B16" s="15" t="str">
        <f>IFERROR(__xludf.DUMMYFUNCTION("""COMPUTED_VALUE"""),"KK00000353")</f>
        <v>KK00000353</v>
      </c>
      <c r="C16" s="17">
        <f>IFERROR(__xludf.DUMMYFUNCTION("""COMPUTED_VALUE"""),46126.99998842592)</f>
        <v>46126.99999</v>
      </c>
      <c r="D16" s="15" t="str">
        <f>IFERROR(__xludf.DUMMYFUNCTION("""COMPUTED_VALUE"""),"DTN - Thơm")</f>
        <v>DTN - Thơm</v>
      </c>
      <c r="E16" s="15" t="str">
        <f>IFERROR(__xludf.DUMMYFUNCTION("""COMPUTED_VALUE"""),"Kg")</f>
        <v>Kg</v>
      </c>
      <c r="F16" s="15">
        <f>IFERROR(__xludf.DUMMYFUNCTION("""COMPUTED_VALUE"""),0.44)</f>
        <v>0.44</v>
      </c>
      <c r="G16" s="13">
        <f>IFERROR(__xludf.DUMMYFUNCTION("""COMPUTED_VALUE"""),0.0)</f>
        <v>0</v>
      </c>
      <c r="H16" s="23">
        <f>IFERROR(__xludf.DUMMYFUNCTION("""COMPUTED_VALUE"""),0.3)</f>
        <v>0.3</v>
      </c>
      <c r="I16" s="23">
        <f>IFERROR(__xludf.DUMMYFUNCTION("""COMPUTED_VALUE"""),0.14)</f>
        <v>0.14</v>
      </c>
      <c r="J16" s="13">
        <f>IFERROR(__xludf.DUMMYFUNCTION("""COMPUTED_VALUE"""),0.0)</f>
        <v>0</v>
      </c>
      <c r="L16" s="23"/>
      <c r="M16" s="23"/>
      <c r="O16" s="24"/>
    </row>
    <row r="17" ht="18.75" customHeight="1">
      <c r="A17" s="15" t="str">
        <f>IFERROR(__xludf.DUMMYFUNCTION("""COMPUTED_VALUE"""),"Thương")</f>
        <v>Thương</v>
      </c>
      <c r="B17" s="15" t="str">
        <f>IFERROR(__xludf.DUMMYFUNCTION("""COMPUTED_VALUE"""),"KK00000353")</f>
        <v>KK00000353</v>
      </c>
      <c r="C17" s="17">
        <f>IFERROR(__xludf.DUMMYFUNCTION("""COMPUTED_VALUE"""),46126.99998842592)</f>
        <v>46126.99999</v>
      </c>
      <c r="D17" s="15" t="str">
        <f>IFERROR(__xludf.DUMMYFUNCTION("""COMPUTED_VALUE"""),"DTN - Trái tắc")</f>
        <v>DTN - Trái tắc</v>
      </c>
      <c r="E17" s="15" t="str">
        <f>IFERROR(__xludf.DUMMYFUNCTION("""COMPUTED_VALUE"""),"Kg")</f>
        <v>Kg</v>
      </c>
      <c r="F17" s="15">
        <f>IFERROR(__xludf.DUMMYFUNCTION("""COMPUTED_VALUE"""),1.08)</f>
        <v>1.08</v>
      </c>
      <c r="G17" s="13">
        <f>IFERROR(__xludf.DUMMYFUNCTION("""COMPUTED_VALUE"""),22077.0)</f>
        <v>22077</v>
      </c>
      <c r="H17" s="23">
        <f>IFERROR(__xludf.DUMMYFUNCTION("""COMPUTED_VALUE"""),0.3)</f>
        <v>0.3</v>
      </c>
      <c r="I17" s="23">
        <f>IFERROR(__xludf.DUMMYFUNCTION("""COMPUTED_VALUE"""),0.78)</f>
        <v>0.78</v>
      </c>
      <c r="J17" s="13">
        <f>IFERROR(__xludf.DUMMYFUNCTION("""COMPUTED_VALUE"""),15944.5026)</f>
        <v>15944.5026</v>
      </c>
      <c r="L17" s="23"/>
      <c r="M17" s="23"/>
      <c r="O17" s="24"/>
    </row>
    <row r="18" ht="18.75" customHeight="1">
      <c r="A18" s="15" t="str">
        <f>IFERROR(__xludf.DUMMYFUNCTION("""COMPUTED_VALUE"""),"Thương")</f>
        <v>Thương</v>
      </c>
      <c r="B18" s="15" t="str">
        <f>IFERROR(__xludf.DUMMYFUNCTION("""COMPUTED_VALUE"""),"KK00000353")</f>
        <v>KK00000353</v>
      </c>
      <c r="C18" s="17">
        <f>IFERROR(__xludf.DUMMYFUNCTION("""COMPUTED_VALUE"""),46126.99998842592)</f>
        <v>46126.99999</v>
      </c>
      <c r="D18" s="15" t="str">
        <f>IFERROR(__xludf.DUMMYFUNCTION("""COMPUTED_VALUE"""),"DTN - Trứng gà")</f>
        <v>DTN - Trứng gà</v>
      </c>
      <c r="E18" s="15" t="str">
        <f>IFERROR(__xludf.DUMMYFUNCTION("""COMPUTED_VALUE"""),"Trái")</f>
        <v>Trái</v>
      </c>
      <c r="F18" s="15">
        <f>IFERROR(__xludf.DUMMYFUNCTION("""COMPUTED_VALUE"""),-2.0)</f>
        <v>-2</v>
      </c>
      <c r="G18" s="13">
        <f>IFERROR(__xludf.DUMMYFUNCTION("""COMPUTED_VALUE"""),-5953.0)</f>
        <v>-5953</v>
      </c>
      <c r="H18" s="23">
        <f>IFERROR(__xludf.DUMMYFUNCTION("""COMPUTED_VALUE"""),0.0)</f>
        <v>0</v>
      </c>
      <c r="I18" s="23">
        <f>IFERROR(__xludf.DUMMYFUNCTION("""COMPUTED_VALUE"""),2.0)</f>
        <v>2</v>
      </c>
      <c r="J18" s="13">
        <f>IFERROR(__xludf.DUMMYFUNCTION("""COMPUTED_VALUE"""),5953.0)</f>
        <v>5953</v>
      </c>
      <c r="L18" s="23"/>
      <c r="M18" s="23"/>
      <c r="O18" s="24"/>
    </row>
    <row r="19" ht="18.75" customHeight="1">
      <c r="A19" s="15" t="str">
        <f>IFERROR(__xludf.DUMMYFUNCTION("""COMPUTED_VALUE"""),"Thương")</f>
        <v>Thương</v>
      </c>
      <c r="B19" s="15" t="str">
        <f>IFERROR(__xludf.DUMMYFUNCTION("""COMPUTED_VALUE"""),"KK00000353")</f>
        <v>KK00000353</v>
      </c>
      <c r="C19" s="17">
        <f>IFERROR(__xludf.DUMMYFUNCTION("""COMPUTED_VALUE"""),46126.99998842592)</f>
        <v>46126.99999</v>
      </c>
      <c r="D19" s="15" t="str">
        <f>IFERROR(__xludf.DUMMYFUNCTION("""COMPUTED_VALUE"""),"DTN - Xà lách")</f>
        <v>DTN - Xà lách</v>
      </c>
      <c r="E19" s="15" t="str">
        <f>IFERROR(__xludf.DUMMYFUNCTION("""COMPUTED_VALUE"""),"Kg")</f>
        <v>Kg</v>
      </c>
      <c r="F19" s="15">
        <f>IFERROR(__xludf.DUMMYFUNCTION("""COMPUTED_VALUE"""),-2.0)</f>
        <v>-2</v>
      </c>
      <c r="G19" s="13">
        <f>IFERROR(__xludf.DUMMYFUNCTION("""COMPUTED_VALUE"""),-40000.0)</f>
        <v>-40000</v>
      </c>
      <c r="H19" s="23">
        <f>IFERROR(__xludf.DUMMYFUNCTION("""COMPUTED_VALUE"""),0.3)</f>
        <v>0.3</v>
      </c>
      <c r="I19" s="23">
        <f>IFERROR(__xludf.DUMMYFUNCTION("""COMPUTED_VALUE"""),1.7)</f>
        <v>1.7</v>
      </c>
      <c r="J19" s="13">
        <f>IFERROR(__xludf.DUMMYFUNCTION("""COMPUTED_VALUE"""),34000.0)</f>
        <v>34000</v>
      </c>
      <c r="L19" s="23"/>
      <c r="M19" s="23"/>
      <c r="O19" s="24"/>
    </row>
    <row r="20" ht="18.75" customHeight="1">
      <c r="A20" s="15" t="str">
        <f>IFERROR(__xludf.DUMMYFUNCTION("""COMPUTED_VALUE"""),"Thương")</f>
        <v>Thương</v>
      </c>
      <c r="B20" s="15" t="str">
        <f>IFERROR(__xludf.DUMMYFUNCTION("""COMPUTED_VALUE"""),"KK00000353")</f>
        <v>KK00000353</v>
      </c>
      <c r="C20" s="17">
        <f>IFERROR(__xludf.DUMMYFUNCTION("""COMPUTED_VALUE"""),46126.99998842592)</f>
        <v>46126.99999</v>
      </c>
      <c r="D20" s="15" t="str">
        <f>IFERROR(__xludf.DUMMYFUNCTION("""COMPUTED_VALUE"""),"DTN - Xoài")</f>
        <v>DTN - Xoài</v>
      </c>
      <c r="E20" s="15" t="str">
        <f>IFERROR(__xludf.DUMMYFUNCTION("""COMPUTED_VALUE"""),"Kg")</f>
        <v>Kg</v>
      </c>
      <c r="F20" s="15">
        <f>IFERROR(__xludf.DUMMYFUNCTION("""COMPUTED_VALUE"""),3.15)</f>
        <v>3.15</v>
      </c>
      <c r="G20" s="13">
        <f>IFERROR(__xludf.DUMMYFUNCTION("""COMPUTED_VALUE"""),88739.0)</f>
        <v>88739</v>
      </c>
      <c r="H20" s="23">
        <f>IFERROR(__xludf.DUMMYFUNCTION("""COMPUTED_VALUE"""),0.3)</f>
        <v>0.3</v>
      </c>
      <c r="I20" s="23">
        <f>IFERROR(__xludf.DUMMYFUNCTION("""COMPUTED_VALUE"""),2.85)</f>
        <v>2.85</v>
      </c>
      <c r="J20" s="13">
        <f>IFERROR(__xludf.DUMMYFUNCTION("""COMPUTED_VALUE"""),80287.66350000001)</f>
        <v>80287.6635</v>
      </c>
      <c r="L20" s="23"/>
      <c r="M20" s="23"/>
      <c r="O20" s="24"/>
    </row>
    <row r="21" ht="18.75" customHeight="1">
      <c r="A21" s="15" t="str">
        <f>IFERROR(__xludf.DUMMYFUNCTION("""COMPUTED_VALUE"""),"Thương")</f>
        <v>Thương</v>
      </c>
      <c r="B21" s="15" t="str">
        <f>IFERROR(__xludf.DUMMYFUNCTION("""COMPUTED_VALUE"""),"KK00000357")</f>
        <v>KK00000357</v>
      </c>
      <c r="C21" s="17">
        <f>IFERROR(__xludf.DUMMYFUNCTION("""COMPUTED_VALUE"""),46127.99998842592)</f>
        <v>46127.99999</v>
      </c>
      <c r="D21" s="15" t="str">
        <f>IFERROR(__xludf.DUMMYFUNCTION("""COMPUTED_VALUE"""),"DTN - Cherry ngâm")</f>
        <v>DTN - Cherry ngâm</v>
      </c>
      <c r="E21" s="15" t="str">
        <f>IFERROR(__xludf.DUMMYFUNCTION("""COMPUTED_VALUE"""),"Hũ")</f>
        <v>Hũ</v>
      </c>
      <c r="F21" s="15">
        <f>IFERROR(__xludf.DUMMYFUNCTION("""COMPUTED_VALUE"""),-2.22)</f>
        <v>-2.22</v>
      </c>
      <c r="G21" s="13">
        <f>IFERROR(__xludf.DUMMYFUNCTION("""COMPUTED_VALUE"""),-174543.0)</f>
        <v>-174543</v>
      </c>
      <c r="H21" s="23">
        <f>IFERROR(__xludf.DUMMYFUNCTION("""COMPUTED_VALUE"""),0.5)</f>
        <v>0.5</v>
      </c>
      <c r="I21" s="23">
        <f>IFERROR(__xludf.DUMMYFUNCTION("""COMPUTED_VALUE"""),1.7200000000000002)</f>
        <v>1.72</v>
      </c>
      <c r="J21" s="13">
        <f>IFERROR(__xludf.DUMMYFUNCTION("""COMPUTED_VALUE"""),135231.50840000002)</f>
        <v>135231.5084</v>
      </c>
      <c r="L21" s="23"/>
      <c r="M21" s="23"/>
      <c r="O21" s="24"/>
    </row>
    <row r="22" ht="18.75" customHeight="1">
      <c r="A22" s="15" t="str">
        <f>IFERROR(__xludf.DUMMYFUNCTION("""COMPUTED_VALUE"""),"Thương")</f>
        <v>Thương</v>
      </c>
      <c r="B22" s="15" t="str">
        <f>IFERROR(__xludf.DUMMYFUNCTION("""COMPUTED_VALUE"""),"KK00000357")</f>
        <v>KK00000357</v>
      </c>
      <c r="C22" s="17">
        <f>IFERROR(__xludf.DUMMYFUNCTION("""COMPUTED_VALUE"""),46127.99998842592)</f>
        <v>46127.99999</v>
      </c>
      <c r="D22" s="15" t="str">
        <f>IFERROR(__xludf.DUMMYFUNCTION("""COMPUTED_VALUE"""),"MSN -  Mứt tươi chanh dây")</f>
        <v>MSN -  Mứt tươi chanh dây</v>
      </c>
      <c r="E22" s="15" t="str">
        <f>IFERROR(__xludf.DUMMYFUNCTION("""COMPUTED_VALUE"""),"Lít")</f>
        <v>Lít</v>
      </c>
      <c r="F22" s="15">
        <f>IFERROR(__xludf.DUMMYFUNCTION("""COMPUTED_VALUE"""),0.48)</f>
        <v>0.48</v>
      </c>
      <c r="G22" s="13">
        <f>IFERROR(__xludf.DUMMYFUNCTION("""COMPUTED_VALUE"""),30710.0)</f>
        <v>30710</v>
      </c>
      <c r="H22" s="23">
        <f>IFERROR(__xludf.DUMMYFUNCTION("""COMPUTED_VALUE"""),0.3)</f>
        <v>0.3</v>
      </c>
      <c r="I22" s="23">
        <f>IFERROR(__xludf.DUMMYFUNCTION("""COMPUTED_VALUE"""),0.18)</f>
        <v>0.18</v>
      </c>
      <c r="J22" s="13">
        <f>IFERROR(__xludf.DUMMYFUNCTION("""COMPUTED_VALUE"""),11516.2506)</f>
        <v>11516.2506</v>
      </c>
      <c r="L22" s="23"/>
      <c r="M22" s="23"/>
      <c r="O22" s="24"/>
    </row>
    <row r="23" ht="18.75" customHeight="1">
      <c r="A23" s="15" t="str">
        <f>IFERROR(__xludf.DUMMYFUNCTION("""COMPUTED_VALUE"""),"Thương")</f>
        <v>Thương</v>
      </c>
      <c r="B23" s="15" t="str">
        <f>IFERROR(__xludf.DUMMYFUNCTION("""COMPUTED_VALUE"""),"KK00000357")</f>
        <v>KK00000357</v>
      </c>
      <c r="C23" s="17">
        <f>IFERROR(__xludf.DUMMYFUNCTION("""COMPUTED_VALUE"""),46127.99998842592)</f>
        <v>46127.99999</v>
      </c>
      <c r="D23" s="15" t="str">
        <f>IFERROR(__xludf.DUMMYFUNCTION("""COMPUTED_VALUE"""),"MSN -  Mứt tươi dâu tây")</f>
        <v>MSN -  Mứt tươi dâu tây</v>
      </c>
      <c r="E23" s="15" t="str">
        <f>IFERROR(__xludf.DUMMYFUNCTION("""COMPUTED_VALUE"""),"Lít")</f>
        <v>Lít</v>
      </c>
      <c r="F23" s="15">
        <f>IFERROR(__xludf.DUMMYFUNCTION("""COMPUTED_VALUE"""),0.83)</f>
        <v>0.83</v>
      </c>
      <c r="G23" s="13">
        <f>IFERROR(__xludf.DUMMYFUNCTION("""COMPUTED_VALUE"""),30389.0)</f>
        <v>30389</v>
      </c>
      <c r="H23" s="23">
        <f>IFERROR(__xludf.DUMMYFUNCTION("""COMPUTED_VALUE"""),0.3)</f>
        <v>0.3</v>
      </c>
      <c r="I23" s="23">
        <f>IFERROR(__xludf.DUMMYFUNCTION("""COMPUTED_VALUE"""),0.53)</f>
        <v>0.53</v>
      </c>
      <c r="J23" s="13">
        <f>IFERROR(__xludf.DUMMYFUNCTION("""COMPUTED_VALUE"""),19405.022500000003)</f>
        <v>19405.0225</v>
      </c>
      <c r="L23" s="23"/>
      <c r="M23" s="23"/>
      <c r="O23" s="24"/>
    </row>
    <row r="24" ht="18.75" customHeight="1">
      <c r="A24" s="15" t="str">
        <f>IFERROR(__xludf.DUMMYFUNCTION("""COMPUTED_VALUE"""),"Thương")</f>
        <v>Thương</v>
      </c>
      <c r="B24" s="15" t="str">
        <f>IFERROR(__xludf.DUMMYFUNCTION("""COMPUTED_VALUE"""),"KK00000357")</f>
        <v>KK00000357</v>
      </c>
      <c r="C24" s="17">
        <f>IFERROR(__xludf.DUMMYFUNCTION("""COMPUTED_VALUE"""),46127.99998842592)</f>
        <v>46127.99999</v>
      </c>
      <c r="D24" s="15" t="str">
        <f>IFERROR(__xludf.DUMMYFUNCTION("""COMPUTED_VALUE"""),"MSN -  Mứt tươi mãng cầu")</f>
        <v>MSN -  Mứt tươi mãng cầu</v>
      </c>
      <c r="E24" s="15" t="str">
        <f>IFERROR(__xludf.DUMMYFUNCTION("""COMPUTED_VALUE"""),"Lít")</f>
        <v>Lít</v>
      </c>
      <c r="F24" s="15">
        <f>IFERROR(__xludf.DUMMYFUNCTION("""COMPUTED_VALUE"""),0.54)</f>
        <v>0.54</v>
      </c>
      <c r="G24" s="13">
        <f>IFERROR(__xludf.DUMMYFUNCTION("""COMPUTED_VALUE"""),32651.0)</f>
        <v>32651</v>
      </c>
      <c r="H24" s="23">
        <f>IFERROR(__xludf.DUMMYFUNCTION("""COMPUTED_VALUE"""),0.3)</f>
        <v>0.3</v>
      </c>
      <c r="I24" s="23">
        <f>IFERROR(__xludf.DUMMYFUNCTION("""COMPUTED_VALUE"""),0.24000000000000005)</f>
        <v>0.24</v>
      </c>
      <c r="J24" s="13">
        <f>IFERROR(__xludf.DUMMYFUNCTION("""COMPUTED_VALUE"""),14511.554400000003)</f>
        <v>14511.5544</v>
      </c>
      <c r="L24" s="23"/>
      <c r="M24" s="23"/>
      <c r="O24" s="24"/>
    </row>
    <row r="25" ht="18.75" customHeight="1">
      <c r="A25" s="15" t="str">
        <f>IFERROR(__xludf.DUMMYFUNCTION("""COMPUTED_VALUE"""),"Thương")</f>
        <v>Thương</v>
      </c>
      <c r="B25" s="15" t="str">
        <f>IFERROR(__xludf.DUMMYFUNCTION("""COMPUTED_VALUE"""),"KK00000357")</f>
        <v>KK00000357</v>
      </c>
      <c r="C25" s="17">
        <f>IFERROR(__xludf.DUMMYFUNCTION("""COMPUTED_VALUE"""),46127.99998842592)</f>
        <v>46127.99999</v>
      </c>
      <c r="D25" s="15" t="str">
        <f>IFERROR(__xludf.DUMMYFUNCTION("""COMPUTED_VALUE"""),"MSN -  Mứt tươi nhiệt đới")</f>
        <v>MSN -  Mứt tươi nhiệt đới</v>
      </c>
      <c r="E25" s="15" t="str">
        <f>IFERROR(__xludf.DUMMYFUNCTION("""COMPUTED_VALUE"""),"Lít")</f>
        <v>Lít</v>
      </c>
      <c r="F25" s="15">
        <f>IFERROR(__xludf.DUMMYFUNCTION("""COMPUTED_VALUE"""),2.38)</f>
        <v>2.38</v>
      </c>
      <c r="G25" s="13">
        <f>IFERROR(__xludf.DUMMYFUNCTION("""COMPUTED_VALUE"""),135305.0)</f>
        <v>135305</v>
      </c>
      <c r="H25" s="23">
        <f>IFERROR(__xludf.DUMMYFUNCTION("""COMPUTED_VALUE"""),0.3)</f>
        <v>0.3</v>
      </c>
      <c r="I25" s="23">
        <f>IFERROR(__xludf.DUMMYFUNCTION("""COMPUTED_VALUE"""),2.08)</f>
        <v>2.08</v>
      </c>
      <c r="J25" s="13">
        <f>IFERROR(__xludf.DUMMYFUNCTION("""COMPUTED_VALUE"""),118249.7472)</f>
        <v>118249.7472</v>
      </c>
      <c r="L25" s="23"/>
      <c r="M25" s="23"/>
      <c r="O25" s="24"/>
    </row>
    <row r="26" ht="18.75" customHeight="1">
      <c r="A26" s="15" t="str">
        <f>IFERROR(__xludf.DUMMYFUNCTION("""COMPUTED_VALUE"""),"Thương")</f>
        <v>Thương</v>
      </c>
      <c r="B26" s="15" t="str">
        <f>IFERROR(__xludf.DUMMYFUNCTION("""COMPUTED_VALUE"""),"KK00000357")</f>
        <v>KK00000357</v>
      </c>
      <c r="C26" s="17">
        <f>IFERROR(__xludf.DUMMYFUNCTION("""COMPUTED_VALUE"""),46127.99998842592)</f>
        <v>46127.99999</v>
      </c>
      <c r="D26" s="15" t="str">
        <f>IFERROR(__xludf.DUMMYFUNCTION("""COMPUTED_VALUE"""),"MSN -  Mứt tươi ổi")</f>
        <v>MSN -  Mứt tươi ổi</v>
      </c>
      <c r="E26" s="15" t="str">
        <f>IFERROR(__xludf.DUMMYFUNCTION("""COMPUTED_VALUE"""),"Lít")</f>
        <v>Lít</v>
      </c>
      <c r="F26" s="15">
        <f>IFERROR(__xludf.DUMMYFUNCTION("""COMPUTED_VALUE"""),-0.32)</f>
        <v>-0.32</v>
      </c>
      <c r="G26" s="13">
        <f>IFERROR(__xludf.DUMMYFUNCTION("""COMPUTED_VALUE"""),-56392.0)</f>
        <v>-56392</v>
      </c>
      <c r="H26" s="23">
        <f>IFERROR(__xludf.DUMMYFUNCTION("""COMPUTED_VALUE"""),0.3)</f>
        <v>0.3</v>
      </c>
      <c r="I26" s="23">
        <f>IFERROR(__xludf.DUMMYFUNCTION("""COMPUTED_VALUE"""),0.020000000000000018)</f>
        <v>0.02</v>
      </c>
      <c r="J26" s="13">
        <f>IFERROR(__xludf.DUMMYFUNCTION("""COMPUTED_VALUE"""),3524.500000000003)</f>
        <v>3524.5</v>
      </c>
      <c r="L26" s="23"/>
      <c r="M26" s="23"/>
      <c r="O26" s="24"/>
    </row>
    <row r="27" ht="18.75" customHeight="1">
      <c r="A27" s="15" t="str">
        <f>IFERROR(__xludf.DUMMYFUNCTION("""COMPUTED_VALUE"""),"Thương")</f>
        <v>Thương</v>
      </c>
      <c r="B27" s="15" t="str">
        <f>IFERROR(__xludf.DUMMYFUNCTION("""COMPUTED_VALUE"""),"KK00000357")</f>
        <v>KK00000357</v>
      </c>
      <c r="C27" s="17">
        <f>IFERROR(__xludf.DUMMYFUNCTION("""COMPUTED_VALUE"""),46127.99998842592)</f>
        <v>46127.99999</v>
      </c>
      <c r="D27" s="15" t="str">
        <f>IFERROR(__xludf.DUMMYFUNCTION("""COMPUTED_VALUE"""),"MSN - Kombucha thành  phẩm")</f>
        <v>MSN - Kombucha thành  phẩm</v>
      </c>
      <c r="E27" s="15" t="str">
        <f>IFERROR(__xludf.DUMMYFUNCTION("""COMPUTED_VALUE"""),"Lít")</f>
        <v>Lít</v>
      </c>
      <c r="F27" s="15">
        <f>IFERROR(__xludf.DUMMYFUNCTION("""COMPUTED_VALUE"""),1.14)</f>
        <v>1.14</v>
      </c>
      <c r="G27" s="13">
        <f>IFERROR(__xludf.DUMMYFUNCTION("""COMPUTED_VALUE"""),5250.0)</f>
        <v>5250</v>
      </c>
      <c r="H27" s="23">
        <f>IFERROR(__xludf.DUMMYFUNCTION("""COMPUTED_VALUE"""),0.3)</f>
        <v>0.3</v>
      </c>
      <c r="I27" s="23">
        <f>IFERROR(__xludf.DUMMYFUNCTION("""COMPUTED_VALUE"""),0.8399999999999999)</f>
        <v>0.84</v>
      </c>
      <c r="J27" s="13">
        <f>IFERROR(__xludf.DUMMYFUNCTION("""COMPUTED_VALUE"""),3868.4183999999996)</f>
        <v>3868.4184</v>
      </c>
      <c r="L27" s="23"/>
      <c r="M27" s="23"/>
      <c r="O27" s="24"/>
    </row>
    <row r="28" ht="18.75" customHeight="1">
      <c r="A28" s="15" t="str">
        <f>IFERROR(__xludf.DUMMYFUNCTION("""COMPUTED_VALUE"""),"Thương")</f>
        <v>Thương</v>
      </c>
      <c r="B28" s="15" t="str">
        <f>IFERROR(__xludf.DUMMYFUNCTION("""COMPUTED_VALUE"""),"KK00000358")</f>
        <v>KK00000358</v>
      </c>
      <c r="C28" s="17">
        <f>IFERROR(__xludf.DUMMYFUNCTION("""COMPUTED_VALUE"""),46128.80060185185)</f>
        <v>46128.8006</v>
      </c>
      <c r="D28" s="15" t="str">
        <f>IFERROR(__xludf.DUMMYFUNCTION("""COMPUTED_VALUE"""),"CCDC - Bàn chải đánh răng")</f>
        <v>CCDC - Bàn chải đánh răng</v>
      </c>
      <c r="E28" s="15" t="str">
        <f>IFERROR(__xludf.DUMMYFUNCTION("""COMPUTED_VALUE"""),"Cái")</f>
        <v>Cái</v>
      </c>
      <c r="F28" s="15">
        <f>IFERROR(__xludf.DUMMYFUNCTION("""COMPUTED_VALUE"""),-1.0)</f>
        <v>-1</v>
      </c>
      <c r="G28" s="13">
        <f>IFERROR(__xludf.DUMMYFUNCTION("""COMPUTED_VALUE"""),-25000.0)</f>
        <v>-25000</v>
      </c>
      <c r="H28" s="23">
        <f>IFERROR(__xludf.DUMMYFUNCTION("""COMPUTED_VALUE"""),0.0)</f>
        <v>0</v>
      </c>
      <c r="I28" s="23">
        <f>IFERROR(__xludf.DUMMYFUNCTION("""COMPUTED_VALUE"""),1.0)</f>
        <v>1</v>
      </c>
      <c r="J28" s="13">
        <f>IFERROR(__xludf.DUMMYFUNCTION("""COMPUTED_VALUE"""),25000.0)</f>
        <v>25000</v>
      </c>
      <c r="L28" s="23"/>
      <c r="M28" s="23"/>
      <c r="O28" s="24"/>
    </row>
    <row r="29" ht="18.75" customHeight="1">
      <c r="A29" s="15" t="str">
        <f>IFERROR(__xludf.DUMMYFUNCTION("""COMPUTED_VALUE"""),"Thương")</f>
        <v>Thương</v>
      </c>
      <c r="B29" s="15" t="str">
        <f>IFERROR(__xludf.DUMMYFUNCTION("""COMPUTED_VALUE"""),"KK00000358")</f>
        <v>KK00000358</v>
      </c>
      <c r="C29" s="17">
        <f>IFERROR(__xludf.DUMMYFUNCTION("""COMPUTED_VALUE"""),46128.80060185185)</f>
        <v>46128.8006</v>
      </c>
      <c r="D29" s="15" t="str">
        <f>IFERROR(__xludf.DUMMYFUNCTION("""COMPUTED_VALUE"""),"CCDC - Bảng tên nhựa")</f>
        <v>CCDC - Bảng tên nhựa</v>
      </c>
      <c r="E29" s="15" t="str">
        <f>IFERROR(__xludf.DUMMYFUNCTION("""COMPUTED_VALUE"""),"Cái")</f>
        <v>Cái</v>
      </c>
      <c r="F29" s="15">
        <f>IFERROR(__xludf.DUMMYFUNCTION("""COMPUTED_VALUE"""),-6.0)</f>
        <v>-6</v>
      </c>
      <c r="G29" s="13">
        <f>IFERROR(__xludf.DUMMYFUNCTION("""COMPUTED_VALUE"""),-90000.0)</f>
        <v>-90000</v>
      </c>
      <c r="H29" s="23">
        <f>IFERROR(__xludf.DUMMYFUNCTION("""COMPUTED_VALUE"""),0.0)</f>
        <v>0</v>
      </c>
      <c r="I29" s="23">
        <f>IFERROR(__xludf.DUMMYFUNCTION("""COMPUTED_VALUE"""),6.0)</f>
        <v>6</v>
      </c>
      <c r="J29" s="13">
        <f>IFERROR(__xludf.DUMMYFUNCTION("""COMPUTED_VALUE"""),90000.0)</f>
        <v>90000</v>
      </c>
      <c r="L29" s="23"/>
      <c r="M29" s="23"/>
      <c r="O29" s="24"/>
    </row>
    <row r="30" ht="18.75" customHeight="1">
      <c r="A30" s="15" t="str">
        <f>IFERROR(__xludf.DUMMYFUNCTION("""COMPUTED_VALUE"""),"Thương")</f>
        <v>Thương</v>
      </c>
      <c r="B30" s="15" t="str">
        <f>IFERROR(__xludf.DUMMYFUNCTION("""COMPUTED_VALUE"""),"KK00000358")</f>
        <v>KK00000358</v>
      </c>
      <c r="C30" s="17">
        <f>IFERROR(__xludf.DUMMYFUNCTION("""COMPUTED_VALUE"""),46128.80060185185)</f>
        <v>46128.8006</v>
      </c>
      <c r="D30" s="15" t="str">
        <f>IFERROR(__xludf.DUMMYFUNCTION("""COMPUTED_VALUE"""),"CCDC - Ca đong 100ml")</f>
        <v>CCDC - Ca đong 100ml</v>
      </c>
      <c r="E30" s="15" t="str">
        <f>IFERROR(__xludf.DUMMYFUNCTION("""COMPUTED_VALUE"""),"Cái")</f>
        <v>Cái</v>
      </c>
      <c r="F30" s="15">
        <f>IFERROR(__xludf.DUMMYFUNCTION("""COMPUTED_VALUE"""),-1.0)</f>
        <v>-1</v>
      </c>
      <c r="G30" s="13">
        <f>IFERROR(__xludf.DUMMYFUNCTION("""COMPUTED_VALUE"""),-20000.0)</f>
        <v>-20000</v>
      </c>
      <c r="H30" s="23">
        <f>IFERROR(__xludf.DUMMYFUNCTION("""COMPUTED_VALUE"""),0.0)</f>
        <v>0</v>
      </c>
      <c r="I30" s="23">
        <f>IFERROR(__xludf.DUMMYFUNCTION("""COMPUTED_VALUE"""),1.0)</f>
        <v>1</v>
      </c>
      <c r="J30" s="13">
        <f>IFERROR(__xludf.DUMMYFUNCTION("""COMPUTED_VALUE"""),20000.0)</f>
        <v>20000</v>
      </c>
      <c r="L30" s="23"/>
      <c r="M30" s="23"/>
      <c r="O30" s="24"/>
    </row>
    <row r="31" ht="18.75" customHeight="1">
      <c r="A31" s="15" t="str">
        <f>IFERROR(__xludf.DUMMYFUNCTION("""COMPUTED_VALUE"""),"Thương")</f>
        <v>Thương</v>
      </c>
      <c r="B31" s="15" t="str">
        <f>IFERROR(__xludf.DUMMYFUNCTION("""COMPUTED_VALUE"""),"KK00000358")</f>
        <v>KK00000358</v>
      </c>
      <c r="C31" s="17">
        <f>IFERROR(__xludf.DUMMYFUNCTION("""COMPUTED_VALUE"""),46128.80060185185)</f>
        <v>46128.8006</v>
      </c>
      <c r="D31" s="15" t="str">
        <f>IFERROR(__xludf.DUMMYFUNCTION("""COMPUTED_VALUE"""),"CCDC - Khăn lau")</f>
        <v>CCDC - Khăn lau</v>
      </c>
      <c r="E31" s="15" t="str">
        <f>IFERROR(__xludf.DUMMYFUNCTION("""COMPUTED_VALUE"""),"Cái")</f>
        <v>Cái</v>
      </c>
      <c r="F31" s="15">
        <f>IFERROR(__xludf.DUMMYFUNCTION("""COMPUTED_VALUE"""),-1.0)</f>
        <v>-1</v>
      </c>
      <c r="G31" s="13">
        <f>IFERROR(__xludf.DUMMYFUNCTION("""COMPUTED_VALUE"""),-10000.0)</f>
        <v>-10000</v>
      </c>
      <c r="H31" s="23">
        <f>IFERROR(__xludf.DUMMYFUNCTION("""COMPUTED_VALUE"""),0.0)</f>
        <v>0</v>
      </c>
      <c r="I31" s="23">
        <f>IFERROR(__xludf.DUMMYFUNCTION("""COMPUTED_VALUE"""),1.0)</f>
        <v>1</v>
      </c>
      <c r="J31" s="13">
        <f>IFERROR(__xludf.DUMMYFUNCTION("""COMPUTED_VALUE"""),10000.0)</f>
        <v>10000</v>
      </c>
      <c r="L31" s="23"/>
      <c r="M31" s="23"/>
      <c r="O31" s="24"/>
    </row>
    <row r="32" ht="18.75" customHeight="1">
      <c r="A32" s="15" t="str">
        <f>IFERROR(__xludf.DUMMYFUNCTION("""COMPUTED_VALUE"""),"Thương")</f>
        <v>Thương</v>
      </c>
      <c r="B32" s="15" t="str">
        <f>IFERROR(__xludf.DUMMYFUNCTION("""COMPUTED_VALUE"""),"KK00000358")</f>
        <v>KK00000358</v>
      </c>
      <c r="C32" s="17">
        <f>IFERROR(__xludf.DUMMYFUNCTION("""COMPUTED_VALUE"""),46128.80060185185)</f>
        <v>46128.8006</v>
      </c>
      <c r="D32" s="15" t="str">
        <f>IFERROR(__xludf.DUMMYFUNCTION("""COMPUTED_VALUE"""),"CCDC - Lót ly")</f>
        <v>CCDC - Lót ly</v>
      </c>
      <c r="E32" s="15" t="str">
        <f>IFERROR(__xludf.DUMMYFUNCTION("""COMPUTED_VALUE"""),"Cái")</f>
        <v>Cái</v>
      </c>
      <c r="F32" s="15">
        <f>IFERROR(__xludf.DUMMYFUNCTION("""COMPUTED_VALUE"""),-19.0)</f>
        <v>-19</v>
      </c>
      <c r="G32" s="13">
        <f>IFERROR(__xludf.DUMMYFUNCTION("""COMPUTED_VALUE"""),-58234.0)</f>
        <v>-58234</v>
      </c>
      <c r="H32" s="23">
        <f>IFERROR(__xludf.DUMMYFUNCTION("""COMPUTED_VALUE"""),0.0)</f>
        <v>0</v>
      </c>
      <c r="I32" s="23">
        <f>IFERROR(__xludf.DUMMYFUNCTION("""COMPUTED_VALUE"""),19.0)</f>
        <v>19</v>
      </c>
      <c r="J32" s="13">
        <f>IFERROR(__xludf.DUMMYFUNCTION("""COMPUTED_VALUE"""),58234.049999999996)</f>
        <v>58234.05</v>
      </c>
      <c r="L32" s="23"/>
      <c r="M32" s="23"/>
      <c r="O32" s="24"/>
    </row>
    <row r="33" ht="18.75" customHeight="1">
      <c r="A33" s="15" t="str">
        <f>IFERROR(__xludf.DUMMYFUNCTION("""COMPUTED_VALUE"""),"Thương")</f>
        <v>Thương</v>
      </c>
      <c r="B33" s="15" t="str">
        <f>IFERROR(__xludf.DUMMYFUNCTION("""COMPUTED_VALUE"""),"KK00000358")</f>
        <v>KK00000358</v>
      </c>
      <c r="C33" s="17">
        <f>IFERROR(__xludf.DUMMYFUNCTION("""COMPUTED_VALUE"""),46128.80060185185)</f>
        <v>46128.8006</v>
      </c>
      <c r="D33" s="15" t="str">
        <f>IFERROR(__xludf.DUMMYFUNCTION("""COMPUTED_VALUE"""),"CCDC - Tạp dề")</f>
        <v>CCDC - Tạp dề</v>
      </c>
      <c r="E33" s="15" t="str">
        <f>IFERROR(__xludf.DUMMYFUNCTION("""COMPUTED_VALUE"""),"Cái")</f>
        <v>Cái</v>
      </c>
      <c r="F33" s="15">
        <f>IFERROR(__xludf.DUMMYFUNCTION("""COMPUTED_VALUE"""),-1.0)</f>
        <v>-1</v>
      </c>
      <c r="G33" s="13">
        <f>IFERROR(__xludf.DUMMYFUNCTION("""COMPUTED_VALUE"""),-27000.0)</f>
        <v>-27000</v>
      </c>
      <c r="H33" s="23">
        <f>IFERROR(__xludf.DUMMYFUNCTION("""COMPUTED_VALUE"""),0.0)</f>
        <v>0</v>
      </c>
      <c r="I33" s="23">
        <f>IFERROR(__xludf.DUMMYFUNCTION("""COMPUTED_VALUE"""),1.0)</f>
        <v>1</v>
      </c>
      <c r="J33" s="13">
        <f>IFERROR(__xludf.DUMMYFUNCTION("""COMPUTED_VALUE"""),27000.0)</f>
        <v>27000</v>
      </c>
      <c r="L33" s="23"/>
      <c r="M33" s="23"/>
      <c r="O33" s="24"/>
    </row>
    <row r="34" ht="18.75" customHeight="1">
      <c r="H34" s="23"/>
      <c r="I34" s="23"/>
      <c r="L34" s="23"/>
      <c r="M34" s="23"/>
      <c r="O34" s="24"/>
    </row>
    <row r="35" ht="18.75" customHeight="1">
      <c r="H35" s="23"/>
      <c r="I35" s="23"/>
      <c r="L35" s="23"/>
      <c r="M35" s="23"/>
      <c r="O35" s="24"/>
    </row>
    <row r="36" ht="18.75" customHeight="1">
      <c r="H36" s="23"/>
      <c r="I36" s="23"/>
      <c r="L36" s="23"/>
      <c r="M36" s="23"/>
      <c r="O36" s="24"/>
    </row>
    <row r="37" ht="18.75" customHeight="1">
      <c r="H37" s="23"/>
      <c r="I37" s="23"/>
      <c r="L37" s="23"/>
      <c r="M37" s="23"/>
      <c r="O37" s="24"/>
    </row>
    <row r="38" ht="18.75" customHeight="1">
      <c r="H38" s="23"/>
      <c r="I38" s="23"/>
      <c r="L38" s="23"/>
      <c r="M38" s="23"/>
      <c r="O38" s="24"/>
    </row>
    <row r="39" ht="18.75" customHeight="1">
      <c r="H39" s="23"/>
      <c r="I39" s="23"/>
      <c r="L39" s="23"/>
      <c r="M39" s="23"/>
      <c r="O39" s="24"/>
    </row>
    <row r="40" ht="18.75" customHeight="1">
      <c r="H40" s="23"/>
      <c r="I40" s="23"/>
      <c r="L40" s="23"/>
      <c r="M40" s="23"/>
      <c r="O40" s="24"/>
    </row>
    <row r="41" ht="18.75" customHeight="1">
      <c r="H41" s="23"/>
      <c r="I41" s="23"/>
      <c r="L41" s="23"/>
      <c r="M41" s="23"/>
      <c r="O41" s="24"/>
    </row>
    <row r="42" ht="18.75" customHeight="1">
      <c r="H42" s="23"/>
      <c r="I42" s="23"/>
      <c r="L42" s="23"/>
      <c r="M42" s="23"/>
      <c r="O42" s="24"/>
    </row>
    <row r="43" ht="18.75" customHeight="1">
      <c r="H43" s="23"/>
      <c r="I43" s="23"/>
      <c r="L43" s="23"/>
      <c r="M43" s="23"/>
      <c r="O43" s="24"/>
    </row>
    <row r="44" ht="18.75" customHeight="1">
      <c r="H44" s="23"/>
      <c r="I44" s="23"/>
      <c r="L44" s="23"/>
      <c r="M44" s="23"/>
      <c r="O44" s="24"/>
    </row>
    <row r="45" ht="18.75" customHeight="1">
      <c r="H45" s="23"/>
      <c r="I45" s="23"/>
      <c r="L45" s="23"/>
      <c r="M45" s="23"/>
      <c r="O45" s="24"/>
    </row>
    <row r="46" ht="18.75" customHeight="1">
      <c r="H46" s="23"/>
      <c r="I46" s="23"/>
      <c r="L46" s="23"/>
      <c r="M46" s="23"/>
      <c r="O46" s="24"/>
    </row>
    <row r="47" ht="18.75" customHeight="1">
      <c r="H47" s="23"/>
      <c r="I47" s="23"/>
      <c r="L47" s="23"/>
      <c r="M47" s="23"/>
      <c r="O47" s="24"/>
    </row>
    <row r="48" ht="18.75" customHeight="1">
      <c r="H48" s="23"/>
      <c r="I48" s="23"/>
      <c r="L48" s="23"/>
      <c r="M48" s="23"/>
      <c r="O48" s="24"/>
    </row>
    <row r="49" ht="18.75" customHeight="1">
      <c r="H49" s="23"/>
      <c r="I49" s="23"/>
      <c r="L49" s="23"/>
      <c r="M49" s="23"/>
      <c r="O49" s="24"/>
    </row>
    <row r="50" ht="18.75" customHeight="1">
      <c r="H50" s="23"/>
      <c r="I50" s="23"/>
      <c r="L50" s="23"/>
      <c r="M50" s="23"/>
      <c r="O50" s="24"/>
    </row>
    <row r="51" ht="18.75" customHeight="1">
      <c r="H51" s="23"/>
      <c r="I51" s="23"/>
      <c r="L51" s="23"/>
      <c r="M51" s="23"/>
      <c r="O51" s="24"/>
    </row>
    <row r="52" ht="18.75" customHeight="1">
      <c r="H52" s="23"/>
      <c r="I52" s="23"/>
      <c r="L52" s="23"/>
      <c r="M52" s="23"/>
      <c r="O52" s="24"/>
    </row>
    <row r="53" ht="18.75" customHeight="1">
      <c r="H53" s="23"/>
      <c r="I53" s="23"/>
      <c r="L53" s="23"/>
      <c r="M53" s="23"/>
      <c r="O53" s="24"/>
    </row>
    <row r="54" ht="18.75" customHeight="1">
      <c r="H54" s="23"/>
      <c r="I54" s="23"/>
      <c r="L54" s="23"/>
      <c r="M54" s="23"/>
      <c r="O54" s="24"/>
    </row>
    <row r="55" ht="18.75" customHeight="1">
      <c r="H55" s="23"/>
      <c r="I55" s="23"/>
      <c r="L55" s="23"/>
      <c r="M55" s="23"/>
      <c r="O55" s="24"/>
    </row>
    <row r="56" ht="18.75" customHeight="1">
      <c r="H56" s="23"/>
      <c r="I56" s="23"/>
      <c r="L56" s="23"/>
      <c r="M56" s="23"/>
    </row>
    <row r="57" ht="18.75" customHeight="1">
      <c r="H57" s="23"/>
      <c r="I57" s="23"/>
      <c r="L57" s="23"/>
      <c r="M57" s="23"/>
    </row>
    <row r="58" ht="18.75" customHeight="1">
      <c r="H58" s="23"/>
      <c r="I58" s="23"/>
      <c r="L58" s="23"/>
      <c r="M58" s="23"/>
    </row>
    <row r="59" ht="18.75" customHeight="1">
      <c r="H59" s="23"/>
      <c r="I59" s="23"/>
      <c r="L59" s="23"/>
      <c r="M59" s="23"/>
    </row>
    <row r="60" ht="18.75" customHeight="1">
      <c r="H60" s="23"/>
      <c r="I60" s="23"/>
      <c r="L60" s="23"/>
      <c r="M60" s="23"/>
    </row>
    <row r="61" ht="18.75" customHeight="1">
      <c r="H61" s="23"/>
      <c r="I61" s="23"/>
      <c r="L61" s="23"/>
      <c r="M61" s="23"/>
    </row>
    <row r="62" ht="18.75" customHeight="1">
      <c r="H62" s="23"/>
      <c r="I62" s="23"/>
      <c r="L62" s="23"/>
      <c r="M62" s="23"/>
    </row>
    <row r="63" ht="18.75" customHeight="1">
      <c r="H63" s="23"/>
      <c r="I63" s="23"/>
      <c r="L63" s="23"/>
      <c r="M63" s="23"/>
    </row>
    <row r="64" ht="18.75" customHeight="1">
      <c r="H64" s="23"/>
      <c r="I64" s="23"/>
      <c r="L64" s="23"/>
      <c r="M64" s="23"/>
    </row>
    <row r="65" ht="18.75" customHeight="1">
      <c r="H65" s="23"/>
      <c r="I65" s="23"/>
      <c r="L65" s="23"/>
      <c r="M65" s="23"/>
    </row>
    <row r="66" ht="18.75" customHeight="1">
      <c r="H66" s="23"/>
      <c r="I66" s="23"/>
      <c r="L66" s="23"/>
      <c r="M66" s="23"/>
    </row>
    <row r="67" ht="18.75" customHeight="1">
      <c r="H67" s="23"/>
      <c r="I67" s="23"/>
      <c r="L67" s="23"/>
      <c r="M67" s="23"/>
    </row>
    <row r="68" ht="18.75" customHeight="1">
      <c r="H68" s="23"/>
      <c r="I68" s="23"/>
      <c r="L68" s="23"/>
      <c r="M68" s="23"/>
    </row>
    <row r="69" ht="18.75" customHeight="1">
      <c r="H69" s="23"/>
      <c r="I69" s="23"/>
      <c r="L69" s="23"/>
      <c r="M69" s="23"/>
    </row>
    <row r="70" ht="18.75" customHeight="1">
      <c r="H70" s="23"/>
      <c r="I70" s="23"/>
      <c r="L70" s="23"/>
      <c r="M70" s="23"/>
    </row>
    <row r="71" ht="18.75" customHeight="1">
      <c r="H71" s="23"/>
      <c r="I71" s="23"/>
      <c r="L71" s="23"/>
      <c r="M71" s="23"/>
    </row>
    <row r="72" ht="18.75" customHeight="1">
      <c r="H72" s="23"/>
      <c r="I72" s="23"/>
      <c r="L72" s="23"/>
      <c r="M72" s="23"/>
    </row>
    <row r="73" ht="18.75" customHeight="1">
      <c r="H73" s="23"/>
      <c r="I73" s="23"/>
      <c r="L73" s="23"/>
      <c r="M73" s="23"/>
    </row>
    <row r="74" ht="18.75" customHeight="1">
      <c r="H74" s="23"/>
      <c r="I74" s="23"/>
      <c r="L74" s="23"/>
      <c r="M74" s="23"/>
    </row>
    <row r="75" ht="18.75" customHeight="1">
      <c r="H75" s="23"/>
      <c r="I75" s="23"/>
      <c r="L75" s="23"/>
      <c r="M75" s="23"/>
    </row>
    <row r="76" ht="18.75" customHeight="1">
      <c r="H76" s="23"/>
      <c r="I76" s="23"/>
      <c r="L76" s="23"/>
      <c r="M76" s="23"/>
    </row>
    <row r="77" ht="18.75" customHeight="1">
      <c r="H77" s="23"/>
      <c r="I77" s="23"/>
      <c r="L77" s="23"/>
      <c r="M77" s="23"/>
    </row>
    <row r="78" ht="18.75" customHeight="1">
      <c r="H78" s="23"/>
      <c r="I78" s="23"/>
      <c r="L78" s="23"/>
      <c r="M78" s="23"/>
    </row>
    <row r="79" ht="18.75" customHeight="1">
      <c r="H79" s="23"/>
      <c r="I79" s="23"/>
      <c r="L79" s="23"/>
      <c r="M79" s="23"/>
    </row>
    <row r="80" ht="18.75" customHeight="1">
      <c r="H80" s="23"/>
      <c r="I80" s="23"/>
      <c r="L80" s="23"/>
      <c r="M80" s="23"/>
    </row>
    <row r="81" ht="18.75" customHeight="1">
      <c r="H81" s="23"/>
      <c r="I81" s="23"/>
      <c r="L81" s="23"/>
      <c r="M81" s="23"/>
    </row>
    <row r="82" ht="18.75" customHeight="1">
      <c r="H82" s="23"/>
      <c r="I82" s="23"/>
      <c r="L82" s="23"/>
      <c r="M82" s="23"/>
    </row>
    <row r="83" ht="18.75" customHeight="1">
      <c r="H83" s="23"/>
      <c r="I83" s="23"/>
      <c r="L83" s="23"/>
      <c r="M83" s="23"/>
    </row>
    <row r="84" ht="18.75" customHeight="1">
      <c r="H84" s="23"/>
      <c r="I84" s="23"/>
      <c r="L84" s="23"/>
      <c r="M84" s="23"/>
    </row>
    <row r="85" ht="18.75" customHeight="1">
      <c r="H85" s="23"/>
      <c r="I85" s="23"/>
      <c r="L85" s="23"/>
      <c r="M85" s="23"/>
    </row>
    <row r="86" ht="18.75" customHeight="1">
      <c r="H86" s="23"/>
      <c r="I86" s="23"/>
      <c r="L86" s="23"/>
      <c r="M86" s="23"/>
    </row>
    <row r="87" ht="18.75" customHeight="1">
      <c r="H87" s="23"/>
      <c r="I87" s="23"/>
      <c r="L87" s="23"/>
      <c r="M87" s="23"/>
    </row>
    <row r="88" ht="18.75" customHeight="1">
      <c r="H88" s="23"/>
      <c r="I88" s="23"/>
      <c r="L88" s="23"/>
      <c r="M88" s="23"/>
    </row>
    <row r="89" ht="18.75" customHeight="1">
      <c r="H89" s="23"/>
      <c r="I89" s="23"/>
      <c r="L89" s="23"/>
      <c r="M89" s="23"/>
    </row>
    <row r="90" ht="18.75" customHeight="1">
      <c r="H90" s="23"/>
      <c r="I90" s="23"/>
      <c r="L90" s="23"/>
      <c r="M90" s="23"/>
    </row>
    <row r="91" ht="18.75" customHeight="1">
      <c r="H91" s="23"/>
      <c r="I91" s="23"/>
      <c r="L91" s="23"/>
      <c r="M91" s="23"/>
    </row>
    <row r="92" ht="18.75" customHeight="1">
      <c r="H92" s="23"/>
      <c r="I92" s="23"/>
      <c r="L92" s="23"/>
      <c r="M92" s="23"/>
    </row>
    <row r="93" ht="18.75" customHeight="1">
      <c r="H93" s="23"/>
      <c r="I93" s="23"/>
      <c r="L93" s="23"/>
      <c r="M93" s="23"/>
    </row>
    <row r="94" ht="18.75" customHeight="1">
      <c r="H94" s="23"/>
      <c r="I94" s="23"/>
      <c r="L94" s="23"/>
      <c r="M94" s="23"/>
    </row>
    <row r="95" ht="18.75" customHeight="1">
      <c r="H95" s="23"/>
      <c r="I95" s="23"/>
      <c r="L95" s="23"/>
      <c r="M95" s="23"/>
    </row>
    <row r="96" ht="18.75" customHeight="1">
      <c r="H96" s="23"/>
      <c r="I96" s="23"/>
      <c r="L96" s="23"/>
      <c r="M96" s="23"/>
    </row>
    <row r="97" ht="18.75" customHeight="1">
      <c r="H97" s="23"/>
      <c r="I97" s="23"/>
      <c r="L97" s="23"/>
      <c r="M97" s="23"/>
    </row>
    <row r="98" ht="18.75" customHeight="1">
      <c r="H98" s="23"/>
      <c r="I98" s="23"/>
      <c r="L98" s="23"/>
      <c r="M98" s="23"/>
    </row>
    <row r="99" ht="18.75" customHeight="1">
      <c r="H99" s="23"/>
      <c r="I99" s="23"/>
      <c r="L99" s="23"/>
      <c r="M99" s="23"/>
    </row>
    <row r="100" ht="18.75" customHeight="1">
      <c r="H100" s="23"/>
      <c r="I100" s="23"/>
      <c r="L100" s="23"/>
      <c r="M100" s="23"/>
    </row>
    <row r="101" ht="18.75" customHeight="1">
      <c r="H101" s="23"/>
      <c r="I101" s="23"/>
      <c r="L101" s="23"/>
      <c r="M101" s="23"/>
    </row>
    <row r="102" ht="18.75" customHeight="1">
      <c r="H102" s="23"/>
      <c r="I102" s="23"/>
      <c r="L102" s="23"/>
      <c r="M102" s="23"/>
    </row>
    <row r="103" ht="18.75" customHeight="1">
      <c r="H103" s="23"/>
      <c r="I103" s="23"/>
      <c r="L103" s="23"/>
      <c r="M103" s="23"/>
    </row>
    <row r="104" ht="18.75" customHeight="1">
      <c r="H104" s="23"/>
      <c r="I104" s="23"/>
      <c r="L104" s="23"/>
      <c r="M104" s="23"/>
    </row>
    <row r="105" ht="18.75" customHeight="1">
      <c r="H105" s="23"/>
      <c r="I105" s="23"/>
      <c r="L105" s="23"/>
      <c r="M105" s="23"/>
    </row>
    <row r="106" ht="18.75" customHeight="1">
      <c r="H106" s="23"/>
      <c r="I106" s="23"/>
      <c r="L106" s="23"/>
      <c r="M106" s="23"/>
    </row>
    <row r="107" ht="18.75" customHeight="1">
      <c r="H107" s="23"/>
      <c r="I107" s="23"/>
      <c r="L107" s="23"/>
      <c r="M107" s="23"/>
    </row>
    <row r="108" ht="18.75" customHeight="1">
      <c r="H108" s="23"/>
      <c r="I108" s="23"/>
      <c r="L108" s="23"/>
      <c r="M108" s="23"/>
    </row>
    <row r="109" ht="18.75" customHeight="1">
      <c r="H109" s="23"/>
      <c r="I109" s="23"/>
      <c r="L109" s="23"/>
      <c r="M109" s="23"/>
    </row>
    <row r="110" ht="18.75" customHeight="1">
      <c r="H110" s="23"/>
      <c r="I110" s="23"/>
      <c r="L110" s="23"/>
      <c r="M110" s="23"/>
    </row>
    <row r="111" ht="18.75" customHeight="1">
      <c r="H111" s="23"/>
      <c r="I111" s="23"/>
      <c r="L111" s="23"/>
      <c r="M111" s="23"/>
    </row>
    <row r="112" ht="18.75" customHeight="1">
      <c r="H112" s="23"/>
      <c r="I112" s="23"/>
      <c r="L112" s="23"/>
      <c r="M112" s="23"/>
    </row>
    <row r="113" ht="18.75" customHeight="1">
      <c r="H113" s="23"/>
      <c r="I113" s="23"/>
      <c r="L113" s="23"/>
      <c r="M113" s="23"/>
    </row>
    <row r="114" ht="18.75" customHeight="1">
      <c r="H114" s="23"/>
      <c r="I114" s="23"/>
      <c r="L114" s="23"/>
      <c r="M114" s="23"/>
    </row>
    <row r="115" ht="18.75" customHeight="1">
      <c r="H115" s="23"/>
      <c r="I115" s="23"/>
      <c r="L115" s="23"/>
      <c r="M115" s="23"/>
    </row>
    <row r="116" ht="18.75" customHeight="1">
      <c r="H116" s="23"/>
      <c r="I116" s="23"/>
      <c r="L116" s="23"/>
      <c r="M116" s="23"/>
    </row>
    <row r="117" ht="18.75" customHeight="1">
      <c r="H117" s="23"/>
      <c r="I117" s="23"/>
      <c r="L117" s="23"/>
      <c r="M117" s="23"/>
    </row>
    <row r="118" ht="18.75" customHeight="1">
      <c r="H118" s="23"/>
      <c r="I118" s="23"/>
      <c r="L118" s="23"/>
      <c r="M118" s="23"/>
    </row>
    <row r="119" ht="18.75" customHeight="1">
      <c r="H119" s="23"/>
      <c r="I119" s="23"/>
      <c r="L119" s="23"/>
      <c r="M119" s="23"/>
    </row>
    <row r="120" ht="18.75" customHeight="1">
      <c r="H120" s="23"/>
      <c r="I120" s="23"/>
      <c r="L120" s="23"/>
      <c r="M120" s="23"/>
    </row>
    <row r="121" ht="18.75" customHeight="1">
      <c r="H121" s="23"/>
      <c r="I121" s="23"/>
      <c r="L121" s="23"/>
      <c r="M121" s="23"/>
    </row>
    <row r="122" ht="18.75" customHeight="1">
      <c r="H122" s="23"/>
      <c r="I122" s="23"/>
      <c r="L122" s="23"/>
      <c r="M122" s="23"/>
    </row>
    <row r="123" ht="18.75" customHeight="1">
      <c r="H123" s="23"/>
      <c r="I123" s="23"/>
      <c r="L123" s="23"/>
      <c r="M123" s="23"/>
    </row>
    <row r="124" ht="18.75" customHeight="1">
      <c r="H124" s="23"/>
      <c r="I124" s="23"/>
      <c r="L124" s="23"/>
      <c r="M124" s="23"/>
    </row>
    <row r="125" ht="18.75" customHeight="1">
      <c r="H125" s="23"/>
      <c r="I125" s="23"/>
      <c r="L125" s="23"/>
      <c r="M125" s="23"/>
    </row>
    <row r="126" ht="18.75" customHeight="1">
      <c r="H126" s="23"/>
      <c r="I126" s="23"/>
      <c r="L126" s="23"/>
      <c r="M126" s="23"/>
    </row>
    <row r="127" ht="18.75" customHeight="1">
      <c r="H127" s="23"/>
      <c r="I127" s="23"/>
      <c r="L127" s="23"/>
      <c r="M127" s="23"/>
    </row>
    <row r="128" ht="18.75" customHeight="1">
      <c r="H128" s="23"/>
      <c r="I128" s="23"/>
      <c r="L128" s="23"/>
      <c r="M128" s="23"/>
    </row>
    <row r="129" ht="18.75" customHeight="1">
      <c r="H129" s="23"/>
      <c r="I129" s="23"/>
      <c r="L129" s="23"/>
      <c r="M129" s="23"/>
    </row>
    <row r="130" ht="18.75" customHeight="1">
      <c r="H130" s="23"/>
      <c r="I130" s="23"/>
      <c r="L130" s="23"/>
      <c r="M130" s="23"/>
    </row>
    <row r="131" ht="18.75" customHeight="1">
      <c r="H131" s="23"/>
      <c r="I131" s="23"/>
      <c r="L131" s="23"/>
      <c r="M131" s="23"/>
    </row>
    <row r="132" ht="18.75" customHeight="1">
      <c r="H132" s="23"/>
      <c r="I132" s="23"/>
      <c r="L132" s="23"/>
      <c r="M132" s="23"/>
    </row>
    <row r="133" ht="18.75" customHeight="1">
      <c r="H133" s="23"/>
      <c r="I133" s="23"/>
      <c r="L133" s="23"/>
      <c r="M133" s="23"/>
    </row>
    <row r="134" ht="18.75" customHeight="1">
      <c r="H134" s="23"/>
      <c r="I134" s="23"/>
      <c r="L134" s="23"/>
      <c r="M134" s="23"/>
    </row>
    <row r="135" ht="18.75" customHeight="1">
      <c r="H135" s="23"/>
      <c r="I135" s="23"/>
      <c r="L135" s="23"/>
      <c r="M135" s="23"/>
    </row>
    <row r="136" ht="18.75" customHeight="1">
      <c r="H136" s="23"/>
      <c r="I136" s="23"/>
      <c r="L136" s="23"/>
      <c r="M136" s="23"/>
    </row>
    <row r="137" ht="18.75" customHeight="1">
      <c r="H137" s="23"/>
      <c r="I137" s="23"/>
      <c r="L137" s="23"/>
      <c r="M137" s="23"/>
    </row>
    <row r="138" ht="18.75" customHeight="1">
      <c r="H138" s="23"/>
      <c r="I138" s="23"/>
      <c r="L138" s="23"/>
      <c r="M138" s="23"/>
    </row>
    <row r="139" ht="18.75" customHeight="1">
      <c r="H139" s="23"/>
      <c r="I139" s="23"/>
      <c r="L139" s="23"/>
      <c r="M139" s="23"/>
    </row>
    <row r="140" ht="18.75" customHeight="1">
      <c r="H140" s="23"/>
      <c r="I140" s="23"/>
      <c r="L140" s="23"/>
      <c r="M140" s="23"/>
    </row>
    <row r="141" ht="18.75" customHeight="1">
      <c r="H141" s="23"/>
      <c r="I141" s="23"/>
      <c r="L141" s="23"/>
      <c r="M141" s="23"/>
    </row>
    <row r="142" ht="18.75" customHeight="1">
      <c r="H142" s="23"/>
      <c r="I142" s="23"/>
      <c r="L142" s="23"/>
      <c r="M142" s="23"/>
    </row>
    <row r="143" ht="18.75" customHeight="1">
      <c r="H143" s="23"/>
      <c r="I143" s="23"/>
      <c r="L143" s="23"/>
      <c r="M143" s="23"/>
    </row>
    <row r="144" ht="18.75" customHeight="1">
      <c r="H144" s="23"/>
      <c r="I144" s="23"/>
      <c r="L144" s="23"/>
      <c r="M144" s="23"/>
    </row>
    <row r="145" ht="18.75" customHeight="1">
      <c r="H145" s="23"/>
      <c r="I145" s="23"/>
      <c r="L145" s="23"/>
      <c r="M145" s="23"/>
    </row>
    <row r="146" ht="18.75" customHeight="1">
      <c r="H146" s="23"/>
      <c r="I146" s="23"/>
      <c r="L146" s="23"/>
      <c r="M146" s="23"/>
    </row>
    <row r="147" ht="18.75" customHeight="1">
      <c r="H147" s="23"/>
      <c r="I147" s="23"/>
      <c r="L147" s="23"/>
      <c r="M147" s="23"/>
    </row>
    <row r="148" ht="18.75" customHeight="1">
      <c r="H148" s="23"/>
      <c r="I148" s="23"/>
      <c r="L148" s="23"/>
      <c r="M148" s="23"/>
    </row>
    <row r="149" ht="18.75" customHeight="1">
      <c r="H149" s="23"/>
      <c r="I149" s="23"/>
      <c r="L149" s="23"/>
      <c r="M149" s="23"/>
    </row>
    <row r="150" ht="18.75" customHeight="1">
      <c r="H150" s="23"/>
      <c r="I150" s="23"/>
      <c r="L150" s="23"/>
      <c r="M150" s="23"/>
    </row>
    <row r="151" ht="18.75" customHeight="1">
      <c r="H151" s="23"/>
      <c r="I151" s="23"/>
      <c r="L151" s="23"/>
      <c r="M151" s="23"/>
    </row>
    <row r="152" ht="18.75" customHeight="1">
      <c r="H152" s="23"/>
      <c r="I152" s="23"/>
      <c r="L152" s="23"/>
      <c r="M152" s="23"/>
    </row>
    <row r="153" ht="18.75" customHeight="1">
      <c r="H153" s="23"/>
      <c r="I153" s="23"/>
      <c r="L153" s="23"/>
      <c r="M153" s="23"/>
    </row>
    <row r="154" ht="18.75" customHeight="1">
      <c r="H154" s="23"/>
      <c r="I154" s="23"/>
      <c r="L154" s="23"/>
      <c r="M154" s="23"/>
    </row>
    <row r="155" ht="18.75" customHeight="1">
      <c r="H155" s="23"/>
      <c r="I155" s="23"/>
      <c r="L155" s="23"/>
      <c r="M155" s="23"/>
    </row>
    <row r="156" ht="18.75" customHeight="1">
      <c r="H156" s="23"/>
      <c r="I156" s="23"/>
      <c r="L156" s="23"/>
      <c r="M156" s="23"/>
    </row>
    <row r="157" ht="18.75" customHeight="1">
      <c r="H157" s="23"/>
      <c r="I157" s="23"/>
      <c r="L157" s="23"/>
      <c r="M157" s="23"/>
    </row>
    <row r="158" ht="18.75" customHeight="1">
      <c r="H158" s="23"/>
      <c r="I158" s="23"/>
      <c r="L158" s="23"/>
      <c r="M158" s="23"/>
    </row>
    <row r="159" ht="18.75" customHeight="1">
      <c r="H159" s="23"/>
      <c r="I159" s="23"/>
      <c r="L159" s="23"/>
      <c r="M159" s="23"/>
    </row>
    <row r="160" ht="18.75" customHeight="1">
      <c r="H160" s="23"/>
      <c r="I160" s="23"/>
      <c r="L160" s="23"/>
      <c r="M160" s="23"/>
    </row>
    <row r="161" ht="18.75" customHeight="1">
      <c r="H161" s="23"/>
      <c r="I161" s="23"/>
      <c r="L161" s="23"/>
      <c r="M161" s="23"/>
    </row>
    <row r="162" ht="18.75" customHeight="1">
      <c r="H162" s="23"/>
      <c r="I162" s="23"/>
      <c r="L162" s="23"/>
      <c r="M162" s="23"/>
    </row>
    <row r="163" ht="18.75" customHeight="1">
      <c r="H163" s="23"/>
      <c r="I163" s="23"/>
      <c r="L163" s="23"/>
      <c r="M163" s="23"/>
    </row>
    <row r="164" ht="18.75" customHeight="1">
      <c r="H164" s="23"/>
      <c r="I164" s="23"/>
      <c r="L164" s="23"/>
      <c r="M164" s="23"/>
    </row>
    <row r="165" ht="18.75" customHeight="1">
      <c r="H165" s="23"/>
      <c r="I165" s="23"/>
      <c r="L165" s="23"/>
      <c r="M165" s="23"/>
    </row>
    <row r="166" ht="18.75" customHeight="1">
      <c r="H166" s="23"/>
      <c r="I166" s="23"/>
      <c r="L166" s="23"/>
      <c r="M166" s="23"/>
    </row>
    <row r="167" ht="18.75" customHeight="1">
      <c r="H167" s="23"/>
      <c r="I167" s="23"/>
      <c r="L167" s="23"/>
      <c r="M167" s="23"/>
    </row>
    <row r="168" ht="18.75" customHeight="1">
      <c r="H168" s="23"/>
      <c r="I168" s="23"/>
      <c r="L168" s="23"/>
      <c r="M168" s="23"/>
    </row>
    <row r="169" ht="18.75" customHeight="1">
      <c r="H169" s="23"/>
      <c r="I169" s="23"/>
      <c r="L169" s="23"/>
      <c r="M169" s="23"/>
    </row>
    <row r="170" ht="18.75" customHeight="1">
      <c r="H170" s="23"/>
      <c r="I170" s="23"/>
      <c r="L170" s="23"/>
      <c r="M170" s="23"/>
    </row>
    <row r="171" ht="18.75" customHeight="1">
      <c r="H171" s="23"/>
      <c r="I171" s="23"/>
      <c r="L171" s="23"/>
      <c r="M171" s="23"/>
    </row>
    <row r="172" ht="18.75" customHeight="1">
      <c r="H172" s="23"/>
      <c r="I172" s="23"/>
      <c r="L172" s="23"/>
      <c r="M172" s="23"/>
    </row>
    <row r="173" ht="18.75" customHeight="1">
      <c r="H173" s="23"/>
      <c r="I173" s="23"/>
      <c r="L173" s="23"/>
      <c r="M173" s="23"/>
    </row>
    <row r="174" ht="18.75" customHeight="1">
      <c r="H174" s="23"/>
      <c r="I174" s="23"/>
      <c r="L174" s="23"/>
      <c r="M174" s="23"/>
    </row>
    <row r="175" ht="18.75" customHeight="1">
      <c r="H175" s="23"/>
      <c r="I175" s="23"/>
      <c r="L175" s="23"/>
      <c r="M175" s="23"/>
    </row>
    <row r="176" ht="18.75" customHeight="1">
      <c r="H176" s="23"/>
      <c r="I176" s="23"/>
      <c r="L176" s="23"/>
      <c r="M176" s="23"/>
    </row>
    <row r="177" ht="18.75" customHeight="1">
      <c r="H177" s="23"/>
      <c r="I177" s="23"/>
      <c r="L177" s="23"/>
      <c r="M177" s="23"/>
    </row>
    <row r="178" ht="18.75" customHeight="1">
      <c r="H178" s="23"/>
      <c r="I178" s="23"/>
      <c r="L178" s="23"/>
      <c r="M178" s="23"/>
    </row>
    <row r="179" ht="18.75" customHeight="1">
      <c r="H179" s="23"/>
      <c r="I179" s="23"/>
      <c r="L179" s="23"/>
      <c r="M179" s="23"/>
    </row>
    <row r="180" ht="18.75" customHeight="1">
      <c r="H180" s="23"/>
      <c r="I180" s="23"/>
      <c r="L180" s="23"/>
      <c r="M180" s="23"/>
    </row>
    <row r="181" ht="18.75" customHeight="1">
      <c r="H181" s="23"/>
      <c r="I181" s="23"/>
      <c r="L181" s="23"/>
      <c r="M181" s="23"/>
    </row>
    <row r="182" ht="18.75" customHeight="1">
      <c r="H182" s="23"/>
      <c r="I182" s="23"/>
      <c r="L182" s="23"/>
      <c r="M182" s="23"/>
    </row>
    <row r="183" ht="18.75" customHeight="1">
      <c r="H183" s="23"/>
      <c r="I183" s="23"/>
      <c r="L183" s="23"/>
      <c r="M183" s="23"/>
    </row>
    <row r="184" ht="18.75" customHeight="1">
      <c r="H184" s="23"/>
      <c r="I184" s="23"/>
      <c r="L184" s="23"/>
      <c r="M184" s="23"/>
    </row>
    <row r="185" ht="18.75" customHeight="1">
      <c r="H185" s="23"/>
      <c r="I185" s="23"/>
      <c r="L185" s="23"/>
      <c r="M185" s="23"/>
    </row>
    <row r="186" ht="18.75" customHeight="1">
      <c r="H186" s="23"/>
      <c r="I186" s="23"/>
      <c r="L186" s="23"/>
      <c r="M186" s="23"/>
    </row>
    <row r="187" ht="18.75" customHeight="1">
      <c r="H187" s="23"/>
      <c r="I187" s="23"/>
      <c r="L187" s="23"/>
      <c r="M187" s="23"/>
    </row>
    <row r="188" ht="18.75" customHeight="1">
      <c r="H188" s="23"/>
      <c r="I188" s="23"/>
      <c r="L188" s="23"/>
      <c r="M188" s="23"/>
    </row>
    <row r="189" ht="18.75" customHeight="1">
      <c r="H189" s="23"/>
      <c r="I189" s="23"/>
      <c r="L189" s="23"/>
      <c r="M189" s="23"/>
    </row>
    <row r="190" ht="18.75" customHeight="1">
      <c r="H190" s="23"/>
      <c r="I190" s="23"/>
      <c r="L190" s="23"/>
      <c r="M190" s="23"/>
    </row>
    <row r="191" ht="18.75" customHeight="1">
      <c r="H191" s="23"/>
      <c r="I191" s="23"/>
      <c r="L191" s="23"/>
      <c r="M191" s="23"/>
    </row>
    <row r="192" ht="18.75" customHeight="1">
      <c r="H192" s="23"/>
      <c r="I192" s="23"/>
      <c r="L192" s="23"/>
      <c r="M192" s="23"/>
    </row>
    <row r="193" ht="18.75" customHeight="1">
      <c r="H193" s="23"/>
      <c r="I193" s="23"/>
      <c r="L193" s="23"/>
      <c r="M193" s="23"/>
    </row>
    <row r="194" ht="18.75" customHeight="1">
      <c r="H194" s="23"/>
      <c r="I194" s="23"/>
      <c r="L194" s="23"/>
      <c r="M194" s="23"/>
    </row>
    <row r="195" ht="18.75" customHeight="1">
      <c r="H195" s="23"/>
      <c r="I195" s="23"/>
      <c r="L195" s="23"/>
      <c r="M195" s="23"/>
    </row>
    <row r="196" ht="18.75" customHeight="1">
      <c r="H196" s="23"/>
      <c r="I196" s="23"/>
      <c r="L196" s="23"/>
      <c r="M196" s="23"/>
    </row>
    <row r="197" ht="18.75" customHeight="1">
      <c r="H197" s="23"/>
      <c r="I197" s="23"/>
      <c r="L197" s="23"/>
      <c r="M197" s="23"/>
    </row>
    <row r="198" ht="18.75" customHeight="1">
      <c r="H198" s="23"/>
      <c r="I198" s="23"/>
      <c r="L198" s="23"/>
      <c r="M198" s="23"/>
    </row>
    <row r="199" ht="18.75" customHeight="1">
      <c r="H199" s="23"/>
      <c r="I199" s="23"/>
      <c r="L199" s="23"/>
      <c r="M199" s="23"/>
    </row>
    <row r="200" ht="18.75" customHeight="1">
      <c r="H200" s="23"/>
      <c r="I200" s="23"/>
      <c r="L200" s="23"/>
      <c r="M200" s="23"/>
    </row>
    <row r="201" ht="18.75" customHeight="1">
      <c r="H201" s="23"/>
      <c r="I201" s="23"/>
      <c r="L201" s="23"/>
      <c r="M201" s="23"/>
    </row>
    <row r="202" ht="18.75" customHeight="1">
      <c r="H202" s="23"/>
      <c r="I202" s="23"/>
      <c r="L202" s="23"/>
      <c r="M202" s="23"/>
    </row>
    <row r="203" ht="18.75" customHeight="1">
      <c r="H203" s="23"/>
      <c r="I203" s="23"/>
      <c r="L203" s="23"/>
      <c r="M203" s="23"/>
    </row>
    <row r="204" ht="18.75" customHeight="1">
      <c r="H204" s="23"/>
      <c r="I204" s="23"/>
      <c r="L204" s="23"/>
      <c r="M204" s="23"/>
    </row>
    <row r="205" ht="18.75" customHeight="1">
      <c r="H205" s="23"/>
      <c r="I205" s="23"/>
      <c r="L205" s="23"/>
      <c r="M205" s="23"/>
    </row>
    <row r="206" ht="18.75" customHeight="1">
      <c r="H206" s="23"/>
      <c r="I206" s="23"/>
      <c r="L206" s="23"/>
      <c r="M206" s="23"/>
    </row>
    <row r="207" ht="18.75" customHeight="1">
      <c r="H207" s="23"/>
      <c r="I207" s="23"/>
      <c r="L207" s="23"/>
      <c r="M207" s="23"/>
    </row>
    <row r="208" ht="18.75" customHeight="1">
      <c r="H208" s="23"/>
      <c r="I208" s="23"/>
      <c r="L208" s="23"/>
      <c r="M208" s="23"/>
    </row>
    <row r="209" ht="18.75" customHeight="1">
      <c r="H209" s="23"/>
      <c r="I209" s="23"/>
      <c r="L209" s="23"/>
      <c r="M209" s="23"/>
    </row>
    <row r="210" ht="18.75" customHeight="1">
      <c r="H210" s="23"/>
      <c r="I210" s="23"/>
      <c r="L210" s="23"/>
      <c r="M210" s="23"/>
    </row>
    <row r="211" ht="18.75" customHeight="1">
      <c r="H211" s="23"/>
      <c r="I211" s="23"/>
      <c r="L211" s="23"/>
      <c r="M211" s="23"/>
    </row>
    <row r="212" ht="18.75" customHeight="1">
      <c r="H212" s="23"/>
      <c r="I212" s="23"/>
      <c r="L212" s="23"/>
      <c r="M212" s="23"/>
    </row>
    <row r="213" ht="18.75" customHeight="1">
      <c r="H213" s="23"/>
      <c r="I213" s="23"/>
      <c r="L213" s="23"/>
      <c r="M213" s="23"/>
    </row>
    <row r="214" ht="18.75" customHeight="1">
      <c r="H214" s="23"/>
      <c r="I214" s="23"/>
      <c r="L214" s="23"/>
      <c r="M214" s="23"/>
    </row>
    <row r="215" ht="18.75" customHeight="1">
      <c r="H215" s="23"/>
      <c r="I215" s="23"/>
      <c r="L215" s="23"/>
      <c r="M215" s="23"/>
    </row>
    <row r="216" ht="18.75" customHeight="1">
      <c r="H216" s="23"/>
      <c r="I216" s="23"/>
      <c r="L216" s="23"/>
      <c r="M216" s="23"/>
    </row>
    <row r="217" ht="18.75" customHeight="1">
      <c r="H217" s="23"/>
      <c r="I217" s="23"/>
      <c r="L217" s="23"/>
      <c r="M217" s="23"/>
    </row>
    <row r="218" ht="18.75" customHeight="1">
      <c r="H218" s="23"/>
      <c r="I218" s="23"/>
      <c r="L218" s="23"/>
      <c r="M218" s="23"/>
    </row>
    <row r="219" ht="18.75" customHeight="1">
      <c r="H219" s="23"/>
      <c r="I219" s="23"/>
      <c r="L219" s="23"/>
      <c r="M219" s="23"/>
    </row>
    <row r="220" ht="18.75" customHeight="1">
      <c r="H220" s="23"/>
      <c r="I220" s="23"/>
      <c r="L220" s="23"/>
      <c r="M220" s="23"/>
    </row>
    <row r="221" ht="18.75" customHeight="1">
      <c r="H221" s="23"/>
      <c r="I221" s="23"/>
      <c r="L221" s="23"/>
      <c r="M221" s="23"/>
    </row>
    <row r="222" ht="18.75" customHeight="1">
      <c r="H222" s="23"/>
      <c r="I222" s="23"/>
      <c r="L222" s="23"/>
      <c r="M222" s="23"/>
    </row>
    <row r="223" ht="18.75" customHeight="1">
      <c r="H223" s="23"/>
      <c r="I223" s="23"/>
      <c r="L223" s="23"/>
      <c r="M223" s="23"/>
    </row>
    <row r="224" ht="18.75" customHeight="1">
      <c r="H224" s="23"/>
      <c r="I224" s="23"/>
      <c r="L224" s="23"/>
      <c r="M224" s="23"/>
    </row>
    <row r="225" ht="18.75" customHeight="1">
      <c r="H225" s="23"/>
      <c r="I225" s="23"/>
      <c r="L225" s="23"/>
      <c r="M225" s="23"/>
    </row>
    <row r="226" ht="18.75" customHeight="1">
      <c r="H226" s="23"/>
      <c r="I226" s="23"/>
      <c r="L226" s="23"/>
      <c r="M226" s="23"/>
    </row>
    <row r="227" ht="18.75" customHeight="1">
      <c r="H227" s="23"/>
      <c r="I227" s="23"/>
      <c r="L227" s="23"/>
      <c r="M227" s="23"/>
    </row>
    <row r="228" ht="18.75" customHeight="1">
      <c r="H228" s="23"/>
      <c r="I228" s="23"/>
      <c r="L228" s="23"/>
      <c r="M228" s="23"/>
    </row>
    <row r="229" ht="18.75" customHeight="1">
      <c r="H229" s="23"/>
      <c r="I229" s="23"/>
      <c r="L229" s="23"/>
      <c r="M229" s="23"/>
    </row>
    <row r="230" ht="18.75" customHeight="1">
      <c r="H230" s="23"/>
      <c r="I230" s="23"/>
      <c r="L230" s="23"/>
      <c r="M230" s="23"/>
    </row>
    <row r="231" ht="18.75" customHeight="1">
      <c r="H231" s="23"/>
      <c r="I231" s="23"/>
      <c r="L231" s="23"/>
      <c r="M231" s="23"/>
    </row>
    <row r="232" ht="18.75" customHeight="1">
      <c r="H232" s="23"/>
      <c r="I232" s="23"/>
      <c r="L232" s="23"/>
      <c r="M232" s="23"/>
    </row>
    <row r="233" ht="18.75" customHeight="1">
      <c r="H233" s="23"/>
      <c r="I233" s="23"/>
      <c r="L233" s="23"/>
      <c r="M233" s="23"/>
    </row>
    <row r="234" ht="18.75" customHeight="1">
      <c r="H234" s="23"/>
      <c r="I234" s="23"/>
      <c r="L234" s="23"/>
      <c r="M234" s="23"/>
    </row>
    <row r="235" ht="18.75" customHeight="1">
      <c r="H235" s="23"/>
      <c r="I235" s="23"/>
      <c r="L235" s="23"/>
      <c r="M235" s="23"/>
    </row>
    <row r="236" ht="18.75" customHeight="1">
      <c r="H236" s="23"/>
      <c r="I236" s="23"/>
      <c r="L236" s="23"/>
      <c r="M236" s="23"/>
    </row>
    <row r="237" ht="18.75" customHeight="1">
      <c r="H237" s="23"/>
      <c r="I237" s="23"/>
      <c r="L237" s="23"/>
      <c r="M237" s="23"/>
    </row>
    <row r="238" ht="18.75" customHeight="1">
      <c r="H238" s="23"/>
      <c r="I238" s="23"/>
      <c r="L238" s="23"/>
      <c r="M238" s="23"/>
    </row>
    <row r="239" ht="18.75" customHeight="1">
      <c r="H239" s="23"/>
      <c r="I239" s="23"/>
      <c r="L239" s="23"/>
      <c r="M239" s="23"/>
    </row>
    <row r="240" ht="18.75" customHeight="1">
      <c r="H240" s="23"/>
      <c r="I240" s="23"/>
      <c r="L240" s="23"/>
      <c r="M240" s="23"/>
    </row>
    <row r="241" ht="18.75" customHeight="1">
      <c r="H241" s="23"/>
      <c r="I241" s="23"/>
      <c r="L241" s="23"/>
      <c r="M241" s="23"/>
    </row>
    <row r="242" ht="18.75" customHeight="1">
      <c r="H242" s="23"/>
      <c r="I242" s="23"/>
      <c r="L242" s="23"/>
      <c r="M242" s="23"/>
    </row>
    <row r="243" ht="18.75" customHeight="1">
      <c r="H243" s="23"/>
      <c r="I243" s="23"/>
      <c r="L243" s="23"/>
      <c r="M243" s="23"/>
    </row>
    <row r="244" ht="18.75" customHeight="1">
      <c r="H244" s="23"/>
      <c r="I244" s="23"/>
      <c r="L244" s="23"/>
      <c r="M244" s="23"/>
    </row>
    <row r="245" ht="18.75" customHeight="1">
      <c r="H245" s="23"/>
      <c r="I245" s="23"/>
      <c r="L245" s="23"/>
      <c r="M245" s="23"/>
    </row>
    <row r="246" ht="18.75" customHeight="1">
      <c r="H246" s="23"/>
      <c r="I246" s="23"/>
      <c r="L246" s="23"/>
      <c r="M246" s="23"/>
    </row>
    <row r="247" ht="18.75" customHeight="1">
      <c r="H247" s="23"/>
      <c r="I247" s="23"/>
      <c r="L247" s="23"/>
      <c r="M247" s="23"/>
    </row>
    <row r="248" ht="18.75" customHeight="1">
      <c r="H248" s="23"/>
      <c r="I248" s="23"/>
      <c r="L248" s="23"/>
      <c r="M248" s="23"/>
    </row>
    <row r="249" ht="18.75" customHeight="1">
      <c r="H249" s="23"/>
      <c r="I249" s="23"/>
      <c r="L249" s="23"/>
      <c r="M249" s="23"/>
    </row>
    <row r="250" ht="18.75" customHeight="1">
      <c r="H250" s="23"/>
      <c r="I250" s="23"/>
      <c r="L250" s="23"/>
      <c r="M250" s="23"/>
    </row>
    <row r="251" ht="18.75" customHeight="1">
      <c r="H251" s="23"/>
      <c r="I251" s="23"/>
      <c r="L251" s="23"/>
      <c r="M251" s="23"/>
    </row>
    <row r="252" ht="18.75" customHeight="1">
      <c r="H252" s="23"/>
      <c r="I252" s="23"/>
      <c r="L252" s="23"/>
      <c r="M252" s="23"/>
    </row>
    <row r="253" ht="18.75" customHeight="1">
      <c r="H253" s="23"/>
      <c r="I253" s="23"/>
      <c r="L253" s="23"/>
      <c r="M253" s="23"/>
    </row>
    <row r="254" ht="18.75" customHeight="1">
      <c r="H254" s="23"/>
      <c r="I254" s="23"/>
      <c r="L254" s="23"/>
      <c r="M254" s="23"/>
    </row>
    <row r="255" ht="18.75" customHeight="1">
      <c r="H255" s="23"/>
      <c r="I255" s="23"/>
      <c r="L255" s="23"/>
      <c r="M255" s="23"/>
    </row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29"/>
    <col customWidth="1" min="2" max="2" width="7.86"/>
    <col customWidth="1" min="3" max="3" width="13.71"/>
    <col customWidth="1" min="4" max="4" width="7.57"/>
    <col customWidth="1" min="5" max="5" width="5.86"/>
    <col customWidth="1" min="6" max="6" width="15.71"/>
    <col customWidth="1" min="7" max="7" width="13.57"/>
    <col customWidth="1" min="8" max="8" width="14.14"/>
    <col customWidth="1" min="9" max="9" width="16.0"/>
    <col customWidth="1" min="10" max="10" width="9.14"/>
    <col customWidth="1" min="11" max="13" width="19.0"/>
    <col customWidth="1" min="14" max="26" width="14.0"/>
  </cols>
  <sheetData>
    <row r="1" ht="18.75" customHeight="1">
      <c r="A1" s="1" t="s">
        <v>0</v>
      </c>
      <c r="B1" s="1" t="s">
        <v>1</v>
      </c>
      <c r="C1" s="1" t="s">
        <v>2</v>
      </c>
      <c r="D1" s="1" t="s">
        <v>5</v>
      </c>
      <c r="E1" s="1" t="s">
        <v>7</v>
      </c>
      <c r="F1" s="1" t="s">
        <v>10</v>
      </c>
      <c r="G1" s="1" t="s">
        <v>11</v>
      </c>
      <c r="H1" s="1" t="s">
        <v>13</v>
      </c>
      <c r="I1" s="1" t="s">
        <v>14</v>
      </c>
      <c r="J1" s="1" t="s">
        <v>15</v>
      </c>
    </row>
    <row r="2" ht="18.75" customHeight="1">
      <c r="A2" s="15" t="str">
        <f>IFERROR(__xludf.DUMMYFUNCTION("FILTER(Pivot_table!A:J, Pivot_table!A:A = ""Phòng sản xuất"", Pivot_table!I:I &lt;&gt; 0)"),"#N/A")</f>
        <v>#N/A</v>
      </c>
      <c r="H2" s="23"/>
      <c r="I2" s="23"/>
      <c r="L2" s="23"/>
      <c r="M2" s="23"/>
      <c r="O2" s="24"/>
    </row>
    <row r="3" ht="18.75" customHeight="1">
      <c r="H3" s="23"/>
      <c r="I3" s="23"/>
      <c r="L3" s="23"/>
      <c r="M3" s="23"/>
      <c r="O3" s="24"/>
    </row>
    <row r="4" ht="18.75" customHeight="1">
      <c r="H4" s="23"/>
      <c r="I4" s="23"/>
      <c r="L4" s="23"/>
      <c r="M4" s="23"/>
      <c r="O4" s="24"/>
    </row>
    <row r="5" ht="18.75" customHeight="1">
      <c r="H5" s="23"/>
      <c r="I5" s="23"/>
      <c r="L5" s="23"/>
      <c r="M5" s="23"/>
      <c r="O5" s="24"/>
    </row>
    <row r="6" ht="18.75" customHeight="1">
      <c r="H6" s="23"/>
      <c r="I6" s="23"/>
      <c r="L6" s="23"/>
      <c r="M6" s="23"/>
      <c r="O6" s="24"/>
    </row>
    <row r="7" ht="18.75" customHeight="1">
      <c r="H7" s="23"/>
      <c r="I7" s="23"/>
      <c r="L7" s="23"/>
      <c r="M7" s="23"/>
      <c r="O7" s="24"/>
    </row>
    <row r="8" ht="18.75" customHeight="1">
      <c r="H8" s="23"/>
      <c r="I8" s="23"/>
      <c r="L8" s="23"/>
      <c r="M8" s="23"/>
      <c r="O8" s="24"/>
    </row>
    <row r="9" ht="18.75" customHeight="1">
      <c r="H9" s="23"/>
      <c r="I9" s="23"/>
      <c r="L9" s="23"/>
      <c r="M9" s="23"/>
      <c r="O9" s="24"/>
    </row>
    <row r="10" ht="18.75" customHeight="1">
      <c r="H10" s="23"/>
      <c r="I10" s="23"/>
      <c r="L10" s="23"/>
      <c r="M10" s="23"/>
      <c r="O10" s="24"/>
    </row>
    <row r="11" ht="18.75" customHeight="1">
      <c r="H11" s="23"/>
      <c r="I11" s="23"/>
      <c r="L11" s="23"/>
      <c r="M11" s="23"/>
      <c r="O11" s="24"/>
    </row>
    <row r="12" ht="18.75" customHeight="1">
      <c r="H12" s="23"/>
      <c r="I12" s="23"/>
      <c r="L12" s="23"/>
      <c r="M12" s="23"/>
      <c r="O12" s="24"/>
    </row>
    <row r="13" ht="18.75" customHeight="1">
      <c r="H13" s="23"/>
      <c r="I13" s="23"/>
      <c r="L13" s="23"/>
      <c r="M13" s="23"/>
      <c r="O13" s="24"/>
    </row>
    <row r="14" ht="18.75" customHeight="1">
      <c r="H14" s="23"/>
      <c r="I14" s="23"/>
      <c r="L14" s="23"/>
      <c r="M14" s="23"/>
      <c r="O14" s="24"/>
    </row>
    <row r="15" ht="18.75" customHeight="1">
      <c r="H15" s="23"/>
      <c r="I15" s="23"/>
      <c r="L15" s="23"/>
      <c r="M15" s="23"/>
      <c r="O15" s="24"/>
    </row>
    <row r="16" ht="18.75" customHeight="1">
      <c r="H16" s="23"/>
      <c r="I16" s="23"/>
      <c r="L16" s="23"/>
      <c r="M16" s="23"/>
      <c r="O16" s="24"/>
    </row>
    <row r="17" ht="18.75" customHeight="1">
      <c r="H17" s="23"/>
      <c r="I17" s="23"/>
      <c r="L17" s="23"/>
      <c r="M17" s="23"/>
      <c r="O17" s="24"/>
    </row>
    <row r="18" ht="18.75" customHeight="1">
      <c r="H18" s="23"/>
      <c r="I18" s="23"/>
      <c r="L18" s="23"/>
      <c r="M18" s="23"/>
      <c r="O18" s="24"/>
    </row>
    <row r="19" ht="18.75" customHeight="1">
      <c r="H19" s="23"/>
      <c r="I19" s="23"/>
      <c r="L19" s="23"/>
      <c r="M19" s="23"/>
      <c r="O19" s="24"/>
    </row>
    <row r="20" ht="18.75" customHeight="1">
      <c r="H20" s="23"/>
      <c r="I20" s="23"/>
      <c r="L20" s="23"/>
      <c r="M20" s="23"/>
      <c r="O20" s="24"/>
    </row>
    <row r="21" ht="18.75" customHeight="1">
      <c r="H21" s="23"/>
      <c r="I21" s="23"/>
      <c r="L21" s="23"/>
      <c r="M21" s="23"/>
      <c r="O21" s="24"/>
    </row>
    <row r="22" ht="18.75" customHeight="1">
      <c r="H22" s="23"/>
      <c r="I22" s="23"/>
      <c r="L22" s="23"/>
      <c r="M22" s="23"/>
      <c r="O22" s="24"/>
    </row>
    <row r="23" ht="18.75" customHeight="1">
      <c r="H23" s="23"/>
      <c r="I23" s="23"/>
      <c r="L23" s="23"/>
      <c r="M23" s="23"/>
      <c r="O23" s="24"/>
    </row>
    <row r="24" ht="18.75" customHeight="1">
      <c r="H24" s="23"/>
      <c r="I24" s="23"/>
      <c r="L24" s="23"/>
      <c r="M24" s="23"/>
      <c r="O24" s="24"/>
    </row>
    <row r="25" ht="18.75" customHeight="1">
      <c r="H25" s="23"/>
      <c r="I25" s="23"/>
      <c r="L25" s="23"/>
      <c r="M25" s="23"/>
      <c r="O25" s="24"/>
    </row>
    <row r="26" ht="18.75" customHeight="1">
      <c r="H26" s="23"/>
      <c r="I26" s="23"/>
      <c r="L26" s="23"/>
      <c r="M26" s="23"/>
      <c r="O26" s="24"/>
    </row>
    <row r="27" ht="18.75" customHeight="1">
      <c r="H27" s="23"/>
      <c r="I27" s="23"/>
      <c r="L27" s="23"/>
      <c r="M27" s="23"/>
      <c r="O27" s="24"/>
    </row>
    <row r="28" ht="18.75" customHeight="1">
      <c r="H28" s="23"/>
      <c r="I28" s="23"/>
      <c r="L28" s="23"/>
      <c r="M28" s="23"/>
      <c r="O28" s="24"/>
    </row>
    <row r="29" ht="18.75" customHeight="1">
      <c r="H29" s="23"/>
      <c r="I29" s="23"/>
      <c r="L29" s="23"/>
      <c r="M29" s="23"/>
      <c r="O29" s="24"/>
    </row>
    <row r="30" ht="18.75" customHeight="1">
      <c r="H30" s="23"/>
      <c r="I30" s="23"/>
      <c r="L30" s="23"/>
      <c r="M30" s="23"/>
      <c r="O30" s="24"/>
    </row>
    <row r="31" ht="18.75" customHeight="1">
      <c r="H31" s="23"/>
      <c r="I31" s="23"/>
      <c r="L31" s="23"/>
      <c r="M31" s="23"/>
      <c r="O31" s="24"/>
    </row>
    <row r="32" ht="18.75" customHeight="1">
      <c r="H32" s="23"/>
      <c r="I32" s="23"/>
      <c r="L32" s="23"/>
      <c r="M32" s="23"/>
      <c r="O32" s="24"/>
    </row>
    <row r="33" ht="18.75" customHeight="1">
      <c r="H33" s="23"/>
      <c r="I33" s="23"/>
      <c r="L33" s="23"/>
      <c r="M33" s="23"/>
      <c r="O33" s="24"/>
    </row>
    <row r="34" ht="18.75" customHeight="1">
      <c r="H34" s="23"/>
      <c r="I34" s="23"/>
      <c r="L34" s="23"/>
      <c r="M34" s="23"/>
      <c r="O34" s="24"/>
    </row>
    <row r="35" ht="18.75" customHeight="1">
      <c r="H35" s="23"/>
      <c r="I35" s="23"/>
      <c r="L35" s="23"/>
      <c r="M35" s="23"/>
      <c r="O35" s="24"/>
    </row>
    <row r="36" ht="18.75" customHeight="1">
      <c r="H36" s="23"/>
      <c r="I36" s="23"/>
      <c r="L36" s="23"/>
      <c r="M36" s="23"/>
      <c r="O36" s="24"/>
    </row>
    <row r="37" ht="18.75" customHeight="1">
      <c r="H37" s="23"/>
      <c r="I37" s="23"/>
      <c r="L37" s="23"/>
      <c r="M37" s="23"/>
      <c r="O37" s="24"/>
    </row>
    <row r="38" ht="18.75" customHeight="1">
      <c r="H38" s="23"/>
      <c r="I38" s="23"/>
      <c r="L38" s="23"/>
      <c r="M38" s="23"/>
      <c r="O38" s="24"/>
    </row>
    <row r="39" ht="18.75" customHeight="1">
      <c r="H39" s="23"/>
      <c r="I39" s="23"/>
      <c r="L39" s="23"/>
      <c r="M39" s="23"/>
      <c r="O39" s="24"/>
    </row>
    <row r="40" ht="18.75" customHeight="1">
      <c r="H40" s="23"/>
      <c r="I40" s="23"/>
      <c r="L40" s="23"/>
      <c r="M40" s="23"/>
      <c r="O40" s="24"/>
    </row>
    <row r="41" ht="18.75" customHeight="1">
      <c r="H41" s="23"/>
      <c r="I41" s="23"/>
      <c r="L41" s="23"/>
      <c r="M41" s="23"/>
      <c r="O41" s="24"/>
    </row>
    <row r="42" ht="18.75" customHeight="1">
      <c r="H42" s="23"/>
      <c r="I42" s="23"/>
      <c r="L42" s="23"/>
      <c r="M42" s="23"/>
      <c r="O42" s="24"/>
    </row>
    <row r="43" ht="18.75" customHeight="1">
      <c r="H43" s="23"/>
      <c r="I43" s="23"/>
      <c r="L43" s="23"/>
      <c r="M43" s="23"/>
      <c r="O43" s="24"/>
    </row>
    <row r="44" ht="18.75" customHeight="1">
      <c r="H44" s="23"/>
      <c r="I44" s="23"/>
      <c r="L44" s="23"/>
      <c r="M44" s="23"/>
      <c r="O44" s="24"/>
    </row>
    <row r="45" ht="18.75" customHeight="1">
      <c r="H45" s="23"/>
      <c r="I45" s="23"/>
      <c r="L45" s="23"/>
      <c r="M45" s="23"/>
      <c r="O45" s="24"/>
    </row>
    <row r="46" ht="18.75" customHeight="1">
      <c r="H46" s="23"/>
      <c r="I46" s="23"/>
      <c r="L46" s="23"/>
      <c r="M46" s="23"/>
      <c r="O46" s="24"/>
    </row>
    <row r="47" ht="18.75" customHeight="1">
      <c r="H47" s="23"/>
      <c r="I47" s="23"/>
      <c r="L47" s="23"/>
      <c r="M47" s="23"/>
      <c r="O47" s="24"/>
    </row>
    <row r="48" ht="18.75" customHeight="1">
      <c r="H48" s="23"/>
      <c r="I48" s="23"/>
      <c r="L48" s="23"/>
      <c r="M48" s="23"/>
      <c r="O48" s="24"/>
    </row>
    <row r="49" ht="18.75" customHeight="1">
      <c r="H49" s="23"/>
      <c r="I49" s="23"/>
      <c r="L49" s="23"/>
      <c r="M49" s="23"/>
      <c r="O49" s="24"/>
    </row>
    <row r="50" ht="18.75" customHeight="1">
      <c r="H50" s="23"/>
      <c r="I50" s="23"/>
      <c r="L50" s="23"/>
      <c r="M50" s="23"/>
      <c r="O50" s="24"/>
    </row>
    <row r="51" ht="18.75" customHeight="1">
      <c r="H51" s="23"/>
      <c r="I51" s="23"/>
      <c r="L51" s="23"/>
      <c r="M51" s="23"/>
      <c r="O51" s="24"/>
    </row>
    <row r="52" ht="18.75" customHeight="1">
      <c r="H52" s="23"/>
      <c r="I52" s="23"/>
      <c r="L52" s="23"/>
      <c r="M52" s="23"/>
      <c r="O52" s="24"/>
    </row>
    <row r="53" ht="18.75" customHeight="1">
      <c r="H53" s="23"/>
      <c r="I53" s="23"/>
      <c r="L53" s="23"/>
      <c r="M53" s="23"/>
      <c r="O53" s="24"/>
    </row>
    <row r="54" ht="18.75" customHeight="1">
      <c r="H54" s="23"/>
      <c r="I54" s="23"/>
      <c r="L54" s="23"/>
      <c r="M54" s="23"/>
      <c r="O54" s="24"/>
    </row>
    <row r="55" ht="18.75" customHeight="1">
      <c r="H55" s="23"/>
      <c r="I55" s="23"/>
      <c r="L55" s="23"/>
      <c r="M55" s="23"/>
      <c r="O55" s="24"/>
    </row>
    <row r="56" ht="18.75" customHeight="1">
      <c r="H56" s="23"/>
      <c r="I56" s="23"/>
      <c r="L56" s="23"/>
      <c r="M56" s="23"/>
    </row>
    <row r="57" ht="18.75" customHeight="1">
      <c r="H57" s="23"/>
      <c r="I57" s="23"/>
      <c r="L57" s="23"/>
      <c r="M57" s="23"/>
    </row>
    <row r="58" ht="18.75" customHeight="1">
      <c r="H58" s="23"/>
      <c r="I58" s="23"/>
      <c r="L58" s="23"/>
      <c r="M58" s="23"/>
    </row>
    <row r="59" ht="18.75" customHeight="1">
      <c r="H59" s="23"/>
      <c r="I59" s="23"/>
      <c r="L59" s="23"/>
      <c r="M59" s="23"/>
    </row>
    <row r="60" ht="18.75" customHeight="1">
      <c r="H60" s="23"/>
      <c r="I60" s="23"/>
      <c r="L60" s="23"/>
      <c r="M60" s="23"/>
    </row>
    <row r="61" ht="18.75" customHeight="1">
      <c r="H61" s="23"/>
      <c r="I61" s="23"/>
      <c r="L61" s="23"/>
      <c r="M61" s="23"/>
    </row>
    <row r="62" ht="18.75" customHeight="1">
      <c r="H62" s="23"/>
      <c r="I62" s="23"/>
      <c r="L62" s="23"/>
      <c r="M62" s="23"/>
    </row>
    <row r="63" ht="18.75" customHeight="1">
      <c r="H63" s="23"/>
      <c r="I63" s="23"/>
      <c r="L63" s="23"/>
      <c r="M63" s="23"/>
    </row>
    <row r="64" ht="18.75" customHeight="1">
      <c r="H64" s="23"/>
      <c r="I64" s="23"/>
      <c r="L64" s="23"/>
      <c r="M64" s="23"/>
    </row>
    <row r="65" ht="18.75" customHeight="1">
      <c r="H65" s="23"/>
      <c r="I65" s="23"/>
      <c r="L65" s="23"/>
      <c r="M65" s="23"/>
    </row>
    <row r="66" ht="18.75" customHeight="1">
      <c r="H66" s="23"/>
      <c r="I66" s="23"/>
      <c r="L66" s="23"/>
      <c r="M66" s="23"/>
    </row>
    <row r="67" ht="18.75" customHeight="1">
      <c r="H67" s="23"/>
      <c r="I67" s="23"/>
      <c r="L67" s="23"/>
      <c r="M67" s="23"/>
    </row>
    <row r="68" ht="18.75" customHeight="1">
      <c r="H68" s="23"/>
      <c r="I68" s="23"/>
      <c r="L68" s="23"/>
      <c r="M68" s="23"/>
    </row>
    <row r="69" ht="18.75" customHeight="1">
      <c r="H69" s="23"/>
      <c r="I69" s="23"/>
      <c r="L69" s="23"/>
      <c r="M69" s="23"/>
    </row>
    <row r="70" ht="18.75" customHeight="1">
      <c r="H70" s="23"/>
      <c r="I70" s="23"/>
      <c r="L70" s="23"/>
      <c r="M70" s="23"/>
    </row>
    <row r="71" ht="18.75" customHeight="1">
      <c r="H71" s="23"/>
      <c r="I71" s="23"/>
      <c r="L71" s="23"/>
      <c r="M71" s="23"/>
    </row>
    <row r="72" ht="18.75" customHeight="1">
      <c r="H72" s="23"/>
      <c r="I72" s="23"/>
      <c r="L72" s="23"/>
      <c r="M72" s="23"/>
    </row>
    <row r="73" ht="18.75" customHeight="1">
      <c r="H73" s="23"/>
      <c r="I73" s="23"/>
      <c r="L73" s="23"/>
      <c r="M73" s="23"/>
    </row>
    <row r="74" ht="18.75" customHeight="1">
      <c r="H74" s="23"/>
      <c r="I74" s="23"/>
      <c r="L74" s="23"/>
      <c r="M74" s="23"/>
    </row>
    <row r="75" ht="18.75" customHeight="1">
      <c r="H75" s="23"/>
      <c r="I75" s="23"/>
      <c r="L75" s="23"/>
      <c r="M75" s="23"/>
    </row>
    <row r="76" ht="18.75" customHeight="1">
      <c r="H76" s="23"/>
      <c r="I76" s="23"/>
      <c r="L76" s="23"/>
      <c r="M76" s="23"/>
    </row>
    <row r="77" ht="18.75" customHeight="1">
      <c r="H77" s="23"/>
      <c r="I77" s="23"/>
      <c r="L77" s="23"/>
      <c r="M77" s="23"/>
    </row>
    <row r="78" ht="18.75" customHeight="1">
      <c r="H78" s="23"/>
      <c r="I78" s="23"/>
      <c r="L78" s="23"/>
      <c r="M78" s="23"/>
    </row>
    <row r="79" ht="18.75" customHeight="1">
      <c r="H79" s="23"/>
      <c r="I79" s="23"/>
      <c r="L79" s="23"/>
      <c r="M79" s="23"/>
    </row>
    <row r="80" ht="18.75" customHeight="1">
      <c r="H80" s="23"/>
      <c r="I80" s="23"/>
      <c r="L80" s="23"/>
      <c r="M80" s="23"/>
    </row>
    <row r="81" ht="18.75" customHeight="1">
      <c r="H81" s="23"/>
      <c r="I81" s="23"/>
      <c r="L81" s="23"/>
      <c r="M81" s="23"/>
    </row>
    <row r="82" ht="18.75" customHeight="1">
      <c r="H82" s="23"/>
      <c r="I82" s="23"/>
      <c r="L82" s="23"/>
      <c r="M82" s="23"/>
    </row>
    <row r="83" ht="18.75" customHeight="1">
      <c r="H83" s="23"/>
      <c r="I83" s="23"/>
      <c r="L83" s="23"/>
      <c r="M83" s="23"/>
    </row>
    <row r="84" ht="18.75" customHeight="1">
      <c r="H84" s="23"/>
      <c r="I84" s="23"/>
      <c r="L84" s="23"/>
      <c r="M84" s="23"/>
    </row>
    <row r="85" ht="18.75" customHeight="1">
      <c r="H85" s="23"/>
      <c r="I85" s="23"/>
      <c r="L85" s="23"/>
      <c r="M85" s="23"/>
    </row>
    <row r="86" ht="18.75" customHeight="1">
      <c r="H86" s="23"/>
      <c r="I86" s="23"/>
      <c r="L86" s="23"/>
      <c r="M86" s="23"/>
    </row>
    <row r="87" ht="18.75" customHeight="1">
      <c r="H87" s="23"/>
      <c r="I87" s="23"/>
      <c r="L87" s="23"/>
      <c r="M87" s="23"/>
    </row>
    <row r="88" ht="18.75" customHeight="1">
      <c r="H88" s="23"/>
      <c r="I88" s="23"/>
      <c r="L88" s="23"/>
      <c r="M88" s="23"/>
    </row>
    <row r="89" ht="18.75" customHeight="1">
      <c r="H89" s="23"/>
      <c r="I89" s="23"/>
      <c r="L89" s="23"/>
      <c r="M89" s="23"/>
    </row>
    <row r="90" ht="18.75" customHeight="1">
      <c r="H90" s="23"/>
      <c r="I90" s="23"/>
      <c r="L90" s="23"/>
      <c r="M90" s="23"/>
    </row>
    <row r="91" ht="18.75" customHeight="1">
      <c r="H91" s="23"/>
      <c r="I91" s="23"/>
      <c r="L91" s="23"/>
      <c r="M91" s="23"/>
    </row>
    <row r="92" ht="18.75" customHeight="1">
      <c r="H92" s="23"/>
      <c r="I92" s="23"/>
      <c r="L92" s="23"/>
      <c r="M92" s="23"/>
    </row>
    <row r="93" ht="18.75" customHeight="1">
      <c r="H93" s="23"/>
      <c r="I93" s="23"/>
      <c r="L93" s="23"/>
      <c r="M93" s="23"/>
    </row>
    <row r="94" ht="18.75" customHeight="1">
      <c r="H94" s="23"/>
      <c r="I94" s="23"/>
      <c r="L94" s="23"/>
      <c r="M94" s="23"/>
    </row>
    <row r="95" ht="18.75" customHeight="1">
      <c r="H95" s="23"/>
      <c r="I95" s="23"/>
      <c r="L95" s="23"/>
      <c r="M95" s="23"/>
    </row>
    <row r="96" ht="18.75" customHeight="1">
      <c r="H96" s="23"/>
      <c r="I96" s="23"/>
      <c r="L96" s="23"/>
      <c r="M96" s="23"/>
    </row>
    <row r="97" ht="18.75" customHeight="1">
      <c r="H97" s="23"/>
      <c r="I97" s="23"/>
      <c r="L97" s="23"/>
      <c r="M97" s="23"/>
    </row>
    <row r="98" ht="18.75" customHeight="1">
      <c r="H98" s="23"/>
      <c r="I98" s="23"/>
      <c r="L98" s="23"/>
      <c r="M98" s="23"/>
    </row>
    <row r="99" ht="18.75" customHeight="1">
      <c r="H99" s="23"/>
      <c r="I99" s="23"/>
      <c r="L99" s="23"/>
      <c r="M99" s="23"/>
    </row>
    <row r="100" ht="18.75" customHeight="1">
      <c r="H100" s="23"/>
      <c r="I100" s="23"/>
      <c r="L100" s="23"/>
      <c r="M100" s="23"/>
    </row>
    <row r="101" ht="18.75" customHeight="1">
      <c r="H101" s="23"/>
      <c r="I101" s="23"/>
      <c r="L101" s="23"/>
      <c r="M101" s="23"/>
    </row>
    <row r="102" ht="18.75" customHeight="1">
      <c r="H102" s="23"/>
      <c r="I102" s="23"/>
      <c r="L102" s="23"/>
      <c r="M102" s="23"/>
    </row>
    <row r="103" ht="18.75" customHeight="1">
      <c r="H103" s="23"/>
      <c r="I103" s="23"/>
      <c r="L103" s="23"/>
      <c r="M103" s="23"/>
    </row>
    <row r="104" ht="18.75" customHeight="1">
      <c r="H104" s="23"/>
      <c r="I104" s="23"/>
      <c r="L104" s="23"/>
      <c r="M104" s="23"/>
    </row>
    <row r="105" ht="18.75" customHeight="1">
      <c r="H105" s="23"/>
      <c r="I105" s="23"/>
      <c r="L105" s="23"/>
      <c r="M105" s="23"/>
    </row>
    <row r="106" ht="18.75" customHeight="1">
      <c r="H106" s="23"/>
      <c r="I106" s="23"/>
      <c r="L106" s="23"/>
      <c r="M106" s="23"/>
    </row>
    <row r="107" ht="18.75" customHeight="1">
      <c r="H107" s="23"/>
      <c r="I107" s="23"/>
      <c r="L107" s="23"/>
      <c r="M107" s="23"/>
    </row>
    <row r="108" ht="18.75" customHeight="1">
      <c r="H108" s="23"/>
      <c r="I108" s="23"/>
      <c r="L108" s="23"/>
      <c r="M108" s="23"/>
    </row>
    <row r="109" ht="18.75" customHeight="1">
      <c r="H109" s="23"/>
      <c r="I109" s="23"/>
      <c r="L109" s="23"/>
      <c r="M109" s="23"/>
    </row>
    <row r="110" ht="18.75" customHeight="1">
      <c r="H110" s="23"/>
      <c r="I110" s="23"/>
      <c r="L110" s="23"/>
      <c r="M110" s="23"/>
    </row>
    <row r="111" ht="18.75" customHeight="1">
      <c r="H111" s="23"/>
      <c r="I111" s="23"/>
      <c r="L111" s="23"/>
      <c r="M111" s="23"/>
    </row>
    <row r="112" ht="18.75" customHeight="1">
      <c r="H112" s="23"/>
      <c r="I112" s="23"/>
      <c r="L112" s="23"/>
      <c r="M112" s="23"/>
    </row>
    <row r="113" ht="18.75" customHeight="1">
      <c r="H113" s="23"/>
      <c r="I113" s="23"/>
      <c r="L113" s="23"/>
      <c r="M113" s="23"/>
    </row>
    <row r="114" ht="18.75" customHeight="1">
      <c r="H114" s="23"/>
      <c r="I114" s="23"/>
      <c r="L114" s="23"/>
      <c r="M114" s="23"/>
    </row>
    <row r="115" ht="18.75" customHeight="1">
      <c r="H115" s="23"/>
      <c r="I115" s="23"/>
      <c r="L115" s="23"/>
      <c r="M115" s="23"/>
    </row>
    <row r="116" ht="18.75" customHeight="1">
      <c r="H116" s="23"/>
      <c r="I116" s="23"/>
      <c r="L116" s="23"/>
      <c r="M116" s="23"/>
    </row>
    <row r="117" ht="18.75" customHeight="1">
      <c r="H117" s="23"/>
      <c r="I117" s="23"/>
      <c r="L117" s="23"/>
      <c r="M117" s="23"/>
    </row>
    <row r="118" ht="18.75" customHeight="1">
      <c r="H118" s="23"/>
      <c r="I118" s="23"/>
      <c r="L118" s="23"/>
      <c r="M118" s="23"/>
    </row>
    <row r="119" ht="18.75" customHeight="1">
      <c r="H119" s="23"/>
      <c r="I119" s="23"/>
      <c r="L119" s="23"/>
      <c r="M119" s="23"/>
    </row>
    <row r="120" ht="18.75" customHeight="1">
      <c r="H120" s="23"/>
      <c r="I120" s="23"/>
      <c r="L120" s="23"/>
      <c r="M120" s="23"/>
    </row>
    <row r="121" ht="18.75" customHeight="1">
      <c r="H121" s="23"/>
      <c r="I121" s="23"/>
      <c r="L121" s="23"/>
      <c r="M121" s="23"/>
    </row>
    <row r="122" ht="18.75" customHeight="1">
      <c r="H122" s="23"/>
      <c r="I122" s="23"/>
      <c r="L122" s="23"/>
      <c r="M122" s="23"/>
    </row>
    <row r="123" ht="18.75" customHeight="1">
      <c r="H123" s="23"/>
      <c r="I123" s="23"/>
      <c r="L123" s="23"/>
      <c r="M123" s="23"/>
    </row>
    <row r="124" ht="18.75" customHeight="1">
      <c r="H124" s="23"/>
      <c r="I124" s="23"/>
      <c r="L124" s="23"/>
      <c r="M124" s="23"/>
    </row>
    <row r="125" ht="18.75" customHeight="1">
      <c r="H125" s="23"/>
      <c r="I125" s="23"/>
      <c r="L125" s="23"/>
      <c r="M125" s="23"/>
    </row>
    <row r="126" ht="18.75" customHeight="1">
      <c r="H126" s="23"/>
      <c r="I126" s="23"/>
      <c r="L126" s="23"/>
      <c r="M126" s="23"/>
    </row>
    <row r="127" ht="18.75" customHeight="1">
      <c r="H127" s="23"/>
      <c r="I127" s="23"/>
      <c r="L127" s="23"/>
      <c r="M127" s="23"/>
    </row>
    <row r="128" ht="18.75" customHeight="1">
      <c r="H128" s="23"/>
      <c r="I128" s="23"/>
      <c r="L128" s="23"/>
      <c r="M128" s="23"/>
    </row>
    <row r="129" ht="18.75" customHeight="1">
      <c r="H129" s="23"/>
      <c r="I129" s="23"/>
      <c r="L129" s="23"/>
      <c r="M129" s="23"/>
    </row>
    <row r="130" ht="18.75" customHeight="1">
      <c r="H130" s="23"/>
      <c r="I130" s="23"/>
      <c r="L130" s="23"/>
      <c r="M130" s="23"/>
    </row>
    <row r="131" ht="18.75" customHeight="1">
      <c r="H131" s="23"/>
      <c r="I131" s="23"/>
      <c r="L131" s="23"/>
      <c r="M131" s="23"/>
    </row>
    <row r="132" ht="18.75" customHeight="1">
      <c r="H132" s="23"/>
      <c r="I132" s="23"/>
      <c r="L132" s="23"/>
      <c r="M132" s="23"/>
    </row>
    <row r="133" ht="18.75" customHeight="1">
      <c r="H133" s="23"/>
      <c r="I133" s="23"/>
      <c r="L133" s="23"/>
      <c r="M133" s="23"/>
    </row>
    <row r="134" ht="18.75" customHeight="1">
      <c r="H134" s="23"/>
      <c r="I134" s="23"/>
      <c r="L134" s="23"/>
      <c r="M134" s="23"/>
    </row>
    <row r="135" ht="18.75" customHeight="1">
      <c r="H135" s="23"/>
      <c r="I135" s="23"/>
      <c r="L135" s="23"/>
      <c r="M135" s="23"/>
    </row>
    <row r="136" ht="18.75" customHeight="1">
      <c r="H136" s="23"/>
      <c r="I136" s="23"/>
      <c r="L136" s="23"/>
      <c r="M136" s="23"/>
    </row>
    <row r="137" ht="18.75" customHeight="1">
      <c r="H137" s="23"/>
      <c r="I137" s="23"/>
      <c r="L137" s="23"/>
      <c r="M137" s="23"/>
    </row>
    <row r="138" ht="18.75" customHeight="1">
      <c r="H138" s="23"/>
      <c r="I138" s="23"/>
      <c r="L138" s="23"/>
      <c r="M138" s="23"/>
    </row>
    <row r="139" ht="18.75" customHeight="1">
      <c r="H139" s="23"/>
      <c r="I139" s="23"/>
      <c r="L139" s="23"/>
      <c r="M139" s="23"/>
    </row>
    <row r="140" ht="18.75" customHeight="1">
      <c r="H140" s="23"/>
      <c r="I140" s="23"/>
      <c r="L140" s="23"/>
      <c r="M140" s="23"/>
    </row>
    <row r="141" ht="18.75" customHeight="1">
      <c r="H141" s="23"/>
      <c r="I141" s="23"/>
      <c r="L141" s="23"/>
      <c r="M141" s="23"/>
    </row>
    <row r="142" ht="18.75" customHeight="1">
      <c r="H142" s="23"/>
      <c r="I142" s="23"/>
      <c r="L142" s="23"/>
      <c r="M142" s="23"/>
    </row>
    <row r="143" ht="18.75" customHeight="1">
      <c r="H143" s="23"/>
      <c r="I143" s="23"/>
      <c r="L143" s="23"/>
      <c r="M143" s="23"/>
    </row>
    <row r="144" ht="18.75" customHeight="1">
      <c r="H144" s="23"/>
      <c r="I144" s="23"/>
      <c r="L144" s="23"/>
      <c r="M144" s="23"/>
    </row>
    <row r="145" ht="18.75" customHeight="1">
      <c r="H145" s="23"/>
      <c r="I145" s="23"/>
      <c r="L145" s="23"/>
      <c r="M145" s="23"/>
    </row>
    <row r="146" ht="18.75" customHeight="1">
      <c r="H146" s="23"/>
      <c r="I146" s="23"/>
      <c r="L146" s="23"/>
      <c r="M146" s="23"/>
    </row>
    <row r="147" ht="18.75" customHeight="1">
      <c r="H147" s="23"/>
      <c r="I147" s="23"/>
      <c r="L147" s="23"/>
      <c r="M147" s="23"/>
    </row>
    <row r="148" ht="18.75" customHeight="1">
      <c r="H148" s="23"/>
      <c r="I148" s="23"/>
      <c r="L148" s="23"/>
      <c r="M148" s="23"/>
    </row>
    <row r="149" ht="18.75" customHeight="1">
      <c r="H149" s="23"/>
      <c r="I149" s="23"/>
      <c r="L149" s="23"/>
      <c r="M149" s="23"/>
    </row>
    <row r="150" ht="18.75" customHeight="1">
      <c r="H150" s="23"/>
      <c r="I150" s="23"/>
      <c r="L150" s="23"/>
      <c r="M150" s="23"/>
    </row>
    <row r="151" ht="18.75" customHeight="1">
      <c r="H151" s="23"/>
      <c r="I151" s="23"/>
      <c r="L151" s="23"/>
      <c r="M151" s="23"/>
    </row>
    <row r="152" ht="18.75" customHeight="1">
      <c r="H152" s="23"/>
      <c r="I152" s="23"/>
      <c r="L152" s="23"/>
      <c r="M152" s="23"/>
    </row>
    <row r="153" ht="18.75" customHeight="1">
      <c r="H153" s="23"/>
      <c r="I153" s="23"/>
      <c r="L153" s="23"/>
      <c r="M153" s="23"/>
    </row>
    <row r="154" ht="18.75" customHeight="1">
      <c r="H154" s="23"/>
      <c r="I154" s="23"/>
      <c r="L154" s="23"/>
      <c r="M154" s="23"/>
    </row>
    <row r="155" ht="18.75" customHeight="1">
      <c r="H155" s="23"/>
      <c r="I155" s="23"/>
      <c r="L155" s="23"/>
      <c r="M155" s="23"/>
    </row>
    <row r="156" ht="18.75" customHeight="1">
      <c r="H156" s="23"/>
      <c r="I156" s="23"/>
      <c r="L156" s="23"/>
      <c r="M156" s="23"/>
    </row>
    <row r="157" ht="18.75" customHeight="1">
      <c r="H157" s="23"/>
      <c r="I157" s="23"/>
      <c r="L157" s="23"/>
      <c r="M157" s="23"/>
    </row>
    <row r="158" ht="18.75" customHeight="1">
      <c r="H158" s="23"/>
      <c r="I158" s="23"/>
      <c r="L158" s="23"/>
      <c r="M158" s="23"/>
    </row>
    <row r="159" ht="18.75" customHeight="1">
      <c r="H159" s="23"/>
      <c r="I159" s="23"/>
      <c r="L159" s="23"/>
      <c r="M159" s="23"/>
    </row>
    <row r="160" ht="18.75" customHeight="1">
      <c r="H160" s="23"/>
      <c r="I160" s="23"/>
      <c r="L160" s="23"/>
      <c r="M160" s="23"/>
    </row>
    <row r="161" ht="18.75" customHeight="1">
      <c r="H161" s="23"/>
      <c r="I161" s="23"/>
      <c r="L161" s="23"/>
      <c r="M161" s="23"/>
    </row>
    <row r="162" ht="18.75" customHeight="1">
      <c r="H162" s="23"/>
      <c r="I162" s="23"/>
      <c r="L162" s="23"/>
      <c r="M162" s="23"/>
    </row>
    <row r="163" ht="18.75" customHeight="1">
      <c r="H163" s="23"/>
      <c r="I163" s="23"/>
      <c r="L163" s="23"/>
      <c r="M163" s="23"/>
    </row>
    <row r="164" ht="18.75" customHeight="1">
      <c r="H164" s="23"/>
      <c r="I164" s="23"/>
      <c r="L164" s="23"/>
      <c r="M164" s="23"/>
    </row>
    <row r="165" ht="18.75" customHeight="1">
      <c r="H165" s="23"/>
      <c r="I165" s="23"/>
      <c r="L165" s="23"/>
      <c r="M165" s="23"/>
    </row>
    <row r="166" ht="18.75" customHeight="1">
      <c r="H166" s="23"/>
      <c r="I166" s="23"/>
      <c r="L166" s="23"/>
      <c r="M166" s="23"/>
    </row>
    <row r="167" ht="18.75" customHeight="1">
      <c r="H167" s="23"/>
      <c r="I167" s="23"/>
      <c r="L167" s="23"/>
      <c r="M167" s="23"/>
    </row>
    <row r="168" ht="18.75" customHeight="1">
      <c r="H168" s="23"/>
      <c r="I168" s="23"/>
      <c r="L168" s="23"/>
      <c r="M168" s="23"/>
    </row>
    <row r="169" ht="18.75" customHeight="1">
      <c r="H169" s="23"/>
      <c r="I169" s="23"/>
      <c r="L169" s="23"/>
      <c r="M169" s="23"/>
    </row>
    <row r="170" ht="18.75" customHeight="1">
      <c r="H170" s="23"/>
      <c r="I170" s="23"/>
      <c r="L170" s="23"/>
      <c r="M170" s="23"/>
    </row>
    <row r="171" ht="18.75" customHeight="1">
      <c r="H171" s="23"/>
      <c r="I171" s="23"/>
      <c r="L171" s="23"/>
      <c r="M171" s="23"/>
    </row>
    <row r="172" ht="18.75" customHeight="1">
      <c r="H172" s="23"/>
      <c r="I172" s="23"/>
      <c r="L172" s="23"/>
      <c r="M172" s="23"/>
    </row>
    <row r="173" ht="18.75" customHeight="1">
      <c r="H173" s="23"/>
      <c r="I173" s="23"/>
      <c r="L173" s="23"/>
      <c r="M173" s="23"/>
    </row>
    <row r="174" ht="18.75" customHeight="1">
      <c r="H174" s="23"/>
      <c r="I174" s="23"/>
      <c r="L174" s="23"/>
      <c r="M174" s="23"/>
    </row>
    <row r="175" ht="18.75" customHeight="1">
      <c r="H175" s="23"/>
      <c r="I175" s="23"/>
      <c r="L175" s="23"/>
      <c r="M175" s="23"/>
    </row>
    <row r="176" ht="18.75" customHeight="1">
      <c r="H176" s="23"/>
      <c r="I176" s="23"/>
      <c r="L176" s="23"/>
      <c r="M176" s="23"/>
    </row>
    <row r="177" ht="18.75" customHeight="1">
      <c r="H177" s="23"/>
      <c r="I177" s="23"/>
      <c r="L177" s="23"/>
      <c r="M177" s="23"/>
    </row>
    <row r="178" ht="18.75" customHeight="1">
      <c r="H178" s="23"/>
      <c r="I178" s="23"/>
      <c r="L178" s="23"/>
      <c r="M178" s="23"/>
    </row>
    <row r="179" ht="18.75" customHeight="1">
      <c r="H179" s="23"/>
      <c r="I179" s="23"/>
      <c r="L179" s="23"/>
      <c r="M179" s="23"/>
    </row>
    <row r="180" ht="18.75" customHeight="1">
      <c r="H180" s="23"/>
      <c r="I180" s="23"/>
      <c r="L180" s="23"/>
      <c r="M180" s="23"/>
    </row>
    <row r="181" ht="18.75" customHeight="1">
      <c r="H181" s="23"/>
      <c r="I181" s="23"/>
      <c r="L181" s="23"/>
      <c r="M181" s="23"/>
    </row>
    <row r="182" ht="18.75" customHeight="1">
      <c r="H182" s="23"/>
      <c r="I182" s="23"/>
      <c r="L182" s="23"/>
      <c r="M182" s="23"/>
    </row>
    <row r="183" ht="18.75" customHeight="1">
      <c r="H183" s="23"/>
      <c r="I183" s="23"/>
      <c r="L183" s="23"/>
      <c r="M183" s="23"/>
    </row>
    <row r="184" ht="18.75" customHeight="1">
      <c r="H184" s="23"/>
      <c r="I184" s="23"/>
      <c r="L184" s="23"/>
      <c r="M184" s="23"/>
    </row>
    <row r="185" ht="18.75" customHeight="1">
      <c r="H185" s="23"/>
      <c r="I185" s="23"/>
      <c r="L185" s="23"/>
      <c r="M185" s="23"/>
    </row>
    <row r="186" ht="18.75" customHeight="1">
      <c r="H186" s="23"/>
      <c r="I186" s="23"/>
      <c r="L186" s="23"/>
      <c r="M186" s="23"/>
    </row>
    <row r="187" ht="18.75" customHeight="1">
      <c r="H187" s="23"/>
      <c r="I187" s="23"/>
      <c r="L187" s="23"/>
      <c r="M187" s="23"/>
    </row>
    <row r="188" ht="18.75" customHeight="1">
      <c r="H188" s="23"/>
      <c r="I188" s="23"/>
      <c r="L188" s="23"/>
      <c r="M188" s="23"/>
    </row>
    <row r="189" ht="18.75" customHeight="1">
      <c r="H189" s="23"/>
      <c r="I189" s="23"/>
      <c r="L189" s="23"/>
      <c r="M189" s="23"/>
    </row>
    <row r="190" ht="18.75" customHeight="1">
      <c r="H190" s="23"/>
      <c r="I190" s="23"/>
      <c r="L190" s="23"/>
      <c r="M190" s="23"/>
    </row>
    <row r="191" ht="18.75" customHeight="1">
      <c r="H191" s="23"/>
      <c r="I191" s="23"/>
      <c r="L191" s="23"/>
      <c r="M191" s="23"/>
    </row>
    <row r="192" ht="18.75" customHeight="1">
      <c r="H192" s="23"/>
      <c r="I192" s="23"/>
      <c r="L192" s="23"/>
      <c r="M192" s="23"/>
    </row>
    <row r="193" ht="18.75" customHeight="1">
      <c r="H193" s="23"/>
      <c r="I193" s="23"/>
      <c r="L193" s="23"/>
      <c r="M193" s="23"/>
    </row>
    <row r="194" ht="18.75" customHeight="1">
      <c r="H194" s="23"/>
      <c r="I194" s="23"/>
      <c r="L194" s="23"/>
      <c r="M194" s="23"/>
    </row>
    <row r="195" ht="18.75" customHeight="1">
      <c r="H195" s="23"/>
      <c r="I195" s="23"/>
      <c r="L195" s="23"/>
      <c r="M195" s="23"/>
    </row>
    <row r="196" ht="18.75" customHeight="1">
      <c r="H196" s="23"/>
      <c r="I196" s="23"/>
      <c r="L196" s="23"/>
      <c r="M196" s="23"/>
    </row>
    <row r="197" ht="18.75" customHeight="1">
      <c r="H197" s="23"/>
      <c r="I197" s="23"/>
      <c r="L197" s="23"/>
      <c r="M197" s="23"/>
    </row>
    <row r="198" ht="18.75" customHeight="1">
      <c r="H198" s="23"/>
      <c r="I198" s="23"/>
      <c r="L198" s="23"/>
      <c r="M198" s="23"/>
    </row>
    <row r="199" ht="18.75" customHeight="1">
      <c r="H199" s="23"/>
      <c r="I199" s="23"/>
      <c r="L199" s="23"/>
      <c r="M199" s="23"/>
    </row>
    <row r="200" ht="18.75" customHeight="1">
      <c r="H200" s="23"/>
      <c r="I200" s="23"/>
      <c r="L200" s="23"/>
      <c r="M200" s="23"/>
    </row>
    <row r="201" ht="18.75" customHeight="1">
      <c r="H201" s="23"/>
      <c r="I201" s="23"/>
      <c r="L201" s="23"/>
      <c r="M201" s="23"/>
    </row>
    <row r="202" ht="18.75" customHeight="1">
      <c r="H202" s="23"/>
      <c r="I202" s="23"/>
      <c r="L202" s="23"/>
      <c r="M202" s="23"/>
    </row>
    <row r="203" ht="18.75" customHeight="1">
      <c r="H203" s="23"/>
      <c r="I203" s="23"/>
      <c r="L203" s="23"/>
      <c r="M203" s="23"/>
    </row>
    <row r="204" ht="18.75" customHeight="1">
      <c r="H204" s="23"/>
      <c r="I204" s="23"/>
      <c r="L204" s="23"/>
      <c r="M204" s="23"/>
    </row>
    <row r="205" ht="18.75" customHeight="1">
      <c r="H205" s="23"/>
      <c r="I205" s="23"/>
      <c r="L205" s="23"/>
      <c r="M205" s="23"/>
    </row>
    <row r="206" ht="18.75" customHeight="1">
      <c r="H206" s="23"/>
      <c r="I206" s="23"/>
      <c r="L206" s="23"/>
      <c r="M206" s="23"/>
    </row>
    <row r="207" ht="18.75" customHeight="1">
      <c r="H207" s="23"/>
      <c r="I207" s="23"/>
      <c r="L207" s="23"/>
      <c r="M207" s="23"/>
    </row>
    <row r="208" ht="18.75" customHeight="1">
      <c r="H208" s="23"/>
      <c r="I208" s="23"/>
      <c r="L208" s="23"/>
      <c r="M208" s="23"/>
    </row>
    <row r="209" ht="18.75" customHeight="1">
      <c r="H209" s="23"/>
      <c r="I209" s="23"/>
      <c r="L209" s="23"/>
      <c r="M209" s="23"/>
    </row>
    <row r="210" ht="18.75" customHeight="1">
      <c r="H210" s="23"/>
      <c r="I210" s="23"/>
      <c r="L210" s="23"/>
      <c r="M210" s="23"/>
    </row>
    <row r="211" ht="18.75" customHeight="1">
      <c r="H211" s="23"/>
      <c r="I211" s="23"/>
      <c r="L211" s="23"/>
      <c r="M211" s="23"/>
    </row>
    <row r="212" ht="18.75" customHeight="1">
      <c r="H212" s="23"/>
      <c r="I212" s="23"/>
      <c r="L212" s="23"/>
      <c r="M212" s="23"/>
    </row>
    <row r="213" ht="18.75" customHeight="1">
      <c r="H213" s="23"/>
      <c r="I213" s="23"/>
      <c r="L213" s="23"/>
      <c r="M213" s="23"/>
    </row>
    <row r="214" ht="18.75" customHeight="1">
      <c r="H214" s="23"/>
      <c r="I214" s="23"/>
      <c r="L214" s="23"/>
      <c r="M214" s="23"/>
    </row>
    <row r="215" ht="18.75" customHeight="1">
      <c r="H215" s="23"/>
      <c r="I215" s="23"/>
      <c r="L215" s="23"/>
      <c r="M215" s="23"/>
    </row>
    <row r="216" ht="18.75" customHeight="1">
      <c r="H216" s="23"/>
      <c r="I216" s="23"/>
      <c r="L216" s="23"/>
      <c r="M216" s="23"/>
    </row>
    <row r="217" ht="18.75" customHeight="1">
      <c r="H217" s="23"/>
      <c r="I217" s="23"/>
      <c r="L217" s="23"/>
      <c r="M217" s="23"/>
    </row>
    <row r="218" ht="18.75" customHeight="1">
      <c r="H218" s="23"/>
      <c r="I218" s="23"/>
      <c r="L218" s="23"/>
      <c r="M218" s="23"/>
    </row>
    <row r="219" ht="18.75" customHeight="1">
      <c r="H219" s="23"/>
      <c r="I219" s="23"/>
      <c r="L219" s="23"/>
      <c r="M219" s="23"/>
    </row>
    <row r="220" ht="18.75" customHeight="1">
      <c r="H220" s="23"/>
      <c r="I220" s="23"/>
      <c r="L220" s="23"/>
      <c r="M220" s="23"/>
    </row>
    <row r="221" ht="18.75" customHeight="1">
      <c r="H221" s="23"/>
      <c r="I221" s="23"/>
      <c r="L221" s="23"/>
      <c r="M221" s="23"/>
    </row>
    <row r="222" ht="18.75" customHeight="1">
      <c r="H222" s="23"/>
      <c r="I222" s="23"/>
      <c r="L222" s="23"/>
      <c r="M222" s="23"/>
    </row>
    <row r="223" ht="18.75" customHeight="1">
      <c r="H223" s="23"/>
      <c r="I223" s="23"/>
      <c r="L223" s="23"/>
      <c r="M223" s="23"/>
    </row>
    <row r="224" ht="18.75" customHeight="1">
      <c r="H224" s="23"/>
      <c r="I224" s="23"/>
      <c r="L224" s="23"/>
      <c r="M224" s="23"/>
    </row>
    <row r="225" ht="18.75" customHeight="1">
      <c r="H225" s="23"/>
      <c r="I225" s="23"/>
      <c r="L225" s="23"/>
      <c r="M225" s="23"/>
    </row>
    <row r="226" ht="18.75" customHeight="1">
      <c r="H226" s="23"/>
      <c r="I226" s="23"/>
      <c r="L226" s="23"/>
      <c r="M226" s="23"/>
    </row>
    <row r="227" ht="18.75" customHeight="1">
      <c r="H227" s="23"/>
      <c r="I227" s="23"/>
      <c r="L227" s="23"/>
      <c r="M227" s="23"/>
    </row>
    <row r="228" ht="18.75" customHeight="1">
      <c r="H228" s="23"/>
      <c r="I228" s="23"/>
      <c r="L228" s="23"/>
      <c r="M228" s="23"/>
    </row>
    <row r="229" ht="18.75" customHeight="1">
      <c r="H229" s="23"/>
      <c r="I229" s="23"/>
      <c r="L229" s="23"/>
      <c r="M229" s="23"/>
    </row>
    <row r="230" ht="18.75" customHeight="1">
      <c r="H230" s="23"/>
      <c r="I230" s="23"/>
      <c r="L230" s="23"/>
      <c r="M230" s="23"/>
    </row>
    <row r="231" ht="18.75" customHeight="1">
      <c r="H231" s="23"/>
      <c r="I231" s="23"/>
      <c r="L231" s="23"/>
      <c r="M231" s="23"/>
    </row>
    <row r="232" ht="18.75" customHeight="1">
      <c r="H232" s="23"/>
      <c r="I232" s="23"/>
      <c r="L232" s="23"/>
      <c r="M232" s="23"/>
    </row>
    <row r="233" ht="18.75" customHeight="1">
      <c r="H233" s="23"/>
      <c r="I233" s="23"/>
      <c r="L233" s="23"/>
      <c r="M233" s="23"/>
    </row>
    <row r="234" ht="18.75" customHeight="1">
      <c r="H234" s="23"/>
      <c r="I234" s="23"/>
      <c r="L234" s="23"/>
      <c r="M234" s="23"/>
    </row>
    <row r="235" ht="18.75" customHeight="1">
      <c r="H235" s="23"/>
      <c r="I235" s="23"/>
      <c r="L235" s="23"/>
      <c r="M235" s="23"/>
    </row>
    <row r="236" ht="18.75" customHeight="1">
      <c r="H236" s="23"/>
      <c r="I236" s="23"/>
      <c r="L236" s="23"/>
      <c r="M236" s="23"/>
    </row>
    <row r="237" ht="18.75" customHeight="1">
      <c r="H237" s="23"/>
      <c r="I237" s="23"/>
      <c r="L237" s="23"/>
      <c r="M237" s="23"/>
    </row>
    <row r="238" ht="18.75" customHeight="1">
      <c r="H238" s="23"/>
      <c r="I238" s="23"/>
      <c r="L238" s="23"/>
      <c r="M238" s="23"/>
    </row>
    <row r="239" ht="18.75" customHeight="1">
      <c r="H239" s="23"/>
      <c r="I239" s="23"/>
      <c r="L239" s="23"/>
      <c r="M239" s="23"/>
    </row>
    <row r="240" ht="18.75" customHeight="1">
      <c r="H240" s="23"/>
      <c r="I240" s="23"/>
      <c r="L240" s="23"/>
      <c r="M240" s="23"/>
    </row>
    <row r="241" ht="18.75" customHeight="1">
      <c r="H241" s="23"/>
      <c r="I241" s="23"/>
      <c r="L241" s="23"/>
      <c r="M241" s="23"/>
    </row>
    <row r="242" ht="18.75" customHeight="1">
      <c r="H242" s="23"/>
      <c r="I242" s="23"/>
      <c r="L242" s="23"/>
      <c r="M242" s="23"/>
    </row>
    <row r="243" ht="18.75" customHeight="1">
      <c r="H243" s="23"/>
      <c r="I243" s="23"/>
      <c r="L243" s="23"/>
      <c r="M243" s="23"/>
    </row>
    <row r="244" ht="18.75" customHeight="1">
      <c r="H244" s="23"/>
      <c r="I244" s="23"/>
      <c r="L244" s="23"/>
      <c r="M244" s="23"/>
    </row>
    <row r="245" ht="18.75" customHeight="1">
      <c r="H245" s="23"/>
      <c r="I245" s="23"/>
      <c r="L245" s="23"/>
      <c r="M245" s="23"/>
    </row>
    <row r="246" ht="18.75" customHeight="1">
      <c r="H246" s="23"/>
      <c r="I246" s="23"/>
      <c r="L246" s="23"/>
      <c r="M246" s="23"/>
    </row>
    <row r="247" ht="18.75" customHeight="1">
      <c r="H247" s="23"/>
      <c r="I247" s="23"/>
      <c r="L247" s="23"/>
      <c r="M247" s="23"/>
    </row>
    <row r="248" ht="18.75" customHeight="1">
      <c r="H248" s="23"/>
      <c r="I248" s="23"/>
      <c r="L248" s="23"/>
      <c r="M248" s="23"/>
    </row>
    <row r="249" ht="18.75" customHeight="1">
      <c r="H249" s="23"/>
      <c r="I249" s="23"/>
      <c r="L249" s="23"/>
      <c r="M249" s="23"/>
    </row>
    <row r="250" ht="18.75" customHeight="1">
      <c r="H250" s="23"/>
      <c r="I250" s="23"/>
      <c r="L250" s="23"/>
      <c r="M250" s="23"/>
    </row>
    <row r="251" ht="18.75" customHeight="1">
      <c r="H251" s="23"/>
      <c r="I251" s="23"/>
      <c r="L251" s="23"/>
      <c r="M251" s="23"/>
    </row>
    <row r="252" ht="18.75" customHeight="1">
      <c r="H252" s="23"/>
      <c r="I252" s="23"/>
      <c r="L252" s="23"/>
      <c r="M252" s="23"/>
    </row>
    <row r="253" ht="18.75" customHeight="1">
      <c r="H253" s="23"/>
      <c r="I253" s="23"/>
      <c r="L253" s="23"/>
      <c r="M253" s="23"/>
    </row>
    <row r="254" ht="18.75" customHeight="1">
      <c r="H254" s="23"/>
      <c r="I254" s="23"/>
      <c r="L254" s="23"/>
      <c r="M254" s="23"/>
    </row>
    <row r="255" ht="18.75" customHeight="1">
      <c r="H255" s="23"/>
      <c r="I255" s="23"/>
      <c r="L255" s="23"/>
      <c r="M255" s="23"/>
    </row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drawing r:id="rId1"/>
</worksheet>
</file>